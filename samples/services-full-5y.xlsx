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<sst xmlns="http://schemas.openxmlformats.org/spreadsheetml/2006/main" count="1274" uniqueCount="498">
  <si>
    <t xml:space="preserve">Professional services financial model (growing)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</si>
  <si>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</si>
  <si>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</si>
  <si>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</si>
  <si>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</si>
  <si>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</si>
  <si>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</si>
  <si>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</si>
  <si>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</si>
  <si>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</si>
  <si>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</si>
  <si>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</si>
  <si>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</si>
  <si>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</si>
  <si>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</si>
  <si>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</si>
  <si>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</si>
  <si>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</si>
  <si>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</si>
  <si>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</si>
  <si>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</si>
  <si>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</si>
  <si>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</si>
  <si>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</si>
  <si>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</si>
  <si>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</si>
  <si>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</si>
  <si>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</si>
  <si>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</si>
  <si>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</si>
  <si>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</si>
  <si>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</si>
  <si>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</si>
  <si>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</si>
  <si>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</si>
  <si>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</si>
  <si>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</si>
  <si>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</si>
  <si>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</si>
  <si>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</si>
  <si>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</si>
  <si>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</si>
  <si>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</si>
  <si>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</si>
  <si>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</si>
  <si>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</si>
  <si>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</si>
  <si>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</si>
  <si>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</si>
  <si>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</si>
  <si>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</si>
  <si>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</si>
  <si>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</si>
  <si>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</si>
  <si>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</si>
  <si>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</si>
  <si>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</si>
  <si>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Services metrics</t>
  </si>
  <si>
    <t xml:space="preserve">Billable hours</t>
  </si>
  <si>
    <t xml:space="preserve">Utilisation of billable employees</t>
  </si>
  <si>
    <t xml:space="preserve">Effective rate per billable hour</t>
  </si>
  <si>
    <t xml:space="preserve">Revenue per billable FTE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</si>
  <si>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</si>
  <si>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</si>
  <si>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</si>
  <si>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</si>
  <si>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</si>
  <si>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</si>
  <si>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</si>
  <si>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</si>
  <si>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</si>
  <si>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</si>
  <si>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</si>
  <si>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</si>
  <si>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</si>
  <si>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</si>
  <si>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delivery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</si>
  <si>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</si>
  <si>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</si>
  <si>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</si>
  <si>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</si>
  <si>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</si>
  <si>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</si>
  <si>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</si>
  <si>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</si>
  <si>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</si>
  <si>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</si>
  <si>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</si>
  <si>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</si>
  <si>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</si>
  <si>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</si>
  <si>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</si>
  <si>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</si>
  <si>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</si>
  <si>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</si>
  <si>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</si>
  <si>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</si>
  <si>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</si>
  <si>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</si>
  <si>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</si>
  <si>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</si>
  <si>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</si>
  <si>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</si>
  <si>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</si>
  <si>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</si>
  <si>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</si>
  <si>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</si>
  <si>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</si>
  <si>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</si>
  <si>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Hourly rate — partners &amp; senior consultants ($ / hour)</t>
  </si>
  <si>
    <t xml:space="preserve">Hourly rate — consultants ($ / hour)</t>
  </si>
  <si>
    <t xml:space="preserve">Utilisation — consultants (%)</t>
  </si>
  <si>
    <t xml:space="preserve">Contractor billable hours per month (year 1) (hours)</t>
  </si>
  <si>
    <t xml:space="preserve">Customer payment terms (receivable days) (days)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</si>
  <si>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</si>
  <si>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</si>
  <si>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</si>
  <si>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</si>
  <si>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</si>
  <si>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</si>
  <si>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</si>
  <si>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</si>
  <si>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</si>
  <si>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</si>
  <si>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</si>
  <si>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</si>
  <si>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</si>
  <si>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</si>
  <si>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</si>
  <si>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</si>
  <si>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</si>
  <si>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</si>
  <si>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</si>
  <si>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</si>
  <si>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</si>
  <si>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</si>
  <si>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</si>
  <si>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</si>
  <si>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</si>
  <si>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</si>
  <si>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</si>
  <si>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</si>
  <si>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</si>
  <si>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</si>
  <si>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</si>
  <si>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</si>
  <si>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</si>
  <si>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</si>
  <si>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</si>
  <si>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</si>
  <si>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</si>
  <si>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</si>
  <si>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</si>
  <si>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</si>
  <si>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</si>
  <si>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</si>
  <si>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</si>
  <si>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</si>
  <si>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</si>
  <si>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</si>
  <si>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</si>
  <si>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</si>
  <si>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</si>
  <si>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</si>
  <si>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</si>
  <si>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</si>
  <si>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</si>
  <si>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</si>
  <si>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</si>
  <si>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</si>
  <si>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</si>
  <si>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</si>
  <si>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</si>
  <si>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</si>
  <si>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</si>
  <si>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</si>
  <si>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</si>
  <si>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</si>
  <si>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</si>
  <si>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</si>
  <si>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</si>
  <si>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</si>
  <si>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</si>
  <si>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</si>
  <si>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</si>
  <si>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</si>
  <si>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</si>
  <si>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</si>
  <si>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</si>
  <si>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</si>
  <si>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</si>
  <si>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</si>
  <si>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</si>
  <si>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</si>
  <si>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</si>
  <si>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</si>
  <si>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</si>
  <si>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</si>
  <si>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</si>
  <si>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</si>
  <si>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</si>
  <si>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</si>
  <si>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</si>
  <si>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</si>
  <si>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</si>
  <si>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</si>
  <si>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</si>
  <si>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</si>
  <si>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</si>
  <si>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</si>
  <si>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</si>
  <si>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</si>
  <si>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</si>
  <si>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</si>
  <si>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</si>
  <si>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Professional services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</si>
  <si>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</si>
  <si>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</si>
  <si>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</si>
  <si>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</si>
  <si>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</si>
  <si>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</si>
  <si>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</si>
  <si>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</si>
  <si>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</si>
  <si>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</si>
  <si>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</si>
  <si>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</si>
  <si>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</si>
  <si>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</si>
  <si>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</si>
  <si>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Services metrics ($'000; per-unit rows in $)</t>
  </si>
  <si>
    <t xml:space="preserve">Billable employees (FTE, year end)</t>
  </si>
  <si>
    <t xml:space="preserve">Billable hours — employees</t>
  </si>
  <si>
    <t xml:space="preserve">Billable hours — contractors</t>
  </si>
  <si>
    <t xml:space="preserve">Available hours — billable employees</t>
  </si>
  <si>
    <t xml:space="preserve">Contractor share of billable hours</t>
  </si>
  <si>
    <t xml:space="preserve">Fees at rate card</t>
  </si>
  <si>
    <t xml:space="preserve">Fee revenue</t>
  </si>
  <si>
    <t xml:space="preserve">Retainer fees</t>
  </si>
  <si>
    <t xml:space="preserve">Retainer share of revenue</t>
  </si>
  <si>
    <t xml:space="preserve">Realisation vs rate card (all work)</t>
  </si>
  <si>
    <t xml:space="preserve">Effective rate per billable hour ($)</t>
  </si>
  <si>
    <t xml:space="preserve">Revenue per billable FTE (year-end FTE)</t>
  </si>
  <si>
    <t xml:space="preserve">Billable staff payroll</t>
  </si>
  <si>
    <t xml:space="preserve">Contractor cost</t>
  </si>
  <si>
    <t xml:space="preserve">Employee cost per billable hour ($)</t>
  </si>
  <si>
    <t xml:space="preserve">Contractor cost per billable hour ($)</t>
  </si>
  <si>
    <t xml:space="preserve">Gross profit (delivery margin)</t>
  </si>
  <si>
    <t xml:space="preserve">Receivables (year end)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</si>
  <si>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</si>
  <si>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</si>
  <si>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</si>
  <si>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</si>
  <si>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Billable capacity</t>
  </si>
  <si>
    <t xml:space="preserve">Available hours per billable FTE per year</t>
  </si>
  <si>
    <t xml:space="preserve">hours</t>
  </si>
  <si>
    <t xml:space="preserve">Utilisation — partners &amp; senior consultants</t>
  </si>
  <si>
    <t xml:space="preserve">%</t>
  </si>
  <si>
    <t xml:space="preserve">Low ≤ Base ≤ High</t>
  </si>
  <si>
    <t xml:space="preserve">Utilisation — consultants</t>
  </si>
  <si>
    <t xml:space="preserve">Contractor billable hours per month (year 1)</t>
  </si>
  <si>
    <t xml:space="preserve">Contractor hours growth per year</t>
  </si>
  <si>
    <t xml:space="preserve">Rate card</t>
  </si>
  <si>
    <t xml:space="preserve">Hourly rate — partners &amp; senior consultants</t>
  </si>
  <si>
    <t xml:space="preserve">$ / hour</t>
  </si>
  <si>
    <t xml:space="preserve">Hourly rate — consultants</t>
  </si>
  <si>
    <t xml:space="preserve">Hourly rate billed for contractor hours</t>
  </si>
  <si>
    <t xml:space="preserve">Rate card increase per year</t>
  </si>
  <si>
    <t xml:space="preserve">Retainer vs project</t>
  </si>
  <si>
    <t xml:space="preserve">Share of billable hours under retainers</t>
  </si>
  <si>
    <t xml:space="preserve">Retainer discount vs rate card</t>
  </si>
  <si>
    <t xml:space="preserve">Low ≥ Base ≥ High (lower is better)</t>
  </si>
  <si>
    <t xml:space="preserve">Project realisation (billed ÷ rate-card value)</t>
  </si>
  <si>
    <t xml:space="preserve">Costs</t>
  </si>
  <si>
    <t xml:space="preserve">Contractor cost per hour (year 1)</t>
  </si>
  <si>
    <t xml:space="preserve">Non-rebillable delivery costs, % of fees</t>
  </si>
  <si>
    <t xml:space="preserve">Software &amp; tools per FTE per month</t>
  </si>
  <si>
    <t xml:space="preserve">$</t>
  </si>
  <si>
    <t xml:space="preserve">Marketing &amp; business development per month</t>
  </si>
  <si>
    <t xml:space="preserve">Office &amp; rent per month</t>
  </si>
  <si>
    <t xml:space="preserve">Other G&amp;A per month (insurance, legal, accounting)</t>
  </si>
  <si>
    <t xml:space="preserve">Start-up capex (equipment, fit-out)</t>
  </si>
  <si>
    <t xml:space="preserve">Headcount</t>
  </si>
  <si>
    <t xml:space="preserve">Partners &amp; senior consultants: headcount (FTE)</t>
  </si>
  <si>
    <t xml:space="preserve">FTE</t>
  </si>
  <si>
    <t xml:space="preserve">Partners &amp; senior consultants: salary per FTE per year</t>
  </si>
  <si>
    <t xml:space="preserve">Partners &amp; senior consultants: headcount growth per year</t>
  </si>
  <si>
    <t xml:space="preserve">Partners &amp; senior consultants: first month on payroll</t>
  </si>
  <si>
    <t xml:space="preserve">month #</t>
  </si>
  <si>
    <t xml:space="preserve">Consultants: headcount (FTE)</t>
  </si>
  <si>
    <t xml:space="preserve">Consultants: salary per FTE per year</t>
  </si>
  <si>
    <t xml:space="preserve">Consultants: headcount growth per year</t>
  </si>
  <si>
    <t xml:space="preserve">Consultants: first month on payroll</t>
  </si>
  <si>
    <t xml:space="preserve">Business development: headcount (FTE)</t>
  </si>
  <si>
    <t xml:space="preserve">Business development: salary per FTE per year</t>
  </si>
  <si>
    <t xml:space="preserve">Business development: headcount growth per year</t>
  </si>
  <si>
    <t xml:space="preserve">Business development: first month on payroll</t>
  </si>
  <si>
    <t xml:space="preserve">Operations &amp; admin: headcount (FTE)</t>
  </si>
  <si>
    <t xml:space="preserve">Operations &amp; admin: salary per FTE per year</t>
  </si>
  <si>
    <t xml:space="preserve">Operations &amp; admin: headcount growth per year</t>
  </si>
  <si>
    <t xml:space="preserve">Operations &amp; admin: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</si>
  <si>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</si>
  <si>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</si>
  <si>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</si>
  <si>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</si>
  <si>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</si>
  <si>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</si>
  <si>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</si>
  <si>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</si>
  <si>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</si>
  <si>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</si>
  <si>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</si>
  <si>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</si>
  <si>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</si>
  <si>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</si>
  <si>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</si>
  <si>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</si>
  <si>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</si>
  <si>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</si>
  <si>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</si>
  <si>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</si>
  <si>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</si>
  <si>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</si>
  <si>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</si>
  <si>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</si>
  <si>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</si>
  <si>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Non-billable payroll</t>
  </si>
  <si>
    <t xml:space="preserve">Marketing &amp; business development</t>
  </si>
  <si>
    <t xml:space="preserve">Software &amp; tools</t>
  </si>
  <si>
    <t xml:space="preserve">Office &amp; rent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</si>
  <si>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</si>
  <si>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</si>
  <si>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</si>
  <si>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</si>
  <si>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</si>
  <si>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</si>
  <si>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</si>
  <si>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</si>
  <si>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</si>
  <si>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</si>
  <si>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</si>
  <si>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</si>
  <si>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</si>
  <si>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</si>
  <si>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</si>
  <si>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</si>
  <si>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</si>
  <si>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</si>
  <si>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</si>
  <si>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</si>
  <si>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</si>
  <si>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</si>
  <si>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</si>
  <si>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</si>
  <si>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</si>
  <si>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</si>
  <si>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</si>
  <si>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</si>
  <si>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</si>
  <si>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</si>
  <si>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</si>
  <si>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</si>
  <si>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</si>
  <si>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</si>
  <si>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</si>
  <si>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</si>
  <si>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</si>
  <si>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</si>
  <si>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</si>
  <si>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</si>
  <si>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</si>
  <si>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</si>
  <si>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</si>
  <si>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</si>
  <si>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</si>
  <si>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</si>
  <si>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</si>
  <si>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</si>
  <si>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</si>
  <si>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</si>
  <si>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</si>
  <si>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</si>
  <si>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</si>
  <si>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</si>
  <si>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</si>
  <si>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</si>
  <si>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</si>
  <si>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</si>
  <si>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</si>
  <si>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</si>
  <si>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</si>
  <si>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</si>
  <si>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</si>
  <si>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</si>
  <si>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</si>
  <si>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</si>
  <si>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</si>
  <si>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</si>
  <si>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</si>
  <si>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</si>
  <si>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</si>
  <si>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Billable employees (FTE)</t>
  </si>
  <si>
    <t xml:space="preserve">Billable hours — partners &amp; senior</t>
  </si>
  <si>
    <t xml:space="preserve">Billable hours — consultants</t>
  </si>
  <si>
    <t xml:space="preserve">Billable hours — total</t>
  </si>
  <si>
    <t xml:space="preserve">Fees</t>
  </si>
  <si>
    <t xml:space="preserve">Rate — partners &amp; senior</t>
  </si>
  <si>
    <t xml:space="preserve">Rate — consultants</t>
  </si>
  <si>
    <t xml:space="preserve">Rate — contractor hours</t>
  </si>
  <si>
    <t xml:space="preserve">Project fees</t>
  </si>
  <si>
    <t xml:space="preserve">Non-rebillable delivery costs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</si>
  <si>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</si>
  <si>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</si>
  <si>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</si>
  <si>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</si>
  <si>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</si>
  <si>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</si>
  <si>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</si>
  <si>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</si>
  <si>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</si>
  <si>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</si>
  <si>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</si>
  <si>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</si>
  <si>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</si>
  <si>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</si>
  <si>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</si>
  <si>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</si>
  <si>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</si>
  <si>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</si>
  <si>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</si>
  <si>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</si>
  <si>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</si>
  <si>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</si>
  <si>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</si>
  <si>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</si>
  <si>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</si>
  <si>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Partners &amp; senior consultants — FTE</t>
  </si>
  <si>
    <t xml:space="preserve">Consultants — FTE</t>
  </si>
  <si>
    <t xml:space="preserve">Business development — FTE</t>
  </si>
  <si>
    <t xml:space="preserve">Operations &amp; admin — FTE</t>
  </si>
  <si>
    <t xml:space="preserve">Total FTE</t>
  </si>
  <si>
    <t xml:space="preserve">Payroll cost (salary + taxes &amp; benefits)</t>
  </si>
  <si>
    <t xml:space="preserve">Partners &amp; senior consultants — payroll cost</t>
  </si>
  <si>
    <t xml:space="preserve">Consultants — payroll cost</t>
  </si>
  <si>
    <t xml:space="preserve">Business development — payroll cost</t>
  </si>
  <si>
    <t xml:space="preserve">Operations &amp; admin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</si>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</sst>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\$#,##0;&quot;($&quot;#,##0\);\-"/>
    <numFmt numFmtId="184" formatCode="0.0%;\(0.0%\);\-"/>
    <numFmt numFmtId="185" formatCode="#,##0.0;\(#,##0.0\);\-"/>
    <numFmt numFmtId="186" formatCode="#,##0;\(#,##0\);\-"/>
    <numFmt numFmtId="187" formatCode="0"/>
    <numFmt numFmtId="188" formatCode="0.0\x"/>
    <numFmt numFmtId="189" formatCode="0.000"/>
    <numFmt numFmtId="190" formatCode="0.0\x;\(0.0&quot;x)&quot;;\-"/>
    <numFmt numFmtId="191" formatCode="\$#,##0.00;&quot;($&quot;#,##0.00\);\-"/>
    <numFmt numFmtId="192" formatCode="\$#,##0.00"/>
    <numFmt numFmtId="193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4506192</c:v>
                </c:pt>
                <c:pt idx="1">
                  <c:v>5835961.872</c:v>
                </c:pt>
                <c:pt idx="2">
                  <c:v>7569836.035632</c:v>
                </c:pt>
                <c:pt idx="3">
                  <c:v>9833787.54974491</c:v>
                </c:pt>
                <c:pt idx="4">
                  <c:v>12793894.0222781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1050606.24</c:v>
                </c:pt>
                <c:pt idx="1">
                  <c:v>1489614.01584</c:v>
                </c:pt>
                <c:pt idx="2">
                  <c:v>2073898.42406304</c:v>
                </c:pt>
                <c:pt idx="3">
                  <c:v>2851517.23302332</c:v>
                </c:pt>
                <c:pt idx="4">
                  <c:v>3886476.29151786</c:v>
                </c:pt>
              </c:numCache>
            </c:numRef>
          </c:val>
        </c:ser>
        <c:gapWidth val="60"/>
        <c:overlap val="0"/>
        <c:axId val="76724903"/>
        <c:axId val="74577106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0.23314724272734</c:v>
                </c:pt>
                <c:pt idx="1">
                  <c:v>0.255247386551123</c:v>
                </c:pt>
                <c:pt idx="2">
                  <c:v>0.273968737803697</c:v>
                </c:pt>
                <c:pt idx="3">
                  <c:v>0.289971409144108</c:v>
                </c:pt>
                <c:pt idx="4">
                  <c:v>0.303775870329262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263771"/>
        <c:axId val="67484673"/>
      </c:lineChart>
      <c:catAx>
        <c:axId val="7672490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577106"/>
        <c:crosses val="autoZero"/>
        <c:auto val="1"/>
        <c:lblAlgn val="ctr"/>
        <c:lblOffset val="100"/>
        <c:noMultiLvlLbl val="0"/>
      </c:catAx>
      <c:valAx>
        <c:axId val="7457710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724903"/>
        <c:crosses val="autoZero"/>
        <c:crossBetween val="between"/>
      </c:valAx>
      <c:catAx>
        <c:axId val="9826377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7484673"/>
        <c:crosses val="autoZero"/>
        <c:auto val="1"/>
        <c:lblAlgn val="ctr"/>
        <c:lblOffset val="100"/>
        <c:noMultiLvlLbl val="0"/>
      </c:catAx>
      <c:valAx>
        <c:axId val="6748467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26377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370279.780711111</c:v>
                </c:pt>
                <c:pt idx="1">
                  <c:v>1036820.38418694</c:v>
                </c:pt>
                <c:pt idx="2">
                  <c:v>1460260.45759368</c:v>
                </c:pt>
                <c:pt idx="3">
                  <c:v>2023723.37283328</c:v>
                </c:pt>
                <c:pt idx="4">
                  <c:v>2773718.704392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-60000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463333.333333333</c:v>
                </c:pt>
                <c:pt idx="1">
                  <c:v>-40000</c:v>
                </c:pt>
                <c:pt idx="2">
                  <c:v>-40000</c:v>
                </c:pt>
                <c:pt idx="3">
                  <c:v>-40000</c:v>
                </c:pt>
                <c:pt idx="4">
                  <c:v>-40000</c:v>
                </c:pt>
              </c:numCache>
            </c:numRef>
          </c:val>
        </c:ser>
        <c:gapWidth val="60"/>
        <c:overlap val="0"/>
        <c:axId val="90823519"/>
        <c:axId val="16120767"/>
      </c:barChart>
      <c:catAx>
        <c:axId val="9082351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120767"/>
        <c:crosses val="autoZero"/>
        <c:auto val="1"/>
        <c:lblAlgn val="ctr"/>
        <c:lblOffset val="100"/>
        <c:noMultiLvlLbl val="0"/>
      </c:catAx>
      <c:valAx>
        <c:axId val="1612076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8235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773613.114044444</c:v>
                </c:pt>
                <c:pt idx="1">
                  <c:v>1770433.49823138</c:v>
                </c:pt>
                <c:pt idx="2">
                  <c:v>3190693.95582506</c:v>
                </c:pt>
                <c:pt idx="3">
                  <c:v>5174417.32865833</c:v>
                </c:pt>
                <c:pt idx="4">
                  <c:v>7908136.03305034</c:v>
                </c:pt>
              </c:numCache>
            </c:numRef>
          </c:val>
        </c:ser>
        <c:gapWidth val="60"/>
        <c:overlap val="0"/>
        <c:axId val="6444269"/>
        <c:axId val="60814444"/>
      </c:barChart>
      <c:catAx>
        <c:axId val="644426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814444"/>
        <c:crosses val="autoZero"/>
        <c:auto val="1"/>
        <c:lblAlgn val="ctr"/>
        <c:lblOffset val="100"/>
        <c:noMultiLvlLbl val="0"/>
      </c:catAx>
      <c:valAx>
        <c:axId val="608144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44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Billable hours &amp;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Billable hours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24960</c:v>
                </c:pt>
                <c:pt idx="1">
                  <c:v>31572</c:v>
                </c:pt>
                <c:pt idx="2">
                  <c:v>39992.4</c:v>
                </c:pt>
                <c:pt idx="3">
                  <c:v>50728.68</c:v>
                </c:pt>
                <c:pt idx="4">
                  <c:v>64433.556</c:v>
                </c:pt>
              </c:numCache>
            </c:numRef>
          </c:val>
        </c:ser>
        <c:gapWidth val="60"/>
        <c:overlap val="0"/>
        <c:axId val="20345398"/>
        <c:axId val="3141279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Utilisation of billable employees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0.0%;\(0.0%\);\-</c:formatCode>
                <c:ptCount val="5"/>
                <c:pt idx="0">
                  <c:v>0.7</c:v>
                </c:pt>
                <c:pt idx="1">
                  <c:v>0.702941176470588</c:v>
                </c:pt>
                <c:pt idx="2">
                  <c:v>0.705760368663594</c:v>
                </c:pt>
                <c:pt idx="3">
                  <c:v>0.708456545257844</c:v>
                </c:pt>
                <c:pt idx="4">
                  <c:v>0.711029515406084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821682"/>
        <c:axId val="76007975"/>
      </c:lineChart>
      <c:catAx>
        <c:axId val="2034539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41279"/>
        <c:crosses val="autoZero"/>
        <c:auto val="1"/>
        <c:lblAlgn val="ctr"/>
        <c:lblOffset val="100"/>
        <c:noMultiLvlLbl val="0"/>
      </c:catAx>
      <c:valAx>
        <c:axId val="314127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345398"/>
        <c:crosses val="autoZero"/>
        <c:crossBetween val="between"/>
      </c:valAx>
      <c:catAx>
        <c:axId val="8182168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007975"/>
        <c:crosses val="autoZero"/>
        <c:auto val="1"/>
        <c:lblAlgn val="ctr"/>
        <c:lblOffset val="100"/>
        <c:noMultiLvlLbl val="0"/>
      </c:catAx>
      <c:valAx>
        <c:axId val="7600797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82168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375516</c:v>
                </c:pt>
                <c:pt idx="1">
                  <c:v>375516</c:v>
                </c:pt>
                <c:pt idx="2">
                  <c:v>375516</c:v>
                </c:pt>
                <c:pt idx="3">
                  <c:v>375516</c:v>
                </c:pt>
                <c:pt idx="4">
                  <c:v>375516</c:v>
                </c:pt>
                <c:pt idx="5">
                  <c:v>375516</c:v>
                </c:pt>
                <c:pt idx="6">
                  <c:v>375516</c:v>
                </c:pt>
                <c:pt idx="7">
                  <c:v>375516</c:v>
                </c:pt>
                <c:pt idx="8">
                  <c:v>375516</c:v>
                </c:pt>
                <c:pt idx="9">
                  <c:v>375516</c:v>
                </c:pt>
                <c:pt idx="10">
                  <c:v>375516</c:v>
                </c:pt>
                <c:pt idx="11">
                  <c:v>375516</c:v>
                </c:pt>
              </c:numCache>
            </c:numRef>
          </c:val>
        </c:ser>
        <c:gapWidth val="60"/>
        <c:overlap val="0"/>
        <c:axId val="26965792"/>
        <c:axId val="83128002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87550.52</c:v>
                </c:pt>
                <c:pt idx="1">
                  <c:v>87550.52</c:v>
                </c:pt>
                <c:pt idx="2">
                  <c:v>87550.52</c:v>
                </c:pt>
                <c:pt idx="3">
                  <c:v>87550.52</c:v>
                </c:pt>
                <c:pt idx="4">
                  <c:v>87550.52</c:v>
                </c:pt>
                <c:pt idx="5">
                  <c:v>87550.52</c:v>
                </c:pt>
                <c:pt idx="6">
                  <c:v>87550.52</c:v>
                </c:pt>
                <c:pt idx="7">
                  <c:v>87550.52</c:v>
                </c:pt>
                <c:pt idx="8">
                  <c:v>87550.52</c:v>
                </c:pt>
                <c:pt idx="9">
                  <c:v>87550.52</c:v>
                </c:pt>
                <c:pt idx="10">
                  <c:v>87550.52</c:v>
                </c:pt>
                <c:pt idx="11">
                  <c:v>87550.52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67321.5774666667</c:v>
                </c:pt>
                <c:pt idx="1">
                  <c:v>67330.3552444445</c:v>
                </c:pt>
                <c:pt idx="2">
                  <c:v>67347.9108</c:v>
                </c:pt>
                <c:pt idx="3">
                  <c:v>67365.4663555556</c:v>
                </c:pt>
                <c:pt idx="4">
                  <c:v>67383.0219111111</c:v>
                </c:pt>
                <c:pt idx="5">
                  <c:v>67400.5774666667</c:v>
                </c:pt>
                <c:pt idx="6">
                  <c:v>67418.1330222222</c:v>
                </c:pt>
                <c:pt idx="7">
                  <c:v>67435.6885777778</c:v>
                </c:pt>
                <c:pt idx="8">
                  <c:v>67453.2441333333</c:v>
                </c:pt>
                <c:pt idx="9">
                  <c:v>67470.7996888889</c:v>
                </c:pt>
                <c:pt idx="10">
                  <c:v>67488.3552444444</c:v>
                </c:pt>
                <c:pt idx="11">
                  <c:v>67505.9108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965792"/>
        <c:axId val="83128002"/>
      </c:lineChart>
      <c:catAx>
        <c:axId val="2696579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128002"/>
        <c:crosses val="autoZero"/>
        <c:auto val="1"/>
        <c:lblAlgn val="ctr"/>
        <c:lblOffset val="100"/>
        <c:noMultiLvlLbl val="0"/>
      </c:catAx>
      <c:valAx>
        <c:axId val="8312800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9657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-382319.682533333</c:v>
                </c:pt>
                <c:pt idx="1">
                  <c:v>68330.3552444445</c:v>
                </c:pt>
                <c:pt idx="2">
                  <c:v>68347.9108</c:v>
                </c:pt>
                <c:pt idx="3">
                  <c:v>68365.4663555556</c:v>
                </c:pt>
                <c:pt idx="4">
                  <c:v>68383.0219111111</c:v>
                </c:pt>
                <c:pt idx="5">
                  <c:v>68400.5774666667</c:v>
                </c:pt>
                <c:pt idx="6">
                  <c:v>68418.1330222222</c:v>
                </c:pt>
                <c:pt idx="7">
                  <c:v>68435.6885777778</c:v>
                </c:pt>
                <c:pt idx="8">
                  <c:v>68453.2441333333</c:v>
                </c:pt>
                <c:pt idx="9">
                  <c:v>68470.7996888889</c:v>
                </c:pt>
                <c:pt idx="10">
                  <c:v>68488.3552444444</c:v>
                </c:pt>
                <c:pt idx="11">
                  <c:v>68505.9108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-60000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500000</c:v>
                </c:pt>
                <c:pt idx="1">
                  <c:v>-3333.33333333333</c:v>
                </c:pt>
                <c:pt idx="2">
                  <c:v>-3333.33333333333</c:v>
                </c:pt>
                <c:pt idx="3">
                  <c:v>-3333.33333333333</c:v>
                </c:pt>
                <c:pt idx="4">
                  <c:v>-3333.33333333333</c:v>
                </c:pt>
                <c:pt idx="5">
                  <c:v>-3333.33333333333</c:v>
                </c:pt>
                <c:pt idx="6">
                  <c:v>-3333.33333333333</c:v>
                </c:pt>
                <c:pt idx="7">
                  <c:v>-3333.33333333333</c:v>
                </c:pt>
                <c:pt idx="8">
                  <c:v>-3333.33333333333</c:v>
                </c:pt>
                <c:pt idx="9">
                  <c:v>-3333.33333333333</c:v>
                </c:pt>
                <c:pt idx="10">
                  <c:v>-3333.33333333333</c:v>
                </c:pt>
                <c:pt idx="11">
                  <c:v>-3333.33333333333</c:v>
                </c:pt>
              </c:numCache>
            </c:numRef>
          </c:val>
        </c:ser>
        <c:gapWidth val="60"/>
        <c:overlap val="0"/>
        <c:axId val="30736636"/>
        <c:axId val="18052885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57680.3174666667</c:v>
                </c:pt>
                <c:pt idx="1">
                  <c:v>122677.339377778</c:v>
                </c:pt>
                <c:pt idx="2">
                  <c:v>187691.916844444</c:v>
                </c:pt>
                <c:pt idx="3">
                  <c:v>252724.049866667</c:v>
                </c:pt>
                <c:pt idx="4">
                  <c:v>317773.738444444</c:v>
                </c:pt>
                <c:pt idx="5">
                  <c:v>382840.982577778</c:v>
                </c:pt>
                <c:pt idx="6">
                  <c:v>447925.782266667</c:v>
                </c:pt>
                <c:pt idx="7">
                  <c:v>513028.137511111</c:v>
                </c:pt>
                <c:pt idx="8">
                  <c:v>578148.048311111</c:v>
                </c:pt>
                <c:pt idx="9">
                  <c:v>643285.514666667</c:v>
                </c:pt>
                <c:pt idx="10">
                  <c:v>708440.536577778</c:v>
                </c:pt>
                <c:pt idx="11">
                  <c:v>773613.114044444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363960"/>
        <c:axId val="13430119"/>
      </c:lineChart>
      <c:catAx>
        <c:axId val="3073663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052885"/>
        <c:crosses val="autoZero"/>
        <c:auto val="1"/>
        <c:lblAlgn val="ctr"/>
        <c:lblOffset val="100"/>
        <c:noMultiLvlLbl val="0"/>
      </c:catAx>
      <c:valAx>
        <c:axId val="180528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736636"/>
        <c:crosses val="autoZero"/>
        <c:crossBetween val="between"/>
      </c:valAx>
      <c:catAx>
        <c:axId val="84363960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430119"/>
        <c:crosses val="autoZero"/>
        <c:auto val="1"/>
        <c:lblAlgn val="ctr"/>
        <c:lblOffset val="100"/>
        <c:noMultiLvlLbl val="0"/>
      </c:catAx>
      <c:valAx>
        <c:axId val="13430119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3639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57680.3174666667</c:v>
                </c:pt>
                <c:pt idx="1">
                  <c:v>122677.339377778</c:v>
                </c:pt>
                <c:pt idx="2">
                  <c:v>187691.916844444</c:v>
                </c:pt>
                <c:pt idx="3">
                  <c:v>252724.049866667</c:v>
                </c:pt>
                <c:pt idx="4">
                  <c:v>317773.738444444</c:v>
                </c:pt>
                <c:pt idx="5">
                  <c:v>382840.982577778</c:v>
                </c:pt>
                <c:pt idx="6">
                  <c:v>447925.782266667</c:v>
                </c:pt>
                <c:pt idx="7">
                  <c:v>513028.137511111</c:v>
                </c:pt>
                <c:pt idx="8">
                  <c:v>578148.048311111</c:v>
                </c:pt>
                <c:pt idx="9">
                  <c:v>643285.514666667</c:v>
                </c:pt>
                <c:pt idx="10">
                  <c:v>708440.536577778</c:v>
                </c:pt>
                <c:pt idx="11">
                  <c:v>773613.114044444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563274</c:v>
                </c:pt>
                <c:pt idx="1">
                  <c:v>563274</c:v>
                </c:pt>
                <c:pt idx="2">
                  <c:v>563274</c:v>
                </c:pt>
                <c:pt idx="3">
                  <c:v>563274</c:v>
                </c:pt>
                <c:pt idx="4">
                  <c:v>563274</c:v>
                </c:pt>
                <c:pt idx="5">
                  <c:v>563274</c:v>
                </c:pt>
                <c:pt idx="6">
                  <c:v>563274</c:v>
                </c:pt>
                <c:pt idx="7">
                  <c:v>563274</c:v>
                </c:pt>
                <c:pt idx="8">
                  <c:v>563274</c:v>
                </c:pt>
                <c:pt idx="9">
                  <c:v>563274</c:v>
                </c:pt>
                <c:pt idx="10">
                  <c:v>563274</c:v>
                </c:pt>
                <c:pt idx="11">
                  <c:v>563274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59000</c:v>
                </c:pt>
                <c:pt idx="1">
                  <c:v>58000</c:v>
                </c:pt>
                <c:pt idx="2">
                  <c:v>57000</c:v>
                </c:pt>
                <c:pt idx="3">
                  <c:v>56000</c:v>
                </c:pt>
                <c:pt idx="4">
                  <c:v>55000</c:v>
                </c:pt>
                <c:pt idx="5">
                  <c:v>54000</c:v>
                </c:pt>
                <c:pt idx="6">
                  <c:v>53000</c:v>
                </c:pt>
                <c:pt idx="7">
                  <c:v>52000</c:v>
                </c:pt>
                <c:pt idx="8">
                  <c:v>51000</c:v>
                </c:pt>
                <c:pt idx="9">
                  <c:v>50000</c:v>
                </c:pt>
                <c:pt idx="10">
                  <c:v>49000</c:v>
                </c:pt>
                <c:pt idx="11">
                  <c:v>48000</c:v>
                </c:pt>
              </c:numCache>
            </c:numRef>
          </c:val>
        </c:ser>
        <c:gapWidth val="60"/>
        <c:overlap val="100"/>
        <c:axId val="28380784"/>
        <c:axId val="49599302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367321.577466667</c:v>
                </c:pt>
                <c:pt idx="1">
                  <c:v>434651.932711111</c:v>
                </c:pt>
                <c:pt idx="2">
                  <c:v>501999.843511111</c:v>
                </c:pt>
                <c:pt idx="3">
                  <c:v>569365.309866667</c:v>
                </c:pt>
                <c:pt idx="4">
                  <c:v>636748.331777778</c:v>
                </c:pt>
                <c:pt idx="5">
                  <c:v>704148.909244445</c:v>
                </c:pt>
                <c:pt idx="6">
                  <c:v>771567.042266667</c:v>
                </c:pt>
                <c:pt idx="7">
                  <c:v>839002.730844444</c:v>
                </c:pt>
                <c:pt idx="8">
                  <c:v>906455.974977778</c:v>
                </c:pt>
                <c:pt idx="9">
                  <c:v>973926.774666667</c:v>
                </c:pt>
                <c:pt idx="10">
                  <c:v>1041415.12991111</c:v>
                </c:pt>
                <c:pt idx="11">
                  <c:v>1108921.04071111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380784"/>
        <c:axId val="49599302"/>
      </c:lineChart>
      <c:catAx>
        <c:axId val="2838078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599302"/>
        <c:crosses val="autoZero"/>
        <c:auto val="1"/>
        <c:lblAlgn val="ctr"/>
        <c:lblOffset val="100"/>
        <c:noMultiLvlLbl val="0"/>
      </c:catAx>
      <c:valAx>
        <c:axId val="4959930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3807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Scenarios!$A$29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Scenarios!$B$28:$F$28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Scenarios!$B$29:$F$29</c:f>
              <c:numCache>
                <c:formatCode>\$#,##0,;"($"#,##0,\);\-</c:formatCode>
                <c:ptCount val="5"/>
                <c:pt idx="0">
                  <c:v>3332736</c:v>
                </c:pt>
                <c:pt idx="1">
                  <c:v>4231789.056</c:v>
                </c:pt>
                <c:pt idx="2">
                  <c:v>5391180.343296</c:v>
                </c:pt>
                <c:pt idx="3">
                  <c:v>6889569.34796698</c:v>
                </c:pt>
                <c:pt idx="4">
                  <c:v>8830004.69535894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Scenarios!$B$28:$F$28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4506192</c:v>
                </c:pt>
                <c:pt idx="1">
                  <c:v>5835961.872</c:v>
                </c:pt>
                <c:pt idx="2">
                  <c:v>7569836.035632</c:v>
                </c:pt>
                <c:pt idx="3">
                  <c:v>9833787.54974491</c:v>
                </c:pt>
                <c:pt idx="4">
                  <c:v>12793894.0222781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Scenarios!$B$28:$F$28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5791212</c:v>
                </c:pt>
                <c:pt idx="1">
                  <c:v>7661148.768</c:v>
                </c:pt>
                <c:pt idx="2">
                  <c:v>10147497.954048</c:v>
                </c:pt>
                <c:pt idx="3">
                  <c:v>13456869.0088735</c:v>
                </c:pt>
                <c:pt idx="4">
                  <c:v>17866026.7151977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919258"/>
        <c:axId val="2150731"/>
      </c:lineChart>
      <c:catAx>
        <c:axId val="3391925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50731"/>
        <c:crosses val="autoZero"/>
        <c:auto val="1"/>
        <c:lblAlgn val="ctr"/>
        <c:lblOffset val="100"/>
        <c:noMultiLvlLbl val="0"/>
      </c:catAx>
      <c:valAx>
        <c:axId val="215073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39192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Scenarios!$B$34:$F$34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Scenarios!$B$35:$F$35</c:f>
              <c:numCache>
                <c:formatCode>\$#,##0,;"($"#,##0,\);\-</c:formatCode>
                <c:ptCount val="5"/>
                <c:pt idx="0">
                  <c:v>-30973.4399999999</c:v>
                </c:pt>
                <c:pt idx="1">
                  <c:v>37714.4937600014</c:v>
                </c:pt>
                <c:pt idx="2">
                  <c:v>127633.633064161</c:v>
                </c:pt>
                <c:pt idx="3">
                  <c:v>245034.70255705</c:v>
                </c:pt>
                <c:pt idx="4">
                  <c:v>397861.739545861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Scenarios!$B$34:$F$34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1050606.24</c:v>
                </c:pt>
                <c:pt idx="1">
                  <c:v>1489614.01584</c:v>
                </c:pt>
                <c:pt idx="2">
                  <c:v>2073898.42406304</c:v>
                </c:pt>
                <c:pt idx="3">
                  <c:v>2851517.23302332</c:v>
                </c:pt>
                <c:pt idx="4">
                  <c:v>3886476.29151786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Scenarios!$B$34:$F$34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2248031.7</c:v>
                </c:pt>
                <c:pt idx="1">
                  <c:v>3149413.0488</c:v>
                </c:pt>
                <c:pt idx="2">
                  <c:v>4370542.9366968</c:v>
                </c:pt>
                <c:pt idx="3">
                  <c:v>6024539.10632439</c:v>
                </c:pt>
                <c:pt idx="4">
                  <c:v>8264572.01353867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027694"/>
        <c:axId val="95415603"/>
      </c:lineChart>
      <c:catAx>
        <c:axId val="3702769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415603"/>
        <c:crosses val="autoZero"/>
        <c:auto val="1"/>
        <c:lblAlgn val="ctr"/>
        <c:lblOffset val="100"/>
        <c:noMultiLvlLbl val="0"/>
      </c:catAx>
      <c:valAx>
        <c:axId val="9541560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0276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Scenarios!$B$40:$F$40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Scenarios!$B$41:$F$41</c:f>
              <c:numCache>
                <c:formatCode>\$#,##0,;"($"#,##0,\);\-</c:formatCode>
                <c:ptCount val="5"/>
                <c:pt idx="0">
                  <c:v>-57628.9955555555</c:v>
                </c:pt>
                <c:pt idx="1">
                  <c:v>14247.8270933347</c:v>
                </c:pt>
                <c:pt idx="2">
                  <c:v>93929.948831087</c:v>
                </c:pt>
                <c:pt idx="3">
                  <c:v>180094.748353403</c:v>
                </c:pt>
                <c:pt idx="4">
                  <c:v>303356.107574564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Scenarios!$B$40:$F$40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808921.040711111</c:v>
                </c:pt>
                <c:pt idx="1">
                  <c:v>1158256.40584694</c:v>
                </c:pt>
                <c:pt idx="2">
                  <c:v>1622369.08834314</c:v>
                </c:pt>
                <c:pt idx="3">
                  <c:v>2239215.94742175</c:v>
                </c:pt>
                <c:pt idx="4">
                  <c:v>3059361.60363244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Scenarios!$B$40:$F$40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1754887.15411111</c:v>
                </c:pt>
                <c:pt idx="1">
                  <c:v>2469497.64188533</c:v>
                </c:pt>
                <c:pt idx="2">
                  <c:v>3436718.25332381</c:v>
                </c:pt>
                <c:pt idx="3">
                  <c:v>4745903.2273296</c:v>
                </c:pt>
                <c:pt idx="4">
                  <c:v>6518057.22402888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769534"/>
        <c:axId val="42776390"/>
      </c:lineChart>
      <c:catAx>
        <c:axId val="6176953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776390"/>
        <c:crosses val="autoZero"/>
        <c:auto val="1"/>
        <c:lblAlgn val="ctr"/>
        <c:lblOffset val="100"/>
        <c:noMultiLvlLbl val="0"/>
      </c:catAx>
      <c:valAx>
        <c:axId val="4277639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7695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Scenarios!$B$46:$F$46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Scenarios!$B$47:$F$47</c:f>
              <c:numCache>
                <c:formatCode>\$#,##0,;"($"#,##0,\);\-</c:formatCode>
                <c:ptCount val="5"/>
                <c:pt idx="0">
                  <c:v>49916.8977777779</c:v>
                </c:pt>
                <c:pt idx="1">
                  <c:v>-45948.2353688875</c:v>
                </c:pt>
                <c:pt idx="2">
                  <c:v>-85654.7913876405</c:v>
                </c:pt>
                <c:pt idx="3">
                  <c:v>-69746.669358075</c:v>
                </c:pt>
                <c:pt idx="4">
                  <c:v>29694.6336338868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Scenarios!$A$48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Scenarios!$B$46:$F$46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773613.114044444</c:v>
                </c:pt>
                <c:pt idx="1">
                  <c:v>1770433.49823138</c:v>
                </c:pt>
                <c:pt idx="2">
                  <c:v>3190693.95582506</c:v>
                </c:pt>
                <c:pt idx="3">
                  <c:v>5174417.32865833</c:v>
                </c:pt>
                <c:pt idx="4">
                  <c:v>7908136.03305034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Scenarios!$B$46:$F$46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1562601.49994444</c:v>
                </c:pt>
                <c:pt idx="1">
                  <c:v>3806383.64662978</c:v>
                </c:pt>
                <c:pt idx="2">
                  <c:v>6951751.78901639</c:v>
                </c:pt>
                <c:pt idx="3">
                  <c:v>11318528.423337</c:v>
                </c:pt>
                <c:pt idx="4">
                  <c:v>17339977.0682795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282259"/>
        <c:axId val="94086942"/>
      </c:lineChart>
      <c:catAx>
        <c:axId val="2828225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086942"/>
        <c:crosses val="autoZero"/>
        <c:auto val="1"/>
        <c:lblAlgn val="ctr"/>
        <c:lblOffset val="100"/>
        <c:noMultiLvlLbl val="0"/>
      </c:catAx>
      <c:valAx>
        <c:axId val="9408694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2822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300000</c:v>
                </c:pt>
                <c:pt idx="1">
                  <c:v>200000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60000</c:v>
                </c:pt>
                <c:pt idx="2">
                  <c:v>36666.6666666667</c:v>
                </c:pt>
                <c:pt idx="3">
                  <c:v>773613.114044444</c:v>
                </c:pt>
              </c:numCache>
            </c:numRef>
          </c:val>
        </c:ser>
        <c:gapWidth val="60"/>
        <c:overlap val="0"/>
        <c:axId val="10729716"/>
        <c:axId val="4518166"/>
      </c:barChart>
      <c:catAx>
        <c:axId val="107297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18166"/>
        <c:crosses val="autoZero"/>
        <c:auto val="1"/>
        <c:lblAlgn val="ctr"/>
        <c:lblOffset val="100"/>
        <c:noMultiLvlLbl val="0"/>
      </c:catAx>
      <c:valAx>
        <c:axId val="45181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72971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0.400117491664803</c:v>
                </c:pt>
                <c:pt idx="1">
                  <c:v>0.401978468552956</c:v>
                </c:pt>
                <c:pt idx="2">
                  <c:v>0.403811893966318</c:v>
                </c:pt>
                <c:pt idx="3">
                  <c:v>0.405612646021017</c:v>
                </c:pt>
                <c:pt idx="4">
                  <c:v>0.407375988584029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0.23314724272734</c:v>
                </c:pt>
                <c:pt idx="1">
                  <c:v>0.255247386551123</c:v>
                </c:pt>
                <c:pt idx="2">
                  <c:v>0.273968737803697</c:v>
                </c:pt>
                <c:pt idx="3">
                  <c:v>0.289971409144108</c:v>
                </c:pt>
                <c:pt idx="4">
                  <c:v>0.303775870329262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0.179513221076934</c:v>
                </c:pt>
                <c:pt idx="1">
                  <c:v>0.198468809641143</c:v>
                </c:pt>
                <c:pt idx="2">
                  <c:v>0.214320241641494</c:v>
                </c:pt>
                <c:pt idx="3">
                  <c:v>0.227706357910878</c:v>
                </c:pt>
                <c:pt idx="4">
                  <c:v>0.239126695774185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728504"/>
        <c:axId val="74227285"/>
      </c:lineChart>
      <c:catAx>
        <c:axId val="2072850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227285"/>
        <c:crosses val="autoZero"/>
        <c:auto val="1"/>
        <c:lblAlgn val="ctr"/>
        <c:lblOffset val="100"/>
        <c:noMultiLvlLbl val="0"/>
      </c:catAx>
      <c:valAx>
        <c:axId val="742272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7285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0.584106121363731</c:v>
                </c:pt>
                <c:pt idx="1">
                  <c:v>0.45673854754892</c:v>
                </c:pt>
                <c:pt idx="2">
                  <c:v>0.389906015775241</c:v>
                </c:pt>
                <c:pt idx="3">
                  <c:v>0.349024520989867</c:v>
                </c:pt>
                <c:pt idx="4">
                  <c:v>0.32178832917865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0.729466761846614</c:v>
                </c:pt>
                <c:pt idx="1">
                  <c:v>0.510880349310709</c:v>
                </c:pt>
                <c:pt idx="2">
                  <c:v>0.41711008565793</c:v>
                </c:pt>
                <c:pt idx="3">
                  <c:v>0.36536184162468</c:v>
                </c:pt>
                <c:pt idx="4">
                  <c:v>0.332969121336625</c:v>
                </c:pt>
              </c:numCache>
            </c:numRef>
          </c:val>
        </c:ser>
        <c:gapWidth val="60"/>
        <c:overlap val="0"/>
        <c:axId val="98969629"/>
        <c:axId val="72624819"/>
      </c:barChart>
      <c:catAx>
        <c:axId val="9896962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624819"/>
        <c:crosses val="autoZero"/>
        <c:auto val="1"/>
        <c:lblAlgn val="ctr"/>
        <c:lblOffset val="100"/>
        <c:noMultiLvlLbl val="0"/>
      </c:catAx>
      <c:valAx>
        <c:axId val="7262481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9696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Effective rate and realisation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KPIs!$A$41</c:f>
              <c:strCache>
                <c:ptCount val="1"/>
                <c:pt idx="0">
                  <c:v>Effective rate per billable hour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KPIs!$B$41:$F$41</c:f>
              <c:numCache>
                <c:formatCode>\$#,##0.00;"($"#,##0.00\);\-</c:formatCode>
                <c:ptCount val="5"/>
                <c:pt idx="0">
                  <c:v>180.536538461538</c:v>
                </c:pt>
                <c:pt idx="1">
                  <c:v>184.846125427594</c:v>
                </c:pt>
                <c:pt idx="2">
                  <c:v>189.281864445045</c:v>
                </c:pt>
                <c:pt idx="3">
                  <c:v>193.850649174095</c:v>
                </c:pt>
                <c:pt idx="4">
                  <c:v>198.55949006257</c:v>
                </c:pt>
              </c:numCache>
            </c:numRef>
          </c:val>
        </c:ser>
        <c:gapWidth val="60"/>
        <c:overlap val="0"/>
        <c:axId val="1837157"/>
        <c:axId val="71098784"/>
      </c:barChart>
      <c:lineChart>
        <c:grouping val="standard"/>
        <c:varyColors val="0"/>
        <c:ser>
          <c:idx val="1"/>
          <c:order val="1"/>
          <c:tx>
            <c:strRef>
              <c:f>KPIs!$A$40</c:f>
              <c:strCache>
                <c:ptCount val="1"/>
                <c:pt idx="0">
                  <c:v>Realisation vs rate card (all work)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KPIs!$B$40:$F$40</c:f>
              <c:numCache>
                <c:formatCode>0.0%;\(0.0%\);\-</c:formatCode>
                <c:ptCount val="5"/>
                <c:pt idx="0">
                  <c:v>0.912</c:v>
                </c:pt>
                <c:pt idx="1">
                  <c:v>0.912</c:v>
                </c:pt>
                <c:pt idx="2">
                  <c:v>0.912</c:v>
                </c:pt>
                <c:pt idx="3">
                  <c:v>0.912</c:v>
                </c:pt>
                <c:pt idx="4">
                  <c:v>0.912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616590"/>
        <c:axId val="41947069"/>
      </c:lineChart>
      <c:catAx>
        <c:axId val="18371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098784"/>
        <c:crosses val="autoZero"/>
        <c:auto val="1"/>
        <c:lblAlgn val="ctr"/>
        <c:lblOffset val="100"/>
        <c:noMultiLvlLbl val="0"/>
      </c:catAx>
      <c:valAx>
        <c:axId val="7109878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37157"/>
        <c:crosses val="autoZero"/>
        <c:crossBetween val="between"/>
      </c:valAx>
      <c:catAx>
        <c:axId val="6161659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947069"/>
        <c:crosses val="autoZero"/>
        <c:auto val="1"/>
        <c:lblAlgn val="ctr"/>
        <c:lblOffset val="100"/>
        <c:noMultiLvlLbl val="0"/>
      </c:catAx>
      <c:valAx>
        <c:axId val="4194706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61659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per billable FTE and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KPIs!$A$42</c:f>
              <c:strCache>
                <c:ptCount val="1"/>
                <c:pt idx="0">
                  <c:v>Revenue per billable FTE (year-end FTE)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KPIs!$B$42:$F$42</c:f>
              <c:numCache>
                <c:formatCode>\$#,##0,;"($"#,##0,\);\-</c:formatCode>
                <c:ptCount val="5"/>
                <c:pt idx="0">
                  <c:v>281637</c:v>
                </c:pt>
                <c:pt idx="1">
                  <c:v>286076.562352941</c:v>
                </c:pt>
                <c:pt idx="2">
                  <c:v>290700.308588018</c:v>
                </c:pt>
                <c:pt idx="3">
                  <c:v>295521.924201975</c:v>
                </c:pt>
                <c:pt idx="4">
                  <c:v>300554.741687999</c:v>
                </c:pt>
              </c:numCache>
            </c:numRef>
          </c:val>
        </c:ser>
        <c:gapWidth val="60"/>
        <c:overlap val="0"/>
        <c:axId val="89737663"/>
        <c:axId val="14987948"/>
      </c:barChart>
      <c:lineChart>
        <c:grouping val="standard"/>
        <c:varyColors val="0"/>
        <c:ser>
          <c:idx val="1"/>
          <c:order val="1"/>
          <c:tx>
            <c:strRef>
              <c:f>KPIs!$A$34</c:f>
              <c:strCache>
                <c:ptCount val="1"/>
                <c:pt idx="0">
                  <c:v>Utilisation of billable employees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KPIs!$B$34:$F$34</c:f>
              <c:numCache>
                <c:formatCode>0.0%;\(0.0%\);\-</c:formatCode>
                <c:ptCount val="5"/>
                <c:pt idx="0">
                  <c:v>0.7</c:v>
                </c:pt>
                <c:pt idx="1">
                  <c:v>0.702941176470588</c:v>
                </c:pt>
                <c:pt idx="2">
                  <c:v>0.705760368663594</c:v>
                </c:pt>
                <c:pt idx="3">
                  <c:v>0.708456545257844</c:v>
                </c:pt>
                <c:pt idx="4">
                  <c:v>0.711029515406084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281239"/>
        <c:axId val="63432751"/>
      </c:lineChart>
      <c:catAx>
        <c:axId val="8973766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987948"/>
        <c:crosses val="autoZero"/>
        <c:auto val="1"/>
        <c:lblAlgn val="ctr"/>
        <c:lblOffset val="100"/>
        <c:noMultiLvlLbl val="0"/>
      </c:catAx>
      <c:valAx>
        <c:axId val="1498794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737663"/>
        <c:crosses val="autoZero"/>
        <c:crossBetween val="between"/>
      </c:valAx>
      <c:catAx>
        <c:axId val="2728123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432751"/>
        <c:crosses val="autoZero"/>
        <c:auto val="1"/>
        <c:lblAlgn val="ctr"/>
        <c:lblOffset val="100"/>
        <c:noMultiLvlLbl val="0"/>
      </c:catAx>
      <c:valAx>
        <c:axId val="6343275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28123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12793894.0222781</v>
      </c>
      <c r="B7" s="25"/>
      <c r="C7" s="26" t="n">
        <f aca="false">F17</f>
        <v>0.303775870329262</v>
      </c>
      <c r="D7" s="26"/>
      <c r="E7" s="26"/>
      <c r="F7" s="26"/>
      <c r="H7" s="25" t="n">
        <f aca="false">F18</f>
        <v>3059361.60363244</v>
      </c>
      <c r="I7" s="25"/>
      <c r="J7" s="25"/>
      <c r="K7" s="25"/>
      <c r="L7" s="25" t="n">
        <f aca="false">F39</f>
        <v>57680.3174666667</v>
      </c>
      <c r="M7" s="25"/>
      <c r="N7" s="25"/>
      <c r="O7" s="25"/>
      <c r="P7" s="25" t="n">
        <f aca="false">F37</f>
        <v>630319.682533333</v>
      </c>
      <c r="Q7" s="25"/>
      <c r="R7" s="25"/>
      <c r="S7" s="25"/>
      <c r="T7" s="25" t="n">
        <f aca="false">F44</f>
        <v>14337566.9347983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0.298070452003454</v>
      </c>
      <c r="B8" s="27"/>
      <c r="C8" s="28" t="n">
        <f aca="false">F16</f>
        <v>3886476.29151786</v>
      </c>
      <c r="D8" s="28"/>
      <c r="E8" s="28"/>
      <c r="F8" s="28"/>
      <c r="H8" s="29" t="n">
        <f aca="false">F19</f>
        <v>0.239126695774185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n">
        <f aca="false">IF(F38&gt;=0,"Covered by funding raised",-F38)</f>
        <v>130319.682533333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SUMIF(Monthly!$C$5:$BJ$5,B$11,Monthly!$C$22:$BJ$22)</f>
        <v>4506192</v>
      </c>
      <c r="C12" s="35" t="n">
        <f aca="false">SUMIF(Monthly!$C$5:$BJ$5,C$11,Monthly!$C$22:$BJ$22)</f>
        <v>5835961.872</v>
      </c>
      <c r="D12" s="35" t="n">
        <f aca="false">SUMIF(Monthly!$C$5:$BJ$5,D$11,Monthly!$C$22:$BJ$22)</f>
        <v>7569836.035632</v>
      </c>
      <c r="E12" s="35" t="n">
        <f aca="false">SUMIF(Monthly!$C$5:$BJ$5,E$11,Monthly!$C$22:$BJ$22)</f>
        <v>9833787.54974491</v>
      </c>
      <c r="F12" s="35" t="n">
        <f aca="false">SUMIF(Monthly!$C$5:$BJ$5,F$11,Monthly!$C$22:$BJ$22)</f>
        <v>12793894.0222781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SUMIF(Monthly!$C$5:$BJ$5,B$11,Monthly!$C$29:$BJ$29)</f>
        <v>1803006.24</v>
      </c>
      <c r="C13" s="37" t="n">
        <f aca="false">SUMIF(Monthly!$C$5:$BJ$5,C$11,Monthly!$C$29:$BJ$29)</f>
        <v>2345931.01584</v>
      </c>
      <c r="D13" s="37" t="n">
        <f aca="false">SUMIF(Monthly!$C$5:$BJ$5,D$11,Monthly!$C$29:$BJ$29)</f>
        <v>3056789.82656304</v>
      </c>
      <c r="E13" s="37" t="n">
        <f aca="false">SUMIF(Monthly!$C$5:$BJ$5,E$11,Monthly!$C$29:$BJ$29)</f>
        <v>3988708.58846056</v>
      </c>
      <c r="F13" s="37" t="n">
        <f aca="false">SUMIF(Monthly!$C$5:$BJ$5,F$11,Monthly!$C$29:$BJ$29)</f>
        <v>5211925.22516482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0.400117491664803</v>
      </c>
      <c r="C14" s="39" t="n">
        <f aca="false">IF(C12=0,0,C13/C12)</f>
        <v>0.401978468552956</v>
      </c>
      <c r="D14" s="39" t="n">
        <f aca="false">IF(D12=0,0,D13/D12)</f>
        <v>0.403811893966318</v>
      </c>
      <c r="E14" s="39" t="n">
        <f aca="false">IF(E12=0,0,E13/E12)</f>
        <v>0.405612646021017</v>
      </c>
      <c r="F14" s="39" t="n">
        <f aca="false">IF(F12=0,0,F13/F12)</f>
        <v>0.407375988584029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SUMIF(Monthly!$C$5:$BJ$5,B$11,Monthly!$C$37:$BJ$37)</f>
        <v>-752400</v>
      </c>
      <c r="C15" s="35" t="n">
        <f aca="false">SUMIF(Monthly!$C$5:$BJ$5,C$11,Monthly!$C$37:$BJ$37)</f>
        <v>-856317</v>
      </c>
      <c r="D15" s="35" t="n">
        <f aca="false">SUMIF(Monthly!$C$5:$BJ$5,D$11,Monthly!$C$37:$BJ$37)</f>
        <v>-982891.4025</v>
      </c>
      <c r="E15" s="35" t="n">
        <f aca="false">SUMIF(Monthly!$C$5:$BJ$5,E$11,Monthly!$C$37:$BJ$37)</f>
        <v>-1137191.35543725</v>
      </c>
      <c r="F15" s="35" t="n">
        <f aca="false">SUMIF(Monthly!$C$5:$BJ$5,F$11,Monthly!$C$37:$BJ$37)</f>
        <v>-1325448.93364696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SUMIF(Monthly!$C$5:$BJ$5,B$11,Monthly!$C$38:$BJ$38)</f>
        <v>1050606.24</v>
      </c>
      <c r="C16" s="37" t="n">
        <f aca="false">SUMIF(Monthly!$C$5:$BJ$5,C$11,Monthly!$C$38:$BJ$38)</f>
        <v>1489614.01584</v>
      </c>
      <c r="D16" s="37" t="n">
        <f aca="false">SUMIF(Monthly!$C$5:$BJ$5,D$11,Monthly!$C$38:$BJ$38)</f>
        <v>2073898.42406304</v>
      </c>
      <c r="E16" s="37" t="n">
        <f aca="false">SUMIF(Monthly!$C$5:$BJ$5,E$11,Monthly!$C$38:$BJ$38)</f>
        <v>2851517.23302332</v>
      </c>
      <c r="F16" s="37" t="n">
        <f aca="false">SUMIF(Monthly!$C$5:$BJ$5,F$11,Monthly!$C$38:$BJ$38)</f>
        <v>3886476.29151786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0.23314724272734</v>
      </c>
      <c r="C17" s="39" t="n">
        <f aca="false">IF(C12=0,0,C16/C12)</f>
        <v>0.255247386551123</v>
      </c>
      <c r="D17" s="39" t="n">
        <f aca="false">IF(D12=0,0,D16/D12)</f>
        <v>0.273968737803697</v>
      </c>
      <c r="E17" s="39" t="n">
        <f aca="false">IF(E12=0,0,E16/E12)</f>
        <v>0.289971409144108</v>
      </c>
      <c r="F17" s="39" t="n">
        <f aca="false">IF(F12=0,0,F16/F12)</f>
        <v>0.303775870329262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SUMIF(Monthly!$C$5:$BJ$5,B$11,Monthly!$C$47:$BJ$47)</f>
        <v>808921.040711111</v>
      </c>
      <c r="C18" s="41" t="n">
        <f aca="false">SUMIF(Monthly!$C$5:$BJ$5,C$11,Monthly!$C$47:$BJ$47)</f>
        <v>1158256.40584694</v>
      </c>
      <c r="D18" s="41" t="n">
        <f aca="false">SUMIF(Monthly!$C$5:$BJ$5,D$11,Monthly!$C$47:$BJ$47)</f>
        <v>1622369.08834314</v>
      </c>
      <c r="E18" s="41" t="n">
        <f aca="false">SUMIF(Monthly!$C$5:$BJ$5,E$11,Monthly!$C$47:$BJ$47)</f>
        <v>2239215.94742175</v>
      </c>
      <c r="F18" s="41" t="n">
        <f aca="false">SUMIF(Monthly!$C$5:$BJ$5,F$11,Monthly!$C$47:$BJ$47)</f>
        <v>3059361.60363244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0.179513221076934</v>
      </c>
      <c r="C19" s="39" t="n">
        <f aca="false">IF(C12=0,0,C18/C12)</f>
        <v>0.198468809641143</v>
      </c>
      <c r="D19" s="39" t="n">
        <f aca="false">IF(D12=0,0,D18/D12)</f>
        <v>0.214320241641494</v>
      </c>
      <c r="E19" s="39" t="n">
        <f aca="false">IF(E12=0,0,E18/E12)</f>
        <v>0.227706357910878</v>
      </c>
      <c r="F19" s="39" t="n">
        <f aca="false">IF(F12=0,0,F18/F12)</f>
        <v>0.239126695774185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SUMIF(Monthly!$C$5:$BJ$5,B$11,Monthly!$C$71:$BJ$71)</f>
        <v>370279.780711111</v>
      </c>
      <c r="C20" s="35" t="n">
        <f aca="false">SUMIF(Monthly!$C$5:$BJ$5,C$11,Monthly!$C$71:$BJ$71)</f>
        <v>1036820.38418694</v>
      </c>
      <c r="D20" s="35" t="n">
        <f aca="false">SUMIF(Monthly!$C$5:$BJ$5,D$11,Monthly!$C$71:$BJ$71)</f>
        <v>1460260.45759368</v>
      </c>
      <c r="E20" s="35" t="n">
        <f aca="false">SUMIF(Monthly!$C$5:$BJ$5,E$11,Monthly!$C$71:$BJ$71)</f>
        <v>2023723.37283328</v>
      </c>
      <c r="F20" s="35" t="n">
        <f aca="false">SUMIF(Monthly!$C$5:$BJ$5,F$11,Monthly!$C$71:$BJ$71)</f>
        <v>2773718.704392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SUMIF(Monthly!$C$5:$BJ$5,B$11,Monthly!$C$72:$BJ$72)</f>
        <v>-60000</v>
      </c>
      <c r="C21" s="35" t="n">
        <f aca="false">SUMIF(Monthly!$C$5:$BJ$5,C$11,Monthly!$C$72:$BJ$72)</f>
        <v>0</v>
      </c>
      <c r="D21" s="35" t="n">
        <f aca="false">SUMIF(Monthly!$C$5:$BJ$5,D$11,Monthly!$C$72:$BJ$72)</f>
        <v>0</v>
      </c>
      <c r="E21" s="35" t="n">
        <f aca="false">SUMIF(Monthly!$C$5:$BJ$5,E$11,Monthly!$C$72:$BJ$72)</f>
        <v>0</v>
      </c>
      <c r="F21" s="35" t="n">
        <f aca="false">SUMIF(Monthly!$C$5:$BJ$5,F$11,Monthly!$C$72:$BJ$72)</f>
        <v>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SUMIF(Monthly!$C$5:$BJ$5,B$11,Monthly!$C$74:$BJ$74)</f>
        <v>463333.333333333</v>
      </c>
      <c r="C22" s="35" t="n">
        <f aca="false">SUMIF(Monthly!$C$5:$BJ$5,C$11,Monthly!$C$74:$BJ$74)</f>
        <v>-40000</v>
      </c>
      <c r="D22" s="35" t="n">
        <f aca="false">SUMIF(Monthly!$C$5:$BJ$5,D$11,Monthly!$C$74:$BJ$74)</f>
        <v>-40000</v>
      </c>
      <c r="E22" s="35" t="n">
        <f aca="false">SUMIF(Monthly!$C$5:$BJ$5,E$11,Monthly!$C$74:$BJ$74)</f>
        <v>-40000</v>
      </c>
      <c r="F22" s="35" t="n">
        <f aca="false">SUMIF(Monthly!$C$5:$BJ$5,F$11,Monthly!$C$74:$BJ$74)</f>
        <v>-40000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SUMIF(Monthly!$C$5:$BJ$5,B$11,Monthly!$C$75:$BJ$75)</f>
        <v>773613.114044444</v>
      </c>
      <c r="C23" s="37" t="n">
        <f aca="false">SUMIF(Monthly!$C$5:$BJ$5,C$11,Monthly!$C$75:$BJ$75)</f>
        <v>996820.384186935</v>
      </c>
      <c r="D23" s="37" t="n">
        <f aca="false">SUMIF(Monthly!$C$5:$BJ$5,D$11,Monthly!$C$75:$BJ$75)</f>
        <v>1420260.45759368</v>
      </c>
      <c r="E23" s="37" t="n">
        <f aca="false">SUMIF(Monthly!$C$5:$BJ$5,E$11,Monthly!$C$75:$BJ$75)</f>
        <v>1983723.37283328</v>
      </c>
      <c r="F23" s="37" t="n">
        <f aca="false">SUMIF(Monthly!$C$5:$BJ$5,F$11,Monthly!$C$75:$BJ$75)</f>
        <v>2733718.704392</v>
      </c>
    </row>
    <row r="24" customFormat="false" ht="15" hidden="false" customHeight="false" outlineLevel="0" collapsed="false">
      <c r="A24" s="40" t="s">
        <v>56</v>
      </c>
      <c r="B24" s="41" t="n">
        <f aca="false">INDEX(Monthly!$C$77:$BJ$77,B$11*12)</f>
        <v>773613.114044444</v>
      </c>
      <c r="C24" s="41" t="n">
        <f aca="false">INDEX(Monthly!$C$77:$BJ$77,C$11*12)</f>
        <v>1770433.49823138</v>
      </c>
      <c r="D24" s="41" t="n">
        <f aca="false">INDEX(Monthly!$C$77:$BJ$77,D$11*12)</f>
        <v>3190693.95582506</v>
      </c>
      <c r="E24" s="41" t="n">
        <f aca="false">INDEX(Monthly!$C$77:$BJ$77,E$11*12)</f>
        <v>5174417.32865833</v>
      </c>
      <c r="F24" s="41" t="n">
        <f aca="false">INDEX(Monthly!$C$77:$BJ$77,F$11*12)</f>
        <v>7908136.03305034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KPIs!B30</f>
        <v>24960</v>
      </c>
      <c r="C28" s="42" t="n">
        <f aca="false">KPIs!C30</f>
        <v>31572</v>
      </c>
      <c r="D28" s="42" t="n">
        <f aca="false">KPIs!D30</f>
        <v>39992.4</v>
      </c>
      <c r="E28" s="42" t="n">
        <f aca="false">KPIs!E30</f>
        <v>50728.68</v>
      </c>
      <c r="F28" s="42" t="n">
        <f aca="false">KPIs!F30</f>
        <v>64433.556</v>
      </c>
    </row>
    <row r="29" customFormat="false" ht="15" hidden="false" customHeight="false" outlineLevel="0" collapsed="false">
      <c r="A29" s="6" t="s">
        <v>59</v>
      </c>
      <c r="B29" s="43" t="n">
        <f aca="false">KPIs!B34</f>
        <v>0.7</v>
      </c>
      <c r="C29" s="43" t="n">
        <f aca="false">KPIs!C34</f>
        <v>0.702941176470588</v>
      </c>
      <c r="D29" s="43" t="n">
        <f aca="false">KPIs!D34</f>
        <v>0.705760368663594</v>
      </c>
      <c r="E29" s="43" t="n">
        <f aca="false">KPIs!E34</f>
        <v>0.708456545257844</v>
      </c>
      <c r="F29" s="43" t="n">
        <f aca="false">KPIs!F34</f>
        <v>0.711029515406084</v>
      </c>
    </row>
    <row r="30" customFormat="false" ht="15" hidden="false" customHeight="false" outlineLevel="0" collapsed="false">
      <c r="A30" s="6" t="s">
        <v>60</v>
      </c>
      <c r="B30" s="44" t="n">
        <f aca="false">KPIs!B41</f>
        <v>180.536538461538</v>
      </c>
      <c r="C30" s="44" t="n">
        <f aca="false">KPIs!C41</f>
        <v>184.846125427594</v>
      </c>
      <c r="D30" s="44" t="n">
        <f aca="false">KPIs!D41</f>
        <v>189.281864445045</v>
      </c>
      <c r="E30" s="44" t="n">
        <f aca="false">KPIs!E41</f>
        <v>193.850649174095</v>
      </c>
      <c r="F30" s="44" t="n">
        <f aca="false">KPIs!F41</f>
        <v>198.55949006257</v>
      </c>
    </row>
    <row r="31" customFormat="false" ht="15" hidden="false" customHeight="false" outlineLevel="0" collapsed="false">
      <c r="A31" s="6" t="s">
        <v>61</v>
      </c>
      <c r="B31" s="35" t="n">
        <f aca="false">KPIs!B42</f>
        <v>281637</v>
      </c>
      <c r="C31" s="35" t="n">
        <f aca="false">KPIs!C42</f>
        <v>286076.562352941</v>
      </c>
      <c r="D31" s="35" t="n">
        <f aca="false">KPIs!D42</f>
        <v>290700.308588018</v>
      </c>
      <c r="E31" s="35" t="n">
        <f aca="false">KPIs!E42</f>
        <v>295521.924201975</v>
      </c>
      <c r="F31" s="35" t="n">
        <f aca="false">KPIs!F42</f>
        <v>300554.741687999</v>
      </c>
    </row>
    <row r="32" customFormat="false" ht="15" hidden="false" customHeight="false" outlineLevel="0" collapsed="false">
      <c r="A32" s="6" t="s">
        <v>62</v>
      </c>
      <c r="B32" s="45" t="n">
        <f aca="false">INDEX(Headcount!$C$12:$BJ$12,B$27*12)</f>
        <v>21</v>
      </c>
      <c r="C32" s="45" t="n">
        <f aca="false">INDEX(Headcount!$C$12:$BJ$12,C$27*12)</f>
        <v>26.25</v>
      </c>
      <c r="D32" s="45" t="n">
        <f aca="false">INDEX(Headcount!$C$12:$BJ$12,D$27*12)</f>
        <v>32.8875</v>
      </c>
      <c r="E32" s="45" t="n">
        <f aca="false">INDEX(Headcount!$C$12:$BJ$12,E$27*12)</f>
        <v>41.294625</v>
      </c>
      <c r="F32" s="45" t="n">
        <f aca="false">INDEX(Headcount!$C$12:$BJ$12,F$27*12)</f>
        <v>51.96181875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Inputs!$E$54</f>
        <v>300000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Inputs!$E$55</f>
        <v>200000</v>
      </c>
    </row>
    <row r="37" customFormat="false" ht="15" hidden="false" customHeight="false" outlineLevel="0" collapsed="false">
      <c r="A37" s="6" t="s">
        <v>66</v>
      </c>
      <c r="B37" s="46"/>
      <c r="C37" s="46"/>
      <c r="D37" s="46"/>
      <c r="E37" s="46"/>
      <c r="F37" s="47" t="n">
        <f aca="false">'Break-even'!B12</f>
        <v>630319.682533333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-130319.682533333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1)</v>
      </c>
      <c r="B39" s="46"/>
      <c r="C39" s="46"/>
      <c r="D39" s="46"/>
      <c r="E39" s="46"/>
      <c r="F39" s="47" t="n">
        <f aca="false">'Break-even'!B18</f>
        <v>57680.3174666667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'Break-even'!B21</f>
        <v>1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8" t="n">
        <f aca="false">'Break-even'!B23</f>
        <v>8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Valuation!B27</f>
        <v>14062289.4317258</v>
      </c>
    </row>
    <row r="43" customFormat="false" ht="15" hidden="false" customHeight="false" outlineLevel="0" collapsed="false">
      <c r="A43" s="6" t="s">
        <v>71</v>
      </c>
      <c r="B43" s="46"/>
      <c r="C43" s="46"/>
      <c r="D43" s="46"/>
      <c r="E43" s="46"/>
      <c r="F43" s="47" t="n">
        <f aca="false">Valuation!C27</f>
        <v>14612844.4378707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14337566.9347983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9" t="n">
        <v>1</v>
      </c>
      <c r="S2" s="49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4506192</v>
      </c>
      <c r="C7" s="35" t="n">
        <f aca="false">'P&amp;L'!C5</f>
        <v>5835961.872</v>
      </c>
      <c r="D7" s="35" t="n">
        <f aca="false">'P&amp;L'!D5</f>
        <v>7569836.035632</v>
      </c>
      <c r="E7" s="35" t="n">
        <f aca="false">'P&amp;L'!E5</f>
        <v>9833787.54974491</v>
      </c>
      <c r="F7" s="35" t="n">
        <f aca="false">'P&amp;L'!F5</f>
        <v>12793894.0222781</v>
      </c>
      <c r="H7" s="35" t="n">
        <f aca="false">INDEX(Monthly!$C$22:$BJ$22,($R$2-1)*12+1)</f>
        <v>375516</v>
      </c>
      <c r="I7" s="35" t="n">
        <f aca="false">INDEX(Monthly!$C$22:$BJ$22,($R$2-1)*12+2)</f>
        <v>375516</v>
      </c>
      <c r="J7" s="35" t="n">
        <f aca="false">INDEX(Monthly!$C$22:$BJ$22,($R$2-1)*12+3)</f>
        <v>375516</v>
      </c>
      <c r="K7" s="35" t="n">
        <f aca="false">INDEX(Monthly!$C$22:$BJ$22,($R$2-1)*12+4)</f>
        <v>375516</v>
      </c>
      <c r="L7" s="35" t="n">
        <f aca="false">INDEX(Monthly!$C$22:$BJ$22,($R$2-1)*12+5)</f>
        <v>375516</v>
      </c>
      <c r="M7" s="35" t="n">
        <f aca="false">INDEX(Monthly!$C$22:$BJ$22,($R$2-1)*12+6)</f>
        <v>375516</v>
      </c>
      <c r="N7" s="35" t="n">
        <f aca="false">INDEX(Monthly!$C$22:$BJ$22,($R$2-1)*12+7)</f>
        <v>375516</v>
      </c>
      <c r="O7" s="35" t="n">
        <f aca="false">INDEX(Monthly!$C$22:$BJ$22,($R$2-1)*12+8)</f>
        <v>375516</v>
      </c>
      <c r="P7" s="35" t="n">
        <f aca="false">INDEX(Monthly!$C$22:$BJ$22,($R$2-1)*12+9)</f>
        <v>375516</v>
      </c>
      <c r="Q7" s="35" t="n">
        <f aca="false">INDEX(Monthly!$C$22:$BJ$22,($R$2-1)*12+10)</f>
        <v>375516</v>
      </c>
      <c r="R7" s="35" t="n">
        <f aca="false">INDEX(Monthly!$C$22:$BJ$22,($R$2-1)*12+11)</f>
        <v>375516</v>
      </c>
      <c r="S7" s="35" t="n">
        <f aca="false">INDEX(Monthly!$C$22:$BJ$22,($R$2-1)*12+12)</f>
        <v>375516</v>
      </c>
    </row>
    <row r="8" customFormat="false" ht="15" hidden="false" customHeight="false" outlineLevel="0" collapsed="false">
      <c r="A8" s="51" t="s">
        <v>76</v>
      </c>
      <c r="B8" s="35" t="n">
        <f aca="false">'P&amp;L'!B6</f>
        <v>-2703185.76</v>
      </c>
      <c r="C8" s="35" t="n">
        <f aca="false">'P&amp;L'!C6</f>
        <v>-3490030.85616</v>
      </c>
      <c r="D8" s="35" t="n">
        <f aca="false">'P&amp;L'!D6</f>
        <v>-4513046.20906896</v>
      </c>
      <c r="E8" s="35" t="n">
        <f aca="false">'P&amp;L'!E6</f>
        <v>-5845078.96128435</v>
      </c>
      <c r="F8" s="35" t="n">
        <f aca="false">'P&amp;L'!F6</f>
        <v>-7581968.79711323</v>
      </c>
      <c r="H8" s="35" t="n">
        <f aca="false">INDEX(Monthly!$C$28:$BJ$28,($R$2-1)*12+1)</f>
        <v>-225265.48</v>
      </c>
      <c r="I8" s="35" t="n">
        <f aca="false">INDEX(Monthly!$C$28:$BJ$28,($R$2-1)*12+2)</f>
        <v>-225265.48</v>
      </c>
      <c r="J8" s="35" t="n">
        <f aca="false">INDEX(Monthly!$C$28:$BJ$28,($R$2-1)*12+3)</f>
        <v>-225265.48</v>
      </c>
      <c r="K8" s="35" t="n">
        <f aca="false">INDEX(Monthly!$C$28:$BJ$28,($R$2-1)*12+4)</f>
        <v>-225265.48</v>
      </c>
      <c r="L8" s="35" t="n">
        <f aca="false">INDEX(Monthly!$C$28:$BJ$28,($R$2-1)*12+5)</f>
        <v>-225265.48</v>
      </c>
      <c r="M8" s="35" t="n">
        <f aca="false">INDEX(Monthly!$C$28:$BJ$28,($R$2-1)*12+6)</f>
        <v>-225265.48</v>
      </c>
      <c r="N8" s="35" t="n">
        <f aca="false">INDEX(Monthly!$C$28:$BJ$28,($R$2-1)*12+7)</f>
        <v>-225265.48</v>
      </c>
      <c r="O8" s="35" t="n">
        <f aca="false">INDEX(Monthly!$C$28:$BJ$28,($R$2-1)*12+8)</f>
        <v>-225265.48</v>
      </c>
      <c r="P8" s="35" t="n">
        <f aca="false">INDEX(Monthly!$C$28:$BJ$28,($R$2-1)*12+9)</f>
        <v>-225265.48</v>
      </c>
      <c r="Q8" s="35" t="n">
        <f aca="false">INDEX(Monthly!$C$28:$BJ$28,($R$2-1)*12+10)</f>
        <v>-225265.48</v>
      </c>
      <c r="R8" s="35" t="n">
        <f aca="false">INDEX(Monthly!$C$28:$BJ$28,($R$2-1)*12+11)</f>
        <v>-225265.48</v>
      </c>
      <c r="S8" s="35" t="n">
        <f aca="false">INDEX(Monthly!$C$28:$BJ$28,($R$2-1)*12+12)</f>
        <v>-225265.48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1803006.24</v>
      </c>
      <c r="C9" s="37" t="n">
        <f aca="false">'P&amp;L'!C7</f>
        <v>2345931.01584</v>
      </c>
      <c r="D9" s="37" t="n">
        <f aca="false">'P&amp;L'!D7</f>
        <v>3056789.82656304</v>
      </c>
      <c r="E9" s="37" t="n">
        <f aca="false">'P&amp;L'!E7</f>
        <v>3988708.58846056</v>
      </c>
      <c r="F9" s="37" t="n">
        <f aca="false">'P&amp;L'!F7</f>
        <v>5211925.22516482</v>
      </c>
      <c r="H9" s="37" t="n">
        <f aca="false">INDEX(Monthly!$C$29:$BJ$29,($R$2-1)*12+1)</f>
        <v>150250.52</v>
      </c>
      <c r="I9" s="37" t="n">
        <f aca="false">INDEX(Monthly!$C$29:$BJ$29,($R$2-1)*12+2)</f>
        <v>150250.52</v>
      </c>
      <c r="J9" s="37" t="n">
        <f aca="false">INDEX(Monthly!$C$29:$BJ$29,($R$2-1)*12+3)</f>
        <v>150250.52</v>
      </c>
      <c r="K9" s="37" t="n">
        <f aca="false">INDEX(Monthly!$C$29:$BJ$29,($R$2-1)*12+4)</f>
        <v>150250.52</v>
      </c>
      <c r="L9" s="37" t="n">
        <f aca="false">INDEX(Monthly!$C$29:$BJ$29,($R$2-1)*12+5)</f>
        <v>150250.52</v>
      </c>
      <c r="M9" s="37" t="n">
        <f aca="false">INDEX(Monthly!$C$29:$BJ$29,($R$2-1)*12+6)</f>
        <v>150250.52</v>
      </c>
      <c r="N9" s="37" t="n">
        <f aca="false">INDEX(Monthly!$C$29:$BJ$29,($R$2-1)*12+7)</f>
        <v>150250.52</v>
      </c>
      <c r="O9" s="37" t="n">
        <f aca="false">INDEX(Monthly!$C$29:$BJ$29,($R$2-1)*12+8)</f>
        <v>150250.52</v>
      </c>
      <c r="P9" s="37" t="n">
        <f aca="false">INDEX(Monthly!$C$29:$BJ$29,($R$2-1)*12+9)</f>
        <v>150250.52</v>
      </c>
      <c r="Q9" s="37" t="n">
        <f aca="false">INDEX(Monthly!$C$29:$BJ$29,($R$2-1)*12+10)</f>
        <v>150250.52</v>
      </c>
      <c r="R9" s="37" t="n">
        <f aca="false">INDEX(Monthly!$C$29:$BJ$29,($R$2-1)*12+11)</f>
        <v>150250.52</v>
      </c>
      <c r="S9" s="37" t="n">
        <f aca="false">INDEX(Monthly!$C$29:$BJ$29,($R$2-1)*12+12)</f>
        <v>150250.52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0.400117491664803</v>
      </c>
      <c r="C10" s="39" t="n">
        <f aca="false">'P&amp;L'!C8</f>
        <v>0.401978468552956</v>
      </c>
      <c r="D10" s="39" t="n">
        <f aca="false">'P&amp;L'!D8</f>
        <v>0.403811893966318</v>
      </c>
      <c r="E10" s="39" t="n">
        <f aca="false">'P&amp;L'!E8</f>
        <v>0.405612646021017</v>
      </c>
      <c r="F10" s="39" t="n">
        <f aca="false">'P&amp;L'!F8</f>
        <v>0.407375988584029</v>
      </c>
      <c r="H10" s="39" t="n">
        <f aca="false">IF(H7=0,0,H9/H7)</f>
        <v>0.400117491664803</v>
      </c>
      <c r="I10" s="39" t="n">
        <f aca="false">IF(I7=0,0,I9/I7)</f>
        <v>0.400117491664803</v>
      </c>
      <c r="J10" s="39" t="n">
        <f aca="false">IF(J7=0,0,J9/J7)</f>
        <v>0.400117491664803</v>
      </c>
      <c r="K10" s="39" t="n">
        <f aca="false">IF(K7=0,0,K9/K7)</f>
        <v>0.400117491664803</v>
      </c>
      <c r="L10" s="39" t="n">
        <f aca="false">IF(L7=0,0,L9/L7)</f>
        <v>0.400117491664803</v>
      </c>
      <c r="M10" s="39" t="n">
        <f aca="false">IF(M7=0,0,M9/M7)</f>
        <v>0.400117491664803</v>
      </c>
      <c r="N10" s="39" t="n">
        <f aca="false">IF(N7=0,0,N9/N7)</f>
        <v>0.400117491664803</v>
      </c>
      <c r="O10" s="39" t="n">
        <f aca="false">IF(O7=0,0,O9/O7)</f>
        <v>0.400117491664803</v>
      </c>
      <c r="P10" s="39" t="n">
        <f aca="false">IF(P7=0,0,P9/P7)</f>
        <v>0.400117491664803</v>
      </c>
      <c r="Q10" s="39" t="n">
        <f aca="false">IF(Q7=0,0,Q9/Q7)</f>
        <v>0.400117491664803</v>
      </c>
      <c r="R10" s="39" t="n">
        <f aca="false">IF(R7=0,0,R9/R7)</f>
        <v>0.400117491664803</v>
      </c>
      <c r="S10" s="39" t="n">
        <f aca="false">IF(S7=0,0,S9/S7)</f>
        <v>0.400117491664803</v>
      </c>
    </row>
    <row r="11" customFormat="false" ht="15" hidden="false" customHeight="false" outlineLevel="0" collapsed="false">
      <c r="A11" s="51" t="s">
        <v>77</v>
      </c>
      <c r="B11" s="35" t="n">
        <f aca="false">'P&amp;L'!B14</f>
        <v>-752400</v>
      </c>
      <c r="C11" s="35" t="n">
        <f aca="false">'P&amp;L'!C14</f>
        <v>-856317</v>
      </c>
      <c r="D11" s="35" t="n">
        <f aca="false">'P&amp;L'!D14</f>
        <v>-982891.4025</v>
      </c>
      <c r="E11" s="35" t="n">
        <f aca="false">'P&amp;L'!E14</f>
        <v>-1137191.35543725</v>
      </c>
      <c r="F11" s="35" t="n">
        <f aca="false">'P&amp;L'!F14</f>
        <v>-1325448.93364696</v>
      </c>
      <c r="H11" s="35" t="n">
        <f aca="false">INDEX(Monthly!$C$37:$BJ$37,($R$2-1)*12+1)</f>
        <v>-62700</v>
      </c>
      <c r="I11" s="35" t="n">
        <f aca="false">INDEX(Monthly!$C$37:$BJ$37,($R$2-1)*12+2)</f>
        <v>-62700</v>
      </c>
      <c r="J11" s="35" t="n">
        <f aca="false">INDEX(Monthly!$C$37:$BJ$37,($R$2-1)*12+3)</f>
        <v>-62700</v>
      </c>
      <c r="K11" s="35" t="n">
        <f aca="false">INDEX(Monthly!$C$37:$BJ$37,($R$2-1)*12+4)</f>
        <v>-62700</v>
      </c>
      <c r="L11" s="35" t="n">
        <f aca="false">INDEX(Monthly!$C$37:$BJ$37,($R$2-1)*12+5)</f>
        <v>-62700</v>
      </c>
      <c r="M11" s="35" t="n">
        <f aca="false">INDEX(Monthly!$C$37:$BJ$37,($R$2-1)*12+6)</f>
        <v>-62700</v>
      </c>
      <c r="N11" s="35" t="n">
        <f aca="false">INDEX(Monthly!$C$37:$BJ$37,($R$2-1)*12+7)</f>
        <v>-62700</v>
      </c>
      <c r="O11" s="35" t="n">
        <f aca="false">INDEX(Monthly!$C$37:$BJ$37,($R$2-1)*12+8)</f>
        <v>-62700</v>
      </c>
      <c r="P11" s="35" t="n">
        <f aca="false">INDEX(Monthly!$C$37:$BJ$37,($R$2-1)*12+9)</f>
        <v>-62700</v>
      </c>
      <c r="Q11" s="35" t="n">
        <f aca="false">INDEX(Monthly!$C$37:$BJ$37,($R$2-1)*12+10)</f>
        <v>-62700</v>
      </c>
      <c r="R11" s="35" t="n">
        <f aca="false">INDEX(Monthly!$C$37:$BJ$37,($R$2-1)*12+11)</f>
        <v>-62700</v>
      </c>
      <c r="S11" s="35" t="n">
        <f aca="false">INDEX(Monthly!$C$37:$BJ$37,($R$2-1)*12+12)</f>
        <v>-62700</v>
      </c>
    </row>
    <row r="12" customFormat="false" ht="15" hidden="false" customHeight="false" outlineLevel="0" collapsed="false">
      <c r="A12" s="36" t="s">
        <v>48</v>
      </c>
      <c r="B12" s="37" t="n">
        <f aca="false">'P&amp;L'!B15</f>
        <v>1050606.24</v>
      </c>
      <c r="C12" s="37" t="n">
        <f aca="false">'P&amp;L'!C15</f>
        <v>1489614.01584</v>
      </c>
      <c r="D12" s="37" t="n">
        <f aca="false">'P&amp;L'!D15</f>
        <v>2073898.42406304</v>
      </c>
      <c r="E12" s="37" t="n">
        <f aca="false">'P&amp;L'!E15</f>
        <v>2851517.23302332</v>
      </c>
      <c r="F12" s="37" t="n">
        <f aca="false">'P&amp;L'!F15</f>
        <v>3886476.29151786</v>
      </c>
      <c r="H12" s="37" t="n">
        <f aca="false">INDEX(Monthly!$C$38:$BJ$38,($R$2-1)*12+1)</f>
        <v>87550.52</v>
      </c>
      <c r="I12" s="37" t="n">
        <f aca="false">INDEX(Monthly!$C$38:$BJ$38,($R$2-1)*12+2)</f>
        <v>87550.52</v>
      </c>
      <c r="J12" s="37" t="n">
        <f aca="false">INDEX(Monthly!$C$38:$BJ$38,($R$2-1)*12+3)</f>
        <v>87550.52</v>
      </c>
      <c r="K12" s="37" t="n">
        <f aca="false">INDEX(Monthly!$C$38:$BJ$38,($R$2-1)*12+4)</f>
        <v>87550.52</v>
      </c>
      <c r="L12" s="37" t="n">
        <f aca="false">INDEX(Monthly!$C$38:$BJ$38,($R$2-1)*12+5)</f>
        <v>87550.52</v>
      </c>
      <c r="M12" s="37" t="n">
        <f aca="false">INDEX(Monthly!$C$38:$BJ$38,($R$2-1)*12+6)</f>
        <v>87550.52</v>
      </c>
      <c r="N12" s="37" t="n">
        <f aca="false">INDEX(Monthly!$C$38:$BJ$38,($R$2-1)*12+7)</f>
        <v>87550.52</v>
      </c>
      <c r="O12" s="37" t="n">
        <f aca="false">INDEX(Monthly!$C$38:$BJ$38,($R$2-1)*12+8)</f>
        <v>87550.52</v>
      </c>
      <c r="P12" s="37" t="n">
        <f aca="false">INDEX(Monthly!$C$38:$BJ$38,($R$2-1)*12+9)</f>
        <v>87550.52</v>
      </c>
      <c r="Q12" s="37" t="n">
        <f aca="false">INDEX(Monthly!$C$38:$BJ$38,($R$2-1)*12+10)</f>
        <v>87550.52</v>
      </c>
      <c r="R12" s="37" t="n">
        <f aca="false">INDEX(Monthly!$C$38:$BJ$38,($R$2-1)*12+11)</f>
        <v>87550.52</v>
      </c>
      <c r="S12" s="37" t="n">
        <f aca="false">INDEX(Monthly!$C$38:$BJ$38,($R$2-1)*12+12)</f>
        <v>87550.52</v>
      </c>
    </row>
    <row r="13" customFormat="false" ht="15" hidden="false" customHeight="false" outlineLevel="0" collapsed="false">
      <c r="A13" s="38" t="s">
        <v>49</v>
      </c>
      <c r="B13" s="39" t="n">
        <f aca="false">'P&amp;L'!B16</f>
        <v>0.23314724272734</v>
      </c>
      <c r="C13" s="39" t="n">
        <f aca="false">'P&amp;L'!C16</f>
        <v>0.255247386551123</v>
      </c>
      <c r="D13" s="39" t="n">
        <f aca="false">'P&amp;L'!D16</f>
        <v>0.273968737803697</v>
      </c>
      <c r="E13" s="39" t="n">
        <f aca="false">'P&amp;L'!E16</f>
        <v>0.289971409144108</v>
      </c>
      <c r="F13" s="39" t="n">
        <f aca="false">'P&amp;L'!F16</f>
        <v>0.303775870329262</v>
      </c>
      <c r="H13" s="39" t="n">
        <f aca="false">IF(H7=0,0,H12/H7)</f>
        <v>0.233147242727341</v>
      </c>
      <c r="I13" s="39" t="n">
        <f aca="false">IF(I7=0,0,I12/I7)</f>
        <v>0.233147242727341</v>
      </c>
      <c r="J13" s="39" t="n">
        <f aca="false">IF(J7=0,0,J12/J7)</f>
        <v>0.233147242727341</v>
      </c>
      <c r="K13" s="39" t="n">
        <f aca="false">IF(K7=0,0,K12/K7)</f>
        <v>0.233147242727341</v>
      </c>
      <c r="L13" s="39" t="n">
        <f aca="false">IF(L7=0,0,L12/L7)</f>
        <v>0.233147242727341</v>
      </c>
      <c r="M13" s="39" t="n">
        <f aca="false">IF(M7=0,0,M12/M7)</f>
        <v>0.233147242727341</v>
      </c>
      <c r="N13" s="39" t="n">
        <f aca="false">IF(N7=0,0,N12/N7)</f>
        <v>0.233147242727341</v>
      </c>
      <c r="O13" s="39" t="n">
        <f aca="false">IF(O7=0,0,O12/O7)</f>
        <v>0.233147242727341</v>
      </c>
      <c r="P13" s="39" t="n">
        <f aca="false">IF(P7=0,0,P12/P7)</f>
        <v>0.233147242727341</v>
      </c>
      <c r="Q13" s="39" t="n">
        <f aca="false">IF(Q7=0,0,Q12/Q7)</f>
        <v>0.233147242727341</v>
      </c>
      <c r="R13" s="39" t="n">
        <f aca="false">IF(R7=0,0,R12/R7)</f>
        <v>0.233147242727341</v>
      </c>
      <c r="S13" s="39" t="n">
        <f aca="false">IF(S7=0,0,S12/S7)</f>
        <v>0.233147242727341</v>
      </c>
    </row>
    <row r="14" customFormat="false" ht="15" hidden="false" customHeight="false" outlineLevel="0" collapsed="false">
      <c r="A14" s="51" t="s">
        <v>78</v>
      </c>
      <c r="B14" s="35" t="n">
        <f aca="false">'P&amp;L'!B17</f>
        <v>-12000</v>
      </c>
      <c r="C14" s="35" t="n">
        <f aca="false">'P&amp;L'!C17</f>
        <v>-12000</v>
      </c>
      <c r="D14" s="35" t="n">
        <f aca="false">'P&amp;L'!D17</f>
        <v>-12000</v>
      </c>
      <c r="E14" s="35" t="n">
        <f aca="false">'P&amp;L'!E17</f>
        <v>-12000</v>
      </c>
      <c r="F14" s="35" t="n">
        <f aca="false">'P&amp;L'!F17</f>
        <v>-12000</v>
      </c>
      <c r="H14" s="35" t="n">
        <f aca="false">INDEX(Monthly!$C$52:$BJ$52,($R$2-1)*12+1)</f>
        <v>-1000</v>
      </c>
      <c r="I14" s="35" t="n">
        <f aca="false">INDEX(Monthly!$C$52:$BJ$52,($R$2-1)*12+2)</f>
        <v>-1000</v>
      </c>
      <c r="J14" s="35" t="n">
        <f aca="false">INDEX(Monthly!$C$52:$BJ$52,($R$2-1)*12+3)</f>
        <v>-1000</v>
      </c>
      <c r="K14" s="35" t="n">
        <f aca="false">INDEX(Monthly!$C$52:$BJ$52,($R$2-1)*12+4)</f>
        <v>-1000</v>
      </c>
      <c r="L14" s="35" t="n">
        <f aca="false">INDEX(Monthly!$C$52:$BJ$52,($R$2-1)*12+5)</f>
        <v>-1000</v>
      </c>
      <c r="M14" s="35" t="n">
        <f aca="false">INDEX(Monthly!$C$52:$BJ$52,($R$2-1)*12+6)</f>
        <v>-1000</v>
      </c>
      <c r="N14" s="35" t="n">
        <f aca="false">INDEX(Monthly!$C$52:$BJ$52,($R$2-1)*12+7)</f>
        <v>-1000</v>
      </c>
      <c r="O14" s="35" t="n">
        <f aca="false">INDEX(Monthly!$C$52:$BJ$52,($R$2-1)*12+8)</f>
        <v>-1000</v>
      </c>
      <c r="P14" s="35" t="n">
        <f aca="false">INDEX(Monthly!$C$52:$BJ$52,($R$2-1)*12+9)</f>
        <v>-1000</v>
      </c>
      <c r="Q14" s="35" t="n">
        <f aca="false">INDEX(Monthly!$C$52:$BJ$52,($R$2-1)*12+10)</f>
        <v>-1000</v>
      </c>
      <c r="R14" s="35" t="n">
        <f aca="false">INDEX(Monthly!$C$52:$BJ$52,($R$2-1)*12+11)</f>
        <v>-1000</v>
      </c>
      <c r="S14" s="35" t="n">
        <f aca="false">INDEX(Monthly!$C$52:$BJ$52,($R$2-1)*12+12)</f>
        <v>-1000</v>
      </c>
    </row>
    <row r="15" customFormat="false" ht="15" hidden="false" customHeight="false" outlineLevel="0" collapsed="false">
      <c r="A15" s="36" t="s">
        <v>79</v>
      </c>
      <c r="B15" s="37" t="n">
        <f aca="false">'P&amp;L'!B18</f>
        <v>1038606.24</v>
      </c>
      <c r="C15" s="37" t="n">
        <f aca="false">'P&amp;L'!C18</f>
        <v>1477614.01584</v>
      </c>
      <c r="D15" s="37" t="n">
        <f aca="false">'P&amp;L'!D18</f>
        <v>2061898.42406304</v>
      </c>
      <c r="E15" s="37" t="n">
        <f aca="false">'P&amp;L'!E18</f>
        <v>2839517.23302332</v>
      </c>
      <c r="F15" s="37" t="n">
        <f aca="false">'P&amp;L'!F18</f>
        <v>3874476.29151786</v>
      </c>
      <c r="H15" s="37" t="n">
        <f aca="false">INDEX(Monthly!$C$41:$BJ$41,($R$2-1)*12+1)</f>
        <v>86550.52</v>
      </c>
      <c r="I15" s="37" t="n">
        <f aca="false">INDEX(Monthly!$C$41:$BJ$41,($R$2-1)*12+2)</f>
        <v>86550.52</v>
      </c>
      <c r="J15" s="37" t="n">
        <f aca="false">INDEX(Monthly!$C$41:$BJ$41,($R$2-1)*12+3)</f>
        <v>86550.52</v>
      </c>
      <c r="K15" s="37" t="n">
        <f aca="false">INDEX(Monthly!$C$41:$BJ$41,($R$2-1)*12+4)</f>
        <v>86550.52</v>
      </c>
      <c r="L15" s="37" t="n">
        <f aca="false">INDEX(Monthly!$C$41:$BJ$41,($R$2-1)*12+5)</f>
        <v>86550.52</v>
      </c>
      <c r="M15" s="37" t="n">
        <f aca="false">INDEX(Monthly!$C$41:$BJ$41,($R$2-1)*12+6)</f>
        <v>86550.52</v>
      </c>
      <c r="N15" s="37" t="n">
        <f aca="false">INDEX(Monthly!$C$41:$BJ$41,($R$2-1)*12+7)</f>
        <v>86550.52</v>
      </c>
      <c r="O15" s="37" t="n">
        <f aca="false">INDEX(Monthly!$C$41:$BJ$41,($R$2-1)*12+8)</f>
        <v>86550.52</v>
      </c>
      <c r="P15" s="37" t="n">
        <f aca="false">INDEX(Monthly!$C$41:$BJ$41,($R$2-1)*12+9)</f>
        <v>86550.52</v>
      </c>
      <c r="Q15" s="37" t="n">
        <f aca="false">INDEX(Monthly!$C$41:$BJ$41,($R$2-1)*12+10)</f>
        <v>86550.52</v>
      </c>
      <c r="R15" s="37" t="n">
        <f aca="false">INDEX(Monthly!$C$41:$BJ$41,($R$2-1)*12+11)</f>
        <v>86550.52</v>
      </c>
      <c r="S15" s="37" t="n">
        <f aca="false">INDEX(Monthly!$C$41:$BJ$41,($R$2-1)*12+12)</f>
        <v>86550.52</v>
      </c>
    </row>
    <row r="16" customFormat="false" ht="15" hidden="false" customHeight="false" outlineLevel="0" collapsed="false">
      <c r="A16" s="51" t="s">
        <v>80</v>
      </c>
      <c r="B16" s="35" t="n">
        <f aca="false">'P&amp;L'!B19</f>
        <v>-14655.5555555556</v>
      </c>
      <c r="C16" s="35" t="n">
        <f aca="false">'P&amp;L'!C19</f>
        <v>-11466.6666666667</v>
      </c>
      <c r="D16" s="35" t="n">
        <f aca="false">'P&amp;L'!D19</f>
        <v>-8266.66666666666</v>
      </c>
      <c r="E16" s="35" t="n">
        <f aca="false">'P&amp;L'!E19</f>
        <v>-5066.66666666666</v>
      </c>
      <c r="F16" s="35" t="n">
        <f aca="false">'P&amp;L'!F19</f>
        <v>-1866.66666666666</v>
      </c>
      <c r="H16" s="35" t="n">
        <f aca="false">INDEX(Monthly!$C$42:$BJ$42,($R$2-1)*12+1)</f>
        <v>-1333.33333333333</v>
      </c>
      <c r="I16" s="35" t="n">
        <f aca="false">INDEX(Monthly!$C$42:$BJ$42,($R$2-1)*12+2)</f>
        <v>-1322.22222222222</v>
      </c>
      <c r="J16" s="35" t="n">
        <f aca="false">INDEX(Monthly!$C$42:$BJ$42,($R$2-1)*12+3)</f>
        <v>-1300</v>
      </c>
      <c r="K16" s="35" t="n">
        <f aca="false">INDEX(Monthly!$C$42:$BJ$42,($R$2-1)*12+4)</f>
        <v>-1277.77777777778</v>
      </c>
      <c r="L16" s="35" t="n">
        <f aca="false">INDEX(Monthly!$C$42:$BJ$42,($R$2-1)*12+5)</f>
        <v>-1255.55555555556</v>
      </c>
      <c r="M16" s="35" t="n">
        <f aca="false">INDEX(Monthly!$C$42:$BJ$42,($R$2-1)*12+6)</f>
        <v>-1233.33333333333</v>
      </c>
      <c r="N16" s="35" t="n">
        <f aca="false">INDEX(Monthly!$C$42:$BJ$42,($R$2-1)*12+7)</f>
        <v>-1211.11111111111</v>
      </c>
      <c r="O16" s="35" t="n">
        <f aca="false">INDEX(Monthly!$C$42:$BJ$42,($R$2-1)*12+8)</f>
        <v>-1188.88888888889</v>
      </c>
      <c r="P16" s="35" t="n">
        <f aca="false">INDEX(Monthly!$C$42:$BJ$42,($R$2-1)*12+9)</f>
        <v>-1166.66666666667</v>
      </c>
      <c r="Q16" s="35" t="n">
        <f aca="false">INDEX(Monthly!$C$42:$BJ$42,($R$2-1)*12+10)</f>
        <v>-1144.44444444444</v>
      </c>
      <c r="R16" s="35" t="n">
        <f aca="false">INDEX(Monthly!$C$42:$BJ$42,($R$2-1)*12+11)</f>
        <v>-1122.22222222222</v>
      </c>
      <c r="S16" s="35" t="n">
        <f aca="false">INDEX(Monthly!$C$42:$BJ$42,($R$2-1)*12+12)</f>
        <v>-1100</v>
      </c>
    </row>
    <row r="17" customFormat="false" ht="15" hidden="false" customHeight="false" outlineLevel="0" collapsed="false">
      <c r="A17" s="51" t="s">
        <v>81</v>
      </c>
      <c r="B17" s="35" t="n">
        <f aca="false">'P&amp;L'!B20</f>
        <v>1023950.68444444</v>
      </c>
      <c r="C17" s="35" t="n">
        <f aca="false">'P&amp;L'!C20</f>
        <v>1466147.34917334</v>
      </c>
      <c r="D17" s="35" t="n">
        <f aca="false">'P&amp;L'!D20</f>
        <v>2053631.75739637</v>
      </c>
      <c r="E17" s="35" t="n">
        <f aca="false">'P&amp;L'!E20</f>
        <v>2834450.56635665</v>
      </c>
      <c r="F17" s="35" t="n">
        <f aca="false">'P&amp;L'!F20</f>
        <v>3872609.62485119</v>
      </c>
      <c r="H17" s="35" t="n">
        <f aca="false">INDEX(Monthly!$C$43:$BJ$43,($R$2-1)*12+1)</f>
        <v>85217.1866666667</v>
      </c>
      <c r="I17" s="35" t="n">
        <f aca="false">INDEX(Monthly!$C$43:$BJ$43,($R$2-1)*12+2)</f>
        <v>85228.2977777778</v>
      </c>
      <c r="J17" s="35" t="n">
        <f aca="false">INDEX(Monthly!$C$43:$BJ$43,($R$2-1)*12+3)</f>
        <v>85250.52</v>
      </c>
      <c r="K17" s="35" t="n">
        <f aca="false">INDEX(Monthly!$C$43:$BJ$43,($R$2-1)*12+4)</f>
        <v>85272.7422222222</v>
      </c>
      <c r="L17" s="35" t="n">
        <f aca="false">INDEX(Monthly!$C$43:$BJ$43,($R$2-1)*12+5)</f>
        <v>85294.9644444444</v>
      </c>
      <c r="M17" s="35" t="n">
        <f aca="false">INDEX(Monthly!$C$43:$BJ$43,($R$2-1)*12+6)</f>
        <v>85317.1866666667</v>
      </c>
      <c r="N17" s="35" t="n">
        <f aca="false">INDEX(Monthly!$C$43:$BJ$43,($R$2-1)*12+7)</f>
        <v>85339.4088888889</v>
      </c>
      <c r="O17" s="35" t="n">
        <f aca="false">INDEX(Monthly!$C$43:$BJ$43,($R$2-1)*12+8)</f>
        <v>85361.6311111111</v>
      </c>
      <c r="P17" s="35" t="n">
        <f aca="false">INDEX(Monthly!$C$43:$BJ$43,($R$2-1)*12+9)</f>
        <v>85383.8533333333</v>
      </c>
      <c r="Q17" s="35" t="n">
        <f aca="false">INDEX(Monthly!$C$43:$BJ$43,($R$2-1)*12+10)</f>
        <v>85406.0755555556</v>
      </c>
      <c r="R17" s="35" t="n">
        <f aca="false">INDEX(Monthly!$C$43:$BJ$43,($R$2-1)*12+11)</f>
        <v>85428.2977777778</v>
      </c>
      <c r="S17" s="35" t="n">
        <f aca="false">INDEX(Monthly!$C$43:$BJ$43,($R$2-1)*12+12)</f>
        <v>85450.52</v>
      </c>
    </row>
    <row r="18" customFormat="false" ht="15" hidden="false" customHeight="false" outlineLevel="0" collapsed="false">
      <c r="A18" s="51" t="s">
        <v>82</v>
      </c>
      <c r="B18" s="35" t="n">
        <f aca="false">'P&amp;L'!B21</f>
        <v>-215029.643733333</v>
      </c>
      <c r="C18" s="35" t="n">
        <f aca="false">'P&amp;L'!C21</f>
        <v>-307890.9433264</v>
      </c>
      <c r="D18" s="35" t="n">
        <f aca="false">'P&amp;L'!D21</f>
        <v>-431262.669053238</v>
      </c>
      <c r="E18" s="35" t="n">
        <f aca="false">'P&amp;L'!E21</f>
        <v>-595234.618934896</v>
      </c>
      <c r="F18" s="35" t="n">
        <f aca="false">'P&amp;L'!F21</f>
        <v>-813248.02121875</v>
      </c>
      <c r="H18" s="35" t="n">
        <f aca="false">INDEX(Monthly!$C$46:$BJ$46,($R$2-1)*12+1)</f>
        <v>-17895.6092</v>
      </c>
      <c r="I18" s="35" t="n">
        <f aca="false">INDEX(Monthly!$C$46:$BJ$46,($R$2-1)*12+2)</f>
        <v>-17897.9425333333</v>
      </c>
      <c r="J18" s="35" t="n">
        <f aca="false">INDEX(Monthly!$C$46:$BJ$46,($R$2-1)*12+3)</f>
        <v>-17902.6092</v>
      </c>
      <c r="K18" s="35" t="n">
        <f aca="false">INDEX(Monthly!$C$46:$BJ$46,($R$2-1)*12+4)</f>
        <v>-17907.2758666667</v>
      </c>
      <c r="L18" s="35" t="n">
        <f aca="false">INDEX(Monthly!$C$46:$BJ$46,($R$2-1)*12+5)</f>
        <v>-17911.9425333333</v>
      </c>
      <c r="M18" s="35" t="n">
        <f aca="false">INDEX(Monthly!$C$46:$BJ$46,($R$2-1)*12+6)</f>
        <v>-17916.6092</v>
      </c>
      <c r="N18" s="35" t="n">
        <f aca="false">INDEX(Monthly!$C$46:$BJ$46,($R$2-1)*12+7)</f>
        <v>-17921.2758666667</v>
      </c>
      <c r="O18" s="35" t="n">
        <f aca="false">INDEX(Monthly!$C$46:$BJ$46,($R$2-1)*12+8)</f>
        <v>-17925.9425333333</v>
      </c>
      <c r="P18" s="35" t="n">
        <f aca="false">INDEX(Monthly!$C$46:$BJ$46,($R$2-1)*12+9)</f>
        <v>-17930.6092</v>
      </c>
      <c r="Q18" s="35" t="n">
        <f aca="false">INDEX(Monthly!$C$46:$BJ$46,($R$2-1)*12+10)</f>
        <v>-17935.2758666667</v>
      </c>
      <c r="R18" s="35" t="n">
        <f aca="false">INDEX(Monthly!$C$46:$BJ$46,($R$2-1)*12+11)</f>
        <v>-17939.9425333333</v>
      </c>
      <c r="S18" s="35" t="n">
        <f aca="false">INDEX(Monthly!$C$46:$BJ$46,($R$2-1)*12+12)</f>
        <v>-17944.6092</v>
      </c>
    </row>
    <row r="19" customFormat="false" ht="15" hidden="false" customHeight="false" outlineLevel="0" collapsed="false">
      <c r="A19" s="40" t="s">
        <v>50</v>
      </c>
      <c r="B19" s="41" t="n">
        <f aca="false">'P&amp;L'!B22</f>
        <v>808921.040711111</v>
      </c>
      <c r="C19" s="41" t="n">
        <f aca="false">'P&amp;L'!C22</f>
        <v>1158256.40584694</v>
      </c>
      <c r="D19" s="41" t="n">
        <f aca="false">'P&amp;L'!D22</f>
        <v>1622369.08834314</v>
      </c>
      <c r="E19" s="41" t="n">
        <f aca="false">'P&amp;L'!E22</f>
        <v>2239215.94742175</v>
      </c>
      <c r="F19" s="41" t="n">
        <f aca="false">'P&amp;L'!F22</f>
        <v>3059361.60363244</v>
      </c>
      <c r="H19" s="41" t="n">
        <f aca="false">INDEX(Monthly!$C$47:$BJ$47,($R$2-1)*12+1)</f>
        <v>67321.5774666667</v>
      </c>
      <c r="I19" s="41" t="n">
        <f aca="false">INDEX(Monthly!$C$47:$BJ$47,($R$2-1)*12+2)</f>
        <v>67330.3552444445</v>
      </c>
      <c r="J19" s="41" t="n">
        <f aca="false">INDEX(Monthly!$C$47:$BJ$47,($R$2-1)*12+3)</f>
        <v>67347.9108</v>
      </c>
      <c r="K19" s="41" t="n">
        <f aca="false">INDEX(Monthly!$C$47:$BJ$47,($R$2-1)*12+4)</f>
        <v>67365.4663555556</v>
      </c>
      <c r="L19" s="41" t="n">
        <f aca="false">INDEX(Monthly!$C$47:$BJ$47,($R$2-1)*12+5)</f>
        <v>67383.0219111111</v>
      </c>
      <c r="M19" s="41" t="n">
        <f aca="false">INDEX(Monthly!$C$47:$BJ$47,($R$2-1)*12+6)</f>
        <v>67400.5774666667</v>
      </c>
      <c r="N19" s="41" t="n">
        <f aca="false">INDEX(Monthly!$C$47:$BJ$47,($R$2-1)*12+7)</f>
        <v>67418.1330222222</v>
      </c>
      <c r="O19" s="41" t="n">
        <f aca="false">INDEX(Monthly!$C$47:$BJ$47,($R$2-1)*12+8)</f>
        <v>67435.6885777778</v>
      </c>
      <c r="P19" s="41" t="n">
        <f aca="false">INDEX(Monthly!$C$47:$BJ$47,($R$2-1)*12+9)</f>
        <v>67453.2441333333</v>
      </c>
      <c r="Q19" s="41" t="n">
        <f aca="false">INDEX(Monthly!$C$47:$BJ$47,($R$2-1)*12+10)</f>
        <v>67470.7996888889</v>
      </c>
      <c r="R19" s="41" t="n">
        <f aca="false">INDEX(Monthly!$C$47:$BJ$47,($R$2-1)*12+11)</f>
        <v>67488.3552444444</v>
      </c>
      <c r="S19" s="41" t="n">
        <f aca="false">INDEX(Monthly!$C$47:$BJ$47,($R$2-1)*12+12)</f>
        <v>67505.9108</v>
      </c>
    </row>
    <row r="20" customFormat="false" ht="15" hidden="false" customHeight="false" outlineLevel="0" collapsed="false">
      <c r="A20" s="38" t="s">
        <v>51</v>
      </c>
      <c r="B20" s="39" t="n">
        <f aca="false">'P&amp;L'!B23</f>
        <v>0.179513221076934</v>
      </c>
      <c r="C20" s="39" t="n">
        <f aca="false">'P&amp;L'!C23</f>
        <v>0.198468809641143</v>
      </c>
      <c r="D20" s="39" t="n">
        <f aca="false">'P&amp;L'!D23</f>
        <v>0.214320241641494</v>
      </c>
      <c r="E20" s="39" t="n">
        <f aca="false">'P&amp;L'!E23</f>
        <v>0.227706357910878</v>
      </c>
      <c r="F20" s="39" t="n">
        <f aca="false">'P&amp;L'!F23</f>
        <v>0.239126695774185</v>
      </c>
      <c r="H20" s="39" t="n">
        <f aca="false">IF(H7=0,0,H19/H7)</f>
        <v>0.179277520709282</v>
      </c>
      <c r="I20" s="39" t="n">
        <f aca="false">IF(I7=0,0,I19/I7)</f>
        <v>0.179300895952355</v>
      </c>
      <c r="J20" s="39" t="n">
        <f aca="false">IF(J7=0,0,J19/J7)</f>
        <v>0.179347646438501</v>
      </c>
      <c r="K20" s="39" t="n">
        <f aca="false">IF(K7=0,0,K19/K7)</f>
        <v>0.179394396924646</v>
      </c>
      <c r="L20" s="39" t="n">
        <f aca="false">IF(L7=0,0,L19/L7)</f>
        <v>0.179441147410792</v>
      </c>
      <c r="M20" s="39" t="n">
        <f aca="false">IF(M7=0,0,M19/M7)</f>
        <v>0.179487897896938</v>
      </c>
      <c r="N20" s="39" t="n">
        <f aca="false">IF(N7=0,0,N19/N7)</f>
        <v>0.179534648383084</v>
      </c>
      <c r="O20" s="39" t="n">
        <f aca="false">IF(O7=0,0,O19/O7)</f>
        <v>0.17958139886923</v>
      </c>
      <c r="P20" s="39" t="n">
        <f aca="false">IF(P7=0,0,P19/P7)</f>
        <v>0.179628149355376</v>
      </c>
      <c r="Q20" s="39" t="n">
        <f aca="false">IF(Q7=0,0,Q19/Q7)</f>
        <v>0.179674899841522</v>
      </c>
      <c r="R20" s="39" t="n">
        <f aca="false">IF(R7=0,0,R19/R7)</f>
        <v>0.179721650327668</v>
      </c>
      <c r="S20" s="39" t="n">
        <f aca="false">IF(S7=0,0,S19/S7)</f>
        <v>0.179768400813813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370279.780711111</v>
      </c>
      <c r="C24" s="37" t="n">
        <f aca="false">'Cash Flow'!C10</f>
        <v>1036820.38418694</v>
      </c>
      <c r="D24" s="37" t="n">
        <f aca="false">'Cash Flow'!D10</f>
        <v>1460260.45759368</v>
      </c>
      <c r="E24" s="37" t="n">
        <f aca="false">'Cash Flow'!E10</f>
        <v>2023723.37283328</v>
      </c>
      <c r="F24" s="37" t="n">
        <f aca="false">'Cash Flow'!F10</f>
        <v>2773718.704392</v>
      </c>
      <c r="H24" s="37" t="n">
        <f aca="false">INDEX(Monthly!$C$71:$BJ$71,($R$2-1)*12+1)</f>
        <v>-382319.682533333</v>
      </c>
      <c r="I24" s="37" t="n">
        <f aca="false">INDEX(Monthly!$C$71:$BJ$71,($R$2-1)*12+2)</f>
        <v>68330.3552444445</v>
      </c>
      <c r="J24" s="37" t="n">
        <f aca="false">INDEX(Monthly!$C$71:$BJ$71,($R$2-1)*12+3)</f>
        <v>68347.9108</v>
      </c>
      <c r="K24" s="37" t="n">
        <f aca="false">INDEX(Monthly!$C$71:$BJ$71,($R$2-1)*12+4)</f>
        <v>68365.4663555556</v>
      </c>
      <c r="L24" s="37" t="n">
        <f aca="false">INDEX(Monthly!$C$71:$BJ$71,($R$2-1)*12+5)</f>
        <v>68383.0219111111</v>
      </c>
      <c r="M24" s="37" t="n">
        <f aca="false">INDEX(Monthly!$C$71:$BJ$71,($R$2-1)*12+6)</f>
        <v>68400.5774666667</v>
      </c>
      <c r="N24" s="37" t="n">
        <f aca="false">INDEX(Monthly!$C$71:$BJ$71,($R$2-1)*12+7)</f>
        <v>68418.1330222222</v>
      </c>
      <c r="O24" s="37" t="n">
        <f aca="false">INDEX(Monthly!$C$71:$BJ$71,($R$2-1)*12+8)</f>
        <v>68435.6885777778</v>
      </c>
      <c r="P24" s="37" t="n">
        <f aca="false">INDEX(Monthly!$C$71:$BJ$71,($R$2-1)*12+9)</f>
        <v>68453.2441333333</v>
      </c>
      <c r="Q24" s="37" t="n">
        <f aca="false">INDEX(Monthly!$C$71:$BJ$71,($R$2-1)*12+10)</f>
        <v>68470.7996888889</v>
      </c>
      <c r="R24" s="37" t="n">
        <f aca="false">INDEX(Monthly!$C$71:$BJ$71,($R$2-1)*12+11)</f>
        <v>68488.3552444444</v>
      </c>
      <c r="S24" s="37" t="n">
        <f aca="false">INDEX(Monthly!$C$71:$BJ$71,($R$2-1)*12+12)</f>
        <v>68505.9108</v>
      </c>
    </row>
    <row r="25" customFormat="false" ht="15" hidden="false" customHeight="false" outlineLevel="0" collapsed="false">
      <c r="A25" s="51" t="s">
        <v>84</v>
      </c>
      <c r="B25" s="35" t="n">
        <f aca="false">'Cash Flow'!B11</f>
        <v>-60000</v>
      </c>
      <c r="C25" s="35" t="n">
        <f aca="false">'Cash Flow'!C11</f>
        <v>0</v>
      </c>
      <c r="D25" s="35" t="n">
        <f aca="false">'Cash Flow'!D11</f>
        <v>0</v>
      </c>
      <c r="E25" s="35" t="n">
        <f aca="false">'Cash Flow'!E11</f>
        <v>0</v>
      </c>
      <c r="F25" s="35" t="n">
        <f aca="false">'Cash Flow'!F11</f>
        <v>0</v>
      </c>
      <c r="H25" s="35" t="n">
        <f aca="false">INDEX(Monthly!$C$72:$BJ$72,($R$2-1)*12+1)</f>
        <v>-60000</v>
      </c>
      <c r="I25" s="35" t="n">
        <f aca="false">INDEX(Monthly!$C$72:$BJ$72,($R$2-1)*12+2)</f>
        <v>-0</v>
      </c>
      <c r="J25" s="35" t="n">
        <f aca="false">INDEX(Monthly!$C$72:$BJ$72,($R$2-1)*12+3)</f>
        <v>-0</v>
      </c>
      <c r="K25" s="35" t="n">
        <f aca="false">INDEX(Monthly!$C$72:$BJ$72,($R$2-1)*12+4)</f>
        <v>-0</v>
      </c>
      <c r="L25" s="35" t="n">
        <f aca="false">INDEX(Monthly!$C$72:$BJ$72,($R$2-1)*12+5)</f>
        <v>-0</v>
      </c>
      <c r="M25" s="35" t="n">
        <f aca="false">INDEX(Monthly!$C$72:$BJ$72,($R$2-1)*12+6)</f>
        <v>-0</v>
      </c>
      <c r="N25" s="35" t="n">
        <f aca="false">INDEX(Monthly!$C$72:$BJ$72,($R$2-1)*12+7)</f>
        <v>-0</v>
      </c>
      <c r="O25" s="35" t="n">
        <f aca="false">INDEX(Monthly!$C$72:$BJ$72,($R$2-1)*12+8)</f>
        <v>-0</v>
      </c>
      <c r="P25" s="35" t="n">
        <f aca="false">INDEX(Monthly!$C$72:$BJ$72,($R$2-1)*12+9)</f>
        <v>-0</v>
      </c>
      <c r="Q25" s="35" t="n">
        <f aca="false">INDEX(Monthly!$C$72:$BJ$72,($R$2-1)*12+10)</f>
        <v>-0</v>
      </c>
      <c r="R25" s="35" t="n">
        <f aca="false">INDEX(Monthly!$C$72:$BJ$72,($R$2-1)*12+11)</f>
        <v>-0</v>
      </c>
      <c r="S25" s="35" t="n">
        <f aca="false">INDEX(Monthly!$C$72:$BJ$72,($R$2-1)*12+12)</f>
        <v>-0</v>
      </c>
    </row>
    <row r="26" customFormat="false" ht="15" hidden="false" customHeight="false" outlineLevel="0" collapsed="false">
      <c r="A26" s="51" t="s">
        <v>64</v>
      </c>
      <c r="B26" s="35" t="n">
        <f aca="false">'Cash Flow'!B12</f>
        <v>300000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INDEX(Monthly!$C$73:$BJ$73,($R$2-1)*12+1)</f>
        <v>300000</v>
      </c>
      <c r="I26" s="35" t="n">
        <f aca="false">INDEX(Monthly!$C$73:$BJ$73,($R$2-1)*12+2)</f>
        <v>0</v>
      </c>
      <c r="J26" s="35" t="n">
        <f aca="false">INDEX(Monthly!$C$73:$BJ$73,($R$2-1)*12+3)</f>
        <v>0</v>
      </c>
      <c r="K26" s="35" t="n">
        <f aca="false">INDEX(Monthly!$C$73:$BJ$73,($R$2-1)*12+4)</f>
        <v>0</v>
      </c>
      <c r="L26" s="35" t="n">
        <f aca="false">INDEX(Monthly!$C$73:$BJ$73,($R$2-1)*12+5)</f>
        <v>0</v>
      </c>
      <c r="M26" s="35" t="n">
        <f aca="false">INDEX(Monthly!$C$73:$BJ$73,($R$2-1)*12+6)</f>
        <v>0</v>
      </c>
      <c r="N26" s="35" t="n">
        <f aca="false">INDEX(Monthly!$C$73:$BJ$73,($R$2-1)*12+7)</f>
        <v>0</v>
      </c>
      <c r="O26" s="35" t="n">
        <f aca="false">INDEX(Monthly!$C$73:$BJ$73,($R$2-1)*12+8)</f>
        <v>0</v>
      </c>
      <c r="P26" s="35" t="n">
        <f aca="false">INDEX(Monthly!$C$73:$BJ$73,($R$2-1)*12+9)</f>
        <v>0</v>
      </c>
      <c r="Q26" s="35" t="n">
        <f aca="false">INDEX(Monthly!$C$73:$BJ$73,($R$2-1)*12+10)</f>
        <v>0</v>
      </c>
      <c r="R26" s="35" t="n">
        <f aca="false">INDEX(Monthly!$C$73:$BJ$73,($R$2-1)*12+11)</f>
        <v>0</v>
      </c>
      <c r="S26" s="35" t="n">
        <f aca="false">INDEX(Monthly!$C$73:$BJ$73,($R$2-1)*12+12)</f>
        <v>0</v>
      </c>
    </row>
    <row r="27" customFormat="false" ht="15" hidden="false" customHeight="false" outlineLevel="0" collapsed="false">
      <c r="A27" s="51" t="s">
        <v>85</v>
      </c>
      <c r="B27" s="35" t="n">
        <f aca="false">'Cash Flow'!B13</f>
        <v>200000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INDEX(Monthly!$C$58:$BJ$58,($R$2-1)*12+1)</f>
        <v>200000</v>
      </c>
      <c r="I27" s="35" t="n">
        <f aca="false">INDEX(Monthly!$C$58:$BJ$58,($R$2-1)*12+2)</f>
        <v>0</v>
      </c>
      <c r="J27" s="35" t="n">
        <f aca="false">INDEX(Monthly!$C$58:$BJ$58,($R$2-1)*12+3)</f>
        <v>0</v>
      </c>
      <c r="K27" s="35" t="n">
        <f aca="false">INDEX(Monthly!$C$58:$BJ$58,($R$2-1)*12+4)</f>
        <v>0</v>
      </c>
      <c r="L27" s="35" t="n">
        <f aca="false">INDEX(Monthly!$C$58:$BJ$58,($R$2-1)*12+5)</f>
        <v>0</v>
      </c>
      <c r="M27" s="35" t="n">
        <f aca="false">INDEX(Monthly!$C$58:$BJ$58,($R$2-1)*12+6)</f>
        <v>0</v>
      </c>
      <c r="N27" s="35" t="n">
        <f aca="false">INDEX(Monthly!$C$58:$BJ$58,($R$2-1)*12+7)</f>
        <v>0</v>
      </c>
      <c r="O27" s="35" t="n">
        <f aca="false">INDEX(Monthly!$C$58:$BJ$58,($R$2-1)*12+8)</f>
        <v>0</v>
      </c>
      <c r="P27" s="35" t="n">
        <f aca="false">INDEX(Monthly!$C$58:$BJ$58,($R$2-1)*12+9)</f>
        <v>0</v>
      </c>
      <c r="Q27" s="35" t="n">
        <f aca="false">INDEX(Monthly!$C$58:$BJ$58,($R$2-1)*12+10)</f>
        <v>0</v>
      </c>
      <c r="R27" s="35" t="n">
        <f aca="false">INDEX(Monthly!$C$58:$BJ$58,($R$2-1)*12+11)</f>
        <v>0</v>
      </c>
      <c r="S27" s="35" t="n">
        <f aca="false">INDEX(Monthly!$C$58:$BJ$58,($R$2-1)*12+12)</f>
        <v>0</v>
      </c>
    </row>
    <row r="28" customFormat="false" ht="15" hidden="false" customHeight="false" outlineLevel="0" collapsed="false">
      <c r="A28" s="51" t="s">
        <v>86</v>
      </c>
      <c r="B28" s="35" t="n">
        <f aca="false">'Cash Flow'!B14</f>
        <v>-36666.6666666667</v>
      </c>
      <c r="C28" s="35" t="n">
        <f aca="false">'Cash Flow'!C14</f>
        <v>-40000</v>
      </c>
      <c r="D28" s="35" t="n">
        <f aca="false">'Cash Flow'!D14</f>
        <v>-40000</v>
      </c>
      <c r="E28" s="35" t="n">
        <f aca="false">'Cash Flow'!E14</f>
        <v>-40000</v>
      </c>
      <c r="F28" s="35" t="n">
        <f aca="false">'Cash Flow'!F14</f>
        <v>-40000</v>
      </c>
      <c r="H28" s="35" t="n">
        <f aca="false">INDEX(Monthly!$C$59:$BJ$59,($R$2-1)*12+1)</f>
        <v>-0</v>
      </c>
      <c r="I28" s="35" t="n">
        <f aca="false">INDEX(Monthly!$C$59:$BJ$59,($R$2-1)*12+2)</f>
        <v>-3333.33333333333</v>
      </c>
      <c r="J28" s="35" t="n">
        <f aca="false">INDEX(Monthly!$C$59:$BJ$59,($R$2-1)*12+3)</f>
        <v>-3333.33333333333</v>
      </c>
      <c r="K28" s="35" t="n">
        <f aca="false">INDEX(Monthly!$C$59:$BJ$59,($R$2-1)*12+4)</f>
        <v>-3333.33333333333</v>
      </c>
      <c r="L28" s="35" t="n">
        <f aca="false">INDEX(Monthly!$C$59:$BJ$59,($R$2-1)*12+5)</f>
        <v>-3333.33333333333</v>
      </c>
      <c r="M28" s="35" t="n">
        <f aca="false">INDEX(Monthly!$C$59:$BJ$59,($R$2-1)*12+6)</f>
        <v>-3333.33333333333</v>
      </c>
      <c r="N28" s="35" t="n">
        <f aca="false">INDEX(Monthly!$C$59:$BJ$59,($R$2-1)*12+7)</f>
        <v>-3333.33333333333</v>
      </c>
      <c r="O28" s="35" t="n">
        <f aca="false">INDEX(Monthly!$C$59:$BJ$59,($R$2-1)*12+8)</f>
        <v>-3333.33333333333</v>
      </c>
      <c r="P28" s="35" t="n">
        <f aca="false">INDEX(Monthly!$C$59:$BJ$59,($R$2-1)*12+9)</f>
        <v>-3333.33333333333</v>
      </c>
      <c r="Q28" s="35" t="n">
        <f aca="false">INDEX(Monthly!$C$59:$BJ$59,($R$2-1)*12+10)</f>
        <v>-3333.33333333333</v>
      </c>
      <c r="R28" s="35" t="n">
        <f aca="false">INDEX(Monthly!$C$59:$BJ$59,($R$2-1)*12+11)</f>
        <v>-3333.33333333333</v>
      </c>
      <c r="S28" s="35" t="n">
        <f aca="false">INDEX(Monthly!$C$59:$BJ$59,($R$2-1)*12+12)</f>
        <v>-3333.33333333333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463333.333333333</v>
      </c>
      <c r="C29" s="37" t="n">
        <f aca="false">'Cash Flow'!C15</f>
        <v>-40000</v>
      </c>
      <c r="D29" s="37" t="n">
        <f aca="false">'Cash Flow'!D15</f>
        <v>-40000</v>
      </c>
      <c r="E29" s="37" t="n">
        <f aca="false">'Cash Flow'!E15</f>
        <v>-40000</v>
      </c>
      <c r="F29" s="37" t="n">
        <f aca="false">'Cash Flow'!F15</f>
        <v>-40000</v>
      </c>
      <c r="H29" s="37" t="n">
        <f aca="false">INDEX(Monthly!$C$74:$BJ$74,($R$2-1)*12+1)</f>
        <v>500000</v>
      </c>
      <c r="I29" s="37" t="n">
        <f aca="false">INDEX(Monthly!$C$74:$BJ$74,($R$2-1)*12+2)</f>
        <v>-3333.33333333333</v>
      </c>
      <c r="J29" s="37" t="n">
        <f aca="false">INDEX(Monthly!$C$74:$BJ$74,($R$2-1)*12+3)</f>
        <v>-3333.33333333333</v>
      </c>
      <c r="K29" s="37" t="n">
        <f aca="false">INDEX(Monthly!$C$74:$BJ$74,($R$2-1)*12+4)</f>
        <v>-3333.33333333333</v>
      </c>
      <c r="L29" s="37" t="n">
        <f aca="false">INDEX(Monthly!$C$74:$BJ$74,($R$2-1)*12+5)</f>
        <v>-3333.33333333333</v>
      </c>
      <c r="M29" s="37" t="n">
        <f aca="false">INDEX(Monthly!$C$74:$BJ$74,($R$2-1)*12+6)</f>
        <v>-3333.33333333333</v>
      </c>
      <c r="N29" s="37" t="n">
        <f aca="false">INDEX(Monthly!$C$74:$BJ$74,($R$2-1)*12+7)</f>
        <v>-3333.33333333333</v>
      </c>
      <c r="O29" s="37" t="n">
        <f aca="false">INDEX(Monthly!$C$74:$BJ$74,($R$2-1)*12+8)</f>
        <v>-3333.33333333333</v>
      </c>
      <c r="P29" s="37" t="n">
        <f aca="false">INDEX(Monthly!$C$74:$BJ$74,($R$2-1)*12+9)</f>
        <v>-3333.33333333333</v>
      </c>
      <c r="Q29" s="37" t="n">
        <f aca="false">INDEX(Monthly!$C$74:$BJ$74,($R$2-1)*12+10)</f>
        <v>-3333.33333333333</v>
      </c>
      <c r="R29" s="37" t="n">
        <f aca="false">INDEX(Monthly!$C$74:$BJ$74,($R$2-1)*12+11)</f>
        <v>-3333.33333333333</v>
      </c>
      <c r="S29" s="37" t="n">
        <f aca="false">INDEX(Monthly!$C$74:$BJ$74,($R$2-1)*12+12)</f>
        <v>-3333.33333333333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773613.114044444</v>
      </c>
      <c r="C30" s="37" t="n">
        <f aca="false">'Cash Flow'!C16</f>
        <v>996820.384186935</v>
      </c>
      <c r="D30" s="37" t="n">
        <f aca="false">'Cash Flow'!D16</f>
        <v>1420260.45759368</v>
      </c>
      <c r="E30" s="37" t="n">
        <f aca="false">'Cash Flow'!E16</f>
        <v>1983723.37283328</v>
      </c>
      <c r="F30" s="37" t="n">
        <f aca="false">'Cash Flow'!F16</f>
        <v>2733718.704392</v>
      </c>
      <c r="H30" s="37" t="n">
        <f aca="false">INDEX(Monthly!$C$75:$BJ$75,($R$2-1)*12+1)</f>
        <v>57680.3174666667</v>
      </c>
      <c r="I30" s="37" t="n">
        <f aca="false">INDEX(Monthly!$C$75:$BJ$75,($R$2-1)*12+2)</f>
        <v>64997.0219111111</v>
      </c>
      <c r="J30" s="37" t="n">
        <f aca="false">INDEX(Monthly!$C$75:$BJ$75,($R$2-1)*12+3)</f>
        <v>65014.5774666667</v>
      </c>
      <c r="K30" s="37" t="n">
        <f aca="false">INDEX(Monthly!$C$75:$BJ$75,($R$2-1)*12+4)</f>
        <v>65032.1330222222</v>
      </c>
      <c r="L30" s="37" t="n">
        <f aca="false">INDEX(Monthly!$C$75:$BJ$75,($R$2-1)*12+5)</f>
        <v>65049.6885777778</v>
      </c>
      <c r="M30" s="37" t="n">
        <f aca="false">INDEX(Monthly!$C$75:$BJ$75,($R$2-1)*12+6)</f>
        <v>65067.2441333333</v>
      </c>
      <c r="N30" s="37" t="n">
        <f aca="false">INDEX(Monthly!$C$75:$BJ$75,($R$2-1)*12+7)</f>
        <v>65084.7996888889</v>
      </c>
      <c r="O30" s="37" t="n">
        <f aca="false">INDEX(Monthly!$C$75:$BJ$75,($R$2-1)*12+8)</f>
        <v>65102.3552444444</v>
      </c>
      <c r="P30" s="37" t="n">
        <f aca="false">INDEX(Monthly!$C$75:$BJ$75,($R$2-1)*12+9)</f>
        <v>65119.9108</v>
      </c>
      <c r="Q30" s="37" t="n">
        <f aca="false">INDEX(Monthly!$C$75:$BJ$75,($R$2-1)*12+10)</f>
        <v>65137.4663555556</v>
      </c>
      <c r="R30" s="37" t="n">
        <f aca="false">INDEX(Monthly!$C$75:$BJ$75,($R$2-1)*12+11)</f>
        <v>65155.0219111111</v>
      </c>
      <c r="S30" s="37" t="n">
        <f aca="false">INDEX(Monthly!$C$75:$BJ$75,($R$2-1)*12+12)</f>
        <v>65172.5774666667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773613.114044444</v>
      </c>
      <c r="C31" s="41" t="n">
        <f aca="false">'Cash Flow'!C18</f>
        <v>1770433.49823138</v>
      </c>
      <c r="D31" s="41" t="n">
        <f aca="false">'Cash Flow'!D18</f>
        <v>3190693.95582506</v>
      </c>
      <c r="E31" s="41" t="n">
        <f aca="false">'Cash Flow'!E18</f>
        <v>5174417.32865833</v>
      </c>
      <c r="F31" s="41" t="n">
        <f aca="false">'Cash Flow'!F18</f>
        <v>7908136.03305034</v>
      </c>
      <c r="H31" s="41" t="n">
        <f aca="false">INDEX(Monthly!$C$77:$BJ$77,($R$2-1)*12+1)</f>
        <v>57680.3174666667</v>
      </c>
      <c r="I31" s="41" t="n">
        <f aca="false">INDEX(Monthly!$C$77:$BJ$77,($R$2-1)*12+2)</f>
        <v>122677.339377778</v>
      </c>
      <c r="J31" s="41" t="n">
        <f aca="false">INDEX(Monthly!$C$77:$BJ$77,($R$2-1)*12+3)</f>
        <v>187691.916844444</v>
      </c>
      <c r="K31" s="41" t="n">
        <f aca="false">INDEX(Monthly!$C$77:$BJ$77,($R$2-1)*12+4)</f>
        <v>252724.049866667</v>
      </c>
      <c r="L31" s="41" t="n">
        <f aca="false">INDEX(Monthly!$C$77:$BJ$77,($R$2-1)*12+5)</f>
        <v>317773.738444444</v>
      </c>
      <c r="M31" s="41" t="n">
        <f aca="false">INDEX(Monthly!$C$77:$BJ$77,($R$2-1)*12+6)</f>
        <v>382840.982577778</v>
      </c>
      <c r="N31" s="41" t="n">
        <f aca="false">INDEX(Monthly!$C$77:$BJ$77,($R$2-1)*12+7)</f>
        <v>447925.782266667</v>
      </c>
      <c r="O31" s="41" t="n">
        <f aca="false">INDEX(Monthly!$C$77:$BJ$77,($R$2-1)*12+8)</f>
        <v>513028.137511111</v>
      </c>
      <c r="P31" s="41" t="n">
        <f aca="false">INDEX(Monthly!$C$77:$BJ$77,($R$2-1)*12+9)</f>
        <v>578148.048311111</v>
      </c>
      <c r="Q31" s="41" t="n">
        <f aca="false">INDEX(Monthly!$C$77:$BJ$77,($R$2-1)*12+10)</f>
        <v>643285.514666667</v>
      </c>
      <c r="R31" s="41" t="n">
        <f aca="false">INDEX(Monthly!$C$77:$BJ$77,($R$2-1)*12+11)</f>
        <v>708440.536577778</v>
      </c>
      <c r="S31" s="41" t="n">
        <f aca="false">INDEX(Monthly!$C$77:$BJ$77,($R$2-1)*12+12)</f>
        <v>773613.114044444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89</v>
      </c>
      <c r="B41" s="35" t="n">
        <f aca="false">'Balance Sheet'!B5</f>
        <v>773613.114044444</v>
      </c>
      <c r="C41" s="35" t="n">
        <f aca="false">'Balance Sheet'!C5</f>
        <v>1770433.49823138</v>
      </c>
      <c r="D41" s="35" t="n">
        <f aca="false">'Balance Sheet'!D5</f>
        <v>3190693.95582506</v>
      </c>
      <c r="E41" s="35" t="n">
        <f aca="false">'Balance Sheet'!E5</f>
        <v>5174417.32865833</v>
      </c>
      <c r="F41" s="35" t="n">
        <f aca="false">'Balance Sheet'!F5</f>
        <v>7908136.03305034</v>
      </c>
      <c r="H41" s="35" t="n">
        <f aca="false">INDEX(Monthly!$C$77:$BJ$77,($R$2-1)*12+1)</f>
        <v>57680.3174666667</v>
      </c>
      <c r="I41" s="35" t="n">
        <f aca="false">INDEX(Monthly!$C$77:$BJ$77,($R$2-1)*12+2)</f>
        <v>122677.339377778</v>
      </c>
      <c r="J41" s="35" t="n">
        <f aca="false">INDEX(Monthly!$C$77:$BJ$77,($R$2-1)*12+3)</f>
        <v>187691.916844444</v>
      </c>
      <c r="K41" s="35" t="n">
        <f aca="false">INDEX(Monthly!$C$77:$BJ$77,($R$2-1)*12+4)</f>
        <v>252724.049866667</v>
      </c>
      <c r="L41" s="35" t="n">
        <f aca="false">INDEX(Monthly!$C$77:$BJ$77,($R$2-1)*12+5)</f>
        <v>317773.738444444</v>
      </c>
      <c r="M41" s="35" t="n">
        <f aca="false">INDEX(Monthly!$C$77:$BJ$77,($R$2-1)*12+6)</f>
        <v>382840.982577778</v>
      </c>
      <c r="N41" s="35" t="n">
        <f aca="false">INDEX(Monthly!$C$77:$BJ$77,($R$2-1)*12+7)</f>
        <v>447925.782266667</v>
      </c>
      <c r="O41" s="35" t="n">
        <f aca="false">INDEX(Monthly!$C$77:$BJ$77,($R$2-1)*12+8)</f>
        <v>513028.137511111</v>
      </c>
      <c r="P41" s="35" t="n">
        <f aca="false">INDEX(Monthly!$C$77:$BJ$77,($R$2-1)*12+9)</f>
        <v>578148.048311111</v>
      </c>
      <c r="Q41" s="35" t="n">
        <f aca="false">INDEX(Monthly!$C$77:$BJ$77,($R$2-1)*12+10)</f>
        <v>643285.514666667</v>
      </c>
      <c r="R41" s="35" t="n">
        <f aca="false">INDEX(Monthly!$C$77:$BJ$77,($R$2-1)*12+11)</f>
        <v>708440.536577778</v>
      </c>
      <c r="S41" s="35" t="n">
        <f aca="false">INDEX(Monthly!$C$77:$BJ$77,($R$2-1)*12+12)</f>
        <v>773613.114044444</v>
      </c>
    </row>
    <row r="42" customFormat="false" ht="15" hidden="false" customHeight="false" outlineLevel="0" collapsed="false">
      <c r="A42" s="51" t="s">
        <v>90</v>
      </c>
      <c r="B42" s="35" t="n">
        <f aca="false">'Balance Sheet'!B6</f>
        <v>563274</v>
      </c>
      <c r="C42" s="35" t="n">
        <f aca="false">'Balance Sheet'!C6</f>
        <v>729495.234</v>
      </c>
      <c r="D42" s="35" t="n">
        <f aca="false">'Balance Sheet'!D6</f>
        <v>946229.504454</v>
      </c>
      <c r="E42" s="35" t="n">
        <f aca="false">'Balance Sheet'!E6</f>
        <v>1229223.44371811</v>
      </c>
      <c r="F42" s="35" t="n">
        <f aca="false">'Balance Sheet'!F6</f>
        <v>1599236.75278476</v>
      </c>
      <c r="H42" s="35" t="n">
        <f aca="false">INDEX(Monthly!$C$63:$BJ$63,($R$2-1)*12+1)</f>
        <v>563274</v>
      </c>
      <c r="I42" s="35" t="n">
        <f aca="false">INDEX(Monthly!$C$63:$BJ$63,($R$2-1)*12+2)</f>
        <v>563274</v>
      </c>
      <c r="J42" s="35" t="n">
        <f aca="false">INDEX(Monthly!$C$63:$BJ$63,($R$2-1)*12+3)</f>
        <v>563274</v>
      </c>
      <c r="K42" s="35" t="n">
        <f aca="false">INDEX(Monthly!$C$63:$BJ$63,($R$2-1)*12+4)</f>
        <v>563274</v>
      </c>
      <c r="L42" s="35" t="n">
        <f aca="false">INDEX(Monthly!$C$63:$BJ$63,($R$2-1)*12+5)</f>
        <v>563274</v>
      </c>
      <c r="M42" s="35" t="n">
        <f aca="false">INDEX(Monthly!$C$63:$BJ$63,($R$2-1)*12+6)</f>
        <v>563274</v>
      </c>
      <c r="N42" s="35" t="n">
        <f aca="false">INDEX(Monthly!$C$63:$BJ$63,($R$2-1)*12+7)</f>
        <v>563274</v>
      </c>
      <c r="O42" s="35" t="n">
        <f aca="false">INDEX(Monthly!$C$63:$BJ$63,($R$2-1)*12+8)</f>
        <v>563274</v>
      </c>
      <c r="P42" s="35" t="n">
        <f aca="false">INDEX(Monthly!$C$63:$BJ$63,($R$2-1)*12+9)</f>
        <v>563274</v>
      </c>
      <c r="Q42" s="35" t="n">
        <f aca="false">INDEX(Monthly!$C$63:$BJ$63,($R$2-1)*12+10)</f>
        <v>563274</v>
      </c>
      <c r="R42" s="35" t="n">
        <f aca="false">INDEX(Monthly!$C$63:$BJ$63,($R$2-1)*12+11)</f>
        <v>563274</v>
      </c>
      <c r="S42" s="35" t="n">
        <f aca="false">INDEX(Monthly!$C$63:$BJ$63,($R$2-1)*12+12)</f>
        <v>563274</v>
      </c>
    </row>
    <row r="43" customFormat="false" ht="15" hidden="false" customHeight="false" outlineLevel="0" collapsed="false">
      <c r="A43" s="51" t="s">
        <v>91</v>
      </c>
      <c r="B43" s="35" t="n">
        <f aca="false">'Balance Sheet'!B7</f>
        <v>0</v>
      </c>
      <c r="C43" s="35" t="n">
        <f aca="false">'Balance Sheet'!C7</f>
        <v>0</v>
      </c>
      <c r="D43" s="35" t="n">
        <f aca="false">'Balance Sheet'!D7</f>
        <v>0</v>
      </c>
      <c r="E43" s="35" t="n">
        <f aca="false">'Balance Sheet'!E7</f>
        <v>0</v>
      </c>
      <c r="F43" s="35" t="n">
        <f aca="false">'Balance Sheet'!F7</f>
        <v>0</v>
      </c>
      <c r="H43" s="35" t="n">
        <f aca="false">INDEX(Monthly!$C$64:$BJ$64,($R$2-1)*12+1)</f>
        <v>0</v>
      </c>
      <c r="I43" s="35" t="n">
        <f aca="false">INDEX(Monthly!$C$64:$BJ$64,($R$2-1)*12+2)</f>
        <v>0</v>
      </c>
      <c r="J43" s="35" t="n">
        <f aca="false">INDEX(Monthly!$C$64:$BJ$64,($R$2-1)*12+3)</f>
        <v>0</v>
      </c>
      <c r="K43" s="35" t="n">
        <f aca="false">INDEX(Monthly!$C$64:$BJ$64,($R$2-1)*12+4)</f>
        <v>0</v>
      </c>
      <c r="L43" s="35" t="n">
        <f aca="false">INDEX(Monthly!$C$64:$BJ$64,($R$2-1)*12+5)</f>
        <v>0</v>
      </c>
      <c r="M43" s="35" t="n">
        <f aca="false">INDEX(Monthly!$C$64:$BJ$64,($R$2-1)*12+6)</f>
        <v>0</v>
      </c>
      <c r="N43" s="35" t="n">
        <f aca="false">INDEX(Monthly!$C$64:$BJ$64,($R$2-1)*12+7)</f>
        <v>0</v>
      </c>
      <c r="O43" s="35" t="n">
        <f aca="false">INDEX(Monthly!$C$64:$BJ$64,($R$2-1)*12+8)</f>
        <v>0</v>
      </c>
      <c r="P43" s="35" t="n">
        <f aca="false">INDEX(Monthly!$C$64:$BJ$64,($R$2-1)*12+9)</f>
        <v>0</v>
      </c>
      <c r="Q43" s="35" t="n">
        <f aca="false">INDEX(Monthly!$C$64:$BJ$64,($R$2-1)*12+10)</f>
        <v>0</v>
      </c>
      <c r="R43" s="35" t="n">
        <f aca="false">INDEX(Monthly!$C$64:$BJ$64,($R$2-1)*12+11)</f>
        <v>0</v>
      </c>
      <c r="S43" s="35" t="n">
        <f aca="false">INDEX(Monthly!$C$64:$BJ$64,($R$2-1)*12+12)</f>
        <v>0</v>
      </c>
    </row>
    <row r="44" customFormat="false" ht="15" hidden="false" customHeight="false" outlineLevel="0" collapsed="false">
      <c r="A44" s="51" t="s">
        <v>92</v>
      </c>
      <c r="B44" s="35" t="n">
        <f aca="false">'Balance Sheet'!B8</f>
        <v>48000</v>
      </c>
      <c r="C44" s="35" t="n">
        <f aca="false">'Balance Sheet'!C8</f>
        <v>36000</v>
      </c>
      <c r="D44" s="35" t="n">
        <f aca="false">'Balance Sheet'!D8</f>
        <v>24000</v>
      </c>
      <c r="E44" s="35" t="n">
        <f aca="false">'Balance Sheet'!E8</f>
        <v>12000</v>
      </c>
      <c r="F44" s="35" t="n">
        <f aca="false">'Balance Sheet'!F8</f>
        <v>0</v>
      </c>
      <c r="H44" s="35" t="n">
        <f aca="false">INDEX(Monthly!$C$54:$BJ$54,($R$2-1)*12+1)</f>
        <v>59000</v>
      </c>
      <c r="I44" s="35" t="n">
        <f aca="false">INDEX(Monthly!$C$54:$BJ$54,($R$2-1)*12+2)</f>
        <v>58000</v>
      </c>
      <c r="J44" s="35" t="n">
        <f aca="false">INDEX(Monthly!$C$54:$BJ$54,($R$2-1)*12+3)</f>
        <v>57000</v>
      </c>
      <c r="K44" s="35" t="n">
        <f aca="false">INDEX(Monthly!$C$54:$BJ$54,($R$2-1)*12+4)</f>
        <v>56000</v>
      </c>
      <c r="L44" s="35" t="n">
        <f aca="false">INDEX(Monthly!$C$54:$BJ$54,($R$2-1)*12+5)</f>
        <v>55000</v>
      </c>
      <c r="M44" s="35" t="n">
        <f aca="false">INDEX(Monthly!$C$54:$BJ$54,($R$2-1)*12+6)</f>
        <v>54000</v>
      </c>
      <c r="N44" s="35" t="n">
        <f aca="false">INDEX(Monthly!$C$54:$BJ$54,($R$2-1)*12+7)</f>
        <v>53000</v>
      </c>
      <c r="O44" s="35" t="n">
        <f aca="false">INDEX(Monthly!$C$54:$BJ$54,($R$2-1)*12+8)</f>
        <v>52000</v>
      </c>
      <c r="P44" s="35" t="n">
        <f aca="false">INDEX(Monthly!$C$54:$BJ$54,($R$2-1)*12+9)</f>
        <v>51000</v>
      </c>
      <c r="Q44" s="35" t="n">
        <f aca="false">INDEX(Monthly!$C$54:$BJ$54,($R$2-1)*12+10)</f>
        <v>50000</v>
      </c>
      <c r="R44" s="35" t="n">
        <f aca="false">INDEX(Monthly!$C$54:$BJ$54,($R$2-1)*12+11)</f>
        <v>49000</v>
      </c>
      <c r="S44" s="35" t="n">
        <f aca="false">INDEX(Monthly!$C$54:$BJ$54,($R$2-1)*12+12)</f>
        <v>48000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1384887.11404444</v>
      </c>
      <c r="C45" s="37" t="n">
        <f aca="false">'Balance Sheet'!C9</f>
        <v>2535928.73223138</v>
      </c>
      <c r="D45" s="37" t="n">
        <f aca="false">'Balance Sheet'!D9</f>
        <v>4160923.46027906</v>
      </c>
      <c r="E45" s="37" t="n">
        <f aca="false">'Balance Sheet'!E9</f>
        <v>6415640.77237645</v>
      </c>
      <c r="F45" s="37" t="n">
        <f aca="false">'Balance Sheet'!F9</f>
        <v>9507372.78583509</v>
      </c>
      <c r="H45" s="37" t="n">
        <f aca="false">INDEX(Monthly!$C$91:$BJ$91,($R$2-1)*12+1)</f>
        <v>679954.317466667</v>
      </c>
      <c r="I45" s="37" t="n">
        <f aca="false">INDEX(Monthly!$C$91:$BJ$91,($R$2-1)*12+2)</f>
        <v>743951.339377778</v>
      </c>
      <c r="J45" s="37" t="n">
        <f aca="false">INDEX(Monthly!$C$91:$BJ$91,($R$2-1)*12+3)</f>
        <v>807965.916844445</v>
      </c>
      <c r="K45" s="37" t="n">
        <f aca="false">INDEX(Monthly!$C$91:$BJ$91,($R$2-1)*12+4)</f>
        <v>871998.049866667</v>
      </c>
      <c r="L45" s="37" t="n">
        <f aca="false">INDEX(Monthly!$C$91:$BJ$91,($R$2-1)*12+5)</f>
        <v>936047.738444445</v>
      </c>
      <c r="M45" s="37" t="n">
        <f aca="false">INDEX(Monthly!$C$91:$BJ$91,($R$2-1)*12+6)</f>
        <v>1000114.98257778</v>
      </c>
      <c r="N45" s="37" t="n">
        <f aca="false">INDEX(Monthly!$C$91:$BJ$91,($R$2-1)*12+7)</f>
        <v>1064199.78226667</v>
      </c>
      <c r="O45" s="37" t="n">
        <f aca="false">INDEX(Monthly!$C$91:$BJ$91,($R$2-1)*12+8)</f>
        <v>1128302.13751111</v>
      </c>
      <c r="P45" s="37" t="n">
        <f aca="false">INDEX(Monthly!$C$91:$BJ$91,($R$2-1)*12+9)</f>
        <v>1192422.04831111</v>
      </c>
      <c r="Q45" s="37" t="n">
        <f aca="false">INDEX(Monthly!$C$91:$BJ$91,($R$2-1)*12+10)</f>
        <v>1256559.51466667</v>
      </c>
      <c r="R45" s="37" t="n">
        <f aca="false">INDEX(Monthly!$C$91:$BJ$91,($R$2-1)*12+11)</f>
        <v>1320714.53657778</v>
      </c>
      <c r="S45" s="37" t="n">
        <f aca="false">INDEX(Monthly!$C$91:$BJ$91,($R$2-1)*12+12)</f>
        <v>1384887.11404444</v>
      </c>
    </row>
    <row r="46" customFormat="false" ht="15" hidden="false" customHeight="false" outlineLevel="0" collapsed="false">
      <c r="A46" s="51" t="s">
        <v>94</v>
      </c>
      <c r="B46" s="35" t="n">
        <f aca="false">'Balance Sheet'!B10</f>
        <v>112632.74</v>
      </c>
      <c r="C46" s="35" t="n">
        <f aca="false">'Balance Sheet'!C10</f>
        <v>145417.95234</v>
      </c>
      <c r="D46" s="35" t="n">
        <f aca="false">'Balance Sheet'!D10</f>
        <v>188043.59204454</v>
      </c>
      <c r="E46" s="35" t="n">
        <f aca="false">'Balance Sheet'!E10</f>
        <v>243544.956720181</v>
      </c>
      <c r="F46" s="35" t="n">
        <f aca="false">'Balance Sheet'!F10</f>
        <v>315915.366546385</v>
      </c>
      <c r="H46" s="35" t="n">
        <f aca="false">INDEX(Monthly!$C$65:$BJ$65,($R$2-1)*12+1)</f>
        <v>112632.74</v>
      </c>
      <c r="I46" s="35" t="n">
        <f aca="false">INDEX(Monthly!$C$65:$BJ$65,($R$2-1)*12+2)</f>
        <v>112632.74</v>
      </c>
      <c r="J46" s="35" t="n">
        <f aca="false">INDEX(Monthly!$C$65:$BJ$65,($R$2-1)*12+3)</f>
        <v>112632.74</v>
      </c>
      <c r="K46" s="35" t="n">
        <f aca="false">INDEX(Monthly!$C$65:$BJ$65,($R$2-1)*12+4)</f>
        <v>112632.74</v>
      </c>
      <c r="L46" s="35" t="n">
        <f aca="false">INDEX(Monthly!$C$65:$BJ$65,($R$2-1)*12+5)</f>
        <v>112632.74</v>
      </c>
      <c r="M46" s="35" t="n">
        <f aca="false">INDEX(Monthly!$C$65:$BJ$65,($R$2-1)*12+6)</f>
        <v>112632.74</v>
      </c>
      <c r="N46" s="35" t="n">
        <f aca="false">INDEX(Monthly!$C$65:$BJ$65,($R$2-1)*12+7)</f>
        <v>112632.74</v>
      </c>
      <c r="O46" s="35" t="n">
        <f aca="false">INDEX(Monthly!$C$65:$BJ$65,($R$2-1)*12+8)</f>
        <v>112632.74</v>
      </c>
      <c r="P46" s="35" t="n">
        <f aca="false">INDEX(Monthly!$C$65:$BJ$65,($R$2-1)*12+9)</f>
        <v>112632.74</v>
      </c>
      <c r="Q46" s="35" t="n">
        <f aca="false">INDEX(Monthly!$C$65:$BJ$65,($R$2-1)*12+10)</f>
        <v>112632.74</v>
      </c>
      <c r="R46" s="35" t="n">
        <f aca="false">INDEX(Monthly!$C$65:$BJ$65,($R$2-1)*12+11)</f>
        <v>112632.74</v>
      </c>
      <c r="S46" s="35" t="n">
        <f aca="false">INDEX(Monthly!$C$65:$BJ$65,($R$2-1)*12+12)</f>
        <v>112632.74</v>
      </c>
    </row>
    <row r="47" customFormat="false" ht="15" hidden="false" customHeight="false" outlineLevel="0" collapsed="false">
      <c r="A47" s="51" t="s">
        <v>95</v>
      </c>
      <c r="B47" s="35" t="n">
        <f aca="false">'Balance Sheet'!B11</f>
        <v>163333.333333333</v>
      </c>
      <c r="C47" s="35" t="n">
        <f aca="false">'Balance Sheet'!C11</f>
        <v>123333.333333333</v>
      </c>
      <c r="D47" s="35" t="n">
        <f aca="false">'Balance Sheet'!D11</f>
        <v>83333.3333333332</v>
      </c>
      <c r="E47" s="35" t="n">
        <f aca="false">'Balance Sheet'!E11</f>
        <v>43333.3333333332</v>
      </c>
      <c r="F47" s="35" t="n">
        <f aca="false">'Balance Sheet'!F11</f>
        <v>3333.33333333322</v>
      </c>
      <c r="H47" s="35" t="n">
        <f aca="false">INDEX(Monthly!$C$60:$BJ$60,($R$2-1)*12+1)</f>
        <v>200000</v>
      </c>
      <c r="I47" s="35" t="n">
        <f aca="false">INDEX(Monthly!$C$60:$BJ$60,($R$2-1)*12+2)</f>
        <v>196666.666666667</v>
      </c>
      <c r="J47" s="35" t="n">
        <f aca="false">INDEX(Monthly!$C$60:$BJ$60,($R$2-1)*12+3)</f>
        <v>193333.333333333</v>
      </c>
      <c r="K47" s="35" t="n">
        <f aca="false">INDEX(Monthly!$C$60:$BJ$60,($R$2-1)*12+4)</f>
        <v>190000</v>
      </c>
      <c r="L47" s="35" t="n">
        <f aca="false">INDEX(Monthly!$C$60:$BJ$60,($R$2-1)*12+5)</f>
        <v>186666.666666667</v>
      </c>
      <c r="M47" s="35" t="n">
        <f aca="false">INDEX(Monthly!$C$60:$BJ$60,($R$2-1)*12+6)</f>
        <v>183333.333333333</v>
      </c>
      <c r="N47" s="35" t="n">
        <f aca="false">INDEX(Monthly!$C$60:$BJ$60,($R$2-1)*12+7)</f>
        <v>180000</v>
      </c>
      <c r="O47" s="35" t="n">
        <f aca="false">INDEX(Monthly!$C$60:$BJ$60,($R$2-1)*12+8)</f>
        <v>176666.666666667</v>
      </c>
      <c r="P47" s="35" t="n">
        <f aca="false">INDEX(Monthly!$C$60:$BJ$60,($R$2-1)*12+9)</f>
        <v>173333.333333333</v>
      </c>
      <c r="Q47" s="35" t="n">
        <f aca="false">INDEX(Monthly!$C$60:$BJ$60,($R$2-1)*12+10)</f>
        <v>170000</v>
      </c>
      <c r="R47" s="35" t="n">
        <f aca="false">INDEX(Monthly!$C$60:$BJ$60,($R$2-1)*12+11)</f>
        <v>166666.666666667</v>
      </c>
      <c r="S47" s="35" t="n">
        <f aca="false">INDEX(Monthly!$C$60:$BJ$60,($R$2-1)*12+12)</f>
        <v>163333.333333333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275966.073333333</v>
      </c>
      <c r="C48" s="37" t="n">
        <f aca="false">'Balance Sheet'!C12</f>
        <v>268751.285673333</v>
      </c>
      <c r="D48" s="37" t="n">
        <f aca="false">'Balance Sheet'!D12</f>
        <v>271376.925377873</v>
      </c>
      <c r="E48" s="37" t="n">
        <f aca="false">'Balance Sheet'!E12</f>
        <v>286878.290053514</v>
      </c>
      <c r="F48" s="37" t="n">
        <f aca="false">'Balance Sheet'!F12</f>
        <v>319248.699879718</v>
      </c>
      <c r="H48" s="37" t="n">
        <f aca="false">INDEX(Monthly!$C$92:$BJ$92,($R$2-1)*12+1)</f>
        <v>312632.74</v>
      </c>
      <c r="I48" s="37" t="n">
        <f aca="false">INDEX(Monthly!$C$92:$BJ$92,($R$2-1)*12+2)</f>
        <v>309299.406666667</v>
      </c>
      <c r="J48" s="37" t="n">
        <f aca="false">INDEX(Monthly!$C$92:$BJ$92,($R$2-1)*12+3)</f>
        <v>305966.073333333</v>
      </c>
      <c r="K48" s="37" t="n">
        <f aca="false">INDEX(Monthly!$C$92:$BJ$92,($R$2-1)*12+4)</f>
        <v>302632.74</v>
      </c>
      <c r="L48" s="37" t="n">
        <f aca="false">INDEX(Monthly!$C$92:$BJ$92,($R$2-1)*12+5)</f>
        <v>299299.406666667</v>
      </c>
      <c r="M48" s="37" t="n">
        <f aca="false">INDEX(Monthly!$C$92:$BJ$92,($R$2-1)*12+6)</f>
        <v>295966.073333333</v>
      </c>
      <c r="N48" s="37" t="n">
        <f aca="false">INDEX(Monthly!$C$92:$BJ$92,($R$2-1)*12+7)</f>
        <v>292632.74</v>
      </c>
      <c r="O48" s="37" t="n">
        <f aca="false">INDEX(Monthly!$C$92:$BJ$92,($R$2-1)*12+8)</f>
        <v>289299.406666667</v>
      </c>
      <c r="P48" s="37" t="n">
        <f aca="false">INDEX(Monthly!$C$92:$BJ$92,($R$2-1)*12+9)</f>
        <v>285966.073333333</v>
      </c>
      <c r="Q48" s="37" t="n">
        <f aca="false">INDEX(Monthly!$C$92:$BJ$92,($R$2-1)*12+10)</f>
        <v>282632.74</v>
      </c>
      <c r="R48" s="37" t="n">
        <f aca="false">INDEX(Monthly!$C$92:$BJ$92,($R$2-1)*12+11)</f>
        <v>279299.406666667</v>
      </c>
      <c r="S48" s="37" t="n">
        <f aca="false">INDEX(Monthly!$C$92:$BJ$92,($R$2-1)*12+12)</f>
        <v>275966.073333333</v>
      </c>
    </row>
    <row r="49" customFormat="false" ht="15" hidden="false" customHeight="false" outlineLevel="0" collapsed="false">
      <c r="A49" s="51" t="s">
        <v>97</v>
      </c>
      <c r="B49" s="35" t="n">
        <f aca="false">'Balance Sheet'!B13</f>
        <v>300000</v>
      </c>
      <c r="C49" s="35" t="n">
        <f aca="false">'Balance Sheet'!C13</f>
        <v>300000</v>
      </c>
      <c r="D49" s="35" t="n">
        <f aca="false">'Balance Sheet'!D13</f>
        <v>300000</v>
      </c>
      <c r="E49" s="35" t="n">
        <f aca="false">'Balance Sheet'!E13</f>
        <v>300000</v>
      </c>
      <c r="F49" s="35" t="n">
        <f aca="false">'Balance Sheet'!F13</f>
        <v>300000</v>
      </c>
      <c r="H49" s="35" t="n">
        <f aca="false">INDEX(Monthly!$C$89:$BJ$89,($R$2-1)*12+1)</f>
        <v>300000</v>
      </c>
      <c r="I49" s="35" t="n">
        <f aca="false">INDEX(Monthly!$C$89:$BJ$89,($R$2-1)*12+2)</f>
        <v>300000</v>
      </c>
      <c r="J49" s="35" t="n">
        <f aca="false">INDEX(Monthly!$C$89:$BJ$89,($R$2-1)*12+3)</f>
        <v>300000</v>
      </c>
      <c r="K49" s="35" t="n">
        <f aca="false">INDEX(Monthly!$C$89:$BJ$89,($R$2-1)*12+4)</f>
        <v>300000</v>
      </c>
      <c r="L49" s="35" t="n">
        <f aca="false">INDEX(Monthly!$C$89:$BJ$89,($R$2-1)*12+5)</f>
        <v>300000</v>
      </c>
      <c r="M49" s="35" t="n">
        <f aca="false">INDEX(Monthly!$C$89:$BJ$89,($R$2-1)*12+6)</f>
        <v>300000</v>
      </c>
      <c r="N49" s="35" t="n">
        <f aca="false">INDEX(Monthly!$C$89:$BJ$89,($R$2-1)*12+7)</f>
        <v>300000</v>
      </c>
      <c r="O49" s="35" t="n">
        <f aca="false">INDEX(Monthly!$C$89:$BJ$89,($R$2-1)*12+8)</f>
        <v>300000</v>
      </c>
      <c r="P49" s="35" t="n">
        <f aca="false">INDEX(Monthly!$C$89:$BJ$89,($R$2-1)*12+9)</f>
        <v>300000</v>
      </c>
      <c r="Q49" s="35" t="n">
        <f aca="false">INDEX(Monthly!$C$89:$BJ$89,($R$2-1)*12+10)</f>
        <v>300000</v>
      </c>
      <c r="R49" s="35" t="n">
        <f aca="false">INDEX(Monthly!$C$89:$BJ$89,($R$2-1)*12+11)</f>
        <v>300000</v>
      </c>
      <c r="S49" s="35" t="n">
        <f aca="false">INDEX(Monthly!$C$89:$BJ$89,($R$2-1)*12+12)</f>
        <v>300000</v>
      </c>
    </row>
    <row r="50" customFormat="false" ht="15" hidden="false" customHeight="false" outlineLevel="0" collapsed="false">
      <c r="A50" s="51" t="s">
        <v>98</v>
      </c>
      <c r="B50" s="35" t="n">
        <f aca="false">'Balance Sheet'!B14</f>
        <v>808921.040711111</v>
      </c>
      <c r="C50" s="35" t="n">
        <f aca="false">'Balance Sheet'!C14</f>
        <v>1967177.44655805</v>
      </c>
      <c r="D50" s="35" t="n">
        <f aca="false">'Balance Sheet'!D14</f>
        <v>3589546.53490118</v>
      </c>
      <c r="E50" s="35" t="n">
        <f aca="false">'Balance Sheet'!E14</f>
        <v>5828762.48232294</v>
      </c>
      <c r="F50" s="35" t="n">
        <f aca="false">'Balance Sheet'!F14</f>
        <v>8888124.08595538</v>
      </c>
      <c r="H50" s="35" t="n">
        <f aca="false">INDEX(Monthly!$C$90:$BJ$90,($R$2-1)*12+1)</f>
        <v>67321.5774666667</v>
      </c>
      <c r="I50" s="35" t="n">
        <f aca="false">INDEX(Monthly!$C$90:$BJ$90,($R$2-1)*12+2)</f>
        <v>134651.932711111</v>
      </c>
      <c r="J50" s="35" t="n">
        <f aca="false">INDEX(Monthly!$C$90:$BJ$90,($R$2-1)*12+3)</f>
        <v>201999.843511111</v>
      </c>
      <c r="K50" s="35" t="n">
        <f aca="false">INDEX(Monthly!$C$90:$BJ$90,($R$2-1)*12+4)</f>
        <v>269365.309866667</v>
      </c>
      <c r="L50" s="35" t="n">
        <f aca="false">INDEX(Monthly!$C$90:$BJ$90,($R$2-1)*12+5)</f>
        <v>336748.331777778</v>
      </c>
      <c r="M50" s="35" t="n">
        <f aca="false">INDEX(Monthly!$C$90:$BJ$90,($R$2-1)*12+6)</f>
        <v>404148.909244444</v>
      </c>
      <c r="N50" s="35" t="n">
        <f aca="false">INDEX(Monthly!$C$90:$BJ$90,($R$2-1)*12+7)</f>
        <v>471567.042266667</v>
      </c>
      <c r="O50" s="35" t="n">
        <f aca="false">INDEX(Monthly!$C$90:$BJ$90,($R$2-1)*12+8)</f>
        <v>539002.730844444</v>
      </c>
      <c r="P50" s="35" t="n">
        <f aca="false">INDEX(Monthly!$C$90:$BJ$90,($R$2-1)*12+9)</f>
        <v>606455.974977778</v>
      </c>
      <c r="Q50" s="35" t="n">
        <f aca="false">INDEX(Monthly!$C$90:$BJ$90,($R$2-1)*12+10)</f>
        <v>673926.774666667</v>
      </c>
      <c r="R50" s="35" t="n">
        <f aca="false">INDEX(Monthly!$C$90:$BJ$90,($R$2-1)*12+11)</f>
        <v>741415.129911111</v>
      </c>
      <c r="S50" s="35" t="n">
        <f aca="false">INDEX(Monthly!$C$90:$BJ$90,($R$2-1)*12+12)</f>
        <v>808921.040711111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1108921.04071111</v>
      </c>
      <c r="C51" s="37" t="n">
        <f aca="false">'Balance Sheet'!C15</f>
        <v>2267177.44655805</v>
      </c>
      <c r="D51" s="37" t="n">
        <f aca="false">'Balance Sheet'!D15</f>
        <v>3889546.53490118</v>
      </c>
      <c r="E51" s="37" t="n">
        <f aca="false">'Balance Sheet'!E15</f>
        <v>6128762.48232294</v>
      </c>
      <c r="F51" s="37" t="n">
        <f aca="false">'Balance Sheet'!F15</f>
        <v>9188124.08595538</v>
      </c>
      <c r="H51" s="37" t="n">
        <f aca="false">INDEX(Monthly!$C$93:$BJ$93,($R$2-1)*12+1)</f>
        <v>367321.577466667</v>
      </c>
      <c r="I51" s="37" t="n">
        <f aca="false">INDEX(Monthly!$C$93:$BJ$93,($R$2-1)*12+2)</f>
        <v>434651.932711111</v>
      </c>
      <c r="J51" s="37" t="n">
        <f aca="false">INDEX(Monthly!$C$93:$BJ$93,($R$2-1)*12+3)</f>
        <v>501999.843511111</v>
      </c>
      <c r="K51" s="37" t="n">
        <f aca="false">INDEX(Monthly!$C$93:$BJ$93,($R$2-1)*12+4)</f>
        <v>569365.309866667</v>
      </c>
      <c r="L51" s="37" t="n">
        <f aca="false">INDEX(Monthly!$C$93:$BJ$93,($R$2-1)*12+5)</f>
        <v>636748.331777778</v>
      </c>
      <c r="M51" s="37" t="n">
        <f aca="false">INDEX(Monthly!$C$93:$BJ$93,($R$2-1)*12+6)</f>
        <v>704148.909244445</v>
      </c>
      <c r="N51" s="37" t="n">
        <f aca="false">INDEX(Monthly!$C$93:$BJ$93,($R$2-1)*12+7)</f>
        <v>771567.042266667</v>
      </c>
      <c r="O51" s="37" t="n">
        <f aca="false">INDEX(Monthly!$C$93:$BJ$93,($R$2-1)*12+8)</f>
        <v>839002.730844444</v>
      </c>
      <c r="P51" s="37" t="n">
        <f aca="false">INDEX(Monthly!$C$93:$BJ$93,($R$2-1)*12+9)</f>
        <v>906455.974977778</v>
      </c>
      <c r="Q51" s="37" t="n">
        <f aca="false">INDEX(Monthly!$C$93:$BJ$93,($R$2-1)*12+10)</f>
        <v>973926.774666667</v>
      </c>
      <c r="R51" s="37" t="n">
        <f aca="false">INDEX(Monthly!$C$93:$BJ$93,($R$2-1)*12+11)</f>
        <v>1041415.12991111</v>
      </c>
      <c r="S51" s="37" t="n">
        <f aca="false">INDEX(Monthly!$C$93:$BJ$93,($R$2-1)*12+12)</f>
        <v>1108921.04071111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1384887.11404444</v>
      </c>
      <c r="C52" s="41" t="n">
        <f aca="false">'Balance Sheet'!C16</f>
        <v>2535928.73223138</v>
      </c>
      <c r="D52" s="41" t="n">
        <f aca="false">'Balance Sheet'!D16</f>
        <v>4160923.46027906</v>
      </c>
      <c r="E52" s="41" t="n">
        <f aca="false">'Balance Sheet'!E16</f>
        <v>6415640.77237645</v>
      </c>
      <c r="F52" s="41" t="n">
        <f aca="false">'Balance Sheet'!F16</f>
        <v>9507372.7858351</v>
      </c>
      <c r="H52" s="41" t="n">
        <f aca="false">INDEX(Monthly!$C$94:$BJ$94,($R$2-1)*12+1)</f>
        <v>679954.317466667</v>
      </c>
      <c r="I52" s="41" t="n">
        <f aca="false">INDEX(Monthly!$C$94:$BJ$94,($R$2-1)*12+2)</f>
        <v>743951.339377778</v>
      </c>
      <c r="J52" s="41" t="n">
        <f aca="false">INDEX(Monthly!$C$94:$BJ$94,($R$2-1)*12+3)</f>
        <v>807965.916844444</v>
      </c>
      <c r="K52" s="41" t="n">
        <f aca="false">INDEX(Monthly!$C$94:$BJ$94,($R$2-1)*12+4)</f>
        <v>871998.049866667</v>
      </c>
      <c r="L52" s="41" t="n">
        <f aca="false">INDEX(Monthly!$C$94:$BJ$94,($R$2-1)*12+5)</f>
        <v>936047.738444444</v>
      </c>
      <c r="M52" s="41" t="n">
        <f aca="false">INDEX(Monthly!$C$94:$BJ$94,($R$2-1)*12+6)</f>
        <v>1000114.98257778</v>
      </c>
      <c r="N52" s="41" t="n">
        <f aca="false">INDEX(Monthly!$C$94:$BJ$94,($R$2-1)*12+7)</f>
        <v>1064199.78226667</v>
      </c>
      <c r="O52" s="41" t="n">
        <f aca="false">INDEX(Monthly!$C$94:$BJ$94,($R$2-1)*12+8)</f>
        <v>1128302.13751111</v>
      </c>
      <c r="P52" s="41" t="n">
        <f aca="false">INDEX(Monthly!$C$94:$BJ$94,($R$2-1)*12+9)</f>
        <v>1192422.04831111</v>
      </c>
      <c r="Q52" s="41" t="n">
        <f aca="false">INDEX(Monthly!$C$94:$BJ$94,($R$2-1)*12+10)</f>
        <v>1256559.51466667</v>
      </c>
      <c r="R52" s="41" t="n">
        <f aca="false">INDEX(Monthly!$C$94:$BJ$94,($R$2-1)*12+11)</f>
        <v>1320714.53657778</v>
      </c>
      <c r="S52" s="41" t="n">
        <f aca="false">INDEX(Monthly!$C$94:$BJ$94,($R$2-1)*12+12)</f>
        <v>1384887.11404444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2" t="s">
        <v>105</v>
      </c>
      <c r="C6" s="52" t="s">
        <v>106</v>
      </c>
      <c r="D6" s="52" t="s">
        <v>107</v>
      </c>
      <c r="E6" s="52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Inputs!$B$14</f>
        <v>300</v>
      </c>
      <c r="C7" s="53" t="n">
        <f aca="false">Inputs!$C$14</f>
        <v>350</v>
      </c>
      <c r="D7" s="53" t="n">
        <f aca="false">Inputs!$D$14</f>
        <v>400</v>
      </c>
      <c r="E7" s="54" t="n">
        <f aca="false">Inputs!$E$14</f>
        <v>350</v>
      </c>
    </row>
    <row r="8" customFormat="false" ht="15" hidden="false" customHeight="false" outlineLevel="0" collapsed="false">
      <c r="A8" s="6" t="s">
        <v>110</v>
      </c>
      <c r="B8" s="53" t="n">
        <f aca="false">Inputs!$B$15</f>
        <v>150</v>
      </c>
      <c r="C8" s="53" t="n">
        <f aca="false">Inputs!$C$15</f>
        <v>175</v>
      </c>
      <c r="D8" s="53" t="n">
        <f aca="false">Inputs!$D$15</f>
        <v>200</v>
      </c>
      <c r="E8" s="54" t="n">
        <f aca="false">Inputs!$E$15</f>
        <v>175</v>
      </c>
    </row>
    <row r="9" customFormat="false" ht="15" hidden="false" customHeight="false" outlineLevel="0" collapsed="false">
      <c r="A9" s="6" t="s">
        <v>111</v>
      </c>
      <c r="B9" s="55" t="n">
        <f aca="false">Inputs!$B$9</f>
        <v>0.68</v>
      </c>
      <c r="C9" s="55" t="n">
        <f aca="false">Inputs!$C$9</f>
        <v>0.75</v>
      </c>
      <c r="D9" s="55" t="n">
        <f aca="false">Inputs!$D$9</f>
        <v>0.8</v>
      </c>
      <c r="E9" s="56" t="n">
        <f aca="false">Inputs!$E$9</f>
        <v>0.75</v>
      </c>
    </row>
    <row r="10" customFormat="false" ht="15" hidden="false" customHeight="false" outlineLevel="0" collapsed="false">
      <c r="A10" s="6" t="s">
        <v>112</v>
      </c>
      <c r="B10" s="57" t="n">
        <f aca="false">Inputs!$B$10</f>
        <v>300</v>
      </c>
      <c r="C10" s="57" t="n">
        <f aca="false">Inputs!$C$10</f>
        <v>400</v>
      </c>
      <c r="D10" s="57" t="n">
        <f aca="false">Inputs!$D$10</f>
        <v>500</v>
      </c>
      <c r="E10" s="58" t="n">
        <f aca="false">Inputs!$E$10</f>
        <v>400</v>
      </c>
    </row>
    <row r="11" customFormat="false" ht="15" hidden="false" customHeight="false" outlineLevel="0" collapsed="false">
      <c r="A11" s="6" t="s">
        <v>113</v>
      </c>
      <c r="B11" s="59" t="n">
        <f aca="false">Inputs!$B$60</f>
        <v>45</v>
      </c>
      <c r="C11" s="59" t="n">
        <f aca="false">Inputs!$C$60</f>
        <v>45</v>
      </c>
      <c r="D11" s="59" t="n">
        <f aca="false">Inputs!$D$60</f>
        <v>45</v>
      </c>
      <c r="E11" s="60" t="n">
        <f aca="false">Inputs!$E$60</f>
        <v>45</v>
      </c>
    </row>
    <row r="12" customFormat="false" ht="15" hidden="false" customHeight="false" outlineLevel="0" collapsed="false">
      <c r="A12" s="6" t="s">
        <v>114</v>
      </c>
      <c r="B12" s="53" t="n">
        <f aca="false">Inputs!$B$54</f>
        <v>300000</v>
      </c>
      <c r="C12" s="53" t="n">
        <f aca="false">Inputs!$C$54</f>
        <v>300000</v>
      </c>
      <c r="D12" s="53" t="n">
        <f aca="false">Inputs!$D$54</f>
        <v>300000</v>
      </c>
      <c r="E12" s="54" t="n">
        <f aca="false">Inputs!$E$54</f>
        <v>300000</v>
      </c>
    </row>
    <row r="14" customFormat="false" ht="15.75" hidden="false" customHeight="true" outlineLevel="0" collapsed="false">
      <c r="A14" s="7" t="s">
        <v>115</v>
      </c>
      <c r="B14" s="7"/>
      <c r="C14" s="7"/>
      <c r="D14" s="7"/>
      <c r="E14" s="7"/>
      <c r="F14" s="7"/>
    </row>
    <row r="15" customFormat="false" ht="15" hidden="false" customHeight="false" outlineLevel="0" collapsed="false">
      <c r="A15" s="33" t="s">
        <v>116</v>
      </c>
      <c r="B15" s="52" t="s">
        <v>105</v>
      </c>
      <c r="C15" s="52" t="s">
        <v>106</v>
      </c>
      <c r="D15" s="52" t="s">
        <v>107</v>
      </c>
      <c r="E15" s="52" t="s">
        <v>108</v>
      </c>
    </row>
    <row r="16" customFormat="false" ht="15" hidden="false" customHeight="false" outlineLevel="0" collapsed="false">
      <c r="A16" s="6" t="s">
        <v>117</v>
      </c>
      <c r="B16" s="61" t="n">
        <f aca="false">F29</f>
        <v>8830004.69535894</v>
      </c>
      <c r="C16" s="61" t="n">
        <f aca="false">F30</f>
        <v>12793894.0222781</v>
      </c>
      <c r="D16" s="61" t="n">
        <f aca="false">F31</f>
        <v>17866026.7151977</v>
      </c>
      <c r="E16" s="62" t="n">
        <f aca="false">'P&amp;L'!F5</f>
        <v>12793894.0222781</v>
      </c>
    </row>
    <row r="17" customFormat="false" ht="15" hidden="false" customHeight="false" outlineLevel="0" collapsed="false">
      <c r="A17" s="6" t="s">
        <v>118</v>
      </c>
      <c r="B17" s="61" t="n">
        <f aca="false">SUM(B29:F29)</f>
        <v>28675279.4426219</v>
      </c>
      <c r="C17" s="61" t="n">
        <f aca="false">SUM(B30:F30)</f>
        <v>40539671.479655</v>
      </c>
      <c r="D17" s="61" t="n">
        <f aca="false">SUM(B31:F31)</f>
        <v>54922754.4461191</v>
      </c>
      <c r="E17" s="62" t="n">
        <f aca="false">SUM('P&amp;L'!$B$5:$F$5)</f>
        <v>40539671.479655</v>
      </c>
    </row>
    <row r="18" customFormat="false" ht="15" hidden="false" customHeight="false" outlineLevel="0" collapsed="false">
      <c r="A18" s="6" t="s">
        <v>119</v>
      </c>
      <c r="B18" s="61" t="n">
        <f aca="false">F35</f>
        <v>397861.739545861</v>
      </c>
      <c r="C18" s="61" t="n">
        <f aca="false">F36</f>
        <v>3886476.29151786</v>
      </c>
      <c r="D18" s="61" t="n">
        <f aca="false">F37</f>
        <v>8264572.01353867</v>
      </c>
      <c r="E18" s="62" t="n">
        <f aca="false">'P&amp;L'!F15</f>
        <v>3886476.29151786</v>
      </c>
    </row>
    <row r="19" customFormat="false" ht="15" hidden="false" customHeight="false" outlineLevel="0" collapsed="false">
      <c r="A19" s="6" t="s">
        <v>120</v>
      </c>
      <c r="B19" s="63" t="n">
        <f aca="false">IF(B16=0,0,B18/B16)</f>
        <v>0.0450579306888679</v>
      </c>
      <c r="C19" s="63" t="n">
        <f aca="false">IF(C16=0,0,C18/C16)</f>
        <v>0.303775870329262</v>
      </c>
      <c r="D19" s="63" t="n">
        <f aca="false">IF(D16=0,0,D18/D16)</f>
        <v>0.46258589810058</v>
      </c>
      <c r="E19" s="64" t="n">
        <f aca="false">IF(E16=0,0,E18/E16)</f>
        <v>0.303775870329262</v>
      </c>
    </row>
    <row r="20" customFormat="false" ht="15" hidden="false" customHeight="false" outlineLevel="0" collapsed="false">
      <c r="A20" s="6" t="s">
        <v>121</v>
      </c>
      <c r="B20" s="61" t="n">
        <f aca="false">F41</f>
        <v>303356.107574564</v>
      </c>
      <c r="C20" s="61" t="n">
        <f aca="false">F42</f>
        <v>3059361.60363244</v>
      </c>
      <c r="D20" s="61" t="n">
        <f aca="false">F43</f>
        <v>6518057.22402888</v>
      </c>
      <c r="E20" s="62" t="n">
        <f aca="false">'P&amp;L'!F22</f>
        <v>3059361.60363244</v>
      </c>
    </row>
    <row r="21" customFormat="false" ht="15" hidden="false" customHeight="false" outlineLevel="0" collapsed="false">
      <c r="A21" s="6" t="s">
        <v>122</v>
      </c>
      <c r="B21" s="61" t="n">
        <f aca="false">SUM(B41:F41)</f>
        <v>533999.636296833</v>
      </c>
      <c r="C21" s="61" t="n">
        <f aca="false">SUM(B42:F42)</f>
        <v>8888124.08595538</v>
      </c>
      <c r="D21" s="61" t="n">
        <f aca="false">SUM(B43:F43)</f>
        <v>18925063.5006787</v>
      </c>
      <c r="E21" s="62" t="n">
        <f aca="false">SUM('P&amp;L'!$B$22:$F$22)</f>
        <v>8888124.08595538</v>
      </c>
    </row>
    <row r="22" customFormat="false" ht="15" hidden="false" customHeight="false" outlineLevel="0" collapsed="false">
      <c r="A22" s="6" t="s">
        <v>123</v>
      </c>
      <c r="B22" s="61" t="n">
        <f aca="false">F47</f>
        <v>29694.6336338868</v>
      </c>
      <c r="C22" s="61" t="n">
        <f aca="false">F48</f>
        <v>7908136.03305034</v>
      </c>
      <c r="D22" s="61" t="n">
        <f aca="false">F49</f>
        <v>17339977.0682795</v>
      </c>
      <c r="E22" s="62" t="n">
        <f aca="false">'Balance Sheet'!F5</f>
        <v>7908136.03305034</v>
      </c>
    </row>
    <row r="23" customFormat="false" ht="15" hidden="false" customHeight="false" outlineLevel="0" collapsed="false">
      <c r="A23" s="6" t="s">
        <v>124</v>
      </c>
      <c r="B23" s="61" t="n">
        <f aca="false">MIN('Scenario calc'!$C$79:$BJ$79)</f>
        <v>-222811.687198352</v>
      </c>
      <c r="C23" s="61" t="n">
        <f aca="false">MIN('Scenario calc'!$C$189:$BJ$189)</f>
        <v>57680.3174666667</v>
      </c>
      <c r="D23" s="61" t="n">
        <f aca="false">MIN('Scenario calc'!$C$299:$BJ$299)</f>
        <v>-20466.9005833333</v>
      </c>
      <c r="E23" s="62" t="n">
        <f aca="false">'Break-even'!B18</f>
        <v>57680.3174666667</v>
      </c>
    </row>
    <row r="24" customFormat="false" ht="15" hidden="false" customHeight="false" outlineLevel="0" collapsed="false">
      <c r="A24" s="6" t="s">
        <v>125</v>
      </c>
      <c r="B24" s="65" t="n">
        <f aca="false">MATCH(MIN('Scenario calc'!$C$79:$BJ$79),'Scenario calc'!$C$79:$BJ$79,0)</f>
        <v>49</v>
      </c>
      <c r="C24" s="65" t="n">
        <f aca="false">MATCH(MIN('Scenario calc'!$C$189:$BJ$189),'Scenario calc'!$C$189:$BJ$189,0)</f>
        <v>1</v>
      </c>
      <c r="D24" s="65" t="n">
        <f aca="false">MATCH(MIN('Scenario calc'!$C$299:$BJ$299),'Scenario calc'!$C$299:$BJ$299,0)</f>
        <v>1</v>
      </c>
      <c r="E24" s="66" t="n">
        <f aca="false">'Break-even'!B6</f>
        <v>1</v>
      </c>
    </row>
    <row r="25" customFormat="false" ht="15" hidden="false" customHeight="false" outlineLevel="0" collapsed="false">
      <c r="A25" s="4" t="s">
        <v>66</v>
      </c>
      <c r="B25" s="61" t="n">
        <f aca="false">SUMPRODUCT(--('Scenario calc'!$C$6:$BJ$6&lt;=B24),'Scenario calc'!$C$52:$BJ$52)-SUMPRODUCT(--('Scenario calc'!$C$6:$BJ$6&lt;=B24),'Scenario calc'!$C$73:$BJ$73)-SUMPRODUCT(--('Scenario calc'!$C$6:$BJ$6&lt;=B24),'Scenario calc'!$C$61:$BJ$61)+Inputs!$B$69</f>
        <v>910811.687198352</v>
      </c>
      <c r="C25" s="61" t="n">
        <f aca="false">SUMPRODUCT(--('Scenario calc'!$C$116:$BJ$116&lt;=C24),'Scenario calc'!$C$162:$BJ$162)-SUMPRODUCT(--('Scenario calc'!$C$116:$BJ$116&lt;=C24),'Scenario calc'!$C$183:$BJ$183)-SUMPRODUCT(--('Scenario calc'!$C$116:$BJ$116&lt;=C24),'Scenario calc'!$C$171:$BJ$171)+Inputs!$C$69</f>
        <v>630319.682533333</v>
      </c>
      <c r="D25" s="61" t="n">
        <f aca="false">SUMPRODUCT(--('Scenario calc'!$C$226:$BJ$226&lt;=D24),'Scenario calc'!$C$272:$BJ$272)-SUMPRODUCT(--('Scenario calc'!$C$226:$BJ$226&lt;=D24),'Scenario calc'!$C$293:$BJ$293)-SUMPRODUCT(--('Scenario calc'!$C$226:$BJ$226&lt;=D24),'Scenario calc'!$C$281:$BJ$281)+Inputs!$D$69</f>
        <v>708466.900583333</v>
      </c>
      <c r="E25" s="62" t="n">
        <f aca="false">'Break-even'!B12</f>
        <v>630319.682533333</v>
      </c>
    </row>
    <row r="27" customFormat="false" ht="15.75" hidden="false" customHeight="true" outlineLevel="0" collapsed="false">
      <c r="A27" s="7" t="s">
        <v>126</v>
      </c>
      <c r="B27" s="7"/>
      <c r="C27" s="7"/>
      <c r="D27" s="7"/>
      <c r="E27" s="7"/>
      <c r="F27" s="7"/>
    </row>
    <row r="28" customFormat="false" ht="15" hidden="false" customHeight="false" outlineLevel="0" collapsed="false">
      <c r="A28" s="33" t="s">
        <v>127</v>
      </c>
      <c r="B28" s="34" t="n">
        <v>1</v>
      </c>
      <c r="C28" s="34" t="n">
        <v>2</v>
      </c>
      <c r="D28" s="34" t="n">
        <v>3</v>
      </c>
      <c r="E28" s="34" t="n">
        <v>4</v>
      </c>
      <c r="F28" s="34" t="n">
        <v>5</v>
      </c>
    </row>
    <row r="29" customFormat="false" ht="15" hidden="false" customHeight="false" outlineLevel="0" collapsed="false">
      <c r="A29" s="6" t="s">
        <v>105</v>
      </c>
      <c r="B29" s="61" t="n">
        <f aca="false">SUMIF('Scenario calc'!$C$7:$BJ$7,B$28,'Scenario calc'!$C$24:$BJ$24)</f>
        <v>3332736</v>
      </c>
      <c r="C29" s="61" t="n">
        <f aca="false">SUMIF('Scenario calc'!$C$7:$BJ$7,C$28,'Scenario calc'!$C$24:$BJ$24)</f>
        <v>4231789.056</v>
      </c>
      <c r="D29" s="61" t="n">
        <f aca="false">SUMIF('Scenario calc'!$C$7:$BJ$7,D$28,'Scenario calc'!$C$24:$BJ$24)</f>
        <v>5391180.343296</v>
      </c>
      <c r="E29" s="61" t="n">
        <f aca="false">SUMIF('Scenario calc'!$C$7:$BJ$7,E$28,'Scenario calc'!$C$24:$BJ$24)</f>
        <v>6889569.34796698</v>
      </c>
      <c r="F29" s="61" t="n">
        <f aca="false">SUMIF('Scenario calc'!$C$7:$BJ$7,F$28,'Scenario calc'!$C$24:$BJ$24)</f>
        <v>8830004.69535894</v>
      </c>
    </row>
    <row r="30" customFormat="false" ht="15" hidden="false" customHeight="false" outlineLevel="0" collapsed="false">
      <c r="A30" s="6" t="s">
        <v>106</v>
      </c>
      <c r="B30" s="61" t="n">
        <f aca="false">SUMIF('Scenario calc'!$C$117:$BJ$117,B$28,'Scenario calc'!$C$134:$BJ$134)</f>
        <v>4506192</v>
      </c>
      <c r="C30" s="61" t="n">
        <f aca="false">SUMIF('Scenario calc'!$C$117:$BJ$117,C$28,'Scenario calc'!$C$134:$BJ$134)</f>
        <v>5835961.872</v>
      </c>
      <c r="D30" s="61" t="n">
        <f aca="false">SUMIF('Scenario calc'!$C$117:$BJ$117,D$28,'Scenario calc'!$C$134:$BJ$134)</f>
        <v>7569836.035632</v>
      </c>
      <c r="E30" s="61" t="n">
        <f aca="false">SUMIF('Scenario calc'!$C$117:$BJ$117,E$28,'Scenario calc'!$C$134:$BJ$134)</f>
        <v>9833787.54974491</v>
      </c>
      <c r="F30" s="61" t="n">
        <f aca="false">SUMIF('Scenario calc'!$C$117:$BJ$117,F$28,'Scenario calc'!$C$134:$BJ$134)</f>
        <v>12793894.0222781</v>
      </c>
    </row>
    <row r="31" customFormat="false" ht="15" hidden="false" customHeight="false" outlineLevel="0" collapsed="false">
      <c r="A31" s="6" t="s">
        <v>107</v>
      </c>
      <c r="B31" s="61" t="n">
        <f aca="false">SUMIF('Scenario calc'!$C$227:$BJ$227,B$28,'Scenario calc'!$C$244:$BJ$244)</f>
        <v>5791212</v>
      </c>
      <c r="C31" s="61" t="n">
        <f aca="false">SUMIF('Scenario calc'!$C$227:$BJ$227,C$28,'Scenario calc'!$C$244:$BJ$244)</f>
        <v>7661148.768</v>
      </c>
      <c r="D31" s="61" t="n">
        <f aca="false">SUMIF('Scenario calc'!$C$227:$BJ$227,D$28,'Scenario calc'!$C$244:$BJ$244)</f>
        <v>10147497.954048</v>
      </c>
      <c r="E31" s="61" t="n">
        <f aca="false">SUMIF('Scenario calc'!$C$227:$BJ$227,E$28,'Scenario calc'!$C$244:$BJ$244)</f>
        <v>13456869.0088735</v>
      </c>
      <c r="F31" s="61" t="n">
        <f aca="false">SUMIF('Scenario calc'!$C$227:$BJ$227,F$28,'Scenario calc'!$C$244:$BJ$244)</f>
        <v>17866026.7151977</v>
      </c>
    </row>
    <row r="33" customFormat="false" ht="15.75" hidden="false" customHeight="true" outlineLevel="0" collapsed="false">
      <c r="A33" s="7" t="s">
        <v>128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33" t="s">
        <v>127</v>
      </c>
      <c r="B34" s="34" t="n">
        <v>1</v>
      </c>
      <c r="C34" s="34" t="n">
        <v>2</v>
      </c>
      <c r="D34" s="34" t="n">
        <v>3</v>
      </c>
      <c r="E34" s="34" t="n">
        <v>4</v>
      </c>
      <c r="F34" s="34" t="n">
        <v>5</v>
      </c>
    </row>
    <row r="35" customFormat="false" ht="15" hidden="false" customHeight="false" outlineLevel="0" collapsed="false">
      <c r="A35" s="6" t="s">
        <v>105</v>
      </c>
      <c r="B35" s="61" t="n">
        <f aca="false">SUMIF('Scenario calc'!$C$7:$BJ$7,B$34,'Scenario calc'!$C$40:$BJ$40)</f>
        <v>-30973.4399999999</v>
      </c>
      <c r="C35" s="61" t="n">
        <f aca="false">SUMIF('Scenario calc'!$C$7:$BJ$7,C$34,'Scenario calc'!$C$40:$BJ$40)</f>
        <v>37714.4937600014</v>
      </c>
      <c r="D35" s="61" t="n">
        <f aca="false">SUMIF('Scenario calc'!$C$7:$BJ$7,D$34,'Scenario calc'!$C$40:$BJ$40)</f>
        <v>127633.633064161</v>
      </c>
      <c r="E35" s="61" t="n">
        <f aca="false">SUMIF('Scenario calc'!$C$7:$BJ$7,E$34,'Scenario calc'!$C$40:$BJ$40)</f>
        <v>245034.70255705</v>
      </c>
      <c r="F35" s="61" t="n">
        <f aca="false">SUMIF('Scenario calc'!$C$7:$BJ$7,F$34,'Scenario calc'!$C$40:$BJ$40)</f>
        <v>397861.739545861</v>
      </c>
    </row>
    <row r="36" customFormat="false" ht="15" hidden="false" customHeight="false" outlineLevel="0" collapsed="false">
      <c r="A36" s="6" t="s">
        <v>106</v>
      </c>
      <c r="B36" s="61" t="n">
        <f aca="false">SUMIF('Scenario calc'!$C$117:$BJ$117,B$34,'Scenario calc'!$C$150:$BJ$150)</f>
        <v>1050606.24</v>
      </c>
      <c r="C36" s="61" t="n">
        <f aca="false">SUMIF('Scenario calc'!$C$117:$BJ$117,C$34,'Scenario calc'!$C$150:$BJ$150)</f>
        <v>1489614.01584</v>
      </c>
      <c r="D36" s="61" t="n">
        <f aca="false">SUMIF('Scenario calc'!$C$117:$BJ$117,D$34,'Scenario calc'!$C$150:$BJ$150)</f>
        <v>2073898.42406304</v>
      </c>
      <c r="E36" s="61" t="n">
        <f aca="false">SUMIF('Scenario calc'!$C$117:$BJ$117,E$34,'Scenario calc'!$C$150:$BJ$150)</f>
        <v>2851517.23302332</v>
      </c>
      <c r="F36" s="61" t="n">
        <f aca="false">SUMIF('Scenario calc'!$C$117:$BJ$117,F$34,'Scenario calc'!$C$150:$BJ$150)</f>
        <v>3886476.29151786</v>
      </c>
    </row>
    <row r="37" customFormat="false" ht="15" hidden="false" customHeight="false" outlineLevel="0" collapsed="false">
      <c r="A37" s="6" t="s">
        <v>107</v>
      </c>
      <c r="B37" s="61" t="n">
        <f aca="false">SUMIF('Scenario calc'!$C$227:$BJ$227,B$34,'Scenario calc'!$C$260:$BJ$260)</f>
        <v>2248031.7</v>
      </c>
      <c r="C37" s="61" t="n">
        <f aca="false">SUMIF('Scenario calc'!$C$227:$BJ$227,C$34,'Scenario calc'!$C$260:$BJ$260)</f>
        <v>3149413.0488</v>
      </c>
      <c r="D37" s="61" t="n">
        <f aca="false">SUMIF('Scenario calc'!$C$227:$BJ$227,D$34,'Scenario calc'!$C$260:$BJ$260)</f>
        <v>4370542.9366968</v>
      </c>
      <c r="E37" s="61" t="n">
        <f aca="false">SUMIF('Scenario calc'!$C$227:$BJ$227,E$34,'Scenario calc'!$C$260:$BJ$260)</f>
        <v>6024539.10632439</v>
      </c>
      <c r="F37" s="61" t="n">
        <f aca="false">SUMIF('Scenario calc'!$C$227:$BJ$227,F$34,'Scenario calc'!$C$260:$BJ$260)</f>
        <v>8264572.01353867</v>
      </c>
    </row>
    <row r="39" customFormat="false" ht="15.75" hidden="false" customHeight="true" outlineLevel="0" collapsed="false">
      <c r="A39" s="7" t="s">
        <v>129</v>
      </c>
      <c r="B39" s="7"/>
      <c r="C39" s="7"/>
      <c r="D39" s="7"/>
      <c r="E39" s="7"/>
      <c r="F39" s="7"/>
    </row>
    <row r="40" customFormat="false" ht="15" hidden="false" customHeight="false" outlineLevel="0" collapsed="false">
      <c r="A40" s="33" t="s">
        <v>127</v>
      </c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</row>
    <row r="41" customFormat="false" ht="15" hidden="false" customHeight="false" outlineLevel="0" collapsed="false">
      <c r="A41" s="6" t="s">
        <v>105</v>
      </c>
      <c r="B41" s="61" t="n">
        <f aca="false">SUMIF('Scenario calc'!$C$7:$BJ$7,B$40,'Scenario calc'!$C$49:$BJ$49)</f>
        <v>-57628.9955555555</v>
      </c>
      <c r="C41" s="61" t="n">
        <f aca="false">SUMIF('Scenario calc'!$C$7:$BJ$7,C$40,'Scenario calc'!$C$49:$BJ$49)</f>
        <v>14247.8270933347</v>
      </c>
      <c r="D41" s="61" t="n">
        <f aca="false">SUMIF('Scenario calc'!$C$7:$BJ$7,D$40,'Scenario calc'!$C$49:$BJ$49)</f>
        <v>93929.948831087</v>
      </c>
      <c r="E41" s="61" t="n">
        <f aca="false">SUMIF('Scenario calc'!$C$7:$BJ$7,E$40,'Scenario calc'!$C$49:$BJ$49)</f>
        <v>180094.748353403</v>
      </c>
      <c r="F41" s="61" t="n">
        <f aca="false">SUMIF('Scenario calc'!$C$7:$BJ$7,F$40,'Scenario calc'!$C$49:$BJ$49)</f>
        <v>303356.107574564</v>
      </c>
    </row>
    <row r="42" customFormat="false" ht="15" hidden="false" customHeight="false" outlineLevel="0" collapsed="false">
      <c r="A42" s="6" t="s">
        <v>106</v>
      </c>
      <c r="B42" s="61" t="n">
        <f aca="false">SUMIF('Scenario calc'!$C$117:$BJ$117,B$40,'Scenario calc'!$C$159:$BJ$159)</f>
        <v>808921.040711111</v>
      </c>
      <c r="C42" s="61" t="n">
        <f aca="false">SUMIF('Scenario calc'!$C$117:$BJ$117,C$40,'Scenario calc'!$C$159:$BJ$159)</f>
        <v>1158256.40584694</v>
      </c>
      <c r="D42" s="61" t="n">
        <f aca="false">SUMIF('Scenario calc'!$C$117:$BJ$117,D$40,'Scenario calc'!$C$159:$BJ$159)</f>
        <v>1622369.08834314</v>
      </c>
      <c r="E42" s="61" t="n">
        <f aca="false">SUMIF('Scenario calc'!$C$117:$BJ$117,E$40,'Scenario calc'!$C$159:$BJ$159)</f>
        <v>2239215.94742175</v>
      </c>
      <c r="F42" s="61" t="n">
        <f aca="false">SUMIF('Scenario calc'!$C$117:$BJ$117,F$40,'Scenario calc'!$C$159:$BJ$159)</f>
        <v>3059361.60363244</v>
      </c>
    </row>
    <row r="43" customFormat="false" ht="15" hidden="false" customHeight="false" outlineLevel="0" collapsed="false">
      <c r="A43" s="6" t="s">
        <v>107</v>
      </c>
      <c r="B43" s="61" t="n">
        <f aca="false">SUMIF('Scenario calc'!$C$227:$BJ$227,B$40,'Scenario calc'!$C$269:$BJ$269)</f>
        <v>1754887.15411111</v>
      </c>
      <c r="C43" s="61" t="n">
        <f aca="false">SUMIF('Scenario calc'!$C$227:$BJ$227,C$40,'Scenario calc'!$C$269:$BJ$269)</f>
        <v>2469497.64188533</v>
      </c>
      <c r="D43" s="61" t="n">
        <f aca="false">SUMIF('Scenario calc'!$C$227:$BJ$227,D$40,'Scenario calc'!$C$269:$BJ$269)</f>
        <v>3436718.25332381</v>
      </c>
      <c r="E43" s="61" t="n">
        <f aca="false">SUMIF('Scenario calc'!$C$227:$BJ$227,E$40,'Scenario calc'!$C$269:$BJ$269)</f>
        <v>4745903.2273296</v>
      </c>
      <c r="F43" s="61" t="n">
        <f aca="false">SUMIF('Scenario calc'!$C$227:$BJ$227,F$40,'Scenario calc'!$C$269:$BJ$269)</f>
        <v>6518057.22402888</v>
      </c>
    </row>
    <row r="45" customFormat="false" ht="15.75" hidden="false" customHeight="true" outlineLevel="0" collapsed="false">
      <c r="A45" s="7" t="s">
        <v>130</v>
      </c>
      <c r="B45" s="7"/>
      <c r="C45" s="7"/>
      <c r="D45" s="7"/>
      <c r="E45" s="7"/>
      <c r="F45" s="7"/>
    </row>
    <row r="46" customFormat="false" ht="15" hidden="false" customHeight="false" outlineLevel="0" collapsed="false">
      <c r="A46" s="33" t="s">
        <v>127</v>
      </c>
      <c r="B46" s="34" t="n">
        <v>1</v>
      </c>
      <c r="C46" s="34" t="n">
        <v>2</v>
      </c>
      <c r="D46" s="34" t="n">
        <v>3</v>
      </c>
      <c r="E46" s="34" t="n">
        <v>4</v>
      </c>
      <c r="F46" s="34" t="n">
        <v>5</v>
      </c>
    </row>
    <row r="47" customFormat="false" ht="15" hidden="false" customHeight="false" outlineLevel="0" collapsed="false">
      <c r="A47" s="6" t="s">
        <v>105</v>
      </c>
      <c r="B47" s="61" t="n">
        <f aca="false">INDEX('Scenario calc'!$C$79:$BJ$79,B$46*12)</f>
        <v>49916.8977777779</v>
      </c>
      <c r="C47" s="61" t="n">
        <f aca="false">INDEX('Scenario calc'!$C$79:$BJ$79,C$46*12)</f>
        <v>-45948.2353688875</v>
      </c>
      <c r="D47" s="61" t="n">
        <f aca="false">INDEX('Scenario calc'!$C$79:$BJ$79,D$46*12)</f>
        <v>-85654.7913876405</v>
      </c>
      <c r="E47" s="61" t="n">
        <f aca="false">INDEX('Scenario calc'!$C$79:$BJ$79,E$46*12)</f>
        <v>-69746.669358075</v>
      </c>
      <c r="F47" s="61" t="n">
        <f aca="false">INDEX('Scenario calc'!$C$79:$BJ$79,F$46*12)</f>
        <v>29694.6336338868</v>
      </c>
    </row>
    <row r="48" customFormat="false" ht="15" hidden="false" customHeight="false" outlineLevel="0" collapsed="false">
      <c r="A48" s="6" t="s">
        <v>106</v>
      </c>
      <c r="B48" s="61" t="n">
        <f aca="false">INDEX('Scenario calc'!$C$189:$BJ$189,B$46*12)</f>
        <v>773613.114044444</v>
      </c>
      <c r="C48" s="61" t="n">
        <f aca="false">INDEX('Scenario calc'!$C$189:$BJ$189,C$46*12)</f>
        <v>1770433.49823138</v>
      </c>
      <c r="D48" s="61" t="n">
        <f aca="false">INDEX('Scenario calc'!$C$189:$BJ$189,D$46*12)</f>
        <v>3190693.95582506</v>
      </c>
      <c r="E48" s="61" t="n">
        <f aca="false">INDEX('Scenario calc'!$C$189:$BJ$189,E$46*12)</f>
        <v>5174417.32865833</v>
      </c>
      <c r="F48" s="61" t="n">
        <f aca="false">INDEX('Scenario calc'!$C$189:$BJ$189,F$46*12)</f>
        <v>7908136.03305034</v>
      </c>
    </row>
    <row r="49" customFormat="false" ht="15" hidden="false" customHeight="false" outlineLevel="0" collapsed="false">
      <c r="A49" s="6" t="s">
        <v>107</v>
      </c>
      <c r="B49" s="61" t="n">
        <f aca="false">INDEX('Scenario calc'!$C$299:$BJ$299,B$46*12)</f>
        <v>1562601.49994444</v>
      </c>
      <c r="C49" s="61" t="n">
        <f aca="false">INDEX('Scenario calc'!$C$299:$BJ$299,C$46*12)</f>
        <v>3806383.64662978</v>
      </c>
      <c r="D49" s="61" t="n">
        <f aca="false">INDEX('Scenario calc'!$C$299:$BJ$299,D$46*12)</f>
        <v>6951751.78901639</v>
      </c>
      <c r="E49" s="61" t="n">
        <f aca="false">INDEX('Scenario calc'!$C$299:$BJ$299,E$46*12)</f>
        <v>11318528.423337</v>
      </c>
      <c r="F49" s="61" t="n">
        <f aca="false">INDEX('Scenario calc'!$C$299:$BJ$299,F$46*12)</f>
        <v>17339977.0682795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125</v>
      </c>
      <c r="B6" s="65" t="n">
        <f aca="false">MATCH(MIN(Monthly!$C$77:$BJ$77),Monthly!$C$77:$BJ$77,0)</f>
        <v>1</v>
      </c>
    </row>
    <row r="7" customFormat="false" ht="15" hidden="false" customHeight="false" outlineLevel="0" collapsed="false">
      <c r="A7" s="6" t="s">
        <v>135</v>
      </c>
      <c r="B7" s="67" t="n">
        <f aca="false">SUMPRODUCT(--(Monthly!$C$4:$BJ$4&lt;=$B$6),Monthly!$C$50:$BJ$50)</f>
        <v>60000</v>
      </c>
    </row>
    <row r="8" customFormat="false" ht="15" hidden="false" customHeight="false" outlineLevel="0" collapsed="false">
      <c r="A8" s="6" t="s">
        <v>136</v>
      </c>
      <c r="B8" s="67" t="n">
        <f aca="false">-SUMPRODUCT(--(Monthly!$C$4:$BJ$4&lt;=$B$6),Monthly!$C$71:$BJ$71)</f>
        <v>382319.682533333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7" t="n">
        <f aca="false">-SUMPRODUCT(--(Monthly!$C$4:$BJ$4&lt;=$B$6),Monthly!$C$59:$BJ$59)</f>
        <v>-0</v>
      </c>
    </row>
    <row r="10" customFormat="false" ht="15" hidden="false" customHeight="false" outlineLevel="0" collapsed="false">
      <c r="A10" s="4" t="s">
        <v>139</v>
      </c>
      <c r="B10" s="68" t="n">
        <f aca="false">B7+B8+B9</f>
        <v>442319.682533333</v>
      </c>
    </row>
    <row r="11" customFormat="false" ht="15" hidden="false" customHeight="false" outlineLevel="0" collapsed="false">
      <c r="A11" s="6" t="s">
        <v>140</v>
      </c>
      <c r="B11" s="69" t="n">
        <f aca="false">Inputs!$E$69</f>
        <v>188000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8" t="n">
        <f aca="false">B10+B11</f>
        <v>630319.682533333</v>
      </c>
    </row>
    <row r="14" customFormat="false" ht="15" hidden="false" customHeight="false" outlineLevel="0" collapsed="false">
      <c r="A14" s="6" t="s">
        <v>64</v>
      </c>
      <c r="B14" s="69" t="n">
        <f aca="false">Inputs!$E$54</f>
        <v>300000</v>
      </c>
    </row>
    <row r="15" customFormat="false" ht="15" hidden="false" customHeight="false" outlineLevel="0" collapsed="false">
      <c r="A15" s="6" t="s">
        <v>65</v>
      </c>
      <c r="B15" s="69" t="n">
        <f aca="false">Inputs!$E$55</f>
        <v>200000</v>
      </c>
    </row>
    <row r="16" customFormat="false" ht="15" hidden="false" customHeight="false" outlineLevel="0" collapsed="false">
      <c r="A16" s="4" t="s">
        <v>143</v>
      </c>
      <c r="B16" s="68" t="n">
        <f aca="false">B14+B15</f>
        <v>500000</v>
      </c>
    </row>
    <row r="17" customFormat="false" ht="15" hidden="false" customHeight="false" outlineLevel="0" collapsed="false">
      <c r="A17" s="70" t="s">
        <v>67</v>
      </c>
      <c r="B17" s="71" t="n">
        <f aca="false">B16-B12</f>
        <v>-130319.682533333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7" t="n">
        <f aca="false">MIN(Monthly!$C$77:$BJ$77)</f>
        <v>57680.3174666667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148</v>
      </c>
      <c r="B21" s="65" t="n">
        <f aca="false">IFERROR(MATCH(1,Monthly!$C$78:$BJ$78,0),"Not within horizon")</f>
        <v>1</v>
      </c>
    </row>
    <row r="22" customFormat="false" ht="15" hidden="false" customHeight="false" outlineLevel="0" collapsed="false">
      <c r="A22" s="6" t="s">
        <v>149</v>
      </c>
      <c r="B22" s="65" t="n">
        <f aca="false">IFERROR(MATCH(1,Monthly!$C$81:$BJ$81,0),"Not within horizon")</f>
        <v>1</v>
      </c>
    </row>
    <row r="23" customFormat="false" ht="15" hidden="false" customHeight="false" outlineLevel="0" collapsed="false">
      <c r="A23" s="6" t="s">
        <v>150</v>
      </c>
      <c r="B23" s="65" t="n">
        <f aca="false">IF(MIN(Monthly!$C$83:$BJ$83)&gt;=0,"No investment to pay back",IFERROR(MATCH(1,Monthly!$C$85:$BJ$85,0),"Not within horizon"))</f>
        <v>8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2" t="s">
        <v>153</v>
      </c>
      <c r="B26" s="72" t="n">
        <v>1</v>
      </c>
      <c r="C26" s="72" t="n">
        <v>2</v>
      </c>
      <c r="D26" s="72" t="n">
        <v>3</v>
      </c>
      <c r="E26" s="72" t="n">
        <v>4</v>
      </c>
      <c r="F26" s="72" t="n">
        <v>5</v>
      </c>
    </row>
    <row r="27" customFormat="false" ht="15" hidden="false" customHeight="false" outlineLevel="0" collapsed="false">
      <c r="A27" s="33"/>
      <c r="B27" s="52" t="s">
        <v>154</v>
      </c>
      <c r="C27" s="52" t="s">
        <v>155</v>
      </c>
      <c r="D27" s="52" t="s">
        <v>156</v>
      </c>
      <c r="E27" s="52" t="s">
        <v>157</v>
      </c>
      <c r="F27" s="52" t="s">
        <v>158</v>
      </c>
    </row>
    <row r="28" customFormat="false" ht="15" hidden="false" customHeight="false" outlineLevel="0" collapsed="false">
      <c r="A28" s="4" t="s">
        <v>44</v>
      </c>
      <c r="B28" s="73" t="n">
        <f aca="false">SUMIF(Monthly!$C$5:$BJ$5,B$26,Monthly!$C$22:$BJ$22)</f>
        <v>4506192</v>
      </c>
      <c r="C28" s="73" t="n">
        <f aca="false">SUMIF(Monthly!$C$5:$BJ$5,C$26,Monthly!$C$22:$BJ$22)</f>
        <v>5835961.872</v>
      </c>
      <c r="D28" s="73" t="n">
        <f aca="false">SUMIF(Monthly!$C$5:$BJ$5,D$26,Monthly!$C$22:$BJ$22)</f>
        <v>7569836.035632</v>
      </c>
      <c r="E28" s="73" t="n">
        <f aca="false">SUMIF(Monthly!$C$5:$BJ$5,E$26,Monthly!$C$22:$BJ$22)</f>
        <v>9833787.54974491</v>
      </c>
      <c r="F28" s="73" t="n">
        <f aca="false">SUMIF(Monthly!$C$5:$BJ$5,F$26,Monthly!$C$22:$BJ$22)</f>
        <v>12793894.0222781</v>
      </c>
    </row>
    <row r="29" customFormat="false" ht="15" hidden="false" customHeight="false" outlineLevel="0" collapsed="false">
      <c r="A29" s="6" t="s">
        <v>45</v>
      </c>
      <c r="B29" s="67" t="n">
        <f aca="false">SUMIF(Monthly!$C$5:$BJ$5,B$26,Monthly!$C$29:$BJ$29)</f>
        <v>1803006.24</v>
      </c>
      <c r="C29" s="67" t="n">
        <f aca="false">SUMIF(Monthly!$C$5:$BJ$5,C$26,Monthly!$C$29:$BJ$29)</f>
        <v>2345931.01584</v>
      </c>
      <c r="D29" s="67" t="n">
        <f aca="false">SUMIF(Monthly!$C$5:$BJ$5,D$26,Monthly!$C$29:$BJ$29)</f>
        <v>3056789.82656304</v>
      </c>
      <c r="E29" s="67" t="n">
        <f aca="false">SUMIF(Monthly!$C$5:$BJ$5,E$26,Monthly!$C$29:$BJ$29)</f>
        <v>3988708.58846056</v>
      </c>
      <c r="F29" s="67" t="n">
        <f aca="false">SUMIF(Monthly!$C$5:$BJ$5,F$26,Monthly!$C$29:$BJ$29)</f>
        <v>5211925.22516482</v>
      </c>
    </row>
    <row r="30" customFormat="false" ht="15" hidden="false" customHeight="false" outlineLevel="0" collapsed="false">
      <c r="A30" s="38" t="s">
        <v>159</v>
      </c>
      <c r="B30" s="74" t="n">
        <f aca="false">IF(B28=0,0,B29/B28)</f>
        <v>0.400117491664803</v>
      </c>
      <c r="C30" s="74" t="n">
        <f aca="false">IF(C28=0,0,C29/C28)</f>
        <v>0.401978468552956</v>
      </c>
      <c r="D30" s="74" t="n">
        <f aca="false">IF(D28=0,0,D29/D28)</f>
        <v>0.403811893966318</v>
      </c>
      <c r="E30" s="74" t="n">
        <f aca="false">IF(E28=0,0,E29/E28)</f>
        <v>0.405612646021017</v>
      </c>
      <c r="F30" s="74" t="n">
        <f aca="false">IF(F28=0,0,F29/F28)</f>
        <v>0.407375988584029</v>
      </c>
    </row>
    <row r="31" customFormat="false" ht="15" hidden="false" customHeight="false" outlineLevel="0" collapsed="false">
      <c r="A31" s="6" t="s">
        <v>160</v>
      </c>
      <c r="B31" s="67" t="n">
        <f aca="false">-SUMIF(Monthly!$C$5:$BJ$5,B$26,Monthly!$C$37:$BJ$37)</f>
        <v>752400</v>
      </c>
      <c r="C31" s="67" t="n">
        <f aca="false">-SUMIF(Monthly!$C$5:$BJ$5,C$26,Monthly!$C$37:$BJ$37)</f>
        <v>856317</v>
      </c>
      <c r="D31" s="67" t="n">
        <f aca="false">-SUMIF(Monthly!$C$5:$BJ$5,D$26,Monthly!$C$37:$BJ$37)</f>
        <v>982891.4025</v>
      </c>
      <c r="E31" s="67" t="n">
        <f aca="false">-SUMIF(Monthly!$C$5:$BJ$5,E$26,Monthly!$C$37:$BJ$37)</f>
        <v>1137191.35543725</v>
      </c>
      <c r="F31" s="67" t="n">
        <f aca="false">-SUMIF(Monthly!$C$5:$BJ$5,F$26,Monthly!$C$37:$BJ$37)</f>
        <v>1325448.93364696</v>
      </c>
    </row>
    <row r="32" customFormat="false" ht="15" hidden="false" customHeight="false" outlineLevel="0" collapsed="false">
      <c r="A32" s="4" t="s">
        <v>161</v>
      </c>
      <c r="B32" s="73" t="n">
        <f aca="false">IF(B30&gt;0,B31/B30,"n/a")</f>
        <v>1880447.65768531</v>
      </c>
      <c r="C32" s="73" t="n">
        <f aca="false">IF(C30&gt;0,C31/C30,"n/a")</f>
        <v>2130255.88928326</v>
      </c>
      <c r="D32" s="73" t="n">
        <f aca="false">IF(D30&gt;0,D31/D30,"n/a")</f>
        <v>2434032.81871134</v>
      </c>
      <c r="E32" s="73" t="n">
        <f aca="false">IF(E30&gt;0,E31/E30,"n/a")</f>
        <v>2803638.80809161</v>
      </c>
      <c r="F32" s="73" t="n">
        <f aca="false">IF(F30&gt;0,F31/F30,"n/a")</f>
        <v>3253625.57143832</v>
      </c>
    </row>
    <row r="33" customFormat="false" ht="15" hidden="false" customHeight="false" outlineLevel="0" collapsed="false">
      <c r="A33" s="38" t="s">
        <v>162</v>
      </c>
      <c r="B33" s="74" t="n">
        <f aca="false">IF(AND(ISNUMBER(B32),B28&gt;0),(B28-B32)/B28,"n/a")</f>
        <v>0.582696951731016</v>
      </c>
      <c r="C33" s="74" t="n">
        <f aca="false">IF(AND(ISNUMBER(C32),C28&gt;0),(C28-C32)/C28,"n/a")</f>
        <v>0.634977757564887</v>
      </c>
      <c r="D33" s="74" t="n">
        <f aca="false">IF(AND(ISNUMBER(D32),D28&gt;0),(D28-D32)/D28,"n/a")</f>
        <v>0.678456335480175</v>
      </c>
      <c r="E33" s="74" t="n">
        <f aca="false">IF(AND(ISNUMBER(E32),E28&gt;0),(E28-E32)/E28,"n/a")</f>
        <v>0.714897358326158</v>
      </c>
      <c r="F33" s="74" t="n">
        <f aca="false">IF(AND(ISNUMBER(F32),F28&gt;0),(F28-F32)/F28,"n/a")</f>
        <v>0.74568918846969</v>
      </c>
    </row>
    <row r="35" customFormat="false" ht="15" hidden="false" customHeight="false" outlineLevel="0" collapsed="false">
      <c r="A35" s="3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164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165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166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167</v>
      </c>
      <c r="B6" s="75" t="n">
        <f aca="false">Inputs!$E$72</f>
        <v>0.16</v>
      </c>
    </row>
    <row r="7" customFormat="false" ht="15" hidden="false" customHeight="false" outlineLevel="0" collapsed="false">
      <c r="A7" s="38" t="s">
        <v>168</v>
      </c>
      <c r="B7" s="75" t="n">
        <f aca="false">Inputs!$E$73</f>
        <v>0.02</v>
      </c>
    </row>
    <row r="8" customFormat="false" ht="15" hidden="false" customHeight="false" outlineLevel="0" collapsed="false">
      <c r="A8" s="6" t="s">
        <v>169</v>
      </c>
      <c r="B8" s="76" t="n">
        <f aca="false">Inputs!$E$74</f>
        <v>5.5</v>
      </c>
    </row>
    <row r="9" customFormat="false" ht="15" hidden="false" customHeight="false" outlineLevel="0" collapsed="false">
      <c r="A9" s="38" t="s">
        <v>170</v>
      </c>
      <c r="B9" s="75" t="n">
        <f aca="false">Inputs!$E$66</f>
        <v>0.21</v>
      </c>
    </row>
    <row r="10" customFormat="false" ht="15" hidden="false" customHeight="false" outlineLevel="0" collapsed="false">
      <c r="A10" s="38" t="s">
        <v>171</v>
      </c>
      <c r="B10" s="75" t="n">
        <f aca="false">Inputs!$E$75</f>
        <v>0.01</v>
      </c>
    </row>
    <row r="11" customFormat="false" ht="15" hidden="false" customHeight="false" outlineLevel="0" collapsed="false">
      <c r="A11" s="38" t="s">
        <v>172</v>
      </c>
      <c r="B11" s="75" t="n">
        <f aca="false">Inputs!$E$76</f>
        <v>0.005</v>
      </c>
    </row>
    <row r="13" customFormat="false" ht="15.75" hidden="false" customHeight="true" outlineLevel="0" collapsed="false">
      <c r="A13" s="7" t="s">
        <v>173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2" t="s">
        <v>153</v>
      </c>
      <c r="B14" s="72" t="n">
        <v>1</v>
      </c>
      <c r="C14" s="72" t="n">
        <v>2</v>
      </c>
      <c r="D14" s="72" t="n">
        <v>3</v>
      </c>
      <c r="E14" s="72" t="n">
        <v>4</v>
      </c>
      <c r="F14" s="72" t="n">
        <v>5</v>
      </c>
    </row>
    <row r="15" customFormat="false" ht="15" hidden="false" customHeight="false" outlineLevel="0" collapsed="false">
      <c r="A15" s="33"/>
      <c r="B15" s="52" t="s">
        <v>154</v>
      </c>
      <c r="C15" s="52" t="s">
        <v>155</v>
      </c>
      <c r="D15" s="52" t="s">
        <v>156</v>
      </c>
      <c r="E15" s="52" t="s">
        <v>157</v>
      </c>
      <c r="F15" s="52" t="s">
        <v>158</v>
      </c>
    </row>
    <row r="16" customFormat="false" ht="15" hidden="false" customHeight="false" outlineLevel="0" collapsed="false">
      <c r="A16" s="6" t="s">
        <v>48</v>
      </c>
      <c r="B16" s="67" t="n">
        <f aca="false">SUMIF(Monthly!$C$5:$BJ$5,B$14,Monthly!$C$38:$BJ$38)</f>
        <v>1050606.24</v>
      </c>
      <c r="C16" s="67" t="n">
        <f aca="false">SUMIF(Monthly!$C$5:$BJ$5,C$14,Monthly!$C$38:$BJ$38)</f>
        <v>1489614.01584</v>
      </c>
      <c r="D16" s="67" t="n">
        <f aca="false">SUMIF(Monthly!$C$5:$BJ$5,D$14,Monthly!$C$38:$BJ$38)</f>
        <v>2073898.42406304</v>
      </c>
      <c r="E16" s="67" t="n">
        <f aca="false">SUMIF(Monthly!$C$5:$BJ$5,E$14,Monthly!$C$38:$BJ$38)</f>
        <v>2851517.23302332</v>
      </c>
      <c r="F16" s="67" t="n">
        <f aca="false">SUMIF(Monthly!$C$5:$BJ$5,F$14,Monthly!$C$38:$BJ$38)</f>
        <v>3886476.29151786</v>
      </c>
    </row>
    <row r="17" customFormat="false" ht="15" hidden="false" customHeight="false" outlineLevel="0" collapsed="false">
      <c r="A17" s="4" t="s">
        <v>174</v>
      </c>
      <c r="B17" s="73" t="n">
        <f aca="false">SUMIF(Monthly!$C$5:$BJ$5,B$14,Monthly!$C$86:$BJ$86)</f>
        <v>321857.6696</v>
      </c>
      <c r="C17" s="73" t="n">
        <f aca="false">SUMIF(Monthly!$C$5:$BJ$5,C$14,Monthly!$C$86:$BJ$86)</f>
        <v>1045879.0508536</v>
      </c>
      <c r="D17" s="73" t="n">
        <f aca="false">SUMIF(Monthly!$C$5:$BJ$5,D$14,Monthly!$C$86:$BJ$86)</f>
        <v>1466791.12426034</v>
      </c>
      <c r="E17" s="73" t="n">
        <f aca="false">SUMIF(Monthly!$C$5:$BJ$5,E$14,Monthly!$C$86:$BJ$86)</f>
        <v>2027726.03949995</v>
      </c>
      <c r="F17" s="73" t="n">
        <f aca="false">SUMIF(Monthly!$C$5:$BJ$5,F$14,Monthly!$C$86:$BJ$86)</f>
        <v>2775193.37105867</v>
      </c>
    </row>
    <row r="18" customFormat="false" ht="15" hidden="false" customHeight="false" outlineLevel="0" collapsed="false">
      <c r="A18" s="6" t="s">
        <v>175</v>
      </c>
      <c r="B18" s="77" t="n">
        <f aca="false">1/(1+Inputs!$E$72)^B$14</f>
        <v>0.862068965517241</v>
      </c>
      <c r="C18" s="77" t="n">
        <f aca="false">1/(1+Inputs!$E$72)^C$14</f>
        <v>0.743162901307967</v>
      </c>
      <c r="D18" s="77" t="n">
        <f aca="false">1/(1+Inputs!$E$72)^D$14</f>
        <v>0.640657673541351</v>
      </c>
      <c r="E18" s="77" t="n">
        <f aca="false">1/(1+Inputs!$E$72)^E$14</f>
        <v>0.552291097880475</v>
      </c>
      <c r="F18" s="77" t="n">
        <f aca="false">1/(1+Inputs!$E$72)^F$14</f>
        <v>0.476113015414203</v>
      </c>
    </row>
    <row r="19" customFormat="false" ht="15" hidden="false" customHeight="false" outlineLevel="0" collapsed="false">
      <c r="A19" s="6" t="s">
        <v>176</v>
      </c>
      <c r="B19" s="67" t="n">
        <f aca="false">B17*B18</f>
        <v>277463.508275862</v>
      </c>
      <c r="C19" s="67" t="n">
        <f aca="false">C17*C18</f>
        <v>777258.509849585</v>
      </c>
      <c r="D19" s="67" t="n">
        <f aca="false">D17*D18</f>
        <v>939710.989239733</v>
      </c>
      <c r="E19" s="67" t="n">
        <f aca="false">E17*E18</f>
        <v>1119895.04055625</v>
      </c>
      <c r="F19" s="67" t="n">
        <f aca="false">F17*F18</f>
        <v>1321305.68425225</v>
      </c>
    </row>
    <row r="21" customFormat="false" ht="15.75" hidden="false" customHeight="true" outlineLevel="0" collapsed="false">
      <c r="A21" s="7" t="s">
        <v>177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178</v>
      </c>
      <c r="C22" s="52" t="s">
        <v>179</v>
      </c>
    </row>
    <row r="23" customFormat="false" ht="15" hidden="false" customHeight="false" outlineLevel="0" collapsed="false">
      <c r="A23" s="6" t="s">
        <v>180</v>
      </c>
      <c r="B23" s="67" t="n">
        <f aca="false">SUM($B$19:$F$19)</f>
        <v>4435633.73217368</v>
      </c>
      <c r="C23" s="67" t="n">
        <f aca="false">B23</f>
        <v>4435633.73217368</v>
      </c>
    </row>
    <row r="24" customFormat="false" ht="15" hidden="false" customHeight="false" outlineLevel="0" collapsed="false">
      <c r="A24" s="6" t="s">
        <v>181</v>
      </c>
      <c r="B24" s="67" t="n">
        <f aca="false">$F$17</f>
        <v>2775193.37105867</v>
      </c>
      <c r="C24" s="67" t="n">
        <f aca="false">$F$16</f>
        <v>3886476.29151786</v>
      </c>
    </row>
    <row r="25" customFormat="false" ht="15" hidden="false" customHeight="false" outlineLevel="0" collapsed="false">
      <c r="A25" s="6" t="s">
        <v>182</v>
      </c>
      <c r="B25" s="67" t="n">
        <f aca="false">IF($B$6&gt;$B$7,B24*(1+$B$7)/($B$6-$B$7),0)</f>
        <v>20219265.9891417</v>
      </c>
      <c r="C25" s="67" t="n">
        <f aca="false">C24*$B$8</f>
        <v>21375619.6033482</v>
      </c>
    </row>
    <row r="26" customFormat="false" ht="15" hidden="false" customHeight="false" outlineLevel="0" collapsed="false">
      <c r="A26" s="6" t="s">
        <v>183</v>
      </c>
      <c r="B26" s="67" t="n">
        <f aca="false">B25/(1+$B$6)^$F$14</f>
        <v>9626655.6995521</v>
      </c>
      <c r="C26" s="67" t="n">
        <f aca="false">C25/(1+$B$6)^$F$14</f>
        <v>10177210.7056971</v>
      </c>
    </row>
    <row r="27" customFormat="false" ht="15" hidden="false" customHeight="false" outlineLevel="0" collapsed="false">
      <c r="A27" s="4" t="s">
        <v>177</v>
      </c>
      <c r="B27" s="68" t="n">
        <f aca="false">B23+B26</f>
        <v>14062289.4317258</v>
      </c>
      <c r="C27" s="68" t="n">
        <f aca="false">C23+C26</f>
        <v>14612844.4378707</v>
      </c>
    </row>
    <row r="28" customFormat="false" ht="15" hidden="false" customHeight="false" outlineLevel="0" collapsed="false">
      <c r="A28" s="38" t="s">
        <v>184</v>
      </c>
      <c r="B28" s="74" t="n">
        <f aca="false">IF(B27&lt;&gt;0,B26/B27,0)</f>
        <v>0.684572433691594</v>
      </c>
      <c r="C28" s="74" t="n">
        <f aca="false">IF(C27&lt;&gt;0,C26/C27,0)</f>
        <v>0.696456514607227</v>
      </c>
    </row>
    <row r="29" customFormat="false" ht="15" hidden="false" customHeight="false" outlineLevel="0" collapsed="false">
      <c r="A29" s="6" t="s">
        <v>185</v>
      </c>
      <c r="B29" s="78" t="n">
        <f aca="false">IF(C24&gt;0,B25/C24,"n/a")</f>
        <v>5.20246734381728</v>
      </c>
      <c r="C29" s="74" t="n">
        <f aca="false">IF(C25+B24&lt;&gt;0,(C25*$B$6-B24)/(C25+B24),"n/a")</f>
        <v>0.026703273556897</v>
      </c>
    </row>
    <row r="30" customFormat="false" ht="15" hidden="false" customHeight="false" outlineLevel="0" collapsed="false">
      <c r="A30" s="70" t="s">
        <v>186</v>
      </c>
      <c r="B30" s="71" t="n">
        <f aca="false">AVERAGE(B27,C27)</f>
        <v>14337566.9347983</v>
      </c>
    </row>
    <row r="32" customFormat="false" ht="15.75" hidden="false" customHeight="true" outlineLevel="0" collapsed="false">
      <c r="A32" s="7" t="s">
        <v>187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188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0.14</v>
      </c>
      <c r="B34" s="67" t="n">
        <f aca="false">IF($A34&gt;B$33,SUMPRODUCT($B$17:$F$17/(1+$A34)^$B$14:$F$14)+$F$17*(1+B$33)/($A34-B$33)/(1+$A34)^$F$14,"n/a")</f>
        <v>15917237.473933</v>
      </c>
      <c r="C34" s="67" t="n">
        <f aca="false">IF($A34&gt;C$33,SUMPRODUCT($B$17:$F$17/(1+$A34)^$B$14:$F$14)+$F$17*(1+C$33)/($A34-C$33)/(1+$A34)^$F$14,"n/a")</f>
        <v>16422818.1695922</v>
      </c>
      <c r="D34" s="67" t="n">
        <f aca="false">IF($A34&gt;D$33,SUMPRODUCT($B$17:$F$17/(1+$A34)^$B$14:$F$14)+$F$17*(1+D$33)/($A34-D$33)/(1+$A34)^$F$14,"n/a")</f>
        <v>16970530.5898896</v>
      </c>
      <c r="E34" s="67" t="n">
        <f aca="false">IF($A34&gt;E$33,SUMPRODUCT($B$17:$F$17/(1+$A34)^$B$14:$F$14)+$F$17*(1+E$33)/($A34-E$33)/(1+$A34)^$F$14,"n/a")</f>
        <v>17565870.1771694</v>
      </c>
      <c r="F34" s="67" t="n">
        <f aca="false">IF($A34&gt;F$33,SUMPRODUCT($B$17:$F$17/(1+$A34)^$B$14:$F$14)+$F$17*(1+F$33)/($A34-F$33)/(1+$A34)^$F$14,"n/a")</f>
        <v>18215331.5451111</v>
      </c>
    </row>
    <row r="35" customFormat="false" ht="15" hidden="false" customHeight="false" outlineLevel="0" collapsed="false">
      <c r="A35" s="74" t="n">
        <f aca="false">$B$6+(-1)*$B$10</f>
        <v>0.15</v>
      </c>
      <c r="B35" s="67" t="n">
        <f aca="false">IF($A35&gt;B$33,SUMPRODUCT($B$17:$F$17/(1+$A35)^$B$14:$F$14)+$F$17*(1+B$33)/($A35-B$33)/(1+$A35)^$F$14,"n/a")</f>
        <v>14528264.8096211</v>
      </c>
      <c r="C35" s="67" t="n">
        <f aca="false">IF($A35&gt;C$33,SUMPRODUCT($B$17:$F$17/(1+$A35)^$B$14:$F$14)+$F$17*(1+C$33)/($A35-C$33)/(1+$A35)^$F$14,"n/a")</f>
        <v>14948033.5442907</v>
      </c>
      <c r="D35" s="67" t="n">
        <f aca="false">IF($A35&gt;D$33,SUMPRODUCT($B$17:$F$17/(1+$A35)^$B$14:$F$14)+$F$17*(1+D$33)/($A35-D$33)/(1+$A35)^$F$14,"n/a")</f>
        <v>15400092.1816272</v>
      </c>
      <c r="E35" s="67" t="n">
        <f aca="false">IF($A35&gt;E$33,SUMPRODUCT($B$17:$F$17/(1+$A35)^$B$14:$F$14)+$F$17*(1+E$33)/($A35-E$33)/(1+$A35)^$F$14,"n/a")</f>
        <v>15888315.5099506</v>
      </c>
      <c r="F35" s="67" t="n">
        <f aca="false">IF($A35&gt;F$33,SUMPRODUCT($B$17:$F$17/(1+$A35)^$B$14:$F$14)+$F$17*(1+F$33)/($A35-F$33)/(1+$A35)^$F$14,"n/a")</f>
        <v>16417224.1156343</v>
      </c>
    </row>
    <row r="36" customFormat="false" ht="15" hidden="false" customHeight="false" outlineLevel="0" collapsed="false">
      <c r="A36" s="74" t="n">
        <f aca="false">$B$6+(0)*$B$10</f>
        <v>0.16</v>
      </c>
      <c r="B36" s="67" t="n">
        <f aca="false">IF($A36&gt;B$33,SUMPRODUCT($B$17:$F$17/(1+$A36)^$B$14:$F$14)+$F$17*(1+B$33)/($A36-B$33)/(1+$A36)^$F$14,"n/a")</f>
        <v>13332425.3394722</v>
      </c>
      <c r="C36" s="67" t="n">
        <f aca="false">IF($A36&gt;C$33,SUMPRODUCT($B$17:$F$17/(1+$A36)^$B$14:$F$14)+$F$17*(1+C$33)/($A36-C$33)/(1+$A36)^$F$14,"n/a")</f>
        <v>13684773.5219394</v>
      </c>
      <c r="D36" s="67" t="n">
        <f aca="false">IF($A36&gt;D$33,SUMPRODUCT($B$17:$F$17/(1+$A36)^$B$14:$F$14)+$F$17*(1+D$33)/($A36-D$33)/(1+$A36)^$F$14,"n/a")</f>
        <v>14062289.4317258</v>
      </c>
      <c r="E36" s="67" t="n">
        <f aca="false">IF($A36&gt;E$33,SUMPRODUCT($B$17:$F$17/(1+$A36)^$B$14:$F$14)+$F$17*(1+E$33)/($A36-E$33)/(1+$A36)^$F$14,"n/a")</f>
        <v>14467769.4829778</v>
      </c>
      <c r="F36" s="67" t="n">
        <f aca="false">IF($A36&gt;F$33,SUMPRODUCT($B$17:$F$17/(1+$A36)^$B$14:$F$14)+$F$17*(1+F$33)/($A36-F$33)/(1+$A36)^$F$14,"n/a")</f>
        <v>14904440.307403</v>
      </c>
    </row>
    <row r="37" customFormat="false" ht="15" hidden="false" customHeight="false" outlineLevel="0" collapsed="false">
      <c r="A37" s="74" t="n">
        <f aca="false">$B$6+(1)*$B$10</f>
        <v>0.17</v>
      </c>
      <c r="B37" s="67" t="n">
        <f aca="false">IF($A37&gt;B$33,SUMPRODUCT($B$17:$F$17/(1+$A37)^$B$14:$F$14)+$F$17*(1+B$33)/($A37-B$33)/(1+$A37)^$F$14,"n/a")</f>
        <v>12293176.1109015</v>
      </c>
      <c r="C37" s="67" t="n">
        <f aca="false">IF($A37&gt;C$33,SUMPRODUCT($B$17:$F$17/(1+$A37)^$B$14:$F$14)+$F$17*(1+C$33)/($A37-C$33)/(1+$A37)^$F$14,"n/a")</f>
        <v>12591761.2069341</v>
      </c>
      <c r="D37" s="67" t="n">
        <f aca="false">IF($A37&gt;D$33,SUMPRODUCT($B$17:$F$17/(1+$A37)^$B$14:$F$14)+$F$17*(1+D$33)/($A37-D$33)/(1+$A37)^$F$14,"n/a")</f>
        <v>12910251.9760356</v>
      </c>
      <c r="E37" s="67" t="n">
        <f aca="false">IF($A37&gt;E$33,SUMPRODUCT($B$17:$F$17/(1+$A37)^$B$14:$F$14)+$F$17*(1+E$33)/($A37-E$33)/(1+$A37)^$F$14,"n/a")</f>
        <v>13250707.6257647</v>
      </c>
      <c r="F37" s="67" t="n">
        <f aca="false">IF($A37&gt;F$33,SUMPRODUCT($B$17:$F$17/(1+$A37)^$B$14:$F$14)+$F$17*(1+F$33)/($A37-F$33)/(1+$A37)^$F$14,"n/a")</f>
        <v>13615481.5361888</v>
      </c>
    </row>
    <row r="38" customFormat="false" ht="15" hidden="false" customHeight="false" outlineLevel="0" collapsed="false">
      <c r="A38" s="74" t="n">
        <f aca="false">$B$6+(2)*$B$10</f>
        <v>0.18</v>
      </c>
      <c r="B38" s="67" t="n">
        <f aca="false">IF($A38&gt;B$33,SUMPRODUCT($B$17:$F$17/(1+$A38)^$B$14:$F$14)+$F$17*(1+B$33)/($A38-B$33)/(1+$A38)^$F$14,"n/a")</f>
        <v>11382589.2534038</v>
      </c>
      <c r="C38" s="67" t="n">
        <f aca="false">IF($A38&gt;C$33,SUMPRODUCT($B$17:$F$17/(1+$A38)^$B$14:$F$14)+$F$17*(1+C$33)/($A38-C$33)/(1+$A38)^$F$14,"n/a")</f>
        <v>11637743.2404248</v>
      </c>
      <c r="D38" s="67" t="n">
        <f aca="false">IF($A38&gt;D$33,SUMPRODUCT($B$17:$F$17/(1+$A38)^$B$14:$F$14)+$F$17*(1+D$33)/($A38-D$33)/(1+$A38)^$F$14,"n/a")</f>
        <v>11908844.3516345</v>
      </c>
      <c r="E38" s="67" t="n">
        <f aca="false">IF($A38&gt;E$33,SUMPRODUCT($B$17:$F$17/(1+$A38)^$B$14:$F$14)+$F$17*(1+E$33)/($A38-E$33)/(1+$A38)^$F$14,"n/a")</f>
        <v>12197435.8571159</v>
      </c>
      <c r="F38" s="67" t="n">
        <f aca="false">IF($A38&gt;F$33,SUMPRODUCT($B$17:$F$17/(1+$A38)^$B$14:$F$14)+$F$17*(1+F$33)/($A38-F$33)/(1+$A38)^$F$14,"n/a")</f>
        <v>12505266.796296</v>
      </c>
    </row>
    <row r="40" customFormat="false" ht="15" hidden="false" customHeight="false" outlineLevel="0" collapsed="false">
      <c r="A40" s="38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190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191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192</v>
      </c>
      <c r="B5" s="7"/>
      <c r="C5" s="7"/>
    </row>
    <row r="6" customFormat="false" ht="15" hidden="false" customHeight="false" outlineLevel="0" collapsed="false">
      <c r="B6" s="52" t="s">
        <v>193</v>
      </c>
      <c r="C6" s="52" t="s">
        <v>194</v>
      </c>
    </row>
    <row r="7" customFormat="false" ht="15" hidden="false" customHeight="false" outlineLevel="0" collapsed="false">
      <c r="A7" s="6" t="s">
        <v>195</v>
      </c>
      <c r="B7" s="80" t="n">
        <f aca="false">Inputs!$E$54</f>
        <v>300000</v>
      </c>
      <c r="C7" s="74" t="n">
        <f aca="false">IF($B$9=0,0,B7/$B$9)</f>
        <v>0.6</v>
      </c>
    </row>
    <row r="8" customFormat="false" ht="15" hidden="false" customHeight="false" outlineLevel="0" collapsed="false">
      <c r="A8" s="6" t="s">
        <v>196</v>
      </c>
      <c r="B8" s="80" t="n">
        <f aca="false">Inputs!$E$55</f>
        <v>200000</v>
      </c>
      <c r="C8" s="74" t="n">
        <f aca="false">IF($B$9=0,0,B8/$B$9)</f>
        <v>0.4</v>
      </c>
    </row>
    <row r="9" customFormat="false" ht="15" hidden="false" customHeight="false" outlineLevel="0" collapsed="false">
      <c r="A9" s="4" t="s">
        <v>197</v>
      </c>
      <c r="B9" s="81" t="n">
        <f aca="false">B7+B8</f>
        <v>500000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198</v>
      </c>
      <c r="B10" s="78" t="n">
        <f aca="false">IF(B7&lt;=0,IF(B8&gt;0,"n/a",0),B8/B7)</f>
        <v>0.666666666666667</v>
      </c>
      <c r="D10" s="18" t="s">
        <v>199</v>
      </c>
    </row>
    <row r="11" customFormat="false" ht="15" hidden="false" customHeight="false" outlineLevel="0" collapsed="false">
      <c r="A11" s="6" t="s">
        <v>200</v>
      </c>
      <c r="B11" s="80" t="n">
        <f aca="false">'Break-even'!B12</f>
        <v>630319.682533333</v>
      </c>
    </row>
    <row r="12" customFormat="false" ht="15" hidden="false" customHeight="false" outlineLevel="0" collapsed="false">
      <c r="A12" s="70" t="s">
        <v>67</v>
      </c>
      <c r="B12" s="83" t="n">
        <f aca="false">'Break-even'!B17</f>
        <v>-130319.682533333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201</v>
      </c>
      <c r="B15" s="84" t="n">
        <v>12</v>
      </c>
      <c r="D15" s="18" t="s">
        <v>202</v>
      </c>
    </row>
    <row r="16" customFormat="false" ht="15" hidden="false" customHeight="false" outlineLevel="0" collapsed="false">
      <c r="A16" s="6" t="s">
        <v>203</v>
      </c>
      <c r="B16" s="65" t="n">
        <f aca="false">MIN(60,MAX(1,ROUND(B15,0)))</f>
        <v>12</v>
      </c>
    </row>
    <row r="17" customFormat="false" ht="15" hidden="false" customHeight="false" outlineLevel="0" collapsed="false">
      <c r="A17" s="33" t="s">
        <v>204</v>
      </c>
      <c r="B17" s="52" t="s">
        <v>193</v>
      </c>
      <c r="C17" s="52" t="s">
        <v>194</v>
      </c>
    </row>
    <row r="18" customFormat="false" ht="15" hidden="false" customHeight="false" outlineLevel="0" collapsed="false">
      <c r="A18" s="6" t="s">
        <v>64</v>
      </c>
      <c r="B18" s="61" t="n">
        <f aca="false">SUMPRODUCT(--(Monthly!$C$4:$BJ$4&lt;=$B$16),Monthly!$C$73:$BJ$73)</f>
        <v>300000</v>
      </c>
      <c r="C18" s="74" t="n">
        <f aca="false">IF($B$21=0,0,B18/$B$21)</f>
        <v>0.344716729779552</v>
      </c>
    </row>
    <row r="19" customFormat="false" ht="15" hidden="false" customHeight="false" outlineLevel="0" collapsed="false">
      <c r="A19" s="6" t="s">
        <v>205</v>
      </c>
      <c r="B19" s="61" t="n">
        <f aca="false">SUMPRODUCT(--(Monthly!$C$4:$BJ$4&lt;=$B$16),Monthly!$C$58:$BJ$58)</f>
        <v>200000</v>
      </c>
      <c r="C19" s="74" t="n">
        <f aca="false">IF($B$21=0,0,B19/$B$21)</f>
        <v>0.229811153186368</v>
      </c>
    </row>
    <row r="20" customFormat="false" ht="15" hidden="false" customHeight="false" outlineLevel="0" collapsed="false">
      <c r="A20" s="6" t="s">
        <v>206</v>
      </c>
      <c r="B20" s="61" t="n">
        <f aca="false">MAX(0,SUMPRODUCT(--(Monthly!$C$4:$BJ$4&lt;=$B$16),Monthly!$C$71:$BJ$71))</f>
        <v>370279.780711111</v>
      </c>
      <c r="C20" s="74" t="n">
        <f aca="false">IF($B$21=0,0,B20/$B$21)</f>
        <v>0.42547211703408</v>
      </c>
    </row>
    <row r="21" customFormat="false" ht="15" hidden="false" customHeight="false" outlineLevel="0" collapsed="false">
      <c r="A21" s="4" t="s">
        <v>207</v>
      </c>
      <c r="B21" s="81" t="n">
        <f aca="false">SUM(B18:B20)</f>
        <v>870279.780711111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208</v>
      </c>
      <c r="B23" s="52" t="s">
        <v>193</v>
      </c>
      <c r="C23" s="52" t="s">
        <v>194</v>
      </c>
    </row>
    <row r="24" customFormat="false" ht="15" hidden="false" customHeight="false" outlineLevel="0" collapsed="false">
      <c r="A24" s="6" t="s">
        <v>209</v>
      </c>
      <c r="B24" s="61" t="n">
        <f aca="false">MAX(0,-SUMPRODUCT(--(Monthly!$C$4:$BJ$4&lt;=$B$16),Monthly!$C$71:$BJ$71))</f>
        <v>0</v>
      </c>
      <c r="C24" s="74" t="n">
        <f aca="false">IF($B$28=0,0,B24/$B$28)</f>
        <v>0</v>
      </c>
    </row>
    <row r="25" customFormat="false" ht="15" hidden="false" customHeight="false" outlineLevel="0" collapsed="false">
      <c r="A25" s="6" t="s">
        <v>84</v>
      </c>
      <c r="B25" s="61" t="n">
        <f aca="false">-SUMPRODUCT(--(Monthly!$C$4:$BJ$4&lt;=$B$16),Monthly!$C$72:$BJ$72)</f>
        <v>60000</v>
      </c>
      <c r="C25" s="74" t="n">
        <f aca="false">IF($B$28=0,0,B25/$B$28)</f>
        <v>0.0689433459559104</v>
      </c>
    </row>
    <row r="26" customFormat="false" ht="15" hidden="false" customHeight="false" outlineLevel="0" collapsed="false">
      <c r="A26" s="6" t="s">
        <v>210</v>
      </c>
      <c r="B26" s="61" t="n">
        <f aca="false">-SUMPRODUCT(--(Monthly!$C$4:$BJ$4&lt;=$B$16),Monthly!$C$59:$BJ$59)</f>
        <v>36666.6666666667</v>
      </c>
      <c r="C26" s="74" t="n">
        <f aca="false">IF($B$28=0,0,B26/$B$28)</f>
        <v>0.0421320447508342</v>
      </c>
    </row>
    <row r="27" customFormat="false" ht="15" hidden="false" customHeight="false" outlineLevel="0" collapsed="false">
      <c r="A27" s="6" t="s">
        <v>211</v>
      </c>
      <c r="B27" s="61" t="n">
        <f aca="false">INDEX(Monthly!$C$77:$BJ$77,$B$16)</f>
        <v>773613.114044444</v>
      </c>
      <c r="C27" s="74" t="n">
        <f aca="false">IF($B$28=0,0,B27/$B$28)</f>
        <v>0.888924609293256</v>
      </c>
    </row>
    <row r="28" customFormat="false" ht="15" hidden="false" customHeight="false" outlineLevel="0" collapsed="false">
      <c r="A28" s="4" t="s">
        <v>212</v>
      </c>
      <c r="B28" s="81" t="n">
        <f aca="false">SUM(B24:B27)</f>
        <v>870279.780711111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213</v>
      </c>
      <c r="B29" s="61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215</v>
      </c>
    </row>
    <row r="4" customFormat="false" ht="15.75" hidden="false" customHeight="true" outlineLevel="0" collapsed="false">
      <c r="A4" s="7" t="s">
        <v>216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217</v>
      </c>
    </row>
    <row r="6" customFormat="false" ht="15" hidden="false" customHeight="false" outlineLevel="0" collapsed="false">
      <c r="A6" s="38" t="s">
        <v>218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0.295098360655738</v>
      </c>
      <c r="D6" s="39" t="n">
        <f aca="false">IF(N('P&amp;L'!C5)&lt;=0,"n/a",'P&amp;L'!D5/'P&amp;L'!C5-1)</f>
        <v>0.297101694915254</v>
      </c>
      <c r="E6" s="39" t="n">
        <f aca="false">IF(N('P&amp;L'!D5)&lt;=0,"n/a",'P&amp;L'!E5/'P&amp;L'!D5-1)</f>
        <v>0.299075370121131</v>
      </c>
      <c r="F6" s="39" t="n">
        <f aca="false">IF(N('P&amp;L'!E5)&lt;=0,"n/a",'P&amp;L'!F5/'P&amp;L'!E5-1)</f>
        <v>0.301013872585637</v>
      </c>
      <c r="G6" s="85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0.400117491664803</v>
      </c>
      <c r="C7" s="39" t="n">
        <f aca="false">IF('P&amp;L'!C5&lt;=0,"n/a",'P&amp;L'!C7/'P&amp;L'!C5)</f>
        <v>0.401978468552956</v>
      </c>
      <c r="D7" s="39" t="n">
        <f aca="false">IF('P&amp;L'!D5&lt;=0,"n/a",'P&amp;L'!D7/'P&amp;L'!D5)</f>
        <v>0.403811893966318</v>
      </c>
      <c r="E7" s="39" t="n">
        <f aca="false">IF('P&amp;L'!E5&lt;=0,"n/a",'P&amp;L'!E7/'P&amp;L'!E5)</f>
        <v>0.405612646021017</v>
      </c>
      <c r="F7" s="39" t="n">
        <f aca="false">IF('P&amp;L'!F5&lt;=0,"n/a",'P&amp;L'!F7/'P&amp;L'!F5)</f>
        <v>0.407375988584029</v>
      </c>
      <c r="G7" s="85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IF('P&amp;L'!B5&lt;=0,"n/a",'P&amp;L'!B15/'P&amp;L'!B5)</f>
        <v>0.23314724272734</v>
      </c>
      <c r="C8" s="39" t="n">
        <f aca="false">IF('P&amp;L'!C5&lt;=0,"n/a",'P&amp;L'!C15/'P&amp;L'!C5)</f>
        <v>0.255247386551123</v>
      </c>
      <c r="D8" s="39" t="n">
        <f aca="false">IF('P&amp;L'!D5&lt;=0,"n/a",'P&amp;L'!D15/'P&amp;L'!D5)</f>
        <v>0.273968737803697</v>
      </c>
      <c r="E8" s="39" t="n">
        <f aca="false">IF('P&amp;L'!E5&lt;=0,"n/a",'P&amp;L'!E15/'P&amp;L'!E5)</f>
        <v>0.289971409144108</v>
      </c>
      <c r="F8" s="39" t="n">
        <f aca="false">IF('P&amp;L'!F5&lt;=0,"n/a",'P&amp;L'!F15/'P&amp;L'!F5)</f>
        <v>0.303775870329262</v>
      </c>
      <c r="G8" s="85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IF('P&amp;L'!B5&lt;=0,"n/a",'P&amp;L'!B22/'P&amp;L'!B5)</f>
        <v>0.179513221076934</v>
      </c>
      <c r="C9" s="39" t="n">
        <f aca="false">IF('P&amp;L'!C5&lt;=0,"n/a",'P&amp;L'!C22/'P&amp;L'!C5)</f>
        <v>0.198468809641143</v>
      </c>
      <c r="D9" s="39" t="n">
        <f aca="false">IF('P&amp;L'!D5&lt;=0,"n/a",'P&amp;L'!D22/'P&amp;L'!D5)</f>
        <v>0.214320241641494</v>
      </c>
      <c r="E9" s="39" t="n">
        <f aca="false">IF('P&amp;L'!E5&lt;=0,"n/a",'P&amp;L'!E22/'P&amp;L'!E5)</f>
        <v>0.227706357910878</v>
      </c>
      <c r="F9" s="39" t="n">
        <f aca="false">IF('P&amp;L'!F5&lt;=0,"n/a",'P&amp;L'!F22/'P&amp;L'!F5)</f>
        <v>0.239126695774185</v>
      </c>
      <c r="G9" s="85"/>
    </row>
    <row r="10" customFormat="false" ht="15" hidden="false" customHeight="false" outlineLevel="0" collapsed="false">
      <c r="A10" s="38" t="s">
        <v>219</v>
      </c>
      <c r="B10" s="39" t="n">
        <f aca="false">IF('P&amp;L'!B5&lt;=0,"n/a",-SUMIF(Headcount!$C$5:$BJ$5,B$5,Headcount!$C$19:$BJ$19)/'P&amp;L'!B5)</f>
        <v>0.571214009522897</v>
      </c>
      <c r="C10" s="39" t="n">
        <f aca="false">IF('P&amp;L'!C5&lt;=0,"n/a",-SUMIF(Headcount!$C$5:$BJ$5,C$5,Headcount!$C$19:$BJ$19)/'P&amp;L'!C5)</f>
        <v>0.567227317896363</v>
      </c>
      <c r="D10" s="39" t="n">
        <f aca="false">IF('P&amp;L'!D5&lt;=0,"n/a",-SUMIF(Headcount!$C$5:$BJ$5,D$5,Headcount!$C$19:$BJ$19)/'P&amp;L'!D5)</f>
        <v>0.563545608969566</v>
      </c>
      <c r="E10" s="39" t="n">
        <f aca="false">IF('P&amp;L'!E5&lt;=0,"n/a",-SUMIF(Headcount!$C$5:$BJ$5,E$5,Headcount!$C$19:$BJ$19)/'P&amp;L'!E5)</f>
        <v>0.56015377877267</v>
      </c>
      <c r="F10" s="39" t="n">
        <f aca="false">IF('P&amp;L'!F5&lt;=0,"n/a",-SUMIF(Headcount!$C$5:$BJ$5,F$5,Headcount!$C$19:$BJ$19)/'P&amp;L'!F5)</f>
        <v>0.557036594419686</v>
      </c>
      <c r="G10" s="85"/>
    </row>
    <row r="11" customFormat="false" ht="15" hidden="false" customHeight="false" outlineLevel="0" collapsed="false">
      <c r="A11" s="38" t="s">
        <v>220</v>
      </c>
      <c r="B11" s="39" t="n">
        <f aca="false">IF('P&amp;L'!B5&lt;=0,"n/a",-'P&amp;L'!B10/'P&amp;L'!B5)</f>
        <v>0.021304019003185</v>
      </c>
      <c r="C11" s="39" t="n">
        <f aca="false">IF('P&amp;L'!C5&lt;=0,"n/a",-'P&amp;L'!C10/'P&amp;L'!C5)</f>
        <v>0.0164497304995415</v>
      </c>
      <c r="D11" s="39" t="n">
        <f aca="false">IF('P&amp;L'!D5&lt;=0,"n/a",-'P&amp;L'!D10/'P&amp;L'!D5)</f>
        <v>0.0126819127320748</v>
      </c>
      <c r="E11" s="39" t="n">
        <f aca="false">IF('P&amp;L'!E5&lt;=0,"n/a",-'P&amp;L'!E10/'P&amp;L'!E5)</f>
        <v>0.00976226093093604</v>
      </c>
      <c r="F11" s="39" t="n">
        <f aca="false">IF('P&amp;L'!F5&lt;=0,"n/a",-'P&amp;L'!F10/'P&amp;L'!F5)</f>
        <v>0.00750357942881463</v>
      </c>
      <c r="G11" s="85"/>
    </row>
    <row r="12" customFormat="false" ht="15" hidden="false" customHeight="false" outlineLevel="0" collapsed="false">
      <c r="A12" s="38" t="s">
        <v>221</v>
      </c>
      <c r="B12" s="39" t="n">
        <f aca="false">IF('P&amp;L'!B5&lt;=0,"n/a",-'P&amp;L'!B14/'P&amp;L'!B5)</f>
        <v>0.166970248937462</v>
      </c>
      <c r="C12" s="39" t="n">
        <f aca="false">IF('P&amp;L'!C5&lt;=0,"n/a",-'P&amp;L'!C14/'P&amp;L'!C5)</f>
        <v>0.146731082001832</v>
      </c>
      <c r="D12" s="39" t="n">
        <f aca="false">IF('P&amp;L'!D5&lt;=0,"n/a",-'P&amp;L'!D14/'P&amp;L'!D5)</f>
        <v>0.129843156162621</v>
      </c>
      <c r="E12" s="39" t="n">
        <f aca="false">IF('P&amp;L'!E5&lt;=0,"n/a",-'P&amp;L'!E14/'P&amp;L'!E5)</f>
        <v>0.115641236876909</v>
      </c>
      <c r="F12" s="39" t="n">
        <f aca="false">IF('P&amp;L'!F5&lt;=0,"n/a",-'P&amp;L'!F14/'P&amp;L'!F5)</f>
        <v>0.103600118254767</v>
      </c>
      <c r="G12" s="85"/>
    </row>
    <row r="13" customFormat="false" ht="15" hidden="false" customHeight="false" outlineLevel="0" collapsed="false">
      <c r="A13" s="6" t="s">
        <v>222</v>
      </c>
      <c r="B13" s="86" t="n">
        <f aca="false">IF(('Balance Sheet'!B12-'Balance Sheet'!B11)&lt;=0,"n/a",('Balance Sheet'!B5+'Balance Sheet'!B6+'Balance Sheet'!B7)/('Balance Sheet'!B12-'Balance Sheet'!B11))</f>
        <v>11.8694361341511</v>
      </c>
      <c r="C13" s="86" t="n">
        <f aca="false">IF(('Balance Sheet'!C12-'Balance Sheet'!C11)&lt;=0,"n/a",('Balance Sheet'!C5+'Balance Sheet'!C6+'Balance Sheet'!C7)/('Balance Sheet'!C12-'Balance Sheet'!C11))</f>
        <v>17.1913349899628</v>
      </c>
      <c r="D13" s="86" t="n">
        <f aca="false">IF(('Balance Sheet'!D12-'Balance Sheet'!D11)&lt;=0,"n/a",('Balance Sheet'!D5+'Balance Sheet'!D6+'Balance Sheet'!D7)/('Balance Sheet'!D12-'Balance Sheet'!D11))</f>
        <v>21.9998108699135</v>
      </c>
      <c r="E13" s="86" t="n">
        <f aca="false">IF(('Balance Sheet'!E12-'Balance Sheet'!E11)&lt;=0,"n/a",('Balance Sheet'!E5+'Balance Sheet'!E6+'Balance Sheet'!E7)/('Balance Sheet'!E12-'Balance Sheet'!E11))</f>
        <v>26.2934649052653</v>
      </c>
      <c r="F13" s="86" t="n">
        <f aca="false">IF(('Balance Sheet'!F12-'Balance Sheet'!F11)&lt;=0,"n/a",('Balance Sheet'!F5+'Balance Sheet'!F6+'Balance Sheet'!F7)/('Balance Sheet'!F12-'Balance Sheet'!F11))</f>
        <v>30.0946829202091</v>
      </c>
      <c r="G13" s="87"/>
    </row>
    <row r="14" customFormat="false" ht="15" hidden="false" customHeight="false" outlineLevel="0" collapsed="false">
      <c r="A14" s="6" t="s">
        <v>223</v>
      </c>
      <c r="B14" s="86" t="n">
        <f aca="false">IF('Balance Sheet'!B15&lt;=0,"n/a",'Balance Sheet'!B11/'Balance Sheet'!B15)</f>
        <v>0.147290318550177</v>
      </c>
      <c r="C14" s="86" t="n">
        <f aca="false">IF('Balance Sheet'!C15&lt;=0,"n/a",'Balance Sheet'!C11/'Balance Sheet'!C15)</f>
        <v>0.0543995060997867</v>
      </c>
      <c r="D14" s="86" t="n">
        <f aca="false">IF('Balance Sheet'!D15&lt;=0,"n/a",'Balance Sheet'!D11/'Balance Sheet'!D15)</f>
        <v>0.0214249482775375</v>
      </c>
      <c r="E14" s="86" t="n">
        <f aca="false">IF('Balance Sheet'!E15&lt;=0,"n/a",'Balance Sheet'!E11/'Balance Sheet'!E15)</f>
        <v>0.00707048665343431</v>
      </c>
      <c r="F14" s="86" t="n">
        <f aca="false">IF('Balance Sheet'!F15&lt;=0,"n/a",'Balance Sheet'!F11/'Balance Sheet'!F15)</f>
        <v>0.000362787148078292</v>
      </c>
      <c r="G14" s="87"/>
    </row>
    <row r="15" customFormat="false" ht="15" hidden="false" customHeight="false" outlineLevel="0" collapsed="false">
      <c r="A15" s="38" t="s">
        <v>224</v>
      </c>
      <c r="B15" s="39" t="n">
        <f aca="false">IF('Balance Sheet'!B9&lt;=0,"n/a",'P&amp;L'!B22/'Balance Sheet'!B9)</f>
        <v>0.584106121363731</v>
      </c>
      <c r="C15" s="39" t="n">
        <f aca="false">IF('Balance Sheet'!C9&lt;=0,"n/a",'P&amp;L'!C22/'Balance Sheet'!C9)</f>
        <v>0.45673854754892</v>
      </c>
      <c r="D15" s="39" t="n">
        <f aca="false">IF('Balance Sheet'!D9&lt;=0,"n/a",'P&amp;L'!D22/'Balance Sheet'!D9)</f>
        <v>0.389906015775241</v>
      </c>
      <c r="E15" s="39" t="n">
        <f aca="false">IF('Balance Sheet'!E9&lt;=0,"n/a",'P&amp;L'!E22/'Balance Sheet'!E9)</f>
        <v>0.349024520989867</v>
      </c>
      <c r="F15" s="39" t="n">
        <f aca="false">IF('Balance Sheet'!F9&lt;=0,"n/a",'P&amp;L'!F22/'Balance Sheet'!F9)</f>
        <v>0.32178832917865</v>
      </c>
      <c r="G15" s="85"/>
    </row>
    <row r="16" customFormat="false" ht="15" hidden="false" customHeight="false" outlineLevel="0" collapsed="false">
      <c r="A16" s="38" t="s">
        <v>225</v>
      </c>
      <c r="B16" s="39" t="n">
        <f aca="false">IF('Balance Sheet'!B15&lt;=0,"n/a",'P&amp;L'!B22/'Balance Sheet'!B15)</f>
        <v>0.729466761846614</v>
      </c>
      <c r="C16" s="39" t="n">
        <f aca="false">IF('Balance Sheet'!C15&lt;=0,"n/a",'P&amp;L'!C22/'Balance Sheet'!C15)</f>
        <v>0.510880349310709</v>
      </c>
      <c r="D16" s="39" t="n">
        <f aca="false">IF('Balance Sheet'!D15&lt;=0,"n/a",'P&amp;L'!D22/'Balance Sheet'!D15)</f>
        <v>0.41711008565793</v>
      </c>
      <c r="E16" s="39" t="n">
        <f aca="false">IF('Balance Sheet'!E15&lt;=0,"n/a",'P&amp;L'!E22/'Balance Sheet'!E15)</f>
        <v>0.36536184162468</v>
      </c>
      <c r="F16" s="39" t="n">
        <f aca="false">IF('Balance Sheet'!F15&lt;=0,"n/a",'P&amp;L'!F22/'Balance Sheet'!F15)</f>
        <v>0.332969121336625</v>
      </c>
      <c r="G16" s="85"/>
    </row>
    <row r="18" customFormat="false" ht="15.75" hidden="false" customHeight="true" outlineLevel="0" collapsed="false">
      <c r="A18" s="7" t="s">
        <v>226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IF('P&amp;L'!B5&lt;=0,"n/a",'P&amp;L'!B22/'P&amp;L'!B5)</f>
        <v>0.179513221076934</v>
      </c>
      <c r="C20" s="39" t="n">
        <f aca="false">IF('P&amp;L'!C5&lt;=0,"n/a",'P&amp;L'!C22/'P&amp;L'!C5)</f>
        <v>0.198468809641143</v>
      </c>
      <c r="D20" s="39" t="n">
        <f aca="false">IF('P&amp;L'!D5&lt;=0,"n/a",'P&amp;L'!D22/'P&amp;L'!D5)</f>
        <v>0.214320241641494</v>
      </c>
      <c r="E20" s="39" t="n">
        <f aca="false">IF('P&amp;L'!E5&lt;=0,"n/a",'P&amp;L'!E22/'P&amp;L'!E5)</f>
        <v>0.227706357910878</v>
      </c>
      <c r="F20" s="39" t="n">
        <f aca="false">IF('P&amp;L'!F5&lt;=0,"n/a",'P&amp;L'!F22/'P&amp;L'!F5)</f>
        <v>0.239126695774185</v>
      </c>
    </row>
    <row r="21" customFormat="false" ht="15" hidden="false" customHeight="false" outlineLevel="0" collapsed="false">
      <c r="A21" s="51" t="s">
        <v>227</v>
      </c>
      <c r="B21" s="86" t="n">
        <f aca="false">IF('Balance Sheet'!B9&lt;=0,"n/a",'P&amp;L'!B5/'Balance Sheet'!B9)</f>
        <v>3.25383343833712</v>
      </c>
      <c r="C21" s="86" t="n">
        <f aca="false">IF('Balance Sheet'!C9&lt;=0,"n/a",'P&amp;L'!C5/'Balance Sheet'!C9)</f>
        <v>2.30131146740268</v>
      </c>
      <c r="D21" s="86" t="n">
        <f aca="false">IF('Balance Sheet'!D9&lt;=0,"n/a",'P&amp;L'!D5/'Balance Sheet'!D9)</f>
        <v>1.81926827251091</v>
      </c>
      <c r="E21" s="86" t="n">
        <f aca="false">IF('Balance Sheet'!E9&lt;=0,"n/a",'P&amp;L'!E5/'Balance Sheet'!E9)</f>
        <v>1.53278338027993</v>
      </c>
      <c r="F21" s="86" t="n">
        <f aca="false">IF('Balance Sheet'!F9&lt;=0,"n/a",'P&amp;L'!F5/'Balance Sheet'!F9)</f>
        <v>1.34568132653213</v>
      </c>
    </row>
    <row r="22" customFormat="false" ht="15" hidden="false" customHeight="false" outlineLevel="0" collapsed="false">
      <c r="A22" s="51" t="s">
        <v>228</v>
      </c>
      <c r="B22" s="86" t="n">
        <f aca="false">IF('Balance Sheet'!B15&lt;=0,"n/a",'Balance Sheet'!B9/'Balance Sheet'!B15)</f>
        <v>1.24885998479781</v>
      </c>
      <c r="C22" s="86" t="n">
        <f aca="false">IF('Balance Sheet'!C15&lt;=0,"n/a",'Balance Sheet'!C9/'Balance Sheet'!C15)</f>
        <v>1.11854003138631</v>
      </c>
      <c r="D22" s="86" t="n">
        <f aca="false">IF('Balance Sheet'!D15&lt;=0,"n/a",'Balance Sheet'!D9/'Balance Sheet'!D15)</f>
        <v>1.06977083907926</v>
      </c>
      <c r="E22" s="86" t="n">
        <f aca="false">IF('Balance Sheet'!E15&lt;=0,"n/a",'Balance Sheet'!E9/'Balance Sheet'!E15)</f>
        <v>1.04680851817654</v>
      </c>
      <c r="F22" s="86" t="n">
        <f aca="false">IF('Balance Sheet'!F15&lt;=0,"n/a",'Balance Sheet'!F9/'Balance Sheet'!F15)</f>
        <v>1.03474579760712</v>
      </c>
    </row>
    <row r="23" customFormat="false" ht="15" hidden="false" customHeight="false" outlineLevel="0" collapsed="false">
      <c r="A23" s="40" t="s">
        <v>229</v>
      </c>
      <c r="B23" s="88" t="n">
        <f aca="false">IF(AND(ISNUMBER(B20),ISNUMBER(B21),ISNUMBER(B22)),B20*B21*B22,"n/a")</f>
        <v>0.729466761846614</v>
      </c>
      <c r="C23" s="88" t="n">
        <f aca="false">IF(AND(ISNUMBER(C20),ISNUMBER(C21),ISNUMBER(C22)),C20*C21*C22,"n/a")</f>
        <v>0.510880349310709</v>
      </c>
      <c r="D23" s="88" t="n">
        <f aca="false">IF(AND(ISNUMBER(D20),ISNUMBER(D21),ISNUMBER(D22)),D20*D21*D22,"n/a")</f>
        <v>0.41711008565793</v>
      </c>
      <c r="E23" s="88" t="n">
        <f aca="false">IF(AND(ISNUMBER(E20),ISNUMBER(E21),ISNUMBER(E22)),E20*E21*E22,"n/a")</f>
        <v>0.36536184162468</v>
      </c>
      <c r="F23" s="88" t="n">
        <f aca="false">IF(AND(ISNUMBER(F20),ISNUMBER(F21),ISNUMBER(F22)),F20*F21*F22,"n/a")</f>
        <v>0.332969121336625</v>
      </c>
    </row>
    <row r="24" customFormat="false" ht="15" hidden="false" customHeight="false" outlineLevel="0" collapsed="false">
      <c r="A24" s="21" t="s">
        <v>230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231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2" t="s">
        <v>153</v>
      </c>
      <c r="B27" s="72" t="n">
        <v>1</v>
      </c>
      <c r="C27" s="72" t="n">
        <v>2</v>
      </c>
      <c r="D27" s="72" t="n">
        <v>3</v>
      </c>
      <c r="E27" s="72" t="n">
        <v>4</v>
      </c>
      <c r="F27" s="72" t="n">
        <v>5</v>
      </c>
    </row>
    <row r="28" customFormat="false" ht="15" hidden="false" customHeight="false" outlineLevel="0" collapsed="false">
      <c r="A28" s="33"/>
      <c r="B28" s="52" t="s">
        <v>154</v>
      </c>
      <c r="C28" s="52" t="s">
        <v>155</v>
      </c>
      <c r="D28" s="52" t="s">
        <v>156</v>
      </c>
      <c r="E28" s="52" t="s">
        <v>157</v>
      </c>
      <c r="F28" s="52" t="s">
        <v>158</v>
      </c>
      <c r="G28" s="52" t="s">
        <v>217</v>
      </c>
    </row>
    <row r="29" customFormat="false" ht="15" hidden="false" customHeight="false" outlineLevel="0" collapsed="false">
      <c r="A29" s="4" t="s">
        <v>232</v>
      </c>
      <c r="B29" s="89" t="n">
        <f aca="false">INDEX(Monthly!$C$8:$BJ$8,B$27*12)</f>
        <v>16</v>
      </c>
      <c r="C29" s="89" t="n">
        <f aca="false">INDEX(Monthly!$C$8:$BJ$8,C$27*12)</f>
        <v>20.4</v>
      </c>
      <c r="D29" s="89" t="n">
        <f aca="false">INDEX(Monthly!$C$8:$BJ$8,D$27*12)</f>
        <v>26.04</v>
      </c>
      <c r="E29" s="89" t="n">
        <f aca="false">INDEX(Monthly!$C$8:$BJ$8,E$27*12)</f>
        <v>33.276</v>
      </c>
      <c r="F29" s="89" t="n">
        <f aca="false">INDEX(Monthly!$C$8:$BJ$8,F$27*12)</f>
        <v>42.5676</v>
      </c>
      <c r="G29" s="90"/>
    </row>
    <row r="30" customFormat="false" ht="15" hidden="false" customHeight="false" outlineLevel="0" collapsed="false">
      <c r="A30" s="4" t="s">
        <v>58</v>
      </c>
      <c r="B30" s="91" t="n">
        <f aca="false">SUMIF(Monthly!$C$5:$BJ$5,B$27,Monthly!$C$13:$BJ$13)</f>
        <v>24960</v>
      </c>
      <c r="C30" s="91" t="n">
        <f aca="false">SUMIF(Monthly!$C$5:$BJ$5,C$27,Monthly!$C$13:$BJ$13)</f>
        <v>31572</v>
      </c>
      <c r="D30" s="91" t="n">
        <f aca="false">SUMIF(Monthly!$C$5:$BJ$5,D$27,Monthly!$C$13:$BJ$13)</f>
        <v>39992.4</v>
      </c>
      <c r="E30" s="91" t="n">
        <f aca="false">SUMIF(Monthly!$C$5:$BJ$5,E$27,Monthly!$C$13:$BJ$13)</f>
        <v>50728.68</v>
      </c>
      <c r="F30" s="91" t="n">
        <f aca="false">SUMIF(Monthly!$C$5:$BJ$5,F$27,Monthly!$C$13:$BJ$13)</f>
        <v>64433.556</v>
      </c>
      <c r="G30" s="92"/>
    </row>
    <row r="31" customFormat="false" ht="15" hidden="false" customHeight="false" outlineLevel="0" collapsed="false">
      <c r="A31" s="6" t="s">
        <v>233</v>
      </c>
      <c r="B31" s="93" t="n">
        <f aca="false">B30-B32</f>
        <v>20160</v>
      </c>
      <c r="C31" s="93" t="n">
        <f aca="false">C30-C32</f>
        <v>25812</v>
      </c>
      <c r="D31" s="93" t="n">
        <f aca="false">D30-D32</f>
        <v>33080.4</v>
      </c>
      <c r="E31" s="93" t="n">
        <f aca="false">E30-E32</f>
        <v>42434.28</v>
      </c>
      <c r="F31" s="93" t="n">
        <f aca="false">F30-F32</f>
        <v>54480.276</v>
      </c>
      <c r="G31" s="92"/>
    </row>
    <row r="32" customFormat="false" ht="15" hidden="false" customHeight="false" outlineLevel="0" collapsed="false">
      <c r="A32" s="6" t="s">
        <v>234</v>
      </c>
      <c r="B32" s="93" t="n">
        <f aca="false">SUMIF(Monthly!$C$5:$BJ$5,B$27,Monthly!$C$12:$BJ$12)</f>
        <v>4800</v>
      </c>
      <c r="C32" s="93" t="n">
        <f aca="false">SUMIF(Monthly!$C$5:$BJ$5,C$27,Monthly!$C$12:$BJ$12)</f>
        <v>5760</v>
      </c>
      <c r="D32" s="93" t="n">
        <f aca="false">SUMIF(Monthly!$C$5:$BJ$5,D$27,Monthly!$C$12:$BJ$12)</f>
        <v>6912</v>
      </c>
      <c r="E32" s="93" t="n">
        <f aca="false">SUMIF(Monthly!$C$5:$BJ$5,E$27,Monthly!$C$12:$BJ$12)</f>
        <v>8294.4</v>
      </c>
      <c r="F32" s="93" t="n">
        <f aca="false">SUMIF(Monthly!$C$5:$BJ$5,F$27,Monthly!$C$12:$BJ$12)</f>
        <v>9953.28</v>
      </c>
      <c r="G32" s="92"/>
    </row>
    <row r="33" customFormat="false" ht="15" hidden="false" customHeight="false" outlineLevel="0" collapsed="false">
      <c r="A33" s="6" t="s">
        <v>235</v>
      </c>
      <c r="B33" s="93" t="n">
        <f aca="false">SUMIF(Monthly!$C$5:$BJ$5,B$27,Monthly!$C$9:$BJ$9)</f>
        <v>28800</v>
      </c>
      <c r="C33" s="93" t="n">
        <f aca="false">SUMIF(Monthly!$C$5:$BJ$5,C$27,Monthly!$C$9:$BJ$9)</f>
        <v>36720</v>
      </c>
      <c r="D33" s="93" t="n">
        <f aca="false">SUMIF(Monthly!$C$5:$BJ$5,D$27,Monthly!$C$9:$BJ$9)</f>
        <v>46872</v>
      </c>
      <c r="E33" s="93" t="n">
        <f aca="false">SUMIF(Monthly!$C$5:$BJ$5,E$27,Monthly!$C$9:$BJ$9)</f>
        <v>59896.8</v>
      </c>
      <c r="F33" s="93" t="n">
        <f aca="false">SUMIF(Monthly!$C$5:$BJ$5,F$27,Monthly!$C$9:$BJ$9)</f>
        <v>76621.68</v>
      </c>
      <c r="G33" s="92"/>
    </row>
    <row r="34" customFormat="false" ht="15" hidden="false" customHeight="false" outlineLevel="0" collapsed="false">
      <c r="A34" s="38" t="s">
        <v>59</v>
      </c>
      <c r="B34" s="94" t="n">
        <f aca="false">IF(B33=0,0,B31/B33)</f>
        <v>0.7</v>
      </c>
      <c r="C34" s="94" t="n">
        <f aca="false">IF(C33=0,0,C31/C33)</f>
        <v>0.702941176470588</v>
      </c>
      <c r="D34" s="94" t="n">
        <f aca="false">IF(D33=0,0,D31/D33)</f>
        <v>0.705760368663594</v>
      </c>
      <c r="E34" s="94" t="n">
        <f aca="false">IF(E33=0,0,E31/E33)</f>
        <v>0.708456545257844</v>
      </c>
      <c r="F34" s="94" t="n">
        <f aca="false">IF(F33=0,0,F31/F33)</f>
        <v>0.711029515406084</v>
      </c>
      <c r="G34" s="95"/>
    </row>
    <row r="35" customFormat="false" ht="15" hidden="false" customHeight="false" outlineLevel="0" collapsed="false">
      <c r="A35" s="38" t="s">
        <v>236</v>
      </c>
      <c r="B35" s="94" t="n">
        <f aca="false">IF(B30=0,0,B32/B30)</f>
        <v>0.192307692307692</v>
      </c>
      <c r="C35" s="94" t="n">
        <f aca="false">IF(C30=0,0,C32/C30)</f>
        <v>0.182440136830103</v>
      </c>
      <c r="D35" s="94" t="n">
        <f aca="false">IF(D30=0,0,D32/D30)</f>
        <v>0.172832838239265</v>
      </c>
      <c r="E35" s="94" t="n">
        <f aca="false">IF(E30=0,0,E32/E30)</f>
        <v>0.163505141470269</v>
      </c>
      <c r="F35" s="94" t="n">
        <f aca="false">IF(F30=0,0,F32/F30)</f>
        <v>0.154473547913451</v>
      </c>
      <c r="G35" s="95"/>
    </row>
    <row r="36" customFormat="false" ht="15" hidden="false" customHeight="false" outlineLevel="0" collapsed="false">
      <c r="A36" s="6" t="s">
        <v>237</v>
      </c>
      <c r="B36" s="35" t="n">
        <f aca="false">SUMIF(Monthly!$C$5:$BJ$5,B$27,Monthly!$C$19:$BJ$19)</f>
        <v>4941000</v>
      </c>
      <c r="C36" s="35" t="n">
        <f aca="false">SUMIF(Monthly!$C$5:$BJ$5,C$27,Monthly!$C$19:$BJ$19)</f>
        <v>6399081</v>
      </c>
      <c r="D36" s="35" t="n">
        <f aca="false">SUMIF(Monthly!$C$5:$BJ$5,D$27,Monthly!$C$19:$BJ$19)</f>
        <v>8300258.811</v>
      </c>
      <c r="E36" s="35" t="n">
        <f aca="false">SUMIF(Monthly!$C$5:$BJ$5,E$27,Monthly!$C$19:$BJ$19)</f>
        <v>10782661.787001</v>
      </c>
      <c r="F36" s="35" t="n">
        <f aca="false">SUMIF(Monthly!$C$5:$BJ$5,F$27,Monthly!$C$19:$BJ$19)</f>
        <v>14028392.5682873</v>
      </c>
      <c r="G36" s="96"/>
    </row>
    <row r="37" customFormat="false" ht="15" hidden="false" customHeight="false" outlineLevel="0" collapsed="false">
      <c r="A37" s="4" t="s">
        <v>238</v>
      </c>
      <c r="B37" s="97" t="n">
        <f aca="false">SUMIF(Monthly!$C$5:$BJ$5,B$27,Monthly!$C$22:$BJ$22)</f>
        <v>4506192</v>
      </c>
      <c r="C37" s="97" t="n">
        <f aca="false">SUMIF(Monthly!$C$5:$BJ$5,C$27,Monthly!$C$22:$BJ$22)</f>
        <v>5835961.872</v>
      </c>
      <c r="D37" s="97" t="n">
        <f aca="false">SUMIF(Monthly!$C$5:$BJ$5,D$27,Monthly!$C$22:$BJ$22)</f>
        <v>7569836.035632</v>
      </c>
      <c r="E37" s="97" t="n">
        <f aca="false">SUMIF(Monthly!$C$5:$BJ$5,E$27,Monthly!$C$22:$BJ$22)</f>
        <v>9833787.54974491</v>
      </c>
      <c r="F37" s="97" t="n">
        <f aca="false">SUMIF(Monthly!$C$5:$BJ$5,F$27,Monthly!$C$22:$BJ$22)</f>
        <v>12793894.0222781</v>
      </c>
      <c r="G37" s="96"/>
    </row>
    <row r="38" customFormat="false" ht="15" hidden="false" customHeight="false" outlineLevel="0" collapsed="false">
      <c r="A38" s="6" t="s">
        <v>239</v>
      </c>
      <c r="B38" s="35" t="n">
        <f aca="false">SUMIF(Monthly!$C$5:$BJ$5,B$27,Monthly!$C$20:$BJ$20)</f>
        <v>1778760</v>
      </c>
      <c r="C38" s="35" t="n">
        <f aca="false">SUMIF(Monthly!$C$5:$BJ$5,C$27,Monthly!$C$20:$BJ$20)</f>
        <v>2303669.16</v>
      </c>
      <c r="D38" s="35" t="n">
        <f aca="false">SUMIF(Monthly!$C$5:$BJ$5,D$27,Monthly!$C$20:$BJ$20)</f>
        <v>2988093.17196</v>
      </c>
      <c r="E38" s="35" t="n">
        <f aca="false">SUMIF(Monthly!$C$5:$BJ$5,E$27,Monthly!$C$20:$BJ$20)</f>
        <v>3881758.24332036</v>
      </c>
      <c r="F38" s="35" t="n">
        <f aca="false">SUMIF(Monthly!$C$5:$BJ$5,F$27,Monthly!$C$20:$BJ$20)</f>
        <v>5050221.32458344</v>
      </c>
      <c r="G38" s="96"/>
    </row>
    <row r="39" customFormat="false" ht="15" hidden="false" customHeight="false" outlineLevel="0" collapsed="false">
      <c r="A39" s="38" t="s">
        <v>240</v>
      </c>
      <c r="B39" s="94" t="n">
        <f aca="false">IF(B37=0,0,B38/B37)</f>
        <v>0.394736842105263</v>
      </c>
      <c r="C39" s="94" t="n">
        <f aca="false">IF(C37=0,0,C38/C37)</f>
        <v>0.394736842105263</v>
      </c>
      <c r="D39" s="94" t="n">
        <f aca="false">IF(D37=0,0,D38/D37)</f>
        <v>0.394736842105263</v>
      </c>
      <c r="E39" s="94" t="n">
        <f aca="false">IF(E37=0,0,E38/E37)</f>
        <v>0.394736842105263</v>
      </c>
      <c r="F39" s="94" t="n">
        <f aca="false">IF(F37=0,0,F38/F37)</f>
        <v>0.394736842105263</v>
      </c>
      <c r="G39" s="95"/>
    </row>
    <row r="40" customFormat="false" ht="15" hidden="false" customHeight="false" outlineLevel="0" collapsed="false">
      <c r="A40" s="38" t="s">
        <v>241</v>
      </c>
      <c r="B40" s="94" t="n">
        <f aca="false">IF(B36=0,0,B37/B36)</f>
        <v>0.912</v>
      </c>
      <c r="C40" s="94" t="n">
        <f aca="false">IF(C36=0,0,C37/C36)</f>
        <v>0.912</v>
      </c>
      <c r="D40" s="94" t="n">
        <f aca="false">IF(D36=0,0,D37/D36)</f>
        <v>0.912</v>
      </c>
      <c r="E40" s="94" t="n">
        <f aca="false">IF(E36=0,0,E37/E36)</f>
        <v>0.912</v>
      </c>
      <c r="F40" s="94" t="n">
        <f aca="false">IF(F36=0,0,F37/F36)</f>
        <v>0.912</v>
      </c>
      <c r="G40" s="95"/>
    </row>
    <row r="41" customFormat="false" ht="15" hidden="false" customHeight="false" outlineLevel="0" collapsed="false">
      <c r="A41" s="6" t="s">
        <v>242</v>
      </c>
      <c r="B41" s="98" t="n">
        <f aca="false">IF(B30=0,0,B37/B30)</f>
        <v>180.536538461538</v>
      </c>
      <c r="C41" s="98" t="n">
        <f aca="false">IF(C30=0,0,C37/C30)</f>
        <v>184.846125427594</v>
      </c>
      <c r="D41" s="98" t="n">
        <f aca="false">IF(D30=0,0,D37/D30)</f>
        <v>189.281864445045</v>
      </c>
      <c r="E41" s="98" t="n">
        <f aca="false">IF(E30=0,0,E37/E30)</f>
        <v>193.850649174095</v>
      </c>
      <c r="F41" s="98" t="n">
        <f aca="false">IF(F30=0,0,F37/F30)</f>
        <v>198.55949006257</v>
      </c>
      <c r="G41" s="99"/>
    </row>
    <row r="42" customFormat="false" ht="15" hidden="false" customHeight="false" outlineLevel="0" collapsed="false">
      <c r="A42" s="6" t="s">
        <v>243</v>
      </c>
      <c r="B42" s="35" t="n">
        <f aca="false">IF(B29=0,0,B37/B29)</f>
        <v>281637</v>
      </c>
      <c r="C42" s="35" t="n">
        <f aca="false">IF(C29=0,0,C37/C29)</f>
        <v>286076.562352941</v>
      </c>
      <c r="D42" s="35" t="n">
        <f aca="false">IF(D29=0,0,D37/D29)</f>
        <v>290700.308588018</v>
      </c>
      <c r="E42" s="35" t="n">
        <f aca="false">IF(E29=0,0,E37/E29)</f>
        <v>295521.924201975</v>
      </c>
      <c r="F42" s="35" t="n">
        <f aca="false">IF(F29=0,0,F37/F29)</f>
        <v>300554.741687999</v>
      </c>
      <c r="G42" s="96"/>
    </row>
    <row r="43" customFormat="false" ht="15" hidden="false" customHeight="false" outlineLevel="0" collapsed="false">
      <c r="A43" s="6" t="s">
        <v>244</v>
      </c>
      <c r="B43" s="35" t="n">
        <f aca="false">-SUMIF(Monthly!$C$5:$BJ$5,B$27,Monthly!$C$25:$BJ$25)</f>
        <v>2136000</v>
      </c>
      <c r="C43" s="35" t="n">
        <f aca="false">-SUMIF(Monthly!$C$5:$BJ$5,C$27,Monthly!$C$25:$BJ$25)</f>
        <v>2781000</v>
      </c>
      <c r="D43" s="35" t="n">
        <f aca="false">-SUMIF(Monthly!$C$5:$BJ$5,D$27,Monthly!$C$25:$BJ$25)</f>
        <v>3625986.456</v>
      </c>
      <c r="E43" s="35" t="n">
        <f aca="false">-SUMIF(Monthly!$C$5:$BJ$5,E$27,Monthly!$C$25:$BJ$25)</f>
        <v>4734349.0002</v>
      </c>
      <c r="F43" s="35" t="n">
        <f aca="false">-SUMIF(Monthly!$C$5:$BJ$5,F$27,Monthly!$C$25:$BJ$25)</f>
        <v>6189926.58688918</v>
      </c>
      <c r="G43" s="96"/>
    </row>
    <row r="44" customFormat="false" ht="15" hidden="false" customHeight="false" outlineLevel="0" collapsed="false">
      <c r="A44" s="6" t="s">
        <v>245</v>
      </c>
      <c r="B44" s="35" t="n">
        <f aca="false">-SUMIF(Monthly!$C$5:$BJ$5,B$27,Monthly!$C$26:$BJ$26)</f>
        <v>432000</v>
      </c>
      <c r="C44" s="35" t="n">
        <f aca="false">-SUMIF(Monthly!$C$5:$BJ$5,C$27,Monthly!$C$26:$BJ$26)</f>
        <v>533952</v>
      </c>
      <c r="D44" s="35" t="n">
        <f aca="false">-SUMIF(Monthly!$C$5:$BJ$5,D$27,Monthly!$C$26:$BJ$26)</f>
        <v>659964.672</v>
      </c>
      <c r="E44" s="35" t="n">
        <f aca="false">-SUMIF(Monthly!$C$5:$BJ$5,E$27,Monthly!$C$26:$BJ$26)</f>
        <v>815716.334592</v>
      </c>
      <c r="F44" s="35" t="n">
        <f aca="false">-SUMIF(Monthly!$C$5:$BJ$5,F$27,Monthly!$C$26:$BJ$26)</f>
        <v>1008225.38955571</v>
      </c>
      <c r="G44" s="96"/>
    </row>
    <row r="45" customFormat="false" ht="15" hidden="false" customHeight="false" outlineLevel="0" collapsed="false">
      <c r="A45" s="6" t="s">
        <v>246</v>
      </c>
      <c r="B45" s="98" t="n">
        <f aca="false">IF(B31=0,0,B43/B31)</f>
        <v>105.952380952381</v>
      </c>
      <c r="C45" s="98" t="n">
        <f aca="false">IF(C31=0,0,C43/C31)</f>
        <v>107.740585774059</v>
      </c>
      <c r="D45" s="98" t="n">
        <f aca="false">IF(D31=0,0,D43/D31)</f>
        <v>109.61132440962</v>
      </c>
      <c r="E45" s="98" t="n">
        <f aca="false">IF(E31=0,0,E43/E31)</f>
        <v>111.568972071636</v>
      </c>
      <c r="F45" s="98" t="n">
        <f aca="false">IF(F31=0,0,F43/F31)</f>
        <v>113.617753825057</v>
      </c>
      <c r="G45" s="99"/>
    </row>
    <row r="46" customFormat="false" ht="15" hidden="false" customHeight="false" outlineLevel="0" collapsed="false">
      <c r="A46" s="6" t="s">
        <v>247</v>
      </c>
      <c r="B46" s="98" t="n">
        <f aca="false">IF(B32=0,0,B44/B32)</f>
        <v>90</v>
      </c>
      <c r="C46" s="98" t="n">
        <f aca="false">IF(C32=0,0,C44/C32)</f>
        <v>92.7</v>
      </c>
      <c r="D46" s="98" t="n">
        <f aca="false">IF(D32=0,0,D44/D32)</f>
        <v>95.481</v>
      </c>
      <c r="E46" s="98" t="n">
        <f aca="false">IF(E32=0,0,E44/E32)</f>
        <v>98.34543</v>
      </c>
      <c r="F46" s="98" t="n">
        <f aca="false">IF(F32=0,0,F44/F32)</f>
        <v>101.2957929</v>
      </c>
      <c r="G46" s="99"/>
    </row>
    <row r="47" customFormat="false" ht="15" hidden="false" customHeight="false" outlineLevel="0" collapsed="false">
      <c r="A47" s="6" t="s">
        <v>248</v>
      </c>
      <c r="B47" s="35" t="n">
        <f aca="false">SUMIF(Monthly!$C$5:$BJ$5,B$27,Monthly!$C$29:$BJ$29)</f>
        <v>1803006.24</v>
      </c>
      <c r="C47" s="35" t="n">
        <f aca="false">SUMIF(Monthly!$C$5:$BJ$5,C$27,Monthly!$C$29:$BJ$29)</f>
        <v>2345931.01584</v>
      </c>
      <c r="D47" s="35" t="n">
        <f aca="false">SUMIF(Monthly!$C$5:$BJ$5,D$27,Monthly!$C$29:$BJ$29)</f>
        <v>3056789.82656304</v>
      </c>
      <c r="E47" s="35" t="n">
        <f aca="false">SUMIF(Monthly!$C$5:$BJ$5,E$27,Monthly!$C$29:$BJ$29)</f>
        <v>3988708.58846056</v>
      </c>
      <c r="F47" s="35" t="n">
        <f aca="false">SUMIF(Monthly!$C$5:$BJ$5,F$27,Monthly!$C$29:$BJ$29)</f>
        <v>5211925.22516482</v>
      </c>
      <c r="G47" s="96"/>
    </row>
    <row r="48" customFormat="false" ht="15" hidden="false" customHeight="false" outlineLevel="0" collapsed="false">
      <c r="A48" s="38" t="s">
        <v>46</v>
      </c>
      <c r="B48" s="94" t="n">
        <f aca="false">IF(B37=0,0,B47/B37)</f>
        <v>0.400117491664803</v>
      </c>
      <c r="C48" s="94" t="n">
        <f aca="false">IF(C37=0,0,C47/C37)</f>
        <v>0.401978468552956</v>
      </c>
      <c r="D48" s="94" t="n">
        <f aca="false">IF(D37=0,0,D47/D37)</f>
        <v>0.403811893966318</v>
      </c>
      <c r="E48" s="94" t="n">
        <f aca="false">IF(E37=0,0,E47/E37)</f>
        <v>0.405612646021017</v>
      </c>
      <c r="F48" s="94" t="n">
        <f aca="false">IF(F37=0,0,F47/F37)</f>
        <v>0.407375988584029</v>
      </c>
      <c r="G48" s="95"/>
    </row>
    <row r="49" customFormat="false" ht="15" hidden="false" customHeight="false" outlineLevel="0" collapsed="false">
      <c r="A49" s="6" t="s">
        <v>249</v>
      </c>
      <c r="B49" s="35" t="n">
        <f aca="false">INDEX(Monthly!$C$63:$BJ$63,B$27*12)</f>
        <v>563274</v>
      </c>
      <c r="C49" s="35" t="n">
        <f aca="false">INDEX(Monthly!$C$63:$BJ$63,C$27*12)</f>
        <v>729495.234</v>
      </c>
      <c r="D49" s="35" t="n">
        <f aca="false">INDEX(Monthly!$C$63:$BJ$63,D$27*12)</f>
        <v>946229.504454</v>
      </c>
      <c r="E49" s="35" t="n">
        <f aca="false">INDEX(Monthly!$C$63:$BJ$63,E$27*12)</f>
        <v>1229223.44371811</v>
      </c>
      <c r="F49" s="35" t="n">
        <f aca="false">INDEX(Monthly!$C$63:$BJ$63,F$27*12)</f>
        <v>1599236.75278476</v>
      </c>
      <c r="G49" s="96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250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251</v>
      </c>
    </row>
    <row r="5" customFormat="false" ht="15" hidden="false" customHeight="false" outlineLevel="0" collapsed="false">
      <c r="A5" s="33" t="s">
        <v>104</v>
      </c>
      <c r="B5" s="52" t="s">
        <v>105</v>
      </c>
      <c r="C5" s="52" t="s">
        <v>106</v>
      </c>
      <c r="D5" s="52" t="s">
        <v>107</v>
      </c>
      <c r="E5" s="52" t="s">
        <v>108</v>
      </c>
      <c r="F5" s="33" t="s">
        <v>252</v>
      </c>
      <c r="G5" s="33" t="s">
        <v>253</v>
      </c>
    </row>
    <row r="6" customFormat="false" ht="15.75" hidden="false" customHeight="true" outlineLevel="0" collapsed="false">
      <c r="A6" s="7" t="s">
        <v>254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255</v>
      </c>
      <c r="B7" s="100" t="n">
        <v>1800</v>
      </c>
      <c r="C7" s="100" t="n">
        <v>1800</v>
      </c>
      <c r="D7" s="100" t="n">
        <v>1800</v>
      </c>
      <c r="E7" s="101" t="n">
        <f aca="false">CHOOSE(Dashboard!$B$4,B7,C7,D7)</f>
        <v>1800</v>
      </c>
      <c r="F7" s="38" t="s">
        <v>256</v>
      </c>
      <c r="G7" s="102"/>
    </row>
    <row r="8" customFormat="false" ht="15" hidden="false" customHeight="false" outlineLevel="0" collapsed="false">
      <c r="A8" s="6" t="s">
        <v>257</v>
      </c>
      <c r="B8" s="103" t="n">
        <v>0.5</v>
      </c>
      <c r="C8" s="103" t="n">
        <v>0.55</v>
      </c>
      <c r="D8" s="103" t="n">
        <v>0.6</v>
      </c>
      <c r="E8" s="104" t="n">
        <f aca="false">CHOOSE(Dashboard!$B$4,B8,C8,D8)</f>
        <v>0.55</v>
      </c>
      <c r="F8" s="38" t="s">
        <v>258</v>
      </c>
      <c r="G8" s="102" t="s">
        <v>259</v>
      </c>
    </row>
    <row r="9" customFormat="false" ht="15" hidden="false" customHeight="false" outlineLevel="0" collapsed="false">
      <c r="A9" s="6" t="s">
        <v>260</v>
      </c>
      <c r="B9" s="103" t="n">
        <v>0.68</v>
      </c>
      <c r="C9" s="103" t="n">
        <v>0.75</v>
      </c>
      <c r="D9" s="103" t="n">
        <v>0.8</v>
      </c>
      <c r="E9" s="104" t="n">
        <f aca="false">CHOOSE(Dashboard!$B$4,B9,C9,D9)</f>
        <v>0.75</v>
      </c>
      <c r="F9" s="38" t="s">
        <v>258</v>
      </c>
      <c r="G9" s="102" t="s">
        <v>259</v>
      </c>
    </row>
    <row r="10" customFormat="false" ht="15" hidden="false" customHeight="false" outlineLevel="0" collapsed="false">
      <c r="A10" s="6" t="s">
        <v>261</v>
      </c>
      <c r="B10" s="105" t="n">
        <v>300</v>
      </c>
      <c r="C10" s="105" t="n">
        <v>400</v>
      </c>
      <c r="D10" s="105" t="n">
        <v>500</v>
      </c>
      <c r="E10" s="106" t="n">
        <f aca="false">CHOOSE(Dashboard!$B$4,B10,C10,D10)</f>
        <v>400</v>
      </c>
      <c r="F10" s="38" t="s">
        <v>256</v>
      </c>
      <c r="G10" s="102" t="s">
        <v>259</v>
      </c>
    </row>
    <row r="11" customFormat="false" ht="15" hidden="false" customHeight="false" outlineLevel="0" collapsed="false">
      <c r="A11" s="6" t="s">
        <v>262</v>
      </c>
      <c r="B11" s="103" t="n">
        <v>0.1</v>
      </c>
      <c r="C11" s="103" t="n">
        <v>0.2</v>
      </c>
      <c r="D11" s="103" t="n">
        <v>0.3</v>
      </c>
      <c r="E11" s="104" t="n">
        <f aca="false">CHOOSE(Dashboard!$B$4,B11,C11,D11)</f>
        <v>0.2</v>
      </c>
      <c r="F11" s="38" t="s">
        <v>258</v>
      </c>
      <c r="G11" s="102" t="s">
        <v>259</v>
      </c>
    </row>
    <row r="13" customFormat="false" ht="15.75" hidden="false" customHeight="true" outlineLevel="0" collapsed="false">
      <c r="A13" s="7" t="s">
        <v>263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6" t="s">
        <v>264</v>
      </c>
      <c r="B14" s="107" t="n">
        <v>300</v>
      </c>
      <c r="C14" s="107" t="n">
        <v>350</v>
      </c>
      <c r="D14" s="107" t="n">
        <v>400</v>
      </c>
      <c r="E14" s="108" t="n">
        <f aca="false">CHOOSE(Dashboard!$B$4,B14,C14,D14)</f>
        <v>350</v>
      </c>
      <c r="F14" s="38" t="s">
        <v>265</v>
      </c>
      <c r="G14" s="102" t="s">
        <v>259</v>
      </c>
    </row>
    <row r="15" customFormat="false" ht="15" hidden="false" customHeight="false" outlineLevel="0" collapsed="false">
      <c r="A15" s="6" t="s">
        <v>266</v>
      </c>
      <c r="B15" s="107" t="n">
        <v>150</v>
      </c>
      <c r="C15" s="107" t="n">
        <v>175</v>
      </c>
      <c r="D15" s="107" t="n">
        <v>200</v>
      </c>
      <c r="E15" s="108" t="n">
        <f aca="false">CHOOSE(Dashboard!$B$4,B15,C15,D15)</f>
        <v>175</v>
      </c>
      <c r="F15" s="38" t="s">
        <v>265</v>
      </c>
      <c r="G15" s="102" t="s">
        <v>259</v>
      </c>
    </row>
    <row r="16" customFormat="false" ht="15" hidden="false" customHeight="false" outlineLevel="0" collapsed="false">
      <c r="A16" s="6" t="s">
        <v>267</v>
      </c>
      <c r="B16" s="107" t="n">
        <v>140</v>
      </c>
      <c r="C16" s="107" t="n">
        <v>150</v>
      </c>
      <c r="D16" s="107" t="n">
        <v>165</v>
      </c>
      <c r="E16" s="108" t="n">
        <f aca="false">CHOOSE(Dashboard!$B$4,B16,C16,D16)</f>
        <v>150</v>
      </c>
      <c r="F16" s="38" t="s">
        <v>265</v>
      </c>
      <c r="G16" s="102" t="s">
        <v>259</v>
      </c>
    </row>
    <row r="17" customFormat="false" ht="15" hidden="false" customHeight="false" outlineLevel="0" collapsed="false">
      <c r="A17" s="6" t="s">
        <v>268</v>
      </c>
      <c r="B17" s="103" t="n">
        <v>0.02</v>
      </c>
      <c r="C17" s="103" t="n">
        <v>0.03</v>
      </c>
      <c r="D17" s="103" t="n">
        <v>0.04</v>
      </c>
      <c r="E17" s="104" t="n">
        <f aca="false">CHOOSE(Dashboard!$B$4,B17,C17,D17)</f>
        <v>0.03</v>
      </c>
      <c r="F17" s="38" t="s">
        <v>258</v>
      </c>
      <c r="G17" s="102" t="s">
        <v>259</v>
      </c>
    </row>
    <row r="19" customFormat="false" ht="15.75" hidden="false" customHeight="true" outlineLevel="0" collapsed="false">
      <c r="A19" s="7" t="s">
        <v>269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6" t="s">
        <v>270</v>
      </c>
      <c r="B20" s="103" t="n">
        <v>0.4</v>
      </c>
      <c r="C20" s="103" t="n">
        <v>0.4</v>
      </c>
      <c r="D20" s="103" t="n">
        <v>0.4</v>
      </c>
      <c r="E20" s="104" t="n">
        <f aca="false">CHOOSE(Dashboard!$B$4,B20,C20,D20)</f>
        <v>0.4</v>
      </c>
      <c r="F20" s="38" t="s">
        <v>258</v>
      </c>
      <c r="G20" s="102"/>
    </row>
    <row r="21" customFormat="false" ht="15" hidden="false" customHeight="false" outlineLevel="0" collapsed="false">
      <c r="A21" s="6" t="s">
        <v>271</v>
      </c>
      <c r="B21" s="103" t="n">
        <v>0.12</v>
      </c>
      <c r="C21" s="103" t="n">
        <v>0.1</v>
      </c>
      <c r="D21" s="103" t="n">
        <v>0.08</v>
      </c>
      <c r="E21" s="104" t="n">
        <f aca="false">CHOOSE(Dashboard!$B$4,B21,C21,D21)</f>
        <v>0.1</v>
      </c>
      <c r="F21" s="38" t="s">
        <v>258</v>
      </c>
      <c r="G21" s="102" t="s">
        <v>272</v>
      </c>
    </row>
    <row r="22" customFormat="false" ht="15" hidden="false" customHeight="false" outlineLevel="0" collapsed="false">
      <c r="A22" s="6" t="s">
        <v>273</v>
      </c>
      <c r="B22" s="103" t="n">
        <v>0.88</v>
      </c>
      <c r="C22" s="103" t="n">
        <v>0.92</v>
      </c>
      <c r="D22" s="103" t="n">
        <v>0.95</v>
      </c>
      <c r="E22" s="104" t="n">
        <f aca="false">CHOOSE(Dashboard!$B$4,B22,C22,D22)</f>
        <v>0.92</v>
      </c>
      <c r="F22" s="38" t="s">
        <v>258</v>
      </c>
      <c r="G22" s="102" t="s">
        <v>259</v>
      </c>
    </row>
    <row r="24" customFormat="false" ht="15.75" hidden="false" customHeight="true" outlineLevel="0" collapsed="false">
      <c r="A24" s="7" t="s">
        <v>274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6" t="s">
        <v>275</v>
      </c>
      <c r="B25" s="109" t="n">
        <v>95</v>
      </c>
      <c r="C25" s="109" t="n">
        <v>90</v>
      </c>
      <c r="D25" s="109" t="n">
        <v>85</v>
      </c>
      <c r="E25" s="110" t="n">
        <f aca="false">CHOOSE(Dashboard!$B$4,B25,C25,D25)</f>
        <v>90</v>
      </c>
      <c r="F25" s="38" t="s">
        <v>265</v>
      </c>
      <c r="G25" s="102" t="s">
        <v>272</v>
      </c>
    </row>
    <row r="26" customFormat="false" ht="15" hidden="false" customHeight="false" outlineLevel="0" collapsed="false">
      <c r="A26" s="6" t="s">
        <v>276</v>
      </c>
      <c r="B26" s="103" t="n">
        <v>0.04</v>
      </c>
      <c r="C26" s="103" t="n">
        <v>0.03</v>
      </c>
      <c r="D26" s="103" t="n">
        <v>0.025</v>
      </c>
      <c r="E26" s="104" t="n">
        <f aca="false">CHOOSE(Dashboard!$B$4,B26,C26,D26)</f>
        <v>0.03</v>
      </c>
      <c r="F26" s="38" t="s">
        <v>258</v>
      </c>
      <c r="G26" s="102" t="s">
        <v>272</v>
      </c>
    </row>
    <row r="27" customFormat="false" ht="15" hidden="false" customHeight="false" outlineLevel="0" collapsed="false">
      <c r="A27" s="6" t="s">
        <v>277</v>
      </c>
      <c r="B27" s="107" t="n">
        <v>200</v>
      </c>
      <c r="C27" s="107" t="n">
        <v>200</v>
      </c>
      <c r="D27" s="107" t="n">
        <v>200</v>
      </c>
      <c r="E27" s="108" t="n">
        <f aca="false">CHOOSE(Dashboard!$B$4,B27,C27,D27)</f>
        <v>200</v>
      </c>
      <c r="F27" s="38" t="s">
        <v>278</v>
      </c>
      <c r="G27" s="102"/>
    </row>
    <row r="28" customFormat="false" ht="15" hidden="false" customHeight="false" outlineLevel="0" collapsed="false">
      <c r="A28" s="6" t="s">
        <v>279</v>
      </c>
      <c r="B28" s="107" t="n">
        <v>8000</v>
      </c>
      <c r="C28" s="107" t="n">
        <v>8000</v>
      </c>
      <c r="D28" s="107" t="n">
        <v>8000</v>
      </c>
      <c r="E28" s="108" t="n">
        <f aca="false">CHOOSE(Dashboard!$B$4,B28,C28,D28)</f>
        <v>8000</v>
      </c>
      <c r="F28" s="38" t="s">
        <v>278</v>
      </c>
      <c r="G28" s="102"/>
    </row>
    <row r="29" customFormat="false" ht="15" hidden="false" customHeight="false" outlineLevel="0" collapsed="false">
      <c r="A29" s="6" t="s">
        <v>280</v>
      </c>
      <c r="B29" s="107" t="n">
        <v>8000</v>
      </c>
      <c r="C29" s="107" t="n">
        <v>8000</v>
      </c>
      <c r="D29" s="107" t="n">
        <v>8000</v>
      </c>
      <c r="E29" s="108" t="n">
        <f aca="false">CHOOSE(Dashboard!$B$4,B29,C29,D29)</f>
        <v>8000</v>
      </c>
      <c r="F29" s="38" t="s">
        <v>278</v>
      </c>
      <c r="G29" s="102"/>
    </row>
    <row r="30" customFormat="false" ht="15" hidden="false" customHeight="false" outlineLevel="0" collapsed="false">
      <c r="A30" s="6" t="s">
        <v>281</v>
      </c>
      <c r="B30" s="107" t="n">
        <v>6000</v>
      </c>
      <c r="C30" s="107" t="n">
        <v>6000</v>
      </c>
      <c r="D30" s="107" t="n">
        <v>6000</v>
      </c>
      <c r="E30" s="108" t="n">
        <f aca="false">CHOOSE(Dashboard!$B$4,B30,C30,D30)</f>
        <v>6000</v>
      </c>
      <c r="F30" s="38" t="s">
        <v>278</v>
      </c>
      <c r="G30" s="102"/>
    </row>
    <row r="31" customFormat="false" ht="15" hidden="false" customHeight="false" outlineLevel="0" collapsed="false">
      <c r="A31" s="6" t="s">
        <v>282</v>
      </c>
      <c r="B31" s="107" t="n">
        <v>60000</v>
      </c>
      <c r="C31" s="107" t="n">
        <v>60000</v>
      </c>
      <c r="D31" s="107" t="n">
        <v>60000</v>
      </c>
      <c r="E31" s="108" t="n">
        <f aca="false">CHOOSE(Dashboard!$B$4,B31,C31,D31)</f>
        <v>60000</v>
      </c>
      <c r="F31" s="38" t="s">
        <v>278</v>
      </c>
      <c r="G31" s="102"/>
    </row>
    <row r="33" customFormat="false" ht="15.75" hidden="false" customHeight="true" outlineLevel="0" collapsed="false">
      <c r="A33" s="7" t="s">
        <v>283</v>
      </c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6" t="s">
        <v>284</v>
      </c>
      <c r="B34" s="105" t="n">
        <v>4</v>
      </c>
      <c r="C34" s="105" t="n">
        <v>4</v>
      </c>
      <c r="D34" s="105" t="n">
        <v>4</v>
      </c>
      <c r="E34" s="106" t="n">
        <f aca="false">CHOOSE(Dashboard!$B$4,B34,C34,D34)</f>
        <v>4</v>
      </c>
      <c r="F34" s="38" t="s">
        <v>285</v>
      </c>
      <c r="G34" s="102" t="s">
        <v>259</v>
      </c>
    </row>
    <row r="35" customFormat="false" ht="15" hidden="false" customHeight="false" outlineLevel="0" collapsed="false">
      <c r="A35" s="6" t="s">
        <v>286</v>
      </c>
      <c r="B35" s="107" t="n">
        <v>160000</v>
      </c>
      <c r="C35" s="107" t="n">
        <v>160000</v>
      </c>
      <c r="D35" s="107" t="n">
        <v>160000</v>
      </c>
      <c r="E35" s="108" t="n">
        <f aca="false">CHOOSE(Dashboard!$B$4,B35,C35,D35)</f>
        <v>160000</v>
      </c>
      <c r="F35" s="38" t="s">
        <v>278</v>
      </c>
      <c r="G35" s="102"/>
    </row>
    <row r="36" customFormat="false" ht="15" hidden="false" customHeight="false" outlineLevel="0" collapsed="false">
      <c r="A36" s="6" t="s">
        <v>287</v>
      </c>
      <c r="B36" s="103" t="n">
        <v>0.2</v>
      </c>
      <c r="C36" s="103" t="n">
        <v>0.2</v>
      </c>
      <c r="D36" s="103" t="n">
        <v>0.2</v>
      </c>
      <c r="E36" s="104" t="n">
        <f aca="false">CHOOSE(Dashboard!$B$4,B36,C36,D36)</f>
        <v>0.2</v>
      </c>
      <c r="F36" s="38" t="s">
        <v>258</v>
      </c>
      <c r="G36" s="102" t="s">
        <v>259</v>
      </c>
    </row>
    <row r="37" customFormat="false" ht="15" hidden="false" customHeight="false" outlineLevel="0" collapsed="false">
      <c r="A37" s="6" t="s">
        <v>288</v>
      </c>
      <c r="B37" s="100" t="n">
        <v>1</v>
      </c>
      <c r="C37" s="100" t="n">
        <v>1</v>
      </c>
      <c r="D37" s="100" t="n">
        <v>1</v>
      </c>
      <c r="E37" s="101" t="n">
        <f aca="false">CHOOSE(Dashboard!$B$4,B37,C37,D37)</f>
        <v>1</v>
      </c>
      <c r="F37" s="38" t="s">
        <v>289</v>
      </c>
      <c r="G37" s="102"/>
    </row>
    <row r="38" customFormat="false" ht="15" hidden="false" customHeight="false" outlineLevel="0" collapsed="false">
      <c r="A38" s="6" t="s">
        <v>290</v>
      </c>
      <c r="B38" s="105" t="n">
        <v>12</v>
      </c>
      <c r="C38" s="105" t="n">
        <v>12</v>
      </c>
      <c r="D38" s="105" t="n">
        <v>12</v>
      </c>
      <c r="E38" s="106" t="n">
        <f aca="false">CHOOSE(Dashboard!$B$4,B38,C38,D38)</f>
        <v>12</v>
      </c>
      <c r="F38" s="38" t="s">
        <v>285</v>
      </c>
      <c r="G38" s="102" t="s">
        <v>259</v>
      </c>
    </row>
    <row r="39" customFormat="false" ht="15" hidden="false" customHeight="false" outlineLevel="0" collapsed="false">
      <c r="A39" s="6" t="s">
        <v>291</v>
      </c>
      <c r="B39" s="107" t="n">
        <v>95000</v>
      </c>
      <c r="C39" s="107" t="n">
        <v>95000</v>
      </c>
      <c r="D39" s="107" t="n">
        <v>95000</v>
      </c>
      <c r="E39" s="108" t="n">
        <f aca="false">CHOOSE(Dashboard!$B$4,B39,C39,D39)</f>
        <v>95000</v>
      </c>
      <c r="F39" s="38" t="s">
        <v>278</v>
      </c>
      <c r="G39" s="102"/>
    </row>
    <row r="40" customFormat="false" ht="15" hidden="false" customHeight="false" outlineLevel="0" collapsed="false">
      <c r="A40" s="6" t="s">
        <v>292</v>
      </c>
      <c r="B40" s="103" t="n">
        <v>0.3</v>
      </c>
      <c r="C40" s="103" t="n">
        <v>0.3</v>
      </c>
      <c r="D40" s="103" t="n">
        <v>0.3</v>
      </c>
      <c r="E40" s="104" t="n">
        <f aca="false">CHOOSE(Dashboard!$B$4,B40,C40,D40)</f>
        <v>0.3</v>
      </c>
      <c r="F40" s="38" t="s">
        <v>258</v>
      </c>
      <c r="G40" s="102" t="s">
        <v>259</v>
      </c>
    </row>
    <row r="41" customFormat="false" ht="15" hidden="false" customHeight="false" outlineLevel="0" collapsed="false">
      <c r="A41" s="6" t="s">
        <v>293</v>
      </c>
      <c r="B41" s="100" t="n">
        <v>1</v>
      </c>
      <c r="C41" s="100" t="n">
        <v>1</v>
      </c>
      <c r="D41" s="100" t="n">
        <v>1</v>
      </c>
      <c r="E41" s="101" t="n">
        <f aca="false">CHOOSE(Dashboard!$B$4,B41,C41,D41)</f>
        <v>1</v>
      </c>
      <c r="F41" s="38" t="s">
        <v>289</v>
      </c>
      <c r="G41" s="102"/>
    </row>
    <row r="42" customFormat="false" ht="15" hidden="false" customHeight="false" outlineLevel="0" collapsed="false">
      <c r="A42" s="6" t="s">
        <v>294</v>
      </c>
      <c r="B42" s="105" t="n">
        <v>2</v>
      </c>
      <c r="C42" s="105" t="n">
        <v>2</v>
      </c>
      <c r="D42" s="105" t="n">
        <v>2</v>
      </c>
      <c r="E42" s="106" t="n">
        <f aca="false">CHOOSE(Dashboard!$B$4,B42,C42,D42)</f>
        <v>2</v>
      </c>
      <c r="F42" s="38" t="s">
        <v>285</v>
      </c>
      <c r="G42" s="102" t="s">
        <v>259</v>
      </c>
    </row>
    <row r="43" customFormat="false" ht="15" hidden="false" customHeight="false" outlineLevel="0" collapsed="false">
      <c r="A43" s="6" t="s">
        <v>295</v>
      </c>
      <c r="B43" s="107" t="n">
        <v>85000</v>
      </c>
      <c r="C43" s="107" t="n">
        <v>85000</v>
      </c>
      <c r="D43" s="107" t="n">
        <v>85000</v>
      </c>
      <c r="E43" s="108" t="n">
        <f aca="false">CHOOSE(Dashboard!$B$4,B43,C43,D43)</f>
        <v>85000</v>
      </c>
      <c r="F43" s="38" t="s">
        <v>278</v>
      </c>
      <c r="G43" s="102"/>
    </row>
    <row r="44" customFormat="false" ht="15" hidden="false" customHeight="false" outlineLevel="0" collapsed="false">
      <c r="A44" s="6" t="s">
        <v>296</v>
      </c>
      <c r="B44" s="103" t="n">
        <v>0.2</v>
      </c>
      <c r="C44" s="103" t="n">
        <v>0.2</v>
      </c>
      <c r="D44" s="103" t="n">
        <v>0.2</v>
      </c>
      <c r="E44" s="104" t="n">
        <f aca="false">CHOOSE(Dashboard!$B$4,B44,C44,D44)</f>
        <v>0.2</v>
      </c>
      <c r="F44" s="38" t="s">
        <v>258</v>
      </c>
      <c r="G44" s="102" t="s">
        <v>259</v>
      </c>
    </row>
    <row r="45" customFormat="false" ht="15" hidden="false" customHeight="false" outlineLevel="0" collapsed="false">
      <c r="A45" s="6" t="s">
        <v>297</v>
      </c>
      <c r="B45" s="100" t="n">
        <v>1</v>
      </c>
      <c r="C45" s="100" t="n">
        <v>1</v>
      </c>
      <c r="D45" s="100" t="n">
        <v>1</v>
      </c>
      <c r="E45" s="101" t="n">
        <f aca="false">CHOOSE(Dashboard!$B$4,B45,C45,D45)</f>
        <v>1</v>
      </c>
      <c r="F45" s="38" t="s">
        <v>289</v>
      </c>
      <c r="G45" s="102"/>
    </row>
    <row r="46" customFormat="false" ht="15" hidden="false" customHeight="false" outlineLevel="0" collapsed="false">
      <c r="A46" s="6" t="s">
        <v>298</v>
      </c>
      <c r="B46" s="105" t="n">
        <v>3</v>
      </c>
      <c r="C46" s="105" t="n">
        <v>3</v>
      </c>
      <c r="D46" s="105" t="n">
        <v>3</v>
      </c>
      <c r="E46" s="106" t="n">
        <f aca="false">CHOOSE(Dashboard!$B$4,B46,C46,D46)</f>
        <v>3</v>
      </c>
      <c r="F46" s="38" t="s">
        <v>285</v>
      </c>
      <c r="G46" s="102" t="s">
        <v>259</v>
      </c>
    </row>
    <row r="47" customFormat="false" ht="15" hidden="false" customHeight="false" outlineLevel="0" collapsed="false">
      <c r="A47" s="6" t="s">
        <v>299</v>
      </c>
      <c r="B47" s="107" t="n">
        <v>65000</v>
      </c>
      <c r="C47" s="107" t="n">
        <v>65000</v>
      </c>
      <c r="D47" s="107" t="n">
        <v>65000</v>
      </c>
      <c r="E47" s="108" t="n">
        <f aca="false">CHOOSE(Dashboard!$B$4,B47,C47,D47)</f>
        <v>65000</v>
      </c>
      <c r="F47" s="38" t="s">
        <v>278</v>
      </c>
      <c r="G47" s="102"/>
    </row>
    <row r="48" customFormat="false" ht="15" hidden="false" customHeight="false" outlineLevel="0" collapsed="false">
      <c r="A48" s="6" t="s">
        <v>300</v>
      </c>
      <c r="B48" s="103" t="n">
        <v>0.15</v>
      </c>
      <c r="C48" s="103" t="n">
        <v>0.15</v>
      </c>
      <c r="D48" s="103" t="n">
        <v>0.15</v>
      </c>
      <c r="E48" s="104" t="n">
        <f aca="false">CHOOSE(Dashboard!$B$4,B48,C48,D48)</f>
        <v>0.15</v>
      </c>
      <c r="F48" s="38" t="s">
        <v>258</v>
      </c>
      <c r="G48" s="102" t="s">
        <v>259</v>
      </c>
    </row>
    <row r="49" customFormat="false" ht="15" hidden="false" customHeight="false" outlineLevel="0" collapsed="false">
      <c r="A49" s="6" t="s">
        <v>301</v>
      </c>
      <c r="B49" s="100" t="n">
        <v>1</v>
      </c>
      <c r="C49" s="100" t="n">
        <v>1</v>
      </c>
      <c r="D49" s="100" t="n">
        <v>1</v>
      </c>
      <c r="E49" s="101" t="n">
        <f aca="false">CHOOSE(Dashboard!$B$4,B49,C49,D49)</f>
        <v>1</v>
      </c>
      <c r="F49" s="38" t="s">
        <v>289</v>
      </c>
      <c r="G49" s="102"/>
    </row>
    <row r="50" customFormat="false" ht="15" hidden="false" customHeight="false" outlineLevel="0" collapsed="false">
      <c r="A50" s="6" t="s">
        <v>302</v>
      </c>
      <c r="B50" s="103" t="n">
        <v>0.2</v>
      </c>
      <c r="C50" s="103" t="n">
        <v>0.2</v>
      </c>
      <c r="D50" s="103" t="n">
        <v>0.2</v>
      </c>
      <c r="E50" s="104" t="n">
        <f aca="false">CHOOSE(Dashboard!$B$4,B50,C50,D50)</f>
        <v>0.2</v>
      </c>
      <c r="F50" s="38" t="s">
        <v>258</v>
      </c>
      <c r="G50" s="102"/>
    </row>
    <row r="51" customFormat="false" ht="15" hidden="false" customHeight="false" outlineLevel="0" collapsed="false">
      <c r="A51" s="6" t="s">
        <v>303</v>
      </c>
      <c r="B51" s="103" t="n">
        <v>0.03</v>
      </c>
      <c r="C51" s="103" t="n">
        <v>0.03</v>
      </c>
      <c r="D51" s="103" t="n">
        <v>0.03</v>
      </c>
      <c r="E51" s="104" t="n">
        <f aca="false">CHOOSE(Dashboard!$B$4,B51,C51,D51)</f>
        <v>0.03</v>
      </c>
      <c r="F51" s="38" t="s">
        <v>258</v>
      </c>
      <c r="G51" s="102"/>
    </row>
    <row r="53" customFormat="false" ht="15.75" hidden="false" customHeight="true" outlineLevel="0" collapsed="false">
      <c r="A53" s="7" t="s">
        <v>304</v>
      </c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6" t="s">
        <v>305</v>
      </c>
      <c r="B54" s="107" t="n">
        <v>300000</v>
      </c>
      <c r="C54" s="107" t="n">
        <v>300000</v>
      </c>
      <c r="D54" s="107" t="n">
        <v>300000</v>
      </c>
      <c r="E54" s="108" t="n">
        <f aca="false">CHOOSE(Dashboard!$B$4,B54,C54,D54)</f>
        <v>300000</v>
      </c>
      <c r="F54" s="38" t="s">
        <v>278</v>
      </c>
      <c r="G54" s="102"/>
    </row>
    <row r="55" customFormat="false" ht="15" hidden="false" customHeight="false" outlineLevel="0" collapsed="false">
      <c r="A55" s="6" t="s">
        <v>306</v>
      </c>
      <c r="B55" s="107" t="n">
        <v>200000</v>
      </c>
      <c r="C55" s="107" t="n">
        <v>200000</v>
      </c>
      <c r="D55" s="107" t="n">
        <v>200000</v>
      </c>
      <c r="E55" s="108" t="n">
        <f aca="false">CHOOSE(Dashboard!$B$4,B55,C55,D55)</f>
        <v>200000</v>
      </c>
      <c r="F55" s="38" t="s">
        <v>278</v>
      </c>
      <c r="G55" s="102"/>
    </row>
    <row r="56" customFormat="false" ht="15" hidden="false" customHeight="false" outlineLevel="0" collapsed="false">
      <c r="A56" s="6" t="s">
        <v>307</v>
      </c>
      <c r="B56" s="103" t="n">
        <v>0.08</v>
      </c>
      <c r="C56" s="103" t="n">
        <v>0.08</v>
      </c>
      <c r="D56" s="103" t="n">
        <v>0.08</v>
      </c>
      <c r="E56" s="104" t="n">
        <f aca="false">CHOOSE(Dashboard!$B$4,B56,C56,D56)</f>
        <v>0.08</v>
      </c>
      <c r="F56" s="38" t="s">
        <v>258</v>
      </c>
      <c r="G56" s="102"/>
    </row>
    <row r="57" customFormat="false" ht="15" hidden="false" customHeight="false" outlineLevel="0" collapsed="false">
      <c r="A57" s="6" t="s">
        <v>308</v>
      </c>
      <c r="B57" s="100" t="n">
        <v>5</v>
      </c>
      <c r="C57" s="100" t="n">
        <v>5</v>
      </c>
      <c r="D57" s="100" t="n">
        <v>5</v>
      </c>
      <c r="E57" s="101" t="n">
        <f aca="false">CHOOSE(Dashboard!$B$4,B57,C57,D57)</f>
        <v>5</v>
      </c>
      <c r="F57" s="38" t="s">
        <v>309</v>
      </c>
      <c r="G57" s="102"/>
    </row>
    <row r="59" customFormat="false" ht="15.75" hidden="false" customHeight="true" outlineLevel="0" collapsed="false">
      <c r="A59" s="7" t="s">
        <v>310</v>
      </c>
      <c r="B59" s="7"/>
      <c r="C59" s="7"/>
      <c r="D59" s="7"/>
      <c r="E59" s="7"/>
      <c r="F59" s="7"/>
      <c r="G59" s="7"/>
    </row>
    <row r="60" customFormat="false" ht="15" hidden="false" customHeight="false" outlineLevel="0" collapsed="false">
      <c r="A60" s="6" t="s">
        <v>311</v>
      </c>
      <c r="B60" s="100" t="n">
        <v>45</v>
      </c>
      <c r="C60" s="100" t="n">
        <v>45</v>
      </c>
      <c r="D60" s="100" t="n">
        <v>45</v>
      </c>
      <c r="E60" s="101" t="n">
        <f aca="false">CHOOSE(Dashboard!$B$4,B60,C60,D60)</f>
        <v>45</v>
      </c>
      <c r="F60" s="38" t="s">
        <v>312</v>
      </c>
      <c r="G60" s="102"/>
    </row>
    <row r="61" customFormat="false" ht="15" hidden="false" customHeight="false" outlineLevel="0" collapsed="false">
      <c r="A61" s="6" t="s">
        <v>313</v>
      </c>
      <c r="B61" s="100" t="n">
        <v>0</v>
      </c>
      <c r="C61" s="100" t="n">
        <v>0</v>
      </c>
      <c r="D61" s="100" t="n">
        <v>0</v>
      </c>
      <c r="E61" s="101" t="n">
        <f aca="false">CHOOSE(Dashboard!$B$4,B61,C61,D61)</f>
        <v>0</v>
      </c>
      <c r="F61" s="38" t="s">
        <v>312</v>
      </c>
      <c r="G61" s="102"/>
    </row>
    <row r="62" customFormat="false" ht="15" hidden="false" customHeight="false" outlineLevel="0" collapsed="false">
      <c r="A62" s="6" t="s">
        <v>314</v>
      </c>
      <c r="B62" s="100" t="n">
        <v>15</v>
      </c>
      <c r="C62" s="100" t="n">
        <v>15</v>
      </c>
      <c r="D62" s="100" t="n">
        <v>15</v>
      </c>
      <c r="E62" s="101" t="n">
        <f aca="false">CHOOSE(Dashboard!$B$4,B62,C62,D62)</f>
        <v>15</v>
      </c>
      <c r="F62" s="38" t="s">
        <v>312</v>
      </c>
      <c r="G62" s="102"/>
    </row>
    <row r="64" customFormat="false" ht="15.75" hidden="false" customHeight="true" outlineLevel="0" collapsed="false">
      <c r="A64" s="7" t="s">
        <v>315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6" t="s">
        <v>316</v>
      </c>
      <c r="B65" s="100" t="n">
        <v>5</v>
      </c>
      <c r="C65" s="100" t="n">
        <v>5</v>
      </c>
      <c r="D65" s="100" t="n">
        <v>5</v>
      </c>
      <c r="E65" s="101" t="n">
        <f aca="false">CHOOSE(Dashboard!$B$4,B65,C65,D65)</f>
        <v>5</v>
      </c>
      <c r="F65" s="38" t="s">
        <v>309</v>
      </c>
      <c r="G65" s="102"/>
    </row>
    <row r="66" customFormat="false" ht="15" hidden="false" customHeight="false" outlineLevel="0" collapsed="false">
      <c r="A66" s="6" t="s">
        <v>317</v>
      </c>
      <c r="B66" s="103" t="n">
        <v>0.21</v>
      </c>
      <c r="C66" s="103" t="n">
        <v>0.21</v>
      </c>
      <c r="D66" s="103" t="n">
        <v>0.21</v>
      </c>
      <c r="E66" s="104" t="n">
        <f aca="false">CHOOSE(Dashboard!$B$4,B66,C66,D66)</f>
        <v>0.21</v>
      </c>
      <c r="F66" s="38" t="s">
        <v>258</v>
      </c>
      <c r="G66" s="102"/>
    </row>
    <row r="68" customFormat="false" ht="15.75" hidden="false" customHeight="true" outlineLevel="0" collapsed="false">
      <c r="A68" s="7" t="s">
        <v>318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140</v>
      </c>
      <c r="B69" s="107" t="n">
        <v>188000</v>
      </c>
      <c r="C69" s="107" t="n">
        <v>188000</v>
      </c>
      <c r="D69" s="107" t="n">
        <v>188000</v>
      </c>
      <c r="E69" s="108" t="n">
        <f aca="false">CHOOSE(Dashboard!$B$4,B69,C69,D69)</f>
        <v>188000</v>
      </c>
      <c r="F69" s="38" t="s">
        <v>278</v>
      </c>
      <c r="G69" s="102" t="s">
        <v>319</v>
      </c>
    </row>
    <row r="71" customFormat="false" ht="15.75" hidden="false" customHeight="true" outlineLevel="0" collapsed="false">
      <c r="A71" s="7" t="s">
        <v>320</v>
      </c>
      <c r="B71" s="7"/>
      <c r="C71" s="7"/>
      <c r="D71" s="7"/>
      <c r="E71" s="7"/>
      <c r="F71" s="7"/>
      <c r="G71" s="7"/>
    </row>
    <row r="72" customFormat="false" ht="15" hidden="false" customHeight="false" outlineLevel="0" collapsed="false">
      <c r="A72" s="6" t="s">
        <v>167</v>
      </c>
      <c r="B72" s="103" t="n">
        <v>0.2</v>
      </c>
      <c r="C72" s="103" t="n">
        <v>0.16</v>
      </c>
      <c r="D72" s="103" t="n">
        <v>0.13</v>
      </c>
      <c r="E72" s="104" t="n">
        <f aca="false">CHOOSE(Dashboard!$B$4,B72,C72,D72)</f>
        <v>0.16</v>
      </c>
      <c r="F72" s="38" t="s">
        <v>258</v>
      </c>
      <c r="G72" s="102" t="s">
        <v>272</v>
      </c>
    </row>
    <row r="73" customFormat="false" ht="15" hidden="false" customHeight="false" outlineLevel="0" collapsed="false">
      <c r="A73" s="6" t="s">
        <v>321</v>
      </c>
      <c r="B73" s="103" t="n">
        <v>0.01</v>
      </c>
      <c r="C73" s="103" t="n">
        <v>0.02</v>
      </c>
      <c r="D73" s="103" t="n">
        <v>0.03</v>
      </c>
      <c r="E73" s="104" t="n">
        <f aca="false">CHOOSE(Dashboard!$B$4,B73,C73,D73)</f>
        <v>0.02</v>
      </c>
      <c r="F73" s="38" t="s">
        <v>258</v>
      </c>
      <c r="G73" s="102" t="s">
        <v>259</v>
      </c>
    </row>
    <row r="74" customFormat="false" ht="15" hidden="false" customHeight="false" outlineLevel="0" collapsed="false">
      <c r="A74" s="6" t="s">
        <v>169</v>
      </c>
      <c r="B74" s="111" t="n">
        <v>4</v>
      </c>
      <c r="C74" s="111" t="n">
        <v>5.5</v>
      </c>
      <c r="D74" s="111" t="n">
        <v>7</v>
      </c>
      <c r="E74" s="112" t="n">
        <f aca="false">CHOOSE(Dashboard!$B$4,B74,C74,D74)</f>
        <v>5.5</v>
      </c>
      <c r="F74" s="38" t="s">
        <v>322</v>
      </c>
      <c r="G74" s="102" t="s">
        <v>259</v>
      </c>
    </row>
    <row r="75" customFormat="false" ht="15" hidden="false" customHeight="false" outlineLevel="0" collapsed="false">
      <c r="A75" s="6" t="s">
        <v>323</v>
      </c>
      <c r="B75" s="103" t="n">
        <v>0.01</v>
      </c>
      <c r="C75" s="103" t="n">
        <v>0.01</v>
      </c>
      <c r="D75" s="103" t="n">
        <v>0.01</v>
      </c>
      <c r="E75" s="104" t="n">
        <f aca="false">CHOOSE(Dashboard!$B$4,B75,C75,D75)</f>
        <v>0.01</v>
      </c>
      <c r="F75" s="38" t="s">
        <v>258</v>
      </c>
      <c r="G75" s="102"/>
    </row>
    <row r="76" customFormat="false" ht="15" hidden="false" customHeight="false" outlineLevel="0" collapsed="false">
      <c r="A76" s="6" t="s">
        <v>324</v>
      </c>
      <c r="B76" s="103" t="n">
        <v>0.005</v>
      </c>
      <c r="C76" s="103" t="n">
        <v>0.005</v>
      </c>
      <c r="D76" s="103" t="n">
        <v>0.005</v>
      </c>
      <c r="E76" s="104" t="n">
        <f aca="false">CHOOSE(Dashboard!$B$4,B76,C76,D76)</f>
        <v>0.005</v>
      </c>
      <c r="F76" s="38" t="s">
        <v>258</v>
      </c>
      <c r="G76" s="102"/>
    </row>
    <row r="78" customFormat="false" ht="15" hidden="false" customHeight="false" outlineLevel="0" collapsed="false">
      <c r="A78" s="21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326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4" t="s">
        <v>44</v>
      </c>
      <c r="B5" s="73" t="n">
        <f aca="false">SUMIF(Monthly!$C$5:$BJ$5,B$3,Monthly!$C$22:$BJ$22)</f>
        <v>4506192</v>
      </c>
      <c r="C5" s="73" t="n">
        <f aca="false">SUMIF(Monthly!$C$5:$BJ$5,C$3,Monthly!$C$22:$BJ$22)</f>
        <v>5835961.872</v>
      </c>
      <c r="D5" s="73" t="n">
        <f aca="false">SUMIF(Monthly!$C$5:$BJ$5,D$3,Monthly!$C$22:$BJ$22)</f>
        <v>7569836.035632</v>
      </c>
      <c r="E5" s="73" t="n">
        <f aca="false">SUMIF(Monthly!$C$5:$BJ$5,E$3,Monthly!$C$22:$BJ$22)</f>
        <v>9833787.54974491</v>
      </c>
      <c r="F5" s="73" t="n">
        <f aca="false">SUMIF(Monthly!$C$5:$BJ$5,F$3,Monthly!$C$22:$BJ$22)</f>
        <v>12793894.0222781</v>
      </c>
    </row>
    <row r="6" customFormat="false" ht="15" hidden="false" customHeight="false" outlineLevel="0" collapsed="false">
      <c r="A6" s="6" t="s">
        <v>76</v>
      </c>
      <c r="B6" s="67" t="n">
        <f aca="false">SUMIF(Monthly!$C$5:$BJ$5,B$3,Monthly!$C$28:$BJ$28)</f>
        <v>-2703185.76</v>
      </c>
      <c r="C6" s="67" t="n">
        <f aca="false">SUMIF(Monthly!$C$5:$BJ$5,C$3,Monthly!$C$28:$BJ$28)</f>
        <v>-3490030.85616</v>
      </c>
      <c r="D6" s="67" t="n">
        <f aca="false">SUMIF(Monthly!$C$5:$BJ$5,D$3,Monthly!$C$28:$BJ$28)</f>
        <v>-4513046.20906896</v>
      </c>
      <c r="E6" s="67" t="n">
        <f aca="false">SUMIF(Monthly!$C$5:$BJ$5,E$3,Monthly!$C$28:$BJ$28)</f>
        <v>-5845078.96128435</v>
      </c>
      <c r="F6" s="67" t="n">
        <f aca="false">SUMIF(Monthly!$C$5:$BJ$5,F$3,Monthly!$C$28:$BJ$28)</f>
        <v>-7581968.79711323</v>
      </c>
    </row>
    <row r="7" customFormat="false" ht="15" hidden="false" customHeight="false" outlineLevel="0" collapsed="false">
      <c r="A7" s="113" t="s">
        <v>45</v>
      </c>
      <c r="B7" s="68" t="n">
        <f aca="false">SUMIF(Monthly!$C$5:$BJ$5,B$3,Monthly!$C$29:$BJ$29)</f>
        <v>1803006.24</v>
      </c>
      <c r="C7" s="68" t="n">
        <f aca="false">SUMIF(Monthly!$C$5:$BJ$5,C$3,Monthly!$C$29:$BJ$29)</f>
        <v>2345931.01584</v>
      </c>
      <c r="D7" s="68" t="n">
        <f aca="false">SUMIF(Monthly!$C$5:$BJ$5,D$3,Monthly!$C$29:$BJ$29)</f>
        <v>3056789.82656304</v>
      </c>
      <c r="E7" s="68" t="n">
        <f aca="false">SUMIF(Monthly!$C$5:$BJ$5,E$3,Monthly!$C$29:$BJ$29)</f>
        <v>3988708.58846056</v>
      </c>
      <c r="F7" s="68" t="n">
        <f aca="false">SUMIF(Monthly!$C$5:$BJ$5,F$3,Monthly!$C$29:$BJ$29)</f>
        <v>5211925.22516482</v>
      </c>
    </row>
    <row r="8" customFormat="false" ht="15" hidden="false" customHeight="false" outlineLevel="0" collapsed="false">
      <c r="A8" s="38" t="s">
        <v>46</v>
      </c>
      <c r="B8" s="74" t="n">
        <f aca="false">IF(B5=0,0,B7/B5)</f>
        <v>0.400117491664803</v>
      </c>
      <c r="C8" s="74" t="n">
        <f aca="false">IF(C5=0,0,C7/C5)</f>
        <v>0.401978468552956</v>
      </c>
      <c r="D8" s="74" t="n">
        <f aca="false">IF(D5=0,0,D7/D5)</f>
        <v>0.403811893966318</v>
      </c>
      <c r="E8" s="74" t="n">
        <f aca="false">IF(E5=0,0,E7/E5)</f>
        <v>0.405612646021017</v>
      </c>
      <c r="F8" s="74" t="n">
        <f aca="false">IF(F5=0,0,F7/F5)</f>
        <v>0.407375988584029</v>
      </c>
    </row>
    <row r="9" customFormat="false" ht="15" hidden="false" customHeight="false" outlineLevel="0" collapsed="false">
      <c r="A9" s="6" t="s">
        <v>327</v>
      </c>
      <c r="B9" s="67" t="n">
        <f aca="false">SUMIF(Monthly!$C$5:$BJ$5,B$3,Monthly!$C$32:$BJ$32)</f>
        <v>-438000</v>
      </c>
      <c r="C9" s="67" t="n">
        <f aca="false">SUMIF(Monthly!$C$5:$BJ$5,C$3,Monthly!$C$32:$BJ$32)</f>
        <v>-529317</v>
      </c>
      <c r="D9" s="67" t="n">
        <f aca="false">SUMIF(Monthly!$C$5:$BJ$5,D$3,Monthly!$C$32:$BJ$32)</f>
        <v>-639961.4025</v>
      </c>
      <c r="E9" s="67" t="n">
        <f aca="false">SUMIF(Monthly!$C$5:$BJ$5,E$3,Monthly!$C$32:$BJ$32)</f>
        <v>-774084.255437249</v>
      </c>
      <c r="F9" s="67" t="n">
        <f aca="false">SUMIF(Monthly!$C$5:$BJ$5,F$3,Monthly!$C$32:$BJ$32)</f>
        <v>-936740.56864696</v>
      </c>
    </row>
    <row r="10" customFormat="false" ht="15" hidden="false" customHeight="false" outlineLevel="0" collapsed="false">
      <c r="A10" s="6" t="s">
        <v>328</v>
      </c>
      <c r="B10" s="67" t="n">
        <f aca="false">SUMIF(Monthly!$C$5:$BJ$5,B$3,Monthly!$C$33:$BJ$33)</f>
        <v>-96000</v>
      </c>
      <c r="C10" s="67" t="n">
        <f aca="false">SUMIF(Monthly!$C$5:$BJ$5,C$3,Monthly!$C$33:$BJ$33)</f>
        <v>-96000</v>
      </c>
      <c r="D10" s="67" t="n">
        <f aca="false">SUMIF(Monthly!$C$5:$BJ$5,D$3,Monthly!$C$33:$BJ$33)</f>
        <v>-96000</v>
      </c>
      <c r="E10" s="67" t="n">
        <f aca="false">SUMIF(Monthly!$C$5:$BJ$5,E$3,Monthly!$C$33:$BJ$33)</f>
        <v>-96000</v>
      </c>
      <c r="F10" s="67" t="n">
        <f aca="false">SUMIF(Monthly!$C$5:$BJ$5,F$3,Monthly!$C$33:$BJ$33)</f>
        <v>-96000</v>
      </c>
    </row>
    <row r="11" customFormat="false" ht="15" hidden="false" customHeight="false" outlineLevel="0" collapsed="false">
      <c r="A11" s="6" t="s">
        <v>329</v>
      </c>
      <c r="B11" s="67" t="n">
        <f aca="false">SUMIF(Monthly!$C$5:$BJ$5,B$3,Monthly!$C$34:$BJ$34)</f>
        <v>-50400</v>
      </c>
      <c r="C11" s="67" t="n">
        <f aca="false">SUMIF(Monthly!$C$5:$BJ$5,C$3,Monthly!$C$34:$BJ$34)</f>
        <v>-63000</v>
      </c>
      <c r="D11" s="67" t="n">
        <f aca="false">SUMIF(Monthly!$C$5:$BJ$5,D$3,Monthly!$C$34:$BJ$34)</f>
        <v>-78930</v>
      </c>
      <c r="E11" s="67" t="n">
        <f aca="false">SUMIF(Monthly!$C$5:$BJ$5,E$3,Monthly!$C$34:$BJ$34)</f>
        <v>-99107.1</v>
      </c>
      <c r="F11" s="67" t="n">
        <f aca="false">SUMIF(Monthly!$C$5:$BJ$5,F$3,Monthly!$C$34:$BJ$34)</f>
        <v>-124708.365</v>
      </c>
    </row>
    <row r="12" customFormat="false" ht="15" hidden="false" customHeight="false" outlineLevel="0" collapsed="false">
      <c r="A12" s="6" t="s">
        <v>330</v>
      </c>
      <c r="B12" s="67" t="n">
        <f aca="false">SUMIF(Monthly!$C$5:$BJ$5,B$3,Monthly!$C$35:$BJ$35)</f>
        <v>-96000</v>
      </c>
      <c r="C12" s="67" t="n">
        <f aca="false">SUMIF(Monthly!$C$5:$BJ$5,C$3,Monthly!$C$35:$BJ$35)</f>
        <v>-96000</v>
      </c>
      <c r="D12" s="67" t="n">
        <f aca="false">SUMIF(Monthly!$C$5:$BJ$5,D$3,Monthly!$C$35:$BJ$35)</f>
        <v>-96000</v>
      </c>
      <c r="E12" s="67" t="n">
        <f aca="false">SUMIF(Monthly!$C$5:$BJ$5,E$3,Monthly!$C$35:$BJ$35)</f>
        <v>-96000</v>
      </c>
      <c r="F12" s="67" t="n">
        <f aca="false">SUMIF(Monthly!$C$5:$BJ$5,F$3,Monthly!$C$35:$BJ$35)</f>
        <v>-96000</v>
      </c>
    </row>
    <row r="13" customFormat="false" ht="15" hidden="false" customHeight="false" outlineLevel="0" collapsed="false">
      <c r="A13" s="6" t="s">
        <v>331</v>
      </c>
      <c r="B13" s="67" t="n">
        <f aca="false">SUMIF(Monthly!$C$5:$BJ$5,B$3,Monthly!$C$36:$BJ$36)</f>
        <v>-72000</v>
      </c>
      <c r="C13" s="67" t="n">
        <f aca="false">SUMIF(Monthly!$C$5:$BJ$5,C$3,Monthly!$C$36:$BJ$36)</f>
        <v>-72000</v>
      </c>
      <c r="D13" s="67" t="n">
        <f aca="false">SUMIF(Monthly!$C$5:$BJ$5,D$3,Monthly!$C$36:$BJ$36)</f>
        <v>-72000</v>
      </c>
      <c r="E13" s="67" t="n">
        <f aca="false">SUMIF(Monthly!$C$5:$BJ$5,E$3,Monthly!$C$36:$BJ$36)</f>
        <v>-72000</v>
      </c>
      <c r="F13" s="67" t="n">
        <f aca="false">SUMIF(Monthly!$C$5:$BJ$5,F$3,Monthly!$C$36:$BJ$36)</f>
        <v>-72000</v>
      </c>
    </row>
    <row r="14" customFormat="false" ht="15" hidden="false" customHeight="false" outlineLevel="0" collapsed="false">
      <c r="A14" s="113" t="s">
        <v>77</v>
      </c>
      <c r="B14" s="68" t="n">
        <f aca="false">SUMIF(Monthly!$C$5:$BJ$5,B$3,Monthly!$C$37:$BJ$37)</f>
        <v>-752400</v>
      </c>
      <c r="C14" s="68" t="n">
        <f aca="false">SUMIF(Monthly!$C$5:$BJ$5,C$3,Monthly!$C$37:$BJ$37)</f>
        <v>-856317</v>
      </c>
      <c r="D14" s="68" t="n">
        <f aca="false">SUMIF(Monthly!$C$5:$BJ$5,D$3,Monthly!$C$37:$BJ$37)</f>
        <v>-982891.4025</v>
      </c>
      <c r="E14" s="68" t="n">
        <f aca="false">SUMIF(Monthly!$C$5:$BJ$5,E$3,Monthly!$C$37:$BJ$37)</f>
        <v>-1137191.35543725</v>
      </c>
      <c r="F14" s="68" t="n">
        <f aca="false">SUMIF(Monthly!$C$5:$BJ$5,F$3,Monthly!$C$37:$BJ$37)</f>
        <v>-1325448.93364696</v>
      </c>
    </row>
    <row r="15" customFormat="false" ht="15" hidden="false" customHeight="false" outlineLevel="0" collapsed="false">
      <c r="A15" s="113" t="s">
        <v>48</v>
      </c>
      <c r="B15" s="68" t="n">
        <f aca="false">SUMIF(Monthly!$C$5:$BJ$5,B$3,Monthly!$C$38:$BJ$38)</f>
        <v>1050606.24</v>
      </c>
      <c r="C15" s="68" t="n">
        <f aca="false">SUMIF(Monthly!$C$5:$BJ$5,C$3,Monthly!$C$38:$BJ$38)</f>
        <v>1489614.01584</v>
      </c>
      <c r="D15" s="68" t="n">
        <f aca="false">SUMIF(Monthly!$C$5:$BJ$5,D$3,Monthly!$C$38:$BJ$38)</f>
        <v>2073898.42406304</v>
      </c>
      <c r="E15" s="68" t="n">
        <f aca="false">SUMIF(Monthly!$C$5:$BJ$5,E$3,Monthly!$C$38:$BJ$38)</f>
        <v>2851517.23302332</v>
      </c>
      <c r="F15" s="68" t="n">
        <f aca="false">SUMIF(Monthly!$C$5:$BJ$5,F$3,Monthly!$C$38:$BJ$38)</f>
        <v>3886476.29151786</v>
      </c>
    </row>
    <row r="16" customFormat="false" ht="15" hidden="false" customHeight="false" outlineLevel="0" collapsed="false">
      <c r="A16" s="38" t="s">
        <v>49</v>
      </c>
      <c r="B16" s="74" t="n">
        <f aca="false">IF(B5=0,0,B15/B5)</f>
        <v>0.23314724272734</v>
      </c>
      <c r="C16" s="74" t="n">
        <f aca="false">IF(C5=0,0,C15/C5)</f>
        <v>0.255247386551123</v>
      </c>
      <c r="D16" s="74" t="n">
        <f aca="false">IF(D5=0,0,D15/D5)</f>
        <v>0.273968737803697</v>
      </c>
      <c r="E16" s="74" t="n">
        <f aca="false">IF(E5=0,0,E15/E5)</f>
        <v>0.289971409144108</v>
      </c>
      <c r="F16" s="74" t="n">
        <f aca="false">IF(F5=0,0,F15/F5)</f>
        <v>0.303775870329262</v>
      </c>
    </row>
    <row r="17" customFormat="false" ht="15" hidden="false" customHeight="false" outlineLevel="0" collapsed="false">
      <c r="A17" s="6" t="s">
        <v>78</v>
      </c>
      <c r="B17" s="67" t="n">
        <f aca="false">SUMIF(Monthly!$C$5:$BJ$5,B$3,Monthly!$C$52:$BJ$52)</f>
        <v>-12000</v>
      </c>
      <c r="C17" s="67" t="n">
        <f aca="false">SUMIF(Monthly!$C$5:$BJ$5,C$3,Monthly!$C$52:$BJ$52)</f>
        <v>-12000</v>
      </c>
      <c r="D17" s="67" t="n">
        <f aca="false">SUMIF(Monthly!$C$5:$BJ$5,D$3,Monthly!$C$52:$BJ$52)</f>
        <v>-12000</v>
      </c>
      <c r="E17" s="67" t="n">
        <f aca="false">SUMIF(Monthly!$C$5:$BJ$5,E$3,Monthly!$C$52:$BJ$52)</f>
        <v>-12000</v>
      </c>
      <c r="F17" s="67" t="n">
        <f aca="false">SUMIF(Monthly!$C$5:$BJ$5,F$3,Monthly!$C$52:$BJ$52)</f>
        <v>-12000</v>
      </c>
    </row>
    <row r="18" customFormat="false" ht="15" hidden="false" customHeight="false" outlineLevel="0" collapsed="false">
      <c r="A18" s="4" t="s">
        <v>79</v>
      </c>
      <c r="B18" s="73" t="n">
        <f aca="false">SUMIF(Monthly!$C$5:$BJ$5,B$3,Monthly!$C$41:$BJ$41)</f>
        <v>1038606.24</v>
      </c>
      <c r="C18" s="73" t="n">
        <f aca="false">SUMIF(Monthly!$C$5:$BJ$5,C$3,Monthly!$C$41:$BJ$41)</f>
        <v>1477614.01584</v>
      </c>
      <c r="D18" s="73" t="n">
        <f aca="false">SUMIF(Monthly!$C$5:$BJ$5,D$3,Monthly!$C$41:$BJ$41)</f>
        <v>2061898.42406304</v>
      </c>
      <c r="E18" s="73" t="n">
        <f aca="false">SUMIF(Monthly!$C$5:$BJ$5,E$3,Monthly!$C$41:$BJ$41)</f>
        <v>2839517.23302332</v>
      </c>
      <c r="F18" s="73" t="n">
        <f aca="false">SUMIF(Monthly!$C$5:$BJ$5,F$3,Monthly!$C$41:$BJ$41)</f>
        <v>3874476.29151786</v>
      </c>
    </row>
    <row r="19" customFormat="false" ht="15" hidden="false" customHeight="false" outlineLevel="0" collapsed="false">
      <c r="A19" s="6" t="s">
        <v>80</v>
      </c>
      <c r="B19" s="67" t="n">
        <f aca="false">SUMIF(Monthly!$C$5:$BJ$5,B$3,Monthly!$C$42:$BJ$42)</f>
        <v>-14655.5555555556</v>
      </c>
      <c r="C19" s="67" t="n">
        <f aca="false">SUMIF(Monthly!$C$5:$BJ$5,C$3,Monthly!$C$42:$BJ$42)</f>
        <v>-11466.6666666667</v>
      </c>
      <c r="D19" s="67" t="n">
        <f aca="false">SUMIF(Monthly!$C$5:$BJ$5,D$3,Monthly!$C$42:$BJ$42)</f>
        <v>-8266.66666666666</v>
      </c>
      <c r="E19" s="67" t="n">
        <f aca="false">SUMIF(Monthly!$C$5:$BJ$5,E$3,Monthly!$C$42:$BJ$42)</f>
        <v>-5066.66666666666</v>
      </c>
      <c r="F19" s="67" t="n">
        <f aca="false">SUMIF(Monthly!$C$5:$BJ$5,F$3,Monthly!$C$42:$BJ$42)</f>
        <v>-1866.66666666666</v>
      </c>
    </row>
    <row r="20" customFormat="false" ht="15" hidden="false" customHeight="false" outlineLevel="0" collapsed="false">
      <c r="A20" s="114" t="s">
        <v>81</v>
      </c>
      <c r="B20" s="115" t="n">
        <f aca="false">SUMIF(Monthly!$C$5:$BJ$5,B$3,Monthly!$C$43:$BJ$43)</f>
        <v>1023950.68444444</v>
      </c>
      <c r="C20" s="115" t="n">
        <f aca="false">SUMIF(Monthly!$C$5:$BJ$5,C$3,Monthly!$C$43:$BJ$43)</f>
        <v>1466147.34917334</v>
      </c>
      <c r="D20" s="115" t="n">
        <f aca="false">SUMIF(Monthly!$C$5:$BJ$5,D$3,Monthly!$C$43:$BJ$43)</f>
        <v>2053631.75739637</v>
      </c>
      <c r="E20" s="115" t="n">
        <f aca="false">SUMIF(Monthly!$C$5:$BJ$5,E$3,Monthly!$C$43:$BJ$43)</f>
        <v>2834450.56635665</v>
      </c>
      <c r="F20" s="115" t="n">
        <f aca="false">SUMIF(Monthly!$C$5:$BJ$5,F$3,Monthly!$C$43:$BJ$43)</f>
        <v>3872609.62485119</v>
      </c>
    </row>
    <row r="21" customFormat="false" ht="15" hidden="false" customHeight="false" outlineLevel="0" collapsed="false">
      <c r="A21" s="6" t="s">
        <v>82</v>
      </c>
      <c r="B21" s="67" t="n">
        <f aca="false">SUMIF(Monthly!$C$5:$BJ$5,B$3,Monthly!$C$46:$BJ$46)</f>
        <v>-215029.643733333</v>
      </c>
      <c r="C21" s="67" t="n">
        <f aca="false">SUMIF(Monthly!$C$5:$BJ$5,C$3,Monthly!$C$46:$BJ$46)</f>
        <v>-307890.9433264</v>
      </c>
      <c r="D21" s="67" t="n">
        <f aca="false">SUMIF(Monthly!$C$5:$BJ$5,D$3,Monthly!$C$46:$BJ$46)</f>
        <v>-431262.669053238</v>
      </c>
      <c r="E21" s="67" t="n">
        <f aca="false">SUMIF(Monthly!$C$5:$BJ$5,E$3,Monthly!$C$46:$BJ$46)</f>
        <v>-595234.618934896</v>
      </c>
      <c r="F21" s="67" t="n">
        <f aca="false">SUMIF(Monthly!$C$5:$BJ$5,F$3,Monthly!$C$46:$BJ$46)</f>
        <v>-813248.02121875</v>
      </c>
    </row>
    <row r="22" customFormat="false" ht="15" hidden="false" customHeight="false" outlineLevel="0" collapsed="false">
      <c r="A22" s="70" t="s">
        <v>50</v>
      </c>
      <c r="B22" s="71" t="n">
        <f aca="false">SUMIF(Monthly!$C$5:$BJ$5,B$3,Monthly!$C$47:$BJ$47)</f>
        <v>808921.040711111</v>
      </c>
      <c r="C22" s="71" t="n">
        <f aca="false">SUMIF(Monthly!$C$5:$BJ$5,C$3,Monthly!$C$47:$BJ$47)</f>
        <v>1158256.40584694</v>
      </c>
      <c r="D22" s="71" t="n">
        <f aca="false">SUMIF(Monthly!$C$5:$BJ$5,D$3,Monthly!$C$47:$BJ$47)</f>
        <v>1622369.08834314</v>
      </c>
      <c r="E22" s="71" t="n">
        <f aca="false">SUMIF(Monthly!$C$5:$BJ$5,E$3,Monthly!$C$47:$BJ$47)</f>
        <v>2239215.94742175</v>
      </c>
      <c r="F22" s="71" t="n">
        <f aca="false">SUMIF(Monthly!$C$5:$BJ$5,F$3,Monthly!$C$47:$BJ$47)</f>
        <v>3059361.60363244</v>
      </c>
    </row>
    <row r="23" customFormat="false" ht="15" hidden="false" customHeight="false" outlineLevel="0" collapsed="false">
      <c r="A23" s="38" t="s">
        <v>51</v>
      </c>
      <c r="B23" s="74" t="n">
        <f aca="false">IF(B5=0,0,B22/B5)</f>
        <v>0.179513221076934</v>
      </c>
      <c r="C23" s="74" t="n">
        <f aca="false">IF(C5=0,0,C22/C5)</f>
        <v>0.198468809641143</v>
      </c>
      <c r="D23" s="74" t="n">
        <f aca="false">IF(D5=0,0,D22/D5)</f>
        <v>0.214320241641494</v>
      </c>
      <c r="E23" s="74" t="n">
        <f aca="false">IF(E5=0,0,E22/E5)</f>
        <v>0.227706357910878</v>
      </c>
      <c r="F23" s="74" t="n">
        <f aca="false">IF(F5=0,0,F22/F5)</f>
        <v>0.239126695774185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326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6" t="s">
        <v>50</v>
      </c>
      <c r="B5" s="67" t="n">
        <f aca="false">SUMIF(Monthly!$C$5:$BJ$5,B$3,Monthly!$C$47:$BJ$47)</f>
        <v>808921.040711111</v>
      </c>
      <c r="C5" s="67" t="n">
        <f aca="false">SUMIF(Monthly!$C$5:$BJ$5,C$3,Monthly!$C$47:$BJ$47)</f>
        <v>1158256.40584694</v>
      </c>
      <c r="D5" s="67" t="n">
        <f aca="false">SUMIF(Monthly!$C$5:$BJ$5,D$3,Monthly!$C$47:$BJ$47)</f>
        <v>1622369.08834314</v>
      </c>
      <c r="E5" s="67" t="n">
        <f aca="false">SUMIF(Monthly!$C$5:$BJ$5,E$3,Monthly!$C$47:$BJ$47)</f>
        <v>2239215.94742175</v>
      </c>
      <c r="F5" s="67" t="n">
        <f aca="false">SUMIF(Monthly!$C$5:$BJ$5,F$3,Monthly!$C$47:$BJ$47)</f>
        <v>3059361.60363244</v>
      </c>
    </row>
    <row r="6" customFormat="false" ht="15" hidden="false" customHeight="false" outlineLevel="0" collapsed="false">
      <c r="A6" s="6" t="s">
        <v>332</v>
      </c>
      <c r="B6" s="67" t="n">
        <f aca="false">-SUMIF(Monthly!$C$5:$BJ$5,B$3,Monthly!$C$52:$BJ$52)</f>
        <v>12000</v>
      </c>
      <c r="C6" s="67" t="n">
        <f aca="false">-SUMIF(Monthly!$C$5:$BJ$5,C$3,Monthly!$C$52:$BJ$52)</f>
        <v>12000</v>
      </c>
      <c r="D6" s="67" t="n">
        <f aca="false">-SUMIF(Monthly!$C$5:$BJ$5,D$3,Monthly!$C$52:$BJ$52)</f>
        <v>12000</v>
      </c>
      <c r="E6" s="67" t="n">
        <f aca="false">-SUMIF(Monthly!$C$5:$BJ$5,E$3,Monthly!$C$52:$BJ$52)</f>
        <v>12000</v>
      </c>
      <c r="F6" s="67" t="n">
        <f aca="false">-SUMIF(Monthly!$C$5:$BJ$5,F$3,Monthly!$C$52:$BJ$52)</f>
        <v>12000</v>
      </c>
    </row>
    <row r="7" customFormat="false" ht="15" hidden="false" customHeight="false" outlineLevel="0" collapsed="false">
      <c r="A7" s="6" t="s">
        <v>333</v>
      </c>
      <c r="B7" s="67" t="n">
        <f aca="false">SUMIF(Monthly!$C$5:$BJ$5,B$3,Monthly!$C$66:$BJ$66)</f>
        <v>-563274</v>
      </c>
      <c r="C7" s="67" t="n">
        <f aca="false">SUMIF(Monthly!$C$5:$BJ$5,C$3,Monthly!$C$66:$BJ$66)</f>
        <v>-166221.234</v>
      </c>
      <c r="D7" s="67" t="n">
        <f aca="false">SUMIF(Monthly!$C$5:$BJ$5,D$3,Monthly!$C$66:$BJ$66)</f>
        <v>-216734.270454</v>
      </c>
      <c r="E7" s="67" t="n">
        <f aca="false">SUMIF(Monthly!$C$5:$BJ$5,E$3,Monthly!$C$66:$BJ$66)</f>
        <v>-282993.939264114</v>
      </c>
      <c r="F7" s="67" t="n">
        <f aca="false">SUMIF(Monthly!$C$5:$BJ$5,F$3,Monthly!$C$66:$BJ$66)</f>
        <v>-370013.309066642</v>
      </c>
    </row>
    <row r="8" customFormat="false" ht="15" hidden="false" customHeight="false" outlineLevel="0" collapsed="false">
      <c r="A8" s="6" t="s">
        <v>334</v>
      </c>
      <c r="B8" s="67" t="n">
        <f aca="false">SUMIF(Monthly!$C$5:$BJ$5,B$3,Monthly!$C$67:$BJ$67)</f>
        <v>0</v>
      </c>
      <c r="C8" s="67" t="n">
        <f aca="false">SUMIF(Monthly!$C$5:$BJ$5,C$3,Monthly!$C$67:$BJ$67)</f>
        <v>0</v>
      </c>
      <c r="D8" s="67" t="n">
        <f aca="false">SUMIF(Monthly!$C$5:$BJ$5,D$3,Monthly!$C$67:$BJ$67)</f>
        <v>0</v>
      </c>
      <c r="E8" s="67" t="n">
        <f aca="false">SUMIF(Monthly!$C$5:$BJ$5,E$3,Monthly!$C$67:$BJ$67)</f>
        <v>0</v>
      </c>
      <c r="F8" s="67" t="n">
        <f aca="false">SUMIF(Monthly!$C$5:$BJ$5,F$3,Monthly!$C$67:$BJ$67)</f>
        <v>0</v>
      </c>
    </row>
    <row r="9" customFormat="false" ht="15" hidden="false" customHeight="false" outlineLevel="0" collapsed="false">
      <c r="A9" s="6" t="s">
        <v>335</v>
      </c>
      <c r="B9" s="67" t="n">
        <f aca="false">SUMIF(Monthly!$C$5:$BJ$5,B$3,Monthly!$C$68:$BJ$68)</f>
        <v>112632.74</v>
      </c>
      <c r="C9" s="67" t="n">
        <f aca="false">SUMIF(Monthly!$C$5:$BJ$5,C$3,Monthly!$C$68:$BJ$68)</f>
        <v>32785.21234</v>
      </c>
      <c r="D9" s="67" t="n">
        <f aca="false">SUMIF(Monthly!$C$5:$BJ$5,D$3,Monthly!$C$68:$BJ$68)</f>
        <v>42625.63970454</v>
      </c>
      <c r="E9" s="67" t="n">
        <f aca="false">SUMIF(Monthly!$C$5:$BJ$5,E$3,Monthly!$C$68:$BJ$68)</f>
        <v>55501.3646756412</v>
      </c>
      <c r="F9" s="67" t="n">
        <f aca="false">SUMIF(Monthly!$C$5:$BJ$5,F$3,Monthly!$C$68:$BJ$68)</f>
        <v>72370.4098262035</v>
      </c>
    </row>
    <row r="10" customFormat="false" ht="15" hidden="false" customHeight="false" outlineLevel="0" collapsed="false">
      <c r="A10" s="113" t="s">
        <v>52</v>
      </c>
      <c r="B10" s="68" t="n">
        <f aca="false">SUMIF(Monthly!$C$5:$BJ$5,B$3,Monthly!$C$71:$BJ$71)</f>
        <v>370279.780711111</v>
      </c>
      <c r="C10" s="68" t="n">
        <f aca="false">SUMIF(Monthly!$C$5:$BJ$5,C$3,Monthly!$C$71:$BJ$71)</f>
        <v>1036820.38418694</v>
      </c>
      <c r="D10" s="68" t="n">
        <f aca="false">SUMIF(Monthly!$C$5:$BJ$5,D$3,Monthly!$C$71:$BJ$71)</f>
        <v>1460260.45759368</v>
      </c>
      <c r="E10" s="68" t="n">
        <f aca="false">SUMIF(Monthly!$C$5:$BJ$5,E$3,Monthly!$C$71:$BJ$71)</f>
        <v>2023723.37283328</v>
      </c>
      <c r="F10" s="68" t="n">
        <f aca="false">SUMIF(Monthly!$C$5:$BJ$5,F$3,Monthly!$C$71:$BJ$71)</f>
        <v>2773718.704392</v>
      </c>
    </row>
    <row r="11" customFormat="false" ht="15" hidden="false" customHeight="false" outlineLevel="0" collapsed="false">
      <c r="A11" s="6" t="s">
        <v>84</v>
      </c>
      <c r="B11" s="67" t="n">
        <f aca="false">SUMIF(Monthly!$C$5:$BJ$5,B$3,Monthly!$C$72:$BJ$72)</f>
        <v>-60000</v>
      </c>
      <c r="C11" s="67" t="n">
        <f aca="false">SUMIF(Monthly!$C$5:$BJ$5,C$3,Monthly!$C$72:$BJ$72)</f>
        <v>0</v>
      </c>
      <c r="D11" s="67" t="n">
        <f aca="false">SUMIF(Monthly!$C$5:$BJ$5,D$3,Monthly!$C$72:$BJ$72)</f>
        <v>0</v>
      </c>
      <c r="E11" s="67" t="n">
        <f aca="false">SUMIF(Monthly!$C$5:$BJ$5,E$3,Monthly!$C$72:$BJ$72)</f>
        <v>0</v>
      </c>
      <c r="F11" s="67" t="n">
        <f aca="false">SUMIF(Monthly!$C$5:$BJ$5,F$3,Monthly!$C$72:$BJ$72)</f>
        <v>0</v>
      </c>
    </row>
    <row r="12" customFormat="false" ht="15" hidden="false" customHeight="false" outlineLevel="0" collapsed="false">
      <c r="A12" s="6" t="s">
        <v>64</v>
      </c>
      <c r="B12" s="67" t="n">
        <f aca="false">SUMIF(Monthly!$C$5:$BJ$5,B$3,Monthly!$C$73:$BJ$73)</f>
        <v>300000</v>
      </c>
      <c r="C12" s="67" t="n">
        <f aca="false">SUMIF(Monthly!$C$5:$BJ$5,C$3,Monthly!$C$73:$BJ$73)</f>
        <v>0</v>
      </c>
      <c r="D12" s="67" t="n">
        <f aca="false">SUMIF(Monthly!$C$5:$BJ$5,D$3,Monthly!$C$73:$BJ$73)</f>
        <v>0</v>
      </c>
      <c r="E12" s="67" t="n">
        <f aca="false">SUMIF(Monthly!$C$5:$BJ$5,E$3,Monthly!$C$73:$BJ$73)</f>
        <v>0</v>
      </c>
      <c r="F12" s="67" t="n">
        <f aca="false">SUMIF(Monthly!$C$5:$BJ$5,F$3,Monthly!$C$73:$BJ$73)</f>
        <v>0</v>
      </c>
    </row>
    <row r="13" customFormat="false" ht="15" hidden="false" customHeight="false" outlineLevel="0" collapsed="false">
      <c r="A13" s="6" t="s">
        <v>85</v>
      </c>
      <c r="B13" s="67" t="n">
        <f aca="false">SUMIF(Monthly!$C$5:$BJ$5,B$3,Monthly!$C$58:$BJ$58)</f>
        <v>200000</v>
      </c>
      <c r="C13" s="67" t="n">
        <f aca="false">SUMIF(Monthly!$C$5:$BJ$5,C$3,Monthly!$C$58:$BJ$58)</f>
        <v>0</v>
      </c>
      <c r="D13" s="67" t="n">
        <f aca="false">SUMIF(Monthly!$C$5:$BJ$5,D$3,Monthly!$C$58:$BJ$58)</f>
        <v>0</v>
      </c>
      <c r="E13" s="67" t="n">
        <f aca="false">SUMIF(Monthly!$C$5:$BJ$5,E$3,Monthly!$C$58:$BJ$58)</f>
        <v>0</v>
      </c>
      <c r="F13" s="67" t="n">
        <f aca="false">SUMIF(Monthly!$C$5:$BJ$5,F$3,Monthly!$C$58:$BJ$58)</f>
        <v>0</v>
      </c>
    </row>
    <row r="14" customFormat="false" ht="15" hidden="false" customHeight="false" outlineLevel="0" collapsed="false">
      <c r="A14" s="6" t="s">
        <v>86</v>
      </c>
      <c r="B14" s="67" t="n">
        <f aca="false">SUMIF(Monthly!$C$5:$BJ$5,B$3,Monthly!$C$59:$BJ$59)</f>
        <v>-36666.6666666667</v>
      </c>
      <c r="C14" s="67" t="n">
        <f aca="false">SUMIF(Monthly!$C$5:$BJ$5,C$3,Monthly!$C$59:$BJ$59)</f>
        <v>-40000</v>
      </c>
      <c r="D14" s="67" t="n">
        <f aca="false">SUMIF(Monthly!$C$5:$BJ$5,D$3,Monthly!$C$59:$BJ$59)</f>
        <v>-40000</v>
      </c>
      <c r="E14" s="67" t="n">
        <f aca="false">SUMIF(Monthly!$C$5:$BJ$5,E$3,Monthly!$C$59:$BJ$59)</f>
        <v>-40000</v>
      </c>
      <c r="F14" s="67" t="n">
        <f aca="false">SUMIF(Monthly!$C$5:$BJ$5,F$3,Monthly!$C$59:$BJ$59)</f>
        <v>-40000</v>
      </c>
    </row>
    <row r="15" customFormat="false" ht="15" hidden="false" customHeight="false" outlineLevel="0" collapsed="false">
      <c r="A15" s="113" t="s">
        <v>54</v>
      </c>
      <c r="B15" s="68" t="n">
        <f aca="false">SUMIF(Monthly!$C$5:$BJ$5,B$3,Monthly!$C$74:$BJ$74)</f>
        <v>463333.333333333</v>
      </c>
      <c r="C15" s="68" t="n">
        <f aca="false">SUMIF(Monthly!$C$5:$BJ$5,C$3,Monthly!$C$74:$BJ$74)</f>
        <v>-40000</v>
      </c>
      <c r="D15" s="68" t="n">
        <f aca="false">SUMIF(Monthly!$C$5:$BJ$5,D$3,Monthly!$C$74:$BJ$74)</f>
        <v>-40000</v>
      </c>
      <c r="E15" s="68" t="n">
        <f aca="false">SUMIF(Monthly!$C$5:$BJ$5,E$3,Monthly!$C$74:$BJ$74)</f>
        <v>-40000</v>
      </c>
      <c r="F15" s="68" t="n">
        <f aca="false">SUMIF(Monthly!$C$5:$BJ$5,F$3,Monthly!$C$74:$BJ$74)</f>
        <v>-40000</v>
      </c>
    </row>
    <row r="16" customFormat="false" ht="15" hidden="false" customHeight="false" outlineLevel="0" collapsed="false">
      <c r="A16" s="4" t="s">
        <v>55</v>
      </c>
      <c r="B16" s="73" t="n">
        <f aca="false">SUMIF(Monthly!$C$5:$BJ$5,B$3,Monthly!$C$75:$BJ$75)</f>
        <v>773613.114044444</v>
      </c>
      <c r="C16" s="73" t="n">
        <f aca="false">SUMIF(Monthly!$C$5:$BJ$5,C$3,Monthly!$C$75:$BJ$75)</f>
        <v>996820.384186935</v>
      </c>
      <c r="D16" s="73" t="n">
        <f aca="false">SUMIF(Monthly!$C$5:$BJ$5,D$3,Monthly!$C$75:$BJ$75)</f>
        <v>1420260.45759368</v>
      </c>
      <c r="E16" s="73" t="n">
        <f aca="false">SUMIF(Monthly!$C$5:$BJ$5,E$3,Monthly!$C$75:$BJ$75)</f>
        <v>1983723.37283328</v>
      </c>
      <c r="F16" s="73" t="n">
        <f aca="false">SUMIF(Monthly!$C$5:$BJ$5,F$3,Monthly!$C$75:$BJ$75)</f>
        <v>2733718.704392</v>
      </c>
    </row>
    <row r="17" customFormat="false" ht="15" hidden="false" customHeight="false" outlineLevel="0" collapsed="false">
      <c r="A17" s="6" t="s">
        <v>336</v>
      </c>
      <c r="B17" s="67" t="n">
        <f aca="false">INDEX(Monthly!$C$76:$BJ$76,(B$3-1)*12+1)</f>
        <v>0</v>
      </c>
      <c r="C17" s="67" t="n">
        <f aca="false">INDEX(Monthly!$C$76:$BJ$76,(C$3-1)*12+1)</f>
        <v>773613.114044444</v>
      </c>
      <c r="D17" s="67" t="n">
        <f aca="false">INDEX(Monthly!$C$76:$BJ$76,(D$3-1)*12+1)</f>
        <v>1770433.49823138</v>
      </c>
      <c r="E17" s="67" t="n">
        <f aca="false">INDEX(Monthly!$C$76:$BJ$76,(E$3-1)*12+1)</f>
        <v>3190693.95582506</v>
      </c>
      <c r="F17" s="67" t="n">
        <f aca="false">INDEX(Monthly!$C$76:$BJ$76,(F$3-1)*12+1)</f>
        <v>5174417.32865833</v>
      </c>
    </row>
    <row r="18" customFormat="false" ht="15" hidden="false" customHeight="false" outlineLevel="0" collapsed="false">
      <c r="A18" s="70" t="s">
        <v>87</v>
      </c>
      <c r="B18" s="71" t="n">
        <f aca="false">INDEX(Monthly!$C$77:$BJ$77,B$3*12)</f>
        <v>773613.114044444</v>
      </c>
      <c r="C18" s="71" t="n">
        <f aca="false">INDEX(Monthly!$C$77:$BJ$77,C$3*12)</f>
        <v>1770433.49823138</v>
      </c>
      <c r="D18" s="71" t="n">
        <f aca="false">INDEX(Monthly!$C$77:$BJ$77,D$3*12)</f>
        <v>3190693.95582506</v>
      </c>
      <c r="E18" s="71" t="n">
        <f aca="false">INDEX(Monthly!$C$77:$BJ$77,E$3*12)</f>
        <v>5174417.32865833</v>
      </c>
      <c r="F18" s="71" t="n">
        <f aca="false">INDEX(Monthly!$C$77:$BJ$77,F$3*12)</f>
        <v>7908136.03305034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326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6" t="s">
        <v>89</v>
      </c>
      <c r="B5" s="67" t="n">
        <f aca="false">INDEX(Monthly!$C$77:$BJ$77,B$3*12)</f>
        <v>773613.114044444</v>
      </c>
      <c r="C5" s="67" t="n">
        <f aca="false">INDEX(Monthly!$C$77:$BJ$77,C$3*12)</f>
        <v>1770433.49823138</v>
      </c>
      <c r="D5" s="67" t="n">
        <f aca="false">INDEX(Monthly!$C$77:$BJ$77,D$3*12)</f>
        <v>3190693.95582506</v>
      </c>
      <c r="E5" s="67" t="n">
        <f aca="false">INDEX(Monthly!$C$77:$BJ$77,E$3*12)</f>
        <v>5174417.32865833</v>
      </c>
      <c r="F5" s="67" t="n">
        <f aca="false">INDEX(Monthly!$C$77:$BJ$77,F$3*12)</f>
        <v>7908136.03305034</v>
      </c>
    </row>
    <row r="6" customFormat="false" ht="15" hidden="false" customHeight="false" outlineLevel="0" collapsed="false">
      <c r="A6" s="6" t="s">
        <v>90</v>
      </c>
      <c r="B6" s="67" t="n">
        <f aca="false">INDEX(Monthly!$C$63:$BJ$63,B$3*12)</f>
        <v>563274</v>
      </c>
      <c r="C6" s="67" t="n">
        <f aca="false">INDEX(Monthly!$C$63:$BJ$63,C$3*12)</f>
        <v>729495.234</v>
      </c>
      <c r="D6" s="67" t="n">
        <f aca="false">INDEX(Monthly!$C$63:$BJ$63,D$3*12)</f>
        <v>946229.504454</v>
      </c>
      <c r="E6" s="67" t="n">
        <f aca="false">INDEX(Monthly!$C$63:$BJ$63,E$3*12)</f>
        <v>1229223.44371811</v>
      </c>
      <c r="F6" s="67" t="n">
        <f aca="false">INDEX(Monthly!$C$63:$BJ$63,F$3*12)</f>
        <v>1599236.75278476</v>
      </c>
    </row>
    <row r="7" customFormat="false" ht="15" hidden="false" customHeight="false" outlineLevel="0" collapsed="false">
      <c r="A7" s="6" t="s">
        <v>91</v>
      </c>
      <c r="B7" s="67" t="n">
        <f aca="false">INDEX(Monthly!$C$64:$BJ$64,B$3*12)</f>
        <v>0</v>
      </c>
      <c r="C7" s="67" t="n">
        <f aca="false">INDEX(Monthly!$C$64:$BJ$64,C$3*12)</f>
        <v>0</v>
      </c>
      <c r="D7" s="67" t="n">
        <f aca="false">INDEX(Monthly!$C$64:$BJ$64,D$3*12)</f>
        <v>0</v>
      </c>
      <c r="E7" s="67" t="n">
        <f aca="false">INDEX(Monthly!$C$64:$BJ$64,E$3*12)</f>
        <v>0</v>
      </c>
      <c r="F7" s="67" t="n">
        <f aca="false">INDEX(Monthly!$C$64:$BJ$64,F$3*12)</f>
        <v>0</v>
      </c>
    </row>
    <row r="8" customFormat="false" ht="15" hidden="false" customHeight="false" outlineLevel="0" collapsed="false">
      <c r="A8" s="6" t="s">
        <v>92</v>
      </c>
      <c r="B8" s="67" t="n">
        <f aca="false">INDEX(Monthly!$C$54:$BJ$54,B$3*12)</f>
        <v>48000</v>
      </c>
      <c r="C8" s="67" t="n">
        <f aca="false">INDEX(Monthly!$C$54:$BJ$54,C$3*12)</f>
        <v>36000</v>
      </c>
      <c r="D8" s="67" t="n">
        <f aca="false">INDEX(Monthly!$C$54:$BJ$54,D$3*12)</f>
        <v>24000</v>
      </c>
      <c r="E8" s="67" t="n">
        <f aca="false">INDEX(Monthly!$C$54:$BJ$54,E$3*12)</f>
        <v>12000</v>
      </c>
      <c r="F8" s="67" t="n">
        <f aca="false">INDEX(Monthly!$C$54:$BJ$54,F$3*12)</f>
        <v>0</v>
      </c>
    </row>
    <row r="9" customFormat="false" ht="15" hidden="false" customHeight="false" outlineLevel="0" collapsed="false">
      <c r="A9" s="113" t="s">
        <v>93</v>
      </c>
      <c r="B9" s="68" t="n">
        <f aca="false">INDEX(Monthly!$C$91:$BJ$91,B$3*12)</f>
        <v>1384887.11404444</v>
      </c>
      <c r="C9" s="68" t="n">
        <f aca="false">INDEX(Monthly!$C$91:$BJ$91,C$3*12)</f>
        <v>2535928.73223138</v>
      </c>
      <c r="D9" s="68" t="n">
        <f aca="false">INDEX(Monthly!$C$91:$BJ$91,D$3*12)</f>
        <v>4160923.46027906</v>
      </c>
      <c r="E9" s="68" t="n">
        <f aca="false">INDEX(Monthly!$C$91:$BJ$91,E$3*12)</f>
        <v>6415640.77237645</v>
      </c>
      <c r="F9" s="68" t="n">
        <f aca="false">INDEX(Monthly!$C$91:$BJ$91,F$3*12)</f>
        <v>9507372.78583509</v>
      </c>
    </row>
    <row r="10" customFormat="false" ht="15" hidden="false" customHeight="false" outlineLevel="0" collapsed="false">
      <c r="A10" s="6" t="s">
        <v>94</v>
      </c>
      <c r="B10" s="67" t="n">
        <f aca="false">INDEX(Monthly!$C$65:$BJ$65,B$3*12)</f>
        <v>112632.74</v>
      </c>
      <c r="C10" s="67" t="n">
        <f aca="false">INDEX(Monthly!$C$65:$BJ$65,C$3*12)</f>
        <v>145417.95234</v>
      </c>
      <c r="D10" s="67" t="n">
        <f aca="false">INDEX(Monthly!$C$65:$BJ$65,D$3*12)</f>
        <v>188043.59204454</v>
      </c>
      <c r="E10" s="67" t="n">
        <f aca="false">INDEX(Monthly!$C$65:$BJ$65,E$3*12)</f>
        <v>243544.956720181</v>
      </c>
      <c r="F10" s="67" t="n">
        <f aca="false">INDEX(Monthly!$C$65:$BJ$65,F$3*12)</f>
        <v>315915.366546385</v>
      </c>
    </row>
    <row r="11" customFormat="false" ht="15" hidden="false" customHeight="false" outlineLevel="0" collapsed="false">
      <c r="A11" s="6" t="s">
        <v>95</v>
      </c>
      <c r="B11" s="67" t="n">
        <f aca="false">INDEX(Monthly!$C$60:$BJ$60,B$3*12)</f>
        <v>163333.333333333</v>
      </c>
      <c r="C11" s="67" t="n">
        <f aca="false">INDEX(Monthly!$C$60:$BJ$60,C$3*12)</f>
        <v>123333.333333333</v>
      </c>
      <c r="D11" s="67" t="n">
        <f aca="false">INDEX(Monthly!$C$60:$BJ$60,D$3*12)</f>
        <v>83333.3333333332</v>
      </c>
      <c r="E11" s="67" t="n">
        <f aca="false">INDEX(Monthly!$C$60:$BJ$60,E$3*12)</f>
        <v>43333.3333333332</v>
      </c>
      <c r="F11" s="67" t="n">
        <f aca="false">INDEX(Monthly!$C$60:$BJ$60,F$3*12)</f>
        <v>3333.33333333322</v>
      </c>
    </row>
    <row r="12" customFormat="false" ht="15" hidden="false" customHeight="false" outlineLevel="0" collapsed="false">
      <c r="A12" s="114" t="s">
        <v>96</v>
      </c>
      <c r="B12" s="115" t="n">
        <f aca="false">INDEX(Monthly!$C$92:$BJ$92,B$3*12)</f>
        <v>275966.073333333</v>
      </c>
      <c r="C12" s="115" t="n">
        <f aca="false">INDEX(Monthly!$C$92:$BJ$92,C$3*12)</f>
        <v>268751.285673333</v>
      </c>
      <c r="D12" s="115" t="n">
        <f aca="false">INDEX(Monthly!$C$92:$BJ$92,D$3*12)</f>
        <v>271376.925377873</v>
      </c>
      <c r="E12" s="115" t="n">
        <f aca="false">INDEX(Monthly!$C$92:$BJ$92,E$3*12)</f>
        <v>286878.290053514</v>
      </c>
      <c r="F12" s="115" t="n">
        <f aca="false">INDEX(Monthly!$C$92:$BJ$92,F$3*12)</f>
        <v>319248.699879718</v>
      </c>
    </row>
    <row r="13" customFormat="false" ht="15" hidden="false" customHeight="false" outlineLevel="0" collapsed="false">
      <c r="A13" s="6" t="s">
        <v>97</v>
      </c>
      <c r="B13" s="67" t="n">
        <f aca="false">INDEX(Monthly!$C$89:$BJ$89,B$3*12)</f>
        <v>300000</v>
      </c>
      <c r="C13" s="67" t="n">
        <f aca="false">INDEX(Monthly!$C$89:$BJ$89,C$3*12)</f>
        <v>300000</v>
      </c>
      <c r="D13" s="67" t="n">
        <f aca="false">INDEX(Monthly!$C$89:$BJ$89,D$3*12)</f>
        <v>300000</v>
      </c>
      <c r="E13" s="67" t="n">
        <f aca="false">INDEX(Monthly!$C$89:$BJ$89,E$3*12)</f>
        <v>300000</v>
      </c>
      <c r="F13" s="67" t="n">
        <f aca="false">INDEX(Monthly!$C$89:$BJ$89,F$3*12)</f>
        <v>300000</v>
      </c>
    </row>
    <row r="14" customFormat="false" ht="15" hidden="false" customHeight="false" outlineLevel="0" collapsed="false">
      <c r="A14" s="6" t="s">
        <v>98</v>
      </c>
      <c r="B14" s="67" t="n">
        <f aca="false">INDEX(Monthly!$C$90:$BJ$90,B$3*12)</f>
        <v>808921.040711111</v>
      </c>
      <c r="C14" s="67" t="n">
        <f aca="false">INDEX(Monthly!$C$90:$BJ$90,C$3*12)</f>
        <v>1967177.44655805</v>
      </c>
      <c r="D14" s="67" t="n">
        <f aca="false">INDEX(Monthly!$C$90:$BJ$90,D$3*12)</f>
        <v>3589546.53490118</v>
      </c>
      <c r="E14" s="67" t="n">
        <f aca="false">INDEX(Monthly!$C$90:$BJ$90,E$3*12)</f>
        <v>5828762.48232294</v>
      </c>
      <c r="F14" s="67" t="n">
        <f aca="false">INDEX(Monthly!$C$90:$BJ$90,F$3*12)</f>
        <v>8888124.08595538</v>
      </c>
    </row>
    <row r="15" customFormat="false" ht="15" hidden="false" customHeight="false" outlineLevel="0" collapsed="false">
      <c r="A15" s="114" t="s">
        <v>99</v>
      </c>
      <c r="B15" s="115" t="n">
        <f aca="false">INDEX(Monthly!$C$93:$BJ$93,B$3*12)</f>
        <v>1108921.04071111</v>
      </c>
      <c r="C15" s="115" t="n">
        <f aca="false">INDEX(Monthly!$C$93:$BJ$93,C$3*12)</f>
        <v>2267177.44655805</v>
      </c>
      <c r="D15" s="115" t="n">
        <f aca="false">INDEX(Monthly!$C$93:$BJ$93,D$3*12)</f>
        <v>3889546.53490118</v>
      </c>
      <c r="E15" s="115" t="n">
        <f aca="false">INDEX(Monthly!$C$93:$BJ$93,E$3*12)</f>
        <v>6128762.48232294</v>
      </c>
      <c r="F15" s="115" t="n">
        <f aca="false">INDEX(Monthly!$C$93:$BJ$93,F$3*12)</f>
        <v>9188124.08595538</v>
      </c>
    </row>
    <row r="16" customFormat="false" ht="15" hidden="false" customHeight="false" outlineLevel="0" collapsed="false">
      <c r="A16" s="70" t="s">
        <v>100</v>
      </c>
      <c r="B16" s="71" t="n">
        <f aca="false">INDEX(Monthly!$C$94:$BJ$94,B$3*12)</f>
        <v>1384887.11404444</v>
      </c>
      <c r="C16" s="71" t="n">
        <f aca="false">INDEX(Monthly!$C$94:$BJ$94,C$3*12)</f>
        <v>2535928.73223138</v>
      </c>
      <c r="D16" s="71" t="n">
        <f aca="false">INDEX(Monthly!$C$94:$BJ$94,D$3*12)</f>
        <v>4160923.46027906</v>
      </c>
      <c r="E16" s="71" t="n">
        <f aca="false">INDEX(Monthly!$C$94:$BJ$94,E$3*12)</f>
        <v>6415640.77237645</v>
      </c>
      <c r="F16" s="71" t="n">
        <f aca="false">INDEX(Monthly!$C$94:$BJ$94,F$3*12)</f>
        <v>9507372.7858351</v>
      </c>
    </row>
    <row r="17" customFormat="false" ht="15" hidden="false" customHeight="false" outlineLevel="0" collapsed="false">
      <c r="A17" s="6" t="s">
        <v>337</v>
      </c>
      <c r="B17" s="67" t="n">
        <f aca="false">INDEX(Monthly!$C$95:$BJ$95,B$3*12)</f>
        <v>0</v>
      </c>
      <c r="C17" s="67" t="n">
        <f aca="false">INDEX(Monthly!$C$95:$BJ$95,C$3*12)</f>
        <v>0</v>
      </c>
      <c r="D17" s="67" t="n">
        <f aca="false">INDEX(Monthly!$C$95:$BJ$95,D$3*12)</f>
        <v>0</v>
      </c>
      <c r="E17" s="67" t="n">
        <f aca="false">INDEX(Monthly!$C$95:$BJ$95,E$3*12)</f>
        <v>0</v>
      </c>
      <c r="F17" s="67" t="n">
        <f aca="false">INDEX(Monthly!$C$95:$BJ$95,F$3*12)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338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33" t="s">
        <v>340</v>
      </c>
      <c r="C3" s="52" t="s">
        <v>341</v>
      </c>
      <c r="D3" s="52" t="s">
        <v>342</v>
      </c>
      <c r="E3" s="52" t="s">
        <v>343</v>
      </c>
      <c r="F3" s="52" t="s">
        <v>344</v>
      </c>
      <c r="G3" s="52" t="s">
        <v>345</v>
      </c>
      <c r="H3" s="52" t="s">
        <v>346</v>
      </c>
      <c r="I3" s="52" t="s">
        <v>347</v>
      </c>
      <c r="J3" s="52" t="s">
        <v>348</v>
      </c>
      <c r="K3" s="52" t="s">
        <v>349</v>
      </c>
      <c r="L3" s="52" t="s">
        <v>350</v>
      </c>
      <c r="M3" s="52" t="s">
        <v>351</v>
      </c>
      <c r="N3" s="52" t="s">
        <v>352</v>
      </c>
      <c r="O3" s="52" t="s">
        <v>353</v>
      </c>
      <c r="P3" s="52" t="s">
        <v>354</v>
      </c>
      <c r="Q3" s="52" t="s">
        <v>355</v>
      </c>
      <c r="R3" s="52" t="s">
        <v>356</v>
      </c>
      <c r="S3" s="52" t="s">
        <v>357</v>
      </c>
      <c r="T3" s="52" t="s">
        <v>358</v>
      </c>
      <c r="U3" s="52" t="s">
        <v>359</v>
      </c>
      <c r="V3" s="52" t="s">
        <v>360</v>
      </c>
      <c r="W3" s="52" t="s">
        <v>361</v>
      </c>
      <c r="X3" s="52" t="s">
        <v>362</v>
      </c>
      <c r="Y3" s="52" t="s">
        <v>363</v>
      </c>
      <c r="Z3" s="52" t="s">
        <v>364</v>
      </c>
      <c r="AA3" s="52" t="s">
        <v>365</v>
      </c>
      <c r="AB3" s="52" t="s">
        <v>366</v>
      </c>
      <c r="AC3" s="52" t="s">
        <v>367</v>
      </c>
      <c r="AD3" s="52" t="s">
        <v>368</v>
      </c>
      <c r="AE3" s="52" t="s">
        <v>369</v>
      </c>
      <c r="AF3" s="52" t="s">
        <v>370</v>
      </c>
      <c r="AG3" s="52" t="s">
        <v>371</v>
      </c>
      <c r="AH3" s="52" t="s">
        <v>372</v>
      </c>
      <c r="AI3" s="52" t="s">
        <v>373</v>
      </c>
      <c r="AJ3" s="52" t="s">
        <v>374</v>
      </c>
      <c r="AK3" s="52" t="s">
        <v>375</v>
      </c>
      <c r="AL3" s="52" t="s">
        <v>376</v>
      </c>
      <c r="AM3" s="52" t="s">
        <v>377</v>
      </c>
      <c r="AN3" s="52" t="s">
        <v>378</v>
      </c>
      <c r="AO3" s="52" t="s">
        <v>379</v>
      </c>
      <c r="AP3" s="52" t="s">
        <v>380</v>
      </c>
      <c r="AQ3" s="52" t="s">
        <v>381</v>
      </c>
      <c r="AR3" s="52" t="s">
        <v>382</v>
      </c>
      <c r="AS3" s="52" t="s">
        <v>383</v>
      </c>
      <c r="AT3" s="52" t="s">
        <v>384</v>
      </c>
      <c r="AU3" s="52" t="s">
        <v>385</v>
      </c>
      <c r="AV3" s="52" t="s">
        <v>386</v>
      </c>
      <c r="AW3" s="52" t="s">
        <v>387</v>
      </c>
      <c r="AX3" s="52" t="s">
        <v>388</v>
      </c>
      <c r="AY3" s="52" t="s">
        <v>389</v>
      </c>
      <c r="AZ3" s="52" t="s">
        <v>390</v>
      </c>
      <c r="BA3" s="52" t="s">
        <v>391</v>
      </c>
      <c r="BB3" s="52" t="s">
        <v>392</v>
      </c>
      <c r="BC3" s="52" t="s">
        <v>393</v>
      </c>
      <c r="BD3" s="52" t="s">
        <v>394</v>
      </c>
      <c r="BE3" s="52" t="s">
        <v>395</v>
      </c>
      <c r="BF3" s="52" t="s">
        <v>396</v>
      </c>
      <c r="BG3" s="52" t="s">
        <v>397</v>
      </c>
      <c r="BH3" s="52" t="s">
        <v>398</v>
      </c>
      <c r="BI3" s="52" t="s">
        <v>399</v>
      </c>
      <c r="BJ3" s="52" t="s">
        <v>400</v>
      </c>
    </row>
    <row r="4" customFormat="false" ht="15" hidden="false" customHeight="false" outlineLevel="0" collapsed="false">
      <c r="A4" s="72" t="s">
        <v>401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254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402</v>
      </c>
      <c r="C8" s="116" t="n">
        <f aca="false">Headcount!C8+Headcount!C9</f>
        <v>16</v>
      </c>
      <c r="D8" s="116" t="n">
        <f aca="false">Headcount!D8+Headcount!D9</f>
        <v>16</v>
      </c>
      <c r="E8" s="116" t="n">
        <f aca="false">Headcount!E8+Headcount!E9</f>
        <v>16</v>
      </c>
      <c r="F8" s="116" t="n">
        <f aca="false">Headcount!F8+Headcount!F9</f>
        <v>16</v>
      </c>
      <c r="G8" s="116" t="n">
        <f aca="false">Headcount!G8+Headcount!G9</f>
        <v>16</v>
      </c>
      <c r="H8" s="116" t="n">
        <f aca="false">Headcount!H8+Headcount!H9</f>
        <v>16</v>
      </c>
      <c r="I8" s="116" t="n">
        <f aca="false">Headcount!I8+Headcount!I9</f>
        <v>16</v>
      </c>
      <c r="J8" s="116" t="n">
        <f aca="false">Headcount!J8+Headcount!J9</f>
        <v>16</v>
      </c>
      <c r="K8" s="116" t="n">
        <f aca="false">Headcount!K8+Headcount!K9</f>
        <v>16</v>
      </c>
      <c r="L8" s="116" t="n">
        <f aca="false">Headcount!L8+Headcount!L9</f>
        <v>16</v>
      </c>
      <c r="M8" s="116" t="n">
        <f aca="false">Headcount!M8+Headcount!M9</f>
        <v>16</v>
      </c>
      <c r="N8" s="116" t="n">
        <f aca="false">Headcount!N8+Headcount!N9</f>
        <v>16</v>
      </c>
      <c r="O8" s="116" t="n">
        <f aca="false">Headcount!O8+Headcount!O9</f>
        <v>20.4</v>
      </c>
      <c r="P8" s="116" t="n">
        <f aca="false">Headcount!P8+Headcount!P9</f>
        <v>20.4</v>
      </c>
      <c r="Q8" s="116" t="n">
        <f aca="false">Headcount!Q8+Headcount!Q9</f>
        <v>20.4</v>
      </c>
      <c r="R8" s="116" t="n">
        <f aca="false">Headcount!R8+Headcount!R9</f>
        <v>20.4</v>
      </c>
      <c r="S8" s="116" t="n">
        <f aca="false">Headcount!S8+Headcount!S9</f>
        <v>20.4</v>
      </c>
      <c r="T8" s="116" t="n">
        <f aca="false">Headcount!T8+Headcount!T9</f>
        <v>20.4</v>
      </c>
      <c r="U8" s="116" t="n">
        <f aca="false">Headcount!U8+Headcount!U9</f>
        <v>20.4</v>
      </c>
      <c r="V8" s="116" t="n">
        <f aca="false">Headcount!V8+Headcount!V9</f>
        <v>20.4</v>
      </c>
      <c r="W8" s="116" t="n">
        <f aca="false">Headcount!W8+Headcount!W9</f>
        <v>20.4</v>
      </c>
      <c r="X8" s="116" t="n">
        <f aca="false">Headcount!X8+Headcount!X9</f>
        <v>20.4</v>
      </c>
      <c r="Y8" s="116" t="n">
        <f aca="false">Headcount!Y8+Headcount!Y9</f>
        <v>20.4</v>
      </c>
      <c r="Z8" s="116" t="n">
        <f aca="false">Headcount!Z8+Headcount!Z9</f>
        <v>20.4</v>
      </c>
      <c r="AA8" s="116" t="n">
        <f aca="false">Headcount!AA8+Headcount!AA9</f>
        <v>26.04</v>
      </c>
      <c r="AB8" s="116" t="n">
        <f aca="false">Headcount!AB8+Headcount!AB9</f>
        <v>26.04</v>
      </c>
      <c r="AC8" s="116" t="n">
        <f aca="false">Headcount!AC8+Headcount!AC9</f>
        <v>26.04</v>
      </c>
      <c r="AD8" s="116" t="n">
        <f aca="false">Headcount!AD8+Headcount!AD9</f>
        <v>26.04</v>
      </c>
      <c r="AE8" s="116" t="n">
        <f aca="false">Headcount!AE8+Headcount!AE9</f>
        <v>26.04</v>
      </c>
      <c r="AF8" s="116" t="n">
        <f aca="false">Headcount!AF8+Headcount!AF9</f>
        <v>26.04</v>
      </c>
      <c r="AG8" s="116" t="n">
        <f aca="false">Headcount!AG8+Headcount!AG9</f>
        <v>26.04</v>
      </c>
      <c r="AH8" s="116" t="n">
        <f aca="false">Headcount!AH8+Headcount!AH9</f>
        <v>26.04</v>
      </c>
      <c r="AI8" s="116" t="n">
        <f aca="false">Headcount!AI8+Headcount!AI9</f>
        <v>26.04</v>
      </c>
      <c r="AJ8" s="116" t="n">
        <f aca="false">Headcount!AJ8+Headcount!AJ9</f>
        <v>26.04</v>
      </c>
      <c r="AK8" s="116" t="n">
        <f aca="false">Headcount!AK8+Headcount!AK9</f>
        <v>26.04</v>
      </c>
      <c r="AL8" s="116" t="n">
        <f aca="false">Headcount!AL8+Headcount!AL9</f>
        <v>26.04</v>
      </c>
      <c r="AM8" s="116" t="n">
        <f aca="false">Headcount!AM8+Headcount!AM9</f>
        <v>33.276</v>
      </c>
      <c r="AN8" s="116" t="n">
        <f aca="false">Headcount!AN8+Headcount!AN9</f>
        <v>33.276</v>
      </c>
      <c r="AO8" s="116" t="n">
        <f aca="false">Headcount!AO8+Headcount!AO9</f>
        <v>33.276</v>
      </c>
      <c r="AP8" s="116" t="n">
        <f aca="false">Headcount!AP8+Headcount!AP9</f>
        <v>33.276</v>
      </c>
      <c r="AQ8" s="116" t="n">
        <f aca="false">Headcount!AQ8+Headcount!AQ9</f>
        <v>33.276</v>
      </c>
      <c r="AR8" s="116" t="n">
        <f aca="false">Headcount!AR8+Headcount!AR9</f>
        <v>33.276</v>
      </c>
      <c r="AS8" s="116" t="n">
        <f aca="false">Headcount!AS8+Headcount!AS9</f>
        <v>33.276</v>
      </c>
      <c r="AT8" s="116" t="n">
        <f aca="false">Headcount!AT8+Headcount!AT9</f>
        <v>33.276</v>
      </c>
      <c r="AU8" s="116" t="n">
        <f aca="false">Headcount!AU8+Headcount!AU9</f>
        <v>33.276</v>
      </c>
      <c r="AV8" s="116" t="n">
        <f aca="false">Headcount!AV8+Headcount!AV9</f>
        <v>33.276</v>
      </c>
      <c r="AW8" s="116" t="n">
        <f aca="false">Headcount!AW8+Headcount!AW9</f>
        <v>33.276</v>
      </c>
      <c r="AX8" s="116" t="n">
        <f aca="false">Headcount!AX8+Headcount!AX9</f>
        <v>33.276</v>
      </c>
      <c r="AY8" s="116" t="n">
        <f aca="false">Headcount!AY8+Headcount!AY9</f>
        <v>42.5676</v>
      </c>
      <c r="AZ8" s="116" t="n">
        <f aca="false">Headcount!AZ8+Headcount!AZ9</f>
        <v>42.5676</v>
      </c>
      <c r="BA8" s="116" t="n">
        <f aca="false">Headcount!BA8+Headcount!BA9</f>
        <v>42.5676</v>
      </c>
      <c r="BB8" s="116" t="n">
        <f aca="false">Headcount!BB8+Headcount!BB9</f>
        <v>42.5676</v>
      </c>
      <c r="BC8" s="116" t="n">
        <f aca="false">Headcount!BC8+Headcount!BC9</f>
        <v>42.5676</v>
      </c>
      <c r="BD8" s="116" t="n">
        <f aca="false">Headcount!BD8+Headcount!BD9</f>
        <v>42.5676</v>
      </c>
      <c r="BE8" s="116" t="n">
        <f aca="false">Headcount!BE8+Headcount!BE9</f>
        <v>42.5676</v>
      </c>
      <c r="BF8" s="116" t="n">
        <f aca="false">Headcount!BF8+Headcount!BF9</f>
        <v>42.5676</v>
      </c>
      <c r="BG8" s="116" t="n">
        <f aca="false">Headcount!BG8+Headcount!BG9</f>
        <v>42.5676</v>
      </c>
      <c r="BH8" s="116" t="n">
        <f aca="false">Headcount!BH8+Headcount!BH9</f>
        <v>42.5676</v>
      </c>
      <c r="BI8" s="116" t="n">
        <f aca="false">Headcount!BI8+Headcount!BI9</f>
        <v>42.5676</v>
      </c>
      <c r="BJ8" s="116" t="n">
        <f aca="false">Headcount!BJ8+Headcount!BJ9</f>
        <v>42.5676</v>
      </c>
    </row>
    <row r="9" customFormat="false" ht="15" hidden="false" customHeight="false" outlineLevel="0" collapsed="false">
      <c r="A9" s="6" t="s">
        <v>235</v>
      </c>
      <c r="C9" s="117" t="n">
        <f aca="false">C8*Inputs!$E$7/12*1</f>
        <v>2400</v>
      </c>
      <c r="D9" s="117" t="n">
        <f aca="false">D8*Inputs!$E$7/12*1</f>
        <v>2400</v>
      </c>
      <c r="E9" s="117" t="n">
        <f aca="false">E8*Inputs!$E$7/12*1</f>
        <v>2400</v>
      </c>
      <c r="F9" s="117" t="n">
        <f aca="false">F8*Inputs!$E$7/12*1</f>
        <v>2400</v>
      </c>
      <c r="G9" s="117" t="n">
        <f aca="false">G8*Inputs!$E$7/12*1</f>
        <v>2400</v>
      </c>
      <c r="H9" s="117" t="n">
        <f aca="false">H8*Inputs!$E$7/12*1</f>
        <v>2400</v>
      </c>
      <c r="I9" s="117" t="n">
        <f aca="false">I8*Inputs!$E$7/12*1</f>
        <v>2400</v>
      </c>
      <c r="J9" s="117" t="n">
        <f aca="false">J8*Inputs!$E$7/12*1</f>
        <v>2400</v>
      </c>
      <c r="K9" s="117" t="n">
        <f aca="false">K8*Inputs!$E$7/12*1</f>
        <v>2400</v>
      </c>
      <c r="L9" s="117" t="n">
        <f aca="false">L8*Inputs!$E$7/12*1</f>
        <v>2400</v>
      </c>
      <c r="M9" s="117" t="n">
        <f aca="false">M8*Inputs!$E$7/12*1</f>
        <v>2400</v>
      </c>
      <c r="N9" s="117" t="n">
        <f aca="false">N8*Inputs!$E$7/12*1</f>
        <v>2400</v>
      </c>
      <c r="O9" s="117" t="n">
        <f aca="false">O8*Inputs!$E$7/12*1</f>
        <v>3060</v>
      </c>
      <c r="P9" s="117" t="n">
        <f aca="false">P8*Inputs!$E$7/12*1</f>
        <v>3060</v>
      </c>
      <c r="Q9" s="117" t="n">
        <f aca="false">Q8*Inputs!$E$7/12*1</f>
        <v>3060</v>
      </c>
      <c r="R9" s="117" t="n">
        <f aca="false">R8*Inputs!$E$7/12*1</f>
        <v>3060</v>
      </c>
      <c r="S9" s="117" t="n">
        <f aca="false">S8*Inputs!$E$7/12*1</f>
        <v>3060</v>
      </c>
      <c r="T9" s="117" t="n">
        <f aca="false">T8*Inputs!$E$7/12*1</f>
        <v>3060</v>
      </c>
      <c r="U9" s="117" t="n">
        <f aca="false">U8*Inputs!$E$7/12*1</f>
        <v>3060</v>
      </c>
      <c r="V9" s="117" t="n">
        <f aca="false">V8*Inputs!$E$7/12*1</f>
        <v>3060</v>
      </c>
      <c r="W9" s="117" t="n">
        <f aca="false">W8*Inputs!$E$7/12*1</f>
        <v>3060</v>
      </c>
      <c r="X9" s="117" t="n">
        <f aca="false">X8*Inputs!$E$7/12*1</f>
        <v>3060</v>
      </c>
      <c r="Y9" s="117" t="n">
        <f aca="false">Y8*Inputs!$E$7/12*1</f>
        <v>3060</v>
      </c>
      <c r="Z9" s="117" t="n">
        <f aca="false">Z8*Inputs!$E$7/12*1</f>
        <v>3060</v>
      </c>
      <c r="AA9" s="117" t="n">
        <f aca="false">AA8*Inputs!$E$7/12*1</f>
        <v>3906</v>
      </c>
      <c r="AB9" s="117" t="n">
        <f aca="false">AB8*Inputs!$E$7/12*1</f>
        <v>3906</v>
      </c>
      <c r="AC9" s="117" t="n">
        <f aca="false">AC8*Inputs!$E$7/12*1</f>
        <v>3906</v>
      </c>
      <c r="AD9" s="117" t="n">
        <f aca="false">AD8*Inputs!$E$7/12*1</f>
        <v>3906</v>
      </c>
      <c r="AE9" s="117" t="n">
        <f aca="false">AE8*Inputs!$E$7/12*1</f>
        <v>3906</v>
      </c>
      <c r="AF9" s="117" t="n">
        <f aca="false">AF8*Inputs!$E$7/12*1</f>
        <v>3906</v>
      </c>
      <c r="AG9" s="117" t="n">
        <f aca="false">AG8*Inputs!$E$7/12*1</f>
        <v>3906</v>
      </c>
      <c r="AH9" s="117" t="n">
        <f aca="false">AH8*Inputs!$E$7/12*1</f>
        <v>3906</v>
      </c>
      <c r="AI9" s="117" t="n">
        <f aca="false">AI8*Inputs!$E$7/12*1</f>
        <v>3906</v>
      </c>
      <c r="AJ9" s="117" t="n">
        <f aca="false">AJ8*Inputs!$E$7/12*1</f>
        <v>3906</v>
      </c>
      <c r="AK9" s="117" t="n">
        <f aca="false">AK8*Inputs!$E$7/12*1</f>
        <v>3906</v>
      </c>
      <c r="AL9" s="117" t="n">
        <f aca="false">AL8*Inputs!$E$7/12*1</f>
        <v>3906</v>
      </c>
      <c r="AM9" s="117" t="n">
        <f aca="false">AM8*Inputs!$E$7/12*1</f>
        <v>4991.4</v>
      </c>
      <c r="AN9" s="117" t="n">
        <f aca="false">AN8*Inputs!$E$7/12*1</f>
        <v>4991.4</v>
      </c>
      <c r="AO9" s="117" t="n">
        <f aca="false">AO8*Inputs!$E$7/12*1</f>
        <v>4991.4</v>
      </c>
      <c r="AP9" s="117" t="n">
        <f aca="false">AP8*Inputs!$E$7/12*1</f>
        <v>4991.4</v>
      </c>
      <c r="AQ9" s="117" t="n">
        <f aca="false">AQ8*Inputs!$E$7/12*1</f>
        <v>4991.4</v>
      </c>
      <c r="AR9" s="117" t="n">
        <f aca="false">AR8*Inputs!$E$7/12*1</f>
        <v>4991.4</v>
      </c>
      <c r="AS9" s="117" t="n">
        <f aca="false">AS8*Inputs!$E$7/12*1</f>
        <v>4991.4</v>
      </c>
      <c r="AT9" s="117" t="n">
        <f aca="false">AT8*Inputs!$E$7/12*1</f>
        <v>4991.4</v>
      </c>
      <c r="AU9" s="117" t="n">
        <f aca="false">AU8*Inputs!$E$7/12*1</f>
        <v>4991.4</v>
      </c>
      <c r="AV9" s="117" t="n">
        <f aca="false">AV8*Inputs!$E$7/12*1</f>
        <v>4991.4</v>
      </c>
      <c r="AW9" s="117" t="n">
        <f aca="false">AW8*Inputs!$E$7/12*1</f>
        <v>4991.4</v>
      </c>
      <c r="AX9" s="117" t="n">
        <f aca="false">AX8*Inputs!$E$7/12*1</f>
        <v>4991.4</v>
      </c>
      <c r="AY9" s="117" t="n">
        <f aca="false">AY8*Inputs!$E$7/12*1</f>
        <v>6385.14</v>
      </c>
      <c r="AZ9" s="117" t="n">
        <f aca="false">AZ8*Inputs!$E$7/12*1</f>
        <v>6385.14</v>
      </c>
      <c r="BA9" s="117" t="n">
        <f aca="false">BA8*Inputs!$E$7/12*1</f>
        <v>6385.14</v>
      </c>
      <c r="BB9" s="117" t="n">
        <f aca="false">BB8*Inputs!$E$7/12*1</f>
        <v>6385.14</v>
      </c>
      <c r="BC9" s="117" t="n">
        <f aca="false">BC8*Inputs!$E$7/12*1</f>
        <v>6385.14</v>
      </c>
      <c r="BD9" s="117" t="n">
        <f aca="false">BD8*Inputs!$E$7/12*1</f>
        <v>6385.14</v>
      </c>
      <c r="BE9" s="117" t="n">
        <f aca="false">BE8*Inputs!$E$7/12*1</f>
        <v>6385.14</v>
      </c>
      <c r="BF9" s="117" t="n">
        <f aca="false">BF8*Inputs!$E$7/12*1</f>
        <v>6385.14</v>
      </c>
      <c r="BG9" s="117" t="n">
        <f aca="false">BG8*Inputs!$E$7/12*1</f>
        <v>6385.14</v>
      </c>
      <c r="BH9" s="117" t="n">
        <f aca="false">BH8*Inputs!$E$7/12*1</f>
        <v>6385.14</v>
      </c>
      <c r="BI9" s="117" t="n">
        <f aca="false">BI8*Inputs!$E$7/12*1</f>
        <v>6385.14</v>
      </c>
      <c r="BJ9" s="117" t="n">
        <f aca="false">BJ8*Inputs!$E$7/12*1</f>
        <v>6385.14</v>
      </c>
    </row>
    <row r="10" customFormat="false" ht="15" hidden="false" customHeight="false" outlineLevel="0" collapsed="false">
      <c r="A10" s="6" t="s">
        <v>403</v>
      </c>
      <c r="C10" s="117" t="n">
        <f aca="false">Headcount!C8*Inputs!$E$7/12*1*Inputs!$E$8</f>
        <v>330</v>
      </c>
      <c r="D10" s="117" t="n">
        <f aca="false">Headcount!D8*Inputs!$E$7/12*1*Inputs!$E$8</f>
        <v>330</v>
      </c>
      <c r="E10" s="117" t="n">
        <f aca="false">Headcount!E8*Inputs!$E$7/12*1*Inputs!$E$8</f>
        <v>330</v>
      </c>
      <c r="F10" s="117" t="n">
        <f aca="false">Headcount!F8*Inputs!$E$7/12*1*Inputs!$E$8</f>
        <v>330</v>
      </c>
      <c r="G10" s="117" t="n">
        <f aca="false">Headcount!G8*Inputs!$E$7/12*1*Inputs!$E$8</f>
        <v>330</v>
      </c>
      <c r="H10" s="117" t="n">
        <f aca="false">Headcount!H8*Inputs!$E$7/12*1*Inputs!$E$8</f>
        <v>330</v>
      </c>
      <c r="I10" s="117" t="n">
        <f aca="false">Headcount!I8*Inputs!$E$7/12*1*Inputs!$E$8</f>
        <v>330</v>
      </c>
      <c r="J10" s="117" t="n">
        <f aca="false">Headcount!J8*Inputs!$E$7/12*1*Inputs!$E$8</f>
        <v>330</v>
      </c>
      <c r="K10" s="117" t="n">
        <f aca="false">Headcount!K8*Inputs!$E$7/12*1*Inputs!$E$8</f>
        <v>330</v>
      </c>
      <c r="L10" s="117" t="n">
        <f aca="false">Headcount!L8*Inputs!$E$7/12*1*Inputs!$E$8</f>
        <v>330</v>
      </c>
      <c r="M10" s="117" t="n">
        <f aca="false">Headcount!M8*Inputs!$E$7/12*1*Inputs!$E$8</f>
        <v>330</v>
      </c>
      <c r="N10" s="117" t="n">
        <f aca="false">Headcount!N8*Inputs!$E$7/12*1*Inputs!$E$8</f>
        <v>330</v>
      </c>
      <c r="O10" s="117" t="n">
        <f aca="false">Headcount!O8*Inputs!$E$7/12*1*Inputs!$E$8</f>
        <v>396</v>
      </c>
      <c r="P10" s="117" t="n">
        <f aca="false">Headcount!P8*Inputs!$E$7/12*1*Inputs!$E$8</f>
        <v>396</v>
      </c>
      <c r="Q10" s="117" t="n">
        <f aca="false">Headcount!Q8*Inputs!$E$7/12*1*Inputs!$E$8</f>
        <v>396</v>
      </c>
      <c r="R10" s="117" t="n">
        <f aca="false">Headcount!R8*Inputs!$E$7/12*1*Inputs!$E$8</f>
        <v>396</v>
      </c>
      <c r="S10" s="117" t="n">
        <f aca="false">Headcount!S8*Inputs!$E$7/12*1*Inputs!$E$8</f>
        <v>396</v>
      </c>
      <c r="T10" s="117" t="n">
        <f aca="false">Headcount!T8*Inputs!$E$7/12*1*Inputs!$E$8</f>
        <v>396</v>
      </c>
      <c r="U10" s="117" t="n">
        <f aca="false">Headcount!U8*Inputs!$E$7/12*1*Inputs!$E$8</f>
        <v>396</v>
      </c>
      <c r="V10" s="117" t="n">
        <f aca="false">Headcount!V8*Inputs!$E$7/12*1*Inputs!$E$8</f>
        <v>396</v>
      </c>
      <c r="W10" s="117" t="n">
        <f aca="false">Headcount!W8*Inputs!$E$7/12*1*Inputs!$E$8</f>
        <v>396</v>
      </c>
      <c r="X10" s="117" t="n">
        <f aca="false">Headcount!X8*Inputs!$E$7/12*1*Inputs!$E$8</f>
        <v>396</v>
      </c>
      <c r="Y10" s="117" t="n">
        <f aca="false">Headcount!Y8*Inputs!$E$7/12*1*Inputs!$E$8</f>
        <v>396</v>
      </c>
      <c r="Z10" s="117" t="n">
        <f aca="false">Headcount!Z8*Inputs!$E$7/12*1*Inputs!$E$8</f>
        <v>396</v>
      </c>
      <c r="AA10" s="117" t="n">
        <f aca="false">Headcount!AA8*Inputs!$E$7/12*1*Inputs!$E$8</f>
        <v>475.2</v>
      </c>
      <c r="AB10" s="117" t="n">
        <f aca="false">Headcount!AB8*Inputs!$E$7/12*1*Inputs!$E$8</f>
        <v>475.2</v>
      </c>
      <c r="AC10" s="117" t="n">
        <f aca="false">Headcount!AC8*Inputs!$E$7/12*1*Inputs!$E$8</f>
        <v>475.2</v>
      </c>
      <c r="AD10" s="117" t="n">
        <f aca="false">Headcount!AD8*Inputs!$E$7/12*1*Inputs!$E$8</f>
        <v>475.2</v>
      </c>
      <c r="AE10" s="117" t="n">
        <f aca="false">Headcount!AE8*Inputs!$E$7/12*1*Inputs!$E$8</f>
        <v>475.2</v>
      </c>
      <c r="AF10" s="117" t="n">
        <f aca="false">Headcount!AF8*Inputs!$E$7/12*1*Inputs!$E$8</f>
        <v>475.2</v>
      </c>
      <c r="AG10" s="117" t="n">
        <f aca="false">Headcount!AG8*Inputs!$E$7/12*1*Inputs!$E$8</f>
        <v>475.2</v>
      </c>
      <c r="AH10" s="117" t="n">
        <f aca="false">Headcount!AH8*Inputs!$E$7/12*1*Inputs!$E$8</f>
        <v>475.2</v>
      </c>
      <c r="AI10" s="117" t="n">
        <f aca="false">Headcount!AI8*Inputs!$E$7/12*1*Inputs!$E$8</f>
        <v>475.2</v>
      </c>
      <c r="AJ10" s="117" t="n">
        <f aca="false">Headcount!AJ8*Inputs!$E$7/12*1*Inputs!$E$8</f>
        <v>475.2</v>
      </c>
      <c r="AK10" s="117" t="n">
        <f aca="false">Headcount!AK8*Inputs!$E$7/12*1*Inputs!$E$8</f>
        <v>475.2</v>
      </c>
      <c r="AL10" s="117" t="n">
        <f aca="false">Headcount!AL8*Inputs!$E$7/12*1*Inputs!$E$8</f>
        <v>475.2</v>
      </c>
      <c r="AM10" s="117" t="n">
        <f aca="false">Headcount!AM8*Inputs!$E$7/12*1*Inputs!$E$8</f>
        <v>570.24</v>
      </c>
      <c r="AN10" s="117" t="n">
        <f aca="false">Headcount!AN8*Inputs!$E$7/12*1*Inputs!$E$8</f>
        <v>570.24</v>
      </c>
      <c r="AO10" s="117" t="n">
        <f aca="false">Headcount!AO8*Inputs!$E$7/12*1*Inputs!$E$8</f>
        <v>570.24</v>
      </c>
      <c r="AP10" s="117" t="n">
        <f aca="false">Headcount!AP8*Inputs!$E$7/12*1*Inputs!$E$8</f>
        <v>570.24</v>
      </c>
      <c r="AQ10" s="117" t="n">
        <f aca="false">Headcount!AQ8*Inputs!$E$7/12*1*Inputs!$E$8</f>
        <v>570.24</v>
      </c>
      <c r="AR10" s="117" t="n">
        <f aca="false">Headcount!AR8*Inputs!$E$7/12*1*Inputs!$E$8</f>
        <v>570.24</v>
      </c>
      <c r="AS10" s="117" t="n">
        <f aca="false">Headcount!AS8*Inputs!$E$7/12*1*Inputs!$E$8</f>
        <v>570.24</v>
      </c>
      <c r="AT10" s="117" t="n">
        <f aca="false">Headcount!AT8*Inputs!$E$7/12*1*Inputs!$E$8</f>
        <v>570.24</v>
      </c>
      <c r="AU10" s="117" t="n">
        <f aca="false">Headcount!AU8*Inputs!$E$7/12*1*Inputs!$E$8</f>
        <v>570.24</v>
      </c>
      <c r="AV10" s="117" t="n">
        <f aca="false">Headcount!AV8*Inputs!$E$7/12*1*Inputs!$E$8</f>
        <v>570.24</v>
      </c>
      <c r="AW10" s="117" t="n">
        <f aca="false">Headcount!AW8*Inputs!$E$7/12*1*Inputs!$E$8</f>
        <v>570.24</v>
      </c>
      <c r="AX10" s="117" t="n">
        <f aca="false">Headcount!AX8*Inputs!$E$7/12*1*Inputs!$E$8</f>
        <v>570.24</v>
      </c>
      <c r="AY10" s="117" t="n">
        <f aca="false">Headcount!AY8*Inputs!$E$7/12*1*Inputs!$E$8</f>
        <v>684.288</v>
      </c>
      <c r="AZ10" s="117" t="n">
        <f aca="false">Headcount!AZ8*Inputs!$E$7/12*1*Inputs!$E$8</f>
        <v>684.288</v>
      </c>
      <c r="BA10" s="117" t="n">
        <f aca="false">Headcount!BA8*Inputs!$E$7/12*1*Inputs!$E$8</f>
        <v>684.288</v>
      </c>
      <c r="BB10" s="117" t="n">
        <f aca="false">Headcount!BB8*Inputs!$E$7/12*1*Inputs!$E$8</f>
        <v>684.288</v>
      </c>
      <c r="BC10" s="117" t="n">
        <f aca="false">Headcount!BC8*Inputs!$E$7/12*1*Inputs!$E$8</f>
        <v>684.288</v>
      </c>
      <c r="BD10" s="117" t="n">
        <f aca="false">Headcount!BD8*Inputs!$E$7/12*1*Inputs!$E$8</f>
        <v>684.288</v>
      </c>
      <c r="BE10" s="117" t="n">
        <f aca="false">Headcount!BE8*Inputs!$E$7/12*1*Inputs!$E$8</f>
        <v>684.288</v>
      </c>
      <c r="BF10" s="117" t="n">
        <f aca="false">Headcount!BF8*Inputs!$E$7/12*1*Inputs!$E$8</f>
        <v>684.288</v>
      </c>
      <c r="BG10" s="117" t="n">
        <f aca="false">Headcount!BG8*Inputs!$E$7/12*1*Inputs!$E$8</f>
        <v>684.288</v>
      </c>
      <c r="BH10" s="117" t="n">
        <f aca="false">Headcount!BH8*Inputs!$E$7/12*1*Inputs!$E$8</f>
        <v>684.288</v>
      </c>
      <c r="BI10" s="117" t="n">
        <f aca="false">Headcount!BI8*Inputs!$E$7/12*1*Inputs!$E$8</f>
        <v>684.288</v>
      </c>
      <c r="BJ10" s="117" t="n">
        <f aca="false">Headcount!BJ8*Inputs!$E$7/12*1*Inputs!$E$8</f>
        <v>684.288</v>
      </c>
    </row>
    <row r="11" customFormat="false" ht="15" hidden="false" customHeight="false" outlineLevel="0" collapsed="false">
      <c r="A11" s="6" t="s">
        <v>404</v>
      </c>
      <c r="C11" s="117" t="n">
        <f aca="false">Headcount!C9*Inputs!$E$7/12*1*Inputs!$E$9</f>
        <v>1350</v>
      </c>
      <c r="D11" s="117" t="n">
        <f aca="false">Headcount!D9*Inputs!$E$7/12*1*Inputs!$E$9</f>
        <v>1350</v>
      </c>
      <c r="E11" s="117" t="n">
        <f aca="false">Headcount!E9*Inputs!$E$7/12*1*Inputs!$E$9</f>
        <v>1350</v>
      </c>
      <c r="F11" s="117" t="n">
        <f aca="false">Headcount!F9*Inputs!$E$7/12*1*Inputs!$E$9</f>
        <v>1350</v>
      </c>
      <c r="G11" s="117" t="n">
        <f aca="false">Headcount!G9*Inputs!$E$7/12*1*Inputs!$E$9</f>
        <v>1350</v>
      </c>
      <c r="H11" s="117" t="n">
        <f aca="false">Headcount!H9*Inputs!$E$7/12*1*Inputs!$E$9</f>
        <v>1350</v>
      </c>
      <c r="I11" s="117" t="n">
        <f aca="false">Headcount!I9*Inputs!$E$7/12*1*Inputs!$E$9</f>
        <v>1350</v>
      </c>
      <c r="J11" s="117" t="n">
        <f aca="false">Headcount!J9*Inputs!$E$7/12*1*Inputs!$E$9</f>
        <v>1350</v>
      </c>
      <c r="K11" s="117" t="n">
        <f aca="false">Headcount!K9*Inputs!$E$7/12*1*Inputs!$E$9</f>
        <v>1350</v>
      </c>
      <c r="L11" s="117" t="n">
        <f aca="false">Headcount!L9*Inputs!$E$7/12*1*Inputs!$E$9</f>
        <v>1350</v>
      </c>
      <c r="M11" s="117" t="n">
        <f aca="false">Headcount!M9*Inputs!$E$7/12*1*Inputs!$E$9</f>
        <v>1350</v>
      </c>
      <c r="N11" s="117" t="n">
        <f aca="false">Headcount!N9*Inputs!$E$7/12*1*Inputs!$E$9</f>
        <v>1350</v>
      </c>
      <c r="O11" s="117" t="n">
        <f aca="false">Headcount!O9*Inputs!$E$7/12*1*Inputs!$E$9</f>
        <v>1755</v>
      </c>
      <c r="P11" s="117" t="n">
        <f aca="false">Headcount!P9*Inputs!$E$7/12*1*Inputs!$E$9</f>
        <v>1755</v>
      </c>
      <c r="Q11" s="117" t="n">
        <f aca="false">Headcount!Q9*Inputs!$E$7/12*1*Inputs!$E$9</f>
        <v>1755</v>
      </c>
      <c r="R11" s="117" t="n">
        <f aca="false">Headcount!R9*Inputs!$E$7/12*1*Inputs!$E$9</f>
        <v>1755</v>
      </c>
      <c r="S11" s="117" t="n">
        <f aca="false">Headcount!S9*Inputs!$E$7/12*1*Inputs!$E$9</f>
        <v>1755</v>
      </c>
      <c r="T11" s="117" t="n">
        <f aca="false">Headcount!T9*Inputs!$E$7/12*1*Inputs!$E$9</f>
        <v>1755</v>
      </c>
      <c r="U11" s="117" t="n">
        <f aca="false">Headcount!U9*Inputs!$E$7/12*1*Inputs!$E$9</f>
        <v>1755</v>
      </c>
      <c r="V11" s="117" t="n">
        <f aca="false">Headcount!V9*Inputs!$E$7/12*1*Inputs!$E$9</f>
        <v>1755</v>
      </c>
      <c r="W11" s="117" t="n">
        <f aca="false">Headcount!W9*Inputs!$E$7/12*1*Inputs!$E$9</f>
        <v>1755</v>
      </c>
      <c r="X11" s="117" t="n">
        <f aca="false">Headcount!X9*Inputs!$E$7/12*1*Inputs!$E$9</f>
        <v>1755</v>
      </c>
      <c r="Y11" s="117" t="n">
        <f aca="false">Headcount!Y9*Inputs!$E$7/12*1*Inputs!$E$9</f>
        <v>1755</v>
      </c>
      <c r="Z11" s="117" t="n">
        <f aca="false">Headcount!Z9*Inputs!$E$7/12*1*Inputs!$E$9</f>
        <v>1755</v>
      </c>
      <c r="AA11" s="117" t="n">
        <f aca="false">Headcount!AA9*Inputs!$E$7/12*1*Inputs!$E$9</f>
        <v>2281.5</v>
      </c>
      <c r="AB11" s="117" t="n">
        <f aca="false">Headcount!AB9*Inputs!$E$7/12*1*Inputs!$E$9</f>
        <v>2281.5</v>
      </c>
      <c r="AC11" s="117" t="n">
        <f aca="false">Headcount!AC9*Inputs!$E$7/12*1*Inputs!$E$9</f>
        <v>2281.5</v>
      </c>
      <c r="AD11" s="117" t="n">
        <f aca="false">Headcount!AD9*Inputs!$E$7/12*1*Inputs!$E$9</f>
        <v>2281.5</v>
      </c>
      <c r="AE11" s="117" t="n">
        <f aca="false">Headcount!AE9*Inputs!$E$7/12*1*Inputs!$E$9</f>
        <v>2281.5</v>
      </c>
      <c r="AF11" s="117" t="n">
        <f aca="false">Headcount!AF9*Inputs!$E$7/12*1*Inputs!$E$9</f>
        <v>2281.5</v>
      </c>
      <c r="AG11" s="117" t="n">
        <f aca="false">Headcount!AG9*Inputs!$E$7/12*1*Inputs!$E$9</f>
        <v>2281.5</v>
      </c>
      <c r="AH11" s="117" t="n">
        <f aca="false">Headcount!AH9*Inputs!$E$7/12*1*Inputs!$E$9</f>
        <v>2281.5</v>
      </c>
      <c r="AI11" s="117" t="n">
        <f aca="false">Headcount!AI9*Inputs!$E$7/12*1*Inputs!$E$9</f>
        <v>2281.5</v>
      </c>
      <c r="AJ11" s="117" t="n">
        <f aca="false">Headcount!AJ9*Inputs!$E$7/12*1*Inputs!$E$9</f>
        <v>2281.5</v>
      </c>
      <c r="AK11" s="117" t="n">
        <f aca="false">Headcount!AK9*Inputs!$E$7/12*1*Inputs!$E$9</f>
        <v>2281.5</v>
      </c>
      <c r="AL11" s="117" t="n">
        <f aca="false">Headcount!AL9*Inputs!$E$7/12*1*Inputs!$E$9</f>
        <v>2281.5</v>
      </c>
      <c r="AM11" s="117" t="n">
        <f aca="false">Headcount!AM9*Inputs!$E$7/12*1*Inputs!$E$9</f>
        <v>2965.95</v>
      </c>
      <c r="AN11" s="117" t="n">
        <f aca="false">Headcount!AN9*Inputs!$E$7/12*1*Inputs!$E$9</f>
        <v>2965.95</v>
      </c>
      <c r="AO11" s="117" t="n">
        <f aca="false">Headcount!AO9*Inputs!$E$7/12*1*Inputs!$E$9</f>
        <v>2965.95</v>
      </c>
      <c r="AP11" s="117" t="n">
        <f aca="false">Headcount!AP9*Inputs!$E$7/12*1*Inputs!$E$9</f>
        <v>2965.95</v>
      </c>
      <c r="AQ11" s="117" t="n">
        <f aca="false">Headcount!AQ9*Inputs!$E$7/12*1*Inputs!$E$9</f>
        <v>2965.95</v>
      </c>
      <c r="AR11" s="117" t="n">
        <f aca="false">Headcount!AR9*Inputs!$E$7/12*1*Inputs!$E$9</f>
        <v>2965.95</v>
      </c>
      <c r="AS11" s="117" t="n">
        <f aca="false">Headcount!AS9*Inputs!$E$7/12*1*Inputs!$E$9</f>
        <v>2965.95</v>
      </c>
      <c r="AT11" s="117" t="n">
        <f aca="false">Headcount!AT9*Inputs!$E$7/12*1*Inputs!$E$9</f>
        <v>2965.95</v>
      </c>
      <c r="AU11" s="117" t="n">
        <f aca="false">Headcount!AU9*Inputs!$E$7/12*1*Inputs!$E$9</f>
        <v>2965.95</v>
      </c>
      <c r="AV11" s="117" t="n">
        <f aca="false">Headcount!AV9*Inputs!$E$7/12*1*Inputs!$E$9</f>
        <v>2965.95</v>
      </c>
      <c r="AW11" s="117" t="n">
        <f aca="false">Headcount!AW9*Inputs!$E$7/12*1*Inputs!$E$9</f>
        <v>2965.95</v>
      </c>
      <c r="AX11" s="117" t="n">
        <f aca="false">Headcount!AX9*Inputs!$E$7/12*1*Inputs!$E$9</f>
        <v>2965.95</v>
      </c>
      <c r="AY11" s="117" t="n">
        <f aca="false">Headcount!AY9*Inputs!$E$7/12*1*Inputs!$E$9</f>
        <v>3855.735</v>
      </c>
      <c r="AZ11" s="117" t="n">
        <f aca="false">Headcount!AZ9*Inputs!$E$7/12*1*Inputs!$E$9</f>
        <v>3855.735</v>
      </c>
      <c r="BA11" s="117" t="n">
        <f aca="false">Headcount!BA9*Inputs!$E$7/12*1*Inputs!$E$9</f>
        <v>3855.735</v>
      </c>
      <c r="BB11" s="117" t="n">
        <f aca="false">Headcount!BB9*Inputs!$E$7/12*1*Inputs!$E$9</f>
        <v>3855.735</v>
      </c>
      <c r="BC11" s="117" t="n">
        <f aca="false">Headcount!BC9*Inputs!$E$7/12*1*Inputs!$E$9</f>
        <v>3855.735</v>
      </c>
      <c r="BD11" s="117" t="n">
        <f aca="false">Headcount!BD9*Inputs!$E$7/12*1*Inputs!$E$9</f>
        <v>3855.735</v>
      </c>
      <c r="BE11" s="117" t="n">
        <f aca="false">Headcount!BE9*Inputs!$E$7/12*1*Inputs!$E$9</f>
        <v>3855.735</v>
      </c>
      <c r="BF11" s="117" t="n">
        <f aca="false">Headcount!BF9*Inputs!$E$7/12*1*Inputs!$E$9</f>
        <v>3855.735</v>
      </c>
      <c r="BG11" s="117" t="n">
        <f aca="false">Headcount!BG9*Inputs!$E$7/12*1*Inputs!$E$9</f>
        <v>3855.735</v>
      </c>
      <c r="BH11" s="117" t="n">
        <f aca="false">Headcount!BH9*Inputs!$E$7/12*1*Inputs!$E$9</f>
        <v>3855.735</v>
      </c>
      <c r="BI11" s="117" t="n">
        <f aca="false">Headcount!BI9*Inputs!$E$7/12*1*Inputs!$E$9</f>
        <v>3855.735</v>
      </c>
      <c r="BJ11" s="117" t="n">
        <f aca="false">Headcount!BJ9*Inputs!$E$7/12*1*Inputs!$E$9</f>
        <v>3855.735</v>
      </c>
    </row>
    <row r="12" customFormat="false" ht="15" hidden="false" customHeight="false" outlineLevel="0" collapsed="false">
      <c r="A12" s="6" t="s">
        <v>234</v>
      </c>
      <c r="C12" s="117" t="n">
        <f aca="false">Inputs!$E$10*(1+Inputs!$E$11)^(C$5-1)*1</f>
        <v>400</v>
      </c>
      <c r="D12" s="117" t="n">
        <f aca="false">Inputs!$E$10*(1+Inputs!$E$11)^(D$5-1)*1</f>
        <v>400</v>
      </c>
      <c r="E12" s="117" t="n">
        <f aca="false">Inputs!$E$10*(1+Inputs!$E$11)^(E$5-1)*1</f>
        <v>400</v>
      </c>
      <c r="F12" s="117" t="n">
        <f aca="false">Inputs!$E$10*(1+Inputs!$E$11)^(F$5-1)*1</f>
        <v>400</v>
      </c>
      <c r="G12" s="117" t="n">
        <f aca="false">Inputs!$E$10*(1+Inputs!$E$11)^(G$5-1)*1</f>
        <v>400</v>
      </c>
      <c r="H12" s="117" t="n">
        <f aca="false">Inputs!$E$10*(1+Inputs!$E$11)^(H$5-1)*1</f>
        <v>400</v>
      </c>
      <c r="I12" s="117" t="n">
        <f aca="false">Inputs!$E$10*(1+Inputs!$E$11)^(I$5-1)*1</f>
        <v>400</v>
      </c>
      <c r="J12" s="117" t="n">
        <f aca="false">Inputs!$E$10*(1+Inputs!$E$11)^(J$5-1)*1</f>
        <v>400</v>
      </c>
      <c r="K12" s="117" t="n">
        <f aca="false">Inputs!$E$10*(1+Inputs!$E$11)^(K$5-1)*1</f>
        <v>400</v>
      </c>
      <c r="L12" s="117" t="n">
        <f aca="false">Inputs!$E$10*(1+Inputs!$E$11)^(L$5-1)*1</f>
        <v>400</v>
      </c>
      <c r="M12" s="117" t="n">
        <f aca="false">Inputs!$E$10*(1+Inputs!$E$11)^(M$5-1)*1</f>
        <v>400</v>
      </c>
      <c r="N12" s="117" t="n">
        <f aca="false">Inputs!$E$10*(1+Inputs!$E$11)^(N$5-1)*1</f>
        <v>400</v>
      </c>
      <c r="O12" s="117" t="n">
        <f aca="false">Inputs!$E$10*(1+Inputs!$E$11)^(O$5-1)*1</f>
        <v>480</v>
      </c>
      <c r="P12" s="117" t="n">
        <f aca="false">Inputs!$E$10*(1+Inputs!$E$11)^(P$5-1)*1</f>
        <v>480</v>
      </c>
      <c r="Q12" s="117" t="n">
        <f aca="false">Inputs!$E$10*(1+Inputs!$E$11)^(Q$5-1)*1</f>
        <v>480</v>
      </c>
      <c r="R12" s="117" t="n">
        <f aca="false">Inputs!$E$10*(1+Inputs!$E$11)^(R$5-1)*1</f>
        <v>480</v>
      </c>
      <c r="S12" s="117" t="n">
        <f aca="false">Inputs!$E$10*(1+Inputs!$E$11)^(S$5-1)*1</f>
        <v>480</v>
      </c>
      <c r="T12" s="117" t="n">
        <f aca="false">Inputs!$E$10*(1+Inputs!$E$11)^(T$5-1)*1</f>
        <v>480</v>
      </c>
      <c r="U12" s="117" t="n">
        <f aca="false">Inputs!$E$10*(1+Inputs!$E$11)^(U$5-1)*1</f>
        <v>480</v>
      </c>
      <c r="V12" s="117" t="n">
        <f aca="false">Inputs!$E$10*(1+Inputs!$E$11)^(V$5-1)*1</f>
        <v>480</v>
      </c>
      <c r="W12" s="117" t="n">
        <f aca="false">Inputs!$E$10*(1+Inputs!$E$11)^(W$5-1)*1</f>
        <v>480</v>
      </c>
      <c r="X12" s="117" t="n">
        <f aca="false">Inputs!$E$10*(1+Inputs!$E$11)^(X$5-1)*1</f>
        <v>480</v>
      </c>
      <c r="Y12" s="117" t="n">
        <f aca="false">Inputs!$E$10*(1+Inputs!$E$11)^(Y$5-1)*1</f>
        <v>480</v>
      </c>
      <c r="Z12" s="117" t="n">
        <f aca="false">Inputs!$E$10*(1+Inputs!$E$11)^(Z$5-1)*1</f>
        <v>480</v>
      </c>
      <c r="AA12" s="117" t="n">
        <f aca="false">Inputs!$E$10*(1+Inputs!$E$11)^(AA$5-1)*1</f>
        <v>576</v>
      </c>
      <c r="AB12" s="117" t="n">
        <f aca="false">Inputs!$E$10*(1+Inputs!$E$11)^(AB$5-1)*1</f>
        <v>576</v>
      </c>
      <c r="AC12" s="117" t="n">
        <f aca="false">Inputs!$E$10*(1+Inputs!$E$11)^(AC$5-1)*1</f>
        <v>576</v>
      </c>
      <c r="AD12" s="117" t="n">
        <f aca="false">Inputs!$E$10*(1+Inputs!$E$11)^(AD$5-1)*1</f>
        <v>576</v>
      </c>
      <c r="AE12" s="117" t="n">
        <f aca="false">Inputs!$E$10*(1+Inputs!$E$11)^(AE$5-1)*1</f>
        <v>576</v>
      </c>
      <c r="AF12" s="117" t="n">
        <f aca="false">Inputs!$E$10*(1+Inputs!$E$11)^(AF$5-1)*1</f>
        <v>576</v>
      </c>
      <c r="AG12" s="117" t="n">
        <f aca="false">Inputs!$E$10*(1+Inputs!$E$11)^(AG$5-1)*1</f>
        <v>576</v>
      </c>
      <c r="AH12" s="117" t="n">
        <f aca="false">Inputs!$E$10*(1+Inputs!$E$11)^(AH$5-1)*1</f>
        <v>576</v>
      </c>
      <c r="AI12" s="117" t="n">
        <f aca="false">Inputs!$E$10*(1+Inputs!$E$11)^(AI$5-1)*1</f>
        <v>576</v>
      </c>
      <c r="AJ12" s="117" t="n">
        <f aca="false">Inputs!$E$10*(1+Inputs!$E$11)^(AJ$5-1)*1</f>
        <v>576</v>
      </c>
      <c r="AK12" s="117" t="n">
        <f aca="false">Inputs!$E$10*(1+Inputs!$E$11)^(AK$5-1)*1</f>
        <v>576</v>
      </c>
      <c r="AL12" s="117" t="n">
        <f aca="false">Inputs!$E$10*(1+Inputs!$E$11)^(AL$5-1)*1</f>
        <v>576</v>
      </c>
      <c r="AM12" s="117" t="n">
        <f aca="false">Inputs!$E$10*(1+Inputs!$E$11)^(AM$5-1)*1</f>
        <v>691.2</v>
      </c>
      <c r="AN12" s="117" t="n">
        <f aca="false">Inputs!$E$10*(1+Inputs!$E$11)^(AN$5-1)*1</f>
        <v>691.2</v>
      </c>
      <c r="AO12" s="117" t="n">
        <f aca="false">Inputs!$E$10*(1+Inputs!$E$11)^(AO$5-1)*1</f>
        <v>691.2</v>
      </c>
      <c r="AP12" s="117" t="n">
        <f aca="false">Inputs!$E$10*(1+Inputs!$E$11)^(AP$5-1)*1</f>
        <v>691.2</v>
      </c>
      <c r="AQ12" s="117" t="n">
        <f aca="false">Inputs!$E$10*(1+Inputs!$E$11)^(AQ$5-1)*1</f>
        <v>691.2</v>
      </c>
      <c r="AR12" s="117" t="n">
        <f aca="false">Inputs!$E$10*(1+Inputs!$E$11)^(AR$5-1)*1</f>
        <v>691.2</v>
      </c>
      <c r="AS12" s="117" t="n">
        <f aca="false">Inputs!$E$10*(1+Inputs!$E$11)^(AS$5-1)*1</f>
        <v>691.2</v>
      </c>
      <c r="AT12" s="117" t="n">
        <f aca="false">Inputs!$E$10*(1+Inputs!$E$11)^(AT$5-1)*1</f>
        <v>691.2</v>
      </c>
      <c r="AU12" s="117" t="n">
        <f aca="false">Inputs!$E$10*(1+Inputs!$E$11)^(AU$5-1)*1</f>
        <v>691.2</v>
      </c>
      <c r="AV12" s="117" t="n">
        <f aca="false">Inputs!$E$10*(1+Inputs!$E$11)^(AV$5-1)*1</f>
        <v>691.2</v>
      </c>
      <c r="AW12" s="117" t="n">
        <f aca="false">Inputs!$E$10*(1+Inputs!$E$11)^(AW$5-1)*1</f>
        <v>691.2</v>
      </c>
      <c r="AX12" s="117" t="n">
        <f aca="false">Inputs!$E$10*(1+Inputs!$E$11)^(AX$5-1)*1</f>
        <v>691.2</v>
      </c>
      <c r="AY12" s="117" t="n">
        <f aca="false">Inputs!$E$10*(1+Inputs!$E$11)^(AY$5-1)*1</f>
        <v>829.44</v>
      </c>
      <c r="AZ12" s="117" t="n">
        <f aca="false">Inputs!$E$10*(1+Inputs!$E$11)^(AZ$5-1)*1</f>
        <v>829.44</v>
      </c>
      <c r="BA12" s="117" t="n">
        <f aca="false">Inputs!$E$10*(1+Inputs!$E$11)^(BA$5-1)*1</f>
        <v>829.44</v>
      </c>
      <c r="BB12" s="117" t="n">
        <f aca="false">Inputs!$E$10*(1+Inputs!$E$11)^(BB$5-1)*1</f>
        <v>829.44</v>
      </c>
      <c r="BC12" s="117" t="n">
        <f aca="false">Inputs!$E$10*(1+Inputs!$E$11)^(BC$5-1)*1</f>
        <v>829.44</v>
      </c>
      <c r="BD12" s="117" t="n">
        <f aca="false">Inputs!$E$10*(1+Inputs!$E$11)^(BD$5-1)*1</f>
        <v>829.44</v>
      </c>
      <c r="BE12" s="117" t="n">
        <f aca="false">Inputs!$E$10*(1+Inputs!$E$11)^(BE$5-1)*1</f>
        <v>829.44</v>
      </c>
      <c r="BF12" s="117" t="n">
        <f aca="false">Inputs!$E$10*(1+Inputs!$E$11)^(BF$5-1)*1</f>
        <v>829.44</v>
      </c>
      <c r="BG12" s="117" t="n">
        <f aca="false">Inputs!$E$10*(1+Inputs!$E$11)^(BG$5-1)*1</f>
        <v>829.44</v>
      </c>
      <c r="BH12" s="117" t="n">
        <f aca="false">Inputs!$E$10*(1+Inputs!$E$11)^(BH$5-1)*1</f>
        <v>829.44</v>
      </c>
      <c r="BI12" s="117" t="n">
        <f aca="false">Inputs!$E$10*(1+Inputs!$E$11)^(BI$5-1)*1</f>
        <v>829.44</v>
      </c>
      <c r="BJ12" s="117" t="n">
        <f aca="false">Inputs!$E$10*(1+Inputs!$E$11)^(BJ$5-1)*1</f>
        <v>829.44</v>
      </c>
    </row>
    <row r="13" customFormat="false" ht="15" hidden="false" customHeight="false" outlineLevel="0" collapsed="false">
      <c r="A13" s="4" t="s">
        <v>405</v>
      </c>
      <c r="C13" s="118" t="n">
        <f aca="false">C10+C11+C12</f>
        <v>2080</v>
      </c>
      <c r="D13" s="118" t="n">
        <f aca="false">D10+D11+D12</f>
        <v>2080</v>
      </c>
      <c r="E13" s="118" t="n">
        <f aca="false">E10+E11+E12</f>
        <v>2080</v>
      </c>
      <c r="F13" s="118" t="n">
        <f aca="false">F10+F11+F12</f>
        <v>2080</v>
      </c>
      <c r="G13" s="118" t="n">
        <f aca="false">G10+G11+G12</f>
        <v>2080</v>
      </c>
      <c r="H13" s="118" t="n">
        <f aca="false">H10+H11+H12</f>
        <v>2080</v>
      </c>
      <c r="I13" s="118" t="n">
        <f aca="false">I10+I11+I12</f>
        <v>2080</v>
      </c>
      <c r="J13" s="118" t="n">
        <f aca="false">J10+J11+J12</f>
        <v>2080</v>
      </c>
      <c r="K13" s="118" t="n">
        <f aca="false">K10+K11+K12</f>
        <v>2080</v>
      </c>
      <c r="L13" s="118" t="n">
        <f aca="false">L10+L11+L12</f>
        <v>2080</v>
      </c>
      <c r="M13" s="118" t="n">
        <f aca="false">M10+M11+M12</f>
        <v>2080</v>
      </c>
      <c r="N13" s="118" t="n">
        <f aca="false">N10+N11+N12</f>
        <v>2080</v>
      </c>
      <c r="O13" s="118" t="n">
        <f aca="false">O10+O11+O12</f>
        <v>2631</v>
      </c>
      <c r="P13" s="118" t="n">
        <f aca="false">P10+P11+P12</f>
        <v>2631</v>
      </c>
      <c r="Q13" s="118" t="n">
        <f aca="false">Q10+Q11+Q12</f>
        <v>2631</v>
      </c>
      <c r="R13" s="118" t="n">
        <f aca="false">R10+R11+R12</f>
        <v>2631</v>
      </c>
      <c r="S13" s="118" t="n">
        <f aca="false">S10+S11+S12</f>
        <v>2631</v>
      </c>
      <c r="T13" s="118" t="n">
        <f aca="false">T10+T11+T12</f>
        <v>2631</v>
      </c>
      <c r="U13" s="118" t="n">
        <f aca="false">U10+U11+U12</f>
        <v>2631</v>
      </c>
      <c r="V13" s="118" t="n">
        <f aca="false">V10+V11+V12</f>
        <v>2631</v>
      </c>
      <c r="W13" s="118" t="n">
        <f aca="false">W10+W11+W12</f>
        <v>2631</v>
      </c>
      <c r="X13" s="118" t="n">
        <f aca="false">X10+X11+X12</f>
        <v>2631</v>
      </c>
      <c r="Y13" s="118" t="n">
        <f aca="false">Y10+Y11+Y12</f>
        <v>2631</v>
      </c>
      <c r="Z13" s="118" t="n">
        <f aca="false">Z10+Z11+Z12</f>
        <v>2631</v>
      </c>
      <c r="AA13" s="118" t="n">
        <f aca="false">AA10+AA11+AA12</f>
        <v>3332.7</v>
      </c>
      <c r="AB13" s="118" t="n">
        <f aca="false">AB10+AB11+AB12</f>
        <v>3332.7</v>
      </c>
      <c r="AC13" s="118" t="n">
        <f aca="false">AC10+AC11+AC12</f>
        <v>3332.7</v>
      </c>
      <c r="AD13" s="118" t="n">
        <f aca="false">AD10+AD11+AD12</f>
        <v>3332.7</v>
      </c>
      <c r="AE13" s="118" t="n">
        <f aca="false">AE10+AE11+AE12</f>
        <v>3332.7</v>
      </c>
      <c r="AF13" s="118" t="n">
        <f aca="false">AF10+AF11+AF12</f>
        <v>3332.7</v>
      </c>
      <c r="AG13" s="118" t="n">
        <f aca="false">AG10+AG11+AG12</f>
        <v>3332.7</v>
      </c>
      <c r="AH13" s="118" t="n">
        <f aca="false">AH10+AH11+AH12</f>
        <v>3332.7</v>
      </c>
      <c r="AI13" s="118" t="n">
        <f aca="false">AI10+AI11+AI12</f>
        <v>3332.7</v>
      </c>
      <c r="AJ13" s="118" t="n">
        <f aca="false">AJ10+AJ11+AJ12</f>
        <v>3332.7</v>
      </c>
      <c r="AK13" s="118" t="n">
        <f aca="false">AK10+AK11+AK12</f>
        <v>3332.7</v>
      </c>
      <c r="AL13" s="118" t="n">
        <f aca="false">AL10+AL11+AL12</f>
        <v>3332.7</v>
      </c>
      <c r="AM13" s="118" t="n">
        <f aca="false">AM10+AM11+AM12</f>
        <v>4227.39</v>
      </c>
      <c r="AN13" s="118" t="n">
        <f aca="false">AN10+AN11+AN12</f>
        <v>4227.39</v>
      </c>
      <c r="AO13" s="118" t="n">
        <f aca="false">AO10+AO11+AO12</f>
        <v>4227.39</v>
      </c>
      <c r="AP13" s="118" t="n">
        <f aca="false">AP10+AP11+AP12</f>
        <v>4227.39</v>
      </c>
      <c r="AQ13" s="118" t="n">
        <f aca="false">AQ10+AQ11+AQ12</f>
        <v>4227.39</v>
      </c>
      <c r="AR13" s="118" t="n">
        <f aca="false">AR10+AR11+AR12</f>
        <v>4227.39</v>
      </c>
      <c r="AS13" s="118" t="n">
        <f aca="false">AS10+AS11+AS12</f>
        <v>4227.39</v>
      </c>
      <c r="AT13" s="118" t="n">
        <f aca="false">AT10+AT11+AT12</f>
        <v>4227.39</v>
      </c>
      <c r="AU13" s="118" t="n">
        <f aca="false">AU10+AU11+AU12</f>
        <v>4227.39</v>
      </c>
      <c r="AV13" s="118" t="n">
        <f aca="false">AV10+AV11+AV12</f>
        <v>4227.39</v>
      </c>
      <c r="AW13" s="118" t="n">
        <f aca="false">AW10+AW11+AW12</f>
        <v>4227.39</v>
      </c>
      <c r="AX13" s="118" t="n">
        <f aca="false">AX10+AX11+AX12</f>
        <v>4227.39</v>
      </c>
      <c r="AY13" s="118" t="n">
        <f aca="false">AY10+AY11+AY12</f>
        <v>5369.463</v>
      </c>
      <c r="AZ13" s="118" t="n">
        <f aca="false">AZ10+AZ11+AZ12</f>
        <v>5369.463</v>
      </c>
      <c r="BA13" s="118" t="n">
        <f aca="false">BA10+BA11+BA12</f>
        <v>5369.463</v>
      </c>
      <c r="BB13" s="118" t="n">
        <f aca="false">BB10+BB11+BB12</f>
        <v>5369.463</v>
      </c>
      <c r="BC13" s="118" t="n">
        <f aca="false">BC10+BC11+BC12</f>
        <v>5369.463</v>
      </c>
      <c r="BD13" s="118" t="n">
        <f aca="false">BD10+BD11+BD12</f>
        <v>5369.463</v>
      </c>
      <c r="BE13" s="118" t="n">
        <f aca="false">BE10+BE11+BE12</f>
        <v>5369.463</v>
      </c>
      <c r="BF13" s="118" t="n">
        <f aca="false">BF10+BF11+BF12</f>
        <v>5369.463</v>
      </c>
      <c r="BG13" s="118" t="n">
        <f aca="false">BG10+BG11+BG12</f>
        <v>5369.463</v>
      </c>
      <c r="BH13" s="118" t="n">
        <f aca="false">BH10+BH11+BH12</f>
        <v>5369.463</v>
      </c>
      <c r="BI13" s="118" t="n">
        <f aca="false">BI10+BI11+BI12</f>
        <v>5369.463</v>
      </c>
      <c r="BJ13" s="118" t="n">
        <f aca="false">BJ10+BJ11+BJ12</f>
        <v>5369.463</v>
      </c>
    </row>
    <row r="15" customFormat="false" ht="15.75" hidden="false" customHeight="true" outlineLevel="0" collapsed="false">
      <c r="A15" s="7" t="s">
        <v>406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6" t="s">
        <v>407</v>
      </c>
      <c r="C16" s="119" t="n">
        <f aca="false">Inputs!$E$14*(1+Inputs!$E$17)^(C$5-1)</f>
        <v>350</v>
      </c>
      <c r="D16" s="119" t="n">
        <f aca="false">Inputs!$E$14*(1+Inputs!$E$17)^(D$5-1)</f>
        <v>350</v>
      </c>
      <c r="E16" s="119" t="n">
        <f aca="false">Inputs!$E$14*(1+Inputs!$E$17)^(E$5-1)</f>
        <v>350</v>
      </c>
      <c r="F16" s="119" t="n">
        <f aca="false">Inputs!$E$14*(1+Inputs!$E$17)^(F$5-1)</f>
        <v>350</v>
      </c>
      <c r="G16" s="119" t="n">
        <f aca="false">Inputs!$E$14*(1+Inputs!$E$17)^(G$5-1)</f>
        <v>350</v>
      </c>
      <c r="H16" s="119" t="n">
        <f aca="false">Inputs!$E$14*(1+Inputs!$E$17)^(H$5-1)</f>
        <v>350</v>
      </c>
      <c r="I16" s="119" t="n">
        <f aca="false">Inputs!$E$14*(1+Inputs!$E$17)^(I$5-1)</f>
        <v>350</v>
      </c>
      <c r="J16" s="119" t="n">
        <f aca="false">Inputs!$E$14*(1+Inputs!$E$17)^(J$5-1)</f>
        <v>350</v>
      </c>
      <c r="K16" s="119" t="n">
        <f aca="false">Inputs!$E$14*(1+Inputs!$E$17)^(K$5-1)</f>
        <v>350</v>
      </c>
      <c r="L16" s="119" t="n">
        <f aca="false">Inputs!$E$14*(1+Inputs!$E$17)^(L$5-1)</f>
        <v>350</v>
      </c>
      <c r="M16" s="119" t="n">
        <f aca="false">Inputs!$E$14*(1+Inputs!$E$17)^(M$5-1)</f>
        <v>350</v>
      </c>
      <c r="N16" s="119" t="n">
        <f aca="false">Inputs!$E$14*(1+Inputs!$E$17)^(N$5-1)</f>
        <v>350</v>
      </c>
      <c r="O16" s="119" t="n">
        <f aca="false">Inputs!$E$14*(1+Inputs!$E$17)^(O$5-1)</f>
        <v>360.5</v>
      </c>
      <c r="P16" s="119" t="n">
        <f aca="false">Inputs!$E$14*(1+Inputs!$E$17)^(P$5-1)</f>
        <v>360.5</v>
      </c>
      <c r="Q16" s="119" t="n">
        <f aca="false">Inputs!$E$14*(1+Inputs!$E$17)^(Q$5-1)</f>
        <v>360.5</v>
      </c>
      <c r="R16" s="119" t="n">
        <f aca="false">Inputs!$E$14*(1+Inputs!$E$17)^(R$5-1)</f>
        <v>360.5</v>
      </c>
      <c r="S16" s="119" t="n">
        <f aca="false">Inputs!$E$14*(1+Inputs!$E$17)^(S$5-1)</f>
        <v>360.5</v>
      </c>
      <c r="T16" s="119" t="n">
        <f aca="false">Inputs!$E$14*(1+Inputs!$E$17)^(T$5-1)</f>
        <v>360.5</v>
      </c>
      <c r="U16" s="119" t="n">
        <f aca="false">Inputs!$E$14*(1+Inputs!$E$17)^(U$5-1)</f>
        <v>360.5</v>
      </c>
      <c r="V16" s="119" t="n">
        <f aca="false">Inputs!$E$14*(1+Inputs!$E$17)^(V$5-1)</f>
        <v>360.5</v>
      </c>
      <c r="W16" s="119" t="n">
        <f aca="false">Inputs!$E$14*(1+Inputs!$E$17)^(W$5-1)</f>
        <v>360.5</v>
      </c>
      <c r="X16" s="119" t="n">
        <f aca="false">Inputs!$E$14*(1+Inputs!$E$17)^(X$5-1)</f>
        <v>360.5</v>
      </c>
      <c r="Y16" s="119" t="n">
        <f aca="false">Inputs!$E$14*(1+Inputs!$E$17)^(Y$5-1)</f>
        <v>360.5</v>
      </c>
      <c r="Z16" s="119" t="n">
        <f aca="false">Inputs!$E$14*(1+Inputs!$E$17)^(Z$5-1)</f>
        <v>360.5</v>
      </c>
      <c r="AA16" s="119" t="n">
        <f aca="false">Inputs!$E$14*(1+Inputs!$E$17)^(AA$5-1)</f>
        <v>371.315</v>
      </c>
      <c r="AB16" s="119" t="n">
        <f aca="false">Inputs!$E$14*(1+Inputs!$E$17)^(AB$5-1)</f>
        <v>371.315</v>
      </c>
      <c r="AC16" s="119" t="n">
        <f aca="false">Inputs!$E$14*(1+Inputs!$E$17)^(AC$5-1)</f>
        <v>371.315</v>
      </c>
      <c r="AD16" s="119" t="n">
        <f aca="false">Inputs!$E$14*(1+Inputs!$E$17)^(AD$5-1)</f>
        <v>371.315</v>
      </c>
      <c r="AE16" s="119" t="n">
        <f aca="false">Inputs!$E$14*(1+Inputs!$E$17)^(AE$5-1)</f>
        <v>371.315</v>
      </c>
      <c r="AF16" s="119" t="n">
        <f aca="false">Inputs!$E$14*(1+Inputs!$E$17)^(AF$5-1)</f>
        <v>371.315</v>
      </c>
      <c r="AG16" s="119" t="n">
        <f aca="false">Inputs!$E$14*(1+Inputs!$E$17)^(AG$5-1)</f>
        <v>371.315</v>
      </c>
      <c r="AH16" s="119" t="n">
        <f aca="false">Inputs!$E$14*(1+Inputs!$E$17)^(AH$5-1)</f>
        <v>371.315</v>
      </c>
      <c r="AI16" s="119" t="n">
        <f aca="false">Inputs!$E$14*(1+Inputs!$E$17)^(AI$5-1)</f>
        <v>371.315</v>
      </c>
      <c r="AJ16" s="119" t="n">
        <f aca="false">Inputs!$E$14*(1+Inputs!$E$17)^(AJ$5-1)</f>
        <v>371.315</v>
      </c>
      <c r="AK16" s="119" t="n">
        <f aca="false">Inputs!$E$14*(1+Inputs!$E$17)^(AK$5-1)</f>
        <v>371.315</v>
      </c>
      <c r="AL16" s="119" t="n">
        <f aca="false">Inputs!$E$14*(1+Inputs!$E$17)^(AL$5-1)</f>
        <v>371.315</v>
      </c>
      <c r="AM16" s="119" t="n">
        <f aca="false">Inputs!$E$14*(1+Inputs!$E$17)^(AM$5-1)</f>
        <v>382.45445</v>
      </c>
      <c r="AN16" s="119" t="n">
        <f aca="false">Inputs!$E$14*(1+Inputs!$E$17)^(AN$5-1)</f>
        <v>382.45445</v>
      </c>
      <c r="AO16" s="119" t="n">
        <f aca="false">Inputs!$E$14*(1+Inputs!$E$17)^(AO$5-1)</f>
        <v>382.45445</v>
      </c>
      <c r="AP16" s="119" t="n">
        <f aca="false">Inputs!$E$14*(1+Inputs!$E$17)^(AP$5-1)</f>
        <v>382.45445</v>
      </c>
      <c r="AQ16" s="119" t="n">
        <f aca="false">Inputs!$E$14*(1+Inputs!$E$17)^(AQ$5-1)</f>
        <v>382.45445</v>
      </c>
      <c r="AR16" s="119" t="n">
        <f aca="false">Inputs!$E$14*(1+Inputs!$E$17)^(AR$5-1)</f>
        <v>382.45445</v>
      </c>
      <c r="AS16" s="119" t="n">
        <f aca="false">Inputs!$E$14*(1+Inputs!$E$17)^(AS$5-1)</f>
        <v>382.45445</v>
      </c>
      <c r="AT16" s="119" t="n">
        <f aca="false">Inputs!$E$14*(1+Inputs!$E$17)^(AT$5-1)</f>
        <v>382.45445</v>
      </c>
      <c r="AU16" s="119" t="n">
        <f aca="false">Inputs!$E$14*(1+Inputs!$E$17)^(AU$5-1)</f>
        <v>382.45445</v>
      </c>
      <c r="AV16" s="119" t="n">
        <f aca="false">Inputs!$E$14*(1+Inputs!$E$17)^(AV$5-1)</f>
        <v>382.45445</v>
      </c>
      <c r="AW16" s="119" t="n">
        <f aca="false">Inputs!$E$14*(1+Inputs!$E$17)^(AW$5-1)</f>
        <v>382.45445</v>
      </c>
      <c r="AX16" s="119" t="n">
        <f aca="false">Inputs!$E$14*(1+Inputs!$E$17)^(AX$5-1)</f>
        <v>382.45445</v>
      </c>
      <c r="AY16" s="119" t="n">
        <f aca="false">Inputs!$E$14*(1+Inputs!$E$17)^(AY$5-1)</f>
        <v>393.9280835</v>
      </c>
      <c r="AZ16" s="119" t="n">
        <f aca="false">Inputs!$E$14*(1+Inputs!$E$17)^(AZ$5-1)</f>
        <v>393.9280835</v>
      </c>
      <c r="BA16" s="119" t="n">
        <f aca="false">Inputs!$E$14*(1+Inputs!$E$17)^(BA$5-1)</f>
        <v>393.9280835</v>
      </c>
      <c r="BB16" s="119" t="n">
        <f aca="false">Inputs!$E$14*(1+Inputs!$E$17)^(BB$5-1)</f>
        <v>393.9280835</v>
      </c>
      <c r="BC16" s="119" t="n">
        <f aca="false">Inputs!$E$14*(1+Inputs!$E$17)^(BC$5-1)</f>
        <v>393.9280835</v>
      </c>
      <c r="BD16" s="119" t="n">
        <f aca="false">Inputs!$E$14*(1+Inputs!$E$17)^(BD$5-1)</f>
        <v>393.9280835</v>
      </c>
      <c r="BE16" s="119" t="n">
        <f aca="false">Inputs!$E$14*(1+Inputs!$E$17)^(BE$5-1)</f>
        <v>393.9280835</v>
      </c>
      <c r="BF16" s="119" t="n">
        <f aca="false">Inputs!$E$14*(1+Inputs!$E$17)^(BF$5-1)</f>
        <v>393.9280835</v>
      </c>
      <c r="BG16" s="119" t="n">
        <f aca="false">Inputs!$E$14*(1+Inputs!$E$17)^(BG$5-1)</f>
        <v>393.9280835</v>
      </c>
      <c r="BH16" s="119" t="n">
        <f aca="false">Inputs!$E$14*(1+Inputs!$E$17)^(BH$5-1)</f>
        <v>393.9280835</v>
      </c>
      <c r="BI16" s="119" t="n">
        <f aca="false">Inputs!$E$14*(1+Inputs!$E$17)^(BI$5-1)</f>
        <v>393.9280835</v>
      </c>
      <c r="BJ16" s="119" t="n">
        <f aca="false">Inputs!$E$14*(1+Inputs!$E$17)^(BJ$5-1)</f>
        <v>393.9280835</v>
      </c>
    </row>
    <row r="17" customFormat="false" ht="15" hidden="false" customHeight="false" outlineLevel="0" collapsed="false">
      <c r="A17" s="6" t="s">
        <v>408</v>
      </c>
      <c r="C17" s="119" t="n">
        <f aca="false">Inputs!$E$15*(1+Inputs!$E$17)^(C$5-1)</f>
        <v>175</v>
      </c>
      <c r="D17" s="119" t="n">
        <f aca="false">Inputs!$E$15*(1+Inputs!$E$17)^(D$5-1)</f>
        <v>175</v>
      </c>
      <c r="E17" s="119" t="n">
        <f aca="false">Inputs!$E$15*(1+Inputs!$E$17)^(E$5-1)</f>
        <v>175</v>
      </c>
      <c r="F17" s="119" t="n">
        <f aca="false">Inputs!$E$15*(1+Inputs!$E$17)^(F$5-1)</f>
        <v>175</v>
      </c>
      <c r="G17" s="119" t="n">
        <f aca="false">Inputs!$E$15*(1+Inputs!$E$17)^(G$5-1)</f>
        <v>175</v>
      </c>
      <c r="H17" s="119" t="n">
        <f aca="false">Inputs!$E$15*(1+Inputs!$E$17)^(H$5-1)</f>
        <v>175</v>
      </c>
      <c r="I17" s="119" t="n">
        <f aca="false">Inputs!$E$15*(1+Inputs!$E$17)^(I$5-1)</f>
        <v>175</v>
      </c>
      <c r="J17" s="119" t="n">
        <f aca="false">Inputs!$E$15*(1+Inputs!$E$17)^(J$5-1)</f>
        <v>175</v>
      </c>
      <c r="K17" s="119" t="n">
        <f aca="false">Inputs!$E$15*(1+Inputs!$E$17)^(K$5-1)</f>
        <v>175</v>
      </c>
      <c r="L17" s="119" t="n">
        <f aca="false">Inputs!$E$15*(1+Inputs!$E$17)^(L$5-1)</f>
        <v>175</v>
      </c>
      <c r="M17" s="119" t="n">
        <f aca="false">Inputs!$E$15*(1+Inputs!$E$17)^(M$5-1)</f>
        <v>175</v>
      </c>
      <c r="N17" s="119" t="n">
        <f aca="false">Inputs!$E$15*(1+Inputs!$E$17)^(N$5-1)</f>
        <v>175</v>
      </c>
      <c r="O17" s="119" t="n">
        <f aca="false">Inputs!$E$15*(1+Inputs!$E$17)^(O$5-1)</f>
        <v>180.25</v>
      </c>
      <c r="P17" s="119" t="n">
        <f aca="false">Inputs!$E$15*(1+Inputs!$E$17)^(P$5-1)</f>
        <v>180.25</v>
      </c>
      <c r="Q17" s="119" t="n">
        <f aca="false">Inputs!$E$15*(1+Inputs!$E$17)^(Q$5-1)</f>
        <v>180.25</v>
      </c>
      <c r="R17" s="119" t="n">
        <f aca="false">Inputs!$E$15*(1+Inputs!$E$17)^(R$5-1)</f>
        <v>180.25</v>
      </c>
      <c r="S17" s="119" t="n">
        <f aca="false">Inputs!$E$15*(1+Inputs!$E$17)^(S$5-1)</f>
        <v>180.25</v>
      </c>
      <c r="T17" s="119" t="n">
        <f aca="false">Inputs!$E$15*(1+Inputs!$E$17)^(T$5-1)</f>
        <v>180.25</v>
      </c>
      <c r="U17" s="119" t="n">
        <f aca="false">Inputs!$E$15*(1+Inputs!$E$17)^(U$5-1)</f>
        <v>180.25</v>
      </c>
      <c r="V17" s="119" t="n">
        <f aca="false">Inputs!$E$15*(1+Inputs!$E$17)^(V$5-1)</f>
        <v>180.25</v>
      </c>
      <c r="W17" s="119" t="n">
        <f aca="false">Inputs!$E$15*(1+Inputs!$E$17)^(W$5-1)</f>
        <v>180.25</v>
      </c>
      <c r="X17" s="119" t="n">
        <f aca="false">Inputs!$E$15*(1+Inputs!$E$17)^(X$5-1)</f>
        <v>180.25</v>
      </c>
      <c r="Y17" s="119" t="n">
        <f aca="false">Inputs!$E$15*(1+Inputs!$E$17)^(Y$5-1)</f>
        <v>180.25</v>
      </c>
      <c r="Z17" s="119" t="n">
        <f aca="false">Inputs!$E$15*(1+Inputs!$E$17)^(Z$5-1)</f>
        <v>180.25</v>
      </c>
      <c r="AA17" s="119" t="n">
        <f aca="false">Inputs!$E$15*(1+Inputs!$E$17)^(AA$5-1)</f>
        <v>185.6575</v>
      </c>
      <c r="AB17" s="119" t="n">
        <f aca="false">Inputs!$E$15*(1+Inputs!$E$17)^(AB$5-1)</f>
        <v>185.6575</v>
      </c>
      <c r="AC17" s="119" t="n">
        <f aca="false">Inputs!$E$15*(1+Inputs!$E$17)^(AC$5-1)</f>
        <v>185.6575</v>
      </c>
      <c r="AD17" s="119" t="n">
        <f aca="false">Inputs!$E$15*(1+Inputs!$E$17)^(AD$5-1)</f>
        <v>185.6575</v>
      </c>
      <c r="AE17" s="119" t="n">
        <f aca="false">Inputs!$E$15*(1+Inputs!$E$17)^(AE$5-1)</f>
        <v>185.6575</v>
      </c>
      <c r="AF17" s="119" t="n">
        <f aca="false">Inputs!$E$15*(1+Inputs!$E$17)^(AF$5-1)</f>
        <v>185.6575</v>
      </c>
      <c r="AG17" s="119" t="n">
        <f aca="false">Inputs!$E$15*(1+Inputs!$E$17)^(AG$5-1)</f>
        <v>185.6575</v>
      </c>
      <c r="AH17" s="119" t="n">
        <f aca="false">Inputs!$E$15*(1+Inputs!$E$17)^(AH$5-1)</f>
        <v>185.6575</v>
      </c>
      <c r="AI17" s="119" t="n">
        <f aca="false">Inputs!$E$15*(1+Inputs!$E$17)^(AI$5-1)</f>
        <v>185.6575</v>
      </c>
      <c r="AJ17" s="119" t="n">
        <f aca="false">Inputs!$E$15*(1+Inputs!$E$17)^(AJ$5-1)</f>
        <v>185.6575</v>
      </c>
      <c r="AK17" s="119" t="n">
        <f aca="false">Inputs!$E$15*(1+Inputs!$E$17)^(AK$5-1)</f>
        <v>185.6575</v>
      </c>
      <c r="AL17" s="119" t="n">
        <f aca="false">Inputs!$E$15*(1+Inputs!$E$17)^(AL$5-1)</f>
        <v>185.6575</v>
      </c>
      <c r="AM17" s="119" t="n">
        <f aca="false">Inputs!$E$15*(1+Inputs!$E$17)^(AM$5-1)</f>
        <v>191.227225</v>
      </c>
      <c r="AN17" s="119" t="n">
        <f aca="false">Inputs!$E$15*(1+Inputs!$E$17)^(AN$5-1)</f>
        <v>191.227225</v>
      </c>
      <c r="AO17" s="119" t="n">
        <f aca="false">Inputs!$E$15*(1+Inputs!$E$17)^(AO$5-1)</f>
        <v>191.227225</v>
      </c>
      <c r="AP17" s="119" t="n">
        <f aca="false">Inputs!$E$15*(1+Inputs!$E$17)^(AP$5-1)</f>
        <v>191.227225</v>
      </c>
      <c r="AQ17" s="119" t="n">
        <f aca="false">Inputs!$E$15*(1+Inputs!$E$17)^(AQ$5-1)</f>
        <v>191.227225</v>
      </c>
      <c r="AR17" s="119" t="n">
        <f aca="false">Inputs!$E$15*(1+Inputs!$E$17)^(AR$5-1)</f>
        <v>191.227225</v>
      </c>
      <c r="AS17" s="119" t="n">
        <f aca="false">Inputs!$E$15*(1+Inputs!$E$17)^(AS$5-1)</f>
        <v>191.227225</v>
      </c>
      <c r="AT17" s="119" t="n">
        <f aca="false">Inputs!$E$15*(1+Inputs!$E$17)^(AT$5-1)</f>
        <v>191.227225</v>
      </c>
      <c r="AU17" s="119" t="n">
        <f aca="false">Inputs!$E$15*(1+Inputs!$E$17)^(AU$5-1)</f>
        <v>191.227225</v>
      </c>
      <c r="AV17" s="119" t="n">
        <f aca="false">Inputs!$E$15*(1+Inputs!$E$17)^(AV$5-1)</f>
        <v>191.227225</v>
      </c>
      <c r="AW17" s="119" t="n">
        <f aca="false">Inputs!$E$15*(1+Inputs!$E$17)^(AW$5-1)</f>
        <v>191.227225</v>
      </c>
      <c r="AX17" s="119" t="n">
        <f aca="false">Inputs!$E$15*(1+Inputs!$E$17)^(AX$5-1)</f>
        <v>191.227225</v>
      </c>
      <c r="AY17" s="119" t="n">
        <f aca="false">Inputs!$E$15*(1+Inputs!$E$17)^(AY$5-1)</f>
        <v>196.96404175</v>
      </c>
      <c r="AZ17" s="119" t="n">
        <f aca="false">Inputs!$E$15*(1+Inputs!$E$17)^(AZ$5-1)</f>
        <v>196.96404175</v>
      </c>
      <c r="BA17" s="119" t="n">
        <f aca="false">Inputs!$E$15*(1+Inputs!$E$17)^(BA$5-1)</f>
        <v>196.96404175</v>
      </c>
      <c r="BB17" s="119" t="n">
        <f aca="false">Inputs!$E$15*(1+Inputs!$E$17)^(BB$5-1)</f>
        <v>196.96404175</v>
      </c>
      <c r="BC17" s="119" t="n">
        <f aca="false">Inputs!$E$15*(1+Inputs!$E$17)^(BC$5-1)</f>
        <v>196.96404175</v>
      </c>
      <c r="BD17" s="119" t="n">
        <f aca="false">Inputs!$E$15*(1+Inputs!$E$17)^(BD$5-1)</f>
        <v>196.96404175</v>
      </c>
      <c r="BE17" s="119" t="n">
        <f aca="false">Inputs!$E$15*(1+Inputs!$E$17)^(BE$5-1)</f>
        <v>196.96404175</v>
      </c>
      <c r="BF17" s="119" t="n">
        <f aca="false">Inputs!$E$15*(1+Inputs!$E$17)^(BF$5-1)</f>
        <v>196.96404175</v>
      </c>
      <c r="BG17" s="119" t="n">
        <f aca="false">Inputs!$E$15*(1+Inputs!$E$17)^(BG$5-1)</f>
        <v>196.96404175</v>
      </c>
      <c r="BH17" s="119" t="n">
        <f aca="false">Inputs!$E$15*(1+Inputs!$E$17)^(BH$5-1)</f>
        <v>196.96404175</v>
      </c>
      <c r="BI17" s="119" t="n">
        <f aca="false">Inputs!$E$15*(1+Inputs!$E$17)^(BI$5-1)</f>
        <v>196.96404175</v>
      </c>
      <c r="BJ17" s="119" t="n">
        <f aca="false">Inputs!$E$15*(1+Inputs!$E$17)^(BJ$5-1)</f>
        <v>196.96404175</v>
      </c>
    </row>
    <row r="18" customFormat="false" ht="15" hidden="false" customHeight="false" outlineLevel="0" collapsed="false">
      <c r="A18" s="6" t="s">
        <v>409</v>
      </c>
      <c r="C18" s="119" t="n">
        <f aca="false">Inputs!$E$16*(1+Inputs!$E$17)^(C$5-1)</f>
        <v>150</v>
      </c>
      <c r="D18" s="119" t="n">
        <f aca="false">Inputs!$E$16*(1+Inputs!$E$17)^(D$5-1)</f>
        <v>150</v>
      </c>
      <c r="E18" s="119" t="n">
        <f aca="false">Inputs!$E$16*(1+Inputs!$E$17)^(E$5-1)</f>
        <v>150</v>
      </c>
      <c r="F18" s="119" t="n">
        <f aca="false">Inputs!$E$16*(1+Inputs!$E$17)^(F$5-1)</f>
        <v>150</v>
      </c>
      <c r="G18" s="119" t="n">
        <f aca="false">Inputs!$E$16*(1+Inputs!$E$17)^(G$5-1)</f>
        <v>150</v>
      </c>
      <c r="H18" s="119" t="n">
        <f aca="false">Inputs!$E$16*(1+Inputs!$E$17)^(H$5-1)</f>
        <v>150</v>
      </c>
      <c r="I18" s="119" t="n">
        <f aca="false">Inputs!$E$16*(1+Inputs!$E$17)^(I$5-1)</f>
        <v>150</v>
      </c>
      <c r="J18" s="119" t="n">
        <f aca="false">Inputs!$E$16*(1+Inputs!$E$17)^(J$5-1)</f>
        <v>150</v>
      </c>
      <c r="K18" s="119" t="n">
        <f aca="false">Inputs!$E$16*(1+Inputs!$E$17)^(K$5-1)</f>
        <v>150</v>
      </c>
      <c r="L18" s="119" t="n">
        <f aca="false">Inputs!$E$16*(1+Inputs!$E$17)^(L$5-1)</f>
        <v>150</v>
      </c>
      <c r="M18" s="119" t="n">
        <f aca="false">Inputs!$E$16*(1+Inputs!$E$17)^(M$5-1)</f>
        <v>150</v>
      </c>
      <c r="N18" s="119" t="n">
        <f aca="false">Inputs!$E$16*(1+Inputs!$E$17)^(N$5-1)</f>
        <v>150</v>
      </c>
      <c r="O18" s="119" t="n">
        <f aca="false">Inputs!$E$16*(1+Inputs!$E$17)^(O$5-1)</f>
        <v>154.5</v>
      </c>
      <c r="P18" s="119" t="n">
        <f aca="false">Inputs!$E$16*(1+Inputs!$E$17)^(P$5-1)</f>
        <v>154.5</v>
      </c>
      <c r="Q18" s="119" t="n">
        <f aca="false">Inputs!$E$16*(1+Inputs!$E$17)^(Q$5-1)</f>
        <v>154.5</v>
      </c>
      <c r="R18" s="119" t="n">
        <f aca="false">Inputs!$E$16*(1+Inputs!$E$17)^(R$5-1)</f>
        <v>154.5</v>
      </c>
      <c r="S18" s="119" t="n">
        <f aca="false">Inputs!$E$16*(1+Inputs!$E$17)^(S$5-1)</f>
        <v>154.5</v>
      </c>
      <c r="T18" s="119" t="n">
        <f aca="false">Inputs!$E$16*(1+Inputs!$E$17)^(T$5-1)</f>
        <v>154.5</v>
      </c>
      <c r="U18" s="119" t="n">
        <f aca="false">Inputs!$E$16*(1+Inputs!$E$17)^(U$5-1)</f>
        <v>154.5</v>
      </c>
      <c r="V18" s="119" t="n">
        <f aca="false">Inputs!$E$16*(1+Inputs!$E$17)^(V$5-1)</f>
        <v>154.5</v>
      </c>
      <c r="W18" s="119" t="n">
        <f aca="false">Inputs!$E$16*(1+Inputs!$E$17)^(W$5-1)</f>
        <v>154.5</v>
      </c>
      <c r="X18" s="119" t="n">
        <f aca="false">Inputs!$E$16*(1+Inputs!$E$17)^(X$5-1)</f>
        <v>154.5</v>
      </c>
      <c r="Y18" s="119" t="n">
        <f aca="false">Inputs!$E$16*(1+Inputs!$E$17)^(Y$5-1)</f>
        <v>154.5</v>
      </c>
      <c r="Z18" s="119" t="n">
        <f aca="false">Inputs!$E$16*(1+Inputs!$E$17)^(Z$5-1)</f>
        <v>154.5</v>
      </c>
      <c r="AA18" s="119" t="n">
        <f aca="false">Inputs!$E$16*(1+Inputs!$E$17)^(AA$5-1)</f>
        <v>159.135</v>
      </c>
      <c r="AB18" s="119" t="n">
        <f aca="false">Inputs!$E$16*(1+Inputs!$E$17)^(AB$5-1)</f>
        <v>159.135</v>
      </c>
      <c r="AC18" s="119" t="n">
        <f aca="false">Inputs!$E$16*(1+Inputs!$E$17)^(AC$5-1)</f>
        <v>159.135</v>
      </c>
      <c r="AD18" s="119" t="n">
        <f aca="false">Inputs!$E$16*(1+Inputs!$E$17)^(AD$5-1)</f>
        <v>159.135</v>
      </c>
      <c r="AE18" s="119" t="n">
        <f aca="false">Inputs!$E$16*(1+Inputs!$E$17)^(AE$5-1)</f>
        <v>159.135</v>
      </c>
      <c r="AF18" s="119" t="n">
        <f aca="false">Inputs!$E$16*(1+Inputs!$E$17)^(AF$5-1)</f>
        <v>159.135</v>
      </c>
      <c r="AG18" s="119" t="n">
        <f aca="false">Inputs!$E$16*(1+Inputs!$E$17)^(AG$5-1)</f>
        <v>159.135</v>
      </c>
      <c r="AH18" s="119" t="n">
        <f aca="false">Inputs!$E$16*(1+Inputs!$E$17)^(AH$5-1)</f>
        <v>159.135</v>
      </c>
      <c r="AI18" s="119" t="n">
        <f aca="false">Inputs!$E$16*(1+Inputs!$E$17)^(AI$5-1)</f>
        <v>159.135</v>
      </c>
      <c r="AJ18" s="119" t="n">
        <f aca="false">Inputs!$E$16*(1+Inputs!$E$17)^(AJ$5-1)</f>
        <v>159.135</v>
      </c>
      <c r="AK18" s="119" t="n">
        <f aca="false">Inputs!$E$16*(1+Inputs!$E$17)^(AK$5-1)</f>
        <v>159.135</v>
      </c>
      <c r="AL18" s="119" t="n">
        <f aca="false">Inputs!$E$16*(1+Inputs!$E$17)^(AL$5-1)</f>
        <v>159.135</v>
      </c>
      <c r="AM18" s="119" t="n">
        <f aca="false">Inputs!$E$16*(1+Inputs!$E$17)^(AM$5-1)</f>
        <v>163.90905</v>
      </c>
      <c r="AN18" s="119" t="n">
        <f aca="false">Inputs!$E$16*(1+Inputs!$E$17)^(AN$5-1)</f>
        <v>163.90905</v>
      </c>
      <c r="AO18" s="119" t="n">
        <f aca="false">Inputs!$E$16*(1+Inputs!$E$17)^(AO$5-1)</f>
        <v>163.90905</v>
      </c>
      <c r="AP18" s="119" t="n">
        <f aca="false">Inputs!$E$16*(1+Inputs!$E$17)^(AP$5-1)</f>
        <v>163.90905</v>
      </c>
      <c r="AQ18" s="119" t="n">
        <f aca="false">Inputs!$E$16*(1+Inputs!$E$17)^(AQ$5-1)</f>
        <v>163.90905</v>
      </c>
      <c r="AR18" s="119" t="n">
        <f aca="false">Inputs!$E$16*(1+Inputs!$E$17)^(AR$5-1)</f>
        <v>163.90905</v>
      </c>
      <c r="AS18" s="119" t="n">
        <f aca="false">Inputs!$E$16*(1+Inputs!$E$17)^(AS$5-1)</f>
        <v>163.90905</v>
      </c>
      <c r="AT18" s="119" t="n">
        <f aca="false">Inputs!$E$16*(1+Inputs!$E$17)^(AT$5-1)</f>
        <v>163.90905</v>
      </c>
      <c r="AU18" s="119" t="n">
        <f aca="false">Inputs!$E$16*(1+Inputs!$E$17)^(AU$5-1)</f>
        <v>163.90905</v>
      </c>
      <c r="AV18" s="119" t="n">
        <f aca="false">Inputs!$E$16*(1+Inputs!$E$17)^(AV$5-1)</f>
        <v>163.90905</v>
      </c>
      <c r="AW18" s="119" t="n">
        <f aca="false">Inputs!$E$16*(1+Inputs!$E$17)^(AW$5-1)</f>
        <v>163.90905</v>
      </c>
      <c r="AX18" s="119" t="n">
        <f aca="false">Inputs!$E$16*(1+Inputs!$E$17)^(AX$5-1)</f>
        <v>163.90905</v>
      </c>
      <c r="AY18" s="119" t="n">
        <f aca="false">Inputs!$E$16*(1+Inputs!$E$17)^(AY$5-1)</f>
        <v>168.8263215</v>
      </c>
      <c r="AZ18" s="119" t="n">
        <f aca="false">Inputs!$E$16*(1+Inputs!$E$17)^(AZ$5-1)</f>
        <v>168.8263215</v>
      </c>
      <c r="BA18" s="119" t="n">
        <f aca="false">Inputs!$E$16*(1+Inputs!$E$17)^(BA$5-1)</f>
        <v>168.8263215</v>
      </c>
      <c r="BB18" s="119" t="n">
        <f aca="false">Inputs!$E$16*(1+Inputs!$E$17)^(BB$5-1)</f>
        <v>168.8263215</v>
      </c>
      <c r="BC18" s="119" t="n">
        <f aca="false">Inputs!$E$16*(1+Inputs!$E$17)^(BC$5-1)</f>
        <v>168.8263215</v>
      </c>
      <c r="BD18" s="119" t="n">
        <f aca="false">Inputs!$E$16*(1+Inputs!$E$17)^(BD$5-1)</f>
        <v>168.8263215</v>
      </c>
      <c r="BE18" s="119" t="n">
        <f aca="false">Inputs!$E$16*(1+Inputs!$E$17)^(BE$5-1)</f>
        <v>168.8263215</v>
      </c>
      <c r="BF18" s="119" t="n">
        <f aca="false">Inputs!$E$16*(1+Inputs!$E$17)^(BF$5-1)</f>
        <v>168.8263215</v>
      </c>
      <c r="BG18" s="119" t="n">
        <f aca="false">Inputs!$E$16*(1+Inputs!$E$17)^(BG$5-1)</f>
        <v>168.8263215</v>
      </c>
      <c r="BH18" s="119" t="n">
        <f aca="false">Inputs!$E$16*(1+Inputs!$E$17)^(BH$5-1)</f>
        <v>168.8263215</v>
      </c>
      <c r="BI18" s="119" t="n">
        <f aca="false">Inputs!$E$16*(1+Inputs!$E$17)^(BI$5-1)</f>
        <v>168.8263215</v>
      </c>
      <c r="BJ18" s="119" t="n">
        <f aca="false">Inputs!$E$16*(1+Inputs!$E$17)^(BJ$5-1)</f>
        <v>168.8263215</v>
      </c>
    </row>
    <row r="19" customFormat="false" ht="15" hidden="false" customHeight="false" outlineLevel="0" collapsed="false">
      <c r="A19" s="6" t="s">
        <v>237</v>
      </c>
      <c r="C19" s="67" t="n">
        <f aca="false">C10*C16+C11*C17+C12*C18</f>
        <v>411750</v>
      </c>
      <c r="D19" s="67" t="n">
        <f aca="false">D10*D16+D11*D17+D12*D18</f>
        <v>411750</v>
      </c>
      <c r="E19" s="67" t="n">
        <f aca="false">E10*E16+E11*E17+E12*E18</f>
        <v>411750</v>
      </c>
      <c r="F19" s="67" t="n">
        <f aca="false">F10*F16+F11*F17+F12*F18</f>
        <v>411750</v>
      </c>
      <c r="G19" s="67" t="n">
        <f aca="false">G10*G16+G11*G17+G12*G18</f>
        <v>411750</v>
      </c>
      <c r="H19" s="67" t="n">
        <f aca="false">H10*H16+H11*H17+H12*H18</f>
        <v>411750</v>
      </c>
      <c r="I19" s="67" t="n">
        <f aca="false">I10*I16+I11*I17+I12*I18</f>
        <v>411750</v>
      </c>
      <c r="J19" s="67" t="n">
        <f aca="false">J10*J16+J11*J17+J12*J18</f>
        <v>411750</v>
      </c>
      <c r="K19" s="67" t="n">
        <f aca="false">K10*K16+K11*K17+K12*K18</f>
        <v>411750</v>
      </c>
      <c r="L19" s="67" t="n">
        <f aca="false">L10*L16+L11*L17+L12*L18</f>
        <v>411750</v>
      </c>
      <c r="M19" s="67" t="n">
        <f aca="false">M10*M16+M11*M17+M12*M18</f>
        <v>411750</v>
      </c>
      <c r="N19" s="67" t="n">
        <f aca="false">N10*N16+N11*N17+N12*N18</f>
        <v>411750</v>
      </c>
      <c r="O19" s="67" t="n">
        <f aca="false">O10*O16+O11*O17+O12*O18</f>
        <v>533256.75</v>
      </c>
      <c r="P19" s="67" t="n">
        <f aca="false">P10*P16+P11*P17+P12*P18</f>
        <v>533256.75</v>
      </c>
      <c r="Q19" s="67" t="n">
        <f aca="false">Q10*Q16+Q11*Q17+Q12*Q18</f>
        <v>533256.75</v>
      </c>
      <c r="R19" s="67" t="n">
        <f aca="false">R10*R16+R11*R17+R12*R18</f>
        <v>533256.75</v>
      </c>
      <c r="S19" s="67" t="n">
        <f aca="false">S10*S16+S11*S17+S12*S18</f>
        <v>533256.75</v>
      </c>
      <c r="T19" s="67" t="n">
        <f aca="false">T10*T16+T11*T17+T12*T18</f>
        <v>533256.75</v>
      </c>
      <c r="U19" s="67" t="n">
        <f aca="false">U10*U16+U11*U17+U12*U18</f>
        <v>533256.75</v>
      </c>
      <c r="V19" s="67" t="n">
        <f aca="false">V10*V16+V11*V17+V12*V18</f>
        <v>533256.75</v>
      </c>
      <c r="W19" s="67" t="n">
        <f aca="false">W10*W16+W11*W17+W12*W18</f>
        <v>533256.75</v>
      </c>
      <c r="X19" s="67" t="n">
        <f aca="false">X10*X16+X11*X17+X12*X18</f>
        <v>533256.75</v>
      </c>
      <c r="Y19" s="67" t="n">
        <f aca="false">Y10*Y16+Y11*Y17+Y12*Y18</f>
        <v>533256.75</v>
      </c>
      <c r="Z19" s="67" t="n">
        <f aca="false">Z10*Z16+Z11*Z17+Z12*Z18</f>
        <v>533256.75</v>
      </c>
      <c r="AA19" s="67" t="n">
        <f aca="false">AA10*AA16+AA11*AA17+AA12*AA18</f>
        <v>691688.23425</v>
      </c>
      <c r="AB19" s="67" t="n">
        <f aca="false">AB10*AB16+AB11*AB17+AB12*AB18</f>
        <v>691688.23425</v>
      </c>
      <c r="AC19" s="67" t="n">
        <f aca="false">AC10*AC16+AC11*AC17+AC12*AC18</f>
        <v>691688.23425</v>
      </c>
      <c r="AD19" s="67" t="n">
        <f aca="false">AD10*AD16+AD11*AD17+AD12*AD18</f>
        <v>691688.23425</v>
      </c>
      <c r="AE19" s="67" t="n">
        <f aca="false">AE10*AE16+AE11*AE17+AE12*AE18</f>
        <v>691688.23425</v>
      </c>
      <c r="AF19" s="67" t="n">
        <f aca="false">AF10*AF16+AF11*AF17+AF12*AF18</f>
        <v>691688.23425</v>
      </c>
      <c r="AG19" s="67" t="n">
        <f aca="false">AG10*AG16+AG11*AG17+AG12*AG18</f>
        <v>691688.23425</v>
      </c>
      <c r="AH19" s="67" t="n">
        <f aca="false">AH10*AH16+AH11*AH17+AH12*AH18</f>
        <v>691688.23425</v>
      </c>
      <c r="AI19" s="67" t="n">
        <f aca="false">AI10*AI16+AI11*AI17+AI12*AI18</f>
        <v>691688.23425</v>
      </c>
      <c r="AJ19" s="67" t="n">
        <f aca="false">AJ10*AJ16+AJ11*AJ17+AJ12*AJ18</f>
        <v>691688.23425</v>
      </c>
      <c r="AK19" s="67" t="n">
        <f aca="false">AK10*AK16+AK11*AK17+AK12*AK18</f>
        <v>691688.23425</v>
      </c>
      <c r="AL19" s="67" t="n">
        <f aca="false">AL10*AL16+AL11*AL17+AL12*AL18</f>
        <v>691688.23425</v>
      </c>
      <c r="AM19" s="67" t="n">
        <f aca="false">AM10*AM16+AM11*AM17+AM12*AM18</f>
        <v>898555.14891675</v>
      </c>
      <c r="AN19" s="67" t="n">
        <f aca="false">AN10*AN16+AN11*AN17+AN12*AN18</f>
        <v>898555.14891675</v>
      </c>
      <c r="AO19" s="67" t="n">
        <f aca="false">AO10*AO16+AO11*AO17+AO12*AO18</f>
        <v>898555.14891675</v>
      </c>
      <c r="AP19" s="67" t="n">
        <f aca="false">AP10*AP16+AP11*AP17+AP12*AP18</f>
        <v>898555.14891675</v>
      </c>
      <c r="AQ19" s="67" t="n">
        <f aca="false">AQ10*AQ16+AQ11*AQ17+AQ12*AQ18</f>
        <v>898555.14891675</v>
      </c>
      <c r="AR19" s="67" t="n">
        <f aca="false">AR10*AR16+AR11*AR17+AR12*AR18</f>
        <v>898555.14891675</v>
      </c>
      <c r="AS19" s="67" t="n">
        <f aca="false">AS10*AS16+AS11*AS17+AS12*AS18</f>
        <v>898555.14891675</v>
      </c>
      <c r="AT19" s="67" t="n">
        <f aca="false">AT10*AT16+AT11*AT17+AT12*AT18</f>
        <v>898555.14891675</v>
      </c>
      <c r="AU19" s="67" t="n">
        <f aca="false">AU10*AU16+AU11*AU17+AU12*AU18</f>
        <v>898555.14891675</v>
      </c>
      <c r="AV19" s="67" t="n">
        <f aca="false">AV10*AV16+AV11*AV17+AV12*AV18</f>
        <v>898555.14891675</v>
      </c>
      <c r="AW19" s="67" t="n">
        <f aca="false">AW10*AW16+AW11*AW17+AW12*AW18</f>
        <v>898555.14891675</v>
      </c>
      <c r="AX19" s="67" t="n">
        <f aca="false">AX10*AX16+AX11*AX17+AX12*AX18</f>
        <v>898555.14891675</v>
      </c>
      <c r="AY19" s="67" t="n">
        <f aca="false">AY10*AY16+AY11*AY17+AY12*AY18</f>
        <v>1169032.71402394</v>
      </c>
      <c r="AZ19" s="67" t="n">
        <f aca="false">AZ10*AZ16+AZ11*AZ17+AZ12*AZ18</f>
        <v>1169032.71402394</v>
      </c>
      <c r="BA19" s="67" t="n">
        <f aca="false">BA10*BA16+BA11*BA17+BA12*BA18</f>
        <v>1169032.71402394</v>
      </c>
      <c r="BB19" s="67" t="n">
        <f aca="false">BB10*BB16+BB11*BB17+BB12*BB18</f>
        <v>1169032.71402394</v>
      </c>
      <c r="BC19" s="67" t="n">
        <f aca="false">BC10*BC16+BC11*BC17+BC12*BC18</f>
        <v>1169032.71402394</v>
      </c>
      <c r="BD19" s="67" t="n">
        <f aca="false">BD10*BD16+BD11*BD17+BD12*BD18</f>
        <v>1169032.71402394</v>
      </c>
      <c r="BE19" s="67" t="n">
        <f aca="false">BE10*BE16+BE11*BE17+BE12*BE18</f>
        <v>1169032.71402394</v>
      </c>
      <c r="BF19" s="67" t="n">
        <f aca="false">BF10*BF16+BF11*BF17+BF12*BF18</f>
        <v>1169032.71402394</v>
      </c>
      <c r="BG19" s="67" t="n">
        <f aca="false">BG10*BG16+BG11*BG17+BG12*BG18</f>
        <v>1169032.71402394</v>
      </c>
      <c r="BH19" s="67" t="n">
        <f aca="false">BH10*BH16+BH11*BH17+BH12*BH18</f>
        <v>1169032.71402394</v>
      </c>
      <c r="BI19" s="67" t="n">
        <f aca="false">BI10*BI16+BI11*BI17+BI12*BI18</f>
        <v>1169032.71402394</v>
      </c>
      <c r="BJ19" s="67" t="n">
        <f aca="false">BJ10*BJ16+BJ11*BJ17+BJ12*BJ18</f>
        <v>1169032.71402394</v>
      </c>
    </row>
    <row r="20" customFormat="false" ht="15" hidden="false" customHeight="false" outlineLevel="0" collapsed="false">
      <c r="A20" s="6" t="s">
        <v>239</v>
      </c>
      <c r="C20" s="67" t="n">
        <f aca="false">C19*Inputs!$E$20*(1-Inputs!$E$21)</f>
        <v>148230</v>
      </c>
      <c r="D20" s="67" t="n">
        <f aca="false">D19*Inputs!$E$20*(1-Inputs!$E$21)</f>
        <v>148230</v>
      </c>
      <c r="E20" s="67" t="n">
        <f aca="false">E19*Inputs!$E$20*(1-Inputs!$E$21)</f>
        <v>148230</v>
      </c>
      <c r="F20" s="67" t="n">
        <f aca="false">F19*Inputs!$E$20*(1-Inputs!$E$21)</f>
        <v>148230</v>
      </c>
      <c r="G20" s="67" t="n">
        <f aca="false">G19*Inputs!$E$20*(1-Inputs!$E$21)</f>
        <v>148230</v>
      </c>
      <c r="H20" s="67" t="n">
        <f aca="false">H19*Inputs!$E$20*(1-Inputs!$E$21)</f>
        <v>148230</v>
      </c>
      <c r="I20" s="67" t="n">
        <f aca="false">I19*Inputs!$E$20*(1-Inputs!$E$21)</f>
        <v>148230</v>
      </c>
      <c r="J20" s="67" t="n">
        <f aca="false">J19*Inputs!$E$20*(1-Inputs!$E$21)</f>
        <v>148230</v>
      </c>
      <c r="K20" s="67" t="n">
        <f aca="false">K19*Inputs!$E$20*(1-Inputs!$E$21)</f>
        <v>148230</v>
      </c>
      <c r="L20" s="67" t="n">
        <f aca="false">L19*Inputs!$E$20*(1-Inputs!$E$21)</f>
        <v>148230</v>
      </c>
      <c r="M20" s="67" t="n">
        <f aca="false">M19*Inputs!$E$20*(1-Inputs!$E$21)</f>
        <v>148230</v>
      </c>
      <c r="N20" s="67" t="n">
        <f aca="false">N19*Inputs!$E$20*(1-Inputs!$E$21)</f>
        <v>148230</v>
      </c>
      <c r="O20" s="67" t="n">
        <f aca="false">O19*Inputs!$E$20*(1-Inputs!$E$21)</f>
        <v>191972.43</v>
      </c>
      <c r="P20" s="67" t="n">
        <f aca="false">P19*Inputs!$E$20*(1-Inputs!$E$21)</f>
        <v>191972.43</v>
      </c>
      <c r="Q20" s="67" t="n">
        <f aca="false">Q19*Inputs!$E$20*(1-Inputs!$E$21)</f>
        <v>191972.43</v>
      </c>
      <c r="R20" s="67" t="n">
        <f aca="false">R19*Inputs!$E$20*(1-Inputs!$E$21)</f>
        <v>191972.43</v>
      </c>
      <c r="S20" s="67" t="n">
        <f aca="false">S19*Inputs!$E$20*(1-Inputs!$E$21)</f>
        <v>191972.43</v>
      </c>
      <c r="T20" s="67" t="n">
        <f aca="false">T19*Inputs!$E$20*(1-Inputs!$E$21)</f>
        <v>191972.43</v>
      </c>
      <c r="U20" s="67" t="n">
        <f aca="false">U19*Inputs!$E$20*(1-Inputs!$E$21)</f>
        <v>191972.43</v>
      </c>
      <c r="V20" s="67" t="n">
        <f aca="false">V19*Inputs!$E$20*(1-Inputs!$E$21)</f>
        <v>191972.43</v>
      </c>
      <c r="W20" s="67" t="n">
        <f aca="false">W19*Inputs!$E$20*(1-Inputs!$E$21)</f>
        <v>191972.43</v>
      </c>
      <c r="X20" s="67" t="n">
        <f aca="false">X19*Inputs!$E$20*(1-Inputs!$E$21)</f>
        <v>191972.43</v>
      </c>
      <c r="Y20" s="67" t="n">
        <f aca="false">Y19*Inputs!$E$20*(1-Inputs!$E$21)</f>
        <v>191972.43</v>
      </c>
      <c r="Z20" s="67" t="n">
        <f aca="false">Z19*Inputs!$E$20*(1-Inputs!$E$21)</f>
        <v>191972.43</v>
      </c>
      <c r="AA20" s="67" t="n">
        <f aca="false">AA19*Inputs!$E$20*(1-Inputs!$E$21)</f>
        <v>249007.76433</v>
      </c>
      <c r="AB20" s="67" t="n">
        <f aca="false">AB19*Inputs!$E$20*(1-Inputs!$E$21)</f>
        <v>249007.76433</v>
      </c>
      <c r="AC20" s="67" t="n">
        <f aca="false">AC19*Inputs!$E$20*(1-Inputs!$E$21)</f>
        <v>249007.76433</v>
      </c>
      <c r="AD20" s="67" t="n">
        <f aca="false">AD19*Inputs!$E$20*(1-Inputs!$E$21)</f>
        <v>249007.76433</v>
      </c>
      <c r="AE20" s="67" t="n">
        <f aca="false">AE19*Inputs!$E$20*(1-Inputs!$E$21)</f>
        <v>249007.76433</v>
      </c>
      <c r="AF20" s="67" t="n">
        <f aca="false">AF19*Inputs!$E$20*(1-Inputs!$E$21)</f>
        <v>249007.76433</v>
      </c>
      <c r="AG20" s="67" t="n">
        <f aca="false">AG19*Inputs!$E$20*(1-Inputs!$E$21)</f>
        <v>249007.76433</v>
      </c>
      <c r="AH20" s="67" t="n">
        <f aca="false">AH19*Inputs!$E$20*(1-Inputs!$E$21)</f>
        <v>249007.76433</v>
      </c>
      <c r="AI20" s="67" t="n">
        <f aca="false">AI19*Inputs!$E$20*(1-Inputs!$E$21)</f>
        <v>249007.76433</v>
      </c>
      <c r="AJ20" s="67" t="n">
        <f aca="false">AJ19*Inputs!$E$20*(1-Inputs!$E$21)</f>
        <v>249007.76433</v>
      </c>
      <c r="AK20" s="67" t="n">
        <f aca="false">AK19*Inputs!$E$20*(1-Inputs!$E$21)</f>
        <v>249007.76433</v>
      </c>
      <c r="AL20" s="67" t="n">
        <f aca="false">AL19*Inputs!$E$20*(1-Inputs!$E$21)</f>
        <v>249007.76433</v>
      </c>
      <c r="AM20" s="67" t="n">
        <f aca="false">AM19*Inputs!$E$20*(1-Inputs!$E$21)</f>
        <v>323479.85361003</v>
      </c>
      <c r="AN20" s="67" t="n">
        <f aca="false">AN19*Inputs!$E$20*(1-Inputs!$E$21)</f>
        <v>323479.85361003</v>
      </c>
      <c r="AO20" s="67" t="n">
        <f aca="false">AO19*Inputs!$E$20*(1-Inputs!$E$21)</f>
        <v>323479.85361003</v>
      </c>
      <c r="AP20" s="67" t="n">
        <f aca="false">AP19*Inputs!$E$20*(1-Inputs!$E$21)</f>
        <v>323479.85361003</v>
      </c>
      <c r="AQ20" s="67" t="n">
        <f aca="false">AQ19*Inputs!$E$20*(1-Inputs!$E$21)</f>
        <v>323479.85361003</v>
      </c>
      <c r="AR20" s="67" t="n">
        <f aca="false">AR19*Inputs!$E$20*(1-Inputs!$E$21)</f>
        <v>323479.85361003</v>
      </c>
      <c r="AS20" s="67" t="n">
        <f aca="false">AS19*Inputs!$E$20*(1-Inputs!$E$21)</f>
        <v>323479.85361003</v>
      </c>
      <c r="AT20" s="67" t="n">
        <f aca="false">AT19*Inputs!$E$20*(1-Inputs!$E$21)</f>
        <v>323479.85361003</v>
      </c>
      <c r="AU20" s="67" t="n">
        <f aca="false">AU19*Inputs!$E$20*(1-Inputs!$E$21)</f>
        <v>323479.85361003</v>
      </c>
      <c r="AV20" s="67" t="n">
        <f aca="false">AV19*Inputs!$E$20*(1-Inputs!$E$21)</f>
        <v>323479.85361003</v>
      </c>
      <c r="AW20" s="67" t="n">
        <f aca="false">AW19*Inputs!$E$20*(1-Inputs!$E$21)</f>
        <v>323479.85361003</v>
      </c>
      <c r="AX20" s="67" t="n">
        <f aca="false">AX19*Inputs!$E$20*(1-Inputs!$E$21)</f>
        <v>323479.85361003</v>
      </c>
      <c r="AY20" s="67" t="n">
        <f aca="false">AY19*Inputs!$E$20*(1-Inputs!$E$21)</f>
        <v>420851.77704862</v>
      </c>
      <c r="AZ20" s="67" t="n">
        <f aca="false">AZ19*Inputs!$E$20*(1-Inputs!$E$21)</f>
        <v>420851.77704862</v>
      </c>
      <c r="BA20" s="67" t="n">
        <f aca="false">BA19*Inputs!$E$20*(1-Inputs!$E$21)</f>
        <v>420851.77704862</v>
      </c>
      <c r="BB20" s="67" t="n">
        <f aca="false">BB19*Inputs!$E$20*(1-Inputs!$E$21)</f>
        <v>420851.77704862</v>
      </c>
      <c r="BC20" s="67" t="n">
        <f aca="false">BC19*Inputs!$E$20*(1-Inputs!$E$21)</f>
        <v>420851.77704862</v>
      </c>
      <c r="BD20" s="67" t="n">
        <f aca="false">BD19*Inputs!$E$20*(1-Inputs!$E$21)</f>
        <v>420851.77704862</v>
      </c>
      <c r="BE20" s="67" t="n">
        <f aca="false">BE19*Inputs!$E$20*(1-Inputs!$E$21)</f>
        <v>420851.77704862</v>
      </c>
      <c r="BF20" s="67" t="n">
        <f aca="false">BF19*Inputs!$E$20*(1-Inputs!$E$21)</f>
        <v>420851.77704862</v>
      </c>
      <c r="BG20" s="67" t="n">
        <f aca="false">BG19*Inputs!$E$20*(1-Inputs!$E$21)</f>
        <v>420851.77704862</v>
      </c>
      <c r="BH20" s="67" t="n">
        <f aca="false">BH19*Inputs!$E$20*(1-Inputs!$E$21)</f>
        <v>420851.77704862</v>
      </c>
      <c r="BI20" s="67" t="n">
        <f aca="false">BI19*Inputs!$E$20*(1-Inputs!$E$21)</f>
        <v>420851.77704862</v>
      </c>
      <c r="BJ20" s="67" t="n">
        <f aca="false">BJ19*Inputs!$E$20*(1-Inputs!$E$21)</f>
        <v>420851.77704862</v>
      </c>
    </row>
    <row r="21" customFormat="false" ht="15" hidden="false" customHeight="false" outlineLevel="0" collapsed="false">
      <c r="A21" s="6" t="s">
        <v>410</v>
      </c>
      <c r="C21" s="67" t="n">
        <f aca="false">C19*(1-Inputs!$E$20)*Inputs!$E$22</f>
        <v>227286</v>
      </c>
      <c r="D21" s="67" t="n">
        <f aca="false">D19*(1-Inputs!$E$20)*Inputs!$E$22</f>
        <v>227286</v>
      </c>
      <c r="E21" s="67" t="n">
        <f aca="false">E19*(1-Inputs!$E$20)*Inputs!$E$22</f>
        <v>227286</v>
      </c>
      <c r="F21" s="67" t="n">
        <f aca="false">F19*(1-Inputs!$E$20)*Inputs!$E$22</f>
        <v>227286</v>
      </c>
      <c r="G21" s="67" t="n">
        <f aca="false">G19*(1-Inputs!$E$20)*Inputs!$E$22</f>
        <v>227286</v>
      </c>
      <c r="H21" s="67" t="n">
        <f aca="false">H19*(1-Inputs!$E$20)*Inputs!$E$22</f>
        <v>227286</v>
      </c>
      <c r="I21" s="67" t="n">
        <f aca="false">I19*(1-Inputs!$E$20)*Inputs!$E$22</f>
        <v>227286</v>
      </c>
      <c r="J21" s="67" t="n">
        <f aca="false">J19*(1-Inputs!$E$20)*Inputs!$E$22</f>
        <v>227286</v>
      </c>
      <c r="K21" s="67" t="n">
        <f aca="false">K19*(1-Inputs!$E$20)*Inputs!$E$22</f>
        <v>227286</v>
      </c>
      <c r="L21" s="67" t="n">
        <f aca="false">L19*(1-Inputs!$E$20)*Inputs!$E$22</f>
        <v>227286</v>
      </c>
      <c r="M21" s="67" t="n">
        <f aca="false">M19*(1-Inputs!$E$20)*Inputs!$E$22</f>
        <v>227286</v>
      </c>
      <c r="N21" s="67" t="n">
        <f aca="false">N19*(1-Inputs!$E$20)*Inputs!$E$22</f>
        <v>227286</v>
      </c>
      <c r="O21" s="67" t="n">
        <f aca="false">O19*(1-Inputs!$E$20)*Inputs!$E$22</f>
        <v>294357.726</v>
      </c>
      <c r="P21" s="67" t="n">
        <f aca="false">P19*(1-Inputs!$E$20)*Inputs!$E$22</f>
        <v>294357.726</v>
      </c>
      <c r="Q21" s="67" t="n">
        <f aca="false">Q19*(1-Inputs!$E$20)*Inputs!$E$22</f>
        <v>294357.726</v>
      </c>
      <c r="R21" s="67" t="n">
        <f aca="false">R19*(1-Inputs!$E$20)*Inputs!$E$22</f>
        <v>294357.726</v>
      </c>
      <c r="S21" s="67" t="n">
        <f aca="false">S19*(1-Inputs!$E$20)*Inputs!$E$22</f>
        <v>294357.726</v>
      </c>
      <c r="T21" s="67" t="n">
        <f aca="false">T19*(1-Inputs!$E$20)*Inputs!$E$22</f>
        <v>294357.726</v>
      </c>
      <c r="U21" s="67" t="n">
        <f aca="false">U19*(1-Inputs!$E$20)*Inputs!$E$22</f>
        <v>294357.726</v>
      </c>
      <c r="V21" s="67" t="n">
        <f aca="false">V19*(1-Inputs!$E$20)*Inputs!$E$22</f>
        <v>294357.726</v>
      </c>
      <c r="W21" s="67" t="n">
        <f aca="false">W19*(1-Inputs!$E$20)*Inputs!$E$22</f>
        <v>294357.726</v>
      </c>
      <c r="X21" s="67" t="n">
        <f aca="false">X19*(1-Inputs!$E$20)*Inputs!$E$22</f>
        <v>294357.726</v>
      </c>
      <c r="Y21" s="67" t="n">
        <f aca="false">Y19*(1-Inputs!$E$20)*Inputs!$E$22</f>
        <v>294357.726</v>
      </c>
      <c r="Z21" s="67" t="n">
        <f aca="false">Z19*(1-Inputs!$E$20)*Inputs!$E$22</f>
        <v>294357.726</v>
      </c>
      <c r="AA21" s="67" t="n">
        <f aca="false">AA19*(1-Inputs!$E$20)*Inputs!$E$22</f>
        <v>381811.905306</v>
      </c>
      <c r="AB21" s="67" t="n">
        <f aca="false">AB19*(1-Inputs!$E$20)*Inputs!$E$22</f>
        <v>381811.905306</v>
      </c>
      <c r="AC21" s="67" t="n">
        <f aca="false">AC19*(1-Inputs!$E$20)*Inputs!$E$22</f>
        <v>381811.905306</v>
      </c>
      <c r="AD21" s="67" t="n">
        <f aca="false">AD19*(1-Inputs!$E$20)*Inputs!$E$22</f>
        <v>381811.905306</v>
      </c>
      <c r="AE21" s="67" t="n">
        <f aca="false">AE19*(1-Inputs!$E$20)*Inputs!$E$22</f>
        <v>381811.905306</v>
      </c>
      <c r="AF21" s="67" t="n">
        <f aca="false">AF19*(1-Inputs!$E$20)*Inputs!$E$22</f>
        <v>381811.905306</v>
      </c>
      <c r="AG21" s="67" t="n">
        <f aca="false">AG19*(1-Inputs!$E$20)*Inputs!$E$22</f>
        <v>381811.905306</v>
      </c>
      <c r="AH21" s="67" t="n">
        <f aca="false">AH19*(1-Inputs!$E$20)*Inputs!$E$22</f>
        <v>381811.905306</v>
      </c>
      <c r="AI21" s="67" t="n">
        <f aca="false">AI19*(1-Inputs!$E$20)*Inputs!$E$22</f>
        <v>381811.905306</v>
      </c>
      <c r="AJ21" s="67" t="n">
        <f aca="false">AJ19*(1-Inputs!$E$20)*Inputs!$E$22</f>
        <v>381811.905306</v>
      </c>
      <c r="AK21" s="67" t="n">
        <f aca="false">AK19*(1-Inputs!$E$20)*Inputs!$E$22</f>
        <v>381811.905306</v>
      </c>
      <c r="AL21" s="67" t="n">
        <f aca="false">AL19*(1-Inputs!$E$20)*Inputs!$E$22</f>
        <v>381811.905306</v>
      </c>
      <c r="AM21" s="67" t="n">
        <f aca="false">AM19*(1-Inputs!$E$20)*Inputs!$E$22</f>
        <v>496002.442202046</v>
      </c>
      <c r="AN21" s="67" t="n">
        <f aca="false">AN19*(1-Inputs!$E$20)*Inputs!$E$22</f>
        <v>496002.442202046</v>
      </c>
      <c r="AO21" s="67" t="n">
        <f aca="false">AO19*(1-Inputs!$E$20)*Inputs!$E$22</f>
        <v>496002.442202046</v>
      </c>
      <c r="AP21" s="67" t="n">
        <f aca="false">AP19*(1-Inputs!$E$20)*Inputs!$E$22</f>
        <v>496002.442202046</v>
      </c>
      <c r="AQ21" s="67" t="n">
        <f aca="false">AQ19*(1-Inputs!$E$20)*Inputs!$E$22</f>
        <v>496002.442202046</v>
      </c>
      <c r="AR21" s="67" t="n">
        <f aca="false">AR19*(1-Inputs!$E$20)*Inputs!$E$22</f>
        <v>496002.442202046</v>
      </c>
      <c r="AS21" s="67" t="n">
        <f aca="false">AS19*(1-Inputs!$E$20)*Inputs!$E$22</f>
        <v>496002.442202046</v>
      </c>
      <c r="AT21" s="67" t="n">
        <f aca="false">AT19*(1-Inputs!$E$20)*Inputs!$E$22</f>
        <v>496002.442202046</v>
      </c>
      <c r="AU21" s="67" t="n">
        <f aca="false">AU19*(1-Inputs!$E$20)*Inputs!$E$22</f>
        <v>496002.442202046</v>
      </c>
      <c r="AV21" s="67" t="n">
        <f aca="false">AV19*(1-Inputs!$E$20)*Inputs!$E$22</f>
        <v>496002.442202046</v>
      </c>
      <c r="AW21" s="67" t="n">
        <f aca="false">AW19*(1-Inputs!$E$20)*Inputs!$E$22</f>
        <v>496002.442202046</v>
      </c>
      <c r="AX21" s="67" t="n">
        <f aca="false">AX19*(1-Inputs!$E$20)*Inputs!$E$22</f>
        <v>496002.442202046</v>
      </c>
      <c r="AY21" s="67" t="n">
        <f aca="false">AY19*(1-Inputs!$E$20)*Inputs!$E$22</f>
        <v>645306.058141218</v>
      </c>
      <c r="AZ21" s="67" t="n">
        <f aca="false">AZ19*(1-Inputs!$E$20)*Inputs!$E$22</f>
        <v>645306.058141218</v>
      </c>
      <c r="BA21" s="67" t="n">
        <f aca="false">BA19*(1-Inputs!$E$20)*Inputs!$E$22</f>
        <v>645306.058141218</v>
      </c>
      <c r="BB21" s="67" t="n">
        <f aca="false">BB19*(1-Inputs!$E$20)*Inputs!$E$22</f>
        <v>645306.058141218</v>
      </c>
      <c r="BC21" s="67" t="n">
        <f aca="false">BC19*(1-Inputs!$E$20)*Inputs!$E$22</f>
        <v>645306.058141218</v>
      </c>
      <c r="BD21" s="67" t="n">
        <f aca="false">BD19*(1-Inputs!$E$20)*Inputs!$E$22</f>
        <v>645306.058141218</v>
      </c>
      <c r="BE21" s="67" t="n">
        <f aca="false">BE19*(1-Inputs!$E$20)*Inputs!$E$22</f>
        <v>645306.058141218</v>
      </c>
      <c r="BF21" s="67" t="n">
        <f aca="false">BF19*(1-Inputs!$E$20)*Inputs!$E$22</f>
        <v>645306.058141218</v>
      </c>
      <c r="BG21" s="67" t="n">
        <f aca="false">BG19*(1-Inputs!$E$20)*Inputs!$E$22</f>
        <v>645306.058141218</v>
      </c>
      <c r="BH21" s="67" t="n">
        <f aca="false">BH19*(1-Inputs!$E$20)*Inputs!$E$22</f>
        <v>645306.058141218</v>
      </c>
      <c r="BI21" s="67" t="n">
        <f aca="false">BI19*(1-Inputs!$E$20)*Inputs!$E$22</f>
        <v>645306.058141218</v>
      </c>
      <c r="BJ21" s="67" t="n">
        <f aca="false">BJ19*(1-Inputs!$E$20)*Inputs!$E$22</f>
        <v>645306.058141218</v>
      </c>
    </row>
    <row r="22" customFormat="false" ht="15" hidden="false" customHeight="false" outlineLevel="0" collapsed="false">
      <c r="A22" s="113" t="s">
        <v>238</v>
      </c>
      <c r="C22" s="68" t="n">
        <f aca="false">C20+C21</f>
        <v>375516</v>
      </c>
      <c r="D22" s="68" t="n">
        <f aca="false">D20+D21</f>
        <v>375516</v>
      </c>
      <c r="E22" s="68" t="n">
        <f aca="false">E20+E21</f>
        <v>375516</v>
      </c>
      <c r="F22" s="68" t="n">
        <f aca="false">F20+F21</f>
        <v>375516</v>
      </c>
      <c r="G22" s="68" t="n">
        <f aca="false">G20+G21</f>
        <v>375516</v>
      </c>
      <c r="H22" s="68" t="n">
        <f aca="false">H20+H21</f>
        <v>375516</v>
      </c>
      <c r="I22" s="68" t="n">
        <f aca="false">I20+I21</f>
        <v>375516</v>
      </c>
      <c r="J22" s="68" t="n">
        <f aca="false">J20+J21</f>
        <v>375516</v>
      </c>
      <c r="K22" s="68" t="n">
        <f aca="false">K20+K21</f>
        <v>375516</v>
      </c>
      <c r="L22" s="68" t="n">
        <f aca="false">L20+L21</f>
        <v>375516</v>
      </c>
      <c r="M22" s="68" t="n">
        <f aca="false">M20+M21</f>
        <v>375516</v>
      </c>
      <c r="N22" s="68" t="n">
        <f aca="false">N20+N21</f>
        <v>375516</v>
      </c>
      <c r="O22" s="68" t="n">
        <f aca="false">O20+O21</f>
        <v>486330.156</v>
      </c>
      <c r="P22" s="68" t="n">
        <f aca="false">P20+P21</f>
        <v>486330.156</v>
      </c>
      <c r="Q22" s="68" t="n">
        <f aca="false">Q20+Q21</f>
        <v>486330.156</v>
      </c>
      <c r="R22" s="68" t="n">
        <f aca="false">R20+R21</f>
        <v>486330.156</v>
      </c>
      <c r="S22" s="68" t="n">
        <f aca="false">S20+S21</f>
        <v>486330.156</v>
      </c>
      <c r="T22" s="68" t="n">
        <f aca="false">T20+T21</f>
        <v>486330.156</v>
      </c>
      <c r="U22" s="68" t="n">
        <f aca="false">U20+U21</f>
        <v>486330.156</v>
      </c>
      <c r="V22" s="68" t="n">
        <f aca="false">V20+V21</f>
        <v>486330.156</v>
      </c>
      <c r="W22" s="68" t="n">
        <f aca="false">W20+W21</f>
        <v>486330.156</v>
      </c>
      <c r="X22" s="68" t="n">
        <f aca="false">X20+X21</f>
        <v>486330.156</v>
      </c>
      <c r="Y22" s="68" t="n">
        <f aca="false">Y20+Y21</f>
        <v>486330.156</v>
      </c>
      <c r="Z22" s="68" t="n">
        <f aca="false">Z20+Z21</f>
        <v>486330.156</v>
      </c>
      <c r="AA22" s="68" t="n">
        <f aca="false">AA20+AA21</f>
        <v>630819.669636</v>
      </c>
      <c r="AB22" s="68" t="n">
        <f aca="false">AB20+AB21</f>
        <v>630819.669636</v>
      </c>
      <c r="AC22" s="68" t="n">
        <f aca="false">AC20+AC21</f>
        <v>630819.669636</v>
      </c>
      <c r="AD22" s="68" t="n">
        <f aca="false">AD20+AD21</f>
        <v>630819.669636</v>
      </c>
      <c r="AE22" s="68" t="n">
        <f aca="false">AE20+AE21</f>
        <v>630819.669636</v>
      </c>
      <c r="AF22" s="68" t="n">
        <f aca="false">AF20+AF21</f>
        <v>630819.669636</v>
      </c>
      <c r="AG22" s="68" t="n">
        <f aca="false">AG20+AG21</f>
        <v>630819.669636</v>
      </c>
      <c r="AH22" s="68" t="n">
        <f aca="false">AH20+AH21</f>
        <v>630819.669636</v>
      </c>
      <c r="AI22" s="68" t="n">
        <f aca="false">AI20+AI21</f>
        <v>630819.669636</v>
      </c>
      <c r="AJ22" s="68" t="n">
        <f aca="false">AJ20+AJ21</f>
        <v>630819.669636</v>
      </c>
      <c r="AK22" s="68" t="n">
        <f aca="false">AK20+AK21</f>
        <v>630819.669636</v>
      </c>
      <c r="AL22" s="68" t="n">
        <f aca="false">AL20+AL21</f>
        <v>630819.669636</v>
      </c>
      <c r="AM22" s="68" t="n">
        <f aca="false">AM20+AM21</f>
        <v>819482.295812076</v>
      </c>
      <c r="AN22" s="68" t="n">
        <f aca="false">AN20+AN21</f>
        <v>819482.295812076</v>
      </c>
      <c r="AO22" s="68" t="n">
        <f aca="false">AO20+AO21</f>
        <v>819482.295812076</v>
      </c>
      <c r="AP22" s="68" t="n">
        <f aca="false">AP20+AP21</f>
        <v>819482.295812076</v>
      </c>
      <c r="AQ22" s="68" t="n">
        <f aca="false">AQ20+AQ21</f>
        <v>819482.295812076</v>
      </c>
      <c r="AR22" s="68" t="n">
        <f aca="false">AR20+AR21</f>
        <v>819482.295812076</v>
      </c>
      <c r="AS22" s="68" t="n">
        <f aca="false">AS20+AS21</f>
        <v>819482.295812076</v>
      </c>
      <c r="AT22" s="68" t="n">
        <f aca="false">AT20+AT21</f>
        <v>819482.295812076</v>
      </c>
      <c r="AU22" s="68" t="n">
        <f aca="false">AU20+AU21</f>
        <v>819482.295812076</v>
      </c>
      <c r="AV22" s="68" t="n">
        <f aca="false">AV20+AV21</f>
        <v>819482.295812076</v>
      </c>
      <c r="AW22" s="68" t="n">
        <f aca="false">AW20+AW21</f>
        <v>819482.295812076</v>
      </c>
      <c r="AX22" s="68" t="n">
        <f aca="false">AX20+AX21</f>
        <v>819482.295812076</v>
      </c>
      <c r="AY22" s="68" t="n">
        <f aca="false">AY20+AY21</f>
        <v>1066157.83518984</v>
      </c>
      <c r="AZ22" s="68" t="n">
        <f aca="false">AZ20+AZ21</f>
        <v>1066157.83518984</v>
      </c>
      <c r="BA22" s="68" t="n">
        <f aca="false">BA20+BA21</f>
        <v>1066157.83518984</v>
      </c>
      <c r="BB22" s="68" t="n">
        <f aca="false">BB20+BB21</f>
        <v>1066157.83518984</v>
      </c>
      <c r="BC22" s="68" t="n">
        <f aca="false">BC20+BC21</f>
        <v>1066157.83518984</v>
      </c>
      <c r="BD22" s="68" t="n">
        <f aca="false">BD20+BD21</f>
        <v>1066157.83518984</v>
      </c>
      <c r="BE22" s="68" t="n">
        <f aca="false">BE20+BE21</f>
        <v>1066157.83518984</v>
      </c>
      <c r="BF22" s="68" t="n">
        <f aca="false">BF20+BF21</f>
        <v>1066157.83518984</v>
      </c>
      <c r="BG22" s="68" t="n">
        <f aca="false">BG20+BG21</f>
        <v>1066157.83518984</v>
      </c>
      <c r="BH22" s="68" t="n">
        <f aca="false">BH20+BH21</f>
        <v>1066157.83518984</v>
      </c>
      <c r="BI22" s="68" t="n">
        <f aca="false">BI20+BI21</f>
        <v>1066157.83518984</v>
      </c>
      <c r="BJ22" s="68" t="n">
        <f aca="false">BJ20+BJ21</f>
        <v>1066157.83518984</v>
      </c>
    </row>
    <row r="24" customFormat="false" ht="15.75" hidden="false" customHeight="true" outlineLevel="0" collapsed="false">
      <c r="A24" s="7" t="s">
        <v>76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244</v>
      </c>
      <c r="C25" s="67" t="n">
        <f aca="false">Headcount!C15+Headcount!C16</f>
        <v>-178000</v>
      </c>
      <c r="D25" s="67" t="n">
        <f aca="false">Headcount!D15+Headcount!D16</f>
        <v>-178000</v>
      </c>
      <c r="E25" s="67" t="n">
        <f aca="false">Headcount!E15+Headcount!E16</f>
        <v>-178000</v>
      </c>
      <c r="F25" s="67" t="n">
        <f aca="false">Headcount!F15+Headcount!F16</f>
        <v>-178000</v>
      </c>
      <c r="G25" s="67" t="n">
        <f aca="false">Headcount!G15+Headcount!G16</f>
        <v>-178000</v>
      </c>
      <c r="H25" s="67" t="n">
        <f aca="false">Headcount!H15+Headcount!H16</f>
        <v>-178000</v>
      </c>
      <c r="I25" s="67" t="n">
        <f aca="false">Headcount!I15+Headcount!I16</f>
        <v>-178000</v>
      </c>
      <c r="J25" s="67" t="n">
        <f aca="false">Headcount!J15+Headcount!J16</f>
        <v>-178000</v>
      </c>
      <c r="K25" s="67" t="n">
        <f aca="false">Headcount!K15+Headcount!K16</f>
        <v>-178000</v>
      </c>
      <c r="L25" s="67" t="n">
        <f aca="false">Headcount!L15+Headcount!L16</f>
        <v>-178000</v>
      </c>
      <c r="M25" s="67" t="n">
        <f aca="false">Headcount!M15+Headcount!M16</f>
        <v>-178000</v>
      </c>
      <c r="N25" s="67" t="n">
        <f aca="false">Headcount!N15+Headcount!N16</f>
        <v>-178000</v>
      </c>
      <c r="O25" s="67" t="n">
        <f aca="false">Headcount!O15+Headcount!O16</f>
        <v>-231750</v>
      </c>
      <c r="P25" s="67" t="n">
        <f aca="false">Headcount!P15+Headcount!P16</f>
        <v>-231750</v>
      </c>
      <c r="Q25" s="67" t="n">
        <f aca="false">Headcount!Q15+Headcount!Q16</f>
        <v>-231750</v>
      </c>
      <c r="R25" s="67" t="n">
        <f aca="false">Headcount!R15+Headcount!R16</f>
        <v>-231750</v>
      </c>
      <c r="S25" s="67" t="n">
        <f aca="false">Headcount!S15+Headcount!S16</f>
        <v>-231750</v>
      </c>
      <c r="T25" s="67" t="n">
        <f aca="false">Headcount!T15+Headcount!T16</f>
        <v>-231750</v>
      </c>
      <c r="U25" s="67" t="n">
        <f aca="false">Headcount!U15+Headcount!U16</f>
        <v>-231750</v>
      </c>
      <c r="V25" s="67" t="n">
        <f aca="false">Headcount!V15+Headcount!V16</f>
        <v>-231750</v>
      </c>
      <c r="W25" s="67" t="n">
        <f aca="false">Headcount!W15+Headcount!W16</f>
        <v>-231750</v>
      </c>
      <c r="X25" s="67" t="n">
        <f aca="false">Headcount!X15+Headcount!X16</f>
        <v>-231750</v>
      </c>
      <c r="Y25" s="67" t="n">
        <f aca="false">Headcount!Y15+Headcount!Y16</f>
        <v>-231750</v>
      </c>
      <c r="Z25" s="67" t="n">
        <f aca="false">Headcount!Z15+Headcount!Z16</f>
        <v>-231750</v>
      </c>
      <c r="AA25" s="67" t="n">
        <f aca="false">Headcount!AA15+Headcount!AA16</f>
        <v>-302165.538</v>
      </c>
      <c r="AB25" s="67" t="n">
        <f aca="false">Headcount!AB15+Headcount!AB16</f>
        <v>-302165.538</v>
      </c>
      <c r="AC25" s="67" t="n">
        <f aca="false">Headcount!AC15+Headcount!AC16</f>
        <v>-302165.538</v>
      </c>
      <c r="AD25" s="67" t="n">
        <f aca="false">Headcount!AD15+Headcount!AD16</f>
        <v>-302165.538</v>
      </c>
      <c r="AE25" s="67" t="n">
        <f aca="false">Headcount!AE15+Headcount!AE16</f>
        <v>-302165.538</v>
      </c>
      <c r="AF25" s="67" t="n">
        <f aca="false">Headcount!AF15+Headcount!AF16</f>
        <v>-302165.538</v>
      </c>
      <c r="AG25" s="67" t="n">
        <f aca="false">Headcount!AG15+Headcount!AG16</f>
        <v>-302165.538</v>
      </c>
      <c r="AH25" s="67" t="n">
        <f aca="false">Headcount!AH15+Headcount!AH16</f>
        <v>-302165.538</v>
      </c>
      <c r="AI25" s="67" t="n">
        <f aca="false">Headcount!AI15+Headcount!AI16</f>
        <v>-302165.538</v>
      </c>
      <c r="AJ25" s="67" t="n">
        <f aca="false">Headcount!AJ15+Headcount!AJ16</f>
        <v>-302165.538</v>
      </c>
      <c r="AK25" s="67" t="n">
        <f aca="false">Headcount!AK15+Headcount!AK16</f>
        <v>-302165.538</v>
      </c>
      <c r="AL25" s="67" t="n">
        <f aca="false">Headcount!AL15+Headcount!AL16</f>
        <v>-302165.538</v>
      </c>
      <c r="AM25" s="67" t="n">
        <f aca="false">Headcount!AM15+Headcount!AM16</f>
        <v>-394529.08335</v>
      </c>
      <c r="AN25" s="67" t="n">
        <f aca="false">Headcount!AN15+Headcount!AN16</f>
        <v>-394529.08335</v>
      </c>
      <c r="AO25" s="67" t="n">
        <f aca="false">Headcount!AO15+Headcount!AO16</f>
        <v>-394529.08335</v>
      </c>
      <c r="AP25" s="67" t="n">
        <f aca="false">Headcount!AP15+Headcount!AP16</f>
        <v>-394529.08335</v>
      </c>
      <c r="AQ25" s="67" t="n">
        <f aca="false">Headcount!AQ15+Headcount!AQ16</f>
        <v>-394529.08335</v>
      </c>
      <c r="AR25" s="67" t="n">
        <f aca="false">Headcount!AR15+Headcount!AR16</f>
        <v>-394529.08335</v>
      </c>
      <c r="AS25" s="67" t="n">
        <f aca="false">Headcount!AS15+Headcount!AS16</f>
        <v>-394529.08335</v>
      </c>
      <c r="AT25" s="67" t="n">
        <f aca="false">Headcount!AT15+Headcount!AT16</f>
        <v>-394529.08335</v>
      </c>
      <c r="AU25" s="67" t="n">
        <f aca="false">Headcount!AU15+Headcount!AU16</f>
        <v>-394529.08335</v>
      </c>
      <c r="AV25" s="67" t="n">
        <f aca="false">Headcount!AV15+Headcount!AV16</f>
        <v>-394529.08335</v>
      </c>
      <c r="AW25" s="67" t="n">
        <f aca="false">Headcount!AW15+Headcount!AW16</f>
        <v>-394529.08335</v>
      </c>
      <c r="AX25" s="67" t="n">
        <f aca="false">Headcount!AX15+Headcount!AX16</f>
        <v>-394529.08335</v>
      </c>
      <c r="AY25" s="67" t="n">
        <f aca="false">Headcount!AY15+Headcount!AY16</f>
        <v>-515827.215574098</v>
      </c>
      <c r="AZ25" s="67" t="n">
        <f aca="false">Headcount!AZ15+Headcount!AZ16</f>
        <v>-515827.215574098</v>
      </c>
      <c r="BA25" s="67" t="n">
        <f aca="false">Headcount!BA15+Headcount!BA16</f>
        <v>-515827.215574098</v>
      </c>
      <c r="BB25" s="67" t="n">
        <f aca="false">Headcount!BB15+Headcount!BB16</f>
        <v>-515827.215574098</v>
      </c>
      <c r="BC25" s="67" t="n">
        <f aca="false">Headcount!BC15+Headcount!BC16</f>
        <v>-515827.215574098</v>
      </c>
      <c r="BD25" s="67" t="n">
        <f aca="false">Headcount!BD15+Headcount!BD16</f>
        <v>-515827.215574098</v>
      </c>
      <c r="BE25" s="67" t="n">
        <f aca="false">Headcount!BE15+Headcount!BE16</f>
        <v>-515827.215574098</v>
      </c>
      <c r="BF25" s="67" t="n">
        <f aca="false">Headcount!BF15+Headcount!BF16</f>
        <v>-515827.215574098</v>
      </c>
      <c r="BG25" s="67" t="n">
        <f aca="false">Headcount!BG15+Headcount!BG16</f>
        <v>-515827.215574098</v>
      </c>
      <c r="BH25" s="67" t="n">
        <f aca="false">Headcount!BH15+Headcount!BH16</f>
        <v>-515827.215574098</v>
      </c>
      <c r="BI25" s="67" t="n">
        <f aca="false">Headcount!BI15+Headcount!BI16</f>
        <v>-515827.215574098</v>
      </c>
      <c r="BJ25" s="67" t="n">
        <f aca="false">Headcount!BJ15+Headcount!BJ16</f>
        <v>-515827.215574098</v>
      </c>
    </row>
    <row r="26" customFormat="false" ht="15" hidden="false" customHeight="false" outlineLevel="0" collapsed="false">
      <c r="A26" s="6" t="s">
        <v>245</v>
      </c>
      <c r="C26" s="67" t="n">
        <f aca="false">-C12*Inputs!$E$25*(1+Inputs!$E$51)^(C$5-1)</f>
        <v>-36000</v>
      </c>
      <c r="D26" s="67" t="n">
        <f aca="false">-D12*Inputs!$E$25*(1+Inputs!$E$51)^(D$5-1)</f>
        <v>-36000</v>
      </c>
      <c r="E26" s="67" t="n">
        <f aca="false">-E12*Inputs!$E$25*(1+Inputs!$E$51)^(E$5-1)</f>
        <v>-36000</v>
      </c>
      <c r="F26" s="67" t="n">
        <f aca="false">-F12*Inputs!$E$25*(1+Inputs!$E$51)^(F$5-1)</f>
        <v>-36000</v>
      </c>
      <c r="G26" s="67" t="n">
        <f aca="false">-G12*Inputs!$E$25*(1+Inputs!$E$51)^(G$5-1)</f>
        <v>-36000</v>
      </c>
      <c r="H26" s="67" t="n">
        <f aca="false">-H12*Inputs!$E$25*(1+Inputs!$E$51)^(H$5-1)</f>
        <v>-36000</v>
      </c>
      <c r="I26" s="67" t="n">
        <f aca="false">-I12*Inputs!$E$25*(1+Inputs!$E$51)^(I$5-1)</f>
        <v>-36000</v>
      </c>
      <c r="J26" s="67" t="n">
        <f aca="false">-J12*Inputs!$E$25*(1+Inputs!$E$51)^(J$5-1)</f>
        <v>-36000</v>
      </c>
      <c r="K26" s="67" t="n">
        <f aca="false">-K12*Inputs!$E$25*(1+Inputs!$E$51)^(K$5-1)</f>
        <v>-36000</v>
      </c>
      <c r="L26" s="67" t="n">
        <f aca="false">-L12*Inputs!$E$25*(1+Inputs!$E$51)^(L$5-1)</f>
        <v>-36000</v>
      </c>
      <c r="M26" s="67" t="n">
        <f aca="false">-M12*Inputs!$E$25*(1+Inputs!$E$51)^(M$5-1)</f>
        <v>-36000</v>
      </c>
      <c r="N26" s="67" t="n">
        <f aca="false">-N12*Inputs!$E$25*(1+Inputs!$E$51)^(N$5-1)</f>
        <v>-36000</v>
      </c>
      <c r="O26" s="67" t="n">
        <f aca="false">-O12*Inputs!$E$25*(1+Inputs!$E$51)^(O$5-1)</f>
        <v>-44496</v>
      </c>
      <c r="P26" s="67" t="n">
        <f aca="false">-P12*Inputs!$E$25*(1+Inputs!$E$51)^(P$5-1)</f>
        <v>-44496</v>
      </c>
      <c r="Q26" s="67" t="n">
        <f aca="false">-Q12*Inputs!$E$25*(1+Inputs!$E$51)^(Q$5-1)</f>
        <v>-44496</v>
      </c>
      <c r="R26" s="67" t="n">
        <f aca="false">-R12*Inputs!$E$25*(1+Inputs!$E$51)^(R$5-1)</f>
        <v>-44496</v>
      </c>
      <c r="S26" s="67" t="n">
        <f aca="false">-S12*Inputs!$E$25*(1+Inputs!$E$51)^(S$5-1)</f>
        <v>-44496</v>
      </c>
      <c r="T26" s="67" t="n">
        <f aca="false">-T12*Inputs!$E$25*(1+Inputs!$E$51)^(T$5-1)</f>
        <v>-44496</v>
      </c>
      <c r="U26" s="67" t="n">
        <f aca="false">-U12*Inputs!$E$25*(1+Inputs!$E$51)^(U$5-1)</f>
        <v>-44496</v>
      </c>
      <c r="V26" s="67" t="n">
        <f aca="false">-V12*Inputs!$E$25*(1+Inputs!$E$51)^(V$5-1)</f>
        <v>-44496</v>
      </c>
      <c r="W26" s="67" t="n">
        <f aca="false">-W12*Inputs!$E$25*(1+Inputs!$E$51)^(W$5-1)</f>
        <v>-44496</v>
      </c>
      <c r="X26" s="67" t="n">
        <f aca="false">-X12*Inputs!$E$25*(1+Inputs!$E$51)^(X$5-1)</f>
        <v>-44496</v>
      </c>
      <c r="Y26" s="67" t="n">
        <f aca="false">-Y12*Inputs!$E$25*(1+Inputs!$E$51)^(Y$5-1)</f>
        <v>-44496</v>
      </c>
      <c r="Z26" s="67" t="n">
        <f aca="false">-Z12*Inputs!$E$25*(1+Inputs!$E$51)^(Z$5-1)</f>
        <v>-44496</v>
      </c>
      <c r="AA26" s="67" t="n">
        <f aca="false">-AA12*Inputs!$E$25*(1+Inputs!$E$51)^(AA$5-1)</f>
        <v>-54997.056</v>
      </c>
      <c r="AB26" s="67" t="n">
        <f aca="false">-AB12*Inputs!$E$25*(1+Inputs!$E$51)^(AB$5-1)</f>
        <v>-54997.056</v>
      </c>
      <c r="AC26" s="67" t="n">
        <f aca="false">-AC12*Inputs!$E$25*(1+Inputs!$E$51)^(AC$5-1)</f>
        <v>-54997.056</v>
      </c>
      <c r="AD26" s="67" t="n">
        <f aca="false">-AD12*Inputs!$E$25*(1+Inputs!$E$51)^(AD$5-1)</f>
        <v>-54997.056</v>
      </c>
      <c r="AE26" s="67" t="n">
        <f aca="false">-AE12*Inputs!$E$25*(1+Inputs!$E$51)^(AE$5-1)</f>
        <v>-54997.056</v>
      </c>
      <c r="AF26" s="67" t="n">
        <f aca="false">-AF12*Inputs!$E$25*(1+Inputs!$E$51)^(AF$5-1)</f>
        <v>-54997.056</v>
      </c>
      <c r="AG26" s="67" t="n">
        <f aca="false">-AG12*Inputs!$E$25*(1+Inputs!$E$51)^(AG$5-1)</f>
        <v>-54997.056</v>
      </c>
      <c r="AH26" s="67" t="n">
        <f aca="false">-AH12*Inputs!$E$25*(1+Inputs!$E$51)^(AH$5-1)</f>
        <v>-54997.056</v>
      </c>
      <c r="AI26" s="67" t="n">
        <f aca="false">-AI12*Inputs!$E$25*(1+Inputs!$E$51)^(AI$5-1)</f>
        <v>-54997.056</v>
      </c>
      <c r="AJ26" s="67" t="n">
        <f aca="false">-AJ12*Inputs!$E$25*(1+Inputs!$E$51)^(AJ$5-1)</f>
        <v>-54997.056</v>
      </c>
      <c r="AK26" s="67" t="n">
        <f aca="false">-AK12*Inputs!$E$25*(1+Inputs!$E$51)^(AK$5-1)</f>
        <v>-54997.056</v>
      </c>
      <c r="AL26" s="67" t="n">
        <f aca="false">-AL12*Inputs!$E$25*(1+Inputs!$E$51)^(AL$5-1)</f>
        <v>-54997.056</v>
      </c>
      <c r="AM26" s="67" t="n">
        <f aca="false">-AM12*Inputs!$E$25*(1+Inputs!$E$51)^(AM$5-1)</f>
        <v>-67976.361216</v>
      </c>
      <c r="AN26" s="67" t="n">
        <f aca="false">-AN12*Inputs!$E$25*(1+Inputs!$E$51)^(AN$5-1)</f>
        <v>-67976.361216</v>
      </c>
      <c r="AO26" s="67" t="n">
        <f aca="false">-AO12*Inputs!$E$25*(1+Inputs!$E$51)^(AO$5-1)</f>
        <v>-67976.361216</v>
      </c>
      <c r="AP26" s="67" t="n">
        <f aca="false">-AP12*Inputs!$E$25*(1+Inputs!$E$51)^(AP$5-1)</f>
        <v>-67976.361216</v>
      </c>
      <c r="AQ26" s="67" t="n">
        <f aca="false">-AQ12*Inputs!$E$25*(1+Inputs!$E$51)^(AQ$5-1)</f>
        <v>-67976.361216</v>
      </c>
      <c r="AR26" s="67" t="n">
        <f aca="false">-AR12*Inputs!$E$25*(1+Inputs!$E$51)^(AR$5-1)</f>
        <v>-67976.361216</v>
      </c>
      <c r="AS26" s="67" t="n">
        <f aca="false">-AS12*Inputs!$E$25*(1+Inputs!$E$51)^(AS$5-1)</f>
        <v>-67976.361216</v>
      </c>
      <c r="AT26" s="67" t="n">
        <f aca="false">-AT12*Inputs!$E$25*(1+Inputs!$E$51)^(AT$5-1)</f>
        <v>-67976.361216</v>
      </c>
      <c r="AU26" s="67" t="n">
        <f aca="false">-AU12*Inputs!$E$25*(1+Inputs!$E$51)^(AU$5-1)</f>
        <v>-67976.361216</v>
      </c>
      <c r="AV26" s="67" t="n">
        <f aca="false">-AV12*Inputs!$E$25*(1+Inputs!$E$51)^(AV$5-1)</f>
        <v>-67976.361216</v>
      </c>
      <c r="AW26" s="67" t="n">
        <f aca="false">-AW12*Inputs!$E$25*(1+Inputs!$E$51)^(AW$5-1)</f>
        <v>-67976.361216</v>
      </c>
      <c r="AX26" s="67" t="n">
        <f aca="false">-AX12*Inputs!$E$25*(1+Inputs!$E$51)^(AX$5-1)</f>
        <v>-67976.361216</v>
      </c>
      <c r="AY26" s="67" t="n">
        <f aca="false">-AY12*Inputs!$E$25*(1+Inputs!$E$51)^(AY$5-1)</f>
        <v>-84018.782462976</v>
      </c>
      <c r="AZ26" s="67" t="n">
        <f aca="false">-AZ12*Inputs!$E$25*(1+Inputs!$E$51)^(AZ$5-1)</f>
        <v>-84018.782462976</v>
      </c>
      <c r="BA26" s="67" t="n">
        <f aca="false">-BA12*Inputs!$E$25*(1+Inputs!$E$51)^(BA$5-1)</f>
        <v>-84018.782462976</v>
      </c>
      <c r="BB26" s="67" t="n">
        <f aca="false">-BB12*Inputs!$E$25*(1+Inputs!$E$51)^(BB$5-1)</f>
        <v>-84018.782462976</v>
      </c>
      <c r="BC26" s="67" t="n">
        <f aca="false">-BC12*Inputs!$E$25*(1+Inputs!$E$51)^(BC$5-1)</f>
        <v>-84018.782462976</v>
      </c>
      <c r="BD26" s="67" t="n">
        <f aca="false">-BD12*Inputs!$E$25*(1+Inputs!$E$51)^(BD$5-1)</f>
        <v>-84018.782462976</v>
      </c>
      <c r="BE26" s="67" t="n">
        <f aca="false">-BE12*Inputs!$E$25*(1+Inputs!$E$51)^(BE$5-1)</f>
        <v>-84018.782462976</v>
      </c>
      <c r="BF26" s="67" t="n">
        <f aca="false">-BF12*Inputs!$E$25*(1+Inputs!$E$51)^(BF$5-1)</f>
        <v>-84018.782462976</v>
      </c>
      <c r="BG26" s="67" t="n">
        <f aca="false">-BG12*Inputs!$E$25*(1+Inputs!$E$51)^(BG$5-1)</f>
        <v>-84018.782462976</v>
      </c>
      <c r="BH26" s="67" t="n">
        <f aca="false">-BH12*Inputs!$E$25*(1+Inputs!$E$51)^(BH$5-1)</f>
        <v>-84018.782462976</v>
      </c>
      <c r="BI26" s="67" t="n">
        <f aca="false">-BI12*Inputs!$E$25*(1+Inputs!$E$51)^(BI$5-1)</f>
        <v>-84018.782462976</v>
      </c>
      <c r="BJ26" s="67" t="n">
        <f aca="false">-BJ12*Inputs!$E$25*(1+Inputs!$E$51)^(BJ$5-1)</f>
        <v>-84018.782462976</v>
      </c>
    </row>
    <row r="27" customFormat="false" ht="15" hidden="false" customHeight="false" outlineLevel="0" collapsed="false">
      <c r="A27" s="6" t="s">
        <v>411</v>
      </c>
      <c r="C27" s="67" t="n">
        <f aca="false">-C22*Inputs!$E$26</f>
        <v>-11265.48</v>
      </c>
      <c r="D27" s="67" t="n">
        <f aca="false">-D22*Inputs!$E$26</f>
        <v>-11265.48</v>
      </c>
      <c r="E27" s="67" t="n">
        <f aca="false">-E22*Inputs!$E$26</f>
        <v>-11265.48</v>
      </c>
      <c r="F27" s="67" t="n">
        <f aca="false">-F22*Inputs!$E$26</f>
        <v>-11265.48</v>
      </c>
      <c r="G27" s="67" t="n">
        <f aca="false">-G22*Inputs!$E$26</f>
        <v>-11265.48</v>
      </c>
      <c r="H27" s="67" t="n">
        <f aca="false">-H22*Inputs!$E$26</f>
        <v>-11265.48</v>
      </c>
      <c r="I27" s="67" t="n">
        <f aca="false">-I22*Inputs!$E$26</f>
        <v>-11265.48</v>
      </c>
      <c r="J27" s="67" t="n">
        <f aca="false">-J22*Inputs!$E$26</f>
        <v>-11265.48</v>
      </c>
      <c r="K27" s="67" t="n">
        <f aca="false">-K22*Inputs!$E$26</f>
        <v>-11265.48</v>
      </c>
      <c r="L27" s="67" t="n">
        <f aca="false">-L22*Inputs!$E$26</f>
        <v>-11265.48</v>
      </c>
      <c r="M27" s="67" t="n">
        <f aca="false">-M22*Inputs!$E$26</f>
        <v>-11265.48</v>
      </c>
      <c r="N27" s="67" t="n">
        <f aca="false">-N22*Inputs!$E$26</f>
        <v>-11265.48</v>
      </c>
      <c r="O27" s="67" t="n">
        <f aca="false">-O22*Inputs!$E$26</f>
        <v>-14589.90468</v>
      </c>
      <c r="P27" s="67" t="n">
        <f aca="false">-P22*Inputs!$E$26</f>
        <v>-14589.90468</v>
      </c>
      <c r="Q27" s="67" t="n">
        <f aca="false">-Q22*Inputs!$E$26</f>
        <v>-14589.90468</v>
      </c>
      <c r="R27" s="67" t="n">
        <f aca="false">-R22*Inputs!$E$26</f>
        <v>-14589.90468</v>
      </c>
      <c r="S27" s="67" t="n">
        <f aca="false">-S22*Inputs!$E$26</f>
        <v>-14589.90468</v>
      </c>
      <c r="T27" s="67" t="n">
        <f aca="false">-T22*Inputs!$E$26</f>
        <v>-14589.90468</v>
      </c>
      <c r="U27" s="67" t="n">
        <f aca="false">-U22*Inputs!$E$26</f>
        <v>-14589.90468</v>
      </c>
      <c r="V27" s="67" t="n">
        <f aca="false">-V22*Inputs!$E$26</f>
        <v>-14589.90468</v>
      </c>
      <c r="W27" s="67" t="n">
        <f aca="false">-W22*Inputs!$E$26</f>
        <v>-14589.90468</v>
      </c>
      <c r="X27" s="67" t="n">
        <f aca="false">-X22*Inputs!$E$26</f>
        <v>-14589.90468</v>
      </c>
      <c r="Y27" s="67" t="n">
        <f aca="false">-Y22*Inputs!$E$26</f>
        <v>-14589.90468</v>
      </c>
      <c r="Z27" s="67" t="n">
        <f aca="false">-Z22*Inputs!$E$26</f>
        <v>-14589.90468</v>
      </c>
      <c r="AA27" s="67" t="n">
        <f aca="false">-AA22*Inputs!$E$26</f>
        <v>-18924.59008908</v>
      </c>
      <c r="AB27" s="67" t="n">
        <f aca="false">-AB22*Inputs!$E$26</f>
        <v>-18924.59008908</v>
      </c>
      <c r="AC27" s="67" t="n">
        <f aca="false">-AC22*Inputs!$E$26</f>
        <v>-18924.59008908</v>
      </c>
      <c r="AD27" s="67" t="n">
        <f aca="false">-AD22*Inputs!$E$26</f>
        <v>-18924.59008908</v>
      </c>
      <c r="AE27" s="67" t="n">
        <f aca="false">-AE22*Inputs!$E$26</f>
        <v>-18924.59008908</v>
      </c>
      <c r="AF27" s="67" t="n">
        <f aca="false">-AF22*Inputs!$E$26</f>
        <v>-18924.59008908</v>
      </c>
      <c r="AG27" s="67" t="n">
        <f aca="false">-AG22*Inputs!$E$26</f>
        <v>-18924.59008908</v>
      </c>
      <c r="AH27" s="67" t="n">
        <f aca="false">-AH22*Inputs!$E$26</f>
        <v>-18924.59008908</v>
      </c>
      <c r="AI27" s="67" t="n">
        <f aca="false">-AI22*Inputs!$E$26</f>
        <v>-18924.59008908</v>
      </c>
      <c r="AJ27" s="67" t="n">
        <f aca="false">-AJ22*Inputs!$E$26</f>
        <v>-18924.59008908</v>
      </c>
      <c r="AK27" s="67" t="n">
        <f aca="false">-AK22*Inputs!$E$26</f>
        <v>-18924.59008908</v>
      </c>
      <c r="AL27" s="67" t="n">
        <f aca="false">-AL22*Inputs!$E$26</f>
        <v>-18924.59008908</v>
      </c>
      <c r="AM27" s="67" t="n">
        <f aca="false">-AM22*Inputs!$E$26</f>
        <v>-24584.4688743623</v>
      </c>
      <c r="AN27" s="67" t="n">
        <f aca="false">-AN22*Inputs!$E$26</f>
        <v>-24584.4688743623</v>
      </c>
      <c r="AO27" s="67" t="n">
        <f aca="false">-AO22*Inputs!$E$26</f>
        <v>-24584.4688743623</v>
      </c>
      <c r="AP27" s="67" t="n">
        <f aca="false">-AP22*Inputs!$E$26</f>
        <v>-24584.4688743623</v>
      </c>
      <c r="AQ27" s="67" t="n">
        <f aca="false">-AQ22*Inputs!$E$26</f>
        <v>-24584.4688743623</v>
      </c>
      <c r="AR27" s="67" t="n">
        <f aca="false">-AR22*Inputs!$E$26</f>
        <v>-24584.4688743623</v>
      </c>
      <c r="AS27" s="67" t="n">
        <f aca="false">-AS22*Inputs!$E$26</f>
        <v>-24584.4688743623</v>
      </c>
      <c r="AT27" s="67" t="n">
        <f aca="false">-AT22*Inputs!$E$26</f>
        <v>-24584.4688743623</v>
      </c>
      <c r="AU27" s="67" t="n">
        <f aca="false">-AU22*Inputs!$E$26</f>
        <v>-24584.4688743623</v>
      </c>
      <c r="AV27" s="67" t="n">
        <f aca="false">-AV22*Inputs!$E$26</f>
        <v>-24584.4688743623</v>
      </c>
      <c r="AW27" s="67" t="n">
        <f aca="false">-AW22*Inputs!$E$26</f>
        <v>-24584.4688743623</v>
      </c>
      <c r="AX27" s="67" t="n">
        <f aca="false">-AX22*Inputs!$E$26</f>
        <v>-24584.4688743623</v>
      </c>
      <c r="AY27" s="67" t="n">
        <f aca="false">-AY22*Inputs!$E$26</f>
        <v>-31984.7350556951</v>
      </c>
      <c r="AZ27" s="67" t="n">
        <f aca="false">-AZ22*Inputs!$E$26</f>
        <v>-31984.7350556951</v>
      </c>
      <c r="BA27" s="67" t="n">
        <f aca="false">-BA22*Inputs!$E$26</f>
        <v>-31984.7350556951</v>
      </c>
      <c r="BB27" s="67" t="n">
        <f aca="false">-BB22*Inputs!$E$26</f>
        <v>-31984.7350556951</v>
      </c>
      <c r="BC27" s="67" t="n">
        <f aca="false">-BC22*Inputs!$E$26</f>
        <v>-31984.7350556951</v>
      </c>
      <c r="BD27" s="67" t="n">
        <f aca="false">-BD22*Inputs!$E$26</f>
        <v>-31984.7350556951</v>
      </c>
      <c r="BE27" s="67" t="n">
        <f aca="false">-BE22*Inputs!$E$26</f>
        <v>-31984.7350556951</v>
      </c>
      <c r="BF27" s="67" t="n">
        <f aca="false">-BF22*Inputs!$E$26</f>
        <v>-31984.7350556951</v>
      </c>
      <c r="BG27" s="67" t="n">
        <f aca="false">-BG22*Inputs!$E$26</f>
        <v>-31984.7350556951</v>
      </c>
      <c r="BH27" s="67" t="n">
        <f aca="false">-BH22*Inputs!$E$26</f>
        <v>-31984.7350556951</v>
      </c>
      <c r="BI27" s="67" t="n">
        <f aca="false">-BI22*Inputs!$E$26</f>
        <v>-31984.7350556951</v>
      </c>
      <c r="BJ27" s="67" t="n">
        <f aca="false">-BJ22*Inputs!$E$26</f>
        <v>-31984.7350556951</v>
      </c>
    </row>
    <row r="28" customFormat="false" ht="15" hidden="false" customHeight="false" outlineLevel="0" collapsed="false">
      <c r="A28" s="4" t="s">
        <v>76</v>
      </c>
      <c r="C28" s="73" t="n">
        <f aca="false">C25+C26+C27</f>
        <v>-225265.48</v>
      </c>
      <c r="D28" s="73" t="n">
        <f aca="false">D25+D26+D27</f>
        <v>-225265.48</v>
      </c>
      <c r="E28" s="73" t="n">
        <f aca="false">E25+E26+E27</f>
        <v>-225265.48</v>
      </c>
      <c r="F28" s="73" t="n">
        <f aca="false">F25+F26+F27</f>
        <v>-225265.48</v>
      </c>
      <c r="G28" s="73" t="n">
        <f aca="false">G25+G26+G27</f>
        <v>-225265.48</v>
      </c>
      <c r="H28" s="73" t="n">
        <f aca="false">H25+H26+H27</f>
        <v>-225265.48</v>
      </c>
      <c r="I28" s="73" t="n">
        <f aca="false">I25+I26+I27</f>
        <v>-225265.48</v>
      </c>
      <c r="J28" s="73" t="n">
        <f aca="false">J25+J26+J27</f>
        <v>-225265.48</v>
      </c>
      <c r="K28" s="73" t="n">
        <f aca="false">K25+K26+K27</f>
        <v>-225265.48</v>
      </c>
      <c r="L28" s="73" t="n">
        <f aca="false">L25+L26+L27</f>
        <v>-225265.48</v>
      </c>
      <c r="M28" s="73" t="n">
        <f aca="false">M25+M26+M27</f>
        <v>-225265.48</v>
      </c>
      <c r="N28" s="73" t="n">
        <f aca="false">N25+N26+N27</f>
        <v>-225265.48</v>
      </c>
      <c r="O28" s="73" t="n">
        <f aca="false">O25+O26+O27</f>
        <v>-290835.90468</v>
      </c>
      <c r="P28" s="73" t="n">
        <f aca="false">P25+P26+P27</f>
        <v>-290835.90468</v>
      </c>
      <c r="Q28" s="73" t="n">
        <f aca="false">Q25+Q26+Q27</f>
        <v>-290835.90468</v>
      </c>
      <c r="R28" s="73" t="n">
        <f aca="false">R25+R26+R27</f>
        <v>-290835.90468</v>
      </c>
      <c r="S28" s="73" t="n">
        <f aca="false">S25+S26+S27</f>
        <v>-290835.90468</v>
      </c>
      <c r="T28" s="73" t="n">
        <f aca="false">T25+T26+T27</f>
        <v>-290835.90468</v>
      </c>
      <c r="U28" s="73" t="n">
        <f aca="false">U25+U26+U27</f>
        <v>-290835.90468</v>
      </c>
      <c r="V28" s="73" t="n">
        <f aca="false">V25+V26+V27</f>
        <v>-290835.90468</v>
      </c>
      <c r="W28" s="73" t="n">
        <f aca="false">W25+W26+W27</f>
        <v>-290835.90468</v>
      </c>
      <c r="X28" s="73" t="n">
        <f aca="false">X25+X26+X27</f>
        <v>-290835.90468</v>
      </c>
      <c r="Y28" s="73" t="n">
        <f aca="false">Y25+Y26+Y27</f>
        <v>-290835.90468</v>
      </c>
      <c r="Z28" s="73" t="n">
        <f aca="false">Z25+Z26+Z27</f>
        <v>-290835.90468</v>
      </c>
      <c r="AA28" s="73" t="n">
        <f aca="false">AA25+AA26+AA27</f>
        <v>-376087.18408908</v>
      </c>
      <c r="AB28" s="73" t="n">
        <f aca="false">AB25+AB26+AB27</f>
        <v>-376087.18408908</v>
      </c>
      <c r="AC28" s="73" t="n">
        <f aca="false">AC25+AC26+AC27</f>
        <v>-376087.18408908</v>
      </c>
      <c r="AD28" s="73" t="n">
        <f aca="false">AD25+AD26+AD27</f>
        <v>-376087.18408908</v>
      </c>
      <c r="AE28" s="73" t="n">
        <f aca="false">AE25+AE26+AE27</f>
        <v>-376087.18408908</v>
      </c>
      <c r="AF28" s="73" t="n">
        <f aca="false">AF25+AF26+AF27</f>
        <v>-376087.18408908</v>
      </c>
      <c r="AG28" s="73" t="n">
        <f aca="false">AG25+AG26+AG27</f>
        <v>-376087.18408908</v>
      </c>
      <c r="AH28" s="73" t="n">
        <f aca="false">AH25+AH26+AH27</f>
        <v>-376087.18408908</v>
      </c>
      <c r="AI28" s="73" t="n">
        <f aca="false">AI25+AI26+AI27</f>
        <v>-376087.18408908</v>
      </c>
      <c r="AJ28" s="73" t="n">
        <f aca="false">AJ25+AJ26+AJ27</f>
        <v>-376087.18408908</v>
      </c>
      <c r="AK28" s="73" t="n">
        <f aca="false">AK25+AK26+AK27</f>
        <v>-376087.18408908</v>
      </c>
      <c r="AL28" s="73" t="n">
        <f aca="false">AL25+AL26+AL27</f>
        <v>-376087.18408908</v>
      </c>
      <c r="AM28" s="73" t="n">
        <f aca="false">AM25+AM26+AM27</f>
        <v>-487089.913440362</v>
      </c>
      <c r="AN28" s="73" t="n">
        <f aca="false">AN25+AN26+AN27</f>
        <v>-487089.913440362</v>
      </c>
      <c r="AO28" s="73" t="n">
        <f aca="false">AO25+AO26+AO27</f>
        <v>-487089.913440362</v>
      </c>
      <c r="AP28" s="73" t="n">
        <f aca="false">AP25+AP26+AP27</f>
        <v>-487089.913440362</v>
      </c>
      <c r="AQ28" s="73" t="n">
        <f aca="false">AQ25+AQ26+AQ27</f>
        <v>-487089.913440362</v>
      </c>
      <c r="AR28" s="73" t="n">
        <f aca="false">AR25+AR26+AR27</f>
        <v>-487089.913440362</v>
      </c>
      <c r="AS28" s="73" t="n">
        <f aca="false">AS25+AS26+AS27</f>
        <v>-487089.913440362</v>
      </c>
      <c r="AT28" s="73" t="n">
        <f aca="false">AT25+AT26+AT27</f>
        <v>-487089.913440362</v>
      </c>
      <c r="AU28" s="73" t="n">
        <f aca="false">AU25+AU26+AU27</f>
        <v>-487089.913440362</v>
      </c>
      <c r="AV28" s="73" t="n">
        <f aca="false">AV25+AV26+AV27</f>
        <v>-487089.913440362</v>
      </c>
      <c r="AW28" s="73" t="n">
        <f aca="false">AW25+AW26+AW27</f>
        <v>-487089.913440362</v>
      </c>
      <c r="AX28" s="73" t="n">
        <f aca="false">AX25+AX26+AX27</f>
        <v>-487089.913440362</v>
      </c>
      <c r="AY28" s="73" t="n">
        <f aca="false">AY25+AY26+AY27</f>
        <v>-631830.733092769</v>
      </c>
      <c r="AZ28" s="73" t="n">
        <f aca="false">AZ25+AZ26+AZ27</f>
        <v>-631830.733092769</v>
      </c>
      <c r="BA28" s="73" t="n">
        <f aca="false">BA25+BA26+BA27</f>
        <v>-631830.733092769</v>
      </c>
      <c r="BB28" s="73" t="n">
        <f aca="false">BB25+BB26+BB27</f>
        <v>-631830.733092769</v>
      </c>
      <c r="BC28" s="73" t="n">
        <f aca="false">BC25+BC26+BC27</f>
        <v>-631830.733092769</v>
      </c>
      <c r="BD28" s="73" t="n">
        <f aca="false">BD25+BD26+BD27</f>
        <v>-631830.733092769</v>
      </c>
      <c r="BE28" s="73" t="n">
        <f aca="false">BE25+BE26+BE27</f>
        <v>-631830.733092769</v>
      </c>
      <c r="BF28" s="73" t="n">
        <f aca="false">BF25+BF26+BF27</f>
        <v>-631830.733092769</v>
      </c>
      <c r="BG28" s="73" t="n">
        <f aca="false">BG25+BG26+BG27</f>
        <v>-631830.733092769</v>
      </c>
      <c r="BH28" s="73" t="n">
        <f aca="false">BH25+BH26+BH27</f>
        <v>-631830.733092769</v>
      </c>
      <c r="BI28" s="73" t="n">
        <f aca="false">BI25+BI26+BI27</f>
        <v>-631830.733092769</v>
      </c>
      <c r="BJ28" s="73" t="n">
        <f aca="false">BJ25+BJ26+BJ27</f>
        <v>-631830.733092769</v>
      </c>
    </row>
    <row r="29" customFormat="false" ht="15" hidden="false" customHeight="false" outlineLevel="0" collapsed="false">
      <c r="A29" s="113" t="s">
        <v>45</v>
      </c>
      <c r="C29" s="68" t="n">
        <f aca="false">C22+C28</f>
        <v>150250.52</v>
      </c>
      <c r="D29" s="68" t="n">
        <f aca="false">D22+D28</f>
        <v>150250.52</v>
      </c>
      <c r="E29" s="68" t="n">
        <f aca="false">E22+E28</f>
        <v>150250.52</v>
      </c>
      <c r="F29" s="68" t="n">
        <f aca="false">F22+F28</f>
        <v>150250.52</v>
      </c>
      <c r="G29" s="68" t="n">
        <f aca="false">G22+G28</f>
        <v>150250.52</v>
      </c>
      <c r="H29" s="68" t="n">
        <f aca="false">H22+H28</f>
        <v>150250.52</v>
      </c>
      <c r="I29" s="68" t="n">
        <f aca="false">I22+I28</f>
        <v>150250.52</v>
      </c>
      <c r="J29" s="68" t="n">
        <f aca="false">J22+J28</f>
        <v>150250.52</v>
      </c>
      <c r="K29" s="68" t="n">
        <f aca="false">K22+K28</f>
        <v>150250.52</v>
      </c>
      <c r="L29" s="68" t="n">
        <f aca="false">L22+L28</f>
        <v>150250.52</v>
      </c>
      <c r="M29" s="68" t="n">
        <f aca="false">M22+M28</f>
        <v>150250.52</v>
      </c>
      <c r="N29" s="68" t="n">
        <f aca="false">N22+N28</f>
        <v>150250.52</v>
      </c>
      <c r="O29" s="68" t="n">
        <f aca="false">O22+O28</f>
        <v>195494.25132</v>
      </c>
      <c r="P29" s="68" t="n">
        <f aca="false">P22+P28</f>
        <v>195494.25132</v>
      </c>
      <c r="Q29" s="68" t="n">
        <f aca="false">Q22+Q28</f>
        <v>195494.25132</v>
      </c>
      <c r="R29" s="68" t="n">
        <f aca="false">R22+R28</f>
        <v>195494.25132</v>
      </c>
      <c r="S29" s="68" t="n">
        <f aca="false">S22+S28</f>
        <v>195494.25132</v>
      </c>
      <c r="T29" s="68" t="n">
        <f aca="false">T22+T28</f>
        <v>195494.25132</v>
      </c>
      <c r="U29" s="68" t="n">
        <f aca="false">U22+U28</f>
        <v>195494.25132</v>
      </c>
      <c r="V29" s="68" t="n">
        <f aca="false">V22+V28</f>
        <v>195494.25132</v>
      </c>
      <c r="W29" s="68" t="n">
        <f aca="false">W22+W28</f>
        <v>195494.25132</v>
      </c>
      <c r="X29" s="68" t="n">
        <f aca="false">X22+X28</f>
        <v>195494.25132</v>
      </c>
      <c r="Y29" s="68" t="n">
        <f aca="false">Y22+Y28</f>
        <v>195494.25132</v>
      </c>
      <c r="Z29" s="68" t="n">
        <f aca="false">Z22+Z28</f>
        <v>195494.25132</v>
      </c>
      <c r="AA29" s="68" t="n">
        <f aca="false">AA22+AA28</f>
        <v>254732.48554692</v>
      </c>
      <c r="AB29" s="68" t="n">
        <f aca="false">AB22+AB28</f>
        <v>254732.48554692</v>
      </c>
      <c r="AC29" s="68" t="n">
        <f aca="false">AC22+AC28</f>
        <v>254732.48554692</v>
      </c>
      <c r="AD29" s="68" t="n">
        <f aca="false">AD22+AD28</f>
        <v>254732.48554692</v>
      </c>
      <c r="AE29" s="68" t="n">
        <f aca="false">AE22+AE28</f>
        <v>254732.48554692</v>
      </c>
      <c r="AF29" s="68" t="n">
        <f aca="false">AF22+AF28</f>
        <v>254732.48554692</v>
      </c>
      <c r="AG29" s="68" t="n">
        <f aca="false">AG22+AG28</f>
        <v>254732.48554692</v>
      </c>
      <c r="AH29" s="68" t="n">
        <f aca="false">AH22+AH28</f>
        <v>254732.48554692</v>
      </c>
      <c r="AI29" s="68" t="n">
        <f aca="false">AI22+AI28</f>
        <v>254732.48554692</v>
      </c>
      <c r="AJ29" s="68" t="n">
        <f aca="false">AJ22+AJ28</f>
        <v>254732.48554692</v>
      </c>
      <c r="AK29" s="68" t="n">
        <f aca="false">AK22+AK28</f>
        <v>254732.48554692</v>
      </c>
      <c r="AL29" s="68" t="n">
        <f aca="false">AL22+AL28</f>
        <v>254732.48554692</v>
      </c>
      <c r="AM29" s="68" t="n">
        <f aca="false">AM22+AM28</f>
        <v>332392.382371714</v>
      </c>
      <c r="AN29" s="68" t="n">
        <f aca="false">AN22+AN28</f>
        <v>332392.382371714</v>
      </c>
      <c r="AO29" s="68" t="n">
        <f aca="false">AO22+AO28</f>
        <v>332392.382371714</v>
      </c>
      <c r="AP29" s="68" t="n">
        <f aca="false">AP22+AP28</f>
        <v>332392.382371714</v>
      </c>
      <c r="AQ29" s="68" t="n">
        <f aca="false">AQ22+AQ28</f>
        <v>332392.382371714</v>
      </c>
      <c r="AR29" s="68" t="n">
        <f aca="false">AR22+AR28</f>
        <v>332392.382371714</v>
      </c>
      <c r="AS29" s="68" t="n">
        <f aca="false">AS22+AS28</f>
        <v>332392.382371714</v>
      </c>
      <c r="AT29" s="68" t="n">
        <f aca="false">AT22+AT28</f>
        <v>332392.382371714</v>
      </c>
      <c r="AU29" s="68" t="n">
        <f aca="false">AU22+AU28</f>
        <v>332392.382371714</v>
      </c>
      <c r="AV29" s="68" t="n">
        <f aca="false">AV22+AV28</f>
        <v>332392.382371714</v>
      </c>
      <c r="AW29" s="68" t="n">
        <f aca="false">AW22+AW28</f>
        <v>332392.382371714</v>
      </c>
      <c r="AX29" s="68" t="n">
        <f aca="false">AX22+AX28</f>
        <v>332392.382371714</v>
      </c>
      <c r="AY29" s="68" t="n">
        <f aca="false">AY22+AY28</f>
        <v>434327.102097068</v>
      </c>
      <c r="AZ29" s="68" t="n">
        <f aca="false">AZ22+AZ28</f>
        <v>434327.102097068</v>
      </c>
      <c r="BA29" s="68" t="n">
        <f aca="false">BA22+BA28</f>
        <v>434327.102097068</v>
      </c>
      <c r="BB29" s="68" t="n">
        <f aca="false">BB22+BB28</f>
        <v>434327.102097068</v>
      </c>
      <c r="BC29" s="68" t="n">
        <f aca="false">BC22+BC28</f>
        <v>434327.102097068</v>
      </c>
      <c r="BD29" s="68" t="n">
        <f aca="false">BD22+BD28</f>
        <v>434327.102097068</v>
      </c>
      <c r="BE29" s="68" t="n">
        <f aca="false">BE22+BE28</f>
        <v>434327.102097068</v>
      </c>
      <c r="BF29" s="68" t="n">
        <f aca="false">BF22+BF28</f>
        <v>434327.102097068</v>
      </c>
      <c r="BG29" s="68" t="n">
        <f aca="false">BG22+BG28</f>
        <v>434327.102097068</v>
      </c>
      <c r="BH29" s="68" t="n">
        <f aca="false">BH22+BH28</f>
        <v>434327.102097068</v>
      </c>
      <c r="BI29" s="68" t="n">
        <f aca="false">BI22+BI28</f>
        <v>434327.102097068</v>
      </c>
      <c r="BJ29" s="68" t="n">
        <f aca="false">BJ22+BJ28</f>
        <v>434327.102097068</v>
      </c>
    </row>
    <row r="31" customFormat="false" ht="15.7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327</v>
      </c>
      <c r="C32" s="67" t="n">
        <f aca="false">Headcount!C19-Headcount!C15-Headcount!C16</f>
        <v>-36500</v>
      </c>
      <c r="D32" s="67" t="n">
        <f aca="false">Headcount!D19-Headcount!D15-Headcount!D16</f>
        <v>-36500</v>
      </c>
      <c r="E32" s="67" t="n">
        <f aca="false">Headcount!E19-Headcount!E15-Headcount!E16</f>
        <v>-36500</v>
      </c>
      <c r="F32" s="67" t="n">
        <f aca="false">Headcount!F19-Headcount!F15-Headcount!F16</f>
        <v>-36500</v>
      </c>
      <c r="G32" s="67" t="n">
        <f aca="false">Headcount!G19-Headcount!G15-Headcount!G16</f>
        <v>-36500</v>
      </c>
      <c r="H32" s="67" t="n">
        <f aca="false">Headcount!H19-Headcount!H15-Headcount!H16</f>
        <v>-36500</v>
      </c>
      <c r="I32" s="67" t="n">
        <f aca="false">Headcount!I19-Headcount!I15-Headcount!I16</f>
        <v>-36500</v>
      </c>
      <c r="J32" s="67" t="n">
        <f aca="false">Headcount!J19-Headcount!J15-Headcount!J16</f>
        <v>-36500</v>
      </c>
      <c r="K32" s="67" t="n">
        <f aca="false">Headcount!K19-Headcount!K15-Headcount!K16</f>
        <v>-36500</v>
      </c>
      <c r="L32" s="67" t="n">
        <f aca="false">Headcount!L19-Headcount!L15-Headcount!L16</f>
        <v>-36500</v>
      </c>
      <c r="M32" s="67" t="n">
        <f aca="false">Headcount!M19-Headcount!M15-Headcount!M16</f>
        <v>-36500</v>
      </c>
      <c r="N32" s="67" t="n">
        <f aca="false">Headcount!N19-Headcount!N15-Headcount!N16</f>
        <v>-36500</v>
      </c>
      <c r="O32" s="67" t="n">
        <f aca="false">Headcount!O19-Headcount!O15-Headcount!O16</f>
        <v>-44109.75</v>
      </c>
      <c r="P32" s="67" t="n">
        <f aca="false">Headcount!P19-Headcount!P15-Headcount!P16</f>
        <v>-44109.75</v>
      </c>
      <c r="Q32" s="67" t="n">
        <f aca="false">Headcount!Q19-Headcount!Q15-Headcount!Q16</f>
        <v>-44109.75</v>
      </c>
      <c r="R32" s="67" t="n">
        <f aca="false">Headcount!R19-Headcount!R15-Headcount!R16</f>
        <v>-44109.75</v>
      </c>
      <c r="S32" s="67" t="n">
        <f aca="false">Headcount!S19-Headcount!S15-Headcount!S16</f>
        <v>-44109.75</v>
      </c>
      <c r="T32" s="67" t="n">
        <f aca="false">Headcount!T19-Headcount!T15-Headcount!T16</f>
        <v>-44109.75</v>
      </c>
      <c r="U32" s="67" t="n">
        <f aca="false">Headcount!U19-Headcount!U15-Headcount!U16</f>
        <v>-44109.75</v>
      </c>
      <c r="V32" s="67" t="n">
        <f aca="false">Headcount!V19-Headcount!V15-Headcount!V16</f>
        <v>-44109.75</v>
      </c>
      <c r="W32" s="67" t="n">
        <f aca="false">Headcount!W19-Headcount!W15-Headcount!W16</f>
        <v>-44109.75</v>
      </c>
      <c r="X32" s="67" t="n">
        <f aca="false">Headcount!X19-Headcount!X15-Headcount!X16</f>
        <v>-44109.75</v>
      </c>
      <c r="Y32" s="67" t="n">
        <f aca="false">Headcount!Y19-Headcount!Y15-Headcount!Y16</f>
        <v>-44109.75</v>
      </c>
      <c r="Z32" s="67" t="n">
        <f aca="false">Headcount!Z19-Headcount!Z15-Headcount!Z16</f>
        <v>-44109.75</v>
      </c>
      <c r="AA32" s="67" t="n">
        <f aca="false">Headcount!AA19-Headcount!AA15-Headcount!AA16</f>
        <v>-53330.116875</v>
      </c>
      <c r="AB32" s="67" t="n">
        <f aca="false">Headcount!AB19-Headcount!AB15-Headcount!AB16</f>
        <v>-53330.116875</v>
      </c>
      <c r="AC32" s="67" t="n">
        <f aca="false">Headcount!AC19-Headcount!AC15-Headcount!AC16</f>
        <v>-53330.116875</v>
      </c>
      <c r="AD32" s="67" t="n">
        <f aca="false">Headcount!AD19-Headcount!AD15-Headcount!AD16</f>
        <v>-53330.116875</v>
      </c>
      <c r="AE32" s="67" t="n">
        <f aca="false">Headcount!AE19-Headcount!AE15-Headcount!AE16</f>
        <v>-53330.116875</v>
      </c>
      <c r="AF32" s="67" t="n">
        <f aca="false">Headcount!AF19-Headcount!AF15-Headcount!AF16</f>
        <v>-53330.116875</v>
      </c>
      <c r="AG32" s="67" t="n">
        <f aca="false">Headcount!AG19-Headcount!AG15-Headcount!AG16</f>
        <v>-53330.116875</v>
      </c>
      <c r="AH32" s="67" t="n">
        <f aca="false">Headcount!AH19-Headcount!AH15-Headcount!AH16</f>
        <v>-53330.116875</v>
      </c>
      <c r="AI32" s="67" t="n">
        <f aca="false">Headcount!AI19-Headcount!AI15-Headcount!AI16</f>
        <v>-53330.116875</v>
      </c>
      <c r="AJ32" s="67" t="n">
        <f aca="false">Headcount!AJ19-Headcount!AJ15-Headcount!AJ16</f>
        <v>-53330.116875</v>
      </c>
      <c r="AK32" s="67" t="n">
        <f aca="false">Headcount!AK19-Headcount!AK15-Headcount!AK16</f>
        <v>-53330.116875</v>
      </c>
      <c r="AL32" s="67" t="n">
        <f aca="false">Headcount!AL19-Headcount!AL15-Headcount!AL16</f>
        <v>-53330.116875</v>
      </c>
      <c r="AM32" s="67" t="n">
        <f aca="false">Headcount!AM19-Headcount!AM15-Headcount!AM16</f>
        <v>-64507.0212864374</v>
      </c>
      <c r="AN32" s="67" t="n">
        <f aca="false">Headcount!AN19-Headcount!AN15-Headcount!AN16</f>
        <v>-64507.0212864374</v>
      </c>
      <c r="AO32" s="67" t="n">
        <f aca="false">Headcount!AO19-Headcount!AO15-Headcount!AO16</f>
        <v>-64507.0212864374</v>
      </c>
      <c r="AP32" s="67" t="n">
        <f aca="false">Headcount!AP19-Headcount!AP15-Headcount!AP16</f>
        <v>-64507.0212864374</v>
      </c>
      <c r="AQ32" s="67" t="n">
        <f aca="false">Headcount!AQ19-Headcount!AQ15-Headcount!AQ16</f>
        <v>-64507.0212864374</v>
      </c>
      <c r="AR32" s="67" t="n">
        <f aca="false">Headcount!AR19-Headcount!AR15-Headcount!AR16</f>
        <v>-64507.0212864374</v>
      </c>
      <c r="AS32" s="67" t="n">
        <f aca="false">Headcount!AS19-Headcount!AS15-Headcount!AS16</f>
        <v>-64507.0212864374</v>
      </c>
      <c r="AT32" s="67" t="n">
        <f aca="false">Headcount!AT19-Headcount!AT15-Headcount!AT16</f>
        <v>-64507.0212864374</v>
      </c>
      <c r="AU32" s="67" t="n">
        <f aca="false">Headcount!AU19-Headcount!AU15-Headcount!AU16</f>
        <v>-64507.0212864374</v>
      </c>
      <c r="AV32" s="67" t="n">
        <f aca="false">Headcount!AV19-Headcount!AV15-Headcount!AV16</f>
        <v>-64507.0212864374</v>
      </c>
      <c r="AW32" s="67" t="n">
        <f aca="false">Headcount!AW19-Headcount!AW15-Headcount!AW16</f>
        <v>-64507.0212864374</v>
      </c>
      <c r="AX32" s="67" t="n">
        <f aca="false">Headcount!AX19-Headcount!AX15-Headcount!AX16</f>
        <v>-64507.0212864374</v>
      </c>
      <c r="AY32" s="67" t="n">
        <f aca="false">Headcount!AY19-Headcount!AY15-Headcount!AY16</f>
        <v>-78061.7140539133</v>
      </c>
      <c r="AZ32" s="67" t="n">
        <f aca="false">Headcount!AZ19-Headcount!AZ15-Headcount!AZ16</f>
        <v>-78061.7140539133</v>
      </c>
      <c r="BA32" s="67" t="n">
        <f aca="false">Headcount!BA19-Headcount!BA15-Headcount!BA16</f>
        <v>-78061.7140539133</v>
      </c>
      <c r="BB32" s="67" t="n">
        <f aca="false">Headcount!BB19-Headcount!BB15-Headcount!BB16</f>
        <v>-78061.7140539133</v>
      </c>
      <c r="BC32" s="67" t="n">
        <f aca="false">Headcount!BC19-Headcount!BC15-Headcount!BC16</f>
        <v>-78061.7140539133</v>
      </c>
      <c r="BD32" s="67" t="n">
        <f aca="false">Headcount!BD19-Headcount!BD15-Headcount!BD16</f>
        <v>-78061.7140539133</v>
      </c>
      <c r="BE32" s="67" t="n">
        <f aca="false">Headcount!BE19-Headcount!BE15-Headcount!BE16</f>
        <v>-78061.7140539133</v>
      </c>
      <c r="BF32" s="67" t="n">
        <f aca="false">Headcount!BF19-Headcount!BF15-Headcount!BF16</f>
        <v>-78061.7140539133</v>
      </c>
      <c r="BG32" s="67" t="n">
        <f aca="false">Headcount!BG19-Headcount!BG15-Headcount!BG16</f>
        <v>-78061.7140539133</v>
      </c>
      <c r="BH32" s="67" t="n">
        <f aca="false">Headcount!BH19-Headcount!BH15-Headcount!BH16</f>
        <v>-78061.7140539133</v>
      </c>
      <c r="BI32" s="67" t="n">
        <f aca="false">Headcount!BI19-Headcount!BI15-Headcount!BI16</f>
        <v>-78061.7140539133</v>
      </c>
      <c r="BJ32" s="67" t="n">
        <f aca="false">Headcount!BJ19-Headcount!BJ15-Headcount!BJ16</f>
        <v>-78061.7140539133</v>
      </c>
    </row>
    <row r="33" customFormat="false" ht="15" hidden="false" customHeight="false" outlineLevel="0" collapsed="false">
      <c r="A33" s="6" t="s">
        <v>328</v>
      </c>
      <c r="C33" s="67" t="n">
        <f aca="false">-Inputs!$E$28*1</f>
        <v>-8000</v>
      </c>
      <c r="D33" s="67" t="n">
        <f aca="false">-Inputs!$E$28*1</f>
        <v>-8000</v>
      </c>
      <c r="E33" s="67" t="n">
        <f aca="false">-Inputs!$E$28*1</f>
        <v>-8000</v>
      </c>
      <c r="F33" s="67" t="n">
        <f aca="false">-Inputs!$E$28*1</f>
        <v>-8000</v>
      </c>
      <c r="G33" s="67" t="n">
        <f aca="false">-Inputs!$E$28*1</f>
        <v>-8000</v>
      </c>
      <c r="H33" s="67" t="n">
        <f aca="false">-Inputs!$E$28*1</f>
        <v>-8000</v>
      </c>
      <c r="I33" s="67" t="n">
        <f aca="false">-Inputs!$E$28*1</f>
        <v>-8000</v>
      </c>
      <c r="J33" s="67" t="n">
        <f aca="false">-Inputs!$E$28*1</f>
        <v>-8000</v>
      </c>
      <c r="K33" s="67" t="n">
        <f aca="false">-Inputs!$E$28*1</f>
        <v>-8000</v>
      </c>
      <c r="L33" s="67" t="n">
        <f aca="false">-Inputs!$E$28*1</f>
        <v>-8000</v>
      </c>
      <c r="M33" s="67" t="n">
        <f aca="false">-Inputs!$E$28*1</f>
        <v>-8000</v>
      </c>
      <c r="N33" s="67" t="n">
        <f aca="false">-Inputs!$E$28*1</f>
        <v>-8000</v>
      </c>
      <c r="O33" s="67" t="n">
        <f aca="false">-Inputs!$E$28*1</f>
        <v>-8000</v>
      </c>
      <c r="P33" s="67" t="n">
        <f aca="false">-Inputs!$E$28*1</f>
        <v>-8000</v>
      </c>
      <c r="Q33" s="67" t="n">
        <f aca="false">-Inputs!$E$28*1</f>
        <v>-8000</v>
      </c>
      <c r="R33" s="67" t="n">
        <f aca="false">-Inputs!$E$28*1</f>
        <v>-8000</v>
      </c>
      <c r="S33" s="67" t="n">
        <f aca="false">-Inputs!$E$28*1</f>
        <v>-8000</v>
      </c>
      <c r="T33" s="67" t="n">
        <f aca="false">-Inputs!$E$28*1</f>
        <v>-8000</v>
      </c>
      <c r="U33" s="67" t="n">
        <f aca="false">-Inputs!$E$28*1</f>
        <v>-8000</v>
      </c>
      <c r="V33" s="67" t="n">
        <f aca="false">-Inputs!$E$28*1</f>
        <v>-8000</v>
      </c>
      <c r="W33" s="67" t="n">
        <f aca="false">-Inputs!$E$28*1</f>
        <v>-8000</v>
      </c>
      <c r="X33" s="67" t="n">
        <f aca="false">-Inputs!$E$28*1</f>
        <v>-8000</v>
      </c>
      <c r="Y33" s="67" t="n">
        <f aca="false">-Inputs!$E$28*1</f>
        <v>-8000</v>
      </c>
      <c r="Z33" s="67" t="n">
        <f aca="false">-Inputs!$E$28*1</f>
        <v>-8000</v>
      </c>
      <c r="AA33" s="67" t="n">
        <f aca="false">-Inputs!$E$28*1</f>
        <v>-8000</v>
      </c>
      <c r="AB33" s="67" t="n">
        <f aca="false">-Inputs!$E$28*1</f>
        <v>-8000</v>
      </c>
      <c r="AC33" s="67" t="n">
        <f aca="false">-Inputs!$E$28*1</f>
        <v>-8000</v>
      </c>
      <c r="AD33" s="67" t="n">
        <f aca="false">-Inputs!$E$28*1</f>
        <v>-8000</v>
      </c>
      <c r="AE33" s="67" t="n">
        <f aca="false">-Inputs!$E$28*1</f>
        <v>-8000</v>
      </c>
      <c r="AF33" s="67" t="n">
        <f aca="false">-Inputs!$E$28*1</f>
        <v>-8000</v>
      </c>
      <c r="AG33" s="67" t="n">
        <f aca="false">-Inputs!$E$28*1</f>
        <v>-8000</v>
      </c>
      <c r="AH33" s="67" t="n">
        <f aca="false">-Inputs!$E$28*1</f>
        <v>-8000</v>
      </c>
      <c r="AI33" s="67" t="n">
        <f aca="false">-Inputs!$E$28*1</f>
        <v>-8000</v>
      </c>
      <c r="AJ33" s="67" t="n">
        <f aca="false">-Inputs!$E$28*1</f>
        <v>-8000</v>
      </c>
      <c r="AK33" s="67" t="n">
        <f aca="false">-Inputs!$E$28*1</f>
        <v>-8000</v>
      </c>
      <c r="AL33" s="67" t="n">
        <f aca="false">-Inputs!$E$28*1</f>
        <v>-8000</v>
      </c>
      <c r="AM33" s="67" t="n">
        <f aca="false">-Inputs!$E$28*1</f>
        <v>-8000</v>
      </c>
      <c r="AN33" s="67" t="n">
        <f aca="false">-Inputs!$E$28*1</f>
        <v>-8000</v>
      </c>
      <c r="AO33" s="67" t="n">
        <f aca="false">-Inputs!$E$28*1</f>
        <v>-8000</v>
      </c>
      <c r="AP33" s="67" t="n">
        <f aca="false">-Inputs!$E$28*1</f>
        <v>-8000</v>
      </c>
      <c r="AQ33" s="67" t="n">
        <f aca="false">-Inputs!$E$28*1</f>
        <v>-8000</v>
      </c>
      <c r="AR33" s="67" t="n">
        <f aca="false">-Inputs!$E$28*1</f>
        <v>-8000</v>
      </c>
      <c r="AS33" s="67" t="n">
        <f aca="false">-Inputs!$E$28*1</f>
        <v>-8000</v>
      </c>
      <c r="AT33" s="67" t="n">
        <f aca="false">-Inputs!$E$28*1</f>
        <v>-8000</v>
      </c>
      <c r="AU33" s="67" t="n">
        <f aca="false">-Inputs!$E$28*1</f>
        <v>-8000</v>
      </c>
      <c r="AV33" s="67" t="n">
        <f aca="false">-Inputs!$E$28*1</f>
        <v>-8000</v>
      </c>
      <c r="AW33" s="67" t="n">
        <f aca="false">-Inputs!$E$28*1</f>
        <v>-8000</v>
      </c>
      <c r="AX33" s="67" t="n">
        <f aca="false">-Inputs!$E$28*1</f>
        <v>-8000</v>
      </c>
      <c r="AY33" s="67" t="n">
        <f aca="false">-Inputs!$E$28*1</f>
        <v>-8000</v>
      </c>
      <c r="AZ33" s="67" t="n">
        <f aca="false">-Inputs!$E$28*1</f>
        <v>-8000</v>
      </c>
      <c r="BA33" s="67" t="n">
        <f aca="false">-Inputs!$E$28*1</f>
        <v>-8000</v>
      </c>
      <c r="BB33" s="67" t="n">
        <f aca="false">-Inputs!$E$28*1</f>
        <v>-8000</v>
      </c>
      <c r="BC33" s="67" t="n">
        <f aca="false">-Inputs!$E$28*1</f>
        <v>-8000</v>
      </c>
      <c r="BD33" s="67" t="n">
        <f aca="false">-Inputs!$E$28*1</f>
        <v>-8000</v>
      </c>
      <c r="BE33" s="67" t="n">
        <f aca="false">-Inputs!$E$28*1</f>
        <v>-8000</v>
      </c>
      <c r="BF33" s="67" t="n">
        <f aca="false">-Inputs!$E$28*1</f>
        <v>-8000</v>
      </c>
      <c r="BG33" s="67" t="n">
        <f aca="false">-Inputs!$E$28*1</f>
        <v>-8000</v>
      </c>
      <c r="BH33" s="67" t="n">
        <f aca="false">-Inputs!$E$28*1</f>
        <v>-8000</v>
      </c>
      <c r="BI33" s="67" t="n">
        <f aca="false">-Inputs!$E$28*1</f>
        <v>-8000</v>
      </c>
      <c r="BJ33" s="67" t="n">
        <f aca="false">-Inputs!$E$28*1</f>
        <v>-8000</v>
      </c>
    </row>
    <row r="34" customFormat="false" ht="15" hidden="false" customHeight="false" outlineLevel="0" collapsed="false">
      <c r="A34" s="6" t="s">
        <v>329</v>
      </c>
      <c r="C34" s="67" t="n">
        <f aca="false">-Headcount!C12*Inputs!$E$27*1</f>
        <v>-4200</v>
      </c>
      <c r="D34" s="67" t="n">
        <f aca="false">-Headcount!D12*Inputs!$E$27*1</f>
        <v>-4200</v>
      </c>
      <c r="E34" s="67" t="n">
        <f aca="false">-Headcount!E12*Inputs!$E$27*1</f>
        <v>-4200</v>
      </c>
      <c r="F34" s="67" t="n">
        <f aca="false">-Headcount!F12*Inputs!$E$27*1</f>
        <v>-4200</v>
      </c>
      <c r="G34" s="67" t="n">
        <f aca="false">-Headcount!G12*Inputs!$E$27*1</f>
        <v>-4200</v>
      </c>
      <c r="H34" s="67" t="n">
        <f aca="false">-Headcount!H12*Inputs!$E$27*1</f>
        <v>-4200</v>
      </c>
      <c r="I34" s="67" t="n">
        <f aca="false">-Headcount!I12*Inputs!$E$27*1</f>
        <v>-4200</v>
      </c>
      <c r="J34" s="67" t="n">
        <f aca="false">-Headcount!J12*Inputs!$E$27*1</f>
        <v>-4200</v>
      </c>
      <c r="K34" s="67" t="n">
        <f aca="false">-Headcount!K12*Inputs!$E$27*1</f>
        <v>-4200</v>
      </c>
      <c r="L34" s="67" t="n">
        <f aca="false">-Headcount!L12*Inputs!$E$27*1</f>
        <v>-4200</v>
      </c>
      <c r="M34" s="67" t="n">
        <f aca="false">-Headcount!M12*Inputs!$E$27*1</f>
        <v>-4200</v>
      </c>
      <c r="N34" s="67" t="n">
        <f aca="false">-Headcount!N12*Inputs!$E$27*1</f>
        <v>-4200</v>
      </c>
      <c r="O34" s="67" t="n">
        <f aca="false">-Headcount!O12*Inputs!$E$27*1</f>
        <v>-5250</v>
      </c>
      <c r="P34" s="67" t="n">
        <f aca="false">-Headcount!P12*Inputs!$E$27*1</f>
        <v>-5250</v>
      </c>
      <c r="Q34" s="67" t="n">
        <f aca="false">-Headcount!Q12*Inputs!$E$27*1</f>
        <v>-5250</v>
      </c>
      <c r="R34" s="67" t="n">
        <f aca="false">-Headcount!R12*Inputs!$E$27*1</f>
        <v>-5250</v>
      </c>
      <c r="S34" s="67" t="n">
        <f aca="false">-Headcount!S12*Inputs!$E$27*1</f>
        <v>-5250</v>
      </c>
      <c r="T34" s="67" t="n">
        <f aca="false">-Headcount!T12*Inputs!$E$27*1</f>
        <v>-5250</v>
      </c>
      <c r="U34" s="67" t="n">
        <f aca="false">-Headcount!U12*Inputs!$E$27*1</f>
        <v>-5250</v>
      </c>
      <c r="V34" s="67" t="n">
        <f aca="false">-Headcount!V12*Inputs!$E$27*1</f>
        <v>-5250</v>
      </c>
      <c r="W34" s="67" t="n">
        <f aca="false">-Headcount!W12*Inputs!$E$27*1</f>
        <v>-5250</v>
      </c>
      <c r="X34" s="67" t="n">
        <f aca="false">-Headcount!X12*Inputs!$E$27*1</f>
        <v>-5250</v>
      </c>
      <c r="Y34" s="67" t="n">
        <f aca="false">-Headcount!Y12*Inputs!$E$27*1</f>
        <v>-5250</v>
      </c>
      <c r="Z34" s="67" t="n">
        <f aca="false">-Headcount!Z12*Inputs!$E$27*1</f>
        <v>-5250</v>
      </c>
      <c r="AA34" s="67" t="n">
        <f aca="false">-Headcount!AA12*Inputs!$E$27*1</f>
        <v>-6577.5</v>
      </c>
      <c r="AB34" s="67" t="n">
        <f aca="false">-Headcount!AB12*Inputs!$E$27*1</f>
        <v>-6577.5</v>
      </c>
      <c r="AC34" s="67" t="n">
        <f aca="false">-Headcount!AC12*Inputs!$E$27*1</f>
        <v>-6577.5</v>
      </c>
      <c r="AD34" s="67" t="n">
        <f aca="false">-Headcount!AD12*Inputs!$E$27*1</f>
        <v>-6577.5</v>
      </c>
      <c r="AE34" s="67" t="n">
        <f aca="false">-Headcount!AE12*Inputs!$E$27*1</f>
        <v>-6577.5</v>
      </c>
      <c r="AF34" s="67" t="n">
        <f aca="false">-Headcount!AF12*Inputs!$E$27*1</f>
        <v>-6577.5</v>
      </c>
      <c r="AG34" s="67" t="n">
        <f aca="false">-Headcount!AG12*Inputs!$E$27*1</f>
        <v>-6577.5</v>
      </c>
      <c r="AH34" s="67" t="n">
        <f aca="false">-Headcount!AH12*Inputs!$E$27*1</f>
        <v>-6577.5</v>
      </c>
      <c r="AI34" s="67" t="n">
        <f aca="false">-Headcount!AI12*Inputs!$E$27*1</f>
        <v>-6577.5</v>
      </c>
      <c r="AJ34" s="67" t="n">
        <f aca="false">-Headcount!AJ12*Inputs!$E$27*1</f>
        <v>-6577.5</v>
      </c>
      <c r="AK34" s="67" t="n">
        <f aca="false">-Headcount!AK12*Inputs!$E$27*1</f>
        <v>-6577.5</v>
      </c>
      <c r="AL34" s="67" t="n">
        <f aca="false">-Headcount!AL12*Inputs!$E$27*1</f>
        <v>-6577.5</v>
      </c>
      <c r="AM34" s="67" t="n">
        <f aca="false">-Headcount!AM12*Inputs!$E$27*1</f>
        <v>-8258.925</v>
      </c>
      <c r="AN34" s="67" t="n">
        <f aca="false">-Headcount!AN12*Inputs!$E$27*1</f>
        <v>-8258.925</v>
      </c>
      <c r="AO34" s="67" t="n">
        <f aca="false">-Headcount!AO12*Inputs!$E$27*1</f>
        <v>-8258.925</v>
      </c>
      <c r="AP34" s="67" t="n">
        <f aca="false">-Headcount!AP12*Inputs!$E$27*1</f>
        <v>-8258.925</v>
      </c>
      <c r="AQ34" s="67" t="n">
        <f aca="false">-Headcount!AQ12*Inputs!$E$27*1</f>
        <v>-8258.925</v>
      </c>
      <c r="AR34" s="67" t="n">
        <f aca="false">-Headcount!AR12*Inputs!$E$27*1</f>
        <v>-8258.925</v>
      </c>
      <c r="AS34" s="67" t="n">
        <f aca="false">-Headcount!AS12*Inputs!$E$27*1</f>
        <v>-8258.925</v>
      </c>
      <c r="AT34" s="67" t="n">
        <f aca="false">-Headcount!AT12*Inputs!$E$27*1</f>
        <v>-8258.925</v>
      </c>
      <c r="AU34" s="67" t="n">
        <f aca="false">-Headcount!AU12*Inputs!$E$27*1</f>
        <v>-8258.925</v>
      </c>
      <c r="AV34" s="67" t="n">
        <f aca="false">-Headcount!AV12*Inputs!$E$27*1</f>
        <v>-8258.925</v>
      </c>
      <c r="AW34" s="67" t="n">
        <f aca="false">-Headcount!AW12*Inputs!$E$27*1</f>
        <v>-8258.925</v>
      </c>
      <c r="AX34" s="67" t="n">
        <f aca="false">-Headcount!AX12*Inputs!$E$27*1</f>
        <v>-8258.925</v>
      </c>
      <c r="AY34" s="67" t="n">
        <f aca="false">-Headcount!AY12*Inputs!$E$27*1</f>
        <v>-10392.36375</v>
      </c>
      <c r="AZ34" s="67" t="n">
        <f aca="false">-Headcount!AZ12*Inputs!$E$27*1</f>
        <v>-10392.36375</v>
      </c>
      <c r="BA34" s="67" t="n">
        <f aca="false">-Headcount!BA12*Inputs!$E$27*1</f>
        <v>-10392.36375</v>
      </c>
      <c r="BB34" s="67" t="n">
        <f aca="false">-Headcount!BB12*Inputs!$E$27*1</f>
        <v>-10392.36375</v>
      </c>
      <c r="BC34" s="67" t="n">
        <f aca="false">-Headcount!BC12*Inputs!$E$27*1</f>
        <v>-10392.36375</v>
      </c>
      <c r="BD34" s="67" t="n">
        <f aca="false">-Headcount!BD12*Inputs!$E$27*1</f>
        <v>-10392.36375</v>
      </c>
      <c r="BE34" s="67" t="n">
        <f aca="false">-Headcount!BE12*Inputs!$E$27*1</f>
        <v>-10392.36375</v>
      </c>
      <c r="BF34" s="67" t="n">
        <f aca="false">-Headcount!BF12*Inputs!$E$27*1</f>
        <v>-10392.36375</v>
      </c>
      <c r="BG34" s="67" t="n">
        <f aca="false">-Headcount!BG12*Inputs!$E$27*1</f>
        <v>-10392.36375</v>
      </c>
      <c r="BH34" s="67" t="n">
        <f aca="false">-Headcount!BH12*Inputs!$E$27*1</f>
        <v>-10392.36375</v>
      </c>
      <c r="BI34" s="67" t="n">
        <f aca="false">-Headcount!BI12*Inputs!$E$27*1</f>
        <v>-10392.36375</v>
      </c>
      <c r="BJ34" s="67" t="n">
        <f aca="false">-Headcount!BJ12*Inputs!$E$27*1</f>
        <v>-10392.36375</v>
      </c>
    </row>
    <row r="35" customFormat="false" ht="15" hidden="false" customHeight="false" outlineLevel="0" collapsed="false">
      <c r="A35" s="6" t="s">
        <v>330</v>
      </c>
      <c r="C35" s="67" t="n">
        <f aca="false">-Inputs!$E$29*1</f>
        <v>-8000</v>
      </c>
      <c r="D35" s="67" t="n">
        <f aca="false">-Inputs!$E$29*1</f>
        <v>-8000</v>
      </c>
      <c r="E35" s="67" t="n">
        <f aca="false">-Inputs!$E$29*1</f>
        <v>-8000</v>
      </c>
      <c r="F35" s="67" t="n">
        <f aca="false">-Inputs!$E$29*1</f>
        <v>-8000</v>
      </c>
      <c r="G35" s="67" t="n">
        <f aca="false">-Inputs!$E$29*1</f>
        <v>-8000</v>
      </c>
      <c r="H35" s="67" t="n">
        <f aca="false">-Inputs!$E$29*1</f>
        <v>-8000</v>
      </c>
      <c r="I35" s="67" t="n">
        <f aca="false">-Inputs!$E$29*1</f>
        <v>-8000</v>
      </c>
      <c r="J35" s="67" t="n">
        <f aca="false">-Inputs!$E$29*1</f>
        <v>-8000</v>
      </c>
      <c r="K35" s="67" t="n">
        <f aca="false">-Inputs!$E$29*1</f>
        <v>-8000</v>
      </c>
      <c r="L35" s="67" t="n">
        <f aca="false">-Inputs!$E$29*1</f>
        <v>-8000</v>
      </c>
      <c r="M35" s="67" t="n">
        <f aca="false">-Inputs!$E$29*1</f>
        <v>-8000</v>
      </c>
      <c r="N35" s="67" t="n">
        <f aca="false">-Inputs!$E$29*1</f>
        <v>-8000</v>
      </c>
      <c r="O35" s="67" t="n">
        <f aca="false">-Inputs!$E$29*1</f>
        <v>-8000</v>
      </c>
      <c r="P35" s="67" t="n">
        <f aca="false">-Inputs!$E$29*1</f>
        <v>-8000</v>
      </c>
      <c r="Q35" s="67" t="n">
        <f aca="false">-Inputs!$E$29*1</f>
        <v>-8000</v>
      </c>
      <c r="R35" s="67" t="n">
        <f aca="false">-Inputs!$E$29*1</f>
        <v>-8000</v>
      </c>
      <c r="S35" s="67" t="n">
        <f aca="false">-Inputs!$E$29*1</f>
        <v>-8000</v>
      </c>
      <c r="T35" s="67" t="n">
        <f aca="false">-Inputs!$E$29*1</f>
        <v>-8000</v>
      </c>
      <c r="U35" s="67" t="n">
        <f aca="false">-Inputs!$E$29*1</f>
        <v>-8000</v>
      </c>
      <c r="V35" s="67" t="n">
        <f aca="false">-Inputs!$E$29*1</f>
        <v>-8000</v>
      </c>
      <c r="W35" s="67" t="n">
        <f aca="false">-Inputs!$E$29*1</f>
        <v>-8000</v>
      </c>
      <c r="X35" s="67" t="n">
        <f aca="false">-Inputs!$E$29*1</f>
        <v>-8000</v>
      </c>
      <c r="Y35" s="67" t="n">
        <f aca="false">-Inputs!$E$29*1</f>
        <v>-8000</v>
      </c>
      <c r="Z35" s="67" t="n">
        <f aca="false">-Inputs!$E$29*1</f>
        <v>-8000</v>
      </c>
      <c r="AA35" s="67" t="n">
        <f aca="false">-Inputs!$E$29*1</f>
        <v>-8000</v>
      </c>
      <c r="AB35" s="67" t="n">
        <f aca="false">-Inputs!$E$29*1</f>
        <v>-8000</v>
      </c>
      <c r="AC35" s="67" t="n">
        <f aca="false">-Inputs!$E$29*1</f>
        <v>-8000</v>
      </c>
      <c r="AD35" s="67" t="n">
        <f aca="false">-Inputs!$E$29*1</f>
        <v>-8000</v>
      </c>
      <c r="AE35" s="67" t="n">
        <f aca="false">-Inputs!$E$29*1</f>
        <v>-8000</v>
      </c>
      <c r="AF35" s="67" t="n">
        <f aca="false">-Inputs!$E$29*1</f>
        <v>-8000</v>
      </c>
      <c r="AG35" s="67" t="n">
        <f aca="false">-Inputs!$E$29*1</f>
        <v>-8000</v>
      </c>
      <c r="AH35" s="67" t="n">
        <f aca="false">-Inputs!$E$29*1</f>
        <v>-8000</v>
      </c>
      <c r="AI35" s="67" t="n">
        <f aca="false">-Inputs!$E$29*1</f>
        <v>-8000</v>
      </c>
      <c r="AJ35" s="67" t="n">
        <f aca="false">-Inputs!$E$29*1</f>
        <v>-8000</v>
      </c>
      <c r="AK35" s="67" t="n">
        <f aca="false">-Inputs!$E$29*1</f>
        <v>-8000</v>
      </c>
      <c r="AL35" s="67" t="n">
        <f aca="false">-Inputs!$E$29*1</f>
        <v>-8000</v>
      </c>
      <c r="AM35" s="67" t="n">
        <f aca="false">-Inputs!$E$29*1</f>
        <v>-8000</v>
      </c>
      <c r="AN35" s="67" t="n">
        <f aca="false">-Inputs!$E$29*1</f>
        <v>-8000</v>
      </c>
      <c r="AO35" s="67" t="n">
        <f aca="false">-Inputs!$E$29*1</f>
        <v>-8000</v>
      </c>
      <c r="AP35" s="67" t="n">
        <f aca="false">-Inputs!$E$29*1</f>
        <v>-8000</v>
      </c>
      <c r="AQ35" s="67" t="n">
        <f aca="false">-Inputs!$E$29*1</f>
        <v>-8000</v>
      </c>
      <c r="AR35" s="67" t="n">
        <f aca="false">-Inputs!$E$29*1</f>
        <v>-8000</v>
      </c>
      <c r="AS35" s="67" t="n">
        <f aca="false">-Inputs!$E$29*1</f>
        <v>-8000</v>
      </c>
      <c r="AT35" s="67" t="n">
        <f aca="false">-Inputs!$E$29*1</f>
        <v>-8000</v>
      </c>
      <c r="AU35" s="67" t="n">
        <f aca="false">-Inputs!$E$29*1</f>
        <v>-8000</v>
      </c>
      <c r="AV35" s="67" t="n">
        <f aca="false">-Inputs!$E$29*1</f>
        <v>-8000</v>
      </c>
      <c r="AW35" s="67" t="n">
        <f aca="false">-Inputs!$E$29*1</f>
        <v>-8000</v>
      </c>
      <c r="AX35" s="67" t="n">
        <f aca="false">-Inputs!$E$29*1</f>
        <v>-8000</v>
      </c>
      <c r="AY35" s="67" t="n">
        <f aca="false">-Inputs!$E$29*1</f>
        <v>-8000</v>
      </c>
      <c r="AZ35" s="67" t="n">
        <f aca="false">-Inputs!$E$29*1</f>
        <v>-8000</v>
      </c>
      <c r="BA35" s="67" t="n">
        <f aca="false">-Inputs!$E$29*1</f>
        <v>-8000</v>
      </c>
      <c r="BB35" s="67" t="n">
        <f aca="false">-Inputs!$E$29*1</f>
        <v>-8000</v>
      </c>
      <c r="BC35" s="67" t="n">
        <f aca="false">-Inputs!$E$29*1</f>
        <v>-8000</v>
      </c>
      <c r="BD35" s="67" t="n">
        <f aca="false">-Inputs!$E$29*1</f>
        <v>-8000</v>
      </c>
      <c r="BE35" s="67" t="n">
        <f aca="false">-Inputs!$E$29*1</f>
        <v>-8000</v>
      </c>
      <c r="BF35" s="67" t="n">
        <f aca="false">-Inputs!$E$29*1</f>
        <v>-8000</v>
      </c>
      <c r="BG35" s="67" t="n">
        <f aca="false">-Inputs!$E$29*1</f>
        <v>-8000</v>
      </c>
      <c r="BH35" s="67" t="n">
        <f aca="false">-Inputs!$E$29*1</f>
        <v>-8000</v>
      </c>
      <c r="BI35" s="67" t="n">
        <f aca="false">-Inputs!$E$29*1</f>
        <v>-8000</v>
      </c>
      <c r="BJ35" s="67" t="n">
        <f aca="false">-Inputs!$E$29*1</f>
        <v>-8000</v>
      </c>
    </row>
    <row r="36" customFormat="false" ht="15" hidden="false" customHeight="false" outlineLevel="0" collapsed="false">
      <c r="A36" s="6" t="s">
        <v>331</v>
      </c>
      <c r="C36" s="67" t="n">
        <f aca="false">-Inputs!$E$30*1</f>
        <v>-6000</v>
      </c>
      <c r="D36" s="67" t="n">
        <f aca="false">-Inputs!$E$30*1</f>
        <v>-6000</v>
      </c>
      <c r="E36" s="67" t="n">
        <f aca="false">-Inputs!$E$30*1</f>
        <v>-6000</v>
      </c>
      <c r="F36" s="67" t="n">
        <f aca="false">-Inputs!$E$30*1</f>
        <v>-6000</v>
      </c>
      <c r="G36" s="67" t="n">
        <f aca="false">-Inputs!$E$30*1</f>
        <v>-6000</v>
      </c>
      <c r="H36" s="67" t="n">
        <f aca="false">-Inputs!$E$30*1</f>
        <v>-6000</v>
      </c>
      <c r="I36" s="67" t="n">
        <f aca="false">-Inputs!$E$30*1</f>
        <v>-6000</v>
      </c>
      <c r="J36" s="67" t="n">
        <f aca="false">-Inputs!$E$30*1</f>
        <v>-6000</v>
      </c>
      <c r="K36" s="67" t="n">
        <f aca="false">-Inputs!$E$30*1</f>
        <v>-6000</v>
      </c>
      <c r="L36" s="67" t="n">
        <f aca="false">-Inputs!$E$30*1</f>
        <v>-6000</v>
      </c>
      <c r="M36" s="67" t="n">
        <f aca="false">-Inputs!$E$30*1</f>
        <v>-6000</v>
      </c>
      <c r="N36" s="67" t="n">
        <f aca="false">-Inputs!$E$30*1</f>
        <v>-6000</v>
      </c>
      <c r="O36" s="67" t="n">
        <f aca="false">-Inputs!$E$30*1</f>
        <v>-6000</v>
      </c>
      <c r="P36" s="67" t="n">
        <f aca="false">-Inputs!$E$30*1</f>
        <v>-6000</v>
      </c>
      <c r="Q36" s="67" t="n">
        <f aca="false">-Inputs!$E$30*1</f>
        <v>-6000</v>
      </c>
      <c r="R36" s="67" t="n">
        <f aca="false">-Inputs!$E$30*1</f>
        <v>-6000</v>
      </c>
      <c r="S36" s="67" t="n">
        <f aca="false">-Inputs!$E$30*1</f>
        <v>-6000</v>
      </c>
      <c r="T36" s="67" t="n">
        <f aca="false">-Inputs!$E$30*1</f>
        <v>-6000</v>
      </c>
      <c r="U36" s="67" t="n">
        <f aca="false">-Inputs!$E$30*1</f>
        <v>-6000</v>
      </c>
      <c r="V36" s="67" t="n">
        <f aca="false">-Inputs!$E$30*1</f>
        <v>-6000</v>
      </c>
      <c r="W36" s="67" t="n">
        <f aca="false">-Inputs!$E$30*1</f>
        <v>-6000</v>
      </c>
      <c r="X36" s="67" t="n">
        <f aca="false">-Inputs!$E$30*1</f>
        <v>-6000</v>
      </c>
      <c r="Y36" s="67" t="n">
        <f aca="false">-Inputs!$E$30*1</f>
        <v>-6000</v>
      </c>
      <c r="Z36" s="67" t="n">
        <f aca="false">-Inputs!$E$30*1</f>
        <v>-6000</v>
      </c>
      <c r="AA36" s="67" t="n">
        <f aca="false">-Inputs!$E$30*1</f>
        <v>-6000</v>
      </c>
      <c r="AB36" s="67" t="n">
        <f aca="false">-Inputs!$E$30*1</f>
        <v>-6000</v>
      </c>
      <c r="AC36" s="67" t="n">
        <f aca="false">-Inputs!$E$30*1</f>
        <v>-6000</v>
      </c>
      <c r="AD36" s="67" t="n">
        <f aca="false">-Inputs!$E$30*1</f>
        <v>-6000</v>
      </c>
      <c r="AE36" s="67" t="n">
        <f aca="false">-Inputs!$E$30*1</f>
        <v>-6000</v>
      </c>
      <c r="AF36" s="67" t="n">
        <f aca="false">-Inputs!$E$30*1</f>
        <v>-6000</v>
      </c>
      <c r="AG36" s="67" t="n">
        <f aca="false">-Inputs!$E$30*1</f>
        <v>-6000</v>
      </c>
      <c r="AH36" s="67" t="n">
        <f aca="false">-Inputs!$E$30*1</f>
        <v>-6000</v>
      </c>
      <c r="AI36" s="67" t="n">
        <f aca="false">-Inputs!$E$30*1</f>
        <v>-6000</v>
      </c>
      <c r="AJ36" s="67" t="n">
        <f aca="false">-Inputs!$E$30*1</f>
        <v>-6000</v>
      </c>
      <c r="AK36" s="67" t="n">
        <f aca="false">-Inputs!$E$30*1</f>
        <v>-6000</v>
      </c>
      <c r="AL36" s="67" t="n">
        <f aca="false">-Inputs!$E$30*1</f>
        <v>-6000</v>
      </c>
      <c r="AM36" s="67" t="n">
        <f aca="false">-Inputs!$E$30*1</f>
        <v>-6000</v>
      </c>
      <c r="AN36" s="67" t="n">
        <f aca="false">-Inputs!$E$30*1</f>
        <v>-6000</v>
      </c>
      <c r="AO36" s="67" t="n">
        <f aca="false">-Inputs!$E$30*1</f>
        <v>-6000</v>
      </c>
      <c r="AP36" s="67" t="n">
        <f aca="false">-Inputs!$E$30*1</f>
        <v>-6000</v>
      </c>
      <c r="AQ36" s="67" t="n">
        <f aca="false">-Inputs!$E$30*1</f>
        <v>-6000</v>
      </c>
      <c r="AR36" s="67" t="n">
        <f aca="false">-Inputs!$E$30*1</f>
        <v>-6000</v>
      </c>
      <c r="AS36" s="67" t="n">
        <f aca="false">-Inputs!$E$30*1</f>
        <v>-6000</v>
      </c>
      <c r="AT36" s="67" t="n">
        <f aca="false">-Inputs!$E$30*1</f>
        <v>-6000</v>
      </c>
      <c r="AU36" s="67" t="n">
        <f aca="false">-Inputs!$E$30*1</f>
        <v>-6000</v>
      </c>
      <c r="AV36" s="67" t="n">
        <f aca="false">-Inputs!$E$30*1</f>
        <v>-6000</v>
      </c>
      <c r="AW36" s="67" t="n">
        <f aca="false">-Inputs!$E$30*1</f>
        <v>-6000</v>
      </c>
      <c r="AX36" s="67" t="n">
        <f aca="false">-Inputs!$E$30*1</f>
        <v>-6000</v>
      </c>
      <c r="AY36" s="67" t="n">
        <f aca="false">-Inputs!$E$30*1</f>
        <v>-6000</v>
      </c>
      <c r="AZ36" s="67" t="n">
        <f aca="false">-Inputs!$E$30*1</f>
        <v>-6000</v>
      </c>
      <c r="BA36" s="67" t="n">
        <f aca="false">-Inputs!$E$30*1</f>
        <v>-6000</v>
      </c>
      <c r="BB36" s="67" t="n">
        <f aca="false">-Inputs!$E$30*1</f>
        <v>-6000</v>
      </c>
      <c r="BC36" s="67" t="n">
        <f aca="false">-Inputs!$E$30*1</f>
        <v>-6000</v>
      </c>
      <c r="BD36" s="67" t="n">
        <f aca="false">-Inputs!$E$30*1</f>
        <v>-6000</v>
      </c>
      <c r="BE36" s="67" t="n">
        <f aca="false">-Inputs!$E$30*1</f>
        <v>-6000</v>
      </c>
      <c r="BF36" s="67" t="n">
        <f aca="false">-Inputs!$E$30*1</f>
        <v>-6000</v>
      </c>
      <c r="BG36" s="67" t="n">
        <f aca="false">-Inputs!$E$30*1</f>
        <v>-6000</v>
      </c>
      <c r="BH36" s="67" t="n">
        <f aca="false">-Inputs!$E$30*1</f>
        <v>-6000</v>
      </c>
      <c r="BI36" s="67" t="n">
        <f aca="false">-Inputs!$E$30*1</f>
        <v>-6000</v>
      </c>
      <c r="BJ36" s="67" t="n">
        <f aca="false">-Inputs!$E$30*1</f>
        <v>-6000</v>
      </c>
    </row>
    <row r="37" customFormat="false" ht="15" hidden="false" customHeight="false" outlineLevel="0" collapsed="false">
      <c r="A37" s="113" t="s">
        <v>77</v>
      </c>
      <c r="C37" s="68" t="n">
        <f aca="false">C32+C33+C34+C35+C36</f>
        <v>-62700</v>
      </c>
      <c r="D37" s="68" t="n">
        <f aca="false">D32+D33+D34+D35+D36</f>
        <v>-62700</v>
      </c>
      <c r="E37" s="68" t="n">
        <f aca="false">E32+E33+E34+E35+E36</f>
        <v>-62700</v>
      </c>
      <c r="F37" s="68" t="n">
        <f aca="false">F32+F33+F34+F35+F36</f>
        <v>-62700</v>
      </c>
      <c r="G37" s="68" t="n">
        <f aca="false">G32+G33+G34+G35+G36</f>
        <v>-62700</v>
      </c>
      <c r="H37" s="68" t="n">
        <f aca="false">H32+H33+H34+H35+H36</f>
        <v>-62700</v>
      </c>
      <c r="I37" s="68" t="n">
        <f aca="false">I32+I33+I34+I35+I36</f>
        <v>-62700</v>
      </c>
      <c r="J37" s="68" t="n">
        <f aca="false">J32+J33+J34+J35+J36</f>
        <v>-62700</v>
      </c>
      <c r="K37" s="68" t="n">
        <f aca="false">K32+K33+K34+K35+K36</f>
        <v>-62700</v>
      </c>
      <c r="L37" s="68" t="n">
        <f aca="false">L32+L33+L34+L35+L36</f>
        <v>-62700</v>
      </c>
      <c r="M37" s="68" t="n">
        <f aca="false">M32+M33+M34+M35+M36</f>
        <v>-62700</v>
      </c>
      <c r="N37" s="68" t="n">
        <f aca="false">N32+N33+N34+N35+N36</f>
        <v>-62700</v>
      </c>
      <c r="O37" s="68" t="n">
        <f aca="false">O32+O33+O34+O35+O36</f>
        <v>-71359.75</v>
      </c>
      <c r="P37" s="68" t="n">
        <f aca="false">P32+P33+P34+P35+P36</f>
        <v>-71359.75</v>
      </c>
      <c r="Q37" s="68" t="n">
        <f aca="false">Q32+Q33+Q34+Q35+Q36</f>
        <v>-71359.75</v>
      </c>
      <c r="R37" s="68" t="n">
        <f aca="false">R32+R33+R34+R35+R36</f>
        <v>-71359.75</v>
      </c>
      <c r="S37" s="68" t="n">
        <f aca="false">S32+S33+S34+S35+S36</f>
        <v>-71359.75</v>
      </c>
      <c r="T37" s="68" t="n">
        <f aca="false">T32+T33+T34+T35+T36</f>
        <v>-71359.75</v>
      </c>
      <c r="U37" s="68" t="n">
        <f aca="false">U32+U33+U34+U35+U36</f>
        <v>-71359.75</v>
      </c>
      <c r="V37" s="68" t="n">
        <f aca="false">V32+V33+V34+V35+V36</f>
        <v>-71359.75</v>
      </c>
      <c r="W37" s="68" t="n">
        <f aca="false">W32+W33+W34+W35+W36</f>
        <v>-71359.75</v>
      </c>
      <c r="X37" s="68" t="n">
        <f aca="false">X32+X33+X34+X35+X36</f>
        <v>-71359.75</v>
      </c>
      <c r="Y37" s="68" t="n">
        <f aca="false">Y32+Y33+Y34+Y35+Y36</f>
        <v>-71359.75</v>
      </c>
      <c r="Z37" s="68" t="n">
        <f aca="false">Z32+Z33+Z34+Z35+Z36</f>
        <v>-71359.75</v>
      </c>
      <c r="AA37" s="68" t="n">
        <f aca="false">AA32+AA33+AA34+AA35+AA36</f>
        <v>-81907.616875</v>
      </c>
      <c r="AB37" s="68" t="n">
        <f aca="false">AB32+AB33+AB34+AB35+AB36</f>
        <v>-81907.616875</v>
      </c>
      <c r="AC37" s="68" t="n">
        <f aca="false">AC32+AC33+AC34+AC35+AC36</f>
        <v>-81907.616875</v>
      </c>
      <c r="AD37" s="68" t="n">
        <f aca="false">AD32+AD33+AD34+AD35+AD36</f>
        <v>-81907.616875</v>
      </c>
      <c r="AE37" s="68" t="n">
        <f aca="false">AE32+AE33+AE34+AE35+AE36</f>
        <v>-81907.616875</v>
      </c>
      <c r="AF37" s="68" t="n">
        <f aca="false">AF32+AF33+AF34+AF35+AF36</f>
        <v>-81907.616875</v>
      </c>
      <c r="AG37" s="68" t="n">
        <f aca="false">AG32+AG33+AG34+AG35+AG36</f>
        <v>-81907.616875</v>
      </c>
      <c r="AH37" s="68" t="n">
        <f aca="false">AH32+AH33+AH34+AH35+AH36</f>
        <v>-81907.616875</v>
      </c>
      <c r="AI37" s="68" t="n">
        <f aca="false">AI32+AI33+AI34+AI35+AI36</f>
        <v>-81907.616875</v>
      </c>
      <c r="AJ37" s="68" t="n">
        <f aca="false">AJ32+AJ33+AJ34+AJ35+AJ36</f>
        <v>-81907.616875</v>
      </c>
      <c r="AK37" s="68" t="n">
        <f aca="false">AK32+AK33+AK34+AK35+AK36</f>
        <v>-81907.616875</v>
      </c>
      <c r="AL37" s="68" t="n">
        <f aca="false">AL32+AL33+AL34+AL35+AL36</f>
        <v>-81907.616875</v>
      </c>
      <c r="AM37" s="68" t="n">
        <f aca="false">AM32+AM33+AM34+AM35+AM36</f>
        <v>-94765.9462864374</v>
      </c>
      <c r="AN37" s="68" t="n">
        <f aca="false">AN32+AN33+AN34+AN35+AN36</f>
        <v>-94765.9462864374</v>
      </c>
      <c r="AO37" s="68" t="n">
        <f aca="false">AO32+AO33+AO34+AO35+AO36</f>
        <v>-94765.9462864374</v>
      </c>
      <c r="AP37" s="68" t="n">
        <f aca="false">AP32+AP33+AP34+AP35+AP36</f>
        <v>-94765.9462864374</v>
      </c>
      <c r="AQ37" s="68" t="n">
        <f aca="false">AQ32+AQ33+AQ34+AQ35+AQ36</f>
        <v>-94765.9462864374</v>
      </c>
      <c r="AR37" s="68" t="n">
        <f aca="false">AR32+AR33+AR34+AR35+AR36</f>
        <v>-94765.9462864374</v>
      </c>
      <c r="AS37" s="68" t="n">
        <f aca="false">AS32+AS33+AS34+AS35+AS36</f>
        <v>-94765.9462864374</v>
      </c>
      <c r="AT37" s="68" t="n">
        <f aca="false">AT32+AT33+AT34+AT35+AT36</f>
        <v>-94765.9462864374</v>
      </c>
      <c r="AU37" s="68" t="n">
        <f aca="false">AU32+AU33+AU34+AU35+AU36</f>
        <v>-94765.9462864374</v>
      </c>
      <c r="AV37" s="68" t="n">
        <f aca="false">AV32+AV33+AV34+AV35+AV36</f>
        <v>-94765.9462864374</v>
      </c>
      <c r="AW37" s="68" t="n">
        <f aca="false">AW32+AW33+AW34+AW35+AW36</f>
        <v>-94765.9462864374</v>
      </c>
      <c r="AX37" s="68" t="n">
        <f aca="false">AX32+AX33+AX34+AX35+AX36</f>
        <v>-94765.9462864374</v>
      </c>
      <c r="AY37" s="68" t="n">
        <f aca="false">AY32+AY33+AY34+AY35+AY36</f>
        <v>-110454.077803913</v>
      </c>
      <c r="AZ37" s="68" t="n">
        <f aca="false">AZ32+AZ33+AZ34+AZ35+AZ36</f>
        <v>-110454.077803913</v>
      </c>
      <c r="BA37" s="68" t="n">
        <f aca="false">BA32+BA33+BA34+BA35+BA36</f>
        <v>-110454.077803913</v>
      </c>
      <c r="BB37" s="68" t="n">
        <f aca="false">BB32+BB33+BB34+BB35+BB36</f>
        <v>-110454.077803913</v>
      </c>
      <c r="BC37" s="68" t="n">
        <f aca="false">BC32+BC33+BC34+BC35+BC36</f>
        <v>-110454.077803913</v>
      </c>
      <c r="BD37" s="68" t="n">
        <f aca="false">BD32+BD33+BD34+BD35+BD36</f>
        <v>-110454.077803913</v>
      </c>
      <c r="BE37" s="68" t="n">
        <f aca="false">BE32+BE33+BE34+BE35+BE36</f>
        <v>-110454.077803913</v>
      </c>
      <c r="BF37" s="68" t="n">
        <f aca="false">BF32+BF33+BF34+BF35+BF36</f>
        <v>-110454.077803913</v>
      </c>
      <c r="BG37" s="68" t="n">
        <f aca="false">BG32+BG33+BG34+BG35+BG36</f>
        <v>-110454.077803913</v>
      </c>
      <c r="BH37" s="68" t="n">
        <f aca="false">BH32+BH33+BH34+BH35+BH36</f>
        <v>-110454.077803913</v>
      </c>
      <c r="BI37" s="68" t="n">
        <f aca="false">BI32+BI33+BI34+BI35+BI36</f>
        <v>-110454.077803913</v>
      </c>
      <c r="BJ37" s="68" t="n">
        <f aca="false">BJ32+BJ33+BJ34+BJ35+BJ36</f>
        <v>-110454.077803913</v>
      </c>
    </row>
    <row r="38" customFormat="false" ht="15" hidden="false" customHeight="false" outlineLevel="0" collapsed="false">
      <c r="A38" s="113" t="s">
        <v>48</v>
      </c>
      <c r="C38" s="68" t="n">
        <f aca="false">C29+C37</f>
        <v>87550.52</v>
      </c>
      <c r="D38" s="68" t="n">
        <f aca="false">D29+D37</f>
        <v>87550.52</v>
      </c>
      <c r="E38" s="68" t="n">
        <f aca="false">E29+E37</f>
        <v>87550.52</v>
      </c>
      <c r="F38" s="68" t="n">
        <f aca="false">F29+F37</f>
        <v>87550.52</v>
      </c>
      <c r="G38" s="68" t="n">
        <f aca="false">G29+G37</f>
        <v>87550.52</v>
      </c>
      <c r="H38" s="68" t="n">
        <f aca="false">H29+H37</f>
        <v>87550.52</v>
      </c>
      <c r="I38" s="68" t="n">
        <f aca="false">I29+I37</f>
        <v>87550.52</v>
      </c>
      <c r="J38" s="68" t="n">
        <f aca="false">J29+J37</f>
        <v>87550.52</v>
      </c>
      <c r="K38" s="68" t="n">
        <f aca="false">K29+K37</f>
        <v>87550.52</v>
      </c>
      <c r="L38" s="68" t="n">
        <f aca="false">L29+L37</f>
        <v>87550.52</v>
      </c>
      <c r="M38" s="68" t="n">
        <f aca="false">M29+M37</f>
        <v>87550.52</v>
      </c>
      <c r="N38" s="68" t="n">
        <f aca="false">N29+N37</f>
        <v>87550.52</v>
      </c>
      <c r="O38" s="68" t="n">
        <f aca="false">O29+O37</f>
        <v>124134.50132</v>
      </c>
      <c r="P38" s="68" t="n">
        <f aca="false">P29+P37</f>
        <v>124134.50132</v>
      </c>
      <c r="Q38" s="68" t="n">
        <f aca="false">Q29+Q37</f>
        <v>124134.50132</v>
      </c>
      <c r="R38" s="68" t="n">
        <f aca="false">R29+R37</f>
        <v>124134.50132</v>
      </c>
      <c r="S38" s="68" t="n">
        <f aca="false">S29+S37</f>
        <v>124134.50132</v>
      </c>
      <c r="T38" s="68" t="n">
        <f aca="false">T29+T37</f>
        <v>124134.50132</v>
      </c>
      <c r="U38" s="68" t="n">
        <f aca="false">U29+U37</f>
        <v>124134.50132</v>
      </c>
      <c r="V38" s="68" t="n">
        <f aca="false">V29+V37</f>
        <v>124134.50132</v>
      </c>
      <c r="W38" s="68" t="n">
        <f aca="false">W29+W37</f>
        <v>124134.50132</v>
      </c>
      <c r="X38" s="68" t="n">
        <f aca="false">X29+X37</f>
        <v>124134.50132</v>
      </c>
      <c r="Y38" s="68" t="n">
        <f aca="false">Y29+Y37</f>
        <v>124134.50132</v>
      </c>
      <c r="Z38" s="68" t="n">
        <f aca="false">Z29+Z37</f>
        <v>124134.50132</v>
      </c>
      <c r="AA38" s="68" t="n">
        <f aca="false">AA29+AA37</f>
        <v>172824.86867192</v>
      </c>
      <c r="AB38" s="68" t="n">
        <f aca="false">AB29+AB37</f>
        <v>172824.86867192</v>
      </c>
      <c r="AC38" s="68" t="n">
        <f aca="false">AC29+AC37</f>
        <v>172824.86867192</v>
      </c>
      <c r="AD38" s="68" t="n">
        <f aca="false">AD29+AD37</f>
        <v>172824.86867192</v>
      </c>
      <c r="AE38" s="68" t="n">
        <f aca="false">AE29+AE37</f>
        <v>172824.86867192</v>
      </c>
      <c r="AF38" s="68" t="n">
        <f aca="false">AF29+AF37</f>
        <v>172824.86867192</v>
      </c>
      <c r="AG38" s="68" t="n">
        <f aca="false">AG29+AG37</f>
        <v>172824.86867192</v>
      </c>
      <c r="AH38" s="68" t="n">
        <f aca="false">AH29+AH37</f>
        <v>172824.86867192</v>
      </c>
      <c r="AI38" s="68" t="n">
        <f aca="false">AI29+AI37</f>
        <v>172824.86867192</v>
      </c>
      <c r="AJ38" s="68" t="n">
        <f aca="false">AJ29+AJ37</f>
        <v>172824.86867192</v>
      </c>
      <c r="AK38" s="68" t="n">
        <f aca="false">AK29+AK37</f>
        <v>172824.86867192</v>
      </c>
      <c r="AL38" s="68" t="n">
        <f aca="false">AL29+AL37</f>
        <v>172824.86867192</v>
      </c>
      <c r="AM38" s="68" t="n">
        <f aca="false">AM29+AM37</f>
        <v>237626.436085276</v>
      </c>
      <c r="AN38" s="68" t="n">
        <f aca="false">AN29+AN37</f>
        <v>237626.436085276</v>
      </c>
      <c r="AO38" s="68" t="n">
        <f aca="false">AO29+AO37</f>
        <v>237626.436085276</v>
      </c>
      <c r="AP38" s="68" t="n">
        <f aca="false">AP29+AP37</f>
        <v>237626.436085276</v>
      </c>
      <c r="AQ38" s="68" t="n">
        <f aca="false">AQ29+AQ37</f>
        <v>237626.436085276</v>
      </c>
      <c r="AR38" s="68" t="n">
        <f aca="false">AR29+AR37</f>
        <v>237626.436085276</v>
      </c>
      <c r="AS38" s="68" t="n">
        <f aca="false">AS29+AS37</f>
        <v>237626.436085276</v>
      </c>
      <c r="AT38" s="68" t="n">
        <f aca="false">AT29+AT37</f>
        <v>237626.436085276</v>
      </c>
      <c r="AU38" s="68" t="n">
        <f aca="false">AU29+AU37</f>
        <v>237626.436085276</v>
      </c>
      <c r="AV38" s="68" t="n">
        <f aca="false">AV29+AV37</f>
        <v>237626.436085276</v>
      </c>
      <c r="AW38" s="68" t="n">
        <f aca="false">AW29+AW37</f>
        <v>237626.436085276</v>
      </c>
      <c r="AX38" s="68" t="n">
        <f aca="false">AX29+AX37</f>
        <v>237626.436085276</v>
      </c>
      <c r="AY38" s="68" t="n">
        <f aca="false">AY29+AY37</f>
        <v>323873.024293155</v>
      </c>
      <c r="AZ38" s="68" t="n">
        <f aca="false">AZ29+AZ37</f>
        <v>323873.024293155</v>
      </c>
      <c r="BA38" s="68" t="n">
        <f aca="false">BA29+BA37</f>
        <v>323873.024293155</v>
      </c>
      <c r="BB38" s="68" t="n">
        <f aca="false">BB29+BB37</f>
        <v>323873.024293155</v>
      </c>
      <c r="BC38" s="68" t="n">
        <f aca="false">BC29+BC37</f>
        <v>323873.024293155</v>
      </c>
      <c r="BD38" s="68" t="n">
        <f aca="false">BD29+BD37</f>
        <v>323873.024293155</v>
      </c>
      <c r="BE38" s="68" t="n">
        <f aca="false">BE29+BE37</f>
        <v>323873.024293155</v>
      </c>
      <c r="BF38" s="68" t="n">
        <f aca="false">BF29+BF37</f>
        <v>323873.024293155</v>
      </c>
      <c r="BG38" s="68" t="n">
        <f aca="false">BG29+BG37</f>
        <v>323873.024293155</v>
      </c>
      <c r="BH38" s="68" t="n">
        <f aca="false">BH29+BH37</f>
        <v>323873.024293155</v>
      </c>
      <c r="BI38" s="68" t="n">
        <f aca="false">BI29+BI37</f>
        <v>323873.024293155</v>
      </c>
      <c r="BJ38" s="68" t="n">
        <f aca="false">BJ29+BJ37</f>
        <v>323873.024293155</v>
      </c>
    </row>
    <row r="40" customFormat="false" ht="15.75" hidden="false" customHeight="true" outlineLevel="0" collapsed="false">
      <c r="A40" s="7" t="s">
        <v>412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4" t="s">
        <v>79</v>
      </c>
      <c r="C41" s="73" t="n">
        <f aca="false">C38+C52</f>
        <v>86550.52</v>
      </c>
      <c r="D41" s="73" t="n">
        <f aca="false">D38+D52</f>
        <v>86550.52</v>
      </c>
      <c r="E41" s="73" t="n">
        <f aca="false">E38+E52</f>
        <v>86550.52</v>
      </c>
      <c r="F41" s="73" t="n">
        <f aca="false">F38+F52</f>
        <v>86550.52</v>
      </c>
      <c r="G41" s="73" t="n">
        <f aca="false">G38+G52</f>
        <v>86550.52</v>
      </c>
      <c r="H41" s="73" t="n">
        <f aca="false">H38+H52</f>
        <v>86550.52</v>
      </c>
      <c r="I41" s="73" t="n">
        <f aca="false">I38+I52</f>
        <v>86550.52</v>
      </c>
      <c r="J41" s="73" t="n">
        <f aca="false">J38+J52</f>
        <v>86550.52</v>
      </c>
      <c r="K41" s="73" t="n">
        <f aca="false">K38+K52</f>
        <v>86550.52</v>
      </c>
      <c r="L41" s="73" t="n">
        <f aca="false">L38+L52</f>
        <v>86550.52</v>
      </c>
      <c r="M41" s="73" t="n">
        <f aca="false">M38+M52</f>
        <v>86550.52</v>
      </c>
      <c r="N41" s="73" t="n">
        <f aca="false">N38+N52</f>
        <v>86550.52</v>
      </c>
      <c r="O41" s="73" t="n">
        <f aca="false">O38+O52</f>
        <v>123134.50132</v>
      </c>
      <c r="P41" s="73" t="n">
        <f aca="false">P38+P52</f>
        <v>123134.50132</v>
      </c>
      <c r="Q41" s="73" t="n">
        <f aca="false">Q38+Q52</f>
        <v>123134.50132</v>
      </c>
      <c r="R41" s="73" t="n">
        <f aca="false">R38+R52</f>
        <v>123134.50132</v>
      </c>
      <c r="S41" s="73" t="n">
        <f aca="false">S38+S52</f>
        <v>123134.50132</v>
      </c>
      <c r="T41" s="73" t="n">
        <f aca="false">T38+T52</f>
        <v>123134.50132</v>
      </c>
      <c r="U41" s="73" t="n">
        <f aca="false">U38+U52</f>
        <v>123134.50132</v>
      </c>
      <c r="V41" s="73" t="n">
        <f aca="false">V38+V52</f>
        <v>123134.50132</v>
      </c>
      <c r="W41" s="73" t="n">
        <f aca="false">W38+W52</f>
        <v>123134.50132</v>
      </c>
      <c r="X41" s="73" t="n">
        <f aca="false">X38+X52</f>
        <v>123134.50132</v>
      </c>
      <c r="Y41" s="73" t="n">
        <f aca="false">Y38+Y52</f>
        <v>123134.50132</v>
      </c>
      <c r="Z41" s="73" t="n">
        <f aca="false">Z38+Z52</f>
        <v>123134.50132</v>
      </c>
      <c r="AA41" s="73" t="n">
        <f aca="false">AA38+AA52</f>
        <v>171824.86867192</v>
      </c>
      <c r="AB41" s="73" t="n">
        <f aca="false">AB38+AB52</f>
        <v>171824.86867192</v>
      </c>
      <c r="AC41" s="73" t="n">
        <f aca="false">AC38+AC52</f>
        <v>171824.86867192</v>
      </c>
      <c r="AD41" s="73" t="n">
        <f aca="false">AD38+AD52</f>
        <v>171824.86867192</v>
      </c>
      <c r="AE41" s="73" t="n">
        <f aca="false">AE38+AE52</f>
        <v>171824.86867192</v>
      </c>
      <c r="AF41" s="73" t="n">
        <f aca="false">AF38+AF52</f>
        <v>171824.86867192</v>
      </c>
      <c r="AG41" s="73" t="n">
        <f aca="false">AG38+AG52</f>
        <v>171824.86867192</v>
      </c>
      <c r="AH41" s="73" t="n">
        <f aca="false">AH38+AH52</f>
        <v>171824.86867192</v>
      </c>
      <c r="AI41" s="73" t="n">
        <f aca="false">AI38+AI52</f>
        <v>171824.86867192</v>
      </c>
      <c r="AJ41" s="73" t="n">
        <f aca="false">AJ38+AJ52</f>
        <v>171824.86867192</v>
      </c>
      <c r="AK41" s="73" t="n">
        <f aca="false">AK38+AK52</f>
        <v>171824.86867192</v>
      </c>
      <c r="AL41" s="73" t="n">
        <f aca="false">AL38+AL52</f>
        <v>171824.86867192</v>
      </c>
      <c r="AM41" s="73" t="n">
        <f aca="false">AM38+AM52</f>
        <v>236626.436085276</v>
      </c>
      <c r="AN41" s="73" t="n">
        <f aca="false">AN38+AN52</f>
        <v>236626.436085276</v>
      </c>
      <c r="AO41" s="73" t="n">
        <f aca="false">AO38+AO52</f>
        <v>236626.436085276</v>
      </c>
      <c r="AP41" s="73" t="n">
        <f aca="false">AP38+AP52</f>
        <v>236626.436085276</v>
      </c>
      <c r="AQ41" s="73" t="n">
        <f aca="false">AQ38+AQ52</f>
        <v>236626.436085276</v>
      </c>
      <c r="AR41" s="73" t="n">
        <f aca="false">AR38+AR52</f>
        <v>236626.436085276</v>
      </c>
      <c r="AS41" s="73" t="n">
        <f aca="false">AS38+AS52</f>
        <v>236626.436085276</v>
      </c>
      <c r="AT41" s="73" t="n">
        <f aca="false">AT38+AT52</f>
        <v>236626.436085276</v>
      </c>
      <c r="AU41" s="73" t="n">
        <f aca="false">AU38+AU52</f>
        <v>236626.436085276</v>
      </c>
      <c r="AV41" s="73" t="n">
        <f aca="false">AV38+AV52</f>
        <v>236626.436085276</v>
      </c>
      <c r="AW41" s="73" t="n">
        <f aca="false">AW38+AW52</f>
        <v>236626.436085276</v>
      </c>
      <c r="AX41" s="73" t="n">
        <f aca="false">AX38+AX52</f>
        <v>236626.436085276</v>
      </c>
      <c r="AY41" s="73" t="n">
        <f aca="false">AY38+AY52</f>
        <v>322873.024293155</v>
      </c>
      <c r="AZ41" s="73" t="n">
        <f aca="false">AZ38+AZ52</f>
        <v>322873.024293155</v>
      </c>
      <c r="BA41" s="73" t="n">
        <f aca="false">BA38+BA52</f>
        <v>322873.024293155</v>
      </c>
      <c r="BB41" s="73" t="n">
        <f aca="false">BB38+BB52</f>
        <v>322873.024293155</v>
      </c>
      <c r="BC41" s="73" t="n">
        <f aca="false">BC38+BC52</f>
        <v>322873.024293155</v>
      </c>
      <c r="BD41" s="73" t="n">
        <f aca="false">BD38+BD52</f>
        <v>322873.024293155</v>
      </c>
      <c r="BE41" s="73" t="n">
        <f aca="false">BE38+BE52</f>
        <v>322873.024293155</v>
      </c>
      <c r="BF41" s="73" t="n">
        <f aca="false">BF38+BF52</f>
        <v>322873.024293155</v>
      </c>
      <c r="BG41" s="73" t="n">
        <f aca="false">BG38+BG52</f>
        <v>322873.024293155</v>
      </c>
      <c r="BH41" s="73" t="n">
        <f aca="false">BH38+BH52</f>
        <v>322873.024293155</v>
      </c>
      <c r="BI41" s="73" t="n">
        <f aca="false">BI38+BI52</f>
        <v>322873.024293155</v>
      </c>
      <c r="BJ41" s="73" t="n">
        <f aca="false">BJ38+BJ52</f>
        <v>322873.024293155</v>
      </c>
    </row>
    <row r="42" customFormat="false" ht="15" hidden="false" customHeight="false" outlineLevel="0" collapsed="false">
      <c r="A42" s="6" t="s">
        <v>413</v>
      </c>
      <c r="C42" s="67" t="n">
        <f aca="false">-(C57+C58+C60)/2*Inputs!$E$56/12</f>
        <v>-1333.33333333333</v>
      </c>
      <c r="D42" s="67" t="n">
        <f aca="false">-(D57+D58+D60)/2*Inputs!$E$56/12</f>
        <v>-1322.22222222222</v>
      </c>
      <c r="E42" s="67" t="n">
        <f aca="false">-(E57+E58+E60)/2*Inputs!$E$56/12</f>
        <v>-1300</v>
      </c>
      <c r="F42" s="67" t="n">
        <f aca="false">-(F57+F58+F60)/2*Inputs!$E$56/12</f>
        <v>-1277.77777777778</v>
      </c>
      <c r="G42" s="67" t="n">
        <f aca="false">-(G57+G58+G60)/2*Inputs!$E$56/12</f>
        <v>-1255.55555555556</v>
      </c>
      <c r="H42" s="67" t="n">
        <f aca="false">-(H57+H58+H60)/2*Inputs!$E$56/12</f>
        <v>-1233.33333333333</v>
      </c>
      <c r="I42" s="67" t="n">
        <f aca="false">-(I57+I58+I60)/2*Inputs!$E$56/12</f>
        <v>-1211.11111111111</v>
      </c>
      <c r="J42" s="67" t="n">
        <f aca="false">-(J57+J58+J60)/2*Inputs!$E$56/12</f>
        <v>-1188.88888888889</v>
      </c>
      <c r="K42" s="67" t="n">
        <f aca="false">-(K57+K58+K60)/2*Inputs!$E$56/12</f>
        <v>-1166.66666666667</v>
      </c>
      <c r="L42" s="67" t="n">
        <f aca="false">-(L57+L58+L60)/2*Inputs!$E$56/12</f>
        <v>-1144.44444444444</v>
      </c>
      <c r="M42" s="67" t="n">
        <f aca="false">-(M57+M58+M60)/2*Inputs!$E$56/12</f>
        <v>-1122.22222222222</v>
      </c>
      <c r="N42" s="67" t="n">
        <f aca="false">-(N57+N58+N60)/2*Inputs!$E$56/12</f>
        <v>-1100</v>
      </c>
      <c r="O42" s="67" t="n">
        <f aca="false">-(O57+O58+O60)/2*Inputs!$E$56/12</f>
        <v>-1077.77777777778</v>
      </c>
      <c r="P42" s="67" t="n">
        <f aca="false">-(P57+P58+P60)/2*Inputs!$E$56/12</f>
        <v>-1055.55555555555</v>
      </c>
      <c r="Q42" s="67" t="n">
        <f aca="false">-(Q57+Q58+Q60)/2*Inputs!$E$56/12</f>
        <v>-1033.33333333333</v>
      </c>
      <c r="R42" s="67" t="n">
        <f aca="false">-(R57+R58+R60)/2*Inputs!$E$56/12</f>
        <v>-1011.11111111111</v>
      </c>
      <c r="S42" s="67" t="n">
        <f aca="false">-(S57+S58+S60)/2*Inputs!$E$56/12</f>
        <v>-988.888888888888</v>
      </c>
      <c r="T42" s="67" t="n">
        <f aca="false">-(T57+T58+T60)/2*Inputs!$E$56/12</f>
        <v>-966.666666666666</v>
      </c>
      <c r="U42" s="67" t="n">
        <f aca="false">-(U57+U58+U60)/2*Inputs!$E$56/12</f>
        <v>-944.444444444443</v>
      </c>
      <c r="V42" s="67" t="n">
        <f aca="false">-(V57+V58+V60)/2*Inputs!$E$56/12</f>
        <v>-922.222222222221</v>
      </c>
      <c r="W42" s="67" t="n">
        <f aca="false">-(W57+W58+W60)/2*Inputs!$E$56/12</f>
        <v>-899.999999999999</v>
      </c>
      <c r="X42" s="67" t="n">
        <f aca="false">-(X57+X58+X60)/2*Inputs!$E$56/12</f>
        <v>-877.777777777777</v>
      </c>
      <c r="Y42" s="67" t="n">
        <f aca="false">-(Y57+Y58+Y60)/2*Inputs!$E$56/12</f>
        <v>-855.555555555554</v>
      </c>
      <c r="Z42" s="67" t="n">
        <f aca="false">-(Z57+Z58+Z60)/2*Inputs!$E$56/12</f>
        <v>-833.333333333332</v>
      </c>
      <c r="AA42" s="67" t="n">
        <f aca="false">-(AA57+AA58+AA60)/2*Inputs!$E$56/12</f>
        <v>-811.11111111111</v>
      </c>
      <c r="AB42" s="67" t="n">
        <f aca="false">-(AB57+AB58+AB60)/2*Inputs!$E$56/12</f>
        <v>-788.888888888888</v>
      </c>
      <c r="AC42" s="67" t="n">
        <f aca="false">-(AC57+AC58+AC60)/2*Inputs!$E$56/12</f>
        <v>-766.666666666666</v>
      </c>
      <c r="AD42" s="67" t="n">
        <f aca="false">-(AD57+AD58+AD60)/2*Inputs!$E$56/12</f>
        <v>-744.444444444443</v>
      </c>
      <c r="AE42" s="67" t="n">
        <f aca="false">-(AE57+AE58+AE60)/2*Inputs!$E$56/12</f>
        <v>-722.222222222221</v>
      </c>
      <c r="AF42" s="67" t="n">
        <f aca="false">-(AF57+AF58+AF60)/2*Inputs!$E$56/12</f>
        <v>-699.999999999999</v>
      </c>
      <c r="AG42" s="67" t="n">
        <f aca="false">-(AG57+AG58+AG60)/2*Inputs!$E$56/12</f>
        <v>-677.777777777777</v>
      </c>
      <c r="AH42" s="67" t="n">
        <f aca="false">-(AH57+AH58+AH60)/2*Inputs!$E$56/12</f>
        <v>-655.555555555555</v>
      </c>
      <c r="AI42" s="67" t="n">
        <f aca="false">-(AI57+AI58+AI60)/2*Inputs!$E$56/12</f>
        <v>-633.333333333332</v>
      </c>
      <c r="AJ42" s="67" t="n">
        <f aca="false">-(AJ57+AJ58+AJ60)/2*Inputs!$E$56/12</f>
        <v>-611.11111111111</v>
      </c>
      <c r="AK42" s="67" t="n">
        <f aca="false">-(AK57+AK58+AK60)/2*Inputs!$E$56/12</f>
        <v>-588.888888888888</v>
      </c>
      <c r="AL42" s="67" t="n">
        <f aca="false">-(AL57+AL58+AL60)/2*Inputs!$E$56/12</f>
        <v>-566.666666666666</v>
      </c>
      <c r="AM42" s="67" t="n">
        <f aca="false">-(AM57+AM58+AM60)/2*Inputs!$E$56/12</f>
        <v>-544.444444444444</v>
      </c>
      <c r="AN42" s="67" t="n">
        <f aca="false">-(AN57+AN58+AN60)/2*Inputs!$E$56/12</f>
        <v>-522.222222222222</v>
      </c>
      <c r="AO42" s="67" t="n">
        <f aca="false">-(AO57+AO58+AO60)/2*Inputs!$E$56/12</f>
        <v>-499.999999999999</v>
      </c>
      <c r="AP42" s="67" t="n">
        <f aca="false">-(AP57+AP58+AP60)/2*Inputs!$E$56/12</f>
        <v>-477.777777777777</v>
      </c>
      <c r="AQ42" s="67" t="n">
        <f aca="false">-(AQ57+AQ58+AQ60)/2*Inputs!$E$56/12</f>
        <v>-455.555555555555</v>
      </c>
      <c r="AR42" s="67" t="n">
        <f aca="false">-(AR57+AR58+AR60)/2*Inputs!$E$56/12</f>
        <v>-433.333333333333</v>
      </c>
      <c r="AS42" s="67" t="n">
        <f aca="false">-(AS57+AS58+AS60)/2*Inputs!$E$56/12</f>
        <v>-411.11111111111</v>
      </c>
      <c r="AT42" s="67" t="n">
        <f aca="false">-(AT57+AT58+AT60)/2*Inputs!$E$56/12</f>
        <v>-388.888888888888</v>
      </c>
      <c r="AU42" s="67" t="n">
        <f aca="false">-(AU57+AU58+AU60)/2*Inputs!$E$56/12</f>
        <v>-366.666666666666</v>
      </c>
      <c r="AV42" s="67" t="n">
        <f aca="false">-(AV57+AV58+AV60)/2*Inputs!$E$56/12</f>
        <v>-344.444444444444</v>
      </c>
      <c r="AW42" s="67" t="n">
        <f aca="false">-(AW57+AW58+AW60)/2*Inputs!$E$56/12</f>
        <v>-322.222222222222</v>
      </c>
      <c r="AX42" s="67" t="n">
        <f aca="false">-(AX57+AX58+AX60)/2*Inputs!$E$56/12</f>
        <v>-299.999999999999</v>
      </c>
      <c r="AY42" s="67" t="n">
        <f aca="false">-(AY57+AY58+AY60)/2*Inputs!$E$56/12</f>
        <v>-277.777777777777</v>
      </c>
      <c r="AZ42" s="67" t="n">
        <f aca="false">-(AZ57+AZ58+AZ60)/2*Inputs!$E$56/12</f>
        <v>-255.555555555555</v>
      </c>
      <c r="BA42" s="67" t="n">
        <f aca="false">-(BA57+BA58+BA60)/2*Inputs!$E$56/12</f>
        <v>-233.333333333333</v>
      </c>
      <c r="BB42" s="67" t="n">
        <f aca="false">-(BB57+BB58+BB60)/2*Inputs!$E$56/12</f>
        <v>-211.11111111111</v>
      </c>
      <c r="BC42" s="67" t="n">
        <f aca="false">-(BC57+BC58+BC60)/2*Inputs!$E$56/12</f>
        <v>-188.888888888888</v>
      </c>
      <c r="BD42" s="67" t="n">
        <f aca="false">-(BD57+BD58+BD60)/2*Inputs!$E$56/12</f>
        <v>-166.666666666666</v>
      </c>
      <c r="BE42" s="67" t="n">
        <f aca="false">-(BE57+BE58+BE60)/2*Inputs!$E$56/12</f>
        <v>-144.444444444444</v>
      </c>
      <c r="BF42" s="67" t="n">
        <f aca="false">-(BF57+BF58+BF60)/2*Inputs!$E$56/12</f>
        <v>-122.222222222221</v>
      </c>
      <c r="BG42" s="67" t="n">
        <f aca="false">-(BG57+BG58+BG60)/2*Inputs!$E$56/12</f>
        <v>-99.9999999999992</v>
      </c>
      <c r="BH42" s="67" t="n">
        <f aca="false">-(BH57+BH58+BH60)/2*Inputs!$E$56/12</f>
        <v>-77.777777777777</v>
      </c>
      <c r="BI42" s="67" t="n">
        <f aca="false">-(BI57+BI58+BI60)/2*Inputs!$E$56/12</f>
        <v>-55.5555555555548</v>
      </c>
      <c r="BJ42" s="67" t="n">
        <f aca="false">-(BJ57+BJ58+BJ60)/2*Inputs!$E$56/12</f>
        <v>-33.3333333333326</v>
      </c>
    </row>
    <row r="43" customFormat="false" ht="15" hidden="false" customHeight="false" outlineLevel="0" collapsed="false">
      <c r="A43" s="113" t="s">
        <v>81</v>
      </c>
      <c r="C43" s="68" t="n">
        <f aca="false">C41+C42</f>
        <v>85217.1866666667</v>
      </c>
      <c r="D43" s="68" t="n">
        <f aca="false">D41+D42</f>
        <v>85228.2977777778</v>
      </c>
      <c r="E43" s="68" t="n">
        <f aca="false">E41+E42</f>
        <v>85250.52</v>
      </c>
      <c r="F43" s="68" t="n">
        <f aca="false">F41+F42</f>
        <v>85272.7422222222</v>
      </c>
      <c r="G43" s="68" t="n">
        <f aca="false">G41+G42</f>
        <v>85294.9644444444</v>
      </c>
      <c r="H43" s="68" t="n">
        <f aca="false">H41+H42</f>
        <v>85317.1866666667</v>
      </c>
      <c r="I43" s="68" t="n">
        <f aca="false">I41+I42</f>
        <v>85339.4088888889</v>
      </c>
      <c r="J43" s="68" t="n">
        <f aca="false">J41+J42</f>
        <v>85361.6311111111</v>
      </c>
      <c r="K43" s="68" t="n">
        <f aca="false">K41+K42</f>
        <v>85383.8533333333</v>
      </c>
      <c r="L43" s="68" t="n">
        <f aca="false">L41+L42</f>
        <v>85406.0755555556</v>
      </c>
      <c r="M43" s="68" t="n">
        <f aca="false">M41+M42</f>
        <v>85428.2977777778</v>
      </c>
      <c r="N43" s="68" t="n">
        <f aca="false">N41+N42</f>
        <v>85450.52</v>
      </c>
      <c r="O43" s="68" t="n">
        <f aca="false">O41+O42</f>
        <v>122056.723542222</v>
      </c>
      <c r="P43" s="68" t="n">
        <f aca="false">P41+P42</f>
        <v>122078.945764445</v>
      </c>
      <c r="Q43" s="68" t="n">
        <f aca="false">Q41+Q42</f>
        <v>122101.167986667</v>
      </c>
      <c r="R43" s="68" t="n">
        <f aca="false">R41+R42</f>
        <v>122123.390208889</v>
      </c>
      <c r="S43" s="68" t="n">
        <f aca="false">S41+S42</f>
        <v>122145.612431111</v>
      </c>
      <c r="T43" s="68" t="n">
        <f aca="false">T41+T42</f>
        <v>122167.834653334</v>
      </c>
      <c r="U43" s="68" t="n">
        <f aca="false">U41+U42</f>
        <v>122190.056875556</v>
      </c>
      <c r="V43" s="68" t="n">
        <f aca="false">V41+V42</f>
        <v>122212.279097778</v>
      </c>
      <c r="W43" s="68" t="n">
        <f aca="false">W41+W42</f>
        <v>122234.50132</v>
      </c>
      <c r="X43" s="68" t="n">
        <f aca="false">X41+X42</f>
        <v>122256.723542222</v>
      </c>
      <c r="Y43" s="68" t="n">
        <f aca="false">Y41+Y42</f>
        <v>122278.945764445</v>
      </c>
      <c r="Z43" s="68" t="n">
        <f aca="false">Z41+Z42</f>
        <v>122301.167986667</v>
      </c>
      <c r="AA43" s="68" t="n">
        <f aca="false">AA41+AA42</f>
        <v>171013.757560809</v>
      </c>
      <c r="AB43" s="68" t="n">
        <f aca="false">AB41+AB42</f>
        <v>171035.979783031</v>
      </c>
      <c r="AC43" s="68" t="n">
        <f aca="false">AC41+AC42</f>
        <v>171058.202005253</v>
      </c>
      <c r="AD43" s="68" t="n">
        <f aca="false">AD41+AD42</f>
        <v>171080.424227476</v>
      </c>
      <c r="AE43" s="68" t="n">
        <f aca="false">AE41+AE42</f>
        <v>171102.646449698</v>
      </c>
      <c r="AF43" s="68" t="n">
        <f aca="false">AF41+AF42</f>
        <v>171124.86867192</v>
      </c>
      <c r="AG43" s="68" t="n">
        <f aca="false">AG41+AG42</f>
        <v>171147.090894142</v>
      </c>
      <c r="AH43" s="68" t="n">
        <f aca="false">AH41+AH42</f>
        <v>171169.313116365</v>
      </c>
      <c r="AI43" s="68" t="n">
        <f aca="false">AI41+AI42</f>
        <v>171191.535338587</v>
      </c>
      <c r="AJ43" s="68" t="n">
        <f aca="false">AJ41+AJ42</f>
        <v>171213.757560809</v>
      </c>
      <c r="AK43" s="68" t="n">
        <f aca="false">AK41+AK42</f>
        <v>171235.979783031</v>
      </c>
      <c r="AL43" s="68" t="n">
        <f aca="false">AL41+AL42</f>
        <v>171258.202005253</v>
      </c>
      <c r="AM43" s="68" t="n">
        <f aca="false">AM41+AM42</f>
        <v>236081.991640832</v>
      </c>
      <c r="AN43" s="68" t="n">
        <f aca="false">AN41+AN42</f>
        <v>236104.213863054</v>
      </c>
      <c r="AO43" s="68" t="n">
        <f aca="false">AO41+AO42</f>
        <v>236126.436085276</v>
      </c>
      <c r="AP43" s="68" t="n">
        <f aca="false">AP41+AP42</f>
        <v>236148.658307499</v>
      </c>
      <c r="AQ43" s="68" t="n">
        <f aca="false">AQ41+AQ42</f>
        <v>236170.880529721</v>
      </c>
      <c r="AR43" s="68" t="n">
        <f aca="false">AR41+AR42</f>
        <v>236193.102751943</v>
      </c>
      <c r="AS43" s="68" t="n">
        <f aca="false">AS41+AS42</f>
        <v>236215.324974165</v>
      </c>
      <c r="AT43" s="68" t="n">
        <f aca="false">AT41+AT42</f>
        <v>236237.547196387</v>
      </c>
      <c r="AU43" s="68" t="n">
        <f aca="false">AU41+AU42</f>
        <v>236259.76941861</v>
      </c>
      <c r="AV43" s="68" t="n">
        <f aca="false">AV41+AV42</f>
        <v>236281.991640832</v>
      </c>
      <c r="AW43" s="68" t="n">
        <f aca="false">AW41+AW42</f>
        <v>236304.213863054</v>
      </c>
      <c r="AX43" s="68" t="n">
        <f aca="false">AX41+AX42</f>
        <v>236326.436085276</v>
      </c>
      <c r="AY43" s="68" t="n">
        <f aca="false">AY41+AY42</f>
        <v>322595.246515377</v>
      </c>
      <c r="AZ43" s="68" t="n">
        <f aca="false">AZ41+AZ42</f>
        <v>322617.468737599</v>
      </c>
      <c r="BA43" s="68" t="n">
        <f aca="false">BA41+BA42</f>
        <v>322639.690959822</v>
      </c>
      <c r="BB43" s="68" t="n">
        <f aca="false">BB41+BB42</f>
        <v>322661.913182044</v>
      </c>
      <c r="BC43" s="68" t="n">
        <f aca="false">BC41+BC42</f>
        <v>322684.135404266</v>
      </c>
      <c r="BD43" s="68" t="n">
        <f aca="false">BD41+BD42</f>
        <v>322706.357626488</v>
      </c>
      <c r="BE43" s="68" t="n">
        <f aca="false">BE41+BE42</f>
        <v>322728.57984871</v>
      </c>
      <c r="BF43" s="68" t="n">
        <f aca="false">BF41+BF42</f>
        <v>322750.802070933</v>
      </c>
      <c r="BG43" s="68" t="n">
        <f aca="false">BG41+BG42</f>
        <v>322773.024293155</v>
      </c>
      <c r="BH43" s="68" t="n">
        <f aca="false">BH41+BH42</f>
        <v>322795.246515377</v>
      </c>
      <c r="BI43" s="68" t="n">
        <f aca="false">BI41+BI42</f>
        <v>322817.468737599</v>
      </c>
      <c r="BJ43" s="68" t="n">
        <f aca="false">BJ41+BJ42</f>
        <v>322839.690959822</v>
      </c>
    </row>
    <row r="44" customFormat="false" ht="15" hidden="false" customHeight="false" outlineLevel="0" collapsed="false">
      <c r="A44" s="120" t="s">
        <v>414</v>
      </c>
      <c r="C44" s="67" t="n">
        <f aca="false">C43</f>
        <v>85217.1866666667</v>
      </c>
      <c r="D44" s="67" t="n">
        <f aca="false">C44+D43</f>
        <v>170445.484444444</v>
      </c>
      <c r="E44" s="67" t="n">
        <f aca="false">D44+E43</f>
        <v>255696.004444444</v>
      </c>
      <c r="F44" s="67" t="n">
        <f aca="false">E44+F43</f>
        <v>340968.746666667</v>
      </c>
      <c r="G44" s="67" t="n">
        <f aca="false">F44+G43</f>
        <v>426263.711111111</v>
      </c>
      <c r="H44" s="67" t="n">
        <f aca="false">G44+H43</f>
        <v>511580.897777778</v>
      </c>
      <c r="I44" s="67" t="n">
        <f aca="false">H44+I43</f>
        <v>596920.306666667</v>
      </c>
      <c r="J44" s="67" t="n">
        <f aca="false">I44+J43</f>
        <v>682281.937777778</v>
      </c>
      <c r="K44" s="67" t="n">
        <f aca="false">J44+K43</f>
        <v>767665.791111111</v>
      </c>
      <c r="L44" s="67" t="n">
        <f aca="false">K44+L43</f>
        <v>853071.866666667</v>
      </c>
      <c r="M44" s="67" t="n">
        <f aca="false">L44+M43</f>
        <v>938500.164444444</v>
      </c>
      <c r="N44" s="67" t="n">
        <f aca="false">M44+N43</f>
        <v>1023950.68444444</v>
      </c>
      <c r="O44" s="67" t="n">
        <f aca="false">N44+O43</f>
        <v>1146007.40798667</v>
      </c>
      <c r="P44" s="67" t="n">
        <f aca="false">O44+P43</f>
        <v>1268086.35375111</v>
      </c>
      <c r="Q44" s="67" t="n">
        <f aca="false">P44+Q43</f>
        <v>1390187.52173778</v>
      </c>
      <c r="R44" s="67" t="n">
        <f aca="false">Q44+R43</f>
        <v>1512310.91194667</v>
      </c>
      <c r="S44" s="67" t="n">
        <f aca="false">R44+S43</f>
        <v>1634456.52437778</v>
      </c>
      <c r="T44" s="67" t="n">
        <f aca="false">S44+T43</f>
        <v>1756624.35903111</v>
      </c>
      <c r="U44" s="67" t="n">
        <f aca="false">T44+U43</f>
        <v>1878814.41590667</v>
      </c>
      <c r="V44" s="67" t="n">
        <f aca="false">U44+V43</f>
        <v>2001026.69500445</v>
      </c>
      <c r="W44" s="67" t="n">
        <f aca="false">V44+W43</f>
        <v>2123261.19632445</v>
      </c>
      <c r="X44" s="67" t="n">
        <f aca="false">W44+X43</f>
        <v>2245517.91986667</v>
      </c>
      <c r="Y44" s="67" t="n">
        <f aca="false">X44+Y43</f>
        <v>2367796.86563111</v>
      </c>
      <c r="Z44" s="67" t="n">
        <f aca="false">Y44+Z43</f>
        <v>2490098.03361778</v>
      </c>
      <c r="AA44" s="67" t="n">
        <f aca="false">Z44+AA43</f>
        <v>2661111.79117859</v>
      </c>
      <c r="AB44" s="67" t="n">
        <f aca="false">AA44+AB43</f>
        <v>2832147.77096162</v>
      </c>
      <c r="AC44" s="67" t="n">
        <f aca="false">AB44+AC43</f>
        <v>3003205.97296687</v>
      </c>
      <c r="AD44" s="67" t="n">
        <f aca="false">AC44+AD43</f>
        <v>3174286.39719435</v>
      </c>
      <c r="AE44" s="67" t="n">
        <f aca="false">AD44+AE43</f>
        <v>3345389.04364405</v>
      </c>
      <c r="AF44" s="67" t="n">
        <f aca="false">AE44+AF43</f>
        <v>3516513.91231597</v>
      </c>
      <c r="AG44" s="67" t="n">
        <f aca="false">AF44+AG43</f>
        <v>3687661.00321011</v>
      </c>
      <c r="AH44" s="67" t="n">
        <f aca="false">AG44+AH43</f>
        <v>3858830.31632647</v>
      </c>
      <c r="AI44" s="67" t="n">
        <f aca="false">AH44+AI43</f>
        <v>4030021.85166506</v>
      </c>
      <c r="AJ44" s="67" t="n">
        <f aca="false">AI44+AJ43</f>
        <v>4201235.60922587</v>
      </c>
      <c r="AK44" s="67" t="n">
        <f aca="false">AJ44+AK43</f>
        <v>4372471.5890089</v>
      </c>
      <c r="AL44" s="67" t="n">
        <f aca="false">AK44+AL43</f>
        <v>4543729.79101415</v>
      </c>
      <c r="AM44" s="67" t="n">
        <f aca="false">AL44+AM43</f>
        <v>4779811.78265499</v>
      </c>
      <c r="AN44" s="67" t="n">
        <f aca="false">AM44+AN43</f>
        <v>5015915.99651804</v>
      </c>
      <c r="AO44" s="67" t="n">
        <f aca="false">AN44+AO43</f>
        <v>5252042.43260332</v>
      </c>
      <c r="AP44" s="67" t="n">
        <f aca="false">AO44+AP43</f>
        <v>5488191.09091082</v>
      </c>
      <c r="AQ44" s="67" t="n">
        <f aca="false">AP44+AQ43</f>
        <v>5724361.97144054</v>
      </c>
      <c r="AR44" s="67" t="n">
        <f aca="false">AQ44+AR43</f>
        <v>5960555.07419248</v>
      </c>
      <c r="AS44" s="67" t="n">
        <f aca="false">AR44+AS43</f>
        <v>6196770.39916664</v>
      </c>
      <c r="AT44" s="67" t="n">
        <f aca="false">AS44+AT43</f>
        <v>6433007.94636303</v>
      </c>
      <c r="AU44" s="67" t="n">
        <f aca="false">AT44+AU43</f>
        <v>6669267.71578164</v>
      </c>
      <c r="AV44" s="67" t="n">
        <f aca="false">AU44+AV43</f>
        <v>6905549.70742247</v>
      </c>
      <c r="AW44" s="67" t="n">
        <f aca="false">AV44+AW43</f>
        <v>7141853.92128553</v>
      </c>
      <c r="AX44" s="67" t="n">
        <f aca="false">AW44+AX43</f>
        <v>7378180.3573708</v>
      </c>
      <c r="AY44" s="67" t="n">
        <f aca="false">AX44+AY43</f>
        <v>7700775.60388618</v>
      </c>
      <c r="AZ44" s="67" t="n">
        <f aca="false">AY44+AZ43</f>
        <v>8023393.07262378</v>
      </c>
      <c r="BA44" s="67" t="n">
        <f aca="false">AZ44+BA43</f>
        <v>8346032.7635836</v>
      </c>
      <c r="BB44" s="67" t="n">
        <f aca="false">BA44+BB43</f>
        <v>8668694.67676565</v>
      </c>
      <c r="BC44" s="67" t="n">
        <f aca="false">BB44+BC43</f>
        <v>8991378.81216991</v>
      </c>
      <c r="BD44" s="67" t="n">
        <f aca="false">BC44+BD43</f>
        <v>9314085.1697964</v>
      </c>
      <c r="BE44" s="67" t="n">
        <f aca="false">BD44+BE43</f>
        <v>9636813.74964511</v>
      </c>
      <c r="BF44" s="67" t="n">
        <f aca="false">BE44+BF43</f>
        <v>9959564.55171604</v>
      </c>
      <c r="BG44" s="67" t="n">
        <f aca="false">BF44+BG43</f>
        <v>10282337.5760092</v>
      </c>
      <c r="BH44" s="67" t="n">
        <f aca="false">BG44+BH43</f>
        <v>10605132.8225246</v>
      </c>
      <c r="BI44" s="67" t="n">
        <f aca="false">BH44+BI43</f>
        <v>10927950.2912622</v>
      </c>
      <c r="BJ44" s="67" t="n">
        <f aca="false">BI44+BJ43</f>
        <v>11250789.982222</v>
      </c>
    </row>
    <row r="45" customFormat="false" ht="15" hidden="false" customHeight="false" outlineLevel="0" collapsed="false">
      <c r="A45" s="120" t="s">
        <v>415</v>
      </c>
      <c r="C45" s="67" t="n">
        <f aca="false">MAX(0,C44)</f>
        <v>85217.1866666667</v>
      </c>
      <c r="D45" s="67" t="n">
        <f aca="false">MAX(C45,D44)</f>
        <v>170445.484444444</v>
      </c>
      <c r="E45" s="67" t="n">
        <f aca="false">MAX(D45,E44)</f>
        <v>255696.004444444</v>
      </c>
      <c r="F45" s="67" t="n">
        <f aca="false">MAX(E45,F44)</f>
        <v>340968.746666667</v>
      </c>
      <c r="G45" s="67" t="n">
        <f aca="false">MAX(F45,G44)</f>
        <v>426263.711111111</v>
      </c>
      <c r="H45" s="67" t="n">
        <f aca="false">MAX(G45,H44)</f>
        <v>511580.897777778</v>
      </c>
      <c r="I45" s="67" t="n">
        <f aca="false">MAX(H45,I44)</f>
        <v>596920.306666667</v>
      </c>
      <c r="J45" s="67" t="n">
        <f aca="false">MAX(I45,J44)</f>
        <v>682281.937777778</v>
      </c>
      <c r="K45" s="67" t="n">
        <f aca="false">MAX(J45,K44)</f>
        <v>767665.791111111</v>
      </c>
      <c r="L45" s="67" t="n">
        <f aca="false">MAX(K45,L44)</f>
        <v>853071.866666667</v>
      </c>
      <c r="M45" s="67" t="n">
        <f aca="false">MAX(L45,M44)</f>
        <v>938500.164444444</v>
      </c>
      <c r="N45" s="67" t="n">
        <f aca="false">MAX(M45,N44)</f>
        <v>1023950.68444444</v>
      </c>
      <c r="O45" s="67" t="n">
        <f aca="false">MAX(N45,O44)</f>
        <v>1146007.40798667</v>
      </c>
      <c r="P45" s="67" t="n">
        <f aca="false">MAX(O45,P44)</f>
        <v>1268086.35375111</v>
      </c>
      <c r="Q45" s="67" t="n">
        <f aca="false">MAX(P45,Q44)</f>
        <v>1390187.52173778</v>
      </c>
      <c r="R45" s="67" t="n">
        <f aca="false">MAX(Q45,R44)</f>
        <v>1512310.91194667</v>
      </c>
      <c r="S45" s="67" t="n">
        <f aca="false">MAX(R45,S44)</f>
        <v>1634456.52437778</v>
      </c>
      <c r="T45" s="67" t="n">
        <f aca="false">MAX(S45,T44)</f>
        <v>1756624.35903111</v>
      </c>
      <c r="U45" s="67" t="n">
        <f aca="false">MAX(T45,U44)</f>
        <v>1878814.41590667</v>
      </c>
      <c r="V45" s="67" t="n">
        <f aca="false">MAX(U45,V44)</f>
        <v>2001026.69500445</v>
      </c>
      <c r="W45" s="67" t="n">
        <f aca="false">MAX(V45,W44)</f>
        <v>2123261.19632445</v>
      </c>
      <c r="X45" s="67" t="n">
        <f aca="false">MAX(W45,X44)</f>
        <v>2245517.91986667</v>
      </c>
      <c r="Y45" s="67" t="n">
        <f aca="false">MAX(X45,Y44)</f>
        <v>2367796.86563111</v>
      </c>
      <c r="Z45" s="67" t="n">
        <f aca="false">MAX(Y45,Z44)</f>
        <v>2490098.03361778</v>
      </c>
      <c r="AA45" s="67" t="n">
        <f aca="false">MAX(Z45,AA44)</f>
        <v>2661111.79117859</v>
      </c>
      <c r="AB45" s="67" t="n">
        <f aca="false">MAX(AA45,AB44)</f>
        <v>2832147.77096162</v>
      </c>
      <c r="AC45" s="67" t="n">
        <f aca="false">MAX(AB45,AC44)</f>
        <v>3003205.97296687</v>
      </c>
      <c r="AD45" s="67" t="n">
        <f aca="false">MAX(AC45,AD44)</f>
        <v>3174286.39719435</v>
      </c>
      <c r="AE45" s="67" t="n">
        <f aca="false">MAX(AD45,AE44)</f>
        <v>3345389.04364405</v>
      </c>
      <c r="AF45" s="67" t="n">
        <f aca="false">MAX(AE45,AF44)</f>
        <v>3516513.91231597</v>
      </c>
      <c r="AG45" s="67" t="n">
        <f aca="false">MAX(AF45,AG44)</f>
        <v>3687661.00321011</v>
      </c>
      <c r="AH45" s="67" t="n">
        <f aca="false">MAX(AG45,AH44)</f>
        <v>3858830.31632647</v>
      </c>
      <c r="AI45" s="67" t="n">
        <f aca="false">MAX(AH45,AI44)</f>
        <v>4030021.85166506</v>
      </c>
      <c r="AJ45" s="67" t="n">
        <f aca="false">MAX(AI45,AJ44)</f>
        <v>4201235.60922587</v>
      </c>
      <c r="AK45" s="67" t="n">
        <f aca="false">MAX(AJ45,AK44)</f>
        <v>4372471.5890089</v>
      </c>
      <c r="AL45" s="67" t="n">
        <f aca="false">MAX(AK45,AL44)</f>
        <v>4543729.79101415</v>
      </c>
      <c r="AM45" s="67" t="n">
        <f aca="false">MAX(AL45,AM44)</f>
        <v>4779811.78265499</v>
      </c>
      <c r="AN45" s="67" t="n">
        <f aca="false">MAX(AM45,AN44)</f>
        <v>5015915.99651804</v>
      </c>
      <c r="AO45" s="67" t="n">
        <f aca="false">MAX(AN45,AO44)</f>
        <v>5252042.43260332</v>
      </c>
      <c r="AP45" s="67" t="n">
        <f aca="false">MAX(AO45,AP44)</f>
        <v>5488191.09091082</v>
      </c>
      <c r="AQ45" s="67" t="n">
        <f aca="false">MAX(AP45,AQ44)</f>
        <v>5724361.97144054</v>
      </c>
      <c r="AR45" s="67" t="n">
        <f aca="false">MAX(AQ45,AR44)</f>
        <v>5960555.07419248</v>
      </c>
      <c r="AS45" s="67" t="n">
        <f aca="false">MAX(AR45,AS44)</f>
        <v>6196770.39916664</v>
      </c>
      <c r="AT45" s="67" t="n">
        <f aca="false">MAX(AS45,AT44)</f>
        <v>6433007.94636303</v>
      </c>
      <c r="AU45" s="67" t="n">
        <f aca="false">MAX(AT45,AU44)</f>
        <v>6669267.71578164</v>
      </c>
      <c r="AV45" s="67" t="n">
        <f aca="false">MAX(AU45,AV44)</f>
        <v>6905549.70742247</v>
      </c>
      <c r="AW45" s="67" t="n">
        <f aca="false">MAX(AV45,AW44)</f>
        <v>7141853.92128553</v>
      </c>
      <c r="AX45" s="67" t="n">
        <f aca="false">MAX(AW45,AX44)</f>
        <v>7378180.3573708</v>
      </c>
      <c r="AY45" s="67" t="n">
        <f aca="false">MAX(AX45,AY44)</f>
        <v>7700775.60388618</v>
      </c>
      <c r="AZ45" s="67" t="n">
        <f aca="false">MAX(AY45,AZ44)</f>
        <v>8023393.07262378</v>
      </c>
      <c r="BA45" s="67" t="n">
        <f aca="false">MAX(AZ45,BA44)</f>
        <v>8346032.7635836</v>
      </c>
      <c r="BB45" s="67" t="n">
        <f aca="false">MAX(BA45,BB44)</f>
        <v>8668694.67676565</v>
      </c>
      <c r="BC45" s="67" t="n">
        <f aca="false">MAX(BB45,BC44)</f>
        <v>8991378.81216991</v>
      </c>
      <c r="BD45" s="67" t="n">
        <f aca="false">MAX(BC45,BD44)</f>
        <v>9314085.1697964</v>
      </c>
      <c r="BE45" s="67" t="n">
        <f aca="false">MAX(BD45,BE44)</f>
        <v>9636813.74964511</v>
      </c>
      <c r="BF45" s="67" t="n">
        <f aca="false">MAX(BE45,BF44)</f>
        <v>9959564.55171604</v>
      </c>
      <c r="BG45" s="67" t="n">
        <f aca="false">MAX(BF45,BG44)</f>
        <v>10282337.5760092</v>
      </c>
      <c r="BH45" s="67" t="n">
        <f aca="false">MAX(BG45,BH44)</f>
        <v>10605132.8225246</v>
      </c>
      <c r="BI45" s="67" t="n">
        <f aca="false">MAX(BH45,BI44)</f>
        <v>10927950.2912622</v>
      </c>
      <c r="BJ45" s="67" t="n">
        <f aca="false">MAX(BI45,BJ44)</f>
        <v>11250789.982222</v>
      </c>
    </row>
    <row r="46" customFormat="false" ht="15" hidden="false" customHeight="false" outlineLevel="0" collapsed="false">
      <c r="A46" s="6" t="s">
        <v>82</v>
      </c>
      <c r="C46" s="67" t="n">
        <f aca="false">-C45*Inputs!$E$66</f>
        <v>-17895.6092</v>
      </c>
      <c r="D46" s="67" t="n">
        <f aca="false">-(D45-C45)*Inputs!$E$66</f>
        <v>-17897.9425333333</v>
      </c>
      <c r="E46" s="67" t="n">
        <f aca="false">-(E45-D45)*Inputs!$E$66</f>
        <v>-17902.6092</v>
      </c>
      <c r="F46" s="67" t="n">
        <f aca="false">-(F45-E45)*Inputs!$E$66</f>
        <v>-17907.2758666667</v>
      </c>
      <c r="G46" s="67" t="n">
        <f aca="false">-(G45-F45)*Inputs!$E$66</f>
        <v>-17911.9425333333</v>
      </c>
      <c r="H46" s="67" t="n">
        <f aca="false">-(H45-G45)*Inputs!$E$66</f>
        <v>-17916.6092</v>
      </c>
      <c r="I46" s="67" t="n">
        <f aca="false">-(I45-H45)*Inputs!$E$66</f>
        <v>-17921.2758666667</v>
      </c>
      <c r="J46" s="67" t="n">
        <f aca="false">-(J45-I45)*Inputs!$E$66</f>
        <v>-17925.9425333333</v>
      </c>
      <c r="K46" s="67" t="n">
        <f aca="false">-(K45-J45)*Inputs!$E$66</f>
        <v>-17930.6092</v>
      </c>
      <c r="L46" s="67" t="n">
        <f aca="false">-(L45-K45)*Inputs!$E$66</f>
        <v>-17935.2758666667</v>
      </c>
      <c r="M46" s="67" t="n">
        <f aca="false">-(M45-L45)*Inputs!$E$66</f>
        <v>-17939.9425333333</v>
      </c>
      <c r="N46" s="67" t="n">
        <f aca="false">-(N45-M45)*Inputs!$E$66</f>
        <v>-17944.6092</v>
      </c>
      <c r="O46" s="67" t="n">
        <f aca="false">-(O45-N45)*Inputs!$E$66</f>
        <v>-25631.9119438667</v>
      </c>
      <c r="P46" s="67" t="n">
        <f aca="false">-(P45-O45)*Inputs!$E$66</f>
        <v>-25636.5786105334</v>
      </c>
      <c r="Q46" s="67" t="n">
        <f aca="false">-(Q45-P45)*Inputs!$E$66</f>
        <v>-25641.2452772</v>
      </c>
      <c r="R46" s="67" t="n">
        <f aca="false">-(R45-Q45)*Inputs!$E$66</f>
        <v>-25645.9119438667</v>
      </c>
      <c r="S46" s="67" t="n">
        <f aca="false">-(S45-R45)*Inputs!$E$66</f>
        <v>-25650.5786105334</v>
      </c>
      <c r="T46" s="67" t="n">
        <f aca="false">-(T45-S45)*Inputs!$E$66</f>
        <v>-25655.2452772</v>
      </c>
      <c r="U46" s="67" t="n">
        <f aca="false">-(U45-T45)*Inputs!$E$66</f>
        <v>-25659.9119438667</v>
      </c>
      <c r="V46" s="67" t="n">
        <f aca="false">-(V45-U45)*Inputs!$E$66</f>
        <v>-25664.5786105334</v>
      </c>
      <c r="W46" s="67" t="n">
        <f aca="false">-(W45-V45)*Inputs!$E$66</f>
        <v>-25669.2452772</v>
      </c>
      <c r="X46" s="67" t="n">
        <f aca="false">-(X45-W45)*Inputs!$E$66</f>
        <v>-25673.9119438667</v>
      </c>
      <c r="Y46" s="67" t="n">
        <f aca="false">-(Y45-X45)*Inputs!$E$66</f>
        <v>-25678.5786105334</v>
      </c>
      <c r="Z46" s="67" t="n">
        <f aca="false">-(Z45-Y45)*Inputs!$E$66</f>
        <v>-25683.2452772</v>
      </c>
      <c r="AA46" s="67" t="n">
        <f aca="false">-(AA45-Z45)*Inputs!$E$66</f>
        <v>-35912.8890877699</v>
      </c>
      <c r="AB46" s="67" t="n">
        <f aca="false">-(AB45-AA45)*Inputs!$E$66</f>
        <v>-35917.5557544365</v>
      </c>
      <c r="AC46" s="67" t="n">
        <f aca="false">-(AC45-AB45)*Inputs!$E$66</f>
        <v>-35922.2224211032</v>
      </c>
      <c r="AD46" s="67" t="n">
        <f aca="false">-(AD45-AC45)*Inputs!$E$66</f>
        <v>-35926.8890877699</v>
      </c>
      <c r="AE46" s="67" t="n">
        <f aca="false">-(AE45-AD45)*Inputs!$E$66</f>
        <v>-35931.5557544365</v>
      </c>
      <c r="AF46" s="67" t="n">
        <f aca="false">-(AF45-AE45)*Inputs!$E$66</f>
        <v>-35936.2224211032</v>
      </c>
      <c r="AG46" s="67" t="n">
        <f aca="false">-(AG45-AF45)*Inputs!$E$66</f>
        <v>-35940.8890877699</v>
      </c>
      <c r="AH46" s="67" t="n">
        <f aca="false">-(AH45-AG45)*Inputs!$E$66</f>
        <v>-35945.5557544366</v>
      </c>
      <c r="AI46" s="67" t="n">
        <f aca="false">-(AI45-AH45)*Inputs!$E$66</f>
        <v>-35950.2224211032</v>
      </c>
      <c r="AJ46" s="67" t="n">
        <f aca="false">-(AJ45-AI45)*Inputs!$E$66</f>
        <v>-35954.8890877699</v>
      </c>
      <c r="AK46" s="67" t="n">
        <f aca="false">-(AK45-AJ45)*Inputs!$E$66</f>
        <v>-35959.5557544365</v>
      </c>
      <c r="AL46" s="67" t="n">
        <f aca="false">-(AL45-AK45)*Inputs!$E$66</f>
        <v>-35964.2224211032</v>
      </c>
      <c r="AM46" s="67" t="n">
        <f aca="false">-(AM45-AL45)*Inputs!$E$66</f>
        <v>-49577.2182445748</v>
      </c>
      <c r="AN46" s="67" t="n">
        <f aca="false">-(AN45-AM45)*Inputs!$E$66</f>
        <v>-49581.8849112414</v>
      </c>
      <c r="AO46" s="67" t="n">
        <f aca="false">-(AO45-AN45)*Inputs!$E$66</f>
        <v>-49586.551577908</v>
      </c>
      <c r="AP46" s="67" t="n">
        <f aca="false">-(AP45-AO45)*Inputs!$E$66</f>
        <v>-49591.2182445746</v>
      </c>
      <c r="AQ46" s="67" t="n">
        <f aca="false">-(AQ45-AP45)*Inputs!$E$66</f>
        <v>-49595.8849112413</v>
      </c>
      <c r="AR46" s="67" t="n">
        <f aca="false">-(AR45-AQ45)*Inputs!$E$66</f>
        <v>-49600.5515779081</v>
      </c>
      <c r="AS46" s="67" t="n">
        <f aca="false">-(AS45-AR45)*Inputs!$E$66</f>
        <v>-49605.2182445747</v>
      </c>
      <c r="AT46" s="67" t="n">
        <f aca="false">-(AT45-AS45)*Inputs!$E$66</f>
        <v>-49609.8849112413</v>
      </c>
      <c r="AU46" s="67" t="n">
        <f aca="false">-(AU45-AT45)*Inputs!$E$66</f>
        <v>-49614.551577908</v>
      </c>
      <c r="AV46" s="67" t="n">
        <f aca="false">-(AV45-AU45)*Inputs!$E$66</f>
        <v>-49619.2182445748</v>
      </c>
      <c r="AW46" s="67" t="n">
        <f aca="false">-(AW45-AV45)*Inputs!$E$66</f>
        <v>-49623.8849112414</v>
      </c>
      <c r="AX46" s="67" t="n">
        <f aca="false">-(AX45-AW45)*Inputs!$E$66</f>
        <v>-49628.551577908</v>
      </c>
      <c r="AY46" s="67" t="n">
        <f aca="false">-(AY45-AX45)*Inputs!$E$66</f>
        <v>-67745.0017682293</v>
      </c>
      <c r="AZ46" s="67" t="n">
        <f aca="false">-(AZ45-AY45)*Inputs!$E$66</f>
        <v>-67749.6684348959</v>
      </c>
      <c r="BA46" s="67" t="n">
        <f aca="false">-(BA45-AZ45)*Inputs!$E$66</f>
        <v>-67754.3351015625</v>
      </c>
      <c r="BB46" s="67" t="n">
        <f aca="false">-(BB45-BA45)*Inputs!$E$66</f>
        <v>-67759.0017682291</v>
      </c>
      <c r="BC46" s="67" t="n">
        <f aca="false">-(BC45-BB45)*Inputs!$E$66</f>
        <v>-67763.6684348959</v>
      </c>
      <c r="BD46" s="67" t="n">
        <f aca="false">-(BD45-BC45)*Inputs!$E$66</f>
        <v>-67768.3351015626</v>
      </c>
      <c r="BE46" s="67" t="n">
        <f aca="false">-(BE45-BD45)*Inputs!$E$66</f>
        <v>-67773.0017682292</v>
      </c>
      <c r="BF46" s="67" t="n">
        <f aca="false">-(BF45-BE45)*Inputs!$E$66</f>
        <v>-67777.6684348958</v>
      </c>
      <c r="BG46" s="67" t="n">
        <f aca="false">-(BG45-BF45)*Inputs!$E$66</f>
        <v>-67782.3351015624</v>
      </c>
      <c r="BH46" s="67" t="n">
        <f aca="false">-(BH45-BG45)*Inputs!$E$66</f>
        <v>-67787.0017682291</v>
      </c>
      <c r="BI46" s="67" t="n">
        <f aca="false">-(BI45-BH45)*Inputs!$E$66</f>
        <v>-67791.6684348957</v>
      </c>
      <c r="BJ46" s="67" t="n">
        <f aca="false">-(BJ45-BI45)*Inputs!$E$66</f>
        <v>-67796.3351015627</v>
      </c>
    </row>
    <row r="47" customFormat="false" ht="15" hidden="false" customHeight="false" outlineLevel="0" collapsed="false">
      <c r="A47" s="113" t="s">
        <v>50</v>
      </c>
      <c r="C47" s="68" t="n">
        <f aca="false">C43+C46</f>
        <v>67321.5774666667</v>
      </c>
      <c r="D47" s="68" t="n">
        <f aca="false">D43+D46</f>
        <v>67330.3552444445</v>
      </c>
      <c r="E47" s="68" t="n">
        <f aca="false">E43+E46</f>
        <v>67347.9108</v>
      </c>
      <c r="F47" s="68" t="n">
        <f aca="false">F43+F46</f>
        <v>67365.4663555556</v>
      </c>
      <c r="G47" s="68" t="n">
        <f aca="false">G43+G46</f>
        <v>67383.0219111111</v>
      </c>
      <c r="H47" s="68" t="n">
        <f aca="false">H43+H46</f>
        <v>67400.5774666667</v>
      </c>
      <c r="I47" s="68" t="n">
        <f aca="false">I43+I46</f>
        <v>67418.1330222222</v>
      </c>
      <c r="J47" s="68" t="n">
        <f aca="false">J43+J46</f>
        <v>67435.6885777778</v>
      </c>
      <c r="K47" s="68" t="n">
        <f aca="false">K43+K46</f>
        <v>67453.2441333333</v>
      </c>
      <c r="L47" s="68" t="n">
        <f aca="false">L43+L46</f>
        <v>67470.7996888889</v>
      </c>
      <c r="M47" s="68" t="n">
        <f aca="false">M43+M46</f>
        <v>67488.3552444444</v>
      </c>
      <c r="N47" s="68" t="n">
        <f aca="false">N43+N46</f>
        <v>67505.9108</v>
      </c>
      <c r="O47" s="68" t="n">
        <f aca="false">O43+O46</f>
        <v>96424.8115983557</v>
      </c>
      <c r="P47" s="68" t="n">
        <f aca="false">P43+P46</f>
        <v>96442.3671539113</v>
      </c>
      <c r="Q47" s="68" t="n">
        <f aca="false">Q43+Q46</f>
        <v>96459.9227094669</v>
      </c>
      <c r="R47" s="68" t="n">
        <f aca="false">R43+R46</f>
        <v>96477.4782650224</v>
      </c>
      <c r="S47" s="68" t="n">
        <f aca="false">S43+S46</f>
        <v>96495.033820578</v>
      </c>
      <c r="T47" s="68" t="n">
        <f aca="false">T43+T46</f>
        <v>96512.5893761335</v>
      </c>
      <c r="U47" s="68" t="n">
        <f aca="false">U43+U46</f>
        <v>96530.1449316891</v>
      </c>
      <c r="V47" s="68" t="n">
        <f aca="false">V43+V46</f>
        <v>96547.7004872446</v>
      </c>
      <c r="W47" s="68" t="n">
        <f aca="false">W43+W46</f>
        <v>96565.2560428002</v>
      </c>
      <c r="X47" s="68" t="n">
        <f aca="false">X43+X46</f>
        <v>96582.8115983558</v>
      </c>
      <c r="Y47" s="68" t="n">
        <f aca="false">Y43+Y46</f>
        <v>96600.3671539113</v>
      </c>
      <c r="Z47" s="68" t="n">
        <f aca="false">Z43+Z46</f>
        <v>96617.9227094669</v>
      </c>
      <c r="AA47" s="68" t="n">
        <f aca="false">AA43+AA46</f>
        <v>135100.868473039</v>
      </c>
      <c r="AB47" s="68" t="n">
        <f aca="false">AB43+AB46</f>
        <v>135118.424028595</v>
      </c>
      <c r="AC47" s="68" t="n">
        <f aca="false">AC43+AC46</f>
        <v>135135.97958415</v>
      </c>
      <c r="AD47" s="68" t="n">
        <f aca="false">AD43+AD46</f>
        <v>135153.535139706</v>
      </c>
      <c r="AE47" s="68" t="n">
        <f aca="false">AE43+AE46</f>
        <v>135171.090695261</v>
      </c>
      <c r="AF47" s="68" t="n">
        <f aca="false">AF43+AF46</f>
        <v>135188.646250817</v>
      </c>
      <c r="AG47" s="68" t="n">
        <f aca="false">AG43+AG46</f>
        <v>135206.201806372</v>
      </c>
      <c r="AH47" s="68" t="n">
        <f aca="false">AH43+AH46</f>
        <v>135223.757361928</v>
      </c>
      <c r="AI47" s="68" t="n">
        <f aca="false">AI43+AI46</f>
        <v>135241.312917484</v>
      </c>
      <c r="AJ47" s="68" t="n">
        <f aca="false">AJ43+AJ46</f>
        <v>135258.868473039</v>
      </c>
      <c r="AK47" s="68" t="n">
        <f aca="false">AK43+AK46</f>
        <v>135276.424028595</v>
      </c>
      <c r="AL47" s="68" t="n">
        <f aca="false">AL43+AL46</f>
        <v>135293.97958415</v>
      </c>
      <c r="AM47" s="68" t="n">
        <f aca="false">AM43+AM46</f>
        <v>186504.773396257</v>
      </c>
      <c r="AN47" s="68" t="n">
        <f aca="false">AN43+AN46</f>
        <v>186522.328951813</v>
      </c>
      <c r="AO47" s="68" t="n">
        <f aca="false">AO43+AO46</f>
        <v>186539.884507368</v>
      </c>
      <c r="AP47" s="68" t="n">
        <f aca="false">AP43+AP46</f>
        <v>186557.440062924</v>
      </c>
      <c r="AQ47" s="68" t="n">
        <f aca="false">AQ43+AQ46</f>
        <v>186574.995618479</v>
      </c>
      <c r="AR47" s="68" t="n">
        <f aca="false">AR43+AR46</f>
        <v>186592.551174035</v>
      </c>
      <c r="AS47" s="68" t="n">
        <f aca="false">AS43+AS46</f>
        <v>186610.10672959</v>
      </c>
      <c r="AT47" s="68" t="n">
        <f aca="false">AT43+AT46</f>
        <v>186627.662285146</v>
      </c>
      <c r="AU47" s="68" t="n">
        <f aca="false">AU43+AU46</f>
        <v>186645.217840702</v>
      </c>
      <c r="AV47" s="68" t="n">
        <f aca="false">AV43+AV46</f>
        <v>186662.773396257</v>
      </c>
      <c r="AW47" s="68" t="n">
        <f aca="false">AW43+AW46</f>
        <v>186680.328951813</v>
      </c>
      <c r="AX47" s="68" t="n">
        <f aca="false">AX43+AX46</f>
        <v>186697.884507368</v>
      </c>
      <c r="AY47" s="68" t="n">
        <f aca="false">AY43+AY46</f>
        <v>254850.244747148</v>
      </c>
      <c r="AZ47" s="68" t="n">
        <f aca="false">AZ43+AZ46</f>
        <v>254867.800302703</v>
      </c>
      <c r="BA47" s="68" t="n">
        <f aca="false">BA43+BA46</f>
        <v>254885.355858259</v>
      </c>
      <c r="BB47" s="68" t="n">
        <f aca="false">BB43+BB46</f>
        <v>254902.911413815</v>
      </c>
      <c r="BC47" s="68" t="n">
        <f aca="false">BC43+BC46</f>
        <v>254920.46696937</v>
      </c>
      <c r="BD47" s="68" t="n">
        <f aca="false">BD43+BD46</f>
        <v>254938.022524926</v>
      </c>
      <c r="BE47" s="68" t="n">
        <f aca="false">BE43+BE46</f>
        <v>254955.578080481</v>
      </c>
      <c r="BF47" s="68" t="n">
        <f aca="false">BF43+BF46</f>
        <v>254973.133636037</v>
      </c>
      <c r="BG47" s="68" t="n">
        <f aca="false">BG43+BG46</f>
        <v>254990.689191592</v>
      </c>
      <c r="BH47" s="68" t="n">
        <f aca="false">BH43+BH46</f>
        <v>255008.244747148</v>
      </c>
      <c r="BI47" s="68" t="n">
        <f aca="false">BI43+BI46</f>
        <v>255025.800302704</v>
      </c>
      <c r="BJ47" s="68" t="n">
        <f aca="false">BJ43+BJ46</f>
        <v>255043.355858259</v>
      </c>
    </row>
    <row r="49" customFormat="false" ht="15.75" hidden="false" customHeight="true" outlineLevel="0" collapsed="false">
      <c r="A49" s="7" t="s">
        <v>416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customFormat="false" ht="15" hidden="false" customHeight="false" outlineLevel="0" collapsed="false">
      <c r="A50" s="6" t="s">
        <v>84</v>
      </c>
      <c r="C50" s="67" t="n">
        <f aca="false">IF(C$4=1,Inputs!$E$31,0)</f>
        <v>60000</v>
      </c>
      <c r="D50" s="67" t="n">
        <f aca="false">IF(D$4=1,Inputs!$E$31,0)</f>
        <v>0</v>
      </c>
      <c r="E50" s="67" t="n">
        <f aca="false">IF(E$4=1,Inputs!$E$31,0)</f>
        <v>0</v>
      </c>
      <c r="F50" s="67" t="n">
        <f aca="false">IF(F$4=1,Inputs!$E$31,0)</f>
        <v>0</v>
      </c>
      <c r="G50" s="67" t="n">
        <f aca="false">IF(G$4=1,Inputs!$E$31,0)</f>
        <v>0</v>
      </c>
      <c r="H50" s="67" t="n">
        <f aca="false">IF(H$4=1,Inputs!$E$31,0)</f>
        <v>0</v>
      </c>
      <c r="I50" s="67" t="n">
        <f aca="false">IF(I$4=1,Inputs!$E$31,0)</f>
        <v>0</v>
      </c>
      <c r="J50" s="67" t="n">
        <f aca="false">IF(J$4=1,Inputs!$E$31,0)</f>
        <v>0</v>
      </c>
      <c r="K50" s="67" t="n">
        <f aca="false">IF(K$4=1,Inputs!$E$31,0)</f>
        <v>0</v>
      </c>
      <c r="L50" s="67" t="n">
        <f aca="false">IF(L$4=1,Inputs!$E$31,0)</f>
        <v>0</v>
      </c>
      <c r="M50" s="67" t="n">
        <f aca="false">IF(M$4=1,Inputs!$E$31,0)</f>
        <v>0</v>
      </c>
      <c r="N50" s="67" t="n">
        <f aca="false">IF(N$4=1,Inputs!$E$31,0)</f>
        <v>0</v>
      </c>
      <c r="O50" s="67" t="n">
        <f aca="false">IF(O$4=1,Inputs!$E$31,0)</f>
        <v>0</v>
      </c>
      <c r="P50" s="67" t="n">
        <f aca="false">IF(P$4=1,Inputs!$E$31,0)</f>
        <v>0</v>
      </c>
      <c r="Q50" s="67" t="n">
        <f aca="false">IF(Q$4=1,Inputs!$E$31,0)</f>
        <v>0</v>
      </c>
      <c r="R50" s="67" t="n">
        <f aca="false">IF(R$4=1,Inputs!$E$31,0)</f>
        <v>0</v>
      </c>
      <c r="S50" s="67" t="n">
        <f aca="false">IF(S$4=1,Inputs!$E$31,0)</f>
        <v>0</v>
      </c>
      <c r="T50" s="67" t="n">
        <f aca="false">IF(T$4=1,Inputs!$E$31,0)</f>
        <v>0</v>
      </c>
      <c r="U50" s="67" t="n">
        <f aca="false">IF(U$4=1,Inputs!$E$31,0)</f>
        <v>0</v>
      </c>
      <c r="V50" s="67" t="n">
        <f aca="false">IF(V$4=1,Inputs!$E$31,0)</f>
        <v>0</v>
      </c>
      <c r="W50" s="67" t="n">
        <f aca="false">IF(W$4=1,Inputs!$E$31,0)</f>
        <v>0</v>
      </c>
      <c r="X50" s="67" t="n">
        <f aca="false">IF(X$4=1,Inputs!$E$31,0)</f>
        <v>0</v>
      </c>
      <c r="Y50" s="67" t="n">
        <f aca="false">IF(Y$4=1,Inputs!$E$31,0)</f>
        <v>0</v>
      </c>
      <c r="Z50" s="67" t="n">
        <f aca="false">IF(Z$4=1,Inputs!$E$31,0)</f>
        <v>0</v>
      </c>
      <c r="AA50" s="67" t="n">
        <f aca="false">IF(AA$4=1,Inputs!$E$31,0)</f>
        <v>0</v>
      </c>
      <c r="AB50" s="67" t="n">
        <f aca="false">IF(AB$4=1,Inputs!$E$31,0)</f>
        <v>0</v>
      </c>
      <c r="AC50" s="67" t="n">
        <f aca="false">IF(AC$4=1,Inputs!$E$31,0)</f>
        <v>0</v>
      </c>
      <c r="AD50" s="67" t="n">
        <f aca="false">IF(AD$4=1,Inputs!$E$31,0)</f>
        <v>0</v>
      </c>
      <c r="AE50" s="67" t="n">
        <f aca="false">IF(AE$4=1,Inputs!$E$31,0)</f>
        <v>0</v>
      </c>
      <c r="AF50" s="67" t="n">
        <f aca="false">IF(AF$4=1,Inputs!$E$31,0)</f>
        <v>0</v>
      </c>
      <c r="AG50" s="67" t="n">
        <f aca="false">IF(AG$4=1,Inputs!$E$31,0)</f>
        <v>0</v>
      </c>
      <c r="AH50" s="67" t="n">
        <f aca="false">IF(AH$4=1,Inputs!$E$31,0)</f>
        <v>0</v>
      </c>
      <c r="AI50" s="67" t="n">
        <f aca="false">IF(AI$4=1,Inputs!$E$31,0)</f>
        <v>0</v>
      </c>
      <c r="AJ50" s="67" t="n">
        <f aca="false">IF(AJ$4=1,Inputs!$E$31,0)</f>
        <v>0</v>
      </c>
      <c r="AK50" s="67" t="n">
        <f aca="false">IF(AK$4=1,Inputs!$E$31,0)</f>
        <v>0</v>
      </c>
      <c r="AL50" s="67" t="n">
        <f aca="false">IF(AL$4=1,Inputs!$E$31,0)</f>
        <v>0</v>
      </c>
      <c r="AM50" s="67" t="n">
        <f aca="false">IF(AM$4=1,Inputs!$E$31,0)</f>
        <v>0</v>
      </c>
      <c r="AN50" s="67" t="n">
        <f aca="false">IF(AN$4=1,Inputs!$E$31,0)</f>
        <v>0</v>
      </c>
      <c r="AO50" s="67" t="n">
        <f aca="false">IF(AO$4=1,Inputs!$E$31,0)</f>
        <v>0</v>
      </c>
      <c r="AP50" s="67" t="n">
        <f aca="false">IF(AP$4=1,Inputs!$E$31,0)</f>
        <v>0</v>
      </c>
      <c r="AQ50" s="67" t="n">
        <f aca="false">IF(AQ$4=1,Inputs!$E$31,0)</f>
        <v>0</v>
      </c>
      <c r="AR50" s="67" t="n">
        <f aca="false">IF(AR$4=1,Inputs!$E$31,0)</f>
        <v>0</v>
      </c>
      <c r="AS50" s="67" t="n">
        <f aca="false">IF(AS$4=1,Inputs!$E$31,0)</f>
        <v>0</v>
      </c>
      <c r="AT50" s="67" t="n">
        <f aca="false">IF(AT$4=1,Inputs!$E$31,0)</f>
        <v>0</v>
      </c>
      <c r="AU50" s="67" t="n">
        <f aca="false">IF(AU$4=1,Inputs!$E$31,0)</f>
        <v>0</v>
      </c>
      <c r="AV50" s="67" t="n">
        <f aca="false">IF(AV$4=1,Inputs!$E$31,0)</f>
        <v>0</v>
      </c>
      <c r="AW50" s="67" t="n">
        <f aca="false">IF(AW$4=1,Inputs!$E$31,0)</f>
        <v>0</v>
      </c>
      <c r="AX50" s="67" t="n">
        <f aca="false">IF(AX$4=1,Inputs!$E$31,0)</f>
        <v>0</v>
      </c>
      <c r="AY50" s="67" t="n">
        <f aca="false">IF(AY$4=1,Inputs!$E$31,0)</f>
        <v>0</v>
      </c>
      <c r="AZ50" s="67" t="n">
        <f aca="false">IF(AZ$4=1,Inputs!$E$31,0)</f>
        <v>0</v>
      </c>
      <c r="BA50" s="67" t="n">
        <f aca="false">IF(BA$4=1,Inputs!$E$31,0)</f>
        <v>0</v>
      </c>
      <c r="BB50" s="67" t="n">
        <f aca="false">IF(BB$4=1,Inputs!$E$31,0)</f>
        <v>0</v>
      </c>
      <c r="BC50" s="67" t="n">
        <f aca="false">IF(BC$4=1,Inputs!$E$31,0)</f>
        <v>0</v>
      </c>
      <c r="BD50" s="67" t="n">
        <f aca="false">IF(BD$4=1,Inputs!$E$31,0)</f>
        <v>0</v>
      </c>
      <c r="BE50" s="67" t="n">
        <f aca="false">IF(BE$4=1,Inputs!$E$31,0)</f>
        <v>0</v>
      </c>
      <c r="BF50" s="67" t="n">
        <f aca="false">IF(BF$4=1,Inputs!$E$31,0)</f>
        <v>0</v>
      </c>
      <c r="BG50" s="67" t="n">
        <f aca="false">IF(BG$4=1,Inputs!$E$31,0)</f>
        <v>0</v>
      </c>
      <c r="BH50" s="67" t="n">
        <f aca="false">IF(BH$4=1,Inputs!$E$31,0)</f>
        <v>0</v>
      </c>
      <c r="BI50" s="67" t="n">
        <f aca="false">IF(BI$4=1,Inputs!$E$31,0)</f>
        <v>0</v>
      </c>
      <c r="BJ50" s="67" t="n">
        <f aca="false">IF(BJ$4=1,Inputs!$E$31,0)</f>
        <v>0</v>
      </c>
    </row>
    <row r="51" customFormat="false" ht="15" hidden="false" customHeight="false" outlineLevel="0" collapsed="false">
      <c r="A51" s="6" t="s">
        <v>417</v>
      </c>
      <c r="C51" s="67" t="n">
        <f aca="false">C50</f>
        <v>60000</v>
      </c>
      <c r="D51" s="67" t="n">
        <f aca="false">C51+D50</f>
        <v>60000</v>
      </c>
      <c r="E51" s="67" t="n">
        <f aca="false">D51+E50</f>
        <v>60000</v>
      </c>
      <c r="F51" s="67" t="n">
        <f aca="false">E51+F50</f>
        <v>60000</v>
      </c>
      <c r="G51" s="67" t="n">
        <f aca="false">F51+G50</f>
        <v>60000</v>
      </c>
      <c r="H51" s="67" t="n">
        <f aca="false">G51+H50</f>
        <v>60000</v>
      </c>
      <c r="I51" s="67" t="n">
        <f aca="false">H51+I50</f>
        <v>60000</v>
      </c>
      <c r="J51" s="67" t="n">
        <f aca="false">I51+J50</f>
        <v>60000</v>
      </c>
      <c r="K51" s="67" t="n">
        <f aca="false">J51+K50</f>
        <v>60000</v>
      </c>
      <c r="L51" s="67" t="n">
        <f aca="false">K51+L50</f>
        <v>60000</v>
      </c>
      <c r="M51" s="67" t="n">
        <f aca="false">L51+M50</f>
        <v>60000</v>
      </c>
      <c r="N51" s="67" t="n">
        <f aca="false">M51+N50</f>
        <v>60000</v>
      </c>
      <c r="O51" s="67" t="n">
        <f aca="false">N51+O50</f>
        <v>60000</v>
      </c>
      <c r="P51" s="67" t="n">
        <f aca="false">O51+P50</f>
        <v>60000</v>
      </c>
      <c r="Q51" s="67" t="n">
        <f aca="false">P51+Q50</f>
        <v>60000</v>
      </c>
      <c r="R51" s="67" t="n">
        <f aca="false">Q51+R50</f>
        <v>60000</v>
      </c>
      <c r="S51" s="67" t="n">
        <f aca="false">R51+S50</f>
        <v>60000</v>
      </c>
      <c r="T51" s="67" t="n">
        <f aca="false">S51+T50</f>
        <v>60000</v>
      </c>
      <c r="U51" s="67" t="n">
        <f aca="false">T51+U50</f>
        <v>60000</v>
      </c>
      <c r="V51" s="67" t="n">
        <f aca="false">U51+V50</f>
        <v>60000</v>
      </c>
      <c r="W51" s="67" t="n">
        <f aca="false">V51+W50</f>
        <v>60000</v>
      </c>
      <c r="X51" s="67" t="n">
        <f aca="false">W51+X50</f>
        <v>60000</v>
      </c>
      <c r="Y51" s="67" t="n">
        <f aca="false">X51+Y50</f>
        <v>60000</v>
      </c>
      <c r="Z51" s="67" t="n">
        <f aca="false">Y51+Z50</f>
        <v>60000</v>
      </c>
      <c r="AA51" s="67" t="n">
        <f aca="false">Z51+AA50</f>
        <v>60000</v>
      </c>
      <c r="AB51" s="67" t="n">
        <f aca="false">AA51+AB50</f>
        <v>60000</v>
      </c>
      <c r="AC51" s="67" t="n">
        <f aca="false">AB51+AC50</f>
        <v>60000</v>
      </c>
      <c r="AD51" s="67" t="n">
        <f aca="false">AC51+AD50</f>
        <v>60000</v>
      </c>
      <c r="AE51" s="67" t="n">
        <f aca="false">AD51+AE50</f>
        <v>60000</v>
      </c>
      <c r="AF51" s="67" t="n">
        <f aca="false">AE51+AF50</f>
        <v>60000</v>
      </c>
      <c r="AG51" s="67" t="n">
        <f aca="false">AF51+AG50</f>
        <v>60000</v>
      </c>
      <c r="AH51" s="67" t="n">
        <f aca="false">AG51+AH50</f>
        <v>60000</v>
      </c>
      <c r="AI51" s="67" t="n">
        <f aca="false">AH51+AI50</f>
        <v>60000</v>
      </c>
      <c r="AJ51" s="67" t="n">
        <f aca="false">AI51+AJ50</f>
        <v>60000</v>
      </c>
      <c r="AK51" s="67" t="n">
        <f aca="false">AJ51+AK50</f>
        <v>60000</v>
      </c>
      <c r="AL51" s="67" t="n">
        <f aca="false">AK51+AL50</f>
        <v>60000</v>
      </c>
      <c r="AM51" s="67" t="n">
        <f aca="false">AL51+AM50</f>
        <v>60000</v>
      </c>
      <c r="AN51" s="67" t="n">
        <f aca="false">AM51+AN50</f>
        <v>60000</v>
      </c>
      <c r="AO51" s="67" t="n">
        <f aca="false">AN51+AO50</f>
        <v>60000</v>
      </c>
      <c r="AP51" s="67" t="n">
        <f aca="false">AO51+AP50</f>
        <v>60000</v>
      </c>
      <c r="AQ51" s="67" t="n">
        <f aca="false">AP51+AQ50</f>
        <v>60000</v>
      </c>
      <c r="AR51" s="67" t="n">
        <f aca="false">AQ51+AR50</f>
        <v>60000</v>
      </c>
      <c r="AS51" s="67" t="n">
        <f aca="false">AR51+AS50</f>
        <v>60000</v>
      </c>
      <c r="AT51" s="67" t="n">
        <f aca="false">AS51+AT50</f>
        <v>60000</v>
      </c>
      <c r="AU51" s="67" t="n">
        <f aca="false">AT51+AU50</f>
        <v>60000</v>
      </c>
      <c r="AV51" s="67" t="n">
        <f aca="false">AU51+AV50</f>
        <v>60000</v>
      </c>
      <c r="AW51" s="67" t="n">
        <f aca="false">AV51+AW50</f>
        <v>60000</v>
      </c>
      <c r="AX51" s="67" t="n">
        <f aca="false">AW51+AX50</f>
        <v>60000</v>
      </c>
      <c r="AY51" s="67" t="n">
        <f aca="false">AX51+AY50</f>
        <v>60000</v>
      </c>
      <c r="AZ51" s="67" t="n">
        <f aca="false">AY51+AZ50</f>
        <v>60000</v>
      </c>
      <c r="BA51" s="67" t="n">
        <f aca="false">AZ51+BA50</f>
        <v>60000</v>
      </c>
      <c r="BB51" s="67" t="n">
        <f aca="false">BA51+BB50</f>
        <v>60000</v>
      </c>
      <c r="BC51" s="67" t="n">
        <f aca="false">BB51+BC50</f>
        <v>60000</v>
      </c>
      <c r="BD51" s="67" t="n">
        <f aca="false">BC51+BD50</f>
        <v>60000</v>
      </c>
      <c r="BE51" s="67" t="n">
        <f aca="false">BD51+BE50</f>
        <v>60000</v>
      </c>
      <c r="BF51" s="67" t="n">
        <f aca="false">BE51+BF50</f>
        <v>60000</v>
      </c>
      <c r="BG51" s="67" t="n">
        <f aca="false">BF51+BG50</f>
        <v>60000</v>
      </c>
      <c r="BH51" s="67" t="n">
        <f aca="false">BG51+BH50</f>
        <v>60000</v>
      </c>
      <c r="BI51" s="67" t="n">
        <f aca="false">BH51+BI50</f>
        <v>60000</v>
      </c>
      <c r="BJ51" s="67" t="n">
        <f aca="false">BI51+BJ50</f>
        <v>60000</v>
      </c>
    </row>
    <row r="52" customFormat="false" ht="15" hidden="false" customHeight="false" outlineLevel="0" collapsed="false">
      <c r="A52" s="6" t="s">
        <v>78</v>
      </c>
      <c r="C52" s="67" t="n">
        <f aca="false">-MIN(C51/MAX(1,Inputs!$E$65*12),C50)</f>
        <v>-1000</v>
      </c>
      <c r="D52" s="67" t="n">
        <f aca="false">-MIN(D51/MAX(1,Inputs!$E$65*12),C54+D50)</f>
        <v>-1000</v>
      </c>
      <c r="E52" s="67" t="n">
        <f aca="false">-MIN(E51/MAX(1,Inputs!$E$65*12),D54+E50)</f>
        <v>-1000</v>
      </c>
      <c r="F52" s="67" t="n">
        <f aca="false">-MIN(F51/MAX(1,Inputs!$E$65*12),E54+F50)</f>
        <v>-1000</v>
      </c>
      <c r="G52" s="67" t="n">
        <f aca="false">-MIN(G51/MAX(1,Inputs!$E$65*12),F54+G50)</f>
        <v>-1000</v>
      </c>
      <c r="H52" s="67" t="n">
        <f aca="false">-MIN(H51/MAX(1,Inputs!$E$65*12),G54+H50)</f>
        <v>-1000</v>
      </c>
      <c r="I52" s="67" t="n">
        <f aca="false">-MIN(I51/MAX(1,Inputs!$E$65*12),H54+I50)</f>
        <v>-1000</v>
      </c>
      <c r="J52" s="67" t="n">
        <f aca="false">-MIN(J51/MAX(1,Inputs!$E$65*12),I54+J50)</f>
        <v>-1000</v>
      </c>
      <c r="K52" s="67" t="n">
        <f aca="false">-MIN(K51/MAX(1,Inputs!$E$65*12),J54+K50)</f>
        <v>-1000</v>
      </c>
      <c r="L52" s="67" t="n">
        <f aca="false">-MIN(L51/MAX(1,Inputs!$E$65*12),K54+L50)</f>
        <v>-1000</v>
      </c>
      <c r="M52" s="67" t="n">
        <f aca="false">-MIN(M51/MAX(1,Inputs!$E$65*12),L54+M50)</f>
        <v>-1000</v>
      </c>
      <c r="N52" s="67" t="n">
        <f aca="false">-MIN(N51/MAX(1,Inputs!$E$65*12),M54+N50)</f>
        <v>-1000</v>
      </c>
      <c r="O52" s="67" t="n">
        <f aca="false">-MIN(O51/MAX(1,Inputs!$E$65*12),N54+O50)</f>
        <v>-1000</v>
      </c>
      <c r="P52" s="67" t="n">
        <f aca="false">-MIN(P51/MAX(1,Inputs!$E$65*12),O54+P50)</f>
        <v>-1000</v>
      </c>
      <c r="Q52" s="67" t="n">
        <f aca="false">-MIN(Q51/MAX(1,Inputs!$E$65*12),P54+Q50)</f>
        <v>-1000</v>
      </c>
      <c r="R52" s="67" t="n">
        <f aca="false">-MIN(R51/MAX(1,Inputs!$E$65*12),Q54+R50)</f>
        <v>-1000</v>
      </c>
      <c r="S52" s="67" t="n">
        <f aca="false">-MIN(S51/MAX(1,Inputs!$E$65*12),R54+S50)</f>
        <v>-1000</v>
      </c>
      <c r="T52" s="67" t="n">
        <f aca="false">-MIN(T51/MAX(1,Inputs!$E$65*12),S54+T50)</f>
        <v>-1000</v>
      </c>
      <c r="U52" s="67" t="n">
        <f aca="false">-MIN(U51/MAX(1,Inputs!$E$65*12),T54+U50)</f>
        <v>-1000</v>
      </c>
      <c r="V52" s="67" t="n">
        <f aca="false">-MIN(V51/MAX(1,Inputs!$E$65*12),U54+V50)</f>
        <v>-1000</v>
      </c>
      <c r="W52" s="67" t="n">
        <f aca="false">-MIN(W51/MAX(1,Inputs!$E$65*12),V54+W50)</f>
        <v>-1000</v>
      </c>
      <c r="X52" s="67" t="n">
        <f aca="false">-MIN(X51/MAX(1,Inputs!$E$65*12),W54+X50)</f>
        <v>-1000</v>
      </c>
      <c r="Y52" s="67" t="n">
        <f aca="false">-MIN(Y51/MAX(1,Inputs!$E$65*12),X54+Y50)</f>
        <v>-1000</v>
      </c>
      <c r="Z52" s="67" t="n">
        <f aca="false">-MIN(Z51/MAX(1,Inputs!$E$65*12),Y54+Z50)</f>
        <v>-1000</v>
      </c>
      <c r="AA52" s="67" t="n">
        <f aca="false">-MIN(AA51/MAX(1,Inputs!$E$65*12),Z54+AA50)</f>
        <v>-1000</v>
      </c>
      <c r="AB52" s="67" t="n">
        <f aca="false">-MIN(AB51/MAX(1,Inputs!$E$65*12),AA54+AB50)</f>
        <v>-1000</v>
      </c>
      <c r="AC52" s="67" t="n">
        <f aca="false">-MIN(AC51/MAX(1,Inputs!$E$65*12),AB54+AC50)</f>
        <v>-1000</v>
      </c>
      <c r="AD52" s="67" t="n">
        <f aca="false">-MIN(AD51/MAX(1,Inputs!$E$65*12),AC54+AD50)</f>
        <v>-1000</v>
      </c>
      <c r="AE52" s="67" t="n">
        <f aca="false">-MIN(AE51/MAX(1,Inputs!$E$65*12),AD54+AE50)</f>
        <v>-1000</v>
      </c>
      <c r="AF52" s="67" t="n">
        <f aca="false">-MIN(AF51/MAX(1,Inputs!$E$65*12),AE54+AF50)</f>
        <v>-1000</v>
      </c>
      <c r="AG52" s="67" t="n">
        <f aca="false">-MIN(AG51/MAX(1,Inputs!$E$65*12),AF54+AG50)</f>
        <v>-1000</v>
      </c>
      <c r="AH52" s="67" t="n">
        <f aca="false">-MIN(AH51/MAX(1,Inputs!$E$65*12),AG54+AH50)</f>
        <v>-1000</v>
      </c>
      <c r="AI52" s="67" t="n">
        <f aca="false">-MIN(AI51/MAX(1,Inputs!$E$65*12),AH54+AI50)</f>
        <v>-1000</v>
      </c>
      <c r="AJ52" s="67" t="n">
        <f aca="false">-MIN(AJ51/MAX(1,Inputs!$E$65*12),AI54+AJ50)</f>
        <v>-1000</v>
      </c>
      <c r="AK52" s="67" t="n">
        <f aca="false">-MIN(AK51/MAX(1,Inputs!$E$65*12),AJ54+AK50)</f>
        <v>-1000</v>
      </c>
      <c r="AL52" s="67" t="n">
        <f aca="false">-MIN(AL51/MAX(1,Inputs!$E$65*12),AK54+AL50)</f>
        <v>-1000</v>
      </c>
      <c r="AM52" s="67" t="n">
        <f aca="false">-MIN(AM51/MAX(1,Inputs!$E$65*12),AL54+AM50)</f>
        <v>-1000</v>
      </c>
      <c r="AN52" s="67" t="n">
        <f aca="false">-MIN(AN51/MAX(1,Inputs!$E$65*12),AM54+AN50)</f>
        <v>-1000</v>
      </c>
      <c r="AO52" s="67" t="n">
        <f aca="false">-MIN(AO51/MAX(1,Inputs!$E$65*12),AN54+AO50)</f>
        <v>-1000</v>
      </c>
      <c r="AP52" s="67" t="n">
        <f aca="false">-MIN(AP51/MAX(1,Inputs!$E$65*12),AO54+AP50)</f>
        <v>-1000</v>
      </c>
      <c r="AQ52" s="67" t="n">
        <f aca="false">-MIN(AQ51/MAX(1,Inputs!$E$65*12),AP54+AQ50)</f>
        <v>-1000</v>
      </c>
      <c r="AR52" s="67" t="n">
        <f aca="false">-MIN(AR51/MAX(1,Inputs!$E$65*12),AQ54+AR50)</f>
        <v>-1000</v>
      </c>
      <c r="AS52" s="67" t="n">
        <f aca="false">-MIN(AS51/MAX(1,Inputs!$E$65*12),AR54+AS50)</f>
        <v>-1000</v>
      </c>
      <c r="AT52" s="67" t="n">
        <f aca="false">-MIN(AT51/MAX(1,Inputs!$E$65*12),AS54+AT50)</f>
        <v>-1000</v>
      </c>
      <c r="AU52" s="67" t="n">
        <f aca="false">-MIN(AU51/MAX(1,Inputs!$E$65*12),AT54+AU50)</f>
        <v>-1000</v>
      </c>
      <c r="AV52" s="67" t="n">
        <f aca="false">-MIN(AV51/MAX(1,Inputs!$E$65*12),AU54+AV50)</f>
        <v>-1000</v>
      </c>
      <c r="AW52" s="67" t="n">
        <f aca="false">-MIN(AW51/MAX(1,Inputs!$E$65*12),AV54+AW50)</f>
        <v>-1000</v>
      </c>
      <c r="AX52" s="67" t="n">
        <f aca="false">-MIN(AX51/MAX(1,Inputs!$E$65*12),AW54+AX50)</f>
        <v>-1000</v>
      </c>
      <c r="AY52" s="67" t="n">
        <f aca="false">-MIN(AY51/MAX(1,Inputs!$E$65*12),AX54+AY50)</f>
        <v>-1000</v>
      </c>
      <c r="AZ52" s="67" t="n">
        <f aca="false">-MIN(AZ51/MAX(1,Inputs!$E$65*12),AY54+AZ50)</f>
        <v>-1000</v>
      </c>
      <c r="BA52" s="67" t="n">
        <f aca="false">-MIN(BA51/MAX(1,Inputs!$E$65*12),AZ54+BA50)</f>
        <v>-1000</v>
      </c>
      <c r="BB52" s="67" t="n">
        <f aca="false">-MIN(BB51/MAX(1,Inputs!$E$65*12),BA54+BB50)</f>
        <v>-1000</v>
      </c>
      <c r="BC52" s="67" t="n">
        <f aca="false">-MIN(BC51/MAX(1,Inputs!$E$65*12),BB54+BC50)</f>
        <v>-1000</v>
      </c>
      <c r="BD52" s="67" t="n">
        <f aca="false">-MIN(BD51/MAX(1,Inputs!$E$65*12),BC54+BD50)</f>
        <v>-1000</v>
      </c>
      <c r="BE52" s="67" t="n">
        <f aca="false">-MIN(BE51/MAX(1,Inputs!$E$65*12),BD54+BE50)</f>
        <v>-1000</v>
      </c>
      <c r="BF52" s="67" t="n">
        <f aca="false">-MIN(BF51/MAX(1,Inputs!$E$65*12),BE54+BF50)</f>
        <v>-1000</v>
      </c>
      <c r="BG52" s="67" t="n">
        <f aca="false">-MIN(BG51/MAX(1,Inputs!$E$65*12),BF54+BG50)</f>
        <v>-1000</v>
      </c>
      <c r="BH52" s="67" t="n">
        <f aca="false">-MIN(BH51/MAX(1,Inputs!$E$65*12),BG54+BH50)</f>
        <v>-1000</v>
      </c>
      <c r="BI52" s="67" t="n">
        <f aca="false">-MIN(BI51/MAX(1,Inputs!$E$65*12),BH54+BI50)</f>
        <v>-1000</v>
      </c>
      <c r="BJ52" s="67" t="n">
        <f aca="false">-MIN(BJ51/MAX(1,Inputs!$E$65*12),BI54+BJ50)</f>
        <v>-1000</v>
      </c>
    </row>
    <row r="53" customFormat="false" ht="15" hidden="false" customHeight="false" outlineLevel="0" collapsed="false">
      <c r="A53" s="6" t="s">
        <v>418</v>
      </c>
      <c r="C53" s="67" t="n">
        <f aca="false">C52</f>
        <v>-1000</v>
      </c>
      <c r="D53" s="67" t="n">
        <f aca="false">C53+D52</f>
        <v>-2000</v>
      </c>
      <c r="E53" s="67" t="n">
        <f aca="false">D53+E52</f>
        <v>-3000</v>
      </c>
      <c r="F53" s="67" t="n">
        <f aca="false">E53+F52</f>
        <v>-4000</v>
      </c>
      <c r="G53" s="67" t="n">
        <f aca="false">F53+G52</f>
        <v>-5000</v>
      </c>
      <c r="H53" s="67" t="n">
        <f aca="false">G53+H52</f>
        <v>-6000</v>
      </c>
      <c r="I53" s="67" t="n">
        <f aca="false">H53+I52</f>
        <v>-7000</v>
      </c>
      <c r="J53" s="67" t="n">
        <f aca="false">I53+J52</f>
        <v>-8000</v>
      </c>
      <c r="K53" s="67" t="n">
        <f aca="false">J53+K52</f>
        <v>-9000</v>
      </c>
      <c r="L53" s="67" t="n">
        <f aca="false">K53+L52</f>
        <v>-10000</v>
      </c>
      <c r="M53" s="67" t="n">
        <f aca="false">L53+M52</f>
        <v>-11000</v>
      </c>
      <c r="N53" s="67" t="n">
        <f aca="false">M53+N52</f>
        <v>-12000</v>
      </c>
      <c r="O53" s="67" t="n">
        <f aca="false">N53+O52</f>
        <v>-13000</v>
      </c>
      <c r="P53" s="67" t="n">
        <f aca="false">O53+P52</f>
        <v>-14000</v>
      </c>
      <c r="Q53" s="67" t="n">
        <f aca="false">P53+Q52</f>
        <v>-15000</v>
      </c>
      <c r="R53" s="67" t="n">
        <f aca="false">Q53+R52</f>
        <v>-16000</v>
      </c>
      <c r="S53" s="67" t="n">
        <f aca="false">R53+S52</f>
        <v>-17000</v>
      </c>
      <c r="T53" s="67" t="n">
        <f aca="false">S53+T52</f>
        <v>-18000</v>
      </c>
      <c r="U53" s="67" t="n">
        <f aca="false">T53+U52</f>
        <v>-19000</v>
      </c>
      <c r="V53" s="67" t="n">
        <f aca="false">U53+V52</f>
        <v>-20000</v>
      </c>
      <c r="W53" s="67" t="n">
        <f aca="false">V53+W52</f>
        <v>-21000</v>
      </c>
      <c r="X53" s="67" t="n">
        <f aca="false">W53+X52</f>
        <v>-22000</v>
      </c>
      <c r="Y53" s="67" t="n">
        <f aca="false">X53+Y52</f>
        <v>-23000</v>
      </c>
      <c r="Z53" s="67" t="n">
        <f aca="false">Y53+Z52</f>
        <v>-24000</v>
      </c>
      <c r="AA53" s="67" t="n">
        <f aca="false">Z53+AA52</f>
        <v>-25000</v>
      </c>
      <c r="AB53" s="67" t="n">
        <f aca="false">AA53+AB52</f>
        <v>-26000</v>
      </c>
      <c r="AC53" s="67" t="n">
        <f aca="false">AB53+AC52</f>
        <v>-27000</v>
      </c>
      <c r="AD53" s="67" t="n">
        <f aca="false">AC53+AD52</f>
        <v>-28000</v>
      </c>
      <c r="AE53" s="67" t="n">
        <f aca="false">AD53+AE52</f>
        <v>-29000</v>
      </c>
      <c r="AF53" s="67" t="n">
        <f aca="false">AE53+AF52</f>
        <v>-30000</v>
      </c>
      <c r="AG53" s="67" t="n">
        <f aca="false">AF53+AG52</f>
        <v>-31000</v>
      </c>
      <c r="AH53" s="67" t="n">
        <f aca="false">AG53+AH52</f>
        <v>-32000</v>
      </c>
      <c r="AI53" s="67" t="n">
        <f aca="false">AH53+AI52</f>
        <v>-33000</v>
      </c>
      <c r="AJ53" s="67" t="n">
        <f aca="false">AI53+AJ52</f>
        <v>-34000</v>
      </c>
      <c r="AK53" s="67" t="n">
        <f aca="false">AJ53+AK52</f>
        <v>-35000</v>
      </c>
      <c r="AL53" s="67" t="n">
        <f aca="false">AK53+AL52</f>
        <v>-36000</v>
      </c>
      <c r="AM53" s="67" t="n">
        <f aca="false">AL53+AM52</f>
        <v>-37000</v>
      </c>
      <c r="AN53" s="67" t="n">
        <f aca="false">AM53+AN52</f>
        <v>-38000</v>
      </c>
      <c r="AO53" s="67" t="n">
        <f aca="false">AN53+AO52</f>
        <v>-39000</v>
      </c>
      <c r="AP53" s="67" t="n">
        <f aca="false">AO53+AP52</f>
        <v>-40000</v>
      </c>
      <c r="AQ53" s="67" t="n">
        <f aca="false">AP53+AQ52</f>
        <v>-41000</v>
      </c>
      <c r="AR53" s="67" t="n">
        <f aca="false">AQ53+AR52</f>
        <v>-42000</v>
      </c>
      <c r="AS53" s="67" t="n">
        <f aca="false">AR53+AS52</f>
        <v>-43000</v>
      </c>
      <c r="AT53" s="67" t="n">
        <f aca="false">AS53+AT52</f>
        <v>-44000</v>
      </c>
      <c r="AU53" s="67" t="n">
        <f aca="false">AT53+AU52</f>
        <v>-45000</v>
      </c>
      <c r="AV53" s="67" t="n">
        <f aca="false">AU53+AV52</f>
        <v>-46000</v>
      </c>
      <c r="AW53" s="67" t="n">
        <f aca="false">AV53+AW52</f>
        <v>-47000</v>
      </c>
      <c r="AX53" s="67" t="n">
        <f aca="false">AW53+AX52</f>
        <v>-48000</v>
      </c>
      <c r="AY53" s="67" t="n">
        <f aca="false">AX53+AY52</f>
        <v>-49000</v>
      </c>
      <c r="AZ53" s="67" t="n">
        <f aca="false">AY53+AZ52</f>
        <v>-50000</v>
      </c>
      <c r="BA53" s="67" t="n">
        <f aca="false">AZ53+BA52</f>
        <v>-51000</v>
      </c>
      <c r="BB53" s="67" t="n">
        <f aca="false">BA53+BB52</f>
        <v>-52000</v>
      </c>
      <c r="BC53" s="67" t="n">
        <f aca="false">BB53+BC52</f>
        <v>-53000</v>
      </c>
      <c r="BD53" s="67" t="n">
        <f aca="false">BC53+BD52</f>
        <v>-54000</v>
      </c>
      <c r="BE53" s="67" t="n">
        <f aca="false">BD53+BE52</f>
        <v>-55000</v>
      </c>
      <c r="BF53" s="67" t="n">
        <f aca="false">BE53+BF52</f>
        <v>-56000</v>
      </c>
      <c r="BG53" s="67" t="n">
        <f aca="false">BF53+BG52</f>
        <v>-57000</v>
      </c>
      <c r="BH53" s="67" t="n">
        <f aca="false">BG53+BH52</f>
        <v>-58000</v>
      </c>
      <c r="BI53" s="67" t="n">
        <f aca="false">BH53+BI52</f>
        <v>-59000</v>
      </c>
      <c r="BJ53" s="67" t="n">
        <f aca="false">BI53+BJ52</f>
        <v>-60000</v>
      </c>
    </row>
    <row r="54" customFormat="false" ht="15" hidden="false" customHeight="false" outlineLevel="0" collapsed="false">
      <c r="A54" s="4" t="s">
        <v>92</v>
      </c>
      <c r="C54" s="73" t="n">
        <f aca="false">C51+C53</f>
        <v>59000</v>
      </c>
      <c r="D54" s="73" t="n">
        <f aca="false">D51+D53</f>
        <v>58000</v>
      </c>
      <c r="E54" s="73" t="n">
        <f aca="false">E51+E53</f>
        <v>57000</v>
      </c>
      <c r="F54" s="73" t="n">
        <f aca="false">F51+F53</f>
        <v>56000</v>
      </c>
      <c r="G54" s="73" t="n">
        <f aca="false">G51+G53</f>
        <v>55000</v>
      </c>
      <c r="H54" s="73" t="n">
        <f aca="false">H51+H53</f>
        <v>54000</v>
      </c>
      <c r="I54" s="73" t="n">
        <f aca="false">I51+I53</f>
        <v>53000</v>
      </c>
      <c r="J54" s="73" t="n">
        <f aca="false">J51+J53</f>
        <v>52000</v>
      </c>
      <c r="K54" s="73" t="n">
        <f aca="false">K51+K53</f>
        <v>51000</v>
      </c>
      <c r="L54" s="73" t="n">
        <f aca="false">L51+L53</f>
        <v>50000</v>
      </c>
      <c r="M54" s="73" t="n">
        <f aca="false">M51+M53</f>
        <v>49000</v>
      </c>
      <c r="N54" s="73" t="n">
        <f aca="false">N51+N53</f>
        <v>48000</v>
      </c>
      <c r="O54" s="73" t="n">
        <f aca="false">O51+O53</f>
        <v>47000</v>
      </c>
      <c r="P54" s="73" t="n">
        <f aca="false">P51+P53</f>
        <v>46000</v>
      </c>
      <c r="Q54" s="73" t="n">
        <f aca="false">Q51+Q53</f>
        <v>45000</v>
      </c>
      <c r="R54" s="73" t="n">
        <f aca="false">R51+R53</f>
        <v>44000</v>
      </c>
      <c r="S54" s="73" t="n">
        <f aca="false">S51+S53</f>
        <v>43000</v>
      </c>
      <c r="T54" s="73" t="n">
        <f aca="false">T51+T53</f>
        <v>42000</v>
      </c>
      <c r="U54" s="73" t="n">
        <f aca="false">U51+U53</f>
        <v>41000</v>
      </c>
      <c r="V54" s="73" t="n">
        <f aca="false">V51+V53</f>
        <v>40000</v>
      </c>
      <c r="W54" s="73" t="n">
        <f aca="false">W51+W53</f>
        <v>39000</v>
      </c>
      <c r="X54" s="73" t="n">
        <f aca="false">X51+X53</f>
        <v>38000</v>
      </c>
      <c r="Y54" s="73" t="n">
        <f aca="false">Y51+Y53</f>
        <v>37000</v>
      </c>
      <c r="Z54" s="73" t="n">
        <f aca="false">Z51+Z53</f>
        <v>36000</v>
      </c>
      <c r="AA54" s="73" t="n">
        <f aca="false">AA51+AA53</f>
        <v>35000</v>
      </c>
      <c r="AB54" s="73" t="n">
        <f aca="false">AB51+AB53</f>
        <v>34000</v>
      </c>
      <c r="AC54" s="73" t="n">
        <f aca="false">AC51+AC53</f>
        <v>33000</v>
      </c>
      <c r="AD54" s="73" t="n">
        <f aca="false">AD51+AD53</f>
        <v>32000</v>
      </c>
      <c r="AE54" s="73" t="n">
        <f aca="false">AE51+AE53</f>
        <v>31000</v>
      </c>
      <c r="AF54" s="73" t="n">
        <f aca="false">AF51+AF53</f>
        <v>30000</v>
      </c>
      <c r="AG54" s="73" t="n">
        <f aca="false">AG51+AG53</f>
        <v>29000</v>
      </c>
      <c r="AH54" s="73" t="n">
        <f aca="false">AH51+AH53</f>
        <v>28000</v>
      </c>
      <c r="AI54" s="73" t="n">
        <f aca="false">AI51+AI53</f>
        <v>27000</v>
      </c>
      <c r="AJ54" s="73" t="n">
        <f aca="false">AJ51+AJ53</f>
        <v>26000</v>
      </c>
      <c r="AK54" s="73" t="n">
        <f aca="false">AK51+AK53</f>
        <v>25000</v>
      </c>
      <c r="AL54" s="73" t="n">
        <f aca="false">AL51+AL53</f>
        <v>24000</v>
      </c>
      <c r="AM54" s="73" t="n">
        <f aca="false">AM51+AM53</f>
        <v>23000</v>
      </c>
      <c r="AN54" s="73" t="n">
        <f aca="false">AN51+AN53</f>
        <v>22000</v>
      </c>
      <c r="AO54" s="73" t="n">
        <f aca="false">AO51+AO53</f>
        <v>21000</v>
      </c>
      <c r="AP54" s="73" t="n">
        <f aca="false">AP51+AP53</f>
        <v>20000</v>
      </c>
      <c r="AQ54" s="73" t="n">
        <f aca="false">AQ51+AQ53</f>
        <v>19000</v>
      </c>
      <c r="AR54" s="73" t="n">
        <f aca="false">AR51+AR53</f>
        <v>18000</v>
      </c>
      <c r="AS54" s="73" t="n">
        <f aca="false">AS51+AS53</f>
        <v>17000</v>
      </c>
      <c r="AT54" s="73" t="n">
        <f aca="false">AT51+AT53</f>
        <v>16000</v>
      </c>
      <c r="AU54" s="73" t="n">
        <f aca="false">AU51+AU53</f>
        <v>15000</v>
      </c>
      <c r="AV54" s="73" t="n">
        <f aca="false">AV51+AV53</f>
        <v>14000</v>
      </c>
      <c r="AW54" s="73" t="n">
        <f aca="false">AW51+AW53</f>
        <v>13000</v>
      </c>
      <c r="AX54" s="73" t="n">
        <f aca="false">AX51+AX53</f>
        <v>12000</v>
      </c>
      <c r="AY54" s="73" t="n">
        <f aca="false">AY51+AY53</f>
        <v>11000</v>
      </c>
      <c r="AZ54" s="73" t="n">
        <f aca="false">AZ51+AZ53</f>
        <v>10000</v>
      </c>
      <c r="BA54" s="73" t="n">
        <f aca="false">BA51+BA53</f>
        <v>9000</v>
      </c>
      <c r="BB54" s="73" t="n">
        <f aca="false">BB51+BB53</f>
        <v>8000</v>
      </c>
      <c r="BC54" s="73" t="n">
        <f aca="false">BC51+BC53</f>
        <v>7000</v>
      </c>
      <c r="BD54" s="73" t="n">
        <f aca="false">BD51+BD53</f>
        <v>6000</v>
      </c>
      <c r="BE54" s="73" t="n">
        <f aca="false">BE51+BE53</f>
        <v>5000</v>
      </c>
      <c r="BF54" s="73" t="n">
        <f aca="false">BF51+BF53</f>
        <v>4000</v>
      </c>
      <c r="BG54" s="73" t="n">
        <f aca="false">BG51+BG53</f>
        <v>3000</v>
      </c>
      <c r="BH54" s="73" t="n">
        <f aca="false">BH51+BH53</f>
        <v>2000</v>
      </c>
      <c r="BI54" s="73" t="n">
        <f aca="false">BI51+BI53</f>
        <v>1000</v>
      </c>
      <c r="BJ54" s="73" t="n">
        <f aca="false">BJ51+BJ53</f>
        <v>0</v>
      </c>
    </row>
    <row r="56" customFormat="false" ht="15.75" hidden="false" customHeight="true" outlineLevel="0" collapsed="false">
      <c r="A56" s="7" t="s">
        <v>419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customFormat="false" ht="15" hidden="false" customHeight="false" outlineLevel="0" collapsed="false">
      <c r="A57" s="6" t="s">
        <v>420</v>
      </c>
      <c r="C57" s="67" t="n">
        <f aca="false">0</f>
        <v>0</v>
      </c>
      <c r="D57" s="67" t="n">
        <f aca="false">C60</f>
        <v>200000</v>
      </c>
      <c r="E57" s="67" t="n">
        <f aca="false">D60</f>
        <v>196666.666666667</v>
      </c>
      <c r="F57" s="67" t="n">
        <f aca="false">E60</f>
        <v>193333.333333333</v>
      </c>
      <c r="G57" s="67" t="n">
        <f aca="false">F60</f>
        <v>190000</v>
      </c>
      <c r="H57" s="67" t="n">
        <f aca="false">G60</f>
        <v>186666.666666667</v>
      </c>
      <c r="I57" s="67" t="n">
        <f aca="false">H60</f>
        <v>183333.333333333</v>
      </c>
      <c r="J57" s="67" t="n">
        <f aca="false">I60</f>
        <v>180000</v>
      </c>
      <c r="K57" s="67" t="n">
        <f aca="false">J60</f>
        <v>176666.666666667</v>
      </c>
      <c r="L57" s="67" t="n">
        <f aca="false">K60</f>
        <v>173333.333333333</v>
      </c>
      <c r="M57" s="67" t="n">
        <f aca="false">L60</f>
        <v>170000</v>
      </c>
      <c r="N57" s="67" t="n">
        <f aca="false">M60</f>
        <v>166666.666666667</v>
      </c>
      <c r="O57" s="67" t="n">
        <f aca="false">N60</f>
        <v>163333.333333333</v>
      </c>
      <c r="P57" s="67" t="n">
        <f aca="false">O60</f>
        <v>160000</v>
      </c>
      <c r="Q57" s="67" t="n">
        <f aca="false">P60</f>
        <v>156666.666666667</v>
      </c>
      <c r="R57" s="67" t="n">
        <f aca="false">Q60</f>
        <v>153333.333333333</v>
      </c>
      <c r="S57" s="67" t="n">
        <f aca="false">R60</f>
        <v>150000</v>
      </c>
      <c r="T57" s="67" t="n">
        <f aca="false">S60</f>
        <v>146666.666666667</v>
      </c>
      <c r="U57" s="67" t="n">
        <f aca="false">T60</f>
        <v>143333.333333333</v>
      </c>
      <c r="V57" s="67" t="n">
        <f aca="false">U60</f>
        <v>140000</v>
      </c>
      <c r="W57" s="67" t="n">
        <f aca="false">V60</f>
        <v>136666.666666666</v>
      </c>
      <c r="X57" s="67" t="n">
        <f aca="false">W60</f>
        <v>133333.333333333</v>
      </c>
      <c r="Y57" s="67" t="n">
        <f aca="false">X60</f>
        <v>130000</v>
      </c>
      <c r="Z57" s="67" t="n">
        <f aca="false">Y60</f>
        <v>126666.666666666</v>
      </c>
      <c r="AA57" s="67" t="n">
        <f aca="false">Z60</f>
        <v>123333.333333333</v>
      </c>
      <c r="AB57" s="67" t="n">
        <f aca="false">AA60</f>
        <v>120000</v>
      </c>
      <c r="AC57" s="67" t="n">
        <f aca="false">AB60</f>
        <v>116666.666666667</v>
      </c>
      <c r="AD57" s="67" t="n">
        <f aca="false">AC60</f>
        <v>113333.333333333</v>
      </c>
      <c r="AE57" s="67" t="n">
        <f aca="false">AD60</f>
        <v>110000</v>
      </c>
      <c r="AF57" s="67" t="n">
        <f aca="false">AE60</f>
        <v>106666.666666667</v>
      </c>
      <c r="AG57" s="67" t="n">
        <f aca="false">AF60</f>
        <v>103333.333333333</v>
      </c>
      <c r="AH57" s="67" t="n">
        <f aca="false">AG60</f>
        <v>99999.9999999999</v>
      </c>
      <c r="AI57" s="67" t="n">
        <f aca="false">AH60</f>
        <v>96666.6666666665</v>
      </c>
      <c r="AJ57" s="67" t="n">
        <f aca="false">AI60</f>
        <v>93333.3333333332</v>
      </c>
      <c r="AK57" s="67" t="n">
        <f aca="false">AJ60</f>
        <v>89999.9999999999</v>
      </c>
      <c r="AL57" s="67" t="n">
        <f aca="false">AK60</f>
        <v>86666.6666666665</v>
      </c>
      <c r="AM57" s="67" t="n">
        <f aca="false">AL60</f>
        <v>83333.3333333332</v>
      </c>
      <c r="AN57" s="67" t="n">
        <f aca="false">AM60</f>
        <v>79999.9999999999</v>
      </c>
      <c r="AO57" s="67" t="n">
        <f aca="false">AN60</f>
        <v>76666.6666666666</v>
      </c>
      <c r="AP57" s="67" t="n">
        <f aca="false">AO60</f>
        <v>73333.3333333332</v>
      </c>
      <c r="AQ57" s="67" t="n">
        <f aca="false">AP60</f>
        <v>69999.9999999999</v>
      </c>
      <c r="AR57" s="67" t="n">
        <f aca="false">AQ60</f>
        <v>66666.6666666666</v>
      </c>
      <c r="AS57" s="67" t="n">
        <f aca="false">AR60</f>
        <v>63333.3333333332</v>
      </c>
      <c r="AT57" s="67" t="n">
        <f aca="false">AS60</f>
        <v>59999.9999999999</v>
      </c>
      <c r="AU57" s="67" t="n">
        <f aca="false">AT60</f>
        <v>56666.6666666666</v>
      </c>
      <c r="AV57" s="67" t="n">
        <f aca="false">AU60</f>
        <v>53333.3333333332</v>
      </c>
      <c r="AW57" s="67" t="n">
        <f aca="false">AV60</f>
        <v>49999.9999999999</v>
      </c>
      <c r="AX57" s="67" t="n">
        <f aca="false">AW60</f>
        <v>46666.6666666666</v>
      </c>
      <c r="AY57" s="67" t="n">
        <f aca="false">AX60</f>
        <v>43333.3333333332</v>
      </c>
      <c r="AZ57" s="67" t="n">
        <f aca="false">AY60</f>
        <v>39999.9999999999</v>
      </c>
      <c r="BA57" s="67" t="n">
        <f aca="false">AZ60</f>
        <v>36666.6666666666</v>
      </c>
      <c r="BB57" s="67" t="n">
        <f aca="false">BA60</f>
        <v>33333.3333333332</v>
      </c>
      <c r="BC57" s="67" t="n">
        <f aca="false">BB60</f>
        <v>29999.9999999999</v>
      </c>
      <c r="BD57" s="67" t="n">
        <f aca="false">BC60</f>
        <v>26666.6666666665</v>
      </c>
      <c r="BE57" s="67" t="n">
        <f aca="false">BD60</f>
        <v>23333.3333333332</v>
      </c>
      <c r="BF57" s="67" t="n">
        <f aca="false">BE60</f>
        <v>19999.9999999999</v>
      </c>
      <c r="BG57" s="67" t="n">
        <f aca="false">BF60</f>
        <v>16666.6666666666</v>
      </c>
      <c r="BH57" s="67" t="n">
        <f aca="false">BG60</f>
        <v>13333.3333333332</v>
      </c>
      <c r="BI57" s="67" t="n">
        <f aca="false">BH60</f>
        <v>9999.99999999988</v>
      </c>
      <c r="BJ57" s="67" t="n">
        <f aca="false">BI60</f>
        <v>6666.66666666655</v>
      </c>
    </row>
    <row r="58" customFormat="false" ht="15" hidden="false" customHeight="false" outlineLevel="0" collapsed="false">
      <c r="A58" s="6" t="s">
        <v>85</v>
      </c>
      <c r="C58" s="67" t="n">
        <f aca="false">IF(C$4=1,Inputs!$E$55,0)</f>
        <v>200000</v>
      </c>
      <c r="D58" s="67" t="n">
        <f aca="false">IF(D$4=1,Inputs!$E$55,0)</f>
        <v>0</v>
      </c>
      <c r="E58" s="67" t="n">
        <f aca="false">IF(E$4=1,Inputs!$E$55,0)</f>
        <v>0</v>
      </c>
      <c r="F58" s="67" t="n">
        <f aca="false">IF(F$4=1,Inputs!$E$55,0)</f>
        <v>0</v>
      </c>
      <c r="G58" s="67" t="n">
        <f aca="false">IF(G$4=1,Inputs!$E$55,0)</f>
        <v>0</v>
      </c>
      <c r="H58" s="67" t="n">
        <f aca="false">IF(H$4=1,Inputs!$E$55,0)</f>
        <v>0</v>
      </c>
      <c r="I58" s="67" t="n">
        <f aca="false">IF(I$4=1,Inputs!$E$55,0)</f>
        <v>0</v>
      </c>
      <c r="J58" s="67" t="n">
        <f aca="false">IF(J$4=1,Inputs!$E$55,0)</f>
        <v>0</v>
      </c>
      <c r="K58" s="67" t="n">
        <f aca="false">IF(K$4=1,Inputs!$E$55,0)</f>
        <v>0</v>
      </c>
      <c r="L58" s="67" t="n">
        <f aca="false">IF(L$4=1,Inputs!$E$55,0)</f>
        <v>0</v>
      </c>
      <c r="M58" s="67" t="n">
        <f aca="false">IF(M$4=1,Inputs!$E$55,0)</f>
        <v>0</v>
      </c>
      <c r="N58" s="67" t="n">
        <f aca="false">IF(N$4=1,Inputs!$E$55,0)</f>
        <v>0</v>
      </c>
      <c r="O58" s="67" t="n">
        <f aca="false">IF(O$4=1,Inputs!$E$55,0)</f>
        <v>0</v>
      </c>
      <c r="P58" s="67" t="n">
        <f aca="false">IF(P$4=1,Inputs!$E$55,0)</f>
        <v>0</v>
      </c>
      <c r="Q58" s="67" t="n">
        <f aca="false">IF(Q$4=1,Inputs!$E$55,0)</f>
        <v>0</v>
      </c>
      <c r="R58" s="67" t="n">
        <f aca="false">IF(R$4=1,Inputs!$E$55,0)</f>
        <v>0</v>
      </c>
      <c r="S58" s="67" t="n">
        <f aca="false">IF(S$4=1,Inputs!$E$55,0)</f>
        <v>0</v>
      </c>
      <c r="T58" s="67" t="n">
        <f aca="false">IF(T$4=1,Inputs!$E$55,0)</f>
        <v>0</v>
      </c>
      <c r="U58" s="67" t="n">
        <f aca="false">IF(U$4=1,Inputs!$E$55,0)</f>
        <v>0</v>
      </c>
      <c r="V58" s="67" t="n">
        <f aca="false">IF(V$4=1,Inputs!$E$55,0)</f>
        <v>0</v>
      </c>
      <c r="W58" s="67" t="n">
        <f aca="false">IF(W$4=1,Inputs!$E$55,0)</f>
        <v>0</v>
      </c>
      <c r="X58" s="67" t="n">
        <f aca="false">IF(X$4=1,Inputs!$E$55,0)</f>
        <v>0</v>
      </c>
      <c r="Y58" s="67" t="n">
        <f aca="false">IF(Y$4=1,Inputs!$E$55,0)</f>
        <v>0</v>
      </c>
      <c r="Z58" s="67" t="n">
        <f aca="false">IF(Z$4=1,Inputs!$E$55,0)</f>
        <v>0</v>
      </c>
      <c r="AA58" s="67" t="n">
        <f aca="false">IF(AA$4=1,Inputs!$E$55,0)</f>
        <v>0</v>
      </c>
      <c r="AB58" s="67" t="n">
        <f aca="false">IF(AB$4=1,Inputs!$E$55,0)</f>
        <v>0</v>
      </c>
      <c r="AC58" s="67" t="n">
        <f aca="false">IF(AC$4=1,Inputs!$E$55,0)</f>
        <v>0</v>
      </c>
      <c r="AD58" s="67" t="n">
        <f aca="false">IF(AD$4=1,Inputs!$E$55,0)</f>
        <v>0</v>
      </c>
      <c r="AE58" s="67" t="n">
        <f aca="false">IF(AE$4=1,Inputs!$E$55,0)</f>
        <v>0</v>
      </c>
      <c r="AF58" s="67" t="n">
        <f aca="false">IF(AF$4=1,Inputs!$E$55,0)</f>
        <v>0</v>
      </c>
      <c r="AG58" s="67" t="n">
        <f aca="false">IF(AG$4=1,Inputs!$E$55,0)</f>
        <v>0</v>
      </c>
      <c r="AH58" s="67" t="n">
        <f aca="false">IF(AH$4=1,Inputs!$E$55,0)</f>
        <v>0</v>
      </c>
      <c r="AI58" s="67" t="n">
        <f aca="false">IF(AI$4=1,Inputs!$E$55,0)</f>
        <v>0</v>
      </c>
      <c r="AJ58" s="67" t="n">
        <f aca="false">IF(AJ$4=1,Inputs!$E$55,0)</f>
        <v>0</v>
      </c>
      <c r="AK58" s="67" t="n">
        <f aca="false">IF(AK$4=1,Inputs!$E$55,0)</f>
        <v>0</v>
      </c>
      <c r="AL58" s="67" t="n">
        <f aca="false">IF(AL$4=1,Inputs!$E$55,0)</f>
        <v>0</v>
      </c>
      <c r="AM58" s="67" t="n">
        <f aca="false">IF(AM$4=1,Inputs!$E$55,0)</f>
        <v>0</v>
      </c>
      <c r="AN58" s="67" t="n">
        <f aca="false">IF(AN$4=1,Inputs!$E$55,0)</f>
        <v>0</v>
      </c>
      <c r="AO58" s="67" t="n">
        <f aca="false">IF(AO$4=1,Inputs!$E$55,0)</f>
        <v>0</v>
      </c>
      <c r="AP58" s="67" t="n">
        <f aca="false">IF(AP$4=1,Inputs!$E$55,0)</f>
        <v>0</v>
      </c>
      <c r="AQ58" s="67" t="n">
        <f aca="false">IF(AQ$4=1,Inputs!$E$55,0)</f>
        <v>0</v>
      </c>
      <c r="AR58" s="67" t="n">
        <f aca="false">IF(AR$4=1,Inputs!$E$55,0)</f>
        <v>0</v>
      </c>
      <c r="AS58" s="67" t="n">
        <f aca="false">IF(AS$4=1,Inputs!$E$55,0)</f>
        <v>0</v>
      </c>
      <c r="AT58" s="67" t="n">
        <f aca="false">IF(AT$4=1,Inputs!$E$55,0)</f>
        <v>0</v>
      </c>
      <c r="AU58" s="67" t="n">
        <f aca="false">IF(AU$4=1,Inputs!$E$55,0)</f>
        <v>0</v>
      </c>
      <c r="AV58" s="67" t="n">
        <f aca="false">IF(AV$4=1,Inputs!$E$55,0)</f>
        <v>0</v>
      </c>
      <c r="AW58" s="67" t="n">
        <f aca="false">IF(AW$4=1,Inputs!$E$55,0)</f>
        <v>0</v>
      </c>
      <c r="AX58" s="67" t="n">
        <f aca="false">IF(AX$4=1,Inputs!$E$55,0)</f>
        <v>0</v>
      </c>
      <c r="AY58" s="67" t="n">
        <f aca="false">IF(AY$4=1,Inputs!$E$55,0)</f>
        <v>0</v>
      </c>
      <c r="AZ58" s="67" t="n">
        <f aca="false">IF(AZ$4=1,Inputs!$E$55,0)</f>
        <v>0</v>
      </c>
      <c r="BA58" s="67" t="n">
        <f aca="false">IF(BA$4=1,Inputs!$E$55,0)</f>
        <v>0</v>
      </c>
      <c r="BB58" s="67" t="n">
        <f aca="false">IF(BB$4=1,Inputs!$E$55,0)</f>
        <v>0</v>
      </c>
      <c r="BC58" s="67" t="n">
        <f aca="false">IF(BC$4=1,Inputs!$E$55,0)</f>
        <v>0</v>
      </c>
      <c r="BD58" s="67" t="n">
        <f aca="false">IF(BD$4=1,Inputs!$E$55,0)</f>
        <v>0</v>
      </c>
      <c r="BE58" s="67" t="n">
        <f aca="false">IF(BE$4=1,Inputs!$E$55,0)</f>
        <v>0</v>
      </c>
      <c r="BF58" s="67" t="n">
        <f aca="false">IF(BF$4=1,Inputs!$E$55,0)</f>
        <v>0</v>
      </c>
      <c r="BG58" s="67" t="n">
        <f aca="false">IF(BG$4=1,Inputs!$E$55,0)</f>
        <v>0</v>
      </c>
      <c r="BH58" s="67" t="n">
        <f aca="false">IF(BH$4=1,Inputs!$E$55,0)</f>
        <v>0</v>
      </c>
      <c r="BI58" s="67" t="n">
        <f aca="false">IF(BI$4=1,Inputs!$E$55,0)</f>
        <v>0</v>
      </c>
      <c r="BJ58" s="67" t="n">
        <f aca="false">IF(BJ$4=1,Inputs!$E$55,0)</f>
        <v>0</v>
      </c>
    </row>
    <row r="59" customFormat="false" ht="15" hidden="false" customHeight="false" outlineLevel="0" collapsed="false">
      <c r="A59" s="6" t="s">
        <v>86</v>
      </c>
      <c r="C59" s="67" t="n">
        <f aca="false">-MIN(C57,Inputs!$E$55/MAX(1,Inputs!$E$57*12))</f>
        <v>-0</v>
      </c>
      <c r="D59" s="67" t="n">
        <f aca="false">-MIN(D57,Inputs!$E$55/MAX(1,Inputs!$E$57*12))</f>
        <v>-3333.33333333333</v>
      </c>
      <c r="E59" s="67" t="n">
        <f aca="false">-MIN(E57,Inputs!$E$55/MAX(1,Inputs!$E$57*12))</f>
        <v>-3333.33333333333</v>
      </c>
      <c r="F59" s="67" t="n">
        <f aca="false">-MIN(F57,Inputs!$E$55/MAX(1,Inputs!$E$57*12))</f>
        <v>-3333.33333333333</v>
      </c>
      <c r="G59" s="67" t="n">
        <f aca="false">-MIN(G57,Inputs!$E$55/MAX(1,Inputs!$E$57*12))</f>
        <v>-3333.33333333333</v>
      </c>
      <c r="H59" s="67" t="n">
        <f aca="false">-MIN(H57,Inputs!$E$55/MAX(1,Inputs!$E$57*12))</f>
        <v>-3333.33333333333</v>
      </c>
      <c r="I59" s="67" t="n">
        <f aca="false">-MIN(I57,Inputs!$E$55/MAX(1,Inputs!$E$57*12))</f>
        <v>-3333.33333333333</v>
      </c>
      <c r="J59" s="67" t="n">
        <f aca="false">-MIN(J57,Inputs!$E$55/MAX(1,Inputs!$E$57*12))</f>
        <v>-3333.33333333333</v>
      </c>
      <c r="K59" s="67" t="n">
        <f aca="false">-MIN(K57,Inputs!$E$55/MAX(1,Inputs!$E$57*12))</f>
        <v>-3333.33333333333</v>
      </c>
      <c r="L59" s="67" t="n">
        <f aca="false">-MIN(L57,Inputs!$E$55/MAX(1,Inputs!$E$57*12))</f>
        <v>-3333.33333333333</v>
      </c>
      <c r="M59" s="67" t="n">
        <f aca="false">-MIN(M57,Inputs!$E$55/MAX(1,Inputs!$E$57*12))</f>
        <v>-3333.33333333333</v>
      </c>
      <c r="N59" s="67" t="n">
        <f aca="false">-MIN(N57,Inputs!$E$55/MAX(1,Inputs!$E$57*12))</f>
        <v>-3333.33333333333</v>
      </c>
      <c r="O59" s="67" t="n">
        <f aca="false">-MIN(O57,Inputs!$E$55/MAX(1,Inputs!$E$57*12))</f>
        <v>-3333.33333333333</v>
      </c>
      <c r="P59" s="67" t="n">
        <f aca="false">-MIN(P57,Inputs!$E$55/MAX(1,Inputs!$E$57*12))</f>
        <v>-3333.33333333333</v>
      </c>
      <c r="Q59" s="67" t="n">
        <f aca="false">-MIN(Q57,Inputs!$E$55/MAX(1,Inputs!$E$57*12))</f>
        <v>-3333.33333333333</v>
      </c>
      <c r="R59" s="67" t="n">
        <f aca="false">-MIN(R57,Inputs!$E$55/MAX(1,Inputs!$E$57*12))</f>
        <v>-3333.33333333333</v>
      </c>
      <c r="S59" s="67" t="n">
        <f aca="false">-MIN(S57,Inputs!$E$55/MAX(1,Inputs!$E$57*12))</f>
        <v>-3333.33333333333</v>
      </c>
      <c r="T59" s="67" t="n">
        <f aca="false">-MIN(T57,Inputs!$E$55/MAX(1,Inputs!$E$57*12))</f>
        <v>-3333.33333333333</v>
      </c>
      <c r="U59" s="67" t="n">
        <f aca="false">-MIN(U57,Inputs!$E$55/MAX(1,Inputs!$E$57*12))</f>
        <v>-3333.33333333333</v>
      </c>
      <c r="V59" s="67" t="n">
        <f aca="false">-MIN(V57,Inputs!$E$55/MAX(1,Inputs!$E$57*12))</f>
        <v>-3333.33333333333</v>
      </c>
      <c r="W59" s="67" t="n">
        <f aca="false">-MIN(W57,Inputs!$E$55/MAX(1,Inputs!$E$57*12))</f>
        <v>-3333.33333333333</v>
      </c>
      <c r="X59" s="67" t="n">
        <f aca="false">-MIN(X57,Inputs!$E$55/MAX(1,Inputs!$E$57*12))</f>
        <v>-3333.33333333333</v>
      </c>
      <c r="Y59" s="67" t="n">
        <f aca="false">-MIN(Y57,Inputs!$E$55/MAX(1,Inputs!$E$57*12))</f>
        <v>-3333.33333333333</v>
      </c>
      <c r="Z59" s="67" t="n">
        <f aca="false">-MIN(Z57,Inputs!$E$55/MAX(1,Inputs!$E$57*12))</f>
        <v>-3333.33333333333</v>
      </c>
      <c r="AA59" s="67" t="n">
        <f aca="false">-MIN(AA57,Inputs!$E$55/MAX(1,Inputs!$E$57*12))</f>
        <v>-3333.33333333333</v>
      </c>
      <c r="AB59" s="67" t="n">
        <f aca="false">-MIN(AB57,Inputs!$E$55/MAX(1,Inputs!$E$57*12))</f>
        <v>-3333.33333333333</v>
      </c>
      <c r="AC59" s="67" t="n">
        <f aca="false">-MIN(AC57,Inputs!$E$55/MAX(1,Inputs!$E$57*12))</f>
        <v>-3333.33333333333</v>
      </c>
      <c r="AD59" s="67" t="n">
        <f aca="false">-MIN(AD57,Inputs!$E$55/MAX(1,Inputs!$E$57*12))</f>
        <v>-3333.33333333333</v>
      </c>
      <c r="AE59" s="67" t="n">
        <f aca="false">-MIN(AE57,Inputs!$E$55/MAX(1,Inputs!$E$57*12))</f>
        <v>-3333.33333333333</v>
      </c>
      <c r="AF59" s="67" t="n">
        <f aca="false">-MIN(AF57,Inputs!$E$55/MAX(1,Inputs!$E$57*12))</f>
        <v>-3333.33333333333</v>
      </c>
      <c r="AG59" s="67" t="n">
        <f aca="false">-MIN(AG57,Inputs!$E$55/MAX(1,Inputs!$E$57*12))</f>
        <v>-3333.33333333333</v>
      </c>
      <c r="AH59" s="67" t="n">
        <f aca="false">-MIN(AH57,Inputs!$E$55/MAX(1,Inputs!$E$57*12))</f>
        <v>-3333.33333333333</v>
      </c>
      <c r="AI59" s="67" t="n">
        <f aca="false">-MIN(AI57,Inputs!$E$55/MAX(1,Inputs!$E$57*12))</f>
        <v>-3333.33333333333</v>
      </c>
      <c r="AJ59" s="67" t="n">
        <f aca="false">-MIN(AJ57,Inputs!$E$55/MAX(1,Inputs!$E$57*12))</f>
        <v>-3333.33333333333</v>
      </c>
      <c r="AK59" s="67" t="n">
        <f aca="false">-MIN(AK57,Inputs!$E$55/MAX(1,Inputs!$E$57*12))</f>
        <v>-3333.33333333333</v>
      </c>
      <c r="AL59" s="67" t="n">
        <f aca="false">-MIN(AL57,Inputs!$E$55/MAX(1,Inputs!$E$57*12))</f>
        <v>-3333.33333333333</v>
      </c>
      <c r="AM59" s="67" t="n">
        <f aca="false">-MIN(AM57,Inputs!$E$55/MAX(1,Inputs!$E$57*12))</f>
        <v>-3333.33333333333</v>
      </c>
      <c r="AN59" s="67" t="n">
        <f aca="false">-MIN(AN57,Inputs!$E$55/MAX(1,Inputs!$E$57*12))</f>
        <v>-3333.33333333333</v>
      </c>
      <c r="AO59" s="67" t="n">
        <f aca="false">-MIN(AO57,Inputs!$E$55/MAX(1,Inputs!$E$57*12))</f>
        <v>-3333.33333333333</v>
      </c>
      <c r="AP59" s="67" t="n">
        <f aca="false">-MIN(AP57,Inputs!$E$55/MAX(1,Inputs!$E$57*12))</f>
        <v>-3333.33333333333</v>
      </c>
      <c r="AQ59" s="67" t="n">
        <f aca="false">-MIN(AQ57,Inputs!$E$55/MAX(1,Inputs!$E$57*12))</f>
        <v>-3333.33333333333</v>
      </c>
      <c r="AR59" s="67" t="n">
        <f aca="false">-MIN(AR57,Inputs!$E$55/MAX(1,Inputs!$E$57*12))</f>
        <v>-3333.33333333333</v>
      </c>
      <c r="AS59" s="67" t="n">
        <f aca="false">-MIN(AS57,Inputs!$E$55/MAX(1,Inputs!$E$57*12))</f>
        <v>-3333.33333333333</v>
      </c>
      <c r="AT59" s="67" t="n">
        <f aca="false">-MIN(AT57,Inputs!$E$55/MAX(1,Inputs!$E$57*12))</f>
        <v>-3333.33333333333</v>
      </c>
      <c r="AU59" s="67" t="n">
        <f aca="false">-MIN(AU57,Inputs!$E$55/MAX(1,Inputs!$E$57*12))</f>
        <v>-3333.33333333333</v>
      </c>
      <c r="AV59" s="67" t="n">
        <f aca="false">-MIN(AV57,Inputs!$E$55/MAX(1,Inputs!$E$57*12))</f>
        <v>-3333.33333333333</v>
      </c>
      <c r="AW59" s="67" t="n">
        <f aca="false">-MIN(AW57,Inputs!$E$55/MAX(1,Inputs!$E$57*12))</f>
        <v>-3333.33333333333</v>
      </c>
      <c r="AX59" s="67" t="n">
        <f aca="false">-MIN(AX57,Inputs!$E$55/MAX(1,Inputs!$E$57*12))</f>
        <v>-3333.33333333333</v>
      </c>
      <c r="AY59" s="67" t="n">
        <f aca="false">-MIN(AY57,Inputs!$E$55/MAX(1,Inputs!$E$57*12))</f>
        <v>-3333.33333333333</v>
      </c>
      <c r="AZ59" s="67" t="n">
        <f aca="false">-MIN(AZ57,Inputs!$E$55/MAX(1,Inputs!$E$57*12))</f>
        <v>-3333.33333333333</v>
      </c>
      <c r="BA59" s="67" t="n">
        <f aca="false">-MIN(BA57,Inputs!$E$55/MAX(1,Inputs!$E$57*12))</f>
        <v>-3333.33333333333</v>
      </c>
      <c r="BB59" s="67" t="n">
        <f aca="false">-MIN(BB57,Inputs!$E$55/MAX(1,Inputs!$E$57*12))</f>
        <v>-3333.33333333333</v>
      </c>
      <c r="BC59" s="67" t="n">
        <f aca="false">-MIN(BC57,Inputs!$E$55/MAX(1,Inputs!$E$57*12))</f>
        <v>-3333.33333333333</v>
      </c>
      <c r="BD59" s="67" t="n">
        <f aca="false">-MIN(BD57,Inputs!$E$55/MAX(1,Inputs!$E$57*12))</f>
        <v>-3333.33333333333</v>
      </c>
      <c r="BE59" s="67" t="n">
        <f aca="false">-MIN(BE57,Inputs!$E$55/MAX(1,Inputs!$E$57*12))</f>
        <v>-3333.33333333333</v>
      </c>
      <c r="BF59" s="67" t="n">
        <f aca="false">-MIN(BF57,Inputs!$E$55/MAX(1,Inputs!$E$57*12))</f>
        <v>-3333.33333333333</v>
      </c>
      <c r="BG59" s="67" t="n">
        <f aca="false">-MIN(BG57,Inputs!$E$55/MAX(1,Inputs!$E$57*12))</f>
        <v>-3333.33333333333</v>
      </c>
      <c r="BH59" s="67" t="n">
        <f aca="false">-MIN(BH57,Inputs!$E$55/MAX(1,Inputs!$E$57*12))</f>
        <v>-3333.33333333333</v>
      </c>
      <c r="BI59" s="67" t="n">
        <f aca="false">-MIN(BI57,Inputs!$E$55/MAX(1,Inputs!$E$57*12))</f>
        <v>-3333.33333333333</v>
      </c>
      <c r="BJ59" s="67" t="n">
        <f aca="false">-MIN(BJ57,Inputs!$E$55/MAX(1,Inputs!$E$57*12))</f>
        <v>-3333.33333333333</v>
      </c>
    </row>
    <row r="60" customFormat="false" ht="15" hidden="false" customHeight="false" outlineLevel="0" collapsed="false">
      <c r="A60" s="4" t="s">
        <v>421</v>
      </c>
      <c r="C60" s="73" t="n">
        <f aca="false">C57+C58+C59</f>
        <v>200000</v>
      </c>
      <c r="D60" s="73" t="n">
        <f aca="false">D57+D58+D59</f>
        <v>196666.666666667</v>
      </c>
      <c r="E60" s="73" t="n">
        <f aca="false">E57+E58+E59</f>
        <v>193333.333333333</v>
      </c>
      <c r="F60" s="73" t="n">
        <f aca="false">F57+F58+F59</f>
        <v>190000</v>
      </c>
      <c r="G60" s="73" t="n">
        <f aca="false">G57+G58+G59</f>
        <v>186666.666666667</v>
      </c>
      <c r="H60" s="73" t="n">
        <f aca="false">H57+H58+H59</f>
        <v>183333.333333333</v>
      </c>
      <c r="I60" s="73" t="n">
        <f aca="false">I57+I58+I59</f>
        <v>180000</v>
      </c>
      <c r="J60" s="73" t="n">
        <f aca="false">J57+J58+J59</f>
        <v>176666.666666667</v>
      </c>
      <c r="K60" s="73" t="n">
        <f aca="false">K57+K58+K59</f>
        <v>173333.333333333</v>
      </c>
      <c r="L60" s="73" t="n">
        <f aca="false">L57+L58+L59</f>
        <v>170000</v>
      </c>
      <c r="M60" s="73" t="n">
        <f aca="false">M57+M58+M59</f>
        <v>166666.666666667</v>
      </c>
      <c r="N60" s="73" t="n">
        <f aca="false">N57+N58+N59</f>
        <v>163333.333333333</v>
      </c>
      <c r="O60" s="73" t="n">
        <f aca="false">O57+O58+O59</f>
        <v>160000</v>
      </c>
      <c r="P60" s="73" t="n">
        <f aca="false">P57+P58+P59</f>
        <v>156666.666666667</v>
      </c>
      <c r="Q60" s="73" t="n">
        <f aca="false">Q57+Q58+Q59</f>
        <v>153333.333333333</v>
      </c>
      <c r="R60" s="73" t="n">
        <f aca="false">R57+R58+R59</f>
        <v>150000</v>
      </c>
      <c r="S60" s="73" t="n">
        <f aca="false">S57+S58+S59</f>
        <v>146666.666666667</v>
      </c>
      <c r="T60" s="73" t="n">
        <f aca="false">T57+T58+T59</f>
        <v>143333.333333333</v>
      </c>
      <c r="U60" s="73" t="n">
        <f aca="false">U57+U58+U59</f>
        <v>140000</v>
      </c>
      <c r="V60" s="73" t="n">
        <f aca="false">V57+V58+V59</f>
        <v>136666.666666666</v>
      </c>
      <c r="W60" s="73" t="n">
        <f aca="false">W57+W58+W59</f>
        <v>133333.333333333</v>
      </c>
      <c r="X60" s="73" t="n">
        <f aca="false">X57+X58+X59</f>
        <v>130000</v>
      </c>
      <c r="Y60" s="73" t="n">
        <f aca="false">Y57+Y58+Y59</f>
        <v>126666.666666666</v>
      </c>
      <c r="Z60" s="73" t="n">
        <f aca="false">Z57+Z58+Z59</f>
        <v>123333.333333333</v>
      </c>
      <c r="AA60" s="73" t="n">
        <f aca="false">AA57+AA58+AA59</f>
        <v>120000</v>
      </c>
      <c r="AB60" s="73" t="n">
        <f aca="false">AB57+AB58+AB59</f>
        <v>116666.666666667</v>
      </c>
      <c r="AC60" s="73" t="n">
        <f aca="false">AC57+AC58+AC59</f>
        <v>113333.333333333</v>
      </c>
      <c r="AD60" s="73" t="n">
        <f aca="false">AD57+AD58+AD59</f>
        <v>110000</v>
      </c>
      <c r="AE60" s="73" t="n">
        <f aca="false">AE57+AE58+AE59</f>
        <v>106666.666666667</v>
      </c>
      <c r="AF60" s="73" t="n">
        <f aca="false">AF57+AF58+AF59</f>
        <v>103333.333333333</v>
      </c>
      <c r="AG60" s="73" t="n">
        <f aca="false">AG57+AG58+AG59</f>
        <v>99999.9999999999</v>
      </c>
      <c r="AH60" s="73" t="n">
        <f aca="false">AH57+AH58+AH59</f>
        <v>96666.6666666665</v>
      </c>
      <c r="AI60" s="73" t="n">
        <f aca="false">AI57+AI58+AI59</f>
        <v>93333.3333333332</v>
      </c>
      <c r="AJ60" s="73" t="n">
        <f aca="false">AJ57+AJ58+AJ59</f>
        <v>89999.9999999999</v>
      </c>
      <c r="AK60" s="73" t="n">
        <f aca="false">AK57+AK58+AK59</f>
        <v>86666.6666666665</v>
      </c>
      <c r="AL60" s="73" t="n">
        <f aca="false">AL57+AL58+AL59</f>
        <v>83333.3333333332</v>
      </c>
      <c r="AM60" s="73" t="n">
        <f aca="false">AM57+AM58+AM59</f>
        <v>79999.9999999999</v>
      </c>
      <c r="AN60" s="73" t="n">
        <f aca="false">AN57+AN58+AN59</f>
        <v>76666.6666666666</v>
      </c>
      <c r="AO60" s="73" t="n">
        <f aca="false">AO57+AO58+AO59</f>
        <v>73333.3333333332</v>
      </c>
      <c r="AP60" s="73" t="n">
        <f aca="false">AP57+AP58+AP59</f>
        <v>69999.9999999999</v>
      </c>
      <c r="AQ60" s="73" t="n">
        <f aca="false">AQ57+AQ58+AQ59</f>
        <v>66666.6666666666</v>
      </c>
      <c r="AR60" s="73" t="n">
        <f aca="false">AR57+AR58+AR59</f>
        <v>63333.3333333332</v>
      </c>
      <c r="AS60" s="73" t="n">
        <f aca="false">AS57+AS58+AS59</f>
        <v>59999.9999999999</v>
      </c>
      <c r="AT60" s="73" t="n">
        <f aca="false">AT57+AT58+AT59</f>
        <v>56666.6666666666</v>
      </c>
      <c r="AU60" s="73" t="n">
        <f aca="false">AU57+AU58+AU59</f>
        <v>53333.3333333332</v>
      </c>
      <c r="AV60" s="73" t="n">
        <f aca="false">AV57+AV58+AV59</f>
        <v>49999.9999999999</v>
      </c>
      <c r="AW60" s="73" t="n">
        <f aca="false">AW57+AW58+AW59</f>
        <v>46666.6666666666</v>
      </c>
      <c r="AX60" s="73" t="n">
        <f aca="false">AX57+AX58+AX59</f>
        <v>43333.3333333332</v>
      </c>
      <c r="AY60" s="73" t="n">
        <f aca="false">AY57+AY58+AY59</f>
        <v>39999.9999999999</v>
      </c>
      <c r="AZ60" s="73" t="n">
        <f aca="false">AZ57+AZ58+AZ59</f>
        <v>36666.6666666666</v>
      </c>
      <c r="BA60" s="73" t="n">
        <f aca="false">BA57+BA58+BA59</f>
        <v>33333.3333333332</v>
      </c>
      <c r="BB60" s="73" t="n">
        <f aca="false">BB57+BB58+BB59</f>
        <v>29999.9999999999</v>
      </c>
      <c r="BC60" s="73" t="n">
        <f aca="false">BC57+BC58+BC59</f>
        <v>26666.6666666665</v>
      </c>
      <c r="BD60" s="73" t="n">
        <f aca="false">BD57+BD58+BD59</f>
        <v>23333.3333333332</v>
      </c>
      <c r="BE60" s="73" t="n">
        <f aca="false">BE57+BE58+BE59</f>
        <v>19999.9999999999</v>
      </c>
      <c r="BF60" s="73" t="n">
        <f aca="false">BF57+BF58+BF59</f>
        <v>16666.6666666666</v>
      </c>
      <c r="BG60" s="73" t="n">
        <f aca="false">BG57+BG58+BG59</f>
        <v>13333.3333333332</v>
      </c>
      <c r="BH60" s="73" t="n">
        <f aca="false">BH57+BH58+BH59</f>
        <v>9999.99999999988</v>
      </c>
      <c r="BI60" s="73" t="n">
        <f aca="false">BI57+BI58+BI59</f>
        <v>6666.66666666655</v>
      </c>
      <c r="BJ60" s="73" t="n">
        <f aca="false">BJ57+BJ58+BJ59</f>
        <v>3333.33333333322</v>
      </c>
    </row>
    <row r="62" customFormat="false" ht="15.75" hidden="false" customHeight="true" outlineLevel="0" collapsed="false">
      <c r="A62" s="7" t="s">
        <v>310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customFormat="false" ht="15" hidden="false" customHeight="false" outlineLevel="0" collapsed="false">
      <c r="A63" s="6" t="s">
        <v>90</v>
      </c>
      <c r="C63" s="67" t="n">
        <f aca="false">C22*Inputs!$E$60/30</f>
        <v>563274</v>
      </c>
      <c r="D63" s="67" t="n">
        <f aca="false">D22*Inputs!$E$60/30</f>
        <v>563274</v>
      </c>
      <c r="E63" s="67" t="n">
        <f aca="false">E22*Inputs!$E$60/30</f>
        <v>563274</v>
      </c>
      <c r="F63" s="67" t="n">
        <f aca="false">F22*Inputs!$E$60/30</f>
        <v>563274</v>
      </c>
      <c r="G63" s="67" t="n">
        <f aca="false">G22*Inputs!$E$60/30</f>
        <v>563274</v>
      </c>
      <c r="H63" s="67" t="n">
        <f aca="false">H22*Inputs!$E$60/30</f>
        <v>563274</v>
      </c>
      <c r="I63" s="67" t="n">
        <f aca="false">I22*Inputs!$E$60/30</f>
        <v>563274</v>
      </c>
      <c r="J63" s="67" t="n">
        <f aca="false">J22*Inputs!$E$60/30</f>
        <v>563274</v>
      </c>
      <c r="K63" s="67" t="n">
        <f aca="false">K22*Inputs!$E$60/30</f>
        <v>563274</v>
      </c>
      <c r="L63" s="67" t="n">
        <f aca="false">L22*Inputs!$E$60/30</f>
        <v>563274</v>
      </c>
      <c r="M63" s="67" t="n">
        <f aca="false">M22*Inputs!$E$60/30</f>
        <v>563274</v>
      </c>
      <c r="N63" s="67" t="n">
        <f aca="false">N22*Inputs!$E$60/30</f>
        <v>563274</v>
      </c>
      <c r="O63" s="67" t="n">
        <f aca="false">O22*Inputs!$E$60/30</f>
        <v>729495.234</v>
      </c>
      <c r="P63" s="67" t="n">
        <f aca="false">P22*Inputs!$E$60/30</f>
        <v>729495.234</v>
      </c>
      <c r="Q63" s="67" t="n">
        <f aca="false">Q22*Inputs!$E$60/30</f>
        <v>729495.234</v>
      </c>
      <c r="R63" s="67" t="n">
        <f aca="false">R22*Inputs!$E$60/30</f>
        <v>729495.234</v>
      </c>
      <c r="S63" s="67" t="n">
        <f aca="false">S22*Inputs!$E$60/30</f>
        <v>729495.234</v>
      </c>
      <c r="T63" s="67" t="n">
        <f aca="false">T22*Inputs!$E$60/30</f>
        <v>729495.234</v>
      </c>
      <c r="U63" s="67" t="n">
        <f aca="false">U22*Inputs!$E$60/30</f>
        <v>729495.234</v>
      </c>
      <c r="V63" s="67" t="n">
        <f aca="false">V22*Inputs!$E$60/30</f>
        <v>729495.234</v>
      </c>
      <c r="W63" s="67" t="n">
        <f aca="false">W22*Inputs!$E$60/30</f>
        <v>729495.234</v>
      </c>
      <c r="X63" s="67" t="n">
        <f aca="false">X22*Inputs!$E$60/30</f>
        <v>729495.234</v>
      </c>
      <c r="Y63" s="67" t="n">
        <f aca="false">Y22*Inputs!$E$60/30</f>
        <v>729495.234</v>
      </c>
      <c r="Z63" s="67" t="n">
        <f aca="false">Z22*Inputs!$E$60/30</f>
        <v>729495.234</v>
      </c>
      <c r="AA63" s="67" t="n">
        <f aca="false">AA22*Inputs!$E$60/30</f>
        <v>946229.504454</v>
      </c>
      <c r="AB63" s="67" t="n">
        <f aca="false">AB22*Inputs!$E$60/30</f>
        <v>946229.504454</v>
      </c>
      <c r="AC63" s="67" t="n">
        <f aca="false">AC22*Inputs!$E$60/30</f>
        <v>946229.504454</v>
      </c>
      <c r="AD63" s="67" t="n">
        <f aca="false">AD22*Inputs!$E$60/30</f>
        <v>946229.504454</v>
      </c>
      <c r="AE63" s="67" t="n">
        <f aca="false">AE22*Inputs!$E$60/30</f>
        <v>946229.504454</v>
      </c>
      <c r="AF63" s="67" t="n">
        <f aca="false">AF22*Inputs!$E$60/30</f>
        <v>946229.504454</v>
      </c>
      <c r="AG63" s="67" t="n">
        <f aca="false">AG22*Inputs!$E$60/30</f>
        <v>946229.504454</v>
      </c>
      <c r="AH63" s="67" t="n">
        <f aca="false">AH22*Inputs!$E$60/30</f>
        <v>946229.504454</v>
      </c>
      <c r="AI63" s="67" t="n">
        <f aca="false">AI22*Inputs!$E$60/30</f>
        <v>946229.504454</v>
      </c>
      <c r="AJ63" s="67" t="n">
        <f aca="false">AJ22*Inputs!$E$60/30</f>
        <v>946229.504454</v>
      </c>
      <c r="AK63" s="67" t="n">
        <f aca="false">AK22*Inputs!$E$60/30</f>
        <v>946229.504454</v>
      </c>
      <c r="AL63" s="67" t="n">
        <f aca="false">AL22*Inputs!$E$60/30</f>
        <v>946229.504454</v>
      </c>
      <c r="AM63" s="67" t="n">
        <f aca="false">AM22*Inputs!$E$60/30</f>
        <v>1229223.44371811</v>
      </c>
      <c r="AN63" s="67" t="n">
        <f aca="false">AN22*Inputs!$E$60/30</f>
        <v>1229223.44371811</v>
      </c>
      <c r="AO63" s="67" t="n">
        <f aca="false">AO22*Inputs!$E$60/30</f>
        <v>1229223.44371811</v>
      </c>
      <c r="AP63" s="67" t="n">
        <f aca="false">AP22*Inputs!$E$60/30</f>
        <v>1229223.44371811</v>
      </c>
      <c r="AQ63" s="67" t="n">
        <f aca="false">AQ22*Inputs!$E$60/30</f>
        <v>1229223.44371811</v>
      </c>
      <c r="AR63" s="67" t="n">
        <f aca="false">AR22*Inputs!$E$60/30</f>
        <v>1229223.44371811</v>
      </c>
      <c r="AS63" s="67" t="n">
        <f aca="false">AS22*Inputs!$E$60/30</f>
        <v>1229223.44371811</v>
      </c>
      <c r="AT63" s="67" t="n">
        <f aca="false">AT22*Inputs!$E$60/30</f>
        <v>1229223.44371811</v>
      </c>
      <c r="AU63" s="67" t="n">
        <f aca="false">AU22*Inputs!$E$60/30</f>
        <v>1229223.44371811</v>
      </c>
      <c r="AV63" s="67" t="n">
        <f aca="false">AV22*Inputs!$E$60/30</f>
        <v>1229223.44371811</v>
      </c>
      <c r="AW63" s="67" t="n">
        <f aca="false">AW22*Inputs!$E$60/30</f>
        <v>1229223.44371811</v>
      </c>
      <c r="AX63" s="67" t="n">
        <f aca="false">AX22*Inputs!$E$60/30</f>
        <v>1229223.44371811</v>
      </c>
      <c r="AY63" s="67" t="n">
        <f aca="false">AY22*Inputs!$E$60/30</f>
        <v>1599236.75278476</v>
      </c>
      <c r="AZ63" s="67" t="n">
        <f aca="false">AZ22*Inputs!$E$60/30</f>
        <v>1599236.75278476</v>
      </c>
      <c r="BA63" s="67" t="n">
        <f aca="false">BA22*Inputs!$E$60/30</f>
        <v>1599236.75278476</v>
      </c>
      <c r="BB63" s="67" t="n">
        <f aca="false">BB22*Inputs!$E$60/30</f>
        <v>1599236.75278476</v>
      </c>
      <c r="BC63" s="67" t="n">
        <f aca="false">BC22*Inputs!$E$60/30</f>
        <v>1599236.75278476</v>
      </c>
      <c r="BD63" s="67" t="n">
        <f aca="false">BD22*Inputs!$E$60/30</f>
        <v>1599236.75278476</v>
      </c>
      <c r="BE63" s="67" t="n">
        <f aca="false">BE22*Inputs!$E$60/30</f>
        <v>1599236.75278476</v>
      </c>
      <c r="BF63" s="67" t="n">
        <f aca="false">BF22*Inputs!$E$60/30</f>
        <v>1599236.75278476</v>
      </c>
      <c r="BG63" s="67" t="n">
        <f aca="false">BG22*Inputs!$E$60/30</f>
        <v>1599236.75278476</v>
      </c>
      <c r="BH63" s="67" t="n">
        <f aca="false">BH22*Inputs!$E$60/30</f>
        <v>1599236.75278476</v>
      </c>
      <c r="BI63" s="67" t="n">
        <f aca="false">BI22*Inputs!$E$60/30</f>
        <v>1599236.75278476</v>
      </c>
      <c r="BJ63" s="67" t="n">
        <f aca="false">BJ22*Inputs!$E$60/30</f>
        <v>1599236.75278476</v>
      </c>
    </row>
    <row r="64" customFormat="false" ht="15" hidden="false" customHeight="false" outlineLevel="0" collapsed="false">
      <c r="A64" s="6" t="s">
        <v>91</v>
      </c>
      <c r="C64" s="67" t="n">
        <f aca="false">-C28*Inputs!$E$61/30</f>
        <v>0</v>
      </c>
      <c r="D64" s="67" t="n">
        <f aca="false">-D28*Inputs!$E$61/30</f>
        <v>0</v>
      </c>
      <c r="E64" s="67" t="n">
        <f aca="false">-E28*Inputs!$E$61/30</f>
        <v>0</v>
      </c>
      <c r="F64" s="67" t="n">
        <f aca="false">-F28*Inputs!$E$61/30</f>
        <v>0</v>
      </c>
      <c r="G64" s="67" t="n">
        <f aca="false">-G28*Inputs!$E$61/30</f>
        <v>0</v>
      </c>
      <c r="H64" s="67" t="n">
        <f aca="false">-H28*Inputs!$E$61/30</f>
        <v>0</v>
      </c>
      <c r="I64" s="67" t="n">
        <f aca="false">-I28*Inputs!$E$61/30</f>
        <v>0</v>
      </c>
      <c r="J64" s="67" t="n">
        <f aca="false">-J28*Inputs!$E$61/30</f>
        <v>0</v>
      </c>
      <c r="K64" s="67" t="n">
        <f aca="false">-K28*Inputs!$E$61/30</f>
        <v>0</v>
      </c>
      <c r="L64" s="67" t="n">
        <f aca="false">-L28*Inputs!$E$61/30</f>
        <v>0</v>
      </c>
      <c r="M64" s="67" t="n">
        <f aca="false">-M28*Inputs!$E$61/30</f>
        <v>0</v>
      </c>
      <c r="N64" s="67" t="n">
        <f aca="false">-N28*Inputs!$E$61/30</f>
        <v>0</v>
      </c>
      <c r="O64" s="67" t="n">
        <f aca="false">-O28*Inputs!$E$61/30</f>
        <v>0</v>
      </c>
      <c r="P64" s="67" t="n">
        <f aca="false">-P28*Inputs!$E$61/30</f>
        <v>0</v>
      </c>
      <c r="Q64" s="67" t="n">
        <f aca="false">-Q28*Inputs!$E$61/30</f>
        <v>0</v>
      </c>
      <c r="R64" s="67" t="n">
        <f aca="false">-R28*Inputs!$E$61/30</f>
        <v>0</v>
      </c>
      <c r="S64" s="67" t="n">
        <f aca="false">-S28*Inputs!$E$61/30</f>
        <v>0</v>
      </c>
      <c r="T64" s="67" t="n">
        <f aca="false">-T28*Inputs!$E$61/30</f>
        <v>0</v>
      </c>
      <c r="U64" s="67" t="n">
        <f aca="false">-U28*Inputs!$E$61/30</f>
        <v>0</v>
      </c>
      <c r="V64" s="67" t="n">
        <f aca="false">-V28*Inputs!$E$61/30</f>
        <v>0</v>
      </c>
      <c r="W64" s="67" t="n">
        <f aca="false">-W28*Inputs!$E$61/30</f>
        <v>0</v>
      </c>
      <c r="X64" s="67" t="n">
        <f aca="false">-X28*Inputs!$E$61/30</f>
        <v>0</v>
      </c>
      <c r="Y64" s="67" t="n">
        <f aca="false">-Y28*Inputs!$E$61/30</f>
        <v>0</v>
      </c>
      <c r="Z64" s="67" t="n">
        <f aca="false">-Z28*Inputs!$E$61/30</f>
        <v>0</v>
      </c>
      <c r="AA64" s="67" t="n">
        <f aca="false">-AA28*Inputs!$E$61/30</f>
        <v>0</v>
      </c>
      <c r="AB64" s="67" t="n">
        <f aca="false">-AB28*Inputs!$E$61/30</f>
        <v>0</v>
      </c>
      <c r="AC64" s="67" t="n">
        <f aca="false">-AC28*Inputs!$E$61/30</f>
        <v>0</v>
      </c>
      <c r="AD64" s="67" t="n">
        <f aca="false">-AD28*Inputs!$E$61/30</f>
        <v>0</v>
      </c>
      <c r="AE64" s="67" t="n">
        <f aca="false">-AE28*Inputs!$E$61/30</f>
        <v>0</v>
      </c>
      <c r="AF64" s="67" t="n">
        <f aca="false">-AF28*Inputs!$E$61/30</f>
        <v>0</v>
      </c>
      <c r="AG64" s="67" t="n">
        <f aca="false">-AG28*Inputs!$E$61/30</f>
        <v>0</v>
      </c>
      <c r="AH64" s="67" t="n">
        <f aca="false">-AH28*Inputs!$E$61/30</f>
        <v>0</v>
      </c>
      <c r="AI64" s="67" t="n">
        <f aca="false">-AI28*Inputs!$E$61/30</f>
        <v>0</v>
      </c>
      <c r="AJ64" s="67" t="n">
        <f aca="false">-AJ28*Inputs!$E$61/30</f>
        <v>0</v>
      </c>
      <c r="AK64" s="67" t="n">
        <f aca="false">-AK28*Inputs!$E$61/30</f>
        <v>0</v>
      </c>
      <c r="AL64" s="67" t="n">
        <f aca="false">-AL28*Inputs!$E$61/30</f>
        <v>0</v>
      </c>
      <c r="AM64" s="67" t="n">
        <f aca="false">-AM28*Inputs!$E$61/30</f>
        <v>0</v>
      </c>
      <c r="AN64" s="67" t="n">
        <f aca="false">-AN28*Inputs!$E$61/30</f>
        <v>0</v>
      </c>
      <c r="AO64" s="67" t="n">
        <f aca="false">-AO28*Inputs!$E$61/30</f>
        <v>0</v>
      </c>
      <c r="AP64" s="67" t="n">
        <f aca="false">-AP28*Inputs!$E$61/30</f>
        <v>0</v>
      </c>
      <c r="AQ64" s="67" t="n">
        <f aca="false">-AQ28*Inputs!$E$61/30</f>
        <v>0</v>
      </c>
      <c r="AR64" s="67" t="n">
        <f aca="false">-AR28*Inputs!$E$61/30</f>
        <v>0</v>
      </c>
      <c r="AS64" s="67" t="n">
        <f aca="false">-AS28*Inputs!$E$61/30</f>
        <v>0</v>
      </c>
      <c r="AT64" s="67" t="n">
        <f aca="false">-AT28*Inputs!$E$61/30</f>
        <v>0</v>
      </c>
      <c r="AU64" s="67" t="n">
        <f aca="false">-AU28*Inputs!$E$61/30</f>
        <v>0</v>
      </c>
      <c r="AV64" s="67" t="n">
        <f aca="false">-AV28*Inputs!$E$61/30</f>
        <v>0</v>
      </c>
      <c r="AW64" s="67" t="n">
        <f aca="false">-AW28*Inputs!$E$61/30</f>
        <v>0</v>
      </c>
      <c r="AX64" s="67" t="n">
        <f aca="false">-AX28*Inputs!$E$61/30</f>
        <v>0</v>
      </c>
      <c r="AY64" s="67" t="n">
        <f aca="false">-AY28*Inputs!$E$61/30</f>
        <v>0</v>
      </c>
      <c r="AZ64" s="67" t="n">
        <f aca="false">-AZ28*Inputs!$E$61/30</f>
        <v>0</v>
      </c>
      <c r="BA64" s="67" t="n">
        <f aca="false">-BA28*Inputs!$E$61/30</f>
        <v>0</v>
      </c>
      <c r="BB64" s="67" t="n">
        <f aca="false">-BB28*Inputs!$E$61/30</f>
        <v>0</v>
      </c>
      <c r="BC64" s="67" t="n">
        <f aca="false">-BC28*Inputs!$E$61/30</f>
        <v>0</v>
      </c>
      <c r="BD64" s="67" t="n">
        <f aca="false">-BD28*Inputs!$E$61/30</f>
        <v>0</v>
      </c>
      <c r="BE64" s="67" t="n">
        <f aca="false">-BE28*Inputs!$E$61/30</f>
        <v>0</v>
      </c>
      <c r="BF64" s="67" t="n">
        <f aca="false">-BF28*Inputs!$E$61/30</f>
        <v>0</v>
      </c>
      <c r="BG64" s="67" t="n">
        <f aca="false">-BG28*Inputs!$E$61/30</f>
        <v>0</v>
      </c>
      <c r="BH64" s="67" t="n">
        <f aca="false">-BH28*Inputs!$E$61/30</f>
        <v>0</v>
      </c>
      <c r="BI64" s="67" t="n">
        <f aca="false">-BI28*Inputs!$E$61/30</f>
        <v>0</v>
      </c>
      <c r="BJ64" s="67" t="n">
        <f aca="false">-BJ28*Inputs!$E$61/30</f>
        <v>0</v>
      </c>
    </row>
    <row r="65" customFormat="false" ht="15" hidden="false" customHeight="false" outlineLevel="0" collapsed="false">
      <c r="A65" s="6" t="s">
        <v>94</v>
      </c>
      <c r="C65" s="67" t="n">
        <f aca="false">-C28*Inputs!$E$62/30</f>
        <v>112632.74</v>
      </c>
      <c r="D65" s="67" t="n">
        <f aca="false">-D28*Inputs!$E$62/30</f>
        <v>112632.74</v>
      </c>
      <c r="E65" s="67" t="n">
        <f aca="false">-E28*Inputs!$E$62/30</f>
        <v>112632.74</v>
      </c>
      <c r="F65" s="67" t="n">
        <f aca="false">-F28*Inputs!$E$62/30</f>
        <v>112632.74</v>
      </c>
      <c r="G65" s="67" t="n">
        <f aca="false">-G28*Inputs!$E$62/30</f>
        <v>112632.74</v>
      </c>
      <c r="H65" s="67" t="n">
        <f aca="false">-H28*Inputs!$E$62/30</f>
        <v>112632.74</v>
      </c>
      <c r="I65" s="67" t="n">
        <f aca="false">-I28*Inputs!$E$62/30</f>
        <v>112632.74</v>
      </c>
      <c r="J65" s="67" t="n">
        <f aca="false">-J28*Inputs!$E$62/30</f>
        <v>112632.74</v>
      </c>
      <c r="K65" s="67" t="n">
        <f aca="false">-K28*Inputs!$E$62/30</f>
        <v>112632.74</v>
      </c>
      <c r="L65" s="67" t="n">
        <f aca="false">-L28*Inputs!$E$62/30</f>
        <v>112632.74</v>
      </c>
      <c r="M65" s="67" t="n">
        <f aca="false">-M28*Inputs!$E$62/30</f>
        <v>112632.74</v>
      </c>
      <c r="N65" s="67" t="n">
        <f aca="false">-N28*Inputs!$E$62/30</f>
        <v>112632.74</v>
      </c>
      <c r="O65" s="67" t="n">
        <f aca="false">-O28*Inputs!$E$62/30</f>
        <v>145417.95234</v>
      </c>
      <c r="P65" s="67" t="n">
        <f aca="false">-P28*Inputs!$E$62/30</f>
        <v>145417.95234</v>
      </c>
      <c r="Q65" s="67" t="n">
        <f aca="false">-Q28*Inputs!$E$62/30</f>
        <v>145417.95234</v>
      </c>
      <c r="R65" s="67" t="n">
        <f aca="false">-R28*Inputs!$E$62/30</f>
        <v>145417.95234</v>
      </c>
      <c r="S65" s="67" t="n">
        <f aca="false">-S28*Inputs!$E$62/30</f>
        <v>145417.95234</v>
      </c>
      <c r="T65" s="67" t="n">
        <f aca="false">-T28*Inputs!$E$62/30</f>
        <v>145417.95234</v>
      </c>
      <c r="U65" s="67" t="n">
        <f aca="false">-U28*Inputs!$E$62/30</f>
        <v>145417.95234</v>
      </c>
      <c r="V65" s="67" t="n">
        <f aca="false">-V28*Inputs!$E$62/30</f>
        <v>145417.95234</v>
      </c>
      <c r="W65" s="67" t="n">
        <f aca="false">-W28*Inputs!$E$62/30</f>
        <v>145417.95234</v>
      </c>
      <c r="X65" s="67" t="n">
        <f aca="false">-X28*Inputs!$E$62/30</f>
        <v>145417.95234</v>
      </c>
      <c r="Y65" s="67" t="n">
        <f aca="false">-Y28*Inputs!$E$62/30</f>
        <v>145417.95234</v>
      </c>
      <c r="Z65" s="67" t="n">
        <f aca="false">-Z28*Inputs!$E$62/30</f>
        <v>145417.95234</v>
      </c>
      <c r="AA65" s="67" t="n">
        <f aca="false">-AA28*Inputs!$E$62/30</f>
        <v>188043.59204454</v>
      </c>
      <c r="AB65" s="67" t="n">
        <f aca="false">-AB28*Inputs!$E$62/30</f>
        <v>188043.59204454</v>
      </c>
      <c r="AC65" s="67" t="n">
        <f aca="false">-AC28*Inputs!$E$62/30</f>
        <v>188043.59204454</v>
      </c>
      <c r="AD65" s="67" t="n">
        <f aca="false">-AD28*Inputs!$E$62/30</f>
        <v>188043.59204454</v>
      </c>
      <c r="AE65" s="67" t="n">
        <f aca="false">-AE28*Inputs!$E$62/30</f>
        <v>188043.59204454</v>
      </c>
      <c r="AF65" s="67" t="n">
        <f aca="false">-AF28*Inputs!$E$62/30</f>
        <v>188043.59204454</v>
      </c>
      <c r="AG65" s="67" t="n">
        <f aca="false">-AG28*Inputs!$E$62/30</f>
        <v>188043.59204454</v>
      </c>
      <c r="AH65" s="67" t="n">
        <f aca="false">-AH28*Inputs!$E$62/30</f>
        <v>188043.59204454</v>
      </c>
      <c r="AI65" s="67" t="n">
        <f aca="false">-AI28*Inputs!$E$62/30</f>
        <v>188043.59204454</v>
      </c>
      <c r="AJ65" s="67" t="n">
        <f aca="false">-AJ28*Inputs!$E$62/30</f>
        <v>188043.59204454</v>
      </c>
      <c r="AK65" s="67" t="n">
        <f aca="false">-AK28*Inputs!$E$62/30</f>
        <v>188043.59204454</v>
      </c>
      <c r="AL65" s="67" t="n">
        <f aca="false">-AL28*Inputs!$E$62/30</f>
        <v>188043.59204454</v>
      </c>
      <c r="AM65" s="67" t="n">
        <f aca="false">-AM28*Inputs!$E$62/30</f>
        <v>243544.956720181</v>
      </c>
      <c r="AN65" s="67" t="n">
        <f aca="false">-AN28*Inputs!$E$62/30</f>
        <v>243544.956720181</v>
      </c>
      <c r="AO65" s="67" t="n">
        <f aca="false">-AO28*Inputs!$E$62/30</f>
        <v>243544.956720181</v>
      </c>
      <c r="AP65" s="67" t="n">
        <f aca="false">-AP28*Inputs!$E$62/30</f>
        <v>243544.956720181</v>
      </c>
      <c r="AQ65" s="67" t="n">
        <f aca="false">-AQ28*Inputs!$E$62/30</f>
        <v>243544.956720181</v>
      </c>
      <c r="AR65" s="67" t="n">
        <f aca="false">-AR28*Inputs!$E$62/30</f>
        <v>243544.956720181</v>
      </c>
      <c r="AS65" s="67" t="n">
        <f aca="false">-AS28*Inputs!$E$62/30</f>
        <v>243544.956720181</v>
      </c>
      <c r="AT65" s="67" t="n">
        <f aca="false">-AT28*Inputs!$E$62/30</f>
        <v>243544.956720181</v>
      </c>
      <c r="AU65" s="67" t="n">
        <f aca="false">-AU28*Inputs!$E$62/30</f>
        <v>243544.956720181</v>
      </c>
      <c r="AV65" s="67" t="n">
        <f aca="false">-AV28*Inputs!$E$62/30</f>
        <v>243544.956720181</v>
      </c>
      <c r="AW65" s="67" t="n">
        <f aca="false">-AW28*Inputs!$E$62/30</f>
        <v>243544.956720181</v>
      </c>
      <c r="AX65" s="67" t="n">
        <f aca="false">-AX28*Inputs!$E$62/30</f>
        <v>243544.956720181</v>
      </c>
      <c r="AY65" s="67" t="n">
        <f aca="false">-AY28*Inputs!$E$62/30</f>
        <v>315915.366546385</v>
      </c>
      <c r="AZ65" s="67" t="n">
        <f aca="false">-AZ28*Inputs!$E$62/30</f>
        <v>315915.366546385</v>
      </c>
      <c r="BA65" s="67" t="n">
        <f aca="false">-BA28*Inputs!$E$62/30</f>
        <v>315915.366546385</v>
      </c>
      <c r="BB65" s="67" t="n">
        <f aca="false">-BB28*Inputs!$E$62/30</f>
        <v>315915.366546385</v>
      </c>
      <c r="BC65" s="67" t="n">
        <f aca="false">-BC28*Inputs!$E$62/30</f>
        <v>315915.366546385</v>
      </c>
      <c r="BD65" s="67" t="n">
        <f aca="false">-BD28*Inputs!$E$62/30</f>
        <v>315915.366546385</v>
      </c>
      <c r="BE65" s="67" t="n">
        <f aca="false">-BE28*Inputs!$E$62/30</f>
        <v>315915.366546385</v>
      </c>
      <c r="BF65" s="67" t="n">
        <f aca="false">-BF28*Inputs!$E$62/30</f>
        <v>315915.366546385</v>
      </c>
      <c r="BG65" s="67" t="n">
        <f aca="false">-BG28*Inputs!$E$62/30</f>
        <v>315915.366546385</v>
      </c>
      <c r="BH65" s="67" t="n">
        <f aca="false">-BH28*Inputs!$E$62/30</f>
        <v>315915.366546385</v>
      </c>
      <c r="BI65" s="67" t="n">
        <f aca="false">-BI28*Inputs!$E$62/30</f>
        <v>315915.366546385</v>
      </c>
      <c r="BJ65" s="67" t="n">
        <f aca="false">-BJ28*Inputs!$E$62/30</f>
        <v>315915.366546385</v>
      </c>
    </row>
    <row r="66" customFormat="false" ht="15" hidden="false" customHeight="false" outlineLevel="0" collapsed="false">
      <c r="A66" s="6" t="s">
        <v>333</v>
      </c>
      <c r="C66" s="67" t="n">
        <f aca="false">-C63</f>
        <v>-563274</v>
      </c>
      <c r="D66" s="67" t="n">
        <f aca="false">C63-D63</f>
        <v>0</v>
      </c>
      <c r="E66" s="67" t="n">
        <f aca="false">D63-E63</f>
        <v>0</v>
      </c>
      <c r="F66" s="67" t="n">
        <f aca="false">E63-F63</f>
        <v>0</v>
      </c>
      <c r="G66" s="67" t="n">
        <f aca="false">F63-G63</f>
        <v>0</v>
      </c>
      <c r="H66" s="67" t="n">
        <f aca="false">G63-H63</f>
        <v>0</v>
      </c>
      <c r="I66" s="67" t="n">
        <f aca="false">H63-I63</f>
        <v>0</v>
      </c>
      <c r="J66" s="67" t="n">
        <f aca="false">I63-J63</f>
        <v>0</v>
      </c>
      <c r="K66" s="67" t="n">
        <f aca="false">J63-K63</f>
        <v>0</v>
      </c>
      <c r="L66" s="67" t="n">
        <f aca="false">K63-L63</f>
        <v>0</v>
      </c>
      <c r="M66" s="67" t="n">
        <f aca="false">L63-M63</f>
        <v>0</v>
      </c>
      <c r="N66" s="67" t="n">
        <f aca="false">M63-N63</f>
        <v>0</v>
      </c>
      <c r="O66" s="67" t="n">
        <f aca="false">N63-O63</f>
        <v>-166221.234</v>
      </c>
      <c r="P66" s="67" t="n">
        <f aca="false">O63-P63</f>
        <v>0</v>
      </c>
      <c r="Q66" s="67" t="n">
        <f aca="false">P63-Q63</f>
        <v>0</v>
      </c>
      <c r="R66" s="67" t="n">
        <f aca="false">Q63-R63</f>
        <v>0</v>
      </c>
      <c r="S66" s="67" t="n">
        <f aca="false">R63-S63</f>
        <v>0</v>
      </c>
      <c r="T66" s="67" t="n">
        <f aca="false">S63-T63</f>
        <v>0</v>
      </c>
      <c r="U66" s="67" t="n">
        <f aca="false">T63-U63</f>
        <v>0</v>
      </c>
      <c r="V66" s="67" t="n">
        <f aca="false">U63-V63</f>
        <v>0</v>
      </c>
      <c r="W66" s="67" t="n">
        <f aca="false">V63-W63</f>
        <v>0</v>
      </c>
      <c r="X66" s="67" t="n">
        <f aca="false">W63-X63</f>
        <v>0</v>
      </c>
      <c r="Y66" s="67" t="n">
        <f aca="false">X63-Y63</f>
        <v>0</v>
      </c>
      <c r="Z66" s="67" t="n">
        <f aca="false">Y63-Z63</f>
        <v>0</v>
      </c>
      <c r="AA66" s="67" t="n">
        <f aca="false">Z63-AA63</f>
        <v>-216734.270454</v>
      </c>
      <c r="AB66" s="67" t="n">
        <f aca="false">AA63-AB63</f>
        <v>0</v>
      </c>
      <c r="AC66" s="67" t="n">
        <f aca="false">AB63-AC63</f>
        <v>0</v>
      </c>
      <c r="AD66" s="67" t="n">
        <f aca="false">AC63-AD63</f>
        <v>0</v>
      </c>
      <c r="AE66" s="67" t="n">
        <f aca="false">AD63-AE63</f>
        <v>0</v>
      </c>
      <c r="AF66" s="67" t="n">
        <f aca="false">AE63-AF63</f>
        <v>0</v>
      </c>
      <c r="AG66" s="67" t="n">
        <f aca="false">AF63-AG63</f>
        <v>0</v>
      </c>
      <c r="AH66" s="67" t="n">
        <f aca="false">AG63-AH63</f>
        <v>0</v>
      </c>
      <c r="AI66" s="67" t="n">
        <f aca="false">AH63-AI63</f>
        <v>0</v>
      </c>
      <c r="AJ66" s="67" t="n">
        <f aca="false">AI63-AJ63</f>
        <v>0</v>
      </c>
      <c r="AK66" s="67" t="n">
        <f aca="false">AJ63-AK63</f>
        <v>0</v>
      </c>
      <c r="AL66" s="67" t="n">
        <f aca="false">AK63-AL63</f>
        <v>0</v>
      </c>
      <c r="AM66" s="67" t="n">
        <f aca="false">AL63-AM63</f>
        <v>-282993.939264114</v>
      </c>
      <c r="AN66" s="67" t="n">
        <f aca="false">AM63-AN63</f>
        <v>0</v>
      </c>
      <c r="AO66" s="67" t="n">
        <f aca="false">AN63-AO63</f>
        <v>0</v>
      </c>
      <c r="AP66" s="67" t="n">
        <f aca="false">AO63-AP63</f>
        <v>0</v>
      </c>
      <c r="AQ66" s="67" t="n">
        <f aca="false">AP63-AQ63</f>
        <v>0</v>
      </c>
      <c r="AR66" s="67" t="n">
        <f aca="false">AQ63-AR63</f>
        <v>0</v>
      </c>
      <c r="AS66" s="67" t="n">
        <f aca="false">AR63-AS63</f>
        <v>0</v>
      </c>
      <c r="AT66" s="67" t="n">
        <f aca="false">AS63-AT63</f>
        <v>0</v>
      </c>
      <c r="AU66" s="67" t="n">
        <f aca="false">AT63-AU63</f>
        <v>0</v>
      </c>
      <c r="AV66" s="67" t="n">
        <f aca="false">AU63-AV63</f>
        <v>0</v>
      </c>
      <c r="AW66" s="67" t="n">
        <f aca="false">AV63-AW63</f>
        <v>0</v>
      </c>
      <c r="AX66" s="67" t="n">
        <f aca="false">AW63-AX63</f>
        <v>0</v>
      </c>
      <c r="AY66" s="67" t="n">
        <f aca="false">AX63-AY63</f>
        <v>-370013.309066642</v>
      </c>
      <c r="AZ66" s="67" t="n">
        <f aca="false">AY63-AZ63</f>
        <v>0</v>
      </c>
      <c r="BA66" s="67" t="n">
        <f aca="false">AZ63-BA63</f>
        <v>0</v>
      </c>
      <c r="BB66" s="67" t="n">
        <f aca="false">BA63-BB63</f>
        <v>0</v>
      </c>
      <c r="BC66" s="67" t="n">
        <f aca="false">BB63-BC63</f>
        <v>0</v>
      </c>
      <c r="BD66" s="67" t="n">
        <f aca="false">BC63-BD63</f>
        <v>0</v>
      </c>
      <c r="BE66" s="67" t="n">
        <f aca="false">BD63-BE63</f>
        <v>0</v>
      </c>
      <c r="BF66" s="67" t="n">
        <f aca="false">BE63-BF63</f>
        <v>0</v>
      </c>
      <c r="BG66" s="67" t="n">
        <f aca="false">BF63-BG63</f>
        <v>0</v>
      </c>
      <c r="BH66" s="67" t="n">
        <f aca="false">BG63-BH63</f>
        <v>0</v>
      </c>
      <c r="BI66" s="67" t="n">
        <f aca="false">BH63-BI63</f>
        <v>0</v>
      </c>
      <c r="BJ66" s="67" t="n">
        <f aca="false">BI63-BJ63</f>
        <v>0</v>
      </c>
    </row>
    <row r="67" customFormat="false" ht="15" hidden="false" customHeight="false" outlineLevel="0" collapsed="false">
      <c r="A67" s="6" t="s">
        <v>334</v>
      </c>
      <c r="C67" s="67" t="n">
        <f aca="false">-C64</f>
        <v>-0</v>
      </c>
      <c r="D67" s="67" t="n">
        <f aca="false">C64-D64</f>
        <v>0</v>
      </c>
      <c r="E67" s="67" t="n">
        <f aca="false">D64-E64</f>
        <v>0</v>
      </c>
      <c r="F67" s="67" t="n">
        <f aca="false">E64-F64</f>
        <v>0</v>
      </c>
      <c r="G67" s="67" t="n">
        <f aca="false">F64-G64</f>
        <v>0</v>
      </c>
      <c r="H67" s="67" t="n">
        <f aca="false">G64-H64</f>
        <v>0</v>
      </c>
      <c r="I67" s="67" t="n">
        <f aca="false">H64-I64</f>
        <v>0</v>
      </c>
      <c r="J67" s="67" t="n">
        <f aca="false">I64-J64</f>
        <v>0</v>
      </c>
      <c r="K67" s="67" t="n">
        <f aca="false">J64-K64</f>
        <v>0</v>
      </c>
      <c r="L67" s="67" t="n">
        <f aca="false">K64-L64</f>
        <v>0</v>
      </c>
      <c r="M67" s="67" t="n">
        <f aca="false">L64-M64</f>
        <v>0</v>
      </c>
      <c r="N67" s="67" t="n">
        <f aca="false">M64-N64</f>
        <v>0</v>
      </c>
      <c r="O67" s="67" t="n">
        <f aca="false">N64-O64</f>
        <v>0</v>
      </c>
      <c r="P67" s="67" t="n">
        <f aca="false">O64-P64</f>
        <v>0</v>
      </c>
      <c r="Q67" s="67" t="n">
        <f aca="false">P64-Q64</f>
        <v>0</v>
      </c>
      <c r="R67" s="67" t="n">
        <f aca="false">Q64-R64</f>
        <v>0</v>
      </c>
      <c r="S67" s="67" t="n">
        <f aca="false">R64-S64</f>
        <v>0</v>
      </c>
      <c r="T67" s="67" t="n">
        <f aca="false">S64-T64</f>
        <v>0</v>
      </c>
      <c r="U67" s="67" t="n">
        <f aca="false">T64-U64</f>
        <v>0</v>
      </c>
      <c r="V67" s="67" t="n">
        <f aca="false">U64-V64</f>
        <v>0</v>
      </c>
      <c r="W67" s="67" t="n">
        <f aca="false">V64-W64</f>
        <v>0</v>
      </c>
      <c r="X67" s="67" t="n">
        <f aca="false">W64-X64</f>
        <v>0</v>
      </c>
      <c r="Y67" s="67" t="n">
        <f aca="false">X64-Y64</f>
        <v>0</v>
      </c>
      <c r="Z67" s="67" t="n">
        <f aca="false">Y64-Z64</f>
        <v>0</v>
      </c>
      <c r="AA67" s="67" t="n">
        <f aca="false">Z64-AA64</f>
        <v>0</v>
      </c>
      <c r="AB67" s="67" t="n">
        <f aca="false">AA64-AB64</f>
        <v>0</v>
      </c>
      <c r="AC67" s="67" t="n">
        <f aca="false">AB64-AC64</f>
        <v>0</v>
      </c>
      <c r="AD67" s="67" t="n">
        <f aca="false">AC64-AD64</f>
        <v>0</v>
      </c>
      <c r="AE67" s="67" t="n">
        <f aca="false">AD64-AE64</f>
        <v>0</v>
      </c>
      <c r="AF67" s="67" t="n">
        <f aca="false">AE64-AF64</f>
        <v>0</v>
      </c>
      <c r="AG67" s="67" t="n">
        <f aca="false">AF64-AG64</f>
        <v>0</v>
      </c>
      <c r="AH67" s="67" t="n">
        <f aca="false">AG64-AH64</f>
        <v>0</v>
      </c>
      <c r="AI67" s="67" t="n">
        <f aca="false">AH64-AI64</f>
        <v>0</v>
      </c>
      <c r="AJ67" s="67" t="n">
        <f aca="false">AI64-AJ64</f>
        <v>0</v>
      </c>
      <c r="AK67" s="67" t="n">
        <f aca="false">AJ64-AK64</f>
        <v>0</v>
      </c>
      <c r="AL67" s="67" t="n">
        <f aca="false">AK64-AL64</f>
        <v>0</v>
      </c>
      <c r="AM67" s="67" t="n">
        <f aca="false">AL64-AM64</f>
        <v>0</v>
      </c>
      <c r="AN67" s="67" t="n">
        <f aca="false">AM64-AN64</f>
        <v>0</v>
      </c>
      <c r="AO67" s="67" t="n">
        <f aca="false">AN64-AO64</f>
        <v>0</v>
      </c>
      <c r="AP67" s="67" t="n">
        <f aca="false">AO64-AP64</f>
        <v>0</v>
      </c>
      <c r="AQ67" s="67" t="n">
        <f aca="false">AP64-AQ64</f>
        <v>0</v>
      </c>
      <c r="AR67" s="67" t="n">
        <f aca="false">AQ64-AR64</f>
        <v>0</v>
      </c>
      <c r="AS67" s="67" t="n">
        <f aca="false">AR64-AS64</f>
        <v>0</v>
      </c>
      <c r="AT67" s="67" t="n">
        <f aca="false">AS64-AT64</f>
        <v>0</v>
      </c>
      <c r="AU67" s="67" t="n">
        <f aca="false">AT64-AU64</f>
        <v>0</v>
      </c>
      <c r="AV67" s="67" t="n">
        <f aca="false">AU64-AV64</f>
        <v>0</v>
      </c>
      <c r="AW67" s="67" t="n">
        <f aca="false">AV64-AW64</f>
        <v>0</v>
      </c>
      <c r="AX67" s="67" t="n">
        <f aca="false">AW64-AX64</f>
        <v>0</v>
      </c>
      <c r="AY67" s="67" t="n">
        <f aca="false">AX64-AY64</f>
        <v>0</v>
      </c>
      <c r="AZ67" s="67" t="n">
        <f aca="false">AY64-AZ64</f>
        <v>0</v>
      </c>
      <c r="BA67" s="67" t="n">
        <f aca="false">AZ64-BA64</f>
        <v>0</v>
      </c>
      <c r="BB67" s="67" t="n">
        <f aca="false">BA64-BB64</f>
        <v>0</v>
      </c>
      <c r="BC67" s="67" t="n">
        <f aca="false">BB64-BC64</f>
        <v>0</v>
      </c>
      <c r="BD67" s="67" t="n">
        <f aca="false">BC64-BD64</f>
        <v>0</v>
      </c>
      <c r="BE67" s="67" t="n">
        <f aca="false">BD64-BE64</f>
        <v>0</v>
      </c>
      <c r="BF67" s="67" t="n">
        <f aca="false">BE64-BF64</f>
        <v>0</v>
      </c>
      <c r="BG67" s="67" t="n">
        <f aca="false">BF64-BG64</f>
        <v>0</v>
      </c>
      <c r="BH67" s="67" t="n">
        <f aca="false">BG64-BH64</f>
        <v>0</v>
      </c>
      <c r="BI67" s="67" t="n">
        <f aca="false">BH64-BI64</f>
        <v>0</v>
      </c>
      <c r="BJ67" s="67" t="n">
        <f aca="false">BI64-BJ64</f>
        <v>0</v>
      </c>
    </row>
    <row r="68" customFormat="false" ht="15" hidden="false" customHeight="false" outlineLevel="0" collapsed="false">
      <c r="A68" s="6" t="s">
        <v>335</v>
      </c>
      <c r="C68" s="67" t="n">
        <f aca="false">C65</f>
        <v>112632.74</v>
      </c>
      <c r="D68" s="67" t="n">
        <f aca="false">D65-C65</f>
        <v>0</v>
      </c>
      <c r="E68" s="67" t="n">
        <f aca="false">E65-D65</f>
        <v>0</v>
      </c>
      <c r="F68" s="67" t="n">
        <f aca="false">F65-E65</f>
        <v>0</v>
      </c>
      <c r="G68" s="67" t="n">
        <f aca="false">G65-F65</f>
        <v>0</v>
      </c>
      <c r="H68" s="67" t="n">
        <f aca="false">H65-G65</f>
        <v>0</v>
      </c>
      <c r="I68" s="67" t="n">
        <f aca="false">I65-H65</f>
        <v>0</v>
      </c>
      <c r="J68" s="67" t="n">
        <f aca="false">J65-I65</f>
        <v>0</v>
      </c>
      <c r="K68" s="67" t="n">
        <f aca="false">K65-J65</f>
        <v>0</v>
      </c>
      <c r="L68" s="67" t="n">
        <f aca="false">L65-K65</f>
        <v>0</v>
      </c>
      <c r="M68" s="67" t="n">
        <f aca="false">M65-L65</f>
        <v>0</v>
      </c>
      <c r="N68" s="67" t="n">
        <f aca="false">N65-M65</f>
        <v>0</v>
      </c>
      <c r="O68" s="67" t="n">
        <f aca="false">O65-N65</f>
        <v>32785.21234</v>
      </c>
      <c r="P68" s="67" t="n">
        <f aca="false">P65-O65</f>
        <v>0</v>
      </c>
      <c r="Q68" s="67" t="n">
        <f aca="false">Q65-P65</f>
        <v>0</v>
      </c>
      <c r="R68" s="67" t="n">
        <f aca="false">R65-Q65</f>
        <v>0</v>
      </c>
      <c r="S68" s="67" t="n">
        <f aca="false">S65-R65</f>
        <v>0</v>
      </c>
      <c r="T68" s="67" t="n">
        <f aca="false">T65-S65</f>
        <v>0</v>
      </c>
      <c r="U68" s="67" t="n">
        <f aca="false">U65-T65</f>
        <v>0</v>
      </c>
      <c r="V68" s="67" t="n">
        <f aca="false">V65-U65</f>
        <v>0</v>
      </c>
      <c r="W68" s="67" t="n">
        <f aca="false">W65-V65</f>
        <v>0</v>
      </c>
      <c r="X68" s="67" t="n">
        <f aca="false">X65-W65</f>
        <v>0</v>
      </c>
      <c r="Y68" s="67" t="n">
        <f aca="false">Y65-X65</f>
        <v>0</v>
      </c>
      <c r="Z68" s="67" t="n">
        <f aca="false">Z65-Y65</f>
        <v>0</v>
      </c>
      <c r="AA68" s="67" t="n">
        <f aca="false">AA65-Z65</f>
        <v>42625.63970454</v>
      </c>
      <c r="AB68" s="67" t="n">
        <f aca="false">AB65-AA65</f>
        <v>0</v>
      </c>
      <c r="AC68" s="67" t="n">
        <f aca="false">AC65-AB65</f>
        <v>0</v>
      </c>
      <c r="AD68" s="67" t="n">
        <f aca="false">AD65-AC65</f>
        <v>0</v>
      </c>
      <c r="AE68" s="67" t="n">
        <f aca="false">AE65-AD65</f>
        <v>0</v>
      </c>
      <c r="AF68" s="67" t="n">
        <f aca="false">AF65-AE65</f>
        <v>0</v>
      </c>
      <c r="AG68" s="67" t="n">
        <f aca="false">AG65-AF65</f>
        <v>0</v>
      </c>
      <c r="AH68" s="67" t="n">
        <f aca="false">AH65-AG65</f>
        <v>0</v>
      </c>
      <c r="AI68" s="67" t="n">
        <f aca="false">AI65-AH65</f>
        <v>0</v>
      </c>
      <c r="AJ68" s="67" t="n">
        <f aca="false">AJ65-AI65</f>
        <v>0</v>
      </c>
      <c r="AK68" s="67" t="n">
        <f aca="false">AK65-AJ65</f>
        <v>0</v>
      </c>
      <c r="AL68" s="67" t="n">
        <f aca="false">AL65-AK65</f>
        <v>0</v>
      </c>
      <c r="AM68" s="67" t="n">
        <f aca="false">AM65-AL65</f>
        <v>55501.3646756412</v>
      </c>
      <c r="AN68" s="67" t="n">
        <f aca="false">AN65-AM65</f>
        <v>0</v>
      </c>
      <c r="AO68" s="67" t="n">
        <f aca="false">AO65-AN65</f>
        <v>0</v>
      </c>
      <c r="AP68" s="67" t="n">
        <f aca="false">AP65-AO65</f>
        <v>0</v>
      </c>
      <c r="AQ68" s="67" t="n">
        <f aca="false">AQ65-AP65</f>
        <v>0</v>
      </c>
      <c r="AR68" s="67" t="n">
        <f aca="false">AR65-AQ65</f>
        <v>0</v>
      </c>
      <c r="AS68" s="67" t="n">
        <f aca="false">AS65-AR65</f>
        <v>0</v>
      </c>
      <c r="AT68" s="67" t="n">
        <f aca="false">AT65-AS65</f>
        <v>0</v>
      </c>
      <c r="AU68" s="67" t="n">
        <f aca="false">AU65-AT65</f>
        <v>0</v>
      </c>
      <c r="AV68" s="67" t="n">
        <f aca="false">AV65-AU65</f>
        <v>0</v>
      </c>
      <c r="AW68" s="67" t="n">
        <f aca="false">AW65-AV65</f>
        <v>0</v>
      </c>
      <c r="AX68" s="67" t="n">
        <f aca="false">AX65-AW65</f>
        <v>0</v>
      </c>
      <c r="AY68" s="67" t="n">
        <f aca="false">AY65-AX65</f>
        <v>72370.4098262035</v>
      </c>
      <c r="AZ68" s="67" t="n">
        <f aca="false">AZ65-AY65</f>
        <v>0</v>
      </c>
      <c r="BA68" s="67" t="n">
        <f aca="false">BA65-AZ65</f>
        <v>0</v>
      </c>
      <c r="BB68" s="67" t="n">
        <f aca="false">BB65-BA65</f>
        <v>0</v>
      </c>
      <c r="BC68" s="67" t="n">
        <f aca="false">BC65-BB65</f>
        <v>0</v>
      </c>
      <c r="BD68" s="67" t="n">
        <f aca="false">BD65-BC65</f>
        <v>0</v>
      </c>
      <c r="BE68" s="67" t="n">
        <f aca="false">BE65-BD65</f>
        <v>0</v>
      </c>
      <c r="BF68" s="67" t="n">
        <f aca="false">BF65-BE65</f>
        <v>0</v>
      </c>
      <c r="BG68" s="67" t="n">
        <f aca="false">BG65-BF65</f>
        <v>0</v>
      </c>
      <c r="BH68" s="67" t="n">
        <f aca="false">BH65-BG65</f>
        <v>0</v>
      </c>
      <c r="BI68" s="67" t="n">
        <f aca="false">BI65-BH65</f>
        <v>0</v>
      </c>
      <c r="BJ68" s="67" t="n">
        <f aca="false">BJ65-BI65</f>
        <v>0</v>
      </c>
    </row>
    <row r="70" customFormat="false" ht="15.75" hidden="false" customHeight="true" outlineLevel="0" collapsed="false">
      <c r="A70" s="7" t="s">
        <v>422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customFormat="false" ht="15" hidden="false" customHeight="false" outlineLevel="0" collapsed="false">
      <c r="A71" s="4" t="s">
        <v>52</v>
      </c>
      <c r="C71" s="73" t="n">
        <f aca="false">C47-C52+C66+C67+C68</f>
        <v>-382319.682533333</v>
      </c>
      <c r="D71" s="73" t="n">
        <f aca="false">D47-D52+D66+D67+D68</f>
        <v>68330.3552444445</v>
      </c>
      <c r="E71" s="73" t="n">
        <f aca="false">E47-E52+E66+E67+E68</f>
        <v>68347.9108</v>
      </c>
      <c r="F71" s="73" t="n">
        <f aca="false">F47-F52+F66+F67+F68</f>
        <v>68365.4663555556</v>
      </c>
      <c r="G71" s="73" t="n">
        <f aca="false">G47-G52+G66+G67+G68</f>
        <v>68383.0219111111</v>
      </c>
      <c r="H71" s="73" t="n">
        <f aca="false">H47-H52+H66+H67+H68</f>
        <v>68400.5774666667</v>
      </c>
      <c r="I71" s="73" t="n">
        <f aca="false">I47-I52+I66+I67+I68</f>
        <v>68418.1330222222</v>
      </c>
      <c r="J71" s="73" t="n">
        <f aca="false">J47-J52+J66+J67+J68</f>
        <v>68435.6885777778</v>
      </c>
      <c r="K71" s="73" t="n">
        <f aca="false">K47-K52+K66+K67+K68</f>
        <v>68453.2441333333</v>
      </c>
      <c r="L71" s="73" t="n">
        <f aca="false">L47-L52+L66+L67+L68</f>
        <v>68470.7996888889</v>
      </c>
      <c r="M71" s="73" t="n">
        <f aca="false">M47-M52+M66+M67+M68</f>
        <v>68488.3552444444</v>
      </c>
      <c r="N71" s="73" t="n">
        <f aca="false">N47-N52+N66+N67+N68</f>
        <v>68505.9108</v>
      </c>
      <c r="O71" s="73" t="n">
        <f aca="false">O47-O52+O66+O67+O68</f>
        <v>-36011.2100616446</v>
      </c>
      <c r="P71" s="73" t="n">
        <f aca="false">P47-P52+P66+P67+P68</f>
        <v>97442.3671539113</v>
      </c>
      <c r="Q71" s="73" t="n">
        <f aca="false">Q47-Q52+Q66+Q67+Q68</f>
        <v>97459.9227094669</v>
      </c>
      <c r="R71" s="73" t="n">
        <f aca="false">R47-R52+R66+R67+R68</f>
        <v>97477.4782650224</v>
      </c>
      <c r="S71" s="73" t="n">
        <f aca="false">S47-S52+S66+S67+S68</f>
        <v>97495.033820578</v>
      </c>
      <c r="T71" s="73" t="n">
        <f aca="false">T47-T52+T66+T67+T68</f>
        <v>97512.5893761335</v>
      </c>
      <c r="U71" s="73" t="n">
        <f aca="false">U47-U52+U66+U67+U68</f>
        <v>97530.1449316891</v>
      </c>
      <c r="V71" s="73" t="n">
        <f aca="false">V47-V52+V66+V67+V68</f>
        <v>97547.7004872446</v>
      </c>
      <c r="W71" s="73" t="n">
        <f aca="false">W47-W52+W66+W67+W68</f>
        <v>97565.2560428002</v>
      </c>
      <c r="X71" s="73" t="n">
        <f aca="false">X47-X52+X66+X67+X68</f>
        <v>97582.8115983558</v>
      </c>
      <c r="Y71" s="73" t="n">
        <f aca="false">Y47-Y52+Y66+Y67+Y68</f>
        <v>97600.3671539113</v>
      </c>
      <c r="Z71" s="73" t="n">
        <f aca="false">Z47-Z52+Z66+Z67+Z68</f>
        <v>97617.9227094669</v>
      </c>
      <c r="AA71" s="73" t="n">
        <f aca="false">AA47-AA52+AA66+AA67+AA68</f>
        <v>-38007.7622764207</v>
      </c>
      <c r="AB71" s="73" t="n">
        <f aca="false">AB47-AB52+AB66+AB67+AB68</f>
        <v>136118.424028595</v>
      </c>
      <c r="AC71" s="73" t="n">
        <f aca="false">AC47-AC52+AC66+AC67+AC68</f>
        <v>136135.97958415</v>
      </c>
      <c r="AD71" s="73" t="n">
        <f aca="false">AD47-AD52+AD66+AD67+AD68</f>
        <v>136153.535139706</v>
      </c>
      <c r="AE71" s="73" t="n">
        <f aca="false">AE47-AE52+AE66+AE67+AE68</f>
        <v>136171.090695261</v>
      </c>
      <c r="AF71" s="73" t="n">
        <f aca="false">AF47-AF52+AF66+AF67+AF68</f>
        <v>136188.646250817</v>
      </c>
      <c r="AG71" s="73" t="n">
        <f aca="false">AG47-AG52+AG66+AG67+AG68</f>
        <v>136206.201806372</v>
      </c>
      <c r="AH71" s="73" t="n">
        <f aca="false">AH47-AH52+AH66+AH67+AH68</f>
        <v>136223.757361928</v>
      </c>
      <c r="AI71" s="73" t="n">
        <f aca="false">AI47-AI52+AI66+AI67+AI68</f>
        <v>136241.312917484</v>
      </c>
      <c r="AJ71" s="73" t="n">
        <f aca="false">AJ47-AJ52+AJ66+AJ67+AJ68</f>
        <v>136258.868473039</v>
      </c>
      <c r="AK71" s="73" t="n">
        <f aca="false">AK47-AK52+AK66+AK67+AK68</f>
        <v>136276.424028595</v>
      </c>
      <c r="AL71" s="73" t="n">
        <f aca="false">AL47-AL52+AL66+AL67+AL68</f>
        <v>136293.97958415</v>
      </c>
      <c r="AM71" s="73" t="n">
        <f aca="false">AM47-AM52+AM66+AM67+AM68</f>
        <v>-39987.8011922158</v>
      </c>
      <c r="AN71" s="73" t="n">
        <f aca="false">AN47-AN52+AN66+AN67+AN68</f>
        <v>187522.328951813</v>
      </c>
      <c r="AO71" s="73" t="n">
        <f aca="false">AO47-AO52+AO66+AO67+AO68</f>
        <v>187539.884507368</v>
      </c>
      <c r="AP71" s="73" t="n">
        <f aca="false">AP47-AP52+AP66+AP67+AP68</f>
        <v>187557.440062924</v>
      </c>
      <c r="AQ71" s="73" t="n">
        <f aca="false">AQ47-AQ52+AQ66+AQ67+AQ68</f>
        <v>187574.995618479</v>
      </c>
      <c r="AR71" s="73" t="n">
        <f aca="false">AR47-AR52+AR66+AR67+AR68</f>
        <v>187592.551174035</v>
      </c>
      <c r="AS71" s="73" t="n">
        <f aca="false">AS47-AS52+AS66+AS67+AS68</f>
        <v>187610.10672959</v>
      </c>
      <c r="AT71" s="73" t="n">
        <f aca="false">AT47-AT52+AT66+AT67+AT68</f>
        <v>187627.662285146</v>
      </c>
      <c r="AU71" s="73" t="n">
        <f aca="false">AU47-AU52+AU66+AU67+AU68</f>
        <v>187645.217840702</v>
      </c>
      <c r="AV71" s="73" t="n">
        <f aca="false">AV47-AV52+AV66+AV67+AV68</f>
        <v>187662.773396257</v>
      </c>
      <c r="AW71" s="73" t="n">
        <f aca="false">AW47-AW52+AW66+AW67+AW68</f>
        <v>187680.328951813</v>
      </c>
      <c r="AX71" s="73" t="n">
        <f aca="false">AX47-AX52+AX66+AX67+AX68</f>
        <v>187697.884507368</v>
      </c>
      <c r="AY71" s="73" t="n">
        <f aca="false">AY47-AY52+AY66+AY67+AY68</f>
        <v>-41792.6544932909</v>
      </c>
      <c r="AZ71" s="73" t="n">
        <f aca="false">AZ47-AZ52+AZ66+AZ67+AZ68</f>
        <v>255867.800302703</v>
      </c>
      <c r="BA71" s="73" t="n">
        <f aca="false">BA47-BA52+BA66+BA67+BA68</f>
        <v>255885.355858259</v>
      </c>
      <c r="BB71" s="73" t="n">
        <f aca="false">BB47-BB52+BB66+BB67+BB68</f>
        <v>255902.911413815</v>
      </c>
      <c r="BC71" s="73" t="n">
        <f aca="false">BC47-BC52+BC66+BC67+BC68</f>
        <v>255920.46696937</v>
      </c>
      <c r="BD71" s="73" t="n">
        <f aca="false">BD47-BD52+BD66+BD67+BD68</f>
        <v>255938.022524926</v>
      </c>
      <c r="BE71" s="73" t="n">
        <f aca="false">BE47-BE52+BE66+BE67+BE68</f>
        <v>255955.578080481</v>
      </c>
      <c r="BF71" s="73" t="n">
        <f aca="false">BF47-BF52+BF66+BF67+BF68</f>
        <v>255973.133636037</v>
      </c>
      <c r="BG71" s="73" t="n">
        <f aca="false">BG47-BG52+BG66+BG67+BG68</f>
        <v>255990.689191592</v>
      </c>
      <c r="BH71" s="73" t="n">
        <f aca="false">BH47-BH52+BH66+BH67+BH68</f>
        <v>256008.244747148</v>
      </c>
      <c r="BI71" s="73" t="n">
        <f aca="false">BI47-BI52+BI66+BI67+BI68</f>
        <v>256025.800302704</v>
      </c>
      <c r="BJ71" s="73" t="n">
        <f aca="false">BJ47-BJ52+BJ66+BJ67+BJ68</f>
        <v>256043.355858259</v>
      </c>
    </row>
    <row r="72" customFormat="false" ht="15" hidden="false" customHeight="false" outlineLevel="0" collapsed="false">
      <c r="A72" s="6" t="s">
        <v>423</v>
      </c>
      <c r="C72" s="67" t="n">
        <f aca="false">-C50</f>
        <v>-60000</v>
      </c>
      <c r="D72" s="67" t="n">
        <f aca="false">-D50</f>
        <v>-0</v>
      </c>
      <c r="E72" s="67" t="n">
        <f aca="false">-E50</f>
        <v>-0</v>
      </c>
      <c r="F72" s="67" t="n">
        <f aca="false">-F50</f>
        <v>-0</v>
      </c>
      <c r="G72" s="67" t="n">
        <f aca="false">-G50</f>
        <v>-0</v>
      </c>
      <c r="H72" s="67" t="n">
        <f aca="false">-H50</f>
        <v>-0</v>
      </c>
      <c r="I72" s="67" t="n">
        <f aca="false">-I50</f>
        <v>-0</v>
      </c>
      <c r="J72" s="67" t="n">
        <f aca="false">-J50</f>
        <v>-0</v>
      </c>
      <c r="K72" s="67" t="n">
        <f aca="false">-K50</f>
        <v>-0</v>
      </c>
      <c r="L72" s="67" t="n">
        <f aca="false">-L50</f>
        <v>-0</v>
      </c>
      <c r="M72" s="67" t="n">
        <f aca="false">-M50</f>
        <v>-0</v>
      </c>
      <c r="N72" s="67" t="n">
        <f aca="false">-N50</f>
        <v>-0</v>
      </c>
      <c r="O72" s="67" t="n">
        <f aca="false">-O50</f>
        <v>-0</v>
      </c>
      <c r="P72" s="67" t="n">
        <f aca="false">-P50</f>
        <v>-0</v>
      </c>
      <c r="Q72" s="67" t="n">
        <f aca="false">-Q50</f>
        <v>-0</v>
      </c>
      <c r="R72" s="67" t="n">
        <f aca="false">-R50</f>
        <v>-0</v>
      </c>
      <c r="S72" s="67" t="n">
        <f aca="false">-S50</f>
        <v>-0</v>
      </c>
      <c r="T72" s="67" t="n">
        <f aca="false">-T50</f>
        <v>-0</v>
      </c>
      <c r="U72" s="67" t="n">
        <f aca="false">-U50</f>
        <v>-0</v>
      </c>
      <c r="V72" s="67" t="n">
        <f aca="false">-V50</f>
        <v>-0</v>
      </c>
      <c r="W72" s="67" t="n">
        <f aca="false">-W50</f>
        <v>-0</v>
      </c>
      <c r="X72" s="67" t="n">
        <f aca="false">-X50</f>
        <v>-0</v>
      </c>
      <c r="Y72" s="67" t="n">
        <f aca="false">-Y50</f>
        <v>-0</v>
      </c>
      <c r="Z72" s="67" t="n">
        <f aca="false">-Z50</f>
        <v>-0</v>
      </c>
      <c r="AA72" s="67" t="n">
        <f aca="false">-AA50</f>
        <v>-0</v>
      </c>
      <c r="AB72" s="67" t="n">
        <f aca="false">-AB50</f>
        <v>-0</v>
      </c>
      <c r="AC72" s="67" t="n">
        <f aca="false">-AC50</f>
        <v>-0</v>
      </c>
      <c r="AD72" s="67" t="n">
        <f aca="false">-AD50</f>
        <v>-0</v>
      </c>
      <c r="AE72" s="67" t="n">
        <f aca="false">-AE50</f>
        <v>-0</v>
      </c>
      <c r="AF72" s="67" t="n">
        <f aca="false">-AF50</f>
        <v>-0</v>
      </c>
      <c r="AG72" s="67" t="n">
        <f aca="false">-AG50</f>
        <v>-0</v>
      </c>
      <c r="AH72" s="67" t="n">
        <f aca="false">-AH50</f>
        <v>-0</v>
      </c>
      <c r="AI72" s="67" t="n">
        <f aca="false">-AI50</f>
        <v>-0</v>
      </c>
      <c r="AJ72" s="67" t="n">
        <f aca="false">-AJ50</f>
        <v>-0</v>
      </c>
      <c r="AK72" s="67" t="n">
        <f aca="false">-AK50</f>
        <v>-0</v>
      </c>
      <c r="AL72" s="67" t="n">
        <f aca="false">-AL50</f>
        <v>-0</v>
      </c>
      <c r="AM72" s="67" t="n">
        <f aca="false">-AM50</f>
        <v>-0</v>
      </c>
      <c r="AN72" s="67" t="n">
        <f aca="false">-AN50</f>
        <v>-0</v>
      </c>
      <c r="AO72" s="67" t="n">
        <f aca="false">-AO50</f>
        <v>-0</v>
      </c>
      <c r="AP72" s="67" t="n">
        <f aca="false">-AP50</f>
        <v>-0</v>
      </c>
      <c r="AQ72" s="67" t="n">
        <f aca="false">-AQ50</f>
        <v>-0</v>
      </c>
      <c r="AR72" s="67" t="n">
        <f aca="false">-AR50</f>
        <v>-0</v>
      </c>
      <c r="AS72" s="67" t="n">
        <f aca="false">-AS50</f>
        <v>-0</v>
      </c>
      <c r="AT72" s="67" t="n">
        <f aca="false">-AT50</f>
        <v>-0</v>
      </c>
      <c r="AU72" s="67" t="n">
        <f aca="false">-AU50</f>
        <v>-0</v>
      </c>
      <c r="AV72" s="67" t="n">
        <f aca="false">-AV50</f>
        <v>-0</v>
      </c>
      <c r="AW72" s="67" t="n">
        <f aca="false">-AW50</f>
        <v>-0</v>
      </c>
      <c r="AX72" s="67" t="n">
        <f aca="false">-AX50</f>
        <v>-0</v>
      </c>
      <c r="AY72" s="67" t="n">
        <f aca="false">-AY50</f>
        <v>-0</v>
      </c>
      <c r="AZ72" s="67" t="n">
        <f aca="false">-AZ50</f>
        <v>-0</v>
      </c>
      <c r="BA72" s="67" t="n">
        <f aca="false">-BA50</f>
        <v>-0</v>
      </c>
      <c r="BB72" s="67" t="n">
        <f aca="false">-BB50</f>
        <v>-0</v>
      </c>
      <c r="BC72" s="67" t="n">
        <f aca="false">-BC50</f>
        <v>-0</v>
      </c>
      <c r="BD72" s="67" t="n">
        <f aca="false">-BD50</f>
        <v>-0</v>
      </c>
      <c r="BE72" s="67" t="n">
        <f aca="false">-BE50</f>
        <v>-0</v>
      </c>
      <c r="BF72" s="67" t="n">
        <f aca="false">-BF50</f>
        <v>-0</v>
      </c>
      <c r="BG72" s="67" t="n">
        <f aca="false">-BG50</f>
        <v>-0</v>
      </c>
      <c r="BH72" s="67" t="n">
        <f aca="false">-BH50</f>
        <v>-0</v>
      </c>
      <c r="BI72" s="67" t="n">
        <f aca="false">-BI50</f>
        <v>-0</v>
      </c>
      <c r="BJ72" s="67" t="n">
        <f aca="false">-BJ50</f>
        <v>-0</v>
      </c>
    </row>
    <row r="73" customFormat="false" ht="15" hidden="false" customHeight="false" outlineLevel="0" collapsed="false">
      <c r="A73" s="6" t="s">
        <v>64</v>
      </c>
      <c r="C73" s="67" t="n">
        <f aca="false">IF(C$4=1,Inputs!$E$54,0)</f>
        <v>300000</v>
      </c>
      <c r="D73" s="67" t="n">
        <f aca="false">IF(D$4=1,Inputs!$E$54,0)</f>
        <v>0</v>
      </c>
      <c r="E73" s="67" t="n">
        <f aca="false">IF(E$4=1,Inputs!$E$54,0)</f>
        <v>0</v>
      </c>
      <c r="F73" s="67" t="n">
        <f aca="false">IF(F$4=1,Inputs!$E$54,0)</f>
        <v>0</v>
      </c>
      <c r="G73" s="67" t="n">
        <f aca="false">IF(G$4=1,Inputs!$E$54,0)</f>
        <v>0</v>
      </c>
      <c r="H73" s="67" t="n">
        <f aca="false">IF(H$4=1,Inputs!$E$54,0)</f>
        <v>0</v>
      </c>
      <c r="I73" s="67" t="n">
        <f aca="false">IF(I$4=1,Inputs!$E$54,0)</f>
        <v>0</v>
      </c>
      <c r="J73" s="67" t="n">
        <f aca="false">IF(J$4=1,Inputs!$E$54,0)</f>
        <v>0</v>
      </c>
      <c r="K73" s="67" t="n">
        <f aca="false">IF(K$4=1,Inputs!$E$54,0)</f>
        <v>0</v>
      </c>
      <c r="L73" s="67" t="n">
        <f aca="false">IF(L$4=1,Inputs!$E$54,0)</f>
        <v>0</v>
      </c>
      <c r="M73" s="67" t="n">
        <f aca="false">IF(M$4=1,Inputs!$E$54,0)</f>
        <v>0</v>
      </c>
      <c r="N73" s="67" t="n">
        <f aca="false">IF(N$4=1,Inputs!$E$54,0)</f>
        <v>0</v>
      </c>
      <c r="O73" s="67" t="n">
        <f aca="false">IF(O$4=1,Inputs!$E$54,0)</f>
        <v>0</v>
      </c>
      <c r="P73" s="67" t="n">
        <f aca="false">IF(P$4=1,Inputs!$E$54,0)</f>
        <v>0</v>
      </c>
      <c r="Q73" s="67" t="n">
        <f aca="false">IF(Q$4=1,Inputs!$E$54,0)</f>
        <v>0</v>
      </c>
      <c r="R73" s="67" t="n">
        <f aca="false">IF(R$4=1,Inputs!$E$54,0)</f>
        <v>0</v>
      </c>
      <c r="S73" s="67" t="n">
        <f aca="false">IF(S$4=1,Inputs!$E$54,0)</f>
        <v>0</v>
      </c>
      <c r="T73" s="67" t="n">
        <f aca="false">IF(T$4=1,Inputs!$E$54,0)</f>
        <v>0</v>
      </c>
      <c r="U73" s="67" t="n">
        <f aca="false">IF(U$4=1,Inputs!$E$54,0)</f>
        <v>0</v>
      </c>
      <c r="V73" s="67" t="n">
        <f aca="false">IF(V$4=1,Inputs!$E$54,0)</f>
        <v>0</v>
      </c>
      <c r="W73" s="67" t="n">
        <f aca="false">IF(W$4=1,Inputs!$E$54,0)</f>
        <v>0</v>
      </c>
      <c r="X73" s="67" t="n">
        <f aca="false">IF(X$4=1,Inputs!$E$54,0)</f>
        <v>0</v>
      </c>
      <c r="Y73" s="67" t="n">
        <f aca="false">IF(Y$4=1,Inputs!$E$54,0)</f>
        <v>0</v>
      </c>
      <c r="Z73" s="67" t="n">
        <f aca="false">IF(Z$4=1,Inputs!$E$54,0)</f>
        <v>0</v>
      </c>
      <c r="AA73" s="67" t="n">
        <f aca="false">IF(AA$4=1,Inputs!$E$54,0)</f>
        <v>0</v>
      </c>
      <c r="AB73" s="67" t="n">
        <f aca="false">IF(AB$4=1,Inputs!$E$54,0)</f>
        <v>0</v>
      </c>
      <c r="AC73" s="67" t="n">
        <f aca="false">IF(AC$4=1,Inputs!$E$54,0)</f>
        <v>0</v>
      </c>
      <c r="AD73" s="67" t="n">
        <f aca="false">IF(AD$4=1,Inputs!$E$54,0)</f>
        <v>0</v>
      </c>
      <c r="AE73" s="67" t="n">
        <f aca="false">IF(AE$4=1,Inputs!$E$54,0)</f>
        <v>0</v>
      </c>
      <c r="AF73" s="67" t="n">
        <f aca="false">IF(AF$4=1,Inputs!$E$54,0)</f>
        <v>0</v>
      </c>
      <c r="AG73" s="67" t="n">
        <f aca="false">IF(AG$4=1,Inputs!$E$54,0)</f>
        <v>0</v>
      </c>
      <c r="AH73" s="67" t="n">
        <f aca="false">IF(AH$4=1,Inputs!$E$54,0)</f>
        <v>0</v>
      </c>
      <c r="AI73" s="67" t="n">
        <f aca="false">IF(AI$4=1,Inputs!$E$54,0)</f>
        <v>0</v>
      </c>
      <c r="AJ73" s="67" t="n">
        <f aca="false">IF(AJ$4=1,Inputs!$E$54,0)</f>
        <v>0</v>
      </c>
      <c r="AK73" s="67" t="n">
        <f aca="false">IF(AK$4=1,Inputs!$E$54,0)</f>
        <v>0</v>
      </c>
      <c r="AL73" s="67" t="n">
        <f aca="false">IF(AL$4=1,Inputs!$E$54,0)</f>
        <v>0</v>
      </c>
      <c r="AM73" s="67" t="n">
        <f aca="false">IF(AM$4=1,Inputs!$E$54,0)</f>
        <v>0</v>
      </c>
      <c r="AN73" s="67" t="n">
        <f aca="false">IF(AN$4=1,Inputs!$E$54,0)</f>
        <v>0</v>
      </c>
      <c r="AO73" s="67" t="n">
        <f aca="false">IF(AO$4=1,Inputs!$E$54,0)</f>
        <v>0</v>
      </c>
      <c r="AP73" s="67" t="n">
        <f aca="false">IF(AP$4=1,Inputs!$E$54,0)</f>
        <v>0</v>
      </c>
      <c r="AQ73" s="67" t="n">
        <f aca="false">IF(AQ$4=1,Inputs!$E$54,0)</f>
        <v>0</v>
      </c>
      <c r="AR73" s="67" t="n">
        <f aca="false">IF(AR$4=1,Inputs!$E$54,0)</f>
        <v>0</v>
      </c>
      <c r="AS73" s="67" t="n">
        <f aca="false">IF(AS$4=1,Inputs!$E$54,0)</f>
        <v>0</v>
      </c>
      <c r="AT73" s="67" t="n">
        <f aca="false">IF(AT$4=1,Inputs!$E$54,0)</f>
        <v>0</v>
      </c>
      <c r="AU73" s="67" t="n">
        <f aca="false">IF(AU$4=1,Inputs!$E$54,0)</f>
        <v>0</v>
      </c>
      <c r="AV73" s="67" t="n">
        <f aca="false">IF(AV$4=1,Inputs!$E$54,0)</f>
        <v>0</v>
      </c>
      <c r="AW73" s="67" t="n">
        <f aca="false">IF(AW$4=1,Inputs!$E$54,0)</f>
        <v>0</v>
      </c>
      <c r="AX73" s="67" t="n">
        <f aca="false">IF(AX$4=1,Inputs!$E$54,0)</f>
        <v>0</v>
      </c>
      <c r="AY73" s="67" t="n">
        <f aca="false">IF(AY$4=1,Inputs!$E$54,0)</f>
        <v>0</v>
      </c>
      <c r="AZ73" s="67" t="n">
        <f aca="false">IF(AZ$4=1,Inputs!$E$54,0)</f>
        <v>0</v>
      </c>
      <c r="BA73" s="67" t="n">
        <f aca="false">IF(BA$4=1,Inputs!$E$54,0)</f>
        <v>0</v>
      </c>
      <c r="BB73" s="67" t="n">
        <f aca="false">IF(BB$4=1,Inputs!$E$54,0)</f>
        <v>0</v>
      </c>
      <c r="BC73" s="67" t="n">
        <f aca="false">IF(BC$4=1,Inputs!$E$54,0)</f>
        <v>0</v>
      </c>
      <c r="BD73" s="67" t="n">
        <f aca="false">IF(BD$4=1,Inputs!$E$54,0)</f>
        <v>0</v>
      </c>
      <c r="BE73" s="67" t="n">
        <f aca="false">IF(BE$4=1,Inputs!$E$54,0)</f>
        <v>0</v>
      </c>
      <c r="BF73" s="67" t="n">
        <f aca="false">IF(BF$4=1,Inputs!$E$54,0)</f>
        <v>0</v>
      </c>
      <c r="BG73" s="67" t="n">
        <f aca="false">IF(BG$4=1,Inputs!$E$54,0)</f>
        <v>0</v>
      </c>
      <c r="BH73" s="67" t="n">
        <f aca="false">IF(BH$4=1,Inputs!$E$54,0)</f>
        <v>0</v>
      </c>
      <c r="BI73" s="67" t="n">
        <f aca="false">IF(BI$4=1,Inputs!$E$54,0)</f>
        <v>0</v>
      </c>
      <c r="BJ73" s="67" t="n">
        <f aca="false">IF(BJ$4=1,Inputs!$E$54,0)</f>
        <v>0</v>
      </c>
    </row>
    <row r="74" customFormat="false" ht="15" hidden="false" customHeight="false" outlineLevel="0" collapsed="false">
      <c r="A74" s="6" t="s">
        <v>54</v>
      </c>
      <c r="C74" s="67" t="n">
        <f aca="false">C73+C58+C59</f>
        <v>500000</v>
      </c>
      <c r="D74" s="67" t="n">
        <f aca="false">D73+D58+D59</f>
        <v>-3333.33333333333</v>
      </c>
      <c r="E74" s="67" t="n">
        <f aca="false">E73+E58+E59</f>
        <v>-3333.33333333333</v>
      </c>
      <c r="F74" s="67" t="n">
        <f aca="false">F73+F58+F59</f>
        <v>-3333.33333333333</v>
      </c>
      <c r="G74" s="67" t="n">
        <f aca="false">G73+G58+G59</f>
        <v>-3333.33333333333</v>
      </c>
      <c r="H74" s="67" t="n">
        <f aca="false">H73+H58+H59</f>
        <v>-3333.33333333333</v>
      </c>
      <c r="I74" s="67" t="n">
        <f aca="false">I73+I58+I59</f>
        <v>-3333.33333333333</v>
      </c>
      <c r="J74" s="67" t="n">
        <f aca="false">J73+J58+J59</f>
        <v>-3333.33333333333</v>
      </c>
      <c r="K74" s="67" t="n">
        <f aca="false">K73+K58+K59</f>
        <v>-3333.33333333333</v>
      </c>
      <c r="L74" s="67" t="n">
        <f aca="false">L73+L58+L59</f>
        <v>-3333.33333333333</v>
      </c>
      <c r="M74" s="67" t="n">
        <f aca="false">M73+M58+M59</f>
        <v>-3333.33333333333</v>
      </c>
      <c r="N74" s="67" t="n">
        <f aca="false">N73+N58+N59</f>
        <v>-3333.33333333333</v>
      </c>
      <c r="O74" s="67" t="n">
        <f aca="false">O73+O58+O59</f>
        <v>-3333.33333333333</v>
      </c>
      <c r="P74" s="67" t="n">
        <f aca="false">P73+P58+P59</f>
        <v>-3333.33333333333</v>
      </c>
      <c r="Q74" s="67" t="n">
        <f aca="false">Q73+Q58+Q59</f>
        <v>-3333.33333333333</v>
      </c>
      <c r="R74" s="67" t="n">
        <f aca="false">R73+R58+R59</f>
        <v>-3333.33333333333</v>
      </c>
      <c r="S74" s="67" t="n">
        <f aca="false">S73+S58+S59</f>
        <v>-3333.33333333333</v>
      </c>
      <c r="T74" s="67" t="n">
        <f aca="false">T73+T58+T59</f>
        <v>-3333.33333333333</v>
      </c>
      <c r="U74" s="67" t="n">
        <f aca="false">U73+U58+U59</f>
        <v>-3333.33333333333</v>
      </c>
      <c r="V74" s="67" t="n">
        <f aca="false">V73+V58+V59</f>
        <v>-3333.33333333333</v>
      </c>
      <c r="W74" s="67" t="n">
        <f aca="false">W73+W58+W59</f>
        <v>-3333.33333333333</v>
      </c>
      <c r="X74" s="67" t="n">
        <f aca="false">X73+X58+X59</f>
        <v>-3333.33333333333</v>
      </c>
      <c r="Y74" s="67" t="n">
        <f aca="false">Y73+Y58+Y59</f>
        <v>-3333.33333333333</v>
      </c>
      <c r="Z74" s="67" t="n">
        <f aca="false">Z73+Z58+Z59</f>
        <v>-3333.33333333333</v>
      </c>
      <c r="AA74" s="67" t="n">
        <f aca="false">AA73+AA58+AA59</f>
        <v>-3333.33333333333</v>
      </c>
      <c r="AB74" s="67" t="n">
        <f aca="false">AB73+AB58+AB59</f>
        <v>-3333.33333333333</v>
      </c>
      <c r="AC74" s="67" t="n">
        <f aca="false">AC73+AC58+AC59</f>
        <v>-3333.33333333333</v>
      </c>
      <c r="AD74" s="67" t="n">
        <f aca="false">AD73+AD58+AD59</f>
        <v>-3333.33333333333</v>
      </c>
      <c r="AE74" s="67" t="n">
        <f aca="false">AE73+AE58+AE59</f>
        <v>-3333.33333333333</v>
      </c>
      <c r="AF74" s="67" t="n">
        <f aca="false">AF73+AF58+AF59</f>
        <v>-3333.33333333333</v>
      </c>
      <c r="AG74" s="67" t="n">
        <f aca="false">AG73+AG58+AG59</f>
        <v>-3333.33333333333</v>
      </c>
      <c r="AH74" s="67" t="n">
        <f aca="false">AH73+AH58+AH59</f>
        <v>-3333.33333333333</v>
      </c>
      <c r="AI74" s="67" t="n">
        <f aca="false">AI73+AI58+AI59</f>
        <v>-3333.33333333333</v>
      </c>
      <c r="AJ74" s="67" t="n">
        <f aca="false">AJ73+AJ58+AJ59</f>
        <v>-3333.33333333333</v>
      </c>
      <c r="AK74" s="67" t="n">
        <f aca="false">AK73+AK58+AK59</f>
        <v>-3333.33333333333</v>
      </c>
      <c r="AL74" s="67" t="n">
        <f aca="false">AL73+AL58+AL59</f>
        <v>-3333.33333333333</v>
      </c>
      <c r="AM74" s="67" t="n">
        <f aca="false">AM73+AM58+AM59</f>
        <v>-3333.33333333333</v>
      </c>
      <c r="AN74" s="67" t="n">
        <f aca="false">AN73+AN58+AN59</f>
        <v>-3333.33333333333</v>
      </c>
      <c r="AO74" s="67" t="n">
        <f aca="false">AO73+AO58+AO59</f>
        <v>-3333.33333333333</v>
      </c>
      <c r="AP74" s="67" t="n">
        <f aca="false">AP73+AP58+AP59</f>
        <v>-3333.33333333333</v>
      </c>
      <c r="AQ74" s="67" t="n">
        <f aca="false">AQ73+AQ58+AQ59</f>
        <v>-3333.33333333333</v>
      </c>
      <c r="AR74" s="67" t="n">
        <f aca="false">AR73+AR58+AR59</f>
        <v>-3333.33333333333</v>
      </c>
      <c r="AS74" s="67" t="n">
        <f aca="false">AS73+AS58+AS59</f>
        <v>-3333.33333333333</v>
      </c>
      <c r="AT74" s="67" t="n">
        <f aca="false">AT73+AT58+AT59</f>
        <v>-3333.33333333333</v>
      </c>
      <c r="AU74" s="67" t="n">
        <f aca="false">AU73+AU58+AU59</f>
        <v>-3333.33333333333</v>
      </c>
      <c r="AV74" s="67" t="n">
        <f aca="false">AV73+AV58+AV59</f>
        <v>-3333.33333333333</v>
      </c>
      <c r="AW74" s="67" t="n">
        <f aca="false">AW73+AW58+AW59</f>
        <v>-3333.33333333333</v>
      </c>
      <c r="AX74" s="67" t="n">
        <f aca="false">AX73+AX58+AX59</f>
        <v>-3333.33333333333</v>
      </c>
      <c r="AY74" s="67" t="n">
        <f aca="false">AY73+AY58+AY59</f>
        <v>-3333.33333333333</v>
      </c>
      <c r="AZ74" s="67" t="n">
        <f aca="false">AZ73+AZ58+AZ59</f>
        <v>-3333.33333333333</v>
      </c>
      <c r="BA74" s="67" t="n">
        <f aca="false">BA73+BA58+BA59</f>
        <v>-3333.33333333333</v>
      </c>
      <c r="BB74" s="67" t="n">
        <f aca="false">BB73+BB58+BB59</f>
        <v>-3333.33333333333</v>
      </c>
      <c r="BC74" s="67" t="n">
        <f aca="false">BC73+BC58+BC59</f>
        <v>-3333.33333333333</v>
      </c>
      <c r="BD74" s="67" t="n">
        <f aca="false">BD73+BD58+BD59</f>
        <v>-3333.33333333333</v>
      </c>
      <c r="BE74" s="67" t="n">
        <f aca="false">BE73+BE58+BE59</f>
        <v>-3333.33333333333</v>
      </c>
      <c r="BF74" s="67" t="n">
        <f aca="false">BF73+BF58+BF59</f>
        <v>-3333.33333333333</v>
      </c>
      <c r="BG74" s="67" t="n">
        <f aca="false">BG73+BG58+BG59</f>
        <v>-3333.33333333333</v>
      </c>
      <c r="BH74" s="67" t="n">
        <f aca="false">BH73+BH58+BH59</f>
        <v>-3333.33333333333</v>
      </c>
      <c r="BI74" s="67" t="n">
        <f aca="false">BI73+BI58+BI59</f>
        <v>-3333.33333333333</v>
      </c>
      <c r="BJ74" s="67" t="n">
        <f aca="false">BJ73+BJ58+BJ59</f>
        <v>-3333.33333333333</v>
      </c>
    </row>
    <row r="75" customFormat="false" ht="15" hidden="false" customHeight="false" outlineLevel="0" collapsed="false">
      <c r="A75" s="113" t="s">
        <v>424</v>
      </c>
      <c r="C75" s="68" t="n">
        <f aca="false">C71+C72+C74</f>
        <v>57680.3174666667</v>
      </c>
      <c r="D75" s="68" t="n">
        <f aca="false">D71+D72+D74</f>
        <v>64997.0219111111</v>
      </c>
      <c r="E75" s="68" t="n">
        <f aca="false">E71+E72+E74</f>
        <v>65014.5774666667</v>
      </c>
      <c r="F75" s="68" t="n">
        <f aca="false">F71+F72+F74</f>
        <v>65032.1330222222</v>
      </c>
      <c r="G75" s="68" t="n">
        <f aca="false">G71+G72+G74</f>
        <v>65049.6885777778</v>
      </c>
      <c r="H75" s="68" t="n">
        <f aca="false">H71+H72+H74</f>
        <v>65067.2441333333</v>
      </c>
      <c r="I75" s="68" t="n">
        <f aca="false">I71+I72+I74</f>
        <v>65084.7996888889</v>
      </c>
      <c r="J75" s="68" t="n">
        <f aca="false">J71+J72+J74</f>
        <v>65102.3552444444</v>
      </c>
      <c r="K75" s="68" t="n">
        <f aca="false">K71+K72+K74</f>
        <v>65119.9108</v>
      </c>
      <c r="L75" s="68" t="n">
        <f aca="false">L71+L72+L74</f>
        <v>65137.4663555556</v>
      </c>
      <c r="M75" s="68" t="n">
        <f aca="false">M71+M72+M74</f>
        <v>65155.0219111111</v>
      </c>
      <c r="N75" s="68" t="n">
        <f aca="false">N71+N72+N74</f>
        <v>65172.5774666667</v>
      </c>
      <c r="O75" s="68" t="n">
        <f aca="false">O71+O72+O74</f>
        <v>-39344.5433949779</v>
      </c>
      <c r="P75" s="68" t="n">
        <f aca="false">P71+P72+P74</f>
        <v>94109.033820578</v>
      </c>
      <c r="Q75" s="68" t="n">
        <f aca="false">Q71+Q72+Q74</f>
        <v>94126.5893761335</v>
      </c>
      <c r="R75" s="68" t="n">
        <f aca="false">R71+R72+R74</f>
        <v>94144.1449316891</v>
      </c>
      <c r="S75" s="68" t="n">
        <f aca="false">S71+S72+S74</f>
        <v>94161.7004872446</v>
      </c>
      <c r="T75" s="68" t="n">
        <f aca="false">T71+T72+T74</f>
        <v>94179.2560428002</v>
      </c>
      <c r="U75" s="68" t="n">
        <f aca="false">U71+U72+U74</f>
        <v>94196.8115983557</v>
      </c>
      <c r="V75" s="68" t="n">
        <f aca="false">V71+V72+V74</f>
        <v>94214.3671539113</v>
      </c>
      <c r="W75" s="68" t="n">
        <f aca="false">W71+W72+W74</f>
        <v>94231.9227094669</v>
      </c>
      <c r="X75" s="68" t="n">
        <f aca="false">X71+X72+X74</f>
        <v>94249.4782650224</v>
      </c>
      <c r="Y75" s="68" t="n">
        <f aca="false">Y71+Y72+Y74</f>
        <v>94267.0338205779</v>
      </c>
      <c r="Z75" s="68" t="n">
        <f aca="false">Z71+Z72+Z74</f>
        <v>94284.5893761335</v>
      </c>
      <c r="AA75" s="68" t="n">
        <f aca="false">AA71+AA72+AA74</f>
        <v>-41341.095609754</v>
      </c>
      <c r="AB75" s="68" t="n">
        <f aca="false">AB71+AB72+AB74</f>
        <v>132785.090695261</v>
      </c>
      <c r="AC75" s="68" t="n">
        <f aca="false">AC71+AC72+AC74</f>
        <v>132802.646250817</v>
      </c>
      <c r="AD75" s="68" t="n">
        <f aca="false">AD71+AD72+AD74</f>
        <v>132820.201806372</v>
      </c>
      <c r="AE75" s="68" t="n">
        <f aca="false">AE71+AE72+AE74</f>
        <v>132837.757361928</v>
      </c>
      <c r="AF75" s="68" t="n">
        <f aca="false">AF71+AF72+AF74</f>
        <v>132855.312917483</v>
      </c>
      <c r="AG75" s="68" t="n">
        <f aca="false">AG71+AG72+AG74</f>
        <v>132872.868473039</v>
      </c>
      <c r="AH75" s="68" t="n">
        <f aca="false">AH71+AH72+AH74</f>
        <v>132890.424028595</v>
      </c>
      <c r="AI75" s="68" t="n">
        <f aca="false">AI71+AI72+AI74</f>
        <v>132907.97958415</v>
      </c>
      <c r="AJ75" s="68" t="n">
        <f aca="false">AJ71+AJ72+AJ74</f>
        <v>132925.535139706</v>
      </c>
      <c r="AK75" s="68" t="n">
        <f aca="false">AK71+AK72+AK74</f>
        <v>132943.090695261</v>
      </c>
      <c r="AL75" s="68" t="n">
        <f aca="false">AL71+AL72+AL74</f>
        <v>132960.646250817</v>
      </c>
      <c r="AM75" s="68" t="n">
        <f aca="false">AM71+AM72+AM74</f>
        <v>-43321.1345255491</v>
      </c>
      <c r="AN75" s="68" t="n">
        <f aca="false">AN71+AN72+AN74</f>
        <v>184188.995618479</v>
      </c>
      <c r="AO75" s="68" t="n">
        <f aca="false">AO71+AO72+AO74</f>
        <v>184206.551174035</v>
      </c>
      <c r="AP75" s="68" t="n">
        <f aca="false">AP71+AP72+AP74</f>
        <v>184224.106729591</v>
      </c>
      <c r="AQ75" s="68" t="n">
        <f aca="false">AQ71+AQ72+AQ74</f>
        <v>184241.662285146</v>
      </c>
      <c r="AR75" s="68" t="n">
        <f aca="false">AR71+AR72+AR74</f>
        <v>184259.217840702</v>
      </c>
      <c r="AS75" s="68" t="n">
        <f aca="false">AS71+AS72+AS74</f>
        <v>184276.773396257</v>
      </c>
      <c r="AT75" s="68" t="n">
        <f aca="false">AT71+AT72+AT74</f>
        <v>184294.328951813</v>
      </c>
      <c r="AU75" s="68" t="n">
        <f aca="false">AU71+AU72+AU74</f>
        <v>184311.884507368</v>
      </c>
      <c r="AV75" s="68" t="n">
        <f aca="false">AV71+AV72+AV74</f>
        <v>184329.440062924</v>
      </c>
      <c r="AW75" s="68" t="n">
        <f aca="false">AW71+AW72+AW74</f>
        <v>184346.995618479</v>
      </c>
      <c r="AX75" s="68" t="n">
        <f aca="false">AX71+AX72+AX74</f>
        <v>184364.551174035</v>
      </c>
      <c r="AY75" s="68" t="n">
        <f aca="false">AY71+AY72+AY74</f>
        <v>-45125.9878266242</v>
      </c>
      <c r="AZ75" s="68" t="n">
        <f aca="false">AZ71+AZ72+AZ74</f>
        <v>252534.46696937</v>
      </c>
      <c r="BA75" s="68" t="n">
        <f aca="false">BA71+BA72+BA74</f>
        <v>252552.022524926</v>
      </c>
      <c r="BB75" s="68" t="n">
        <f aca="false">BB71+BB72+BB74</f>
        <v>252569.578080481</v>
      </c>
      <c r="BC75" s="68" t="n">
        <f aca="false">BC71+BC72+BC74</f>
        <v>252587.133636037</v>
      </c>
      <c r="BD75" s="68" t="n">
        <f aca="false">BD71+BD72+BD74</f>
        <v>252604.689191592</v>
      </c>
      <c r="BE75" s="68" t="n">
        <f aca="false">BE71+BE72+BE74</f>
        <v>252622.244747148</v>
      </c>
      <c r="BF75" s="68" t="n">
        <f aca="false">BF71+BF72+BF74</f>
        <v>252639.800302704</v>
      </c>
      <c r="BG75" s="68" t="n">
        <f aca="false">BG71+BG72+BG74</f>
        <v>252657.355858259</v>
      </c>
      <c r="BH75" s="68" t="n">
        <f aca="false">BH71+BH72+BH74</f>
        <v>252674.911413815</v>
      </c>
      <c r="BI75" s="68" t="n">
        <f aca="false">BI71+BI72+BI74</f>
        <v>252692.46696937</v>
      </c>
      <c r="BJ75" s="68" t="n">
        <f aca="false">BJ71+BJ72+BJ74</f>
        <v>252710.022524926</v>
      </c>
    </row>
    <row r="76" customFormat="false" ht="15" hidden="false" customHeight="false" outlineLevel="0" collapsed="false">
      <c r="A76" s="6" t="s">
        <v>336</v>
      </c>
      <c r="C76" s="67" t="n">
        <f aca="false">0</f>
        <v>0</v>
      </c>
      <c r="D76" s="67" t="n">
        <f aca="false">C77</f>
        <v>57680.3174666667</v>
      </c>
      <c r="E76" s="67" t="n">
        <f aca="false">D77</f>
        <v>122677.339377778</v>
      </c>
      <c r="F76" s="67" t="n">
        <f aca="false">E77</f>
        <v>187691.916844444</v>
      </c>
      <c r="G76" s="67" t="n">
        <f aca="false">F77</f>
        <v>252724.049866667</v>
      </c>
      <c r="H76" s="67" t="n">
        <f aca="false">G77</f>
        <v>317773.738444444</v>
      </c>
      <c r="I76" s="67" t="n">
        <f aca="false">H77</f>
        <v>382840.982577778</v>
      </c>
      <c r="J76" s="67" t="n">
        <f aca="false">I77</f>
        <v>447925.782266667</v>
      </c>
      <c r="K76" s="67" t="n">
        <f aca="false">J77</f>
        <v>513028.137511111</v>
      </c>
      <c r="L76" s="67" t="n">
        <f aca="false">K77</f>
        <v>578148.048311111</v>
      </c>
      <c r="M76" s="67" t="n">
        <f aca="false">L77</f>
        <v>643285.514666667</v>
      </c>
      <c r="N76" s="67" t="n">
        <f aca="false">M77</f>
        <v>708440.536577778</v>
      </c>
      <c r="O76" s="67" t="n">
        <f aca="false">N77</f>
        <v>773613.114044444</v>
      </c>
      <c r="P76" s="67" t="n">
        <f aca="false">O77</f>
        <v>734268.570649467</v>
      </c>
      <c r="Q76" s="67" t="n">
        <f aca="false">P77</f>
        <v>828377.604470045</v>
      </c>
      <c r="R76" s="67" t="n">
        <f aca="false">Q77</f>
        <v>922504.193846178</v>
      </c>
      <c r="S76" s="67" t="n">
        <f aca="false">R77</f>
        <v>1016648.33877787</v>
      </c>
      <c r="T76" s="67" t="n">
        <f aca="false">S77</f>
        <v>1110810.03926511</v>
      </c>
      <c r="U76" s="67" t="n">
        <f aca="false">T77</f>
        <v>1204989.29530791</v>
      </c>
      <c r="V76" s="67" t="n">
        <f aca="false">U77</f>
        <v>1299186.10690627</v>
      </c>
      <c r="W76" s="67" t="n">
        <f aca="false">V77</f>
        <v>1393400.47406018</v>
      </c>
      <c r="X76" s="67" t="n">
        <f aca="false">W77</f>
        <v>1487632.39676965</v>
      </c>
      <c r="Y76" s="67" t="n">
        <f aca="false">X77</f>
        <v>1581881.87503467</v>
      </c>
      <c r="Z76" s="67" t="n">
        <f aca="false">Y77</f>
        <v>1676148.90885525</v>
      </c>
      <c r="AA76" s="67" t="n">
        <f aca="false">Z77</f>
        <v>1770433.49823138</v>
      </c>
      <c r="AB76" s="67" t="n">
        <f aca="false">AA77</f>
        <v>1729092.40262163</v>
      </c>
      <c r="AC76" s="67" t="n">
        <f aca="false">AB77</f>
        <v>1861877.49331689</v>
      </c>
      <c r="AD76" s="67" t="n">
        <f aca="false">AC77</f>
        <v>1994680.1395677</v>
      </c>
      <c r="AE76" s="67" t="n">
        <f aca="false">AD77</f>
        <v>2127500.34137408</v>
      </c>
      <c r="AF76" s="67" t="n">
        <f aca="false">AE77</f>
        <v>2260338.098736</v>
      </c>
      <c r="AG76" s="67" t="n">
        <f aca="false">AF77</f>
        <v>2393193.41165349</v>
      </c>
      <c r="AH76" s="67" t="n">
        <f aca="false">AG77</f>
        <v>2526066.28012653</v>
      </c>
      <c r="AI76" s="67" t="n">
        <f aca="false">AH77</f>
        <v>2658956.70415512</v>
      </c>
      <c r="AJ76" s="67" t="n">
        <f aca="false">AI77</f>
        <v>2791864.68373927</v>
      </c>
      <c r="AK76" s="67" t="n">
        <f aca="false">AJ77</f>
        <v>2924790.21887898</v>
      </c>
      <c r="AL76" s="67" t="n">
        <f aca="false">AK77</f>
        <v>3057733.30957424</v>
      </c>
      <c r="AM76" s="67" t="n">
        <f aca="false">AL77</f>
        <v>3190693.95582506</v>
      </c>
      <c r="AN76" s="67" t="n">
        <f aca="false">AM77</f>
        <v>3147372.82129951</v>
      </c>
      <c r="AO76" s="67" t="n">
        <f aca="false">AN77</f>
        <v>3331561.81691799</v>
      </c>
      <c r="AP76" s="67" t="n">
        <f aca="false">AO77</f>
        <v>3515768.36809202</v>
      </c>
      <c r="AQ76" s="67" t="n">
        <f aca="false">AP77</f>
        <v>3699992.47482161</v>
      </c>
      <c r="AR76" s="67" t="n">
        <f aca="false">AQ77</f>
        <v>3884234.13710676</v>
      </c>
      <c r="AS76" s="67" t="n">
        <f aca="false">AR77</f>
        <v>4068493.35494746</v>
      </c>
      <c r="AT76" s="67" t="n">
        <f aca="false">AS77</f>
        <v>4252770.12834372</v>
      </c>
      <c r="AU76" s="67" t="n">
        <f aca="false">AT77</f>
        <v>4437064.45729553</v>
      </c>
      <c r="AV76" s="67" t="n">
        <f aca="false">AU77</f>
        <v>4621376.3418029</v>
      </c>
      <c r="AW76" s="67" t="n">
        <f aca="false">AV77</f>
        <v>4805705.78186582</v>
      </c>
      <c r="AX76" s="67" t="n">
        <f aca="false">AW77</f>
        <v>4990052.7774843</v>
      </c>
      <c r="AY76" s="67" t="n">
        <f aca="false">AX77</f>
        <v>5174417.32865833</v>
      </c>
      <c r="AZ76" s="67" t="n">
        <f aca="false">AY77</f>
        <v>5129291.34083171</v>
      </c>
      <c r="BA76" s="67" t="n">
        <f aca="false">AZ77</f>
        <v>5381825.80780108</v>
      </c>
      <c r="BB76" s="67" t="n">
        <f aca="false">BA77</f>
        <v>5634377.83032601</v>
      </c>
      <c r="BC76" s="67" t="n">
        <f aca="false">BB77</f>
        <v>5886947.40840649</v>
      </c>
      <c r="BD76" s="67" t="n">
        <f aca="false">BC77</f>
        <v>6139534.54204252</v>
      </c>
      <c r="BE76" s="67" t="n">
        <f aca="false">BD77</f>
        <v>6392139.23123412</v>
      </c>
      <c r="BF76" s="67" t="n">
        <f aca="false">BE77</f>
        <v>6644761.47598126</v>
      </c>
      <c r="BG76" s="67" t="n">
        <f aca="false">BF77</f>
        <v>6897401.27628397</v>
      </c>
      <c r="BH76" s="67" t="n">
        <f aca="false">BG77</f>
        <v>7150058.63214223</v>
      </c>
      <c r="BI76" s="67" t="n">
        <f aca="false">BH77</f>
        <v>7402733.54355604</v>
      </c>
      <c r="BJ76" s="67" t="n">
        <f aca="false">BI77</f>
        <v>7655426.01052541</v>
      </c>
    </row>
    <row r="77" customFormat="false" ht="15" hidden="false" customHeight="false" outlineLevel="0" collapsed="false">
      <c r="A77" s="113" t="s">
        <v>87</v>
      </c>
      <c r="C77" s="68" t="n">
        <f aca="false">C76+C75</f>
        <v>57680.3174666667</v>
      </c>
      <c r="D77" s="68" t="n">
        <f aca="false">D76+D75</f>
        <v>122677.339377778</v>
      </c>
      <c r="E77" s="68" t="n">
        <f aca="false">E76+E75</f>
        <v>187691.916844444</v>
      </c>
      <c r="F77" s="68" t="n">
        <f aca="false">F76+F75</f>
        <v>252724.049866667</v>
      </c>
      <c r="G77" s="68" t="n">
        <f aca="false">G76+G75</f>
        <v>317773.738444444</v>
      </c>
      <c r="H77" s="68" t="n">
        <f aca="false">H76+H75</f>
        <v>382840.982577778</v>
      </c>
      <c r="I77" s="68" t="n">
        <f aca="false">I76+I75</f>
        <v>447925.782266667</v>
      </c>
      <c r="J77" s="68" t="n">
        <f aca="false">J76+J75</f>
        <v>513028.137511111</v>
      </c>
      <c r="K77" s="68" t="n">
        <f aca="false">K76+K75</f>
        <v>578148.048311111</v>
      </c>
      <c r="L77" s="68" t="n">
        <f aca="false">L76+L75</f>
        <v>643285.514666667</v>
      </c>
      <c r="M77" s="68" t="n">
        <f aca="false">M76+M75</f>
        <v>708440.536577778</v>
      </c>
      <c r="N77" s="68" t="n">
        <f aca="false">N76+N75</f>
        <v>773613.114044444</v>
      </c>
      <c r="O77" s="68" t="n">
        <f aca="false">O76+O75</f>
        <v>734268.570649467</v>
      </c>
      <c r="P77" s="68" t="n">
        <f aca="false">P76+P75</f>
        <v>828377.604470045</v>
      </c>
      <c r="Q77" s="68" t="n">
        <f aca="false">Q76+Q75</f>
        <v>922504.193846178</v>
      </c>
      <c r="R77" s="68" t="n">
        <f aca="false">R76+R75</f>
        <v>1016648.33877787</v>
      </c>
      <c r="S77" s="68" t="n">
        <f aca="false">S76+S75</f>
        <v>1110810.03926511</v>
      </c>
      <c r="T77" s="68" t="n">
        <f aca="false">T76+T75</f>
        <v>1204989.29530791</v>
      </c>
      <c r="U77" s="68" t="n">
        <f aca="false">U76+U75</f>
        <v>1299186.10690627</v>
      </c>
      <c r="V77" s="68" t="n">
        <f aca="false">V76+V75</f>
        <v>1393400.47406018</v>
      </c>
      <c r="W77" s="68" t="n">
        <f aca="false">W76+W75</f>
        <v>1487632.39676965</v>
      </c>
      <c r="X77" s="68" t="n">
        <f aca="false">X76+X75</f>
        <v>1581881.87503467</v>
      </c>
      <c r="Y77" s="68" t="n">
        <f aca="false">Y76+Y75</f>
        <v>1676148.90885525</v>
      </c>
      <c r="Z77" s="68" t="n">
        <f aca="false">Z76+Z75</f>
        <v>1770433.49823138</v>
      </c>
      <c r="AA77" s="68" t="n">
        <f aca="false">AA76+AA75</f>
        <v>1729092.40262163</v>
      </c>
      <c r="AB77" s="68" t="n">
        <f aca="false">AB76+AB75</f>
        <v>1861877.49331689</v>
      </c>
      <c r="AC77" s="68" t="n">
        <f aca="false">AC76+AC75</f>
        <v>1994680.1395677</v>
      </c>
      <c r="AD77" s="68" t="n">
        <f aca="false">AD76+AD75</f>
        <v>2127500.34137408</v>
      </c>
      <c r="AE77" s="68" t="n">
        <f aca="false">AE76+AE75</f>
        <v>2260338.098736</v>
      </c>
      <c r="AF77" s="68" t="n">
        <f aca="false">AF76+AF75</f>
        <v>2393193.41165349</v>
      </c>
      <c r="AG77" s="68" t="n">
        <f aca="false">AG76+AG75</f>
        <v>2526066.28012653</v>
      </c>
      <c r="AH77" s="68" t="n">
        <f aca="false">AH76+AH75</f>
        <v>2658956.70415512</v>
      </c>
      <c r="AI77" s="68" t="n">
        <f aca="false">AI76+AI75</f>
        <v>2791864.68373927</v>
      </c>
      <c r="AJ77" s="68" t="n">
        <f aca="false">AJ76+AJ75</f>
        <v>2924790.21887898</v>
      </c>
      <c r="AK77" s="68" t="n">
        <f aca="false">AK76+AK75</f>
        <v>3057733.30957424</v>
      </c>
      <c r="AL77" s="68" t="n">
        <f aca="false">AL76+AL75</f>
        <v>3190693.95582506</v>
      </c>
      <c r="AM77" s="68" t="n">
        <f aca="false">AM76+AM75</f>
        <v>3147372.82129951</v>
      </c>
      <c r="AN77" s="68" t="n">
        <f aca="false">AN76+AN75</f>
        <v>3331561.81691799</v>
      </c>
      <c r="AO77" s="68" t="n">
        <f aca="false">AO76+AO75</f>
        <v>3515768.36809202</v>
      </c>
      <c r="AP77" s="68" t="n">
        <f aca="false">AP76+AP75</f>
        <v>3699992.47482161</v>
      </c>
      <c r="AQ77" s="68" t="n">
        <f aca="false">AQ76+AQ75</f>
        <v>3884234.13710676</v>
      </c>
      <c r="AR77" s="68" t="n">
        <f aca="false">AR76+AR75</f>
        <v>4068493.35494746</v>
      </c>
      <c r="AS77" s="68" t="n">
        <f aca="false">AS76+AS75</f>
        <v>4252770.12834372</v>
      </c>
      <c r="AT77" s="68" t="n">
        <f aca="false">AT76+AT75</f>
        <v>4437064.45729553</v>
      </c>
      <c r="AU77" s="68" t="n">
        <f aca="false">AU76+AU75</f>
        <v>4621376.3418029</v>
      </c>
      <c r="AV77" s="68" t="n">
        <f aca="false">AV76+AV75</f>
        <v>4805705.78186582</v>
      </c>
      <c r="AW77" s="68" t="n">
        <f aca="false">AW76+AW75</f>
        <v>4990052.7774843</v>
      </c>
      <c r="AX77" s="68" t="n">
        <f aca="false">AX76+AX75</f>
        <v>5174417.32865833</v>
      </c>
      <c r="AY77" s="68" t="n">
        <f aca="false">AY76+AY75</f>
        <v>5129291.34083171</v>
      </c>
      <c r="AZ77" s="68" t="n">
        <f aca="false">AZ76+AZ75</f>
        <v>5381825.80780108</v>
      </c>
      <c r="BA77" s="68" t="n">
        <f aca="false">BA76+BA75</f>
        <v>5634377.83032601</v>
      </c>
      <c r="BB77" s="68" t="n">
        <f aca="false">BB76+BB75</f>
        <v>5886947.40840649</v>
      </c>
      <c r="BC77" s="68" t="n">
        <f aca="false">BC76+BC75</f>
        <v>6139534.54204252</v>
      </c>
      <c r="BD77" s="68" t="n">
        <f aca="false">BD76+BD75</f>
        <v>6392139.23123412</v>
      </c>
      <c r="BE77" s="68" t="n">
        <f aca="false">BE76+BE75</f>
        <v>6644761.47598126</v>
      </c>
      <c r="BF77" s="68" t="n">
        <f aca="false">BF76+BF75</f>
        <v>6897401.27628397</v>
      </c>
      <c r="BG77" s="68" t="n">
        <f aca="false">BG76+BG75</f>
        <v>7150058.63214223</v>
      </c>
      <c r="BH77" s="68" t="n">
        <f aca="false">BH76+BH75</f>
        <v>7402733.54355604</v>
      </c>
      <c r="BI77" s="68" t="n">
        <f aca="false">BI76+BI75</f>
        <v>7655426.01052541</v>
      </c>
      <c r="BJ77" s="68" t="n">
        <f aca="false">BJ76+BJ75</f>
        <v>7908136.03305034</v>
      </c>
    </row>
    <row r="78" customFormat="false" ht="15" hidden="false" customHeight="false" outlineLevel="0" collapsed="false">
      <c r="A78" s="120" t="s">
        <v>425</v>
      </c>
      <c r="C78" s="117" t="n">
        <f aca="false">IF(C38&gt;0,1,0)</f>
        <v>1</v>
      </c>
      <c r="D78" s="117" t="n">
        <f aca="false">IF(D38&gt;0,1,0)</f>
        <v>1</v>
      </c>
      <c r="E78" s="117" t="n">
        <f aca="false">IF(E38&gt;0,1,0)</f>
        <v>1</v>
      </c>
      <c r="F78" s="117" t="n">
        <f aca="false">IF(F38&gt;0,1,0)</f>
        <v>1</v>
      </c>
      <c r="G78" s="117" t="n">
        <f aca="false">IF(G38&gt;0,1,0)</f>
        <v>1</v>
      </c>
      <c r="H78" s="117" t="n">
        <f aca="false">IF(H38&gt;0,1,0)</f>
        <v>1</v>
      </c>
      <c r="I78" s="117" t="n">
        <f aca="false">IF(I38&gt;0,1,0)</f>
        <v>1</v>
      </c>
      <c r="J78" s="117" t="n">
        <f aca="false">IF(J38&gt;0,1,0)</f>
        <v>1</v>
      </c>
      <c r="K78" s="117" t="n">
        <f aca="false">IF(K38&gt;0,1,0)</f>
        <v>1</v>
      </c>
      <c r="L78" s="117" t="n">
        <f aca="false">IF(L38&gt;0,1,0)</f>
        <v>1</v>
      </c>
      <c r="M78" s="117" t="n">
        <f aca="false">IF(M38&gt;0,1,0)</f>
        <v>1</v>
      </c>
      <c r="N78" s="117" t="n">
        <f aca="false">IF(N38&gt;0,1,0)</f>
        <v>1</v>
      </c>
      <c r="O78" s="117" t="n">
        <f aca="false">IF(O38&gt;0,1,0)</f>
        <v>1</v>
      </c>
      <c r="P78" s="117" t="n">
        <f aca="false">IF(P38&gt;0,1,0)</f>
        <v>1</v>
      </c>
      <c r="Q78" s="117" t="n">
        <f aca="false">IF(Q38&gt;0,1,0)</f>
        <v>1</v>
      </c>
      <c r="R78" s="117" t="n">
        <f aca="false">IF(R38&gt;0,1,0)</f>
        <v>1</v>
      </c>
      <c r="S78" s="117" t="n">
        <f aca="false">IF(S38&gt;0,1,0)</f>
        <v>1</v>
      </c>
      <c r="T78" s="117" t="n">
        <f aca="false">IF(T38&gt;0,1,0)</f>
        <v>1</v>
      </c>
      <c r="U78" s="117" t="n">
        <f aca="false">IF(U38&gt;0,1,0)</f>
        <v>1</v>
      </c>
      <c r="V78" s="117" t="n">
        <f aca="false">IF(V38&gt;0,1,0)</f>
        <v>1</v>
      </c>
      <c r="W78" s="117" t="n">
        <f aca="false">IF(W38&gt;0,1,0)</f>
        <v>1</v>
      </c>
      <c r="X78" s="117" t="n">
        <f aca="false">IF(X38&gt;0,1,0)</f>
        <v>1</v>
      </c>
      <c r="Y78" s="117" t="n">
        <f aca="false">IF(Y38&gt;0,1,0)</f>
        <v>1</v>
      </c>
      <c r="Z78" s="117" t="n">
        <f aca="false">IF(Z38&gt;0,1,0)</f>
        <v>1</v>
      </c>
      <c r="AA78" s="117" t="n">
        <f aca="false">IF(AA38&gt;0,1,0)</f>
        <v>1</v>
      </c>
      <c r="AB78" s="117" t="n">
        <f aca="false">IF(AB38&gt;0,1,0)</f>
        <v>1</v>
      </c>
      <c r="AC78" s="117" t="n">
        <f aca="false">IF(AC38&gt;0,1,0)</f>
        <v>1</v>
      </c>
      <c r="AD78" s="117" t="n">
        <f aca="false">IF(AD38&gt;0,1,0)</f>
        <v>1</v>
      </c>
      <c r="AE78" s="117" t="n">
        <f aca="false">IF(AE38&gt;0,1,0)</f>
        <v>1</v>
      </c>
      <c r="AF78" s="117" t="n">
        <f aca="false">IF(AF38&gt;0,1,0)</f>
        <v>1</v>
      </c>
      <c r="AG78" s="117" t="n">
        <f aca="false">IF(AG38&gt;0,1,0)</f>
        <v>1</v>
      </c>
      <c r="AH78" s="117" t="n">
        <f aca="false">IF(AH38&gt;0,1,0)</f>
        <v>1</v>
      </c>
      <c r="AI78" s="117" t="n">
        <f aca="false">IF(AI38&gt;0,1,0)</f>
        <v>1</v>
      </c>
      <c r="AJ78" s="117" t="n">
        <f aca="false">IF(AJ38&gt;0,1,0)</f>
        <v>1</v>
      </c>
      <c r="AK78" s="117" t="n">
        <f aca="false">IF(AK38&gt;0,1,0)</f>
        <v>1</v>
      </c>
      <c r="AL78" s="117" t="n">
        <f aca="false">IF(AL38&gt;0,1,0)</f>
        <v>1</v>
      </c>
      <c r="AM78" s="117" t="n">
        <f aca="false">IF(AM38&gt;0,1,0)</f>
        <v>1</v>
      </c>
      <c r="AN78" s="117" t="n">
        <f aca="false">IF(AN38&gt;0,1,0)</f>
        <v>1</v>
      </c>
      <c r="AO78" s="117" t="n">
        <f aca="false">IF(AO38&gt;0,1,0)</f>
        <v>1</v>
      </c>
      <c r="AP78" s="117" t="n">
        <f aca="false">IF(AP38&gt;0,1,0)</f>
        <v>1</v>
      </c>
      <c r="AQ78" s="117" t="n">
        <f aca="false">IF(AQ38&gt;0,1,0)</f>
        <v>1</v>
      </c>
      <c r="AR78" s="117" t="n">
        <f aca="false">IF(AR38&gt;0,1,0)</f>
        <v>1</v>
      </c>
      <c r="AS78" s="117" t="n">
        <f aca="false">IF(AS38&gt;0,1,0)</f>
        <v>1</v>
      </c>
      <c r="AT78" s="117" t="n">
        <f aca="false">IF(AT38&gt;0,1,0)</f>
        <v>1</v>
      </c>
      <c r="AU78" s="117" t="n">
        <f aca="false">IF(AU38&gt;0,1,0)</f>
        <v>1</v>
      </c>
      <c r="AV78" s="117" t="n">
        <f aca="false">IF(AV38&gt;0,1,0)</f>
        <v>1</v>
      </c>
      <c r="AW78" s="117" t="n">
        <f aca="false">IF(AW38&gt;0,1,0)</f>
        <v>1</v>
      </c>
      <c r="AX78" s="117" t="n">
        <f aca="false">IF(AX38&gt;0,1,0)</f>
        <v>1</v>
      </c>
      <c r="AY78" s="117" t="n">
        <f aca="false">IF(AY38&gt;0,1,0)</f>
        <v>1</v>
      </c>
      <c r="AZ78" s="117" t="n">
        <f aca="false">IF(AZ38&gt;0,1,0)</f>
        <v>1</v>
      </c>
      <c r="BA78" s="117" t="n">
        <f aca="false">IF(BA38&gt;0,1,0)</f>
        <v>1</v>
      </c>
      <c r="BB78" s="117" t="n">
        <f aca="false">IF(BB38&gt;0,1,0)</f>
        <v>1</v>
      </c>
      <c r="BC78" s="117" t="n">
        <f aca="false">IF(BC38&gt;0,1,0)</f>
        <v>1</v>
      </c>
      <c r="BD78" s="117" t="n">
        <f aca="false">IF(BD38&gt;0,1,0)</f>
        <v>1</v>
      </c>
      <c r="BE78" s="117" t="n">
        <f aca="false">IF(BE38&gt;0,1,0)</f>
        <v>1</v>
      </c>
      <c r="BF78" s="117" t="n">
        <f aca="false">IF(BF38&gt;0,1,0)</f>
        <v>1</v>
      </c>
      <c r="BG78" s="117" t="n">
        <f aca="false">IF(BG38&gt;0,1,0)</f>
        <v>1</v>
      </c>
      <c r="BH78" s="117" t="n">
        <f aca="false">IF(BH38&gt;0,1,0)</f>
        <v>1</v>
      </c>
      <c r="BI78" s="117" t="n">
        <f aca="false">IF(BI38&gt;0,1,0)</f>
        <v>1</v>
      </c>
      <c r="BJ78" s="117" t="n">
        <f aca="false">IF(BJ38&gt;0,1,0)</f>
        <v>1</v>
      </c>
    </row>
    <row r="80" customFormat="false" ht="15.75" hidden="false" customHeight="true" outlineLevel="0" collapsed="false">
      <c r="A80" s="7" t="s">
        <v>426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customFormat="false" ht="15" hidden="false" customHeight="false" outlineLevel="0" collapsed="false">
      <c r="A81" s="120" t="s">
        <v>427</v>
      </c>
      <c r="C81" s="117" t="n">
        <f aca="false">IF(C47&gt;0,1,0)</f>
        <v>1</v>
      </c>
      <c r="D81" s="117" t="n">
        <f aca="false">IF(D47&gt;0,1,0)</f>
        <v>1</v>
      </c>
      <c r="E81" s="117" t="n">
        <f aca="false">IF(E47&gt;0,1,0)</f>
        <v>1</v>
      </c>
      <c r="F81" s="117" t="n">
        <f aca="false">IF(F47&gt;0,1,0)</f>
        <v>1</v>
      </c>
      <c r="G81" s="117" t="n">
        <f aca="false">IF(G47&gt;0,1,0)</f>
        <v>1</v>
      </c>
      <c r="H81" s="117" t="n">
        <f aca="false">IF(H47&gt;0,1,0)</f>
        <v>1</v>
      </c>
      <c r="I81" s="117" t="n">
        <f aca="false">IF(I47&gt;0,1,0)</f>
        <v>1</v>
      </c>
      <c r="J81" s="117" t="n">
        <f aca="false">IF(J47&gt;0,1,0)</f>
        <v>1</v>
      </c>
      <c r="K81" s="117" t="n">
        <f aca="false">IF(K47&gt;0,1,0)</f>
        <v>1</v>
      </c>
      <c r="L81" s="117" t="n">
        <f aca="false">IF(L47&gt;0,1,0)</f>
        <v>1</v>
      </c>
      <c r="M81" s="117" t="n">
        <f aca="false">IF(M47&gt;0,1,0)</f>
        <v>1</v>
      </c>
      <c r="N81" s="117" t="n">
        <f aca="false">IF(N47&gt;0,1,0)</f>
        <v>1</v>
      </c>
      <c r="O81" s="117" t="n">
        <f aca="false">IF(O47&gt;0,1,0)</f>
        <v>1</v>
      </c>
      <c r="P81" s="117" t="n">
        <f aca="false">IF(P47&gt;0,1,0)</f>
        <v>1</v>
      </c>
      <c r="Q81" s="117" t="n">
        <f aca="false">IF(Q47&gt;0,1,0)</f>
        <v>1</v>
      </c>
      <c r="R81" s="117" t="n">
        <f aca="false">IF(R47&gt;0,1,0)</f>
        <v>1</v>
      </c>
      <c r="S81" s="117" t="n">
        <f aca="false">IF(S47&gt;0,1,0)</f>
        <v>1</v>
      </c>
      <c r="T81" s="117" t="n">
        <f aca="false">IF(T47&gt;0,1,0)</f>
        <v>1</v>
      </c>
      <c r="U81" s="117" t="n">
        <f aca="false">IF(U47&gt;0,1,0)</f>
        <v>1</v>
      </c>
      <c r="V81" s="117" t="n">
        <f aca="false">IF(V47&gt;0,1,0)</f>
        <v>1</v>
      </c>
      <c r="W81" s="117" t="n">
        <f aca="false">IF(W47&gt;0,1,0)</f>
        <v>1</v>
      </c>
      <c r="X81" s="117" t="n">
        <f aca="false">IF(X47&gt;0,1,0)</f>
        <v>1</v>
      </c>
      <c r="Y81" s="117" t="n">
        <f aca="false">IF(Y47&gt;0,1,0)</f>
        <v>1</v>
      </c>
      <c r="Z81" s="117" t="n">
        <f aca="false">IF(Z47&gt;0,1,0)</f>
        <v>1</v>
      </c>
      <c r="AA81" s="117" t="n">
        <f aca="false">IF(AA47&gt;0,1,0)</f>
        <v>1</v>
      </c>
      <c r="AB81" s="117" t="n">
        <f aca="false">IF(AB47&gt;0,1,0)</f>
        <v>1</v>
      </c>
      <c r="AC81" s="117" t="n">
        <f aca="false">IF(AC47&gt;0,1,0)</f>
        <v>1</v>
      </c>
      <c r="AD81" s="117" t="n">
        <f aca="false">IF(AD47&gt;0,1,0)</f>
        <v>1</v>
      </c>
      <c r="AE81" s="117" t="n">
        <f aca="false">IF(AE47&gt;0,1,0)</f>
        <v>1</v>
      </c>
      <c r="AF81" s="117" t="n">
        <f aca="false">IF(AF47&gt;0,1,0)</f>
        <v>1</v>
      </c>
      <c r="AG81" s="117" t="n">
        <f aca="false">IF(AG47&gt;0,1,0)</f>
        <v>1</v>
      </c>
      <c r="AH81" s="117" t="n">
        <f aca="false">IF(AH47&gt;0,1,0)</f>
        <v>1</v>
      </c>
      <c r="AI81" s="117" t="n">
        <f aca="false">IF(AI47&gt;0,1,0)</f>
        <v>1</v>
      </c>
      <c r="AJ81" s="117" t="n">
        <f aca="false">IF(AJ47&gt;0,1,0)</f>
        <v>1</v>
      </c>
      <c r="AK81" s="117" t="n">
        <f aca="false">IF(AK47&gt;0,1,0)</f>
        <v>1</v>
      </c>
      <c r="AL81" s="117" t="n">
        <f aca="false">IF(AL47&gt;0,1,0)</f>
        <v>1</v>
      </c>
      <c r="AM81" s="117" t="n">
        <f aca="false">IF(AM47&gt;0,1,0)</f>
        <v>1</v>
      </c>
      <c r="AN81" s="117" t="n">
        <f aca="false">IF(AN47&gt;0,1,0)</f>
        <v>1</v>
      </c>
      <c r="AO81" s="117" t="n">
        <f aca="false">IF(AO47&gt;0,1,0)</f>
        <v>1</v>
      </c>
      <c r="AP81" s="117" t="n">
        <f aca="false">IF(AP47&gt;0,1,0)</f>
        <v>1</v>
      </c>
      <c r="AQ81" s="117" t="n">
        <f aca="false">IF(AQ47&gt;0,1,0)</f>
        <v>1</v>
      </c>
      <c r="AR81" s="117" t="n">
        <f aca="false">IF(AR47&gt;0,1,0)</f>
        <v>1</v>
      </c>
      <c r="AS81" s="117" t="n">
        <f aca="false">IF(AS47&gt;0,1,0)</f>
        <v>1</v>
      </c>
      <c r="AT81" s="117" t="n">
        <f aca="false">IF(AT47&gt;0,1,0)</f>
        <v>1</v>
      </c>
      <c r="AU81" s="117" t="n">
        <f aca="false">IF(AU47&gt;0,1,0)</f>
        <v>1</v>
      </c>
      <c r="AV81" s="117" t="n">
        <f aca="false">IF(AV47&gt;0,1,0)</f>
        <v>1</v>
      </c>
      <c r="AW81" s="117" t="n">
        <f aca="false">IF(AW47&gt;0,1,0)</f>
        <v>1</v>
      </c>
      <c r="AX81" s="117" t="n">
        <f aca="false">IF(AX47&gt;0,1,0)</f>
        <v>1</v>
      </c>
      <c r="AY81" s="117" t="n">
        <f aca="false">IF(AY47&gt;0,1,0)</f>
        <v>1</v>
      </c>
      <c r="AZ81" s="117" t="n">
        <f aca="false">IF(AZ47&gt;0,1,0)</f>
        <v>1</v>
      </c>
      <c r="BA81" s="117" t="n">
        <f aca="false">IF(BA47&gt;0,1,0)</f>
        <v>1</v>
      </c>
      <c r="BB81" s="117" t="n">
        <f aca="false">IF(BB47&gt;0,1,0)</f>
        <v>1</v>
      </c>
      <c r="BC81" s="117" t="n">
        <f aca="false">IF(BC47&gt;0,1,0)</f>
        <v>1</v>
      </c>
      <c r="BD81" s="117" t="n">
        <f aca="false">IF(BD47&gt;0,1,0)</f>
        <v>1</v>
      </c>
      <c r="BE81" s="117" t="n">
        <f aca="false">IF(BE47&gt;0,1,0)</f>
        <v>1</v>
      </c>
      <c r="BF81" s="117" t="n">
        <f aca="false">IF(BF47&gt;0,1,0)</f>
        <v>1</v>
      </c>
      <c r="BG81" s="117" t="n">
        <f aca="false">IF(BG47&gt;0,1,0)</f>
        <v>1</v>
      </c>
      <c r="BH81" s="117" t="n">
        <f aca="false">IF(BH47&gt;0,1,0)</f>
        <v>1</v>
      </c>
      <c r="BI81" s="117" t="n">
        <f aca="false">IF(BI47&gt;0,1,0)</f>
        <v>1</v>
      </c>
      <c r="BJ81" s="117" t="n">
        <f aca="false">IF(BJ47&gt;0,1,0)</f>
        <v>1</v>
      </c>
    </row>
    <row r="82" customFormat="false" ht="15" hidden="false" customHeight="false" outlineLevel="0" collapsed="false">
      <c r="A82" s="6" t="s">
        <v>428</v>
      </c>
      <c r="C82" s="67" t="n">
        <f aca="false">C71+C72</f>
        <v>-442319.682533333</v>
      </c>
      <c r="D82" s="67" t="n">
        <f aca="false">D71+D72</f>
        <v>68330.3552444445</v>
      </c>
      <c r="E82" s="67" t="n">
        <f aca="false">E71+E72</f>
        <v>68347.9108</v>
      </c>
      <c r="F82" s="67" t="n">
        <f aca="false">F71+F72</f>
        <v>68365.4663555556</v>
      </c>
      <c r="G82" s="67" t="n">
        <f aca="false">G71+G72</f>
        <v>68383.0219111111</v>
      </c>
      <c r="H82" s="67" t="n">
        <f aca="false">H71+H72</f>
        <v>68400.5774666667</v>
      </c>
      <c r="I82" s="67" t="n">
        <f aca="false">I71+I72</f>
        <v>68418.1330222222</v>
      </c>
      <c r="J82" s="67" t="n">
        <f aca="false">J71+J72</f>
        <v>68435.6885777778</v>
      </c>
      <c r="K82" s="67" t="n">
        <f aca="false">K71+K72</f>
        <v>68453.2441333333</v>
      </c>
      <c r="L82" s="67" t="n">
        <f aca="false">L71+L72</f>
        <v>68470.7996888889</v>
      </c>
      <c r="M82" s="67" t="n">
        <f aca="false">M71+M72</f>
        <v>68488.3552444444</v>
      </c>
      <c r="N82" s="67" t="n">
        <f aca="false">N71+N72</f>
        <v>68505.9108</v>
      </c>
      <c r="O82" s="67" t="n">
        <f aca="false">O71+O72</f>
        <v>-36011.2100616446</v>
      </c>
      <c r="P82" s="67" t="n">
        <f aca="false">P71+P72</f>
        <v>97442.3671539113</v>
      </c>
      <c r="Q82" s="67" t="n">
        <f aca="false">Q71+Q72</f>
        <v>97459.9227094669</v>
      </c>
      <c r="R82" s="67" t="n">
        <f aca="false">R71+R72</f>
        <v>97477.4782650224</v>
      </c>
      <c r="S82" s="67" t="n">
        <f aca="false">S71+S72</f>
        <v>97495.033820578</v>
      </c>
      <c r="T82" s="67" t="n">
        <f aca="false">T71+T72</f>
        <v>97512.5893761335</v>
      </c>
      <c r="U82" s="67" t="n">
        <f aca="false">U71+U72</f>
        <v>97530.1449316891</v>
      </c>
      <c r="V82" s="67" t="n">
        <f aca="false">V71+V72</f>
        <v>97547.7004872446</v>
      </c>
      <c r="W82" s="67" t="n">
        <f aca="false">W71+W72</f>
        <v>97565.2560428002</v>
      </c>
      <c r="X82" s="67" t="n">
        <f aca="false">X71+X72</f>
        <v>97582.8115983558</v>
      </c>
      <c r="Y82" s="67" t="n">
        <f aca="false">Y71+Y72</f>
        <v>97600.3671539113</v>
      </c>
      <c r="Z82" s="67" t="n">
        <f aca="false">Z71+Z72</f>
        <v>97617.9227094669</v>
      </c>
      <c r="AA82" s="67" t="n">
        <f aca="false">AA71+AA72</f>
        <v>-38007.7622764207</v>
      </c>
      <c r="AB82" s="67" t="n">
        <f aca="false">AB71+AB72</f>
        <v>136118.424028595</v>
      </c>
      <c r="AC82" s="67" t="n">
        <f aca="false">AC71+AC72</f>
        <v>136135.97958415</v>
      </c>
      <c r="AD82" s="67" t="n">
        <f aca="false">AD71+AD72</f>
        <v>136153.535139706</v>
      </c>
      <c r="AE82" s="67" t="n">
        <f aca="false">AE71+AE72</f>
        <v>136171.090695261</v>
      </c>
      <c r="AF82" s="67" t="n">
        <f aca="false">AF71+AF72</f>
        <v>136188.646250817</v>
      </c>
      <c r="AG82" s="67" t="n">
        <f aca="false">AG71+AG72</f>
        <v>136206.201806372</v>
      </c>
      <c r="AH82" s="67" t="n">
        <f aca="false">AH71+AH72</f>
        <v>136223.757361928</v>
      </c>
      <c r="AI82" s="67" t="n">
        <f aca="false">AI71+AI72</f>
        <v>136241.312917484</v>
      </c>
      <c r="AJ82" s="67" t="n">
        <f aca="false">AJ71+AJ72</f>
        <v>136258.868473039</v>
      </c>
      <c r="AK82" s="67" t="n">
        <f aca="false">AK71+AK72</f>
        <v>136276.424028595</v>
      </c>
      <c r="AL82" s="67" t="n">
        <f aca="false">AL71+AL72</f>
        <v>136293.97958415</v>
      </c>
      <c r="AM82" s="67" t="n">
        <f aca="false">AM71+AM72</f>
        <v>-39987.8011922158</v>
      </c>
      <c r="AN82" s="67" t="n">
        <f aca="false">AN71+AN72</f>
        <v>187522.328951813</v>
      </c>
      <c r="AO82" s="67" t="n">
        <f aca="false">AO71+AO72</f>
        <v>187539.884507368</v>
      </c>
      <c r="AP82" s="67" t="n">
        <f aca="false">AP71+AP72</f>
        <v>187557.440062924</v>
      </c>
      <c r="AQ82" s="67" t="n">
        <f aca="false">AQ71+AQ72</f>
        <v>187574.995618479</v>
      </c>
      <c r="AR82" s="67" t="n">
        <f aca="false">AR71+AR72</f>
        <v>187592.551174035</v>
      </c>
      <c r="AS82" s="67" t="n">
        <f aca="false">AS71+AS72</f>
        <v>187610.10672959</v>
      </c>
      <c r="AT82" s="67" t="n">
        <f aca="false">AT71+AT72</f>
        <v>187627.662285146</v>
      </c>
      <c r="AU82" s="67" t="n">
        <f aca="false">AU71+AU72</f>
        <v>187645.217840702</v>
      </c>
      <c r="AV82" s="67" t="n">
        <f aca="false">AV71+AV72</f>
        <v>187662.773396257</v>
      </c>
      <c r="AW82" s="67" t="n">
        <f aca="false">AW71+AW72</f>
        <v>187680.328951813</v>
      </c>
      <c r="AX82" s="67" t="n">
        <f aca="false">AX71+AX72</f>
        <v>187697.884507368</v>
      </c>
      <c r="AY82" s="67" t="n">
        <f aca="false">AY71+AY72</f>
        <v>-41792.6544932909</v>
      </c>
      <c r="AZ82" s="67" t="n">
        <f aca="false">AZ71+AZ72</f>
        <v>255867.800302703</v>
      </c>
      <c r="BA82" s="67" t="n">
        <f aca="false">BA71+BA72</f>
        <v>255885.355858259</v>
      </c>
      <c r="BB82" s="67" t="n">
        <f aca="false">BB71+BB72</f>
        <v>255902.911413815</v>
      </c>
      <c r="BC82" s="67" t="n">
        <f aca="false">BC71+BC72</f>
        <v>255920.46696937</v>
      </c>
      <c r="BD82" s="67" t="n">
        <f aca="false">BD71+BD72</f>
        <v>255938.022524926</v>
      </c>
      <c r="BE82" s="67" t="n">
        <f aca="false">BE71+BE72</f>
        <v>255955.578080481</v>
      </c>
      <c r="BF82" s="67" t="n">
        <f aca="false">BF71+BF72</f>
        <v>255973.133636037</v>
      </c>
      <c r="BG82" s="67" t="n">
        <f aca="false">BG71+BG72</f>
        <v>255990.689191592</v>
      </c>
      <c r="BH82" s="67" t="n">
        <f aca="false">BH71+BH72</f>
        <v>256008.244747148</v>
      </c>
      <c r="BI82" s="67" t="n">
        <f aca="false">BI71+BI72</f>
        <v>256025.800302704</v>
      </c>
      <c r="BJ82" s="67" t="n">
        <f aca="false">BJ71+BJ72</f>
        <v>256043.355858259</v>
      </c>
    </row>
    <row r="83" customFormat="false" ht="15" hidden="false" customHeight="false" outlineLevel="0" collapsed="false">
      <c r="A83" s="6" t="s">
        <v>429</v>
      </c>
      <c r="C83" s="67" t="n">
        <f aca="false">C82</f>
        <v>-442319.682533333</v>
      </c>
      <c r="D83" s="67" t="n">
        <f aca="false">C83+D82</f>
        <v>-373989.327288889</v>
      </c>
      <c r="E83" s="67" t="n">
        <f aca="false">D83+E82</f>
        <v>-305641.416488889</v>
      </c>
      <c r="F83" s="67" t="n">
        <f aca="false">E83+F82</f>
        <v>-237275.950133333</v>
      </c>
      <c r="G83" s="67" t="n">
        <f aca="false">F83+G82</f>
        <v>-168892.928222222</v>
      </c>
      <c r="H83" s="67" t="n">
        <f aca="false">G83+H82</f>
        <v>-100492.350755556</v>
      </c>
      <c r="I83" s="67" t="n">
        <f aca="false">H83+I82</f>
        <v>-32074.2177333333</v>
      </c>
      <c r="J83" s="67" t="n">
        <f aca="false">I83+J82</f>
        <v>36361.4708444445</v>
      </c>
      <c r="K83" s="67" t="n">
        <f aca="false">J83+K82</f>
        <v>104814.714977778</v>
      </c>
      <c r="L83" s="67" t="n">
        <f aca="false">K83+L82</f>
        <v>173285.514666667</v>
      </c>
      <c r="M83" s="67" t="n">
        <f aca="false">L83+M82</f>
        <v>241773.869911111</v>
      </c>
      <c r="N83" s="67" t="n">
        <f aca="false">M83+N82</f>
        <v>310279.780711111</v>
      </c>
      <c r="O83" s="67" t="n">
        <f aca="false">N83+O82</f>
        <v>274268.570649467</v>
      </c>
      <c r="P83" s="67" t="n">
        <f aca="false">O83+P82</f>
        <v>371710.937803378</v>
      </c>
      <c r="Q83" s="67" t="n">
        <f aca="false">P83+Q82</f>
        <v>469170.860512845</v>
      </c>
      <c r="R83" s="67" t="n">
        <f aca="false">Q83+R82</f>
        <v>566648.338777867</v>
      </c>
      <c r="S83" s="67" t="n">
        <f aca="false">R83+S82</f>
        <v>664143.372598445</v>
      </c>
      <c r="T83" s="67" t="n">
        <f aca="false">S83+T82</f>
        <v>761655.961974579</v>
      </c>
      <c r="U83" s="67" t="n">
        <f aca="false">T83+U82</f>
        <v>859186.106906268</v>
      </c>
      <c r="V83" s="67" t="n">
        <f aca="false">U83+V82</f>
        <v>956733.807393512</v>
      </c>
      <c r="W83" s="67" t="n">
        <f aca="false">V83+W82</f>
        <v>1054299.06343631</v>
      </c>
      <c r="X83" s="67" t="n">
        <f aca="false">W83+X82</f>
        <v>1151881.87503467</v>
      </c>
      <c r="Y83" s="67" t="n">
        <f aca="false">X83+Y82</f>
        <v>1249482.24218858</v>
      </c>
      <c r="Z83" s="67" t="n">
        <f aca="false">Y83+Z82</f>
        <v>1347100.16489805</v>
      </c>
      <c r="AA83" s="67" t="n">
        <f aca="false">Z83+AA82</f>
        <v>1309092.40262163</v>
      </c>
      <c r="AB83" s="67" t="n">
        <f aca="false">AA83+AB82</f>
        <v>1445210.82665022</v>
      </c>
      <c r="AC83" s="67" t="n">
        <f aca="false">AB83+AC82</f>
        <v>1581346.80623437</v>
      </c>
      <c r="AD83" s="67" t="n">
        <f aca="false">AC83+AD82</f>
        <v>1717500.34137408</v>
      </c>
      <c r="AE83" s="67" t="n">
        <f aca="false">AD83+AE82</f>
        <v>1853671.43206934</v>
      </c>
      <c r="AF83" s="67" t="n">
        <f aca="false">AE83+AF82</f>
        <v>1989860.07832015</v>
      </c>
      <c r="AG83" s="67" t="n">
        <f aca="false">AF83+AG82</f>
        <v>2126066.28012653</v>
      </c>
      <c r="AH83" s="67" t="n">
        <f aca="false">AG83+AH82</f>
        <v>2262290.03748846</v>
      </c>
      <c r="AI83" s="67" t="n">
        <f aca="false">AH83+AI82</f>
        <v>2398531.35040594</v>
      </c>
      <c r="AJ83" s="67" t="n">
        <f aca="false">AI83+AJ82</f>
        <v>2534790.21887898</v>
      </c>
      <c r="AK83" s="67" t="n">
        <f aca="false">AJ83+AK82</f>
        <v>2671066.64290757</v>
      </c>
      <c r="AL83" s="67" t="n">
        <f aca="false">AK83+AL82</f>
        <v>2807360.62249172</v>
      </c>
      <c r="AM83" s="67" t="n">
        <f aca="false">AL83+AM82</f>
        <v>2767372.82129951</v>
      </c>
      <c r="AN83" s="67" t="n">
        <f aca="false">AM83+AN82</f>
        <v>2954895.15025132</v>
      </c>
      <c r="AO83" s="67" t="n">
        <f aca="false">AN83+AO82</f>
        <v>3142435.03475869</v>
      </c>
      <c r="AP83" s="67" t="n">
        <f aca="false">AO83+AP82</f>
        <v>3329992.47482161</v>
      </c>
      <c r="AQ83" s="67" t="n">
        <f aca="false">AP83+AQ82</f>
        <v>3517567.47044009</v>
      </c>
      <c r="AR83" s="67" t="n">
        <f aca="false">AQ83+AR82</f>
        <v>3705160.02161413</v>
      </c>
      <c r="AS83" s="67" t="n">
        <f aca="false">AR83+AS82</f>
        <v>3892770.12834372</v>
      </c>
      <c r="AT83" s="67" t="n">
        <f aca="false">AS83+AT82</f>
        <v>4080397.79062886</v>
      </c>
      <c r="AU83" s="67" t="n">
        <f aca="false">AT83+AU82</f>
        <v>4268043.00846956</v>
      </c>
      <c r="AV83" s="67" t="n">
        <f aca="false">AU83+AV82</f>
        <v>4455705.78186582</v>
      </c>
      <c r="AW83" s="67" t="n">
        <f aca="false">AV83+AW82</f>
        <v>4643386.11081763</v>
      </c>
      <c r="AX83" s="67" t="n">
        <f aca="false">AW83+AX82</f>
        <v>4831083.995325</v>
      </c>
      <c r="AY83" s="67" t="n">
        <f aca="false">AX83+AY82</f>
        <v>4789291.34083171</v>
      </c>
      <c r="AZ83" s="67" t="n">
        <f aca="false">AY83+AZ82</f>
        <v>5045159.14113442</v>
      </c>
      <c r="BA83" s="67" t="n">
        <f aca="false">AZ83+BA82</f>
        <v>5301044.49699267</v>
      </c>
      <c r="BB83" s="67" t="n">
        <f aca="false">BA83+BB82</f>
        <v>5556947.40840649</v>
      </c>
      <c r="BC83" s="67" t="n">
        <f aca="false">BB83+BC82</f>
        <v>5812867.87537586</v>
      </c>
      <c r="BD83" s="67" t="n">
        <f aca="false">BC83+BD82</f>
        <v>6068805.89790078</v>
      </c>
      <c r="BE83" s="67" t="n">
        <f aca="false">BD83+BE82</f>
        <v>6324761.47598127</v>
      </c>
      <c r="BF83" s="67" t="n">
        <f aca="false">BE83+BF82</f>
        <v>6580734.6096173</v>
      </c>
      <c r="BG83" s="67" t="n">
        <f aca="false">BF83+BG82</f>
        <v>6836725.2988089</v>
      </c>
      <c r="BH83" s="67" t="n">
        <f aca="false">BG83+BH82</f>
        <v>7092733.54355604</v>
      </c>
      <c r="BI83" s="67" t="n">
        <f aca="false">BH83+BI82</f>
        <v>7348759.34385875</v>
      </c>
      <c r="BJ83" s="67" t="n">
        <f aca="false">BI83+BJ82</f>
        <v>7604802.69971701</v>
      </c>
    </row>
    <row r="84" customFormat="false" ht="15" hidden="false" customHeight="false" outlineLevel="0" collapsed="false">
      <c r="A84" s="120" t="s">
        <v>430</v>
      </c>
      <c r="C84" s="67" t="n">
        <f aca="false">C83</f>
        <v>-442319.682533333</v>
      </c>
      <c r="D84" s="67" t="n">
        <f aca="false">MIN(C84,D83)</f>
        <v>-442319.682533333</v>
      </c>
      <c r="E84" s="67" t="n">
        <f aca="false">MIN(D84,E83)</f>
        <v>-442319.682533333</v>
      </c>
      <c r="F84" s="67" t="n">
        <f aca="false">MIN(E84,F83)</f>
        <v>-442319.682533333</v>
      </c>
      <c r="G84" s="67" t="n">
        <f aca="false">MIN(F84,G83)</f>
        <v>-442319.682533333</v>
      </c>
      <c r="H84" s="67" t="n">
        <f aca="false">MIN(G84,H83)</f>
        <v>-442319.682533333</v>
      </c>
      <c r="I84" s="67" t="n">
        <f aca="false">MIN(H84,I83)</f>
        <v>-442319.682533333</v>
      </c>
      <c r="J84" s="67" t="n">
        <f aca="false">MIN(I84,J83)</f>
        <v>-442319.682533333</v>
      </c>
      <c r="K84" s="67" t="n">
        <f aca="false">MIN(J84,K83)</f>
        <v>-442319.682533333</v>
      </c>
      <c r="L84" s="67" t="n">
        <f aca="false">MIN(K84,L83)</f>
        <v>-442319.682533333</v>
      </c>
      <c r="M84" s="67" t="n">
        <f aca="false">MIN(L84,M83)</f>
        <v>-442319.682533333</v>
      </c>
      <c r="N84" s="67" t="n">
        <f aca="false">MIN(M84,N83)</f>
        <v>-442319.682533333</v>
      </c>
      <c r="O84" s="67" t="n">
        <f aca="false">MIN(N84,O83)</f>
        <v>-442319.682533333</v>
      </c>
      <c r="P84" s="67" t="n">
        <f aca="false">MIN(O84,P83)</f>
        <v>-442319.682533333</v>
      </c>
      <c r="Q84" s="67" t="n">
        <f aca="false">MIN(P84,Q83)</f>
        <v>-442319.682533333</v>
      </c>
      <c r="R84" s="67" t="n">
        <f aca="false">MIN(Q84,R83)</f>
        <v>-442319.682533333</v>
      </c>
      <c r="S84" s="67" t="n">
        <f aca="false">MIN(R84,S83)</f>
        <v>-442319.682533333</v>
      </c>
      <c r="T84" s="67" t="n">
        <f aca="false">MIN(S84,T83)</f>
        <v>-442319.682533333</v>
      </c>
      <c r="U84" s="67" t="n">
        <f aca="false">MIN(T84,U83)</f>
        <v>-442319.682533333</v>
      </c>
      <c r="V84" s="67" t="n">
        <f aca="false">MIN(U84,V83)</f>
        <v>-442319.682533333</v>
      </c>
      <c r="W84" s="67" t="n">
        <f aca="false">MIN(V84,W83)</f>
        <v>-442319.682533333</v>
      </c>
      <c r="X84" s="67" t="n">
        <f aca="false">MIN(W84,X83)</f>
        <v>-442319.682533333</v>
      </c>
      <c r="Y84" s="67" t="n">
        <f aca="false">MIN(X84,Y83)</f>
        <v>-442319.682533333</v>
      </c>
      <c r="Z84" s="67" t="n">
        <f aca="false">MIN(Y84,Z83)</f>
        <v>-442319.682533333</v>
      </c>
      <c r="AA84" s="67" t="n">
        <f aca="false">MIN(Z84,AA83)</f>
        <v>-442319.682533333</v>
      </c>
      <c r="AB84" s="67" t="n">
        <f aca="false">MIN(AA84,AB83)</f>
        <v>-442319.682533333</v>
      </c>
      <c r="AC84" s="67" t="n">
        <f aca="false">MIN(AB84,AC83)</f>
        <v>-442319.682533333</v>
      </c>
      <c r="AD84" s="67" t="n">
        <f aca="false">MIN(AC84,AD83)</f>
        <v>-442319.682533333</v>
      </c>
      <c r="AE84" s="67" t="n">
        <f aca="false">MIN(AD84,AE83)</f>
        <v>-442319.682533333</v>
      </c>
      <c r="AF84" s="67" t="n">
        <f aca="false">MIN(AE84,AF83)</f>
        <v>-442319.682533333</v>
      </c>
      <c r="AG84" s="67" t="n">
        <f aca="false">MIN(AF84,AG83)</f>
        <v>-442319.682533333</v>
      </c>
      <c r="AH84" s="67" t="n">
        <f aca="false">MIN(AG84,AH83)</f>
        <v>-442319.682533333</v>
      </c>
      <c r="AI84" s="67" t="n">
        <f aca="false">MIN(AH84,AI83)</f>
        <v>-442319.682533333</v>
      </c>
      <c r="AJ84" s="67" t="n">
        <f aca="false">MIN(AI84,AJ83)</f>
        <v>-442319.682533333</v>
      </c>
      <c r="AK84" s="67" t="n">
        <f aca="false">MIN(AJ84,AK83)</f>
        <v>-442319.682533333</v>
      </c>
      <c r="AL84" s="67" t="n">
        <f aca="false">MIN(AK84,AL83)</f>
        <v>-442319.682533333</v>
      </c>
      <c r="AM84" s="67" t="n">
        <f aca="false">MIN(AL84,AM83)</f>
        <v>-442319.682533333</v>
      </c>
      <c r="AN84" s="67" t="n">
        <f aca="false">MIN(AM84,AN83)</f>
        <v>-442319.682533333</v>
      </c>
      <c r="AO84" s="67" t="n">
        <f aca="false">MIN(AN84,AO83)</f>
        <v>-442319.682533333</v>
      </c>
      <c r="AP84" s="67" t="n">
        <f aca="false">MIN(AO84,AP83)</f>
        <v>-442319.682533333</v>
      </c>
      <c r="AQ84" s="67" t="n">
        <f aca="false">MIN(AP84,AQ83)</f>
        <v>-442319.682533333</v>
      </c>
      <c r="AR84" s="67" t="n">
        <f aca="false">MIN(AQ84,AR83)</f>
        <v>-442319.682533333</v>
      </c>
      <c r="AS84" s="67" t="n">
        <f aca="false">MIN(AR84,AS83)</f>
        <v>-442319.682533333</v>
      </c>
      <c r="AT84" s="67" t="n">
        <f aca="false">MIN(AS84,AT83)</f>
        <v>-442319.682533333</v>
      </c>
      <c r="AU84" s="67" t="n">
        <f aca="false">MIN(AT84,AU83)</f>
        <v>-442319.682533333</v>
      </c>
      <c r="AV84" s="67" t="n">
        <f aca="false">MIN(AU84,AV83)</f>
        <v>-442319.682533333</v>
      </c>
      <c r="AW84" s="67" t="n">
        <f aca="false">MIN(AV84,AW83)</f>
        <v>-442319.682533333</v>
      </c>
      <c r="AX84" s="67" t="n">
        <f aca="false">MIN(AW84,AX83)</f>
        <v>-442319.682533333</v>
      </c>
      <c r="AY84" s="67" t="n">
        <f aca="false">MIN(AX84,AY83)</f>
        <v>-442319.682533333</v>
      </c>
      <c r="AZ84" s="67" t="n">
        <f aca="false">MIN(AY84,AZ83)</f>
        <v>-442319.682533333</v>
      </c>
      <c r="BA84" s="67" t="n">
        <f aca="false">MIN(AZ84,BA83)</f>
        <v>-442319.682533333</v>
      </c>
      <c r="BB84" s="67" t="n">
        <f aca="false">MIN(BA84,BB83)</f>
        <v>-442319.682533333</v>
      </c>
      <c r="BC84" s="67" t="n">
        <f aca="false">MIN(BB84,BC83)</f>
        <v>-442319.682533333</v>
      </c>
      <c r="BD84" s="67" t="n">
        <f aca="false">MIN(BC84,BD83)</f>
        <v>-442319.682533333</v>
      </c>
      <c r="BE84" s="67" t="n">
        <f aca="false">MIN(BD84,BE83)</f>
        <v>-442319.682533333</v>
      </c>
      <c r="BF84" s="67" t="n">
        <f aca="false">MIN(BE84,BF83)</f>
        <v>-442319.682533333</v>
      </c>
      <c r="BG84" s="67" t="n">
        <f aca="false">MIN(BF84,BG83)</f>
        <v>-442319.682533333</v>
      </c>
      <c r="BH84" s="67" t="n">
        <f aca="false">MIN(BG84,BH83)</f>
        <v>-442319.682533333</v>
      </c>
      <c r="BI84" s="67" t="n">
        <f aca="false">MIN(BH84,BI83)</f>
        <v>-442319.682533333</v>
      </c>
      <c r="BJ84" s="67" t="n">
        <f aca="false">MIN(BI84,BJ83)</f>
        <v>-442319.682533333</v>
      </c>
    </row>
    <row r="85" customFormat="false" ht="15" hidden="false" customHeight="false" outlineLevel="0" collapsed="false">
      <c r="A85" s="120" t="s">
        <v>431</v>
      </c>
      <c r="C85" s="117" t="n">
        <f aca="false">IF(AND(C83&gt;=0,C84&lt;0),1,0)</f>
        <v>0</v>
      </c>
      <c r="D85" s="117" t="n">
        <f aca="false">IF(AND(D83&gt;=0,D84&lt;0),1,0)</f>
        <v>0</v>
      </c>
      <c r="E85" s="117" t="n">
        <f aca="false">IF(AND(E83&gt;=0,E84&lt;0),1,0)</f>
        <v>0</v>
      </c>
      <c r="F85" s="117" t="n">
        <f aca="false">IF(AND(F83&gt;=0,F84&lt;0),1,0)</f>
        <v>0</v>
      </c>
      <c r="G85" s="117" t="n">
        <f aca="false">IF(AND(G83&gt;=0,G84&lt;0),1,0)</f>
        <v>0</v>
      </c>
      <c r="H85" s="117" t="n">
        <f aca="false">IF(AND(H83&gt;=0,H84&lt;0),1,0)</f>
        <v>0</v>
      </c>
      <c r="I85" s="117" t="n">
        <f aca="false">IF(AND(I83&gt;=0,I84&lt;0),1,0)</f>
        <v>0</v>
      </c>
      <c r="J85" s="117" t="n">
        <f aca="false">IF(AND(J83&gt;=0,J84&lt;0),1,0)</f>
        <v>1</v>
      </c>
      <c r="K85" s="117" t="n">
        <f aca="false">IF(AND(K83&gt;=0,K84&lt;0),1,0)</f>
        <v>1</v>
      </c>
      <c r="L85" s="117" t="n">
        <f aca="false">IF(AND(L83&gt;=0,L84&lt;0),1,0)</f>
        <v>1</v>
      </c>
      <c r="M85" s="117" t="n">
        <f aca="false">IF(AND(M83&gt;=0,M84&lt;0),1,0)</f>
        <v>1</v>
      </c>
      <c r="N85" s="117" t="n">
        <f aca="false">IF(AND(N83&gt;=0,N84&lt;0),1,0)</f>
        <v>1</v>
      </c>
      <c r="O85" s="117" t="n">
        <f aca="false">IF(AND(O83&gt;=0,O84&lt;0),1,0)</f>
        <v>1</v>
      </c>
      <c r="P85" s="117" t="n">
        <f aca="false">IF(AND(P83&gt;=0,P84&lt;0),1,0)</f>
        <v>1</v>
      </c>
      <c r="Q85" s="117" t="n">
        <f aca="false">IF(AND(Q83&gt;=0,Q84&lt;0),1,0)</f>
        <v>1</v>
      </c>
      <c r="R85" s="117" t="n">
        <f aca="false">IF(AND(R83&gt;=0,R84&lt;0),1,0)</f>
        <v>1</v>
      </c>
      <c r="S85" s="117" t="n">
        <f aca="false">IF(AND(S83&gt;=0,S84&lt;0),1,0)</f>
        <v>1</v>
      </c>
      <c r="T85" s="117" t="n">
        <f aca="false">IF(AND(T83&gt;=0,T84&lt;0),1,0)</f>
        <v>1</v>
      </c>
      <c r="U85" s="117" t="n">
        <f aca="false">IF(AND(U83&gt;=0,U84&lt;0),1,0)</f>
        <v>1</v>
      </c>
      <c r="V85" s="117" t="n">
        <f aca="false">IF(AND(V83&gt;=0,V84&lt;0),1,0)</f>
        <v>1</v>
      </c>
      <c r="W85" s="117" t="n">
        <f aca="false">IF(AND(W83&gt;=0,W84&lt;0),1,0)</f>
        <v>1</v>
      </c>
      <c r="X85" s="117" t="n">
        <f aca="false">IF(AND(X83&gt;=0,X84&lt;0),1,0)</f>
        <v>1</v>
      </c>
      <c r="Y85" s="117" t="n">
        <f aca="false">IF(AND(Y83&gt;=0,Y84&lt;0),1,0)</f>
        <v>1</v>
      </c>
      <c r="Z85" s="117" t="n">
        <f aca="false">IF(AND(Z83&gt;=0,Z84&lt;0),1,0)</f>
        <v>1</v>
      </c>
      <c r="AA85" s="117" t="n">
        <f aca="false">IF(AND(AA83&gt;=0,AA84&lt;0),1,0)</f>
        <v>1</v>
      </c>
      <c r="AB85" s="117" t="n">
        <f aca="false">IF(AND(AB83&gt;=0,AB84&lt;0),1,0)</f>
        <v>1</v>
      </c>
      <c r="AC85" s="117" t="n">
        <f aca="false">IF(AND(AC83&gt;=0,AC84&lt;0),1,0)</f>
        <v>1</v>
      </c>
      <c r="AD85" s="117" t="n">
        <f aca="false">IF(AND(AD83&gt;=0,AD84&lt;0),1,0)</f>
        <v>1</v>
      </c>
      <c r="AE85" s="117" t="n">
        <f aca="false">IF(AND(AE83&gt;=0,AE84&lt;0),1,0)</f>
        <v>1</v>
      </c>
      <c r="AF85" s="117" t="n">
        <f aca="false">IF(AND(AF83&gt;=0,AF84&lt;0),1,0)</f>
        <v>1</v>
      </c>
      <c r="AG85" s="117" t="n">
        <f aca="false">IF(AND(AG83&gt;=0,AG84&lt;0),1,0)</f>
        <v>1</v>
      </c>
      <c r="AH85" s="117" t="n">
        <f aca="false">IF(AND(AH83&gt;=0,AH84&lt;0),1,0)</f>
        <v>1</v>
      </c>
      <c r="AI85" s="117" t="n">
        <f aca="false">IF(AND(AI83&gt;=0,AI84&lt;0),1,0)</f>
        <v>1</v>
      </c>
      <c r="AJ85" s="117" t="n">
        <f aca="false">IF(AND(AJ83&gt;=0,AJ84&lt;0),1,0)</f>
        <v>1</v>
      </c>
      <c r="AK85" s="117" t="n">
        <f aca="false">IF(AND(AK83&gt;=0,AK84&lt;0),1,0)</f>
        <v>1</v>
      </c>
      <c r="AL85" s="117" t="n">
        <f aca="false">IF(AND(AL83&gt;=0,AL84&lt;0),1,0)</f>
        <v>1</v>
      </c>
      <c r="AM85" s="117" t="n">
        <f aca="false">IF(AND(AM83&gt;=0,AM84&lt;0),1,0)</f>
        <v>1</v>
      </c>
      <c r="AN85" s="117" t="n">
        <f aca="false">IF(AND(AN83&gt;=0,AN84&lt;0),1,0)</f>
        <v>1</v>
      </c>
      <c r="AO85" s="117" t="n">
        <f aca="false">IF(AND(AO83&gt;=0,AO84&lt;0),1,0)</f>
        <v>1</v>
      </c>
      <c r="AP85" s="117" t="n">
        <f aca="false">IF(AND(AP83&gt;=0,AP84&lt;0),1,0)</f>
        <v>1</v>
      </c>
      <c r="AQ85" s="117" t="n">
        <f aca="false">IF(AND(AQ83&gt;=0,AQ84&lt;0),1,0)</f>
        <v>1</v>
      </c>
      <c r="AR85" s="117" t="n">
        <f aca="false">IF(AND(AR83&gt;=0,AR84&lt;0),1,0)</f>
        <v>1</v>
      </c>
      <c r="AS85" s="117" t="n">
        <f aca="false">IF(AND(AS83&gt;=0,AS84&lt;0),1,0)</f>
        <v>1</v>
      </c>
      <c r="AT85" s="117" t="n">
        <f aca="false">IF(AND(AT83&gt;=0,AT84&lt;0),1,0)</f>
        <v>1</v>
      </c>
      <c r="AU85" s="117" t="n">
        <f aca="false">IF(AND(AU83&gt;=0,AU84&lt;0),1,0)</f>
        <v>1</v>
      </c>
      <c r="AV85" s="117" t="n">
        <f aca="false">IF(AND(AV83&gt;=0,AV84&lt;0),1,0)</f>
        <v>1</v>
      </c>
      <c r="AW85" s="117" t="n">
        <f aca="false">IF(AND(AW83&gt;=0,AW84&lt;0),1,0)</f>
        <v>1</v>
      </c>
      <c r="AX85" s="117" t="n">
        <f aca="false">IF(AND(AX83&gt;=0,AX84&lt;0),1,0)</f>
        <v>1</v>
      </c>
      <c r="AY85" s="117" t="n">
        <f aca="false">IF(AND(AY83&gt;=0,AY84&lt;0),1,0)</f>
        <v>1</v>
      </c>
      <c r="AZ85" s="117" t="n">
        <f aca="false">IF(AND(AZ83&gt;=0,AZ84&lt;0),1,0)</f>
        <v>1</v>
      </c>
      <c r="BA85" s="117" t="n">
        <f aca="false">IF(AND(BA83&gt;=0,BA84&lt;0),1,0)</f>
        <v>1</v>
      </c>
      <c r="BB85" s="117" t="n">
        <f aca="false">IF(AND(BB83&gt;=0,BB84&lt;0),1,0)</f>
        <v>1</v>
      </c>
      <c r="BC85" s="117" t="n">
        <f aca="false">IF(AND(BC83&gt;=0,BC84&lt;0),1,0)</f>
        <v>1</v>
      </c>
      <c r="BD85" s="117" t="n">
        <f aca="false">IF(AND(BD83&gt;=0,BD84&lt;0),1,0)</f>
        <v>1</v>
      </c>
      <c r="BE85" s="117" t="n">
        <f aca="false">IF(AND(BE83&gt;=0,BE84&lt;0),1,0)</f>
        <v>1</v>
      </c>
      <c r="BF85" s="117" t="n">
        <f aca="false">IF(AND(BF83&gt;=0,BF84&lt;0),1,0)</f>
        <v>1</v>
      </c>
      <c r="BG85" s="117" t="n">
        <f aca="false">IF(AND(BG83&gt;=0,BG84&lt;0),1,0)</f>
        <v>1</v>
      </c>
      <c r="BH85" s="117" t="n">
        <f aca="false">IF(AND(BH83&gt;=0,BH84&lt;0),1,0)</f>
        <v>1</v>
      </c>
      <c r="BI85" s="117" t="n">
        <f aca="false">IF(AND(BI83&gt;=0,BI84&lt;0),1,0)</f>
        <v>1</v>
      </c>
      <c r="BJ85" s="117" t="n">
        <f aca="false">IF(AND(BJ83&gt;=0,BJ84&lt;0),1,0)</f>
        <v>1</v>
      </c>
    </row>
    <row r="86" customFormat="false" ht="15" hidden="false" customHeight="false" outlineLevel="0" collapsed="false">
      <c r="A86" s="6" t="s">
        <v>432</v>
      </c>
      <c r="C86" s="67" t="n">
        <f aca="false">C71-C42*(1-Inputs!$E$66)+C72</f>
        <v>-441266.3492</v>
      </c>
      <c r="D86" s="67" t="n">
        <f aca="false">D71-D42*(1-Inputs!$E$66)+D72</f>
        <v>69374.9108</v>
      </c>
      <c r="E86" s="67" t="n">
        <f aca="false">E71-E42*(1-Inputs!$E$66)+E72</f>
        <v>69374.9108</v>
      </c>
      <c r="F86" s="67" t="n">
        <f aca="false">F71-F42*(1-Inputs!$E$66)+F72</f>
        <v>69374.9108</v>
      </c>
      <c r="G86" s="67" t="n">
        <f aca="false">G71-G42*(1-Inputs!$E$66)+G72</f>
        <v>69374.9108</v>
      </c>
      <c r="H86" s="67" t="n">
        <f aca="false">H71-H42*(1-Inputs!$E$66)+H72</f>
        <v>69374.9108</v>
      </c>
      <c r="I86" s="67" t="n">
        <f aca="false">I71-I42*(1-Inputs!$E$66)+I72</f>
        <v>69374.9108</v>
      </c>
      <c r="J86" s="67" t="n">
        <f aca="false">J71-J42*(1-Inputs!$E$66)+J72</f>
        <v>69374.9108</v>
      </c>
      <c r="K86" s="67" t="n">
        <f aca="false">K71-K42*(1-Inputs!$E$66)+K72</f>
        <v>69374.9108</v>
      </c>
      <c r="L86" s="67" t="n">
        <f aca="false">L71-L42*(1-Inputs!$E$66)+L72</f>
        <v>69374.9108</v>
      </c>
      <c r="M86" s="67" t="n">
        <f aca="false">M71-M42*(1-Inputs!$E$66)+M72</f>
        <v>69374.9108</v>
      </c>
      <c r="N86" s="67" t="n">
        <f aca="false">N71-N42*(1-Inputs!$E$66)+N72</f>
        <v>69374.9108</v>
      </c>
      <c r="O86" s="67" t="n">
        <f aca="false">O71-O42*(1-Inputs!$E$66)+O72</f>
        <v>-35159.7656172002</v>
      </c>
      <c r="P86" s="67" t="n">
        <f aca="false">P71-P42*(1-Inputs!$E$66)+P72</f>
        <v>98276.2560428002</v>
      </c>
      <c r="Q86" s="67" t="n">
        <f aca="false">Q71-Q42*(1-Inputs!$E$66)+Q72</f>
        <v>98276.2560428002</v>
      </c>
      <c r="R86" s="67" t="n">
        <f aca="false">R71-R42*(1-Inputs!$E$66)+R72</f>
        <v>98276.2560428002</v>
      </c>
      <c r="S86" s="67" t="n">
        <f aca="false">S71-S42*(1-Inputs!$E$66)+S72</f>
        <v>98276.2560428002</v>
      </c>
      <c r="T86" s="67" t="n">
        <f aca="false">T71-T42*(1-Inputs!$E$66)+T72</f>
        <v>98276.2560428002</v>
      </c>
      <c r="U86" s="67" t="n">
        <f aca="false">U71-U42*(1-Inputs!$E$66)+U72</f>
        <v>98276.2560428002</v>
      </c>
      <c r="V86" s="67" t="n">
        <f aca="false">V71-V42*(1-Inputs!$E$66)+V72</f>
        <v>98276.2560428002</v>
      </c>
      <c r="W86" s="67" t="n">
        <f aca="false">W71-W42*(1-Inputs!$E$66)+W72</f>
        <v>98276.2560428002</v>
      </c>
      <c r="X86" s="67" t="n">
        <f aca="false">X71-X42*(1-Inputs!$E$66)+X72</f>
        <v>98276.2560428002</v>
      </c>
      <c r="Y86" s="67" t="n">
        <f aca="false">Y71-Y42*(1-Inputs!$E$66)+Y72</f>
        <v>98276.2560428002</v>
      </c>
      <c r="Z86" s="67" t="n">
        <f aca="false">Z71-Z42*(1-Inputs!$E$66)+Z72</f>
        <v>98276.2560428002</v>
      </c>
      <c r="AA86" s="67" t="n">
        <f aca="false">AA71-AA42*(1-Inputs!$E$66)+AA72</f>
        <v>-37366.9844986429</v>
      </c>
      <c r="AB86" s="67" t="n">
        <f aca="false">AB71-AB42*(1-Inputs!$E$66)+AB72</f>
        <v>136741.646250817</v>
      </c>
      <c r="AC86" s="67" t="n">
        <f aca="false">AC71-AC42*(1-Inputs!$E$66)+AC72</f>
        <v>136741.646250817</v>
      </c>
      <c r="AD86" s="67" t="n">
        <f aca="false">AD71-AD42*(1-Inputs!$E$66)+AD72</f>
        <v>136741.646250817</v>
      </c>
      <c r="AE86" s="67" t="n">
        <f aca="false">AE71-AE42*(1-Inputs!$E$66)+AE72</f>
        <v>136741.646250817</v>
      </c>
      <c r="AF86" s="67" t="n">
        <f aca="false">AF71-AF42*(1-Inputs!$E$66)+AF72</f>
        <v>136741.646250817</v>
      </c>
      <c r="AG86" s="67" t="n">
        <f aca="false">AG71-AG42*(1-Inputs!$E$66)+AG72</f>
        <v>136741.646250817</v>
      </c>
      <c r="AH86" s="67" t="n">
        <f aca="false">AH71-AH42*(1-Inputs!$E$66)+AH72</f>
        <v>136741.646250817</v>
      </c>
      <c r="AI86" s="67" t="n">
        <f aca="false">AI71-AI42*(1-Inputs!$E$66)+AI72</f>
        <v>136741.646250817</v>
      </c>
      <c r="AJ86" s="67" t="n">
        <f aca="false">AJ71-AJ42*(1-Inputs!$E$66)+AJ72</f>
        <v>136741.646250817</v>
      </c>
      <c r="AK86" s="67" t="n">
        <f aca="false">AK71-AK42*(1-Inputs!$E$66)+AK72</f>
        <v>136741.646250817</v>
      </c>
      <c r="AL86" s="67" t="n">
        <f aca="false">AL71-AL42*(1-Inputs!$E$66)+AL72</f>
        <v>136741.646250817</v>
      </c>
      <c r="AM86" s="67" t="n">
        <f aca="false">AM71-AM42*(1-Inputs!$E$66)+AM72</f>
        <v>-39557.6900811047</v>
      </c>
      <c r="AN86" s="67" t="n">
        <f aca="false">AN71-AN42*(1-Inputs!$E$66)+AN72</f>
        <v>187934.884507368</v>
      </c>
      <c r="AO86" s="67" t="n">
        <f aca="false">AO71-AO42*(1-Inputs!$E$66)+AO72</f>
        <v>187934.884507368</v>
      </c>
      <c r="AP86" s="67" t="n">
        <f aca="false">AP71-AP42*(1-Inputs!$E$66)+AP72</f>
        <v>187934.884507368</v>
      </c>
      <c r="AQ86" s="67" t="n">
        <f aca="false">AQ71-AQ42*(1-Inputs!$E$66)+AQ72</f>
        <v>187934.884507368</v>
      </c>
      <c r="AR86" s="67" t="n">
        <f aca="false">AR71-AR42*(1-Inputs!$E$66)+AR72</f>
        <v>187934.884507368</v>
      </c>
      <c r="AS86" s="67" t="n">
        <f aca="false">AS71-AS42*(1-Inputs!$E$66)+AS72</f>
        <v>187934.884507368</v>
      </c>
      <c r="AT86" s="67" t="n">
        <f aca="false">AT71-AT42*(1-Inputs!$E$66)+AT72</f>
        <v>187934.884507368</v>
      </c>
      <c r="AU86" s="67" t="n">
        <f aca="false">AU71-AU42*(1-Inputs!$E$66)+AU72</f>
        <v>187934.884507368</v>
      </c>
      <c r="AV86" s="67" t="n">
        <f aca="false">AV71-AV42*(1-Inputs!$E$66)+AV72</f>
        <v>187934.884507368</v>
      </c>
      <c r="AW86" s="67" t="n">
        <f aca="false">AW71-AW42*(1-Inputs!$E$66)+AW72</f>
        <v>187934.884507368</v>
      </c>
      <c r="AX86" s="67" t="n">
        <f aca="false">AX71-AX42*(1-Inputs!$E$66)+AX72</f>
        <v>187934.884507368</v>
      </c>
      <c r="AY86" s="67" t="n">
        <f aca="false">AY71-AY42*(1-Inputs!$E$66)+AY72</f>
        <v>-41573.2100488465</v>
      </c>
      <c r="AZ86" s="67" t="n">
        <f aca="false">AZ71-AZ42*(1-Inputs!$E$66)+AZ72</f>
        <v>256069.689191592</v>
      </c>
      <c r="BA86" s="67" t="n">
        <f aca="false">BA71-BA42*(1-Inputs!$E$66)+BA72</f>
        <v>256069.689191592</v>
      </c>
      <c r="BB86" s="67" t="n">
        <f aca="false">BB71-BB42*(1-Inputs!$E$66)+BB72</f>
        <v>256069.689191592</v>
      </c>
      <c r="BC86" s="67" t="n">
        <f aca="false">BC71-BC42*(1-Inputs!$E$66)+BC72</f>
        <v>256069.689191592</v>
      </c>
      <c r="BD86" s="67" t="n">
        <f aca="false">BD71-BD42*(1-Inputs!$E$66)+BD72</f>
        <v>256069.689191592</v>
      </c>
      <c r="BE86" s="67" t="n">
        <f aca="false">BE71-BE42*(1-Inputs!$E$66)+BE72</f>
        <v>256069.689191592</v>
      </c>
      <c r="BF86" s="67" t="n">
        <f aca="false">BF71-BF42*(1-Inputs!$E$66)+BF72</f>
        <v>256069.689191592</v>
      </c>
      <c r="BG86" s="67" t="n">
        <f aca="false">BG71-BG42*(1-Inputs!$E$66)+BG72</f>
        <v>256069.689191592</v>
      </c>
      <c r="BH86" s="67" t="n">
        <f aca="false">BH71-BH42*(1-Inputs!$E$66)+BH72</f>
        <v>256069.689191593</v>
      </c>
      <c r="BI86" s="67" t="n">
        <f aca="false">BI71-BI42*(1-Inputs!$E$66)+BI72</f>
        <v>256069.689191593</v>
      </c>
      <c r="BJ86" s="67" t="n">
        <f aca="false">BJ71-BJ42*(1-Inputs!$E$66)+BJ72</f>
        <v>256069.689191592</v>
      </c>
    </row>
    <row r="88" customFormat="false" ht="15.75" hidden="false" customHeight="true" outlineLevel="0" collapsed="false">
      <c r="A88" s="7" t="s">
        <v>433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customFormat="false" ht="15" hidden="false" customHeight="false" outlineLevel="0" collapsed="false">
      <c r="A89" s="6" t="s">
        <v>97</v>
      </c>
      <c r="C89" s="67" t="n">
        <f aca="false">C73</f>
        <v>300000</v>
      </c>
      <c r="D89" s="67" t="n">
        <f aca="false">C89+D73</f>
        <v>300000</v>
      </c>
      <c r="E89" s="67" t="n">
        <f aca="false">D89+E73</f>
        <v>300000</v>
      </c>
      <c r="F89" s="67" t="n">
        <f aca="false">E89+F73</f>
        <v>300000</v>
      </c>
      <c r="G89" s="67" t="n">
        <f aca="false">F89+G73</f>
        <v>300000</v>
      </c>
      <c r="H89" s="67" t="n">
        <f aca="false">G89+H73</f>
        <v>300000</v>
      </c>
      <c r="I89" s="67" t="n">
        <f aca="false">H89+I73</f>
        <v>300000</v>
      </c>
      <c r="J89" s="67" t="n">
        <f aca="false">I89+J73</f>
        <v>300000</v>
      </c>
      <c r="K89" s="67" t="n">
        <f aca="false">J89+K73</f>
        <v>300000</v>
      </c>
      <c r="L89" s="67" t="n">
        <f aca="false">K89+L73</f>
        <v>300000</v>
      </c>
      <c r="M89" s="67" t="n">
        <f aca="false">L89+M73</f>
        <v>300000</v>
      </c>
      <c r="N89" s="67" t="n">
        <f aca="false">M89+N73</f>
        <v>300000</v>
      </c>
      <c r="O89" s="67" t="n">
        <f aca="false">N89+O73</f>
        <v>300000</v>
      </c>
      <c r="P89" s="67" t="n">
        <f aca="false">O89+P73</f>
        <v>300000</v>
      </c>
      <c r="Q89" s="67" t="n">
        <f aca="false">P89+Q73</f>
        <v>300000</v>
      </c>
      <c r="R89" s="67" t="n">
        <f aca="false">Q89+R73</f>
        <v>300000</v>
      </c>
      <c r="S89" s="67" t="n">
        <f aca="false">R89+S73</f>
        <v>300000</v>
      </c>
      <c r="T89" s="67" t="n">
        <f aca="false">S89+T73</f>
        <v>300000</v>
      </c>
      <c r="U89" s="67" t="n">
        <f aca="false">T89+U73</f>
        <v>300000</v>
      </c>
      <c r="V89" s="67" t="n">
        <f aca="false">U89+V73</f>
        <v>300000</v>
      </c>
      <c r="W89" s="67" t="n">
        <f aca="false">V89+W73</f>
        <v>300000</v>
      </c>
      <c r="X89" s="67" t="n">
        <f aca="false">W89+X73</f>
        <v>300000</v>
      </c>
      <c r="Y89" s="67" t="n">
        <f aca="false">X89+Y73</f>
        <v>300000</v>
      </c>
      <c r="Z89" s="67" t="n">
        <f aca="false">Y89+Z73</f>
        <v>300000</v>
      </c>
      <c r="AA89" s="67" t="n">
        <f aca="false">Z89+AA73</f>
        <v>300000</v>
      </c>
      <c r="AB89" s="67" t="n">
        <f aca="false">AA89+AB73</f>
        <v>300000</v>
      </c>
      <c r="AC89" s="67" t="n">
        <f aca="false">AB89+AC73</f>
        <v>300000</v>
      </c>
      <c r="AD89" s="67" t="n">
        <f aca="false">AC89+AD73</f>
        <v>300000</v>
      </c>
      <c r="AE89" s="67" t="n">
        <f aca="false">AD89+AE73</f>
        <v>300000</v>
      </c>
      <c r="AF89" s="67" t="n">
        <f aca="false">AE89+AF73</f>
        <v>300000</v>
      </c>
      <c r="AG89" s="67" t="n">
        <f aca="false">AF89+AG73</f>
        <v>300000</v>
      </c>
      <c r="AH89" s="67" t="n">
        <f aca="false">AG89+AH73</f>
        <v>300000</v>
      </c>
      <c r="AI89" s="67" t="n">
        <f aca="false">AH89+AI73</f>
        <v>300000</v>
      </c>
      <c r="AJ89" s="67" t="n">
        <f aca="false">AI89+AJ73</f>
        <v>300000</v>
      </c>
      <c r="AK89" s="67" t="n">
        <f aca="false">AJ89+AK73</f>
        <v>300000</v>
      </c>
      <c r="AL89" s="67" t="n">
        <f aca="false">AK89+AL73</f>
        <v>300000</v>
      </c>
      <c r="AM89" s="67" t="n">
        <f aca="false">AL89+AM73</f>
        <v>300000</v>
      </c>
      <c r="AN89" s="67" t="n">
        <f aca="false">AM89+AN73</f>
        <v>300000</v>
      </c>
      <c r="AO89" s="67" t="n">
        <f aca="false">AN89+AO73</f>
        <v>300000</v>
      </c>
      <c r="AP89" s="67" t="n">
        <f aca="false">AO89+AP73</f>
        <v>300000</v>
      </c>
      <c r="AQ89" s="67" t="n">
        <f aca="false">AP89+AQ73</f>
        <v>300000</v>
      </c>
      <c r="AR89" s="67" t="n">
        <f aca="false">AQ89+AR73</f>
        <v>300000</v>
      </c>
      <c r="AS89" s="67" t="n">
        <f aca="false">AR89+AS73</f>
        <v>300000</v>
      </c>
      <c r="AT89" s="67" t="n">
        <f aca="false">AS89+AT73</f>
        <v>300000</v>
      </c>
      <c r="AU89" s="67" t="n">
        <f aca="false">AT89+AU73</f>
        <v>300000</v>
      </c>
      <c r="AV89" s="67" t="n">
        <f aca="false">AU89+AV73</f>
        <v>300000</v>
      </c>
      <c r="AW89" s="67" t="n">
        <f aca="false">AV89+AW73</f>
        <v>300000</v>
      </c>
      <c r="AX89" s="67" t="n">
        <f aca="false">AW89+AX73</f>
        <v>300000</v>
      </c>
      <c r="AY89" s="67" t="n">
        <f aca="false">AX89+AY73</f>
        <v>300000</v>
      </c>
      <c r="AZ89" s="67" t="n">
        <f aca="false">AY89+AZ73</f>
        <v>300000</v>
      </c>
      <c r="BA89" s="67" t="n">
        <f aca="false">AZ89+BA73</f>
        <v>300000</v>
      </c>
      <c r="BB89" s="67" t="n">
        <f aca="false">BA89+BB73</f>
        <v>300000</v>
      </c>
      <c r="BC89" s="67" t="n">
        <f aca="false">BB89+BC73</f>
        <v>300000</v>
      </c>
      <c r="BD89" s="67" t="n">
        <f aca="false">BC89+BD73</f>
        <v>300000</v>
      </c>
      <c r="BE89" s="67" t="n">
        <f aca="false">BD89+BE73</f>
        <v>300000</v>
      </c>
      <c r="BF89" s="67" t="n">
        <f aca="false">BE89+BF73</f>
        <v>300000</v>
      </c>
      <c r="BG89" s="67" t="n">
        <f aca="false">BF89+BG73</f>
        <v>300000</v>
      </c>
      <c r="BH89" s="67" t="n">
        <f aca="false">BG89+BH73</f>
        <v>300000</v>
      </c>
      <c r="BI89" s="67" t="n">
        <f aca="false">BH89+BI73</f>
        <v>300000</v>
      </c>
      <c r="BJ89" s="67" t="n">
        <f aca="false">BI89+BJ73</f>
        <v>300000</v>
      </c>
    </row>
    <row r="90" customFormat="false" ht="15" hidden="false" customHeight="false" outlineLevel="0" collapsed="false">
      <c r="A90" s="6" t="s">
        <v>98</v>
      </c>
      <c r="C90" s="67" t="n">
        <f aca="false">C47</f>
        <v>67321.5774666667</v>
      </c>
      <c r="D90" s="67" t="n">
        <f aca="false">C90+D47</f>
        <v>134651.932711111</v>
      </c>
      <c r="E90" s="67" t="n">
        <f aca="false">D90+E47</f>
        <v>201999.843511111</v>
      </c>
      <c r="F90" s="67" t="n">
        <f aca="false">E90+F47</f>
        <v>269365.309866667</v>
      </c>
      <c r="G90" s="67" t="n">
        <f aca="false">F90+G47</f>
        <v>336748.331777778</v>
      </c>
      <c r="H90" s="67" t="n">
        <f aca="false">G90+H47</f>
        <v>404148.909244444</v>
      </c>
      <c r="I90" s="67" t="n">
        <f aca="false">H90+I47</f>
        <v>471567.042266667</v>
      </c>
      <c r="J90" s="67" t="n">
        <f aca="false">I90+J47</f>
        <v>539002.730844444</v>
      </c>
      <c r="K90" s="67" t="n">
        <f aca="false">J90+K47</f>
        <v>606455.974977778</v>
      </c>
      <c r="L90" s="67" t="n">
        <f aca="false">K90+L47</f>
        <v>673926.774666667</v>
      </c>
      <c r="M90" s="67" t="n">
        <f aca="false">L90+M47</f>
        <v>741415.129911111</v>
      </c>
      <c r="N90" s="67" t="n">
        <f aca="false">M90+N47</f>
        <v>808921.040711111</v>
      </c>
      <c r="O90" s="67" t="n">
        <f aca="false">N90+O47</f>
        <v>905345.852309467</v>
      </c>
      <c r="P90" s="67" t="n">
        <f aca="false">O90+P47</f>
        <v>1001788.21946338</v>
      </c>
      <c r="Q90" s="67" t="n">
        <f aca="false">P90+Q47</f>
        <v>1098248.14217284</v>
      </c>
      <c r="R90" s="67" t="n">
        <f aca="false">Q90+R47</f>
        <v>1194725.62043787</v>
      </c>
      <c r="S90" s="67" t="n">
        <f aca="false">R90+S47</f>
        <v>1291220.65425845</v>
      </c>
      <c r="T90" s="67" t="n">
        <f aca="false">S90+T47</f>
        <v>1387733.24363458</v>
      </c>
      <c r="U90" s="67" t="n">
        <f aca="false">T90+U47</f>
        <v>1484263.38856627</v>
      </c>
      <c r="V90" s="67" t="n">
        <f aca="false">U90+V47</f>
        <v>1580811.08905351</v>
      </c>
      <c r="W90" s="67" t="n">
        <f aca="false">V90+W47</f>
        <v>1677376.34509631</v>
      </c>
      <c r="X90" s="67" t="n">
        <f aca="false">W90+X47</f>
        <v>1773959.15669467</v>
      </c>
      <c r="Y90" s="67" t="n">
        <f aca="false">X90+Y47</f>
        <v>1870559.52384858</v>
      </c>
      <c r="Z90" s="67" t="n">
        <f aca="false">Y90+Z47</f>
        <v>1967177.44655805</v>
      </c>
      <c r="AA90" s="67" t="n">
        <f aca="false">Z90+AA47</f>
        <v>2102278.31503109</v>
      </c>
      <c r="AB90" s="67" t="n">
        <f aca="false">AA90+AB47</f>
        <v>2237396.73905968</v>
      </c>
      <c r="AC90" s="67" t="n">
        <f aca="false">AB90+AC47</f>
        <v>2372532.71864383</v>
      </c>
      <c r="AD90" s="67" t="n">
        <f aca="false">AC90+AD47</f>
        <v>2507686.25378354</v>
      </c>
      <c r="AE90" s="67" t="n">
        <f aca="false">AD90+AE47</f>
        <v>2642857.3444788</v>
      </c>
      <c r="AF90" s="67" t="n">
        <f aca="false">AE90+AF47</f>
        <v>2778045.99072961</v>
      </c>
      <c r="AG90" s="67" t="n">
        <f aca="false">AF90+AG47</f>
        <v>2913252.19253599</v>
      </c>
      <c r="AH90" s="67" t="n">
        <f aca="false">AG90+AH47</f>
        <v>3048475.94989792</v>
      </c>
      <c r="AI90" s="67" t="n">
        <f aca="false">AH90+AI47</f>
        <v>3183717.2628154</v>
      </c>
      <c r="AJ90" s="67" t="n">
        <f aca="false">AI90+AJ47</f>
        <v>3318976.13128844</v>
      </c>
      <c r="AK90" s="67" t="n">
        <f aca="false">AJ90+AK47</f>
        <v>3454252.55531703</v>
      </c>
      <c r="AL90" s="67" t="n">
        <f aca="false">AK90+AL47</f>
        <v>3589546.53490118</v>
      </c>
      <c r="AM90" s="67" t="n">
        <f aca="false">AL90+AM47</f>
        <v>3776051.30829744</v>
      </c>
      <c r="AN90" s="67" t="n">
        <f aca="false">AM90+AN47</f>
        <v>3962573.63724925</v>
      </c>
      <c r="AO90" s="67" t="n">
        <f aca="false">AN90+AO47</f>
        <v>4149113.52175662</v>
      </c>
      <c r="AP90" s="67" t="n">
        <f aca="false">AO90+AP47</f>
        <v>4335670.96181954</v>
      </c>
      <c r="AQ90" s="67" t="n">
        <f aca="false">AP90+AQ47</f>
        <v>4522245.95743802</v>
      </c>
      <c r="AR90" s="67" t="n">
        <f aca="false">AQ90+AR47</f>
        <v>4708838.50861206</v>
      </c>
      <c r="AS90" s="67" t="n">
        <f aca="false">AR90+AS47</f>
        <v>4895448.61534165</v>
      </c>
      <c r="AT90" s="67" t="n">
        <f aca="false">AS90+AT47</f>
        <v>5082076.2776268</v>
      </c>
      <c r="AU90" s="67" t="n">
        <f aca="false">AT90+AU47</f>
        <v>5268721.4954675</v>
      </c>
      <c r="AV90" s="67" t="n">
        <f aca="false">AU90+AV47</f>
        <v>5455384.26886375</v>
      </c>
      <c r="AW90" s="67" t="n">
        <f aca="false">AV90+AW47</f>
        <v>5642064.59781557</v>
      </c>
      <c r="AX90" s="67" t="n">
        <f aca="false">AW90+AX47</f>
        <v>5828762.48232294</v>
      </c>
      <c r="AY90" s="67" t="n">
        <f aca="false">AX90+AY47</f>
        <v>6083612.72707008</v>
      </c>
      <c r="AZ90" s="67" t="n">
        <f aca="false">AY90+AZ47</f>
        <v>6338480.52737279</v>
      </c>
      <c r="BA90" s="67" t="n">
        <f aca="false">AZ90+BA47</f>
        <v>6593365.88323105</v>
      </c>
      <c r="BB90" s="67" t="n">
        <f aca="false">BA90+BB47</f>
        <v>6848268.79464486</v>
      </c>
      <c r="BC90" s="67" t="n">
        <f aca="false">BB90+BC47</f>
        <v>7103189.26161423</v>
      </c>
      <c r="BD90" s="67" t="n">
        <f aca="false">BC90+BD47</f>
        <v>7358127.28413916</v>
      </c>
      <c r="BE90" s="67" t="n">
        <f aca="false">BD90+BE47</f>
        <v>7613082.86221964</v>
      </c>
      <c r="BF90" s="67" t="n">
        <f aca="false">BE90+BF47</f>
        <v>7868055.99585567</v>
      </c>
      <c r="BG90" s="67" t="n">
        <f aca="false">BF90+BG47</f>
        <v>8123046.68504727</v>
      </c>
      <c r="BH90" s="67" t="n">
        <f aca="false">BG90+BH47</f>
        <v>8378054.92979442</v>
      </c>
      <c r="BI90" s="67" t="n">
        <f aca="false">BH90+BI47</f>
        <v>8633080.73009712</v>
      </c>
      <c r="BJ90" s="67" t="n">
        <f aca="false">BI90+BJ47</f>
        <v>8888124.08595538</v>
      </c>
    </row>
    <row r="91" customFormat="false" ht="15" hidden="false" customHeight="false" outlineLevel="0" collapsed="false">
      <c r="A91" s="4" t="s">
        <v>93</v>
      </c>
      <c r="C91" s="73" t="n">
        <f aca="false">C77+C63+C64+C54</f>
        <v>679954.317466667</v>
      </c>
      <c r="D91" s="73" t="n">
        <f aca="false">D77+D63+D64+D54</f>
        <v>743951.339377778</v>
      </c>
      <c r="E91" s="73" t="n">
        <f aca="false">E77+E63+E64+E54</f>
        <v>807965.916844445</v>
      </c>
      <c r="F91" s="73" t="n">
        <f aca="false">F77+F63+F64+F54</f>
        <v>871998.049866667</v>
      </c>
      <c r="G91" s="73" t="n">
        <f aca="false">G77+G63+G64+G54</f>
        <v>936047.738444445</v>
      </c>
      <c r="H91" s="73" t="n">
        <f aca="false">H77+H63+H64+H54</f>
        <v>1000114.98257778</v>
      </c>
      <c r="I91" s="73" t="n">
        <f aca="false">I77+I63+I64+I54</f>
        <v>1064199.78226667</v>
      </c>
      <c r="J91" s="73" t="n">
        <f aca="false">J77+J63+J64+J54</f>
        <v>1128302.13751111</v>
      </c>
      <c r="K91" s="73" t="n">
        <f aca="false">K77+K63+K64+K54</f>
        <v>1192422.04831111</v>
      </c>
      <c r="L91" s="73" t="n">
        <f aca="false">L77+L63+L64+L54</f>
        <v>1256559.51466667</v>
      </c>
      <c r="M91" s="73" t="n">
        <f aca="false">M77+M63+M64+M54</f>
        <v>1320714.53657778</v>
      </c>
      <c r="N91" s="73" t="n">
        <f aca="false">N77+N63+N64+N54</f>
        <v>1384887.11404444</v>
      </c>
      <c r="O91" s="73" t="n">
        <f aca="false">O77+O63+O64+O54</f>
        <v>1510763.80464947</v>
      </c>
      <c r="P91" s="73" t="n">
        <f aca="false">P77+P63+P64+P54</f>
        <v>1603872.83847004</v>
      </c>
      <c r="Q91" s="73" t="n">
        <f aca="false">Q77+Q63+Q64+Q54</f>
        <v>1696999.42784618</v>
      </c>
      <c r="R91" s="73" t="n">
        <f aca="false">R77+R63+R64+R54</f>
        <v>1790143.57277787</v>
      </c>
      <c r="S91" s="73" t="n">
        <f aca="false">S77+S63+S64+S54</f>
        <v>1883305.27326511</v>
      </c>
      <c r="T91" s="73" t="n">
        <f aca="false">T77+T63+T64+T54</f>
        <v>1976484.52930791</v>
      </c>
      <c r="U91" s="73" t="n">
        <f aca="false">U77+U63+U64+U54</f>
        <v>2069681.34090627</v>
      </c>
      <c r="V91" s="73" t="n">
        <f aca="false">V77+V63+V64+V54</f>
        <v>2162895.70806018</v>
      </c>
      <c r="W91" s="73" t="n">
        <f aca="false">W77+W63+W64+W54</f>
        <v>2256127.63076965</v>
      </c>
      <c r="X91" s="73" t="n">
        <f aca="false">X77+X63+X64+X54</f>
        <v>2349377.10903467</v>
      </c>
      <c r="Y91" s="73" t="n">
        <f aca="false">Y77+Y63+Y64+Y54</f>
        <v>2442644.14285525</v>
      </c>
      <c r="Z91" s="73" t="n">
        <f aca="false">Z77+Z63+Z64+Z54</f>
        <v>2535928.73223138</v>
      </c>
      <c r="AA91" s="73" t="n">
        <f aca="false">AA77+AA63+AA64+AA54</f>
        <v>2710321.90707563</v>
      </c>
      <c r="AB91" s="73" t="n">
        <f aca="false">AB77+AB63+AB64+AB54</f>
        <v>2842106.99777089</v>
      </c>
      <c r="AC91" s="73" t="n">
        <f aca="false">AC77+AC63+AC64+AC54</f>
        <v>2973909.6440217</v>
      </c>
      <c r="AD91" s="73" t="n">
        <f aca="false">AD77+AD63+AD64+AD54</f>
        <v>3105729.84582808</v>
      </c>
      <c r="AE91" s="73" t="n">
        <f aca="false">AE77+AE63+AE64+AE54</f>
        <v>3237567.60319</v>
      </c>
      <c r="AF91" s="73" t="n">
        <f aca="false">AF77+AF63+AF64+AF54</f>
        <v>3369422.91610749</v>
      </c>
      <c r="AG91" s="73" t="n">
        <f aca="false">AG77+AG63+AG64+AG54</f>
        <v>3501295.78458053</v>
      </c>
      <c r="AH91" s="73" t="n">
        <f aca="false">AH77+AH63+AH64+AH54</f>
        <v>3633186.20860912</v>
      </c>
      <c r="AI91" s="73" t="n">
        <f aca="false">AI77+AI63+AI64+AI54</f>
        <v>3765094.18819327</v>
      </c>
      <c r="AJ91" s="73" t="n">
        <f aca="false">AJ77+AJ63+AJ64+AJ54</f>
        <v>3897019.72333298</v>
      </c>
      <c r="AK91" s="73" t="n">
        <f aca="false">AK77+AK63+AK64+AK54</f>
        <v>4028962.81402824</v>
      </c>
      <c r="AL91" s="73" t="n">
        <f aca="false">AL77+AL63+AL64+AL54</f>
        <v>4160923.46027906</v>
      </c>
      <c r="AM91" s="73" t="n">
        <f aca="false">AM77+AM63+AM64+AM54</f>
        <v>4399596.26501762</v>
      </c>
      <c r="AN91" s="73" t="n">
        <f aca="false">AN77+AN63+AN64+AN54</f>
        <v>4582785.2606361</v>
      </c>
      <c r="AO91" s="73" t="n">
        <f aca="false">AO77+AO63+AO64+AO54</f>
        <v>4765991.81181013</v>
      </c>
      <c r="AP91" s="73" t="n">
        <f aca="false">AP77+AP63+AP64+AP54</f>
        <v>4949215.91853973</v>
      </c>
      <c r="AQ91" s="73" t="n">
        <f aca="false">AQ77+AQ63+AQ64+AQ54</f>
        <v>5132457.58082487</v>
      </c>
      <c r="AR91" s="73" t="n">
        <f aca="false">AR77+AR63+AR64+AR54</f>
        <v>5315716.79866557</v>
      </c>
      <c r="AS91" s="73" t="n">
        <f aca="false">AS77+AS63+AS64+AS54</f>
        <v>5498993.57206183</v>
      </c>
      <c r="AT91" s="73" t="n">
        <f aca="false">AT77+AT63+AT64+AT54</f>
        <v>5682287.90101364</v>
      </c>
      <c r="AU91" s="73" t="n">
        <f aca="false">AU77+AU63+AU64+AU54</f>
        <v>5865599.78552101</v>
      </c>
      <c r="AV91" s="73" t="n">
        <f aca="false">AV77+AV63+AV64+AV54</f>
        <v>6048929.22558393</v>
      </c>
      <c r="AW91" s="73" t="n">
        <f aca="false">AW77+AW63+AW64+AW54</f>
        <v>6232276.22120241</v>
      </c>
      <c r="AX91" s="73" t="n">
        <f aca="false">AX77+AX63+AX64+AX54</f>
        <v>6415640.77237645</v>
      </c>
      <c r="AY91" s="73" t="n">
        <f aca="false">AY77+AY63+AY64+AY54</f>
        <v>6739528.09361647</v>
      </c>
      <c r="AZ91" s="73" t="n">
        <f aca="false">AZ77+AZ63+AZ64+AZ54</f>
        <v>6991062.56058584</v>
      </c>
      <c r="BA91" s="73" t="n">
        <f aca="false">BA77+BA63+BA64+BA54</f>
        <v>7242614.58311076</v>
      </c>
      <c r="BB91" s="73" t="n">
        <f aca="false">BB77+BB63+BB64+BB54</f>
        <v>7494184.16119124</v>
      </c>
      <c r="BC91" s="73" t="n">
        <f aca="false">BC77+BC63+BC64+BC54</f>
        <v>7745771.29482728</v>
      </c>
      <c r="BD91" s="73" t="n">
        <f aca="false">BD77+BD63+BD64+BD54</f>
        <v>7997375.98401887</v>
      </c>
      <c r="BE91" s="73" t="n">
        <f aca="false">BE77+BE63+BE64+BE54</f>
        <v>8248998.22876602</v>
      </c>
      <c r="BF91" s="73" t="n">
        <f aca="false">BF77+BF63+BF64+BF54</f>
        <v>8500638.02906872</v>
      </c>
      <c r="BG91" s="73" t="n">
        <f aca="false">BG77+BG63+BG64+BG54</f>
        <v>8752295.38492698</v>
      </c>
      <c r="BH91" s="73" t="n">
        <f aca="false">BH77+BH63+BH64+BH54</f>
        <v>9003970.2963408</v>
      </c>
      <c r="BI91" s="73" t="n">
        <f aca="false">BI77+BI63+BI64+BI54</f>
        <v>9255662.76331017</v>
      </c>
      <c r="BJ91" s="73" t="n">
        <f aca="false">BJ77+BJ63+BJ64+BJ54</f>
        <v>9507372.78583509</v>
      </c>
    </row>
    <row r="92" customFormat="false" ht="15" hidden="false" customHeight="false" outlineLevel="0" collapsed="false">
      <c r="A92" s="6" t="s">
        <v>96</v>
      </c>
      <c r="C92" s="67" t="n">
        <f aca="false">C65+C60</f>
        <v>312632.74</v>
      </c>
      <c r="D92" s="67" t="n">
        <f aca="false">D65+D60</f>
        <v>309299.406666667</v>
      </c>
      <c r="E92" s="67" t="n">
        <f aca="false">E65+E60</f>
        <v>305966.073333333</v>
      </c>
      <c r="F92" s="67" t="n">
        <f aca="false">F65+F60</f>
        <v>302632.74</v>
      </c>
      <c r="G92" s="67" t="n">
        <f aca="false">G65+G60</f>
        <v>299299.406666667</v>
      </c>
      <c r="H92" s="67" t="n">
        <f aca="false">H65+H60</f>
        <v>295966.073333333</v>
      </c>
      <c r="I92" s="67" t="n">
        <f aca="false">I65+I60</f>
        <v>292632.74</v>
      </c>
      <c r="J92" s="67" t="n">
        <f aca="false">J65+J60</f>
        <v>289299.406666667</v>
      </c>
      <c r="K92" s="67" t="n">
        <f aca="false">K65+K60</f>
        <v>285966.073333333</v>
      </c>
      <c r="L92" s="67" t="n">
        <f aca="false">L65+L60</f>
        <v>282632.74</v>
      </c>
      <c r="M92" s="67" t="n">
        <f aca="false">M65+M60</f>
        <v>279299.406666667</v>
      </c>
      <c r="N92" s="67" t="n">
        <f aca="false">N65+N60</f>
        <v>275966.073333333</v>
      </c>
      <c r="O92" s="67" t="n">
        <f aca="false">O65+O60</f>
        <v>305417.95234</v>
      </c>
      <c r="P92" s="67" t="n">
        <f aca="false">P65+P60</f>
        <v>302084.619006667</v>
      </c>
      <c r="Q92" s="67" t="n">
        <f aca="false">Q65+Q60</f>
        <v>298751.285673333</v>
      </c>
      <c r="R92" s="67" t="n">
        <f aca="false">R65+R60</f>
        <v>295417.95234</v>
      </c>
      <c r="S92" s="67" t="n">
        <f aca="false">S65+S60</f>
        <v>292084.619006667</v>
      </c>
      <c r="T92" s="67" t="n">
        <f aca="false">T65+T60</f>
        <v>288751.285673333</v>
      </c>
      <c r="U92" s="67" t="n">
        <f aca="false">U65+U60</f>
        <v>285417.95234</v>
      </c>
      <c r="V92" s="67" t="n">
        <f aca="false">V65+V60</f>
        <v>282084.619006667</v>
      </c>
      <c r="W92" s="67" t="n">
        <f aca="false">W65+W60</f>
        <v>278751.285673333</v>
      </c>
      <c r="X92" s="67" t="n">
        <f aca="false">X65+X60</f>
        <v>275417.95234</v>
      </c>
      <c r="Y92" s="67" t="n">
        <f aca="false">Y65+Y60</f>
        <v>272084.619006667</v>
      </c>
      <c r="Z92" s="67" t="n">
        <f aca="false">Z65+Z60</f>
        <v>268751.285673333</v>
      </c>
      <c r="AA92" s="67" t="n">
        <f aca="false">AA65+AA60</f>
        <v>308043.59204454</v>
      </c>
      <c r="AB92" s="67" t="n">
        <f aca="false">AB65+AB60</f>
        <v>304710.258711206</v>
      </c>
      <c r="AC92" s="67" t="n">
        <f aca="false">AC65+AC60</f>
        <v>301376.925377873</v>
      </c>
      <c r="AD92" s="67" t="n">
        <f aca="false">AD65+AD60</f>
        <v>298043.59204454</v>
      </c>
      <c r="AE92" s="67" t="n">
        <f aca="false">AE65+AE60</f>
        <v>294710.258711207</v>
      </c>
      <c r="AF92" s="67" t="n">
        <f aca="false">AF65+AF60</f>
        <v>291376.925377873</v>
      </c>
      <c r="AG92" s="67" t="n">
        <f aca="false">AG65+AG60</f>
        <v>288043.59204454</v>
      </c>
      <c r="AH92" s="67" t="n">
        <f aca="false">AH65+AH60</f>
        <v>284710.258711207</v>
      </c>
      <c r="AI92" s="67" t="n">
        <f aca="false">AI65+AI60</f>
        <v>281376.925377873</v>
      </c>
      <c r="AJ92" s="67" t="n">
        <f aca="false">AJ65+AJ60</f>
        <v>278043.59204454</v>
      </c>
      <c r="AK92" s="67" t="n">
        <f aca="false">AK65+AK60</f>
        <v>274710.258711207</v>
      </c>
      <c r="AL92" s="67" t="n">
        <f aca="false">AL65+AL60</f>
        <v>271376.925377873</v>
      </c>
      <c r="AM92" s="67" t="n">
        <f aca="false">AM65+AM60</f>
        <v>323544.956720181</v>
      </c>
      <c r="AN92" s="67" t="n">
        <f aca="false">AN65+AN60</f>
        <v>320211.623386848</v>
      </c>
      <c r="AO92" s="67" t="n">
        <f aca="false">AO65+AO60</f>
        <v>316878.290053514</v>
      </c>
      <c r="AP92" s="67" t="n">
        <f aca="false">AP65+AP60</f>
        <v>313544.956720181</v>
      </c>
      <c r="AQ92" s="67" t="n">
        <f aca="false">AQ65+AQ60</f>
        <v>310211.623386848</v>
      </c>
      <c r="AR92" s="67" t="n">
        <f aca="false">AR65+AR60</f>
        <v>306878.290053514</v>
      </c>
      <c r="AS92" s="67" t="n">
        <f aca="false">AS65+AS60</f>
        <v>303544.956720181</v>
      </c>
      <c r="AT92" s="67" t="n">
        <f aca="false">AT65+AT60</f>
        <v>300211.623386848</v>
      </c>
      <c r="AU92" s="67" t="n">
        <f aca="false">AU65+AU60</f>
        <v>296878.290053514</v>
      </c>
      <c r="AV92" s="67" t="n">
        <f aca="false">AV65+AV60</f>
        <v>293544.956720181</v>
      </c>
      <c r="AW92" s="67" t="n">
        <f aca="false">AW65+AW60</f>
        <v>290211.623386848</v>
      </c>
      <c r="AX92" s="67" t="n">
        <f aca="false">AX65+AX60</f>
        <v>286878.290053514</v>
      </c>
      <c r="AY92" s="67" t="n">
        <f aca="false">AY65+AY60</f>
        <v>355915.366546385</v>
      </c>
      <c r="AZ92" s="67" t="n">
        <f aca="false">AZ65+AZ60</f>
        <v>352582.033213051</v>
      </c>
      <c r="BA92" s="67" t="n">
        <f aca="false">BA65+BA60</f>
        <v>349248.699879718</v>
      </c>
      <c r="BB92" s="67" t="n">
        <f aca="false">BB65+BB60</f>
        <v>345915.366546385</v>
      </c>
      <c r="BC92" s="67" t="n">
        <f aca="false">BC65+BC60</f>
        <v>342582.033213051</v>
      </c>
      <c r="BD92" s="67" t="n">
        <f aca="false">BD65+BD60</f>
        <v>339248.699879718</v>
      </c>
      <c r="BE92" s="67" t="n">
        <f aca="false">BE65+BE60</f>
        <v>335915.366546385</v>
      </c>
      <c r="BF92" s="67" t="n">
        <f aca="false">BF65+BF60</f>
        <v>332582.033213051</v>
      </c>
      <c r="BG92" s="67" t="n">
        <f aca="false">BG65+BG60</f>
        <v>329248.699879718</v>
      </c>
      <c r="BH92" s="67" t="n">
        <f aca="false">BH65+BH60</f>
        <v>325915.366546385</v>
      </c>
      <c r="BI92" s="67" t="n">
        <f aca="false">BI65+BI60</f>
        <v>322582.033213051</v>
      </c>
      <c r="BJ92" s="67" t="n">
        <f aca="false">BJ65+BJ60</f>
        <v>319248.699879718</v>
      </c>
    </row>
    <row r="93" customFormat="false" ht="15" hidden="false" customHeight="false" outlineLevel="0" collapsed="false">
      <c r="A93" s="6" t="s">
        <v>99</v>
      </c>
      <c r="C93" s="67" t="n">
        <f aca="false">C89+C90</f>
        <v>367321.577466667</v>
      </c>
      <c r="D93" s="67" t="n">
        <f aca="false">D89+D90</f>
        <v>434651.932711111</v>
      </c>
      <c r="E93" s="67" t="n">
        <f aca="false">E89+E90</f>
        <v>501999.843511111</v>
      </c>
      <c r="F93" s="67" t="n">
        <f aca="false">F89+F90</f>
        <v>569365.309866667</v>
      </c>
      <c r="G93" s="67" t="n">
        <f aca="false">G89+G90</f>
        <v>636748.331777778</v>
      </c>
      <c r="H93" s="67" t="n">
        <f aca="false">H89+H90</f>
        <v>704148.909244445</v>
      </c>
      <c r="I93" s="67" t="n">
        <f aca="false">I89+I90</f>
        <v>771567.042266667</v>
      </c>
      <c r="J93" s="67" t="n">
        <f aca="false">J89+J90</f>
        <v>839002.730844444</v>
      </c>
      <c r="K93" s="67" t="n">
        <f aca="false">K89+K90</f>
        <v>906455.974977778</v>
      </c>
      <c r="L93" s="67" t="n">
        <f aca="false">L89+L90</f>
        <v>973926.774666667</v>
      </c>
      <c r="M93" s="67" t="n">
        <f aca="false">M89+M90</f>
        <v>1041415.12991111</v>
      </c>
      <c r="N93" s="67" t="n">
        <f aca="false">N89+N90</f>
        <v>1108921.04071111</v>
      </c>
      <c r="O93" s="67" t="n">
        <f aca="false">O89+O90</f>
        <v>1205345.85230947</v>
      </c>
      <c r="P93" s="67" t="n">
        <f aca="false">P89+P90</f>
        <v>1301788.21946338</v>
      </c>
      <c r="Q93" s="67" t="n">
        <f aca="false">Q89+Q90</f>
        <v>1398248.14217284</v>
      </c>
      <c r="R93" s="67" t="n">
        <f aca="false">R89+R90</f>
        <v>1494725.62043787</v>
      </c>
      <c r="S93" s="67" t="n">
        <f aca="false">S89+S90</f>
        <v>1591220.65425845</v>
      </c>
      <c r="T93" s="67" t="n">
        <f aca="false">T89+T90</f>
        <v>1687733.24363458</v>
      </c>
      <c r="U93" s="67" t="n">
        <f aca="false">U89+U90</f>
        <v>1784263.38856627</v>
      </c>
      <c r="V93" s="67" t="n">
        <f aca="false">V89+V90</f>
        <v>1880811.08905351</v>
      </c>
      <c r="W93" s="67" t="n">
        <f aca="false">W89+W90</f>
        <v>1977376.34509631</v>
      </c>
      <c r="X93" s="67" t="n">
        <f aca="false">X89+X90</f>
        <v>2073959.15669467</v>
      </c>
      <c r="Y93" s="67" t="n">
        <f aca="false">Y89+Y90</f>
        <v>2170559.52384858</v>
      </c>
      <c r="Z93" s="67" t="n">
        <f aca="false">Z89+Z90</f>
        <v>2267177.44655805</v>
      </c>
      <c r="AA93" s="67" t="n">
        <f aca="false">AA89+AA90</f>
        <v>2402278.31503109</v>
      </c>
      <c r="AB93" s="67" t="n">
        <f aca="false">AB89+AB90</f>
        <v>2537396.73905968</v>
      </c>
      <c r="AC93" s="67" t="n">
        <f aca="false">AC89+AC90</f>
        <v>2672532.71864383</v>
      </c>
      <c r="AD93" s="67" t="n">
        <f aca="false">AD89+AD90</f>
        <v>2807686.25378354</v>
      </c>
      <c r="AE93" s="67" t="n">
        <f aca="false">AE89+AE90</f>
        <v>2942857.3444788</v>
      </c>
      <c r="AF93" s="67" t="n">
        <f aca="false">AF89+AF90</f>
        <v>3078045.99072961</v>
      </c>
      <c r="AG93" s="67" t="n">
        <f aca="false">AG89+AG90</f>
        <v>3213252.19253599</v>
      </c>
      <c r="AH93" s="67" t="n">
        <f aca="false">AH89+AH90</f>
        <v>3348475.94989792</v>
      </c>
      <c r="AI93" s="67" t="n">
        <f aca="false">AI89+AI90</f>
        <v>3483717.2628154</v>
      </c>
      <c r="AJ93" s="67" t="n">
        <f aca="false">AJ89+AJ90</f>
        <v>3618976.13128844</v>
      </c>
      <c r="AK93" s="67" t="n">
        <f aca="false">AK89+AK90</f>
        <v>3754252.55531703</v>
      </c>
      <c r="AL93" s="67" t="n">
        <f aca="false">AL89+AL90</f>
        <v>3889546.53490118</v>
      </c>
      <c r="AM93" s="67" t="n">
        <f aca="false">AM89+AM90</f>
        <v>4076051.30829744</v>
      </c>
      <c r="AN93" s="67" t="n">
        <f aca="false">AN89+AN90</f>
        <v>4262573.63724925</v>
      </c>
      <c r="AO93" s="67" t="n">
        <f aca="false">AO89+AO90</f>
        <v>4449113.52175662</v>
      </c>
      <c r="AP93" s="67" t="n">
        <f aca="false">AP89+AP90</f>
        <v>4635670.96181954</v>
      </c>
      <c r="AQ93" s="67" t="n">
        <f aca="false">AQ89+AQ90</f>
        <v>4822245.95743802</v>
      </c>
      <c r="AR93" s="67" t="n">
        <f aca="false">AR89+AR90</f>
        <v>5008838.50861206</v>
      </c>
      <c r="AS93" s="67" t="n">
        <f aca="false">AS89+AS90</f>
        <v>5195448.61534165</v>
      </c>
      <c r="AT93" s="67" t="n">
        <f aca="false">AT89+AT90</f>
        <v>5382076.2776268</v>
      </c>
      <c r="AU93" s="67" t="n">
        <f aca="false">AU89+AU90</f>
        <v>5568721.4954675</v>
      </c>
      <c r="AV93" s="67" t="n">
        <f aca="false">AV89+AV90</f>
        <v>5755384.26886375</v>
      </c>
      <c r="AW93" s="67" t="n">
        <f aca="false">AW89+AW90</f>
        <v>5942064.59781557</v>
      </c>
      <c r="AX93" s="67" t="n">
        <f aca="false">AX89+AX90</f>
        <v>6128762.48232294</v>
      </c>
      <c r="AY93" s="67" t="n">
        <f aca="false">AY89+AY90</f>
        <v>6383612.72707008</v>
      </c>
      <c r="AZ93" s="67" t="n">
        <f aca="false">AZ89+AZ90</f>
        <v>6638480.52737279</v>
      </c>
      <c r="BA93" s="67" t="n">
        <f aca="false">BA89+BA90</f>
        <v>6893365.88323105</v>
      </c>
      <c r="BB93" s="67" t="n">
        <f aca="false">BB89+BB90</f>
        <v>7148268.79464486</v>
      </c>
      <c r="BC93" s="67" t="n">
        <f aca="false">BC89+BC90</f>
        <v>7403189.26161423</v>
      </c>
      <c r="BD93" s="67" t="n">
        <f aca="false">BD89+BD90</f>
        <v>7658127.28413916</v>
      </c>
      <c r="BE93" s="67" t="n">
        <f aca="false">BE89+BE90</f>
        <v>7913082.86221964</v>
      </c>
      <c r="BF93" s="67" t="n">
        <f aca="false">BF89+BF90</f>
        <v>8168055.99585567</v>
      </c>
      <c r="BG93" s="67" t="n">
        <f aca="false">BG89+BG90</f>
        <v>8423046.68504727</v>
      </c>
      <c r="BH93" s="67" t="n">
        <f aca="false">BH89+BH90</f>
        <v>8678054.92979442</v>
      </c>
      <c r="BI93" s="67" t="n">
        <f aca="false">BI89+BI90</f>
        <v>8933080.73009712</v>
      </c>
      <c r="BJ93" s="67" t="n">
        <f aca="false">BJ89+BJ90</f>
        <v>9188124.08595538</v>
      </c>
    </row>
    <row r="94" customFormat="false" ht="15" hidden="false" customHeight="false" outlineLevel="0" collapsed="false">
      <c r="A94" s="4" t="s">
        <v>100</v>
      </c>
      <c r="C94" s="73" t="n">
        <f aca="false">C92+C93</f>
        <v>679954.317466667</v>
      </c>
      <c r="D94" s="73" t="n">
        <f aca="false">D92+D93</f>
        <v>743951.339377778</v>
      </c>
      <c r="E94" s="73" t="n">
        <f aca="false">E92+E93</f>
        <v>807965.916844444</v>
      </c>
      <c r="F94" s="73" t="n">
        <f aca="false">F92+F93</f>
        <v>871998.049866667</v>
      </c>
      <c r="G94" s="73" t="n">
        <f aca="false">G92+G93</f>
        <v>936047.738444444</v>
      </c>
      <c r="H94" s="73" t="n">
        <f aca="false">H92+H93</f>
        <v>1000114.98257778</v>
      </c>
      <c r="I94" s="73" t="n">
        <f aca="false">I92+I93</f>
        <v>1064199.78226667</v>
      </c>
      <c r="J94" s="73" t="n">
        <f aca="false">J92+J93</f>
        <v>1128302.13751111</v>
      </c>
      <c r="K94" s="73" t="n">
        <f aca="false">K92+K93</f>
        <v>1192422.04831111</v>
      </c>
      <c r="L94" s="73" t="n">
        <f aca="false">L92+L93</f>
        <v>1256559.51466667</v>
      </c>
      <c r="M94" s="73" t="n">
        <f aca="false">M92+M93</f>
        <v>1320714.53657778</v>
      </c>
      <c r="N94" s="73" t="n">
        <f aca="false">N92+N93</f>
        <v>1384887.11404444</v>
      </c>
      <c r="O94" s="73" t="n">
        <f aca="false">O92+O93</f>
        <v>1510763.80464947</v>
      </c>
      <c r="P94" s="73" t="n">
        <f aca="false">P92+P93</f>
        <v>1603872.83847004</v>
      </c>
      <c r="Q94" s="73" t="n">
        <f aca="false">Q92+Q93</f>
        <v>1696999.42784618</v>
      </c>
      <c r="R94" s="73" t="n">
        <f aca="false">R92+R93</f>
        <v>1790143.57277787</v>
      </c>
      <c r="S94" s="73" t="n">
        <f aca="false">S92+S93</f>
        <v>1883305.27326511</v>
      </c>
      <c r="T94" s="73" t="n">
        <f aca="false">T92+T93</f>
        <v>1976484.52930791</v>
      </c>
      <c r="U94" s="73" t="n">
        <f aca="false">U92+U93</f>
        <v>2069681.34090627</v>
      </c>
      <c r="V94" s="73" t="n">
        <f aca="false">V92+V93</f>
        <v>2162895.70806018</v>
      </c>
      <c r="W94" s="73" t="n">
        <f aca="false">W92+W93</f>
        <v>2256127.63076965</v>
      </c>
      <c r="X94" s="73" t="n">
        <f aca="false">X92+X93</f>
        <v>2349377.10903467</v>
      </c>
      <c r="Y94" s="73" t="n">
        <f aca="false">Y92+Y93</f>
        <v>2442644.14285525</v>
      </c>
      <c r="Z94" s="73" t="n">
        <f aca="false">Z92+Z93</f>
        <v>2535928.73223138</v>
      </c>
      <c r="AA94" s="73" t="n">
        <f aca="false">AA92+AA93</f>
        <v>2710321.90707563</v>
      </c>
      <c r="AB94" s="73" t="n">
        <f aca="false">AB92+AB93</f>
        <v>2842106.99777089</v>
      </c>
      <c r="AC94" s="73" t="n">
        <f aca="false">AC92+AC93</f>
        <v>2973909.6440217</v>
      </c>
      <c r="AD94" s="73" t="n">
        <f aca="false">AD92+AD93</f>
        <v>3105729.84582808</v>
      </c>
      <c r="AE94" s="73" t="n">
        <f aca="false">AE92+AE93</f>
        <v>3237567.60319</v>
      </c>
      <c r="AF94" s="73" t="n">
        <f aca="false">AF92+AF93</f>
        <v>3369422.91610749</v>
      </c>
      <c r="AG94" s="73" t="n">
        <f aca="false">AG92+AG93</f>
        <v>3501295.78458053</v>
      </c>
      <c r="AH94" s="73" t="n">
        <f aca="false">AH92+AH93</f>
        <v>3633186.20860912</v>
      </c>
      <c r="AI94" s="73" t="n">
        <f aca="false">AI92+AI93</f>
        <v>3765094.18819327</v>
      </c>
      <c r="AJ94" s="73" t="n">
        <f aca="false">AJ92+AJ93</f>
        <v>3897019.72333298</v>
      </c>
      <c r="AK94" s="73" t="n">
        <f aca="false">AK92+AK93</f>
        <v>4028962.81402824</v>
      </c>
      <c r="AL94" s="73" t="n">
        <f aca="false">AL92+AL93</f>
        <v>4160923.46027906</v>
      </c>
      <c r="AM94" s="73" t="n">
        <f aca="false">AM92+AM93</f>
        <v>4399596.26501762</v>
      </c>
      <c r="AN94" s="73" t="n">
        <f aca="false">AN92+AN93</f>
        <v>4582785.2606361</v>
      </c>
      <c r="AO94" s="73" t="n">
        <f aca="false">AO92+AO93</f>
        <v>4765991.81181014</v>
      </c>
      <c r="AP94" s="73" t="n">
        <f aca="false">AP92+AP93</f>
        <v>4949215.91853973</v>
      </c>
      <c r="AQ94" s="73" t="n">
        <f aca="false">AQ92+AQ93</f>
        <v>5132457.58082487</v>
      </c>
      <c r="AR94" s="73" t="n">
        <f aca="false">AR92+AR93</f>
        <v>5315716.79866557</v>
      </c>
      <c r="AS94" s="73" t="n">
        <f aca="false">AS92+AS93</f>
        <v>5498993.57206183</v>
      </c>
      <c r="AT94" s="73" t="n">
        <f aca="false">AT92+AT93</f>
        <v>5682287.90101364</v>
      </c>
      <c r="AU94" s="73" t="n">
        <f aca="false">AU92+AU93</f>
        <v>5865599.78552101</v>
      </c>
      <c r="AV94" s="73" t="n">
        <f aca="false">AV92+AV93</f>
        <v>6048929.22558394</v>
      </c>
      <c r="AW94" s="73" t="n">
        <f aca="false">AW92+AW93</f>
        <v>6232276.22120241</v>
      </c>
      <c r="AX94" s="73" t="n">
        <f aca="false">AX92+AX93</f>
        <v>6415640.77237645</v>
      </c>
      <c r="AY94" s="73" t="n">
        <f aca="false">AY92+AY93</f>
        <v>6739528.09361647</v>
      </c>
      <c r="AZ94" s="73" t="n">
        <f aca="false">AZ92+AZ93</f>
        <v>6991062.56058584</v>
      </c>
      <c r="BA94" s="73" t="n">
        <f aca="false">BA92+BA93</f>
        <v>7242614.58311076</v>
      </c>
      <c r="BB94" s="73" t="n">
        <f aca="false">BB92+BB93</f>
        <v>7494184.16119125</v>
      </c>
      <c r="BC94" s="73" t="n">
        <f aca="false">BC92+BC93</f>
        <v>7745771.29482728</v>
      </c>
      <c r="BD94" s="73" t="n">
        <f aca="false">BD92+BD93</f>
        <v>7997375.98401887</v>
      </c>
      <c r="BE94" s="73" t="n">
        <f aca="false">BE92+BE93</f>
        <v>8248998.22876602</v>
      </c>
      <c r="BF94" s="73" t="n">
        <f aca="false">BF92+BF93</f>
        <v>8500638.02906873</v>
      </c>
      <c r="BG94" s="73" t="n">
        <f aca="false">BG92+BG93</f>
        <v>8752295.38492698</v>
      </c>
      <c r="BH94" s="73" t="n">
        <f aca="false">BH92+BH93</f>
        <v>9003970.2963408</v>
      </c>
      <c r="BI94" s="73" t="n">
        <f aca="false">BI92+BI93</f>
        <v>9255662.76331017</v>
      </c>
      <c r="BJ94" s="73" t="n">
        <f aca="false">BJ92+BJ93</f>
        <v>9507372.7858351</v>
      </c>
    </row>
    <row r="95" customFormat="false" ht="15" hidden="false" customHeight="false" outlineLevel="0" collapsed="false">
      <c r="A95" s="6" t="s">
        <v>434</v>
      </c>
      <c r="C95" s="67" t="n">
        <f aca="false">C91-C94</f>
        <v>0</v>
      </c>
      <c r="D95" s="67" t="n">
        <f aca="false">D91-D94</f>
        <v>0</v>
      </c>
      <c r="E95" s="67" t="n">
        <f aca="false">E91-E94</f>
        <v>0</v>
      </c>
      <c r="F95" s="67" t="n">
        <f aca="false">F91-F94</f>
        <v>0</v>
      </c>
      <c r="G95" s="67" t="n">
        <f aca="false">G91-G94</f>
        <v>0</v>
      </c>
      <c r="H95" s="67" t="n">
        <f aca="false">H91-H94</f>
        <v>0</v>
      </c>
      <c r="I95" s="67" t="n">
        <f aca="false">I91-I94</f>
        <v>0</v>
      </c>
      <c r="J95" s="67" t="n">
        <f aca="false">J91-J94</f>
        <v>0</v>
      </c>
      <c r="K95" s="67" t="n">
        <f aca="false">K91-K94</f>
        <v>0</v>
      </c>
      <c r="L95" s="67" t="n">
        <f aca="false">L91-L94</f>
        <v>0</v>
      </c>
      <c r="M95" s="67" t="n">
        <f aca="false">M91-M94</f>
        <v>0</v>
      </c>
      <c r="N95" s="67" t="n">
        <f aca="false">N91-N94</f>
        <v>0</v>
      </c>
      <c r="O95" s="67" t="n">
        <f aca="false">O91-O94</f>
        <v>0</v>
      </c>
      <c r="P95" s="67" t="n">
        <f aca="false">P91-P94</f>
        <v>0</v>
      </c>
      <c r="Q95" s="67" t="n">
        <f aca="false">Q91-Q94</f>
        <v>0</v>
      </c>
      <c r="R95" s="67" t="n">
        <f aca="false">R91-R94</f>
        <v>0</v>
      </c>
      <c r="S95" s="67" t="n">
        <f aca="false">S91-S94</f>
        <v>0</v>
      </c>
      <c r="T95" s="67" t="n">
        <f aca="false">T91-T94</f>
        <v>0</v>
      </c>
      <c r="U95" s="67" t="n">
        <f aca="false">U91-U94</f>
        <v>0</v>
      </c>
      <c r="V95" s="67" t="n">
        <f aca="false">V91-V94</f>
        <v>0</v>
      </c>
      <c r="W95" s="67" t="n">
        <f aca="false">W91-W94</f>
        <v>0</v>
      </c>
      <c r="X95" s="67" t="n">
        <f aca="false">X91-X94</f>
        <v>0</v>
      </c>
      <c r="Y95" s="67" t="n">
        <f aca="false">Y91-Y94</f>
        <v>0</v>
      </c>
      <c r="Z95" s="67" t="n">
        <f aca="false">Z91-Z94</f>
        <v>0</v>
      </c>
      <c r="AA95" s="67" t="n">
        <f aca="false">AA91-AA94</f>
        <v>0</v>
      </c>
      <c r="AB95" s="67" t="n">
        <f aca="false">AB91-AB94</f>
        <v>0</v>
      </c>
      <c r="AC95" s="67" t="n">
        <f aca="false">AC91-AC94</f>
        <v>0</v>
      </c>
      <c r="AD95" s="67" t="n">
        <f aca="false">AD91-AD94</f>
        <v>0</v>
      </c>
      <c r="AE95" s="67" t="n">
        <f aca="false">AE91-AE94</f>
        <v>0</v>
      </c>
      <c r="AF95" s="67" t="n">
        <f aca="false">AF91-AF94</f>
        <v>0</v>
      </c>
      <c r="AG95" s="67" t="n">
        <f aca="false">AG91-AG94</f>
        <v>0</v>
      </c>
      <c r="AH95" s="67" t="n">
        <f aca="false">AH91-AH94</f>
        <v>0</v>
      </c>
      <c r="AI95" s="67" t="n">
        <f aca="false">AI91-AI94</f>
        <v>0</v>
      </c>
      <c r="AJ95" s="67" t="n">
        <f aca="false">AJ91-AJ94</f>
        <v>0</v>
      </c>
      <c r="AK95" s="67" t="n">
        <f aca="false">AK91-AK94</f>
        <v>0</v>
      </c>
      <c r="AL95" s="67" t="n">
        <f aca="false">AL91-AL94</f>
        <v>0</v>
      </c>
      <c r="AM95" s="67" t="n">
        <f aca="false">AM91-AM94</f>
        <v>0</v>
      </c>
      <c r="AN95" s="67" t="n">
        <f aca="false">AN91-AN94</f>
        <v>0</v>
      </c>
      <c r="AO95" s="67" t="n">
        <f aca="false">AO91-AO94</f>
        <v>0</v>
      </c>
      <c r="AP95" s="67" t="n">
        <f aca="false">AP91-AP94</f>
        <v>0</v>
      </c>
      <c r="AQ95" s="67" t="n">
        <f aca="false">AQ91-AQ94</f>
        <v>0</v>
      </c>
      <c r="AR95" s="67" t="n">
        <f aca="false">AR91-AR94</f>
        <v>0</v>
      </c>
      <c r="AS95" s="67" t="n">
        <f aca="false">AS91-AS94</f>
        <v>0</v>
      </c>
      <c r="AT95" s="67" t="n">
        <f aca="false">AT91-AT94</f>
        <v>0</v>
      </c>
      <c r="AU95" s="67" t="n">
        <f aca="false">AU91-AU94</f>
        <v>0</v>
      </c>
      <c r="AV95" s="67" t="n">
        <f aca="false">AV91-AV94</f>
        <v>0</v>
      </c>
      <c r="AW95" s="67" t="n">
        <f aca="false">AW91-AW94</f>
        <v>0</v>
      </c>
      <c r="AX95" s="67" t="n">
        <f aca="false">AX91-AX94</f>
        <v>0</v>
      </c>
      <c r="AY95" s="67" t="n">
        <f aca="false">AY91-AY94</f>
        <v>0</v>
      </c>
      <c r="AZ95" s="67" t="n">
        <f aca="false">AZ91-AZ94</f>
        <v>0</v>
      </c>
      <c r="BA95" s="67" t="n">
        <f aca="false">BA91-BA94</f>
        <v>0</v>
      </c>
      <c r="BB95" s="67" t="n">
        <f aca="false">BB91-BB94</f>
        <v>0</v>
      </c>
      <c r="BC95" s="67" t="n">
        <f aca="false">BC91-BC94</f>
        <v>0</v>
      </c>
      <c r="BD95" s="67" t="n">
        <f aca="false">BD91-BD94</f>
        <v>0</v>
      </c>
      <c r="BE95" s="67" t="n">
        <f aca="false">BE91-BE94</f>
        <v>0</v>
      </c>
      <c r="BF95" s="67" t="n">
        <f aca="false">BF91-BF94</f>
        <v>0</v>
      </c>
      <c r="BG95" s="67" t="n">
        <f aca="false">BG91-BG94</f>
        <v>0</v>
      </c>
      <c r="BH95" s="67" t="n">
        <f aca="false">BH91-BH94</f>
        <v>0</v>
      </c>
      <c r="BI95" s="67" t="n">
        <f aca="false">BI91-BI94</f>
        <v>0</v>
      </c>
      <c r="BJ95" s="67" t="n">
        <f aca="false">BJ91-BJ94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435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33" t="s">
        <v>340</v>
      </c>
      <c r="C3" s="52" t="s">
        <v>341</v>
      </c>
      <c r="D3" s="52" t="s">
        <v>342</v>
      </c>
      <c r="E3" s="52" t="s">
        <v>343</v>
      </c>
      <c r="F3" s="52" t="s">
        <v>344</v>
      </c>
      <c r="G3" s="52" t="s">
        <v>345</v>
      </c>
      <c r="H3" s="52" t="s">
        <v>346</v>
      </c>
      <c r="I3" s="52" t="s">
        <v>347</v>
      </c>
      <c r="J3" s="52" t="s">
        <v>348</v>
      </c>
      <c r="K3" s="52" t="s">
        <v>349</v>
      </c>
      <c r="L3" s="52" t="s">
        <v>350</v>
      </c>
      <c r="M3" s="52" t="s">
        <v>351</v>
      </c>
      <c r="N3" s="52" t="s">
        <v>352</v>
      </c>
      <c r="O3" s="52" t="s">
        <v>353</v>
      </c>
      <c r="P3" s="52" t="s">
        <v>354</v>
      </c>
      <c r="Q3" s="52" t="s">
        <v>355</v>
      </c>
      <c r="R3" s="52" t="s">
        <v>356</v>
      </c>
      <c r="S3" s="52" t="s">
        <v>357</v>
      </c>
      <c r="T3" s="52" t="s">
        <v>358</v>
      </c>
      <c r="U3" s="52" t="s">
        <v>359</v>
      </c>
      <c r="V3" s="52" t="s">
        <v>360</v>
      </c>
      <c r="W3" s="52" t="s">
        <v>361</v>
      </c>
      <c r="X3" s="52" t="s">
        <v>362</v>
      </c>
      <c r="Y3" s="52" t="s">
        <v>363</v>
      </c>
      <c r="Z3" s="52" t="s">
        <v>364</v>
      </c>
      <c r="AA3" s="52" t="s">
        <v>365</v>
      </c>
      <c r="AB3" s="52" t="s">
        <v>366</v>
      </c>
      <c r="AC3" s="52" t="s">
        <v>367</v>
      </c>
      <c r="AD3" s="52" t="s">
        <v>368</v>
      </c>
      <c r="AE3" s="52" t="s">
        <v>369</v>
      </c>
      <c r="AF3" s="52" t="s">
        <v>370</v>
      </c>
      <c r="AG3" s="52" t="s">
        <v>371</v>
      </c>
      <c r="AH3" s="52" t="s">
        <v>372</v>
      </c>
      <c r="AI3" s="52" t="s">
        <v>373</v>
      </c>
      <c r="AJ3" s="52" t="s">
        <v>374</v>
      </c>
      <c r="AK3" s="52" t="s">
        <v>375</v>
      </c>
      <c r="AL3" s="52" t="s">
        <v>376</v>
      </c>
      <c r="AM3" s="52" t="s">
        <v>377</v>
      </c>
      <c r="AN3" s="52" t="s">
        <v>378</v>
      </c>
      <c r="AO3" s="52" t="s">
        <v>379</v>
      </c>
      <c r="AP3" s="52" t="s">
        <v>380</v>
      </c>
      <c r="AQ3" s="52" t="s">
        <v>381</v>
      </c>
      <c r="AR3" s="52" t="s">
        <v>382</v>
      </c>
      <c r="AS3" s="52" t="s">
        <v>383</v>
      </c>
      <c r="AT3" s="52" t="s">
        <v>384</v>
      </c>
      <c r="AU3" s="52" t="s">
        <v>385</v>
      </c>
      <c r="AV3" s="52" t="s">
        <v>386</v>
      </c>
      <c r="AW3" s="52" t="s">
        <v>387</v>
      </c>
      <c r="AX3" s="52" t="s">
        <v>388</v>
      </c>
      <c r="AY3" s="52" t="s">
        <v>389</v>
      </c>
      <c r="AZ3" s="52" t="s">
        <v>390</v>
      </c>
      <c r="BA3" s="52" t="s">
        <v>391</v>
      </c>
      <c r="BB3" s="52" t="s">
        <v>392</v>
      </c>
      <c r="BC3" s="52" t="s">
        <v>393</v>
      </c>
      <c r="BD3" s="52" t="s">
        <v>394</v>
      </c>
      <c r="BE3" s="52" t="s">
        <v>395</v>
      </c>
      <c r="BF3" s="52" t="s">
        <v>396</v>
      </c>
      <c r="BG3" s="52" t="s">
        <v>397</v>
      </c>
      <c r="BH3" s="52" t="s">
        <v>398</v>
      </c>
      <c r="BI3" s="52" t="s">
        <v>399</v>
      </c>
      <c r="BJ3" s="52" t="s">
        <v>400</v>
      </c>
    </row>
    <row r="4" customFormat="false" ht="15" hidden="false" customHeight="false" outlineLevel="0" collapsed="false">
      <c r="A4" s="72" t="s">
        <v>401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436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437</v>
      </c>
      <c r="C8" s="116" t="n">
        <f aca="false">Inputs!$E$34*(1+Inputs!$E$36)^(C$5-1)*MAX(0,MIN(1,C$4*1-Inputs!$E$37+1))/1</f>
        <v>4</v>
      </c>
      <c r="D8" s="116" t="n">
        <f aca="false">Inputs!$E$34*(1+Inputs!$E$36)^(D$5-1)*MAX(0,MIN(1,D$4*1-Inputs!$E$37+1))/1</f>
        <v>4</v>
      </c>
      <c r="E8" s="116" t="n">
        <f aca="false">Inputs!$E$34*(1+Inputs!$E$36)^(E$5-1)*MAX(0,MIN(1,E$4*1-Inputs!$E$37+1))/1</f>
        <v>4</v>
      </c>
      <c r="F8" s="116" t="n">
        <f aca="false">Inputs!$E$34*(1+Inputs!$E$36)^(F$5-1)*MAX(0,MIN(1,F$4*1-Inputs!$E$37+1))/1</f>
        <v>4</v>
      </c>
      <c r="G8" s="116" t="n">
        <f aca="false">Inputs!$E$34*(1+Inputs!$E$36)^(G$5-1)*MAX(0,MIN(1,G$4*1-Inputs!$E$37+1))/1</f>
        <v>4</v>
      </c>
      <c r="H8" s="116" t="n">
        <f aca="false">Inputs!$E$34*(1+Inputs!$E$36)^(H$5-1)*MAX(0,MIN(1,H$4*1-Inputs!$E$37+1))/1</f>
        <v>4</v>
      </c>
      <c r="I8" s="116" t="n">
        <f aca="false">Inputs!$E$34*(1+Inputs!$E$36)^(I$5-1)*MAX(0,MIN(1,I$4*1-Inputs!$E$37+1))/1</f>
        <v>4</v>
      </c>
      <c r="J8" s="116" t="n">
        <f aca="false">Inputs!$E$34*(1+Inputs!$E$36)^(J$5-1)*MAX(0,MIN(1,J$4*1-Inputs!$E$37+1))/1</f>
        <v>4</v>
      </c>
      <c r="K8" s="116" t="n">
        <f aca="false">Inputs!$E$34*(1+Inputs!$E$36)^(K$5-1)*MAX(0,MIN(1,K$4*1-Inputs!$E$37+1))/1</f>
        <v>4</v>
      </c>
      <c r="L8" s="116" t="n">
        <f aca="false">Inputs!$E$34*(1+Inputs!$E$36)^(L$5-1)*MAX(0,MIN(1,L$4*1-Inputs!$E$37+1))/1</f>
        <v>4</v>
      </c>
      <c r="M8" s="116" t="n">
        <f aca="false">Inputs!$E$34*(1+Inputs!$E$36)^(M$5-1)*MAX(0,MIN(1,M$4*1-Inputs!$E$37+1))/1</f>
        <v>4</v>
      </c>
      <c r="N8" s="116" t="n">
        <f aca="false">Inputs!$E$34*(1+Inputs!$E$36)^(N$5-1)*MAX(0,MIN(1,N$4*1-Inputs!$E$37+1))/1</f>
        <v>4</v>
      </c>
      <c r="O8" s="116" t="n">
        <f aca="false">Inputs!$E$34*(1+Inputs!$E$36)^(O$5-1)*MAX(0,MIN(1,O$4*1-Inputs!$E$37+1))/1</f>
        <v>4.8</v>
      </c>
      <c r="P8" s="116" t="n">
        <f aca="false">Inputs!$E$34*(1+Inputs!$E$36)^(P$5-1)*MAX(0,MIN(1,P$4*1-Inputs!$E$37+1))/1</f>
        <v>4.8</v>
      </c>
      <c r="Q8" s="116" t="n">
        <f aca="false">Inputs!$E$34*(1+Inputs!$E$36)^(Q$5-1)*MAX(0,MIN(1,Q$4*1-Inputs!$E$37+1))/1</f>
        <v>4.8</v>
      </c>
      <c r="R8" s="116" t="n">
        <f aca="false">Inputs!$E$34*(1+Inputs!$E$36)^(R$5-1)*MAX(0,MIN(1,R$4*1-Inputs!$E$37+1))/1</f>
        <v>4.8</v>
      </c>
      <c r="S8" s="116" t="n">
        <f aca="false">Inputs!$E$34*(1+Inputs!$E$36)^(S$5-1)*MAX(0,MIN(1,S$4*1-Inputs!$E$37+1))/1</f>
        <v>4.8</v>
      </c>
      <c r="T8" s="116" t="n">
        <f aca="false">Inputs!$E$34*(1+Inputs!$E$36)^(T$5-1)*MAX(0,MIN(1,T$4*1-Inputs!$E$37+1))/1</f>
        <v>4.8</v>
      </c>
      <c r="U8" s="116" t="n">
        <f aca="false">Inputs!$E$34*(1+Inputs!$E$36)^(U$5-1)*MAX(0,MIN(1,U$4*1-Inputs!$E$37+1))/1</f>
        <v>4.8</v>
      </c>
      <c r="V8" s="116" t="n">
        <f aca="false">Inputs!$E$34*(1+Inputs!$E$36)^(V$5-1)*MAX(0,MIN(1,V$4*1-Inputs!$E$37+1))/1</f>
        <v>4.8</v>
      </c>
      <c r="W8" s="116" t="n">
        <f aca="false">Inputs!$E$34*(1+Inputs!$E$36)^(W$5-1)*MAX(0,MIN(1,W$4*1-Inputs!$E$37+1))/1</f>
        <v>4.8</v>
      </c>
      <c r="X8" s="116" t="n">
        <f aca="false">Inputs!$E$34*(1+Inputs!$E$36)^(X$5-1)*MAX(0,MIN(1,X$4*1-Inputs!$E$37+1))/1</f>
        <v>4.8</v>
      </c>
      <c r="Y8" s="116" t="n">
        <f aca="false">Inputs!$E$34*(1+Inputs!$E$36)^(Y$5-1)*MAX(0,MIN(1,Y$4*1-Inputs!$E$37+1))/1</f>
        <v>4.8</v>
      </c>
      <c r="Z8" s="116" t="n">
        <f aca="false">Inputs!$E$34*(1+Inputs!$E$36)^(Z$5-1)*MAX(0,MIN(1,Z$4*1-Inputs!$E$37+1))/1</f>
        <v>4.8</v>
      </c>
      <c r="AA8" s="116" t="n">
        <f aca="false">Inputs!$E$34*(1+Inputs!$E$36)^(AA$5-1)*MAX(0,MIN(1,AA$4*1-Inputs!$E$37+1))/1</f>
        <v>5.76</v>
      </c>
      <c r="AB8" s="116" t="n">
        <f aca="false">Inputs!$E$34*(1+Inputs!$E$36)^(AB$5-1)*MAX(0,MIN(1,AB$4*1-Inputs!$E$37+1))/1</f>
        <v>5.76</v>
      </c>
      <c r="AC8" s="116" t="n">
        <f aca="false">Inputs!$E$34*(1+Inputs!$E$36)^(AC$5-1)*MAX(0,MIN(1,AC$4*1-Inputs!$E$37+1))/1</f>
        <v>5.76</v>
      </c>
      <c r="AD8" s="116" t="n">
        <f aca="false">Inputs!$E$34*(1+Inputs!$E$36)^(AD$5-1)*MAX(0,MIN(1,AD$4*1-Inputs!$E$37+1))/1</f>
        <v>5.76</v>
      </c>
      <c r="AE8" s="116" t="n">
        <f aca="false">Inputs!$E$34*(1+Inputs!$E$36)^(AE$5-1)*MAX(0,MIN(1,AE$4*1-Inputs!$E$37+1))/1</f>
        <v>5.76</v>
      </c>
      <c r="AF8" s="116" t="n">
        <f aca="false">Inputs!$E$34*(1+Inputs!$E$36)^(AF$5-1)*MAX(0,MIN(1,AF$4*1-Inputs!$E$37+1))/1</f>
        <v>5.76</v>
      </c>
      <c r="AG8" s="116" t="n">
        <f aca="false">Inputs!$E$34*(1+Inputs!$E$36)^(AG$5-1)*MAX(0,MIN(1,AG$4*1-Inputs!$E$37+1))/1</f>
        <v>5.76</v>
      </c>
      <c r="AH8" s="116" t="n">
        <f aca="false">Inputs!$E$34*(1+Inputs!$E$36)^(AH$5-1)*MAX(0,MIN(1,AH$4*1-Inputs!$E$37+1))/1</f>
        <v>5.76</v>
      </c>
      <c r="AI8" s="116" t="n">
        <f aca="false">Inputs!$E$34*(1+Inputs!$E$36)^(AI$5-1)*MAX(0,MIN(1,AI$4*1-Inputs!$E$37+1))/1</f>
        <v>5.76</v>
      </c>
      <c r="AJ8" s="116" t="n">
        <f aca="false">Inputs!$E$34*(1+Inputs!$E$36)^(AJ$5-1)*MAX(0,MIN(1,AJ$4*1-Inputs!$E$37+1))/1</f>
        <v>5.76</v>
      </c>
      <c r="AK8" s="116" t="n">
        <f aca="false">Inputs!$E$34*(1+Inputs!$E$36)^(AK$5-1)*MAX(0,MIN(1,AK$4*1-Inputs!$E$37+1))/1</f>
        <v>5.76</v>
      </c>
      <c r="AL8" s="116" t="n">
        <f aca="false">Inputs!$E$34*(1+Inputs!$E$36)^(AL$5-1)*MAX(0,MIN(1,AL$4*1-Inputs!$E$37+1))/1</f>
        <v>5.76</v>
      </c>
      <c r="AM8" s="116" t="n">
        <f aca="false">Inputs!$E$34*(1+Inputs!$E$36)^(AM$5-1)*MAX(0,MIN(1,AM$4*1-Inputs!$E$37+1))/1</f>
        <v>6.912</v>
      </c>
      <c r="AN8" s="116" t="n">
        <f aca="false">Inputs!$E$34*(1+Inputs!$E$36)^(AN$5-1)*MAX(0,MIN(1,AN$4*1-Inputs!$E$37+1))/1</f>
        <v>6.912</v>
      </c>
      <c r="AO8" s="116" t="n">
        <f aca="false">Inputs!$E$34*(1+Inputs!$E$36)^(AO$5-1)*MAX(0,MIN(1,AO$4*1-Inputs!$E$37+1))/1</f>
        <v>6.912</v>
      </c>
      <c r="AP8" s="116" t="n">
        <f aca="false">Inputs!$E$34*(1+Inputs!$E$36)^(AP$5-1)*MAX(0,MIN(1,AP$4*1-Inputs!$E$37+1))/1</f>
        <v>6.912</v>
      </c>
      <c r="AQ8" s="116" t="n">
        <f aca="false">Inputs!$E$34*(1+Inputs!$E$36)^(AQ$5-1)*MAX(0,MIN(1,AQ$4*1-Inputs!$E$37+1))/1</f>
        <v>6.912</v>
      </c>
      <c r="AR8" s="116" t="n">
        <f aca="false">Inputs!$E$34*(1+Inputs!$E$36)^(AR$5-1)*MAX(0,MIN(1,AR$4*1-Inputs!$E$37+1))/1</f>
        <v>6.912</v>
      </c>
      <c r="AS8" s="116" t="n">
        <f aca="false">Inputs!$E$34*(1+Inputs!$E$36)^(AS$5-1)*MAX(0,MIN(1,AS$4*1-Inputs!$E$37+1))/1</f>
        <v>6.912</v>
      </c>
      <c r="AT8" s="116" t="n">
        <f aca="false">Inputs!$E$34*(1+Inputs!$E$36)^(AT$5-1)*MAX(0,MIN(1,AT$4*1-Inputs!$E$37+1))/1</f>
        <v>6.912</v>
      </c>
      <c r="AU8" s="116" t="n">
        <f aca="false">Inputs!$E$34*(1+Inputs!$E$36)^(AU$5-1)*MAX(0,MIN(1,AU$4*1-Inputs!$E$37+1))/1</f>
        <v>6.912</v>
      </c>
      <c r="AV8" s="116" t="n">
        <f aca="false">Inputs!$E$34*(1+Inputs!$E$36)^(AV$5-1)*MAX(0,MIN(1,AV$4*1-Inputs!$E$37+1))/1</f>
        <v>6.912</v>
      </c>
      <c r="AW8" s="116" t="n">
        <f aca="false">Inputs!$E$34*(1+Inputs!$E$36)^(AW$5-1)*MAX(0,MIN(1,AW$4*1-Inputs!$E$37+1))/1</f>
        <v>6.912</v>
      </c>
      <c r="AX8" s="116" t="n">
        <f aca="false">Inputs!$E$34*(1+Inputs!$E$36)^(AX$5-1)*MAX(0,MIN(1,AX$4*1-Inputs!$E$37+1))/1</f>
        <v>6.912</v>
      </c>
      <c r="AY8" s="116" t="n">
        <f aca="false">Inputs!$E$34*(1+Inputs!$E$36)^(AY$5-1)*MAX(0,MIN(1,AY$4*1-Inputs!$E$37+1))/1</f>
        <v>8.2944</v>
      </c>
      <c r="AZ8" s="116" t="n">
        <f aca="false">Inputs!$E$34*(1+Inputs!$E$36)^(AZ$5-1)*MAX(0,MIN(1,AZ$4*1-Inputs!$E$37+1))/1</f>
        <v>8.2944</v>
      </c>
      <c r="BA8" s="116" t="n">
        <f aca="false">Inputs!$E$34*(1+Inputs!$E$36)^(BA$5-1)*MAX(0,MIN(1,BA$4*1-Inputs!$E$37+1))/1</f>
        <v>8.2944</v>
      </c>
      <c r="BB8" s="116" t="n">
        <f aca="false">Inputs!$E$34*(1+Inputs!$E$36)^(BB$5-1)*MAX(0,MIN(1,BB$4*1-Inputs!$E$37+1))/1</f>
        <v>8.2944</v>
      </c>
      <c r="BC8" s="116" t="n">
        <f aca="false">Inputs!$E$34*(1+Inputs!$E$36)^(BC$5-1)*MAX(0,MIN(1,BC$4*1-Inputs!$E$37+1))/1</f>
        <v>8.2944</v>
      </c>
      <c r="BD8" s="116" t="n">
        <f aca="false">Inputs!$E$34*(1+Inputs!$E$36)^(BD$5-1)*MAX(0,MIN(1,BD$4*1-Inputs!$E$37+1))/1</f>
        <v>8.2944</v>
      </c>
      <c r="BE8" s="116" t="n">
        <f aca="false">Inputs!$E$34*(1+Inputs!$E$36)^(BE$5-1)*MAX(0,MIN(1,BE$4*1-Inputs!$E$37+1))/1</f>
        <v>8.2944</v>
      </c>
      <c r="BF8" s="116" t="n">
        <f aca="false">Inputs!$E$34*(1+Inputs!$E$36)^(BF$5-1)*MAX(0,MIN(1,BF$4*1-Inputs!$E$37+1))/1</f>
        <v>8.2944</v>
      </c>
      <c r="BG8" s="116" t="n">
        <f aca="false">Inputs!$E$34*(1+Inputs!$E$36)^(BG$5-1)*MAX(0,MIN(1,BG$4*1-Inputs!$E$37+1))/1</f>
        <v>8.2944</v>
      </c>
      <c r="BH8" s="116" t="n">
        <f aca="false">Inputs!$E$34*(1+Inputs!$E$36)^(BH$5-1)*MAX(0,MIN(1,BH$4*1-Inputs!$E$37+1))/1</f>
        <v>8.2944</v>
      </c>
      <c r="BI8" s="116" t="n">
        <f aca="false">Inputs!$E$34*(1+Inputs!$E$36)^(BI$5-1)*MAX(0,MIN(1,BI$4*1-Inputs!$E$37+1))/1</f>
        <v>8.2944</v>
      </c>
      <c r="BJ8" s="116" t="n">
        <f aca="false">Inputs!$E$34*(1+Inputs!$E$36)^(BJ$5-1)*MAX(0,MIN(1,BJ$4*1-Inputs!$E$37+1))/1</f>
        <v>8.2944</v>
      </c>
    </row>
    <row r="9" customFormat="false" ht="15" hidden="false" customHeight="false" outlineLevel="0" collapsed="false">
      <c r="A9" s="6" t="s">
        <v>438</v>
      </c>
      <c r="C9" s="116" t="n">
        <f aca="false">Inputs!$E$38*(1+Inputs!$E$40)^(C$5-1)*MAX(0,MIN(1,C$4*1-Inputs!$E$41+1))/1</f>
        <v>12</v>
      </c>
      <c r="D9" s="116" t="n">
        <f aca="false">Inputs!$E$38*(1+Inputs!$E$40)^(D$5-1)*MAX(0,MIN(1,D$4*1-Inputs!$E$41+1))/1</f>
        <v>12</v>
      </c>
      <c r="E9" s="116" t="n">
        <f aca="false">Inputs!$E$38*(1+Inputs!$E$40)^(E$5-1)*MAX(0,MIN(1,E$4*1-Inputs!$E$41+1))/1</f>
        <v>12</v>
      </c>
      <c r="F9" s="116" t="n">
        <f aca="false">Inputs!$E$38*(1+Inputs!$E$40)^(F$5-1)*MAX(0,MIN(1,F$4*1-Inputs!$E$41+1))/1</f>
        <v>12</v>
      </c>
      <c r="G9" s="116" t="n">
        <f aca="false">Inputs!$E$38*(1+Inputs!$E$40)^(G$5-1)*MAX(0,MIN(1,G$4*1-Inputs!$E$41+1))/1</f>
        <v>12</v>
      </c>
      <c r="H9" s="116" t="n">
        <f aca="false">Inputs!$E$38*(1+Inputs!$E$40)^(H$5-1)*MAX(0,MIN(1,H$4*1-Inputs!$E$41+1))/1</f>
        <v>12</v>
      </c>
      <c r="I9" s="116" t="n">
        <f aca="false">Inputs!$E$38*(1+Inputs!$E$40)^(I$5-1)*MAX(0,MIN(1,I$4*1-Inputs!$E$41+1))/1</f>
        <v>12</v>
      </c>
      <c r="J9" s="116" t="n">
        <f aca="false">Inputs!$E$38*(1+Inputs!$E$40)^(J$5-1)*MAX(0,MIN(1,J$4*1-Inputs!$E$41+1))/1</f>
        <v>12</v>
      </c>
      <c r="K9" s="116" t="n">
        <f aca="false">Inputs!$E$38*(1+Inputs!$E$40)^(K$5-1)*MAX(0,MIN(1,K$4*1-Inputs!$E$41+1))/1</f>
        <v>12</v>
      </c>
      <c r="L9" s="116" t="n">
        <f aca="false">Inputs!$E$38*(1+Inputs!$E$40)^(L$5-1)*MAX(0,MIN(1,L$4*1-Inputs!$E$41+1))/1</f>
        <v>12</v>
      </c>
      <c r="M9" s="116" t="n">
        <f aca="false">Inputs!$E$38*(1+Inputs!$E$40)^(M$5-1)*MAX(0,MIN(1,M$4*1-Inputs!$E$41+1))/1</f>
        <v>12</v>
      </c>
      <c r="N9" s="116" t="n">
        <f aca="false">Inputs!$E$38*(1+Inputs!$E$40)^(N$5-1)*MAX(0,MIN(1,N$4*1-Inputs!$E$41+1))/1</f>
        <v>12</v>
      </c>
      <c r="O9" s="116" t="n">
        <f aca="false">Inputs!$E$38*(1+Inputs!$E$40)^(O$5-1)*MAX(0,MIN(1,O$4*1-Inputs!$E$41+1))/1</f>
        <v>15.6</v>
      </c>
      <c r="P9" s="116" t="n">
        <f aca="false">Inputs!$E$38*(1+Inputs!$E$40)^(P$5-1)*MAX(0,MIN(1,P$4*1-Inputs!$E$41+1))/1</f>
        <v>15.6</v>
      </c>
      <c r="Q9" s="116" t="n">
        <f aca="false">Inputs!$E$38*(1+Inputs!$E$40)^(Q$5-1)*MAX(0,MIN(1,Q$4*1-Inputs!$E$41+1))/1</f>
        <v>15.6</v>
      </c>
      <c r="R9" s="116" t="n">
        <f aca="false">Inputs!$E$38*(1+Inputs!$E$40)^(R$5-1)*MAX(0,MIN(1,R$4*1-Inputs!$E$41+1))/1</f>
        <v>15.6</v>
      </c>
      <c r="S9" s="116" t="n">
        <f aca="false">Inputs!$E$38*(1+Inputs!$E$40)^(S$5-1)*MAX(0,MIN(1,S$4*1-Inputs!$E$41+1))/1</f>
        <v>15.6</v>
      </c>
      <c r="T9" s="116" t="n">
        <f aca="false">Inputs!$E$38*(1+Inputs!$E$40)^(T$5-1)*MAX(0,MIN(1,T$4*1-Inputs!$E$41+1))/1</f>
        <v>15.6</v>
      </c>
      <c r="U9" s="116" t="n">
        <f aca="false">Inputs!$E$38*(1+Inputs!$E$40)^(U$5-1)*MAX(0,MIN(1,U$4*1-Inputs!$E$41+1))/1</f>
        <v>15.6</v>
      </c>
      <c r="V9" s="116" t="n">
        <f aca="false">Inputs!$E$38*(1+Inputs!$E$40)^(V$5-1)*MAX(0,MIN(1,V$4*1-Inputs!$E$41+1))/1</f>
        <v>15.6</v>
      </c>
      <c r="W9" s="116" t="n">
        <f aca="false">Inputs!$E$38*(1+Inputs!$E$40)^(W$5-1)*MAX(0,MIN(1,W$4*1-Inputs!$E$41+1))/1</f>
        <v>15.6</v>
      </c>
      <c r="X9" s="116" t="n">
        <f aca="false">Inputs!$E$38*(1+Inputs!$E$40)^(X$5-1)*MAX(0,MIN(1,X$4*1-Inputs!$E$41+1))/1</f>
        <v>15.6</v>
      </c>
      <c r="Y9" s="116" t="n">
        <f aca="false">Inputs!$E$38*(1+Inputs!$E$40)^(Y$5-1)*MAX(0,MIN(1,Y$4*1-Inputs!$E$41+1))/1</f>
        <v>15.6</v>
      </c>
      <c r="Z9" s="116" t="n">
        <f aca="false">Inputs!$E$38*(1+Inputs!$E$40)^(Z$5-1)*MAX(0,MIN(1,Z$4*1-Inputs!$E$41+1))/1</f>
        <v>15.6</v>
      </c>
      <c r="AA9" s="116" t="n">
        <f aca="false">Inputs!$E$38*(1+Inputs!$E$40)^(AA$5-1)*MAX(0,MIN(1,AA$4*1-Inputs!$E$41+1))/1</f>
        <v>20.28</v>
      </c>
      <c r="AB9" s="116" t="n">
        <f aca="false">Inputs!$E$38*(1+Inputs!$E$40)^(AB$5-1)*MAX(0,MIN(1,AB$4*1-Inputs!$E$41+1))/1</f>
        <v>20.28</v>
      </c>
      <c r="AC9" s="116" t="n">
        <f aca="false">Inputs!$E$38*(1+Inputs!$E$40)^(AC$5-1)*MAX(0,MIN(1,AC$4*1-Inputs!$E$41+1))/1</f>
        <v>20.28</v>
      </c>
      <c r="AD9" s="116" t="n">
        <f aca="false">Inputs!$E$38*(1+Inputs!$E$40)^(AD$5-1)*MAX(0,MIN(1,AD$4*1-Inputs!$E$41+1))/1</f>
        <v>20.28</v>
      </c>
      <c r="AE9" s="116" t="n">
        <f aca="false">Inputs!$E$38*(1+Inputs!$E$40)^(AE$5-1)*MAX(0,MIN(1,AE$4*1-Inputs!$E$41+1))/1</f>
        <v>20.28</v>
      </c>
      <c r="AF9" s="116" t="n">
        <f aca="false">Inputs!$E$38*(1+Inputs!$E$40)^(AF$5-1)*MAX(0,MIN(1,AF$4*1-Inputs!$E$41+1))/1</f>
        <v>20.28</v>
      </c>
      <c r="AG9" s="116" t="n">
        <f aca="false">Inputs!$E$38*(1+Inputs!$E$40)^(AG$5-1)*MAX(0,MIN(1,AG$4*1-Inputs!$E$41+1))/1</f>
        <v>20.28</v>
      </c>
      <c r="AH9" s="116" t="n">
        <f aca="false">Inputs!$E$38*(1+Inputs!$E$40)^(AH$5-1)*MAX(0,MIN(1,AH$4*1-Inputs!$E$41+1))/1</f>
        <v>20.28</v>
      </c>
      <c r="AI9" s="116" t="n">
        <f aca="false">Inputs!$E$38*(1+Inputs!$E$40)^(AI$5-1)*MAX(0,MIN(1,AI$4*1-Inputs!$E$41+1))/1</f>
        <v>20.28</v>
      </c>
      <c r="AJ9" s="116" t="n">
        <f aca="false">Inputs!$E$38*(1+Inputs!$E$40)^(AJ$5-1)*MAX(0,MIN(1,AJ$4*1-Inputs!$E$41+1))/1</f>
        <v>20.28</v>
      </c>
      <c r="AK9" s="116" t="n">
        <f aca="false">Inputs!$E$38*(1+Inputs!$E$40)^(AK$5-1)*MAX(0,MIN(1,AK$4*1-Inputs!$E$41+1))/1</f>
        <v>20.28</v>
      </c>
      <c r="AL9" s="116" t="n">
        <f aca="false">Inputs!$E$38*(1+Inputs!$E$40)^(AL$5-1)*MAX(0,MIN(1,AL$4*1-Inputs!$E$41+1))/1</f>
        <v>20.28</v>
      </c>
      <c r="AM9" s="116" t="n">
        <f aca="false">Inputs!$E$38*(1+Inputs!$E$40)^(AM$5-1)*MAX(0,MIN(1,AM$4*1-Inputs!$E$41+1))/1</f>
        <v>26.364</v>
      </c>
      <c r="AN9" s="116" t="n">
        <f aca="false">Inputs!$E$38*(1+Inputs!$E$40)^(AN$5-1)*MAX(0,MIN(1,AN$4*1-Inputs!$E$41+1))/1</f>
        <v>26.364</v>
      </c>
      <c r="AO9" s="116" t="n">
        <f aca="false">Inputs!$E$38*(1+Inputs!$E$40)^(AO$5-1)*MAX(0,MIN(1,AO$4*1-Inputs!$E$41+1))/1</f>
        <v>26.364</v>
      </c>
      <c r="AP9" s="116" t="n">
        <f aca="false">Inputs!$E$38*(1+Inputs!$E$40)^(AP$5-1)*MAX(0,MIN(1,AP$4*1-Inputs!$E$41+1))/1</f>
        <v>26.364</v>
      </c>
      <c r="AQ9" s="116" t="n">
        <f aca="false">Inputs!$E$38*(1+Inputs!$E$40)^(AQ$5-1)*MAX(0,MIN(1,AQ$4*1-Inputs!$E$41+1))/1</f>
        <v>26.364</v>
      </c>
      <c r="AR9" s="116" t="n">
        <f aca="false">Inputs!$E$38*(1+Inputs!$E$40)^(AR$5-1)*MAX(0,MIN(1,AR$4*1-Inputs!$E$41+1))/1</f>
        <v>26.364</v>
      </c>
      <c r="AS9" s="116" t="n">
        <f aca="false">Inputs!$E$38*(1+Inputs!$E$40)^(AS$5-1)*MAX(0,MIN(1,AS$4*1-Inputs!$E$41+1))/1</f>
        <v>26.364</v>
      </c>
      <c r="AT9" s="116" t="n">
        <f aca="false">Inputs!$E$38*(1+Inputs!$E$40)^(AT$5-1)*MAX(0,MIN(1,AT$4*1-Inputs!$E$41+1))/1</f>
        <v>26.364</v>
      </c>
      <c r="AU9" s="116" t="n">
        <f aca="false">Inputs!$E$38*(1+Inputs!$E$40)^(AU$5-1)*MAX(0,MIN(1,AU$4*1-Inputs!$E$41+1))/1</f>
        <v>26.364</v>
      </c>
      <c r="AV9" s="116" t="n">
        <f aca="false">Inputs!$E$38*(1+Inputs!$E$40)^(AV$5-1)*MAX(0,MIN(1,AV$4*1-Inputs!$E$41+1))/1</f>
        <v>26.364</v>
      </c>
      <c r="AW9" s="116" t="n">
        <f aca="false">Inputs!$E$38*(1+Inputs!$E$40)^(AW$5-1)*MAX(0,MIN(1,AW$4*1-Inputs!$E$41+1))/1</f>
        <v>26.364</v>
      </c>
      <c r="AX9" s="116" t="n">
        <f aca="false">Inputs!$E$38*(1+Inputs!$E$40)^(AX$5-1)*MAX(0,MIN(1,AX$4*1-Inputs!$E$41+1))/1</f>
        <v>26.364</v>
      </c>
      <c r="AY9" s="116" t="n">
        <f aca="false">Inputs!$E$38*(1+Inputs!$E$40)^(AY$5-1)*MAX(0,MIN(1,AY$4*1-Inputs!$E$41+1))/1</f>
        <v>34.2732</v>
      </c>
      <c r="AZ9" s="116" t="n">
        <f aca="false">Inputs!$E$38*(1+Inputs!$E$40)^(AZ$5-1)*MAX(0,MIN(1,AZ$4*1-Inputs!$E$41+1))/1</f>
        <v>34.2732</v>
      </c>
      <c r="BA9" s="116" t="n">
        <f aca="false">Inputs!$E$38*(1+Inputs!$E$40)^(BA$5-1)*MAX(0,MIN(1,BA$4*1-Inputs!$E$41+1))/1</f>
        <v>34.2732</v>
      </c>
      <c r="BB9" s="116" t="n">
        <f aca="false">Inputs!$E$38*(1+Inputs!$E$40)^(BB$5-1)*MAX(0,MIN(1,BB$4*1-Inputs!$E$41+1))/1</f>
        <v>34.2732</v>
      </c>
      <c r="BC9" s="116" t="n">
        <f aca="false">Inputs!$E$38*(1+Inputs!$E$40)^(BC$5-1)*MAX(0,MIN(1,BC$4*1-Inputs!$E$41+1))/1</f>
        <v>34.2732</v>
      </c>
      <c r="BD9" s="116" t="n">
        <f aca="false">Inputs!$E$38*(1+Inputs!$E$40)^(BD$5-1)*MAX(0,MIN(1,BD$4*1-Inputs!$E$41+1))/1</f>
        <v>34.2732</v>
      </c>
      <c r="BE9" s="116" t="n">
        <f aca="false">Inputs!$E$38*(1+Inputs!$E$40)^(BE$5-1)*MAX(0,MIN(1,BE$4*1-Inputs!$E$41+1))/1</f>
        <v>34.2732</v>
      </c>
      <c r="BF9" s="116" t="n">
        <f aca="false">Inputs!$E$38*(1+Inputs!$E$40)^(BF$5-1)*MAX(0,MIN(1,BF$4*1-Inputs!$E$41+1))/1</f>
        <v>34.2732</v>
      </c>
      <c r="BG9" s="116" t="n">
        <f aca="false">Inputs!$E$38*(1+Inputs!$E$40)^(BG$5-1)*MAX(0,MIN(1,BG$4*1-Inputs!$E$41+1))/1</f>
        <v>34.2732</v>
      </c>
      <c r="BH9" s="116" t="n">
        <f aca="false">Inputs!$E$38*(1+Inputs!$E$40)^(BH$5-1)*MAX(0,MIN(1,BH$4*1-Inputs!$E$41+1))/1</f>
        <v>34.2732</v>
      </c>
      <c r="BI9" s="116" t="n">
        <f aca="false">Inputs!$E$38*(1+Inputs!$E$40)^(BI$5-1)*MAX(0,MIN(1,BI$4*1-Inputs!$E$41+1))/1</f>
        <v>34.2732</v>
      </c>
      <c r="BJ9" s="116" t="n">
        <f aca="false">Inputs!$E$38*(1+Inputs!$E$40)^(BJ$5-1)*MAX(0,MIN(1,BJ$4*1-Inputs!$E$41+1))/1</f>
        <v>34.2732</v>
      </c>
    </row>
    <row r="10" customFormat="false" ht="15" hidden="false" customHeight="false" outlineLevel="0" collapsed="false">
      <c r="A10" s="6" t="s">
        <v>439</v>
      </c>
      <c r="C10" s="116" t="n">
        <f aca="false">Inputs!$E$42*(1+Inputs!$E$44)^(C$5-1)*MAX(0,MIN(1,C$4*1-Inputs!$E$45+1))/1</f>
        <v>2</v>
      </c>
      <c r="D10" s="116" t="n">
        <f aca="false">Inputs!$E$42*(1+Inputs!$E$44)^(D$5-1)*MAX(0,MIN(1,D$4*1-Inputs!$E$45+1))/1</f>
        <v>2</v>
      </c>
      <c r="E10" s="116" t="n">
        <f aca="false">Inputs!$E$42*(1+Inputs!$E$44)^(E$5-1)*MAX(0,MIN(1,E$4*1-Inputs!$E$45+1))/1</f>
        <v>2</v>
      </c>
      <c r="F10" s="116" t="n">
        <f aca="false">Inputs!$E$42*(1+Inputs!$E$44)^(F$5-1)*MAX(0,MIN(1,F$4*1-Inputs!$E$45+1))/1</f>
        <v>2</v>
      </c>
      <c r="G10" s="116" t="n">
        <f aca="false">Inputs!$E$42*(1+Inputs!$E$44)^(G$5-1)*MAX(0,MIN(1,G$4*1-Inputs!$E$45+1))/1</f>
        <v>2</v>
      </c>
      <c r="H10" s="116" t="n">
        <f aca="false">Inputs!$E$42*(1+Inputs!$E$44)^(H$5-1)*MAX(0,MIN(1,H$4*1-Inputs!$E$45+1))/1</f>
        <v>2</v>
      </c>
      <c r="I10" s="116" t="n">
        <f aca="false">Inputs!$E$42*(1+Inputs!$E$44)^(I$5-1)*MAX(0,MIN(1,I$4*1-Inputs!$E$45+1))/1</f>
        <v>2</v>
      </c>
      <c r="J10" s="116" t="n">
        <f aca="false">Inputs!$E$42*(1+Inputs!$E$44)^(J$5-1)*MAX(0,MIN(1,J$4*1-Inputs!$E$45+1))/1</f>
        <v>2</v>
      </c>
      <c r="K10" s="116" t="n">
        <f aca="false">Inputs!$E$42*(1+Inputs!$E$44)^(K$5-1)*MAX(0,MIN(1,K$4*1-Inputs!$E$45+1))/1</f>
        <v>2</v>
      </c>
      <c r="L10" s="116" t="n">
        <f aca="false">Inputs!$E$42*(1+Inputs!$E$44)^(L$5-1)*MAX(0,MIN(1,L$4*1-Inputs!$E$45+1))/1</f>
        <v>2</v>
      </c>
      <c r="M10" s="116" t="n">
        <f aca="false">Inputs!$E$42*(1+Inputs!$E$44)^(M$5-1)*MAX(0,MIN(1,M$4*1-Inputs!$E$45+1))/1</f>
        <v>2</v>
      </c>
      <c r="N10" s="116" t="n">
        <f aca="false">Inputs!$E$42*(1+Inputs!$E$44)^(N$5-1)*MAX(0,MIN(1,N$4*1-Inputs!$E$45+1))/1</f>
        <v>2</v>
      </c>
      <c r="O10" s="116" t="n">
        <f aca="false">Inputs!$E$42*(1+Inputs!$E$44)^(O$5-1)*MAX(0,MIN(1,O$4*1-Inputs!$E$45+1))/1</f>
        <v>2.4</v>
      </c>
      <c r="P10" s="116" t="n">
        <f aca="false">Inputs!$E$42*(1+Inputs!$E$44)^(P$5-1)*MAX(0,MIN(1,P$4*1-Inputs!$E$45+1))/1</f>
        <v>2.4</v>
      </c>
      <c r="Q10" s="116" t="n">
        <f aca="false">Inputs!$E$42*(1+Inputs!$E$44)^(Q$5-1)*MAX(0,MIN(1,Q$4*1-Inputs!$E$45+1))/1</f>
        <v>2.4</v>
      </c>
      <c r="R10" s="116" t="n">
        <f aca="false">Inputs!$E$42*(1+Inputs!$E$44)^(R$5-1)*MAX(0,MIN(1,R$4*1-Inputs!$E$45+1))/1</f>
        <v>2.4</v>
      </c>
      <c r="S10" s="116" t="n">
        <f aca="false">Inputs!$E$42*(1+Inputs!$E$44)^(S$5-1)*MAX(0,MIN(1,S$4*1-Inputs!$E$45+1))/1</f>
        <v>2.4</v>
      </c>
      <c r="T10" s="116" t="n">
        <f aca="false">Inputs!$E$42*(1+Inputs!$E$44)^(T$5-1)*MAX(0,MIN(1,T$4*1-Inputs!$E$45+1))/1</f>
        <v>2.4</v>
      </c>
      <c r="U10" s="116" t="n">
        <f aca="false">Inputs!$E$42*(1+Inputs!$E$44)^(U$5-1)*MAX(0,MIN(1,U$4*1-Inputs!$E$45+1))/1</f>
        <v>2.4</v>
      </c>
      <c r="V10" s="116" t="n">
        <f aca="false">Inputs!$E$42*(1+Inputs!$E$44)^(V$5-1)*MAX(0,MIN(1,V$4*1-Inputs!$E$45+1))/1</f>
        <v>2.4</v>
      </c>
      <c r="W10" s="116" t="n">
        <f aca="false">Inputs!$E$42*(1+Inputs!$E$44)^(W$5-1)*MAX(0,MIN(1,W$4*1-Inputs!$E$45+1))/1</f>
        <v>2.4</v>
      </c>
      <c r="X10" s="116" t="n">
        <f aca="false">Inputs!$E$42*(1+Inputs!$E$44)^(X$5-1)*MAX(0,MIN(1,X$4*1-Inputs!$E$45+1))/1</f>
        <v>2.4</v>
      </c>
      <c r="Y10" s="116" t="n">
        <f aca="false">Inputs!$E$42*(1+Inputs!$E$44)^(Y$5-1)*MAX(0,MIN(1,Y$4*1-Inputs!$E$45+1))/1</f>
        <v>2.4</v>
      </c>
      <c r="Z10" s="116" t="n">
        <f aca="false">Inputs!$E$42*(1+Inputs!$E$44)^(Z$5-1)*MAX(0,MIN(1,Z$4*1-Inputs!$E$45+1))/1</f>
        <v>2.4</v>
      </c>
      <c r="AA10" s="116" t="n">
        <f aca="false">Inputs!$E$42*(1+Inputs!$E$44)^(AA$5-1)*MAX(0,MIN(1,AA$4*1-Inputs!$E$45+1))/1</f>
        <v>2.88</v>
      </c>
      <c r="AB10" s="116" t="n">
        <f aca="false">Inputs!$E$42*(1+Inputs!$E$44)^(AB$5-1)*MAX(0,MIN(1,AB$4*1-Inputs!$E$45+1))/1</f>
        <v>2.88</v>
      </c>
      <c r="AC10" s="116" t="n">
        <f aca="false">Inputs!$E$42*(1+Inputs!$E$44)^(AC$5-1)*MAX(0,MIN(1,AC$4*1-Inputs!$E$45+1))/1</f>
        <v>2.88</v>
      </c>
      <c r="AD10" s="116" t="n">
        <f aca="false">Inputs!$E$42*(1+Inputs!$E$44)^(AD$5-1)*MAX(0,MIN(1,AD$4*1-Inputs!$E$45+1))/1</f>
        <v>2.88</v>
      </c>
      <c r="AE10" s="116" t="n">
        <f aca="false">Inputs!$E$42*(1+Inputs!$E$44)^(AE$5-1)*MAX(0,MIN(1,AE$4*1-Inputs!$E$45+1))/1</f>
        <v>2.88</v>
      </c>
      <c r="AF10" s="116" t="n">
        <f aca="false">Inputs!$E$42*(1+Inputs!$E$44)^(AF$5-1)*MAX(0,MIN(1,AF$4*1-Inputs!$E$45+1))/1</f>
        <v>2.88</v>
      </c>
      <c r="AG10" s="116" t="n">
        <f aca="false">Inputs!$E$42*(1+Inputs!$E$44)^(AG$5-1)*MAX(0,MIN(1,AG$4*1-Inputs!$E$45+1))/1</f>
        <v>2.88</v>
      </c>
      <c r="AH10" s="116" t="n">
        <f aca="false">Inputs!$E$42*(1+Inputs!$E$44)^(AH$5-1)*MAX(0,MIN(1,AH$4*1-Inputs!$E$45+1))/1</f>
        <v>2.88</v>
      </c>
      <c r="AI10" s="116" t="n">
        <f aca="false">Inputs!$E$42*(1+Inputs!$E$44)^(AI$5-1)*MAX(0,MIN(1,AI$4*1-Inputs!$E$45+1))/1</f>
        <v>2.88</v>
      </c>
      <c r="AJ10" s="116" t="n">
        <f aca="false">Inputs!$E$42*(1+Inputs!$E$44)^(AJ$5-1)*MAX(0,MIN(1,AJ$4*1-Inputs!$E$45+1))/1</f>
        <v>2.88</v>
      </c>
      <c r="AK10" s="116" t="n">
        <f aca="false">Inputs!$E$42*(1+Inputs!$E$44)^(AK$5-1)*MAX(0,MIN(1,AK$4*1-Inputs!$E$45+1))/1</f>
        <v>2.88</v>
      </c>
      <c r="AL10" s="116" t="n">
        <f aca="false">Inputs!$E$42*(1+Inputs!$E$44)^(AL$5-1)*MAX(0,MIN(1,AL$4*1-Inputs!$E$45+1))/1</f>
        <v>2.88</v>
      </c>
      <c r="AM10" s="116" t="n">
        <f aca="false">Inputs!$E$42*(1+Inputs!$E$44)^(AM$5-1)*MAX(0,MIN(1,AM$4*1-Inputs!$E$45+1))/1</f>
        <v>3.456</v>
      </c>
      <c r="AN10" s="116" t="n">
        <f aca="false">Inputs!$E$42*(1+Inputs!$E$44)^(AN$5-1)*MAX(0,MIN(1,AN$4*1-Inputs!$E$45+1))/1</f>
        <v>3.456</v>
      </c>
      <c r="AO10" s="116" t="n">
        <f aca="false">Inputs!$E$42*(1+Inputs!$E$44)^(AO$5-1)*MAX(0,MIN(1,AO$4*1-Inputs!$E$45+1))/1</f>
        <v>3.456</v>
      </c>
      <c r="AP10" s="116" t="n">
        <f aca="false">Inputs!$E$42*(1+Inputs!$E$44)^(AP$5-1)*MAX(0,MIN(1,AP$4*1-Inputs!$E$45+1))/1</f>
        <v>3.456</v>
      </c>
      <c r="AQ10" s="116" t="n">
        <f aca="false">Inputs!$E$42*(1+Inputs!$E$44)^(AQ$5-1)*MAX(0,MIN(1,AQ$4*1-Inputs!$E$45+1))/1</f>
        <v>3.456</v>
      </c>
      <c r="AR10" s="116" t="n">
        <f aca="false">Inputs!$E$42*(1+Inputs!$E$44)^(AR$5-1)*MAX(0,MIN(1,AR$4*1-Inputs!$E$45+1))/1</f>
        <v>3.456</v>
      </c>
      <c r="AS10" s="116" t="n">
        <f aca="false">Inputs!$E$42*(1+Inputs!$E$44)^(AS$5-1)*MAX(0,MIN(1,AS$4*1-Inputs!$E$45+1))/1</f>
        <v>3.456</v>
      </c>
      <c r="AT10" s="116" t="n">
        <f aca="false">Inputs!$E$42*(1+Inputs!$E$44)^(AT$5-1)*MAX(0,MIN(1,AT$4*1-Inputs!$E$45+1))/1</f>
        <v>3.456</v>
      </c>
      <c r="AU10" s="116" t="n">
        <f aca="false">Inputs!$E$42*(1+Inputs!$E$44)^(AU$5-1)*MAX(0,MIN(1,AU$4*1-Inputs!$E$45+1))/1</f>
        <v>3.456</v>
      </c>
      <c r="AV10" s="116" t="n">
        <f aca="false">Inputs!$E$42*(1+Inputs!$E$44)^(AV$5-1)*MAX(0,MIN(1,AV$4*1-Inputs!$E$45+1))/1</f>
        <v>3.456</v>
      </c>
      <c r="AW10" s="116" t="n">
        <f aca="false">Inputs!$E$42*(1+Inputs!$E$44)^(AW$5-1)*MAX(0,MIN(1,AW$4*1-Inputs!$E$45+1))/1</f>
        <v>3.456</v>
      </c>
      <c r="AX10" s="116" t="n">
        <f aca="false">Inputs!$E$42*(1+Inputs!$E$44)^(AX$5-1)*MAX(0,MIN(1,AX$4*1-Inputs!$E$45+1))/1</f>
        <v>3.456</v>
      </c>
      <c r="AY10" s="116" t="n">
        <f aca="false">Inputs!$E$42*(1+Inputs!$E$44)^(AY$5-1)*MAX(0,MIN(1,AY$4*1-Inputs!$E$45+1))/1</f>
        <v>4.1472</v>
      </c>
      <c r="AZ10" s="116" t="n">
        <f aca="false">Inputs!$E$42*(1+Inputs!$E$44)^(AZ$5-1)*MAX(0,MIN(1,AZ$4*1-Inputs!$E$45+1))/1</f>
        <v>4.1472</v>
      </c>
      <c r="BA10" s="116" t="n">
        <f aca="false">Inputs!$E$42*(1+Inputs!$E$44)^(BA$5-1)*MAX(0,MIN(1,BA$4*1-Inputs!$E$45+1))/1</f>
        <v>4.1472</v>
      </c>
      <c r="BB10" s="116" t="n">
        <f aca="false">Inputs!$E$42*(1+Inputs!$E$44)^(BB$5-1)*MAX(0,MIN(1,BB$4*1-Inputs!$E$45+1))/1</f>
        <v>4.1472</v>
      </c>
      <c r="BC10" s="116" t="n">
        <f aca="false">Inputs!$E$42*(1+Inputs!$E$44)^(BC$5-1)*MAX(0,MIN(1,BC$4*1-Inputs!$E$45+1))/1</f>
        <v>4.1472</v>
      </c>
      <c r="BD10" s="116" t="n">
        <f aca="false">Inputs!$E$42*(1+Inputs!$E$44)^(BD$5-1)*MAX(0,MIN(1,BD$4*1-Inputs!$E$45+1))/1</f>
        <v>4.1472</v>
      </c>
      <c r="BE10" s="116" t="n">
        <f aca="false">Inputs!$E$42*(1+Inputs!$E$44)^(BE$5-1)*MAX(0,MIN(1,BE$4*1-Inputs!$E$45+1))/1</f>
        <v>4.1472</v>
      </c>
      <c r="BF10" s="116" t="n">
        <f aca="false">Inputs!$E$42*(1+Inputs!$E$44)^(BF$5-1)*MAX(0,MIN(1,BF$4*1-Inputs!$E$45+1))/1</f>
        <v>4.1472</v>
      </c>
      <c r="BG10" s="116" t="n">
        <f aca="false">Inputs!$E$42*(1+Inputs!$E$44)^(BG$5-1)*MAX(0,MIN(1,BG$4*1-Inputs!$E$45+1))/1</f>
        <v>4.1472</v>
      </c>
      <c r="BH10" s="116" t="n">
        <f aca="false">Inputs!$E$42*(1+Inputs!$E$44)^(BH$5-1)*MAX(0,MIN(1,BH$4*1-Inputs!$E$45+1))/1</f>
        <v>4.1472</v>
      </c>
      <c r="BI10" s="116" t="n">
        <f aca="false">Inputs!$E$42*(1+Inputs!$E$44)^(BI$5-1)*MAX(0,MIN(1,BI$4*1-Inputs!$E$45+1))/1</f>
        <v>4.1472</v>
      </c>
      <c r="BJ10" s="116" t="n">
        <f aca="false">Inputs!$E$42*(1+Inputs!$E$44)^(BJ$5-1)*MAX(0,MIN(1,BJ$4*1-Inputs!$E$45+1))/1</f>
        <v>4.1472</v>
      </c>
    </row>
    <row r="11" customFormat="false" ht="15" hidden="false" customHeight="false" outlineLevel="0" collapsed="false">
      <c r="A11" s="6" t="s">
        <v>440</v>
      </c>
      <c r="C11" s="116" t="n">
        <f aca="false">Inputs!$E$46*(1+Inputs!$E$48)^(C$5-1)*MAX(0,MIN(1,C$4*1-Inputs!$E$49+1))/1</f>
        <v>3</v>
      </c>
      <c r="D11" s="116" t="n">
        <f aca="false">Inputs!$E$46*(1+Inputs!$E$48)^(D$5-1)*MAX(0,MIN(1,D$4*1-Inputs!$E$49+1))/1</f>
        <v>3</v>
      </c>
      <c r="E11" s="116" t="n">
        <f aca="false">Inputs!$E$46*(1+Inputs!$E$48)^(E$5-1)*MAX(0,MIN(1,E$4*1-Inputs!$E$49+1))/1</f>
        <v>3</v>
      </c>
      <c r="F11" s="116" t="n">
        <f aca="false">Inputs!$E$46*(1+Inputs!$E$48)^(F$5-1)*MAX(0,MIN(1,F$4*1-Inputs!$E$49+1))/1</f>
        <v>3</v>
      </c>
      <c r="G11" s="116" t="n">
        <f aca="false">Inputs!$E$46*(1+Inputs!$E$48)^(G$5-1)*MAX(0,MIN(1,G$4*1-Inputs!$E$49+1))/1</f>
        <v>3</v>
      </c>
      <c r="H11" s="116" t="n">
        <f aca="false">Inputs!$E$46*(1+Inputs!$E$48)^(H$5-1)*MAX(0,MIN(1,H$4*1-Inputs!$E$49+1))/1</f>
        <v>3</v>
      </c>
      <c r="I11" s="116" t="n">
        <f aca="false">Inputs!$E$46*(1+Inputs!$E$48)^(I$5-1)*MAX(0,MIN(1,I$4*1-Inputs!$E$49+1))/1</f>
        <v>3</v>
      </c>
      <c r="J11" s="116" t="n">
        <f aca="false">Inputs!$E$46*(1+Inputs!$E$48)^(J$5-1)*MAX(0,MIN(1,J$4*1-Inputs!$E$49+1))/1</f>
        <v>3</v>
      </c>
      <c r="K11" s="116" t="n">
        <f aca="false">Inputs!$E$46*(1+Inputs!$E$48)^(K$5-1)*MAX(0,MIN(1,K$4*1-Inputs!$E$49+1))/1</f>
        <v>3</v>
      </c>
      <c r="L11" s="116" t="n">
        <f aca="false">Inputs!$E$46*(1+Inputs!$E$48)^(L$5-1)*MAX(0,MIN(1,L$4*1-Inputs!$E$49+1))/1</f>
        <v>3</v>
      </c>
      <c r="M11" s="116" t="n">
        <f aca="false">Inputs!$E$46*(1+Inputs!$E$48)^(M$5-1)*MAX(0,MIN(1,M$4*1-Inputs!$E$49+1))/1</f>
        <v>3</v>
      </c>
      <c r="N11" s="116" t="n">
        <f aca="false">Inputs!$E$46*(1+Inputs!$E$48)^(N$5-1)*MAX(0,MIN(1,N$4*1-Inputs!$E$49+1))/1</f>
        <v>3</v>
      </c>
      <c r="O11" s="116" t="n">
        <f aca="false">Inputs!$E$46*(1+Inputs!$E$48)^(O$5-1)*MAX(0,MIN(1,O$4*1-Inputs!$E$49+1))/1</f>
        <v>3.45</v>
      </c>
      <c r="P11" s="116" t="n">
        <f aca="false">Inputs!$E$46*(1+Inputs!$E$48)^(P$5-1)*MAX(0,MIN(1,P$4*1-Inputs!$E$49+1))/1</f>
        <v>3.45</v>
      </c>
      <c r="Q11" s="116" t="n">
        <f aca="false">Inputs!$E$46*(1+Inputs!$E$48)^(Q$5-1)*MAX(0,MIN(1,Q$4*1-Inputs!$E$49+1))/1</f>
        <v>3.45</v>
      </c>
      <c r="R11" s="116" t="n">
        <f aca="false">Inputs!$E$46*(1+Inputs!$E$48)^(R$5-1)*MAX(0,MIN(1,R$4*1-Inputs!$E$49+1))/1</f>
        <v>3.45</v>
      </c>
      <c r="S11" s="116" t="n">
        <f aca="false">Inputs!$E$46*(1+Inputs!$E$48)^(S$5-1)*MAX(0,MIN(1,S$4*1-Inputs!$E$49+1))/1</f>
        <v>3.45</v>
      </c>
      <c r="T11" s="116" t="n">
        <f aca="false">Inputs!$E$46*(1+Inputs!$E$48)^(T$5-1)*MAX(0,MIN(1,T$4*1-Inputs!$E$49+1))/1</f>
        <v>3.45</v>
      </c>
      <c r="U11" s="116" t="n">
        <f aca="false">Inputs!$E$46*(1+Inputs!$E$48)^(U$5-1)*MAX(0,MIN(1,U$4*1-Inputs!$E$49+1))/1</f>
        <v>3.45</v>
      </c>
      <c r="V11" s="116" t="n">
        <f aca="false">Inputs!$E$46*(1+Inputs!$E$48)^(V$5-1)*MAX(0,MIN(1,V$4*1-Inputs!$E$49+1))/1</f>
        <v>3.45</v>
      </c>
      <c r="W11" s="116" t="n">
        <f aca="false">Inputs!$E$46*(1+Inputs!$E$48)^(W$5-1)*MAX(0,MIN(1,W$4*1-Inputs!$E$49+1))/1</f>
        <v>3.45</v>
      </c>
      <c r="X11" s="116" t="n">
        <f aca="false">Inputs!$E$46*(1+Inputs!$E$48)^(X$5-1)*MAX(0,MIN(1,X$4*1-Inputs!$E$49+1))/1</f>
        <v>3.45</v>
      </c>
      <c r="Y11" s="116" t="n">
        <f aca="false">Inputs!$E$46*(1+Inputs!$E$48)^(Y$5-1)*MAX(0,MIN(1,Y$4*1-Inputs!$E$49+1))/1</f>
        <v>3.45</v>
      </c>
      <c r="Z11" s="116" t="n">
        <f aca="false">Inputs!$E$46*(1+Inputs!$E$48)^(Z$5-1)*MAX(0,MIN(1,Z$4*1-Inputs!$E$49+1))/1</f>
        <v>3.45</v>
      </c>
      <c r="AA11" s="116" t="n">
        <f aca="false">Inputs!$E$46*(1+Inputs!$E$48)^(AA$5-1)*MAX(0,MIN(1,AA$4*1-Inputs!$E$49+1))/1</f>
        <v>3.9675</v>
      </c>
      <c r="AB11" s="116" t="n">
        <f aca="false">Inputs!$E$46*(1+Inputs!$E$48)^(AB$5-1)*MAX(0,MIN(1,AB$4*1-Inputs!$E$49+1))/1</f>
        <v>3.9675</v>
      </c>
      <c r="AC11" s="116" t="n">
        <f aca="false">Inputs!$E$46*(1+Inputs!$E$48)^(AC$5-1)*MAX(0,MIN(1,AC$4*1-Inputs!$E$49+1))/1</f>
        <v>3.9675</v>
      </c>
      <c r="AD11" s="116" t="n">
        <f aca="false">Inputs!$E$46*(1+Inputs!$E$48)^(AD$5-1)*MAX(0,MIN(1,AD$4*1-Inputs!$E$49+1))/1</f>
        <v>3.9675</v>
      </c>
      <c r="AE11" s="116" t="n">
        <f aca="false">Inputs!$E$46*(1+Inputs!$E$48)^(AE$5-1)*MAX(0,MIN(1,AE$4*1-Inputs!$E$49+1))/1</f>
        <v>3.9675</v>
      </c>
      <c r="AF11" s="116" t="n">
        <f aca="false">Inputs!$E$46*(1+Inputs!$E$48)^(AF$5-1)*MAX(0,MIN(1,AF$4*1-Inputs!$E$49+1))/1</f>
        <v>3.9675</v>
      </c>
      <c r="AG11" s="116" t="n">
        <f aca="false">Inputs!$E$46*(1+Inputs!$E$48)^(AG$5-1)*MAX(0,MIN(1,AG$4*1-Inputs!$E$49+1))/1</f>
        <v>3.9675</v>
      </c>
      <c r="AH11" s="116" t="n">
        <f aca="false">Inputs!$E$46*(1+Inputs!$E$48)^(AH$5-1)*MAX(0,MIN(1,AH$4*1-Inputs!$E$49+1))/1</f>
        <v>3.9675</v>
      </c>
      <c r="AI11" s="116" t="n">
        <f aca="false">Inputs!$E$46*(1+Inputs!$E$48)^(AI$5-1)*MAX(0,MIN(1,AI$4*1-Inputs!$E$49+1))/1</f>
        <v>3.9675</v>
      </c>
      <c r="AJ11" s="116" t="n">
        <f aca="false">Inputs!$E$46*(1+Inputs!$E$48)^(AJ$5-1)*MAX(0,MIN(1,AJ$4*1-Inputs!$E$49+1))/1</f>
        <v>3.9675</v>
      </c>
      <c r="AK11" s="116" t="n">
        <f aca="false">Inputs!$E$46*(1+Inputs!$E$48)^(AK$5-1)*MAX(0,MIN(1,AK$4*1-Inputs!$E$49+1))/1</f>
        <v>3.9675</v>
      </c>
      <c r="AL11" s="116" t="n">
        <f aca="false">Inputs!$E$46*(1+Inputs!$E$48)^(AL$5-1)*MAX(0,MIN(1,AL$4*1-Inputs!$E$49+1))/1</f>
        <v>3.9675</v>
      </c>
      <c r="AM11" s="116" t="n">
        <f aca="false">Inputs!$E$46*(1+Inputs!$E$48)^(AM$5-1)*MAX(0,MIN(1,AM$4*1-Inputs!$E$49+1))/1</f>
        <v>4.562625</v>
      </c>
      <c r="AN11" s="116" t="n">
        <f aca="false">Inputs!$E$46*(1+Inputs!$E$48)^(AN$5-1)*MAX(0,MIN(1,AN$4*1-Inputs!$E$49+1))/1</f>
        <v>4.562625</v>
      </c>
      <c r="AO11" s="116" t="n">
        <f aca="false">Inputs!$E$46*(1+Inputs!$E$48)^(AO$5-1)*MAX(0,MIN(1,AO$4*1-Inputs!$E$49+1))/1</f>
        <v>4.562625</v>
      </c>
      <c r="AP11" s="116" t="n">
        <f aca="false">Inputs!$E$46*(1+Inputs!$E$48)^(AP$5-1)*MAX(0,MIN(1,AP$4*1-Inputs!$E$49+1))/1</f>
        <v>4.562625</v>
      </c>
      <c r="AQ11" s="116" t="n">
        <f aca="false">Inputs!$E$46*(1+Inputs!$E$48)^(AQ$5-1)*MAX(0,MIN(1,AQ$4*1-Inputs!$E$49+1))/1</f>
        <v>4.562625</v>
      </c>
      <c r="AR11" s="116" t="n">
        <f aca="false">Inputs!$E$46*(1+Inputs!$E$48)^(AR$5-1)*MAX(0,MIN(1,AR$4*1-Inputs!$E$49+1))/1</f>
        <v>4.562625</v>
      </c>
      <c r="AS11" s="116" t="n">
        <f aca="false">Inputs!$E$46*(1+Inputs!$E$48)^(AS$5-1)*MAX(0,MIN(1,AS$4*1-Inputs!$E$49+1))/1</f>
        <v>4.562625</v>
      </c>
      <c r="AT11" s="116" t="n">
        <f aca="false">Inputs!$E$46*(1+Inputs!$E$48)^(AT$5-1)*MAX(0,MIN(1,AT$4*1-Inputs!$E$49+1))/1</f>
        <v>4.562625</v>
      </c>
      <c r="AU11" s="116" t="n">
        <f aca="false">Inputs!$E$46*(1+Inputs!$E$48)^(AU$5-1)*MAX(0,MIN(1,AU$4*1-Inputs!$E$49+1))/1</f>
        <v>4.562625</v>
      </c>
      <c r="AV11" s="116" t="n">
        <f aca="false">Inputs!$E$46*(1+Inputs!$E$48)^(AV$5-1)*MAX(0,MIN(1,AV$4*1-Inputs!$E$49+1))/1</f>
        <v>4.562625</v>
      </c>
      <c r="AW11" s="116" t="n">
        <f aca="false">Inputs!$E$46*(1+Inputs!$E$48)^(AW$5-1)*MAX(0,MIN(1,AW$4*1-Inputs!$E$49+1))/1</f>
        <v>4.562625</v>
      </c>
      <c r="AX11" s="116" t="n">
        <f aca="false">Inputs!$E$46*(1+Inputs!$E$48)^(AX$5-1)*MAX(0,MIN(1,AX$4*1-Inputs!$E$49+1))/1</f>
        <v>4.562625</v>
      </c>
      <c r="AY11" s="116" t="n">
        <f aca="false">Inputs!$E$46*(1+Inputs!$E$48)^(AY$5-1)*MAX(0,MIN(1,AY$4*1-Inputs!$E$49+1))/1</f>
        <v>5.24701875</v>
      </c>
      <c r="AZ11" s="116" t="n">
        <f aca="false">Inputs!$E$46*(1+Inputs!$E$48)^(AZ$5-1)*MAX(0,MIN(1,AZ$4*1-Inputs!$E$49+1))/1</f>
        <v>5.24701875</v>
      </c>
      <c r="BA11" s="116" t="n">
        <f aca="false">Inputs!$E$46*(1+Inputs!$E$48)^(BA$5-1)*MAX(0,MIN(1,BA$4*1-Inputs!$E$49+1))/1</f>
        <v>5.24701875</v>
      </c>
      <c r="BB11" s="116" t="n">
        <f aca="false">Inputs!$E$46*(1+Inputs!$E$48)^(BB$5-1)*MAX(0,MIN(1,BB$4*1-Inputs!$E$49+1))/1</f>
        <v>5.24701875</v>
      </c>
      <c r="BC11" s="116" t="n">
        <f aca="false">Inputs!$E$46*(1+Inputs!$E$48)^(BC$5-1)*MAX(0,MIN(1,BC$4*1-Inputs!$E$49+1))/1</f>
        <v>5.24701875</v>
      </c>
      <c r="BD11" s="116" t="n">
        <f aca="false">Inputs!$E$46*(1+Inputs!$E$48)^(BD$5-1)*MAX(0,MIN(1,BD$4*1-Inputs!$E$49+1))/1</f>
        <v>5.24701875</v>
      </c>
      <c r="BE11" s="116" t="n">
        <f aca="false">Inputs!$E$46*(1+Inputs!$E$48)^(BE$5-1)*MAX(0,MIN(1,BE$4*1-Inputs!$E$49+1))/1</f>
        <v>5.24701875</v>
      </c>
      <c r="BF11" s="116" t="n">
        <f aca="false">Inputs!$E$46*(1+Inputs!$E$48)^(BF$5-1)*MAX(0,MIN(1,BF$4*1-Inputs!$E$49+1))/1</f>
        <v>5.24701875</v>
      </c>
      <c r="BG11" s="116" t="n">
        <f aca="false">Inputs!$E$46*(1+Inputs!$E$48)^(BG$5-1)*MAX(0,MIN(1,BG$4*1-Inputs!$E$49+1))/1</f>
        <v>5.24701875</v>
      </c>
      <c r="BH11" s="116" t="n">
        <f aca="false">Inputs!$E$46*(1+Inputs!$E$48)^(BH$5-1)*MAX(0,MIN(1,BH$4*1-Inputs!$E$49+1))/1</f>
        <v>5.24701875</v>
      </c>
      <c r="BI11" s="116" t="n">
        <f aca="false">Inputs!$E$46*(1+Inputs!$E$48)^(BI$5-1)*MAX(0,MIN(1,BI$4*1-Inputs!$E$49+1))/1</f>
        <v>5.24701875</v>
      </c>
      <c r="BJ11" s="116" t="n">
        <f aca="false">Inputs!$E$46*(1+Inputs!$E$48)^(BJ$5-1)*MAX(0,MIN(1,BJ$4*1-Inputs!$E$49+1))/1</f>
        <v>5.24701875</v>
      </c>
    </row>
    <row r="12" customFormat="false" ht="15" hidden="false" customHeight="false" outlineLevel="0" collapsed="false">
      <c r="A12" s="113" t="s">
        <v>441</v>
      </c>
      <c r="C12" s="121" t="n">
        <f aca="false">C8+C9+C10+C11</f>
        <v>21</v>
      </c>
      <c r="D12" s="121" t="n">
        <f aca="false">D8+D9+D10+D11</f>
        <v>21</v>
      </c>
      <c r="E12" s="121" t="n">
        <f aca="false">E8+E9+E10+E11</f>
        <v>21</v>
      </c>
      <c r="F12" s="121" t="n">
        <f aca="false">F8+F9+F10+F11</f>
        <v>21</v>
      </c>
      <c r="G12" s="121" t="n">
        <f aca="false">G8+G9+G10+G11</f>
        <v>21</v>
      </c>
      <c r="H12" s="121" t="n">
        <f aca="false">H8+H9+H10+H11</f>
        <v>21</v>
      </c>
      <c r="I12" s="121" t="n">
        <f aca="false">I8+I9+I10+I11</f>
        <v>21</v>
      </c>
      <c r="J12" s="121" t="n">
        <f aca="false">J8+J9+J10+J11</f>
        <v>21</v>
      </c>
      <c r="K12" s="121" t="n">
        <f aca="false">K8+K9+K10+K11</f>
        <v>21</v>
      </c>
      <c r="L12" s="121" t="n">
        <f aca="false">L8+L9+L10+L11</f>
        <v>21</v>
      </c>
      <c r="M12" s="121" t="n">
        <f aca="false">M8+M9+M10+M11</f>
        <v>21</v>
      </c>
      <c r="N12" s="121" t="n">
        <f aca="false">N8+N9+N10+N11</f>
        <v>21</v>
      </c>
      <c r="O12" s="121" t="n">
        <f aca="false">O8+O9+O10+O11</f>
        <v>26.25</v>
      </c>
      <c r="P12" s="121" t="n">
        <f aca="false">P8+P9+P10+P11</f>
        <v>26.25</v>
      </c>
      <c r="Q12" s="121" t="n">
        <f aca="false">Q8+Q9+Q10+Q11</f>
        <v>26.25</v>
      </c>
      <c r="R12" s="121" t="n">
        <f aca="false">R8+R9+R10+R11</f>
        <v>26.25</v>
      </c>
      <c r="S12" s="121" t="n">
        <f aca="false">S8+S9+S10+S11</f>
        <v>26.25</v>
      </c>
      <c r="T12" s="121" t="n">
        <f aca="false">T8+T9+T10+T11</f>
        <v>26.25</v>
      </c>
      <c r="U12" s="121" t="n">
        <f aca="false">U8+U9+U10+U11</f>
        <v>26.25</v>
      </c>
      <c r="V12" s="121" t="n">
        <f aca="false">V8+V9+V10+V11</f>
        <v>26.25</v>
      </c>
      <c r="W12" s="121" t="n">
        <f aca="false">W8+W9+W10+W11</f>
        <v>26.25</v>
      </c>
      <c r="X12" s="121" t="n">
        <f aca="false">X8+X9+X10+X11</f>
        <v>26.25</v>
      </c>
      <c r="Y12" s="121" t="n">
        <f aca="false">Y8+Y9+Y10+Y11</f>
        <v>26.25</v>
      </c>
      <c r="Z12" s="121" t="n">
        <f aca="false">Z8+Z9+Z10+Z11</f>
        <v>26.25</v>
      </c>
      <c r="AA12" s="121" t="n">
        <f aca="false">AA8+AA9+AA10+AA11</f>
        <v>32.8875</v>
      </c>
      <c r="AB12" s="121" t="n">
        <f aca="false">AB8+AB9+AB10+AB11</f>
        <v>32.8875</v>
      </c>
      <c r="AC12" s="121" t="n">
        <f aca="false">AC8+AC9+AC10+AC11</f>
        <v>32.8875</v>
      </c>
      <c r="AD12" s="121" t="n">
        <f aca="false">AD8+AD9+AD10+AD11</f>
        <v>32.8875</v>
      </c>
      <c r="AE12" s="121" t="n">
        <f aca="false">AE8+AE9+AE10+AE11</f>
        <v>32.8875</v>
      </c>
      <c r="AF12" s="121" t="n">
        <f aca="false">AF8+AF9+AF10+AF11</f>
        <v>32.8875</v>
      </c>
      <c r="AG12" s="121" t="n">
        <f aca="false">AG8+AG9+AG10+AG11</f>
        <v>32.8875</v>
      </c>
      <c r="AH12" s="121" t="n">
        <f aca="false">AH8+AH9+AH10+AH11</f>
        <v>32.8875</v>
      </c>
      <c r="AI12" s="121" t="n">
        <f aca="false">AI8+AI9+AI10+AI11</f>
        <v>32.8875</v>
      </c>
      <c r="AJ12" s="121" t="n">
        <f aca="false">AJ8+AJ9+AJ10+AJ11</f>
        <v>32.8875</v>
      </c>
      <c r="AK12" s="121" t="n">
        <f aca="false">AK8+AK9+AK10+AK11</f>
        <v>32.8875</v>
      </c>
      <c r="AL12" s="121" t="n">
        <f aca="false">AL8+AL9+AL10+AL11</f>
        <v>32.8875</v>
      </c>
      <c r="AM12" s="121" t="n">
        <f aca="false">AM8+AM9+AM10+AM11</f>
        <v>41.294625</v>
      </c>
      <c r="AN12" s="121" t="n">
        <f aca="false">AN8+AN9+AN10+AN11</f>
        <v>41.294625</v>
      </c>
      <c r="AO12" s="121" t="n">
        <f aca="false">AO8+AO9+AO10+AO11</f>
        <v>41.294625</v>
      </c>
      <c r="AP12" s="121" t="n">
        <f aca="false">AP8+AP9+AP10+AP11</f>
        <v>41.294625</v>
      </c>
      <c r="AQ12" s="121" t="n">
        <f aca="false">AQ8+AQ9+AQ10+AQ11</f>
        <v>41.294625</v>
      </c>
      <c r="AR12" s="121" t="n">
        <f aca="false">AR8+AR9+AR10+AR11</f>
        <v>41.294625</v>
      </c>
      <c r="AS12" s="121" t="n">
        <f aca="false">AS8+AS9+AS10+AS11</f>
        <v>41.294625</v>
      </c>
      <c r="AT12" s="121" t="n">
        <f aca="false">AT8+AT9+AT10+AT11</f>
        <v>41.294625</v>
      </c>
      <c r="AU12" s="121" t="n">
        <f aca="false">AU8+AU9+AU10+AU11</f>
        <v>41.294625</v>
      </c>
      <c r="AV12" s="121" t="n">
        <f aca="false">AV8+AV9+AV10+AV11</f>
        <v>41.294625</v>
      </c>
      <c r="AW12" s="121" t="n">
        <f aca="false">AW8+AW9+AW10+AW11</f>
        <v>41.294625</v>
      </c>
      <c r="AX12" s="121" t="n">
        <f aca="false">AX8+AX9+AX10+AX11</f>
        <v>41.294625</v>
      </c>
      <c r="AY12" s="121" t="n">
        <f aca="false">AY8+AY9+AY10+AY11</f>
        <v>51.96181875</v>
      </c>
      <c r="AZ12" s="121" t="n">
        <f aca="false">AZ8+AZ9+AZ10+AZ11</f>
        <v>51.96181875</v>
      </c>
      <c r="BA12" s="121" t="n">
        <f aca="false">BA8+BA9+BA10+BA11</f>
        <v>51.96181875</v>
      </c>
      <c r="BB12" s="121" t="n">
        <f aca="false">BB8+BB9+BB10+BB11</f>
        <v>51.96181875</v>
      </c>
      <c r="BC12" s="121" t="n">
        <f aca="false">BC8+BC9+BC10+BC11</f>
        <v>51.96181875</v>
      </c>
      <c r="BD12" s="121" t="n">
        <f aca="false">BD8+BD9+BD10+BD11</f>
        <v>51.96181875</v>
      </c>
      <c r="BE12" s="121" t="n">
        <f aca="false">BE8+BE9+BE10+BE11</f>
        <v>51.96181875</v>
      </c>
      <c r="BF12" s="121" t="n">
        <f aca="false">BF8+BF9+BF10+BF11</f>
        <v>51.96181875</v>
      </c>
      <c r="BG12" s="121" t="n">
        <f aca="false">BG8+BG9+BG10+BG11</f>
        <v>51.96181875</v>
      </c>
      <c r="BH12" s="121" t="n">
        <f aca="false">BH8+BH9+BH10+BH11</f>
        <v>51.96181875</v>
      </c>
      <c r="BI12" s="121" t="n">
        <f aca="false">BI8+BI9+BI10+BI11</f>
        <v>51.96181875</v>
      </c>
      <c r="BJ12" s="121" t="n">
        <f aca="false">BJ8+BJ9+BJ10+BJ11</f>
        <v>51.96181875</v>
      </c>
    </row>
    <row r="14" customFormat="false" ht="15.75" hidden="false" customHeight="true" outlineLevel="0" collapsed="false">
      <c r="A14" s="7" t="s">
        <v>442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6" t="s">
        <v>443</v>
      </c>
      <c r="C15" s="67" t="n">
        <f aca="false">-C8*Inputs!$E$35/12*1*(1+Inputs!$E$50)*(1+Inputs!$E$51)^(C$5-1)</f>
        <v>-64000</v>
      </c>
      <c r="D15" s="67" t="n">
        <f aca="false">-D8*Inputs!$E$35/12*1*(1+Inputs!$E$50)*(1+Inputs!$E$51)^(D$5-1)</f>
        <v>-64000</v>
      </c>
      <c r="E15" s="67" t="n">
        <f aca="false">-E8*Inputs!$E$35/12*1*(1+Inputs!$E$50)*(1+Inputs!$E$51)^(E$5-1)</f>
        <v>-64000</v>
      </c>
      <c r="F15" s="67" t="n">
        <f aca="false">-F8*Inputs!$E$35/12*1*(1+Inputs!$E$50)*(1+Inputs!$E$51)^(F$5-1)</f>
        <v>-64000</v>
      </c>
      <c r="G15" s="67" t="n">
        <f aca="false">-G8*Inputs!$E$35/12*1*(1+Inputs!$E$50)*(1+Inputs!$E$51)^(G$5-1)</f>
        <v>-64000</v>
      </c>
      <c r="H15" s="67" t="n">
        <f aca="false">-H8*Inputs!$E$35/12*1*(1+Inputs!$E$50)*(1+Inputs!$E$51)^(H$5-1)</f>
        <v>-64000</v>
      </c>
      <c r="I15" s="67" t="n">
        <f aca="false">-I8*Inputs!$E$35/12*1*(1+Inputs!$E$50)*(1+Inputs!$E$51)^(I$5-1)</f>
        <v>-64000</v>
      </c>
      <c r="J15" s="67" t="n">
        <f aca="false">-J8*Inputs!$E$35/12*1*(1+Inputs!$E$50)*(1+Inputs!$E$51)^(J$5-1)</f>
        <v>-64000</v>
      </c>
      <c r="K15" s="67" t="n">
        <f aca="false">-K8*Inputs!$E$35/12*1*(1+Inputs!$E$50)*(1+Inputs!$E$51)^(K$5-1)</f>
        <v>-64000</v>
      </c>
      <c r="L15" s="67" t="n">
        <f aca="false">-L8*Inputs!$E$35/12*1*(1+Inputs!$E$50)*(1+Inputs!$E$51)^(L$5-1)</f>
        <v>-64000</v>
      </c>
      <c r="M15" s="67" t="n">
        <f aca="false">-M8*Inputs!$E$35/12*1*(1+Inputs!$E$50)*(1+Inputs!$E$51)^(M$5-1)</f>
        <v>-64000</v>
      </c>
      <c r="N15" s="67" t="n">
        <f aca="false">-N8*Inputs!$E$35/12*1*(1+Inputs!$E$50)*(1+Inputs!$E$51)^(N$5-1)</f>
        <v>-64000</v>
      </c>
      <c r="O15" s="67" t="n">
        <f aca="false">-O8*Inputs!$E$35/12*1*(1+Inputs!$E$50)*(1+Inputs!$E$51)^(O$5-1)</f>
        <v>-79104</v>
      </c>
      <c r="P15" s="67" t="n">
        <f aca="false">-P8*Inputs!$E$35/12*1*(1+Inputs!$E$50)*(1+Inputs!$E$51)^(P$5-1)</f>
        <v>-79104</v>
      </c>
      <c r="Q15" s="67" t="n">
        <f aca="false">-Q8*Inputs!$E$35/12*1*(1+Inputs!$E$50)*(1+Inputs!$E$51)^(Q$5-1)</f>
        <v>-79104</v>
      </c>
      <c r="R15" s="67" t="n">
        <f aca="false">-R8*Inputs!$E$35/12*1*(1+Inputs!$E$50)*(1+Inputs!$E$51)^(R$5-1)</f>
        <v>-79104</v>
      </c>
      <c r="S15" s="67" t="n">
        <f aca="false">-S8*Inputs!$E$35/12*1*(1+Inputs!$E$50)*(1+Inputs!$E$51)^(S$5-1)</f>
        <v>-79104</v>
      </c>
      <c r="T15" s="67" t="n">
        <f aca="false">-T8*Inputs!$E$35/12*1*(1+Inputs!$E$50)*(1+Inputs!$E$51)^(T$5-1)</f>
        <v>-79104</v>
      </c>
      <c r="U15" s="67" t="n">
        <f aca="false">-U8*Inputs!$E$35/12*1*(1+Inputs!$E$50)*(1+Inputs!$E$51)^(U$5-1)</f>
        <v>-79104</v>
      </c>
      <c r="V15" s="67" t="n">
        <f aca="false">-V8*Inputs!$E$35/12*1*(1+Inputs!$E$50)*(1+Inputs!$E$51)^(V$5-1)</f>
        <v>-79104</v>
      </c>
      <c r="W15" s="67" t="n">
        <f aca="false">-W8*Inputs!$E$35/12*1*(1+Inputs!$E$50)*(1+Inputs!$E$51)^(W$5-1)</f>
        <v>-79104</v>
      </c>
      <c r="X15" s="67" t="n">
        <f aca="false">-X8*Inputs!$E$35/12*1*(1+Inputs!$E$50)*(1+Inputs!$E$51)^(X$5-1)</f>
        <v>-79104</v>
      </c>
      <c r="Y15" s="67" t="n">
        <f aca="false">-Y8*Inputs!$E$35/12*1*(1+Inputs!$E$50)*(1+Inputs!$E$51)^(Y$5-1)</f>
        <v>-79104</v>
      </c>
      <c r="Z15" s="67" t="n">
        <f aca="false">-Z8*Inputs!$E$35/12*1*(1+Inputs!$E$50)*(1+Inputs!$E$51)^(Z$5-1)</f>
        <v>-79104</v>
      </c>
      <c r="AA15" s="67" t="n">
        <f aca="false">-AA8*Inputs!$E$35/12*1*(1+Inputs!$E$50)*(1+Inputs!$E$51)^(AA$5-1)</f>
        <v>-97772.544</v>
      </c>
      <c r="AB15" s="67" t="n">
        <f aca="false">-AB8*Inputs!$E$35/12*1*(1+Inputs!$E$50)*(1+Inputs!$E$51)^(AB$5-1)</f>
        <v>-97772.544</v>
      </c>
      <c r="AC15" s="67" t="n">
        <f aca="false">-AC8*Inputs!$E$35/12*1*(1+Inputs!$E$50)*(1+Inputs!$E$51)^(AC$5-1)</f>
        <v>-97772.544</v>
      </c>
      <c r="AD15" s="67" t="n">
        <f aca="false">-AD8*Inputs!$E$35/12*1*(1+Inputs!$E$50)*(1+Inputs!$E$51)^(AD$5-1)</f>
        <v>-97772.544</v>
      </c>
      <c r="AE15" s="67" t="n">
        <f aca="false">-AE8*Inputs!$E$35/12*1*(1+Inputs!$E$50)*(1+Inputs!$E$51)^(AE$5-1)</f>
        <v>-97772.544</v>
      </c>
      <c r="AF15" s="67" t="n">
        <f aca="false">-AF8*Inputs!$E$35/12*1*(1+Inputs!$E$50)*(1+Inputs!$E$51)^(AF$5-1)</f>
        <v>-97772.544</v>
      </c>
      <c r="AG15" s="67" t="n">
        <f aca="false">-AG8*Inputs!$E$35/12*1*(1+Inputs!$E$50)*(1+Inputs!$E$51)^(AG$5-1)</f>
        <v>-97772.544</v>
      </c>
      <c r="AH15" s="67" t="n">
        <f aca="false">-AH8*Inputs!$E$35/12*1*(1+Inputs!$E$50)*(1+Inputs!$E$51)^(AH$5-1)</f>
        <v>-97772.544</v>
      </c>
      <c r="AI15" s="67" t="n">
        <f aca="false">-AI8*Inputs!$E$35/12*1*(1+Inputs!$E$50)*(1+Inputs!$E$51)^(AI$5-1)</f>
        <v>-97772.544</v>
      </c>
      <c r="AJ15" s="67" t="n">
        <f aca="false">-AJ8*Inputs!$E$35/12*1*(1+Inputs!$E$50)*(1+Inputs!$E$51)^(AJ$5-1)</f>
        <v>-97772.544</v>
      </c>
      <c r="AK15" s="67" t="n">
        <f aca="false">-AK8*Inputs!$E$35/12*1*(1+Inputs!$E$50)*(1+Inputs!$E$51)^(AK$5-1)</f>
        <v>-97772.544</v>
      </c>
      <c r="AL15" s="67" t="n">
        <f aca="false">-AL8*Inputs!$E$35/12*1*(1+Inputs!$E$50)*(1+Inputs!$E$51)^(AL$5-1)</f>
        <v>-97772.544</v>
      </c>
      <c r="AM15" s="67" t="n">
        <f aca="false">-AM8*Inputs!$E$35/12*1*(1+Inputs!$E$50)*(1+Inputs!$E$51)^(AM$5-1)</f>
        <v>-120846.864384</v>
      </c>
      <c r="AN15" s="67" t="n">
        <f aca="false">-AN8*Inputs!$E$35/12*1*(1+Inputs!$E$50)*(1+Inputs!$E$51)^(AN$5-1)</f>
        <v>-120846.864384</v>
      </c>
      <c r="AO15" s="67" t="n">
        <f aca="false">-AO8*Inputs!$E$35/12*1*(1+Inputs!$E$50)*(1+Inputs!$E$51)^(AO$5-1)</f>
        <v>-120846.864384</v>
      </c>
      <c r="AP15" s="67" t="n">
        <f aca="false">-AP8*Inputs!$E$35/12*1*(1+Inputs!$E$50)*(1+Inputs!$E$51)^(AP$5-1)</f>
        <v>-120846.864384</v>
      </c>
      <c r="AQ15" s="67" t="n">
        <f aca="false">-AQ8*Inputs!$E$35/12*1*(1+Inputs!$E$50)*(1+Inputs!$E$51)^(AQ$5-1)</f>
        <v>-120846.864384</v>
      </c>
      <c r="AR15" s="67" t="n">
        <f aca="false">-AR8*Inputs!$E$35/12*1*(1+Inputs!$E$50)*(1+Inputs!$E$51)^(AR$5-1)</f>
        <v>-120846.864384</v>
      </c>
      <c r="AS15" s="67" t="n">
        <f aca="false">-AS8*Inputs!$E$35/12*1*(1+Inputs!$E$50)*(1+Inputs!$E$51)^(AS$5-1)</f>
        <v>-120846.864384</v>
      </c>
      <c r="AT15" s="67" t="n">
        <f aca="false">-AT8*Inputs!$E$35/12*1*(1+Inputs!$E$50)*(1+Inputs!$E$51)^(AT$5-1)</f>
        <v>-120846.864384</v>
      </c>
      <c r="AU15" s="67" t="n">
        <f aca="false">-AU8*Inputs!$E$35/12*1*(1+Inputs!$E$50)*(1+Inputs!$E$51)^(AU$5-1)</f>
        <v>-120846.864384</v>
      </c>
      <c r="AV15" s="67" t="n">
        <f aca="false">-AV8*Inputs!$E$35/12*1*(1+Inputs!$E$50)*(1+Inputs!$E$51)^(AV$5-1)</f>
        <v>-120846.864384</v>
      </c>
      <c r="AW15" s="67" t="n">
        <f aca="false">-AW8*Inputs!$E$35/12*1*(1+Inputs!$E$50)*(1+Inputs!$E$51)^(AW$5-1)</f>
        <v>-120846.864384</v>
      </c>
      <c r="AX15" s="67" t="n">
        <f aca="false">-AX8*Inputs!$E$35/12*1*(1+Inputs!$E$50)*(1+Inputs!$E$51)^(AX$5-1)</f>
        <v>-120846.864384</v>
      </c>
      <c r="AY15" s="67" t="n">
        <f aca="false">-AY8*Inputs!$E$35/12*1*(1+Inputs!$E$50)*(1+Inputs!$E$51)^(AY$5-1)</f>
        <v>-149366.724378624</v>
      </c>
      <c r="AZ15" s="67" t="n">
        <f aca="false">-AZ8*Inputs!$E$35/12*1*(1+Inputs!$E$50)*(1+Inputs!$E$51)^(AZ$5-1)</f>
        <v>-149366.724378624</v>
      </c>
      <c r="BA15" s="67" t="n">
        <f aca="false">-BA8*Inputs!$E$35/12*1*(1+Inputs!$E$50)*(1+Inputs!$E$51)^(BA$5-1)</f>
        <v>-149366.724378624</v>
      </c>
      <c r="BB15" s="67" t="n">
        <f aca="false">-BB8*Inputs!$E$35/12*1*(1+Inputs!$E$50)*(1+Inputs!$E$51)^(BB$5-1)</f>
        <v>-149366.724378624</v>
      </c>
      <c r="BC15" s="67" t="n">
        <f aca="false">-BC8*Inputs!$E$35/12*1*(1+Inputs!$E$50)*(1+Inputs!$E$51)^(BC$5-1)</f>
        <v>-149366.724378624</v>
      </c>
      <c r="BD15" s="67" t="n">
        <f aca="false">-BD8*Inputs!$E$35/12*1*(1+Inputs!$E$50)*(1+Inputs!$E$51)^(BD$5-1)</f>
        <v>-149366.724378624</v>
      </c>
      <c r="BE15" s="67" t="n">
        <f aca="false">-BE8*Inputs!$E$35/12*1*(1+Inputs!$E$50)*(1+Inputs!$E$51)^(BE$5-1)</f>
        <v>-149366.724378624</v>
      </c>
      <c r="BF15" s="67" t="n">
        <f aca="false">-BF8*Inputs!$E$35/12*1*(1+Inputs!$E$50)*(1+Inputs!$E$51)^(BF$5-1)</f>
        <v>-149366.724378624</v>
      </c>
      <c r="BG15" s="67" t="n">
        <f aca="false">-BG8*Inputs!$E$35/12*1*(1+Inputs!$E$50)*(1+Inputs!$E$51)^(BG$5-1)</f>
        <v>-149366.724378624</v>
      </c>
      <c r="BH15" s="67" t="n">
        <f aca="false">-BH8*Inputs!$E$35/12*1*(1+Inputs!$E$50)*(1+Inputs!$E$51)^(BH$5-1)</f>
        <v>-149366.724378624</v>
      </c>
      <c r="BI15" s="67" t="n">
        <f aca="false">-BI8*Inputs!$E$35/12*1*(1+Inputs!$E$50)*(1+Inputs!$E$51)^(BI$5-1)</f>
        <v>-149366.724378624</v>
      </c>
      <c r="BJ15" s="67" t="n">
        <f aca="false">-BJ8*Inputs!$E$35/12*1*(1+Inputs!$E$50)*(1+Inputs!$E$51)^(BJ$5-1)</f>
        <v>-149366.724378624</v>
      </c>
    </row>
    <row r="16" customFormat="false" ht="15" hidden="false" customHeight="false" outlineLevel="0" collapsed="false">
      <c r="A16" s="6" t="s">
        <v>444</v>
      </c>
      <c r="C16" s="67" t="n">
        <f aca="false">-C9*Inputs!$E$39/12*1*(1+Inputs!$E$50)*(1+Inputs!$E$51)^(C$5-1)</f>
        <v>-114000</v>
      </c>
      <c r="D16" s="67" t="n">
        <f aca="false">-D9*Inputs!$E$39/12*1*(1+Inputs!$E$50)*(1+Inputs!$E$51)^(D$5-1)</f>
        <v>-114000</v>
      </c>
      <c r="E16" s="67" t="n">
        <f aca="false">-E9*Inputs!$E$39/12*1*(1+Inputs!$E$50)*(1+Inputs!$E$51)^(E$5-1)</f>
        <v>-114000</v>
      </c>
      <c r="F16" s="67" t="n">
        <f aca="false">-F9*Inputs!$E$39/12*1*(1+Inputs!$E$50)*(1+Inputs!$E$51)^(F$5-1)</f>
        <v>-114000</v>
      </c>
      <c r="G16" s="67" t="n">
        <f aca="false">-G9*Inputs!$E$39/12*1*(1+Inputs!$E$50)*(1+Inputs!$E$51)^(G$5-1)</f>
        <v>-114000</v>
      </c>
      <c r="H16" s="67" t="n">
        <f aca="false">-H9*Inputs!$E$39/12*1*(1+Inputs!$E$50)*(1+Inputs!$E$51)^(H$5-1)</f>
        <v>-114000</v>
      </c>
      <c r="I16" s="67" t="n">
        <f aca="false">-I9*Inputs!$E$39/12*1*(1+Inputs!$E$50)*(1+Inputs!$E$51)^(I$5-1)</f>
        <v>-114000</v>
      </c>
      <c r="J16" s="67" t="n">
        <f aca="false">-J9*Inputs!$E$39/12*1*(1+Inputs!$E$50)*(1+Inputs!$E$51)^(J$5-1)</f>
        <v>-114000</v>
      </c>
      <c r="K16" s="67" t="n">
        <f aca="false">-K9*Inputs!$E$39/12*1*(1+Inputs!$E$50)*(1+Inputs!$E$51)^(K$5-1)</f>
        <v>-114000</v>
      </c>
      <c r="L16" s="67" t="n">
        <f aca="false">-L9*Inputs!$E$39/12*1*(1+Inputs!$E$50)*(1+Inputs!$E$51)^(L$5-1)</f>
        <v>-114000</v>
      </c>
      <c r="M16" s="67" t="n">
        <f aca="false">-M9*Inputs!$E$39/12*1*(1+Inputs!$E$50)*(1+Inputs!$E$51)^(M$5-1)</f>
        <v>-114000</v>
      </c>
      <c r="N16" s="67" t="n">
        <f aca="false">-N9*Inputs!$E$39/12*1*(1+Inputs!$E$50)*(1+Inputs!$E$51)^(N$5-1)</f>
        <v>-114000</v>
      </c>
      <c r="O16" s="67" t="n">
        <f aca="false">-O9*Inputs!$E$39/12*1*(1+Inputs!$E$50)*(1+Inputs!$E$51)^(O$5-1)</f>
        <v>-152646</v>
      </c>
      <c r="P16" s="67" t="n">
        <f aca="false">-P9*Inputs!$E$39/12*1*(1+Inputs!$E$50)*(1+Inputs!$E$51)^(P$5-1)</f>
        <v>-152646</v>
      </c>
      <c r="Q16" s="67" t="n">
        <f aca="false">-Q9*Inputs!$E$39/12*1*(1+Inputs!$E$50)*(1+Inputs!$E$51)^(Q$5-1)</f>
        <v>-152646</v>
      </c>
      <c r="R16" s="67" t="n">
        <f aca="false">-R9*Inputs!$E$39/12*1*(1+Inputs!$E$50)*(1+Inputs!$E$51)^(R$5-1)</f>
        <v>-152646</v>
      </c>
      <c r="S16" s="67" t="n">
        <f aca="false">-S9*Inputs!$E$39/12*1*(1+Inputs!$E$50)*(1+Inputs!$E$51)^(S$5-1)</f>
        <v>-152646</v>
      </c>
      <c r="T16" s="67" t="n">
        <f aca="false">-T9*Inputs!$E$39/12*1*(1+Inputs!$E$50)*(1+Inputs!$E$51)^(T$5-1)</f>
        <v>-152646</v>
      </c>
      <c r="U16" s="67" t="n">
        <f aca="false">-U9*Inputs!$E$39/12*1*(1+Inputs!$E$50)*(1+Inputs!$E$51)^(U$5-1)</f>
        <v>-152646</v>
      </c>
      <c r="V16" s="67" t="n">
        <f aca="false">-V9*Inputs!$E$39/12*1*(1+Inputs!$E$50)*(1+Inputs!$E$51)^(V$5-1)</f>
        <v>-152646</v>
      </c>
      <c r="W16" s="67" t="n">
        <f aca="false">-W9*Inputs!$E$39/12*1*(1+Inputs!$E$50)*(1+Inputs!$E$51)^(W$5-1)</f>
        <v>-152646</v>
      </c>
      <c r="X16" s="67" t="n">
        <f aca="false">-X9*Inputs!$E$39/12*1*(1+Inputs!$E$50)*(1+Inputs!$E$51)^(X$5-1)</f>
        <v>-152646</v>
      </c>
      <c r="Y16" s="67" t="n">
        <f aca="false">-Y9*Inputs!$E$39/12*1*(1+Inputs!$E$50)*(1+Inputs!$E$51)^(Y$5-1)</f>
        <v>-152646</v>
      </c>
      <c r="Z16" s="67" t="n">
        <f aca="false">-Z9*Inputs!$E$39/12*1*(1+Inputs!$E$50)*(1+Inputs!$E$51)^(Z$5-1)</f>
        <v>-152646</v>
      </c>
      <c r="AA16" s="67" t="n">
        <f aca="false">-AA9*Inputs!$E$39/12*1*(1+Inputs!$E$50)*(1+Inputs!$E$51)^(AA$5-1)</f>
        <v>-204392.994</v>
      </c>
      <c r="AB16" s="67" t="n">
        <f aca="false">-AB9*Inputs!$E$39/12*1*(1+Inputs!$E$50)*(1+Inputs!$E$51)^(AB$5-1)</f>
        <v>-204392.994</v>
      </c>
      <c r="AC16" s="67" t="n">
        <f aca="false">-AC9*Inputs!$E$39/12*1*(1+Inputs!$E$50)*(1+Inputs!$E$51)^(AC$5-1)</f>
        <v>-204392.994</v>
      </c>
      <c r="AD16" s="67" t="n">
        <f aca="false">-AD9*Inputs!$E$39/12*1*(1+Inputs!$E$50)*(1+Inputs!$E$51)^(AD$5-1)</f>
        <v>-204392.994</v>
      </c>
      <c r="AE16" s="67" t="n">
        <f aca="false">-AE9*Inputs!$E$39/12*1*(1+Inputs!$E$50)*(1+Inputs!$E$51)^(AE$5-1)</f>
        <v>-204392.994</v>
      </c>
      <c r="AF16" s="67" t="n">
        <f aca="false">-AF9*Inputs!$E$39/12*1*(1+Inputs!$E$50)*(1+Inputs!$E$51)^(AF$5-1)</f>
        <v>-204392.994</v>
      </c>
      <c r="AG16" s="67" t="n">
        <f aca="false">-AG9*Inputs!$E$39/12*1*(1+Inputs!$E$50)*(1+Inputs!$E$51)^(AG$5-1)</f>
        <v>-204392.994</v>
      </c>
      <c r="AH16" s="67" t="n">
        <f aca="false">-AH9*Inputs!$E$39/12*1*(1+Inputs!$E$50)*(1+Inputs!$E$51)^(AH$5-1)</f>
        <v>-204392.994</v>
      </c>
      <c r="AI16" s="67" t="n">
        <f aca="false">-AI9*Inputs!$E$39/12*1*(1+Inputs!$E$50)*(1+Inputs!$E$51)^(AI$5-1)</f>
        <v>-204392.994</v>
      </c>
      <c r="AJ16" s="67" t="n">
        <f aca="false">-AJ9*Inputs!$E$39/12*1*(1+Inputs!$E$50)*(1+Inputs!$E$51)^(AJ$5-1)</f>
        <v>-204392.994</v>
      </c>
      <c r="AK16" s="67" t="n">
        <f aca="false">-AK9*Inputs!$E$39/12*1*(1+Inputs!$E$50)*(1+Inputs!$E$51)^(AK$5-1)</f>
        <v>-204392.994</v>
      </c>
      <c r="AL16" s="67" t="n">
        <f aca="false">-AL9*Inputs!$E$39/12*1*(1+Inputs!$E$50)*(1+Inputs!$E$51)^(AL$5-1)</f>
        <v>-204392.994</v>
      </c>
      <c r="AM16" s="67" t="n">
        <f aca="false">-AM9*Inputs!$E$39/12*1*(1+Inputs!$E$50)*(1+Inputs!$E$51)^(AM$5-1)</f>
        <v>-273682.218966</v>
      </c>
      <c r="AN16" s="67" t="n">
        <f aca="false">-AN9*Inputs!$E$39/12*1*(1+Inputs!$E$50)*(1+Inputs!$E$51)^(AN$5-1)</f>
        <v>-273682.218966</v>
      </c>
      <c r="AO16" s="67" t="n">
        <f aca="false">-AO9*Inputs!$E$39/12*1*(1+Inputs!$E$50)*(1+Inputs!$E$51)^(AO$5-1)</f>
        <v>-273682.218966</v>
      </c>
      <c r="AP16" s="67" t="n">
        <f aca="false">-AP9*Inputs!$E$39/12*1*(1+Inputs!$E$50)*(1+Inputs!$E$51)^(AP$5-1)</f>
        <v>-273682.218966</v>
      </c>
      <c r="AQ16" s="67" t="n">
        <f aca="false">-AQ9*Inputs!$E$39/12*1*(1+Inputs!$E$50)*(1+Inputs!$E$51)^(AQ$5-1)</f>
        <v>-273682.218966</v>
      </c>
      <c r="AR16" s="67" t="n">
        <f aca="false">-AR9*Inputs!$E$39/12*1*(1+Inputs!$E$50)*(1+Inputs!$E$51)^(AR$5-1)</f>
        <v>-273682.218966</v>
      </c>
      <c r="AS16" s="67" t="n">
        <f aca="false">-AS9*Inputs!$E$39/12*1*(1+Inputs!$E$50)*(1+Inputs!$E$51)^(AS$5-1)</f>
        <v>-273682.218966</v>
      </c>
      <c r="AT16" s="67" t="n">
        <f aca="false">-AT9*Inputs!$E$39/12*1*(1+Inputs!$E$50)*(1+Inputs!$E$51)^(AT$5-1)</f>
        <v>-273682.218966</v>
      </c>
      <c r="AU16" s="67" t="n">
        <f aca="false">-AU9*Inputs!$E$39/12*1*(1+Inputs!$E$50)*(1+Inputs!$E$51)^(AU$5-1)</f>
        <v>-273682.218966</v>
      </c>
      <c r="AV16" s="67" t="n">
        <f aca="false">-AV9*Inputs!$E$39/12*1*(1+Inputs!$E$50)*(1+Inputs!$E$51)^(AV$5-1)</f>
        <v>-273682.218966</v>
      </c>
      <c r="AW16" s="67" t="n">
        <f aca="false">-AW9*Inputs!$E$39/12*1*(1+Inputs!$E$50)*(1+Inputs!$E$51)^(AW$5-1)</f>
        <v>-273682.218966</v>
      </c>
      <c r="AX16" s="67" t="n">
        <f aca="false">-AX9*Inputs!$E$39/12*1*(1+Inputs!$E$50)*(1+Inputs!$E$51)^(AX$5-1)</f>
        <v>-273682.218966</v>
      </c>
      <c r="AY16" s="67" t="n">
        <f aca="false">-AY9*Inputs!$E$39/12*1*(1+Inputs!$E$50)*(1+Inputs!$E$51)^(AY$5-1)</f>
        <v>-366460.491195474</v>
      </c>
      <c r="AZ16" s="67" t="n">
        <f aca="false">-AZ9*Inputs!$E$39/12*1*(1+Inputs!$E$50)*(1+Inputs!$E$51)^(AZ$5-1)</f>
        <v>-366460.491195474</v>
      </c>
      <c r="BA16" s="67" t="n">
        <f aca="false">-BA9*Inputs!$E$39/12*1*(1+Inputs!$E$50)*(1+Inputs!$E$51)^(BA$5-1)</f>
        <v>-366460.491195474</v>
      </c>
      <c r="BB16" s="67" t="n">
        <f aca="false">-BB9*Inputs!$E$39/12*1*(1+Inputs!$E$50)*(1+Inputs!$E$51)^(BB$5-1)</f>
        <v>-366460.491195474</v>
      </c>
      <c r="BC16" s="67" t="n">
        <f aca="false">-BC9*Inputs!$E$39/12*1*(1+Inputs!$E$50)*(1+Inputs!$E$51)^(BC$5-1)</f>
        <v>-366460.491195474</v>
      </c>
      <c r="BD16" s="67" t="n">
        <f aca="false">-BD9*Inputs!$E$39/12*1*(1+Inputs!$E$50)*(1+Inputs!$E$51)^(BD$5-1)</f>
        <v>-366460.491195474</v>
      </c>
      <c r="BE16" s="67" t="n">
        <f aca="false">-BE9*Inputs!$E$39/12*1*(1+Inputs!$E$50)*(1+Inputs!$E$51)^(BE$5-1)</f>
        <v>-366460.491195474</v>
      </c>
      <c r="BF16" s="67" t="n">
        <f aca="false">-BF9*Inputs!$E$39/12*1*(1+Inputs!$E$50)*(1+Inputs!$E$51)^(BF$5-1)</f>
        <v>-366460.491195474</v>
      </c>
      <c r="BG16" s="67" t="n">
        <f aca="false">-BG9*Inputs!$E$39/12*1*(1+Inputs!$E$50)*(1+Inputs!$E$51)^(BG$5-1)</f>
        <v>-366460.491195474</v>
      </c>
      <c r="BH16" s="67" t="n">
        <f aca="false">-BH9*Inputs!$E$39/12*1*(1+Inputs!$E$50)*(1+Inputs!$E$51)^(BH$5-1)</f>
        <v>-366460.491195474</v>
      </c>
      <c r="BI16" s="67" t="n">
        <f aca="false">-BI9*Inputs!$E$39/12*1*(1+Inputs!$E$50)*(1+Inputs!$E$51)^(BI$5-1)</f>
        <v>-366460.491195474</v>
      </c>
      <c r="BJ16" s="67" t="n">
        <f aca="false">-BJ9*Inputs!$E$39/12*1*(1+Inputs!$E$50)*(1+Inputs!$E$51)^(BJ$5-1)</f>
        <v>-366460.491195474</v>
      </c>
    </row>
    <row r="17" customFormat="false" ht="15" hidden="false" customHeight="false" outlineLevel="0" collapsed="false">
      <c r="A17" s="6" t="s">
        <v>445</v>
      </c>
      <c r="C17" s="67" t="n">
        <f aca="false">-C10*Inputs!$E$43/12*1*(1+Inputs!$E$50)*(1+Inputs!$E$51)^(C$5-1)</f>
        <v>-17000</v>
      </c>
      <c r="D17" s="67" t="n">
        <f aca="false">-D10*Inputs!$E$43/12*1*(1+Inputs!$E$50)*(1+Inputs!$E$51)^(D$5-1)</f>
        <v>-17000</v>
      </c>
      <c r="E17" s="67" t="n">
        <f aca="false">-E10*Inputs!$E$43/12*1*(1+Inputs!$E$50)*(1+Inputs!$E$51)^(E$5-1)</f>
        <v>-17000</v>
      </c>
      <c r="F17" s="67" t="n">
        <f aca="false">-F10*Inputs!$E$43/12*1*(1+Inputs!$E$50)*(1+Inputs!$E$51)^(F$5-1)</f>
        <v>-17000</v>
      </c>
      <c r="G17" s="67" t="n">
        <f aca="false">-G10*Inputs!$E$43/12*1*(1+Inputs!$E$50)*(1+Inputs!$E$51)^(G$5-1)</f>
        <v>-17000</v>
      </c>
      <c r="H17" s="67" t="n">
        <f aca="false">-H10*Inputs!$E$43/12*1*(1+Inputs!$E$50)*(1+Inputs!$E$51)^(H$5-1)</f>
        <v>-17000</v>
      </c>
      <c r="I17" s="67" t="n">
        <f aca="false">-I10*Inputs!$E$43/12*1*(1+Inputs!$E$50)*(1+Inputs!$E$51)^(I$5-1)</f>
        <v>-17000</v>
      </c>
      <c r="J17" s="67" t="n">
        <f aca="false">-J10*Inputs!$E$43/12*1*(1+Inputs!$E$50)*(1+Inputs!$E$51)^(J$5-1)</f>
        <v>-17000</v>
      </c>
      <c r="K17" s="67" t="n">
        <f aca="false">-K10*Inputs!$E$43/12*1*(1+Inputs!$E$50)*(1+Inputs!$E$51)^(K$5-1)</f>
        <v>-17000</v>
      </c>
      <c r="L17" s="67" t="n">
        <f aca="false">-L10*Inputs!$E$43/12*1*(1+Inputs!$E$50)*(1+Inputs!$E$51)^(L$5-1)</f>
        <v>-17000</v>
      </c>
      <c r="M17" s="67" t="n">
        <f aca="false">-M10*Inputs!$E$43/12*1*(1+Inputs!$E$50)*(1+Inputs!$E$51)^(M$5-1)</f>
        <v>-17000</v>
      </c>
      <c r="N17" s="67" t="n">
        <f aca="false">-N10*Inputs!$E$43/12*1*(1+Inputs!$E$50)*(1+Inputs!$E$51)^(N$5-1)</f>
        <v>-17000</v>
      </c>
      <c r="O17" s="67" t="n">
        <f aca="false">-O10*Inputs!$E$43/12*1*(1+Inputs!$E$50)*(1+Inputs!$E$51)^(O$5-1)</f>
        <v>-21012</v>
      </c>
      <c r="P17" s="67" t="n">
        <f aca="false">-P10*Inputs!$E$43/12*1*(1+Inputs!$E$50)*(1+Inputs!$E$51)^(P$5-1)</f>
        <v>-21012</v>
      </c>
      <c r="Q17" s="67" t="n">
        <f aca="false">-Q10*Inputs!$E$43/12*1*(1+Inputs!$E$50)*(1+Inputs!$E$51)^(Q$5-1)</f>
        <v>-21012</v>
      </c>
      <c r="R17" s="67" t="n">
        <f aca="false">-R10*Inputs!$E$43/12*1*(1+Inputs!$E$50)*(1+Inputs!$E$51)^(R$5-1)</f>
        <v>-21012</v>
      </c>
      <c r="S17" s="67" t="n">
        <f aca="false">-S10*Inputs!$E$43/12*1*(1+Inputs!$E$50)*(1+Inputs!$E$51)^(S$5-1)</f>
        <v>-21012</v>
      </c>
      <c r="T17" s="67" t="n">
        <f aca="false">-T10*Inputs!$E$43/12*1*(1+Inputs!$E$50)*(1+Inputs!$E$51)^(T$5-1)</f>
        <v>-21012</v>
      </c>
      <c r="U17" s="67" t="n">
        <f aca="false">-U10*Inputs!$E$43/12*1*(1+Inputs!$E$50)*(1+Inputs!$E$51)^(U$5-1)</f>
        <v>-21012</v>
      </c>
      <c r="V17" s="67" t="n">
        <f aca="false">-V10*Inputs!$E$43/12*1*(1+Inputs!$E$50)*(1+Inputs!$E$51)^(V$5-1)</f>
        <v>-21012</v>
      </c>
      <c r="W17" s="67" t="n">
        <f aca="false">-W10*Inputs!$E$43/12*1*(1+Inputs!$E$50)*(1+Inputs!$E$51)^(W$5-1)</f>
        <v>-21012</v>
      </c>
      <c r="X17" s="67" t="n">
        <f aca="false">-X10*Inputs!$E$43/12*1*(1+Inputs!$E$50)*(1+Inputs!$E$51)^(X$5-1)</f>
        <v>-21012</v>
      </c>
      <c r="Y17" s="67" t="n">
        <f aca="false">-Y10*Inputs!$E$43/12*1*(1+Inputs!$E$50)*(1+Inputs!$E$51)^(Y$5-1)</f>
        <v>-21012</v>
      </c>
      <c r="Z17" s="67" t="n">
        <f aca="false">-Z10*Inputs!$E$43/12*1*(1+Inputs!$E$50)*(1+Inputs!$E$51)^(Z$5-1)</f>
        <v>-21012</v>
      </c>
      <c r="AA17" s="67" t="n">
        <f aca="false">-AA10*Inputs!$E$43/12*1*(1+Inputs!$E$50)*(1+Inputs!$E$51)^(AA$5-1)</f>
        <v>-25970.832</v>
      </c>
      <c r="AB17" s="67" t="n">
        <f aca="false">-AB10*Inputs!$E$43/12*1*(1+Inputs!$E$50)*(1+Inputs!$E$51)^(AB$5-1)</f>
        <v>-25970.832</v>
      </c>
      <c r="AC17" s="67" t="n">
        <f aca="false">-AC10*Inputs!$E$43/12*1*(1+Inputs!$E$50)*(1+Inputs!$E$51)^(AC$5-1)</f>
        <v>-25970.832</v>
      </c>
      <c r="AD17" s="67" t="n">
        <f aca="false">-AD10*Inputs!$E$43/12*1*(1+Inputs!$E$50)*(1+Inputs!$E$51)^(AD$5-1)</f>
        <v>-25970.832</v>
      </c>
      <c r="AE17" s="67" t="n">
        <f aca="false">-AE10*Inputs!$E$43/12*1*(1+Inputs!$E$50)*(1+Inputs!$E$51)^(AE$5-1)</f>
        <v>-25970.832</v>
      </c>
      <c r="AF17" s="67" t="n">
        <f aca="false">-AF10*Inputs!$E$43/12*1*(1+Inputs!$E$50)*(1+Inputs!$E$51)^(AF$5-1)</f>
        <v>-25970.832</v>
      </c>
      <c r="AG17" s="67" t="n">
        <f aca="false">-AG10*Inputs!$E$43/12*1*(1+Inputs!$E$50)*(1+Inputs!$E$51)^(AG$5-1)</f>
        <v>-25970.832</v>
      </c>
      <c r="AH17" s="67" t="n">
        <f aca="false">-AH10*Inputs!$E$43/12*1*(1+Inputs!$E$50)*(1+Inputs!$E$51)^(AH$5-1)</f>
        <v>-25970.832</v>
      </c>
      <c r="AI17" s="67" t="n">
        <f aca="false">-AI10*Inputs!$E$43/12*1*(1+Inputs!$E$50)*(1+Inputs!$E$51)^(AI$5-1)</f>
        <v>-25970.832</v>
      </c>
      <c r="AJ17" s="67" t="n">
        <f aca="false">-AJ10*Inputs!$E$43/12*1*(1+Inputs!$E$50)*(1+Inputs!$E$51)^(AJ$5-1)</f>
        <v>-25970.832</v>
      </c>
      <c r="AK17" s="67" t="n">
        <f aca="false">-AK10*Inputs!$E$43/12*1*(1+Inputs!$E$50)*(1+Inputs!$E$51)^(AK$5-1)</f>
        <v>-25970.832</v>
      </c>
      <c r="AL17" s="67" t="n">
        <f aca="false">-AL10*Inputs!$E$43/12*1*(1+Inputs!$E$50)*(1+Inputs!$E$51)^(AL$5-1)</f>
        <v>-25970.832</v>
      </c>
      <c r="AM17" s="67" t="n">
        <f aca="false">-AM10*Inputs!$E$43/12*1*(1+Inputs!$E$50)*(1+Inputs!$E$51)^(AM$5-1)</f>
        <v>-32099.948352</v>
      </c>
      <c r="AN17" s="67" t="n">
        <f aca="false">-AN10*Inputs!$E$43/12*1*(1+Inputs!$E$50)*(1+Inputs!$E$51)^(AN$5-1)</f>
        <v>-32099.948352</v>
      </c>
      <c r="AO17" s="67" t="n">
        <f aca="false">-AO10*Inputs!$E$43/12*1*(1+Inputs!$E$50)*(1+Inputs!$E$51)^(AO$5-1)</f>
        <v>-32099.948352</v>
      </c>
      <c r="AP17" s="67" t="n">
        <f aca="false">-AP10*Inputs!$E$43/12*1*(1+Inputs!$E$50)*(1+Inputs!$E$51)^(AP$5-1)</f>
        <v>-32099.948352</v>
      </c>
      <c r="AQ17" s="67" t="n">
        <f aca="false">-AQ10*Inputs!$E$43/12*1*(1+Inputs!$E$50)*(1+Inputs!$E$51)^(AQ$5-1)</f>
        <v>-32099.948352</v>
      </c>
      <c r="AR17" s="67" t="n">
        <f aca="false">-AR10*Inputs!$E$43/12*1*(1+Inputs!$E$50)*(1+Inputs!$E$51)^(AR$5-1)</f>
        <v>-32099.948352</v>
      </c>
      <c r="AS17" s="67" t="n">
        <f aca="false">-AS10*Inputs!$E$43/12*1*(1+Inputs!$E$50)*(1+Inputs!$E$51)^(AS$5-1)</f>
        <v>-32099.948352</v>
      </c>
      <c r="AT17" s="67" t="n">
        <f aca="false">-AT10*Inputs!$E$43/12*1*(1+Inputs!$E$50)*(1+Inputs!$E$51)^(AT$5-1)</f>
        <v>-32099.948352</v>
      </c>
      <c r="AU17" s="67" t="n">
        <f aca="false">-AU10*Inputs!$E$43/12*1*(1+Inputs!$E$50)*(1+Inputs!$E$51)^(AU$5-1)</f>
        <v>-32099.948352</v>
      </c>
      <c r="AV17" s="67" t="n">
        <f aca="false">-AV10*Inputs!$E$43/12*1*(1+Inputs!$E$50)*(1+Inputs!$E$51)^(AV$5-1)</f>
        <v>-32099.948352</v>
      </c>
      <c r="AW17" s="67" t="n">
        <f aca="false">-AW10*Inputs!$E$43/12*1*(1+Inputs!$E$50)*(1+Inputs!$E$51)^(AW$5-1)</f>
        <v>-32099.948352</v>
      </c>
      <c r="AX17" s="67" t="n">
        <f aca="false">-AX10*Inputs!$E$43/12*1*(1+Inputs!$E$50)*(1+Inputs!$E$51)^(AX$5-1)</f>
        <v>-32099.948352</v>
      </c>
      <c r="AY17" s="67" t="n">
        <f aca="false">-AY10*Inputs!$E$43/12*1*(1+Inputs!$E$50)*(1+Inputs!$E$51)^(AY$5-1)</f>
        <v>-39675.536163072</v>
      </c>
      <c r="AZ17" s="67" t="n">
        <f aca="false">-AZ10*Inputs!$E$43/12*1*(1+Inputs!$E$50)*(1+Inputs!$E$51)^(AZ$5-1)</f>
        <v>-39675.536163072</v>
      </c>
      <c r="BA17" s="67" t="n">
        <f aca="false">-BA10*Inputs!$E$43/12*1*(1+Inputs!$E$50)*(1+Inputs!$E$51)^(BA$5-1)</f>
        <v>-39675.536163072</v>
      </c>
      <c r="BB17" s="67" t="n">
        <f aca="false">-BB10*Inputs!$E$43/12*1*(1+Inputs!$E$50)*(1+Inputs!$E$51)^(BB$5-1)</f>
        <v>-39675.536163072</v>
      </c>
      <c r="BC17" s="67" t="n">
        <f aca="false">-BC10*Inputs!$E$43/12*1*(1+Inputs!$E$50)*(1+Inputs!$E$51)^(BC$5-1)</f>
        <v>-39675.536163072</v>
      </c>
      <c r="BD17" s="67" t="n">
        <f aca="false">-BD10*Inputs!$E$43/12*1*(1+Inputs!$E$50)*(1+Inputs!$E$51)^(BD$5-1)</f>
        <v>-39675.536163072</v>
      </c>
      <c r="BE17" s="67" t="n">
        <f aca="false">-BE10*Inputs!$E$43/12*1*(1+Inputs!$E$50)*(1+Inputs!$E$51)^(BE$5-1)</f>
        <v>-39675.536163072</v>
      </c>
      <c r="BF17" s="67" t="n">
        <f aca="false">-BF10*Inputs!$E$43/12*1*(1+Inputs!$E$50)*(1+Inputs!$E$51)^(BF$5-1)</f>
        <v>-39675.536163072</v>
      </c>
      <c r="BG17" s="67" t="n">
        <f aca="false">-BG10*Inputs!$E$43/12*1*(1+Inputs!$E$50)*(1+Inputs!$E$51)^(BG$5-1)</f>
        <v>-39675.536163072</v>
      </c>
      <c r="BH17" s="67" t="n">
        <f aca="false">-BH10*Inputs!$E$43/12*1*(1+Inputs!$E$50)*(1+Inputs!$E$51)^(BH$5-1)</f>
        <v>-39675.536163072</v>
      </c>
      <c r="BI17" s="67" t="n">
        <f aca="false">-BI10*Inputs!$E$43/12*1*(1+Inputs!$E$50)*(1+Inputs!$E$51)^(BI$5-1)</f>
        <v>-39675.536163072</v>
      </c>
      <c r="BJ17" s="67" t="n">
        <f aca="false">-BJ10*Inputs!$E$43/12*1*(1+Inputs!$E$50)*(1+Inputs!$E$51)^(BJ$5-1)</f>
        <v>-39675.536163072</v>
      </c>
    </row>
    <row r="18" customFormat="false" ht="15" hidden="false" customHeight="false" outlineLevel="0" collapsed="false">
      <c r="A18" s="6" t="s">
        <v>446</v>
      </c>
      <c r="C18" s="67" t="n">
        <f aca="false">-C11*Inputs!$E$47/12*1*(1+Inputs!$E$50)*(1+Inputs!$E$51)^(C$5-1)</f>
        <v>-19500</v>
      </c>
      <c r="D18" s="67" t="n">
        <f aca="false">-D11*Inputs!$E$47/12*1*(1+Inputs!$E$50)*(1+Inputs!$E$51)^(D$5-1)</f>
        <v>-19500</v>
      </c>
      <c r="E18" s="67" t="n">
        <f aca="false">-E11*Inputs!$E$47/12*1*(1+Inputs!$E$50)*(1+Inputs!$E$51)^(E$5-1)</f>
        <v>-19500</v>
      </c>
      <c r="F18" s="67" t="n">
        <f aca="false">-F11*Inputs!$E$47/12*1*(1+Inputs!$E$50)*(1+Inputs!$E$51)^(F$5-1)</f>
        <v>-19500</v>
      </c>
      <c r="G18" s="67" t="n">
        <f aca="false">-G11*Inputs!$E$47/12*1*(1+Inputs!$E$50)*(1+Inputs!$E$51)^(G$5-1)</f>
        <v>-19500</v>
      </c>
      <c r="H18" s="67" t="n">
        <f aca="false">-H11*Inputs!$E$47/12*1*(1+Inputs!$E$50)*(1+Inputs!$E$51)^(H$5-1)</f>
        <v>-19500</v>
      </c>
      <c r="I18" s="67" t="n">
        <f aca="false">-I11*Inputs!$E$47/12*1*(1+Inputs!$E$50)*(1+Inputs!$E$51)^(I$5-1)</f>
        <v>-19500</v>
      </c>
      <c r="J18" s="67" t="n">
        <f aca="false">-J11*Inputs!$E$47/12*1*(1+Inputs!$E$50)*(1+Inputs!$E$51)^(J$5-1)</f>
        <v>-19500</v>
      </c>
      <c r="K18" s="67" t="n">
        <f aca="false">-K11*Inputs!$E$47/12*1*(1+Inputs!$E$50)*(1+Inputs!$E$51)^(K$5-1)</f>
        <v>-19500</v>
      </c>
      <c r="L18" s="67" t="n">
        <f aca="false">-L11*Inputs!$E$47/12*1*(1+Inputs!$E$50)*(1+Inputs!$E$51)^(L$5-1)</f>
        <v>-19500</v>
      </c>
      <c r="M18" s="67" t="n">
        <f aca="false">-M11*Inputs!$E$47/12*1*(1+Inputs!$E$50)*(1+Inputs!$E$51)^(M$5-1)</f>
        <v>-19500</v>
      </c>
      <c r="N18" s="67" t="n">
        <f aca="false">-N11*Inputs!$E$47/12*1*(1+Inputs!$E$50)*(1+Inputs!$E$51)^(N$5-1)</f>
        <v>-19500</v>
      </c>
      <c r="O18" s="67" t="n">
        <f aca="false">-O11*Inputs!$E$47/12*1*(1+Inputs!$E$50)*(1+Inputs!$E$51)^(O$5-1)</f>
        <v>-23097.75</v>
      </c>
      <c r="P18" s="67" t="n">
        <f aca="false">-P11*Inputs!$E$47/12*1*(1+Inputs!$E$50)*(1+Inputs!$E$51)^(P$5-1)</f>
        <v>-23097.75</v>
      </c>
      <c r="Q18" s="67" t="n">
        <f aca="false">-Q11*Inputs!$E$47/12*1*(1+Inputs!$E$50)*(1+Inputs!$E$51)^(Q$5-1)</f>
        <v>-23097.75</v>
      </c>
      <c r="R18" s="67" t="n">
        <f aca="false">-R11*Inputs!$E$47/12*1*(1+Inputs!$E$50)*(1+Inputs!$E$51)^(R$5-1)</f>
        <v>-23097.75</v>
      </c>
      <c r="S18" s="67" t="n">
        <f aca="false">-S11*Inputs!$E$47/12*1*(1+Inputs!$E$50)*(1+Inputs!$E$51)^(S$5-1)</f>
        <v>-23097.75</v>
      </c>
      <c r="T18" s="67" t="n">
        <f aca="false">-T11*Inputs!$E$47/12*1*(1+Inputs!$E$50)*(1+Inputs!$E$51)^(T$5-1)</f>
        <v>-23097.75</v>
      </c>
      <c r="U18" s="67" t="n">
        <f aca="false">-U11*Inputs!$E$47/12*1*(1+Inputs!$E$50)*(1+Inputs!$E$51)^(U$5-1)</f>
        <v>-23097.75</v>
      </c>
      <c r="V18" s="67" t="n">
        <f aca="false">-V11*Inputs!$E$47/12*1*(1+Inputs!$E$50)*(1+Inputs!$E$51)^(V$5-1)</f>
        <v>-23097.75</v>
      </c>
      <c r="W18" s="67" t="n">
        <f aca="false">-W11*Inputs!$E$47/12*1*(1+Inputs!$E$50)*(1+Inputs!$E$51)^(W$5-1)</f>
        <v>-23097.75</v>
      </c>
      <c r="X18" s="67" t="n">
        <f aca="false">-X11*Inputs!$E$47/12*1*(1+Inputs!$E$50)*(1+Inputs!$E$51)^(X$5-1)</f>
        <v>-23097.75</v>
      </c>
      <c r="Y18" s="67" t="n">
        <f aca="false">-Y11*Inputs!$E$47/12*1*(1+Inputs!$E$50)*(1+Inputs!$E$51)^(Y$5-1)</f>
        <v>-23097.75</v>
      </c>
      <c r="Z18" s="67" t="n">
        <f aca="false">-Z11*Inputs!$E$47/12*1*(1+Inputs!$E$50)*(1+Inputs!$E$51)^(Z$5-1)</f>
        <v>-23097.75</v>
      </c>
      <c r="AA18" s="67" t="n">
        <f aca="false">-AA11*Inputs!$E$47/12*1*(1+Inputs!$E$50)*(1+Inputs!$E$51)^(AA$5-1)</f>
        <v>-27359.284875</v>
      </c>
      <c r="AB18" s="67" t="n">
        <f aca="false">-AB11*Inputs!$E$47/12*1*(1+Inputs!$E$50)*(1+Inputs!$E$51)^(AB$5-1)</f>
        <v>-27359.284875</v>
      </c>
      <c r="AC18" s="67" t="n">
        <f aca="false">-AC11*Inputs!$E$47/12*1*(1+Inputs!$E$50)*(1+Inputs!$E$51)^(AC$5-1)</f>
        <v>-27359.284875</v>
      </c>
      <c r="AD18" s="67" t="n">
        <f aca="false">-AD11*Inputs!$E$47/12*1*(1+Inputs!$E$50)*(1+Inputs!$E$51)^(AD$5-1)</f>
        <v>-27359.284875</v>
      </c>
      <c r="AE18" s="67" t="n">
        <f aca="false">-AE11*Inputs!$E$47/12*1*(1+Inputs!$E$50)*(1+Inputs!$E$51)^(AE$5-1)</f>
        <v>-27359.284875</v>
      </c>
      <c r="AF18" s="67" t="n">
        <f aca="false">-AF11*Inputs!$E$47/12*1*(1+Inputs!$E$50)*(1+Inputs!$E$51)^(AF$5-1)</f>
        <v>-27359.284875</v>
      </c>
      <c r="AG18" s="67" t="n">
        <f aca="false">-AG11*Inputs!$E$47/12*1*(1+Inputs!$E$50)*(1+Inputs!$E$51)^(AG$5-1)</f>
        <v>-27359.284875</v>
      </c>
      <c r="AH18" s="67" t="n">
        <f aca="false">-AH11*Inputs!$E$47/12*1*(1+Inputs!$E$50)*(1+Inputs!$E$51)^(AH$5-1)</f>
        <v>-27359.284875</v>
      </c>
      <c r="AI18" s="67" t="n">
        <f aca="false">-AI11*Inputs!$E$47/12*1*(1+Inputs!$E$50)*(1+Inputs!$E$51)^(AI$5-1)</f>
        <v>-27359.284875</v>
      </c>
      <c r="AJ18" s="67" t="n">
        <f aca="false">-AJ11*Inputs!$E$47/12*1*(1+Inputs!$E$50)*(1+Inputs!$E$51)^(AJ$5-1)</f>
        <v>-27359.284875</v>
      </c>
      <c r="AK18" s="67" t="n">
        <f aca="false">-AK11*Inputs!$E$47/12*1*(1+Inputs!$E$50)*(1+Inputs!$E$51)^(AK$5-1)</f>
        <v>-27359.284875</v>
      </c>
      <c r="AL18" s="67" t="n">
        <f aca="false">-AL11*Inputs!$E$47/12*1*(1+Inputs!$E$50)*(1+Inputs!$E$51)^(AL$5-1)</f>
        <v>-27359.284875</v>
      </c>
      <c r="AM18" s="67" t="n">
        <f aca="false">-AM11*Inputs!$E$47/12*1*(1+Inputs!$E$50)*(1+Inputs!$E$51)^(AM$5-1)</f>
        <v>-32407.0729344375</v>
      </c>
      <c r="AN18" s="67" t="n">
        <f aca="false">-AN11*Inputs!$E$47/12*1*(1+Inputs!$E$50)*(1+Inputs!$E$51)^(AN$5-1)</f>
        <v>-32407.0729344375</v>
      </c>
      <c r="AO18" s="67" t="n">
        <f aca="false">-AO11*Inputs!$E$47/12*1*(1+Inputs!$E$50)*(1+Inputs!$E$51)^(AO$5-1)</f>
        <v>-32407.0729344375</v>
      </c>
      <c r="AP18" s="67" t="n">
        <f aca="false">-AP11*Inputs!$E$47/12*1*(1+Inputs!$E$50)*(1+Inputs!$E$51)^(AP$5-1)</f>
        <v>-32407.0729344375</v>
      </c>
      <c r="AQ18" s="67" t="n">
        <f aca="false">-AQ11*Inputs!$E$47/12*1*(1+Inputs!$E$50)*(1+Inputs!$E$51)^(AQ$5-1)</f>
        <v>-32407.0729344375</v>
      </c>
      <c r="AR18" s="67" t="n">
        <f aca="false">-AR11*Inputs!$E$47/12*1*(1+Inputs!$E$50)*(1+Inputs!$E$51)^(AR$5-1)</f>
        <v>-32407.0729344375</v>
      </c>
      <c r="AS18" s="67" t="n">
        <f aca="false">-AS11*Inputs!$E$47/12*1*(1+Inputs!$E$50)*(1+Inputs!$E$51)^(AS$5-1)</f>
        <v>-32407.0729344375</v>
      </c>
      <c r="AT18" s="67" t="n">
        <f aca="false">-AT11*Inputs!$E$47/12*1*(1+Inputs!$E$50)*(1+Inputs!$E$51)^(AT$5-1)</f>
        <v>-32407.0729344375</v>
      </c>
      <c r="AU18" s="67" t="n">
        <f aca="false">-AU11*Inputs!$E$47/12*1*(1+Inputs!$E$50)*(1+Inputs!$E$51)^(AU$5-1)</f>
        <v>-32407.0729344375</v>
      </c>
      <c r="AV18" s="67" t="n">
        <f aca="false">-AV11*Inputs!$E$47/12*1*(1+Inputs!$E$50)*(1+Inputs!$E$51)^(AV$5-1)</f>
        <v>-32407.0729344375</v>
      </c>
      <c r="AW18" s="67" t="n">
        <f aca="false">-AW11*Inputs!$E$47/12*1*(1+Inputs!$E$50)*(1+Inputs!$E$51)^(AW$5-1)</f>
        <v>-32407.0729344375</v>
      </c>
      <c r="AX18" s="67" t="n">
        <f aca="false">-AX11*Inputs!$E$47/12*1*(1+Inputs!$E$50)*(1+Inputs!$E$51)^(AX$5-1)</f>
        <v>-32407.0729344375</v>
      </c>
      <c r="AY18" s="67" t="n">
        <f aca="false">-AY11*Inputs!$E$47/12*1*(1+Inputs!$E$50)*(1+Inputs!$E$51)^(AY$5-1)</f>
        <v>-38386.1778908412</v>
      </c>
      <c r="AZ18" s="67" t="n">
        <f aca="false">-AZ11*Inputs!$E$47/12*1*(1+Inputs!$E$50)*(1+Inputs!$E$51)^(AZ$5-1)</f>
        <v>-38386.1778908412</v>
      </c>
      <c r="BA18" s="67" t="n">
        <f aca="false">-BA11*Inputs!$E$47/12*1*(1+Inputs!$E$50)*(1+Inputs!$E$51)^(BA$5-1)</f>
        <v>-38386.1778908412</v>
      </c>
      <c r="BB18" s="67" t="n">
        <f aca="false">-BB11*Inputs!$E$47/12*1*(1+Inputs!$E$50)*(1+Inputs!$E$51)^(BB$5-1)</f>
        <v>-38386.1778908412</v>
      </c>
      <c r="BC18" s="67" t="n">
        <f aca="false">-BC11*Inputs!$E$47/12*1*(1+Inputs!$E$50)*(1+Inputs!$E$51)^(BC$5-1)</f>
        <v>-38386.1778908412</v>
      </c>
      <c r="BD18" s="67" t="n">
        <f aca="false">-BD11*Inputs!$E$47/12*1*(1+Inputs!$E$50)*(1+Inputs!$E$51)^(BD$5-1)</f>
        <v>-38386.1778908412</v>
      </c>
      <c r="BE18" s="67" t="n">
        <f aca="false">-BE11*Inputs!$E$47/12*1*(1+Inputs!$E$50)*(1+Inputs!$E$51)^(BE$5-1)</f>
        <v>-38386.1778908412</v>
      </c>
      <c r="BF18" s="67" t="n">
        <f aca="false">-BF11*Inputs!$E$47/12*1*(1+Inputs!$E$50)*(1+Inputs!$E$51)^(BF$5-1)</f>
        <v>-38386.1778908412</v>
      </c>
      <c r="BG18" s="67" t="n">
        <f aca="false">-BG11*Inputs!$E$47/12*1*(1+Inputs!$E$50)*(1+Inputs!$E$51)^(BG$5-1)</f>
        <v>-38386.1778908412</v>
      </c>
      <c r="BH18" s="67" t="n">
        <f aca="false">-BH11*Inputs!$E$47/12*1*(1+Inputs!$E$50)*(1+Inputs!$E$51)^(BH$5-1)</f>
        <v>-38386.1778908412</v>
      </c>
      <c r="BI18" s="67" t="n">
        <f aca="false">-BI11*Inputs!$E$47/12*1*(1+Inputs!$E$50)*(1+Inputs!$E$51)^(BI$5-1)</f>
        <v>-38386.1778908412</v>
      </c>
      <c r="BJ18" s="67" t="n">
        <f aca="false">-BJ11*Inputs!$E$47/12*1*(1+Inputs!$E$50)*(1+Inputs!$E$51)^(BJ$5-1)</f>
        <v>-38386.1778908412</v>
      </c>
    </row>
    <row r="19" customFormat="false" ht="15" hidden="false" customHeight="false" outlineLevel="0" collapsed="false">
      <c r="A19" s="113" t="s">
        <v>447</v>
      </c>
      <c r="C19" s="68" t="n">
        <f aca="false">C15+C16+C17+C18</f>
        <v>-214500</v>
      </c>
      <c r="D19" s="68" t="n">
        <f aca="false">D15+D16+D17+D18</f>
        <v>-214500</v>
      </c>
      <c r="E19" s="68" t="n">
        <f aca="false">E15+E16+E17+E18</f>
        <v>-214500</v>
      </c>
      <c r="F19" s="68" t="n">
        <f aca="false">F15+F16+F17+F18</f>
        <v>-214500</v>
      </c>
      <c r="G19" s="68" t="n">
        <f aca="false">G15+G16+G17+G18</f>
        <v>-214500</v>
      </c>
      <c r="H19" s="68" t="n">
        <f aca="false">H15+H16+H17+H18</f>
        <v>-214500</v>
      </c>
      <c r="I19" s="68" t="n">
        <f aca="false">I15+I16+I17+I18</f>
        <v>-214500</v>
      </c>
      <c r="J19" s="68" t="n">
        <f aca="false">J15+J16+J17+J18</f>
        <v>-214500</v>
      </c>
      <c r="K19" s="68" t="n">
        <f aca="false">K15+K16+K17+K18</f>
        <v>-214500</v>
      </c>
      <c r="L19" s="68" t="n">
        <f aca="false">L15+L16+L17+L18</f>
        <v>-214500</v>
      </c>
      <c r="M19" s="68" t="n">
        <f aca="false">M15+M16+M17+M18</f>
        <v>-214500</v>
      </c>
      <c r="N19" s="68" t="n">
        <f aca="false">N15+N16+N17+N18</f>
        <v>-214500</v>
      </c>
      <c r="O19" s="68" t="n">
        <f aca="false">O15+O16+O17+O18</f>
        <v>-275859.75</v>
      </c>
      <c r="P19" s="68" t="n">
        <f aca="false">P15+P16+P17+P18</f>
        <v>-275859.75</v>
      </c>
      <c r="Q19" s="68" t="n">
        <f aca="false">Q15+Q16+Q17+Q18</f>
        <v>-275859.75</v>
      </c>
      <c r="R19" s="68" t="n">
        <f aca="false">R15+R16+R17+R18</f>
        <v>-275859.75</v>
      </c>
      <c r="S19" s="68" t="n">
        <f aca="false">S15+S16+S17+S18</f>
        <v>-275859.75</v>
      </c>
      <c r="T19" s="68" t="n">
        <f aca="false">T15+T16+T17+T18</f>
        <v>-275859.75</v>
      </c>
      <c r="U19" s="68" t="n">
        <f aca="false">U15+U16+U17+U18</f>
        <v>-275859.75</v>
      </c>
      <c r="V19" s="68" t="n">
        <f aca="false">V15+V16+V17+V18</f>
        <v>-275859.75</v>
      </c>
      <c r="W19" s="68" t="n">
        <f aca="false">W15+W16+W17+W18</f>
        <v>-275859.75</v>
      </c>
      <c r="X19" s="68" t="n">
        <f aca="false">X15+X16+X17+X18</f>
        <v>-275859.75</v>
      </c>
      <c r="Y19" s="68" t="n">
        <f aca="false">Y15+Y16+Y17+Y18</f>
        <v>-275859.75</v>
      </c>
      <c r="Z19" s="68" t="n">
        <f aca="false">Z15+Z16+Z17+Z18</f>
        <v>-275859.75</v>
      </c>
      <c r="AA19" s="68" t="n">
        <f aca="false">AA15+AA16+AA17+AA18</f>
        <v>-355495.654875</v>
      </c>
      <c r="AB19" s="68" t="n">
        <f aca="false">AB15+AB16+AB17+AB18</f>
        <v>-355495.654875</v>
      </c>
      <c r="AC19" s="68" t="n">
        <f aca="false">AC15+AC16+AC17+AC18</f>
        <v>-355495.654875</v>
      </c>
      <c r="AD19" s="68" t="n">
        <f aca="false">AD15+AD16+AD17+AD18</f>
        <v>-355495.654875</v>
      </c>
      <c r="AE19" s="68" t="n">
        <f aca="false">AE15+AE16+AE17+AE18</f>
        <v>-355495.654875</v>
      </c>
      <c r="AF19" s="68" t="n">
        <f aca="false">AF15+AF16+AF17+AF18</f>
        <v>-355495.654875</v>
      </c>
      <c r="AG19" s="68" t="n">
        <f aca="false">AG15+AG16+AG17+AG18</f>
        <v>-355495.654875</v>
      </c>
      <c r="AH19" s="68" t="n">
        <f aca="false">AH15+AH16+AH17+AH18</f>
        <v>-355495.654875</v>
      </c>
      <c r="AI19" s="68" t="n">
        <f aca="false">AI15+AI16+AI17+AI18</f>
        <v>-355495.654875</v>
      </c>
      <c r="AJ19" s="68" t="n">
        <f aca="false">AJ15+AJ16+AJ17+AJ18</f>
        <v>-355495.654875</v>
      </c>
      <c r="AK19" s="68" t="n">
        <f aca="false">AK15+AK16+AK17+AK18</f>
        <v>-355495.654875</v>
      </c>
      <c r="AL19" s="68" t="n">
        <f aca="false">AL15+AL16+AL17+AL18</f>
        <v>-355495.654875</v>
      </c>
      <c r="AM19" s="68" t="n">
        <f aca="false">AM15+AM16+AM17+AM18</f>
        <v>-459036.104636437</v>
      </c>
      <c r="AN19" s="68" t="n">
        <f aca="false">AN15+AN16+AN17+AN18</f>
        <v>-459036.104636437</v>
      </c>
      <c r="AO19" s="68" t="n">
        <f aca="false">AO15+AO16+AO17+AO18</f>
        <v>-459036.104636437</v>
      </c>
      <c r="AP19" s="68" t="n">
        <f aca="false">AP15+AP16+AP17+AP18</f>
        <v>-459036.104636437</v>
      </c>
      <c r="AQ19" s="68" t="n">
        <f aca="false">AQ15+AQ16+AQ17+AQ18</f>
        <v>-459036.104636437</v>
      </c>
      <c r="AR19" s="68" t="n">
        <f aca="false">AR15+AR16+AR17+AR18</f>
        <v>-459036.104636437</v>
      </c>
      <c r="AS19" s="68" t="n">
        <f aca="false">AS15+AS16+AS17+AS18</f>
        <v>-459036.104636437</v>
      </c>
      <c r="AT19" s="68" t="n">
        <f aca="false">AT15+AT16+AT17+AT18</f>
        <v>-459036.104636437</v>
      </c>
      <c r="AU19" s="68" t="n">
        <f aca="false">AU15+AU16+AU17+AU18</f>
        <v>-459036.104636437</v>
      </c>
      <c r="AV19" s="68" t="n">
        <f aca="false">AV15+AV16+AV17+AV18</f>
        <v>-459036.104636437</v>
      </c>
      <c r="AW19" s="68" t="n">
        <f aca="false">AW15+AW16+AW17+AW18</f>
        <v>-459036.104636437</v>
      </c>
      <c r="AX19" s="68" t="n">
        <f aca="false">AX15+AX16+AX17+AX18</f>
        <v>-459036.104636437</v>
      </c>
      <c r="AY19" s="68" t="n">
        <f aca="false">AY15+AY16+AY17+AY18</f>
        <v>-593888.929628011</v>
      </c>
      <c r="AZ19" s="68" t="n">
        <f aca="false">AZ15+AZ16+AZ17+AZ18</f>
        <v>-593888.929628011</v>
      </c>
      <c r="BA19" s="68" t="n">
        <f aca="false">BA15+BA16+BA17+BA18</f>
        <v>-593888.929628011</v>
      </c>
      <c r="BB19" s="68" t="n">
        <f aca="false">BB15+BB16+BB17+BB18</f>
        <v>-593888.929628011</v>
      </c>
      <c r="BC19" s="68" t="n">
        <f aca="false">BC15+BC16+BC17+BC18</f>
        <v>-593888.929628011</v>
      </c>
      <c r="BD19" s="68" t="n">
        <f aca="false">BD15+BD16+BD17+BD18</f>
        <v>-593888.929628011</v>
      </c>
      <c r="BE19" s="68" t="n">
        <f aca="false">BE15+BE16+BE17+BE18</f>
        <v>-593888.929628011</v>
      </c>
      <c r="BF19" s="68" t="n">
        <f aca="false">BF15+BF16+BF17+BF18</f>
        <v>-593888.929628011</v>
      </c>
      <c r="BG19" s="68" t="n">
        <f aca="false">BG15+BG16+BG17+BG18</f>
        <v>-593888.929628011</v>
      </c>
      <c r="BH19" s="68" t="n">
        <f aca="false">BH15+BH16+BH17+BH18</f>
        <v>-593888.929628011</v>
      </c>
      <c r="BI19" s="68" t="n">
        <f aca="false">BI15+BI16+BI17+BI18</f>
        <v>-593888.929628011</v>
      </c>
      <c r="BJ19" s="68" t="n">
        <f aca="false">BJ15+BJ16+BJ17+BJ18</f>
        <v>-593888.929628011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448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449</v>
      </c>
    </row>
    <row r="4" customFormat="false" ht="15.75" hidden="false" customHeight="true" outlineLevel="0" collapsed="false">
      <c r="A4" s="7" t="s">
        <v>450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340</v>
      </c>
      <c r="C5" s="52" t="s">
        <v>341</v>
      </c>
      <c r="D5" s="52" t="s">
        <v>342</v>
      </c>
      <c r="E5" s="52" t="s">
        <v>343</v>
      </c>
      <c r="F5" s="52" t="s">
        <v>344</v>
      </c>
      <c r="G5" s="52" t="s">
        <v>345</v>
      </c>
      <c r="H5" s="52" t="s">
        <v>346</v>
      </c>
      <c r="I5" s="52" t="s">
        <v>347</v>
      </c>
      <c r="J5" s="52" t="s">
        <v>348</v>
      </c>
      <c r="K5" s="52" t="s">
        <v>349</v>
      </c>
      <c r="L5" s="52" t="s">
        <v>350</v>
      </c>
      <c r="M5" s="52" t="s">
        <v>351</v>
      </c>
      <c r="N5" s="52" t="s">
        <v>352</v>
      </c>
      <c r="O5" s="52" t="s">
        <v>353</v>
      </c>
      <c r="P5" s="52" t="s">
        <v>354</v>
      </c>
      <c r="Q5" s="52" t="s">
        <v>355</v>
      </c>
      <c r="R5" s="52" t="s">
        <v>356</v>
      </c>
      <c r="S5" s="52" t="s">
        <v>357</v>
      </c>
      <c r="T5" s="52" t="s">
        <v>358</v>
      </c>
      <c r="U5" s="52" t="s">
        <v>359</v>
      </c>
      <c r="V5" s="52" t="s">
        <v>360</v>
      </c>
      <c r="W5" s="52" t="s">
        <v>361</v>
      </c>
      <c r="X5" s="52" t="s">
        <v>362</v>
      </c>
      <c r="Y5" s="52" t="s">
        <v>363</v>
      </c>
      <c r="Z5" s="52" t="s">
        <v>364</v>
      </c>
      <c r="AA5" s="52" t="s">
        <v>365</v>
      </c>
      <c r="AB5" s="52" t="s">
        <v>366</v>
      </c>
      <c r="AC5" s="52" t="s">
        <v>367</v>
      </c>
      <c r="AD5" s="52" t="s">
        <v>368</v>
      </c>
      <c r="AE5" s="52" t="s">
        <v>369</v>
      </c>
      <c r="AF5" s="52" t="s">
        <v>370</v>
      </c>
      <c r="AG5" s="52" t="s">
        <v>371</v>
      </c>
      <c r="AH5" s="52" t="s">
        <v>372</v>
      </c>
      <c r="AI5" s="52" t="s">
        <v>373</v>
      </c>
      <c r="AJ5" s="52" t="s">
        <v>374</v>
      </c>
      <c r="AK5" s="52" t="s">
        <v>375</v>
      </c>
      <c r="AL5" s="52" t="s">
        <v>376</v>
      </c>
      <c r="AM5" s="52" t="s">
        <v>377</v>
      </c>
      <c r="AN5" s="52" t="s">
        <v>378</v>
      </c>
      <c r="AO5" s="52" t="s">
        <v>379</v>
      </c>
      <c r="AP5" s="52" t="s">
        <v>380</v>
      </c>
      <c r="AQ5" s="52" t="s">
        <v>381</v>
      </c>
      <c r="AR5" s="52" t="s">
        <v>382</v>
      </c>
      <c r="AS5" s="52" t="s">
        <v>383</v>
      </c>
      <c r="AT5" s="52" t="s">
        <v>384</v>
      </c>
      <c r="AU5" s="52" t="s">
        <v>385</v>
      </c>
      <c r="AV5" s="52" t="s">
        <v>386</v>
      </c>
      <c r="AW5" s="52" t="s">
        <v>387</v>
      </c>
      <c r="AX5" s="52" t="s">
        <v>388</v>
      </c>
      <c r="AY5" s="52" t="s">
        <v>389</v>
      </c>
      <c r="AZ5" s="52" t="s">
        <v>390</v>
      </c>
      <c r="BA5" s="52" t="s">
        <v>391</v>
      </c>
      <c r="BB5" s="52" t="s">
        <v>392</v>
      </c>
      <c r="BC5" s="52" t="s">
        <v>393</v>
      </c>
      <c r="BD5" s="52" t="s">
        <v>394</v>
      </c>
      <c r="BE5" s="52" t="s">
        <v>395</v>
      </c>
      <c r="BF5" s="52" t="s">
        <v>396</v>
      </c>
      <c r="BG5" s="52" t="s">
        <v>397</v>
      </c>
      <c r="BH5" s="52" t="s">
        <v>398</v>
      </c>
      <c r="BI5" s="52" t="s">
        <v>399</v>
      </c>
      <c r="BJ5" s="52" t="s">
        <v>400</v>
      </c>
    </row>
    <row r="6" customFormat="false" ht="15" hidden="false" customHeight="false" outlineLevel="0" collapsed="false">
      <c r="A6" s="72" t="s">
        <v>401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  <c r="AM6" s="72" t="n">
        <v>37</v>
      </c>
      <c r="AN6" s="72" t="n">
        <v>38</v>
      </c>
      <c r="AO6" s="72" t="n">
        <v>39</v>
      </c>
      <c r="AP6" s="72" t="n">
        <v>40</v>
      </c>
      <c r="AQ6" s="72" t="n">
        <v>41</v>
      </c>
      <c r="AR6" s="72" t="n">
        <v>42</v>
      </c>
      <c r="AS6" s="72" t="n">
        <v>43</v>
      </c>
      <c r="AT6" s="72" t="n">
        <v>44</v>
      </c>
      <c r="AU6" s="72" t="n">
        <v>45</v>
      </c>
      <c r="AV6" s="72" t="n">
        <v>46</v>
      </c>
      <c r="AW6" s="72" t="n">
        <v>47</v>
      </c>
      <c r="AX6" s="72" t="n">
        <v>48</v>
      </c>
      <c r="AY6" s="72" t="n">
        <v>49</v>
      </c>
      <c r="AZ6" s="72" t="n">
        <v>50</v>
      </c>
      <c r="BA6" s="72" t="n">
        <v>51</v>
      </c>
      <c r="BB6" s="72" t="n">
        <v>52</v>
      </c>
      <c r="BC6" s="72" t="n">
        <v>53</v>
      </c>
      <c r="BD6" s="72" t="n">
        <v>54</v>
      </c>
      <c r="BE6" s="72" t="n">
        <v>55</v>
      </c>
      <c r="BF6" s="72" t="n">
        <v>56</v>
      </c>
      <c r="BG6" s="72" t="n">
        <v>57</v>
      </c>
      <c r="BH6" s="72" t="n">
        <v>58</v>
      </c>
      <c r="BI6" s="72" t="n">
        <v>59</v>
      </c>
      <c r="BJ6" s="72" t="n">
        <v>60</v>
      </c>
    </row>
    <row r="7" customFormat="false" ht="15" hidden="false" customHeight="false" outlineLevel="0" collapsed="false">
      <c r="A7" s="72" t="s">
        <v>153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  <c r="AM7" s="72" t="n">
        <f aca="false">ROUNDUP(AM6*1/12,0)</f>
        <v>4</v>
      </c>
      <c r="AN7" s="72" t="n">
        <f aca="false">ROUNDUP(AN6*1/12,0)</f>
        <v>4</v>
      </c>
      <c r="AO7" s="72" t="n">
        <f aca="false">ROUNDUP(AO6*1/12,0)</f>
        <v>4</v>
      </c>
      <c r="AP7" s="72" t="n">
        <f aca="false">ROUNDUP(AP6*1/12,0)</f>
        <v>4</v>
      </c>
      <c r="AQ7" s="72" t="n">
        <f aca="false">ROUNDUP(AQ6*1/12,0)</f>
        <v>4</v>
      </c>
      <c r="AR7" s="72" t="n">
        <f aca="false">ROUNDUP(AR6*1/12,0)</f>
        <v>4</v>
      </c>
      <c r="AS7" s="72" t="n">
        <f aca="false">ROUNDUP(AS6*1/12,0)</f>
        <v>4</v>
      </c>
      <c r="AT7" s="72" t="n">
        <f aca="false">ROUNDUP(AT6*1/12,0)</f>
        <v>4</v>
      </c>
      <c r="AU7" s="72" t="n">
        <f aca="false">ROUNDUP(AU6*1/12,0)</f>
        <v>4</v>
      </c>
      <c r="AV7" s="72" t="n">
        <f aca="false">ROUNDUP(AV6*1/12,0)</f>
        <v>4</v>
      </c>
      <c r="AW7" s="72" t="n">
        <f aca="false">ROUNDUP(AW6*1/12,0)</f>
        <v>4</v>
      </c>
      <c r="AX7" s="72" t="n">
        <f aca="false">ROUNDUP(AX6*1/12,0)</f>
        <v>4</v>
      </c>
      <c r="AY7" s="72" t="n">
        <f aca="false">ROUNDUP(AY6*1/12,0)</f>
        <v>5</v>
      </c>
      <c r="AZ7" s="72" t="n">
        <f aca="false">ROUNDUP(AZ6*1/12,0)</f>
        <v>5</v>
      </c>
      <c r="BA7" s="72" t="n">
        <f aca="false">ROUNDUP(BA6*1/12,0)</f>
        <v>5</v>
      </c>
      <c r="BB7" s="72" t="n">
        <f aca="false">ROUNDUP(BB6*1/12,0)</f>
        <v>5</v>
      </c>
      <c r="BC7" s="72" t="n">
        <f aca="false">ROUNDUP(BC6*1/12,0)</f>
        <v>5</v>
      </c>
      <c r="BD7" s="72" t="n">
        <f aca="false">ROUNDUP(BD6*1/12,0)</f>
        <v>5</v>
      </c>
      <c r="BE7" s="72" t="n">
        <f aca="false">ROUNDUP(BE6*1/12,0)</f>
        <v>5</v>
      </c>
      <c r="BF7" s="72" t="n">
        <f aca="false">ROUNDUP(BF6*1/12,0)</f>
        <v>5</v>
      </c>
      <c r="BG7" s="72" t="n">
        <f aca="false">ROUNDUP(BG6*1/12,0)</f>
        <v>5</v>
      </c>
      <c r="BH7" s="72" t="n">
        <f aca="false">ROUNDUP(BH6*1/12,0)</f>
        <v>5</v>
      </c>
      <c r="BI7" s="72" t="n">
        <f aca="false">ROUNDUP(BI6*1/12,0)</f>
        <v>5</v>
      </c>
      <c r="BJ7" s="72" t="n">
        <f aca="false">ROUNDUP(BJ6*1/12,0)</f>
        <v>5</v>
      </c>
    </row>
    <row r="9" customFormat="false" ht="15.75" hidden="false" customHeight="true" outlineLevel="0" collapsed="false">
      <c r="A9" s="7" t="s">
        <v>254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402</v>
      </c>
      <c r="C10" s="116" t="n">
        <f aca="false">C100+C101</f>
        <v>16</v>
      </c>
      <c r="D10" s="116" t="n">
        <f aca="false">D100+D101</f>
        <v>16</v>
      </c>
      <c r="E10" s="116" t="n">
        <f aca="false">E100+E101</f>
        <v>16</v>
      </c>
      <c r="F10" s="116" t="n">
        <f aca="false">F100+F101</f>
        <v>16</v>
      </c>
      <c r="G10" s="116" t="n">
        <f aca="false">G100+G101</f>
        <v>16</v>
      </c>
      <c r="H10" s="116" t="n">
        <f aca="false">H100+H101</f>
        <v>16</v>
      </c>
      <c r="I10" s="116" t="n">
        <f aca="false">I100+I101</f>
        <v>16</v>
      </c>
      <c r="J10" s="116" t="n">
        <f aca="false">J100+J101</f>
        <v>16</v>
      </c>
      <c r="K10" s="116" t="n">
        <f aca="false">K100+K101</f>
        <v>16</v>
      </c>
      <c r="L10" s="116" t="n">
        <f aca="false">L100+L101</f>
        <v>16</v>
      </c>
      <c r="M10" s="116" t="n">
        <f aca="false">M100+M101</f>
        <v>16</v>
      </c>
      <c r="N10" s="116" t="n">
        <f aca="false">N100+N101</f>
        <v>16</v>
      </c>
      <c r="O10" s="116" t="n">
        <f aca="false">O100+O101</f>
        <v>20.4</v>
      </c>
      <c r="P10" s="116" t="n">
        <f aca="false">P100+P101</f>
        <v>20.4</v>
      </c>
      <c r="Q10" s="116" t="n">
        <f aca="false">Q100+Q101</f>
        <v>20.4</v>
      </c>
      <c r="R10" s="116" t="n">
        <f aca="false">R100+R101</f>
        <v>20.4</v>
      </c>
      <c r="S10" s="116" t="n">
        <f aca="false">S100+S101</f>
        <v>20.4</v>
      </c>
      <c r="T10" s="116" t="n">
        <f aca="false">T100+T101</f>
        <v>20.4</v>
      </c>
      <c r="U10" s="116" t="n">
        <f aca="false">U100+U101</f>
        <v>20.4</v>
      </c>
      <c r="V10" s="116" t="n">
        <f aca="false">V100+V101</f>
        <v>20.4</v>
      </c>
      <c r="W10" s="116" t="n">
        <f aca="false">W100+W101</f>
        <v>20.4</v>
      </c>
      <c r="X10" s="116" t="n">
        <f aca="false">X100+X101</f>
        <v>20.4</v>
      </c>
      <c r="Y10" s="116" t="n">
        <f aca="false">Y100+Y101</f>
        <v>20.4</v>
      </c>
      <c r="Z10" s="116" t="n">
        <f aca="false">Z100+Z101</f>
        <v>20.4</v>
      </c>
      <c r="AA10" s="116" t="n">
        <f aca="false">AA100+AA101</f>
        <v>26.04</v>
      </c>
      <c r="AB10" s="116" t="n">
        <f aca="false">AB100+AB101</f>
        <v>26.04</v>
      </c>
      <c r="AC10" s="116" t="n">
        <f aca="false">AC100+AC101</f>
        <v>26.04</v>
      </c>
      <c r="AD10" s="116" t="n">
        <f aca="false">AD100+AD101</f>
        <v>26.04</v>
      </c>
      <c r="AE10" s="116" t="n">
        <f aca="false">AE100+AE101</f>
        <v>26.04</v>
      </c>
      <c r="AF10" s="116" t="n">
        <f aca="false">AF100+AF101</f>
        <v>26.04</v>
      </c>
      <c r="AG10" s="116" t="n">
        <f aca="false">AG100+AG101</f>
        <v>26.04</v>
      </c>
      <c r="AH10" s="116" t="n">
        <f aca="false">AH100+AH101</f>
        <v>26.04</v>
      </c>
      <c r="AI10" s="116" t="n">
        <f aca="false">AI100+AI101</f>
        <v>26.04</v>
      </c>
      <c r="AJ10" s="116" t="n">
        <f aca="false">AJ100+AJ101</f>
        <v>26.04</v>
      </c>
      <c r="AK10" s="116" t="n">
        <f aca="false">AK100+AK101</f>
        <v>26.04</v>
      </c>
      <c r="AL10" s="116" t="n">
        <f aca="false">AL100+AL101</f>
        <v>26.04</v>
      </c>
      <c r="AM10" s="116" t="n">
        <f aca="false">AM100+AM101</f>
        <v>33.276</v>
      </c>
      <c r="AN10" s="116" t="n">
        <f aca="false">AN100+AN101</f>
        <v>33.276</v>
      </c>
      <c r="AO10" s="116" t="n">
        <f aca="false">AO100+AO101</f>
        <v>33.276</v>
      </c>
      <c r="AP10" s="116" t="n">
        <f aca="false">AP100+AP101</f>
        <v>33.276</v>
      </c>
      <c r="AQ10" s="116" t="n">
        <f aca="false">AQ100+AQ101</f>
        <v>33.276</v>
      </c>
      <c r="AR10" s="116" t="n">
        <f aca="false">AR100+AR101</f>
        <v>33.276</v>
      </c>
      <c r="AS10" s="116" t="n">
        <f aca="false">AS100+AS101</f>
        <v>33.276</v>
      </c>
      <c r="AT10" s="116" t="n">
        <f aca="false">AT100+AT101</f>
        <v>33.276</v>
      </c>
      <c r="AU10" s="116" t="n">
        <f aca="false">AU100+AU101</f>
        <v>33.276</v>
      </c>
      <c r="AV10" s="116" t="n">
        <f aca="false">AV100+AV101</f>
        <v>33.276</v>
      </c>
      <c r="AW10" s="116" t="n">
        <f aca="false">AW100+AW101</f>
        <v>33.276</v>
      </c>
      <c r="AX10" s="116" t="n">
        <f aca="false">AX100+AX101</f>
        <v>33.276</v>
      </c>
      <c r="AY10" s="116" t="n">
        <f aca="false">AY100+AY101</f>
        <v>42.5676</v>
      </c>
      <c r="AZ10" s="116" t="n">
        <f aca="false">AZ100+AZ101</f>
        <v>42.5676</v>
      </c>
      <c r="BA10" s="116" t="n">
        <f aca="false">BA100+BA101</f>
        <v>42.5676</v>
      </c>
      <c r="BB10" s="116" t="n">
        <f aca="false">BB100+BB101</f>
        <v>42.5676</v>
      </c>
      <c r="BC10" s="116" t="n">
        <f aca="false">BC100+BC101</f>
        <v>42.5676</v>
      </c>
      <c r="BD10" s="116" t="n">
        <f aca="false">BD100+BD101</f>
        <v>42.5676</v>
      </c>
      <c r="BE10" s="116" t="n">
        <f aca="false">BE100+BE101</f>
        <v>42.5676</v>
      </c>
      <c r="BF10" s="116" t="n">
        <f aca="false">BF100+BF101</f>
        <v>42.5676</v>
      </c>
      <c r="BG10" s="116" t="n">
        <f aca="false">BG100+BG101</f>
        <v>42.5676</v>
      </c>
      <c r="BH10" s="116" t="n">
        <f aca="false">BH100+BH101</f>
        <v>42.5676</v>
      </c>
      <c r="BI10" s="116" t="n">
        <f aca="false">BI100+BI101</f>
        <v>42.5676</v>
      </c>
      <c r="BJ10" s="116" t="n">
        <f aca="false">BJ100+BJ101</f>
        <v>42.5676</v>
      </c>
    </row>
    <row r="11" customFormat="false" ht="15" hidden="false" customHeight="false" outlineLevel="0" collapsed="false">
      <c r="A11" s="6" t="s">
        <v>235</v>
      </c>
      <c r="C11" s="117" t="n">
        <f aca="false">C10*Inputs!$B$7/12*1</f>
        <v>2400</v>
      </c>
      <c r="D11" s="117" t="n">
        <f aca="false">D10*Inputs!$B$7/12*1</f>
        <v>2400</v>
      </c>
      <c r="E11" s="117" t="n">
        <f aca="false">E10*Inputs!$B$7/12*1</f>
        <v>2400</v>
      </c>
      <c r="F11" s="117" t="n">
        <f aca="false">F10*Inputs!$B$7/12*1</f>
        <v>2400</v>
      </c>
      <c r="G11" s="117" t="n">
        <f aca="false">G10*Inputs!$B$7/12*1</f>
        <v>2400</v>
      </c>
      <c r="H11" s="117" t="n">
        <f aca="false">H10*Inputs!$B$7/12*1</f>
        <v>2400</v>
      </c>
      <c r="I11" s="117" t="n">
        <f aca="false">I10*Inputs!$B$7/12*1</f>
        <v>2400</v>
      </c>
      <c r="J11" s="117" t="n">
        <f aca="false">J10*Inputs!$B$7/12*1</f>
        <v>2400</v>
      </c>
      <c r="K11" s="117" t="n">
        <f aca="false">K10*Inputs!$B$7/12*1</f>
        <v>2400</v>
      </c>
      <c r="L11" s="117" t="n">
        <f aca="false">L10*Inputs!$B$7/12*1</f>
        <v>2400</v>
      </c>
      <c r="M11" s="117" t="n">
        <f aca="false">M10*Inputs!$B$7/12*1</f>
        <v>2400</v>
      </c>
      <c r="N11" s="117" t="n">
        <f aca="false">N10*Inputs!$B$7/12*1</f>
        <v>2400</v>
      </c>
      <c r="O11" s="117" t="n">
        <f aca="false">O10*Inputs!$B$7/12*1</f>
        <v>3060</v>
      </c>
      <c r="P11" s="117" t="n">
        <f aca="false">P10*Inputs!$B$7/12*1</f>
        <v>3060</v>
      </c>
      <c r="Q11" s="117" t="n">
        <f aca="false">Q10*Inputs!$B$7/12*1</f>
        <v>3060</v>
      </c>
      <c r="R11" s="117" t="n">
        <f aca="false">R10*Inputs!$B$7/12*1</f>
        <v>3060</v>
      </c>
      <c r="S11" s="117" t="n">
        <f aca="false">S10*Inputs!$B$7/12*1</f>
        <v>3060</v>
      </c>
      <c r="T11" s="117" t="n">
        <f aca="false">T10*Inputs!$B$7/12*1</f>
        <v>3060</v>
      </c>
      <c r="U11" s="117" t="n">
        <f aca="false">U10*Inputs!$B$7/12*1</f>
        <v>3060</v>
      </c>
      <c r="V11" s="117" t="n">
        <f aca="false">V10*Inputs!$B$7/12*1</f>
        <v>3060</v>
      </c>
      <c r="W11" s="117" t="n">
        <f aca="false">W10*Inputs!$B$7/12*1</f>
        <v>3060</v>
      </c>
      <c r="X11" s="117" t="n">
        <f aca="false">X10*Inputs!$B$7/12*1</f>
        <v>3060</v>
      </c>
      <c r="Y11" s="117" t="n">
        <f aca="false">Y10*Inputs!$B$7/12*1</f>
        <v>3060</v>
      </c>
      <c r="Z11" s="117" t="n">
        <f aca="false">Z10*Inputs!$B$7/12*1</f>
        <v>3060</v>
      </c>
      <c r="AA11" s="117" t="n">
        <f aca="false">AA10*Inputs!$B$7/12*1</f>
        <v>3906</v>
      </c>
      <c r="AB11" s="117" t="n">
        <f aca="false">AB10*Inputs!$B$7/12*1</f>
        <v>3906</v>
      </c>
      <c r="AC11" s="117" t="n">
        <f aca="false">AC10*Inputs!$B$7/12*1</f>
        <v>3906</v>
      </c>
      <c r="AD11" s="117" t="n">
        <f aca="false">AD10*Inputs!$B$7/12*1</f>
        <v>3906</v>
      </c>
      <c r="AE11" s="117" t="n">
        <f aca="false">AE10*Inputs!$B$7/12*1</f>
        <v>3906</v>
      </c>
      <c r="AF11" s="117" t="n">
        <f aca="false">AF10*Inputs!$B$7/12*1</f>
        <v>3906</v>
      </c>
      <c r="AG11" s="117" t="n">
        <f aca="false">AG10*Inputs!$B$7/12*1</f>
        <v>3906</v>
      </c>
      <c r="AH11" s="117" t="n">
        <f aca="false">AH10*Inputs!$B$7/12*1</f>
        <v>3906</v>
      </c>
      <c r="AI11" s="117" t="n">
        <f aca="false">AI10*Inputs!$B$7/12*1</f>
        <v>3906</v>
      </c>
      <c r="AJ11" s="117" t="n">
        <f aca="false">AJ10*Inputs!$B$7/12*1</f>
        <v>3906</v>
      </c>
      <c r="AK11" s="117" t="n">
        <f aca="false">AK10*Inputs!$B$7/12*1</f>
        <v>3906</v>
      </c>
      <c r="AL11" s="117" t="n">
        <f aca="false">AL10*Inputs!$B$7/12*1</f>
        <v>3906</v>
      </c>
      <c r="AM11" s="117" t="n">
        <f aca="false">AM10*Inputs!$B$7/12*1</f>
        <v>4991.4</v>
      </c>
      <c r="AN11" s="117" t="n">
        <f aca="false">AN10*Inputs!$B$7/12*1</f>
        <v>4991.4</v>
      </c>
      <c r="AO11" s="117" t="n">
        <f aca="false">AO10*Inputs!$B$7/12*1</f>
        <v>4991.4</v>
      </c>
      <c r="AP11" s="117" t="n">
        <f aca="false">AP10*Inputs!$B$7/12*1</f>
        <v>4991.4</v>
      </c>
      <c r="AQ11" s="117" t="n">
        <f aca="false">AQ10*Inputs!$B$7/12*1</f>
        <v>4991.4</v>
      </c>
      <c r="AR11" s="117" t="n">
        <f aca="false">AR10*Inputs!$B$7/12*1</f>
        <v>4991.4</v>
      </c>
      <c r="AS11" s="117" t="n">
        <f aca="false">AS10*Inputs!$B$7/12*1</f>
        <v>4991.4</v>
      </c>
      <c r="AT11" s="117" t="n">
        <f aca="false">AT10*Inputs!$B$7/12*1</f>
        <v>4991.4</v>
      </c>
      <c r="AU11" s="117" t="n">
        <f aca="false">AU10*Inputs!$B$7/12*1</f>
        <v>4991.4</v>
      </c>
      <c r="AV11" s="117" t="n">
        <f aca="false">AV10*Inputs!$B$7/12*1</f>
        <v>4991.4</v>
      </c>
      <c r="AW11" s="117" t="n">
        <f aca="false">AW10*Inputs!$B$7/12*1</f>
        <v>4991.4</v>
      </c>
      <c r="AX11" s="117" t="n">
        <f aca="false">AX10*Inputs!$B$7/12*1</f>
        <v>4991.4</v>
      </c>
      <c r="AY11" s="117" t="n">
        <f aca="false">AY10*Inputs!$B$7/12*1</f>
        <v>6385.14</v>
      </c>
      <c r="AZ11" s="117" t="n">
        <f aca="false">AZ10*Inputs!$B$7/12*1</f>
        <v>6385.14</v>
      </c>
      <c r="BA11" s="117" t="n">
        <f aca="false">BA10*Inputs!$B$7/12*1</f>
        <v>6385.14</v>
      </c>
      <c r="BB11" s="117" t="n">
        <f aca="false">BB10*Inputs!$B$7/12*1</f>
        <v>6385.14</v>
      </c>
      <c r="BC11" s="117" t="n">
        <f aca="false">BC10*Inputs!$B$7/12*1</f>
        <v>6385.14</v>
      </c>
      <c r="BD11" s="117" t="n">
        <f aca="false">BD10*Inputs!$B$7/12*1</f>
        <v>6385.14</v>
      </c>
      <c r="BE11" s="117" t="n">
        <f aca="false">BE10*Inputs!$B$7/12*1</f>
        <v>6385.14</v>
      </c>
      <c r="BF11" s="117" t="n">
        <f aca="false">BF10*Inputs!$B$7/12*1</f>
        <v>6385.14</v>
      </c>
      <c r="BG11" s="117" t="n">
        <f aca="false">BG10*Inputs!$B$7/12*1</f>
        <v>6385.14</v>
      </c>
      <c r="BH11" s="117" t="n">
        <f aca="false">BH10*Inputs!$B$7/12*1</f>
        <v>6385.14</v>
      </c>
      <c r="BI11" s="117" t="n">
        <f aca="false">BI10*Inputs!$B$7/12*1</f>
        <v>6385.14</v>
      </c>
      <c r="BJ11" s="117" t="n">
        <f aca="false">BJ10*Inputs!$B$7/12*1</f>
        <v>6385.14</v>
      </c>
    </row>
    <row r="12" customFormat="false" ht="15" hidden="false" customHeight="false" outlineLevel="0" collapsed="false">
      <c r="A12" s="6" t="s">
        <v>403</v>
      </c>
      <c r="C12" s="117" t="n">
        <f aca="false">C100*Inputs!$B$7/12*1*Inputs!$B$8</f>
        <v>300</v>
      </c>
      <c r="D12" s="117" t="n">
        <f aca="false">D100*Inputs!$B$7/12*1*Inputs!$B$8</f>
        <v>300</v>
      </c>
      <c r="E12" s="117" t="n">
        <f aca="false">E100*Inputs!$B$7/12*1*Inputs!$B$8</f>
        <v>300</v>
      </c>
      <c r="F12" s="117" t="n">
        <f aca="false">F100*Inputs!$B$7/12*1*Inputs!$B$8</f>
        <v>300</v>
      </c>
      <c r="G12" s="117" t="n">
        <f aca="false">G100*Inputs!$B$7/12*1*Inputs!$B$8</f>
        <v>300</v>
      </c>
      <c r="H12" s="117" t="n">
        <f aca="false">H100*Inputs!$B$7/12*1*Inputs!$B$8</f>
        <v>300</v>
      </c>
      <c r="I12" s="117" t="n">
        <f aca="false">I100*Inputs!$B$7/12*1*Inputs!$B$8</f>
        <v>300</v>
      </c>
      <c r="J12" s="117" t="n">
        <f aca="false">J100*Inputs!$B$7/12*1*Inputs!$B$8</f>
        <v>300</v>
      </c>
      <c r="K12" s="117" t="n">
        <f aca="false">K100*Inputs!$B$7/12*1*Inputs!$B$8</f>
        <v>300</v>
      </c>
      <c r="L12" s="117" t="n">
        <f aca="false">L100*Inputs!$B$7/12*1*Inputs!$B$8</f>
        <v>300</v>
      </c>
      <c r="M12" s="117" t="n">
        <f aca="false">M100*Inputs!$B$7/12*1*Inputs!$B$8</f>
        <v>300</v>
      </c>
      <c r="N12" s="117" t="n">
        <f aca="false">N100*Inputs!$B$7/12*1*Inputs!$B$8</f>
        <v>300</v>
      </c>
      <c r="O12" s="117" t="n">
        <f aca="false">O100*Inputs!$B$7/12*1*Inputs!$B$8</f>
        <v>360</v>
      </c>
      <c r="P12" s="117" t="n">
        <f aca="false">P100*Inputs!$B$7/12*1*Inputs!$B$8</f>
        <v>360</v>
      </c>
      <c r="Q12" s="117" t="n">
        <f aca="false">Q100*Inputs!$B$7/12*1*Inputs!$B$8</f>
        <v>360</v>
      </c>
      <c r="R12" s="117" t="n">
        <f aca="false">R100*Inputs!$B$7/12*1*Inputs!$B$8</f>
        <v>360</v>
      </c>
      <c r="S12" s="117" t="n">
        <f aca="false">S100*Inputs!$B$7/12*1*Inputs!$B$8</f>
        <v>360</v>
      </c>
      <c r="T12" s="117" t="n">
        <f aca="false">T100*Inputs!$B$7/12*1*Inputs!$B$8</f>
        <v>360</v>
      </c>
      <c r="U12" s="117" t="n">
        <f aca="false">U100*Inputs!$B$7/12*1*Inputs!$B$8</f>
        <v>360</v>
      </c>
      <c r="V12" s="117" t="n">
        <f aca="false">V100*Inputs!$B$7/12*1*Inputs!$B$8</f>
        <v>360</v>
      </c>
      <c r="W12" s="117" t="n">
        <f aca="false">W100*Inputs!$B$7/12*1*Inputs!$B$8</f>
        <v>360</v>
      </c>
      <c r="X12" s="117" t="n">
        <f aca="false">X100*Inputs!$B$7/12*1*Inputs!$B$8</f>
        <v>360</v>
      </c>
      <c r="Y12" s="117" t="n">
        <f aca="false">Y100*Inputs!$B$7/12*1*Inputs!$B$8</f>
        <v>360</v>
      </c>
      <c r="Z12" s="117" t="n">
        <f aca="false">Z100*Inputs!$B$7/12*1*Inputs!$B$8</f>
        <v>360</v>
      </c>
      <c r="AA12" s="117" t="n">
        <f aca="false">AA100*Inputs!$B$7/12*1*Inputs!$B$8</f>
        <v>432</v>
      </c>
      <c r="AB12" s="117" t="n">
        <f aca="false">AB100*Inputs!$B$7/12*1*Inputs!$B$8</f>
        <v>432</v>
      </c>
      <c r="AC12" s="117" t="n">
        <f aca="false">AC100*Inputs!$B$7/12*1*Inputs!$B$8</f>
        <v>432</v>
      </c>
      <c r="AD12" s="117" t="n">
        <f aca="false">AD100*Inputs!$B$7/12*1*Inputs!$B$8</f>
        <v>432</v>
      </c>
      <c r="AE12" s="117" t="n">
        <f aca="false">AE100*Inputs!$B$7/12*1*Inputs!$B$8</f>
        <v>432</v>
      </c>
      <c r="AF12" s="117" t="n">
        <f aca="false">AF100*Inputs!$B$7/12*1*Inputs!$B$8</f>
        <v>432</v>
      </c>
      <c r="AG12" s="117" t="n">
        <f aca="false">AG100*Inputs!$B$7/12*1*Inputs!$B$8</f>
        <v>432</v>
      </c>
      <c r="AH12" s="117" t="n">
        <f aca="false">AH100*Inputs!$B$7/12*1*Inputs!$B$8</f>
        <v>432</v>
      </c>
      <c r="AI12" s="117" t="n">
        <f aca="false">AI100*Inputs!$B$7/12*1*Inputs!$B$8</f>
        <v>432</v>
      </c>
      <c r="AJ12" s="117" t="n">
        <f aca="false">AJ100*Inputs!$B$7/12*1*Inputs!$B$8</f>
        <v>432</v>
      </c>
      <c r="AK12" s="117" t="n">
        <f aca="false">AK100*Inputs!$B$7/12*1*Inputs!$B$8</f>
        <v>432</v>
      </c>
      <c r="AL12" s="117" t="n">
        <f aca="false">AL100*Inputs!$B$7/12*1*Inputs!$B$8</f>
        <v>432</v>
      </c>
      <c r="AM12" s="117" t="n">
        <f aca="false">AM100*Inputs!$B$7/12*1*Inputs!$B$8</f>
        <v>518.4</v>
      </c>
      <c r="AN12" s="117" t="n">
        <f aca="false">AN100*Inputs!$B$7/12*1*Inputs!$B$8</f>
        <v>518.4</v>
      </c>
      <c r="AO12" s="117" t="n">
        <f aca="false">AO100*Inputs!$B$7/12*1*Inputs!$B$8</f>
        <v>518.4</v>
      </c>
      <c r="AP12" s="117" t="n">
        <f aca="false">AP100*Inputs!$B$7/12*1*Inputs!$B$8</f>
        <v>518.4</v>
      </c>
      <c r="AQ12" s="117" t="n">
        <f aca="false">AQ100*Inputs!$B$7/12*1*Inputs!$B$8</f>
        <v>518.4</v>
      </c>
      <c r="AR12" s="117" t="n">
        <f aca="false">AR100*Inputs!$B$7/12*1*Inputs!$B$8</f>
        <v>518.4</v>
      </c>
      <c r="AS12" s="117" t="n">
        <f aca="false">AS100*Inputs!$B$7/12*1*Inputs!$B$8</f>
        <v>518.4</v>
      </c>
      <c r="AT12" s="117" t="n">
        <f aca="false">AT100*Inputs!$B$7/12*1*Inputs!$B$8</f>
        <v>518.4</v>
      </c>
      <c r="AU12" s="117" t="n">
        <f aca="false">AU100*Inputs!$B$7/12*1*Inputs!$B$8</f>
        <v>518.4</v>
      </c>
      <c r="AV12" s="117" t="n">
        <f aca="false">AV100*Inputs!$B$7/12*1*Inputs!$B$8</f>
        <v>518.4</v>
      </c>
      <c r="AW12" s="117" t="n">
        <f aca="false">AW100*Inputs!$B$7/12*1*Inputs!$B$8</f>
        <v>518.4</v>
      </c>
      <c r="AX12" s="117" t="n">
        <f aca="false">AX100*Inputs!$B$7/12*1*Inputs!$B$8</f>
        <v>518.4</v>
      </c>
      <c r="AY12" s="117" t="n">
        <f aca="false">AY100*Inputs!$B$7/12*1*Inputs!$B$8</f>
        <v>622.08</v>
      </c>
      <c r="AZ12" s="117" t="n">
        <f aca="false">AZ100*Inputs!$B$7/12*1*Inputs!$B$8</f>
        <v>622.08</v>
      </c>
      <c r="BA12" s="117" t="n">
        <f aca="false">BA100*Inputs!$B$7/12*1*Inputs!$B$8</f>
        <v>622.08</v>
      </c>
      <c r="BB12" s="117" t="n">
        <f aca="false">BB100*Inputs!$B$7/12*1*Inputs!$B$8</f>
        <v>622.08</v>
      </c>
      <c r="BC12" s="117" t="n">
        <f aca="false">BC100*Inputs!$B$7/12*1*Inputs!$B$8</f>
        <v>622.08</v>
      </c>
      <c r="BD12" s="117" t="n">
        <f aca="false">BD100*Inputs!$B$7/12*1*Inputs!$B$8</f>
        <v>622.08</v>
      </c>
      <c r="BE12" s="117" t="n">
        <f aca="false">BE100*Inputs!$B$7/12*1*Inputs!$B$8</f>
        <v>622.08</v>
      </c>
      <c r="BF12" s="117" t="n">
        <f aca="false">BF100*Inputs!$B$7/12*1*Inputs!$B$8</f>
        <v>622.08</v>
      </c>
      <c r="BG12" s="117" t="n">
        <f aca="false">BG100*Inputs!$B$7/12*1*Inputs!$B$8</f>
        <v>622.08</v>
      </c>
      <c r="BH12" s="117" t="n">
        <f aca="false">BH100*Inputs!$B$7/12*1*Inputs!$B$8</f>
        <v>622.08</v>
      </c>
      <c r="BI12" s="117" t="n">
        <f aca="false">BI100*Inputs!$B$7/12*1*Inputs!$B$8</f>
        <v>622.08</v>
      </c>
      <c r="BJ12" s="117" t="n">
        <f aca="false">BJ100*Inputs!$B$7/12*1*Inputs!$B$8</f>
        <v>622.08</v>
      </c>
    </row>
    <row r="13" customFormat="false" ht="15" hidden="false" customHeight="false" outlineLevel="0" collapsed="false">
      <c r="A13" s="6" t="s">
        <v>404</v>
      </c>
      <c r="C13" s="117" t="n">
        <f aca="false">C101*Inputs!$B$7/12*1*Inputs!$B$9</f>
        <v>1224</v>
      </c>
      <c r="D13" s="117" t="n">
        <f aca="false">D101*Inputs!$B$7/12*1*Inputs!$B$9</f>
        <v>1224</v>
      </c>
      <c r="E13" s="117" t="n">
        <f aca="false">E101*Inputs!$B$7/12*1*Inputs!$B$9</f>
        <v>1224</v>
      </c>
      <c r="F13" s="117" t="n">
        <f aca="false">F101*Inputs!$B$7/12*1*Inputs!$B$9</f>
        <v>1224</v>
      </c>
      <c r="G13" s="117" t="n">
        <f aca="false">G101*Inputs!$B$7/12*1*Inputs!$B$9</f>
        <v>1224</v>
      </c>
      <c r="H13" s="117" t="n">
        <f aca="false">H101*Inputs!$B$7/12*1*Inputs!$B$9</f>
        <v>1224</v>
      </c>
      <c r="I13" s="117" t="n">
        <f aca="false">I101*Inputs!$B$7/12*1*Inputs!$B$9</f>
        <v>1224</v>
      </c>
      <c r="J13" s="117" t="n">
        <f aca="false">J101*Inputs!$B$7/12*1*Inputs!$B$9</f>
        <v>1224</v>
      </c>
      <c r="K13" s="117" t="n">
        <f aca="false">K101*Inputs!$B$7/12*1*Inputs!$B$9</f>
        <v>1224</v>
      </c>
      <c r="L13" s="117" t="n">
        <f aca="false">L101*Inputs!$B$7/12*1*Inputs!$B$9</f>
        <v>1224</v>
      </c>
      <c r="M13" s="117" t="n">
        <f aca="false">M101*Inputs!$B$7/12*1*Inputs!$B$9</f>
        <v>1224</v>
      </c>
      <c r="N13" s="117" t="n">
        <f aca="false">N101*Inputs!$B$7/12*1*Inputs!$B$9</f>
        <v>1224</v>
      </c>
      <c r="O13" s="117" t="n">
        <f aca="false">O101*Inputs!$B$7/12*1*Inputs!$B$9</f>
        <v>1591.2</v>
      </c>
      <c r="P13" s="117" t="n">
        <f aca="false">P101*Inputs!$B$7/12*1*Inputs!$B$9</f>
        <v>1591.2</v>
      </c>
      <c r="Q13" s="117" t="n">
        <f aca="false">Q101*Inputs!$B$7/12*1*Inputs!$B$9</f>
        <v>1591.2</v>
      </c>
      <c r="R13" s="117" t="n">
        <f aca="false">R101*Inputs!$B$7/12*1*Inputs!$B$9</f>
        <v>1591.2</v>
      </c>
      <c r="S13" s="117" t="n">
        <f aca="false">S101*Inputs!$B$7/12*1*Inputs!$B$9</f>
        <v>1591.2</v>
      </c>
      <c r="T13" s="117" t="n">
        <f aca="false">T101*Inputs!$B$7/12*1*Inputs!$B$9</f>
        <v>1591.2</v>
      </c>
      <c r="U13" s="117" t="n">
        <f aca="false">U101*Inputs!$B$7/12*1*Inputs!$B$9</f>
        <v>1591.2</v>
      </c>
      <c r="V13" s="117" t="n">
        <f aca="false">V101*Inputs!$B$7/12*1*Inputs!$B$9</f>
        <v>1591.2</v>
      </c>
      <c r="W13" s="117" t="n">
        <f aca="false">W101*Inputs!$B$7/12*1*Inputs!$B$9</f>
        <v>1591.2</v>
      </c>
      <c r="X13" s="117" t="n">
        <f aca="false">X101*Inputs!$B$7/12*1*Inputs!$B$9</f>
        <v>1591.2</v>
      </c>
      <c r="Y13" s="117" t="n">
        <f aca="false">Y101*Inputs!$B$7/12*1*Inputs!$B$9</f>
        <v>1591.2</v>
      </c>
      <c r="Z13" s="117" t="n">
        <f aca="false">Z101*Inputs!$B$7/12*1*Inputs!$B$9</f>
        <v>1591.2</v>
      </c>
      <c r="AA13" s="117" t="n">
        <f aca="false">AA101*Inputs!$B$7/12*1*Inputs!$B$9</f>
        <v>2068.56</v>
      </c>
      <c r="AB13" s="117" t="n">
        <f aca="false">AB101*Inputs!$B$7/12*1*Inputs!$B$9</f>
        <v>2068.56</v>
      </c>
      <c r="AC13" s="117" t="n">
        <f aca="false">AC101*Inputs!$B$7/12*1*Inputs!$B$9</f>
        <v>2068.56</v>
      </c>
      <c r="AD13" s="117" t="n">
        <f aca="false">AD101*Inputs!$B$7/12*1*Inputs!$B$9</f>
        <v>2068.56</v>
      </c>
      <c r="AE13" s="117" t="n">
        <f aca="false">AE101*Inputs!$B$7/12*1*Inputs!$B$9</f>
        <v>2068.56</v>
      </c>
      <c r="AF13" s="117" t="n">
        <f aca="false">AF101*Inputs!$B$7/12*1*Inputs!$B$9</f>
        <v>2068.56</v>
      </c>
      <c r="AG13" s="117" t="n">
        <f aca="false">AG101*Inputs!$B$7/12*1*Inputs!$B$9</f>
        <v>2068.56</v>
      </c>
      <c r="AH13" s="117" t="n">
        <f aca="false">AH101*Inputs!$B$7/12*1*Inputs!$B$9</f>
        <v>2068.56</v>
      </c>
      <c r="AI13" s="117" t="n">
        <f aca="false">AI101*Inputs!$B$7/12*1*Inputs!$B$9</f>
        <v>2068.56</v>
      </c>
      <c r="AJ13" s="117" t="n">
        <f aca="false">AJ101*Inputs!$B$7/12*1*Inputs!$B$9</f>
        <v>2068.56</v>
      </c>
      <c r="AK13" s="117" t="n">
        <f aca="false">AK101*Inputs!$B$7/12*1*Inputs!$B$9</f>
        <v>2068.56</v>
      </c>
      <c r="AL13" s="117" t="n">
        <f aca="false">AL101*Inputs!$B$7/12*1*Inputs!$B$9</f>
        <v>2068.56</v>
      </c>
      <c r="AM13" s="117" t="n">
        <f aca="false">AM101*Inputs!$B$7/12*1*Inputs!$B$9</f>
        <v>2689.128</v>
      </c>
      <c r="AN13" s="117" t="n">
        <f aca="false">AN101*Inputs!$B$7/12*1*Inputs!$B$9</f>
        <v>2689.128</v>
      </c>
      <c r="AO13" s="117" t="n">
        <f aca="false">AO101*Inputs!$B$7/12*1*Inputs!$B$9</f>
        <v>2689.128</v>
      </c>
      <c r="AP13" s="117" t="n">
        <f aca="false">AP101*Inputs!$B$7/12*1*Inputs!$B$9</f>
        <v>2689.128</v>
      </c>
      <c r="AQ13" s="117" t="n">
        <f aca="false">AQ101*Inputs!$B$7/12*1*Inputs!$B$9</f>
        <v>2689.128</v>
      </c>
      <c r="AR13" s="117" t="n">
        <f aca="false">AR101*Inputs!$B$7/12*1*Inputs!$B$9</f>
        <v>2689.128</v>
      </c>
      <c r="AS13" s="117" t="n">
        <f aca="false">AS101*Inputs!$B$7/12*1*Inputs!$B$9</f>
        <v>2689.128</v>
      </c>
      <c r="AT13" s="117" t="n">
        <f aca="false">AT101*Inputs!$B$7/12*1*Inputs!$B$9</f>
        <v>2689.128</v>
      </c>
      <c r="AU13" s="117" t="n">
        <f aca="false">AU101*Inputs!$B$7/12*1*Inputs!$B$9</f>
        <v>2689.128</v>
      </c>
      <c r="AV13" s="117" t="n">
        <f aca="false">AV101*Inputs!$B$7/12*1*Inputs!$B$9</f>
        <v>2689.128</v>
      </c>
      <c r="AW13" s="117" t="n">
        <f aca="false">AW101*Inputs!$B$7/12*1*Inputs!$B$9</f>
        <v>2689.128</v>
      </c>
      <c r="AX13" s="117" t="n">
        <f aca="false">AX101*Inputs!$B$7/12*1*Inputs!$B$9</f>
        <v>2689.128</v>
      </c>
      <c r="AY13" s="117" t="n">
        <f aca="false">AY101*Inputs!$B$7/12*1*Inputs!$B$9</f>
        <v>3495.8664</v>
      </c>
      <c r="AZ13" s="117" t="n">
        <f aca="false">AZ101*Inputs!$B$7/12*1*Inputs!$B$9</f>
        <v>3495.8664</v>
      </c>
      <c r="BA13" s="117" t="n">
        <f aca="false">BA101*Inputs!$B$7/12*1*Inputs!$B$9</f>
        <v>3495.8664</v>
      </c>
      <c r="BB13" s="117" t="n">
        <f aca="false">BB101*Inputs!$B$7/12*1*Inputs!$B$9</f>
        <v>3495.8664</v>
      </c>
      <c r="BC13" s="117" t="n">
        <f aca="false">BC101*Inputs!$B$7/12*1*Inputs!$B$9</f>
        <v>3495.8664</v>
      </c>
      <c r="BD13" s="117" t="n">
        <f aca="false">BD101*Inputs!$B$7/12*1*Inputs!$B$9</f>
        <v>3495.8664</v>
      </c>
      <c r="BE13" s="117" t="n">
        <f aca="false">BE101*Inputs!$B$7/12*1*Inputs!$B$9</f>
        <v>3495.8664</v>
      </c>
      <c r="BF13" s="117" t="n">
        <f aca="false">BF101*Inputs!$B$7/12*1*Inputs!$B$9</f>
        <v>3495.8664</v>
      </c>
      <c r="BG13" s="117" t="n">
        <f aca="false">BG101*Inputs!$B$7/12*1*Inputs!$B$9</f>
        <v>3495.8664</v>
      </c>
      <c r="BH13" s="117" t="n">
        <f aca="false">BH101*Inputs!$B$7/12*1*Inputs!$B$9</f>
        <v>3495.8664</v>
      </c>
      <c r="BI13" s="117" t="n">
        <f aca="false">BI101*Inputs!$B$7/12*1*Inputs!$B$9</f>
        <v>3495.8664</v>
      </c>
      <c r="BJ13" s="117" t="n">
        <f aca="false">BJ101*Inputs!$B$7/12*1*Inputs!$B$9</f>
        <v>3495.8664</v>
      </c>
    </row>
    <row r="14" customFormat="false" ht="15" hidden="false" customHeight="false" outlineLevel="0" collapsed="false">
      <c r="A14" s="6" t="s">
        <v>234</v>
      </c>
      <c r="C14" s="117" t="n">
        <f aca="false">Inputs!$B$10*(1+Inputs!$B$11)^(C$7-1)*1</f>
        <v>300</v>
      </c>
      <c r="D14" s="117" t="n">
        <f aca="false">Inputs!$B$10*(1+Inputs!$B$11)^(D$7-1)*1</f>
        <v>300</v>
      </c>
      <c r="E14" s="117" t="n">
        <f aca="false">Inputs!$B$10*(1+Inputs!$B$11)^(E$7-1)*1</f>
        <v>300</v>
      </c>
      <c r="F14" s="117" t="n">
        <f aca="false">Inputs!$B$10*(1+Inputs!$B$11)^(F$7-1)*1</f>
        <v>300</v>
      </c>
      <c r="G14" s="117" t="n">
        <f aca="false">Inputs!$B$10*(1+Inputs!$B$11)^(G$7-1)*1</f>
        <v>300</v>
      </c>
      <c r="H14" s="117" t="n">
        <f aca="false">Inputs!$B$10*(1+Inputs!$B$11)^(H$7-1)*1</f>
        <v>300</v>
      </c>
      <c r="I14" s="117" t="n">
        <f aca="false">Inputs!$B$10*(1+Inputs!$B$11)^(I$7-1)*1</f>
        <v>300</v>
      </c>
      <c r="J14" s="117" t="n">
        <f aca="false">Inputs!$B$10*(1+Inputs!$B$11)^(J$7-1)*1</f>
        <v>300</v>
      </c>
      <c r="K14" s="117" t="n">
        <f aca="false">Inputs!$B$10*(1+Inputs!$B$11)^(K$7-1)*1</f>
        <v>300</v>
      </c>
      <c r="L14" s="117" t="n">
        <f aca="false">Inputs!$B$10*(1+Inputs!$B$11)^(L$7-1)*1</f>
        <v>300</v>
      </c>
      <c r="M14" s="117" t="n">
        <f aca="false">Inputs!$B$10*(1+Inputs!$B$11)^(M$7-1)*1</f>
        <v>300</v>
      </c>
      <c r="N14" s="117" t="n">
        <f aca="false">Inputs!$B$10*(1+Inputs!$B$11)^(N$7-1)*1</f>
        <v>300</v>
      </c>
      <c r="O14" s="117" t="n">
        <f aca="false">Inputs!$B$10*(1+Inputs!$B$11)^(O$7-1)*1</f>
        <v>330</v>
      </c>
      <c r="P14" s="117" t="n">
        <f aca="false">Inputs!$B$10*(1+Inputs!$B$11)^(P$7-1)*1</f>
        <v>330</v>
      </c>
      <c r="Q14" s="117" t="n">
        <f aca="false">Inputs!$B$10*(1+Inputs!$B$11)^(Q$7-1)*1</f>
        <v>330</v>
      </c>
      <c r="R14" s="117" t="n">
        <f aca="false">Inputs!$B$10*(1+Inputs!$B$11)^(R$7-1)*1</f>
        <v>330</v>
      </c>
      <c r="S14" s="117" t="n">
        <f aca="false">Inputs!$B$10*(1+Inputs!$B$11)^(S$7-1)*1</f>
        <v>330</v>
      </c>
      <c r="T14" s="117" t="n">
        <f aca="false">Inputs!$B$10*(1+Inputs!$B$11)^(T$7-1)*1</f>
        <v>330</v>
      </c>
      <c r="U14" s="117" t="n">
        <f aca="false">Inputs!$B$10*(1+Inputs!$B$11)^(U$7-1)*1</f>
        <v>330</v>
      </c>
      <c r="V14" s="117" t="n">
        <f aca="false">Inputs!$B$10*(1+Inputs!$B$11)^(V$7-1)*1</f>
        <v>330</v>
      </c>
      <c r="W14" s="117" t="n">
        <f aca="false">Inputs!$B$10*(1+Inputs!$B$11)^(W$7-1)*1</f>
        <v>330</v>
      </c>
      <c r="X14" s="117" t="n">
        <f aca="false">Inputs!$B$10*(1+Inputs!$B$11)^(X$7-1)*1</f>
        <v>330</v>
      </c>
      <c r="Y14" s="117" t="n">
        <f aca="false">Inputs!$B$10*(1+Inputs!$B$11)^(Y$7-1)*1</f>
        <v>330</v>
      </c>
      <c r="Z14" s="117" t="n">
        <f aca="false">Inputs!$B$10*(1+Inputs!$B$11)^(Z$7-1)*1</f>
        <v>330</v>
      </c>
      <c r="AA14" s="117" t="n">
        <f aca="false">Inputs!$B$10*(1+Inputs!$B$11)^(AA$7-1)*1</f>
        <v>363</v>
      </c>
      <c r="AB14" s="117" t="n">
        <f aca="false">Inputs!$B$10*(1+Inputs!$B$11)^(AB$7-1)*1</f>
        <v>363</v>
      </c>
      <c r="AC14" s="117" t="n">
        <f aca="false">Inputs!$B$10*(1+Inputs!$B$11)^(AC$7-1)*1</f>
        <v>363</v>
      </c>
      <c r="AD14" s="117" t="n">
        <f aca="false">Inputs!$B$10*(1+Inputs!$B$11)^(AD$7-1)*1</f>
        <v>363</v>
      </c>
      <c r="AE14" s="117" t="n">
        <f aca="false">Inputs!$B$10*(1+Inputs!$B$11)^(AE$7-1)*1</f>
        <v>363</v>
      </c>
      <c r="AF14" s="117" t="n">
        <f aca="false">Inputs!$B$10*(1+Inputs!$B$11)^(AF$7-1)*1</f>
        <v>363</v>
      </c>
      <c r="AG14" s="117" t="n">
        <f aca="false">Inputs!$B$10*(1+Inputs!$B$11)^(AG$7-1)*1</f>
        <v>363</v>
      </c>
      <c r="AH14" s="117" t="n">
        <f aca="false">Inputs!$B$10*(1+Inputs!$B$11)^(AH$7-1)*1</f>
        <v>363</v>
      </c>
      <c r="AI14" s="117" t="n">
        <f aca="false">Inputs!$B$10*(1+Inputs!$B$11)^(AI$7-1)*1</f>
        <v>363</v>
      </c>
      <c r="AJ14" s="117" t="n">
        <f aca="false">Inputs!$B$10*(1+Inputs!$B$11)^(AJ$7-1)*1</f>
        <v>363</v>
      </c>
      <c r="AK14" s="117" t="n">
        <f aca="false">Inputs!$B$10*(1+Inputs!$B$11)^(AK$7-1)*1</f>
        <v>363</v>
      </c>
      <c r="AL14" s="117" t="n">
        <f aca="false">Inputs!$B$10*(1+Inputs!$B$11)^(AL$7-1)*1</f>
        <v>363</v>
      </c>
      <c r="AM14" s="117" t="n">
        <f aca="false">Inputs!$B$10*(1+Inputs!$B$11)^(AM$7-1)*1</f>
        <v>399.3</v>
      </c>
      <c r="AN14" s="117" t="n">
        <f aca="false">Inputs!$B$10*(1+Inputs!$B$11)^(AN$7-1)*1</f>
        <v>399.3</v>
      </c>
      <c r="AO14" s="117" t="n">
        <f aca="false">Inputs!$B$10*(1+Inputs!$B$11)^(AO$7-1)*1</f>
        <v>399.3</v>
      </c>
      <c r="AP14" s="117" t="n">
        <f aca="false">Inputs!$B$10*(1+Inputs!$B$11)^(AP$7-1)*1</f>
        <v>399.3</v>
      </c>
      <c r="AQ14" s="117" t="n">
        <f aca="false">Inputs!$B$10*(1+Inputs!$B$11)^(AQ$7-1)*1</f>
        <v>399.3</v>
      </c>
      <c r="AR14" s="117" t="n">
        <f aca="false">Inputs!$B$10*(1+Inputs!$B$11)^(AR$7-1)*1</f>
        <v>399.3</v>
      </c>
      <c r="AS14" s="117" t="n">
        <f aca="false">Inputs!$B$10*(1+Inputs!$B$11)^(AS$7-1)*1</f>
        <v>399.3</v>
      </c>
      <c r="AT14" s="117" t="n">
        <f aca="false">Inputs!$B$10*(1+Inputs!$B$11)^(AT$7-1)*1</f>
        <v>399.3</v>
      </c>
      <c r="AU14" s="117" t="n">
        <f aca="false">Inputs!$B$10*(1+Inputs!$B$11)^(AU$7-1)*1</f>
        <v>399.3</v>
      </c>
      <c r="AV14" s="117" t="n">
        <f aca="false">Inputs!$B$10*(1+Inputs!$B$11)^(AV$7-1)*1</f>
        <v>399.3</v>
      </c>
      <c r="AW14" s="117" t="n">
        <f aca="false">Inputs!$B$10*(1+Inputs!$B$11)^(AW$7-1)*1</f>
        <v>399.3</v>
      </c>
      <c r="AX14" s="117" t="n">
        <f aca="false">Inputs!$B$10*(1+Inputs!$B$11)^(AX$7-1)*1</f>
        <v>399.3</v>
      </c>
      <c r="AY14" s="117" t="n">
        <f aca="false">Inputs!$B$10*(1+Inputs!$B$11)^(AY$7-1)*1</f>
        <v>439.23</v>
      </c>
      <c r="AZ14" s="117" t="n">
        <f aca="false">Inputs!$B$10*(1+Inputs!$B$11)^(AZ$7-1)*1</f>
        <v>439.23</v>
      </c>
      <c r="BA14" s="117" t="n">
        <f aca="false">Inputs!$B$10*(1+Inputs!$B$11)^(BA$7-1)*1</f>
        <v>439.23</v>
      </c>
      <c r="BB14" s="117" t="n">
        <f aca="false">Inputs!$B$10*(1+Inputs!$B$11)^(BB$7-1)*1</f>
        <v>439.23</v>
      </c>
      <c r="BC14" s="117" t="n">
        <f aca="false">Inputs!$B$10*(1+Inputs!$B$11)^(BC$7-1)*1</f>
        <v>439.23</v>
      </c>
      <c r="BD14" s="117" t="n">
        <f aca="false">Inputs!$B$10*(1+Inputs!$B$11)^(BD$7-1)*1</f>
        <v>439.23</v>
      </c>
      <c r="BE14" s="117" t="n">
        <f aca="false">Inputs!$B$10*(1+Inputs!$B$11)^(BE$7-1)*1</f>
        <v>439.23</v>
      </c>
      <c r="BF14" s="117" t="n">
        <f aca="false">Inputs!$B$10*(1+Inputs!$B$11)^(BF$7-1)*1</f>
        <v>439.23</v>
      </c>
      <c r="BG14" s="117" t="n">
        <f aca="false">Inputs!$B$10*(1+Inputs!$B$11)^(BG$7-1)*1</f>
        <v>439.23</v>
      </c>
      <c r="BH14" s="117" t="n">
        <f aca="false">Inputs!$B$10*(1+Inputs!$B$11)^(BH$7-1)*1</f>
        <v>439.23</v>
      </c>
      <c r="BI14" s="117" t="n">
        <f aca="false">Inputs!$B$10*(1+Inputs!$B$11)^(BI$7-1)*1</f>
        <v>439.23</v>
      </c>
      <c r="BJ14" s="117" t="n">
        <f aca="false">Inputs!$B$10*(1+Inputs!$B$11)^(BJ$7-1)*1</f>
        <v>439.23</v>
      </c>
    </row>
    <row r="15" customFormat="false" ht="15" hidden="false" customHeight="false" outlineLevel="0" collapsed="false">
      <c r="A15" s="4" t="s">
        <v>405</v>
      </c>
      <c r="C15" s="118" t="n">
        <f aca="false">C12+C13+C14</f>
        <v>1824</v>
      </c>
      <c r="D15" s="118" t="n">
        <f aca="false">D12+D13+D14</f>
        <v>1824</v>
      </c>
      <c r="E15" s="118" t="n">
        <f aca="false">E12+E13+E14</f>
        <v>1824</v>
      </c>
      <c r="F15" s="118" t="n">
        <f aca="false">F12+F13+F14</f>
        <v>1824</v>
      </c>
      <c r="G15" s="118" t="n">
        <f aca="false">G12+G13+G14</f>
        <v>1824</v>
      </c>
      <c r="H15" s="118" t="n">
        <f aca="false">H12+H13+H14</f>
        <v>1824</v>
      </c>
      <c r="I15" s="118" t="n">
        <f aca="false">I12+I13+I14</f>
        <v>1824</v>
      </c>
      <c r="J15" s="118" t="n">
        <f aca="false">J12+J13+J14</f>
        <v>1824</v>
      </c>
      <c r="K15" s="118" t="n">
        <f aca="false">K12+K13+K14</f>
        <v>1824</v>
      </c>
      <c r="L15" s="118" t="n">
        <f aca="false">L12+L13+L14</f>
        <v>1824</v>
      </c>
      <c r="M15" s="118" t="n">
        <f aca="false">M12+M13+M14</f>
        <v>1824</v>
      </c>
      <c r="N15" s="118" t="n">
        <f aca="false">N12+N13+N14</f>
        <v>1824</v>
      </c>
      <c r="O15" s="118" t="n">
        <f aca="false">O12+O13+O14</f>
        <v>2281.2</v>
      </c>
      <c r="P15" s="118" t="n">
        <f aca="false">P12+P13+P14</f>
        <v>2281.2</v>
      </c>
      <c r="Q15" s="118" t="n">
        <f aca="false">Q12+Q13+Q14</f>
        <v>2281.2</v>
      </c>
      <c r="R15" s="118" t="n">
        <f aca="false">R12+R13+R14</f>
        <v>2281.2</v>
      </c>
      <c r="S15" s="118" t="n">
        <f aca="false">S12+S13+S14</f>
        <v>2281.2</v>
      </c>
      <c r="T15" s="118" t="n">
        <f aca="false">T12+T13+T14</f>
        <v>2281.2</v>
      </c>
      <c r="U15" s="118" t="n">
        <f aca="false">U12+U13+U14</f>
        <v>2281.2</v>
      </c>
      <c r="V15" s="118" t="n">
        <f aca="false">V12+V13+V14</f>
        <v>2281.2</v>
      </c>
      <c r="W15" s="118" t="n">
        <f aca="false">W12+W13+W14</f>
        <v>2281.2</v>
      </c>
      <c r="X15" s="118" t="n">
        <f aca="false">X12+X13+X14</f>
        <v>2281.2</v>
      </c>
      <c r="Y15" s="118" t="n">
        <f aca="false">Y12+Y13+Y14</f>
        <v>2281.2</v>
      </c>
      <c r="Z15" s="118" t="n">
        <f aca="false">Z12+Z13+Z14</f>
        <v>2281.2</v>
      </c>
      <c r="AA15" s="118" t="n">
        <f aca="false">AA12+AA13+AA14</f>
        <v>2863.56</v>
      </c>
      <c r="AB15" s="118" t="n">
        <f aca="false">AB12+AB13+AB14</f>
        <v>2863.56</v>
      </c>
      <c r="AC15" s="118" t="n">
        <f aca="false">AC12+AC13+AC14</f>
        <v>2863.56</v>
      </c>
      <c r="AD15" s="118" t="n">
        <f aca="false">AD12+AD13+AD14</f>
        <v>2863.56</v>
      </c>
      <c r="AE15" s="118" t="n">
        <f aca="false">AE12+AE13+AE14</f>
        <v>2863.56</v>
      </c>
      <c r="AF15" s="118" t="n">
        <f aca="false">AF12+AF13+AF14</f>
        <v>2863.56</v>
      </c>
      <c r="AG15" s="118" t="n">
        <f aca="false">AG12+AG13+AG14</f>
        <v>2863.56</v>
      </c>
      <c r="AH15" s="118" t="n">
        <f aca="false">AH12+AH13+AH14</f>
        <v>2863.56</v>
      </c>
      <c r="AI15" s="118" t="n">
        <f aca="false">AI12+AI13+AI14</f>
        <v>2863.56</v>
      </c>
      <c r="AJ15" s="118" t="n">
        <f aca="false">AJ12+AJ13+AJ14</f>
        <v>2863.56</v>
      </c>
      <c r="AK15" s="118" t="n">
        <f aca="false">AK12+AK13+AK14</f>
        <v>2863.56</v>
      </c>
      <c r="AL15" s="118" t="n">
        <f aca="false">AL12+AL13+AL14</f>
        <v>2863.56</v>
      </c>
      <c r="AM15" s="118" t="n">
        <f aca="false">AM12+AM13+AM14</f>
        <v>3606.828</v>
      </c>
      <c r="AN15" s="118" t="n">
        <f aca="false">AN12+AN13+AN14</f>
        <v>3606.828</v>
      </c>
      <c r="AO15" s="118" t="n">
        <f aca="false">AO12+AO13+AO14</f>
        <v>3606.828</v>
      </c>
      <c r="AP15" s="118" t="n">
        <f aca="false">AP12+AP13+AP14</f>
        <v>3606.828</v>
      </c>
      <c r="AQ15" s="118" t="n">
        <f aca="false">AQ12+AQ13+AQ14</f>
        <v>3606.828</v>
      </c>
      <c r="AR15" s="118" t="n">
        <f aca="false">AR12+AR13+AR14</f>
        <v>3606.828</v>
      </c>
      <c r="AS15" s="118" t="n">
        <f aca="false">AS12+AS13+AS14</f>
        <v>3606.828</v>
      </c>
      <c r="AT15" s="118" t="n">
        <f aca="false">AT12+AT13+AT14</f>
        <v>3606.828</v>
      </c>
      <c r="AU15" s="118" t="n">
        <f aca="false">AU12+AU13+AU14</f>
        <v>3606.828</v>
      </c>
      <c r="AV15" s="118" t="n">
        <f aca="false">AV12+AV13+AV14</f>
        <v>3606.828</v>
      </c>
      <c r="AW15" s="118" t="n">
        <f aca="false">AW12+AW13+AW14</f>
        <v>3606.828</v>
      </c>
      <c r="AX15" s="118" t="n">
        <f aca="false">AX12+AX13+AX14</f>
        <v>3606.828</v>
      </c>
      <c r="AY15" s="118" t="n">
        <f aca="false">AY12+AY13+AY14</f>
        <v>4557.1764</v>
      </c>
      <c r="AZ15" s="118" t="n">
        <f aca="false">AZ12+AZ13+AZ14</f>
        <v>4557.1764</v>
      </c>
      <c r="BA15" s="118" t="n">
        <f aca="false">BA12+BA13+BA14</f>
        <v>4557.1764</v>
      </c>
      <c r="BB15" s="118" t="n">
        <f aca="false">BB12+BB13+BB14</f>
        <v>4557.1764</v>
      </c>
      <c r="BC15" s="118" t="n">
        <f aca="false">BC12+BC13+BC14</f>
        <v>4557.1764</v>
      </c>
      <c r="BD15" s="118" t="n">
        <f aca="false">BD12+BD13+BD14</f>
        <v>4557.1764</v>
      </c>
      <c r="BE15" s="118" t="n">
        <f aca="false">BE12+BE13+BE14</f>
        <v>4557.1764</v>
      </c>
      <c r="BF15" s="118" t="n">
        <f aca="false">BF12+BF13+BF14</f>
        <v>4557.1764</v>
      </c>
      <c r="BG15" s="118" t="n">
        <f aca="false">BG12+BG13+BG14</f>
        <v>4557.1764</v>
      </c>
      <c r="BH15" s="118" t="n">
        <f aca="false">BH12+BH13+BH14</f>
        <v>4557.1764</v>
      </c>
      <c r="BI15" s="118" t="n">
        <f aca="false">BI12+BI13+BI14</f>
        <v>4557.1764</v>
      </c>
      <c r="BJ15" s="118" t="n">
        <f aca="false">BJ12+BJ13+BJ14</f>
        <v>4557.1764</v>
      </c>
    </row>
    <row r="17" customFormat="false" ht="15.75" hidden="false" customHeight="true" outlineLevel="0" collapsed="false">
      <c r="A17" s="7" t="s">
        <v>406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customFormat="false" ht="15" hidden="false" customHeight="false" outlineLevel="0" collapsed="false">
      <c r="A18" s="6" t="s">
        <v>407</v>
      </c>
      <c r="C18" s="119" t="n">
        <f aca="false">Inputs!$B$14*(1+Inputs!$B$17)^(C$7-1)</f>
        <v>300</v>
      </c>
      <c r="D18" s="119" t="n">
        <f aca="false">Inputs!$B$14*(1+Inputs!$B$17)^(D$7-1)</f>
        <v>300</v>
      </c>
      <c r="E18" s="119" t="n">
        <f aca="false">Inputs!$B$14*(1+Inputs!$B$17)^(E$7-1)</f>
        <v>300</v>
      </c>
      <c r="F18" s="119" t="n">
        <f aca="false">Inputs!$B$14*(1+Inputs!$B$17)^(F$7-1)</f>
        <v>300</v>
      </c>
      <c r="G18" s="119" t="n">
        <f aca="false">Inputs!$B$14*(1+Inputs!$B$17)^(G$7-1)</f>
        <v>300</v>
      </c>
      <c r="H18" s="119" t="n">
        <f aca="false">Inputs!$B$14*(1+Inputs!$B$17)^(H$7-1)</f>
        <v>300</v>
      </c>
      <c r="I18" s="119" t="n">
        <f aca="false">Inputs!$B$14*(1+Inputs!$B$17)^(I$7-1)</f>
        <v>300</v>
      </c>
      <c r="J18" s="119" t="n">
        <f aca="false">Inputs!$B$14*(1+Inputs!$B$17)^(J$7-1)</f>
        <v>300</v>
      </c>
      <c r="K18" s="119" t="n">
        <f aca="false">Inputs!$B$14*(1+Inputs!$B$17)^(K$7-1)</f>
        <v>300</v>
      </c>
      <c r="L18" s="119" t="n">
        <f aca="false">Inputs!$B$14*(1+Inputs!$B$17)^(L$7-1)</f>
        <v>300</v>
      </c>
      <c r="M18" s="119" t="n">
        <f aca="false">Inputs!$B$14*(1+Inputs!$B$17)^(M$7-1)</f>
        <v>300</v>
      </c>
      <c r="N18" s="119" t="n">
        <f aca="false">Inputs!$B$14*(1+Inputs!$B$17)^(N$7-1)</f>
        <v>300</v>
      </c>
      <c r="O18" s="119" t="n">
        <f aca="false">Inputs!$B$14*(1+Inputs!$B$17)^(O$7-1)</f>
        <v>306</v>
      </c>
      <c r="P18" s="119" t="n">
        <f aca="false">Inputs!$B$14*(1+Inputs!$B$17)^(P$7-1)</f>
        <v>306</v>
      </c>
      <c r="Q18" s="119" t="n">
        <f aca="false">Inputs!$B$14*(1+Inputs!$B$17)^(Q$7-1)</f>
        <v>306</v>
      </c>
      <c r="R18" s="119" t="n">
        <f aca="false">Inputs!$B$14*(1+Inputs!$B$17)^(R$7-1)</f>
        <v>306</v>
      </c>
      <c r="S18" s="119" t="n">
        <f aca="false">Inputs!$B$14*(1+Inputs!$B$17)^(S$7-1)</f>
        <v>306</v>
      </c>
      <c r="T18" s="119" t="n">
        <f aca="false">Inputs!$B$14*(1+Inputs!$B$17)^(T$7-1)</f>
        <v>306</v>
      </c>
      <c r="U18" s="119" t="n">
        <f aca="false">Inputs!$B$14*(1+Inputs!$B$17)^(U$7-1)</f>
        <v>306</v>
      </c>
      <c r="V18" s="119" t="n">
        <f aca="false">Inputs!$B$14*(1+Inputs!$B$17)^(V$7-1)</f>
        <v>306</v>
      </c>
      <c r="W18" s="119" t="n">
        <f aca="false">Inputs!$B$14*(1+Inputs!$B$17)^(W$7-1)</f>
        <v>306</v>
      </c>
      <c r="X18" s="119" t="n">
        <f aca="false">Inputs!$B$14*(1+Inputs!$B$17)^(X$7-1)</f>
        <v>306</v>
      </c>
      <c r="Y18" s="119" t="n">
        <f aca="false">Inputs!$B$14*(1+Inputs!$B$17)^(Y$7-1)</f>
        <v>306</v>
      </c>
      <c r="Z18" s="119" t="n">
        <f aca="false">Inputs!$B$14*(1+Inputs!$B$17)^(Z$7-1)</f>
        <v>306</v>
      </c>
      <c r="AA18" s="119" t="n">
        <f aca="false">Inputs!$B$14*(1+Inputs!$B$17)^(AA$7-1)</f>
        <v>312.12</v>
      </c>
      <c r="AB18" s="119" t="n">
        <f aca="false">Inputs!$B$14*(1+Inputs!$B$17)^(AB$7-1)</f>
        <v>312.12</v>
      </c>
      <c r="AC18" s="119" t="n">
        <f aca="false">Inputs!$B$14*(1+Inputs!$B$17)^(AC$7-1)</f>
        <v>312.12</v>
      </c>
      <c r="AD18" s="119" t="n">
        <f aca="false">Inputs!$B$14*(1+Inputs!$B$17)^(AD$7-1)</f>
        <v>312.12</v>
      </c>
      <c r="AE18" s="119" t="n">
        <f aca="false">Inputs!$B$14*(1+Inputs!$B$17)^(AE$7-1)</f>
        <v>312.12</v>
      </c>
      <c r="AF18" s="119" t="n">
        <f aca="false">Inputs!$B$14*(1+Inputs!$B$17)^(AF$7-1)</f>
        <v>312.12</v>
      </c>
      <c r="AG18" s="119" t="n">
        <f aca="false">Inputs!$B$14*(1+Inputs!$B$17)^(AG$7-1)</f>
        <v>312.12</v>
      </c>
      <c r="AH18" s="119" t="n">
        <f aca="false">Inputs!$B$14*(1+Inputs!$B$17)^(AH$7-1)</f>
        <v>312.12</v>
      </c>
      <c r="AI18" s="119" t="n">
        <f aca="false">Inputs!$B$14*(1+Inputs!$B$17)^(AI$7-1)</f>
        <v>312.12</v>
      </c>
      <c r="AJ18" s="119" t="n">
        <f aca="false">Inputs!$B$14*(1+Inputs!$B$17)^(AJ$7-1)</f>
        <v>312.12</v>
      </c>
      <c r="AK18" s="119" t="n">
        <f aca="false">Inputs!$B$14*(1+Inputs!$B$17)^(AK$7-1)</f>
        <v>312.12</v>
      </c>
      <c r="AL18" s="119" t="n">
        <f aca="false">Inputs!$B$14*(1+Inputs!$B$17)^(AL$7-1)</f>
        <v>312.12</v>
      </c>
      <c r="AM18" s="119" t="n">
        <f aca="false">Inputs!$B$14*(1+Inputs!$B$17)^(AM$7-1)</f>
        <v>318.3624</v>
      </c>
      <c r="AN18" s="119" t="n">
        <f aca="false">Inputs!$B$14*(1+Inputs!$B$17)^(AN$7-1)</f>
        <v>318.3624</v>
      </c>
      <c r="AO18" s="119" t="n">
        <f aca="false">Inputs!$B$14*(1+Inputs!$B$17)^(AO$7-1)</f>
        <v>318.3624</v>
      </c>
      <c r="AP18" s="119" t="n">
        <f aca="false">Inputs!$B$14*(1+Inputs!$B$17)^(AP$7-1)</f>
        <v>318.3624</v>
      </c>
      <c r="AQ18" s="119" t="n">
        <f aca="false">Inputs!$B$14*(1+Inputs!$B$17)^(AQ$7-1)</f>
        <v>318.3624</v>
      </c>
      <c r="AR18" s="119" t="n">
        <f aca="false">Inputs!$B$14*(1+Inputs!$B$17)^(AR$7-1)</f>
        <v>318.3624</v>
      </c>
      <c r="AS18" s="119" t="n">
        <f aca="false">Inputs!$B$14*(1+Inputs!$B$17)^(AS$7-1)</f>
        <v>318.3624</v>
      </c>
      <c r="AT18" s="119" t="n">
        <f aca="false">Inputs!$B$14*(1+Inputs!$B$17)^(AT$7-1)</f>
        <v>318.3624</v>
      </c>
      <c r="AU18" s="119" t="n">
        <f aca="false">Inputs!$B$14*(1+Inputs!$B$17)^(AU$7-1)</f>
        <v>318.3624</v>
      </c>
      <c r="AV18" s="119" t="n">
        <f aca="false">Inputs!$B$14*(1+Inputs!$B$17)^(AV$7-1)</f>
        <v>318.3624</v>
      </c>
      <c r="AW18" s="119" t="n">
        <f aca="false">Inputs!$B$14*(1+Inputs!$B$17)^(AW$7-1)</f>
        <v>318.3624</v>
      </c>
      <c r="AX18" s="119" t="n">
        <f aca="false">Inputs!$B$14*(1+Inputs!$B$17)^(AX$7-1)</f>
        <v>318.3624</v>
      </c>
      <c r="AY18" s="119" t="n">
        <f aca="false">Inputs!$B$14*(1+Inputs!$B$17)^(AY$7-1)</f>
        <v>324.729648</v>
      </c>
      <c r="AZ18" s="119" t="n">
        <f aca="false">Inputs!$B$14*(1+Inputs!$B$17)^(AZ$7-1)</f>
        <v>324.729648</v>
      </c>
      <c r="BA18" s="119" t="n">
        <f aca="false">Inputs!$B$14*(1+Inputs!$B$17)^(BA$7-1)</f>
        <v>324.729648</v>
      </c>
      <c r="BB18" s="119" t="n">
        <f aca="false">Inputs!$B$14*(1+Inputs!$B$17)^(BB$7-1)</f>
        <v>324.729648</v>
      </c>
      <c r="BC18" s="119" t="n">
        <f aca="false">Inputs!$B$14*(1+Inputs!$B$17)^(BC$7-1)</f>
        <v>324.729648</v>
      </c>
      <c r="BD18" s="119" t="n">
        <f aca="false">Inputs!$B$14*(1+Inputs!$B$17)^(BD$7-1)</f>
        <v>324.729648</v>
      </c>
      <c r="BE18" s="119" t="n">
        <f aca="false">Inputs!$B$14*(1+Inputs!$B$17)^(BE$7-1)</f>
        <v>324.729648</v>
      </c>
      <c r="BF18" s="119" t="n">
        <f aca="false">Inputs!$B$14*(1+Inputs!$B$17)^(BF$7-1)</f>
        <v>324.729648</v>
      </c>
      <c r="BG18" s="119" t="n">
        <f aca="false">Inputs!$B$14*(1+Inputs!$B$17)^(BG$7-1)</f>
        <v>324.729648</v>
      </c>
      <c r="BH18" s="119" t="n">
        <f aca="false">Inputs!$B$14*(1+Inputs!$B$17)^(BH$7-1)</f>
        <v>324.729648</v>
      </c>
      <c r="BI18" s="119" t="n">
        <f aca="false">Inputs!$B$14*(1+Inputs!$B$17)^(BI$7-1)</f>
        <v>324.729648</v>
      </c>
      <c r="BJ18" s="119" t="n">
        <f aca="false">Inputs!$B$14*(1+Inputs!$B$17)^(BJ$7-1)</f>
        <v>324.729648</v>
      </c>
    </row>
    <row r="19" customFormat="false" ht="15" hidden="false" customHeight="false" outlineLevel="0" collapsed="false">
      <c r="A19" s="6" t="s">
        <v>408</v>
      </c>
      <c r="C19" s="119" t="n">
        <f aca="false">Inputs!$B$15*(1+Inputs!$B$17)^(C$7-1)</f>
        <v>150</v>
      </c>
      <c r="D19" s="119" t="n">
        <f aca="false">Inputs!$B$15*(1+Inputs!$B$17)^(D$7-1)</f>
        <v>150</v>
      </c>
      <c r="E19" s="119" t="n">
        <f aca="false">Inputs!$B$15*(1+Inputs!$B$17)^(E$7-1)</f>
        <v>150</v>
      </c>
      <c r="F19" s="119" t="n">
        <f aca="false">Inputs!$B$15*(1+Inputs!$B$17)^(F$7-1)</f>
        <v>150</v>
      </c>
      <c r="G19" s="119" t="n">
        <f aca="false">Inputs!$B$15*(1+Inputs!$B$17)^(G$7-1)</f>
        <v>150</v>
      </c>
      <c r="H19" s="119" t="n">
        <f aca="false">Inputs!$B$15*(1+Inputs!$B$17)^(H$7-1)</f>
        <v>150</v>
      </c>
      <c r="I19" s="119" t="n">
        <f aca="false">Inputs!$B$15*(1+Inputs!$B$17)^(I$7-1)</f>
        <v>150</v>
      </c>
      <c r="J19" s="119" t="n">
        <f aca="false">Inputs!$B$15*(1+Inputs!$B$17)^(J$7-1)</f>
        <v>150</v>
      </c>
      <c r="K19" s="119" t="n">
        <f aca="false">Inputs!$B$15*(1+Inputs!$B$17)^(K$7-1)</f>
        <v>150</v>
      </c>
      <c r="L19" s="119" t="n">
        <f aca="false">Inputs!$B$15*(1+Inputs!$B$17)^(L$7-1)</f>
        <v>150</v>
      </c>
      <c r="M19" s="119" t="n">
        <f aca="false">Inputs!$B$15*(1+Inputs!$B$17)^(M$7-1)</f>
        <v>150</v>
      </c>
      <c r="N19" s="119" t="n">
        <f aca="false">Inputs!$B$15*(1+Inputs!$B$17)^(N$7-1)</f>
        <v>150</v>
      </c>
      <c r="O19" s="119" t="n">
        <f aca="false">Inputs!$B$15*(1+Inputs!$B$17)^(O$7-1)</f>
        <v>153</v>
      </c>
      <c r="P19" s="119" t="n">
        <f aca="false">Inputs!$B$15*(1+Inputs!$B$17)^(P$7-1)</f>
        <v>153</v>
      </c>
      <c r="Q19" s="119" t="n">
        <f aca="false">Inputs!$B$15*(1+Inputs!$B$17)^(Q$7-1)</f>
        <v>153</v>
      </c>
      <c r="R19" s="119" t="n">
        <f aca="false">Inputs!$B$15*(1+Inputs!$B$17)^(R$7-1)</f>
        <v>153</v>
      </c>
      <c r="S19" s="119" t="n">
        <f aca="false">Inputs!$B$15*(1+Inputs!$B$17)^(S$7-1)</f>
        <v>153</v>
      </c>
      <c r="T19" s="119" t="n">
        <f aca="false">Inputs!$B$15*(1+Inputs!$B$17)^(T$7-1)</f>
        <v>153</v>
      </c>
      <c r="U19" s="119" t="n">
        <f aca="false">Inputs!$B$15*(1+Inputs!$B$17)^(U$7-1)</f>
        <v>153</v>
      </c>
      <c r="V19" s="119" t="n">
        <f aca="false">Inputs!$B$15*(1+Inputs!$B$17)^(V$7-1)</f>
        <v>153</v>
      </c>
      <c r="W19" s="119" t="n">
        <f aca="false">Inputs!$B$15*(1+Inputs!$B$17)^(W$7-1)</f>
        <v>153</v>
      </c>
      <c r="X19" s="119" t="n">
        <f aca="false">Inputs!$B$15*(1+Inputs!$B$17)^(X$7-1)</f>
        <v>153</v>
      </c>
      <c r="Y19" s="119" t="n">
        <f aca="false">Inputs!$B$15*(1+Inputs!$B$17)^(Y$7-1)</f>
        <v>153</v>
      </c>
      <c r="Z19" s="119" t="n">
        <f aca="false">Inputs!$B$15*(1+Inputs!$B$17)^(Z$7-1)</f>
        <v>153</v>
      </c>
      <c r="AA19" s="119" t="n">
        <f aca="false">Inputs!$B$15*(1+Inputs!$B$17)^(AA$7-1)</f>
        <v>156.06</v>
      </c>
      <c r="AB19" s="119" t="n">
        <f aca="false">Inputs!$B$15*(1+Inputs!$B$17)^(AB$7-1)</f>
        <v>156.06</v>
      </c>
      <c r="AC19" s="119" t="n">
        <f aca="false">Inputs!$B$15*(1+Inputs!$B$17)^(AC$7-1)</f>
        <v>156.06</v>
      </c>
      <c r="AD19" s="119" t="n">
        <f aca="false">Inputs!$B$15*(1+Inputs!$B$17)^(AD$7-1)</f>
        <v>156.06</v>
      </c>
      <c r="AE19" s="119" t="n">
        <f aca="false">Inputs!$B$15*(1+Inputs!$B$17)^(AE$7-1)</f>
        <v>156.06</v>
      </c>
      <c r="AF19" s="119" t="n">
        <f aca="false">Inputs!$B$15*(1+Inputs!$B$17)^(AF$7-1)</f>
        <v>156.06</v>
      </c>
      <c r="AG19" s="119" t="n">
        <f aca="false">Inputs!$B$15*(1+Inputs!$B$17)^(AG$7-1)</f>
        <v>156.06</v>
      </c>
      <c r="AH19" s="119" t="n">
        <f aca="false">Inputs!$B$15*(1+Inputs!$B$17)^(AH$7-1)</f>
        <v>156.06</v>
      </c>
      <c r="AI19" s="119" t="n">
        <f aca="false">Inputs!$B$15*(1+Inputs!$B$17)^(AI$7-1)</f>
        <v>156.06</v>
      </c>
      <c r="AJ19" s="119" t="n">
        <f aca="false">Inputs!$B$15*(1+Inputs!$B$17)^(AJ$7-1)</f>
        <v>156.06</v>
      </c>
      <c r="AK19" s="119" t="n">
        <f aca="false">Inputs!$B$15*(1+Inputs!$B$17)^(AK$7-1)</f>
        <v>156.06</v>
      </c>
      <c r="AL19" s="119" t="n">
        <f aca="false">Inputs!$B$15*(1+Inputs!$B$17)^(AL$7-1)</f>
        <v>156.06</v>
      </c>
      <c r="AM19" s="119" t="n">
        <f aca="false">Inputs!$B$15*(1+Inputs!$B$17)^(AM$7-1)</f>
        <v>159.1812</v>
      </c>
      <c r="AN19" s="119" t="n">
        <f aca="false">Inputs!$B$15*(1+Inputs!$B$17)^(AN$7-1)</f>
        <v>159.1812</v>
      </c>
      <c r="AO19" s="119" t="n">
        <f aca="false">Inputs!$B$15*(1+Inputs!$B$17)^(AO$7-1)</f>
        <v>159.1812</v>
      </c>
      <c r="AP19" s="119" t="n">
        <f aca="false">Inputs!$B$15*(1+Inputs!$B$17)^(AP$7-1)</f>
        <v>159.1812</v>
      </c>
      <c r="AQ19" s="119" t="n">
        <f aca="false">Inputs!$B$15*(1+Inputs!$B$17)^(AQ$7-1)</f>
        <v>159.1812</v>
      </c>
      <c r="AR19" s="119" t="n">
        <f aca="false">Inputs!$B$15*(1+Inputs!$B$17)^(AR$7-1)</f>
        <v>159.1812</v>
      </c>
      <c r="AS19" s="119" t="n">
        <f aca="false">Inputs!$B$15*(1+Inputs!$B$17)^(AS$7-1)</f>
        <v>159.1812</v>
      </c>
      <c r="AT19" s="119" t="n">
        <f aca="false">Inputs!$B$15*(1+Inputs!$B$17)^(AT$7-1)</f>
        <v>159.1812</v>
      </c>
      <c r="AU19" s="119" t="n">
        <f aca="false">Inputs!$B$15*(1+Inputs!$B$17)^(AU$7-1)</f>
        <v>159.1812</v>
      </c>
      <c r="AV19" s="119" t="n">
        <f aca="false">Inputs!$B$15*(1+Inputs!$B$17)^(AV$7-1)</f>
        <v>159.1812</v>
      </c>
      <c r="AW19" s="119" t="n">
        <f aca="false">Inputs!$B$15*(1+Inputs!$B$17)^(AW$7-1)</f>
        <v>159.1812</v>
      </c>
      <c r="AX19" s="119" t="n">
        <f aca="false">Inputs!$B$15*(1+Inputs!$B$17)^(AX$7-1)</f>
        <v>159.1812</v>
      </c>
      <c r="AY19" s="119" t="n">
        <f aca="false">Inputs!$B$15*(1+Inputs!$B$17)^(AY$7-1)</f>
        <v>162.364824</v>
      </c>
      <c r="AZ19" s="119" t="n">
        <f aca="false">Inputs!$B$15*(1+Inputs!$B$17)^(AZ$7-1)</f>
        <v>162.364824</v>
      </c>
      <c r="BA19" s="119" t="n">
        <f aca="false">Inputs!$B$15*(1+Inputs!$B$17)^(BA$7-1)</f>
        <v>162.364824</v>
      </c>
      <c r="BB19" s="119" t="n">
        <f aca="false">Inputs!$B$15*(1+Inputs!$B$17)^(BB$7-1)</f>
        <v>162.364824</v>
      </c>
      <c r="BC19" s="119" t="n">
        <f aca="false">Inputs!$B$15*(1+Inputs!$B$17)^(BC$7-1)</f>
        <v>162.364824</v>
      </c>
      <c r="BD19" s="119" t="n">
        <f aca="false">Inputs!$B$15*(1+Inputs!$B$17)^(BD$7-1)</f>
        <v>162.364824</v>
      </c>
      <c r="BE19" s="119" t="n">
        <f aca="false">Inputs!$B$15*(1+Inputs!$B$17)^(BE$7-1)</f>
        <v>162.364824</v>
      </c>
      <c r="BF19" s="119" t="n">
        <f aca="false">Inputs!$B$15*(1+Inputs!$B$17)^(BF$7-1)</f>
        <v>162.364824</v>
      </c>
      <c r="BG19" s="119" t="n">
        <f aca="false">Inputs!$B$15*(1+Inputs!$B$17)^(BG$7-1)</f>
        <v>162.364824</v>
      </c>
      <c r="BH19" s="119" t="n">
        <f aca="false">Inputs!$B$15*(1+Inputs!$B$17)^(BH$7-1)</f>
        <v>162.364824</v>
      </c>
      <c r="BI19" s="119" t="n">
        <f aca="false">Inputs!$B$15*(1+Inputs!$B$17)^(BI$7-1)</f>
        <v>162.364824</v>
      </c>
      <c r="BJ19" s="119" t="n">
        <f aca="false">Inputs!$B$15*(1+Inputs!$B$17)^(BJ$7-1)</f>
        <v>162.364824</v>
      </c>
    </row>
    <row r="20" customFormat="false" ht="15" hidden="false" customHeight="false" outlineLevel="0" collapsed="false">
      <c r="A20" s="6" t="s">
        <v>409</v>
      </c>
      <c r="C20" s="119" t="n">
        <f aca="false">Inputs!$B$16*(1+Inputs!$B$17)^(C$7-1)</f>
        <v>140</v>
      </c>
      <c r="D20" s="119" t="n">
        <f aca="false">Inputs!$B$16*(1+Inputs!$B$17)^(D$7-1)</f>
        <v>140</v>
      </c>
      <c r="E20" s="119" t="n">
        <f aca="false">Inputs!$B$16*(1+Inputs!$B$17)^(E$7-1)</f>
        <v>140</v>
      </c>
      <c r="F20" s="119" t="n">
        <f aca="false">Inputs!$B$16*(1+Inputs!$B$17)^(F$7-1)</f>
        <v>140</v>
      </c>
      <c r="G20" s="119" t="n">
        <f aca="false">Inputs!$B$16*(1+Inputs!$B$17)^(G$7-1)</f>
        <v>140</v>
      </c>
      <c r="H20" s="119" t="n">
        <f aca="false">Inputs!$B$16*(1+Inputs!$B$17)^(H$7-1)</f>
        <v>140</v>
      </c>
      <c r="I20" s="119" t="n">
        <f aca="false">Inputs!$B$16*(1+Inputs!$B$17)^(I$7-1)</f>
        <v>140</v>
      </c>
      <c r="J20" s="119" t="n">
        <f aca="false">Inputs!$B$16*(1+Inputs!$B$17)^(J$7-1)</f>
        <v>140</v>
      </c>
      <c r="K20" s="119" t="n">
        <f aca="false">Inputs!$B$16*(1+Inputs!$B$17)^(K$7-1)</f>
        <v>140</v>
      </c>
      <c r="L20" s="119" t="n">
        <f aca="false">Inputs!$B$16*(1+Inputs!$B$17)^(L$7-1)</f>
        <v>140</v>
      </c>
      <c r="M20" s="119" t="n">
        <f aca="false">Inputs!$B$16*(1+Inputs!$B$17)^(M$7-1)</f>
        <v>140</v>
      </c>
      <c r="N20" s="119" t="n">
        <f aca="false">Inputs!$B$16*(1+Inputs!$B$17)^(N$7-1)</f>
        <v>140</v>
      </c>
      <c r="O20" s="119" t="n">
        <f aca="false">Inputs!$B$16*(1+Inputs!$B$17)^(O$7-1)</f>
        <v>142.8</v>
      </c>
      <c r="P20" s="119" t="n">
        <f aca="false">Inputs!$B$16*(1+Inputs!$B$17)^(P$7-1)</f>
        <v>142.8</v>
      </c>
      <c r="Q20" s="119" t="n">
        <f aca="false">Inputs!$B$16*(1+Inputs!$B$17)^(Q$7-1)</f>
        <v>142.8</v>
      </c>
      <c r="R20" s="119" t="n">
        <f aca="false">Inputs!$B$16*(1+Inputs!$B$17)^(R$7-1)</f>
        <v>142.8</v>
      </c>
      <c r="S20" s="119" t="n">
        <f aca="false">Inputs!$B$16*(1+Inputs!$B$17)^(S$7-1)</f>
        <v>142.8</v>
      </c>
      <c r="T20" s="119" t="n">
        <f aca="false">Inputs!$B$16*(1+Inputs!$B$17)^(T$7-1)</f>
        <v>142.8</v>
      </c>
      <c r="U20" s="119" t="n">
        <f aca="false">Inputs!$B$16*(1+Inputs!$B$17)^(U$7-1)</f>
        <v>142.8</v>
      </c>
      <c r="V20" s="119" t="n">
        <f aca="false">Inputs!$B$16*(1+Inputs!$B$17)^(V$7-1)</f>
        <v>142.8</v>
      </c>
      <c r="W20" s="119" t="n">
        <f aca="false">Inputs!$B$16*(1+Inputs!$B$17)^(W$7-1)</f>
        <v>142.8</v>
      </c>
      <c r="X20" s="119" t="n">
        <f aca="false">Inputs!$B$16*(1+Inputs!$B$17)^(X$7-1)</f>
        <v>142.8</v>
      </c>
      <c r="Y20" s="119" t="n">
        <f aca="false">Inputs!$B$16*(1+Inputs!$B$17)^(Y$7-1)</f>
        <v>142.8</v>
      </c>
      <c r="Z20" s="119" t="n">
        <f aca="false">Inputs!$B$16*(1+Inputs!$B$17)^(Z$7-1)</f>
        <v>142.8</v>
      </c>
      <c r="AA20" s="119" t="n">
        <f aca="false">Inputs!$B$16*(1+Inputs!$B$17)^(AA$7-1)</f>
        <v>145.656</v>
      </c>
      <c r="AB20" s="119" t="n">
        <f aca="false">Inputs!$B$16*(1+Inputs!$B$17)^(AB$7-1)</f>
        <v>145.656</v>
      </c>
      <c r="AC20" s="119" t="n">
        <f aca="false">Inputs!$B$16*(1+Inputs!$B$17)^(AC$7-1)</f>
        <v>145.656</v>
      </c>
      <c r="AD20" s="119" t="n">
        <f aca="false">Inputs!$B$16*(1+Inputs!$B$17)^(AD$7-1)</f>
        <v>145.656</v>
      </c>
      <c r="AE20" s="119" t="n">
        <f aca="false">Inputs!$B$16*(1+Inputs!$B$17)^(AE$7-1)</f>
        <v>145.656</v>
      </c>
      <c r="AF20" s="119" t="n">
        <f aca="false">Inputs!$B$16*(1+Inputs!$B$17)^(AF$7-1)</f>
        <v>145.656</v>
      </c>
      <c r="AG20" s="119" t="n">
        <f aca="false">Inputs!$B$16*(1+Inputs!$B$17)^(AG$7-1)</f>
        <v>145.656</v>
      </c>
      <c r="AH20" s="119" t="n">
        <f aca="false">Inputs!$B$16*(1+Inputs!$B$17)^(AH$7-1)</f>
        <v>145.656</v>
      </c>
      <c r="AI20" s="119" t="n">
        <f aca="false">Inputs!$B$16*(1+Inputs!$B$17)^(AI$7-1)</f>
        <v>145.656</v>
      </c>
      <c r="AJ20" s="119" t="n">
        <f aca="false">Inputs!$B$16*(1+Inputs!$B$17)^(AJ$7-1)</f>
        <v>145.656</v>
      </c>
      <c r="AK20" s="119" t="n">
        <f aca="false">Inputs!$B$16*(1+Inputs!$B$17)^(AK$7-1)</f>
        <v>145.656</v>
      </c>
      <c r="AL20" s="119" t="n">
        <f aca="false">Inputs!$B$16*(1+Inputs!$B$17)^(AL$7-1)</f>
        <v>145.656</v>
      </c>
      <c r="AM20" s="119" t="n">
        <f aca="false">Inputs!$B$16*(1+Inputs!$B$17)^(AM$7-1)</f>
        <v>148.56912</v>
      </c>
      <c r="AN20" s="119" t="n">
        <f aca="false">Inputs!$B$16*(1+Inputs!$B$17)^(AN$7-1)</f>
        <v>148.56912</v>
      </c>
      <c r="AO20" s="119" t="n">
        <f aca="false">Inputs!$B$16*(1+Inputs!$B$17)^(AO$7-1)</f>
        <v>148.56912</v>
      </c>
      <c r="AP20" s="119" t="n">
        <f aca="false">Inputs!$B$16*(1+Inputs!$B$17)^(AP$7-1)</f>
        <v>148.56912</v>
      </c>
      <c r="AQ20" s="119" t="n">
        <f aca="false">Inputs!$B$16*(1+Inputs!$B$17)^(AQ$7-1)</f>
        <v>148.56912</v>
      </c>
      <c r="AR20" s="119" t="n">
        <f aca="false">Inputs!$B$16*(1+Inputs!$B$17)^(AR$7-1)</f>
        <v>148.56912</v>
      </c>
      <c r="AS20" s="119" t="n">
        <f aca="false">Inputs!$B$16*(1+Inputs!$B$17)^(AS$7-1)</f>
        <v>148.56912</v>
      </c>
      <c r="AT20" s="119" t="n">
        <f aca="false">Inputs!$B$16*(1+Inputs!$B$17)^(AT$7-1)</f>
        <v>148.56912</v>
      </c>
      <c r="AU20" s="119" t="n">
        <f aca="false">Inputs!$B$16*(1+Inputs!$B$17)^(AU$7-1)</f>
        <v>148.56912</v>
      </c>
      <c r="AV20" s="119" t="n">
        <f aca="false">Inputs!$B$16*(1+Inputs!$B$17)^(AV$7-1)</f>
        <v>148.56912</v>
      </c>
      <c r="AW20" s="119" t="n">
        <f aca="false">Inputs!$B$16*(1+Inputs!$B$17)^(AW$7-1)</f>
        <v>148.56912</v>
      </c>
      <c r="AX20" s="119" t="n">
        <f aca="false">Inputs!$B$16*(1+Inputs!$B$17)^(AX$7-1)</f>
        <v>148.56912</v>
      </c>
      <c r="AY20" s="119" t="n">
        <f aca="false">Inputs!$B$16*(1+Inputs!$B$17)^(AY$7-1)</f>
        <v>151.5405024</v>
      </c>
      <c r="AZ20" s="119" t="n">
        <f aca="false">Inputs!$B$16*(1+Inputs!$B$17)^(AZ$7-1)</f>
        <v>151.5405024</v>
      </c>
      <c r="BA20" s="119" t="n">
        <f aca="false">Inputs!$B$16*(1+Inputs!$B$17)^(BA$7-1)</f>
        <v>151.5405024</v>
      </c>
      <c r="BB20" s="119" t="n">
        <f aca="false">Inputs!$B$16*(1+Inputs!$B$17)^(BB$7-1)</f>
        <v>151.5405024</v>
      </c>
      <c r="BC20" s="119" t="n">
        <f aca="false">Inputs!$B$16*(1+Inputs!$B$17)^(BC$7-1)</f>
        <v>151.5405024</v>
      </c>
      <c r="BD20" s="119" t="n">
        <f aca="false">Inputs!$B$16*(1+Inputs!$B$17)^(BD$7-1)</f>
        <v>151.5405024</v>
      </c>
      <c r="BE20" s="119" t="n">
        <f aca="false">Inputs!$B$16*(1+Inputs!$B$17)^(BE$7-1)</f>
        <v>151.5405024</v>
      </c>
      <c r="BF20" s="119" t="n">
        <f aca="false">Inputs!$B$16*(1+Inputs!$B$17)^(BF$7-1)</f>
        <v>151.5405024</v>
      </c>
      <c r="BG20" s="119" t="n">
        <f aca="false">Inputs!$B$16*(1+Inputs!$B$17)^(BG$7-1)</f>
        <v>151.5405024</v>
      </c>
      <c r="BH20" s="119" t="n">
        <f aca="false">Inputs!$B$16*(1+Inputs!$B$17)^(BH$7-1)</f>
        <v>151.5405024</v>
      </c>
      <c r="BI20" s="119" t="n">
        <f aca="false">Inputs!$B$16*(1+Inputs!$B$17)^(BI$7-1)</f>
        <v>151.5405024</v>
      </c>
      <c r="BJ20" s="119" t="n">
        <f aca="false">Inputs!$B$16*(1+Inputs!$B$17)^(BJ$7-1)</f>
        <v>151.5405024</v>
      </c>
    </row>
    <row r="21" customFormat="false" ht="15" hidden="false" customHeight="false" outlineLevel="0" collapsed="false">
      <c r="A21" s="6" t="s">
        <v>237</v>
      </c>
      <c r="C21" s="67" t="n">
        <f aca="false">C12*C18+C13*C19+C14*C20</f>
        <v>315600</v>
      </c>
      <c r="D21" s="67" t="n">
        <f aca="false">D12*D18+D13*D19+D14*D20</f>
        <v>315600</v>
      </c>
      <c r="E21" s="67" t="n">
        <f aca="false">E12*E18+E13*E19+E14*E20</f>
        <v>315600</v>
      </c>
      <c r="F21" s="67" t="n">
        <f aca="false">F12*F18+F13*F19+F14*F20</f>
        <v>315600</v>
      </c>
      <c r="G21" s="67" t="n">
        <f aca="false">G12*G18+G13*G19+G14*G20</f>
        <v>315600</v>
      </c>
      <c r="H21" s="67" t="n">
        <f aca="false">H12*H18+H13*H19+H14*H20</f>
        <v>315600</v>
      </c>
      <c r="I21" s="67" t="n">
        <f aca="false">I12*I18+I13*I19+I14*I20</f>
        <v>315600</v>
      </c>
      <c r="J21" s="67" t="n">
        <f aca="false">J12*J18+J13*J19+J14*J20</f>
        <v>315600</v>
      </c>
      <c r="K21" s="67" t="n">
        <f aca="false">K12*K18+K13*K19+K14*K20</f>
        <v>315600</v>
      </c>
      <c r="L21" s="67" t="n">
        <f aca="false">L12*L18+L13*L19+L14*L20</f>
        <v>315600</v>
      </c>
      <c r="M21" s="67" t="n">
        <f aca="false">M12*M18+M13*M19+M14*M20</f>
        <v>315600</v>
      </c>
      <c r="N21" s="67" t="n">
        <f aca="false">N12*N18+N13*N19+N14*N20</f>
        <v>315600</v>
      </c>
      <c r="O21" s="67" t="n">
        <f aca="false">O12*O18+O13*O19+O14*O20</f>
        <v>400737.6</v>
      </c>
      <c r="P21" s="67" t="n">
        <f aca="false">P12*P18+P13*P19+P14*P20</f>
        <v>400737.6</v>
      </c>
      <c r="Q21" s="67" t="n">
        <f aca="false">Q12*Q18+Q13*Q19+Q14*Q20</f>
        <v>400737.6</v>
      </c>
      <c r="R21" s="67" t="n">
        <f aca="false">R12*R18+R13*R19+R14*R20</f>
        <v>400737.6</v>
      </c>
      <c r="S21" s="67" t="n">
        <f aca="false">S12*S18+S13*S19+S14*S20</f>
        <v>400737.6</v>
      </c>
      <c r="T21" s="67" t="n">
        <f aca="false">T12*T18+T13*T19+T14*T20</f>
        <v>400737.6</v>
      </c>
      <c r="U21" s="67" t="n">
        <f aca="false">U12*U18+U13*U19+U14*U20</f>
        <v>400737.6</v>
      </c>
      <c r="V21" s="67" t="n">
        <f aca="false">V12*V18+V13*V19+V14*V20</f>
        <v>400737.6</v>
      </c>
      <c r="W21" s="67" t="n">
        <f aca="false">W12*W18+W13*W19+W14*W20</f>
        <v>400737.6</v>
      </c>
      <c r="X21" s="67" t="n">
        <f aca="false">X12*X18+X13*X19+X14*X20</f>
        <v>400737.6</v>
      </c>
      <c r="Y21" s="67" t="n">
        <f aca="false">Y12*Y18+Y13*Y19+Y14*Y20</f>
        <v>400737.6</v>
      </c>
      <c r="Z21" s="67" t="n">
        <f aca="false">Z12*Z18+Z13*Z19+Z14*Z20</f>
        <v>400737.6</v>
      </c>
      <c r="AA21" s="67" t="n">
        <f aca="false">AA12*AA18+AA13*AA19+AA14*AA20</f>
        <v>510528.4416</v>
      </c>
      <c r="AB21" s="67" t="n">
        <f aca="false">AB12*AB18+AB13*AB19+AB14*AB20</f>
        <v>510528.4416</v>
      </c>
      <c r="AC21" s="67" t="n">
        <f aca="false">AC12*AC18+AC13*AC19+AC14*AC20</f>
        <v>510528.4416</v>
      </c>
      <c r="AD21" s="67" t="n">
        <f aca="false">AD12*AD18+AD13*AD19+AD14*AD20</f>
        <v>510528.4416</v>
      </c>
      <c r="AE21" s="67" t="n">
        <f aca="false">AE12*AE18+AE13*AE19+AE14*AE20</f>
        <v>510528.4416</v>
      </c>
      <c r="AF21" s="67" t="n">
        <f aca="false">AF12*AF18+AF13*AF19+AF14*AF20</f>
        <v>510528.4416</v>
      </c>
      <c r="AG21" s="67" t="n">
        <f aca="false">AG12*AG18+AG13*AG19+AG14*AG20</f>
        <v>510528.4416</v>
      </c>
      <c r="AH21" s="67" t="n">
        <f aca="false">AH12*AH18+AH13*AH19+AH14*AH20</f>
        <v>510528.4416</v>
      </c>
      <c r="AI21" s="67" t="n">
        <f aca="false">AI12*AI18+AI13*AI19+AI14*AI20</f>
        <v>510528.4416</v>
      </c>
      <c r="AJ21" s="67" t="n">
        <f aca="false">AJ12*AJ18+AJ13*AJ19+AJ14*AJ20</f>
        <v>510528.4416</v>
      </c>
      <c r="AK21" s="67" t="n">
        <f aca="false">AK12*AK18+AK13*AK19+AK14*AK20</f>
        <v>510528.4416</v>
      </c>
      <c r="AL21" s="67" t="n">
        <f aca="false">AL12*AL18+AL13*AL19+AL14*AL20</f>
        <v>510528.4416</v>
      </c>
      <c r="AM21" s="67" t="n">
        <f aca="false">AM12*AM18+AM13*AM19+AM14*AM20</f>
        <v>652421.3397696</v>
      </c>
      <c r="AN21" s="67" t="n">
        <f aca="false">AN12*AN18+AN13*AN19+AN14*AN20</f>
        <v>652421.3397696</v>
      </c>
      <c r="AO21" s="67" t="n">
        <f aca="false">AO12*AO18+AO13*AO19+AO14*AO20</f>
        <v>652421.3397696</v>
      </c>
      <c r="AP21" s="67" t="n">
        <f aca="false">AP12*AP18+AP13*AP19+AP14*AP20</f>
        <v>652421.3397696</v>
      </c>
      <c r="AQ21" s="67" t="n">
        <f aca="false">AQ12*AQ18+AQ13*AQ19+AQ14*AQ20</f>
        <v>652421.3397696</v>
      </c>
      <c r="AR21" s="67" t="n">
        <f aca="false">AR12*AR18+AR13*AR19+AR14*AR20</f>
        <v>652421.3397696</v>
      </c>
      <c r="AS21" s="67" t="n">
        <f aca="false">AS12*AS18+AS13*AS19+AS14*AS20</f>
        <v>652421.3397696</v>
      </c>
      <c r="AT21" s="67" t="n">
        <f aca="false">AT12*AT18+AT13*AT19+AT14*AT20</f>
        <v>652421.3397696</v>
      </c>
      <c r="AU21" s="67" t="n">
        <f aca="false">AU12*AU18+AU13*AU19+AU14*AU20</f>
        <v>652421.3397696</v>
      </c>
      <c r="AV21" s="67" t="n">
        <f aca="false">AV12*AV18+AV13*AV19+AV14*AV20</f>
        <v>652421.3397696</v>
      </c>
      <c r="AW21" s="67" t="n">
        <f aca="false">AW12*AW18+AW13*AW19+AW14*AW20</f>
        <v>652421.3397696</v>
      </c>
      <c r="AX21" s="67" t="n">
        <f aca="false">AX12*AX18+AX13*AX19+AX14*AX20</f>
        <v>652421.3397696</v>
      </c>
      <c r="AY21" s="67" t="n">
        <f aca="false">AY12*AY18+AY13*AY19+AY14*AY20</f>
        <v>836174.687060506</v>
      </c>
      <c r="AZ21" s="67" t="n">
        <f aca="false">AZ12*AZ18+AZ13*AZ19+AZ14*AZ20</f>
        <v>836174.687060506</v>
      </c>
      <c r="BA21" s="67" t="n">
        <f aca="false">BA12*BA18+BA13*BA19+BA14*BA20</f>
        <v>836174.687060506</v>
      </c>
      <c r="BB21" s="67" t="n">
        <f aca="false">BB12*BB18+BB13*BB19+BB14*BB20</f>
        <v>836174.687060506</v>
      </c>
      <c r="BC21" s="67" t="n">
        <f aca="false">BC12*BC18+BC13*BC19+BC14*BC20</f>
        <v>836174.687060506</v>
      </c>
      <c r="BD21" s="67" t="n">
        <f aca="false">BD12*BD18+BD13*BD19+BD14*BD20</f>
        <v>836174.687060506</v>
      </c>
      <c r="BE21" s="67" t="n">
        <f aca="false">BE12*BE18+BE13*BE19+BE14*BE20</f>
        <v>836174.687060506</v>
      </c>
      <c r="BF21" s="67" t="n">
        <f aca="false">BF12*BF18+BF13*BF19+BF14*BF20</f>
        <v>836174.687060506</v>
      </c>
      <c r="BG21" s="67" t="n">
        <f aca="false">BG12*BG18+BG13*BG19+BG14*BG20</f>
        <v>836174.687060506</v>
      </c>
      <c r="BH21" s="67" t="n">
        <f aca="false">BH12*BH18+BH13*BH19+BH14*BH20</f>
        <v>836174.687060506</v>
      </c>
      <c r="BI21" s="67" t="n">
        <f aca="false">BI12*BI18+BI13*BI19+BI14*BI20</f>
        <v>836174.687060506</v>
      </c>
      <c r="BJ21" s="67" t="n">
        <f aca="false">BJ12*BJ18+BJ13*BJ19+BJ14*BJ20</f>
        <v>836174.687060506</v>
      </c>
    </row>
    <row r="22" customFormat="false" ht="15" hidden="false" customHeight="false" outlineLevel="0" collapsed="false">
      <c r="A22" s="6" t="s">
        <v>239</v>
      </c>
      <c r="C22" s="67" t="n">
        <f aca="false">C21*Inputs!$B$20*(1-Inputs!$B$21)</f>
        <v>111091.2</v>
      </c>
      <c r="D22" s="67" t="n">
        <f aca="false">D21*Inputs!$B$20*(1-Inputs!$B$21)</f>
        <v>111091.2</v>
      </c>
      <c r="E22" s="67" t="n">
        <f aca="false">E21*Inputs!$B$20*(1-Inputs!$B$21)</f>
        <v>111091.2</v>
      </c>
      <c r="F22" s="67" t="n">
        <f aca="false">F21*Inputs!$B$20*(1-Inputs!$B$21)</f>
        <v>111091.2</v>
      </c>
      <c r="G22" s="67" t="n">
        <f aca="false">G21*Inputs!$B$20*(1-Inputs!$B$21)</f>
        <v>111091.2</v>
      </c>
      <c r="H22" s="67" t="n">
        <f aca="false">H21*Inputs!$B$20*(1-Inputs!$B$21)</f>
        <v>111091.2</v>
      </c>
      <c r="I22" s="67" t="n">
        <f aca="false">I21*Inputs!$B$20*(1-Inputs!$B$21)</f>
        <v>111091.2</v>
      </c>
      <c r="J22" s="67" t="n">
        <f aca="false">J21*Inputs!$B$20*(1-Inputs!$B$21)</f>
        <v>111091.2</v>
      </c>
      <c r="K22" s="67" t="n">
        <f aca="false">K21*Inputs!$B$20*(1-Inputs!$B$21)</f>
        <v>111091.2</v>
      </c>
      <c r="L22" s="67" t="n">
        <f aca="false">L21*Inputs!$B$20*(1-Inputs!$B$21)</f>
        <v>111091.2</v>
      </c>
      <c r="M22" s="67" t="n">
        <f aca="false">M21*Inputs!$B$20*(1-Inputs!$B$21)</f>
        <v>111091.2</v>
      </c>
      <c r="N22" s="67" t="n">
        <f aca="false">N21*Inputs!$B$20*(1-Inputs!$B$21)</f>
        <v>111091.2</v>
      </c>
      <c r="O22" s="67" t="n">
        <f aca="false">O21*Inputs!$B$20*(1-Inputs!$B$21)</f>
        <v>141059.6352</v>
      </c>
      <c r="P22" s="67" t="n">
        <f aca="false">P21*Inputs!$B$20*(1-Inputs!$B$21)</f>
        <v>141059.6352</v>
      </c>
      <c r="Q22" s="67" t="n">
        <f aca="false">Q21*Inputs!$B$20*(1-Inputs!$B$21)</f>
        <v>141059.6352</v>
      </c>
      <c r="R22" s="67" t="n">
        <f aca="false">R21*Inputs!$B$20*(1-Inputs!$B$21)</f>
        <v>141059.6352</v>
      </c>
      <c r="S22" s="67" t="n">
        <f aca="false">S21*Inputs!$B$20*(1-Inputs!$B$21)</f>
        <v>141059.6352</v>
      </c>
      <c r="T22" s="67" t="n">
        <f aca="false">T21*Inputs!$B$20*(1-Inputs!$B$21)</f>
        <v>141059.6352</v>
      </c>
      <c r="U22" s="67" t="n">
        <f aca="false">U21*Inputs!$B$20*(1-Inputs!$B$21)</f>
        <v>141059.6352</v>
      </c>
      <c r="V22" s="67" t="n">
        <f aca="false">V21*Inputs!$B$20*(1-Inputs!$B$21)</f>
        <v>141059.6352</v>
      </c>
      <c r="W22" s="67" t="n">
        <f aca="false">W21*Inputs!$B$20*(1-Inputs!$B$21)</f>
        <v>141059.6352</v>
      </c>
      <c r="X22" s="67" t="n">
        <f aca="false">X21*Inputs!$B$20*(1-Inputs!$B$21)</f>
        <v>141059.6352</v>
      </c>
      <c r="Y22" s="67" t="n">
        <f aca="false">Y21*Inputs!$B$20*(1-Inputs!$B$21)</f>
        <v>141059.6352</v>
      </c>
      <c r="Z22" s="67" t="n">
        <f aca="false">Z21*Inputs!$B$20*(1-Inputs!$B$21)</f>
        <v>141059.6352</v>
      </c>
      <c r="AA22" s="67" t="n">
        <f aca="false">AA21*Inputs!$B$20*(1-Inputs!$B$21)</f>
        <v>179706.0114432</v>
      </c>
      <c r="AB22" s="67" t="n">
        <f aca="false">AB21*Inputs!$B$20*(1-Inputs!$B$21)</f>
        <v>179706.0114432</v>
      </c>
      <c r="AC22" s="67" t="n">
        <f aca="false">AC21*Inputs!$B$20*(1-Inputs!$B$21)</f>
        <v>179706.0114432</v>
      </c>
      <c r="AD22" s="67" t="n">
        <f aca="false">AD21*Inputs!$B$20*(1-Inputs!$B$21)</f>
        <v>179706.0114432</v>
      </c>
      <c r="AE22" s="67" t="n">
        <f aca="false">AE21*Inputs!$B$20*(1-Inputs!$B$21)</f>
        <v>179706.0114432</v>
      </c>
      <c r="AF22" s="67" t="n">
        <f aca="false">AF21*Inputs!$B$20*(1-Inputs!$B$21)</f>
        <v>179706.0114432</v>
      </c>
      <c r="AG22" s="67" t="n">
        <f aca="false">AG21*Inputs!$B$20*(1-Inputs!$B$21)</f>
        <v>179706.0114432</v>
      </c>
      <c r="AH22" s="67" t="n">
        <f aca="false">AH21*Inputs!$B$20*(1-Inputs!$B$21)</f>
        <v>179706.0114432</v>
      </c>
      <c r="AI22" s="67" t="n">
        <f aca="false">AI21*Inputs!$B$20*(1-Inputs!$B$21)</f>
        <v>179706.0114432</v>
      </c>
      <c r="AJ22" s="67" t="n">
        <f aca="false">AJ21*Inputs!$B$20*(1-Inputs!$B$21)</f>
        <v>179706.0114432</v>
      </c>
      <c r="AK22" s="67" t="n">
        <f aca="false">AK21*Inputs!$B$20*(1-Inputs!$B$21)</f>
        <v>179706.0114432</v>
      </c>
      <c r="AL22" s="67" t="n">
        <f aca="false">AL21*Inputs!$B$20*(1-Inputs!$B$21)</f>
        <v>179706.0114432</v>
      </c>
      <c r="AM22" s="67" t="n">
        <f aca="false">AM21*Inputs!$B$20*(1-Inputs!$B$21)</f>
        <v>229652.311598899</v>
      </c>
      <c r="AN22" s="67" t="n">
        <f aca="false">AN21*Inputs!$B$20*(1-Inputs!$B$21)</f>
        <v>229652.311598899</v>
      </c>
      <c r="AO22" s="67" t="n">
        <f aca="false">AO21*Inputs!$B$20*(1-Inputs!$B$21)</f>
        <v>229652.311598899</v>
      </c>
      <c r="AP22" s="67" t="n">
        <f aca="false">AP21*Inputs!$B$20*(1-Inputs!$B$21)</f>
        <v>229652.311598899</v>
      </c>
      <c r="AQ22" s="67" t="n">
        <f aca="false">AQ21*Inputs!$B$20*(1-Inputs!$B$21)</f>
        <v>229652.311598899</v>
      </c>
      <c r="AR22" s="67" t="n">
        <f aca="false">AR21*Inputs!$B$20*(1-Inputs!$B$21)</f>
        <v>229652.311598899</v>
      </c>
      <c r="AS22" s="67" t="n">
        <f aca="false">AS21*Inputs!$B$20*(1-Inputs!$B$21)</f>
        <v>229652.311598899</v>
      </c>
      <c r="AT22" s="67" t="n">
        <f aca="false">AT21*Inputs!$B$20*(1-Inputs!$B$21)</f>
        <v>229652.311598899</v>
      </c>
      <c r="AU22" s="67" t="n">
        <f aca="false">AU21*Inputs!$B$20*(1-Inputs!$B$21)</f>
        <v>229652.311598899</v>
      </c>
      <c r="AV22" s="67" t="n">
        <f aca="false">AV21*Inputs!$B$20*(1-Inputs!$B$21)</f>
        <v>229652.311598899</v>
      </c>
      <c r="AW22" s="67" t="n">
        <f aca="false">AW21*Inputs!$B$20*(1-Inputs!$B$21)</f>
        <v>229652.311598899</v>
      </c>
      <c r="AX22" s="67" t="n">
        <f aca="false">AX21*Inputs!$B$20*(1-Inputs!$B$21)</f>
        <v>229652.311598899</v>
      </c>
      <c r="AY22" s="67" t="n">
        <f aca="false">AY21*Inputs!$B$20*(1-Inputs!$B$21)</f>
        <v>294333.489845298</v>
      </c>
      <c r="AZ22" s="67" t="n">
        <f aca="false">AZ21*Inputs!$B$20*(1-Inputs!$B$21)</f>
        <v>294333.489845298</v>
      </c>
      <c r="BA22" s="67" t="n">
        <f aca="false">BA21*Inputs!$B$20*(1-Inputs!$B$21)</f>
        <v>294333.489845298</v>
      </c>
      <c r="BB22" s="67" t="n">
        <f aca="false">BB21*Inputs!$B$20*(1-Inputs!$B$21)</f>
        <v>294333.489845298</v>
      </c>
      <c r="BC22" s="67" t="n">
        <f aca="false">BC21*Inputs!$B$20*(1-Inputs!$B$21)</f>
        <v>294333.489845298</v>
      </c>
      <c r="BD22" s="67" t="n">
        <f aca="false">BD21*Inputs!$B$20*(1-Inputs!$B$21)</f>
        <v>294333.489845298</v>
      </c>
      <c r="BE22" s="67" t="n">
        <f aca="false">BE21*Inputs!$B$20*(1-Inputs!$B$21)</f>
        <v>294333.489845298</v>
      </c>
      <c r="BF22" s="67" t="n">
        <f aca="false">BF21*Inputs!$B$20*(1-Inputs!$B$21)</f>
        <v>294333.489845298</v>
      </c>
      <c r="BG22" s="67" t="n">
        <f aca="false">BG21*Inputs!$B$20*(1-Inputs!$B$21)</f>
        <v>294333.489845298</v>
      </c>
      <c r="BH22" s="67" t="n">
        <f aca="false">BH21*Inputs!$B$20*(1-Inputs!$B$21)</f>
        <v>294333.489845298</v>
      </c>
      <c r="BI22" s="67" t="n">
        <f aca="false">BI21*Inputs!$B$20*(1-Inputs!$B$21)</f>
        <v>294333.489845298</v>
      </c>
      <c r="BJ22" s="67" t="n">
        <f aca="false">BJ21*Inputs!$B$20*(1-Inputs!$B$21)</f>
        <v>294333.489845298</v>
      </c>
    </row>
    <row r="23" customFormat="false" ht="15" hidden="false" customHeight="false" outlineLevel="0" collapsed="false">
      <c r="A23" s="6" t="s">
        <v>410</v>
      </c>
      <c r="C23" s="67" t="n">
        <f aca="false">C21*(1-Inputs!$B$20)*Inputs!$B$22</f>
        <v>166636.8</v>
      </c>
      <c r="D23" s="67" t="n">
        <f aca="false">D21*(1-Inputs!$B$20)*Inputs!$B$22</f>
        <v>166636.8</v>
      </c>
      <c r="E23" s="67" t="n">
        <f aca="false">E21*(1-Inputs!$B$20)*Inputs!$B$22</f>
        <v>166636.8</v>
      </c>
      <c r="F23" s="67" t="n">
        <f aca="false">F21*(1-Inputs!$B$20)*Inputs!$B$22</f>
        <v>166636.8</v>
      </c>
      <c r="G23" s="67" t="n">
        <f aca="false">G21*(1-Inputs!$B$20)*Inputs!$B$22</f>
        <v>166636.8</v>
      </c>
      <c r="H23" s="67" t="n">
        <f aca="false">H21*(1-Inputs!$B$20)*Inputs!$B$22</f>
        <v>166636.8</v>
      </c>
      <c r="I23" s="67" t="n">
        <f aca="false">I21*(1-Inputs!$B$20)*Inputs!$B$22</f>
        <v>166636.8</v>
      </c>
      <c r="J23" s="67" t="n">
        <f aca="false">J21*(1-Inputs!$B$20)*Inputs!$B$22</f>
        <v>166636.8</v>
      </c>
      <c r="K23" s="67" t="n">
        <f aca="false">K21*(1-Inputs!$B$20)*Inputs!$B$22</f>
        <v>166636.8</v>
      </c>
      <c r="L23" s="67" t="n">
        <f aca="false">L21*(1-Inputs!$B$20)*Inputs!$B$22</f>
        <v>166636.8</v>
      </c>
      <c r="M23" s="67" t="n">
        <f aca="false">M21*(1-Inputs!$B$20)*Inputs!$B$22</f>
        <v>166636.8</v>
      </c>
      <c r="N23" s="67" t="n">
        <f aca="false">N21*(1-Inputs!$B$20)*Inputs!$B$22</f>
        <v>166636.8</v>
      </c>
      <c r="O23" s="67" t="n">
        <f aca="false">O21*(1-Inputs!$B$20)*Inputs!$B$22</f>
        <v>211589.4528</v>
      </c>
      <c r="P23" s="67" t="n">
        <f aca="false">P21*(1-Inputs!$B$20)*Inputs!$B$22</f>
        <v>211589.4528</v>
      </c>
      <c r="Q23" s="67" t="n">
        <f aca="false">Q21*(1-Inputs!$B$20)*Inputs!$B$22</f>
        <v>211589.4528</v>
      </c>
      <c r="R23" s="67" t="n">
        <f aca="false">R21*(1-Inputs!$B$20)*Inputs!$B$22</f>
        <v>211589.4528</v>
      </c>
      <c r="S23" s="67" t="n">
        <f aca="false">S21*(1-Inputs!$B$20)*Inputs!$B$22</f>
        <v>211589.4528</v>
      </c>
      <c r="T23" s="67" t="n">
        <f aca="false">T21*(1-Inputs!$B$20)*Inputs!$B$22</f>
        <v>211589.4528</v>
      </c>
      <c r="U23" s="67" t="n">
        <f aca="false">U21*(1-Inputs!$B$20)*Inputs!$B$22</f>
        <v>211589.4528</v>
      </c>
      <c r="V23" s="67" t="n">
        <f aca="false">V21*(1-Inputs!$B$20)*Inputs!$B$22</f>
        <v>211589.4528</v>
      </c>
      <c r="W23" s="67" t="n">
        <f aca="false">W21*(1-Inputs!$B$20)*Inputs!$B$22</f>
        <v>211589.4528</v>
      </c>
      <c r="X23" s="67" t="n">
        <f aca="false">X21*(1-Inputs!$B$20)*Inputs!$B$22</f>
        <v>211589.4528</v>
      </c>
      <c r="Y23" s="67" t="n">
        <f aca="false">Y21*(1-Inputs!$B$20)*Inputs!$B$22</f>
        <v>211589.4528</v>
      </c>
      <c r="Z23" s="67" t="n">
        <f aca="false">Z21*(1-Inputs!$B$20)*Inputs!$B$22</f>
        <v>211589.4528</v>
      </c>
      <c r="AA23" s="67" t="n">
        <f aca="false">AA21*(1-Inputs!$B$20)*Inputs!$B$22</f>
        <v>269559.0171648</v>
      </c>
      <c r="AB23" s="67" t="n">
        <f aca="false">AB21*(1-Inputs!$B$20)*Inputs!$B$22</f>
        <v>269559.0171648</v>
      </c>
      <c r="AC23" s="67" t="n">
        <f aca="false">AC21*(1-Inputs!$B$20)*Inputs!$B$22</f>
        <v>269559.0171648</v>
      </c>
      <c r="AD23" s="67" t="n">
        <f aca="false">AD21*(1-Inputs!$B$20)*Inputs!$B$22</f>
        <v>269559.0171648</v>
      </c>
      <c r="AE23" s="67" t="n">
        <f aca="false">AE21*(1-Inputs!$B$20)*Inputs!$B$22</f>
        <v>269559.0171648</v>
      </c>
      <c r="AF23" s="67" t="n">
        <f aca="false">AF21*(1-Inputs!$B$20)*Inputs!$B$22</f>
        <v>269559.0171648</v>
      </c>
      <c r="AG23" s="67" t="n">
        <f aca="false">AG21*(1-Inputs!$B$20)*Inputs!$B$22</f>
        <v>269559.0171648</v>
      </c>
      <c r="AH23" s="67" t="n">
        <f aca="false">AH21*(1-Inputs!$B$20)*Inputs!$B$22</f>
        <v>269559.0171648</v>
      </c>
      <c r="AI23" s="67" t="n">
        <f aca="false">AI21*(1-Inputs!$B$20)*Inputs!$B$22</f>
        <v>269559.0171648</v>
      </c>
      <c r="AJ23" s="67" t="n">
        <f aca="false">AJ21*(1-Inputs!$B$20)*Inputs!$B$22</f>
        <v>269559.0171648</v>
      </c>
      <c r="AK23" s="67" t="n">
        <f aca="false">AK21*(1-Inputs!$B$20)*Inputs!$B$22</f>
        <v>269559.0171648</v>
      </c>
      <c r="AL23" s="67" t="n">
        <f aca="false">AL21*(1-Inputs!$B$20)*Inputs!$B$22</f>
        <v>269559.0171648</v>
      </c>
      <c r="AM23" s="67" t="n">
        <f aca="false">AM21*(1-Inputs!$B$20)*Inputs!$B$22</f>
        <v>344478.467398349</v>
      </c>
      <c r="AN23" s="67" t="n">
        <f aca="false">AN21*(1-Inputs!$B$20)*Inputs!$B$22</f>
        <v>344478.467398349</v>
      </c>
      <c r="AO23" s="67" t="n">
        <f aca="false">AO21*(1-Inputs!$B$20)*Inputs!$B$22</f>
        <v>344478.467398349</v>
      </c>
      <c r="AP23" s="67" t="n">
        <f aca="false">AP21*(1-Inputs!$B$20)*Inputs!$B$22</f>
        <v>344478.467398349</v>
      </c>
      <c r="AQ23" s="67" t="n">
        <f aca="false">AQ21*(1-Inputs!$B$20)*Inputs!$B$22</f>
        <v>344478.467398349</v>
      </c>
      <c r="AR23" s="67" t="n">
        <f aca="false">AR21*(1-Inputs!$B$20)*Inputs!$B$22</f>
        <v>344478.467398349</v>
      </c>
      <c r="AS23" s="67" t="n">
        <f aca="false">AS21*(1-Inputs!$B$20)*Inputs!$B$22</f>
        <v>344478.467398349</v>
      </c>
      <c r="AT23" s="67" t="n">
        <f aca="false">AT21*(1-Inputs!$B$20)*Inputs!$B$22</f>
        <v>344478.467398349</v>
      </c>
      <c r="AU23" s="67" t="n">
        <f aca="false">AU21*(1-Inputs!$B$20)*Inputs!$B$22</f>
        <v>344478.467398349</v>
      </c>
      <c r="AV23" s="67" t="n">
        <f aca="false">AV21*(1-Inputs!$B$20)*Inputs!$B$22</f>
        <v>344478.467398349</v>
      </c>
      <c r="AW23" s="67" t="n">
        <f aca="false">AW21*(1-Inputs!$B$20)*Inputs!$B$22</f>
        <v>344478.467398349</v>
      </c>
      <c r="AX23" s="67" t="n">
        <f aca="false">AX21*(1-Inputs!$B$20)*Inputs!$B$22</f>
        <v>344478.467398349</v>
      </c>
      <c r="AY23" s="67" t="n">
        <f aca="false">AY21*(1-Inputs!$B$20)*Inputs!$B$22</f>
        <v>441500.234767947</v>
      </c>
      <c r="AZ23" s="67" t="n">
        <f aca="false">AZ21*(1-Inputs!$B$20)*Inputs!$B$22</f>
        <v>441500.234767947</v>
      </c>
      <c r="BA23" s="67" t="n">
        <f aca="false">BA21*(1-Inputs!$B$20)*Inputs!$B$22</f>
        <v>441500.234767947</v>
      </c>
      <c r="BB23" s="67" t="n">
        <f aca="false">BB21*(1-Inputs!$B$20)*Inputs!$B$22</f>
        <v>441500.234767947</v>
      </c>
      <c r="BC23" s="67" t="n">
        <f aca="false">BC21*(1-Inputs!$B$20)*Inputs!$B$22</f>
        <v>441500.234767947</v>
      </c>
      <c r="BD23" s="67" t="n">
        <f aca="false">BD21*(1-Inputs!$B$20)*Inputs!$B$22</f>
        <v>441500.234767947</v>
      </c>
      <c r="BE23" s="67" t="n">
        <f aca="false">BE21*(1-Inputs!$B$20)*Inputs!$B$22</f>
        <v>441500.234767947</v>
      </c>
      <c r="BF23" s="67" t="n">
        <f aca="false">BF21*(1-Inputs!$B$20)*Inputs!$B$22</f>
        <v>441500.234767947</v>
      </c>
      <c r="BG23" s="67" t="n">
        <f aca="false">BG21*(1-Inputs!$B$20)*Inputs!$B$22</f>
        <v>441500.234767947</v>
      </c>
      <c r="BH23" s="67" t="n">
        <f aca="false">BH21*(1-Inputs!$B$20)*Inputs!$B$22</f>
        <v>441500.234767947</v>
      </c>
      <c r="BI23" s="67" t="n">
        <f aca="false">BI21*(1-Inputs!$B$20)*Inputs!$B$22</f>
        <v>441500.234767947</v>
      </c>
      <c r="BJ23" s="67" t="n">
        <f aca="false">BJ21*(1-Inputs!$B$20)*Inputs!$B$22</f>
        <v>441500.234767947</v>
      </c>
    </row>
    <row r="24" customFormat="false" ht="15" hidden="false" customHeight="false" outlineLevel="0" collapsed="false">
      <c r="A24" s="113" t="s">
        <v>238</v>
      </c>
      <c r="C24" s="68" t="n">
        <f aca="false">C22+C23</f>
        <v>277728</v>
      </c>
      <c r="D24" s="68" t="n">
        <f aca="false">D22+D23</f>
        <v>277728</v>
      </c>
      <c r="E24" s="68" t="n">
        <f aca="false">E22+E23</f>
        <v>277728</v>
      </c>
      <c r="F24" s="68" t="n">
        <f aca="false">F22+F23</f>
        <v>277728</v>
      </c>
      <c r="G24" s="68" t="n">
        <f aca="false">G22+G23</f>
        <v>277728</v>
      </c>
      <c r="H24" s="68" t="n">
        <f aca="false">H22+H23</f>
        <v>277728</v>
      </c>
      <c r="I24" s="68" t="n">
        <f aca="false">I22+I23</f>
        <v>277728</v>
      </c>
      <c r="J24" s="68" t="n">
        <f aca="false">J22+J23</f>
        <v>277728</v>
      </c>
      <c r="K24" s="68" t="n">
        <f aca="false">K22+K23</f>
        <v>277728</v>
      </c>
      <c r="L24" s="68" t="n">
        <f aca="false">L22+L23</f>
        <v>277728</v>
      </c>
      <c r="M24" s="68" t="n">
        <f aca="false">M22+M23</f>
        <v>277728</v>
      </c>
      <c r="N24" s="68" t="n">
        <f aca="false">N22+N23</f>
        <v>277728</v>
      </c>
      <c r="O24" s="68" t="n">
        <f aca="false">O22+O23</f>
        <v>352649.088</v>
      </c>
      <c r="P24" s="68" t="n">
        <f aca="false">P22+P23</f>
        <v>352649.088</v>
      </c>
      <c r="Q24" s="68" t="n">
        <f aca="false">Q22+Q23</f>
        <v>352649.088</v>
      </c>
      <c r="R24" s="68" t="n">
        <f aca="false">R22+R23</f>
        <v>352649.088</v>
      </c>
      <c r="S24" s="68" t="n">
        <f aca="false">S22+S23</f>
        <v>352649.088</v>
      </c>
      <c r="T24" s="68" t="n">
        <f aca="false">T22+T23</f>
        <v>352649.088</v>
      </c>
      <c r="U24" s="68" t="n">
        <f aca="false">U22+U23</f>
        <v>352649.088</v>
      </c>
      <c r="V24" s="68" t="n">
        <f aca="false">V22+V23</f>
        <v>352649.088</v>
      </c>
      <c r="W24" s="68" t="n">
        <f aca="false">W22+W23</f>
        <v>352649.088</v>
      </c>
      <c r="X24" s="68" t="n">
        <f aca="false">X22+X23</f>
        <v>352649.088</v>
      </c>
      <c r="Y24" s="68" t="n">
        <f aca="false">Y22+Y23</f>
        <v>352649.088</v>
      </c>
      <c r="Z24" s="68" t="n">
        <f aca="false">Z22+Z23</f>
        <v>352649.088</v>
      </c>
      <c r="AA24" s="68" t="n">
        <f aca="false">AA22+AA23</f>
        <v>449265.028608</v>
      </c>
      <c r="AB24" s="68" t="n">
        <f aca="false">AB22+AB23</f>
        <v>449265.028608</v>
      </c>
      <c r="AC24" s="68" t="n">
        <f aca="false">AC22+AC23</f>
        <v>449265.028608</v>
      </c>
      <c r="AD24" s="68" t="n">
        <f aca="false">AD22+AD23</f>
        <v>449265.028608</v>
      </c>
      <c r="AE24" s="68" t="n">
        <f aca="false">AE22+AE23</f>
        <v>449265.028608</v>
      </c>
      <c r="AF24" s="68" t="n">
        <f aca="false">AF22+AF23</f>
        <v>449265.028608</v>
      </c>
      <c r="AG24" s="68" t="n">
        <f aca="false">AG22+AG23</f>
        <v>449265.028608</v>
      </c>
      <c r="AH24" s="68" t="n">
        <f aca="false">AH22+AH23</f>
        <v>449265.028608</v>
      </c>
      <c r="AI24" s="68" t="n">
        <f aca="false">AI22+AI23</f>
        <v>449265.028608</v>
      </c>
      <c r="AJ24" s="68" t="n">
        <f aca="false">AJ22+AJ23</f>
        <v>449265.028608</v>
      </c>
      <c r="AK24" s="68" t="n">
        <f aca="false">AK22+AK23</f>
        <v>449265.028608</v>
      </c>
      <c r="AL24" s="68" t="n">
        <f aca="false">AL22+AL23</f>
        <v>449265.028608</v>
      </c>
      <c r="AM24" s="68" t="n">
        <f aca="false">AM22+AM23</f>
        <v>574130.778997248</v>
      </c>
      <c r="AN24" s="68" t="n">
        <f aca="false">AN22+AN23</f>
        <v>574130.778997248</v>
      </c>
      <c r="AO24" s="68" t="n">
        <f aca="false">AO22+AO23</f>
        <v>574130.778997248</v>
      </c>
      <c r="AP24" s="68" t="n">
        <f aca="false">AP22+AP23</f>
        <v>574130.778997248</v>
      </c>
      <c r="AQ24" s="68" t="n">
        <f aca="false">AQ22+AQ23</f>
        <v>574130.778997248</v>
      </c>
      <c r="AR24" s="68" t="n">
        <f aca="false">AR22+AR23</f>
        <v>574130.778997248</v>
      </c>
      <c r="AS24" s="68" t="n">
        <f aca="false">AS22+AS23</f>
        <v>574130.778997248</v>
      </c>
      <c r="AT24" s="68" t="n">
        <f aca="false">AT22+AT23</f>
        <v>574130.778997248</v>
      </c>
      <c r="AU24" s="68" t="n">
        <f aca="false">AU22+AU23</f>
        <v>574130.778997248</v>
      </c>
      <c r="AV24" s="68" t="n">
        <f aca="false">AV22+AV23</f>
        <v>574130.778997248</v>
      </c>
      <c r="AW24" s="68" t="n">
        <f aca="false">AW22+AW23</f>
        <v>574130.778997248</v>
      </c>
      <c r="AX24" s="68" t="n">
        <f aca="false">AX22+AX23</f>
        <v>574130.778997248</v>
      </c>
      <c r="AY24" s="68" t="n">
        <f aca="false">AY22+AY23</f>
        <v>735833.724613245</v>
      </c>
      <c r="AZ24" s="68" t="n">
        <f aca="false">AZ22+AZ23</f>
        <v>735833.724613245</v>
      </c>
      <c r="BA24" s="68" t="n">
        <f aca="false">BA22+BA23</f>
        <v>735833.724613245</v>
      </c>
      <c r="BB24" s="68" t="n">
        <f aca="false">BB22+BB23</f>
        <v>735833.724613245</v>
      </c>
      <c r="BC24" s="68" t="n">
        <f aca="false">BC22+BC23</f>
        <v>735833.724613245</v>
      </c>
      <c r="BD24" s="68" t="n">
        <f aca="false">BD22+BD23</f>
        <v>735833.724613245</v>
      </c>
      <c r="BE24" s="68" t="n">
        <f aca="false">BE22+BE23</f>
        <v>735833.724613245</v>
      </c>
      <c r="BF24" s="68" t="n">
        <f aca="false">BF22+BF23</f>
        <v>735833.724613245</v>
      </c>
      <c r="BG24" s="68" t="n">
        <f aca="false">BG22+BG23</f>
        <v>735833.724613245</v>
      </c>
      <c r="BH24" s="68" t="n">
        <f aca="false">BH22+BH23</f>
        <v>735833.724613245</v>
      </c>
      <c r="BI24" s="68" t="n">
        <f aca="false">BI22+BI23</f>
        <v>735833.724613245</v>
      </c>
      <c r="BJ24" s="68" t="n">
        <f aca="false">BJ22+BJ23</f>
        <v>735833.724613245</v>
      </c>
    </row>
    <row r="26" customFormat="false" ht="15.75" hidden="false" customHeight="true" outlineLevel="0" collapsed="false">
      <c r="A26" s="7" t="s">
        <v>76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244</v>
      </c>
      <c r="C27" s="67" t="n">
        <f aca="false">C107+C108</f>
        <v>-178000</v>
      </c>
      <c r="D27" s="67" t="n">
        <f aca="false">D107+D108</f>
        <v>-178000</v>
      </c>
      <c r="E27" s="67" t="n">
        <f aca="false">E107+E108</f>
        <v>-178000</v>
      </c>
      <c r="F27" s="67" t="n">
        <f aca="false">F107+F108</f>
        <v>-178000</v>
      </c>
      <c r="G27" s="67" t="n">
        <f aca="false">G107+G108</f>
        <v>-178000</v>
      </c>
      <c r="H27" s="67" t="n">
        <f aca="false">H107+H108</f>
        <v>-178000</v>
      </c>
      <c r="I27" s="67" t="n">
        <f aca="false">I107+I108</f>
        <v>-178000</v>
      </c>
      <c r="J27" s="67" t="n">
        <f aca="false">J107+J108</f>
        <v>-178000</v>
      </c>
      <c r="K27" s="67" t="n">
        <f aca="false">K107+K108</f>
        <v>-178000</v>
      </c>
      <c r="L27" s="67" t="n">
        <f aca="false">L107+L108</f>
        <v>-178000</v>
      </c>
      <c r="M27" s="67" t="n">
        <f aca="false">M107+M108</f>
        <v>-178000</v>
      </c>
      <c r="N27" s="67" t="n">
        <f aca="false">N107+N108</f>
        <v>-178000</v>
      </c>
      <c r="O27" s="67" t="n">
        <f aca="false">O107+O108</f>
        <v>-231750</v>
      </c>
      <c r="P27" s="67" t="n">
        <f aca="false">P107+P108</f>
        <v>-231750</v>
      </c>
      <c r="Q27" s="67" t="n">
        <f aca="false">Q107+Q108</f>
        <v>-231750</v>
      </c>
      <c r="R27" s="67" t="n">
        <f aca="false">R107+R108</f>
        <v>-231750</v>
      </c>
      <c r="S27" s="67" t="n">
        <f aca="false">S107+S108</f>
        <v>-231750</v>
      </c>
      <c r="T27" s="67" t="n">
        <f aca="false">T107+T108</f>
        <v>-231750</v>
      </c>
      <c r="U27" s="67" t="n">
        <f aca="false">U107+U108</f>
        <v>-231750</v>
      </c>
      <c r="V27" s="67" t="n">
        <f aca="false">V107+V108</f>
        <v>-231750</v>
      </c>
      <c r="W27" s="67" t="n">
        <f aca="false">W107+W108</f>
        <v>-231750</v>
      </c>
      <c r="X27" s="67" t="n">
        <f aca="false">X107+X108</f>
        <v>-231750</v>
      </c>
      <c r="Y27" s="67" t="n">
        <f aca="false">Y107+Y108</f>
        <v>-231750</v>
      </c>
      <c r="Z27" s="67" t="n">
        <f aca="false">Z107+Z108</f>
        <v>-231750</v>
      </c>
      <c r="AA27" s="67" t="n">
        <f aca="false">AA107+AA108</f>
        <v>-302165.538</v>
      </c>
      <c r="AB27" s="67" t="n">
        <f aca="false">AB107+AB108</f>
        <v>-302165.538</v>
      </c>
      <c r="AC27" s="67" t="n">
        <f aca="false">AC107+AC108</f>
        <v>-302165.538</v>
      </c>
      <c r="AD27" s="67" t="n">
        <f aca="false">AD107+AD108</f>
        <v>-302165.538</v>
      </c>
      <c r="AE27" s="67" t="n">
        <f aca="false">AE107+AE108</f>
        <v>-302165.538</v>
      </c>
      <c r="AF27" s="67" t="n">
        <f aca="false">AF107+AF108</f>
        <v>-302165.538</v>
      </c>
      <c r="AG27" s="67" t="n">
        <f aca="false">AG107+AG108</f>
        <v>-302165.538</v>
      </c>
      <c r="AH27" s="67" t="n">
        <f aca="false">AH107+AH108</f>
        <v>-302165.538</v>
      </c>
      <c r="AI27" s="67" t="n">
        <f aca="false">AI107+AI108</f>
        <v>-302165.538</v>
      </c>
      <c r="AJ27" s="67" t="n">
        <f aca="false">AJ107+AJ108</f>
        <v>-302165.538</v>
      </c>
      <c r="AK27" s="67" t="n">
        <f aca="false">AK107+AK108</f>
        <v>-302165.538</v>
      </c>
      <c r="AL27" s="67" t="n">
        <f aca="false">AL107+AL108</f>
        <v>-302165.538</v>
      </c>
      <c r="AM27" s="67" t="n">
        <f aca="false">AM107+AM108</f>
        <v>-394529.08335</v>
      </c>
      <c r="AN27" s="67" t="n">
        <f aca="false">AN107+AN108</f>
        <v>-394529.08335</v>
      </c>
      <c r="AO27" s="67" t="n">
        <f aca="false">AO107+AO108</f>
        <v>-394529.08335</v>
      </c>
      <c r="AP27" s="67" t="n">
        <f aca="false">AP107+AP108</f>
        <v>-394529.08335</v>
      </c>
      <c r="AQ27" s="67" t="n">
        <f aca="false">AQ107+AQ108</f>
        <v>-394529.08335</v>
      </c>
      <c r="AR27" s="67" t="n">
        <f aca="false">AR107+AR108</f>
        <v>-394529.08335</v>
      </c>
      <c r="AS27" s="67" t="n">
        <f aca="false">AS107+AS108</f>
        <v>-394529.08335</v>
      </c>
      <c r="AT27" s="67" t="n">
        <f aca="false">AT107+AT108</f>
        <v>-394529.08335</v>
      </c>
      <c r="AU27" s="67" t="n">
        <f aca="false">AU107+AU108</f>
        <v>-394529.08335</v>
      </c>
      <c r="AV27" s="67" t="n">
        <f aca="false">AV107+AV108</f>
        <v>-394529.08335</v>
      </c>
      <c r="AW27" s="67" t="n">
        <f aca="false">AW107+AW108</f>
        <v>-394529.08335</v>
      </c>
      <c r="AX27" s="67" t="n">
        <f aca="false">AX107+AX108</f>
        <v>-394529.08335</v>
      </c>
      <c r="AY27" s="67" t="n">
        <f aca="false">AY107+AY108</f>
        <v>-515827.215574098</v>
      </c>
      <c r="AZ27" s="67" t="n">
        <f aca="false">AZ107+AZ108</f>
        <v>-515827.215574098</v>
      </c>
      <c r="BA27" s="67" t="n">
        <f aca="false">BA107+BA108</f>
        <v>-515827.215574098</v>
      </c>
      <c r="BB27" s="67" t="n">
        <f aca="false">BB107+BB108</f>
        <v>-515827.215574098</v>
      </c>
      <c r="BC27" s="67" t="n">
        <f aca="false">BC107+BC108</f>
        <v>-515827.215574098</v>
      </c>
      <c r="BD27" s="67" t="n">
        <f aca="false">BD107+BD108</f>
        <v>-515827.215574098</v>
      </c>
      <c r="BE27" s="67" t="n">
        <f aca="false">BE107+BE108</f>
        <v>-515827.215574098</v>
      </c>
      <c r="BF27" s="67" t="n">
        <f aca="false">BF107+BF108</f>
        <v>-515827.215574098</v>
      </c>
      <c r="BG27" s="67" t="n">
        <f aca="false">BG107+BG108</f>
        <v>-515827.215574098</v>
      </c>
      <c r="BH27" s="67" t="n">
        <f aca="false">BH107+BH108</f>
        <v>-515827.215574098</v>
      </c>
      <c r="BI27" s="67" t="n">
        <f aca="false">BI107+BI108</f>
        <v>-515827.215574098</v>
      </c>
      <c r="BJ27" s="67" t="n">
        <f aca="false">BJ107+BJ108</f>
        <v>-515827.215574098</v>
      </c>
    </row>
    <row r="28" customFormat="false" ht="15" hidden="false" customHeight="false" outlineLevel="0" collapsed="false">
      <c r="A28" s="6" t="s">
        <v>245</v>
      </c>
      <c r="C28" s="67" t="n">
        <f aca="false">-C14*Inputs!$B$25*(1+Inputs!$B$51)^(C$7-1)</f>
        <v>-28500</v>
      </c>
      <c r="D28" s="67" t="n">
        <f aca="false">-D14*Inputs!$B$25*(1+Inputs!$B$51)^(D$7-1)</f>
        <v>-28500</v>
      </c>
      <c r="E28" s="67" t="n">
        <f aca="false">-E14*Inputs!$B$25*(1+Inputs!$B$51)^(E$7-1)</f>
        <v>-28500</v>
      </c>
      <c r="F28" s="67" t="n">
        <f aca="false">-F14*Inputs!$B$25*(1+Inputs!$B$51)^(F$7-1)</f>
        <v>-28500</v>
      </c>
      <c r="G28" s="67" t="n">
        <f aca="false">-G14*Inputs!$B$25*(1+Inputs!$B$51)^(G$7-1)</f>
        <v>-28500</v>
      </c>
      <c r="H28" s="67" t="n">
        <f aca="false">-H14*Inputs!$B$25*(1+Inputs!$B$51)^(H$7-1)</f>
        <v>-28500</v>
      </c>
      <c r="I28" s="67" t="n">
        <f aca="false">-I14*Inputs!$B$25*(1+Inputs!$B$51)^(I$7-1)</f>
        <v>-28500</v>
      </c>
      <c r="J28" s="67" t="n">
        <f aca="false">-J14*Inputs!$B$25*(1+Inputs!$B$51)^(J$7-1)</f>
        <v>-28500</v>
      </c>
      <c r="K28" s="67" t="n">
        <f aca="false">-K14*Inputs!$B$25*(1+Inputs!$B$51)^(K$7-1)</f>
        <v>-28500</v>
      </c>
      <c r="L28" s="67" t="n">
        <f aca="false">-L14*Inputs!$B$25*(1+Inputs!$B$51)^(L$7-1)</f>
        <v>-28500</v>
      </c>
      <c r="M28" s="67" t="n">
        <f aca="false">-M14*Inputs!$B$25*(1+Inputs!$B$51)^(M$7-1)</f>
        <v>-28500</v>
      </c>
      <c r="N28" s="67" t="n">
        <f aca="false">-N14*Inputs!$B$25*(1+Inputs!$B$51)^(N$7-1)</f>
        <v>-28500</v>
      </c>
      <c r="O28" s="67" t="n">
        <f aca="false">-O14*Inputs!$B$25*(1+Inputs!$B$51)^(O$7-1)</f>
        <v>-32290.5</v>
      </c>
      <c r="P28" s="67" t="n">
        <f aca="false">-P14*Inputs!$B$25*(1+Inputs!$B$51)^(P$7-1)</f>
        <v>-32290.5</v>
      </c>
      <c r="Q28" s="67" t="n">
        <f aca="false">-Q14*Inputs!$B$25*(1+Inputs!$B$51)^(Q$7-1)</f>
        <v>-32290.5</v>
      </c>
      <c r="R28" s="67" t="n">
        <f aca="false">-R14*Inputs!$B$25*(1+Inputs!$B$51)^(R$7-1)</f>
        <v>-32290.5</v>
      </c>
      <c r="S28" s="67" t="n">
        <f aca="false">-S14*Inputs!$B$25*(1+Inputs!$B$51)^(S$7-1)</f>
        <v>-32290.5</v>
      </c>
      <c r="T28" s="67" t="n">
        <f aca="false">-T14*Inputs!$B$25*(1+Inputs!$B$51)^(T$7-1)</f>
        <v>-32290.5</v>
      </c>
      <c r="U28" s="67" t="n">
        <f aca="false">-U14*Inputs!$B$25*(1+Inputs!$B$51)^(U$7-1)</f>
        <v>-32290.5</v>
      </c>
      <c r="V28" s="67" t="n">
        <f aca="false">-V14*Inputs!$B$25*(1+Inputs!$B$51)^(V$7-1)</f>
        <v>-32290.5</v>
      </c>
      <c r="W28" s="67" t="n">
        <f aca="false">-W14*Inputs!$B$25*(1+Inputs!$B$51)^(W$7-1)</f>
        <v>-32290.5</v>
      </c>
      <c r="X28" s="67" t="n">
        <f aca="false">-X14*Inputs!$B$25*(1+Inputs!$B$51)^(X$7-1)</f>
        <v>-32290.5</v>
      </c>
      <c r="Y28" s="67" t="n">
        <f aca="false">-Y14*Inputs!$B$25*(1+Inputs!$B$51)^(Y$7-1)</f>
        <v>-32290.5</v>
      </c>
      <c r="Z28" s="67" t="n">
        <f aca="false">-Z14*Inputs!$B$25*(1+Inputs!$B$51)^(Z$7-1)</f>
        <v>-32290.5</v>
      </c>
      <c r="AA28" s="67" t="n">
        <f aca="false">-AA14*Inputs!$B$25*(1+Inputs!$B$51)^(AA$7-1)</f>
        <v>-36585.1365</v>
      </c>
      <c r="AB28" s="67" t="n">
        <f aca="false">-AB14*Inputs!$B$25*(1+Inputs!$B$51)^(AB$7-1)</f>
        <v>-36585.1365</v>
      </c>
      <c r="AC28" s="67" t="n">
        <f aca="false">-AC14*Inputs!$B$25*(1+Inputs!$B$51)^(AC$7-1)</f>
        <v>-36585.1365</v>
      </c>
      <c r="AD28" s="67" t="n">
        <f aca="false">-AD14*Inputs!$B$25*(1+Inputs!$B$51)^(AD$7-1)</f>
        <v>-36585.1365</v>
      </c>
      <c r="AE28" s="67" t="n">
        <f aca="false">-AE14*Inputs!$B$25*(1+Inputs!$B$51)^(AE$7-1)</f>
        <v>-36585.1365</v>
      </c>
      <c r="AF28" s="67" t="n">
        <f aca="false">-AF14*Inputs!$B$25*(1+Inputs!$B$51)^(AF$7-1)</f>
        <v>-36585.1365</v>
      </c>
      <c r="AG28" s="67" t="n">
        <f aca="false">-AG14*Inputs!$B$25*(1+Inputs!$B$51)^(AG$7-1)</f>
        <v>-36585.1365</v>
      </c>
      <c r="AH28" s="67" t="n">
        <f aca="false">-AH14*Inputs!$B$25*(1+Inputs!$B$51)^(AH$7-1)</f>
        <v>-36585.1365</v>
      </c>
      <c r="AI28" s="67" t="n">
        <f aca="false">-AI14*Inputs!$B$25*(1+Inputs!$B$51)^(AI$7-1)</f>
        <v>-36585.1365</v>
      </c>
      <c r="AJ28" s="67" t="n">
        <f aca="false">-AJ14*Inputs!$B$25*(1+Inputs!$B$51)^(AJ$7-1)</f>
        <v>-36585.1365</v>
      </c>
      <c r="AK28" s="67" t="n">
        <f aca="false">-AK14*Inputs!$B$25*(1+Inputs!$B$51)^(AK$7-1)</f>
        <v>-36585.1365</v>
      </c>
      <c r="AL28" s="67" t="n">
        <f aca="false">-AL14*Inputs!$B$25*(1+Inputs!$B$51)^(AL$7-1)</f>
        <v>-36585.1365</v>
      </c>
      <c r="AM28" s="67" t="n">
        <f aca="false">-AM14*Inputs!$B$25*(1+Inputs!$B$51)^(AM$7-1)</f>
        <v>-41450.9596545</v>
      </c>
      <c r="AN28" s="67" t="n">
        <f aca="false">-AN14*Inputs!$B$25*(1+Inputs!$B$51)^(AN$7-1)</f>
        <v>-41450.9596545</v>
      </c>
      <c r="AO28" s="67" t="n">
        <f aca="false">-AO14*Inputs!$B$25*(1+Inputs!$B$51)^(AO$7-1)</f>
        <v>-41450.9596545</v>
      </c>
      <c r="AP28" s="67" t="n">
        <f aca="false">-AP14*Inputs!$B$25*(1+Inputs!$B$51)^(AP$7-1)</f>
        <v>-41450.9596545</v>
      </c>
      <c r="AQ28" s="67" t="n">
        <f aca="false">-AQ14*Inputs!$B$25*(1+Inputs!$B$51)^(AQ$7-1)</f>
        <v>-41450.9596545</v>
      </c>
      <c r="AR28" s="67" t="n">
        <f aca="false">-AR14*Inputs!$B$25*(1+Inputs!$B$51)^(AR$7-1)</f>
        <v>-41450.9596545</v>
      </c>
      <c r="AS28" s="67" t="n">
        <f aca="false">-AS14*Inputs!$B$25*(1+Inputs!$B$51)^(AS$7-1)</f>
        <v>-41450.9596545</v>
      </c>
      <c r="AT28" s="67" t="n">
        <f aca="false">-AT14*Inputs!$B$25*(1+Inputs!$B$51)^(AT$7-1)</f>
        <v>-41450.9596545</v>
      </c>
      <c r="AU28" s="67" t="n">
        <f aca="false">-AU14*Inputs!$B$25*(1+Inputs!$B$51)^(AU$7-1)</f>
        <v>-41450.9596545</v>
      </c>
      <c r="AV28" s="67" t="n">
        <f aca="false">-AV14*Inputs!$B$25*(1+Inputs!$B$51)^(AV$7-1)</f>
        <v>-41450.9596545</v>
      </c>
      <c r="AW28" s="67" t="n">
        <f aca="false">-AW14*Inputs!$B$25*(1+Inputs!$B$51)^(AW$7-1)</f>
        <v>-41450.9596545</v>
      </c>
      <c r="AX28" s="67" t="n">
        <f aca="false">-AX14*Inputs!$B$25*(1+Inputs!$B$51)^(AX$7-1)</f>
        <v>-41450.9596545</v>
      </c>
      <c r="AY28" s="67" t="n">
        <f aca="false">-AY14*Inputs!$B$25*(1+Inputs!$B$51)^(AY$7-1)</f>
        <v>-46963.9372885485</v>
      </c>
      <c r="AZ28" s="67" t="n">
        <f aca="false">-AZ14*Inputs!$B$25*(1+Inputs!$B$51)^(AZ$7-1)</f>
        <v>-46963.9372885485</v>
      </c>
      <c r="BA28" s="67" t="n">
        <f aca="false">-BA14*Inputs!$B$25*(1+Inputs!$B$51)^(BA$7-1)</f>
        <v>-46963.9372885485</v>
      </c>
      <c r="BB28" s="67" t="n">
        <f aca="false">-BB14*Inputs!$B$25*(1+Inputs!$B$51)^(BB$7-1)</f>
        <v>-46963.9372885485</v>
      </c>
      <c r="BC28" s="67" t="n">
        <f aca="false">-BC14*Inputs!$B$25*(1+Inputs!$B$51)^(BC$7-1)</f>
        <v>-46963.9372885485</v>
      </c>
      <c r="BD28" s="67" t="n">
        <f aca="false">-BD14*Inputs!$B$25*(1+Inputs!$B$51)^(BD$7-1)</f>
        <v>-46963.9372885485</v>
      </c>
      <c r="BE28" s="67" t="n">
        <f aca="false">-BE14*Inputs!$B$25*(1+Inputs!$B$51)^(BE$7-1)</f>
        <v>-46963.9372885485</v>
      </c>
      <c r="BF28" s="67" t="n">
        <f aca="false">-BF14*Inputs!$B$25*(1+Inputs!$B$51)^(BF$7-1)</f>
        <v>-46963.9372885485</v>
      </c>
      <c r="BG28" s="67" t="n">
        <f aca="false">-BG14*Inputs!$B$25*(1+Inputs!$B$51)^(BG$7-1)</f>
        <v>-46963.9372885485</v>
      </c>
      <c r="BH28" s="67" t="n">
        <f aca="false">-BH14*Inputs!$B$25*(1+Inputs!$B$51)^(BH$7-1)</f>
        <v>-46963.9372885485</v>
      </c>
      <c r="BI28" s="67" t="n">
        <f aca="false">-BI14*Inputs!$B$25*(1+Inputs!$B$51)^(BI$7-1)</f>
        <v>-46963.9372885485</v>
      </c>
      <c r="BJ28" s="67" t="n">
        <f aca="false">-BJ14*Inputs!$B$25*(1+Inputs!$B$51)^(BJ$7-1)</f>
        <v>-46963.9372885485</v>
      </c>
    </row>
    <row r="29" customFormat="false" ht="15" hidden="false" customHeight="false" outlineLevel="0" collapsed="false">
      <c r="A29" s="6" t="s">
        <v>411</v>
      </c>
      <c r="C29" s="67" t="n">
        <f aca="false">-C24*Inputs!$B$26</f>
        <v>-11109.12</v>
      </c>
      <c r="D29" s="67" t="n">
        <f aca="false">-D24*Inputs!$B$26</f>
        <v>-11109.12</v>
      </c>
      <c r="E29" s="67" t="n">
        <f aca="false">-E24*Inputs!$B$26</f>
        <v>-11109.12</v>
      </c>
      <c r="F29" s="67" t="n">
        <f aca="false">-F24*Inputs!$B$26</f>
        <v>-11109.12</v>
      </c>
      <c r="G29" s="67" t="n">
        <f aca="false">-G24*Inputs!$B$26</f>
        <v>-11109.12</v>
      </c>
      <c r="H29" s="67" t="n">
        <f aca="false">-H24*Inputs!$B$26</f>
        <v>-11109.12</v>
      </c>
      <c r="I29" s="67" t="n">
        <f aca="false">-I24*Inputs!$B$26</f>
        <v>-11109.12</v>
      </c>
      <c r="J29" s="67" t="n">
        <f aca="false">-J24*Inputs!$B$26</f>
        <v>-11109.12</v>
      </c>
      <c r="K29" s="67" t="n">
        <f aca="false">-K24*Inputs!$B$26</f>
        <v>-11109.12</v>
      </c>
      <c r="L29" s="67" t="n">
        <f aca="false">-L24*Inputs!$B$26</f>
        <v>-11109.12</v>
      </c>
      <c r="M29" s="67" t="n">
        <f aca="false">-M24*Inputs!$B$26</f>
        <v>-11109.12</v>
      </c>
      <c r="N29" s="67" t="n">
        <f aca="false">-N24*Inputs!$B$26</f>
        <v>-11109.12</v>
      </c>
      <c r="O29" s="67" t="n">
        <f aca="false">-O24*Inputs!$B$26</f>
        <v>-14105.96352</v>
      </c>
      <c r="P29" s="67" t="n">
        <f aca="false">-P24*Inputs!$B$26</f>
        <v>-14105.96352</v>
      </c>
      <c r="Q29" s="67" t="n">
        <f aca="false">-Q24*Inputs!$B$26</f>
        <v>-14105.96352</v>
      </c>
      <c r="R29" s="67" t="n">
        <f aca="false">-R24*Inputs!$B$26</f>
        <v>-14105.96352</v>
      </c>
      <c r="S29" s="67" t="n">
        <f aca="false">-S24*Inputs!$B$26</f>
        <v>-14105.96352</v>
      </c>
      <c r="T29" s="67" t="n">
        <f aca="false">-T24*Inputs!$B$26</f>
        <v>-14105.96352</v>
      </c>
      <c r="U29" s="67" t="n">
        <f aca="false">-U24*Inputs!$B$26</f>
        <v>-14105.96352</v>
      </c>
      <c r="V29" s="67" t="n">
        <f aca="false">-V24*Inputs!$B$26</f>
        <v>-14105.96352</v>
      </c>
      <c r="W29" s="67" t="n">
        <f aca="false">-W24*Inputs!$B$26</f>
        <v>-14105.96352</v>
      </c>
      <c r="X29" s="67" t="n">
        <f aca="false">-X24*Inputs!$B$26</f>
        <v>-14105.96352</v>
      </c>
      <c r="Y29" s="67" t="n">
        <f aca="false">-Y24*Inputs!$B$26</f>
        <v>-14105.96352</v>
      </c>
      <c r="Z29" s="67" t="n">
        <f aca="false">-Z24*Inputs!$B$26</f>
        <v>-14105.96352</v>
      </c>
      <c r="AA29" s="67" t="n">
        <f aca="false">-AA24*Inputs!$B$26</f>
        <v>-17970.60114432</v>
      </c>
      <c r="AB29" s="67" t="n">
        <f aca="false">-AB24*Inputs!$B$26</f>
        <v>-17970.60114432</v>
      </c>
      <c r="AC29" s="67" t="n">
        <f aca="false">-AC24*Inputs!$B$26</f>
        <v>-17970.60114432</v>
      </c>
      <c r="AD29" s="67" t="n">
        <f aca="false">-AD24*Inputs!$B$26</f>
        <v>-17970.60114432</v>
      </c>
      <c r="AE29" s="67" t="n">
        <f aca="false">-AE24*Inputs!$B$26</f>
        <v>-17970.60114432</v>
      </c>
      <c r="AF29" s="67" t="n">
        <f aca="false">-AF24*Inputs!$B$26</f>
        <v>-17970.60114432</v>
      </c>
      <c r="AG29" s="67" t="n">
        <f aca="false">-AG24*Inputs!$B$26</f>
        <v>-17970.60114432</v>
      </c>
      <c r="AH29" s="67" t="n">
        <f aca="false">-AH24*Inputs!$B$26</f>
        <v>-17970.60114432</v>
      </c>
      <c r="AI29" s="67" t="n">
        <f aca="false">-AI24*Inputs!$B$26</f>
        <v>-17970.60114432</v>
      </c>
      <c r="AJ29" s="67" t="n">
        <f aca="false">-AJ24*Inputs!$B$26</f>
        <v>-17970.60114432</v>
      </c>
      <c r="AK29" s="67" t="n">
        <f aca="false">-AK24*Inputs!$B$26</f>
        <v>-17970.60114432</v>
      </c>
      <c r="AL29" s="67" t="n">
        <f aca="false">-AL24*Inputs!$B$26</f>
        <v>-17970.60114432</v>
      </c>
      <c r="AM29" s="67" t="n">
        <f aca="false">-AM24*Inputs!$B$26</f>
        <v>-22965.2311598899</v>
      </c>
      <c r="AN29" s="67" t="n">
        <f aca="false">-AN24*Inputs!$B$26</f>
        <v>-22965.2311598899</v>
      </c>
      <c r="AO29" s="67" t="n">
        <f aca="false">-AO24*Inputs!$B$26</f>
        <v>-22965.2311598899</v>
      </c>
      <c r="AP29" s="67" t="n">
        <f aca="false">-AP24*Inputs!$B$26</f>
        <v>-22965.2311598899</v>
      </c>
      <c r="AQ29" s="67" t="n">
        <f aca="false">-AQ24*Inputs!$B$26</f>
        <v>-22965.2311598899</v>
      </c>
      <c r="AR29" s="67" t="n">
        <f aca="false">-AR24*Inputs!$B$26</f>
        <v>-22965.2311598899</v>
      </c>
      <c r="AS29" s="67" t="n">
        <f aca="false">-AS24*Inputs!$B$26</f>
        <v>-22965.2311598899</v>
      </c>
      <c r="AT29" s="67" t="n">
        <f aca="false">-AT24*Inputs!$B$26</f>
        <v>-22965.2311598899</v>
      </c>
      <c r="AU29" s="67" t="n">
        <f aca="false">-AU24*Inputs!$B$26</f>
        <v>-22965.2311598899</v>
      </c>
      <c r="AV29" s="67" t="n">
        <f aca="false">-AV24*Inputs!$B$26</f>
        <v>-22965.2311598899</v>
      </c>
      <c r="AW29" s="67" t="n">
        <f aca="false">-AW24*Inputs!$B$26</f>
        <v>-22965.2311598899</v>
      </c>
      <c r="AX29" s="67" t="n">
        <f aca="false">-AX24*Inputs!$B$26</f>
        <v>-22965.2311598899</v>
      </c>
      <c r="AY29" s="67" t="n">
        <f aca="false">-AY24*Inputs!$B$26</f>
        <v>-29433.3489845298</v>
      </c>
      <c r="AZ29" s="67" t="n">
        <f aca="false">-AZ24*Inputs!$B$26</f>
        <v>-29433.3489845298</v>
      </c>
      <c r="BA29" s="67" t="n">
        <f aca="false">-BA24*Inputs!$B$26</f>
        <v>-29433.3489845298</v>
      </c>
      <c r="BB29" s="67" t="n">
        <f aca="false">-BB24*Inputs!$B$26</f>
        <v>-29433.3489845298</v>
      </c>
      <c r="BC29" s="67" t="n">
        <f aca="false">-BC24*Inputs!$B$26</f>
        <v>-29433.3489845298</v>
      </c>
      <c r="BD29" s="67" t="n">
        <f aca="false">-BD24*Inputs!$B$26</f>
        <v>-29433.3489845298</v>
      </c>
      <c r="BE29" s="67" t="n">
        <f aca="false">-BE24*Inputs!$B$26</f>
        <v>-29433.3489845298</v>
      </c>
      <c r="BF29" s="67" t="n">
        <f aca="false">-BF24*Inputs!$B$26</f>
        <v>-29433.3489845298</v>
      </c>
      <c r="BG29" s="67" t="n">
        <f aca="false">-BG24*Inputs!$B$26</f>
        <v>-29433.3489845298</v>
      </c>
      <c r="BH29" s="67" t="n">
        <f aca="false">-BH24*Inputs!$B$26</f>
        <v>-29433.3489845298</v>
      </c>
      <c r="BI29" s="67" t="n">
        <f aca="false">-BI24*Inputs!$B$26</f>
        <v>-29433.3489845298</v>
      </c>
      <c r="BJ29" s="67" t="n">
        <f aca="false">-BJ24*Inputs!$B$26</f>
        <v>-29433.3489845298</v>
      </c>
    </row>
    <row r="30" customFormat="false" ht="15" hidden="false" customHeight="false" outlineLevel="0" collapsed="false">
      <c r="A30" s="4" t="s">
        <v>76</v>
      </c>
      <c r="C30" s="73" t="n">
        <f aca="false">C27+C28+C29</f>
        <v>-217609.12</v>
      </c>
      <c r="D30" s="73" t="n">
        <f aca="false">D27+D28+D29</f>
        <v>-217609.12</v>
      </c>
      <c r="E30" s="73" t="n">
        <f aca="false">E27+E28+E29</f>
        <v>-217609.12</v>
      </c>
      <c r="F30" s="73" t="n">
        <f aca="false">F27+F28+F29</f>
        <v>-217609.12</v>
      </c>
      <c r="G30" s="73" t="n">
        <f aca="false">G27+G28+G29</f>
        <v>-217609.12</v>
      </c>
      <c r="H30" s="73" t="n">
        <f aca="false">H27+H28+H29</f>
        <v>-217609.12</v>
      </c>
      <c r="I30" s="73" t="n">
        <f aca="false">I27+I28+I29</f>
        <v>-217609.12</v>
      </c>
      <c r="J30" s="73" t="n">
        <f aca="false">J27+J28+J29</f>
        <v>-217609.12</v>
      </c>
      <c r="K30" s="73" t="n">
        <f aca="false">K27+K28+K29</f>
        <v>-217609.12</v>
      </c>
      <c r="L30" s="73" t="n">
        <f aca="false">L27+L28+L29</f>
        <v>-217609.12</v>
      </c>
      <c r="M30" s="73" t="n">
        <f aca="false">M27+M28+M29</f>
        <v>-217609.12</v>
      </c>
      <c r="N30" s="73" t="n">
        <f aca="false">N27+N28+N29</f>
        <v>-217609.12</v>
      </c>
      <c r="O30" s="73" t="n">
        <f aca="false">O27+O28+O29</f>
        <v>-278146.46352</v>
      </c>
      <c r="P30" s="73" t="n">
        <f aca="false">P27+P28+P29</f>
        <v>-278146.46352</v>
      </c>
      <c r="Q30" s="73" t="n">
        <f aca="false">Q27+Q28+Q29</f>
        <v>-278146.46352</v>
      </c>
      <c r="R30" s="73" t="n">
        <f aca="false">R27+R28+R29</f>
        <v>-278146.46352</v>
      </c>
      <c r="S30" s="73" t="n">
        <f aca="false">S27+S28+S29</f>
        <v>-278146.46352</v>
      </c>
      <c r="T30" s="73" t="n">
        <f aca="false">T27+T28+T29</f>
        <v>-278146.46352</v>
      </c>
      <c r="U30" s="73" t="n">
        <f aca="false">U27+U28+U29</f>
        <v>-278146.46352</v>
      </c>
      <c r="V30" s="73" t="n">
        <f aca="false">V27+V28+V29</f>
        <v>-278146.46352</v>
      </c>
      <c r="W30" s="73" t="n">
        <f aca="false">W27+W28+W29</f>
        <v>-278146.46352</v>
      </c>
      <c r="X30" s="73" t="n">
        <f aca="false">X27+X28+X29</f>
        <v>-278146.46352</v>
      </c>
      <c r="Y30" s="73" t="n">
        <f aca="false">Y27+Y28+Y29</f>
        <v>-278146.46352</v>
      </c>
      <c r="Z30" s="73" t="n">
        <f aca="false">Z27+Z28+Z29</f>
        <v>-278146.46352</v>
      </c>
      <c r="AA30" s="73" t="n">
        <f aca="false">AA27+AA28+AA29</f>
        <v>-356721.27564432</v>
      </c>
      <c r="AB30" s="73" t="n">
        <f aca="false">AB27+AB28+AB29</f>
        <v>-356721.27564432</v>
      </c>
      <c r="AC30" s="73" t="n">
        <f aca="false">AC27+AC28+AC29</f>
        <v>-356721.27564432</v>
      </c>
      <c r="AD30" s="73" t="n">
        <f aca="false">AD27+AD28+AD29</f>
        <v>-356721.27564432</v>
      </c>
      <c r="AE30" s="73" t="n">
        <f aca="false">AE27+AE28+AE29</f>
        <v>-356721.27564432</v>
      </c>
      <c r="AF30" s="73" t="n">
        <f aca="false">AF27+AF28+AF29</f>
        <v>-356721.27564432</v>
      </c>
      <c r="AG30" s="73" t="n">
        <f aca="false">AG27+AG28+AG29</f>
        <v>-356721.27564432</v>
      </c>
      <c r="AH30" s="73" t="n">
        <f aca="false">AH27+AH28+AH29</f>
        <v>-356721.27564432</v>
      </c>
      <c r="AI30" s="73" t="n">
        <f aca="false">AI27+AI28+AI29</f>
        <v>-356721.27564432</v>
      </c>
      <c r="AJ30" s="73" t="n">
        <f aca="false">AJ27+AJ28+AJ29</f>
        <v>-356721.27564432</v>
      </c>
      <c r="AK30" s="73" t="n">
        <f aca="false">AK27+AK28+AK29</f>
        <v>-356721.27564432</v>
      </c>
      <c r="AL30" s="73" t="n">
        <f aca="false">AL27+AL28+AL29</f>
        <v>-356721.27564432</v>
      </c>
      <c r="AM30" s="73" t="n">
        <f aca="false">AM27+AM28+AM29</f>
        <v>-458945.27416439</v>
      </c>
      <c r="AN30" s="73" t="n">
        <f aca="false">AN27+AN28+AN29</f>
        <v>-458945.27416439</v>
      </c>
      <c r="AO30" s="73" t="n">
        <f aca="false">AO27+AO28+AO29</f>
        <v>-458945.27416439</v>
      </c>
      <c r="AP30" s="73" t="n">
        <f aca="false">AP27+AP28+AP29</f>
        <v>-458945.27416439</v>
      </c>
      <c r="AQ30" s="73" t="n">
        <f aca="false">AQ27+AQ28+AQ29</f>
        <v>-458945.27416439</v>
      </c>
      <c r="AR30" s="73" t="n">
        <f aca="false">AR27+AR28+AR29</f>
        <v>-458945.27416439</v>
      </c>
      <c r="AS30" s="73" t="n">
        <f aca="false">AS27+AS28+AS29</f>
        <v>-458945.27416439</v>
      </c>
      <c r="AT30" s="73" t="n">
        <f aca="false">AT27+AT28+AT29</f>
        <v>-458945.27416439</v>
      </c>
      <c r="AU30" s="73" t="n">
        <f aca="false">AU27+AU28+AU29</f>
        <v>-458945.27416439</v>
      </c>
      <c r="AV30" s="73" t="n">
        <f aca="false">AV27+AV28+AV29</f>
        <v>-458945.27416439</v>
      </c>
      <c r="AW30" s="73" t="n">
        <f aca="false">AW27+AW28+AW29</f>
        <v>-458945.27416439</v>
      </c>
      <c r="AX30" s="73" t="n">
        <f aca="false">AX27+AX28+AX29</f>
        <v>-458945.27416439</v>
      </c>
      <c r="AY30" s="73" t="n">
        <f aca="false">AY27+AY28+AY29</f>
        <v>-592224.501847177</v>
      </c>
      <c r="AZ30" s="73" t="n">
        <f aca="false">AZ27+AZ28+AZ29</f>
        <v>-592224.501847177</v>
      </c>
      <c r="BA30" s="73" t="n">
        <f aca="false">BA27+BA28+BA29</f>
        <v>-592224.501847177</v>
      </c>
      <c r="BB30" s="73" t="n">
        <f aca="false">BB27+BB28+BB29</f>
        <v>-592224.501847177</v>
      </c>
      <c r="BC30" s="73" t="n">
        <f aca="false">BC27+BC28+BC29</f>
        <v>-592224.501847177</v>
      </c>
      <c r="BD30" s="73" t="n">
        <f aca="false">BD27+BD28+BD29</f>
        <v>-592224.501847177</v>
      </c>
      <c r="BE30" s="73" t="n">
        <f aca="false">BE27+BE28+BE29</f>
        <v>-592224.501847177</v>
      </c>
      <c r="BF30" s="73" t="n">
        <f aca="false">BF27+BF28+BF29</f>
        <v>-592224.501847177</v>
      </c>
      <c r="BG30" s="73" t="n">
        <f aca="false">BG27+BG28+BG29</f>
        <v>-592224.501847177</v>
      </c>
      <c r="BH30" s="73" t="n">
        <f aca="false">BH27+BH28+BH29</f>
        <v>-592224.501847177</v>
      </c>
      <c r="BI30" s="73" t="n">
        <f aca="false">BI27+BI28+BI29</f>
        <v>-592224.501847177</v>
      </c>
      <c r="BJ30" s="73" t="n">
        <f aca="false">BJ27+BJ28+BJ29</f>
        <v>-592224.501847177</v>
      </c>
    </row>
    <row r="31" customFormat="false" ht="15" hidden="false" customHeight="false" outlineLevel="0" collapsed="false">
      <c r="A31" s="113" t="s">
        <v>45</v>
      </c>
      <c r="C31" s="68" t="n">
        <f aca="false">C24+C30</f>
        <v>60118.88</v>
      </c>
      <c r="D31" s="68" t="n">
        <f aca="false">D24+D30</f>
        <v>60118.88</v>
      </c>
      <c r="E31" s="68" t="n">
        <f aca="false">E24+E30</f>
        <v>60118.88</v>
      </c>
      <c r="F31" s="68" t="n">
        <f aca="false">F24+F30</f>
        <v>60118.88</v>
      </c>
      <c r="G31" s="68" t="n">
        <f aca="false">G24+G30</f>
        <v>60118.88</v>
      </c>
      <c r="H31" s="68" t="n">
        <f aca="false">H24+H30</f>
        <v>60118.88</v>
      </c>
      <c r="I31" s="68" t="n">
        <f aca="false">I24+I30</f>
        <v>60118.88</v>
      </c>
      <c r="J31" s="68" t="n">
        <f aca="false">J24+J30</f>
        <v>60118.88</v>
      </c>
      <c r="K31" s="68" t="n">
        <f aca="false">K24+K30</f>
        <v>60118.88</v>
      </c>
      <c r="L31" s="68" t="n">
        <f aca="false">L24+L30</f>
        <v>60118.88</v>
      </c>
      <c r="M31" s="68" t="n">
        <f aca="false">M24+M30</f>
        <v>60118.88</v>
      </c>
      <c r="N31" s="68" t="n">
        <f aca="false">N24+N30</f>
        <v>60118.88</v>
      </c>
      <c r="O31" s="68" t="n">
        <f aca="false">O24+O30</f>
        <v>74502.6244800001</v>
      </c>
      <c r="P31" s="68" t="n">
        <f aca="false">P24+P30</f>
        <v>74502.6244800001</v>
      </c>
      <c r="Q31" s="68" t="n">
        <f aca="false">Q24+Q30</f>
        <v>74502.6244800001</v>
      </c>
      <c r="R31" s="68" t="n">
        <f aca="false">R24+R30</f>
        <v>74502.6244800001</v>
      </c>
      <c r="S31" s="68" t="n">
        <f aca="false">S24+S30</f>
        <v>74502.6244800001</v>
      </c>
      <c r="T31" s="68" t="n">
        <f aca="false">T24+T30</f>
        <v>74502.6244800001</v>
      </c>
      <c r="U31" s="68" t="n">
        <f aca="false">U24+U30</f>
        <v>74502.6244800001</v>
      </c>
      <c r="V31" s="68" t="n">
        <f aca="false">V24+V30</f>
        <v>74502.6244800001</v>
      </c>
      <c r="W31" s="68" t="n">
        <f aca="false">W24+W30</f>
        <v>74502.6244800001</v>
      </c>
      <c r="X31" s="68" t="n">
        <f aca="false">X24+X30</f>
        <v>74502.6244800001</v>
      </c>
      <c r="Y31" s="68" t="n">
        <f aca="false">Y24+Y30</f>
        <v>74502.6244800001</v>
      </c>
      <c r="Z31" s="68" t="n">
        <f aca="false">Z24+Z30</f>
        <v>74502.6244800001</v>
      </c>
      <c r="AA31" s="68" t="n">
        <f aca="false">AA24+AA30</f>
        <v>92543.7529636801</v>
      </c>
      <c r="AB31" s="68" t="n">
        <f aca="false">AB24+AB30</f>
        <v>92543.7529636801</v>
      </c>
      <c r="AC31" s="68" t="n">
        <f aca="false">AC24+AC30</f>
        <v>92543.7529636801</v>
      </c>
      <c r="AD31" s="68" t="n">
        <f aca="false">AD24+AD30</f>
        <v>92543.7529636801</v>
      </c>
      <c r="AE31" s="68" t="n">
        <f aca="false">AE24+AE30</f>
        <v>92543.7529636801</v>
      </c>
      <c r="AF31" s="68" t="n">
        <f aca="false">AF24+AF30</f>
        <v>92543.7529636801</v>
      </c>
      <c r="AG31" s="68" t="n">
        <f aca="false">AG24+AG30</f>
        <v>92543.7529636801</v>
      </c>
      <c r="AH31" s="68" t="n">
        <f aca="false">AH24+AH30</f>
        <v>92543.7529636801</v>
      </c>
      <c r="AI31" s="68" t="n">
        <f aca="false">AI24+AI30</f>
        <v>92543.7529636801</v>
      </c>
      <c r="AJ31" s="68" t="n">
        <f aca="false">AJ24+AJ30</f>
        <v>92543.7529636801</v>
      </c>
      <c r="AK31" s="68" t="n">
        <f aca="false">AK24+AK30</f>
        <v>92543.7529636801</v>
      </c>
      <c r="AL31" s="68" t="n">
        <f aca="false">AL24+AL30</f>
        <v>92543.7529636801</v>
      </c>
      <c r="AM31" s="68" t="n">
        <f aca="false">AM24+AM30</f>
        <v>115185.504832858</v>
      </c>
      <c r="AN31" s="68" t="n">
        <f aca="false">AN24+AN30</f>
        <v>115185.504832858</v>
      </c>
      <c r="AO31" s="68" t="n">
        <f aca="false">AO24+AO30</f>
        <v>115185.504832858</v>
      </c>
      <c r="AP31" s="68" t="n">
        <f aca="false">AP24+AP30</f>
        <v>115185.504832858</v>
      </c>
      <c r="AQ31" s="68" t="n">
        <f aca="false">AQ24+AQ30</f>
        <v>115185.504832858</v>
      </c>
      <c r="AR31" s="68" t="n">
        <f aca="false">AR24+AR30</f>
        <v>115185.504832858</v>
      </c>
      <c r="AS31" s="68" t="n">
        <f aca="false">AS24+AS30</f>
        <v>115185.504832858</v>
      </c>
      <c r="AT31" s="68" t="n">
        <f aca="false">AT24+AT30</f>
        <v>115185.504832858</v>
      </c>
      <c r="AU31" s="68" t="n">
        <f aca="false">AU24+AU30</f>
        <v>115185.504832858</v>
      </c>
      <c r="AV31" s="68" t="n">
        <f aca="false">AV24+AV30</f>
        <v>115185.504832858</v>
      </c>
      <c r="AW31" s="68" t="n">
        <f aca="false">AW24+AW30</f>
        <v>115185.504832858</v>
      </c>
      <c r="AX31" s="68" t="n">
        <f aca="false">AX24+AX30</f>
        <v>115185.504832858</v>
      </c>
      <c r="AY31" s="68" t="n">
        <f aca="false">AY24+AY30</f>
        <v>143609.222766068</v>
      </c>
      <c r="AZ31" s="68" t="n">
        <f aca="false">AZ24+AZ30</f>
        <v>143609.222766068</v>
      </c>
      <c r="BA31" s="68" t="n">
        <f aca="false">BA24+BA30</f>
        <v>143609.222766068</v>
      </c>
      <c r="BB31" s="68" t="n">
        <f aca="false">BB24+BB30</f>
        <v>143609.222766068</v>
      </c>
      <c r="BC31" s="68" t="n">
        <f aca="false">BC24+BC30</f>
        <v>143609.222766068</v>
      </c>
      <c r="BD31" s="68" t="n">
        <f aca="false">BD24+BD30</f>
        <v>143609.222766068</v>
      </c>
      <c r="BE31" s="68" t="n">
        <f aca="false">BE24+BE30</f>
        <v>143609.222766068</v>
      </c>
      <c r="BF31" s="68" t="n">
        <f aca="false">BF24+BF30</f>
        <v>143609.222766068</v>
      </c>
      <c r="BG31" s="68" t="n">
        <f aca="false">BG24+BG30</f>
        <v>143609.222766068</v>
      </c>
      <c r="BH31" s="68" t="n">
        <f aca="false">BH24+BH30</f>
        <v>143609.222766068</v>
      </c>
      <c r="BI31" s="68" t="n">
        <f aca="false">BI24+BI30</f>
        <v>143609.222766068</v>
      </c>
      <c r="BJ31" s="68" t="n">
        <f aca="false">BJ24+BJ30</f>
        <v>143609.222766068</v>
      </c>
    </row>
    <row r="33" customFormat="false" ht="15.75" hidden="false" customHeight="true" outlineLevel="0" collapsed="false">
      <c r="A33" s="7" t="s">
        <v>47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327</v>
      </c>
      <c r="C34" s="67" t="n">
        <f aca="false">C111-C107-C108</f>
        <v>-36500</v>
      </c>
      <c r="D34" s="67" t="n">
        <f aca="false">D111-D107-D108</f>
        <v>-36500</v>
      </c>
      <c r="E34" s="67" t="n">
        <f aca="false">E111-E107-E108</f>
        <v>-36500</v>
      </c>
      <c r="F34" s="67" t="n">
        <f aca="false">F111-F107-F108</f>
        <v>-36500</v>
      </c>
      <c r="G34" s="67" t="n">
        <f aca="false">G111-G107-G108</f>
        <v>-36500</v>
      </c>
      <c r="H34" s="67" t="n">
        <f aca="false">H111-H107-H108</f>
        <v>-36500</v>
      </c>
      <c r="I34" s="67" t="n">
        <f aca="false">I111-I107-I108</f>
        <v>-36500</v>
      </c>
      <c r="J34" s="67" t="n">
        <f aca="false">J111-J107-J108</f>
        <v>-36500</v>
      </c>
      <c r="K34" s="67" t="n">
        <f aca="false">K111-K107-K108</f>
        <v>-36500</v>
      </c>
      <c r="L34" s="67" t="n">
        <f aca="false">L111-L107-L108</f>
        <v>-36500</v>
      </c>
      <c r="M34" s="67" t="n">
        <f aca="false">M111-M107-M108</f>
        <v>-36500</v>
      </c>
      <c r="N34" s="67" t="n">
        <f aca="false">N111-N107-N108</f>
        <v>-36500</v>
      </c>
      <c r="O34" s="67" t="n">
        <f aca="false">O111-O107-O108</f>
        <v>-44109.75</v>
      </c>
      <c r="P34" s="67" t="n">
        <f aca="false">P111-P107-P108</f>
        <v>-44109.75</v>
      </c>
      <c r="Q34" s="67" t="n">
        <f aca="false">Q111-Q107-Q108</f>
        <v>-44109.75</v>
      </c>
      <c r="R34" s="67" t="n">
        <f aca="false">R111-R107-R108</f>
        <v>-44109.75</v>
      </c>
      <c r="S34" s="67" t="n">
        <f aca="false">S111-S107-S108</f>
        <v>-44109.75</v>
      </c>
      <c r="T34" s="67" t="n">
        <f aca="false">T111-T107-T108</f>
        <v>-44109.75</v>
      </c>
      <c r="U34" s="67" t="n">
        <f aca="false">U111-U107-U108</f>
        <v>-44109.75</v>
      </c>
      <c r="V34" s="67" t="n">
        <f aca="false">V111-V107-V108</f>
        <v>-44109.75</v>
      </c>
      <c r="W34" s="67" t="n">
        <f aca="false">W111-W107-W108</f>
        <v>-44109.75</v>
      </c>
      <c r="X34" s="67" t="n">
        <f aca="false">X111-X107-X108</f>
        <v>-44109.75</v>
      </c>
      <c r="Y34" s="67" t="n">
        <f aca="false">Y111-Y107-Y108</f>
        <v>-44109.75</v>
      </c>
      <c r="Z34" s="67" t="n">
        <f aca="false">Z111-Z107-Z108</f>
        <v>-44109.75</v>
      </c>
      <c r="AA34" s="67" t="n">
        <f aca="false">AA111-AA107-AA108</f>
        <v>-53330.116875</v>
      </c>
      <c r="AB34" s="67" t="n">
        <f aca="false">AB111-AB107-AB108</f>
        <v>-53330.116875</v>
      </c>
      <c r="AC34" s="67" t="n">
        <f aca="false">AC111-AC107-AC108</f>
        <v>-53330.116875</v>
      </c>
      <c r="AD34" s="67" t="n">
        <f aca="false">AD111-AD107-AD108</f>
        <v>-53330.116875</v>
      </c>
      <c r="AE34" s="67" t="n">
        <f aca="false">AE111-AE107-AE108</f>
        <v>-53330.116875</v>
      </c>
      <c r="AF34" s="67" t="n">
        <f aca="false">AF111-AF107-AF108</f>
        <v>-53330.116875</v>
      </c>
      <c r="AG34" s="67" t="n">
        <f aca="false">AG111-AG107-AG108</f>
        <v>-53330.116875</v>
      </c>
      <c r="AH34" s="67" t="n">
        <f aca="false">AH111-AH107-AH108</f>
        <v>-53330.116875</v>
      </c>
      <c r="AI34" s="67" t="n">
        <f aca="false">AI111-AI107-AI108</f>
        <v>-53330.116875</v>
      </c>
      <c r="AJ34" s="67" t="n">
        <f aca="false">AJ111-AJ107-AJ108</f>
        <v>-53330.116875</v>
      </c>
      <c r="AK34" s="67" t="n">
        <f aca="false">AK111-AK107-AK108</f>
        <v>-53330.116875</v>
      </c>
      <c r="AL34" s="67" t="n">
        <f aca="false">AL111-AL107-AL108</f>
        <v>-53330.116875</v>
      </c>
      <c r="AM34" s="67" t="n">
        <f aca="false">AM111-AM107-AM108</f>
        <v>-64507.0212864374</v>
      </c>
      <c r="AN34" s="67" t="n">
        <f aca="false">AN111-AN107-AN108</f>
        <v>-64507.0212864374</v>
      </c>
      <c r="AO34" s="67" t="n">
        <f aca="false">AO111-AO107-AO108</f>
        <v>-64507.0212864374</v>
      </c>
      <c r="AP34" s="67" t="n">
        <f aca="false">AP111-AP107-AP108</f>
        <v>-64507.0212864374</v>
      </c>
      <c r="AQ34" s="67" t="n">
        <f aca="false">AQ111-AQ107-AQ108</f>
        <v>-64507.0212864374</v>
      </c>
      <c r="AR34" s="67" t="n">
        <f aca="false">AR111-AR107-AR108</f>
        <v>-64507.0212864374</v>
      </c>
      <c r="AS34" s="67" t="n">
        <f aca="false">AS111-AS107-AS108</f>
        <v>-64507.0212864374</v>
      </c>
      <c r="AT34" s="67" t="n">
        <f aca="false">AT111-AT107-AT108</f>
        <v>-64507.0212864374</v>
      </c>
      <c r="AU34" s="67" t="n">
        <f aca="false">AU111-AU107-AU108</f>
        <v>-64507.0212864374</v>
      </c>
      <c r="AV34" s="67" t="n">
        <f aca="false">AV111-AV107-AV108</f>
        <v>-64507.0212864374</v>
      </c>
      <c r="AW34" s="67" t="n">
        <f aca="false">AW111-AW107-AW108</f>
        <v>-64507.0212864374</v>
      </c>
      <c r="AX34" s="67" t="n">
        <f aca="false">AX111-AX107-AX108</f>
        <v>-64507.0212864374</v>
      </c>
      <c r="AY34" s="67" t="n">
        <f aca="false">AY111-AY107-AY108</f>
        <v>-78061.7140539133</v>
      </c>
      <c r="AZ34" s="67" t="n">
        <f aca="false">AZ111-AZ107-AZ108</f>
        <v>-78061.7140539133</v>
      </c>
      <c r="BA34" s="67" t="n">
        <f aca="false">BA111-BA107-BA108</f>
        <v>-78061.7140539133</v>
      </c>
      <c r="BB34" s="67" t="n">
        <f aca="false">BB111-BB107-BB108</f>
        <v>-78061.7140539133</v>
      </c>
      <c r="BC34" s="67" t="n">
        <f aca="false">BC111-BC107-BC108</f>
        <v>-78061.7140539133</v>
      </c>
      <c r="BD34" s="67" t="n">
        <f aca="false">BD111-BD107-BD108</f>
        <v>-78061.7140539133</v>
      </c>
      <c r="BE34" s="67" t="n">
        <f aca="false">BE111-BE107-BE108</f>
        <v>-78061.7140539133</v>
      </c>
      <c r="BF34" s="67" t="n">
        <f aca="false">BF111-BF107-BF108</f>
        <v>-78061.7140539133</v>
      </c>
      <c r="BG34" s="67" t="n">
        <f aca="false">BG111-BG107-BG108</f>
        <v>-78061.7140539133</v>
      </c>
      <c r="BH34" s="67" t="n">
        <f aca="false">BH111-BH107-BH108</f>
        <v>-78061.7140539133</v>
      </c>
      <c r="BI34" s="67" t="n">
        <f aca="false">BI111-BI107-BI108</f>
        <v>-78061.7140539133</v>
      </c>
      <c r="BJ34" s="67" t="n">
        <f aca="false">BJ111-BJ107-BJ108</f>
        <v>-78061.7140539133</v>
      </c>
    </row>
    <row r="35" customFormat="false" ht="15" hidden="false" customHeight="false" outlineLevel="0" collapsed="false">
      <c r="A35" s="6" t="s">
        <v>328</v>
      </c>
      <c r="C35" s="67" t="n">
        <f aca="false">-Inputs!$B$28*1</f>
        <v>-8000</v>
      </c>
      <c r="D35" s="67" t="n">
        <f aca="false">-Inputs!$B$28*1</f>
        <v>-8000</v>
      </c>
      <c r="E35" s="67" t="n">
        <f aca="false">-Inputs!$B$28*1</f>
        <v>-8000</v>
      </c>
      <c r="F35" s="67" t="n">
        <f aca="false">-Inputs!$B$28*1</f>
        <v>-8000</v>
      </c>
      <c r="G35" s="67" t="n">
        <f aca="false">-Inputs!$B$28*1</f>
        <v>-8000</v>
      </c>
      <c r="H35" s="67" t="n">
        <f aca="false">-Inputs!$B$28*1</f>
        <v>-8000</v>
      </c>
      <c r="I35" s="67" t="n">
        <f aca="false">-Inputs!$B$28*1</f>
        <v>-8000</v>
      </c>
      <c r="J35" s="67" t="n">
        <f aca="false">-Inputs!$B$28*1</f>
        <v>-8000</v>
      </c>
      <c r="K35" s="67" t="n">
        <f aca="false">-Inputs!$B$28*1</f>
        <v>-8000</v>
      </c>
      <c r="L35" s="67" t="n">
        <f aca="false">-Inputs!$B$28*1</f>
        <v>-8000</v>
      </c>
      <c r="M35" s="67" t="n">
        <f aca="false">-Inputs!$B$28*1</f>
        <v>-8000</v>
      </c>
      <c r="N35" s="67" t="n">
        <f aca="false">-Inputs!$B$28*1</f>
        <v>-8000</v>
      </c>
      <c r="O35" s="67" t="n">
        <f aca="false">-Inputs!$B$28*1</f>
        <v>-8000</v>
      </c>
      <c r="P35" s="67" t="n">
        <f aca="false">-Inputs!$B$28*1</f>
        <v>-8000</v>
      </c>
      <c r="Q35" s="67" t="n">
        <f aca="false">-Inputs!$B$28*1</f>
        <v>-8000</v>
      </c>
      <c r="R35" s="67" t="n">
        <f aca="false">-Inputs!$B$28*1</f>
        <v>-8000</v>
      </c>
      <c r="S35" s="67" t="n">
        <f aca="false">-Inputs!$B$28*1</f>
        <v>-8000</v>
      </c>
      <c r="T35" s="67" t="n">
        <f aca="false">-Inputs!$B$28*1</f>
        <v>-8000</v>
      </c>
      <c r="U35" s="67" t="n">
        <f aca="false">-Inputs!$B$28*1</f>
        <v>-8000</v>
      </c>
      <c r="V35" s="67" t="n">
        <f aca="false">-Inputs!$B$28*1</f>
        <v>-8000</v>
      </c>
      <c r="W35" s="67" t="n">
        <f aca="false">-Inputs!$B$28*1</f>
        <v>-8000</v>
      </c>
      <c r="X35" s="67" t="n">
        <f aca="false">-Inputs!$B$28*1</f>
        <v>-8000</v>
      </c>
      <c r="Y35" s="67" t="n">
        <f aca="false">-Inputs!$B$28*1</f>
        <v>-8000</v>
      </c>
      <c r="Z35" s="67" t="n">
        <f aca="false">-Inputs!$B$28*1</f>
        <v>-8000</v>
      </c>
      <c r="AA35" s="67" t="n">
        <f aca="false">-Inputs!$B$28*1</f>
        <v>-8000</v>
      </c>
      <c r="AB35" s="67" t="n">
        <f aca="false">-Inputs!$B$28*1</f>
        <v>-8000</v>
      </c>
      <c r="AC35" s="67" t="n">
        <f aca="false">-Inputs!$B$28*1</f>
        <v>-8000</v>
      </c>
      <c r="AD35" s="67" t="n">
        <f aca="false">-Inputs!$B$28*1</f>
        <v>-8000</v>
      </c>
      <c r="AE35" s="67" t="n">
        <f aca="false">-Inputs!$B$28*1</f>
        <v>-8000</v>
      </c>
      <c r="AF35" s="67" t="n">
        <f aca="false">-Inputs!$B$28*1</f>
        <v>-8000</v>
      </c>
      <c r="AG35" s="67" t="n">
        <f aca="false">-Inputs!$B$28*1</f>
        <v>-8000</v>
      </c>
      <c r="AH35" s="67" t="n">
        <f aca="false">-Inputs!$B$28*1</f>
        <v>-8000</v>
      </c>
      <c r="AI35" s="67" t="n">
        <f aca="false">-Inputs!$B$28*1</f>
        <v>-8000</v>
      </c>
      <c r="AJ35" s="67" t="n">
        <f aca="false">-Inputs!$B$28*1</f>
        <v>-8000</v>
      </c>
      <c r="AK35" s="67" t="n">
        <f aca="false">-Inputs!$B$28*1</f>
        <v>-8000</v>
      </c>
      <c r="AL35" s="67" t="n">
        <f aca="false">-Inputs!$B$28*1</f>
        <v>-8000</v>
      </c>
      <c r="AM35" s="67" t="n">
        <f aca="false">-Inputs!$B$28*1</f>
        <v>-8000</v>
      </c>
      <c r="AN35" s="67" t="n">
        <f aca="false">-Inputs!$B$28*1</f>
        <v>-8000</v>
      </c>
      <c r="AO35" s="67" t="n">
        <f aca="false">-Inputs!$B$28*1</f>
        <v>-8000</v>
      </c>
      <c r="AP35" s="67" t="n">
        <f aca="false">-Inputs!$B$28*1</f>
        <v>-8000</v>
      </c>
      <c r="AQ35" s="67" t="n">
        <f aca="false">-Inputs!$B$28*1</f>
        <v>-8000</v>
      </c>
      <c r="AR35" s="67" t="n">
        <f aca="false">-Inputs!$B$28*1</f>
        <v>-8000</v>
      </c>
      <c r="AS35" s="67" t="n">
        <f aca="false">-Inputs!$B$28*1</f>
        <v>-8000</v>
      </c>
      <c r="AT35" s="67" t="n">
        <f aca="false">-Inputs!$B$28*1</f>
        <v>-8000</v>
      </c>
      <c r="AU35" s="67" t="n">
        <f aca="false">-Inputs!$B$28*1</f>
        <v>-8000</v>
      </c>
      <c r="AV35" s="67" t="n">
        <f aca="false">-Inputs!$B$28*1</f>
        <v>-8000</v>
      </c>
      <c r="AW35" s="67" t="n">
        <f aca="false">-Inputs!$B$28*1</f>
        <v>-8000</v>
      </c>
      <c r="AX35" s="67" t="n">
        <f aca="false">-Inputs!$B$28*1</f>
        <v>-8000</v>
      </c>
      <c r="AY35" s="67" t="n">
        <f aca="false">-Inputs!$B$28*1</f>
        <v>-8000</v>
      </c>
      <c r="AZ35" s="67" t="n">
        <f aca="false">-Inputs!$B$28*1</f>
        <v>-8000</v>
      </c>
      <c r="BA35" s="67" t="n">
        <f aca="false">-Inputs!$B$28*1</f>
        <v>-8000</v>
      </c>
      <c r="BB35" s="67" t="n">
        <f aca="false">-Inputs!$B$28*1</f>
        <v>-8000</v>
      </c>
      <c r="BC35" s="67" t="n">
        <f aca="false">-Inputs!$B$28*1</f>
        <v>-8000</v>
      </c>
      <c r="BD35" s="67" t="n">
        <f aca="false">-Inputs!$B$28*1</f>
        <v>-8000</v>
      </c>
      <c r="BE35" s="67" t="n">
        <f aca="false">-Inputs!$B$28*1</f>
        <v>-8000</v>
      </c>
      <c r="BF35" s="67" t="n">
        <f aca="false">-Inputs!$B$28*1</f>
        <v>-8000</v>
      </c>
      <c r="BG35" s="67" t="n">
        <f aca="false">-Inputs!$B$28*1</f>
        <v>-8000</v>
      </c>
      <c r="BH35" s="67" t="n">
        <f aca="false">-Inputs!$B$28*1</f>
        <v>-8000</v>
      </c>
      <c r="BI35" s="67" t="n">
        <f aca="false">-Inputs!$B$28*1</f>
        <v>-8000</v>
      </c>
      <c r="BJ35" s="67" t="n">
        <f aca="false">-Inputs!$B$28*1</f>
        <v>-8000</v>
      </c>
    </row>
    <row r="36" customFormat="false" ht="15" hidden="false" customHeight="false" outlineLevel="0" collapsed="false">
      <c r="A36" s="6" t="s">
        <v>329</v>
      </c>
      <c r="C36" s="67" t="n">
        <f aca="false">-C104*Inputs!$B$27*1</f>
        <v>-4200</v>
      </c>
      <c r="D36" s="67" t="n">
        <f aca="false">-D104*Inputs!$B$27*1</f>
        <v>-4200</v>
      </c>
      <c r="E36" s="67" t="n">
        <f aca="false">-E104*Inputs!$B$27*1</f>
        <v>-4200</v>
      </c>
      <c r="F36" s="67" t="n">
        <f aca="false">-F104*Inputs!$B$27*1</f>
        <v>-4200</v>
      </c>
      <c r="G36" s="67" t="n">
        <f aca="false">-G104*Inputs!$B$27*1</f>
        <v>-4200</v>
      </c>
      <c r="H36" s="67" t="n">
        <f aca="false">-H104*Inputs!$B$27*1</f>
        <v>-4200</v>
      </c>
      <c r="I36" s="67" t="n">
        <f aca="false">-I104*Inputs!$B$27*1</f>
        <v>-4200</v>
      </c>
      <c r="J36" s="67" t="n">
        <f aca="false">-J104*Inputs!$B$27*1</f>
        <v>-4200</v>
      </c>
      <c r="K36" s="67" t="n">
        <f aca="false">-K104*Inputs!$B$27*1</f>
        <v>-4200</v>
      </c>
      <c r="L36" s="67" t="n">
        <f aca="false">-L104*Inputs!$B$27*1</f>
        <v>-4200</v>
      </c>
      <c r="M36" s="67" t="n">
        <f aca="false">-M104*Inputs!$B$27*1</f>
        <v>-4200</v>
      </c>
      <c r="N36" s="67" t="n">
        <f aca="false">-N104*Inputs!$B$27*1</f>
        <v>-4200</v>
      </c>
      <c r="O36" s="67" t="n">
        <f aca="false">-O104*Inputs!$B$27*1</f>
        <v>-5250</v>
      </c>
      <c r="P36" s="67" t="n">
        <f aca="false">-P104*Inputs!$B$27*1</f>
        <v>-5250</v>
      </c>
      <c r="Q36" s="67" t="n">
        <f aca="false">-Q104*Inputs!$B$27*1</f>
        <v>-5250</v>
      </c>
      <c r="R36" s="67" t="n">
        <f aca="false">-R104*Inputs!$B$27*1</f>
        <v>-5250</v>
      </c>
      <c r="S36" s="67" t="n">
        <f aca="false">-S104*Inputs!$B$27*1</f>
        <v>-5250</v>
      </c>
      <c r="T36" s="67" t="n">
        <f aca="false">-T104*Inputs!$B$27*1</f>
        <v>-5250</v>
      </c>
      <c r="U36" s="67" t="n">
        <f aca="false">-U104*Inputs!$B$27*1</f>
        <v>-5250</v>
      </c>
      <c r="V36" s="67" t="n">
        <f aca="false">-V104*Inputs!$B$27*1</f>
        <v>-5250</v>
      </c>
      <c r="W36" s="67" t="n">
        <f aca="false">-W104*Inputs!$B$27*1</f>
        <v>-5250</v>
      </c>
      <c r="X36" s="67" t="n">
        <f aca="false">-X104*Inputs!$B$27*1</f>
        <v>-5250</v>
      </c>
      <c r="Y36" s="67" t="n">
        <f aca="false">-Y104*Inputs!$B$27*1</f>
        <v>-5250</v>
      </c>
      <c r="Z36" s="67" t="n">
        <f aca="false">-Z104*Inputs!$B$27*1</f>
        <v>-5250</v>
      </c>
      <c r="AA36" s="67" t="n">
        <f aca="false">-AA104*Inputs!$B$27*1</f>
        <v>-6577.5</v>
      </c>
      <c r="AB36" s="67" t="n">
        <f aca="false">-AB104*Inputs!$B$27*1</f>
        <v>-6577.5</v>
      </c>
      <c r="AC36" s="67" t="n">
        <f aca="false">-AC104*Inputs!$B$27*1</f>
        <v>-6577.5</v>
      </c>
      <c r="AD36" s="67" t="n">
        <f aca="false">-AD104*Inputs!$B$27*1</f>
        <v>-6577.5</v>
      </c>
      <c r="AE36" s="67" t="n">
        <f aca="false">-AE104*Inputs!$B$27*1</f>
        <v>-6577.5</v>
      </c>
      <c r="AF36" s="67" t="n">
        <f aca="false">-AF104*Inputs!$B$27*1</f>
        <v>-6577.5</v>
      </c>
      <c r="AG36" s="67" t="n">
        <f aca="false">-AG104*Inputs!$B$27*1</f>
        <v>-6577.5</v>
      </c>
      <c r="AH36" s="67" t="n">
        <f aca="false">-AH104*Inputs!$B$27*1</f>
        <v>-6577.5</v>
      </c>
      <c r="AI36" s="67" t="n">
        <f aca="false">-AI104*Inputs!$B$27*1</f>
        <v>-6577.5</v>
      </c>
      <c r="AJ36" s="67" t="n">
        <f aca="false">-AJ104*Inputs!$B$27*1</f>
        <v>-6577.5</v>
      </c>
      <c r="AK36" s="67" t="n">
        <f aca="false">-AK104*Inputs!$B$27*1</f>
        <v>-6577.5</v>
      </c>
      <c r="AL36" s="67" t="n">
        <f aca="false">-AL104*Inputs!$B$27*1</f>
        <v>-6577.5</v>
      </c>
      <c r="AM36" s="67" t="n">
        <f aca="false">-AM104*Inputs!$B$27*1</f>
        <v>-8258.925</v>
      </c>
      <c r="AN36" s="67" t="n">
        <f aca="false">-AN104*Inputs!$B$27*1</f>
        <v>-8258.925</v>
      </c>
      <c r="AO36" s="67" t="n">
        <f aca="false">-AO104*Inputs!$B$27*1</f>
        <v>-8258.925</v>
      </c>
      <c r="AP36" s="67" t="n">
        <f aca="false">-AP104*Inputs!$B$27*1</f>
        <v>-8258.925</v>
      </c>
      <c r="AQ36" s="67" t="n">
        <f aca="false">-AQ104*Inputs!$B$27*1</f>
        <v>-8258.925</v>
      </c>
      <c r="AR36" s="67" t="n">
        <f aca="false">-AR104*Inputs!$B$27*1</f>
        <v>-8258.925</v>
      </c>
      <c r="AS36" s="67" t="n">
        <f aca="false">-AS104*Inputs!$B$27*1</f>
        <v>-8258.925</v>
      </c>
      <c r="AT36" s="67" t="n">
        <f aca="false">-AT104*Inputs!$B$27*1</f>
        <v>-8258.925</v>
      </c>
      <c r="AU36" s="67" t="n">
        <f aca="false">-AU104*Inputs!$B$27*1</f>
        <v>-8258.925</v>
      </c>
      <c r="AV36" s="67" t="n">
        <f aca="false">-AV104*Inputs!$B$27*1</f>
        <v>-8258.925</v>
      </c>
      <c r="AW36" s="67" t="n">
        <f aca="false">-AW104*Inputs!$B$27*1</f>
        <v>-8258.925</v>
      </c>
      <c r="AX36" s="67" t="n">
        <f aca="false">-AX104*Inputs!$B$27*1</f>
        <v>-8258.925</v>
      </c>
      <c r="AY36" s="67" t="n">
        <f aca="false">-AY104*Inputs!$B$27*1</f>
        <v>-10392.36375</v>
      </c>
      <c r="AZ36" s="67" t="n">
        <f aca="false">-AZ104*Inputs!$B$27*1</f>
        <v>-10392.36375</v>
      </c>
      <c r="BA36" s="67" t="n">
        <f aca="false">-BA104*Inputs!$B$27*1</f>
        <v>-10392.36375</v>
      </c>
      <c r="BB36" s="67" t="n">
        <f aca="false">-BB104*Inputs!$B$27*1</f>
        <v>-10392.36375</v>
      </c>
      <c r="BC36" s="67" t="n">
        <f aca="false">-BC104*Inputs!$B$27*1</f>
        <v>-10392.36375</v>
      </c>
      <c r="BD36" s="67" t="n">
        <f aca="false">-BD104*Inputs!$B$27*1</f>
        <v>-10392.36375</v>
      </c>
      <c r="BE36" s="67" t="n">
        <f aca="false">-BE104*Inputs!$B$27*1</f>
        <v>-10392.36375</v>
      </c>
      <c r="BF36" s="67" t="n">
        <f aca="false">-BF104*Inputs!$B$27*1</f>
        <v>-10392.36375</v>
      </c>
      <c r="BG36" s="67" t="n">
        <f aca="false">-BG104*Inputs!$B$27*1</f>
        <v>-10392.36375</v>
      </c>
      <c r="BH36" s="67" t="n">
        <f aca="false">-BH104*Inputs!$B$27*1</f>
        <v>-10392.36375</v>
      </c>
      <c r="BI36" s="67" t="n">
        <f aca="false">-BI104*Inputs!$B$27*1</f>
        <v>-10392.36375</v>
      </c>
      <c r="BJ36" s="67" t="n">
        <f aca="false">-BJ104*Inputs!$B$27*1</f>
        <v>-10392.36375</v>
      </c>
    </row>
    <row r="37" customFormat="false" ht="15" hidden="false" customHeight="false" outlineLevel="0" collapsed="false">
      <c r="A37" s="6" t="s">
        <v>330</v>
      </c>
      <c r="C37" s="67" t="n">
        <f aca="false">-Inputs!$B$29*1</f>
        <v>-8000</v>
      </c>
      <c r="D37" s="67" t="n">
        <f aca="false">-Inputs!$B$29*1</f>
        <v>-8000</v>
      </c>
      <c r="E37" s="67" t="n">
        <f aca="false">-Inputs!$B$29*1</f>
        <v>-8000</v>
      </c>
      <c r="F37" s="67" t="n">
        <f aca="false">-Inputs!$B$29*1</f>
        <v>-8000</v>
      </c>
      <c r="G37" s="67" t="n">
        <f aca="false">-Inputs!$B$29*1</f>
        <v>-8000</v>
      </c>
      <c r="H37" s="67" t="n">
        <f aca="false">-Inputs!$B$29*1</f>
        <v>-8000</v>
      </c>
      <c r="I37" s="67" t="n">
        <f aca="false">-Inputs!$B$29*1</f>
        <v>-8000</v>
      </c>
      <c r="J37" s="67" t="n">
        <f aca="false">-Inputs!$B$29*1</f>
        <v>-8000</v>
      </c>
      <c r="K37" s="67" t="n">
        <f aca="false">-Inputs!$B$29*1</f>
        <v>-8000</v>
      </c>
      <c r="L37" s="67" t="n">
        <f aca="false">-Inputs!$B$29*1</f>
        <v>-8000</v>
      </c>
      <c r="M37" s="67" t="n">
        <f aca="false">-Inputs!$B$29*1</f>
        <v>-8000</v>
      </c>
      <c r="N37" s="67" t="n">
        <f aca="false">-Inputs!$B$29*1</f>
        <v>-8000</v>
      </c>
      <c r="O37" s="67" t="n">
        <f aca="false">-Inputs!$B$29*1</f>
        <v>-8000</v>
      </c>
      <c r="P37" s="67" t="n">
        <f aca="false">-Inputs!$B$29*1</f>
        <v>-8000</v>
      </c>
      <c r="Q37" s="67" t="n">
        <f aca="false">-Inputs!$B$29*1</f>
        <v>-8000</v>
      </c>
      <c r="R37" s="67" t="n">
        <f aca="false">-Inputs!$B$29*1</f>
        <v>-8000</v>
      </c>
      <c r="S37" s="67" t="n">
        <f aca="false">-Inputs!$B$29*1</f>
        <v>-8000</v>
      </c>
      <c r="T37" s="67" t="n">
        <f aca="false">-Inputs!$B$29*1</f>
        <v>-8000</v>
      </c>
      <c r="U37" s="67" t="n">
        <f aca="false">-Inputs!$B$29*1</f>
        <v>-8000</v>
      </c>
      <c r="V37" s="67" t="n">
        <f aca="false">-Inputs!$B$29*1</f>
        <v>-8000</v>
      </c>
      <c r="W37" s="67" t="n">
        <f aca="false">-Inputs!$B$29*1</f>
        <v>-8000</v>
      </c>
      <c r="X37" s="67" t="n">
        <f aca="false">-Inputs!$B$29*1</f>
        <v>-8000</v>
      </c>
      <c r="Y37" s="67" t="n">
        <f aca="false">-Inputs!$B$29*1</f>
        <v>-8000</v>
      </c>
      <c r="Z37" s="67" t="n">
        <f aca="false">-Inputs!$B$29*1</f>
        <v>-8000</v>
      </c>
      <c r="AA37" s="67" t="n">
        <f aca="false">-Inputs!$B$29*1</f>
        <v>-8000</v>
      </c>
      <c r="AB37" s="67" t="n">
        <f aca="false">-Inputs!$B$29*1</f>
        <v>-8000</v>
      </c>
      <c r="AC37" s="67" t="n">
        <f aca="false">-Inputs!$B$29*1</f>
        <v>-8000</v>
      </c>
      <c r="AD37" s="67" t="n">
        <f aca="false">-Inputs!$B$29*1</f>
        <v>-8000</v>
      </c>
      <c r="AE37" s="67" t="n">
        <f aca="false">-Inputs!$B$29*1</f>
        <v>-8000</v>
      </c>
      <c r="AF37" s="67" t="n">
        <f aca="false">-Inputs!$B$29*1</f>
        <v>-8000</v>
      </c>
      <c r="AG37" s="67" t="n">
        <f aca="false">-Inputs!$B$29*1</f>
        <v>-8000</v>
      </c>
      <c r="AH37" s="67" t="n">
        <f aca="false">-Inputs!$B$29*1</f>
        <v>-8000</v>
      </c>
      <c r="AI37" s="67" t="n">
        <f aca="false">-Inputs!$B$29*1</f>
        <v>-8000</v>
      </c>
      <c r="AJ37" s="67" t="n">
        <f aca="false">-Inputs!$B$29*1</f>
        <v>-8000</v>
      </c>
      <c r="AK37" s="67" t="n">
        <f aca="false">-Inputs!$B$29*1</f>
        <v>-8000</v>
      </c>
      <c r="AL37" s="67" t="n">
        <f aca="false">-Inputs!$B$29*1</f>
        <v>-8000</v>
      </c>
      <c r="AM37" s="67" t="n">
        <f aca="false">-Inputs!$B$29*1</f>
        <v>-8000</v>
      </c>
      <c r="AN37" s="67" t="n">
        <f aca="false">-Inputs!$B$29*1</f>
        <v>-8000</v>
      </c>
      <c r="AO37" s="67" t="n">
        <f aca="false">-Inputs!$B$29*1</f>
        <v>-8000</v>
      </c>
      <c r="AP37" s="67" t="n">
        <f aca="false">-Inputs!$B$29*1</f>
        <v>-8000</v>
      </c>
      <c r="AQ37" s="67" t="n">
        <f aca="false">-Inputs!$B$29*1</f>
        <v>-8000</v>
      </c>
      <c r="AR37" s="67" t="n">
        <f aca="false">-Inputs!$B$29*1</f>
        <v>-8000</v>
      </c>
      <c r="AS37" s="67" t="n">
        <f aca="false">-Inputs!$B$29*1</f>
        <v>-8000</v>
      </c>
      <c r="AT37" s="67" t="n">
        <f aca="false">-Inputs!$B$29*1</f>
        <v>-8000</v>
      </c>
      <c r="AU37" s="67" t="n">
        <f aca="false">-Inputs!$B$29*1</f>
        <v>-8000</v>
      </c>
      <c r="AV37" s="67" t="n">
        <f aca="false">-Inputs!$B$29*1</f>
        <v>-8000</v>
      </c>
      <c r="AW37" s="67" t="n">
        <f aca="false">-Inputs!$B$29*1</f>
        <v>-8000</v>
      </c>
      <c r="AX37" s="67" t="n">
        <f aca="false">-Inputs!$B$29*1</f>
        <v>-8000</v>
      </c>
      <c r="AY37" s="67" t="n">
        <f aca="false">-Inputs!$B$29*1</f>
        <v>-8000</v>
      </c>
      <c r="AZ37" s="67" t="n">
        <f aca="false">-Inputs!$B$29*1</f>
        <v>-8000</v>
      </c>
      <c r="BA37" s="67" t="n">
        <f aca="false">-Inputs!$B$29*1</f>
        <v>-8000</v>
      </c>
      <c r="BB37" s="67" t="n">
        <f aca="false">-Inputs!$B$29*1</f>
        <v>-8000</v>
      </c>
      <c r="BC37" s="67" t="n">
        <f aca="false">-Inputs!$B$29*1</f>
        <v>-8000</v>
      </c>
      <c r="BD37" s="67" t="n">
        <f aca="false">-Inputs!$B$29*1</f>
        <v>-8000</v>
      </c>
      <c r="BE37" s="67" t="n">
        <f aca="false">-Inputs!$B$29*1</f>
        <v>-8000</v>
      </c>
      <c r="BF37" s="67" t="n">
        <f aca="false">-Inputs!$B$29*1</f>
        <v>-8000</v>
      </c>
      <c r="BG37" s="67" t="n">
        <f aca="false">-Inputs!$B$29*1</f>
        <v>-8000</v>
      </c>
      <c r="BH37" s="67" t="n">
        <f aca="false">-Inputs!$B$29*1</f>
        <v>-8000</v>
      </c>
      <c r="BI37" s="67" t="n">
        <f aca="false">-Inputs!$B$29*1</f>
        <v>-8000</v>
      </c>
      <c r="BJ37" s="67" t="n">
        <f aca="false">-Inputs!$B$29*1</f>
        <v>-8000</v>
      </c>
    </row>
    <row r="38" customFormat="false" ht="15" hidden="false" customHeight="false" outlineLevel="0" collapsed="false">
      <c r="A38" s="6" t="s">
        <v>331</v>
      </c>
      <c r="C38" s="67" t="n">
        <f aca="false">-Inputs!$B$30*1</f>
        <v>-6000</v>
      </c>
      <c r="D38" s="67" t="n">
        <f aca="false">-Inputs!$B$30*1</f>
        <v>-6000</v>
      </c>
      <c r="E38" s="67" t="n">
        <f aca="false">-Inputs!$B$30*1</f>
        <v>-6000</v>
      </c>
      <c r="F38" s="67" t="n">
        <f aca="false">-Inputs!$B$30*1</f>
        <v>-6000</v>
      </c>
      <c r="G38" s="67" t="n">
        <f aca="false">-Inputs!$B$30*1</f>
        <v>-6000</v>
      </c>
      <c r="H38" s="67" t="n">
        <f aca="false">-Inputs!$B$30*1</f>
        <v>-6000</v>
      </c>
      <c r="I38" s="67" t="n">
        <f aca="false">-Inputs!$B$30*1</f>
        <v>-6000</v>
      </c>
      <c r="J38" s="67" t="n">
        <f aca="false">-Inputs!$B$30*1</f>
        <v>-6000</v>
      </c>
      <c r="K38" s="67" t="n">
        <f aca="false">-Inputs!$B$30*1</f>
        <v>-6000</v>
      </c>
      <c r="L38" s="67" t="n">
        <f aca="false">-Inputs!$B$30*1</f>
        <v>-6000</v>
      </c>
      <c r="M38" s="67" t="n">
        <f aca="false">-Inputs!$B$30*1</f>
        <v>-6000</v>
      </c>
      <c r="N38" s="67" t="n">
        <f aca="false">-Inputs!$B$30*1</f>
        <v>-6000</v>
      </c>
      <c r="O38" s="67" t="n">
        <f aca="false">-Inputs!$B$30*1</f>
        <v>-6000</v>
      </c>
      <c r="P38" s="67" t="n">
        <f aca="false">-Inputs!$B$30*1</f>
        <v>-6000</v>
      </c>
      <c r="Q38" s="67" t="n">
        <f aca="false">-Inputs!$B$30*1</f>
        <v>-6000</v>
      </c>
      <c r="R38" s="67" t="n">
        <f aca="false">-Inputs!$B$30*1</f>
        <v>-6000</v>
      </c>
      <c r="S38" s="67" t="n">
        <f aca="false">-Inputs!$B$30*1</f>
        <v>-6000</v>
      </c>
      <c r="T38" s="67" t="n">
        <f aca="false">-Inputs!$B$30*1</f>
        <v>-6000</v>
      </c>
      <c r="U38" s="67" t="n">
        <f aca="false">-Inputs!$B$30*1</f>
        <v>-6000</v>
      </c>
      <c r="V38" s="67" t="n">
        <f aca="false">-Inputs!$B$30*1</f>
        <v>-6000</v>
      </c>
      <c r="W38" s="67" t="n">
        <f aca="false">-Inputs!$B$30*1</f>
        <v>-6000</v>
      </c>
      <c r="X38" s="67" t="n">
        <f aca="false">-Inputs!$B$30*1</f>
        <v>-6000</v>
      </c>
      <c r="Y38" s="67" t="n">
        <f aca="false">-Inputs!$B$30*1</f>
        <v>-6000</v>
      </c>
      <c r="Z38" s="67" t="n">
        <f aca="false">-Inputs!$B$30*1</f>
        <v>-6000</v>
      </c>
      <c r="AA38" s="67" t="n">
        <f aca="false">-Inputs!$B$30*1</f>
        <v>-6000</v>
      </c>
      <c r="AB38" s="67" t="n">
        <f aca="false">-Inputs!$B$30*1</f>
        <v>-6000</v>
      </c>
      <c r="AC38" s="67" t="n">
        <f aca="false">-Inputs!$B$30*1</f>
        <v>-6000</v>
      </c>
      <c r="AD38" s="67" t="n">
        <f aca="false">-Inputs!$B$30*1</f>
        <v>-6000</v>
      </c>
      <c r="AE38" s="67" t="n">
        <f aca="false">-Inputs!$B$30*1</f>
        <v>-6000</v>
      </c>
      <c r="AF38" s="67" t="n">
        <f aca="false">-Inputs!$B$30*1</f>
        <v>-6000</v>
      </c>
      <c r="AG38" s="67" t="n">
        <f aca="false">-Inputs!$B$30*1</f>
        <v>-6000</v>
      </c>
      <c r="AH38" s="67" t="n">
        <f aca="false">-Inputs!$B$30*1</f>
        <v>-6000</v>
      </c>
      <c r="AI38" s="67" t="n">
        <f aca="false">-Inputs!$B$30*1</f>
        <v>-6000</v>
      </c>
      <c r="AJ38" s="67" t="n">
        <f aca="false">-Inputs!$B$30*1</f>
        <v>-6000</v>
      </c>
      <c r="AK38" s="67" t="n">
        <f aca="false">-Inputs!$B$30*1</f>
        <v>-6000</v>
      </c>
      <c r="AL38" s="67" t="n">
        <f aca="false">-Inputs!$B$30*1</f>
        <v>-6000</v>
      </c>
      <c r="AM38" s="67" t="n">
        <f aca="false">-Inputs!$B$30*1</f>
        <v>-6000</v>
      </c>
      <c r="AN38" s="67" t="n">
        <f aca="false">-Inputs!$B$30*1</f>
        <v>-6000</v>
      </c>
      <c r="AO38" s="67" t="n">
        <f aca="false">-Inputs!$B$30*1</f>
        <v>-6000</v>
      </c>
      <c r="AP38" s="67" t="n">
        <f aca="false">-Inputs!$B$30*1</f>
        <v>-6000</v>
      </c>
      <c r="AQ38" s="67" t="n">
        <f aca="false">-Inputs!$B$30*1</f>
        <v>-6000</v>
      </c>
      <c r="AR38" s="67" t="n">
        <f aca="false">-Inputs!$B$30*1</f>
        <v>-6000</v>
      </c>
      <c r="AS38" s="67" t="n">
        <f aca="false">-Inputs!$B$30*1</f>
        <v>-6000</v>
      </c>
      <c r="AT38" s="67" t="n">
        <f aca="false">-Inputs!$B$30*1</f>
        <v>-6000</v>
      </c>
      <c r="AU38" s="67" t="n">
        <f aca="false">-Inputs!$B$30*1</f>
        <v>-6000</v>
      </c>
      <c r="AV38" s="67" t="n">
        <f aca="false">-Inputs!$B$30*1</f>
        <v>-6000</v>
      </c>
      <c r="AW38" s="67" t="n">
        <f aca="false">-Inputs!$B$30*1</f>
        <v>-6000</v>
      </c>
      <c r="AX38" s="67" t="n">
        <f aca="false">-Inputs!$B$30*1</f>
        <v>-6000</v>
      </c>
      <c r="AY38" s="67" t="n">
        <f aca="false">-Inputs!$B$30*1</f>
        <v>-6000</v>
      </c>
      <c r="AZ38" s="67" t="n">
        <f aca="false">-Inputs!$B$30*1</f>
        <v>-6000</v>
      </c>
      <c r="BA38" s="67" t="n">
        <f aca="false">-Inputs!$B$30*1</f>
        <v>-6000</v>
      </c>
      <c r="BB38" s="67" t="n">
        <f aca="false">-Inputs!$B$30*1</f>
        <v>-6000</v>
      </c>
      <c r="BC38" s="67" t="n">
        <f aca="false">-Inputs!$B$30*1</f>
        <v>-6000</v>
      </c>
      <c r="BD38" s="67" t="n">
        <f aca="false">-Inputs!$B$30*1</f>
        <v>-6000</v>
      </c>
      <c r="BE38" s="67" t="n">
        <f aca="false">-Inputs!$B$30*1</f>
        <v>-6000</v>
      </c>
      <c r="BF38" s="67" t="n">
        <f aca="false">-Inputs!$B$30*1</f>
        <v>-6000</v>
      </c>
      <c r="BG38" s="67" t="n">
        <f aca="false">-Inputs!$B$30*1</f>
        <v>-6000</v>
      </c>
      <c r="BH38" s="67" t="n">
        <f aca="false">-Inputs!$B$30*1</f>
        <v>-6000</v>
      </c>
      <c r="BI38" s="67" t="n">
        <f aca="false">-Inputs!$B$30*1</f>
        <v>-6000</v>
      </c>
      <c r="BJ38" s="67" t="n">
        <f aca="false">-Inputs!$B$30*1</f>
        <v>-6000</v>
      </c>
    </row>
    <row r="39" customFormat="false" ht="15" hidden="false" customHeight="false" outlineLevel="0" collapsed="false">
      <c r="A39" s="113" t="s">
        <v>77</v>
      </c>
      <c r="C39" s="68" t="n">
        <f aca="false">C34+C35+C36+C37+C38</f>
        <v>-62700</v>
      </c>
      <c r="D39" s="68" t="n">
        <f aca="false">D34+D35+D36+D37+D38</f>
        <v>-62700</v>
      </c>
      <c r="E39" s="68" t="n">
        <f aca="false">E34+E35+E36+E37+E38</f>
        <v>-62700</v>
      </c>
      <c r="F39" s="68" t="n">
        <f aca="false">F34+F35+F36+F37+F38</f>
        <v>-62700</v>
      </c>
      <c r="G39" s="68" t="n">
        <f aca="false">G34+G35+G36+G37+G38</f>
        <v>-62700</v>
      </c>
      <c r="H39" s="68" t="n">
        <f aca="false">H34+H35+H36+H37+H38</f>
        <v>-62700</v>
      </c>
      <c r="I39" s="68" t="n">
        <f aca="false">I34+I35+I36+I37+I38</f>
        <v>-62700</v>
      </c>
      <c r="J39" s="68" t="n">
        <f aca="false">J34+J35+J36+J37+J38</f>
        <v>-62700</v>
      </c>
      <c r="K39" s="68" t="n">
        <f aca="false">K34+K35+K36+K37+K38</f>
        <v>-62700</v>
      </c>
      <c r="L39" s="68" t="n">
        <f aca="false">L34+L35+L36+L37+L38</f>
        <v>-62700</v>
      </c>
      <c r="M39" s="68" t="n">
        <f aca="false">M34+M35+M36+M37+M38</f>
        <v>-62700</v>
      </c>
      <c r="N39" s="68" t="n">
        <f aca="false">N34+N35+N36+N37+N38</f>
        <v>-62700</v>
      </c>
      <c r="O39" s="68" t="n">
        <f aca="false">O34+O35+O36+O37+O38</f>
        <v>-71359.75</v>
      </c>
      <c r="P39" s="68" t="n">
        <f aca="false">P34+P35+P36+P37+P38</f>
        <v>-71359.75</v>
      </c>
      <c r="Q39" s="68" t="n">
        <f aca="false">Q34+Q35+Q36+Q37+Q38</f>
        <v>-71359.75</v>
      </c>
      <c r="R39" s="68" t="n">
        <f aca="false">R34+R35+R36+R37+R38</f>
        <v>-71359.75</v>
      </c>
      <c r="S39" s="68" t="n">
        <f aca="false">S34+S35+S36+S37+S38</f>
        <v>-71359.75</v>
      </c>
      <c r="T39" s="68" t="n">
        <f aca="false">T34+T35+T36+T37+T38</f>
        <v>-71359.75</v>
      </c>
      <c r="U39" s="68" t="n">
        <f aca="false">U34+U35+U36+U37+U38</f>
        <v>-71359.75</v>
      </c>
      <c r="V39" s="68" t="n">
        <f aca="false">V34+V35+V36+V37+V38</f>
        <v>-71359.75</v>
      </c>
      <c r="W39" s="68" t="n">
        <f aca="false">W34+W35+W36+W37+W38</f>
        <v>-71359.75</v>
      </c>
      <c r="X39" s="68" t="n">
        <f aca="false">X34+X35+X36+X37+X38</f>
        <v>-71359.75</v>
      </c>
      <c r="Y39" s="68" t="n">
        <f aca="false">Y34+Y35+Y36+Y37+Y38</f>
        <v>-71359.75</v>
      </c>
      <c r="Z39" s="68" t="n">
        <f aca="false">Z34+Z35+Z36+Z37+Z38</f>
        <v>-71359.75</v>
      </c>
      <c r="AA39" s="68" t="n">
        <f aca="false">AA34+AA35+AA36+AA37+AA38</f>
        <v>-81907.616875</v>
      </c>
      <c r="AB39" s="68" t="n">
        <f aca="false">AB34+AB35+AB36+AB37+AB38</f>
        <v>-81907.616875</v>
      </c>
      <c r="AC39" s="68" t="n">
        <f aca="false">AC34+AC35+AC36+AC37+AC38</f>
        <v>-81907.616875</v>
      </c>
      <c r="AD39" s="68" t="n">
        <f aca="false">AD34+AD35+AD36+AD37+AD38</f>
        <v>-81907.616875</v>
      </c>
      <c r="AE39" s="68" t="n">
        <f aca="false">AE34+AE35+AE36+AE37+AE38</f>
        <v>-81907.616875</v>
      </c>
      <c r="AF39" s="68" t="n">
        <f aca="false">AF34+AF35+AF36+AF37+AF38</f>
        <v>-81907.616875</v>
      </c>
      <c r="AG39" s="68" t="n">
        <f aca="false">AG34+AG35+AG36+AG37+AG38</f>
        <v>-81907.616875</v>
      </c>
      <c r="AH39" s="68" t="n">
        <f aca="false">AH34+AH35+AH36+AH37+AH38</f>
        <v>-81907.616875</v>
      </c>
      <c r="AI39" s="68" t="n">
        <f aca="false">AI34+AI35+AI36+AI37+AI38</f>
        <v>-81907.616875</v>
      </c>
      <c r="AJ39" s="68" t="n">
        <f aca="false">AJ34+AJ35+AJ36+AJ37+AJ38</f>
        <v>-81907.616875</v>
      </c>
      <c r="AK39" s="68" t="n">
        <f aca="false">AK34+AK35+AK36+AK37+AK38</f>
        <v>-81907.616875</v>
      </c>
      <c r="AL39" s="68" t="n">
        <f aca="false">AL34+AL35+AL36+AL37+AL38</f>
        <v>-81907.616875</v>
      </c>
      <c r="AM39" s="68" t="n">
        <f aca="false">AM34+AM35+AM36+AM37+AM38</f>
        <v>-94765.9462864374</v>
      </c>
      <c r="AN39" s="68" t="n">
        <f aca="false">AN34+AN35+AN36+AN37+AN38</f>
        <v>-94765.9462864374</v>
      </c>
      <c r="AO39" s="68" t="n">
        <f aca="false">AO34+AO35+AO36+AO37+AO38</f>
        <v>-94765.9462864374</v>
      </c>
      <c r="AP39" s="68" t="n">
        <f aca="false">AP34+AP35+AP36+AP37+AP38</f>
        <v>-94765.9462864374</v>
      </c>
      <c r="AQ39" s="68" t="n">
        <f aca="false">AQ34+AQ35+AQ36+AQ37+AQ38</f>
        <v>-94765.9462864374</v>
      </c>
      <c r="AR39" s="68" t="n">
        <f aca="false">AR34+AR35+AR36+AR37+AR38</f>
        <v>-94765.9462864374</v>
      </c>
      <c r="AS39" s="68" t="n">
        <f aca="false">AS34+AS35+AS36+AS37+AS38</f>
        <v>-94765.9462864374</v>
      </c>
      <c r="AT39" s="68" t="n">
        <f aca="false">AT34+AT35+AT36+AT37+AT38</f>
        <v>-94765.9462864374</v>
      </c>
      <c r="AU39" s="68" t="n">
        <f aca="false">AU34+AU35+AU36+AU37+AU38</f>
        <v>-94765.9462864374</v>
      </c>
      <c r="AV39" s="68" t="n">
        <f aca="false">AV34+AV35+AV36+AV37+AV38</f>
        <v>-94765.9462864374</v>
      </c>
      <c r="AW39" s="68" t="n">
        <f aca="false">AW34+AW35+AW36+AW37+AW38</f>
        <v>-94765.9462864374</v>
      </c>
      <c r="AX39" s="68" t="n">
        <f aca="false">AX34+AX35+AX36+AX37+AX38</f>
        <v>-94765.9462864374</v>
      </c>
      <c r="AY39" s="68" t="n">
        <f aca="false">AY34+AY35+AY36+AY37+AY38</f>
        <v>-110454.077803913</v>
      </c>
      <c r="AZ39" s="68" t="n">
        <f aca="false">AZ34+AZ35+AZ36+AZ37+AZ38</f>
        <v>-110454.077803913</v>
      </c>
      <c r="BA39" s="68" t="n">
        <f aca="false">BA34+BA35+BA36+BA37+BA38</f>
        <v>-110454.077803913</v>
      </c>
      <c r="BB39" s="68" t="n">
        <f aca="false">BB34+BB35+BB36+BB37+BB38</f>
        <v>-110454.077803913</v>
      </c>
      <c r="BC39" s="68" t="n">
        <f aca="false">BC34+BC35+BC36+BC37+BC38</f>
        <v>-110454.077803913</v>
      </c>
      <c r="BD39" s="68" t="n">
        <f aca="false">BD34+BD35+BD36+BD37+BD38</f>
        <v>-110454.077803913</v>
      </c>
      <c r="BE39" s="68" t="n">
        <f aca="false">BE34+BE35+BE36+BE37+BE38</f>
        <v>-110454.077803913</v>
      </c>
      <c r="BF39" s="68" t="n">
        <f aca="false">BF34+BF35+BF36+BF37+BF38</f>
        <v>-110454.077803913</v>
      </c>
      <c r="BG39" s="68" t="n">
        <f aca="false">BG34+BG35+BG36+BG37+BG38</f>
        <v>-110454.077803913</v>
      </c>
      <c r="BH39" s="68" t="n">
        <f aca="false">BH34+BH35+BH36+BH37+BH38</f>
        <v>-110454.077803913</v>
      </c>
      <c r="BI39" s="68" t="n">
        <f aca="false">BI34+BI35+BI36+BI37+BI38</f>
        <v>-110454.077803913</v>
      </c>
      <c r="BJ39" s="68" t="n">
        <f aca="false">BJ34+BJ35+BJ36+BJ37+BJ38</f>
        <v>-110454.077803913</v>
      </c>
    </row>
    <row r="40" customFormat="false" ht="15" hidden="false" customHeight="false" outlineLevel="0" collapsed="false">
      <c r="A40" s="113" t="s">
        <v>48</v>
      </c>
      <c r="C40" s="68" t="n">
        <f aca="false">C31+C39</f>
        <v>-2581.12</v>
      </c>
      <c r="D40" s="68" t="n">
        <f aca="false">D31+D39</f>
        <v>-2581.12</v>
      </c>
      <c r="E40" s="68" t="n">
        <f aca="false">E31+E39</f>
        <v>-2581.12</v>
      </c>
      <c r="F40" s="68" t="n">
        <f aca="false">F31+F39</f>
        <v>-2581.12</v>
      </c>
      <c r="G40" s="68" t="n">
        <f aca="false">G31+G39</f>
        <v>-2581.12</v>
      </c>
      <c r="H40" s="68" t="n">
        <f aca="false">H31+H39</f>
        <v>-2581.12</v>
      </c>
      <c r="I40" s="68" t="n">
        <f aca="false">I31+I39</f>
        <v>-2581.12</v>
      </c>
      <c r="J40" s="68" t="n">
        <f aca="false">J31+J39</f>
        <v>-2581.12</v>
      </c>
      <c r="K40" s="68" t="n">
        <f aca="false">K31+K39</f>
        <v>-2581.12</v>
      </c>
      <c r="L40" s="68" t="n">
        <f aca="false">L31+L39</f>
        <v>-2581.12</v>
      </c>
      <c r="M40" s="68" t="n">
        <f aca="false">M31+M39</f>
        <v>-2581.12</v>
      </c>
      <c r="N40" s="68" t="n">
        <f aca="false">N31+N39</f>
        <v>-2581.12</v>
      </c>
      <c r="O40" s="68" t="n">
        <f aca="false">O31+O39</f>
        <v>3142.87448000012</v>
      </c>
      <c r="P40" s="68" t="n">
        <f aca="false">P31+P39</f>
        <v>3142.87448000012</v>
      </c>
      <c r="Q40" s="68" t="n">
        <f aca="false">Q31+Q39</f>
        <v>3142.87448000012</v>
      </c>
      <c r="R40" s="68" t="n">
        <f aca="false">R31+R39</f>
        <v>3142.87448000012</v>
      </c>
      <c r="S40" s="68" t="n">
        <f aca="false">S31+S39</f>
        <v>3142.87448000012</v>
      </c>
      <c r="T40" s="68" t="n">
        <f aca="false">T31+T39</f>
        <v>3142.87448000012</v>
      </c>
      <c r="U40" s="68" t="n">
        <f aca="false">U31+U39</f>
        <v>3142.87448000012</v>
      </c>
      <c r="V40" s="68" t="n">
        <f aca="false">V31+V39</f>
        <v>3142.87448000012</v>
      </c>
      <c r="W40" s="68" t="n">
        <f aca="false">W31+W39</f>
        <v>3142.87448000012</v>
      </c>
      <c r="X40" s="68" t="n">
        <f aca="false">X31+X39</f>
        <v>3142.87448000012</v>
      </c>
      <c r="Y40" s="68" t="n">
        <f aca="false">Y31+Y39</f>
        <v>3142.87448000012</v>
      </c>
      <c r="Z40" s="68" t="n">
        <f aca="false">Z31+Z39</f>
        <v>3142.87448000012</v>
      </c>
      <c r="AA40" s="68" t="n">
        <f aca="false">AA31+AA39</f>
        <v>10636.1360886801</v>
      </c>
      <c r="AB40" s="68" t="n">
        <f aca="false">AB31+AB39</f>
        <v>10636.1360886801</v>
      </c>
      <c r="AC40" s="68" t="n">
        <f aca="false">AC31+AC39</f>
        <v>10636.1360886801</v>
      </c>
      <c r="AD40" s="68" t="n">
        <f aca="false">AD31+AD39</f>
        <v>10636.1360886801</v>
      </c>
      <c r="AE40" s="68" t="n">
        <f aca="false">AE31+AE39</f>
        <v>10636.1360886801</v>
      </c>
      <c r="AF40" s="68" t="n">
        <f aca="false">AF31+AF39</f>
        <v>10636.1360886801</v>
      </c>
      <c r="AG40" s="68" t="n">
        <f aca="false">AG31+AG39</f>
        <v>10636.1360886801</v>
      </c>
      <c r="AH40" s="68" t="n">
        <f aca="false">AH31+AH39</f>
        <v>10636.1360886801</v>
      </c>
      <c r="AI40" s="68" t="n">
        <f aca="false">AI31+AI39</f>
        <v>10636.1360886801</v>
      </c>
      <c r="AJ40" s="68" t="n">
        <f aca="false">AJ31+AJ39</f>
        <v>10636.1360886801</v>
      </c>
      <c r="AK40" s="68" t="n">
        <f aca="false">AK31+AK39</f>
        <v>10636.1360886801</v>
      </c>
      <c r="AL40" s="68" t="n">
        <f aca="false">AL31+AL39</f>
        <v>10636.1360886801</v>
      </c>
      <c r="AM40" s="68" t="n">
        <f aca="false">AM31+AM39</f>
        <v>20419.5585464208</v>
      </c>
      <c r="AN40" s="68" t="n">
        <f aca="false">AN31+AN39</f>
        <v>20419.5585464208</v>
      </c>
      <c r="AO40" s="68" t="n">
        <f aca="false">AO31+AO39</f>
        <v>20419.5585464208</v>
      </c>
      <c r="AP40" s="68" t="n">
        <f aca="false">AP31+AP39</f>
        <v>20419.5585464208</v>
      </c>
      <c r="AQ40" s="68" t="n">
        <f aca="false">AQ31+AQ39</f>
        <v>20419.5585464208</v>
      </c>
      <c r="AR40" s="68" t="n">
        <f aca="false">AR31+AR39</f>
        <v>20419.5585464208</v>
      </c>
      <c r="AS40" s="68" t="n">
        <f aca="false">AS31+AS39</f>
        <v>20419.5585464208</v>
      </c>
      <c r="AT40" s="68" t="n">
        <f aca="false">AT31+AT39</f>
        <v>20419.5585464208</v>
      </c>
      <c r="AU40" s="68" t="n">
        <f aca="false">AU31+AU39</f>
        <v>20419.5585464208</v>
      </c>
      <c r="AV40" s="68" t="n">
        <f aca="false">AV31+AV39</f>
        <v>20419.5585464208</v>
      </c>
      <c r="AW40" s="68" t="n">
        <f aca="false">AW31+AW39</f>
        <v>20419.5585464208</v>
      </c>
      <c r="AX40" s="68" t="n">
        <f aca="false">AX31+AX39</f>
        <v>20419.5585464208</v>
      </c>
      <c r="AY40" s="68" t="n">
        <f aca="false">AY31+AY39</f>
        <v>33155.1449621551</v>
      </c>
      <c r="AZ40" s="68" t="n">
        <f aca="false">AZ31+AZ39</f>
        <v>33155.1449621551</v>
      </c>
      <c r="BA40" s="68" t="n">
        <f aca="false">BA31+BA39</f>
        <v>33155.1449621551</v>
      </c>
      <c r="BB40" s="68" t="n">
        <f aca="false">BB31+BB39</f>
        <v>33155.1449621551</v>
      </c>
      <c r="BC40" s="68" t="n">
        <f aca="false">BC31+BC39</f>
        <v>33155.1449621551</v>
      </c>
      <c r="BD40" s="68" t="n">
        <f aca="false">BD31+BD39</f>
        <v>33155.1449621551</v>
      </c>
      <c r="BE40" s="68" t="n">
        <f aca="false">BE31+BE39</f>
        <v>33155.1449621551</v>
      </c>
      <c r="BF40" s="68" t="n">
        <f aca="false">BF31+BF39</f>
        <v>33155.1449621551</v>
      </c>
      <c r="BG40" s="68" t="n">
        <f aca="false">BG31+BG39</f>
        <v>33155.1449621551</v>
      </c>
      <c r="BH40" s="68" t="n">
        <f aca="false">BH31+BH39</f>
        <v>33155.1449621551</v>
      </c>
      <c r="BI40" s="68" t="n">
        <f aca="false">BI31+BI39</f>
        <v>33155.1449621551</v>
      </c>
      <c r="BJ40" s="68" t="n">
        <f aca="false">BJ31+BJ39</f>
        <v>33155.1449621551</v>
      </c>
    </row>
    <row r="42" customFormat="false" ht="15.75" hidden="false" customHeight="true" outlineLevel="0" collapsed="false">
      <c r="A42" s="7" t="s">
        <v>412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customFormat="false" ht="15" hidden="false" customHeight="false" outlineLevel="0" collapsed="false">
      <c r="A43" s="4" t="s">
        <v>79</v>
      </c>
      <c r="C43" s="73" t="n">
        <f aca="false">C40+C54</f>
        <v>-3581.12</v>
      </c>
      <c r="D43" s="73" t="n">
        <f aca="false">D40+D54</f>
        <v>-3581.12</v>
      </c>
      <c r="E43" s="73" t="n">
        <f aca="false">E40+E54</f>
        <v>-3581.12</v>
      </c>
      <c r="F43" s="73" t="n">
        <f aca="false">F40+F54</f>
        <v>-3581.12</v>
      </c>
      <c r="G43" s="73" t="n">
        <f aca="false">G40+G54</f>
        <v>-3581.12</v>
      </c>
      <c r="H43" s="73" t="n">
        <f aca="false">H40+H54</f>
        <v>-3581.12</v>
      </c>
      <c r="I43" s="73" t="n">
        <f aca="false">I40+I54</f>
        <v>-3581.12</v>
      </c>
      <c r="J43" s="73" t="n">
        <f aca="false">J40+J54</f>
        <v>-3581.12</v>
      </c>
      <c r="K43" s="73" t="n">
        <f aca="false">K40+K54</f>
        <v>-3581.12</v>
      </c>
      <c r="L43" s="73" t="n">
        <f aca="false">L40+L54</f>
        <v>-3581.12</v>
      </c>
      <c r="M43" s="73" t="n">
        <f aca="false">M40+M54</f>
        <v>-3581.12</v>
      </c>
      <c r="N43" s="73" t="n">
        <f aca="false">N40+N54</f>
        <v>-3581.12</v>
      </c>
      <c r="O43" s="73" t="n">
        <f aca="false">O40+O54</f>
        <v>2142.87448000012</v>
      </c>
      <c r="P43" s="73" t="n">
        <f aca="false">P40+P54</f>
        <v>2142.87448000012</v>
      </c>
      <c r="Q43" s="73" t="n">
        <f aca="false">Q40+Q54</f>
        <v>2142.87448000012</v>
      </c>
      <c r="R43" s="73" t="n">
        <f aca="false">R40+R54</f>
        <v>2142.87448000012</v>
      </c>
      <c r="S43" s="73" t="n">
        <f aca="false">S40+S54</f>
        <v>2142.87448000012</v>
      </c>
      <c r="T43" s="73" t="n">
        <f aca="false">T40+T54</f>
        <v>2142.87448000012</v>
      </c>
      <c r="U43" s="73" t="n">
        <f aca="false">U40+U54</f>
        <v>2142.87448000012</v>
      </c>
      <c r="V43" s="73" t="n">
        <f aca="false">V40+V54</f>
        <v>2142.87448000012</v>
      </c>
      <c r="W43" s="73" t="n">
        <f aca="false">W40+W54</f>
        <v>2142.87448000012</v>
      </c>
      <c r="X43" s="73" t="n">
        <f aca="false">X40+X54</f>
        <v>2142.87448000012</v>
      </c>
      <c r="Y43" s="73" t="n">
        <f aca="false">Y40+Y54</f>
        <v>2142.87448000012</v>
      </c>
      <c r="Z43" s="73" t="n">
        <f aca="false">Z40+Z54</f>
        <v>2142.87448000012</v>
      </c>
      <c r="AA43" s="73" t="n">
        <f aca="false">AA40+AA54</f>
        <v>9636.1360886801</v>
      </c>
      <c r="AB43" s="73" t="n">
        <f aca="false">AB40+AB54</f>
        <v>9636.1360886801</v>
      </c>
      <c r="AC43" s="73" t="n">
        <f aca="false">AC40+AC54</f>
        <v>9636.1360886801</v>
      </c>
      <c r="AD43" s="73" t="n">
        <f aca="false">AD40+AD54</f>
        <v>9636.1360886801</v>
      </c>
      <c r="AE43" s="73" t="n">
        <f aca="false">AE40+AE54</f>
        <v>9636.1360886801</v>
      </c>
      <c r="AF43" s="73" t="n">
        <f aca="false">AF40+AF54</f>
        <v>9636.1360886801</v>
      </c>
      <c r="AG43" s="73" t="n">
        <f aca="false">AG40+AG54</f>
        <v>9636.1360886801</v>
      </c>
      <c r="AH43" s="73" t="n">
        <f aca="false">AH40+AH54</f>
        <v>9636.1360886801</v>
      </c>
      <c r="AI43" s="73" t="n">
        <f aca="false">AI40+AI54</f>
        <v>9636.1360886801</v>
      </c>
      <c r="AJ43" s="73" t="n">
        <f aca="false">AJ40+AJ54</f>
        <v>9636.1360886801</v>
      </c>
      <c r="AK43" s="73" t="n">
        <f aca="false">AK40+AK54</f>
        <v>9636.1360886801</v>
      </c>
      <c r="AL43" s="73" t="n">
        <f aca="false">AL40+AL54</f>
        <v>9636.1360886801</v>
      </c>
      <c r="AM43" s="73" t="n">
        <f aca="false">AM40+AM54</f>
        <v>19419.5585464208</v>
      </c>
      <c r="AN43" s="73" t="n">
        <f aca="false">AN40+AN54</f>
        <v>19419.5585464208</v>
      </c>
      <c r="AO43" s="73" t="n">
        <f aca="false">AO40+AO54</f>
        <v>19419.5585464208</v>
      </c>
      <c r="AP43" s="73" t="n">
        <f aca="false">AP40+AP54</f>
        <v>19419.5585464208</v>
      </c>
      <c r="AQ43" s="73" t="n">
        <f aca="false">AQ40+AQ54</f>
        <v>19419.5585464208</v>
      </c>
      <c r="AR43" s="73" t="n">
        <f aca="false">AR40+AR54</f>
        <v>19419.5585464208</v>
      </c>
      <c r="AS43" s="73" t="n">
        <f aca="false">AS40+AS54</f>
        <v>19419.5585464208</v>
      </c>
      <c r="AT43" s="73" t="n">
        <f aca="false">AT40+AT54</f>
        <v>19419.5585464208</v>
      </c>
      <c r="AU43" s="73" t="n">
        <f aca="false">AU40+AU54</f>
        <v>19419.5585464208</v>
      </c>
      <c r="AV43" s="73" t="n">
        <f aca="false">AV40+AV54</f>
        <v>19419.5585464208</v>
      </c>
      <c r="AW43" s="73" t="n">
        <f aca="false">AW40+AW54</f>
        <v>19419.5585464208</v>
      </c>
      <c r="AX43" s="73" t="n">
        <f aca="false">AX40+AX54</f>
        <v>19419.5585464208</v>
      </c>
      <c r="AY43" s="73" t="n">
        <f aca="false">AY40+AY54</f>
        <v>32155.1449621551</v>
      </c>
      <c r="AZ43" s="73" t="n">
        <f aca="false">AZ40+AZ54</f>
        <v>32155.1449621551</v>
      </c>
      <c r="BA43" s="73" t="n">
        <f aca="false">BA40+BA54</f>
        <v>32155.1449621551</v>
      </c>
      <c r="BB43" s="73" t="n">
        <f aca="false">BB40+BB54</f>
        <v>32155.1449621551</v>
      </c>
      <c r="BC43" s="73" t="n">
        <f aca="false">BC40+BC54</f>
        <v>32155.1449621551</v>
      </c>
      <c r="BD43" s="73" t="n">
        <f aca="false">BD40+BD54</f>
        <v>32155.1449621551</v>
      </c>
      <c r="BE43" s="73" t="n">
        <f aca="false">BE40+BE54</f>
        <v>32155.1449621551</v>
      </c>
      <c r="BF43" s="73" t="n">
        <f aca="false">BF40+BF54</f>
        <v>32155.1449621551</v>
      </c>
      <c r="BG43" s="73" t="n">
        <f aca="false">BG40+BG54</f>
        <v>32155.1449621551</v>
      </c>
      <c r="BH43" s="73" t="n">
        <f aca="false">BH40+BH54</f>
        <v>32155.1449621551</v>
      </c>
      <c r="BI43" s="73" t="n">
        <f aca="false">BI40+BI54</f>
        <v>32155.1449621551</v>
      </c>
      <c r="BJ43" s="73" t="n">
        <f aca="false">BJ40+BJ54</f>
        <v>32155.1449621551</v>
      </c>
    </row>
    <row r="44" customFormat="false" ht="15" hidden="false" customHeight="false" outlineLevel="0" collapsed="false">
      <c r="A44" s="6" t="s">
        <v>413</v>
      </c>
      <c r="C44" s="67" t="n">
        <f aca="false">-(C59+C60+C62)/2*Inputs!$B$56/12</f>
        <v>-1333.33333333333</v>
      </c>
      <c r="D44" s="67" t="n">
        <f aca="false">-(D59+D60+D62)/2*Inputs!$B$56/12</f>
        <v>-1322.22222222222</v>
      </c>
      <c r="E44" s="67" t="n">
        <f aca="false">-(E59+E60+E62)/2*Inputs!$B$56/12</f>
        <v>-1300</v>
      </c>
      <c r="F44" s="67" t="n">
        <f aca="false">-(F59+F60+F62)/2*Inputs!$B$56/12</f>
        <v>-1277.77777777778</v>
      </c>
      <c r="G44" s="67" t="n">
        <f aca="false">-(G59+G60+G62)/2*Inputs!$B$56/12</f>
        <v>-1255.55555555556</v>
      </c>
      <c r="H44" s="67" t="n">
        <f aca="false">-(H59+H60+H62)/2*Inputs!$B$56/12</f>
        <v>-1233.33333333333</v>
      </c>
      <c r="I44" s="67" t="n">
        <f aca="false">-(I59+I60+I62)/2*Inputs!$B$56/12</f>
        <v>-1211.11111111111</v>
      </c>
      <c r="J44" s="67" t="n">
        <f aca="false">-(J59+J60+J62)/2*Inputs!$B$56/12</f>
        <v>-1188.88888888889</v>
      </c>
      <c r="K44" s="67" t="n">
        <f aca="false">-(K59+K60+K62)/2*Inputs!$B$56/12</f>
        <v>-1166.66666666667</v>
      </c>
      <c r="L44" s="67" t="n">
        <f aca="false">-(L59+L60+L62)/2*Inputs!$B$56/12</f>
        <v>-1144.44444444444</v>
      </c>
      <c r="M44" s="67" t="n">
        <f aca="false">-(M59+M60+M62)/2*Inputs!$B$56/12</f>
        <v>-1122.22222222222</v>
      </c>
      <c r="N44" s="67" t="n">
        <f aca="false">-(N59+N60+N62)/2*Inputs!$B$56/12</f>
        <v>-1100</v>
      </c>
      <c r="O44" s="67" t="n">
        <f aca="false">-(O59+O60+O62)/2*Inputs!$B$56/12</f>
        <v>-1077.77777777778</v>
      </c>
      <c r="P44" s="67" t="n">
        <f aca="false">-(P59+P60+P62)/2*Inputs!$B$56/12</f>
        <v>-1055.55555555555</v>
      </c>
      <c r="Q44" s="67" t="n">
        <f aca="false">-(Q59+Q60+Q62)/2*Inputs!$B$56/12</f>
        <v>-1033.33333333333</v>
      </c>
      <c r="R44" s="67" t="n">
        <f aca="false">-(R59+R60+R62)/2*Inputs!$B$56/12</f>
        <v>-1011.11111111111</v>
      </c>
      <c r="S44" s="67" t="n">
        <f aca="false">-(S59+S60+S62)/2*Inputs!$B$56/12</f>
        <v>-988.888888888888</v>
      </c>
      <c r="T44" s="67" t="n">
        <f aca="false">-(T59+T60+T62)/2*Inputs!$B$56/12</f>
        <v>-966.666666666666</v>
      </c>
      <c r="U44" s="67" t="n">
        <f aca="false">-(U59+U60+U62)/2*Inputs!$B$56/12</f>
        <v>-944.444444444443</v>
      </c>
      <c r="V44" s="67" t="n">
        <f aca="false">-(V59+V60+V62)/2*Inputs!$B$56/12</f>
        <v>-922.222222222221</v>
      </c>
      <c r="W44" s="67" t="n">
        <f aca="false">-(W59+W60+W62)/2*Inputs!$B$56/12</f>
        <v>-899.999999999999</v>
      </c>
      <c r="X44" s="67" t="n">
        <f aca="false">-(X59+X60+X62)/2*Inputs!$B$56/12</f>
        <v>-877.777777777777</v>
      </c>
      <c r="Y44" s="67" t="n">
        <f aca="false">-(Y59+Y60+Y62)/2*Inputs!$B$56/12</f>
        <v>-855.555555555554</v>
      </c>
      <c r="Z44" s="67" t="n">
        <f aca="false">-(Z59+Z60+Z62)/2*Inputs!$B$56/12</f>
        <v>-833.333333333332</v>
      </c>
      <c r="AA44" s="67" t="n">
        <f aca="false">-(AA59+AA60+AA62)/2*Inputs!$B$56/12</f>
        <v>-811.11111111111</v>
      </c>
      <c r="AB44" s="67" t="n">
        <f aca="false">-(AB59+AB60+AB62)/2*Inputs!$B$56/12</f>
        <v>-788.888888888888</v>
      </c>
      <c r="AC44" s="67" t="n">
        <f aca="false">-(AC59+AC60+AC62)/2*Inputs!$B$56/12</f>
        <v>-766.666666666666</v>
      </c>
      <c r="AD44" s="67" t="n">
        <f aca="false">-(AD59+AD60+AD62)/2*Inputs!$B$56/12</f>
        <v>-744.444444444443</v>
      </c>
      <c r="AE44" s="67" t="n">
        <f aca="false">-(AE59+AE60+AE62)/2*Inputs!$B$56/12</f>
        <v>-722.222222222221</v>
      </c>
      <c r="AF44" s="67" t="n">
        <f aca="false">-(AF59+AF60+AF62)/2*Inputs!$B$56/12</f>
        <v>-699.999999999999</v>
      </c>
      <c r="AG44" s="67" t="n">
        <f aca="false">-(AG59+AG60+AG62)/2*Inputs!$B$56/12</f>
        <v>-677.777777777777</v>
      </c>
      <c r="AH44" s="67" t="n">
        <f aca="false">-(AH59+AH60+AH62)/2*Inputs!$B$56/12</f>
        <v>-655.555555555555</v>
      </c>
      <c r="AI44" s="67" t="n">
        <f aca="false">-(AI59+AI60+AI62)/2*Inputs!$B$56/12</f>
        <v>-633.333333333332</v>
      </c>
      <c r="AJ44" s="67" t="n">
        <f aca="false">-(AJ59+AJ60+AJ62)/2*Inputs!$B$56/12</f>
        <v>-611.11111111111</v>
      </c>
      <c r="AK44" s="67" t="n">
        <f aca="false">-(AK59+AK60+AK62)/2*Inputs!$B$56/12</f>
        <v>-588.888888888888</v>
      </c>
      <c r="AL44" s="67" t="n">
        <f aca="false">-(AL59+AL60+AL62)/2*Inputs!$B$56/12</f>
        <v>-566.666666666666</v>
      </c>
      <c r="AM44" s="67" t="n">
        <f aca="false">-(AM59+AM60+AM62)/2*Inputs!$B$56/12</f>
        <v>-544.444444444444</v>
      </c>
      <c r="AN44" s="67" t="n">
        <f aca="false">-(AN59+AN60+AN62)/2*Inputs!$B$56/12</f>
        <v>-522.222222222222</v>
      </c>
      <c r="AO44" s="67" t="n">
        <f aca="false">-(AO59+AO60+AO62)/2*Inputs!$B$56/12</f>
        <v>-499.999999999999</v>
      </c>
      <c r="AP44" s="67" t="n">
        <f aca="false">-(AP59+AP60+AP62)/2*Inputs!$B$56/12</f>
        <v>-477.777777777777</v>
      </c>
      <c r="AQ44" s="67" t="n">
        <f aca="false">-(AQ59+AQ60+AQ62)/2*Inputs!$B$56/12</f>
        <v>-455.555555555555</v>
      </c>
      <c r="AR44" s="67" t="n">
        <f aca="false">-(AR59+AR60+AR62)/2*Inputs!$B$56/12</f>
        <v>-433.333333333333</v>
      </c>
      <c r="AS44" s="67" t="n">
        <f aca="false">-(AS59+AS60+AS62)/2*Inputs!$B$56/12</f>
        <v>-411.11111111111</v>
      </c>
      <c r="AT44" s="67" t="n">
        <f aca="false">-(AT59+AT60+AT62)/2*Inputs!$B$56/12</f>
        <v>-388.888888888888</v>
      </c>
      <c r="AU44" s="67" t="n">
        <f aca="false">-(AU59+AU60+AU62)/2*Inputs!$B$56/12</f>
        <v>-366.666666666666</v>
      </c>
      <c r="AV44" s="67" t="n">
        <f aca="false">-(AV59+AV60+AV62)/2*Inputs!$B$56/12</f>
        <v>-344.444444444444</v>
      </c>
      <c r="AW44" s="67" t="n">
        <f aca="false">-(AW59+AW60+AW62)/2*Inputs!$B$56/12</f>
        <v>-322.222222222222</v>
      </c>
      <c r="AX44" s="67" t="n">
        <f aca="false">-(AX59+AX60+AX62)/2*Inputs!$B$56/12</f>
        <v>-299.999999999999</v>
      </c>
      <c r="AY44" s="67" t="n">
        <f aca="false">-(AY59+AY60+AY62)/2*Inputs!$B$56/12</f>
        <v>-277.777777777777</v>
      </c>
      <c r="AZ44" s="67" t="n">
        <f aca="false">-(AZ59+AZ60+AZ62)/2*Inputs!$B$56/12</f>
        <v>-255.555555555555</v>
      </c>
      <c r="BA44" s="67" t="n">
        <f aca="false">-(BA59+BA60+BA62)/2*Inputs!$B$56/12</f>
        <v>-233.333333333333</v>
      </c>
      <c r="BB44" s="67" t="n">
        <f aca="false">-(BB59+BB60+BB62)/2*Inputs!$B$56/12</f>
        <v>-211.11111111111</v>
      </c>
      <c r="BC44" s="67" t="n">
        <f aca="false">-(BC59+BC60+BC62)/2*Inputs!$B$56/12</f>
        <v>-188.888888888888</v>
      </c>
      <c r="BD44" s="67" t="n">
        <f aca="false">-(BD59+BD60+BD62)/2*Inputs!$B$56/12</f>
        <v>-166.666666666666</v>
      </c>
      <c r="BE44" s="67" t="n">
        <f aca="false">-(BE59+BE60+BE62)/2*Inputs!$B$56/12</f>
        <v>-144.444444444444</v>
      </c>
      <c r="BF44" s="67" t="n">
        <f aca="false">-(BF59+BF60+BF62)/2*Inputs!$B$56/12</f>
        <v>-122.222222222221</v>
      </c>
      <c r="BG44" s="67" t="n">
        <f aca="false">-(BG59+BG60+BG62)/2*Inputs!$B$56/12</f>
        <v>-99.9999999999992</v>
      </c>
      <c r="BH44" s="67" t="n">
        <f aca="false">-(BH59+BH60+BH62)/2*Inputs!$B$56/12</f>
        <v>-77.777777777777</v>
      </c>
      <c r="BI44" s="67" t="n">
        <f aca="false">-(BI59+BI60+BI62)/2*Inputs!$B$56/12</f>
        <v>-55.5555555555548</v>
      </c>
      <c r="BJ44" s="67" t="n">
        <f aca="false">-(BJ59+BJ60+BJ62)/2*Inputs!$B$56/12</f>
        <v>-33.3333333333326</v>
      </c>
    </row>
    <row r="45" customFormat="false" ht="15" hidden="false" customHeight="false" outlineLevel="0" collapsed="false">
      <c r="A45" s="113" t="s">
        <v>81</v>
      </c>
      <c r="C45" s="68" t="n">
        <f aca="false">C43+C44</f>
        <v>-4914.45333333333</v>
      </c>
      <c r="D45" s="68" t="n">
        <f aca="false">D43+D44</f>
        <v>-4903.34222222222</v>
      </c>
      <c r="E45" s="68" t="n">
        <f aca="false">E43+E44</f>
        <v>-4881.12</v>
      </c>
      <c r="F45" s="68" t="n">
        <f aca="false">F43+F44</f>
        <v>-4858.89777777777</v>
      </c>
      <c r="G45" s="68" t="n">
        <f aca="false">G43+G44</f>
        <v>-4836.67555555555</v>
      </c>
      <c r="H45" s="68" t="n">
        <f aca="false">H43+H44</f>
        <v>-4814.45333333333</v>
      </c>
      <c r="I45" s="68" t="n">
        <f aca="false">I43+I44</f>
        <v>-4792.23111111111</v>
      </c>
      <c r="J45" s="68" t="n">
        <f aca="false">J43+J44</f>
        <v>-4770.00888888888</v>
      </c>
      <c r="K45" s="68" t="n">
        <f aca="false">K43+K44</f>
        <v>-4747.78666666666</v>
      </c>
      <c r="L45" s="68" t="n">
        <f aca="false">L43+L44</f>
        <v>-4725.56444444444</v>
      </c>
      <c r="M45" s="68" t="n">
        <f aca="false">M43+M44</f>
        <v>-4703.34222222222</v>
      </c>
      <c r="N45" s="68" t="n">
        <f aca="false">N43+N44</f>
        <v>-4681.11999999999</v>
      </c>
      <c r="O45" s="68" t="n">
        <f aca="false">O43+O44</f>
        <v>1065.09670222234</v>
      </c>
      <c r="P45" s="68" t="n">
        <f aca="false">P43+P44</f>
        <v>1087.31892444456</v>
      </c>
      <c r="Q45" s="68" t="n">
        <f aca="false">Q43+Q44</f>
        <v>1109.54114666678</v>
      </c>
      <c r="R45" s="68" t="n">
        <f aca="false">R43+R44</f>
        <v>1131.76336888901</v>
      </c>
      <c r="S45" s="68" t="n">
        <f aca="false">S43+S44</f>
        <v>1153.98559111123</v>
      </c>
      <c r="T45" s="68" t="n">
        <f aca="false">T43+T44</f>
        <v>1176.20781333345</v>
      </c>
      <c r="U45" s="68" t="n">
        <f aca="false">U43+U44</f>
        <v>1198.43003555567</v>
      </c>
      <c r="V45" s="68" t="n">
        <f aca="false">V43+V44</f>
        <v>1220.65225777789</v>
      </c>
      <c r="W45" s="68" t="n">
        <f aca="false">W43+W44</f>
        <v>1242.87448000012</v>
      </c>
      <c r="X45" s="68" t="n">
        <f aca="false">X43+X44</f>
        <v>1265.09670222234</v>
      </c>
      <c r="Y45" s="68" t="n">
        <f aca="false">Y43+Y44</f>
        <v>1287.31892444456</v>
      </c>
      <c r="Z45" s="68" t="n">
        <f aca="false">Z43+Z44</f>
        <v>1309.54114666678</v>
      </c>
      <c r="AA45" s="68" t="n">
        <f aca="false">AA43+AA44</f>
        <v>8825.02497756899</v>
      </c>
      <c r="AB45" s="68" t="n">
        <f aca="false">AB43+AB44</f>
        <v>8847.24719979121</v>
      </c>
      <c r="AC45" s="68" t="n">
        <f aca="false">AC43+AC44</f>
        <v>8869.46942201343</v>
      </c>
      <c r="AD45" s="68" t="n">
        <f aca="false">AD43+AD44</f>
        <v>8891.69164423565</v>
      </c>
      <c r="AE45" s="68" t="n">
        <f aca="false">AE43+AE44</f>
        <v>8913.91386645788</v>
      </c>
      <c r="AF45" s="68" t="n">
        <f aca="false">AF43+AF44</f>
        <v>8936.1360886801</v>
      </c>
      <c r="AG45" s="68" t="n">
        <f aca="false">AG43+AG44</f>
        <v>8958.35831090232</v>
      </c>
      <c r="AH45" s="68" t="n">
        <f aca="false">AH43+AH44</f>
        <v>8980.58053312454</v>
      </c>
      <c r="AI45" s="68" t="n">
        <f aca="false">AI43+AI44</f>
        <v>9002.80275534677</v>
      </c>
      <c r="AJ45" s="68" t="n">
        <f aca="false">AJ43+AJ44</f>
        <v>9025.02497756899</v>
      </c>
      <c r="AK45" s="68" t="n">
        <f aca="false">AK43+AK44</f>
        <v>9047.24719979121</v>
      </c>
      <c r="AL45" s="68" t="n">
        <f aca="false">AL43+AL44</f>
        <v>9069.46942201343</v>
      </c>
      <c r="AM45" s="68" t="n">
        <f aca="false">AM43+AM44</f>
        <v>18875.1141019764</v>
      </c>
      <c r="AN45" s="68" t="n">
        <f aca="false">AN43+AN44</f>
        <v>18897.3363241986</v>
      </c>
      <c r="AO45" s="68" t="n">
        <f aca="false">AO43+AO44</f>
        <v>18919.5585464208</v>
      </c>
      <c r="AP45" s="68" t="n">
        <f aca="false">AP43+AP44</f>
        <v>18941.780768643</v>
      </c>
      <c r="AQ45" s="68" t="n">
        <f aca="false">AQ43+AQ44</f>
        <v>18964.0029908653</v>
      </c>
      <c r="AR45" s="68" t="n">
        <f aca="false">AR43+AR44</f>
        <v>18986.2252130875</v>
      </c>
      <c r="AS45" s="68" t="n">
        <f aca="false">AS43+AS44</f>
        <v>19008.4474353097</v>
      </c>
      <c r="AT45" s="68" t="n">
        <f aca="false">AT43+AT44</f>
        <v>19030.6696575319</v>
      </c>
      <c r="AU45" s="68" t="n">
        <f aca="false">AU43+AU44</f>
        <v>19052.8918797542</v>
      </c>
      <c r="AV45" s="68" t="n">
        <f aca="false">AV43+AV44</f>
        <v>19075.1141019764</v>
      </c>
      <c r="AW45" s="68" t="n">
        <f aca="false">AW43+AW44</f>
        <v>19097.3363241986</v>
      </c>
      <c r="AX45" s="68" t="n">
        <f aca="false">AX43+AX44</f>
        <v>19119.5585464208</v>
      </c>
      <c r="AY45" s="68" t="n">
        <f aca="false">AY43+AY44</f>
        <v>31877.3671843773</v>
      </c>
      <c r="AZ45" s="68" t="n">
        <f aca="false">AZ43+AZ44</f>
        <v>31899.5894065995</v>
      </c>
      <c r="BA45" s="68" t="n">
        <f aca="false">BA43+BA44</f>
        <v>31921.8116288218</v>
      </c>
      <c r="BB45" s="68" t="n">
        <f aca="false">BB43+BB44</f>
        <v>31944.033851044</v>
      </c>
      <c r="BC45" s="68" t="n">
        <f aca="false">BC43+BC44</f>
        <v>31966.2560732662</v>
      </c>
      <c r="BD45" s="68" t="n">
        <f aca="false">BD43+BD44</f>
        <v>31988.4782954884</v>
      </c>
      <c r="BE45" s="68" t="n">
        <f aca="false">BE43+BE44</f>
        <v>32010.7005177107</v>
      </c>
      <c r="BF45" s="68" t="n">
        <f aca="false">BF43+BF44</f>
        <v>32032.9227399329</v>
      </c>
      <c r="BG45" s="68" t="n">
        <f aca="false">BG43+BG44</f>
        <v>32055.1449621551</v>
      </c>
      <c r="BH45" s="68" t="n">
        <f aca="false">BH43+BH44</f>
        <v>32077.3671843773</v>
      </c>
      <c r="BI45" s="68" t="n">
        <f aca="false">BI43+BI44</f>
        <v>32099.5894065995</v>
      </c>
      <c r="BJ45" s="68" t="n">
        <f aca="false">BJ43+BJ44</f>
        <v>32121.8116288218</v>
      </c>
    </row>
    <row r="46" customFormat="false" ht="15" hidden="false" customHeight="false" outlineLevel="0" collapsed="false">
      <c r="A46" s="120" t="s">
        <v>414</v>
      </c>
      <c r="C46" s="67" t="n">
        <f aca="false">C45</f>
        <v>-4914.45333333333</v>
      </c>
      <c r="D46" s="67" t="n">
        <f aca="false">C46+D45</f>
        <v>-9817.79555555555</v>
      </c>
      <c r="E46" s="67" t="n">
        <f aca="false">D46+E45</f>
        <v>-14698.9155555555</v>
      </c>
      <c r="F46" s="67" t="n">
        <f aca="false">E46+F45</f>
        <v>-19557.8133333333</v>
      </c>
      <c r="G46" s="67" t="n">
        <f aca="false">F46+G45</f>
        <v>-24394.4888888889</v>
      </c>
      <c r="H46" s="67" t="n">
        <f aca="false">G46+H45</f>
        <v>-29208.9422222222</v>
      </c>
      <c r="I46" s="67" t="n">
        <f aca="false">H46+I45</f>
        <v>-34001.1733333333</v>
      </c>
      <c r="J46" s="67" t="n">
        <f aca="false">I46+J45</f>
        <v>-38771.1822222222</v>
      </c>
      <c r="K46" s="67" t="n">
        <f aca="false">J46+K45</f>
        <v>-43518.9688888888</v>
      </c>
      <c r="L46" s="67" t="n">
        <f aca="false">K46+L45</f>
        <v>-48244.5333333333</v>
      </c>
      <c r="M46" s="67" t="n">
        <f aca="false">L46+M45</f>
        <v>-52947.8755555555</v>
      </c>
      <c r="N46" s="67" t="n">
        <f aca="false">M46+N45</f>
        <v>-57628.9955555555</v>
      </c>
      <c r="O46" s="67" t="n">
        <f aca="false">N46+O45</f>
        <v>-56563.8988533332</v>
      </c>
      <c r="P46" s="67" t="n">
        <f aca="false">O46+P45</f>
        <v>-55476.5799288886</v>
      </c>
      <c r="Q46" s="67" t="n">
        <f aca="false">P46+Q45</f>
        <v>-54367.0387822218</v>
      </c>
      <c r="R46" s="67" t="n">
        <f aca="false">Q46+R45</f>
        <v>-53235.2754133328</v>
      </c>
      <c r="S46" s="67" t="n">
        <f aca="false">R46+S45</f>
        <v>-52081.2898222216</v>
      </c>
      <c r="T46" s="67" t="n">
        <f aca="false">S46+T45</f>
        <v>-50905.0820088881</v>
      </c>
      <c r="U46" s="67" t="n">
        <f aca="false">T46+U45</f>
        <v>-49706.6519733325</v>
      </c>
      <c r="V46" s="67" t="n">
        <f aca="false">U46+V45</f>
        <v>-48485.9997155546</v>
      </c>
      <c r="W46" s="67" t="n">
        <f aca="false">V46+W45</f>
        <v>-47243.1252355545</v>
      </c>
      <c r="X46" s="67" t="n">
        <f aca="false">W46+X45</f>
        <v>-45978.0285333321</v>
      </c>
      <c r="Y46" s="67" t="n">
        <f aca="false">X46+Y45</f>
        <v>-44690.7096088876</v>
      </c>
      <c r="Z46" s="67" t="n">
        <f aca="false">Y46+Z45</f>
        <v>-43381.1684622208</v>
      </c>
      <c r="AA46" s="67" t="n">
        <f aca="false">Z46+AA45</f>
        <v>-34556.1434846518</v>
      </c>
      <c r="AB46" s="67" t="n">
        <f aca="false">AA46+AB45</f>
        <v>-25708.8962848606</v>
      </c>
      <c r="AC46" s="67" t="n">
        <f aca="false">AB46+AC45</f>
        <v>-16839.4268628471</v>
      </c>
      <c r="AD46" s="67" t="n">
        <f aca="false">AC46+AD45</f>
        <v>-7947.73521861149</v>
      </c>
      <c r="AE46" s="67" t="n">
        <f aca="false">AD46+AE45</f>
        <v>966.178647846391</v>
      </c>
      <c r="AF46" s="67" t="n">
        <f aca="false">AE46+AF45</f>
        <v>9902.31473652649</v>
      </c>
      <c r="AG46" s="67" t="n">
        <f aca="false">AF46+AG45</f>
        <v>18860.6730474288</v>
      </c>
      <c r="AH46" s="67" t="n">
        <f aca="false">AG46+AH45</f>
        <v>27841.2535805534</v>
      </c>
      <c r="AI46" s="67" t="n">
        <f aca="false">AH46+AI45</f>
        <v>36844.0563359001</v>
      </c>
      <c r="AJ46" s="67" t="n">
        <f aca="false">AI46+AJ45</f>
        <v>45869.0813134691</v>
      </c>
      <c r="AK46" s="67" t="n">
        <f aca="false">AJ46+AK45</f>
        <v>54916.3285132603</v>
      </c>
      <c r="AL46" s="67" t="n">
        <f aca="false">AK46+AL45</f>
        <v>63985.7979352737</v>
      </c>
      <c r="AM46" s="67" t="n">
        <f aca="false">AL46+AM45</f>
        <v>82860.9120372501</v>
      </c>
      <c r="AN46" s="67" t="n">
        <f aca="false">AM46+AN45</f>
        <v>101758.248361449</v>
      </c>
      <c r="AO46" s="67" t="n">
        <f aca="false">AN46+AO45</f>
        <v>120677.80690787</v>
      </c>
      <c r="AP46" s="67" t="n">
        <f aca="false">AO46+AP45</f>
        <v>139619.587676513</v>
      </c>
      <c r="AQ46" s="67" t="n">
        <f aca="false">AP46+AQ45</f>
        <v>158583.590667378</v>
      </c>
      <c r="AR46" s="67" t="n">
        <f aca="false">AQ46+AR45</f>
        <v>177569.815880465</v>
      </c>
      <c r="AS46" s="67" t="n">
        <f aca="false">AR46+AS45</f>
        <v>196578.263315775</v>
      </c>
      <c r="AT46" s="67" t="n">
        <f aca="false">AS46+AT45</f>
        <v>215608.932973307</v>
      </c>
      <c r="AU46" s="67" t="n">
        <f aca="false">AT46+AU45</f>
        <v>234661.824853061</v>
      </c>
      <c r="AV46" s="67" t="n">
        <f aca="false">AU46+AV45</f>
        <v>253736.938955037</v>
      </c>
      <c r="AW46" s="67" t="n">
        <f aca="false">AV46+AW45</f>
        <v>272834.275279236</v>
      </c>
      <c r="AX46" s="67" t="n">
        <f aca="false">AW46+AX45</f>
        <v>291953.833825657</v>
      </c>
      <c r="AY46" s="67" t="n">
        <f aca="false">AX46+AY45</f>
        <v>323831.201010034</v>
      </c>
      <c r="AZ46" s="67" t="n">
        <f aca="false">AY46+AZ45</f>
        <v>355730.790416634</v>
      </c>
      <c r="BA46" s="67" t="n">
        <f aca="false">AZ46+BA45</f>
        <v>387652.602045456</v>
      </c>
      <c r="BB46" s="67" t="n">
        <f aca="false">BA46+BB45</f>
        <v>419596.6358965</v>
      </c>
      <c r="BC46" s="67" t="n">
        <f aca="false">BB46+BC45</f>
        <v>451562.891969766</v>
      </c>
      <c r="BD46" s="67" t="n">
        <f aca="false">BC46+BD45</f>
        <v>483551.370265254</v>
      </c>
      <c r="BE46" s="67" t="n">
        <f aca="false">BD46+BE45</f>
        <v>515562.070782965</v>
      </c>
      <c r="BF46" s="67" t="n">
        <f aca="false">BE46+BF45</f>
        <v>547594.993522898</v>
      </c>
      <c r="BG46" s="67" t="n">
        <f aca="false">BF46+BG45</f>
        <v>579650.138485053</v>
      </c>
      <c r="BH46" s="67" t="n">
        <f aca="false">BG46+BH45</f>
        <v>611727.50566943</v>
      </c>
      <c r="BI46" s="67" t="n">
        <f aca="false">BH46+BI45</f>
        <v>643827.09507603</v>
      </c>
      <c r="BJ46" s="67" t="n">
        <f aca="false">BI46+BJ45</f>
        <v>675948.906704851</v>
      </c>
    </row>
    <row r="47" customFormat="false" ht="15" hidden="false" customHeight="false" outlineLevel="0" collapsed="false">
      <c r="A47" s="120" t="s">
        <v>415</v>
      </c>
      <c r="C47" s="67" t="n">
        <f aca="false">MAX(0,C46)</f>
        <v>0</v>
      </c>
      <c r="D47" s="67" t="n">
        <f aca="false">MAX(C47,D46)</f>
        <v>0</v>
      </c>
      <c r="E47" s="67" t="n">
        <f aca="false">MAX(D47,E46)</f>
        <v>0</v>
      </c>
      <c r="F47" s="67" t="n">
        <f aca="false">MAX(E47,F46)</f>
        <v>0</v>
      </c>
      <c r="G47" s="67" t="n">
        <f aca="false">MAX(F47,G46)</f>
        <v>0</v>
      </c>
      <c r="H47" s="67" t="n">
        <f aca="false">MAX(G47,H46)</f>
        <v>0</v>
      </c>
      <c r="I47" s="67" t="n">
        <f aca="false">MAX(H47,I46)</f>
        <v>0</v>
      </c>
      <c r="J47" s="67" t="n">
        <f aca="false">MAX(I47,J46)</f>
        <v>0</v>
      </c>
      <c r="K47" s="67" t="n">
        <f aca="false">MAX(J47,K46)</f>
        <v>0</v>
      </c>
      <c r="L47" s="67" t="n">
        <f aca="false">MAX(K47,L46)</f>
        <v>0</v>
      </c>
      <c r="M47" s="67" t="n">
        <f aca="false">MAX(L47,M46)</f>
        <v>0</v>
      </c>
      <c r="N47" s="67" t="n">
        <f aca="false">MAX(M47,N46)</f>
        <v>0</v>
      </c>
      <c r="O47" s="67" t="n">
        <f aca="false">MAX(N47,O46)</f>
        <v>0</v>
      </c>
      <c r="P47" s="67" t="n">
        <f aca="false">MAX(O47,P46)</f>
        <v>0</v>
      </c>
      <c r="Q47" s="67" t="n">
        <f aca="false">MAX(P47,Q46)</f>
        <v>0</v>
      </c>
      <c r="R47" s="67" t="n">
        <f aca="false">MAX(Q47,R46)</f>
        <v>0</v>
      </c>
      <c r="S47" s="67" t="n">
        <f aca="false">MAX(R47,S46)</f>
        <v>0</v>
      </c>
      <c r="T47" s="67" t="n">
        <f aca="false">MAX(S47,T46)</f>
        <v>0</v>
      </c>
      <c r="U47" s="67" t="n">
        <f aca="false">MAX(T47,U46)</f>
        <v>0</v>
      </c>
      <c r="V47" s="67" t="n">
        <f aca="false">MAX(U47,V46)</f>
        <v>0</v>
      </c>
      <c r="W47" s="67" t="n">
        <f aca="false">MAX(V47,W46)</f>
        <v>0</v>
      </c>
      <c r="X47" s="67" t="n">
        <f aca="false">MAX(W47,X46)</f>
        <v>0</v>
      </c>
      <c r="Y47" s="67" t="n">
        <f aca="false">MAX(X47,Y46)</f>
        <v>0</v>
      </c>
      <c r="Z47" s="67" t="n">
        <f aca="false">MAX(Y47,Z46)</f>
        <v>0</v>
      </c>
      <c r="AA47" s="67" t="n">
        <f aca="false">MAX(Z47,AA46)</f>
        <v>0</v>
      </c>
      <c r="AB47" s="67" t="n">
        <f aca="false">MAX(AA47,AB46)</f>
        <v>0</v>
      </c>
      <c r="AC47" s="67" t="n">
        <f aca="false">MAX(AB47,AC46)</f>
        <v>0</v>
      </c>
      <c r="AD47" s="67" t="n">
        <f aca="false">MAX(AC47,AD46)</f>
        <v>0</v>
      </c>
      <c r="AE47" s="67" t="n">
        <f aca="false">MAX(AD47,AE46)</f>
        <v>966.178647846391</v>
      </c>
      <c r="AF47" s="67" t="n">
        <f aca="false">MAX(AE47,AF46)</f>
        <v>9902.31473652649</v>
      </c>
      <c r="AG47" s="67" t="n">
        <f aca="false">MAX(AF47,AG46)</f>
        <v>18860.6730474288</v>
      </c>
      <c r="AH47" s="67" t="n">
        <f aca="false">MAX(AG47,AH46)</f>
        <v>27841.2535805534</v>
      </c>
      <c r="AI47" s="67" t="n">
        <f aca="false">MAX(AH47,AI46)</f>
        <v>36844.0563359001</v>
      </c>
      <c r="AJ47" s="67" t="n">
        <f aca="false">MAX(AI47,AJ46)</f>
        <v>45869.0813134691</v>
      </c>
      <c r="AK47" s="67" t="n">
        <f aca="false">MAX(AJ47,AK46)</f>
        <v>54916.3285132603</v>
      </c>
      <c r="AL47" s="67" t="n">
        <f aca="false">MAX(AK47,AL46)</f>
        <v>63985.7979352737</v>
      </c>
      <c r="AM47" s="67" t="n">
        <f aca="false">MAX(AL47,AM46)</f>
        <v>82860.9120372501</v>
      </c>
      <c r="AN47" s="67" t="n">
        <f aca="false">MAX(AM47,AN46)</f>
        <v>101758.248361449</v>
      </c>
      <c r="AO47" s="67" t="n">
        <f aca="false">MAX(AN47,AO46)</f>
        <v>120677.80690787</v>
      </c>
      <c r="AP47" s="67" t="n">
        <f aca="false">MAX(AO47,AP46)</f>
        <v>139619.587676513</v>
      </c>
      <c r="AQ47" s="67" t="n">
        <f aca="false">MAX(AP47,AQ46)</f>
        <v>158583.590667378</v>
      </c>
      <c r="AR47" s="67" t="n">
        <f aca="false">MAX(AQ47,AR46)</f>
        <v>177569.815880465</v>
      </c>
      <c r="AS47" s="67" t="n">
        <f aca="false">MAX(AR47,AS46)</f>
        <v>196578.263315775</v>
      </c>
      <c r="AT47" s="67" t="n">
        <f aca="false">MAX(AS47,AT46)</f>
        <v>215608.932973307</v>
      </c>
      <c r="AU47" s="67" t="n">
        <f aca="false">MAX(AT47,AU46)</f>
        <v>234661.824853061</v>
      </c>
      <c r="AV47" s="67" t="n">
        <f aca="false">MAX(AU47,AV46)</f>
        <v>253736.938955037</v>
      </c>
      <c r="AW47" s="67" t="n">
        <f aca="false">MAX(AV47,AW46)</f>
        <v>272834.275279236</v>
      </c>
      <c r="AX47" s="67" t="n">
        <f aca="false">MAX(AW47,AX46)</f>
        <v>291953.833825657</v>
      </c>
      <c r="AY47" s="67" t="n">
        <f aca="false">MAX(AX47,AY46)</f>
        <v>323831.201010034</v>
      </c>
      <c r="AZ47" s="67" t="n">
        <f aca="false">MAX(AY47,AZ46)</f>
        <v>355730.790416634</v>
      </c>
      <c r="BA47" s="67" t="n">
        <f aca="false">MAX(AZ47,BA46)</f>
        <v>387652.602045456</v>
      </c>
      <c r="BB47" s="67" t="n">
        <f aca="false">MAX(BA47,BB46)</f>
        <v>419596.6358965</v>
      </c>
      <c r="BC47" s="67" t="n">
        <f aca="false">MAX(BB47,BC46)</f>
        <v>451562.891969766</v>
      </c>
      <c r="BD47" s="67" t="n">
        <f aca="false">MAX(BC47,BD46)</f>
        <v>483551.370265254</v>
      </c>
      <c r="BE47" s="67" t="n">
        <f aca="false">MAX(BD47,BE46)</f>
        <v>515562.070782965</v>
      </c>
      <c r="BF47" s="67" t="n">
        <f aca="false">MAX(BE47,BF46)</f>
        <v>547594.993522898</v>
      </c>
      <c r="BG47" s="67" t="n">
        <f aca="false">MAX(BF47,BG46)</f>
        <v>579650.138485053</v>
      </c>
      <c r="BH47" s="67" t="n">
        <f aca="false">MAX(BG47,BH46)</f>
        <v>611727.50566943</v>
      </c>
      <c r="BI47" s="67" t="n">
        <f aca="false">MAX(BH47,BI46)</f>
        <v>643827.09507603</v>
      </c>
      <c r="BJ47" s="67" t="n">
        <f aca="false">MAX(BI47,BJ46)</f>
        <v>675948.906704851</v>
      </c>
    </row>
    <row r="48" customFormat="false" ht="15" hidden="false" customHeight="false" outlineLevel="0" collapsed="false">
      <c r="A48" s="6" t="s">
        <v>82</v>
      </c>
      <c r="C48" s="67" t="n">
        <f aca="false">-C47*Inputs!$B$66</f>
        <v>-0</v>
      </c>
      <c r="D48" s="67" t="n">
        <f aca="false">-(D47-C47)*Inputs!$B$66</f>
        <v>-0</v>
      </c>
      <c r="E48" s="67" t="n">
        <f aca="false">-(E47-D47)*Inputs!$B$66</f>
        <v>-0</v>
      </c>
      <c r="F48" s="67" t="n">
        <f aca="false">-(F47-E47)*Inputs!$B$66</f>
        <v>-0</v>
      </c>
      <c r="G48" s="67" t="n">
        <f aca="false">-(G47-F47)*Inputs!$B$66</f>
        <v>-0</v>
      </c>
      <c r="H48" s="67" t="n">
        <f aca="false">-(H47-G47)*Inputs!$B$66</f>
        <v>-0</v>
      </c>
      <c r="I48" s="67" t="n">
        <f aca="false">-(I47-H47)*Inputs!$B$66</f>
        <v>-0</v>
      </c>
      <c r="J48" s="67" t="n">
        <f aca="false">-(J47-I47)*Inputs!$B$66</f>
        <v>-0</v>
      </c>
      <c r="K48" s="67" t="n">
        <f aca="false">-(K47-J47)*Inputs!$B$66</f>
        <v>-0</v>
      </c>
      <c r="L48" s="67" t="n">
        <f aca="false">-(L47-K47)*Inputs!$B$66</f>
        <v>-0</v>
      </c>
      <c r="M48" s="67" t="n">
        <f aca="false">-(M47-L47)*Inputs!$B$66</f>
        <v>-0</v>
      </c>
      <c r="N48" s="67" t="n">
        <f aca="false">-(N47-M47)*Inputs!$B$66</f>
        <v>-0</v>
      </c>
      <c r="O48" s="67" t="n">
        <f aca="false">-(O47-N47)*Inputs!$B$66</f>
        <v>-0</v>
      </c>
      <c r="P48" s="67" t="n">
        <f aca="false">-(P47-O47)*Inputs!$B$66</f>
        <v>-0</v>
      </c>
      <c r="Q48" s="67" t="n">
        <f aca="false">-(Q47-P47)*Inputs!$B$66</f>
        <v>-0</v>
      </c>
      <c r="R48" s="67" t="n">
        <f aca="false">-(R47-Q47)*Inputs!$B$66</f>
        <v>-0</v>
      </c>
      <c r="S48" s="67" t="n">
        <f aca="false">-(S47-R47)*Inputs!$B$66</f>
        <v>-0</v>
      </c>
      <c r="T48" s="67" t="n">
        <f aca="false">-(T47-S47)*Inputs!$B$66</f>
        <v>-0</v>
      </c>
      <c r="U48" s="67" t="n">
        <f aca="false">-(U47-T47)*Inputs!$B$66</f>
        <v>-0</v>
      </c>
      <c r="V48" s="67" t="n">
        <f aca="false">-(V47-U47)*Inputs!$B$66</f>
        <v>-0</v>
      </c>
      <c r="W48" s="67" t="n">
        <f aca="false">-(W47-V47)*Inputs!$B$66</f>
        <v>-0</v>
      </c>
      <c r="X48" s="67" t="n">
        <f aca="false">-(X47-W47)*Inputs!$B$66</f>
        <v>-0</v>
      </c>
      <c r="Y48" s="67" t="n">
        <f aca="false">-(Y47-X47)*Inputs!$B$66</f>
        <v>-0</v>
      </c>
      <c r="Z48" s="67" t="n">
        <f aca="false">-(Z47-Y47)*Inputs!$B$66</f>
        <v>-0</v>
      </c>
      <c r="AA48" s="67" t="n">
        <f aca="false">-(AA47-Z47)*Inputs!$B$66</f>
        <v>-0</v>
      </c>
      <c r="AB48" s="67" t="n">
        <f aca="false">-(AB47-AA47)*Inputs!$B$66</f>
        <v>-0</v>
      </c>
      <c r="AC48" s="67" t="n">
        <f aca="false">-(AC47-AB47)*Inputs!$B$66</f>
        <v>-0</v>
      </c>
      <c r="AD48" s="67" t="n">
        <f aca="false">-(AD47-AC47)*Inputs!$B$66</f>
        <v>-0</v>
      </c>
      <c r="AE48" s="67" t="n">
        <f aca="false">-(AE47-AD47)*Inputs!$B$66</f>
        <v>-202.897516047742</v>
      </c>
      <c r="AF48" s="67" t="n">
        <f aca="false">-(AF47-AE47)*Inputs!$B$66</f>
        <v>-1876.58857862282</v>
      </c>
      <c r="AG48" s="67" t="n">
        <f aca="false">-(AG47-AF47)*Inputs!$B$66</f>
        <v>-1881.25524528949</v>
      </c>
      <c r="AH48" s="67" t="n">
        <f aca="false">-(AH47-AG47)*Inputs!$B$66</f>
        <v>-1885.92191195615</v>
      </c>
      <c r="AI48" s="67" t="n">
        <f aca="false">-(AI47-AH47)*Inputs!$B$66</f>
        <v>-1890.58857862282</v>
      </c>
      <c r="AJ48" s="67" t="n">
        <f aca="false">-(AJ47-AI47)*Inputs!$B$66</f>
        <v>-1895.25524528949</v>
      </c>
      <c r="AK48" s="67" t="n">
        <f aca="false">-(AK47-AJ47)*Inputs!$B$66</f>
        <v>-1899.92191195615</v>
      </c>
      <c r="AL48" s="67" t="n">
        <f aca="false">-(AL47-AK47)*Inputs!$B$66</f>
        <v>-1904.58857862282</v>
      </c>
      <c r="AM48" s="67" t="n">
        <f aca="false">-(AM47-AL47)*Inputs!$B$66</f>
        <v>-3963.77396141504</v>
      </c>
      <c r="AN48" s="67" t="n">
        <f aca="false">-(AN47-AM47)*Inputs!$B$66</f>
        <v>-3968.4406280817</v>
      </c>
      <c r="AO48" s="67" t="n">
        <f aca="false">-(AO47-AN47)*Inputs!$B$66</f>
        <v>-3973.10729474837</v>
      </c>
      <c r="AP48" s="67" t="n">
        <f aca="false">-(AP47-AO47)*Inputs!$B$66</f>
        <v>-3977.77396141504</v>
      </c>
      <c r="AQ48" s="67" t="n">
        <f aca="false">-(AQ47-AP47)*Inputs!$B$66</f>
        <v>-3982.44062808171</v>
      </c>
      <c r="AR48" s="67" t="n">
        <f aca="false">-(AR47-AQ47)*Inputs!$B$66</f>
        <v>-3987.10729474837</v>
      </c>
      <c r="AS48" s="67" t="n">
        <f aca="false">-(AS47-AR47)*Inputs!$B$66</f>
        <v>-3991.77396141504</v>
      </c>
      <c r="AT48" s="67" t="n">
        <f aca="false">-(AT47-AS47)*Inputs!$B$66</f>
        <v>-3996.4406280817</v>
      </c>
      <c r="AU48" s="67" t="n">
        <f aca="false">-(AU47-AT47)*Inputs!$B$66</f>
        <v>-4001.10729474837</v>
      </c>
      <c r="AV48" s="67" t="n">
        <f aca="false">-(AV47-AU47)*Inputs!$B$66</f>
        <v>-4005.77396141504</v>
      </c>
      <c r="AW48" s="67" t="n">
        <f aca="false">-(AW47-AV47)*Inputs!$B$66</f>
        <v>-4010.4406280817</v>
      </c>
      <c r="AX48" s="67" t="n">
        <f aca="false">-(AX47-AW47)*Inputs!$B$66</f>
        <v>-4015.10729474837</v>
      </c>
      <c r="AY48" s="67" t="n">
        <f aca="false">-(AY47-AX47)*Inputs!$B$66</f>
        <v>-6694.24710871924</v>
      </c>
      <c r="AZ48" s="67" t="n">
        <f aca="false">-(AZ47-AY47)*Inputs!$B$66</f>
        <v>-6698.9137753859</v>
      </c>
      <c r="BA48" s="67" t="n">
        <f aca="false">-(BA47-AZ47)*Inputs!$B$66</f>
        <v>-6703.58044205257</v>
      </c>
      <c r="BB48" s="67" t="n">
        <f aca="false">-(BB47-BA47)*Inputs!$B$66</f>
        <v>-6708.24710871924</v>
      </c>
      <c r="BC48" s="67" t="n">
        <f aca="false">-(BC47-BB47)*Inputs!$B$66</f>
        <v>-6712.9137753859</v>
      </c>
      <c r="BD48" s="67" t="n">
        <f aca="false">-(BD47-BC47)*Inputs!$B$66</f>
        <v>-6717.58044205258</v>
      </c>
      <c r="BE48" s="67" t="n">
        <f aca="false">-(BE47-BD47)*Inputs!$B$66</f>
        <v>-6722.24710871924</v>
      </c>
      <c r="BF48" s="67" t="n">
        <f aca="false">-(BF47-BE47)*Inputs!$B$66</f>
        <v>-6726.91377538591</v>
      </c>
      <c r="BG48" s="67" t="n">
        <f aca="false">-(BG47-BF47)*Inputs!$B$66</f>
        <v>-6731.58044205258</v>
      </c>
      <c r="BH48" s="67" t="n">
        <f aca="false">-(BH47-BG47)*Inputs!$B$66</f>
        <v>-6736.24710871923</v>
      </c>
      <c r="BI48" s="67" t="n">
        <f aca="false">-(BI47-BH47)*Inputs!$B$66</f>
        <v>-6740.9137753859</v>
      </c>
      <c r="BJ48" s="67" t="n">
        <f aca="false">-(BJ47-BI47)*Inputs!$B$66</f>
        <v>-6745.58044205257</v>
      </c>
    </row>
    <row r="49" customFormat="false" ht="15" hidden="false" customHeight="false" outlineLevel="0" collapsed="false">
      <c r="A49" s="113" t="s">
        <v>50</v>
      </c>
      <c r="C49" s="68" t="n">
        <f aca="false">C45+C48</f>
        <v>-4914.45333333333</v>
      </c>
      <c r="D49" s="68" t="n">
        <f aca="false">D45+D48</f>
        <v>-4903.34222222222</v>
      </c>
      <c r="E49" s="68" t="n">
        <f aca="false">E45+E48</f>
        <v>-4881.12</v>
      </c>
      <c r="F49" s="68" t="n">
        <f aca="false">F45+F48</f>
        <v>-4858.89777777777</v>
      </c>
      <c r="G49" s="68" t="n">
        <f aca="false">G45+G48</f>
        <v>-4836.67555555555</v>
      </c>
      <c r="H49" s="68" t="n">
        <f aca="false">H45+H48</f>
        <v>-4814.45333333333</v>
      </c>
      <c r="I49" s="68" t="n">
        <f aca="false">I45+I48</f>
        <v>-4792.23111111111</v>
      </c>
      <c r="J49" s="68" t="n">
        <f aca="false">J45+J48</f>
        <v>-4770.00888888888</v>
      </c>
      <c r="K49" s="68" t="n">
        <f aca="false">K45+K48</f>
        <v>-4747.78666666666</v>
      </c>
      <c r="L49" s="68" t="n">
        <f aca="false">L45+L48</f>
        <v>-4725.56444444444</v>
      </c>
      <c r="M49" s="68" t="n">
        <f aca="false">M45+M48</f>
        <v>-4703.34222222222</v>
      </c>
      <c r="N49" s="68" t="n">
        <f aca="false">N45+N48</f>
        <v>-4681.11999999999</v>
      </c>
      <c r="O49" s="68" t="n">
        <f aca="false">O45+O48</f>
        <v>1065.09670222234</v>
      </c>
      <c r="P49" s="68" t="n">
        <f aca="false">P45+P48</f>
        <v>1087.31892444456</v>
      </c>
      <c r="Q49" s="68" t="n">
        <f aca="false">Q45+Q48</f>
        <v>1109.54114666678</v>
      </c>
      <c r="R49" s="68" t="n">
        <f aca="false">R45+R48</f>
        <v>1131.76336888901</v>
      </c>
      <c r="S49" s="68" t="n">
        <f aca="false">S45+S48</f>
        <v>1153.98559111123</v>
      </c>
      <c r="T49" s="68" t="n">
        <f aca="false">T45+T48</f>
        <v>1176.20781333345</v>
      </c>
      <c r="U49" s="68" t="n">
        <f aca="false">U45+U48</f>
        <v>1198.43003555567</v>
      </c>
      <c r="V49" s="68" t="n">
        <f aca="false">V45+V48</f>
        <v>1220.65225777789</v>
      </c>
      <c r="W49" s="68" t="n">
        <f aca="false">W45+W48</f>
        <v>1242.87448000012</v>
      </c>
      <c r="X49" s="68" t="n">
        <f aca="false">X45+X48</f>
        <v>1265.09670222234</v>
      </c>
      <c r="Y49" s="68" t="n">
        <f aca="false">Y45+Y48</f>
        <v>1287.31892444456</v>
      </c>
      <c r="Z49" s="68" t="n">
        <f aca="false">Z45+Z48</f>
        <v>1309.54114666678</v>
      </c>
      <c r="AA49" s="68" t="n">
        <f aca="false">AA45+AA48</f>
        <v>8825.02497756899</v>
      </c>
      <c r="AB49" s="68" t="n">
        <f aca="false">AB45+AB48</f>
        <v>8847.24719979121</v>
      </c>
      <c r="AC49" s="68" t="n">
        <f aca="false">AC45+AC48</f>
        <v>8869.46942201343</v>
      </c>
      <c r="AD49" s="68" t="n">
        <f aca="false">AD45+AD48</f>
        <v>8891.69164423565</v>
      </c>
      <c r="AE49" s="68" t="n">
        <f aca="false">AE45+AE48</f>
        <v>8711.01635041014</v>
      </c>
      <c r="AF49" s="68" t="n">
        <f aca="false">AF45+AF48</f>
        <v>7059.54751005728</v>
      </c>
      <c r="AG49" s="68" t="n">
        <f aca="false">AG45+AG48</f>
        <v>7077.10306561283</v>
      </c>
      <c r="AH49" s="68" t="n">
        <f aca="false">AH45+AH48</f>
        <v>7094.65862116839</v>
      </c>
      <c r="AI49" s="68" t="n">
        <f aca="false">AI45+AI48</f>
        <v>7112.21417672395</v>
      </c>
      <c r="AJ49" s="68" t="n">
        <f aca="false">AJ45+AJ48</f>
        <v>7129.7697322795</v>
      </c>
      <c r="AK49" s="68" t="n">
        <f aca="false">AK45+AK48</f>
        <v>7147.32528783506</v>
      </c>
      <c r="AL49" s="68" t="n">
        <f aca="false">AL45+AL48</f>
        <v>7164.88084339061</v>
      </c>
      <c r="AM49" s="68" t="n">
        <f aca="false">AM45+AM48</f>
        <v>14911.3401405613</v>
      </c>
      <c r="AN49" s="68" t="n">
        <f aca="false">AN45+AN48</f>
        <v>14928.8956961169</v>
      </c>
      <c r="AO49" s="68" t="n">
        <f aca="false">AO45+AO48</f>
        <v>14946.4512516724</v>
      </c>
      <c r="AP49" s="68" t="n">
        <f aca="false">AP45+AP48</f>
        <v>14964.006807228</v>
      </c>
      <c r="AQ49" s="68" t="n">
        <f aca="false">AQ45+AQ48</f>
        <v>14981.5623627836</v>
      </c>
      <c r="AR49" s="68" t="n">
        <f aca="false">AR45+AR48</f>
        <v>14999.1179183391</v>
      </c>
      <c r="AS49" s="68" t="n">
        <f aca="false">AS45+AS48</f>
        <v>15016.6734738947</v>
      </c>
      <c r="AT49" s="68" t="n">
        <f aca="false">AT45+AT48</f>
        <v>15034.2290294502</v>
      </c>
      <c r="AU49" s="68" t="n">
        <f aca="false">AU45+AU48</f>
        <v>15051.7845850058</v>
      </c>
      <c r="AV49" s="68" t="n">
        <f aca="false">AV45+AV48</f>
        <v>15069.3401405613</v>
      </c>
      <c r="AW49" s="68" t="n">
        <f aca="false">AW45+AW48</f>
        <v>15086.8956961169</v>
      </c>
      <c r="AX49" s="68" t="n">
        <f aca="false">AX45+AX48</f>
        <v>15104.4512516724</v>
      </c>
      <c r="AY49" s="68" t="n">
        <f aca="false">AY45+AY48</f>
        <v>25183.1200756581</v>
      </c>
      <c r="AZ49" s="68" t="n">
        <f aca="false">AZ45+AZ48</f>
        <v>25200.6756312136</v>
      </c>
      <c r="BA49" s="68" t="n">
        <f aca="false">BA45+BA48</f>
        <v>25218.2311867692</v>
      </c>
      <c r="BB49" s="68" t="n">
        <f aca="false">BB45+BB48</f>
        <v>25235.7867423247</v>
      </c>
      <c r="BC49" s="68" t="n">
        <f aca="false">BC45+BC48</f>
        <v>25253.3422978803</v>
      </c>
      <c r="BD49" s="68" t="n">
        <f aca="false">BD45+BD48</f>
        <v>25270.8978534359</v>
      </c>
      <c r="BE49" s="68" t="n">
        <f aca="false">BE45+BE48</f>
        <v>25288.4534089914</v>
      </c>
      <c r="BF49" s="68" t="n">
        <f aca="false">BF45+BF48</f>
        <v>25306.008964547</v>
      </c>
      <c r="BG49" s="68" t="n">
        <f aca="false">BG45+BG48</f>
        <v>25323.5645201025</v>
      </c>
      <c r="BH49" s="68" t="n">
        <f aca="false">BH45+BH48</f>
        <v>25341.1200756581</v>
      </c>
      <c r="BI49" s="68" t="n">
        <f aca="false">BI45+BI48</f>
        <v>25358.6756312136</v>
      </c>
      <c r="BJ49" s="68" t="n">
        <f aca="false">BJ45+BJ48</f>
        <v>25376.2311867692</v>
      </c>
    </row>
    <row r="51" customFormat="false" ht="15.75" hidden="false" customHeight="true" outlineLevel="0" collapsed="false">
      <c r="A51" s="7" t="s">
        <v>416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customFormat="false" ht="15" hidden="false" customHeight="false" outlineLevel="0" collapsed="false">
      <c r="A52" s="6" t="s">
        <v>84</v>
      </c>
      <c r="C52" s="67" t="n">
        <f aca="false">IF(C$6=1,Inputs!$B$31,0)</f>
        <v>60000</v>
      </c>
      <c r="D52" s="67" t="n">
        <f aca="false">IF(D$6=1,Inputs!$B$31,0)</f>
        <v>0</v>
      </c>
      <c r="E52" s="67" t="n">
        <f aca="false">IF(E$6=1,Inputs!$B$31,0)</f>
        <v>0</v>
      </c>
      <c r="F52" s="67" t="n">
        <f aca="false">IF(F$6=1,Inputs!$B$31,0)</f>
        <v>0</v>
      </c>
      <c r="G52" s="67" t="n">
        <f aca="false">IF(G$6=1,Inputs!$B$31,0)</f>
        <v>0</v>
      </c>
      <c r="H52" s="67" t="n">
        <f aca="false">IF(H$6=1,Inputs!$B$31,0)</f>
        <v>0</v>
      </c>
      <c r="I52" s="67" t="n">
        <f aca="false">IF(I$6=1,Inputs!$B$31,0)</f>
        <v>0</v>
      </c>
      <c r="J52" s="67" t="n">
        <f aca="false">IF(J$6=1,Inputs!$B$31,0)</f>
        <v>0</v>
      </c>
      <c r="K52" s="67" t="n">
        <f aca="false">IF(K$6=1,Inputs!$B$31,0)</f>
        <v>0</v>
      </c>
      <c r="L52" s="67" t="n">
        <f aca="false">IF(L$6=1,Inputs!$B$31,0)</f>
        <v>0</v>
      </c>
      <c r="M52" s="67" t="n">
        <f aca="false">IF(M$6=1,Inputs!$B$31,0)</f>
        <v>0</v>
      </c>
      <c r="N52" s="67" t="n">
        <f aca="false">IF(N$6=1,Inputs!$B$31,0)</f>
        <v>0</v>
      </c>
      <c r="O52" s="67" t="n">
        <f aca="false">IF(O$6=1,Inputs!$B$31,0)</f>
        <v>0</v>
      </c>
      <c r="P52" s="67" t="n">
        <f aca="false">IF(P$6=1,Inputs!$B$31,0)</f>
        <v>0</v>
      </c>
      <c r="Q52" s="67" t="n">
        <f aca="false">IF(Q$6=1,Inputs!$B$31,0)</f>
        <v>0</v>
      </c>
      <c r="R52" s="67" t="n">
        <f aca="false">IF(R$6=1,Inputs!$B$31,0)</f>
        <v>0</v>
      </c>
      <c r="S52" s="67" t="n">
        <f aca="false">IF(S$6=1,Inputs!$B$31,0)</f>
        <v>0</v>
      </c>
      <c r="T52" s="67" t="n">
        <f aca="false">IF(T$6=1,Inputs!$B$31,0)</f>
        <v>0</v>
      </c>
      <c r="U52" s="67" t="n">
        <f aca="false">IF(U$6=1,Inputs!$B$31,0)</f>
        <v>0</v>
      </c>
      <c r="V52" s="67" t="n">
        <f aca="false">IF(V$6=1,Inputs!$B$31,0)</f>
        <v>0</v>
      </c>
      <c r="W52" s="67" t="n">
        <f aca="false">IF(W$6=1,Inputs!$B$31,0)</f>
        <v>0</v>
      </c>
      <c r="X52" s="67" t="n">
        <f aca="false">IF(X$6=1,Inputs!$B$31,0)</f>
        <v>0</v>
      </c>
      <c r="Y52" s="67" t="n">
        <f aca="false">IF(Y$6=1,Inputs!$B$31,0)</f>
        <v>0</v>
      </c>
      <c r="Z52" s="67" t="n">
        <f aca="false">IF(Z$6=1,Inputs!$B$31,0)</f>
        <v>0</v>
      </c>
      <c r="AA52" s="67" t="n">
        <f aca="false">IF(AA$6=1,Inputs!$B$31,0)</f>
        <v>0</v>
      </c>
      <c r="AB52" s="67" t="n">
        <f aca="false">IF(AB$6=1,Inputs!$B$31,0)</f>
        <v>0</v>
      </c>
      <c r="AC52" s="67" t="n">
        <f aca="false">IF(AC$6=1,Inputs!$B$31,0)</f>
        <v>0</v>
      </c>
      <c r="AD52" s="67" t="n">
        <f aca="false">IF(AD$6=1,Inputs!$B$31,0)</f>
        <v>0</v>
      </c>
      <c r="AE52" s="67" t="n">
        <f aca="false">IF(AE$6=1,Inputs!$B$31,0)</f>
        <v>0</v>
      </c>
      <c r="AF52" s="67" t="n">
        <f aca="false">IF(AF$6=1,Inputs!$B$31,0)</f>
        <v>0</v>
      </c>
      <c r="AG52" s="67" t="n">
        <f aca="false">IF(AG$6=1,Inputs!$B$31,0)</f>
        <v>0</v>
      </c>
      <c r="AH52" s="67" t="n">
        <f aca="false">IF(AH$6=1,Inputs!$B$31,0)</f>
        <v>0</v>
      </c>
      <c r="AI52" s="67" t="n">
        <f aca="false">IF(AI$6=1,Inputs!$B$31,0)</f>
        <v>0</v>
      </c>
      <c r="AJ52" s="67" t="n">
        <f aca="false">IF(AJ$6=1,Inputs!$B$31,0)</f>
        <v>0</v>
      </c>
      <c r="AK52" s="67" t="n">
        <f aca="false">IF(AK$6=1,Inputs!$B$31,0)</f>
        <v>0</v>
      </c>
      <c r="AL52" s="67" t="n">
        <f aca="false">IF(AL$6=1,Inputs!$B$31,0)</f>
        <v>0</v>
      </c>
      <c r="AM52" s="67" t="n">
        <f aca="false">IF(AM$6=1,Inputs!$B$31,0)</f>
        <v>0</v>
      </c>
      <c r="AN52" s="67" t="n">
        <f aca="false">IF(AN$6=1,Inputs!$B$31,0)</f>
        <v>0</v>
      </c>
      <c r="AO52" s="67" t="n">
        <f aca="false">IF(AO$6=1,Inputs!$B$31,0)</f>
        <v>0</v>
      </c>
      <c r="AP52" s="67" t="n">
        <f aca="false">IF(AP$6=1,Inputs!$B$31,0)</f>
        <v>0</v>
      </c>
      <c r="AQ52" s="67" t="n">
        <f aca="false">IF(AQ$6=1,Inputs!$B$31,0)</f>
        <v>0</v>
      </c>
      <c r="AR52" s="67" t="n">
        <f aca="false">IF(AR$6=1,Inputs!$B$31,0)</f>
        <v>0</v>
      </c>
      <c r="AS52" s="67" t="n">
        <f aca="false">IF(AS$6=1,Inputs!$B$31,0)</f>
        <v>0</v>
      </c>
      <c r="AT52" s="67" t="n">
        <f aca="false">IF(AT$6=1,Inputs!$B$31,0)</f>
        <v>0</v>
      </c>
      <c r="AU52" s="67" t="n">
        <f aca="false">IF(AU$6=1,Inputs!$B$31,0)</f>
        <v>0</v>
      </c>
      <c r="AV52" s="67" t="n">
        <f aca="false">IF(AV$6=1,Inputs!$B$31,0)</f>
        <v>0</v>
      </c>
      <c r="AW52" s="67" t="n">
        <f aca="false">IF(AW$6=1,Inputs!$B$31,0)</f>
        <v>0</v>
      </c>
      <c r="AX52" s="67" t="n">
        <f aca="false">IF(AX$6=1,Inputs!$B$31,0)</f>
        <v>0</v>
      </c>
      <c r="AY52" s="67" t="n">
        <f aca="false">IF(AY$6=1,Inputs!$B$31,0)</f>
        <v>0</v>
      </c>
      <c r="AZ52" s="67" t="n">
        <f aca="false">IF(AZ$6=1,Inputs!$B$31,0)</f>
        <v>0</v>
      </c>
      <c r="BA52" s="67" t="n">
        <f aca="false">IF(BA$6=1,Inputs!$B$31,0)</f>
        <v>0</v>
      </c>
      <c r="BB52" s="67" t="n">
        <f aca="false">IF(BB$6=1,Inputs!$B$31,0)</f>
        <v>0</v>
      </c>
      <c r="BC52" s="67" t="n">
        <f aca="false">IF(BC$6=1,Inputs!$B$31,0)</f>
        <v>0</v>
      </c>
      <c r="BD52" s="67" t="n">
        <f aca="false">IF(BD$6=1,Inputs!$B$31,0)</f>
        <v>0</v>
      </c>
      <c r="BE52" s="67" t="n">
        <f aca="false">IF(BE$6=1,Inputs!$B$31,0)</f>
        <v>0</v>
      </c>
      <c r="BF52" s="67" t="n">
        <f aca="false">IF(BF$6=1,Inputs!$B$31,0)</f>
        <v>0</v>
      </c>
      <c r="BG52" s="67" t="n">
        <f aca="false">IF(BG$6=1,Inputs!$B$31,0)</f>
        <v>0</v>
      </c>
      <c r="BH52" s="67" t="n">
        <f aca="false">IF(BH$6=1,Inputs!$B$31,0)</f>
        <v>0</v>
      </c>
      <c r="BI52" s="67" t="n">
        <f aca="false">IF(BI$6=1,Inputs!$B$31,0)</f>
        <v>0</v>
      </c>
      <c r="BJ52" s="67" t="n">
        <f aca="false">IF(BJ$6=1,Inputs!$B$31,0)</f>
        <v>0</v>
      </c>
    </row>
    <row r="53" customFormat="false" ht="15" hidden="false" customHeight="false" outlineLevel="0" collapsed="false">
      <c r="A53" s="6" t="s">
        <v>417</v>
      </c>
      <c r="C53" s="67" t="n">
        <f aca="false">C52</f>
        <v>60000</v>
      </c>
      <c r="D53" s="67" t="n">
        <f aca="false">C53+D52</f>
        <v>60000</v>
      </c>
      <c r="E53" s="67" t="n">
        <f aca="false">D53+E52</f>
        <v>60000</v>
      </c>
      <c r="F53" s="67" t="n">
        <f aca="false">E53+F52</f>
        <v>60000</v>
      </c>
      <c r="G53" s="67" t="n">
        <f aca="false">F53+G52</f>
        <v>60000</v>
      </c>
      <c r="H53" s="67" t="n">
        <f aca="false">G53+H52</f>
        <v>60000</v>
      </c>
      <c r="I53" s="67" t="n">
        <f aca="false">H53+I52</f>
        <v>60000</v>
      </c>
      <c r="J53" s="67" t="n">
        <f aca="false">I53+J52</f>
        <v>60000</v>
      </c>
      <c r="K53" s="67" t="n">
        <f aca="false">J53+K52</f>
        <v>60000</v>
      </c>
      <c r="L53" s="67" t="n">
        <f aca="false">K53+L52</f>
        <v>60000</v>
      </c>
      <c r="M53" s="67" t="n">
        <f aca="false">L53+M52</f>
        <v>60000</v>
      </c>
      <c r="N53" s="67" t="n">
        <f aca="false">M53+N52</f>
        <v>60000</v>
      </c>
      <c r="O53" s="67" t="n">
        <f aca="false">N53+O52</f>
        <v>60000</v>
      </c>
      <c r="P53" s="67" t="n">
        <f aca="false">O53+P52</f>
        <v>60000</v>
      </c>
      <c r="Q53" s="67" t="n">
        <f aca="false">P53+Q52</f>
        <v>60000</v>
      </c>
      <c r="R53" s="67" t="n">
        <f aca="false">Q53+R52</f>
        <v>60000</v>
      </c>
      <c r="S53" s="67" t="n">
        <f aca="false">R53+S52</f>
        <v>60000</v>
      </c>
      <c r="T53" s="67" t="n">
        <f aca="false">S53+T52</f>
        <v>60000</v>
      </c>
      <c r="U53" s="67" t="n">
        <f aca="false">T53+U52</f>
        <v>60000</v>
      </c>
      <c r="V53" s="67" t="n">
        <f aca="false">U53+V52</f>
        <v>60000</v>
      </c>
      <c r="W53" s="67" t="n">
        <f aca="false">V53+W52</f>
        <v>60000</v>
      </c>
      <c r="X53" s="67" t="n">
        <f aca="false">W53+X52</f>
        <v>60000</v>
      </c>
      <c r="Y53" s="67" t="n">
        <f aca="false">X53+Y52</f>
        <v>60000</v>
      </c>
      <c r="Z53" s="67" t="n">
        <f aca="false">Y53+Z52</f>
        <v>60000</v>
      </c>
      <c r="AA53" s="67" t="n">
        <f aca="false">Z53+AA52</f>
        <v>60000</v>
      </c>
      <c r="AB53" s="67" t="n">
        <f aca="false">AA53+AB52</f>
        <v>60000</v>
      </c>
      <c r="AC53" s="67" t="n">
        <f aca="false">AB53+AC52</f>
        <v>60000</v>
      </c>
      <c r="AD53" s="67" t="n">
        <f aca="false">AC53+AD52</f>
        <v>60000</v>
      </c>
      <c r="AE53" s="67" t="n">
        <f aca="false">AD53+AE52</f>
        <v>60000</v>
      </c>
      <c r="AF53" s="67" t="n">
        <f aca="false">AE53+AF52</f>
        <v>60000</v>
      </c>
      <c r="AG53" s="67" t="n">
        <f aca="false">AF53+AG52</f>
        <v>60000</v>
      </c>
      <c r="AH53" s="67" t="n">
        <f aca="false">AG53+AH52</f>
        <v>60000</v>
      </c>
      <c r="AI53" s="67" t="n">
        <f aca="false">AH53+AI52</f>
        <v>60000</v>
      </c>
      <c r="AJ53" s="67" t="n">
        <f aca="false">AI53+AJ52</f>
        <v>60000</v>
      </c>
      <c r="AK53" s="67" t="n">
        <f aca="false">AJ53+AK52</f>
        <v>60000</v>
      </c>
      <c r="AL53" s="67" t="n">
        <f aca="false">AK53+AL52</f>
        <v>60000</v>
      </c>
      <c r="AM53" s="67" t="n">
        <f aca="false">AL53+AM52</f>
        <v>60000</v>
      </c>
      <c r="AN53" s="67" t="n">
        <f aca="false">AM53+AN52</f>
        <v>60000</v>
      </c>
      <c r="AO53" s="67" t="n">
        <f aca="false">AN53+AO52</f>
        <v>60000</v>
      </c>
      <c r="AP53" s="67" t="n">
        <f aca="false">AO53+AP52</f>
        <v>60000</v>
      </c>
      <c r="AQ53" s="67" t="n">
        <f aca="false">AP53+AQ52</f>
        <v>60000</v>
      </c>
      <c r="AR53" s="67" t="n">
        <f aca="false">AQ53+AR52</f>
        <v>60000</v>
      </c>
      <c r="AS53" s="67" t="n">
        <f aca="false">AR53+AS52</f>
        <v>60000</v>
      </c>
      <c r="AT53" s="67" t="n">
        <f aca="false">AS53+AT52</f>
        <v>60000</v>
      </c>
      <c r="AU53" s="67" t="n">
        <f aca="false">AT53+AU52</f>
        <v>60000</v>
      </c>
      <c r="AV53" s="67" t="n">
        <f aca="false">AU53+AV52</f>
        <v>60000</v>
      </c>
      <c r="AW53" s="67" t="n">
        <f aca="false">AV53+AW52</f>
        <v>60000</v>
      </c>
      <c r="AX53" s="67" t="n">
        <f aca="false">AW53+AX52</f>
        <v>60000</v>
      </c>
      <c r="AY53" s="67" t="n">
        <f aca="false">AX53+AY52</f>
        <v>60000</v>
      </c>
      <c r="AZ53" s="67" t="n">
        <f aca="false">AY53+AZ52</f>
        <v>60000</v>
      </c>
      <c r="BA53" s="67" t="n">
        <f aca="false">AZ53+BA52</f>
        <v>60000</v>
      </c>
      <c r="BB53" s="67" t="n">
        <f aca="false">BA53+BB52</f>
        <v>60000</v>
      </c>
      <c r="BC53" s="67" t="n">
        <f aca="false">BB53+BC52</f>
        <v>60000</v>
      </c>
      <c r="BD53" s="67" t="n">
        <f aca="false">BC53+BD52</f>
        <v>60000</v>
      </c>
      <c r="BE53" s="67" t="n">
        <f aca="false">BD53+BE52</f>
        <v>60000</v>
      </c>
      <c r="BF53" s="67" t="n">
        <f aca="false">BE53+BF52</f>
        <v>60000</v>
      </c>
      <c r="BG53" s="67" t="n">
        <f aca="false">BF53+BG52</f>
        <v>60000</v>
      </c>
      <c r="BH53" s="67" t="n">
        <f aca="false">BG53+BH52</f>
        <v>60000</v>
      </c>
      <c r="BI53" s="67" t="n">
        <f aca="false">BH53+BI52</f>
        <v>60000</v>
      </c>
      <c r="BJ53" s="67" t="n">
        <f aca="false">BI53+BJ52</f>
        <v>60000</v>
      </c>
    </row>
    <row r="54" customFormat="false" ht="15" hidden="false" customHeight="false" outlineLevel="0" collapsed="false">
      <c r="A54" s="6" t="s">
        <v>78</v>
      </c>
      <c r="C54" s="67" t="n">
        <f aca="false">-MIN(C53/MAX(1,Inputs!$B$65*12),C52)</f>
        <v>-1000</v>
      </c>
      <c r="D54" s="67" t="n">
        <f aca="false">-MIN(D53/MAX(1,Inputs!$B$65*12),C56+D52)</f>
        <v>-1000</v>
      </c>
      <c r="E54" s="67" t="n">
        <f aca="false">-MIN(E53/MAX(1,Inputs!$B$65*12),D56+E52)</f>
        <v>-1000</v>
      </c>
      <c r="F54" s="67" t="n">
        <f aca="false">-MIN(F53/MAX(1,Inputs!$B$65*12),E56+F52)</f>
        <v>-1000</v>
      </c>
      <c r="G54" s="67" t="n">
        <f aca="false">-MIN(G53/MAX(1,Inputs!$B$65*12),F56+G52)</f>
        <v>-1000</v>
      </c>
      <c r="H54" s="67" t="n">
        <f aca="false">-MIN(H53/MAX(1,Inputs!$B$65*12),G56+H52)</f>
        <v>-1000</v>
      </c>
      <c r="I54" s="67" t="n">
        <f aca="false">-MIN(I53/MAX(1,Inputs!$B$65*12),H56+I52)</f>
        <v>-1000</v>
      </c>
      <c r="J54" s="67" t="n">
        <f aca="false">-MIN(J53/MAX(1,Inputs!$B$65*12),I56+J52)</f>
        <v>-1000</v>
      </c>
      <c r="K54" s="67" t="n">
        <f aca="false">-MIN(K53/MAX(1,Inputs!$B$65*12),J56+K52)</f>
        <v>-1000</v>
      </c>
      <c r="L54" s="67" t="n">
        <f aca="false">-MIN(L53/MAX(1,Inputs!$B$65*12),K56+L52)</f>
        <v>-1000</v>
      </c>
      <c r="M54" s="67" t="n">
        <f aca="false">-MIN(M53/MAX(1,Inputs!$B$65*12),L56+M52)</f>
        <v>-1000</v>
      </c>
      <c r="N54" s="67" t="n">
        <f aca="false">-MIN(N53/MAX(1,Inputs!$B$65*12),M56+N52)</f>
        <v>-1000</v>
      </c>
      <c r="O54" s="67" t="n">
        <f aca="false">-MIN(O53/MAX(1,Inputs!$B$65*12),N56+O52)</f>
        <v>-1000</v>
      </c>
      <c r="P54" s="67" t="n">
        <f aca="false">-MIN(P53/MAX(1,Inputs!$B$65*12),O56+P52)</f>
        <v>-1000</v>
      </c>
      <c r="Q54" s="67" t="n">
        <f aca="false">-MIN(Q53/MAX(1,Inputs!$B$65*12),P56+Q52)</f>
        <v>-1000</v>
      </c>
      <c r="R54" s="67" t="n">
        <f aca="false">-MIN(R53/MAX(1,Inputs!$B$65*12),Q56+R52)</f>
        <v>-1000</v>
      </c>
      <c r="S54" s="67" t="n">
        <f aca="false">-MIN(S53/MAX(1,Inputs!$B$65*12),R56+S52)</f>
        <v>-1000</v>
      </c>
      <c r="T54" s="67" t="n">
        <f aca="false">-MIN(T53/MAX(1,Inputs!$B$65*12),S56+T52)</f>
        <v>-1000</v>
      </c>
      <c r="U54" s="67" t="n">
        <f aca="false">-MIN(U53/MAX(1,Inputs!$B$65*12),T56+U52)</f>
        <v>-1000</v>
      </c>
      <c r="V54" s="67" t="n">
        <f aca="false">-MIN(V53/MAX(1,Inputs!$B$65*12),U56+V52)</f>
        <v>-1000</v>
      </c>
      <c r="W54" s="67" t="n">
        <f aca="false">-MIN(W53/MAX(1,Inputs!$B$65*12),V56+W52)</f>
        <v>-1000</v>
      </c>
      <c r="X54" s="67" t="n">
        <f aca="false">-MIN(X53/MAX(1,Inputs!$B$65*12),W56+X52)</f>
        <v>-1000</v>
      </c>
      <c r="Y54" s="67" t="n">
        <f aca="false">-MIN(Y53/MAX(1,Inputs!$B$65*12),X56+Y52)</f>
        <v>-1000</v>
      </c>
      <c r="Z54" s="67" t="n">
        <f aca="false">-MIN(Z53/MAX(1,Inputs!$B$65*12),Y56+Z52)</f>
        <v>-1000</v>
      </c>
      <c r="AA54" s="67" t="n">
        <f aca="false">-MIN(AA53/MAX(1,Inputs!$B$65*12),Z56+AA52)</f>
        <v>-1000</v>
      </c>
      <c r="AB54" s="67" t="n">
        <f aca="false">-MIN(AB53/MAX(1,Inputs!$B$65*12),AA56+AB52)</f>
        <v>-1000</v>
      </c>
      <c r="AC54" s="67" t="n">
        <f aca="false">-MIN(AC53/MAX(1,Inputs!$B$65*12),AB56+AC52)</f>
        <v>-1000</v>
      </c>
      <c r="AD54" s="67" t="n">
        <f aca="false">-MIN(AD53/MAX(1,Inputs!$B$65*12),AC56+AD52)</f>
        <v>-1000</v>
      </c>
      <c r="AE54" s="67" t="n">
        <f aca="false">-MIN(AE53/MAX(1,Inputs!$B$65*12),AD56+AE52)</f>
        <v>-1000</v>
      </c>
      <c r="AF54" s="67" t="n">
        <f aca="false">-MIN(AF53/MAX(1,Inputs!$B$65*12),AE56+AF52)</f>
        <v>-1000</v>
      </c>
      <c r="AG54" s="67" t="n">
        <f aca="false">-MIN(AG53/MAX(1,Inputs!$B$65*12),AF56+AG52)</f>
        <v>-1000</v>
      </c>
      <c r="AH54" s="67" t="n">
        <f aca="false">-MIN(AH53/MAX(1,Inputs!$B$65*12),AG56+AH52)</f>
        <v>-1000</v>
      </c>
      <c r="AI54" s="67" t="n">
        <f aca="false">-MIN(AI53/MAX(1,Inputs!$B$65*12),AH56+AI52)</f>
        <v>-1000</v>
      </c>
      <c r="AJ54" s="67" t="n">
        <f aca="false">-MIN(AJ53/MAX(1,Inputs!$B$65*12),AI56+AJ52)</f>
        <v>-1000</v>
      </c>
      <c r="AK54" s="67" t="n">
        <f aca="false">-MIN(AK53/MAX(1,Inputs!$B$65*12),AJ56+AK52)</f>
        <v>-1000</v>
      </c>
      <c r="AL54" s="67" t="n">
        <f aca="false">-MIN(AL53/MAX(1,Inputs!$B$65*12),AK56+AL52)</f>
        <v>-1000</v>
      </c>
      <c r="AM54" s="67" t="n">
        <f aca="false">-MIN(AM53/MAX(1,Inputs!$B$65*12),AL56+AM52)</f>
        <v>-1000</v>
      </c>
      <c r="AN54" s="67" t="n">
        <f aca="false">-MIN(AN53/MAX(1,Inputs!$B$65*12),AM56+AN52)</f>
        <v>-1000</v>
      </c>
      <c r="AO54" s="67" t="n">
        <f aca="false">-MIN(AO53/MAX(1,Inputs!$B$65*12),AN56+AO52)</f>
        <v>-1000</v>
      </c>
      <c r="AP54" s="67" t="n">
        <f aca="false">-MIN(AP53/MAX(1,Inputs!$B$65*12),AO56+AP52)</f>
        <v>-1000</v>
      </c>
      <c r="AQ54" s="67" t="n">
        <f aca="false">-MIN(AQ53/MAX(1,Inputs!$B$65*12),AP56+AQ52)</f>
        <v>-1000</v>
      </c>
      <c r="AR54" s="67" t="n">
        <f aca="false">-MIN(AR53/MAX(1,Inputs!$B$65*12),AQ56+AR52)</f>
        <v>-1000</v>
      </c>
      <c r="AS54" s="67" t="n">
        <f aca="false">-MIN(AS53/MAX(1,Inputs!$B$65*12),AR56+AS52)</f>
        <v>-1000</v>
      </c>
      <c r="AT54" s="67" t="n">
        <f aca="false">-MIN(AT53/MAX(1,Inputs!$B$65*12),AS56+AT52)</f>
        <v>-1000</v>
      </c>
      <c r="AU54" s="67" t="n">
        <f aca="false">-MIN(AU53/MAX(1,Inputs!$B$65*12),AT56+AU52)</f>
        <v>-1000</v>
      </c>
      <c r="AV54" s="67" t="n">
        <f aca="false">-MIN(AV53/MAX(1,Inputs!$B$65*12),AU56+AV52)</f>
        <v>-1000</v>
      </c>
      <c r="AW54" s="67" t="n">
        <f aca="false">-MIN(AW53/MAX(1,Inputs!$B$65*12),AV56+AW52)</f>
        <v>-1000</v>
      </c>
      <c r="AX54" s="67" t="n">
        <f aca="false">-MIN(AX53/MAX(1,Inputs!$B$65*12),AW56+AX52)</f>
        <v>-1000</v>
      </c>
      <c r="AY54" s="67" t="n">
        <f aca="false">-MIN(AY53/MAX(1,Inputs!$B$65*12),AX56+AY52)</f>
        <v>-1000</v>
      </c>
      <c r="AZ54" s="67" t="n">
        <f aca="false">-MIN(AZ53/MAX(1,Inputs!$B$65*12),AY56+AZ52)</f>
        <v>-1000</v>
      </c>
      <c r="BA54" s="67" t="n">
        <f aca="false">-MIN(BA53/MAX(1,Inputs!$B$65*12),AZ56+BA52)</f>
        <v>-1000</v>
      </c>
      <c r="BB54" s="67" t="n">
        <f aca="false">-MIN(BB53/MAX(1,Inputs!$B$65*12),BA56+BB52)</f>
        <v>-1000</v>
      </c>
      <c r="BC54" s="67" t="n">
        <f aca="false">-MIN(BC53/MAX(1,Inputs!$B$65*12),BB56+BC52)</f>
        <v>-1000</v>
      </c>
      <c r="BD54" s="67" t="n">
        <f aca="false">-MIN(BD53/MAX(1,Inputs!$B$65*12),BC56+BD52)</f>
        <v>-1000</v>
      </c>
      <c r="BE54" s="67" t="n">
        <f aca="false">-MIN(BE53/MAX(1,Inputs!$B$65*12),BD56+BE52)</f>
        <v>-1000</v>
      </c>
      <c r="BF54" s="67" t="n">
        <f aca="false">-MIN(BF53/MAX(1,Inputs!$B$65*12),BE56+BF52)</f>
        <v>-1000</v>
      </c>
      <c r="BG54" s="67" t="n">
        <f aca="false">-MIN(BG53/MAX(1,Inputs!$B$65*12),BF56+BG52)</f>
        <v>-1000</v>
      </c>
      <c r="BH54" s="67" t="n">
        <f aca="false">-MIN(BH53/MAX(1,Inputs!$B$65*12),BG56+BH52)</f>
        <v>-1000</v>
      </c>
      <c r="BI54" s="67" t="n">
        <f aca="false">-MIN(BI53/MAX(1,Inputs!$B$65*12),BH56+BI52)</f>
        <v>-1000</v>
      </c>
      <c r="BJ54" s="67" t="n">
        <f aca="false">-MIN(BJ53/MAX(1,Inputs!$B$65*12),BI56+BJ52)</f>
        <v>-1000</v>
      </c>
    </row>
    <row r="55" customFormat="false" ht="15" hidden="false" customHeight="false" outlineLevel="0" collapsed="false">
      <c r="A55" s="6" t="s">
        <v>418</v>
      </c>
      <c r="C55" s="67" t="n">
        <f aca="false">C54</f>
        <v>-1000</v>
      </c>
      <c r="D55" s="67" t="n">
        <f aca="false">C55+D54</f>
        <v>-2000</v>
      </c>
      <c r="E55" s="67" t="n">
        <f aca="false">D55+E54</f>
        <v>-3000</v>
      </c>
      <c r="F55" s="67" t="n">
        <f aca="false">E55+F54</f>
        <v>-4000</v>
      </c>
      <c r="G55" s="67" t="n">
        <f aca="false">F55+G54</f>
        <v>-5000</v>
      </c>
      <c r="H55" s="67" t="n">
        <f aca="false">G55+H54</f>
        <v>-6000</v>
      </c>
      <c r="I55" s="67" t="n">
        <f aca="false">H55+I54</f>
        <v>-7000</v>
      </c>
      <c r="J55" s="67" t="n">
        <f aca="false">I55+J54</f>
        <v>-8000</v>
      </c>
      <c r="K55" s="67" t="n">
        <f aca="false">J55+K54</f>
        <v>-9000</v>
      </c>
      <c r="L55" s="67" t="n">
        <f aca="false">K55+L54</f>
        <v>-10000</v>
      </c>
      <c r="M55" s="67" t="n">
        <f aca="false">L55+M54</f>
        <v>-11000</v>
      </c>
      <c r="N55" s="67" t="n">
        <f aca="false">M55+N54</f>
        <v>-12000</v>
      </c>
      <c r="O55" s="67" t="n">
        <f aca="false">N55+O54</f>
        <v>-13000</v>
      </c>
      <c r="P55" s="67" t="n">
        <f aca="false">O55+P54</f>
        <v>-14000</v>
      </c>
      <c r="Q55" s="67" t="n">
        <f aca="false">P55+Q54</f>
        <v>-15000</v>
      </c>
      <c r="R55" s="67" t="n">
        <f aca="false">Q55+R54</f>
        <v>-16000</v>
      </c>
      <c r="S55" s="67" t="n">
        <f aca="false">R55+S54</f>
        <v>-17000</v>
      </c>
      <c r="T55" s="67" t="n">
        <f aca="false">S55+T54</f>
        <v>-18000</v>
      </c>
      <c r="U55" s="67" t="n">
        <f aca="false">T55+U54</f>
        <v>-19000</v>
      </c>
      <c r="V55" s="67" t="n">
        <f aca="false">U55+V54</f>
        <v>-20000</v>
      </c>
      <c r="W55" s="67" t="n">
        <f aca="false">V55+W54</f>
        <v>-21000</v>
      </c>
      <c r="X55" s="67" t="n">
        <f aca="false">W55+X54</f>
        <v>-22000</v>
      </c>
      <c r="Y55" s="67" t="n">
        <f aca="false">X55+Y54</f>
        <v>-23000</v>
      </c>
      <c r="Z55" s="67" t="n">
        <f aca="false">Y55+Z54</f>
        <v>-24000</v>
      </c>
      <c r="AA55" s="67" t="n">
        <f aca="false">Z55+AA54</f>
        <v>-25000</v>
      </c>
      <c r="AB55" s="67" t="n">
        <f aca="false">AA55+AB54</f>
        <v>-26000</v>
      </c>
      <c r="AC55" s="67" t="n">
        <f aca="false">AB55+AC54</f>
        <v>-27000</v>
      </c>
      <c r="AD55" s="67" t="n">
        <f aca="false">AC55+AD54</f>
        <v>-28000</v>
      </c>
      <c r="AE55" s="67" t="n">
        <f aca="false">AD55+AE54</f>
        <v>-29000</v>
      </c>
      <c r="AF55" s="67" t="n">
        <f aca="false">AE55+AF54</f>
        <v>-30000</v>
      </c>
      <c r="AG55" s="67" t="n">
        <f aca="false">AF55+AG54</f>
        <v>-31000</v>
      </c>
      <c r="AH55" s="67" t="n">
        <f aca="false">AG55+AH54</f>
        <v>-32000</v>
      </c>
      <c r="AI55" s="67" t="n">
        <f aca="false">AH55+AI54</f>
        <v>-33000</v>
      </c>
      <c r="AJ55" s="67" t="n">
        <f aca="false">AI55+AJ54</f>
        <v>-34000</v>
      </c>
      <c r="AK55" s="67" t="n">
        <f aca="false">AJ55+AK54</f>
        <v>-35000</v>
      </c>
      <c r="AL55" s="67" t="n">
        <f aca="false">AK55+AL54</f>
        <v>-36000</v>
      </c>
      <c r="AM55" s="67" t="n">
        <f aca="false">AL55+AM54</f>
        <v>-37000</v>
      </c>
      <c r="AN55" s="67" t="n">
        <f aca="false">AM55+AN54</f>
        <v>-38000</v>
      </c>
      <c r="AO55" s="67" t="n">
        <f aca="false">AN55+AO54</f>
        <v>-39000</v>
      </c>
      <c r="AP55" s="67" t="n">
        <f aca="false">AO55+AP54</f>
        <v>-40000</v>
      </c>
      <c r="AQ55" s="67" t="n">
        <f aca="false">AP55+AQ54</f>
        <v>-41000</v>
      </c>
      <c r="AR55" s="67" t="n">
        <f aca="false">AQ55+AR54</f>
        <v>-42000</v>
      </c>
      <c r="AS55" s="67" t="n">
        <f aca="false">AR55+AS54</f>
        <v>-43000</v>
      </c>
      <c r="AT55" s="67" t="n">
        <f aca="false">AS55+AT54</f>
        <v>-44000</v>
      </c>
      <c r="AU55" s="67" t="n">
        <f aca="false">AT55+AU54</f>
        <v>-45000</v>
      </c>
      <c r="AV55" s="67" t="n">
        <f aca="false">AU55+AV54</f>
        <v>-46000</v>
      </c>
      <c r="AW55" s="67" t="n">
        <f aca="false">AV55+AW54</f>
        <v>-47000</v>
      </c>
      <c r="AX55" s="67" t="n">
        <f aca="false">AW55+AX54</f>
        <v>-48000</v>
      </c>
      <c r="AY55" s="67" t="n">
        <f aca="false">AX55+AY54</f>
        <v>-49000</v>
      </c>
      <c r="AZ55" s="67" t="n">
        <f aca="false">AY55+AZ54</f>
        <v>-50000</v>
      </c>
      <c r="BA55" s="67" t="n">
        <f aca="false">AZ55+BA54</f>
        <v>-51000</v>
      </c>
      <c r="BB55" s="67" t="n">
        <f aca="false">BA55+BB54</f>
        <v>-52000</v>
      </c>
      <c r="BC55" s="67" t="n">
        <f aca="false">BB55+BC54</f>
        <v>-53000</v>
      </c>
      <c r="BD55" s="67" t="n">
        <f aca="false">BC55+BD54</f>
        <v>-54000</v>
      </c>
      <c r="BE55" s="67" t="n">
        <f aca="false">BD55+BE54</f>
        <v>-55000</v>
      </c>
      <c r="BF55" s="67" t="n">
        <f aca="false">BE55+BF54</f>
        <v>-56000</v>
      </c>
      <c r="BG55" s="67" t="n">
        <f aca="false">BF55+BG54</f>
        <v>-57000</v>
      </c>
      <c r="BH55" s="67" t="n">
        <f aca="false">BG55+BH54</f>
        <v>-58000</v>
      </c>
      <c r="BI55" s="67" t="n">
        <f aca="false">BH55+BI54</f>
        <v>-59000</v>
      </c>
      <c r="BJ55" s="67" t="n">
        <f aca="false">BI55+BJ54</f>
        <v>-60000</v>
      </c>
    </row>
    <row r="56" customFormat="false" ht="15" hidden="false" customHeight="false" outlineLevel="0" collapsed="false">
      <c r="A56" s="4" t="s">
        <v>92</v>
      </c>
      <c r="C56" s="73" t="n">
        <f aca="false">C53+C55</f>
        <v>59000</v>
      </c>
      <c r="D56" s="73" t="n">
        <f aca="false">D53+D55</f>
        <v>58000</v>
      </c>
      <c r="E56" s="73" t="n">
        <f aca="false">E53+E55</f>
        <v>57000</v>
      </c>
      <c r="F56" s="73" t="n">
        <f aca="false">F53+F55</f>
        <v>56000</v>
      </c>
      <c r="G56" s="73" t="n">
        <f aca="false">G53+G55</f>
        <v>55000</v>
      </c>
      <c r="H56" s="73" t="n">
        <f aca="false">H53+H55</f>
        <v>54000</v>
      </c>
      <c r="I56" s="73" t="n">
        <f aca="false">I53+I55</f>
        <v>53000</v>
      </c>
      <c r="J56" s="73" t="n">
        <f aca="false">J53+J55</f>
        <v>52000</v>
      </c>
      <c r="K56" s="73" t="n">
        <f aca="false">K53+K55</f>
        <v>51000</v>
      </c>
      <c r="L56" s="73" t="n">
        <f aca="false">L53+L55</f>
        <v>50000</v>
      </c>
      <c r="M56" s="73" t="n">
        <f aca="false">M53+M55</f>
        <v>49000</v>
      </c>
      <c r="N56" s="73" t="n">
        <f aca="false">N53+N55</f>
        <v>48000</v>
      </c>
      <c r="O56" s="73" t="n">
        <f aca="false">O53+O55</f>
        <v>47000</v>
      </c>
      <c r="P56" s="73" t="n">
        <f aca="false">P53+P55</f>
        <v>46000</v>
      </c>
      <c r="Q56" s="73" t="n">
        <f aca="false">Q53+Q55</f>
        <v>45000</v>
      </c>
      <c r="R56" s="73" t="n">
        <f aca="false">R53+R55</f>
        <v>44000</v>
      </c>
      <c r="S56" s="73" t="n">
        <f aca="false">S53+S55</f>
        <v>43000</v>
      </c>
      <c r="T56" s="73" t="n">
        <f aca="false">T53+T55</f>
        <v>42000</v>
      </c>
      <c r="U56" s="73" t="n">
        <f aca="false">U53+U55</f>
        <v>41000</v>
      </c>
      <c r="V56" s="73" t="n">
        <f aca="false">V53+V55</f>
        <v>40000</v>
      </c>
      <c r="W56" s="73" t="n">
        <f aca="false">W53+W55</f>
        <v>39000</v>
      </c>
      <c r="X56" s="73" t="n">
        <f aca="false">X53+X55</f>
        <v>38000</v>
      </c>
      <c r="Y56" s="73" t="n">
        <f aca="false">Y53+Y55</f>
        <v>37000</v>
      </c>
      <c r="Z56" s="73" t="n">
        <f aca="false">Z53+Z55</f>
        <v>36000</v>
      </c>
      <c r="AA56" s="73" t="n">
        <f aca="false">AA53+AA55</f>
        <v>35000</v>
      </c>
      <c r="AB56" s="73" t="n">
        <f aca="false">AB53+AB55</f>
        <v>34000</v>
      </c>
      <c r="AC56" s="73" t="n">
        <f aca="false">AC53+AC55</f>
        <v>33000</v>
      </c>
      <c r="AD56" s="73" t="n">
        <f aca="false">AD53+AD55</f>
        <v>32000</v>
      </c>
      <c r="AE56" s="73" t="n">
        <f aca="false">AE53+AE55</f>
        <v>31000</v>
      </c>
      <c r="AF56" s="73" t="n">
        <f aca="false">AF53+AF55</f>
        <v>30000</v>
      </c>
      <c r="AG56" s="73" t="n">
        <f aca="false">AG53+AG55</f>
        <v>29000</v>
      </c>
      <c r="AH56" s="73" t="n">
        <f aca="false">AH53+AH55</f>
        <v>28000</v>
      </c>
      <c r="AI56" s="73" t="n">
        <f aca="false">AI53+AI55</f>
        <v>27000</v>
      </c>
      <c r="AJ56" s="73" t="n">
        <f aca="false">AJ53+AJ55</f>
        <v>26000</v>
      </c>
      <c r="AK56" s="73" t="n">
        <f aca="false">AK53+AK55</f>
        <v>25000</v>
      </c>
      <c r="AL56" s="73" t="n">
        <f aca="false">AL53+AL55</f>
        <v>24000</v>
      </c>
      <c r="AM56" s="73" t="n">
        <f aca="false">AM53+AM55</f>
        <v>23000</v>
      </c>
      <c r="AN56" s="73" t="n">
        <f aca="false">AN53+AN55</f>
        <v>22000</v>
      </c>
      <c r="AO56" s="73" t="n">
        <f aca="false">AO53+AO55</f>
        <v>21000</v>
      </c>
      <c r="AP56" s="73" t="n">
        <f aca="false">AP53+AP55</f>
        <v>20000</v>
      </c>
      <c r="AQ56" s="73" t="n">
        <f aca="false">AQ53+AQ55</f>
        <v>19000</v>
      </c>
      <c r="AR56" s="73" t="n">
        <f aca="false">AR53+AR55</f>
        <v>18000</v>
      </c>
      <c r="AS56" s="73" t="n">
        <f aca="false">AS53+AS55</f>
        <v>17000</v>
      </c>
      <c r="AT56" s="73" t="n">
        <f aca="false">AT53+AT55</f>
        <v>16000</v>
      </c>
      <c r="AU56" s="73" t="n">
        <f aca="false">AU53+AU55</f>
        <v>15000</v>
      </c>
      <c r="AV56" s="73" t="n">
        <f aca="false">AV53+AV55</f>
        <v>14000</v>
      </c>
      <c r="AW56" s="73" t="n">
        <f aca="false">AW53+AW55</f>
        <v>13000</v>
      </c>
      <c r="AX56" s="73" t="n">
        <f aca="false">AX53+AX55</f>
        <v>12000</v>
      </c>
      <c r="AY56" s="73" t="n">
        <f aca="false">AY53+AY55</f>
        <v>11000</v>
      </c>
      <c r="AZ56" s="73" t="n">
        <f aca="false">AZ53+AZ55</f>
        <v>10000</v>
      </c>
      <c r="BA56" s="73" t="n">
        <f aca="false">BA53+BA55</f>
        <v>9000</v>
      </c>
      <c r="BB56" s="73" t="n">
        <f aca="false">BB53+BB55</f>
        <v>8000</v>
      </c>
      <c r="BC56" s="73" t="n">
        <f aca="false">BC53+BC55</f>
        <v>7000</v>
      </c>
      <c r="BD56" s="73" t="n">
        <f aca="false">BD53+BD55</f>
        <v>6000</v>
      </c>
      <c r="BE56" s="73" t="n">
        <f aca="false">BE53+BE55</f>
        <v>5000</v>
      </c>
      <c r="BF56" s="73" t="n">
        <f aca="false">BF53+BF55</f>
        <v>4000</v>
      </c>
      <c r="BG56" s="73" t="n">
        <f aca="false">BG53+BG55</f>
        <v>3000</v>
      </c>
      <c r="BH56" s="73" t="n">
        <f aca="false">BH53+BH55</f>
        <v>2000</v>
      </c>
      <c r="BI56" s="73" t="n">
        <f aca="false">BI53+BI55</f>
        <v>1000</v>
      </c>
      <c r="BJ56" s="73" t="n">
        <f aca="false">BJ53+BJ55</f>
        <v>0</v>
      </c>
    </row>
    <row r="58" customFormat="false" ht="15.75" hidden="false" customHeight="true" outlineLevel="0" collapsed="false">
      <c r="A58" s="7" t="s">
        <v>419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customFormat="false" ht="15" hidden="false" customHeight="false" outlineLevel="0" collapsed="false">
      <c r="A59" s="6" t="s">
        <v>420</v>
      </c>
      <c r="C59" s="67" t="n">
        <f aca="false">0</f>
        <v>0</v>
      </c>
      <c r="D59" s="67" t="n">
        <f aca="false">C62</f>
        <v>200000</v>
      </c>
      <c r="E59" s="67" t="n">
        <f aca="false">D62</f>
        <v>196666.666666667</v>
      </c>
      <c r="F59" s="67" t="n">
        <f aca="false">E62</f>
        <v>193333.333333333</v>
      </c>
      <c r="G59" s="67" t="n">
        <f aca="false">F62</f>
        <v>190000</v>
      </c>
      <c r="H59" s="67" t="n">
        <f aca="false">G62</f>
        <v>186666.666666667</v>
      </c>
      <c r="I59" s="67" t="n">
        <f aca="false">H62</f>
        <v>183333.333333333</v>
      </c>
      <c r="J59" s="67" t="n">
        <f aca="false">I62</f>
        <v>180000</v>
      </c>
      <c r="K59" s="67" t="n">
        <f aca="false">J62</f>
        <v>176666.666666667</v>
      </c>
      <c r="L59" s="67" t="n">
        <f aca="false">K62</f>
        <v>173333.333333333</v>
      </c>
      <c r="M59" s="67" t="n">
        <f aca="false">L62</f>
        <v>170000</v>
      </c>
      <c r="N59" s="67" t="n">
        <f aca="false">M62</f>
        <v>166666.666666667</v>
      </c>
      <c r="O59" s="67" t="n">
        <f aca="false">N62</f>
        <v>163333.333333333</v>
      </c>
      <c r="P59" s="67" t="n">
        <f aca="false">O62</f>
        <v>160000</v>
      </c>
      <c r="Q59" s="67" t="n">
        <f aca="false">P62</f>
        <v>156666.666666667</v>
      </c>
      <c r="R59" s="67" t="n">
        <f aca="false">Q62</f>
        <v>153333.333333333</v>
      </c>
      <c r="S59" s="67" t="n">
        <f aca="false">R62</f>
        <v>150000</v>
      </c>
      <c r="T59" s="67" t="n">
        <f aca="false">S62</f>
        <v>146666.666666667</v>
      </c>
      <c r="U59" s="67" t="n">
        <f aca="false">T62</f>
        <v>143333.333333333</v>
      </c>
      <c r="V59" s="67" t="n">
        <f aca="false">U62</f>
        <v>140000</v>
      </c>
      <c r="W59" s="67" t="n">
        <f aca="false">V62</f>
        <v>136666.666666666</v>
      </c>
      <c r="X59" s="67" t="n">
        <f aca="false">W62</f>
        <v>133333.333333333</v>
      </c>
      <c r="Y59" s="67" t="n">
        <f aca="false">X62</f>
        <v>130000</v>
      </c>
      <c r="Z59" s="67" t="n">
        <f aca="false">Y62</f>
        <v>126666.666666666</v>
      </c>
      <c r="AA59" s="67" t="n">
        <f aca="false">Z62</f>
        <v>123333.333333333</v>
      </c>
      <c r="AB59" s="67" t="n">
        <f aca="false">AA62</f>
        <v>120000</v>
      </c>
      <c r="AC59" s="67" t="n">
        <f aca="false">AB62</f>
        <v>116666.666666667</v>
      </c>
      <c r="AD59" s="67" t="n">
        <f aca="false">AC62</f>
        <v>113333.333333333</v>
      </c>
      <c r="AE59" s="67" t="n">
        <f aca="false">AD62</f>
        <v>110000</v>
      </c>
      <c r="AF59" s="67" t="n">
        <f aca="false">AE62</f>
        <v>106666.666666667</v>
      </c>
      <c r="AG59" s="67" t="n">
        <f aca="false">AF62</f>
        <v>103333.333333333</v>
      </c>
      <c r="AH59" s="67" t="n">
        <f aca="false">AG62</f>
        <v>99999.9999999999</v>
      </c>
      <c r="AI59" s="67" t="n">
        <f aca="false">AH62</f>
        <v>96666.6666666665</v>
      </c>
      <c r="AJ59" s="67" t="n">
        <f aca="false">AI62</f>
        <v>93333.3333333332</v>
      </c>
      <c r="AK59" s="67" t="n">
        <f aca="false">AJ62</f>
        <v>89999.9999999999</v>
      </c>
      <c r="AL59" s="67" t="n">
        <f aca="false">AK62</f>
        <v>86666.6666666665</v>
      </c>
      <c r="AM59" s="67" t="n">
        <f aca="false">AL62</f>
        <v>83333.3333333332</v>
      </c>
      <c r="AN59" s="67" t="n">
        <f aca="false">AM62</f>
        <v>79999.9999999999</v>
      </c>
      <c r="AO59" s="67" t="n">
        <f aca="false">AN62</f>
        <v>76666.6666666666</v>
      </c>
      <c r="AP59" s="67" t="n">
        <f aca="false">AO62</f>
        <v>73333.3333333332</v>
      </c>
      <c r="AQ59" s="67" t="n">
        <f aca="false">AP62</f>
        <v>69999.9999999999</v>
      </c>
      <c r="AR59" s="67" t="n">
        <f aca="false">AQ62</f>
        <v>66666.6666666666</v>
      </c>
      <c r="AS59" s="67" t="n">
        <f aca="false">AR62</f>
        <v>63333.3333333332</v>
      </c>
      <c r="AT59" s="67" t="n">
        <f aca="false">AS62</f>
        <v>59999.9999999999</v>
      </c>
      <c r="AU59" s="67" t="n">
        <f aca="false">AT62</f>
        <v>56666.6666666666</v>
      </c>
      <c r="AV59" s="67" t="n">
        <f aca="false">AU62</f>
        <v>53333.3333333332</v>
      </c>
      <c r="AW59" s="67" t="n">
        <f aca="false">AV62</f>
        <v>49999.9999999999</v>
      </c>
      <c r="AX59" s="67" t="n">
        <f aca="false">AW62</f>
        <v>46666.6666666666</v>
      </c>
      <c r="AY59" s="67" t="n">
        <f aca="false">AX62</f>
        <v>43333.3333333332</v>
      </c>
      <c r="AZ59" s="67" t="n">
        <f aca="false">AY62</f>
        <v>39999.9999999999</v>
      </c>
      <c r="BA59" s="67" t="n">
        <f aca="false">AZ62</f>
        <v>36666.6666666666</v>
      </c>
      <c r="BB59" s="67" t="n">
        <f aca="false">BA62</f>
        <v>33333.3333333332</v>
      </c>
      <c r="BC59" s="67" t="n">
        <f aca="false">BB62</f>
        <v>29999.9999999999</v>
      </c>
      <c r="BD59" s="67" t="n">
        <f aca="false">BC62</f>
        <v>26666.6666666665</v>
      </c>
      <c r="BE59" s="67" t="n">
        <f aca="false">BD62</f>
        <v>23333.3333333332</v>
      </c>
      <c r="BF59" s="67" t="n">
        <f aca="false">BE62</f>
        <v>19999.9999999999</v>
      </c>
      <c r="BG59" s="67" t="n">
        <f aca="false">BF62</f>
        <v>16666.6666666666</v>
      </c>
      <c r="BH59" s="67" t="n">
        <f aca="false">BG62</f>
        <v>13333.3333333332</v>
      </c>
      <c r="BI59" s="67" t="n">
        <f aca="false">BH62</f>
        <v>9999.99999999988</v>
      </c>
      <c r="BJ59" s="67" t="n">
        <f aca="false">BI62</f>
        <v>6666.66666666655</v>
      </c>
    </row>
    <row r="60" customFormat="false" ht="15" hidden="false" customHeight="false" outlineLevel="0" collapsed="false">
      <c r="A60" s="6" t="s">
        <v>85</v>
      </c>
      <c r="C60" s="67" t="n">
        <f aca="false">IF(C$6=1,Inputs!$B$55,0)</f>
        <v>200000</v>
      </c>
      <c r="D60" s="67" t="n">
        <f aca="false">IF(D$6=1,Inputs!$B$55,0)</f>
        <v>0</v>
      </c>
      <c r="E60" s="67" t="n">
        <f aca="false">IF(E$6=1,Inputs!$B$55,0)</f>
        <v>0</v>
      </c>
      <c r="F60" s="67" t="n">
        <f aca="false">IF(F$6=1,Inputs!$B$55,0)</f>
        <v>0</v>
      </c>
      <c r="G60" s="67" t="n">
        <f aca="false">IF(G$6=1,Inputs!$B$55,0)</f>
        <v>0</v>
      </c>
      <c r="H60" s="67" t="n">
        <f aca="false">IF(H$6=1,Inputs!$B$55,0)</f>
        <v>0</v>
      </c>
      <c r="I60" s="67" t="n">
        <f aca="false">IF(I$6=1,Inputs!$B$55,0)</f>
        <v>0</v>
      </c>
      <c r="J60" s="67" t="n">
        <f aca="false">IF(J$6=1,Inputs!$B$55,0)</f>
        <v>0</v>
      </c>
      <c r="K60" s="67" t="n">
        <f aca="false">IF(K$6=1,Inputs!$B$55,0)</f>
        <v>0</v>
      </c>
      <c r="L60" s="67" t="n">
        <f aca="false">IF(L$6=1,Inputs!$B$55,0)</f>
        <v>0</v>
      </c>
      <c r="M60" s="67" t="n">
        <f aca="false">IF(M$6=1,Inputs!$B$55,0)</f>
        <v>0</v>
      </c>
      <c r="N60" s="67" t="n">
        <f aca="false">IF(N$6=1,Inputs!$B$55,0)</f>
        <v>0</v>
      </c>
      <c r="O60" s="67" t="n">
        <f aca="false">IF(O$6=1,Inputs!$B$55,0)</f>
        <v>0</v>
      </c>
      <c r="P60" s="67" t="n">
        <f aca="false">IF(P$6=1,Inputs!$B$55,0)</f>
        <v>0</v>
      </c>
      <c r="Q60" s="67" t="n">
        <f aca="false">IF(Q$6=1,Inputs!$B$55,0)</f>
        <v>0</v>
      </c>
      <c r="R60" s="67" t="n">
        <f aca="false">IF(R$6=1,Inputs!$B$55,0)</f>
        <v>0</v>
      </c>
      <c r="S60" s="67" t="n">
        <f aca="false">IF(S$6=1,Inputs!$B$55,0)</f>
        <v>0</v>
      </c>
      <c r="T60" s="67" t="n">
        <f aca="false">IF(T$6=1,Inputs!$B$55,0)</f>
        <v>0</v>
      </c>
      <c r="U60" s="67" t="n">
        <f aca="false">IF(U$6=1,Inputs!$B$55,0)</f>
        <v>0</v>
      </c>
      <c r="V60" s="67" t="n">
        <f aca="false">IF(V$6=1,Inputs!$B$55,0)</f>
        <v>0</v>
      </c>
      <c r="W60" s="67" t="n">
        <f aca="false">IF(W$6=1,Inputs!$B$55,0)</f>
        <v>0</v>
      </c>
      <c r="X60" s="67" t="n">
        <f aca="false">IF(X$6=1,Inputs!$B$55,0)</f>
        <v>0</v>
      </c>
      <c r="Y60" s="67" t="n">
        <f aca="false">IF(Y$6=1,Inputs!$B$55,0)</f>
        <v>0</v>
      </c>
      <c r="Z60" s="67" t="n">
        <f aca="false">IF(Z$6=1,Inputs!$B$55,0)</f>
        <v>0</v>
      </c>
      <c r="AA60" s="67" t="n">
        <f aca="false">IF(AA$6=1,Inputs!$B$55,0)</f>
        <v>0</v>
      </c>
      <c r="AB60" s="67" t="n">
        <f aca="false">IF(AB$6=1,Inputs!$B$55,0)</f>
        <v>0</v>
      </c>
      <c r="AC60" s="67" t="n">
        <f aca="false">IF(AC$6=1,Inputs!$B$55,0)</f>
        <v>0</v>
      </c>
      <c r="AD60" s="67" t="n">
        <f aca="false">IF(AD$6=1,Inputs!$B$55,0)</f>
        <v>0</v>
      </c>
      <c r="AE60" s="67" t="n">
        <f aca="false">IF(AE$6=1,Inputs!$B$55,0)</f>
        <v>0</v>
      </c>
      <c r="AF60" s="67" t="n">
        <f aca="false">IF(AF$6=1,Inputs!$B$55,0)</f>
        <v>0</v>
      </c>
      <c r="AG60" s="67" t="n">
        <f aca="false">IF(AG$6=1,Inputs!$B$55,0)</f>
        <v>0</v>
      </c>
      <c r="AH60" s="67" t="n">
        <f aca="false">IF(AH$6=1,Inputs!$B$55,0)</f>
        <v>0</v>
      </c>
      <c r="AI60" s="67" t="n">
        <f aca="false">IF(AI$6=1,Inputs!$B$55,0)</f>
        <v>0</v>
      </c>
      <c r="AJ60" s="67" t="n">
        <f aca="false">IF(AJ$6=1,Inputs!$B$55,0)</f>
        <v>0</v>
      </c>
      <c r="AK60" s="67" t="n">
        <f aca="false">IF(AK$6=1,Inputs!$B$55,0)</f>
        <v>0</v>
      </c>
      <c r="AL60" s="67" t="n">
        <f aca="false">IF(AL$6=1,Inputs!$B$55,0)</f>
        <v>0</v>
      </c>
      <c r="AM60" s="67" t="n">
        <f aca="false">IF(AM$6=1,Inputs!$B$55,0)</f>
        <v>0</v>
      </c>
      <c r="AN60" s="67" t="n">
        <f aca="false">IF(AN$6=1,Inputs!$B$55,0)</f>
        <v>0</v>
      </c>
      <c r="AO60" s="67" t="n">
        <f aca="false">IF(AO$6=1,Inputs!$B$55,0)</f>
        <v>0</v>
      </c>
      <c r="AP60" s="67" t="n">
        <f aca="false">IF(AP$6=1,Inputs!$B$55,0)</f>
        <v>0</v>
      </c>
      <c r="AQ60" s="67" t="n">
        <f aca="false">IF(AQ$6=1,Inputs!$B$55,0)</f>
        <v>0</v>
      </c>
      <c r="AR60" s="67" t="n">
        <f aca="false">IF(AR$6=1,Inputs!$B$55,0)</f>
        <v>0</v>
      </c>
      <c r="AS60" s="67" t="n">
        <f aca="false">IF(AS$6=1,Inputs!$B$55,0)</f>
        <v>0</v>
      </c>
      <c r="AT60" s="67" t="n">
        <f aca="false">IF(AT$6=1,Inputs!$B$55,0)</f>
        <v>0</v>
      </c>
      <c r="AU60" s="67" t="n">
        <f aca="false">IF(AU$6=1,Inputs!$B$55,0)</f>
        <v>0</v>
      </c>
      <c r="AV60" s="67" t="n">
        <f aca="false">IF(AV$6=1,Inputs!$B$55,0)</f>
        <v>0</v>
      </c>
      <c r="AW60" s="67" t="n">
        <f aca="false">IF(AW$6=1,Inputs!$B$55,0)</f>
        <v>0</v>
      </c>
      <c r="AX60" s="67" t="n">
        <f aca="false">IF(AX$6=1,Inputs!$B$55,0)</f>
        <v>0</v>
      </c>
      <c r="AY60" s="67" t="n">
        <f aca="false">IF(AY$6=1,Inputs!$B$55,0)</f>
        <v>0</v>
      </c>
      <c r="AZ60" s="67" t="n">
        <f aca="false">IF(AZ$6=1,Inputs!$B$55,0)</f>
        <v>0</v>
      </c>
      <c r="BA60" s="67" t="n">
        <f aca="false">IF(BA$6=1,Inputs!$B$55,0)</f>
        <v>0</v>
      </c>
      <c r="BB60" s="67" t="n">
        <f aca="false">IF(BB$6=1,Inputs!$B$55,0)</f>
        <v>0</v>
      </c>
      <c r="BC60" s="67" t="n">
        <f aca="false">IF(BC$6=1,Inputs!$B$55,0)</f>
        <v>0</v>
      </c>
      <c r="BD60" s="67" t="n">
        <f aca="false">IF(BD$6=1,Inputs!$B$55,0)</f>
        <v>0</v>
      </c>
      <c r="BE60" s="67" t="n">
        <f aca="false">IF(BE$6=1,Inputs!$B$55,0)</f>
        <v>0</v>
      </c>
      <c r="BF60" s="67" t="n">
        <f aca="false">IF(BF$6=1,Inputs!$B$55,0)</f>
        <v>0</v>
      </c>
      <c r="BG60" s="67" t="n">
        <f aca="false">IF(BG$6=1,Inputs!$B$55,0)</f>
        <v>0</v>
      </c>
      <c r="BH60" s="67" t="n">
        <f aca="false">IF(BH$6=1,Inputs!$B$55,0)</f>
        <v>0</v>
      </c>
      <c r="BI60" s="67" t="n">
        <f aca="false">IF(BI$6=1,Inputs!$B$55,0)</f>
        <v>0</v>
      </c>
      <c r="BJ60" s="67" t="n">
        <f aca="false">IF(BJ$6=1,Inputs!$B$55,0)</f>
        <v>0</v>
      </c>
    </row>
    <row r="61" customFormat="false" ht="15" hidden="false" customHeight="false" outlineLevel="0" collapsed="false">
      <c r="A61" s="6" t="s">
        <v>86</v>
      </c>
      <c r="C61" s="67" t="n">
        <f aca="false">-MIN(C59,Inputs!$B$55/MAX(1,Inputs!$B$57*12))</f>
        <v>-0</v>
      </c>
      <c r="D61" s="67" t="n">
        <f aca="false">-MIN(D59,Inputs!$B$55/MAX(1,Inputs!$B$57*12))</f>
        <v>-3333.33333333333</v>
      </c>
      <c r="E61" s="67" t="n">
        <f aca="false">-MIN(E59,Inputs!$B$55/MAX(1,Inputs!$B$57*12))</f>
        <v>-3333.33333333333</v>
      </c>
      <c r="F61" s="67" t="n">
        <f aca="false">-MIN(F59,Inputs!$B$55/MAX(1,Inputs!$B$57*12))</f>
        <v>-3333.33333333333</v>
      </c>
      <c r="G61" s="67" t="n">
        <f aca="false">-MIN(G59,Inputs!$B$55/MAX(1,Inputs!$B$57*12))</f>
        <v>-3333.33333333333</v>
      </c>
      <c r="H61" s="67" t="n">
        <f aca="false">-MIN(H59,Inputs!$B$55/MAX(1,Inputs!$B$57*12))</f>
        <v>-3333.33333333333</v>
      </c>
      <c r="I61" s="67" t="n">
        <f aca="false">-MIN(I59,Inputs!$B$55/MAX(1,Inputs!$B$57*12))</f>
        <v>-3333.33333333333</v>
      </c>
      <c r="J61" s="67" t="n">
        <f aca="false">-MIN(J59,Inputs!$B$55/MAX(1,Inputs!$B$57*12))</f>
        <v>-3333.33333333333</v>
      </c>
      <c r="K61" s="67" t="n">
        <f aca="false">-MIN(K59,Inputs!$B$55/MAX(1,Inputs!$B$57*12))</f>
        <v>-3333.33333333333</v>
      </c>
      <c r="L61" s="67" t="n">
        <f aca="false">-MIN(L59,Inputs!$B$55/MAX(1,Inputs!$B$57*12))</f>
        <v>-3333.33333333333</v>
      </c>
      <c r="M61" s="67" t="n">
        <f aca="false">-MIN(M59,Inputs!$B$55/MAX(1,Inputs!$B$57*12))</f>
        <v>-3333.33333333333</v>
      </c>
      <c r="N61" s="67" t="n">
        <f aca="false">-MIN(N59,Inputs!$B$55/MAX(1,Inputs!$B$57*12))</f>
        <v>-3333.33333333333</v>
      </c>
      <c r="O61" s="67" t="n">
        <f aca="false">-MIN(O59,Inputs!$B$55/MAX(1,Inputs!$B$57*12))</f>
        <v>-3333.33333333333</v>
      </c>
      <c r="P61" s="67" t="n">
        <f aca="false">-MIN(P59,Inputs!$B$55/MAX(1,Inputs!$B$57*12))</f>
        <v>-3333.33333333333</v>
      </c>
      <c r="Q61" s="67" t="n">
        <f aca="false">-MIN(Q59,Inputs!$B$55/MAX(1,Inputs!$B$57*12))</f>
        <v>-3333.33333333333</v>
      </c>
      <c r="R61" s="67" t="n">
        <f aca="false">-MIN(R59,Inputs!$B$55/MAX(1,Inputs!$B$57*12))</f>
        <v>-3333.33333333333</v>
      </c>
      <c r="S61" s="67" t="n">
        <f aca="false">-MIN(S59,Inputs!$B$55/MAX(1,Inputs!$B$57*12))</f>
        <v>-3333.33333333333</v>
      </c>
      <c r="T61" s="67" t="n">
        <f aca="false">-MIN(T59,Inputs!$B$55/MAX(1,Inputs!$B$57*12))</f>
        <v>-3333.33333333333</v>
      </c>
      <c r="U61" s="67" t="n">
        <f aca="false">-MIN(U59,Inputs!$B$55/MAX(1,Inputs!$B$57*12))</f>
        <v>-3333.33333333333</v>
      </c>
      <c r="V61" s="67" t="n">
        <f aca="false">-MIN(V59,Inputs!$B$55/MAX(1,Inputs!$B$57*12))</f>
        <v>-3333.33333333333</v>
      </c>
      <c r="W61" s="67" t="n">
        <f aca="false">-MIN(W59,Inputs!$B$55/MAX(1,Inputs!$B$57*12))</f>
        <v>-3333.33333333333</v>
      </c>
      <c r="X61" s="67" t="n">
        <f aca="false">-MIN(X59,Inputs!$B$55/MAX(1,Inputs!$B$57*12))</f>
        <v>-3333.33333333333</v>
      </c>
      <c r="Y61" s="67" t="n">
        <f aca="false">-MIN(Y59,Inputs!$B$55/MAX(1,Inputs!$B$57*12))</f>
        <v>-3333.33333333333</v>
      </c>
      <c r="Z61" s="67" t="n">
        <f aca="false">-MIN(Z59,Inputs!$B$55/MAX(1,Inputs!$B$57*12))</f>
        <v>-3333.33333333333</v>
      </c>
      <c r="AA61" s="67" t="n">
        <f aca="false">-MIN(AA59,Inputs!$B$55/MAX(1,Inputs!$B$57*12))</f>
        <v>-3333.33333333333</v>
      </c>
      <c r="AB61" s="67" t="n">
        <f aca="false">-MIN(AB59,Inputs!$B$55/MAX(1,Inputs!$B$57*12))</f>
        <v>-3333.33333333333</v>
      </c>
      <c r="AC61" s="67" t="n">
        <f aca="false">-MIN(AC59,Inputs!$B$55/MAX(1,Inputs!$B$57*12))</f>
        <v>-3333.33333333333</v>
      </c>
      <c r="AD61" s="67" t="n">
        <f aca="false">-MIN(AD59,Inputs!$B$55/MAX(1,Inputs!$B$57*12))</f>
        <v>-3333.33333333333</v>
      </c>
      <c r="AE61" s="67" t="n">
        <f aca="false">-MIN(AE59,Inputs!$B$55/MAX(1,Inputs!$B$57*12))</f>
        <v>-3333.33333333333</v>
      </c>
      <c r="AF61" s="67" t="n">
        <f aca="false">-MIN(AF59,Inputs!$B$55/MAX(1,Inputs!$B$57*12))</f>
        <v>-3333.33333333333</v>
      </c>
      <c r="AG61" s="67" t="n">
        <f aca="false">-MIN(AG59,Inputs!$B$55/MAX(1,Inputs!$B$57*12))</f>
        <v>-3333.33333333333</v>
      </c>
      <c r="AH61" s="67" t="n">
        <f aca="false">-MIN(AH59,Inputs!$B$55/MAX(1,Inputs!$B$57*12))</f>
        <v>-3333.33333333333</v>
      </c>
      <c r="AI61" s="67" t="n">
        <f aca="false">-MIN(AI59,Inputs!$B$55/MAX(1,Inputs!$B$57*12))</f>
        <v>-3333.33333333333</v>
      </c>
      <c r="AJ61" s="67" t="n">
        <f aca="false">-MIN(AJ59,Inputs!$B$55/MAX(1,Inputs!$B$57*12))</f>
        <v>-3333.33333333333</v>
      </c>
      <c r="AK61" s="67" t="n">
        <f aca="false">-MIN(AK59,Inputs!$B$55/MAX(1,Inputs!$B$57*12))</f>
        <v>-3333.33333333333</v>
      </c>
      <c r="AL61" s="67" t="n">
        <f aca="false">-MIN(AL59,Inputs!$B$55/MAX(1,Inputs!$B$57*12))</f>
        <v>-3333.33333333333</v>
      </c>
      <c r="AM61" s="67" t="n">
        <f aca="false">-MIN(AM59,Inputs!$B$55/MAX(1,Inputs!$B$57*12))</f>
        <v>-3333.33333333333</v>
      </c>
      <c r="AN61" s="67" t="n">
        <f aca="false">-MIN(AN59,Inputs!$B$55/MAX(1,Inputs!$B$57*12))</f>
        <v>-3333.33333333333</v>
      </c>
      <c r="AO61" s="67" t="n">
        <f aca="false">-MIN(AO59,Inputs!$B$55/MAX(1,Inputs!$B$57*12))</f>
        <v>-3333.33333333333</v>
      </c>
      <c r="AP61" s="67" t="n">
        <f aca="false">-MIN(AP59,Inputs!$B$55/MAX(1,Inputs!$B$57*12))</f>
        <v>-3333.33333333333</v>
      </c>
      <c r="AQ61" s="67" t="n">
        <f aca="false">-MIN(AQ59,Inputs!$B$55/MAX(1,Inputs!$B$57*12))</f>
        <v>-3333.33333333333</v>
      </c>
      <c r="AR61" s="67" t="n">
        <f aca="false">-MIN(AR59,Inputs!$B$55/MAX(1,Inputs!$B$57*12))</f>
        <v>-3333.33333333333</v>
      </c>
      <c r="AS61" s="67" t="n">
        <f aca="false">-MIN(AS59,Inputs!$B$55/MAX(1,Inputs!$B$57*12))</f>
        <v>-3333.33333333333</v>
      </c>
      <c r="AT61" s="67" t="n">
        <f aca="false">-MIN(AT59,Inputs!$B$55/MAX(1,Inputs!$B$57*12))</f>
        <v>-3333.33333333333</v>
      </c>
      <c r="AU61" s="67" t="n">
        <f aca="false">-MIN(AU59,Inputs!$B$55/MAX(1,Inputs!$B$57*12))</f>
        <v>-3333.33333333333</v>
      </c>
      <c r="AV61" s="67" t="n">
        <f aca="false">-MIN(AV59,Inputs!$B$55/MAX(1,Inputs!$B$57*12))</f>
        <v>-3333.33333333333</v>
      </c>
      <c r="AW61" s="67" t="n">
        <f aca="false">-MIN(AW59,Inputs!$B$55/MAX(1,Inputs!$B$57*12))</f>
        <v>-3333.33333333333</v>
      </c>
      <c r="AX61" s="67" t="n">
        <f aca="false">-MIN(AX59,Inputs!$B$55/MAX(1,Inputs!$B$57*12))</f>
        <v>-3333.33333333333</v>
      </c>
      <c r="AY61" s="67" t="n">
        <f aca="false">-MIN(AY59,Inputs!$B$55/MAX(1,Inputs!$B$57*12))</f>
        <v>-3333.33333333333</v>
      </c>
      <c r="AZ61" s="67" t="n">
        <f aca="false">-MIN(AZ59,Inputs!$B$55/MAX(1,Inputs!$B$57*12))</f>
        <v>-3333.33333333333</v>
      </c>
      <c r="BA61" s="67" t="n">
        <f aca="false">-MIN(BA59,Inputs!$B$55/MAX(1,Inputs!$B$57*12))</f>
        <v>-3333.33333333333</v>
      </c>
      <c r="BB61" s="67" t="n">
        <f aca="false">-MIN(BB59,Inputs!$B$55/MAX(1,Inputs!$B$57*12))</f>
        <v>-3333.33333333333</v>
      </c>
      <c r="BC61" s="67" t="n">
        <f aca="false">-MIN(BC59,Inputs!$B$55/MAX(1,Inputs!$B$57*12))</f>
        <v>-3333.33333333333</v>
      </c>
      <c r="BD61" s="67" t="n">
        <f aca="false">-MIN(BD59,Inputs!$B$55/MAX(1,Inputs!$B$57*12))</f>
        <v>-3333.33333333333</v>
      </c>
      <c r="BE61" s="67" t="n">
        <f aca="false">-MIN(BE59,Inputs!$B$55/MAX(1,Inputs!$B$57*12))</f>
        <v>-3333.33333333333</v>
      </c>
      <c r="BF61" s="67" t="n">
        <f aca="false">-MIN(BF59,Inputs!$B$55/MAX(1,Inputs!$B$57*12))</f>
        <v>-3333.33333333333</v>
      </c>
      <c r="BG61" s="67" t="n">
        <f aca="false">-MIN(BG59,Inputs!$B$55/MAX(1,Inputs!$B$57*12))</f>
        <v>-3333.33333333333</v>
      </c>
      <c r="BH61" s="67" t="n">
        <f aca="false">-MIN(BH59,Inputs!$B$55/MAX(1,Inputs!$B$57*12))</f>
        <v>-3333.33333333333</v>
      </c>
      <c r="BI61" s="67" t="n">
        <f aca="false">-MIN(BI59,Inputs!$B$55/MAX(1,Inputs!$B$57*12))</f>
        <v>-3333.33333333333</v>
      </c>
      <c r="BJ61" s="67" t="n">
        <f aca="false">-MIN(BJ59,Inputs!$B$55/MAX(1,Inputs!$B$57*12))</f>
        <v>-3333.33333333333</v>
      </c>
    </row>
    <row r="62" customFormat="false" ht="15" hidden="false" customHeight="false" outlineLevel="0" collapsed="false">
      <c r="A62" s="4" t="s">
        <v>421</v>
      </c>
      <c r="C62" s="73" t="n">
        <f aca="false">C59+C60+C61</f>
        <v>200000</v>
      </c>
      <c r="D62" s="73" t="n">
        <f aca="false">D59+D60+D61</f>
        <v>196666.666666667</v>
      </c>
      <c r="E62" s="73" t="n">
        <f aca="false">E59+E60+E61</f>
        <v>193333.333333333</v>
      </c>
      <c r="F62" s="73" t="n">
        <f aca="false">F59+F60+F61</f>
        <v>190000</v>
      </c>
      <c r="G62" s="73" t="n">
        <f aca="false">G59+G60+G61</f>
        <v>186666.666666667</v>
      </c>
      <c r="H62" s="73" t="n">
        <f aca="false">H59+H60+H61</f>
        <v>183333.333333333</v>
      </c>
      <c r="I62" s="73" t="n">
        <f aca="false">I59+I60+I61</f>
        <v>180000</v>
      </c>
      <c r="J62" s="73" t="n">
        <f aca="false">J59+J60+J61</f>
        <v>176666.666666667</v>
      </c>
      <c r="K62" s="73" t="n">
        <f aca="false">K59+K60+K61</f>
        <v>173333.333333333</v>
      </c>
      <c r="L62" s="73" t="n">
        <f aca="false">L59+L60+L61</f>
        <v>170000</v>
      </c>
      <c r="M62" s="73" t="n">
        <f aca="false">M59+M60+M61</f>
        <v>166666.666666667</v>
      </c>
      <c r="N62" s="73" t="n">
        <f aca="false">N59+N60+N61</f>
        <v>163333.333333333</v>
      </c>
      <c r="O62" s="73" t="n">
        <f aca="false">O59+O60+O61</f>
        <v>160000</v>
      </c>
      <c r="P62" s="73" t="n">
        <f aca="false">P59+P60+P61</f>
        <v>156666.666666667</v>
      </c>
      <c r="Q62" s="73" t="n">
        <f aca="false">Q59+Q60+Q61</f>
        <v>153333.333333333</v>
      </c>
      <c r="R62" s="73" t="n">
        <f aca="false">R59+R60+R61</f>
        <v>150000</v>
      </c>
      <c r="S62" s="73" t="n">
        <f aca="false">S59+S60+S61</f>
        <v>146666.666666667</v>
      </c>
      <c r="T62" s="73" t="n">
        <f aca="false">T59+T60+T61</f>
        <v>143333.333333333</v>
      </c>
      <c r="U62" s="73" t="n">
        <f aca="false">U59+U60+U61</f>
        <v>140000</v>
      </c>
      <c r="V62" s="73" t="n">
        <f aca="false">V59+V60+V61</f>
        <v>136666.666666666</v>
      </c>
      <c r="W62" s="73" t="n">
        <f aca="false">W59+W60+W61</f>
        <v>133333.333333333</v>
      </c>
      <c r="X62" s="73" t="n">
        <f aca="false">X59+X60+X61</f>
        <v>130000</v>
      </c>
      <c r="Y62" s="73" t="n">
        <f aca="false">Y59+Y60+Y61</f>
        <v>126666.666666666</v>
      </c>
      <c r="Z62" s="73" t="n">
        <f aca="false">Z59+Z60+Z61</f>
        <v>123333.333333333</v>
      </c>
      <c r="AA62" s="73" t="n">
        <f aca="false">AA59+AA60+AA61</f>
        <v>120000</v>
      </c>
      <c r="AB62" s="73" t="n">
        <f aca="false">AB59+AB60+AB61</f>
        <v>116666.666666667</v>
      </c>
      <c r="AC62" s="73" t="n">
        <f aca="false">AC59+AC60+AC61</f>
        <v>113333.333333333</v>
      </c>
      <c r="AD62" s="73" t="n">
        <f aca="false">AD59+AD60+AD61</f>
        <v>110000</v>
      </c>
      <c r="AE62" s="73" t="n">
        <f aca="false">AE59+AE60+AE61</f>
        <v>106666.666666667</v>
      </c>
      <c r="AF62" s="73" t="n">
        <f aca="false">AF59+AF60+AF61</f>
        <v>103333.333333333</v>
      </c>
      <c r="AG62" s="73" t="n">
        <f aca="false">AG59+AG60+AG61</f>
        <v>99999.9999999999</v>
      </c>
      <c r="AH62" s="73" t="n">
        <f aca="false">AH59+AH60+AH61</f>
        <v>96666.6666666665</v>
      </c>
      <c r="AI62" s="73" t="n">
        <f aca="false">AI59+AI60+AI61</f>
        <v>93333.3333333332</v>
      </c>
      <c r="AJ62" s="73" t="n">
        <f aca="false">AJ59+AJ60+AJ61</f>
        <v>89999.9999999999</v>
      </c>
      <c r="AK62" s="73" t="n">
        <f aca="false">AK59+AK60+AK61</f>
        <v>86666.6666666665</v>
      </c>
      <c r="AL62" s="73" t="n">
        <f aca="false">AL59+AL60+AL61</f>
        <v>83333.3333333332</v>
      </c>
      <c r="AM62" s="73" t="n">
        <f aca="false">AM59+AM60+AM61</f>
        <v>79999.9999999999</v>
      </c>
      <c r="AN62" s="73" t="n">
        <f aca="false">AN59+AN60+AN61</f>
        <v>76666.6666666666</v>
      </c>
      <c r="AO62" s="73" t="n">
        <f aca="false">AO59+AO60+AO61</f>
        <v>73333.3333333332</v>
      </c>
      <c r="AP62" s="73" t="n">
        <f aca="false">AP59+AP60+AP61</f>
        <v>69999.9999999999</v>
      </c>
      <c r="AQ62" s="73" t="n">
        <f aca="false">AQ59+AQ60+AQ61</f>
        <v>66666.6666666666</v>
      </c>
      <c r="AR62" s="73" t="n">
        <f aca="false">AR59+AR60+AR61</f>
        <v>63333.3333333332</v>
      </c>
      <c r="AS62" s="73" t="n">
        <f aca="false">AS59+AS60+AS61</f>
        <v>59999.9999999999</v>
      </c>
      <c r="AT62" s="73" t="n">
        <f aca="false">AT59+AT60+AT61</f>
        <v>56666.6666666666</v>
      </c>
      <c r="AU62" s="73" t="n">
        <f aca="false">AU59+AU60+AU61</f>
        <v>53333.3333333332</v>
      </c>
      <c r="AV62" s="73" t="n">
        <f aca="false">AV59+AV60+AV61</f>
        <v>49999.9999999999</v>
      </c>
      <c r="AW62" s="73" t="n">
        <f aca="false">AW59+AW60+AW61</f>
        <v>46666.6666666666</v>
      </c>
      <c r="AX62" s="73" t="n">
        <f aca="false">AX59+AX60+AX61</f>
        <v>43333.3333333332</v>
      </c>
      <c r="AY62" s="73" t="n">
        <f aca="false">AY59+AY60+AY61</f>
        <v>39999.9999999999</v>
      </c>
      <c r="AZ62" s="73" t="n">
        <f aca="false">AZ59+AZ60+AZ61</f>
        <v>36666.6666666666</v>
      </c>
      <c r="BA62" s="73" t="n">
        <f aca="false">BA59+BA60+BA61</f>
        <v>33333.3333333332</v>
      </c>
      <c r="BB62" s="73" t="n">
        <f aca="false">BB59+BB60+BB61</f>
        <v>29999.9999999999</v>
      </c>
      <c r="BC62" s="73" t="n">
        <f aca="false">BC59+BC60+BC61</f>
        <v>26666.6666666665</v>
      </c>
      <c r="BD62" s="73" t="n">
        <f aca="false">BD59+BD60+BD61</f>
        <v>23333.3333333332</v>
      </c>
      <c r="BE62" s="73" t="n">
        <f aca="false">BE59+BE60+BE61</f>
        <v>19999.9999999999</v>
      </c>
      <c r="BF62" s="73" t="n">
        <f aca="false">BF59+BF60+BF61</f>
        <v>16666.6666666666</v>
      </c>
      <c r="BG62" s="73" t="n">
        <f aca="false">BG59+BG60+BG61</f>
        <v>13333.3333333332</v>
      </c>
      <c r="BH62" s="73" t="n">
        <f aca="false">BH59+BH60+BH61</f>
        <v>9999.99999999988</v>
      </c>
      <c r="BI62" s="73" t="n">
        <f aca="false">BI59+BI60+BI61</f>
        <v>6666.66666666655</v>
      </c>
      <c r="BJ62" s="73" t="n">
        <f aca="false">BJ59+BJ60+BJ61</f>
        <v>3333.33333333322</v>
      </c>
    </row>
    <row r="64" customFormat="false" ht="15.75" hidden="false" customHeight="true" outlineLevel="0" collapsed="false">
      <c r="A64" s="7" t="s">
        <v>310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customFormat="false" ht="15" hidden="false" customHeight="false" outlineLevel="0" collapsed="false">
      <c r="A65" s="6" t="s">
        <v>90</v>
      </c>
      <c r="C65" s="67" t="n">
        <f aca="false">C24*Inputs!$B$60/30</f>
        <v>416592</v>
      </c>
      <c r="D65" s="67" t="n">
        <f aca="false">D24*Inputs!$B$60/30</f>
        <v>416592</v>
      </c>
      <c r="E65" s="67" t="n">
        <f aca="false">E24*Inputs!$B$60/30</f>
        <v>416592</v>
      </c>
      <c r="F65" s="67" t="n">
        <f aca="false">F24*Inputs!$B$60/30</f>
        <v>416592</v>
      </c>
      <c r="G65" s="67" t="n">
        <f aca="false">G24*Inputs!$B$60/30</f>
        <v>416592</v>
      </c>
      <c r="H65" s="67" t="n">
        <f aca="false">H24*Inputs!$B$60/30</f>
        <v>416592</v>
      </c>
      <c r="I65" s="67" t="n">
        <f aca="false">I24*Inputs!$B$60/30</f>
        <v>416592</v>
      </c>
      <c r="J65" s="67" t="n">
        <f aca="false">J24*Inputs!$B$60/30</f>
        <v>416592</v>
      </c>
      <c r="K65" s="67" t="n">
        <f aca="false">K24*Inputs!$B$60/30</f>
        <v>416592</v>
      </c>
      <c r="L65" s="67" t="n">
        <f aca="false">L24*Inputs!$B$60/30</f>
        <v>416592</v>
      </c>
      <c r="M65" s="67" t="n">
        <f aca="false">M24*Inputs!$B$60/30</f>
        <v>416592</v>
      </c>
      <c r="N65" s="67" t="n">
        <f aca="false">N24*Inputs!$B$60/30</f>
        <v>416592</v>
      </c>
      <c r="O65" s="67" t="n">
        <f aca="false">O24*Inputs!$B$60/30</f>
        <v>528973.632</v>
      </c>
      <c r="P65" s="67" t="n">
        <f aca="false">P24*Inputs!$B$60/30</f>
        <v>528973.632</v>
      </c>
      <c r="Q65" s="67" t="n">
        <f aca="false">Q24*Inputs!$B$60/30</f>
        <v>528973.632</v>
      </c>
      <c r="R65" s="67" t="n">
        <f aca="false">R24*Inputs!$B$60/30</f>
        <v>528973.632</v>
      </c>
      <c r="S65" s="67" t="n">
        <f aca="false">S24*Inputs!$B$60/30</f>
        <v>528973.632</v>
      </c>
      <c r="T65" s="67" t="n">
        <f aca="false">T24*Inputs!$B$60/30</f>
        <v>528973.632</v>
      </c>
      <c r="U65" s="67" t="n">
        <f aca="false">U24*Inputs!$B$60/30</f>
        <v>528973.632</v>
      </c>
      <c r="V65" s="67" t="n">
        <f aca="false">V24*Inputs!$B$60/30</f>
        <v>528973.632</v>
      </c>
      <c r="W65" s="67" t="n">
        <f aca="false">W24*Inputs!$B$60/30</f>
        <v>528973.632</v>
      </c>
      <c r="X65" s="67" t="n">
        <f aca="false">X24*Inputs!$B$60/30</f>
        <v>528973.632</v>
      </c>
      <c r="Y65" s="67" t="n">
        <f aca="false">Y24*Inputs!$B$60/30</f>
        <v>528973.632</v>
      </c>
      <c r="Z65" s="67" t="n">
        <f aca="false">Z24*Inputs!$B$60/30</f>
        <v>528973.632</v>
      </c>
      <c r="AA65" s="67" t="n">
        <f aca="false">AA24*Inputs!$B$60/30</f>
        <v>673897.542912</v>
      </c>
      <c r="AB65" s="67" t="n">
        <f aca="false">AB24*Inputs!$B$60/30</f>
        <v>673897.542912</v>
      </c>
      <c r="AC65" s="67" t="n">
        <f aca="false">AC24*Inputs!$B$60/30</f>
        <v>673897.542912</v>
      </c>
      <c r="AD65" s="67" t="n">
        <f aca="false">AD24*Inputs!$B$60/30</f>
        <v>673897.542912</v>
      </c>
      <c r="AE65" s="67" t="n">
        <f aca="false">AE24*Inputs!$B$60/30</f>
        <v>673897.542912</v>
      </c>
      <c r="AF65" s="67" t="n">
        <f aca="false">AF24*Inputs!$B$60/30</f>
        <v>673897.542912</v>
      </c>
      <c r="AG65" s="67" t="n">
        <f aca="false">AG24*Inputs!$B$60/30</f>
        <v>673897.542912</v>
      </c>
      <c r="AH65" s="67" t="n">
        <f aca="false">AH24*Inputs!$B$60/30</f>
        <v>673897.542912</v>
      </c>
      <c r="AI65" s="67" t="n">
        <f aca="false">AI24*Inputs!$B$60/30</f>
        <v>673897.542912</v>
      </c>
      <c r="AJ65" s="67" t="n">
        <f aca="false">AJ24*Inputs!$B$60/30</f>
        <v>673897.542912</v>
      </c>
      <c r="AK65" s="67" t="n">
        <f aca="false">AK24*Inputs!$B$60/30</f>
        <v>673897.542912</v>
      </c>
      <c r="AL65" s="67" t="n">
        <f aca="false">AL24*Inputs!$B$60/30</f>
        <v>673897.542912</v>
      </c>
      <c r="AM65" s="67" t="n">
        <f aca="false">AM24*Inputs!$B$60/30</f>
        <v>861196.168495872</v>
      </c>
      <c r="AN65" s="67" t="n">
        <f aca="false">AN24*Inputs!$B$60/30</f>
        <v>861196.168495872</v>
      </c>
      <c r="AO65" s="67" t="n">
        <f aca="false">AO24*Inputs!$B$60/30</f>
        <v>861196.168495872</v>
      </c>
      <c r="AP65" s="67" t="n">
        <f aca="false">AP24*Inputs!$B$60/30</f>
        <v>861196.168495872</v>
      </c>
      <c r="AQ65" s="67" t="n">
        <f aca="false">AQ24*Inputs!$B$60/30</f>
        <v>861196.168495872</v>
      </c>
      <c r="AR65" s="67" t="n">
        <f aca="false">AR24*Inputs!$B$60/30</f>
        <v>861196.168495872</v>
      </c>
      <c r="AS65" s="67" t="n">
        <f aca="false">AS24*Inputs!$B$60/30</f>
        <v>861196.168495872</v>
      </c>
      <c r="AT65" s="67" t="n">
        <f aca="false">AT24*Inputs!$B$60/30</f>
        <v>861196.168495872</v>
      </c>
      <c r="AU65" s="67" t="n">
        <f aca="false">AU24*Inputs!$B$60/30</f>
        <v>861196.168495872</v>
      </c>
      <c r="AV65" s="67" t="n">
        <f aca="false">AV24*Inputs!$B$60/30</f>
        <v>861196.168495872</v>
      </c>
      <c r="AW65" s="67" t="n">
        <f aca="false">AW24*Inputs!$B$60/30</f>
        <v>861196.168495872</v>
      </c>
      <c r="AX65" s="67" t="n">
        <f aca="false">AX24*Inputs!$B$60/30</f>
        <v>861196.168495872</v>
      </c>
      <c r="AY65" s="67" t="n">
        <f aca="false">AY24*Inputs!$B$60/30</f>
        <v>1103750.58691987</v>
      </c>
      <c r="AZ65" s="67" t="n">
        <f aca="false">AZ24*Inputs!$B$60/30</f>
        <v>1103750.58691987</v>
      </c>
      <c r="BA65" s="67" t="n">
        <f aca="false">BA24*Inputs!$B$60/30</f>
        <v>1103750.58691987</v>
      </c>
      <c r="BB65" s="67" t="n">
        <f aca="false">BB24*Inputs!$B$60/30</f>
        <v>1103750.58691987</v>
      </c>
      <c r="BC65" s="67" t="n">
        <f aca="false">BC24*Inputs!$B$60/30</f>
        <v>1103750.58691987</v>
      </c>
      <c r="BD65" s="67" t="n">
        <f aca="false">BD24*Inputs!$B$60/30</f>
        <v>1103750.58691987</v>
      </c>
      <c r="BE65" s="67" t="n">
        <f aca="false">BE24*Inputs!$B$60/30</f>
        <v>1103750.58691987</v>
      </c>
      <c r="BF65" s="67" t="n">
        <f aca="false">BF24*Inputs!$B$60/30</f>
        <v>1103750.58691987</v>
      </c>
      <c r="BG65" s="67" t="n">
        <f aca="false">BG24*Inputs!$B$60/30</f>
        <v>1103750.58691987</v>
      </c>
      <c r="BH65" s="67" t="n">
        <f aca="false">BH24*Inputs!$B$60/30</f>
        <v>1103750.58691987</v>
      </c>
      <c r="BI65" s="67" t="n">
        <f aca="false">BI24*Inputs!$B$60/30</f>
        <v>1103750.58691987</v>
      </c>
      <c r="BJ65" s="67" t="n">
        <f aca="false">BJ24*Inputs!$B$60/30</f>
        <v>1103750.58691987</v>
      </c>
    </row>
    <row r="66" customFormat="false" ht="15" hidden="false" customHeight="false" outlineLevel="0" collapsed="false">
      <c r="A66" s="6" t="s">
        <v>91</v>
      </c>
      <c r="C66" s="67" t="n">
        <f aca="false">-C30*Inputs!$B$61/30</f>
        <v>0</v>
      </c>
      <c r="D66" s="67" t="n">
        <f aca="false">-D30*Inputs!$B$61/30</f>
        <v>0</v>
      </c>
      <c r="E66" s="67" t="n">
        <f aca="false">-E30*Inputs!$B$61/30</f>
        <v>0</v>
      </c>
      <c r="F66" s="67" t="n">
        <f aca="false">-F30*Inputs!$B$61/30</f>
        <v>0</v>
      </c>
      <c r="G66" s="67" t="n">
        <f aca="false">-G30*Inputs!$B$61/30</f>
        <v>0</v>
      </c>
      <c r="H66" s="67" t="n">
        <f aca="false">-H30*Inputs!$B$61/30</f>
        <v>0</v>
      </c>
      <c r="I66" s="67" t="n">
        <f aca="false">-I30*Inputs!$B$61/30</f>
        <v>0</v>
      </c>
      <c r="J66" s="67" t="n">
        <f aca="false">-J30*Inputs!$B$61/30</f>
        <v>0</v>
      </c>
      <c r="K66" s="67" t="n">
        <f aca="false">-K30*Inputs!$B$61/30</f>
        <v>0</v>
      </c>
      <c r="L66" s="67" t="n">
        <f aca="false">-L30*Inputs!$B$61/30</f>
        <v>0</v>
      </c>
      <c r="M66" s="67" t="n">
        <f aca="false">-M30*Inputs!$B$61/30</f>
        <v>0</v>
      </c>
      <c r="N66" s="67" t="n">
        <f aca="false">-N30*Inputs!$B$61/30</f>
        <v>0</v>
      </c>
      <c r="O66" s="67" t="n">
        <f aca="false">-O30*Inputs!$B$61/30</f>
        <v>0</v>
      </c>
      <c r="P66" s="67" t="n">
        <f aca="false">-P30*Inputs!$B$61/30</f>
        <v>0</v>
      </c>
      <c r="Q66" s="67" t="n">
        <f aca="false">-Q30*Inputs!$B$61/30</f>
        <v>0</v>
      </c>
      <c r="R66" s="67" t="n">
        <f aca="false">-R30*Inputs!$B$61/30</f>
        <v>0</v>
      </c>
      <c r="S66" s="67" t="n">
        <f aca="false">-S30*Inputs!$B$61/30</f>
        <v>0</v>
      </c>
      <c r="T66" s="67" t="n">
        <f aca="false">-T30*Inputs!$B$61/30</f>
        <v>0</v>
      </c>
      <c r="U66" s="67" t="n">
        <f aca="false">-U30*Inputs!$B$61/30</f>
        <v>0</v>
      </c>
      <c r="V66" s="67" t="n">
        <f aca="false">-V30*Inputs!$B$61/30</f>
        <v>0</v>
      </c>
      <c r="W66" s="67" t="n">
        <f aca="false">-W30*Inputs!$B$61/30</f>
        <v>0</v>
      </c>
      <c r="X66" s="67" t="n">
        <f aca="false">-X30*Inputs!$B$61/30</f>
        <v>0</v>
      </c>
      <c r="Y66" s="67" t="n">
        <f aca="false">-Y30*Inputs!$B$61/30</f>
        <v>0</v>
      </c>
      <c r="Z66" s="67" t="n">
        <f aca="false">-Z30*Inputs!$B$61/30</f>
        <v>0</v>
      </c>
      <c r="AA66" s="67" t="n">
        <f aca="false">-AA30*Inputs!$B$61/30</f>
        <v>0</v>
      </c>
      <c r="AB66" s="67" t="n">
        <f aca="false">-AB30*Inputs!$B$61/30</f>
        <v>0</v>
      </c>
      <c r="AC66" s="67" t="n">
        <f aca="false">-AC30*Inputs!$B$61/30</f>
        <v>0</v>
      </c>
      <c r="AD66" s="67" t="n">
        <f aca="false">-AD30*Inputs!$B$61/30</f>
        <v>0</v>
      </c>
      <c r="AE66" s="67" t="n">
        <f aca="false">-AE30*Inputs!$B$61/30</f>
        <v>0</v>
      </c>
      <c r="AF66" s="67" t="n">
        <f aca="false">-AF30*Inputs!$B$61/30</f>
        <v>0</v>
      </c>
      <c r="AG66" s="67" t="n">
        <f aca="false">-AG30*Inputs!$B$61/30</f>
        <v>0</v>
      </c>
      <c r="AH66" s="67" t="n">
        <f aca="false">-AH30*Inputs!$B$61/30</f>
        <v>0</v>
      </c>
      <c r="AI66" s="67" t="n">
        <f aca="false">-AI30*Inputs!$B$61/30</f>
        <v>0</v>
      </c>
      <c r="AJ66" s="67" t="n">
        <f aca="false">-AJ30*Inputs!$B$61/30</f>
        <v>0</v>
      </c>
      <c r="AK66" s="67" t="n">
        <f aca="false">-AK30*Inputs!$B$61/30</f>
        <v>0</v>
      </c>
      <c r="AL66" s="67" t="n">
        <f aca="false">-AL30*Inputs!$B$61/30</f>
        <v>0</v>
      </c>
      <c r="AM66" s="67" t="n">
        <f aca="false">-AM30*Inputs!$B$61/30</f>
        <v>0</v>
      </c>
      <c r="AN66" s="67" t="n">
        <f aca="false">-AN30*Inputs!$B$61/30</f>
        <v>0</v>
      </c>
      <c r="AO66" s="67" t="n">
        <f aca="false">-AO30*Inputs!$B$61/30</f>
        <v>0</v>
      </c>
      <c r="AP66" s="67" t="n">
        <f aca="false">-AP30*Inputs!$B$61/30</f>
        <v>0</v>
      </c>
      <c r="AQ66" s="67" t="n">
        <f aca="false">-AQ30*Inputs!$B$61/30</f>
        <v>0</v>
      </c>
      <c r="AR66" s="67" t="n">
        <f aca="false">-AR30*Inputs!$B$61/30</f>
        <v>0</v>
      </c>
      <c r="AS66" s="67" t="n">
        <f aca="false">-AS30*Inputs!$B$61/30</f>
        <v>0</v>
      </c>
      <c r="AT66" s="67" t="n">
        <f aca="false">-AT30*Inputs!$B$61/30</f>
        <v>0</v>
      </c>
      <c r="AU66" s="67" t="n">
        <f aca="false">-AU30*Inputs!$B$61/30</f>
        <v>0</v>
      </c>
      <c r="AV66" s="67" t="n">
        <f aca="false">-AV30*Inputs!$B$61/30</f>
        <v>0</v>
      </c>
      <c r="AW66" s="67" t="n">
        <f aca="false">-AW30*Inputs!$B$61/30</f>
        <v>0</v>
      </c>
      <c r="AX66" s="67" t="n">
        <f aca="false">-AX30*Inputs!$B$61/30</f>
        <v>0</v>
      </c>
      <c r="AY66" s="67" t="n">
        <f aca="false">-AY30*Inputs!$B$61/30</f>
        <v>0</v>
      </c>
      <c r="AZ66" s="67" t="n">
        <f aca="false">-AZ30*Inputs!$B$61/30</f>
        <v>0</v>
      </c>
      <c r="BA66" s="67" t="n">
        <f aca="false">-BA30*Inputs!$B$61/30</f>
        <v>0</v>
      </c>
      <c r="BB66" s="67" t="n">
        <f aca="false">-BB30*Inputs!$B$61/30</f>
        <v>0</v>
      </c>
      <c r="BC66" s="67" t="n">
        <f aca="false">-BC30*Inputs!$B$61/30</f>
        <v>0</v>
      </c>
      <c r="BD66" s="67" t="n">
        <f aca="false">-BD30*Inputs!$B$61/30</f>
        <v>0</v>
      </c>
      <c r="BE66" s="67" t="n">
        <f aca="false">-BE30*Inputs!$B$61/30</f>
        <v>0</v>
      </c>
      <c r="BF66" s="67" t="n">
        <f aca="false">-BF30*Inputs!$B$61/30</f>
        <v>0</v>
      </c>
      <c r="BG66" s="67" t="n">
        <f aca="false">-BG30*Inputs!$B$61/30</f>
        <v>0</v>
      </c>
      <c r="BH66" s="67" t="n">
        <f aca="false">-BH30*Inputs!$B$61/30</f>
        <v>0</v>
      </c>
      <c r="BI66" s="67" t="n">
        <f aca="false">-BI30*Inputs!$B$61/30</f>
        <v>0</v>
      </c>
      <c r="BJ66" s="67" t="n">
        <f aca="false">-BJ30*Inputs!$B$61/30</f>
        <v>0</v>
      </c>
    </row>
    <row r="67" customFormat="false" ht="15" hidden="false" customHeight="false" outlineLevel="0" collapsed="false">
      <c r="A67" s="6" t="s">
        <v>94</v>
      </c>
      <c r="C67" s="67" t="n">
        <f aca="false">-C30*Inputs!$B$62/30</f>
        <v>108804.56</v>
      </c>
      <c r="D67" s="67" t="n">
        <f aca="false">-D30*Inputs!$B$62/30</f>
        <v>108804.56</v>
      </c>
      <c r="E67" s="67" t="n">
        <f aca="false">-E30*Inputs!$B$62/30</f>
        <v>108804.56</v>
      </c>
      <c r="F67" s="67" t="n">
        <f aca="false">-F30*Inputs!$B$62/30</f>
        <v>108804.56</v>
      </c>
      <c r="G67" s="67" t="n">
        <f aca="false">-G30*Inputs!$B$62/30</f>
        <v>108804.56</v>
      </c>
      <c r="H67" s="67" t="n">
        <f aca="false">-H30*Inputs!$B$62/30</f>
        <v>108804.56</v>
      </c>
      <c r="I67" s="67" t="n">
        <f aca="false">-I30*Inputs!$B$62/30</f>
        <v>108804.56</v>
      </c>
      <c r="J67" s="67" t="n">
        <f aca="false">-J30*Inputs!$B$62/30</f>
        <v>108804.56</v>
      </c>
      <c r="K67" s="67" t="n">
        <f aca="false">-K30*Inputs!$B$62/30</f>
        <v>108804.56</v>
      </c>
      <c r="L67" s="67" t="n">
        <f aca="false">-L30*Inputs!$B$62/30</f>
        <v>108804.56</v>
      </c>
      <c r="M67" s="67" t="n">
        <f aca="false">-M30*Inputs!$B$62/30</f>
        <v>108804.56</v>
      </c>
      <c r="N67" s="67" t="n">
        <f aca="false">-N30*Inputs!$B$62/30</f>
        <v>108804.56</v>
      </c>
      <c r="O67" s="67" t="n">
        <f aca="false">-O30*Inputs!$B$62/30</f>
        <v>139073.23176</v>
      </c>
      <c r="P67" s="67" t="n">
        <f aca="false">-P30*Inputs!$B$62/30</f>
        <v>139073.23176</v>
      </c>
      <c r="Q67" s="67" t="n">
        <f aca="false">-Q30*Inputs!$B$62/30</f>
        <v>139073.23176</v>
      </c>
      <c r="R67" s="67" t="n">
        <f aca="false">-R30*Inputs!$B$62/30</f>
        <v>139073.23176</v>
      </c>
      <c r="S67" s="67" t="n">
        <f aca="false">-S30*Inputs!$B$62/30</f>
        <v>139073.23176</v>
      </c>
      <c r="T67" s="67" t="n">
        <f aca="false">-T30*Inputs!$B$62/30</f>
        <v>139073.23176</v>
      </c>
      <c r="U67" s="67" t="n">
        <f aca="false">-U30*Inputs!$B$62/30</f>
        <v>139073.23176</v>
      </c>
      <c r="V67" s="67" t="n">
        <f aca="false">-V30*Inputs!$B$62/30</f>
        <v>139073.23176</v>
      </c>
      <c r="W67" s="67" t="n">
        <f aca="false">-W30*Inputs!$B$62/30</f>
        <v>139073.23176</v>
      </c>
      <c r="X67" s="67" t="n">
        <f aca="false">-X30*Inputs!$B$62/30</f>
        <v>139073.23176</v>
      </c>
      <c r="Y67" s="67" t="n">
        <f aca="false">-Y30*Inputs!$B$62/30</f>
        <v>139073.23176</v>
      </c>
      <c r="Z67" s="67" t="n">
        <f aca="false">-Z30*Inputs!$B$62/30</f>
        <v>139073.23176</v>
      </c>
      <c r="AA67" s="67" t="n">
        <f aca="false">-AA30*Inputs!$B$62/30</f>
        <v>178360.63782216</v>
      </c>
      <c r="AB67" s="67" t="n">
        <f aca="false">-AB30*Inputs!$B$62/30</f>
        <v>178360.63782216</v>
      </c>
      <c r="AC67" s="67" t="n">
        <f aca="false">-AC30*Inputs!$B$62/30</f>
        <v>178360.63782216</v>
      </c>
      <c r="AD67" s="67" t="n">
        <f aca="false">-AD30*Inputs!$B$62/30</f>
        <v>178360.63782216</v>
      </c>
      <c r="AE67" s="67" t="n">
        <f aca="false">-AE30*Inputs!$B$62/30</f>
        <v>178360.63782216</v>
      </c>
      <c r="AF67" s="67" t="n">
        <f aca="false">-AF30*Inputs!$B$62/30</f>
        <v>178360.63782216</v>
      </c>
      <c r="AG67" s="67" t="n">
        <f aca="false">-AG30*Inputs!$B$62/30</f>
        <v>178360.63782216</v>
      </c>
      <c r="AH67" s="67" t="n">
        <f aca="false">-AH30*Inputs!$B$62/30</f>
        <v>178360.63782216</v>
      </c>
      <c r="AI67" s="67" t="n">
        <f aca="false">-AI30*Inputs!$B$62/30</f>
        <v>178360.63782216</v>
      </c>
      <c r="AJ67" s="67" t="n">
        <f aca="false">-AJ30*Inputs!$B$62/30</f>
        <v>178360.63782216</v>
      </c>
      <c r="AK67" s="67" t="n">
        <f aca="false">-AK30*Inputs!$B$62/30</f>
        <v>178360.63782216</v>
      </c>
      <c r="AL67" s="67" t="n">
        <f aca="false">-AL30*Inputs!$B$62/30</f>
        <v>178360.63782216</v>
      </c>
      <c r="AM67" s="67" t="n">
        <f aca="false">-AM30*Inputs!$B$62/30</f>
        <v>229472.637082195</v>
      </c>
      <c r="AN67" s="67" t="n">
        <f aca="false">-AN30*Inputs!$B$62/30</f>
        <v>229472.637082195</v>
      </c>
      <c r="AO67" s="67" t="n">
        <f aca="false">-AO30*Inputs!$B$62/30</f>
        <v>229472.637082195</v>
      </c>
      <c r="AP67" s="67" t="n">
        <f aca="false">-AP30*Inputs!$B$62/30</f>
        <v>229472.637082195</v>
      </c>
      <c r="AQ67" s="67" t="n">
        <f aca="false">-AQ30*Inputs!$B$62/30</f>
        <v>229472.637082195</v>
      </c>
      <c r="AR67" s="67" t="n">
        <f aca="false">-AR30*Inputs!$B$62/30</f>
        <v>229472.637082195</v>
      </c>
      <c r="AS67" s="67" t="n">
        <f aca="false">-AS30*Inputs!$B$62/30</f>
        <v>229472.637082195</v>
      </c>
      <c r="AT67" s="67" t="n">
        <f aca="false">-AT30*Inputs!$B$62/30</f>
        <v>229472.637082195</v>
      </c>
      <c r="AU67" s="67" t="n">
        <f aca="false">-AU30*Inputs!$B$62/30</f>
        <v>229472.637082195</v>
      </c>
      <c r="AV67" s="67" t="n">
        <f aca="false">-AV30*Inputs!$B$62/30</f>
        <v>229472.637082195</v>
      </c>
      <c r="AW67" s="67" t="n">
        <f aca="false">-AW30*Inputs!$B$62/30</f>
        <v>229472.637082195</v>
      </c>
      <c r="AX67" s="67" t="n">
        <f aca="false">-AX30*Inputs!$B$62/30</f>
        <v>229472.637082195</v>
      </c>
      <c r="AY67" s="67" t="n">
        <f aca="false">-AY30*Inputs!$B$62/30</f>
        <v>296112.250923588</v>
      </c>
      <c r="AZ67" s="67" t="n">
        <f aca="false">-AZ30*Inputs!$B$62/30</f>
        <v>296112.250923588</v>
      </c>
      <c r="BA67" s="67" t="n">
        <f aca="false">-BA30*Inputs!$B$62/30</f>
        <v>296112.250923588</v>
      </c>
      <c r="BB67" s="67" t="n">
        <f aca="false">-BB30*Inputs!$B$62/30</f>
        <v>296112.250923588</v>
      </c>
      <c r="BC67" s="67" t="n">
        <f aca="false">-BC30*Inputs!$B$62/30</f>
        <v>296112.250923588</v>
      </c>
      <c r="BD67" s="67" t="n">
        <f aca="false">-BD30*Inputs!$B$62/30</f>
        <v>296112.250923588</v>
      </c>
      <c r="BE67" s="67" t="n">
        <f aca="false">-BE30*Inputs!$B$62/30</f>
        <v>296112.250923588</v>
      </c>
      <c r="BF67" s="67" t="n">
        <f aca="false">-BF30*Inputs!$B$62/30</f>
        <v>296112.250923588</v>
      </c>
      <c r="BG67" s="67" t="n">
        <f aca="false">-BG30*Inputs!$B$62/30</f>
        <v>296112.250923588</v>
      </c>
      <c r="BH67" s="67" t="n">
        <f aca="false">-BH30*Inputs!$B$62/30</f>
        <v>296112.250923588</v>
      </c>
      <c r="BI67" s="67" t="n">
        <f aca="false">-BI30*Inputs!$B$62/30</f>
        <v>296112.250923588</v>
      </c>
      <c r="BJ67" s="67" t="n">
        <f aca="false">-BJ30*Inputs!$B$62/30</f>
        <v>296112.250923588</v>
      </c>
    </row>
    <row r="68" customFormat="false" ht="15" hidden="false" customHeight="false" outlineLevel="0" collapsed="false">
      <c r="A68" s="6" t="s">
        <v>333</v>
      </c>
      <c r="C68" s="67" t="n">
        <f aca="false">-C65</f>
        <v>-416592</v>
      </c>
      <c r="D68" s="67" t="n">
        <f aca="false">C65-D65</f>
        <v>0</v>
      </c>
      <c r="E68" s="67" t="n">
        <f aca="false">D65-E65</f>
        <v>0</v>
      </c>
      <c r="F68" s="67" t="n">
        <f aca="false">E65-F65</f>
        <v>0</v>
      </c>
      <c r="G68" s="67" t="n">
        <f aca="false">F65-G65</f>
        <v>0</v>
      </c>
      <c r="H68" s="67" t="n">
        <f aca="false">G65-H65</f>
        <v>0</v>
      </c>
      <c r="I68" s="67" t="n">
        <f aca="false">H65-I65</f>
        <v>0</v>
      </c>
      <c r="J68" s="67" t="n">
        <f aca="false">I65-J65</f>
        <v>0</v>
      </c>
      <c r="K68" s="67" t="n">
        <f aca="false">J65-K65</f>
        <v>0</v>
      </c>
      <c r="L68" s="67" t="n">
        <f aca="false">K65-L65</f>
        <v>0</v>
      </c>
      <c r="M68" s="67" t="n">
        <f aca="false">L65-M65</f>
        <v>0</v>
      </c>
      <c r="N68" s="67" t="n">
        <f aca="false">M65-N65</f>
        <v>0</v>
      </c>
      <c r="O68" s="67" t="n">
        <f aca="false">N65-O65</f>
        <v>-112381.632</v>
      </c>
      <c r="P68" s="67" t="n">
        <f aca="false">O65-P65</f>
        <v>0</v>
      </c>
      <c r="Q68" s="67" t="n">
        <f aca="false">P65-Q65</f>
        <v>0</v>
      </c>
      <c r="R68" s="67" t="n">
        <f aca="false">Q65-R65</f>
        <v>0</v>
      </c>
      <c r="S68" s="67" t="n">
        <f aca="false">R65-S65</f>
        <v>0</v>
      </c>
      <c r="T68" s="67" t="n">
        <f aca="false">S65-T65</f>
        <v>0</v>
      </c>
      <c r="U68" s="67" t="n">
        <f aca="false">T65-U65</f>
        <v>0</v>
      </c>
      <c r="V68" s="67" t="n">
        <f aca="false">U65-V65</f>
        <v>0</v>
      </c>
      <c r="W68" s="67" t="n">
        <f aca="false">V65-W65</f>
        <v>0</v>
      </c>
      <c r="X68" s="67" t="n">
        <f aca="false">W65-X65</f>
        <v>0</v>
      </c>
      <c r="Y68" s="67" t="n">
        <f aca="false">X65-Y65</f>
        <v>0</v>
      </c>
      <c r="Z68" s="67" t="n">
        <f aca="false">Y65-Z65</f>
        <v>0</v>
      </c>
      <c r="AA68" s="67" t="n">
        <f aca="false">Z65-AA65</f>
        <v>-144923.910912</v>
      </c>
      <c r="AB68" s="67" t="n">
        <f aca="false">AA65-AB65</f>
        <v>0</v>
      </c>
      <c r="AC68" s="67" t="n">
        <f aca="false">AB65-AC65</f>
        <v>0</v>
      </c>
      <c r="AD68" s="67" t="n">
        <f aca="false">AC65-AD65</f>
        <v>0</v>
      </c>
      <c r="AE68" s="67" t="n">
        <f aca="false">AD65-AE65</f>
        <v>0</v>
      </c>
      <c r="AF68" s="67" t="n">
        <f aca="false">AE65-AF65</f>
        <v>0</v>
      </c>
      <c r="AG68" s="67" t="n">
        <f aca="false">AF65-AG65</f>
        <v>0</v>
      </c>
      <c r="AH68" s="67" t="n">
        <f aca="false">AG65-AH65</f>
        <v>0</v>
      </c>
      <c r="AI68" s="67" t="n">
        <f aca="false">AH65-AI65</f>
        <v>0</v>
      </c>
      <c r="AJ68" s="67" t="n">
        <f aca="false">AI65-AJ65</f>
        <v>0</v>
      </c>
      <c r="AK68" s="67" t="n">
        <f aca="false">AJ65-AK65</f>
        <v>0</v>
      </c>
      <c r="AL68" s="67" t="n">
        <f aca="false">AK65-AL65</f>
        <v>0</v>
      </c>
      <c r="AM68" s="67" t="n">
        <f aca="false">AL65-AM65</f>
        <v>-187298.625583872</v>
      </c>
      <c r="AN68" s="67" t="n">
        <f aca="false">AM65-AN65</f>
        <v>0</v>
      </c>
      <c r="AO68" s="67" t="n">
        <f aca="false">AN65-AO65</f>
        <v>0</v>
      </c>
      <c r="AP68" s="67" t="n">
        <f aca="false">AO65-AP65</f>
        <v>0</v>
      </c>
      <c r="AQ68" s="67" t="n">
        <f aca="false">AP65-AQ65</f>
        <v>0</v>
      </c>
      <c r="AR68" s="67" t="n">
        <f aca="false">AQ65-AR65</f>
        <v>0</v>
      </c>
      <c r="AS68" s="67" t="n">
        <f aca="false">AR65-AS65</f>
        <v>0</v>
      </c>
      <c r="AT68" s="67" t="n">
        <f aca="false">AS65-AT65</f>
        <v>0</v>
      </c>
      <c r="AU68" s="67" t="n">
        <f aca="false">AT65-AU65</f>
        <v>0</v>
      </c>
      <c r="AV68" s="67" t="n">
        <f aca="false">AU65-AV65</f>
        <v>0</v>
      </c>
      <c r="AW68" s="67" t="n">
        <f aca="false">AV65-AW65</f>
        <v>0</v>
      </c>
      <c r="AX68" s="67" t="n">
        <f aca="false">AW65-AX65</f>
        <v>0</v>
      </c>
      <c r="AY68" s="67" t="n">
        <f aca="false">AX65-AY65</f>
        <v>-242554.418423995</v>
      </c>
      <c r="AZ68" s="67" t="n">
        <f aca="false">AY65-AZ65</f>
        <v>0</v>
      </c>
      <c r="BA68" s="67" t="n">
        <f aca="false">AZ65-BA65</f>
        <v>0</v>
      </c>
      <c r="BB68" s="67" t="n">
        <f aca="false">BA65-BB65</f>
        <v>0</v>
      </c>
      <c r="BC68" s="67" t="n">
        <f aca="false">BB65-BC65</f>
        <v>0</v>
      </c>
      <c r="BD68" s="67" t="n">
        <f aca="false">BC65-BD65</f>
        <v>0</v>
      </c>
      <c r="BE68" s="67" t="n">
        <f aca="false">BD65-BE65</f>
        <v>0</v>
      </c>
      <c r="BF68" s="67" t="n">
        <f aca="false">BE65-BF65</f>
        <v>0</v>
      </c>
      <c r="BG68" s="67" t="n">
        <f aca="false">BF65-BG65</f>
        <v>0</v>
      </c>
      <c r="BH68" s="67" t="n">
        <f aca="false">BG65-BH65</f>
        <v>0</v>
      </c>
      <c r="BI68" s="67" t="n">
        <f aca="false">BH65-BI65</f>
        <v>0</v>
      </c>
      <c r="BJ68" s="67" t="n">
        <f aca="false">BI65-BJ65</f>
        <v>0</v>
      </c>
    </row>
    <row r="69" customFormat="false" ht="15" hidden="false" customHeight="false" outlineLevel="0" collapsed="false">
      <c r="A69" s="6" t="s">
        <v>334</v>
      </c>
      <c r="C69" s="67" t="n">
        <f aca="false">-C66</f>
        <v>-0</v>
      </c>
      <c r="D69" s="67" t="n">
        <f aca="false">C66-D66</f>
        <v>0</v>
      </c>
      <c r="E69" s="67" t="n">
        <f aca="false">D66-E66</f>
        <v>0</v>
      </c>
      <c r="F69" s="67" t="n">
        <f aca="false">E66-F66</f>
        <v>0</v>
      </c>
      <c r="G69" s="67" t="n">
        <f aca="false">F66-G66</f>
        <v>0</v>
      </c>
      <c r="H69" s="67" t="n">
        <f aca="false">G66-H66</f>
        <v>0</v>
      </c>
      <c r="I69" s="67" t="n">
        <f aca="false">H66-I66</f>
        <v>0</v>
      </c>
      <c r="J69" s="67" t="n">
        <f aca="false">I66-J66</f>
        <v>0</v>
      </c>
      <c r="K69" s="67" t="n">
        <f aca="false">J66-K66</f>
        <v>0</v>
      </c>
      <c r="L69" s="67" t="n">
        <f aca="false">K66-L66</f>
        <v>0</v>
      </c>
      <c r="M69" s="67" t="n">
        <f aca="false">L66-M66</f>
        <v>0</v>
      </c>
      <c r="N69" s="67" t="n">
        <f aca="false">M66-N66</f>
        <v>0</v>
      </c>
      <c r="O69" s="67" t="n">
        <f aca="false">N66-O66</f>
        <v>0</v>
      </c>
      <c r="P69" s="67" t="n">
        <f aca="false">O66-P66</f>
        <v>0</v>
      </c>
      <c r="Q69" s="67" t="n">
        <f aca="false">P66-Q66</f>
        <v>0</v>
      </c>
      <c r="R69" s="67" t="n">
        <f aca="false">Q66-R66</f>
        <v>0</v>
      </c>
      <c r="S69" s="67" t="n">
        <f aca="false">R66-S66</f>
        <v>0</v>
      </c>
      <c r="T69" s="67" t="n">
        <f aca="false">S66-T66</f>
        <v>0</v>
      </c>
      <c r="U69" s="67" t="n">
        <f aca="false">T66-U66</f>
        <v>0</v>
      </c>
      <c r="V69" s="67" t="n">
        <f aca="false">U66-V66</f>
        <v>0</v>
      </c>
      <c r="W69" s="67" t="n">
        <f aca="false">V66-W66</f>
        <v>0</v>
      </c>
      <c r="X69" s="67" t="n">
        <f aca="false">W66-X66</f>
        <v>0</v>
      </c>
      <c r="Y69" s="67" t="n">
        <f aca="false">X66-Y66</f>
        <v>0</v>
      </c>
      <c r="Z69" s="67" t="n">
        <f aca="false">Y66-Z66</f>
        <v>0</v>
      </c>
      <c r="AA69" s="67" t="n">
        <f aca="false">Z66-AA66</f>
        <v>0</v>
      </c>
      <c r="AB69" s="67" t="n">
        <f aca="false">AA66-AB66</f>
        <v>0</v>
      </c>
      <c r="AC69" s="67" t="n">
        <f aca="false">AB66-AC66</f>
        <v>0</v>
      </c>
      <c r="AD69" s="67" t="n">
        <f aca="false">AC66-AD66</f>
        <v>0</v>
      </c>
      <c r="AE69" s="67" t="n">
        <f aca="false">AD66-AE66</f>
        <v>0</v>
      </c>
      <c r="AF69" s="67" t="n">
        <f aca="false">AE66-AF66</f>
        <v>0</v>
      </c>
      <c r="AG69" s="67" t="n">
        <f aca="false">AF66-AG66</f>
        <v>0</v>
      </c>
      <c r="AH69" s="67" t="n">
        <f aca="false">AG66-AH66</f>
        <v>0</v>
      </c>
      <c r="AI69" s="67" t="n">
        <f aca="false">AH66-AI66</f>
        <v>0</v>
      </c>
      <c r="AJ69" s="67" t="n">
        <f aca="false">AI66-AJ66</f>
        <v>0</v>
      </c>
      <c r="AK69" s="67" t="n">
        <f aca="false">AJ66-AK66</f>
        <v>0</v>
      </c>
      <c r="AL69" s="67" t="n">
        <f aca="false">AK66-AL66</f>
        <v>0</v>
      </c>
      <c r="AM69" s="67" t="n">
        <f aca="false">AL66-AM66</f>
        <v>0</v>
      </c>
      <c r="AN69" s="67" t="n">
        <f aca="false">AM66-AN66</f>
        <v>0</v>
      </c>
      <c r="AO69" s="67" t="n">
        <f aca="false">AN66-AO66</f>
        <v>0</v>
      </c>
      <c r="AP69" s="67" t="n">
        <f aca="false">AO66-AP66</f>
        <v>0</v>
      </c>
      <c r="AQ69" s="67" t="n">
        <f aca="false">AP66-AQ66</f>
        <v>0</v>
      </c>
      <c r="AR69" s="67" t="n">
        <f aca="false">AQ66-AR66</f>
        <v>0</v>
      </c>
      <c r="AS69" s="67" t="n">
        <f aca="false">AR66-AS66</f>
        <v>0</v>
      </c>
      <c r="AT69" s="67" t="n">
        <f aca="false">AS66-AT66</f>
        <v>0</v>
      </c>
      <c r="AU69" s="67" t="n">
        <f aca="false">AT66-AU66</f>
        <v>0</v>
      </c>
      <c r="AV69" s="67" t="n">
        <f aca="false">AU66-AV66</f>
        <v>0</v>
      </c>
      <c r="AW69" s="67" t="n">
        <f aca="false">AV66-AW66</f>
        <v>0</v>
      </c>
      <c r="AX69" s="67" t="n">
        <f aca="false">AW66-AX66</f>
        <v>0</v>
      </c>
      <c r="AY69" s="67" t="n">
        <f aca="false">AX66-AY66</f>
        <v>0</v>
      </c>
      <c r="AZ69" s="67" t="n">
        <f aca="false">AY66-AZ66</f>
        <v>0</v>
      </c>
      <c r="BA69" s="67" t="n">
        <f aca="false">AZ66-BA66</f>
        <v>0</v>
      </c>
      <c r="BB69" s="67" t="n">
        <f aca="false">BA66-BB66</f>
        <v>0</v>
      </c>
      <c r="BC69" s="67" t="n">
        <f aca="false">BB66-BC66</f>
        <v>0</v>
      </c>
      <c r="BD69" s="67" t="n">
        <f aca="false">BC66-BD66</f>
        <v>0</v>
      </c>
      <c r="BE69" s="67" t="n">
        <f aca="false">BD66-BE66</f>
        <v>0</v>
      </c>
      <c r="BF69" s="67" t="n">
        <f aca="false">BE66-BF66</f>
        <v>0</v>
      </c>
      <c r="BG69" s="67" t="n">
        <f aca="false">BF66-BG66</f>
        <v>0</v>
      </c>
      <c r="BH69" s="67" t="n">
        <f aca="false">BG66-BH66</f>
        <v>0</v>
      </c>
      <c r="BI69" s="67" t="n">
        <f aca="false">BH66-BI66</f>
        <v>0</v>
      </c>
      <c r="BJ69" s="67" t="n">
        <f aca="false">BI66-BJ66</f>
        <v>0</v>
      </c>
    </row>
    <row r="70" customFormat="false" ht="15" hidden="false" customHeight="false" outlineLevel="0" collapsed="false">
      <c r="A70" s="6" t="s">
        <v>335</v>
      </c>
      <c r="C70" s="67" t="n">
        <f aca="false">C67</f>
        <v>108804.56</v>
      </c>
      <c r="D70" s="67" t="n">
        <f aca="false">D67-C67</f>
        <v>0</v>
      </c>
      <c r="E70" s="67" t="n">
        <f aca="false">E67-D67</f>
        <v>0</v>
      </c>
      <c r="F70" s="67" t="n">
        <f aca="false">F67-E67</f>
        <v>0</v>
      </c>
      <c r="G70" s="67" t="n">
        <f aca="false">G67-F67</f>
        <v>0</v>
      </c>
      <c r="H70" s="67" t="n">
        <f aca="false">H67-G67</f>
        <v>0</v>
      </c>
      <c r="I70" s="67" t="n">
        <f aca="false">I67-H67</f>
        <v>0</v>
      </c>
      <c r="J70" s="67" t="n">
        <f aca="false">J67-I67</f>
        <v>0</v>
      </c>
      <c r="K70" s="67" t="n">
        <f aca="false">K67-J67</f>
        <v>0</v>
      </c>
      <c r="L70" s="67" t="n">
        <f aca="false">L67-K67</f>
        <v>0</v>
      </c>
      <c r="M70" s="67" t="n">
        <f aca="false">M67-L67</f>
        <v>0</v>
      </c>
      <c r="N70" s="67" t="n">
        <f aca="false">N67-M67</f>
        <v>0</v>
      </c>
      <c r="O70" s="67" t="n">
        <f aca="false">O67-N67</f>
        <v>30268.67176</v>
      </c>
      <c r="P70" s="67" t="n">
        <f aca="false">P67-O67</f>
        <v>0</v>
      </c>
      <c r="Q70" s="67" t="n">
        <f aca="false">Q67-P67</f>
        <v>0</v>
      </c>
      <c r="R70" s="67" t="n">
        <f aca="false">R67-Q67</f>
        <v>0</v>
      </c>
      <c r="S70" s="67" t="n">
        <f aca="false">S67-R67</f>
        <v>0</v>
      </c>
      <c r="T70" s="67" t="n">
        <f aca="false">T67-S67</f>
        <v>0</v>
      </c>
      <c r="U70" s="67" t="n">
        <f aca="false">U67-T67</f>
        <v>0</v>
      </c>
      <c r="V70" s="67" t="n">
        <f aca="false">V67-U67</f>
        <v>0</v>
      </c>
      <c r="W70" s="67" t="n">
        <f aca="false">W67-V67</f>
        <v>0</v>
      </c>
      <c r="X70" s="67" t="n">
        <f aca="false">X67-W67</f>
        <v>0</v>
      </c>
      <c r="Y70" s="67" t="n">
        <f aca="false">Y67-X67</f>
        <v>0</v>
      </c>
      <c r="Z70" s="67" t="n">
        <f aca="false">Z67-Y67</f>
        <v>0</v>
      </c>
      <c r="AA70" s="67" t="n">
        <f aca="false">AA67-Z67</f>
        <v>39287.40606216</v>
      </c>
      <c r="AB70" s="67" t="n">
        <f aca="false">AB67-AA67</f>
        <v>0</v>
      </c>
      <c r="AC70" s="67" t="n">
        <f aca="false">AC67-AB67</f>
        <v>0</v>
      </c>
      <c r="AD70" s="67" t="n">
        <f aca="false">AD67-AC67</f>
        <v>0</v>
      </c>
      <c r="AE70" s="67" t="n">
        <f aca="false">AE67-AD67</f>
        <v>0</v>
      </c>
      <c r="AF70" s="67" t="n">
        <f aca="false">AF67-AE67</f>
        <v>0</v>
      </c>
      <c r="AG70" s="67" t="n">
        <f aca="false">AG67-AF67</f>
        <v>0</v>
      </c>
      <c r="AH70" s="67" t="n">
        <f aca="false">AH67-AG67</f>
        <v>0</v>
      </c>
      <c r="AI70" s="67" t="n">
        <f aca="false">AI67-AH67</f>
        <v>0</v>
      </c>
      <c r="AJ70" s="67" t="n">
        <f aca="false">AJ67-AI67</f>
        <v>0</v>
      </c>
      <c r="AK70" s="67" t="n">
        <f aca="false">AK67-AJ67</f>
        <v>0</v>
      </c>
      <c r="AL70" s="67" t="n">
        <f aca="false">AL67-AK67</f>
        <v>0</v>
      </c>
      <c r="AM70" s="67" t="n">
        <f aca="false">AM67-AL67</f>
        <v>51111.999260035</v>
      </c>
      <c r="AN70" s="67" t="n">
        <f aca="false">AN67-AM67</f>
        <v>0</v>
      </c>
      <c r="AO70" s="67" t="n">
        <f aca="false">AO67-AN67</f>
        <v>0</v>
      </c>
      <c r="AP70" s="67" t="n">
        <f aca="false">AP67-AO67</f>
        <v>0</v>
      </c>
      <c r="AQ70" s="67" t="n">
        <f aca="false">AQ67-AP67</f>
        <v>0</v>
      </c>
      <c r="AR70" s="67" t="n">
        <f aca="false">AR67-AQ67</f>
        <v>0</v>
      </c>
      <c r="AS70" s="67" t="n">
        <f aca="false">AS67-AR67</f>
        <v>0</v>
      </c>
      <c r="AT70" s="67" t="n">
        <f aca="false">AT67-AS67</f>
        <v>0</v>
      </c>
      <c r="AU70" s="67" t="n">
        <f aca="false">AU67-AT67</f>
        <v>0</v>
      </c>
      <c r="AV70" s="67" t="n">
        <f aca="false">AV67-AU67</f>
        <v>0</v>
      </c>
      <c r="AW70" s="67" t="n">
        <f aca="false">AW67-AV67</f>
        <v>0</v>
      </c>
      <c r="AX70" s="67" t="n">
        <f aca="false">AX67-AW67</f>
        <v>0</v>
      </c>
      <c r="AY70" s="67" t="n">
        <f aca="false">AY67-AX67</f>
        <v>66639.6138413933</v>
      </c>
      <c r="AZ70" s="67" t="n">
        <f aca="false">AZ67-AY67</f>
        <v>0</v>
      </c>
      <c r="BA70" s="67" t="n">
        <f aca="false">BA67-AZ67</f>
        <v>0</v>
      </c>
      <c r="BB70" s="67" t="n">
        <f aca="false">BB67-BA67</f>
        <v>0</v>
      </c>
      <c r="BC70" s="67" t="n">
        <f aca="false">BC67-BB67</f>
        <v>0</v>
      </c>
      <c r="BD70" s="67" t="n">
        <f aca="false">BD67-BC67</f>
        <v>0</v>
      </c>
      <c r="BE70" s="67" t="n">
        <f aca="false">BE67-BD67</f>
        <v>0</v>
      </c>
      <c r="BF70" s="67" t="n">
        <f aca="false">BF67-BE67</f>
        <v>0</v>
      </c>
      <c r="BG70" s="67" t="n">
        <f aca="false">BG67-BF67</f>
        <v>0</v>
      </c>
      <c r="BH70" s="67" t="n">
        <f aca="false">BH67-BG67</f>
        <v>0</v>
      </c>
      <c r="BI70" s="67" t="n">
        <f aca="false">BI67-BH67</f>
        <v>0</v>
      </c>
      <c r="BJ70" s="67" t="n">
        <f aca="false">BJ67-BI67</f>
        <v>0</v>
      </c>
    </row>
    <row r="72" customFormat="false" ht="15.75" hidden="false" customHeight="true" outlineLevel="0" collapsed="false">
      <c r="A72" s="7" t="s">
        <v>422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customFormat="false" ht="15" hidden="false" customHeight="false" outlineLevel="0" collapsed="false">
      <c r="A73" s="4" t="s">
        <v>52</v>
      </c>
      <c r="C73" s="73" t="n">
        <f aca="false">C49-C54+C68+C69+C70</f>
        <v>-311701.893333333</v>
      </c>
      <c r="D73" s="73" t="n">
        <f aca="false">D49-D54+D68+D69+D70</f>
        <v>-3903.34222222222</v>
      </c>
      <c r="E73" s="73" t="n">
        <f aca="false">E49-E54+E68+E69+E70</f>
        <v>-3881.12</v>
      </c>
      <c r="F73" s="73" t="n">
        <f aca="false">F49-F54+F68+F69+F70</f>
        <v>-3858.89777777777</v>
      </c>
      <c r="G73" s="73" t="n">
        <f aca="false">G49-G54+G68+G69+G70</f>
        <v>-3836.67555555555</v>
      </c>
      <c r="H73" s="73" t="n">
        <f aca="false">H49-H54+H68+H69+H70</f>
        <v>-3814.45333333333</v>
      </c>
      <c r="I73" s="73" t="n">
        <f aca="false">I49-I54+I68+I69+I70</f>
        <v>-3792.23111111111</v>
      </c>
      <c r="J73" s="73" t="n">
        <f aca="false">J49-J54+J68+J69+J70</f>
        <v>-3770.00888888888</v>
      </c>
      <c r="K73" s="73" t="n">
        <f aca="false">K49-K54+K68+K69+K70</f>
        <v>-3747.78666666666</v>
      </c>
      <c r="L73" s="73" t="n">
        <f aca="false">L49-L54+L68+L69+L70</f>
        <v>-3725.56444444444</v>
      </c>
      <c r="M73" s="73" t="n">
        <f aca="false">M49-M54+M68+M69+M70</f>
        <v>-3703.34222222222</v>
      </c>
      <c r="N73" s="73" t="n">
        <f aca="false">N49-N54+N68+N69+N70</f>
        <v>-3681.11999999999</v>
      </c>
      <c r="O73" s="73" t="n">
        <f aca="false">O49-O54+O68+O69+O70</f>
        <v>-80047.8635377778</v>
      </c>
      <c r="P73" s="73" t="n">
        <f aca="false">P49-P54+P68+P69+P70</f>
        <v>2087.31892444456</v>
      </c>
      <c r="Q73" s="73" t="n">
        <f aca="false">Q49-Q54+Q68+Q69+Q70</f>
        <v>2109.54114666678</v>
      </c>
      <c r="R73" s="73" t="n">
        <f aca="false">R49-R54+R68+R69+R70</f>
        <v>2131.76336888901</v>
      </c>
      <c r="S73" s="73" t="n">
        <f aca="false">S49-S54+S68+S69+S70</f>
        <v>2153.98559111123</v>
      </c>
      <c r="T73" s="73" t="n">
        <f aca="false">T49-T54+T68+T69+T70</f>
        <v>2176.20781333345</v>
      </c>
      <c r="U73" s="73" t="n">
        <f aca="false">U49-U54+U68+U69+U70</f>
        <v>2198.43003555567</v>
      </c>
      <c r="V73" s="73" t="n">
        <f aca="false">V49-V54+V68+V69+V70</f>
        <v>2220.65225777789</v>
      </c>
      <c r="W73" s="73" t="n">
        <f aca="false">W49-W54+W68+W69+W70</f>
        <v>2242.87448000012</v>
      </c>
      <c r="X73" s="73" t="n">
        <f aca="false">X49-X54+X68+X69+X70</f>
        <v>2265.09670222234</v>
      </c>
      <c r="Y73" s="73" t="n">
        <f aca="false">Y49-Y54+Y68+Y69+Y70</f>
        <v>2287.31892444456</v>
      </c>
      <c r="Z73" s="73" t="n">
        <f aca="false">Z49-Z54+Z68+Z69+Z70</f>
        <v>2309.54114666678</v>
      </c>
      <c r="AA73" s="73" t="n">
        <f aca="false">AA49-AA54+AA68+AA69+AA70</f>
        <v>-95811.479872271</v>
      </c>
      <c r="AB73" s="73" t="n">
        <f aca="false">AB49-AB54+AB68+AB69+AB70</f>
        <v>9847.24719979121</v>
      </c>
      <c r="AC73" s="73" t="n">
        <f aca="false">AC49-AC54+AC68+AC69+AC70</f>
        <v>9869.46942201343</v>
      </c>
      <c r="AD73" s="73" t="n">
        <f aca="false">AD49-AD54+AD68+AD69+AD70</f>
        <v>9891.69164423565</v>
      </c>
      <c r="AE73" s="73" t="n">
        <f aca="false">AE49-AE54+AE68+AE69+AE70</f>
        <v>9711.01635041014</v>
      </c>
      <c r="AF73" s="73" t="n">
        <f aca="false">AF49-AF54+AF68+AF69+AF70</f>
        <v>8059.54751005728</v>
      </c>
      <c r="AG73" s="73" t="n">
        <f aca="false">AG49-AG54+AG68+AG69+AG70</f>
        <v>8077.10306561283</v>
      </c>
      <c r="AH73" s="73" t="n">
        <f aca="false">AH49-AH54+AH68+AH69+AH70</f>
        <v>8094.65862116839</v>
      </c>
      <c r="AI73" s="73" t="n">
        <f aca="false">AI49-AI54+AI68+AI69+AI70</f>
        <v>8112.21417672395</v>
      </c>
      <c r="AJ73" s="73" t="n">
        <f aca="false">AJ49-AJ54+AJ68+AJ69+AJ70</f>
        <v>8129.7697322795</v>
      </c>
      <c r="AK73" s="73" t="n">
        <f aca="false">AK49-AK54+AK68+AK69+AK70</f>
        <v>8147.32528783506</v>
      </c>
      <c r="AL73" s="73" t="n">
        <f aca="false">AL49-AL54+AL68+AL69+AL70</f>
        <v>8164.88084339061</v>
      </c>
      <c r="AM73" s="73" t="n">
        <f aca="false">AM49-AM54+AM68+AM69+AM70</f>
        <v>-120275.286183276</v>
      </c>
      <c r="AN73" s="73" t="n">
        <f aca="false">AN49-AN54+AN68+AN69+AN70</f>
        <v>15928.8956961169</v>
      </c>
      <c r="AO73" s="73" t="n">
        <f aca="false">AO49-AO54+AO68+AO69+AO70</f>
        <v>15946.4512516724</v>
      </c>
      <c r="AP73" s="73" t="n">
        <f aca="false">AP49-AP54+AP68+AP69+AP70</f>
        <v>15964.006807228</v>
      </c>
      <c r="AQ73" s="73" t="n">
        <f aca="false">AQ49-AQ54+AQ68+AQ69+AQ70</f>
        <v>15981.5623627836</v>
      </c>
      <c r="AR73" s="73" t="n">
        <f aca="false">AR49-AR54+AR68+AR69+AR70</f>
        <v>15999.1179183391</v>
      </c>
      <c r="AS73" s="73" t="n">
        <f aca="false">AS49-AS54+AS68+AS69+AS70</f>
        <v>16016.6734738947</v>
      </c>
      <c r="AT73" s="73" t="n">
        <f aca="false">AT49-AT54+AT68+AT69+AT70</f>
        <v>16034.2290294502</v>
      </c>
      <c r="AU73" s="73" t="n">
        <f aca="false">AU49-AU54+AU68+AU69+AU70</f>
        <v>16051.7845850058</v>
      </c>
      <c r="AV73" s="73" t="n">
        <f aca="false">AV49-AV54+AV68+AV69+AV70</f>
        <v>16069.3401405613</v>
      </c>
      <c r="AW73" s="73" t="n">
        <f aca="false">AW49-AW54+AW68+AW69+AW70</f>
        <v>16086.8956961169</v>
      </c>
      <c r="AX73" s="73" t="n">
        <f aca="false">AX49-AX54+AX68+AX69+AX70</f>
        <v>16104.4512516724</v>
      </c>
      <c r="AY73" s="73" t="n">
        <f aca="false">AY49-AY54+AY68+AY69+AY70</f>
        <v>-149731.684506944</v>
      </c>
      <c r="AZ73" s="73" t="n">
        <f aca="false">AZ49-AZ54+AZ68+AZ69+AZ70</f>
        <v>26200.6756312136</v>
      </c>
      <c r="BA73" s="73" t="n">
        <f aca="false">BA49-BA54+BA68+BA69+BA70</f>
        <v>26218.2311867692</v>
      </c>
      <c r="BB73" s="73" t="n">
        <f aca="false">BB49-BB54+BB68+BB69+BB70</f>
        <v>26235.7867423247</v>
      </c>
      <c r="BC73" s="73" t="n">
        <f aca="false">BC49-BC54+BC68+BC69+BC70</f>
        <v>26253.3422978803</v>
      </c>
      <c r="BD73" s="73" t="n">
        <f aca="false">BD49-BD54+BD68+BD69+BD70</f>
        <v>26270.8978534359</v>
      </c>
      <c r="BE73" s="73" t="n">
        <f aca="false">BE49-BE54+BE68+BE69+BE70</f>
        <v>26288.4534089914</v>
      </c>
      <c r="BF73" s="73" t="n">
        <f aca="false">BF49-BF54+BF68+BF69+BF70</f>
        <v>26306.008964547</v>
      </c>
      <c r="BG73" s="73" t="n">
        <f aca="false">BG49-BG54+BG68+BG69+BG70</f>
        <v>26323.5645201025</v>
      </c>
      <c r="BH73" s="73" t="n">
        <f aca="false">BH49-BH54+BH68+BH69+BH70</f>
        <v>26341.1200756581</v>
      </c>
      <c r="BI73" s="73" t="n">
        <f aca="false">BI49-BI54+BI68+BI69+BI70</f>
        <v>26358.6756312136</v>
      </c>
      <c r="BJ73" s="73" t="n">
        <f aca="false">BJ49-BJ54+BJ68+BJ69+BJ70</f>
        <v>26376.2311867692</v>
      </c>
    </row>
    <row r="74" customFormat="false" ht="15" hidden="false" customHeight="false" outlineLevel="0" collapsed="false">
      <c r="A74" s="6" t="s">
        <v>423</v>
      </c>
      <c r="C74" s="67" t="n">
        <f aca="false">-C52</f>
        <v>-60000</v>
      </c>
      <c r="D74" s="67" t="n">
        <f aca="false">-D52</f>
        <v>-0</v>
      </c>
      <c r="E74" s="67" t="n">
        <f aca="false">-E52</f>
        <v>-0</v>
      </c>
      <c r="F74" s="67" t="n">
        <f aca="false">-F52</f>
        <v>-0</v>
      </c>
      <c r="G74" s="67" t="n">
        <f aca="false">-G52</f>
        <v>-0</v>
      </c>
      <c r="H74" s="67" t="n">
        <f aca="false">-H52</f>
        <v>-0</v>
      </c>
      <c r="I74" s="67" t="n">
        <f aca="false">-I52</f>
        <v>-0</v>
      </c>
      <c r="J74" s="67" t="n">
        <f aca="false">-J52</f>
        <v>-0</v>
      </c>
      <c r="K74" s="67" t="n">
        <f aca="false">-K52</f>
        <v>-0</v>
      </c>
      <c r="L74" s="67" t="n">
        <f aca="false">-L52</f>
        <v>-0</v>
      </c>
      <c r="M74" s="67" t="n">
        <f aca="false">-M52</f>
        <v>-0</v>
      </c>
      <c r="N74" s="67" t="n">
        <f aca="false">-N52</f>
        <v>-0</v>
      </c>
      <c r="O74" s="67" t="n">
        <f aca="false">-O52</f>
        <v>-0</v>
      </c>
      <c r="P74" s="67" t="n">
        <f aca="false">-P52</f>
        <v>-0</v>
      </c>
      <c r="Q74" s="67" t="n">
        <f aca="false">-Q52</f>
        <v>-0</v>
      </c>
      <c r="R74" s="67" t="n">
        <f aca="false">-R52</f>
        <v>-0</v>
      </c>
      <c r="S74" s="67" t="n">
        <f aca="false">-S52</f>
        <v>-0</v>
      </c>
      <c r="T74" s="67" t="n">
        <f aca="false">-T52</f>
        <v>-0</v>
      </c>
      <c r="U74" s="67" t="n">
        <f aca="false">-U52</f>
        <v>-0</v>
      </c>
      <c r="V74" s="67" t="n">
        <f aca="false">-V52</f>
        <v>-0</v>
      </c>
      <c r="W74" s="67" t="n">
        <f aca="false">-W52</f>
        <v>-0</v>
      </c>
      <c r="X74" s="67" t="n">
        <f aca="false">-X52</f>
        <v>-0</v>
      </c>
      <c r="Y74" s="67" t="n">
        <f aca="false">-Y52</f>
        <v>-0</v>
      </c>
      <c r="Z74" s="67" t="n">
        <f aca="false">-Z52</f>
        <v>-0</v>
      </c>
      <c r="AA74" s="67" t="n">
        <f aca="false">-AA52</f>
        <v>-0</v>
      </c>
      <c r="AB74" s="67" t="n">
        <f aca="false">-AB52</f>
        <v>-0</v>
      </c>
      <c r="AC74" s="67" t="n">
        <f aca="false">-AC52</f>
        <v>-0</v>
      </c>
      <c r="AD74" s="67" t="n">
        <f aca="false">-AD52</f>
        <v>-0</v>
      </c>
      <c r="AE74" s="67" t="n">
        <f aca="false">-AE52</f>
        <v>-0</v>
      </c>
      <c r="AF74" s="67" t="n">
        <f aca="false">-AF52</f>
        <v>-0</v>
      </c>
      <c r="AG74" s="67" t="n">
        <f aca="false">-AG52</f>
        <v>-0</v>
      </c>
      <c r="AH74" s="67" t="n">
        <f aca="false">-AH52</f>
        <v>-0</v>
      </c>
      <c r="AI74" s="67" t="n">
        <f aca="false">-AI52</f>
        <v>-0</v>
      </c>
      <c r="AJ74" s="67" t="n">
        <f aca="false">-AJ52</f>
        <v>-0</v>
      </c>
      <c r="AK74" s="67" t="n">
        <f aca="false">-AK52</f>
        <v>-0</v>
      </c>
      <c r="AL74" s="67" t="n">
        <f aca="false">-AL52</f>
        <v>-0</v>
      </c>
      <c r="AM74" s="67" t="n">
        <f aca="false">-AM52</f>
        <v>-0</v>
      </c>
      <c r="AN74" s="67" t="n">
        <f aca="false">-AN52</f>
        <v>-0</v>
      </c>
      <c r="AO74" s="67" t="n">
        <f aca="false">-AO52</f>
        <v>-0</v>
      </c>
      <c r="AP74" s="67" t="n">
        <f aca="false">-AP52</f>
        <v>-0</v>
      </c>
      <c r="AQ74" s="67" t="n">
        <f aca="false">-AQ52</f>
        <v>-0</v>
      </c>
      <c r="AR74" s="67" t="n">
        <f aca="false">-AR52</f>
        <v>-0</v>
      </c>
      <c r="AS74" s="67" t="n">
        <f aca="false">-AS52</f>
        <v>-0</v>
      </c>
      <c r="AT74" s="67" t="n">
        <f aca="false">-AT52</f>
        <v>-0</v>
      </c>
      <c r="AU74" s="67" t="n">
        <f aca="false">-AU52</f>
        <v>-0</v>
      </c>
      <c r="AV74" s="67" t="n">
        <f aca="false">-AV52</f>
        <v>-0</v>
      </c>
      <c r="AW74" s="67" t="n">
        <f aca="false">-AW52</f>
        <v>-0</v>
      </c>
      <c r="AX74" s="67" t="n">
        <f aca="false">-AX52</f>
        <v>-0</v>
      </c>
      <c r="AY74" s="67" t="n">
        <f aca="false">-AY52</f>
        <v>-0</v>
      </c>
      <c r="AZ74" s="67" t="n">
        <f aca="false">-AZ52</f>
        <v>-0</v>
      </c>
      <c r="BA74" s="67" t="n">
        <f aca="false">-BA52</f>
        <v>-0</v>
      </c>
      <c r="BB74" s="67" t="n">
        <f aca="false">-BB52</f>
        <v>-0</v>
      </c>
      <c r="BC74" s="67" t="n">
        <f aca="false">-BC52</f>
        <v>-0</v>
      </c>
      <c r="BD74" s="67" t="n">
        <f aca="false">-BD52</f>
        <v>-0</v>
      </c>
      <c r="BE74" s="67" t="n">
        <f aca="false">-BE52</f>
        <v>-0</v>
      </c>
      <c r="BF74" s="67" t="n">
        <f aca="false">-BF52</f>
        <v>-0</v>
      </c>
      <c r="BG74" s="67" t="n">
        <f aca="false">-BG52</f>
        <v>-0</v>
      </c>
      <c r="BH74" s="67" t="n">
        <f aca="false">-BH52</f>
        <v>-0</v>
      </c>
      <c r="BI74" s="67" t="n">
        <f aca="false">-BI52</f>
        <v>-0</v>
      </c>
      <c r="BJ74" s="67" t="n">
        <f aca="false">-BJ52</f>
        <v>-0</v>
      </c>
    </row>
    <row r="75" customFormat="false" ht="15" hidden="false" customHeight="false" outlineLevel="0" collapsed="false">
      <c r="A75" s="6" t="s">
        <v>64</v>
      </c>
      <c r="C75" s="67" t="n">
        <f aca="false">IF(C$6=1,Inputs!$B$54,0)</f>
        <v>300000</v>
      </c>
      <c r="D75" s="67" t="n">
        <f aca="false">IF(D$6=1,Inputs!$B$54,0)</f>
        <v>0</v>
      </c>
      <c r="E75" s="67" t="n">
        <f aca="false">IF(E$6=1,Inputs!$B$54,0)</f>
        <v>0</v>
      </c>
      <c r="F75" s="67" t="n">
        <f aca="false">IF(F$6=1,Inputs!$B$54,0)</f>
        <v>0</v>
      </c>
      <c r="G75" s="67" t="n">
        <f aca="false">IF(G$6=1,Inputs!$B$54,0)</f>
        <v>0</v>
      </c>
      <c r="H75" s="67" t="n">
        <f aca="false">IF(H$6=1,Inputs!$B$54,0)</f>
        <v>0</v>
      </c>
      <c r="I75" s="67" t="n">
        <f aca="false">IF(I$6=1,Inputs!$B$54,0)</f>
        <v>0</v>
      </c>
      <c r="J75" s="67" t="n">
        <f aca="false">IF(J$6=1,Inputs!$B$54,0)</f>
        <v>0</v>
      </c>
      <c r="K75" s="67" t="n">
        <f aca="false">IF(K$6=1,Inputs!$B$54,0)</f>
        <v>0</v>
      </c>
      <c r="L75" s="67" t="n">
        <f aca="false">IF(L$6=1,Inputs!$B$54,0)</f>
        <v>0</v>
      </c>
      <c r="M75" s="67" t="n">
        <f aca="false">IF(M$6=1,Inputs!$B$54,0)</f>
        <v>0</v>
      </c>
      <c r="N75" s="67" t="n">
        <f aca="false">IF(N$6=1,Inputs!$B$54,0)</f>
        <v>0</v>
      </c>
      <c r="O75" s="67" t="n">
        <f aca="false">IF(O$6=1,Inputs!$B$54,0)</f>
        <v>0</v>
      </c>
      <c r="P75" s="67" t="n">
        <f aca="false">IF(P$6=1,Inputs!$B$54,0)</f>
        <v>0</v>
      </c>
      <c r="Q75" s="67" t="n">
        <f aca="false">IF(Q$6=1,Inputs!$B$54,0)</f>
        <v>0</v>
      </c>
      <c r="R75" s="67" t="n">
        <f aca="false">IF(R$6=1,Inputs!$B$54,0)</f>
        <v>0</v>
      </c>
      <c r="S75" s="67" t="n">
        <f aca="false">IF(S$6=1,Inputs!$B$54,0)</f>
        <v>0</v>
      </c>
      <c r="T75" s="67" t="n">
        <f aca="false">IF(T$6=1,Inputs!$B$54,0)</f>
        <v>0</v>
      </c>
      <c r="U75" s="67" t="n">
        <f aca="false">IF(U$6=1,Inputs!$B$54,0)</f>
        <v>0</v>
      </c>
      <c r="V75" s="67" t="n">
        <f aca="false">IF(V$6=1,Inputs!$B$54,0)</f>
        <v>0</v>
      </c>
      <c r="W75" s="67" t="n">
        <f aca="false">IF(W$6=1,Inputs!$B$54,0)</f>
        <v>0</v>
      </c>
      <c r="X75" s="67" t="n">
        <f aca="false">IF(X$6=1,Inputs!$B$54,0)</f>
        <v>0</v>
      </c>
      <c r="Y75" s="67" t="n">
        <f aca="false">IF(Y$6=1,Inputs!$B$54,0)</f>
        <v>0</v>
      </c>
      <c r="Z75" s="67" t="n">
        <f aca="false">IF(Z$6=1,Inputs!$B$54,0)</f>
        <v>0</v>
      </c>
      <c r="AA75" s="67" t="n">
        <f aca="false">IF(AA$6=1,Inputs!$B$54,0)</f>
        <v>0</v>
      </c>
      <c r="AB75" s="67" t="n">
        <f aca="false">IF(AB$6=1,Inputs!$B$54,0)</f>
        <v>0</v>
      </c>
      <c r="AC75" s="67" t="n">
        <f aca="false">IF(AC$6=1,Inputs!$B$54,0)</f>
        <v>0</v>
      </c>
      <c r="AD75" s="67" t="n">
        <f aca="false">IF(AD$6=1,Inputs!$B$54,0)</f>
        <v>0</v>
      </c>
      <c r="AE75" s="67" t="n">
        <f aca="false">IF(AE$6=1,Inputs!$B$54,0)</f>
        <v>0</v>
      </c>
      <c r="AF75" s="67" t="n">
        <f aca="false">IF(AF$6=1,Inputs!$B$54,0)</f>
        <v>0</v>
      </c>
      <c r="AG75" s="67" t="n">
        <f aca="false">IF(AG$6=1,Inputs!$B$54,0)</f>
        <v>0</v>
      </c>
      <c r="AH75" s="67" t="n">
        <f aca="false">IF(AH$6=1,Inputs!$B$54,0)</f>
        <v>0</v>
      </c>
      <c r="AI75" s="67" t="n">
        <f aca="false">IF(AI$6=1,Inputs!$B$54,0)</f>
        <v>0</v>
      </c>
      <c r="AJ75" s="67" t="n">
        <f aca="false">IF(AJ$6=1,Inputs!$B$54,0)</f>
        <v>0</v>
      </c>
      <c r="AK75" s="67" t="n">
        <f aca="false">IF(AK$6=1,Inputs!$B$54,0)</f>
        <v>0</v>
      </c>
      <c r="AL75" s="67" t="n">
        <f aca="false">IF(AL$6=1,Inputs!$B$54,0)</f>
        <v>0</v>
      </c>
      <c r="AM75" s="67" t="n">
        <f aca="false">IF(AM$6=1,Inputs!$B$54,0)</f>
        <v>0</v>
      </c>
      <c r="AN75" s="67" t="n">
        <f aca="false">IF(AN$6=1,Inputs!$B$54,0)</f>
        <v>0</v>
      </c>
      <c r="AO75" s="67" t="n">
        <f aca="false">IF(AO$6=1,Inputs!$B$54,0)</f>
        <v>0</v>
      </c>
      <c r="AP75" s="67" t="n">
        <f aca="false">IF(AP$6=1,Inputs!$B$54,0)</f>
        <v>0</v>
      </c>
      <c r="AQ75" s="67" t="n">
        <f aca="false">IF(AQ$6=1,Inputs!$B$54,0)</f>
        <v>0</v>
      </c>
      <c r="AR75" s="67" t="n">
        <f aca="false">IF(AR$6=1,Inputs!$B$54,0)</f>
        <v>0</v>
      </c>
      <c r="AS75" s="67" t="n">
        <f aca="false">IF(AS$6=1,Inputs!$B$54,0)</f>
        <v>0</v>
      </c>
      <c r="AT75" s="67" t="n">
        <f aca="false">IF(AT$6=1,Inputs!$B$54,0)</f>
        <v>0</v>
      </c>
      <c r="AU75" s="67" t="n">
        <f aca="false">IF(AU$6=1,Inputs!$B$54,0)</f>
        <v>0</v>
      </c>
      <c r="AV75" s="67" t="n">
        <f aca="false">IF(AV$6=1,Inputs!$B$54,0)</f>
        <v>0</v>
      </c>
      <c r="AW75" s="67" t="n">
        <f aca="false">IF(AW$6=1,Inputs!$B$54,0)</f>
        <v>0</v>
      </c>
      <c r="AX75" s="67" t="n">
        <f aca="false">IF(AX$6=1,Inputs!$B$54,0)</f>
        <v>0</v>
      </c>
      <c r="AY75" s="67" t="n">
        <f aca="false">IF(AY$6=1,Inputs!$B$54,0)</f>
        <v>0</v>
      </c>
      <c r="AZ75" s="67" t="n">
        <f aca="false">IF(AZ$6=1,Inputs!$B$54,0)</f>
        <v>0</v>
      </c>
      <c r="BA75" s="67" t="n">
        <f aca="false">IF(BA$6=1,Inputs!$B$54,0)</f>
        <v>0</v>
      </c>
      <c r="BB75" s="67" t="n">
        <f aca="false">IF(BB$6=1,Inputs!$B$54,0)</f>
        <v>0</v>
      </c>
      <c r="BC75" s="67" t="n">
        <f aca="false">IF(BC$6=1,Inputs!$B$54,0)</f>
        <v>0</v>
      </c>
      <c r="BD75" s="67" t="n">
        <f aca="false">IF(BD$6=1,Inputs!$B$54,0)</f>
        <v>0</v>
      </c>
      <c r="BE75" s="67" t="n">
        <f aca="false">IF(BE$6=1,Inputs!$B$54,0)</f>
        <v>0</v>
      </c>
      <c r="BF75" s="67" t="n">
        <f aca="false">IF(BF$6=1,Inputs!$B$54,0)</f>
        <v>0</v>
      </c>
      <c r="BG75" s="67" t="n">
        <f aca="false">IF(BG$6=1,Inputs!$B$54,0)</f>
        <v>0</v>
      </c>
      <c r="BH75" s="67" t="n">
        <f aca="false">IF(BH$6=1,Inputs!$B$54,0)</f>
        <v>0</v>
      </c>
      <c r="BI75" s="67" t="n">
        <f aca="false">IF(BI$6=1,Inputs!$B$54,0)</f>
        <v>0</v>
      </c>
      <c r="BJ75" s="67" t="n">
        <f aca="false">IF(BJ$6=1,Inputs!$B$54,0)</f>
        <v>0</v>
      </c>
    </row>
    <row r="76" customFormat="false" ht="15" hidden="false" customHeight="false" outlineLevel="0" collapsed="false">
      <c r="A76" s="6" t="s">
        <v>54</v>
      </c>
      <c r="C76" s="67" t="n">
        <f aca="false">C75+C60+C61</f>
        <v>500000</v>
      </c>
      <c r="D76" s="67" t="n">
        <f aca="false">D75+D60+D61</f>
        <v>-3333.33333333333</v>
      </c>
      <c r="E76" s="67" t="n">
        <f aca="false">E75+E60+E61</f>
        <v>-3333.33333333333</v>
      </c>
      <c r="F76" s="67" t="n">
        <f aca="false">F75+F60+F61</f>
        <v>-3333.33333333333</v>
      </c>
      <c r="G76" s="67" t="n">
        <f aca="false">G75+G60+G61</f>
        <v>-3333.33333333333</v>
      </c>
      <c r="H76" s="67" t="n">
        <f aca="false">H75+H60+H61</f>
        <v>-3333.33333333333</v>
      </c>
      <c r="I76" s="67" t="n">
        <f aca="false">I75+I60+I61</f>
        <v>-3333.33333333333</v>
      </c>
      <c r="J76" s="67" t="n">
        <f aca="false">J75+J60+J61</f>
        <v>-3333.33333333333</v>
      </c>
      <c r="K76" s="67" t="n">
        <f aca="false">K75+K60+K61</f>
        <v>-3333.33333333333</v>
      </c>
      <c r="L76" s="67" t="n">
        <f aca="false">L75+L60+L61</f>
        <v>-3333.33333333333</v>
      </c>
      <c r="M76" s="67" t="n">
        <f aca="false">M75+M60+M61</f>
        <v>-3333.33333333333</v>
      </c>
      <c r="N76" s="67" t="n">
        <f aca="false">N75+N60+N61</f>
        <v>-3333.33333333333</v>
      </c>
      <c r="O76" s="67" t="n">
        <f aca="false">O75+O60+O61</f>
        <v>-3333.33333333333</v>
      </c>
      <c r="P76" s="67" t="n">
        <f aca="false">P75+P60+P61</f>
        <v>-3333.33333333333</v>
      </c>
      <c r="Q76" s="67" t="n">
        <f aca="false">Q75+Q60+Q61</f>
        <v>-3333.33333333333</v>
      </c>
      <c r="R76" s="67" t="n">
        <f aca="false">R75+R60+R61</f>
        <v>-3333.33333333333</v>
      </c>
      <c r="S76" s="67" t="n">
        <f aca="false">S75+S60+S61</f>
        <v>-3333.33333333333</v>
      </c>
      <c r="T76" s="67" t="n">
        <f aca="false">T75+T60+T61</f>
        <v>-3333.33333333333</v>
      </c>
      <c r="U76" s="67" t="n">
        <f aca="false">U75+U60+U61</f>
        <v>-3333.33333333333</v>
      </c>
      <c r="V76" s="67" t="n">
        <f aca="false">V75+V60+V61</f>
        <v>-3333.33333333333</v>
      </c>
      <c r="W76" s="67" t="n">
        <f aca="false">W75+W60+W61</f>
        <v>-3333.33333333333</v>
      </c>
      <c r="X76" s="67" t="n">
        <f aca="false">X75+X60+X61</f>
        <v>-3333.33333333333</v>
      </c>
      <c r="Y76" s="67" t="n">
        <f aca="false">Y75+Y60+Y61</f>
        <v>-3333.33333333333</v>
      </c>
      <c r="Z76" s="67" t="n">
        <f aca="false">Z75+Z60+Z61</f>
        <v>-3333.33333333333</v>
      </c>
      <c r="AA76" s="67" t="n">
        <f aca="false">AA75+AA60+AA61</f>
        <v>-3333.33333333333</v>
      </c>
      <c r="AB76" s="67" t="n">
        <f aca="false">AB75+AB60+AB61</f>
        <v>-3333.33333333333</v>
      </c>
      <c r="AC76" s="67" t="n">
        <f aca="false">AC75+AC60+AC61</f>
        <v>-3333.33333333333</v>
      </c>
      <c r="AD76" s="67" t="n">
        <f aca="false">AD75+AD60+AD61</f>
        <v>-3333.33333333333</v>
      </c>
      <c r="AE76" s="67" t="n">
        <f aca="false">AE75+AE60+AE61</f>
        <v>-3333.33333333333</v>
      </c>
      <c r="AF76" s="67" t="n">
        <f aca="false">AF75+AF60+AF61</f>
        <v>-3333.33333333333</v>
      </c>
      <c r="AG76" s="67" t="n">
        <f aca="false">AG75+AG60+AG61</f>
        <v>-3333.33333333333</v>
      </c>
      <c r="AH76" s="67" t="n">
        <f aca="false">AH75+AH60+AH61</f>
        <v>-3333.33333333333</v>
      </c>
      <c r="AI76" s="67" t="n">
        <f aca="false">AI75+AI60+AI61</f>
        <v>-3333.33333333333</v>
      </c>
      <c r="AJ76" s="67" t="n">
        <f aca="false">AJ75+AJ60+AJ61</f>
        <v>-3333.33333333333</v>
      </c>
      <c r="AK76" s="67" t="n">
        <f aca="false">AK75+AK60+AK61</f>
        <v>-3333.33333333333</v>
      </c>
      <c r="AL76" s="67" t="n">
        <f aca="false">AL75+AL60+AL61</f>
        <v>-3333.33333333333</v>
      </c>
      <c r="AM76" s="67" t="n">
        <f aca="false">AM75+AM60+AM61</f>
        <v>-3333.33333333333</v>
      </c>
      <c r="AN76" s="67" t="n">
        <f aca="false">AN75+AN60+AN61</f>
        <v>-3333.33333333333</v>
      </c>
      <c r="AO76" s="67" t="n">
        <f aca="false">AO75+AO60+AO61</f>
        <v>-3333.33333333333</v>
      </c>
      <c r="AP76" s="67" t="n">
        <f aca="false">AP75+AP60+AP61</f>
        <v>-3333.33333333333</v>
      </c>
      <c r="AQ76" s="67" t="n">
        <f aca="false">AQ75+AQ60+AQ61</f>
        <v>-3333.33333333333</v>
      </c>
      <c r="AR76" s="67" t="n">
        <f aca="false">AR75+AR60+AR61</f>
        <v>-3333.33333333333</v>
      </c>
      <c r="AS76" s="67" t="n">
        <f aca="false">AS75+AS60+AS61</f>
        <v>-3333.33333333333</v>
      </c>
      <c r="AT76" s="67" t="n">
        <f aca="false">AT75+AT60+AT61</f>
        <v>-3333.33333333333</v>
      </c>
      <c r="AU76" s="67" t="n">
        <f aca="false">AU75+AU60+AU61</f>
        <v>-3333.33333333333</v>
      </c>
      <c r="AV76" s="67" t="n">
        <f aca="false">AV75+AV60+AV61</f>
        <v>-3333.33333333333</v>
      </c>
      <c r="AW76" s="67" t="n">
        <f aca="false">AW75+AW60+AW61</f>
        <v>-3333.33333333333</v>
      </c>
      <c r="AX76" s="67" t="n">
        <f aca="false">AX75+AX60+AX61</f>
        <v>-3333.33333333333</v>
      </c>
      <c r="AY76" s="67" t="n">
        <f aca="false">AY75+AY60+AY61</f>
        <v>-3333.33333333333</v>
      </c>
      <c r="AZ76" s="67" t="n">
        <f aca="false">AZ75+AZ60+AZ61</f>
        <v>-3333.33333333333</v>
      </c>
      <c r="BA76" s="67" t="n">
        <f aca="false">BA75+BA60+BA61</f>
        <v>-3333.33333333333</v>
      </c>
      <c r="BB76" s="67" t="n">
        <f aca="false">BB75+BB60+BB61</f>
        <v>-3333.33333333333</v>
      </c>
      <c r="BC76" s="67" t="n">
        <f aca="false">BC75+BC60+BC61</f>
        <v>-3333.33333333333</v>
      </c>
      <c r="BD76" s="67" t="n">
        <f aca="false">BD75+BD60+BD61</f>
        <v>-3333.33333333333</v>
      </c>
      <c r="BE76" s="67" t="n">
        <f aca="false">BE75+BE60+BE61</f>
        <v>-3333.33333333333</v>
      </c>
      <c r="BF76" s="67" t="n">
        <f aca="false">BF75+BF60+BF61</f>
        <v>-3333.33333333333</v>
      </c>
      <c r="BG76" s="67" t="n">
        <f aca="false">BG75+BG60+BG61</f>
        <v>-3333.33333333333</v>
      </c>
      <c r="BH76" s="67" t="n">
        <f aca="false">BH75+BH60+BH61</f>
        <v>-3333.33333333333</v>
      </c>
      <c r="BI76" s="67" t="n">
        <f aca="false">BI75+BI60+BI61</f>
        <v>-3333.33333333333</v>
      </c>
      <c r="BJ76" s="67" t="n">
        <f aca="false">BJ75+BJ60+BJ61</f>
        <v>-3333.33333333333</v>
      </c>
    </row>
    <row r="77" customFormat="false" ht="15" hidden="false" customHeight="false" outlineLevel="0" collapsed="false">
      <c r="A77" s="113" t="s">
        <v>424</v>
      </c>
      <c r="C77" s="68" t="n">
        <f aca="false">C73+C74+C76</f>
        <v>128298.106666667</v>
      </c>
      <c r="D77" s="68" t="n">
        <f aca="false">D73+D74+D76</f>
        <v>-7236.67555555555</v>
      </c>
      <c r="E77" s="68" t="n">
        <f aca="false">E73+E74+E76</f>
        <v>-7214.45333333333</v>
      </c>
      <c r="F77" s="68" t="n">
        <f aca="false">F73+F74+F76</f>
        <v>-7192.23111111111</v>
      </c>
      <c r="G77" s="68" t="n">
        <f aca="false">G73+G74+G76</f>
        <v>-7170.00888888888</v>
      </c>
      <c r="H77" s="68" t="n">
        <f aca="false">H73+H74+H76</f>
        <v>-7147.78666666666</v>
      </c>
      <c r="I77" s="68" t="n">
        <f aca="false">I73+I74+I76</f>
        <v>-7125.56444444444</v>
      </c>
      <c r="J77" s="68" t="n">
        <f aca="false">J73+J74+J76</f>
        <v>-7103.34222222222</v>
      </c>
      <c r="K77" s="68" t="n">
        <f aca="false">K73+K74+K76</f>
        <v>-7081.12</v>
      </c>
      <c r="L77" s="68" t="n">
        <f aca="false">L73+L74+L76</f>
        <v>-7058.89777777777</v>
      </c>
      <c r="M77" s="68" t="n">
        <f aca="false">M73+M74+M76</f>
        <v>-7036.67555555555</v>
      </c>
      <c r="N77" s="68" t="n">
        <f aca="false">N73+N74+N76</f>
        <v>-7014.45333333333</v>
      </c>
      <c r="O77" s="68" t="n">
        <f aca="false">O73+O74+O76</f>
        <v>-83381.1968711111</v>
      </c>
      <c r="P77" s="68" t="n">
        <f aca="false">P73+P74+P76</f>
        <v>-1246.01440888877</v>
      </c>
      <c r="Q77" s="68" t="n">
        <f aca="false">Q73+Q74+Q76</f>
        <v>-1223.79218666655</v>
      </c>
      <c r="R77" s="68" t="n">
        <f aca="false">R73+R74+R76</f>
        <v>-1201.56996444433</v>
      </c>
      <c r="S77" s="68" t="n">
        <f aca="false">S73+S74+S76</f>
        <v>-1179.34774222211</v>
      </c>
      <c r="T77" s="68" t="n">
        <f aca="false">T73+T74+T76</f>
        <v>-1157.12551999988</v>
      </c>
      <c r="U77" s="68" t="n">
        <f aca="false">U73+U74+U76</f>
        <v>-1134.90329777766</v>
      </c>
      <c r="V77" s="68" t="n">
        <f aca="false">V73+V74+V76</f>
        <v>-1112.68107555544</v>
      </c>
      <c r="W77" s="68" t="n">
        <f aca="false">W73+W74+W76</f>
        <v>-1090.45885333322</v>
      </c>
      <c r="X77" s="68" t="n">
        <f aca="false">X73+X74+X76</f>
        <v>-1068.236631111</v>
      </c>
      <c r="Y77" s="68" t="n">
        <f aca="false">Y73+Y74+Y76</f>
        <v>-1046.01440888877</v>
      </c>
      <c r="Z77" s="68" t="n">
        <f aca="false">Z73+Z74+Z76</f>
        <v>-1023.79218666655</v>
      </c>
      <c r="AA77" s="68" t="n">
        <f aca="false">AA73+AA74+AA76</f>
        <v>-99144.8132056043</v>
      </c>
      <c r="AB77" s="68" t="n">
        <f aca="false">AB73+AB74+AB76</f>
        <v>6513.91386645788</v>
      </c>
      <c r="AC77" s="68" t="n">
        <f aca="false">AC73+AC74+AC76</f>
        <v>6536.1360886801</v>
      </c>
      <c r="AD77" s="68" t="n">
        <f aca="false">AD73+AD74+AD76</f>
        <v>6558.35831090232</v>
      </c>
      <c r="AE77" s="68" t="n">
        <f aca="false">AE73+AE74+AE76</f>
        <v>6377.6830170768</v>
      </c>
      <c r="AF77" s="68" t="n">
        <f aca="false">AF73+AF74+AF76</f>
        <v>4726.21417672394</v>
      </c>
      <c r="AG77" s="68" t="n">
        <f aca="false">AG73+AG74+AG76</f>
        <v>4743.7697322795</v>
      </c>
      <c r="AH77" s="68" t="n">
        <f aca="false">AH73+AH74+AH76</f>
        <v>4761.32528783506</v>
      </c>
      <c r="AI77" s="68" t="n">
        <f aca="false">AI73+AI74+AI76</f>
        <v>4778.88084339061</v>
      </c>
      <c r="AJ77" s="68" t="n">
        <f aca="false">AJ73+AJ74+AJ76</f>
        <v>4796.43639894617</v>
      </c>
      <c r="AK77" s="68" t="n">
        <f aca="false">AK73+AK74+AK76</f>
        <v>4813.99195450172</v>
      </c>
      <c r="AL77" s="68" t="n">
        <f aca="false">AL73+AL74+AL76</f>
        <v>4831.54751005728</v>
      </c>
      <c r="AM77" s="68" t="n">
        <f aca="false">AM73+AM74+AM76</f>
        <v>-123608.619516609</v>
      </c>
      <c r="AN77" s="68" t="n">
        <f aca="false">AN73+AN74+AN76</f>
        <v>12595.5623627836</v>
      </c>
      <c r="AO77" s="68" t="n">
        <f aca="false">AO73+AO74+AO76</f>
        <v>12613.1179183391</v>
      </c>
      <c r="AP77" s="68" t="n">
        <f aca="false">AP73+AP74+AP76</f>
        <v>12630.6734738947</v>
      </c>
      <c r="AQ77" s="68" t="n">
        <f aca="false">AQ73+AQ74+AQ76</f>
        <v>12648.2290294502</v>
      </c>
      <c r="AR77" s="68" t="n">
        <f aca="false">AR73+AR74+AR76</f>
        <v>12665.7845850058</v>
      </c>
      <c r="AS77" s="68" t="n">
        <f aca="false">AS73+AS74+AS76</f>
        <v>12683.3401405613</v>
      </c>
      <c r="AT77" s="68" t="n">
        <f aca="false">AT73+AT74+AT76</f>
        <v>12700.8956961169</v>
      </c>
      <c r="AU77" s="68" t="n">
        <f aca="false">AU73+AU74+AU76</f>
        <v>12718.4512516724</v>
      </c>
      <c r="AV77" s="68" t="n">
        <f aca="false">AV73+AV74+AV76</f>
        <v>12736.006807228</v>
      </c>
      <c r="AW77" s="68" t="n">
        <f aca="false">AW73+AW74+AW76</f>
        <v>12753.5623627836</v>
      </c>
      <c r="AX77" s="68" t="n">
        <f aca="false">AX73+AX74+AX76</f>
        <v>12771.1179183391</v>
      </c>
      <c r="AY77" s="68" t="n">
        <f aca="false">AY73+AY74+AY76</f>
        <v>-153065.017840277</v>
      </c>
      <c r="AZ77" s="68" t="n">
        <f aca="false">AZ73+AZ74+AZ76</f>
        <v>22867.3422978803</v>
      </c>
      <c r="BA77" s="68" t="n">
        <f aca="false">BA73+BA74+BA76</f>
        <v>22884.8978534359</v>
      </c>
      <c r="BB77" s="68" t="n">
        <f aca="false">BB73+BB74+BB76</f>
        <v>22902.4534089914</v>
      </c>
      <c r="BC77" s="68" t="n">
        <f aca="false">BC73+BC74+BC76</f>
        <v>22920.008964547</v>
      </c>
      <c r="BD77" s="68" t="n">
        <f aca="false">BD73+BD74+BD76</f>
        <v>22937.5645201025</v>
      </c>
      <c r="BE77" s="68" t="n">
        <f aca="false">BE73+BE74+BE76</f>
        <v>22955.1200756581</v>
      </c>
      <c r="BF77" s="68" t="n">
        <f aca="false">BF73+BF74+BF76</f>
        <v>22972.6756312136</v>
      </c>
      <c r="BG77" s="68" t="n">
        <f aca="false">BG73+BG74+BG76</f>
        <v>22990.2311867692</v>
      </c>
      <c r="BH77" s="68" t="n">
        <f aca="false">BH73+BH74+BH76</f>
        <v>23007.7867423248</v>
      </c>
      <c r="BI77" s="68" t="n">
        <f aca="false">BI73+BI74+BI76</f>
        <v>23025.3422978803</v>
      </c>
      <c r="BJ77" s="68" t="n">
        <f aca="false">BJ73+BJ74+BJ76</f>
        <v>23042.8978534359</v>
      </c>
    </row>
    <row r="78" customFormat="false" ht="15" hidden="false" customHeight="false" outlineLevel="0" collapsed="false">
      <c r="A78" s="6" t="s">
        <v>336</v>
      </c>
      <c r="C78" s="67" t="n">
        <f aca="false">0</f>
        <v>0</v>
      </c>
      <c r="D78" s="67" t="n">
        <f aca="false">C79</f>
        <v>128298.106666667</v>
      </c>
      <c r="E78" s="67" t="n">
        <f aca="false">D79</f>
        <v>121061.431111111</v>
      </c>
      <c r="F78" s="67" t="n">
        <f aca="false">E79</f>
        <v>113846.977777778</v>
      </c>
      <c r="G78" s="67" t="n">
        <f aca="false">F79</f>
        <v>106654.746666667</v>
      </c>
      <c r="H78" s="67" t="n">
        <f aca="false">G79</f>
        <v>99484.7377777778</v>
      </c>
      <c r="I78" s="67" t="n">
        <f aca="false">H79</f>
        <v>92336.9511111112</v>
      </c>
      <c r="J78" s="67" t="n">
        <f aca="false">I79</f>
        <v>85211.3866666667</v>
      </c>
      <c r="K78" s="67" t="n">
        <f aca="false">J79</f>
        <v>78108.0444444445</v>
      </c>
      <c r="L78" s="67" t="n">
        <f aca="false">K79</f>
        <v>71026.9244444445</v>
      </c>
      <c r="M78" s="67" t="n">
        <f aca="false">L79</f>
        <v>63968.0266666667</v>
      </c>
      <c r="N78" s="67" t="n">
        <f aca="false">M79</f>
        <v>56931.3511111112</v>
      </c>
      <c r="O78" s="67" t="n">
        <f aca="false">N79</f>
        <v>49916.8977777779</v>
      </c>
      <c r="P78" s="67" t="n">
        <f aca="false">O79</f>
        <v>-33464.2990933333</v>
      </c>
      <c r="Q78" s="67" t="n">
        <f aca="false">P79</f>
        <v>-34710.313502222</v>
      </c>
      <c r="R78" s="67" t="n">
        <f aca="false">Q79</f>
        <v>-35934.1056888886</v>
      </c>
      <c r="S78" s="67" t="n">
        <f aca="false">R79</f>
        <v>-37135.6756533329</v>
      </c>
      <c r="T78" s="67" t="n">
        <f aca="false">S79</f>
        <v>-38315.023395555</v>
      </c>
      <c r="U78" s="67" t="n">
        <f aca="false">T79</f>
        <v>-39472.1489155549</v>
      </c>
      <c r="V78" s="67" t="n">
        <f aca="false">U79</f>
        <v>-40607.0522133326</v>
      </c>
      <c r="W78" s="67" t="n">
        <f aca="false">V79</f>
        <v>-41719.733288888</v>
      </c>
      <c r="X78" s="67" t="n">
        <f aca="false">W79</f>
        <v>-42810.1921422212</v>
      </c>
      <c r="Y78" s="67" t="n">
        <f aca="false">X79</f>
        <v>-43878.4287733322</v>
      </c>
      <c r="Z78" s="67" t="n">
        <f aca="false">Y79</f>
        <v>-44924.443182221</v>
      </c>
      <c r="AA78" s="67" t="n">
        <f aca="false">Z79</f>
        <v>-45948.2353688875</v>
      </c>
      <c r="AB78" s="67" t="n">
        <f aca="false">AA79</f>
        <v>-145093.048574492</v>
      </c>
      <c r="AC78" s="67" t="n">
        <f aca="false">AB79</f>
        <v>-138579.134708034</v>
      </c>
      <c r="AD78" s="67" t="n">
        <f aca="false">AC79</f>
        <v>-132042.998619354</v>
      </c>
      <c r="AE78" s="67" t="n">
        <f aca="false">AD79</f>
        <v>-125484.640308452</v>
      </c>
      <c r="AF78" s="67" t="n">
        <f aca="false">AE79</f>
        <v>-119106.957291375</v>
      </c>
      <c r="AG78" s="67" t="n">
        <f aca="false">AF79</f>
        <v>-114380.743114651</v>
      </c>
      <c r="AH78" s="67" t="n">
        <f aca="false">AG79</f>
        <v>-109636.973382371</v>
      </c>
      <c r="AI78" s="67" t="n">
        <f aca="false">AH79</f>
        <v>-104875.648094536</v>
      </c>
      <c r="AJ78" s="67" t="n">
        <f aca="false">AI79</f>
        <v>-100096.767251146</v>
      </c>
      <c r="AK78" s="67" t="n">
        <f aca="false">AJ79</f>
        <v>-95300.3308521995</v>
      </c>
      <c r="AL78" s="67" t="n">
        <f aca="false">AK79</f>
        <v>-90486.3388976978</v>
      </c>
      <c r="AM78" s="67" t="n">
        <f aca="false">AL79</f>
        <v>-85654.7913876405</v>
      </c>
      <c r="AN78" s="67" t="n">
        <f aca="false">AM79</f>
        <v>-209263.41090425</v>
      </c>
      <c r="AO78" s="67" t="n">
        <f aca="false">AN79</f>
        <v>-196667.848541466</v>
      </c>
      <c r="AP78" s="67" t="n">
        <f aca="false">AO79</f>
        <v>-184054.730623127</v>
      </c>
      <c r="AQ78" s="67" t="n">
        <f aca="false">AP79</f>
        <v>-171424.057149232</v>
      </c>
      <c r="AR78" s="67" t="n">
        <f aca="false">AQ79</f>
        <v>-158775.828119782</v>
      </c>
      <c r="AS78" s="67" t="n">
        <f aca="false">AR79</f>
        <v>-146110.043534776</v>
      </c>
      <c r="AT78" s="67" t="n">
        <f aca="false">AS79</f>
        <v>-133426.703394215</v>
      </c>
      <c r="AU78" s="67" t="n">
        <f aca="false">AT79</f>
        <v>-120725.807698098</v>
      </c>
      <c r="AV78" s="67" t="n">
        <f aca="false">AU79</f>
        <v>-108007.356446426</v>
      </c>
      <c r="AW78" s="67" t="n">
        <f aca="false">AV79</f>
        <v>-95271.3496391977</v>
      </c>
      <c r="AX78" s="67" t="n">
        <f aca="false">AW79</f>
        <v>-82517.7872764141</v>
      </c>
      <c r="AY78" s="67" t="n">
        <f aca="false">AX79</f>
        <v>-69746.669358075</v>
      </c>
      <c r="AZ78" s="67" t="n">
        <f aca="false">AY79</f>
        <v>-222811.687198352</v>
      </c>
      <c r="BA78" s="67" t="n">
        <f aca="false">AZ79</f>
        <v>-199944.344900472</v>
      </c>
      <c r="BB78" s="67" t="n">
        <f aca="false">BA79</f>
        <v>-177059.447047036</v>
      </c>
      <c r="BC78" s="67" t="n">
        <f aca="false">BB79</f>
        <v>-154156.993638045</v>
      </c>
      <c r="BD78" s="67" t="n">
        <f aca="false">BC79</f>
        <v>-131236.984673498</v>
      </c>
      <c r="BE78" s="67" t="n">
        <f aca="false">BD79</f>
        <v>-108299.420153395</v>
      </c>
      <c r="BF78" s="67" t="n">
        <f aca="false">BE79</f>
        <v>-85344.300077737</v>
      </c>
      <c r="BG78" s="67" t="n">
        <f aca="false">BF79</f>
        <v>-62371.6244465233</v>
      </c>
      <c r="BH78" s="67" t="n">
        <f aca="false">BG79</f>
        <v>-39381.3932597541</v>
      </c>
      <c r="BI78" s="67" t="n">
        <f aca="false">BH79</f>
        <v>-16373.6065174294</v>
      </c>
      <c r="BJ78" s="67" t="n">
        <f aca="false">BI79</f>
        <v>6651.73578045095</v>
      </c>
    </row>
    <row r="79" customFormat="false" ht="15" hidden="false" customHeight="false" outlineLevel="0" collapsed="false">
      <c r="A79" s="113" t="s">
        <v>87</v>
      </c>
      <c r="C79" s="68" t="n">
        <f aca="false">C78+C77</f>
        <v>128298.106666667</v>
      </c>
      <c r="D79" s="68" t="n">
        <f aca="false">D78+D77</f>
        <v>121061.431111111</v>
      </c>
      <c r="E79" s="68" t="n">
        <f aca="false">E78+E77</f>
        <v>113846.977777778</v>
      </c>
      <c r="F79" s="68" t="n">
        <f aca="false">F78+F77</f>
        <v>106654.746666667</v>
      </c>
      <c r="G79" s="68" t="n">
        <f aca="false">G78+G77</f>
        <v>99484.7377777778</v>
      </c>
      <c r="H79" s="68" t="n">
        <f aca="false">H78+H77</f>
        <v>92336.9511111112</v>
      </c>
      <c r="I79" s="68" t="n">
        <f aca="false">I78+I77</f>
        <v>85211.3866666667</v>
      </c>
      <c r="J79" s="68" t="n">
        <f aca="false">J78+J77</f>
        <v>78108.0444444445</v>
      </c>
      <c r="K79" s="68" t="n">
        <f aca="false">K78+K77</f>
        <v>71026.9244444445</v>
      </c>
      <c r="L79" s="68" t="n">
        <f aca="false">L78+L77</f>
        <v>63968.0266666667</v>
      </c>
      <c r="M79" s="68" t="n">
        <f aca="false">M78+M77</f>
        <v>56931.3511111112</v>
      </c>
      <c r="N79" s="68" t="n">
        <f aca="false">N78+N77</f>
        <v>49916.8977777779</v>
      </c>
      <c r="O79" s="68" t="n">
        <f aca="false">O78+O77</f>
        <v>-33464.2990933333</v>
      </c>
      <c r="P79" s="68" t="n">
        <f aca="false">P78+P77</f>
        <v>-34710.313502222</v>
      </c>
      <c r="Q79" s="68" t="n">
        <f aca="false">Q78+Q77</f>
        <v>-35934.1056888886</v>
      </c>
      <c r="R79" s="68" t="n">
        <f aca="false">R78+R77</f>
        <v>-37135.6756533329</v>
      </c>
      <c r="S79" s="68" t="n">
        <f aca="false">S78+S77</f>
        <v>-38315.023395555</v>
      </c>
      <c r="T79" s="68" t="n">
        <f aca="false">T78+T77</f>
        <v>-39472.1489155549</v>
      </c>
      <c r="U79" s="68" t="n">
        <f aca="false">U78+U77</f>
        <v>-40607.0522133326</v>
      </c>
      <c r="V79" s="68" t="n">
        <f aca="false">V78+V77</f>
        <v>-41719.733288888</v>
      </c>
      <c r="W79" s="68" t="n">
        <f aca="false">W78+W77</f>
        <v>-42810.1921422212</v>
      </c>
      <c r="X79" s="68" t="n">
        <f aca="false">X78+X77</f>
        <v>-43878.4287733322</v>
      </c>
      <c r="Y79" s="68" t="n">
        <f aca="false">Y78+Y77</f>
        <v>-44924.443182221</v>
      </c>
      <c r="Z79" s="68" t="n">
        <f aca="false">Z78+Z77</f>
        <v>-45948.2353688875</v>
      </c>
      <c r="AA79" s="68" t="n">
        <f aca="false">AA78+AA77</f>
        <v>-145093.048574492</v>
      </c>
      <c r="AB79" s="68" t="n">
        <f aca="false">AB78+AB77</f>
        <v>-138579.134708034</v>
      </c>
      <c r="AC79" s="68" t="n">
        <f aca="false">AC78+AC77</f>
        <v>-132042.998619354</v>
      </c>
      <c r="AD79" s="68" t="n">
        <f aca="false">AD78+AD77</f>
        <v>-125484.640308452</v>
      </c>
      <c r="AE79" s="68" t="n">
        <f aca="false">AE78+AE77</f>
        <v>-119106.957291375</v>
      </c>
      <c r="AF79" s="68" t="n">
        <f aca="false">AF78+AF77</f>
        <v>-114380.743114651</v>
      </c>
      <c r="AG79" s="68" t="n">
        <f aca="false">AG78+AG77</f>
        <v>-109636.973382371</v>
      </c>
      <c r="AH79" s="68" t="n">
        <f aca="false">AH78+AH77</f>
        <v>-104875.648094536</v>
      </c>
      <c r="AI79" s="68" t="n">
        <f aca="false">AI78+AI77</f>
        <v>-100096.767251146</v>
      </c>
      <c r="AJ79" s="68" t="n">
        <f aca="false">AJ78+AJ77</f>
        <v>-95300.3308521995</v>
      </c>
      <c r="AK79" s="68" t="n">
        <f aca="false">AK78+AK77</f>
        <v>-90486.3388976978</v>
      </c>
      <c r="AL79" s="68" t="n">
        <f aca="false">AL78+AL77</f>
        <v>-85654.7913876405</v>
      </c>
      <c r="AM79" s="68" t="n">
        <f aca="false">AM78+AM77</f>
        <v>-209263.41090425</v>
      </c>
      <c r="AN79" s="68" t="n">
        <f aca="false">AN78+AN77</f>
        <v>-196667.848541466</v>
      </c>
      <c r="AO79" s="68" t="n">
        <f aca="false">AO78+AO77</f>
        <v>-184054.730623127</v>
      </c>
      <c r="AP79" s="68" t="n">
        <f aca="false">AP78+AP77</f>
        <v>-171424.057149232</v>
      </c>
      <c r="AQ79" s="68" t="n">
        <f aca="false">AQ78+AQ77</f>
        <v>-158775.828119782</v>
      </c>
      <c r="AR79" s="68" t="n">
        <f aca="false">AR78+AR77</f>
        <v>-146110.043534776</v>
      </c>
      <c r="AS79" s="68" t="n">
        <f aca="false">AS78+AS77</f>
        <v>-133426.703394215</v>
      </c>
      <c r="AT79" s="68" t="n">
        <f aca="false">AT78+AT77</f>
        <v>-120725.807698098</v>
      </c>
      <c r="AU79" s="68" t="n">
        <f aca="false">AU78+AU77</f>
        <v>-108007.356446426</v>
      </c>
      <c r="AV79" s="68" t="n">
        <f aca="false">AV78+AV77</f>
        <v>-95271.3496391977</v>
      </c>
      <c r="AW79" s="68" t="n">
        <f aca="false">AW78+AW77</f>
        <v>-82517.7872764141</v>
      </c>
      <c r="AX79" s="68" t="n">
        <f aca="false">AX78+AX77</f>
        <v>-69746.669358075</v>
      </c>
      <c r="AY79" s="68" t="n">
        <f aca="false">AY78+AY77</f>
        <v>-222811.687198352</v>
      </c>
      <c r="AZ79" s="68" t="n">
        <f aca="false">AZ78+AZ77</f>
        <v>-199944.344900472</v>
      </c>
      <c r="BA79" s="68" t="n">
        <f aca="false">BA78+BA77</f>
        <v>-177059.447047036</v>
      </c>
      <c r="BB79" s="68" t="n">
        <f aca="false">BB78+BB77</f>
        <v>-154156.993638045</v>
      </c>
      <c r="BC79" s="68" t="n">
        <f aca="false">BC78+BC77</f>
        <v>-131236.984673498</v>
      </c>
      <c r="BD79" s="68" t="n">
        <f aca="false">BD78+BD77</f>
        <v>-108299.420153395</v>
      </c>
      <c r="BE79" s="68" t="n">
        <f aca="false">BE78+BE77</f>
        <v>-85344.300077737</v>
      </c>
      <c r="BF79" s="68" t="n">
        <f aca="false">BF78+BF77</f>
        <v>-62371.6244465233</v>
      </c>
      <c r="BG79" s="68" t="n">
        <f aca="false">BG78+BG77</f>
        <v>-39381.3932597541</v>
      </c>
      <c r="BH79" s="68" t="n">
        <f aca="false">BH78+BH77</f>
        <v>-16373.6065174294</v>
      </c>
      <c r="BI79" s="68" t="n">
        <f aca="false">BI78+BI77</f>
        <v>6651.73578045095</v>
      </c>
      <c r="BJ79" s="68" t="n">
        <f aca="false">BJ78+BJ77</f>
        <v>29694.6336338868</v>
      </c>
    </row>
    <row r="80" customFormat="false" ht="15" hidden="false" customHeight="false" outlineLevel="0" collapsed="false">
      <c r="A80" s="120" t="s">
        <v>425</v>
      </c>
      <c r="C80" s="117" t="n">
        <f aca="false">IF(C40&gt;0,1,0)</f>
        <v>0</v>
      </c>
      <c r="D80" s="117" t="n">
        <f aca="false">IF(D40&gt;0,1,0)</f>
        <v>0</v>
      </c>
      <c r="E80" s="117" t="n">
        <f aca="false">IF(E40&gt;0,1,0)</f>
        <v>0</v>
      </c>
      <c r="F80" s="117" t="n">
        <f aca="false">IF(F40&gt;0,1,0)</f>
        <v>0</v>
      </c>
      <c r="G80" s="117" t="n">
        <f aca="false">IF(G40&gt;0,1,0)</f>
        <v>0</v>
      </c>
      <c r="H80" s="117" t="n">
        <f aca="false">IF(H40&gt;0,1,0)</f>
        <v>0</v>
      </c>
      <c r="I80" s="117" t="n">
        <f aca="false">IF(I40&gt;0,1,0)</f>
        <v>0</v>
      </c>
      <c r="J80" s="117" t="n">
        <f aca="false">IF(J40&gt;0,1,0)</f>
        <v>0</v>
      </c>
      <c r="K80" s="117" t="n">
        <f aca="false">IF(K40&gt;0,1,0)</f>
        <v>0</v>
      </c>
      <c r="L80" s="117" t="n">
        <f aca="false">IF(L40&gt;0,1,0)</f>
        <v>0</v>
      </c>
      <c r="M80" s="117" t="n">
        <f aca="false">IF(M40&gt;0,1,0)</f>
        <v>0</v>
      </c>
      <c r="N80" s="117" t="n">
        <f aca="false">IF(N40&gt;0,1,0)</f>
        <v>0</v>
      </c>
      <c r="O80" s="117" t="n">
        <f aca="false">IF(O40&gt;0,1,0)</f>
        <v>1</v>
      </c>
      <c r="P80" s="117" t="n">
        <f aca="false">IF(P40&gt;0,1,0)</f>
        <v>1</v>
      </c>
      <c r="Q80" s="117" t="n">
        <f aca="false">IF(Q40&gt;0,1,0)</f>
        <v>1</v>
      </c>
      <c r="R80" s="117" t="n">
        <f aca="false">IF(R40&gt;0,1,0)</f>
        <v>1</v>
      </c>
      <c r="S80" s="117" t="n">
        <f aca="false">IF(S40&gt;0,1,0)</f>
        <v>1</v>
      </c>
      <c r="T80" s="117" t="n">
        <f aca="false">IF(T40&gt;0,1,0)</f>
        <v>1</v>
      </c>
      <c r="U80" s="117" t="n">
        <f aca="false">IF(U40&gt;0,1,0)</f>
        <v>1</v>
      </c>
      <c r="V80" s="117" t="n">
        <f aca="false">IF(V40&gt;0,1,0)</f>
        <v>1</v>
      </c>
      <c r="W80" s="117" t="n">
        <f aca="false">IF(W40&gt;0,1,0)</f>
        <v>1</v>
      </c>
      <c r="X80" s="117" t="n">
        <f aca="false">IF(X40&gt;0,1,0)</f>
        <v>1</v>
      </c>
      <c r="Y80" s="117" t="n">
        <f aca="false">IF(Y40&gt;0,1,0)</f>
        <v>1</v>
      </c>
      <c r="Z80" s="117" t="n">
        <f aca="false">IF(Z40&gt;0,1,0)</f>
        <v>1</v>
      </c>
      <c r="AA80" s="117" t="n">
        <f aca="false">IF(AA40&gt;0,1,0)</f>
        <v>1</v>
      </c>
      <c r="AB80" s="117" t="n">
        <f aca="false">IF(AB40&gt;0,1,0)</f>
        <v>1</v>
      </c>
      <c r="AC80" s="117" t="n">
        <f aca="false">IF(AC40&gt;0,1,0)</f>
        <v>1</v>
      </c>
      <c r="AD80" s="117" t="n">
        <f aca="false">IF(AD40&gt;0,1,0)</f>
        <v>1</v>
      </c>
      <c r="AE80" s="117" t="n">
        <f aca="false">IF(AE40&gt;0,1,0)</f>
        <v>1</v>
      </c>
      <c r="AF80" s="117" t="n">
        <f aca="false">IF(AF40&gt;0,1,0)</f>
        <v>1</v>
      </c>
      <c r="AG80" s="117" t="n">
        <f aca="false">IF(AG40&gt;0,1,0)</f>
        <v>1</v>
      </c>
      <c r="AH80" s="117" t="n">
        <f aca="false">IF(AH40&gt;0,1,0)</f>
        <v>1</v>
      </c>
      <c r="AI80" s="117" t="n">
        <f aca="false">IF(AI40&gt;0,1,0)</f>
        <v>1</v>
      </c>
      <c r="AJ80" s="117" t="n">
        <f aca="false">IF(AJ40&gt;0,1,0)</f>
        <v>1</v>
      </c>
      <c r="AK80" s="117" t="n">
        <f aca="false">IF(AK40&gt;0,1,0)</f>
        <v>1</v>
      </c>
      <c r="AL80" s="117" t="n">
        <f aca="false">IF(AL40&gt;0,1,0)</f>
        <v>1</v>
      </c>
      <c r="AM80" s="117" t="n">
        <f aca="false">IF(AM40&gt;0,1,0)</f>
        <v>1</v>
      </c>
      <c r="AN80" s="117" t="n">
        <f aca="false">IF(AN40&gt;0,1,0)</f>
        <v>1</v>
      </c>
      <c r="AO80" s="117" t="n">
        <f aca="false">IF(AO40&gt;0,1,0)</f>
        <v>1</v>
      </c>
      <c r="AP80" s="117" t="n">
        <f aca="false">IF(AP40&gt;0,1,0)</f>
        <v>1</v>
      </c>
      <c r="AQ80" s="117" t="n">
        <f aca="false">IF(AQ40&gt;0,1,0)</f>
        <v>1</v>
      </c>
      <c r="AR80" s="117" t="n">
        <f aca="false">IF(AR40&gt;0,1,0)</f>
        <v>1</v>
      </c>
      <c r="AS80" s="117" t="n">
        <f aca="false">IF(AS40&gt;0,1,0)</f>
        <v>1</v>
      </c>
      <c r="AT80" s="117" t="n">
        <f aca="false">IF(AT40&gt;0,1,0)</f>
        <v>1</v>
      </c>
      <c r="AU80" s="117" t="n">
        <f aca="false">IF(AU40&gt;0,1,0)</f>
        <v>1</v>
      </c>
      <c r="AV80" s="117" t="n">
        <f aca="false">IF(AV40&gt;0,1,0)</f>
        <v>1</v>
      </c>
      <c r="AW80" s="117" t="n">
        <f aca="false">IF(AW40&gt;0,1,0)</f>
        <v>1</v>
      </c>
      <c r="AX80" s="117" t="n">
        <f aca="false">IF(AX40&gt;0,1,0)</f>
        <v>1</v>
      </c>
      <c r="AY80" s="117" t="n">
        <f aca="false">IF(AY40&gt;0,1,0)</f>
        <v>1</v>
      </c>
      <c r="AZ80" s="117" t="n">
        <f aca="false">IF(AZ40&gt;0,1,0)</f>
        <v>1</v>
      </c>
      <c r="BA80" s="117" t="n">
        <f aca="false">IF(BA40&gt;0,1,0)</f>
        <v>1</v>
      </c>
      <c r="BB80" s="117" t="n">
        <f aca="false">IF(BB40&gt;0,1,0)</f>
        <v>1</v>
      </c>
      <c r="BC80" s="117" t="n">
        <f aca="false">IF(BC40&gt;0,1,0)</f>
        <v>1</v>
      </c>
      <c r="BD80" s="117" t="n">
        <f aca="false">IF(BD40&gt;0,1,0)</f>
        <v>1</v>
      </c>
      <c r="BE80" s="117" t="n">
        <f aca="false">IF(BE40&gt;0,1,0)</f>
        <v>1</v>
      </c>
      <c r="BF80" s="117" t="n">
        <f aca="false">IF(BF40&gt;0,1,0)</f>
        <v>1</v>
      </c>
      <c r="BG80" s="117" t="n">
        <f aca="false">IF(BG40&gt;0,1,0)</f>
        <v>1</v>
      </c>
      <c r="BH80" s="117" t="n">
        <f aca="false">IF(BH40&gt;0,1,0)</f>
        <v>1</v>
      </c>
      <c r="BI80" s="117" t="n">
        <f aca="false">IF(BI40&gt;0,1,0)</f>
        <v>1</v>
      </c>
      <c r="BJ80" s="117" t="n">
        <f aca="false">IF(BJ40&gt;0,1,0)</f>
        <v>1</v>
      </c>
    </row>
    <row r="82" customFormat="false" ht="15.75" hidden="false" customHeight="true" outlineLevel="0" collapsed="false">
      <c r="A82" s="7" t="s">
        <v>426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120" t="s">
        <v>427</v>
      </c>
      <c r="C83" s="117" t="n">
        <f aca="false">IF(C49&gt;0,1,0)</f>
        <v>0</v>
      </c>
      <c r="D83" s="117" t="n">
        <f aca="false">IF(D49&gt;0,1,0)</f>
        <v>0</v>
      </c>
      <c r="E83" s="117" t="n">
        <f aca="false">IF(E49&gt;0,1,0)</f>
        <v>0</v>
      </c>
      <c r="F83" s="117" t="n">
        <f aca="false">IF(F49&gt;0,1,0)</f>
        <v>0</v>
      </c>
      <c r="G83" s="117" t="n">
        <f aca="false">IF(G49&gt;0,1,0)</f>
        <v>0</v>
      </c>
      <c r="H83" s="117" t="n">
        <f aca="false">IF(H49&gt;0,1,0)</f>
        <v>0</v>
      </c>
      <c r="I83" s="117" t="n">
        <f aca="false">IF(I49&gt;0,1,0)</f>
        <v>0</v>
      </c>
      <c r="J83" s="117" t="n">
        <f aca="false">IF(J49&gt;0,1,0)</f>
        <v>0</v>
      </c>
      <c r="K83" s="117" t="n">
        <f aca="false">IF(K49&gt;0,1,0)</f>
        <v>0</v>
      </c>
      <c r="L83" s="117" t="n">
        <f aca="false">IF(L49&gt;0,1,0)</f>
        <v>0</v>
      </c>
      <c r="M83" s="117" t="n">
        <f aca="false">IF(M49&gt;0,1,0)</f>
        <v>0</v>
      </c>
      <c r="N83" s="117" t="n">
        <f aca="false">IF(N49&gt;0,1,0)</f>
        <v>0</v>
      </c>
      <c r="O83" s="117" t="n">
        <f aca="false">IF(O49&gt;0,1,0)</f>
        <v>1</v>
      </c>
      <c r="P83" s="117" t="n">
        <f aca="false">IF(P49&gt;0,1,0)</f>
        <v>1</v>
      </c>
      <c r="Q83" s="117" t="n">
        <f aca="false">IF(Q49&gt;0,1,0)</f>
        <v>1</v>
      </c>
      <c r="R83" s="117" t="n">
        <f aca="false">IF(R49&gt;0,1,0)</f>
        <v>1</v>
      </c>
      <c r="S83" s="117" t="n">
        <f aca="false">IF(S49&gt;0,1,0)</f>
        <v>1</v>
      </c>
      <c r="T83" s="117" t="n">
        <f aca="false">IF(T49&gt;0,1,0)</f>
        <v>1</v>
      </c>
      <c r="U83" s="117" t="n">
        <f aca="false">IF(U49&gt;0,1,0)</f>
        <v>1</v>
      </c>
      <c r="V83" s="117" t="n">
        <f aca="false">IF(V49&gt;0,1,0)</f>
        <v>1</v>
      </c>
      <c r="W83" s="117" t="n">
        <f aca="false">IF(W49&gt;0,1,0)</f>
        <v>1</v>
      </c>
      <c r="X83" s="117" t="n">
        <f aca="false">IF(X49&gt;0,1,0)</f>
        <v>1</v>
      </c>
      <c r="Y83" s="117" t="n">
        <f aca="false">IF(Y49&gt;0,1,0)</f>
        <v>1</v>
      </c>
      <c r="Z83" s="117" t="n">
        <f aca="false">IF(Z49&gt;0,1,0)</f>
        <v>1</v>
      </c>
      <c r="AA83" s="117" t="n">
        <f aca="false">IF(AA49&gt;0,1,0)</f>
        <v>1</v>
      </c>
      <c r="AB83" s="117" t="n">
        <f aca="false">IF(AB49&gt;0,1,0)</f>
        <v>1</v>
      </c>
      <c r="AC83" s="117" t="n">
        <f aca="false">IF(AC49&gt;0,1,0)</f>
        <v>1</v>
      </c>
      <c r="AD83" s="117" t="n">
        <f aca="false">IF(AD49&gt;0,1,0)</f>
        <v>1</v>
      </c>
      <c r="AE83" s="117" t="n">
        <f aca="false">IF(AE49&gt;0,1,0)</f>
        <v>1</v>
      </c>
      <c r="AF83" s="117" t="n">
        <f aca="false">IF(AF49&gt;0,1,0)</f>
        <v>1</v>
      </c>
      <c r="AG83" s="117" t="n">
        <f aca="false">IF(AG49&gt;0,1,0)</f>
        <v>1</v>
      </c>
      <c r="AH83" s="117" t="n">
        <f aca="false">IF(AH49&gt;0,1,0)</f>
        <v>1</v>
      </c>
      <c r="AI83" s="117" t="n">
        <f aca="false">IF(AI49&gt;0,1,0)</f>
        <v>1</v>
      </c>
      <c r="AJ83" s="117" t="n">
        <f aca="false">IF(AJ49&gt;0,1,0)</f>
        <v>1</v>
      </c>
      <c r="AK83" s="117" t="n">
        <f aca="false">IF(AK49&gt;0,1,0)</f>
        <v>1</v>
      </c>
      <c r="AL83" s="117" t="n">
        <f aca="false">IF(AL49&gt;0,1,0)</f>
        <v>1</v>
      </c>
      <c r="AM83" s="117" t="n">
        <f aca="false">IF(AM49&gt;0,1,0)</f>
        <v>1</v>
      </c>
      <c r="AN83" s="117" t="n">
        <f aca="false">IF(AN49&gt;0,1,0)</f>
        <v>1</v>
      </c>
      <c r="AO83" s="117" t="n">
        <f aca="false">IF(AO49&gt;0,1,0)</f>
        <v>1</v>
      </c>
      <c r="AP83" s="117" t="n">
        <f aca="false">IF(AP49&gt;0,1,0)</f>
        <v>1</v>
      </c>
      <c r="AQ83" s="117" t="n">
        <f aca="false">IF(AQ49&gt;0,1,0)</f>
        <v>1</v>
      </c>
      <c r="AR83" s="117" t="n">
        <f aca="false">IF(AR49&gt;0,1,0)</f>
        <v>1</v>
      </c>
      <c r="AS83" s="117" t="n">
        <f aca="false">IF(AS49&gt;0,1,0)</f>
        <v>1</v>
      </c>
      <c r="AT83" s="117" t="n">
        <f aca="false">IF(AT49&gt;0,1,0)</f>
        <v>1</v>
      </c>
      <c r="AU83" s="117" t="n">
        <f aca="false">IF(AU49&gt;0,1,0)</f>
        <v>1</v>
      </c>
      <c r="AV83" s="117" t="n">
        <f aca="false">IF(AV49&gt;0,1,0)</f>
        <v>1</v>
      </c>
      <c r="AW83" s="117" t="n">
        <f aca="false">IF(AW49&gt;0,1,0)</f>
        <v>1</v>
      </c>
      <c r="AX83" s="117" t="n">
        <f aca="false">IF(AX49&gt;0,1,0)</f>
        <v>1</v>
      </c>
      <c r="AY83" s="117" t="n">
        <f aca="false">IF(AY49&gt;0,1,0)</f>
        <v>1</v>
      </c>
      <c r="AZ83" s="117" t="n">
        <f aca="false">IF(AZ49&gt;0,1,0)</f>
        <v>1</v>
      </c>
      <c r="BA83" s="117" t="n">
        <f aca="false">IF(BA49&gt;0,1,0)</f>
        <v>1</v>
      </c>
      <c r="BB83" s="117" t="n">
        <f aca="false">IF(BB49&gt;0,1,0)</f>
        <v>1</v>
      </c>
      <c r="BC83" s="117" t="n">
        <f aca="false">IF(BC49&gt;0,1,0)</f>
        <v>1</v>
      </c>
      <c r="BD83" s="117" t="n">
        <f aca="false">IF(BD49&gt;0,1,0)</f>
        <v>1</v>
      </c>
      <c r="BE83" s="117" t="n">
        <f aca="false">IF(BE49&gt;0,1,0)</f>
        <v>1</v>
      </c>
      <c r="BF83" s="117" t="n">
        <f aca="false">IF(BF49&gt;0,1,0)</f>
        <v>1</v>
      </c>
      <c r="BG83" s="117" t="n">
        <f aca="false">IF(BG49&gt;0,1,0)</f>
        <v>1</v>
      </c>
      <c r="BH83" s="117" t="n">
        <f aca="false">IF(BH49&gt;0,1,0)</f>
        <v>1</v>
      </c>
      <c r="BI83" s="117" t="n">
        <f aca="false">IF(BI49&gt;0,1,0)</f>
        <v>1</v>
      </c>
      <c r="BJ83" s="117" t="n">
        <f aca="false">IF(BJ49&gt;0,1,0)</f>
        <v>1</v>
      </c>
    </row>
    <row r="84" customFormat="false" ht="15" hidden="false" customHeight="false" outlineLevel="0" collapsed="false">
      <c r="A84" s="6" t="s">
        <v>428</v>
      </c>
      <c r="C84" s="67" t="n">
        <f aca="false">C73+C74</f>
        <v>-371701.893333333</v>
      </c>
      <c r="D84" s="67" t="n">
        <f aca="false">D73+D74</f>
        <v>-3903.34222222222</v>
      </c>
      <c r="E84" s="67" t="n">
        <f aca="false">E73+E74</f>
        <v>-3881.12</v>
      </c>
      <c r="F84" s="67" t="n">
        <f aca="false">F73+F74</f>
        <v>-3858.89777777777</v>
      </c>
      <c r="G84" s="67" t="n">
        <f aca="false">G73+G74</f>
        <v>-3836.67555555555</v>
      </c>
      <c r="H84" s="67" t="n">
        <f aca="false">H73+H74</f>
        <v>-3814.45333333333</v>
      </c>
      <c r="I84" s="67" t="n">
        <f aca="false">I73+I74</f>
        <v>-3792.23111111111</v>
      </c>
      <c r="J84" s="67" t="n">
        <f aca="false">J73+J74</f>
        <v>-3770.00888888888</v>
      </c>
      <c r="K84" s="67" t="n">
        <f aca="false">K73+K74</f>
        <v>-3747.78666666666</v>
      </c>
      <c r="L84" s="67" t="n">
        <f aca="false">L73+L74</f>
        <v>-3725.56444444444</v>
      </c>
      <c r="M84" s="67" t="n">
        <f aca="false">M73+M74</f>
        <v>-3703.34222222222</v>
      </c>
      <c r="N84" s="67" t="n">
        <f aca="false">N73+N74</f>
        <v>-3681.11999999999</v>
      </c>
      <c r="O84" s="67" t="n">
        <f aca="false">O73+O74</f>
        <v>-80047.8635377778</v>
      </c>
      <c r="P84" s="67" t="n">
        <f aca="false">P73+P74</f>
        <v>2087.31892444456</v>
      </c>
      <c r="Q84" s="67" t="n">
        <f aca="false">Q73+Q74</f>
        <v>2109.54114666678</v>
      </c>
      <c r="R84" s="67" t="n">
        <f aca="false">R73+R74</f>
        <v>2131.76336888901</v>
      </c>
      <c r="S84" s="67" t="n">
        <f aca="false">S73+S74</f>
        <v>2153.98559111123</v>
      </c>
      <c r="T84" s="67" t="n">
        <f aca="false">T73+T74</f>
        <v>2176.20781333345</v>
      </c>
      <c r="U84" s="67" t="n">
        <f aca="false">U73+U74</f>
        <v>2198.43003555567</v>
      </c>
      <c r="V84" s="67" t="n">
        <f aca="false">V73+V74</f>
        <v>2220.65225777789</v>
      </c>
      <c r="W84" s="67" t="n">
        <f aca="false">W73+W74</f>
        <v>2242.87448000012</v>
      </c>
      <c r="X84" s="67" t="n">
        <f aca="false">X73+X74</f>
        <v>2265.09670222234</v>
      </c>
      <c r="Y84" s="67" t="n">
        <f aca="false">Y73+Y74</f>
        <v>2287.31892444456</v>
      </c>
      <c r="Z84" s="67" t="n">
        <f aca="false">Z73+Z74</f>
        <v>2309.54114666678</v>
      </c>
      <c r="AA84" s="67" t="n">
        <f aca="false">AA73+AA74</f>
        <v>-95811.479872271</v>
      </c>
      <c r="AB84" s="67" t="n">
        <f aca="false">AB73+AB74</f>
        <v>9847.24719979121</v>
      </c>
      <c r="AC84" s="67" t="n">
        <f aca="false">AC73+AC74</f>
        <v>9869.46942201343</v>
      </c>
      <c r="AD84" s="67" t="n">
        <f aca="false">AD73+AD74</f>
        <v>9891.69164423565</v>
      </c>
      <c r="AE84" s="67" t="n">
        <f aca="false">AE73+AE74</f>
        <v>9711.01635041014</v>
      </c>
      <c r="AF84" s="67" t="n">
        <f aca="false">AF73+AF74</f>
        <v>8059.54751005728</v>
      </c>
      <c r="AG84" s="67" t="n">
        <f aca="false">AG73+AG74</f>
        <v>8077.10306561283</v>
      </c>
      <c r="AH84" s="67" t="n">
        <f aca="false">AH73+AH74</f>
        <v>8094.65862116839</v>
      </c>
      <c r="AI84" s="67" t="n">
        <f aca="false">AI73+AI74</f>
        <v>8112.21417672395</v>
      </c>
      <c r="AJ84" s="67" t="n">
        <f aca="false">AJ73+AJ74</f>
        <v>8129.7697322795</v>
      </c>
      <c r="AK84" s="67" t="n">
        <f aca="false">AK73+AK74</f>
        <v>8147.32528783506</v>
      </c>
      <c r="AL84" s="67" t="n">
        <f aca="false">AL73+AL74</f>
        <v>8164.88084339061</v>
      </c>
      <c r="AM84" s="67" t="n">
        <f aca="false">AM73+AM74</f>
        <v>-120275.286183276</v>
      </c>
      <c r="AN84" s="67" t="n">
        <f aca="false">AN73+AN74</f>
        <v>15928.8956961169</v>
      </c>
      <c r="AO84" s="67" t="n">
        <f aca="false">AO73+AO74</f>
        <v>15946.4512516724</v>
      </c>
      <c r="AP84" s="67" t="n">
        <f aca="false">AP73+AP74</f>
        <v>15964.006807228</v>
      </c>
      <c r="AQ84" s="67" t="n">
        <f aca="false">AQ73+AQ74</f>
        <v>15981.5623627836</v>
      </c>
      <c r="AR84" s="67" t="n">
        <f aca="false">AR73+AR74</f>
        <v>15999.1179183391</v>
      </c>
      <c r="AS84" s="67" t="n">
        <f aca="false">AS73+AS74</f>
        <v>16016.6734738947</v>
      </c>
      <c r="AT84" s="67" t="n">
        <f aca="false">AT73+AT74</f>
        <v>16034.2290294502</v>
      </c>
      <c r="AU84" s="67" t="n">
        <f aca="false">AU73+AU74</f>
        <v>16051.7845850058</v>
      </c>
      <c r="AV84" s="67" t="n">
        <f aca="false">AV73+AV74</f>
        <v>16069.3401405613</v>
      </c>
      <c r="AW84" s="67" t="n">
        <f aca="false">AW73+AW74</f>
        <v>16086.8956961169</v>
      </c>
      <c r="AX84" s="67" t="n">
        <f aca="false">AX73+AX74</f>
        <v>16104.4512516724</v>
      </c>
      <c r="AY84" s="67" t="n">
        <f aca="false">AY73+AY74</f>
        <v>-149731.684506944</v>
      </c>
      <c r="AZ84" s="67" t="n">
        <f aca="false">AZ73+AZ74</f>
        <v>26200.6756312136</v>
      </c>
      <c r="BA84" s="67" t="n">
        <f aca="false">BA73+BA74</f>
        <v>26218.2311867692</v>
      </c>
      <c r="BB84" s="67" t="n">
        <f aca="false">BB73+BB74</f>
        <v>26235.7867423247</v>
      </c>
      <c r="BC84" s="67" t="n">
        <f aca="false">BC73+BC74</f>
        <v>26253.3422978803</v>
      </c>
      <c r="BD84" s="67" t="n">
        <f aca="false">BD73+BD74</f>
        <v>26270.8978534359</v>
      </c>
      <c r="BE84" s="67" t="n">
        <f aca="false">BE73+BE74</f>
        <v>26288.4534089914</v>
      </c>
      <c r="BF84" s="67" t="n">
        <f aca="false">BF73+BF74</f>
        <v>26306.008964547</v>
      </c>
      <c r="BG84" s="67" t="n">
        <f aca="false">BG73+BG74</f>
        <v>26323.5645201025</v>
      </c>
      <c r="BH84" s="67" t="n">
        <f aca="false">BH73+BH74</f>
        <v>26341.1200756581</v>
      </c>
      <c r="BI84" s="67" t="n">
        <f aca="false">BI73+BI74</f>
        <v>26358.6756312136</v>
      </c>
      <c r="BJ84" s="67" t="n">
        <f aca="false">BJ73+BJ74</f>
        <v>26376.2311867692</v>
      </c>
    </row>
    <row r="85" customFormat="false" ht="15" hidden="false" customHeight="false" outlineLevel="0" collapsed="false">
      <c r="A85" s="6" t="s">
        <v>429</v>
      </c>
      <c r="C85" s="67" t="n">
        <f aca="false">C84</f>
        <v>-371701.893333333</v>
      </c>
      <c r="D85" s="67" t="n">
        <f aca="false">C85+D84</f>
        <v>-375605.235555556</v>
      </c>
      <c r="E85" s="67" t="n">
        <f aca="false">D85+E84</f>
        <v>-379486.355555556</v>
      </c>
      <c r="F85" s="67" t="n">
        <f aca="false">E85+F84</f>
        <v>-383345.253333333</v>
      </c>
      <c r="G85" s="67" t="n">
        <f aca="false">F85+G84</f>
        <v>-387181.928888889</v>
      </c>
      <c r="H85" s="67" t="n">
        <f aca="false">G85+H84</f>
        <v>-390996.382222222</v>
      </c>
      <c r="I85" s="67" t="n">
        <f aca="false">H85+I84</f>
        <v>-394788.613333333</v>
      </c>
      <c r="J85" s="67" t="n">
        <f aca="false">I85+J84</f>
        <v>-398558.622222222</v>
      </c>
      <c r="K85" s="67" t="n">
        <f aca="false">J85+K84</f>
        <v>-402306.408888889</v>
      </c>
      <c r="L85" s="67" t="n">
        <f aca="false">K85+L84</f>
        <v>-406031.973333333</v>
      </c>
      <c r="M85" s="67" t="n">
        <f aca="false">L85+M84</f>
        <v>-409735.315555556</v>
      </c>
      <c r="N85" s="67" t="n">
        <f aca="false">M85+N84</f>
        <v>-413416.435555556</v>
      </c>
      <c r="O85" s="67" t="n">
        <f aca="false">N85+O84</f>
        <v>-493464.299093333</v>
      </c>
      <c r="P85" s="67" t="n">
        <f aca="false">O85+P84</f>
        <v>-491376.980168889</v>
      </c>
      <c r="Q85" s="67" t="n">
        <f aca="false">P85+Q84</f>
        <v>-489267.439022222</v>
      </c>
      <c r="R85" s="67" t="n">
        <f aca="false">Q85+R84</f>
        <v>-487135.675653333</v>
      </c>
      <c r="S85" s="67" t="n">
        <f aca="false">R85+S84</f>
        <v>-484981.690062222</v>
      </c>
      <c r="T85" s="67" t="n">
        <f aca="false">S85+T84</f>
        <v>-482805.482248888</v>
      </c>
      <c r="U85" s="67" t="n">
        <f aca="false">T85+U84</f>
        <v>-480607.052213333</v>
      </c>
      <c r="V85" s="67" t="n">
        <f aca="false">U85+V84</f>
        <v>-478386.399955555</v>
      </c>
      <c r="W85" s="67" t="n">
        <f aca="false">V85+W84</f>
        <v>-476143.525475555</v>
      </c>
      <c r="X85" s="67" t="n">
        <f aca="false">W85+X84</f>
        <v>-473878.428773332</v>
      </c>
      <c r="Y85" s="67" t="n">
        <f aca="false">X85+Y84</f>
        <v>-471591.109848888</v>
      </c>
      <c r="Z85" s="67" t="n">
        <f aca="false">Y85+Z84</f>
        <v>-469281.568702221</v>
      </c>
      <c r="AA85" s="67" t="n">
        <f aca="false">Z85+AA84</f>
        <v>-565093.048574492</v>
      </c>
      <c r="AB85" s="67" t="n">
        <f aca="false">AA85+AB84</f>
        <v>-555245.801374701</v>
      </c>
      <c r="AC85" s="67" t="n">
        <f aca="false">AB85+AC84</f>
        <v>-545376.331952687</v>
      </c>
      <c r="AD85" s="67" t="n">
        <f aca="false">AC85+AD84</f>
        <v>-535484.640308452</v>
      </c>
      <c r="AE85" s="67" t="n">
        <f aca="false">AD85+AE84</f>
        <v>-525773.623958041</v>
      </c>
      <c r="AF85" s="67" t="n">
        <f aca="false">AE85+AF84</f>
        <v>-517714.076447984</v>
      </c>
      <c r="AG85" s="67" t="n">
        <f aca="false">AF85+AG84</f>
        <v>-509636.973382371</v>
      </c>
      <c r="AH85" s="67" t="n">
        <f aca="false">AG85+AH84</f>
        <v>-501542.314761203</v>
      </c>
      <c r="AI85" s="67" t="n">
        <f aca="false">AH85+AI84</f>
        <v>-493430.100584479</v>
      </c>
      <c r="AJ85" s="67" t="n">
        <f aca="false">AI85+AJ84</f>
        <v>-485300.330852199</v>
      </c>
      <c r="AK85" s="67" t="n">
        <f aca="false">AJ85+AK84</f>
        <v>-477153.005564364</v>
      </c>
      <c r="AL85" s="67" t="n">
        <f aca="false">AK85+AL84</f>
        <v>-468988.124720974</v>
      </c>
      <c r="AM85" s="67" t="n">
        <f aca="false">AL85+AM84</f>
        <v>-589263.41090425</v>
      </c>
      <c r="AN85" s="67" t="n">
        <f aca="false">AM85+AN84</f>
        <v>-573334.515208133</v>
      </c>
      <c r="AO85" s="67" t="n">
        <f aca="false">AN85+AO84</f>
        <v>-557388.06395646</v>
      </c>
      <c r="AP85" s="67" t="n">
        <f aca="false">AO85+AP84</f>
        <v>-541424.057149232</v>
      </c>
      <c r="AQ85" s="67" t="n">
        <f aca="false">AP85+AQ84</f>
        <v>-525442.494786449</v>
      </c>
      <c r="AR85" s="67" t="n">
        <f aca="false">AQ85+AR84</f>
        <v>-509443.37686811</v>
      </c>
      <c r="AS85" s="67" t="n">
        <f aca="false">AR85+AS84</f>
        <v>-493426.703394215</v>
      </c>
      <c r="AT85" s="67" t="n">
        <f aca="false">AS85+AT84</f>
        <v>-477392.474364765</v>
      </c>
      <c r="AU85" s="67" t="n">
        <f aca="false">AT85+AU84</f>
        <v>-461340.689779759</v>
      </c>
      <c r="AV85" s="67" t="n">
        <f aca="false">AU85+AV84</f>
        <v>-445271.349639198</v>
      </c>
      <c r="AW85" s="67" t="n">
        <f aca="false">AV85+AW84</f>
        <v>-429184.453943081</v>
      </c>
      <c r="AX85" s="67" t="n">
        <f aca="false">AW85+AX84</f>
        <v>-413080.002691408</v>
      </c>
      <c r="AY85" s="67" t="n">
        <f aca="false">AX85+AY84</f>
        <v>-562811.687198352</v>
      </c>
      <c r="AZ85" s="67" t="n">
        <f aca="false">AY85+AZ84</f>
        <v>-536611.011567138</v>
      </c>
      <c r="BA85" s="67" t="n">
        <f aca="false">AZ85+BA84</f>
        <v>-510392.780380369</v>
      </c>
      <c r="BB85" s="67" t="n">
        <f aca="false">BA85+BB84</f>
        <v>-484156.993638044</v>
      </c>
      <c r="BC85" s="67" t="n">
        <f aca="false">BB85+BC84</f>
        <v>-457903.651340164</v>
      </c>
      <c r="BD85" s="67" t="n">
        <f aca="false">BC85+BD84</f>
        <v>-431632.753486728</v>
      </c>
      <c r="BE85" s="67" t="n">
        <f aca="false">BD85+BE84</f>
        <v>-405344.300077737</v>
      </c>
      <c r="BF85" s="67" t="n">
        <f aca="false">BE85+BF84</f>
        <v>-379038.29111319</v>
      </c>
      <c r="BG85" s="67" t="n">
        <f aca="false">BF85+BG84</f>
        <v>-352714.726593087</v>
      </c>
      <c r="BH85" s="67" t="n">
        <f aca="false">BG85+BH84</f>
        <v>-326373.606517429</v>
      </c>
      <c r="BI85" s="67" t="n">
        <f aca="false">BH85+BI84</f>
        <v>-300014.930886216</v>
      </c>
      <c r="BJ85" s="67" t="n">
        <f aca="false">BI85+BJ84</f>
        <v>-273638.699699446</v>
      </c>
    </row>
    <row r="86" customFormat="false" ht="15" hidden="false" customHeight="false" outlineLevel="0" collapsed="false">
      <c r="A86" s="120" t="s">
        <v>430</v>
      </c>
      <c r="C86" s="67" t="n">
        <f aca="false">C85</f>
        <v>-371701.893333333</v>
      </c>
      <c r="D86" s="67" t="n">
        <f aca="false">MIN(C86,D85)</f>
        <v>-375605.235555556</v>
      </c>
      <c r="E86" s="67" t="n">
        <f aca="false">MIN(D86,E85)</f>
        <v>-379486.355555556</v>
      </c>
      <c r="F86" s="67" t="n">
        <f aca="false">MIN(E86,F85)</f>
        <v>-383345.253333333</v>
      </c>
      <c r="G86" s="67" t="n">
        <f aca="false">MIN(F86,G85)</f>
        <v>-387181.928888889</v>
      </c>
      <c r="H86" s="67" t="n">
        <f aca="false">MIN(G86,H85)</f>
        <v>-390996.382222222</v>
      </c>
      <c r="I86" s="67" t="n">
        <f aca="false">MIN(H86,I85)</f>
        <v>-394788.613333333</v>
      </c>
      <c r="J86" s="67" t="n">
        <f aca="false">MIN(I86,J85)</f>
        <v>-398558.622222222</v>
      </c>
      <c r="K86" s="67" t="n">
        <f aca="false">MIN(J86,K85)</f>
        <v>-402306.408888889</v>
      </c>
      <c r="L86" s="67" t="n">
        <f aca="false">MIN(K86,L85)</f>
        <v>-406031.973333333</v>
      </c>
      <c r="M86" s="67" t="n">
        <f aca="false">MIN(L86,M85)</f>
        <v>-409735.315555556</v>
      </c>
      <c r="N86" s="67" t="n">
        <f aca="false">MIN(M86,N85)</f>
        <v>-413416.435555556</v>
      </c>
      <c r="O86" s="67" t="n">
        <f aca="false">MIN(N86,O85)</f>
        <v>-493464.299093333</v>
      </c>
      <c r="P86" s="67" t="n">
        <f aca="false">MIN(O86,P85)</f>
        <v>-493464.299093333</v>
      </c>
      <c r="Q86" s="67" t="n">
        <f aca="false">MIN(P86,Q85)</f>
        <v>-493464.299093333</v>
      </c>
      <c r="R86" s="67" t="n">
        <f aca="false">MIN(Q86,R85)</f>
        <v>-493464.299093333</v>
      </c>
      <c r="S86" s="67" t="n">
        <f aca="false">MIN(R86,S85)</f>
        <v>-493464.299093333</v>
      </c>
      <c r="T86" s="67" t="n">
        <f aca="false">MIN(S86,T85)</f>
        <v>-493464.299093333</v>
      </c>
      <c r="U86" s="67" t="n">
        <f aca="false">MIN(T86,U85)</f>
        <v>-493464.299093333</v>
      </c>
      <c r="V86" s="67" t="n">
        <f aca="false">MIN(U86,V85)</f>
        <v>-493464.299093333</v>
      </c>
      <c r="W86" s="67" t="n">
        <f aca="false">MIN(V86,W85)</f>
        <v>-493464.299093333</v>
      </c>
      <c r="X86" s="67" t="n">
        <f aca="false">MIN(W86,X85)</f>
        <v>-493464.299093333</v>
      </c>
      <c r="Y86" s="67" t="n">
        <f aca="false">MIN(X86,Y85)</f>
        <v>-493464.299093333</v>
      </c>
      <c r="Z86" s="67" t="n">
        <f aca="false">MIN(Y86,Z85)</f>
        <v>-493464.299093333</v>
      </c>
      <c r="AA86" s="67" t="n">
        <f aca="false">MIN(Z86,AA85)</f>
        <v>-565093.048574492</v>
      </c>
      <c r="AB86" s="67" t="n">
        <f aca="false">MIN(AA86,AB85)</f>
        <v>-565093.048574492</v>
      </c>
      <c r="AC86" s="67" t="n">
        <f aca="false">MIN(AB86,AC85)</f>
        <v>-565093.048574492</v>
      </c>
      <c r="AD86" s="67" t="n">
        <f aca="false">MIN(AC86,AD85)</f>
        <v>-565093.048574492</v>
      </c>
      <c r="AE86" s="67" t="n">
        <f aca="false">MIN(AD86,AE85)</f>
        <v>-565093.048574492</v>
      </c>
      <c r="AF86" s="67" t="n">
        <f aca="false">MIN(AE86,AF85)</f>
        <v>-565093.048574492</v>
      </c>
      <c r="AG86" s="67" t="n">
        <f aca="false">MIN(AF86,AG85)</f>
        <v>-565093.048574492</v>
      </c>
      <c r="AH86" s="67" t="n">
        <f aca="false">MIN(AG86,AH85)</f>
        <v>-565093.048574492</v>
      </c>
      <c r="AI86" s="67" t="n">
        <f aca="false">MIN(AH86,AI85)</f>
        <v>-565093.048574492</v>
      </c>
      <c r="AJ86" s="67" t="n">
        <f aca="false">MIN(AI86,AJ85)</f>
        <v>-565093.048574492</v>
      </c>
      <c r="AK86" s="67" t="n">
        <f aca="false">MIN(AJ86,AK85)</f>
        <v>-565093.048574492</v>
      </c>
      <c r="AL86" s="67" t="n">
        <f aca="false">MIN(AK86,AL85)</f>
        <v>-565093.048574492</v>
      </c>
      <c r="AM86" s="67" t="n">
        <f aca="false">MIN(AL86,AM85)</f>
        <v>-589263.41090425</v>
      </c>
      <c r="AN86" s="67" t="n">
        <f aca="false">MIN(AM86,AN85)</f>
        <v>-589263.41090425</v>
      </c>
      <c r="AO86" s="67" t="n">
        <f aca="false">MIN(AN86,AO85)</f>
        <v>-589263.41090425</v>
      </c>
      <c r="AP86" s="67" t="n">
        <f aca="false">MIN(AO86,AP85)</f>
        <v>-589263.41090425</v>
      </c>
      <c r="AQ86" s="67" t="n">
        <f aca="false">MIN(AP86,AQ85)</f>
        <v>-589263.41090425</v>
      </c>
      <c r="AR86" s="67" t="n">
        <f aca="false">MIN(AQ86,AR85)</f>
        <v>-589263.41090425</v>
      </c>
      <c r="AS86" s="67" t="n">
        <f aca="false">MIN(AR86,AS85)</f>
        <v>-589263.41090425</v>
      </c>
      <c r="AT86" s="67" t="n">
        <f aca="false">MIN(AS86,AT85)</f>
        <v>-589263.41090425</v>
      </c>
      <c r="AU86" s="67" t="n">
        <f aca="false">MIN(AT86,AU85)</f>
        <v>-589263.41090425</v>
      </c>
      <c r="AV86" s="67" t="n">
        <f aca="false">MIN(AU86,AV85)</f>
        <v>-589263.41090425</v>
      </c>
      <c r="AW86" s="67" t="n">
        <f aca="false">MIN(AV86,AW85)</f>
        <v>-589263.41090425</v>
      </c>
      <c r="AX86" s="67" t="n">
        <f aca="false">MIN(AW86,AX85)</f>
        <v>-589263.41090425</v>
      </c>
      <c r="AY86" s="67" t="n">
        <f aca="false">MIN(AX86,AY85)</f>
        <v>-589263.41090425</v>
      </c>
      <c r="AZ86" s="67" t="n">
        <f aca="false">MIN(AY86,AZ85)</f>
        <v>-589263.41090425</v>
      </c>
      <c r="BA86" s="67" t="n">
        <f aca="false">MIN(AZ86,BA85)</f>
        <v>-589263.41090425</v>
      </c>
      <c r="BB86" s="67" t="n">
        <f aca="false">MIN(BA86,BB85)</f>
        <v>-589263.41090425</v>
      </c>
      <c r="BC86" s="67" t="n">
        <f aca="false">MIN(BB86,BC85)</f>
        <v>-589263.41090425</v>
      </c>
      <c r="BD86" s="67" t="n">
        <f aca="false">MIN(BC86,BD85)</f>
        <v>-589263.41090425</v>
      </c>
      <c r="BE86" s="67" t="n">
        <f aca="false">MIN(BD86,BE85)</f>
        <v>-589263.41090425</v>
      </c>
      <c r="BF86" s="67" t="n">
        <f aca="false">MIN(BE86,BF85)</f>
        <v>-589263.41090425</v>
      </c>
      <c r="BG86" s="67" t="n">
        <f aca="false">MIN(BF86,BG85)</f>
        <v>-589263.41090425</v>
      </c>
      <c r="BH86" s="67" t="n">
        <f aca="false">MIN(BG86,BH85)</f>
        <v>-589263.41090425</v>
      </c>
      <c r="BI86" s="67" t="n">
        <f aca="false">MIN(BH86,BI85)</f>
        <v>-589263.41090425</v>
      </c>
      <c r="BJ86" s="67" t="n">
        <f aca="false">MIN(BI86,BJ85)</f>
        <v>-589263.41090425</v>
      </c>
    </row>
    <row r="87" customFormat="false" ht="15" hidden="false" customHeight="false" outlineLevel="0" collapsed="false">
      <c r="A87" s="120" t="s">
        <v>431</v>
      </c>
      <c r="C87" s="117" t="n">
        <f aca="false">IF(AND(C85&gt;=0,C86&lt;0),1,0)</f>
        <v>0</v>
      </c>
      <c r="D87" s="117" t="n">
        <f aca="false">IF(AND(D85&gt;=0,D86&lt;0),1,0)</f>
        <v>0</v>
      </c>
      <c r="E87" s="117" t="n">
        <f aca="false">IF(AND(E85&gt;=0,E86&lt;0),1,0)</f>
        <v>0</v>
      </c>
      <c r="F87" s="117" t="n">
        <f aca="false">IF(AND(F85&gt;=0,F86&lt;0),1,0)</f>
        <v>0</v>
      </c>
      <c r="G87" s="117" t="n">
        <f aca="false">IF(AND(G85&gt;=0,G86&lt;0),1,0)</f>
        <v>0</v>
      </c>
      <c r="H87" s="117" t="n">
        <f aca="false">IF(AND(H85&gt;=0,H86&lt;0),1,0)</f>
        <v>0</v>
      </c>
      <c r="I87" s="117" t="n">
        <f aca="false">IF(AND(I85&gt;=0,I86&lt;0),1,0)</f>
        <v>0</v>
      </c>
      <c r="J87" s="117" t="n">
        <f aca="false">IF(AND(J85&gt;=0,J86&lt;0),1,0)</f>
        <v>0</v>
      </c>
      <c r="K87" s="117" t="n">
        <f aca="false">IF(AND(K85&gt;=0,K86&lt;0),1,0)</f>
        <v>0</v>
      </c>
      <c r="L87" s="117" t="n">
        <f aca="false">IF(AND(L85&gt;=0,L86&lt;0),1,0)</f>
        <v>0</v>
      </c>
      <c r="M87" s="117" t="n">
        <f aca="false">IF(AND(M85&gt;=0,M86&lt;0),1,0)</f>
        <v>0</v>
      </c>
      <c r="N87" s="117" t="n">
        <f aca="false">IF(AND(N85&gt;=0,N86&lt;0),1,0)</f>
        <v>0</v>
      </c>
      <c r="O87" s="117" t="n">
        <f aca="false">IF(AND(O85&gt;=0,O86&lt;0),1,0)</f>
        <v>0</v>
      </c>
      <c r="P87" s="117" t="n">
        <f aca="false">IF(AND(P85&gt;=0,P86&lt;0),1,0)</f>
        <v>0</v>
      </c>
      <c r="Q87" s="117" t="n">
        <f aca="false">IF(AND(Q85&gt;=0,Q86&lt;0),1,0)</f>
        <v>0</v>
      </c>
      <c r="R87" s="117" t="n">
        <f aca="false">IF(AND(R85&gt;=0,R86&lt;0),1,0)</f>
        <v>0</v>
      </c>
      <c r="S87" s="117" t="n">
        <f aca="false">IF(AND(S85&gt;=0,S86&lt;0),1,0)</f>
        <v>0</v>
      </c>
      <c r="T87" s="117" t="n">
        <f aca="false">IF(AND(T85&gt;=0,T86&lt;0),1,0)</f>
        <v>0</v>
      </c>
      <c r="U87" s="117" t="n">
        <f aca="false">IF(AND(U85&gt;=0,U86&lt;0),1,0)</f>
        <v>0</v>
      </c>
      <c r="V87" s="117" t="n">
        <f aca="false">IF(AND(V85&gt;=0,V86&lt;0),1,0)</f>
        <v>0</v>
      </c>
      <c r="W87" s="117" t="n">
        <f aca="false">IF(AND(W85&gt;=0,W86&lt;0),1,0)</f>
        <v>0</v>
      </c>
      <c r="X87" s="117" t="n">
        <f aca="false">IF(AND(X85&gt;=0,X86&lt;0),1,0)</f>
        <v>0</v>
      </c>
      <c r="Y87" s="117" t="n">
        <f aca="false">IF(AND(Y85&gt;=0,Y86&lt;0),1,0)</f>
        <v>0</v>
      </c>
      <c r="Z87" s="117" t="n">
        <f aca="false">IF(AND(Z85&gt;=0,Z86&lt;0),1,0)</f>
        <v>0</v>
      </c>
      <c r="AA87" s="117" t="n">
        <f aca="false">IF(AND(AA85&gt;=0,AA86&lt;0),1,0)</f>
        <v>0</v>
      </c>
      <c r="AB87" s="117" t="n">
        <f aca="false">IF(AND(AB85&gt;=0,AB86&lt;0),1,0)</f>
        <v>0</v>
      </c>
      <c r="AC87" s="117" t="n">
        <f aca="false">IF(AND(AC85&gt;=0,AC86&lt;0),1,0)</f>
        <v>0</v>
      </c>
      <c r="AD87" s="117" t="n">
        <f aca="false">IF(AND(AD85&gt;=0,AD86&lt;0),1,0)</f>
        <v>0</v>
      </c>
      <c r="AE87" s="117" t="n">
        <f aca="false">IF(AND(AE85&gt;=0,AE86&lt;0),1,0)</f>
        <v>0</v>
      </c>
      <c r="AF87" s="117" t="n">
        <f aca="false">IF(AND(AF85&gt;=0,AF86&lt;0),1,0)</f>
        <v>0</v>
      </c>
      <c r="AG87" s="117" t="n">
        <f aca="false">IF(AND(AG85&gt;=0,AG86&lt;0),1,0)</f>
        <v>0</v>
      </c>
      <c r="AH87" s="117" t="n">
        <f aca="false">IF(AND(AH85&gt;=0,AH86&lt;0),1,0)</f>
        <v>0</v>
      </c>
      <c r="AI87" s="117" t="n">
        <f aca="false">IF(AND(AI85&gt;=0,AI86&lt;0),1,0)</f>
        <v>0</v>
      </c>
      <c r="AJ87" s="117" t="n">
        <f aca="false">IF(AND(AJ85&gt;=0,AJ86&lt;0),1,0)</f>
        <v>0</v>
      </c>
      <c r="AK87" s="117" t="n">
        <f aca="false">IF(AND(AK85&gt;=0,AK86&lt;0),1,0)</f>
        <v>0</v>
      </c>
      <c r="AL87" s="117" t="n">
        <f aca="false">IF(AND(AL85&gt;=0,AL86&lt;0),1,0)</f>
        <v>0</v>
      </c>
      <c r="AM87" s="117" t="n">
        <f aca="false">IF(AND(AM85&gt;=0,AM86&lt;0),1,0)</f>
        <v>0</v>
      </c>
      <c r="AN87" s="117" t="n">
        <f aca="false">IF(AND(AN85&gt;=0,AN86&lt;0),1,0)</f>
        <v>0</v>
      </c>
      <c r="AO87" s="117" t="n">
        <f aca="false">IF(AND(AO85&gt;=0,AO86&lt;0),1,0)</f>
        <v>0</v>
      </c>
      <c r="AP87" s="117" t="n">
        <f aca="false">IF(AND(AP85&gt;=0,AP86&lt;0),1,0)</f>
        <v>0</v>
      </c>
      <c r="AQ87" s="117" t="n">
        <f aca="false">IF(AND(AQ85&gt;=0,AQ86&lt;0),1,0)</f>
        <v>0</v>
      </c>
      <c r="AR87" s="117" t="n">
        <f aca="false">IF(AND(AR85&gt;=0,AR86&lt;0),1,0)</f>
        <v>0</v>
      </c>
      <c r="AS87" s="117" t="n">
        <f aca="false">IF(AND(AS85&gt;=0,AS86&lt;0),1,0)</f>
        <v>0</v>
      </c>
      <c r="AT87" s="117" t="n">
        <f aca="false">IF(AND(AT85&gt;=0,AT86&lt;0),1,0)</f>
        <v>0</v>
      </c>
      <c r="AU87" s="117" t="n">
        <f aca="false">IF(AND(AU85&gt;=0,AU86&lt;0),1,0)</f>
        <v>0</v>
      </c>
      <c r="AV87" s="117" t="n">
        <f aca="false">IF(AND(AV85&gt;=0,AV86&lt;0),1,0)</f>
        <v>0</v>
      </c>
      <c r="AW87" s="117" t="n">
        <f aca="false">IF(AND(AW85&gt;=0,AW86&lt;0),1,0)</f>
        <v>0</v>
      </c>
      <c r="AX87" s="117" t="n">
        <f aca="false">IF(AND(AX85&gt;=0,AX86&lt;0),1,0)</f>
        <v>0</v>
      </c>
      <c r="AY87" s="117" t="n">
        <f aca="false">IF(AND(AY85&gt;=0,AY86&lt;0),1,0)</f>
        <v>0</v>
      </c>
      <c r="AZ87" s="117" t="n">
        <f aca="false">IF(AND(AZ85&gt;=0,AZ86&lt;0),1,0)</f>
        <v>0</v>
      </c>
      <c r="BA87" s="117" t="n">
        <f aca="false">IF(AND(BA85&gt;=0,BA86&lt;0),1,0)</f>
        <v>0</v>
      </c>
      <c r="BB87" s="117" t="n">
        <f aca="false">IF(AND(BB85&gt;=0,BB86&lt;0),1,0)</f>
        <v>0</v>
      </c>
      <c r="BC87" s="117" t="n">
        <f aca="false">IF(AND(BC85&gt;=0,BC86&lt;0),1,0)</f>
        <v>0</v>
      </c>
      <c r="BD87" s="117" t="n">
        <f aca="false">IF(AND(BD85&gt;=0,BD86&lt;0),1,0)</f>
        <v>0</v>
      </c>
      <c r="BE87" s="117" t="n">
        <f aca="false">IF(AND(BE85&gt;=0,BE86&lt;0),1,0)</f>
        <v>0</v>
      </c>
      <c r="BF87" s="117" t="n">
        <f aca="false">IF(AND(BF85&gt;=0,BF86&lt;0),1,0)</f>
        <v>0</v>
      </c>
      <c r="BG87" s="117" t="n">
        <f aca="false">IF(AND(BG85&gt;=0,BG86&lt;0),1,0)</f>
        <v>0</v>
      </c>
      <c r="BH87" s="117" t="n">
        <f aca="false">IF(AND(BH85&gt;=0,BH86&lt;0),1,0)</f>
        <v>0</v>
      </c>
      <c r="BI87" s="117" t="n">
        <f aca="false">IF(AND(BI85&gt;=0,BI86&lt;0),1,0)</f>
        <v>0</v>
      </c>
      <c r="BJ87" s="117" t="n">
        <f aca="false">IF(AND(BJ85&gt;=0,BJ86&lt;0),1,0)</f>
        <v>0</v>
      </c>
    </row>
    <row r="88" customFormat="false" ht="15" hidden="false" customHeight="false" outlineLevel="0" collapsed="false">
      <c r="A88" s="6" t="s">
        <v>432</v>
      </c>
      <c r="C88" s="67" t="n">
        <f aca="false">C73-C44*(1-Inputs!$B$66)+C74</f>
        <v>-370648.56</v>
      </c>
      <c r="D88" s="67" t="n">
        <f aca="false">D73-D44*(1-Inputs!$B$66)+D74</f>
        <v>-2858.78666666666</v>
      </c>
      <c r="E88" s="67" t="n">
        <f aca="false">E73-E44*(1-Inputs!$B$66)+E74</f>
        <v>-2854.12</v>
      </c>
      <c r="F88" s="67" t="n">
        <f aca="false">F73-F44*(1-Inputs!$B$66)+F74</f>
        <v>-2849.45333333333</v>
      </c>
      <c r="G88" s="67" t="n">
        <f aca="false">G73-G44*(1-Inputs!$B$66)+G74</f>
        <v>-2844.78666666666</v>
      </c>
      <c r="H88" s="67" t="n">
        <f aca="false">H73-H44*(1-Inputs!$B$66)+H74</f>
        <v>-2840.12</v>
      </c>
      <c r="I88" s="67" t="n">
        <f aca="false">I73-I44*(1-Inputs!$B$66)+I74</f>
        <v>-2835.45333333333</v>
      </c>
      <c r="J88" s="67" t="n">
        <f aca="false">J73-J44*(1-Inputs!$B$66)+J74</f>
        <v>-2830.78666666666</v>
      </c>
      <c r="K88" s="67" t="n">
        <f aca="false">K73-K44*(1-Inputs!$B$66)+K74</f>
        <v>-2826.12</v>
      </c>
      <c r="L88" s="67" t="n">
        <f aca="false">L73-L44*(1-Inputs!$B$66)+L74</f>
        <v>-2821.45333333333</v>
      </c>
      <c r="M88" s="67" t="n">
        <f aca="false">M73-M44*(1-Inputs!$B$66)+M74</f>
        <v>-2816.78666666666</v>
      </c>
      <c r="N88" s="67" t="n">
        <f aca="false">N73-N44*(1-Inputs!$B$66)+N74</f>
        <v>-2812.12</v>
      </c>
      <c r="O88" s="67" t="n">
        <f aca="false">O73-O44*(1-Inputs!$B$66)+O74</f>
        <v>-79196.4190933333</v>
      </c>
      <c r="P88" s="67" t="n">
        <f aca="false">P73-P44*(1-Inputs!$B$66)+P74</f>
        <v>2921.20781333345</v>
      </c>
      <c r="Q88" s="67" t="n">
        <f aca="false">Q73-Q44*(1-Inputs!$B$66)+Q74</f>
        <v>2925.87448000012</v>
      </c>
      <c r="R88" s="67" t="n">
        <f aca="false">R73-R44*(1-Inputs!$B$66)+R74</f>
        <v>2930.54114666678</v>
      </c>
      <c r="S88" s="67" t="n">
        <f aca="false">S73-S44*(1-Inputs!$B$66)+S74</f>
        <v>2935.20781333345</v>
      </c>
      <c r="T88" s="67" t="n">
        <f aca="false">T73-T44*(1-Inputs!$B$66)+T74</f>
        <v>2939.87448000012</v>
      </c>
      <c r="U88" s="67" t="n">
        <f aca="false">U73-U44*(1-Inputs!$B$66)+U74</f>
        <v>2944.54114666678</v>
      </c>
      <c r="V88" s="67" t="n">
        <f aca="false">V73-V44*(1-Inputs!$B$66)+V74</f>
        <v>2949.20781333345</v>
      </c>
      <c r="W88" s="67" t="n">
        <f aca="false">W73-W44*(1-Inputs!$B$66)+W74</f>
        <v>2953.87448000012</v>
      </c>
      <c r="X88" s="67" t="n">
        <f aca="false">X73-X44*(1-Inputs!$B$66)+X74</f>
        <v>2958.54114666678</v>
      </c>
      <c r="Y88" s="67" t="n">
        <f aca="false">Y73-Y44*(1-Inputs!$B$66)+Y74</f>
        <v>2963.20781333345</v>
      </c>
      <c r="Z88" s="67" t="n">
        <f aca="false">Z73-Z44*(1-Inputs!$B$66)+Z74</f>
        <v>2967.87448000012</v>
      </c>
      <c r="AA88" s="67" t="n">
        <f aca="false">AA73-AA44*(1-Inputs!$B$66)+AA74</f>
        <v>-95170.7020944932</v>
      </c>
      <c r="AB88" s="67" t="n">
        <f aca="false">AB73-AB44*(1-Inputs!$B$66)+AB74</f>
        <v>10470.4694220134</v>
      </c>
      <c r="AC88" s="67" t="n">
        <f aca="false">AC73-AC44*(1-Inputs!$B$66)+AC74</f>
        <v>10475.1360886801</v>
      </c>
      <c r="AD88" s="67" t="n">
        <f aca="false">AD73-AD44*(1-Inputs!$B$66)+AD74</f>
        <v>10479.8027553468</v>
      </c>
      <c r="AE88" s="67" t="n">
        <f aca="false">AE73-AE44*(1-Inputs!$B$66)+AE74</f>
        <v>10281.5719059657</v>
      </c>
      <c r="AF88" s="67" t="n">
        <f aca="false">AF73-AF44*(1-Inputs!$B$66)+AF74</f>
        <v>8612.54751005728</v>
      </c>
      <c r="AG88" s="67" t="n">
        <f aca="false">AG73-AG44*(1-Inputs!$B$66)+AG74</f>
        <v>8612.54751005728</v>
      </c>
      <c r="AH88" s="67" t="n">
        <f aca="false">AH73-AH44*(1-Inputs!$B$66)+AH74</f>
        <v>8612.54751005728</v>
      </c>
      <c r="AI88" s="67" t="n">
        <f aca="false">AI73-AI44*(1-Inputs!$B$66)+AI74</f>
        <v>8612.54751005728</v>
      </c>
      <c r="AJ88" s="67" t="n">
        <f aca="false">AJ73-AJ44*(1-Inputs!$B$66)+AJ74</f>
        <v>8612.54751005728</v>
      </c>
      <c r="AK88" s="67" t="n">
        <f aca="false">AK73-AK44*(1-Inputs!$B$66)+AK74</f>
        <v>8612.54751005728</v>
      </c>
      <c r="AL88" s="67" t="n">
        <f aca="false">AL73-AL44*(1-Inputs!$B$66)+AL74</f>
        <v>8612.54751005728</v>
      </c>
      <c r="AM88" s="67" t="n">
        <f aca="false">AM73-AM44*(1-Inputs!$B$66)+AM74</f>
        <v>-119845.175072165</v>
      </c>
      <c r="AN88" s="67" t="n">
        <f aca="false">AN73-AN44*(1-Inputs!$B$66)+AN74</f>
        <v>16341.4512516724</v>
      </c>
      <c r="AO88" s="67" t="n">
        <f aca="false">AO73-AO44*(1-Inputs!$B$66)+AO74</f>
        <v>16341.4512516724</v>
      </c>
      <c r="AP88" s="67" t="n">
        <f aca="false">AP73-AP44*(1-Inputs!$B$66)+AP74</f>
        <v>16341.4512516724</v>
      </c>
      <c r="AQ88" s="67" t="n">
        <f aca="false">AQ73-AQ44*(1-Inputs!$B$66)+AQ74</f>
        <v>16341.4512516724</v>
      </c>
      <c r="AR88" s="67" t="n">
        <f aca="false">AR73-AR44*(1-Inputs!$B$66)+AR74</f>
        <v>16341.4512516724</v>
      </c>
      <c r="AS88" s="67" t="n">
        <f aca="false">AS73-AS44*(1-Inputs!$B$66)+AS74</f>
        <v>16341.4512516724</v>
      </c>
      <c r="AT88" s="67" t="n">
        <f aca="false">AT73-AT44*(1-Inputs!$B$66)+AT74</f>
        <v>16341.4512516724</v>
      </c>
      <c r="AU88" s="67" t="n">
        <f aca="false">AU73-AU44*(1-Inputs!$B$66)+AU74</f>
        <v>16341.4512516724</v>
      </c>
      <c r="AV88" s="67" t="n">
        <f aca="false">AV73-AV44*(1-Inputs!$B$66)+AV74</f>
        <v>16341.4512516724</v>
      </c>
      <c r="AW88" s="67" t="n">
        <f aca="false">AW73-AW44*(1-Inputs!$B$66)+AW74</f>
        <v>16341.4512516724</v>
      </c>
      <c r="AX88" s="67" t="n">
        <f aca="false">AX73-AX44*(1-Inputs!$B$66)+AX74</f>
        <v>16341.4512516724</v>
      </c>
      <c r="AY88" s="67" t="n">
        <f aca="false">AY73-AY44*(1-Inputs!$B$66)+AY74</f>
        <v>-149512.240062499</v>
      </c>
      <c r="AZ88" s="67" t="n">
        <f aca="false">AZ73-AZ44*(1-Inputs!$B$66)+AZ74</f>
        <v>26402.5645201025</v>
      </c>
      <c r="BA88" s="67" t="n">
        <f aca="false">BA73-BA44*(1-Inputs!$B$66)+BA74</f>
        <v>26402.5645201025</v>
      </c>
      <c r="BB88" s="67" t="n">
        <f aca="false">BB73-BB44*(1-Inputs!$B$66)+BB74</f>
        <v>26402.5645201025</v>
      </c>
      <c r="BC88" s="67" t="n">
        <f aca="false">BC73-BC44*(1-Inputs!$B$66)+BC74</f>
        <v>26402.5645201025</v>
      </c>
      <c r="BD88" s="67" t="n">
        <f aca="false">BD73-BD44*(1-Inputs!$B$66)+BD74</f>
        <v>26402.5645201025</v>
      </c>
      <c r="BE88" s="67" t="n">
        <f aca="false">BE73-BE44*(1-Inputs!$B$66)+BE74</f>
        <v>26402.5645201025</v>
      </c>
      <c r="BF88" s="67" t="n">
        <f aca="false">BF73-BF44*(1-Inputs!$B$66)+BF74</f>
        <v>26402.5645201025</v>
      </c>
      <c r="BG88" s="67" t="n">
        <f aca="false">BG73-BG44*(1-Inputs!$B$66)+BG74</f>
        <v>26402.5645201025</v>
      </c>
      <c r="BH88" s="67" t="n">
        <f aca="false">BH73-BH44*(1-Inputs!$B$66)+BH74</f>
        <v>26402.5645201025</v>
      </c>
      <c r="BI88" s="67" t="n">
        <f aca="false">BI73-BI44*(1-Inputs!$B$66)+BI74</f>
        <v>26402.5645201025</v>
      </c>
      <c r="BJ88" s="67" t="n">
        <f aca="false">BJ73-BJ44*(1-Inputs!$B$66)+BJ74</f>
        <v>26402.5645201025</v>
      </c>
    </row>
    <row r="90" customFormat="false" ht="15.75" hidden="false" customHeight="true" outlineLevel="0" collapsed="false">
      <c r="A90" s="7" t="s">
        <v>433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customFormat="false" ht="15" hidden="false" customHeight="false" outlineLevel="0" collapsed="false">
      <c r="A91" s="6" t="s">
        <v>97</v>
      </c>
      <c r="C91" s="67" t="n">
        <f aca="false">C75</f>
        <v>300000</v>
      </c>
      <c r="D91" s="67" t="n">
        <f aca="false">C91+D75</f>
        <v>300000</v>
      </c>
      <c r="E91" s="67" t="n">
        <f aca="false">D91+E75</f>
        <v>300000</v>
      </c>
      <c r="F91" s="67" t="n">
        <f aca="false">E91+F75</f>
        <v>300000</v>
      </c>
      <c r="G91" s="67" t="n">
        <f aca="false">F91+G75</f>
        <v>300000</v>
      </c>
      <c r="H91" s="67" t="n">
        <f aca="false">G91+H75</f>
        <v>300000</v>
      </c>
      <c r="I91" s="67" t="n">
        <f aca="false">H91+I75</f>
        <v>300000</v>
      </c>
      <c r="J91" s="67" t="n">
        <f aca="false">I91+J75</f>
        <v>300000</v>
      </c>
      <c r="K91" s="67" t="n">
        <f aca="false">J91+K75</f>
        <v>300000</v>
      </c>
      <c r="L91" s="67" t="n">
        <f aca="false">K91+L75</f>
        <v>300000</v>
      </c>
      <c r="M91" s="67" t="n">
        <f aca="false">L91+M75</f>
        <v>300000</v>
      </c>
      <c r="N91" s="67" t="n">
        <f aca="false">M91+N75</f>
        <v>300000</v>
      </c>
      <c r="O91" s="67" t="n">
        <f aca="false">N91+O75</f>
        <v>300000</v>
      </c>
      <c r="P91" s="67" t="n">
        <f aca="false">O91+P75</f>
        <v>300000</v>
      </c>
      <c r="Q91" s="67" t="n">
        <f aca="false">P91+Q75</f>
        <v>300000</v>
      </c>
      <c r="R91" s="67" t="n">
        <f aca="false">Q91+R75</f>
        <v>300000</v>
      </c>
      <c r="S91" s="67" t="n">
        <f aca="false">R91+S75</f>
        <v>300000</v>
      </c>
      <c r="T91" s="67" t="n">
        <f aca="false">S91+T75</f>
        <v>300000</v>
      </c>
      <c r="U91" s="67" t="n">
        <f aca="false">T91+U75</f>
        <v>300000</v>
      </c>
      <c r="V91" s="67" t="n">
        <f aca="false">U91+V75</f>
        <v>300000</v>
      </c>
      <c r="W91" s="67" t="n">
        <f aca="false">V91+W75</f>
        <v>300000</v>
      </c>
      <c r="X91" s="67" t="n">
        <f aca="false">W91+X75</f>
        <v>300000</v>
      </c>
      <c r="Y91" s="67" t="n">
        <f aca="false">X91+Y75</f>
        <v>300000</v>
      </c>
      <c r="Z91" s="67" t="n">
        <f aca="false">Y91+Z75</f>
        <v>300000</v>
      </c>
      <c r="AA91" s="67" t="n">
        <f aca="false">Z91+AA75</f>
        <v>300000</v>
      </c>
      <c r="AB91" s="67" t="n">
        <f aca="false">AA91+AB75</f>
        <v>300000</v>
      </c>
      <c r="AC91" s="67" t="n">
        <f aca="false">AB91+AC75</f>
        <v>300000</v>
      </c>
      <c r="AD91" s="67" t="n">
        <f aca="false">AC91+AD75</f>
        <v>300000</v>
      </c>
      <c r="AE91" s="67" t="n">
        <f aca="false">AD91+AE75</f>
        <v>300000</v>
      </c>
      <c r="AF91" s="67" t="n">
        <f aca="false">AE91+AF75</f>
        <v>300000</v>
      </c>
      <c r="AG91" s="67" t="n">
        <f aca="false">AF91+AG75</f>
        <v>300000</v>
      </c>
      <c r="AH91" s="67" t="n">
        <f aca="false">AG91+AH75</f>
        <v>300000</v>
      </c>
      <c r="AI91" s="67" t="n">
        <f aca="false">AH91+AI75</f>
        <v>300000</v>
      </c>
      <c r="AJ91" s="67" t="n">
        <f aca="false">AI91+AJ75</f>
        <v>300000</v>
      </c>
      <c r="AK91" s="67" t="n">
        <f aca="false">AJ91+AK75</f>
        <v>300000</v>
      </c>
      <c r="AL91" s="67" t="n">
        <f aca="false">AK91+AL75</f>
        <v>300000</v>
      </c>
      <c r="AM91" s="67" t="n">
        <f aca="false">AL91+AM75</f>
        <v>300000</v>
      </c>
      <c r="AN91" s="67" t="n">
        <f aca="false">AM91+AN75</f>
        <v>300000</v>
      </c>
      <c r="AO91" s="67" t="n">
        <f aca="false">AN91+AO75</f>
        <v>300000</v>
      </c>
      <c r="AP91" s="67" t="n">
        <f aca="false">AO91+AP75</f>
        <v>300000</v>
      </c>
      <c r="AQ91" s="67" t="n">
        <f aca="false">AP91+AQ75</f>
        <v>300000</v>
      </c>
      <c r="AR91" s="67" t="n">
        <f aca="false">AQ91+AR75</f>
        <v>300000</v>
      </c>
      <c r="AS91" s="67" t="n">
        <f aca="false">AR91+AS75</f>
        <v>300000</v>
      </c>
      <c r="AT91" s="67" t="n">
        <f aca="false">AS91+AT75</f>
        <v>300000</v>
      </c>
      <c r="AU91" s="67" t="n">
        <f aca="false">AT91+AU75</f>
        <v>300000</v>
      </c>
      <c r="AV91" s="67" t="n">
        <f aca="false">AU91+AV75</f>
        <v>300000</v>
      </c>
      <c r="AW91" s="67" t="n">
        <f aca="false">AV91+AW75</f>
        <v>300000</v>
      </c>
      <c r="AX91" s="67" t="n">
        <f aca="false">AW91+AX75</f>
        <v>300000</v>
      </c>
      <c r="AY91" s="67" t="n">
        <f aca="false">AX91+AY75</f>
        <v>300000</v>
      </c>
      <c r="AZ91" s="67" t="n">
        <f aca="false">AY91+AZ75</f>
        <v>300000</v>
      </c>
      <c r="BA91" s="67" t="n">
        <f aca="false">AZ91+BA75</f>
        <v>300000</v>
      </c>
      <c r="BB91" s="67" t="n">
        <f aca="false">BA91+BB75</f>
        <v>300000</v>
      </c>
      <c r="BC91" s="67" t="n">
        <f aca="false">BB91+BC75</f>
        <v>300000</v>
      </c>
      <c r="BD91" s="67" t="n">
        <f aca="false">BC91+BD75</f>
        <v>300000</v>
      </c>
      <c r="BE91" s="67" t="n">
        <f aca="false">BD91+BE75</f>
        <v>300000</v>
      </c>
      <c r="BF91" s="67" t="n">
        <f aca="false">BE91+BF75</f>
        <v>300000</v>
      </c>
      <c r="BG91" s="67" t="n">
        <f aca="false">BF91+BG75</f>
        <v>300000</v>
      </c>
      <c r="BH91" s="67" t="n">
        <f aca="false">BG91+BH75</f>
        <v>300000</v>
      </c>
      <c r="BI91" s="67" t="n">
        <f aca="false">BH91+BI75</f>
        <v>300000</v>
      </c>
      <c r="BJ91" s="67" t="n">
        <f aca="false">BI91+BJ75</f>
        <v>300000</v>
      </c>
    </row>
    <row r="92" customFormat="false" ht="15" hidden="false" customHeight="false" outlineLevel="0" collapsed="false">
      <c r="A92" s="6" t="s">
        <v>98</v>
      </c>
      <c r="C92" s="67" t="n">
        <f aca="false">C49</f>
        <v>-4914.45333333333</v>
      </c>
      <c r="D92" s="67" t="n">
        <f aca="false">C92+D49</f>
        <v>-9817.79555555555</v>
      </c>
      <c r="E92" s="67" t="n">
        <f aca="false">D92+E49</f>
        <v>-14698.9155555555</v>
      </c>
      <c r="F92" s="67" t="n">
        <f aca="false">E92+F49</f>
        <v>-19557.8133333333</v>
      </c>
      <c r="G92" s="67" t="n">
        <f aca="false">F92+G49</f>
        <v>-24394.4888888889</v>
      </c>
      <c r="H92" s="67" t="n">
        <f aca="false">G92+H49</f>
        <v>-29208.9422222222</v>
      </c>
      <c r="I92" s="67" t="n">
        <f aca="false">H92+I49</f>
        <v>-34001.1733333333</v>
      </c>
      <c r="J92" s="67" t="n">
        <f aca="false">I92+J49</f>
        <v>-38771.1822222222</v>
      </c>
      <c r="K92" s="67" t="n">
        <f aca="false">J92+K49</f>
        <v>-43518.9688888888</v>
      </c>
      <c r="L92" s="67" t="n">
        <f aca="false">K92+L49</f>
        <v>-48244.5333333333</v>
      </c>
      <c r="M92" s="67" t="n">
        <f aca="false">L92+M49</f>
        <v>-52947.8755555555</v>
      </c>
      <c r="N92" s="67" t="n">
        <f aca="false">M92+N49</f>
        <v>-57628.9955555555</v>
      </c>
      <c r="O92" s="67" t="n">
        <f aca="false">N92+O49</f>
        <v>-56563.8988533332</v>
      </c>
      <c r="P92" s="67" t="n">
        <f aca="false">O92+P49</f>
        <v>-55476.5799288886</v>
      </c>
      <c r="Q92" s="67" t="n">
        <f aca="false">P92+Q49</f>
        <v>-54367.0387822218</v>
      </c>
      <c r="R92" s="67" t="n">
        <f aca="false">Q92+R49</f>
        <v>-53235.2754133328</v>
      </c>
      <c r="S92" s="67" t="n">
        <f aca="false">R92+S49</f>
        <v>-52081.2898222216</v>
      </c>
      <c r="T92" s="67" t="n">
        <f aca="false">S92+T49</f>
        <v>-50905.0820088881</v>
      </c>
      <c r="U92" s="67" t="n">
        <f aca="false">T92+U49</f>
        <v>-49706.6519733325</v>
      </c>
      <c r="V92" s="67" t="n">
        <f aca="false">U92+V49</f>
        <v>-48485.9997155546</v>
      </c>
      <c r="W92" s="67" t="n">
        <f aca="false">V92+W49</f>
        <v>-47243.1252355545</v>
      </c>
      <c r="X92" s="67" t="n">
        <f aca="false">W92+X49</f>
        <v>-45978.0285333321</v>
      </c>
      <c r="Y92" s="67" t="n">
        <f aca="false">X92+Y49</f>
        <v>-44690.7096088876</v>
      </c>
      <c r="Z92" s="67" t="n">
        <f aca="false">Y92+Z49</f>
        <v>-43381.1684622208</v>
      </c>
      <c r="AA92" s="67" t="n">
        <f aca="false">Z92+AA49</f>
        <v>-34556.1434846518</v>
      </c>
      <c r="AB92" s="67" t="n">
        <f aca="false">AA92+AB49</f>
        <v>-25708.8962848606</v>
      </c>
      <c r="AC92" s="67" t="n">
        <f aca="false">AB92+AC49</f>
        <v>-16839.4268628471</v>
      </c>
      <c r="AD92" s="67" t="n">
        <f aca="false">AC92+AD49</f>
        <v>-7947.73521861149</v>
      </c>
      <c r="AE92" s="67" t="n">
        <f aca="false">AD92+AE49</f>
        <v>763.281131798649</v>
      </c>
      <c r="AF92" s="67" t="n">
        <f aca="false">AE92+AF49</f>
        <v>7822.82864185593</v>
      </c>
      <c r="AG92" s="67" t="n">
        <f aca="false">AF92+AG49</f>
        <v>14899.9317074688</v>
      </c>
      <c r="AH92" s="67" t="n">
        <f aca="false">AG92+AH49</f>
        <v>21994.5903286371</v>
      </c>
      <c r="AI92" s="67" t="n">
        <f aca="false">AH92+AI49</f>
        <v>29106.8045053611</v>
      </c>
      <c r="AJ92" s="67" t="n">
        <f aca="false">AI92+AJ49</f>
        <v>36236.5742376406</v>
      </c>
      <c r="AK92" s="67" t="n">
        <f aca="false">AJ92+AK49</f>
        <v>43383.8995254756</v>
      </c>
      <c r="AL92" s="67" t="n">
        <f aca="false">AK92+AL49</f>
        <v>50548.7803688663</v>
      </c>
      <c r="AM92" s="67" t="n">
        <f aca="false">AL92+AM49</f>
        <v>65460.1205094276</v>
      </c>
      <c r="AN92" s="67" t="n">
        <f aca="false">AM92+AN49</f>
        <v>80389.0162055445</v>
      </c>
      <c r="AO92" s="67" t="n">
        <f aca="false">AN92+AO49</f>
        <v>95335.4674572169</v>
      </c>
      <c r="AP92" s="67" t="n">
        <f aca="false">AO92+AP49</f>
        <v>110299.474264445</v>
      </c>
      <c r="AQ92" s="67" t="n">
        <f aca="false">AP92+AQ49</f>
        <v>125281.036627228</v>
      </c>
      <c r="AR92" s="67" t="n">
        <f aca="false">AQ92+AR49</f>
        <v>140280.154545568</v>
      </c>
      <c r="AS92" s="67" t="n">
        <f aca="false">AR92+AS49</f>
        <v>155296.828019462</v>
      </c>
      <c r="AT92" s="67" t="n">
        <f aca="false">AS92+AT49</f>
        <v>170331.057048912</v>
      </c>
      <c r="AU92" s="67" t="n">
        <f aca="false">AT92+AU49</f>
        <v>185382.841633918</v>
      </c>
      <c r="AV92" s="67" t="n">
        <f aca="false">AU92+AV49</f>
        <v>200452.18177448</v>
      </c>
      <c r="AW92" s="67" t="n">
        <f aca="false">AV92+AW49</f>
        <v>215539.077470596</v>
      </c>
      <c r="AX92" s="67" t="n">
        <f aca="false">AW92+AX49</f>
        <v>230643.528722269</v>
      </c>
      <c r="AY92" s="67" t="n">
        <f aca="false">AX92+AY49</f>
        <v>255826.648797927</v>
      </c>
      <c r="AZ92" s="67" t="n">
        <f aca="false">AY92+AZ49</f>
        <v>281027.324429141</v>
      </c>
      <c r="BA92" s="67" t="n">
        <f aca="false">AZ92+BA49</f>
        <v>306245.55561591</v>
      </c>
      <c r="BB92" s="67" t="n">
        <f aca="false">BA92+BB49</f>
        <v>331481.342358235</v>
      </c>
      <c r="BC92" s="67" t="n">
        <f aca="false">BB92+BC49</f>
        <v>356734.684656115</v>
      </c>
      <c r="BD92" s="67" t="n">
        <f aca="false">BC92+BD49</f>
        <v>382005.582509551</v>
      </c>
      <c r="BE92" s="67" t="n">
        <f aca="false">BD92+BE49</f>
        <v>407294.035918542</v>
      </c>
      <c r="BF92" s="67" t="n">
        <f aca="false">BE92+BF49</f>
        <v>432600.044883089</v>
      </c>
      <c r="BG92" s="67" t="n">
        <f aca="false">BF92+BG49</f>
        <v>457923.609403192</v>
      </c>
      <c r="BH92" s="67" t="n">
        <f aca="false">BG92+BH49</f>
        <v>483264.72947885</v>
      </c>
      <c r="BI92" s="67" t="n">
        <f aca="false">BH92+BI49</f>
        <v>508623.405110063</v>
      </c>
      <c r="BJ92" s="67" t="n">
        <f aca="false">BI92+BJ49</f>
        <v>533999.636296833</v>
      </c>
    </row>
    <row r="93" customFormat="false" ht="15" hidden="false" customHeight="false" outlineLevel="0" collapsed="false">
      <c r="A93" s="4" t="s">
        <v>93</v>
      </c>
      <c r="C93" s="73" t="n">
        <f aca="false">C79+C65+C66+C56</f>
        <v>603890.106666667</v>
      </c>
      <c r="D93" s="73" t="n">
        <f aca="false">D79+D65+D66+D56</f>
        <v>595653.431111111</v>
      </c>
      <c r="E93" s="73" t="n">
        <f aca="false">E79+E65+E66+E56</f>
        <v>587438.977777778</v>
      </c>
      <c r="F93" s="73" t="n">
        <f aca="false">F79+F65+F66+F56</f>
        <v>579246.746666667</v>
      </c>
      <c r="G93" s="73" t="n">
        <f aca="false">G79+G65+G66+G56</f>
        <v>571076.737777778</v>
      </c>
      <c r="H93" s="73" t="n">
        <f aca="false">H79+H65+H66+H56</f>
        <v>562928.951111111</v>
      </c>
      <c r="I93" s="73" t="n">
        <f aca="false">I79+I65+I66+I56</f>
        <v>554803.386666667</v>
      </c>
      <c r="J93" s="73" t="n">
        <f aca="false">J79+J65+J66+J56</f>
        <v>546700.044444445</v>
      </c>
      <c r="K93" s="73" t="n">
        <f aca="false">K79+K65+K66+K56</f>
        <v>538618.924444445</v>
      </c>
      <c r="L93" s="73" t="n">
        <f aca="false">L79+L65+L66+L56</f>
        <v>530560.026666667</v>
      </c>
      <c r="M93" s="73" t="n">
        <f aca="false">M79+M65+M66+M56</f>
        <v>522523.351111111</v>
      </c>
      <c r="N93" s="73" t="n">
        <f aca="false">N79+N65+N66+N56</f>
        <v>514508.897777778</v>
      </c>
      <c r="O93" s="73" t="n">
        <f aca="false">O79+O65+O66+O56</f>
        <v>542509.332906667</v>
      </c>
      <c r="P93" s="73" t="n">
        <f aca="false">P79+P65+P66+P56</f>
        <v>540263.318497778</v>
      </c>
      <c r="Q93" s="73" t="n">
        <f aca="false">Q79+Q65+Q66+Q56</f>
        <v>538039.526311112</v>
      </c>
      <c r="R93" s="73" t="n">
        <f aca="false">R79+R65+R66+R56</f>
        <v>535837.956346667</v>
      </c>
      <c r="S93" s="73" t="n">
        <f aca="false">S79+S65+S66+S56</f>
        <v>533658.608604445</v>
      </c>
      <c r="T93" s="73" t="n">
        <f aca="false">T79+T65+T66+T56</f>
        <v>531501.483084445</v>
      </c>
      <c r="U93" s="73" t="n">
        <f aca="false">U79+U65+U66+U56</f>
        <v>529366.579786668</v>
      </c>
      <c r="V93" s="73" t="n">
        <f aca="false">V79+V65+V66+V56</f>
        <v>527253.898711112</v>
      </c>
      <c r="W93" s="73" t="n">
        <f aca="false">W79+W65+W66+W56</f>
        <v>525163.439857779</v>
      </c>
      <c r="X93" s="73" t="n">
        <f aca="false">X79+X65+X66+X56</f>
        <v>523095.203226668</v>
      </c>
      <c r="Y93" s="73" t="n">
        <f aca="false">Y79+Y65+Y66+Y56</f>
        <v>521049.188817779</v>
      </c>
      <c r="Z93" s="73" t="n">
        <f aca="false">Z79+Z65+Z66+Z56</f>
        <v>519025.396631113</v>
      </c>
      <c r="AA93" s="73" t="n">
        <f aca="false">AA79+AA65+AA66+AA56</f>
        <v>563804.494337508</v>
      </c>
      <c r="AB93" s="73" t="n">
        <f aca="false">AB79+AB65+AB66+AB56</f>
        <v>569318.408203966</v>
      </c>
      <c r="AC93" s="73" t="n">
        <f aca="false">AC79+AC65+AC66+AC56</f>
        <v>574854.544292646</v>
      </c>
      <c r="AD93" s="73" t="n">
        <f aca="false">AD79+AD65+AD66+AD56</f>
        <v>580412.902603549</v>
      </c>
      <c r="AE93" s="73" t="n">
        <f aca="false">AE79+AE65+AE66+AE56</f>
        <v>585790.585620625</v>
      </c>
      <c r="AF93" s="73" t="n">
        <f aca="false">AF79+AF65+AF66+AF56</f>
        <v>589516.799797349</v>
      </c>
      <c r="AG93" s="73" t="n">
        <f aca="false">AG79+AG65+AG66+AG56</f>
        <v>593260.569529629</v>
      </c>
      <c r="AH93" s="73" t="n">
        <f aca="false">AH79+AH65+AH66+AH56</f>
        <v>597021.894817464</v>
      </c>
      <c r="AI93" s="73" t="n">
        <f aca="false">AI79+AI65+AI66+AI56</f>
        <v>600800.775660854</v>
      </c>
      <c r="AJ93" s="73" t="n">
        <f aca="false">AJ79+AJ65+AJ66+AJ56</f>
        <v>604597.212059801</v>
      </c>
      <c r="AK93" s="73" t="n">
        <f aca="false">AK79+AK65+AK66+AK56</f>
        <v>608411.204014302</v>
      </c>
      <c r="AL93" s="73" t="n">
        <f aca="false">AL79+AL65+AL66+AL56</f>
        <v>612242.75152436</v>
      </c>
      <c r="AM93" s="73" t="n">
        <f aca="false">AM79+AM65+AM66+AM56</f>
        <v>674932.757591623</v>
      </c>
      <c r="AN93" s="73" t="n">
        <f aca="false">AN79+AN65+AN66+AN56</f>
        <v>686528.319954406</v>
      </c>
      <c r="AO93" s="73" t="n">
        <f aca="false">AO79+AO65+AO66+AO56</f>
        <v>698141.437872745</v>
      </c>
      <c r="AP93" s="73" t="n">
        <f aca="false">AP79+AP65+AP66+AP56</f>
        <v>709772.11134664</v>
      </c>
      <c r="AQ93" s="73" t="n">
        <f aca="false">AQ79+AQ65+AQ66+AQ56</f>
        <v>721420.34037609</v>
      </c>
      <c r="AR93" s="73" t="n">
        <f aca="false">AR79+AR65+AR66+AR56</f>
        <v>733086.124961096</v>
      </c>
      <c r="AS93" s="73" t="n">
        <f aca="false">AS79+AS65+AS66+AS56</f>
        <v>744769.465101657</v>
      </c>
      <c r="AT93" s="73" t="n">
        <f aca="false">AT79+AT65+AT66+AT56</f>
        <v>756470.360797774</v>
      </c>
      <c r="AU93" s="73" t="n">
        <f aca="false">AU79+AU65+AU66+AU56</f>
        <v>768188.812049447</v>
      </c>
      <c r="AV93" s="73" t="n">
        <f aca="false">AV79+AV65+AV66+AV56</f>
        <v>779924.818856675</v>
      </c>
      <c r="AW93" s="73" t="n">
        <f aca="false">AW79+AW65+AW66+AW56</f>
        <v>791678.381219458</v>
      </c>
      <c r="AX93" s="73" t="n">
        <f aca="false">AX79+AX65+AX66+AX56</f>
        <v>803449.499137797</v>
      </c>
      <c r="AY93" s="73" t="n">
        <f aca="false">AY79+AY65+AY66+AY56</f>
        <v>891938.899721515</v>
      </c>
      <c r="AZ93" s="73" t="n">
        <f aca="false">AZ79+AZ65+AZ66+AZ56</f>
        <v>913806.242019396</v>
      </c>
      <c r="BA93" s="73" t="n">
        <f aca="false">BA79+BA65+BA66+BA56</f>
        <v>935691.139872831</v>
      </c>
      <c r="BB93" s="73" t="n">
        <f aca="false">BB79+BB65+BB66+BB56</f>
        <v>957593.593281823</v>
      </c>
      <c r="BC93" s="73" t="n">
        <f aca="false">BC79+BC65+BC66+BC56</f>
        <v>979513.60224637</v>
      </c>
      <c r="BD93" s="73" t="n">
        <f aca="false">BD79+BD65+BD66+BD56</f>
        <v>1001451.16676647</v>
      </c>
      <c r="BE93" s="73" t="n">
        <f aca="false">BE79+BE65+BE66+BE56</f>
        <v>1023406.28684213</v>
      </c>
      <c r="BF93" s="73" t="n">
        <f aca="false">BF79+BF65+BF66+BF56</f>
        <v>1045378.96247334</v>
      </c>
      <c r="BG93" s="73" t="n">
        <f aca="false">BG79+BG65+BG66+BG56</f>
        <v>1067369.19366011</v>
      </c>
      <c r="BH93" s="73" t="n">
        <f aca="false">BH79+BH65+BH66+BH56</f>
        <v>1089376.98040244</v>
      </c>
      <c r="BI93" s="73" t="n">
        <f aca="false">BI79+BI65+BI66+BI56</f>
        <v>1111402.32270032</v>
      </c>
      <c r="BJ93" s="73" t="n">
        <f aca="false">BJ79+BJ65+BJ66+BJ56</f>
        <v>1133445.22055375</v>
      </c>
    </row>
    <row r="94" customFormat="false" ht="15" hidden="false" customHeight="false" outlineLevel="0" collapsed="false">
      <c r="A94" s="6" t="s">
        <v>96</v>
      </c>
      <c r="C94" s="67" t="n">
        <f aca="false">C67+C62</f>
        <v>308804.56</v>
      </c>
      <c r="D94" s="67" t="n">
        <f aca="false">D67+D62</f>
        <v>305471.226666667</v>
      </c>
      <c r="E94" s="67" t="n">
        <f aca="false">E67+E62</f>
        <v>302137.893333333</v>
      </c>
      <c r="F94" s="67" t="n">
        <f aca="false">F67+F62</f>
        <v>298804.56</v>
      </c>
      <c r="G94" s="67" t="n">
        <f aca="false">G67+G62</f>
        <v>295471.226666667</v>
      </c>
      <c r="H94" s="67" t="n">
        <f aca="false">H67+H62</f>
        <v>292137.893333333</v>
      </c>
      <c r="I94" s="67" t="n">
        <f aca="false">I67+I62</f>
        <v>288804.56</v>
      </c>
      <c r="J94" s="67" t="n">
        <f aca="false">J67+J62</f>
        <v>285471.226666667</v>
      </c>
      <c r="K94" s="67" t="n">
        <f aca="false">K67+K62</f>
        <v>282137.893333333</v>
      </c>
      <c r="L94" s="67" t="n">
        <f aca="false">L67+L62</f>
        <v>278804.56</v>
      </c>
      <c r="M94" s="67" t="n">
        <f aca="false">M67+M62</f>
        <v>275471.226666667</v>
      </c>
      <c r="N94" s="67" t="n">
        <f aca="false">N67+N62</f>
        <v>272137.893333333</v>
      </c>
      <c r="O94" s="67" t="n">
        <f aca="false">O67+O62</f>
        <v>299073.23176</v>
      </c>
      <c r="P94" s="67" t="n">
        <f aca="false">P67+P62</f>
        <v>295739.898426667</v>
      </c>
      <c r="Q94" s="67" t="n">
        <f aca="false">Q67+Q62</f>
        <v>292406.565093333</v>
      </c>
      <c r="R94" s="67" t="n">
        <f aca="false">R67+R62</f>
        <v>289073.23176</v>
      </c>
      <c r="S94" s="67" t="n">
        <f aca="false">S67+S62</f>
        <v>285739.898426667</v>
      </c>
      <c r="T94" s="67" t="n">
        <f aca="false">T67+T62</f>
        <v>282406.565093333</v>
      </c>
      <c r="U94" s="67" t="n">
        <f aca="false">U67+U62</f>
        <v>279073.23176</v>
      </c>
      <c r="V94" s="67" t="n">
        <f aca="false">V67+V62</f>
        <v>275739.898426667</v>
      </c>
      <c r="W94" s="67" t="n">
        <f aca="false">W67+W62</f>
        <v>272406.565093333</v>
      </c>
      <c r="X94" s="67" t="n">
        <f aca="false">X67+X62</f>
        <v>269073.23176</v>
      </c>
      <c r="Y94" s="67" t="n">
        <f aca="false">Y67+Y62</f>
        <v>265739.898426667</v>
      </c>
      <c r="Z94" s="67" t="n">
        <f aca="false">Z67+Z62</f>
        <v>262406.565093333</v>
      </c>
      <c r="AA94" s="67" t="n">
        <f aca="false">AA67+AA62</f>
        <v>298360.63782216</v>
      </c>
      <c r="AB94" s="67" t="n">
        <f aca="false">AB67+AB62</f>
        <v>295027.304488827</v>
      </c>
      <c r="AC94" s="67" t="n">
        <f aca="false">AC67+AC62</f>
        <v>291693.971155493</v>
      </c>
      <c r="AD94" s="67" t="n">
        <f aca="false">AD67+AD62</f>
        <v>288360.63782216</v>
      </c>
      <c r="AE94" s="67" t="n">
        <f aca="false">AE67+AE62</f>
        <v>285027.304488827</v>
      </c>
      <c r="AF94" s="67" t="n">
        <f aca="false">AF67+AF62</f>
        <v>281693.971155493</v>
      </c>
      <c r="AG94" s="67" t="n">
        <f aca="false">AG67+AG62</f>
        <v>278360.63782216</v>
      </c>
      <c r="AH94" s="67" t="n">
        <f aca="false">AH67+AH62</f>
        <v>275027.304488827</v>
      </c>
      <c r="AI94" s="67" t="n">
        <f aca="false">AI67+AI62</f>
        <v>271693.971155493</v>
      </c>
      <c r="AJ94" s="67" t="n">
        <f aca="false">AJ67+AJ62</f>
        <v>268360.63782216</v>
      </c>
      <c r="AK94" s="67" t="n">
        <f aca="false">AK67+AK62</f>
        <v>265027.304488827</v>
      </c>
      <c r="AL94" s="67" t="n">
        <f aca="false">AL67+AL62</f>
        <v>261693.971155493</v>
      </c>
      <c r="AM94" s="67" t="n">
        <f aca="false">AM67+AM62</f>
        <v>309472.637082195</v>
      </c>
      <c r="AN94" s="67" t="n">
        <f aca="false">AN67+AN62</f>
        <v>306139.303748862</v>
      </c>
      <c r="AO94" s="67" t="n">
        <f aca="false">AO67+AO62</f>
        <v>302805.970415528</v>
      </c>
      <c r="AP94" s="67" t="n">
        <f aca="false">AP67+AP62</f>
        <v>299472.637082195</v>
      </c>
      <c r="AQ94" s="67" t="n">
        <f aca="false">AQ67+AQ62</f>
        <v>296139.303748862</v>
      </c>
      <c r="AR94" s="67" t="n">
        <f aca="false">AR67+AR62</f>
        <v>292805.970415528</v>
      </c>
      <c r="AS94" s="67" t="n">
        <f aca="false">AS67+AS62</f>
        <v>289472.637082195</v>
      </c>
      <c r="AT94" s="67" t="n">
        <f aca="false">AT67+AT62</f>
        <v>286139.303748862</v>
      </c>
      <c r="AU94" s="67" t="n">
        <f aca="false">AU67+AU62</f>
        <v>282805.970415528</v>
      </c>
      <c r="AV94" s="67" t="n">
        <f aca="false">AV67+AV62</f>
        <v>279472.637082195</v>
      </c>
      <c r="AW94" s="67" t="n">
        <f aca="false">AW67+AW62</f>
        <v>276139.303748862</v>
      </c>
      <c r="AX94" s="67" t="n">
        <f aca="false">AX67+AX62</f>
        <v>272805.970415528</v>
      </c>
      <c r="AY94" s="67" t="n">
        <f aca="false">AY67+AY62</f>
        <v>336112.250923588</v>
      </c>
      <c r="AZ94" s="67" t="n">
        <f aca="false">AZ67+AZ62</f>
        <v>332778.917590255</v>
      </c>
      <c r="BA94" s="67" t="n">
        <f aca="false">BA67+BA62</f>
        <v>329445.584256921</v>
      </c>
      <c r="BB94" s="67" t="n">
        <f aca="false">BB67+BB62</f>
        <v>326112.250923588</v>
      </c>
      <c r="BC94" s="67" t="n">
        <f aca="false">BC67+BC62</f>
        <v>322778.917590255</v>
      </c>
      <c r="BD94" s="67" t="n">
        <f aca="false">BD67+BD62</f>
        <v>319445.584256921</v>
      </c>
      <c r="BE94" s="67" t="n">
        <f aca="false">BE67+BE62</f>
        <v>316112.250923588</v>
      </c>
      <c r="BF94" s="67" t="n">
        <f aca="false">BF67+BF62</f>
        <v>312778.917590255</v>
      </c>
      <c r="BG94" s="67" t="n">
        <f aca="false">BG67+BG62</f>
        <v>309445.584256921</v>
      </c>
      <c r="BH94" s="67" t="n">
        <f aca="false">BH67+BH62</f>
        <v>306112.250923588</v>
      </c>
      <c r="BI94" s="67" t="n">
        <f aca="false">BI67+BI62</f>
        <v>302778.917590255</v>
      </c>
      <c r="BJ94" s="67" t="n">
        <f aca="false">BJ67+BJ62</f>
        <v>299445.584256921</v>
      </c>
    </row>
    <row r="95" customFormat="false" ht="15" hidden="false" customHeight="false" outlineLevel="0" collapsed="false">
      <c r="A95" s="6" t="s">
        <v>99</v>
      </c>
      <c r="C95" s="67" t="n">
        <f aca="false">C91+C92</f>
        <v>295085.546666667</v>
      </c>
      <c r="D95" s="67" t="n">
        <f aca="false">D91+D92</f>
        <v>290182.204444444</v>
      </c>
      <c r="E95" s="67" t="n">
        <f aca="false">E91+E92</f>
        <v>285301.084444444</v>
      </c>
      <c r="F95" s="67" t="n">
        <f aca="false">F91+F92</f>
        <v>280442.186666667</v>
      </c>
      <c r="G95" s="67" t="n">
        <f aca="false">G91+G92</f>
        <v>275605.511111111</v>
      </c>
      <c r="H95" s="67" t="n">
        <f aca="false">H91+H92</f>
        <v>270791.057777778</v>
      </c>
      <c r="I95" s="67" t="n">
        <f aca="false">I91+I92</f>
        <v>265998.826666667</v>
      </c>
      <c r="J95" s="67" t="n">
        <f aca="false">J91+J92</f>
        <v>261228.817777778</v>
      </c>
      <c r="K95" s="67" t="n">
        <f aca="false">K91+K92</f>
        <v>256481.031111111</v>
      </c>
      <c r="L95" s="67" t="n">
        <f aca="false">L91+L92</f>
        <v>251755.466666667</v>
      </c>
      <c r="M95" s="67" t="n">
        <f aca="false">M91+M92</f>
        <v>247052.124444445</v>
      </c>
      <c r="N95" s="67" t="n">
        <f aca="false">N91+N92</f>
        <v>242371.004444445</v>
      </c>
      <c r="O95" s="67" t="n">
        <f aca="false">O91+O92</f>
        <v>243436.101146667</v>
      </c>
      <c r="P95" s="67" t="n">
        <f aca="false">P91+P92</f>
        <v>244523.420071111</v>
      </c>
      <c r="Q95" s="67" t="n">
        <f aca="false">Q91+Q92</f>
        <v>245632.961217778</v>
      </c>
      <c r="R95" s="67" t="n">
        <f aca="false">R91+R92</f>
        <v>246764.724586667</v>
      </c>
      <c r="S95" s="67" t="n">
        <f aca="false">S91+S92</f>
        <v>247918.710177778</v>
      </c>
      <c r="T95" s="67" t="n">
        <f aca="false">T91+T92</f>
        <v>249094.917991112</v>
      </c>
      <c r="U95" s="67" t="n">
        <f aca="false">U91+U92</f>
        <v>250293.348026668</v>
      </c>
      <c r="V95" s="67" t="n">
        <f aca="false">V91+V92</f>
        <v>251514.000284445</v>
      </c>
      <c r="W95" s="67" t="n">
        <f aca="false">W91+W92</f>
        <v>252756.874764446</v>
      </c>
      <c r="X95" s="67" t="n">
        <f aca="false">X91+X92</f>
        <v>254021.971466668</v>
      </c>
      <c r="Y95" s="67" t="n">
        <f aca="false">Y91+Y92</f>
        <v>255309.290391112</v>
      </c>
      <c r="Z95" s="67" t="n">
        <f aca="false">Z91+Z92</f>
        <v>256618.831537779</v>
      </c>
      <c r="AA95" s="67" t="n">
        <f aca="false">AA91+AA92</f>
        <v>265443.856515348</v>
      </c>
      <c r="AB95" s="67" t="n">
        <f aca="false">AB91+AB92</f>
        <v>274291.103715139</v>
      </c>
      <c r="AC95" s="67" t="n">
        <f aca="false">AC91+AC92</f>
        <v>283160.573137153</v>
      </c>
      <c r="AD95" s="67" t="n">
        <f aca="false">AD91+AD92</f>
        <v>292052.264781389</v>
      </c>
      <c r="AE95" s="67" t="n">
        <f aca="false">AE91+AE92</f>
        <v>300763.281131799</v>
      </c>
      <c r="AF95" s="67" t="n">
        <f aca="false">AF91+AF92</f>
        <v>307822.828641856</v>
      </c>
      <c r="AG95" s="67" t="n">
        <f aca="false">AG91+AG92</f>
        <v>314899.931707469</v>
      </c>
      <c r="AH95" s="67" t="n">
        <f aca="false">AH91+AH92</f>
        <v>321994.590328637</v>
      </c>
      <c r="AI95" s="67" t="n">
        <f aca="false">AI91+AI92</f>
        <v>329106.804505361</v>
      </c>
      <c r="AJ95" s="67" t="n">
        <f aca="false">AJ91+AJ92</f>
        <v>336236.574237641</v>
      </c>
      <c r="AK95" s="67" t="n">
        <f aca="false">AK91+AK92</f>
        <v>343383.899525476</v>
      </c>
      <c r="AL95" s="67" t="n">
        <f aca="false">AL91+AL92</f>
        <v>350548.780368866</v>
      </c>
      <c r="AM95" s="67" t="n">
        <f aca="false">AM91+AM92</f>
        <v>365460.120509428</v>
      </c>
      <c r="AN95" s="67" t="n">
        <f aca="false">AN91+AN92</f>
        <v>380389.016205544</v>
      </c>
      <c r="AO95" s="67" t="n">
        <f aca="false">AO91+AO92</f>
        <v>395335.467457217</v>
      </c>
      <c r="AP95" s="67" t="n">
        <f aca="false">AP91+AP92</f>
        <v>410299.474264445</v>
      </c>
      <c r="AQ95" s="67" t="n">
        <f aca="false">AQ91+AQ92</f>
        <v>425281.036627229</v>
      </c>
      <c r="AR95" s="67" t="n">
        <f aca="false">AR91+AR92</f>
        <v>440280.154545568</v>
      </c>
      <c r="AS95" s="67" t="n">
        <f aca="false">AS91+AS92</f>
        <v>455296.828019462</v>
      </c>
      <c r="AT95" s="67" t="n">
        <f aca="false">AT91+AT92</f>
        <v>470331.057048912</v>
      </c>
      <c r="AU95" s="67" t="n">
        <f aca="false">AU91+AU92</f>
        <v>485382.841633918</v>
      </c>
      <c r="AV95" s="67" t="n">
        <f aca="false">AV91+AV92</f>
        <v>500452.18177448</v>
      </c>
      <c r="AW95" s="67" t="n">
        <f aca="false">AW91+AW92</f>
        <v>515539.077470597</v>
      </c>
      <c r="AX95" s="67" t="n">
        <f aca="false">AX91+AX92</f>
        <v>530643.528722269</v>
      </c>
      <c r="AY95" s="67" t="n">
        <f aca="false">AY91+AY92</f>
        <v>555826.648797927</v>
      </c>
      <c r="AZ95" s="67" t="n">
        <f aca="false">AZ91+AZ92</f>
        <v>581027.324429141</v>
      </c>
      <c r="BA95" s="67" t="n">
        <f aca="false">BA91+BA92</f>
        <v>606245.55561591</v>
      </c>
      <c r="BB95" s="67" t="n">
        <f aca="false">BB91+BB92</f>
        <v>631481.342358235</v>
      </c>
      <c r="BC95" s="67" t="n">
        <f aca="false">BC91+BC92</f>
        <v>656734.684656115</v>
      </c>
      <c r="BD95" s="67" t="n">
        <f aca="false">BD91+BD92</f>
        <v>682005.582509551</v>
      </c>
      <c r="BE95" s="67" t="n">
        <f aca="false">BE91+BE92</f>
        <v>707294.035918542</v>
      </c>
      <c r="BF95" s="67" t="n">
        <f aca="false">BF91+BF92</f>
        <v>732600.044883089</v>
      </c>
      <c r="BG95" s="67" t="n">
        <f aca="false">BG91+BG92</f>
        <v>757923.609403192</v>
      </c>
      <c r="BH95" s="67" t="n">
        <f aca="false">BH91+BH92</f>
        <v>783264.72947885</v>
      </c>
      <c r="BI95" s="67" t="n">
        <f aca="false">BI91+BI92</f>
        <v>808623.405110064</v>
      </c>
      <c r="BJ95" s="67" t="n">
        <f aca="false">BJ91+BJ92</f>
        <v>833999.636296833</v>
      </c>
    </row>
    <row r="96" customFormat="false" ht="15" hidden="false" customHeight="false" outlineLevel="0" collapsed="false">
      <c r="A96" s="4" t="s">
        <v>100</v>
      </c>
      <c r="C96" s="73" t="n">
        <f aca="false">C94+C95</f>
        <v>603890.106666667</v>
      </c>
      <c r="D96" s="73" t="n">
        <f aca="false">D94+D95</f>
        <v>595653.431111111</v>
      </c>
      <c r="E96" s="73" t="n">
        <f aca="false">E94+E95</f>
        <v>587438.977777778</v>
      </c>
      <c r="F96" s="73" t="n">
        <f aca="false">F94+F95</f>
        <v>579246.746666667</v>
      </c>
      <c r="G96" s="73" t="n">
        <f aca="false">G94+G95</f>
        <v>571076.737777778</v>
      </c>
      <c r="H96" s="73" t="n">
        <f aca="false">H94+H95</f>
        <v>562928.951111111</v>
      </c>
      <c r="I96" s="73" t="n">
        <f aca="false">I94+I95</f>
        <v>554803.386666667</v>
      </c>
      <c r="J96" s="73" t="n">
        <f aca="false">J94+J95</f>
        <v>546700.044444444</v>
      </c>
      <c r="K96" s="73" t="n">
        <f aca="false">K94+K95</f>
        <v>538618.924444445</v>
      </c>
      <c r="L96" s="73" t="n">
        <f aca="false">L94+L95</f>
        <v>530560.026666667</v>
      </c>
      <c r="M96" s="73" t="n">
        <f aca="false">M94+M95</f>
        <v>522523.351111111</v>
      </c>
      <c r="N96" s="73" t="n">
        <f aca="false">N94+N95</f>
        <v>514508.897777778</v>
      </c>
      <c r="O96" s="73" t="n">
        <f aca="false">O94+O95</f>
        <v>542509.332906667</v>
      </c>
      <c r="P96" s="73" t="n">
        <f aca="false">P94+P95</f>
        <v>540263.318497778</v>
      </c>
      <c r="Q96" s="73" t="n">
        <f aca="false">Q94+Q95</f>
        <v>538039.526311111</v>
      </c>
      <c r="R96" s="73" t="n">
        <f aca="false">R94+R95</f>
        <v>535837.956346667</v>
      </c>
      <c r="S96" s="73" t="n">
        <f aca="false">S94+S95</f>
        <v>533658.608604445</v>
      </c>
      <c r="T96" s="73" t="n">
        <f aca="false">T94+T95</f>
        <v>531501.483084445</v>
      </c>
      <c r="U96" s="73" t="n">
        <f aca="false">U94+U95</f>
        <v>529366.579786667</v>
      </c>
      <c r="V96" s="73" t="n">
        <f aca="false">V94+V95</f>
        <v>527253.898711112</v>
      </c>
      <c r="W96" s="73" t="n">
        <f aca="false">W94+W95</f>
        <v>525163.439857779</v>
      </c>
      <c r="X96" s="73" t="n">
        <f aca="false">X94+X95</f>
        <v>523095.203226668</v>
      </c>
      <c r="Y96" s="73" t="n">
        <f aca="false">Y94+Y95</f>
        <v>521049.188817779</v>
      </c>
      <c r="Z96" s="73" t="n">
        <f aca="false">Z94+Z95</f>
        <v>519025.396631112</v>
      </c>
      <c r="AA96" s="73" t="n">
        <f aca="false">AA94+AA95</f>
        <v>563804.494337508</v>
      </c>
      <c r="AB96" s="73" t="n">
        <f aca="false">AB94+AB95</f>
        <v>569318.408203966</v>
      </c>
      <c r="AC96" s="73" t="n">
        <f aca="false">AC94+AC95</f>
        <v>574854.544292646</v>
      </c>
      <c r="AD96" s="73" t="n">
        <f aca="false">AD94+AD95</f>
        <v>580412.902603548</v>
      </c>
      <c r="AE96" s="73" t="n">
        <f aca="false">AE94+AE95</f>
        <v>585790.585620625</v>
      </c>
      <c r="AF96" s="73" t="n">
        <f aca="false">AF94+AF95</f>
        <v>589516.799797349</v>
      </c>
      <c r="AG96" s="73" t="n">
        <f aca="false">AG94+AG95</f>
        <v>593260.569529629</v>
      </c>
      <c r="AH96" s="73" t="n">
        <f aca="false">AH94+AH95</f>
        <v>597021.894817464</v>
      </c>
      <c r="AI96" s="73" t="n">
        <f aca="false">AI94+AI95</f>
        <v>600800.775660854</v>
      </c>
      <c r="AJ96" s="73" t="n">
        <f aca="false">AJ94+AJ95</f>
        <v>604597.212059801</v>
      </c>
      <c r="AK96" s="73" t="n">
        <f aca="false">AK94+AK95</f>
        <v>608411.204014302</v>
      </c>
      <c r="AL96" s="73" t="n">
        <f aca="false">AL94+AL95</f>
        <v>612242.75152436</v>
      </c>
      <c r="AM96" s="73" t="n">
        <f aca="false">AM94+AM95</f>
        <v>674932.757591622</v>
      </c>
      <c r="AN96" s="73" t="n">
        <f aca="false">AN94+AN95</f>
        <v>686528.319954406</v>
      </c>
      <c r="AO96" s="73" t="n">
        <f aca="false">AO94+AO95</f>
        <v>698141.437872745</v>
      </c>
      <c r="AP96" s="73" t="n">
        <f aca="false">AP94+AP95</f>
        <v>709772.11134664</v>
      </c>
      <c r="AQ96" s="73" t="n">
        <f aca="false">AQ94+AQ95</f>
        <v>721420.34037609</v>
      </c>
      <c r="AR96" s="73" t="n">
        <f aca="false">AR94+AR95</f>
        <v>733086.124961096</v>
      </c>
      <c r="AS96" s="73" t="n">
        <f aca="false">AS94+AS95</f>
        <v>744769.465101657</v>
      </c>
      <c r="AT96" s="73" t="n">
        <f aca="false">AT94+AT95</f>
        <v>756470.360797774</v>
      </c>
      <c r="AU96" s="73" t="n">
        <f aca="false">AU94+AU95</f>
        <v>768188.812049446</v>
      </c>
      <c r="AV96" s="73" t="n">
        <f aca="false">AV94+AV95</f>
        <v>779924.818856675</v>
      </c>
      <c r="AW96" s="73" t="n">
        <f aca="false">AW94+AW95</f>
        <v>791678.381219458</v>
      </c>
      <c r="AX96" s="73" t="n">
        <f aca="false">AX94+AX95</f>
        <v>803449.499137797</v>
      </c>
      <c r="AY96" s="73" t="n">
        <f aca="false">AY94+AY95</f>
        <v>891938.899721515</v>
      </c>
      <c r="AZ96" s="73" t="n">
        <f aca="false">AZ94+AZ95</f>
        <v>913806.242019396</v>
      </c>
      <c r="BA96" s="73" t="n">
        <f aca="false">BA94+BA95</f>
        <v>935691.139872831</v>
      </c>
      <c r="BB96" s="73" t="n">
        <f aca="false">BB94+BB95</f>
        <v>957593.593281823</v>
      </c>
      <c r="BC96" s="73" t="n">
        <f aca="false">BC94+BC95</f>
        <v>979513.60224637</v>
      </c>
      <c r="BD96" s="73" t="n">
        <f aca="false">BD94+BD95</f>
        <v>1001451.16676647</v>
      </c>
      <c r="BE96" s="73" t="n">
        <f aca="false">BE94+BE95</f>
        <v>1023406.28684213</v>
      </c>
      <c r="BF96" s="73" t="n">
        <f aca="false">BF94+BF95</f>
        <v>1045378.96247334</v>
      </c>
      <c r="BG96" s="73" t="n">
        <f aca="false">BG94+BG95</f>
        <v>1067369.19366011</v>
      </c>
      <c r="BH96" s="73" t="n">
        <f aca="false">BH94+BH95</f>
        <v>1089376.98040244</v>
      </c>
      <c r="BI96" s="73" t="n">
        <f aca="false">BI94+BI95</f>
        <v>1111402.32270032</v>
      </c>
      <c r="BJ96" s="73" t="n">
        <f aca="false">BJ94+BJ95</f>
        <v>1133445.22055375</v>
      </c>
    </row>
    <row r="97" customFormat="false" ht="15" hidden="false" customHeight="false" outlineLevel="0" collapsed="false">
      <c r="A97" s="6" t="s">
        <v>434</v>
      </c>
      <c r="C97" s="67" t="n">
        <f aca="false">C93-C96</f>
        <v>0</v>
      </c>
      <c r="D97" s="67" t="n">
        <f aca="false">D93-D96</f>
        <v>0</v>
      </c>
      <c r="E97" s="67" t="n">
        <f aca="false">E93-E96</f>
        <v>0</v>
      </c>
      <c r="F97" s="67" t="n">
        <f aca="false">F93-F96</f>
        <v>0</v>
      </c>
      <c r="G97" s="67" t="n">
        <f aca="false">G93-G96</f>
        <v>0</v>
      </c>
      <c r="H97" s="67" t="n">
        <f aca="false">H93-H96</f>
        <v>0</v>
      </c>
      <c r="I97" s="67" t="n">
        <f aca="false">I93-I96</f>
        <v>0</v>
      </c>
      <c r="J97" s="67" t="n">
        <f aca="false">J93-J96</f>
        <v>0</v>
      </c>
      <c r="K97" s="67" t="n">
        <f aca="false">K93-K96</f>
        <v>0</v>
      </c>
      <c r="L97" s="67" t="n">
        <f aca="false">L93-L96</f>
        <v>0</v>
      </c>
      <c r="M97" s="67" t="n">
        <f aca="false">M93-M96</f>
        <v>0</v>
      </c>
      <c r="N97" s="67" t="n">
        <f aca="false">N93-N96</f>
        <v>0</v>
      </c>
      <c r="O97" s="67" t="n">
        <f aca="false">O93-O96</f>
        <v>0</v>
      </c>
      <c r="P97" s="67" t="n">
        <f aca="false">P93-P96</f>
        <v>0</v>
      </c>
      <c r="Q97" s="67" t="n">
        <f aca="false">Q93-Q96</f>
        <v>0</v>
      </c>
      <c r="R97" s="67" t="n">
        <f aca="false">R93-R96</f>
        <v>0</v>
      </c>
      <c r="S97" s="67" t="n">
        <f aca="false">S93-S96</f>
        <v>0</v>
      </c>
      <c r="T97" s="67" t="n">
        <f aca="false">T93-T96</f>
        <v>0</v>
      </c>
      <c r="U97" s="67" t="n">
        <f aca="false">U93-U96</f>
        <v>0</v>
      </c>
      <c r="V97" s="67" t="n">
        <f aca="false">V93-V96</f>
        <v>0</v>
      </c>
      <c r="W97" s="67" t="n">
        <f aca="false">W93-W96</f>
        <v>0</v>
      </c>
      <c r="X97" s="67" t="n">
        <f aca="false">X93-X96</f>
        <v>0</v>
      </c>
      <c r="Y97" s="67" t="n">
        <f aca="false">Y93-Y96</f>
        <v>0</v>
      </c>
      <c r="Z97" s="67" t="n">
        <f aca="false">Z93-Z96</f>
        <v>0</v>
      </c>
      <c r="AA97" s="67" t="n">
        <f aca="false">AA93-AA96</f>
        <v>0</v>
      </c>
      <c r="AB97" s="67" t="n">
        <f aca="false">AB93-AB96</f>
        <v>0</v>
      </c>
      <c r="AC97" s="67" t="n">
        <f aca="false">AC93-AC96</f>
        <v>0</v>
      </c>
      <c r="AD97" s="67" t="n">
        <f aca="false">AD93-AD96</f>
        <v>0</v>
      </c>
      <c r="AE97" s="67" t="n">
        <f aca="false">AE93-AE96</f>
        <v>0</v>
      </c>
      <c r="AF97" s="67" t="n">
        <f aca="false">AF93-AF96</f>
        <v>0</v>
      </c>
      <c r="AG97" s="67" t="n">
        <f aca="false">AG93-AG96</f>
        <v>0</v>
      </c>
      <c r="AH97" s="67" t="n">
        <f aca="false">AH93-AH96</f>
        <v>0</v>
      </c>
      <c r="AI97" s="67" t="n">
        <f aca="false">AI93-AI96</f>
        <v>0</v>
      </c>
      <c r="AJ97" s="67" t="n">
        <f aca="false">AJ93-AJ96</f>
        <v>0</v>
      </c>
      <c r="AK97" s="67" t="n">
        <f aca="false">AK93-AK96</f>
        <v>0</v>
      </c>
      <c r="AL97" s="67" t="n">
        <f aca="false">AL93-AL96</f>
        <v>0</v>
      </c>
      <c r="AM97" s="67" t="n">
        <f aca="false">AM93-AM96</f>
        <v>0</v>
      </c>
      <c r="AN97" s="67" t="n">
        <f aca="false">AN93-AN96</f>
        <v>0</v>
      </c>
      <c r="AO97" s="67" t="n">
        <f aca="false">AO93-AO96</f>
        <v>0</v>
      </c>
      <c r="AP97" s="67" t="n">
        <f aca="false">AP93-AP96</f>
        <v>0</v>
      </c>
      <c r="AQ97" s="67" t="n">
        <f aca="false">AQ93-AQ96</f>
        <v>0</v>
      </c>
      <c r="AR97" s="67" t="n">
        <f aca="false">AR93-AR96</f>
        <v>0</v>
      </c>
      <c r="AS97" s="67" t="n">
        <f aca="false">AS93-AS96</f>
        <v>0</v>
      </c>
      <c r="AT97" s="67" t="n">
        <f aca="false">AT93-AT96</f>
        <v>0</v>
      </c>
      <c r="AU97" s="67" t="n">
        <f aca="false">AU93-AU96</f>
        <v>0</v>
      </c>
      <c r="AV97" s="67" t="n">
        <f aca="false">AV93-AV96</f>
        <v>0</v>
      </c>
      <c r="AW97" s="67" t="n">
        <f aca="false">AW93-AW96</f>
        <v>0</v>
      </c>
      <c r="AX97" s="67" t="n">
        <f aca="false">AX93-AX96</f>
        <v>0</v>
      </c>
      <c r="AY97" s="67" t="n">
        <f aca="false">AY93-AY96</f>
        <v>0</v>
      </c>
      <c r="AZ97" s="67" t="n">
        <f aca="false">AZ93-AZ96</f>
        <v>0</v>
      </c>
      <c r="BA97" s="67" t="n">
        <f aca="false">BA93-BA96</f>
        <v>0</v>
      </c>
      <c r="BB97" s="67" t="n">
        <f aca="false">BB93-BB96</f>
        <v>0</v>
      </c>
      <c r="BC97" s="67" t="n">
        <f aca="false">BC93-BC96</f>
        <v>0</v>
      </c>
      <c r="BD97" s="67" t="n">
        <f aca="false">BD93-BD96</f>
        <v>0</v>
      </c>
      <c r="BE97" s="67" t="n">
        <f aca="false">BE93-BE96</f>
        <v>0</v>
      </c>
      <c r="BF97" s="67" t="n">
        <f aca="false">BF93-BF96</f>
        <v>0</v>
      </c>
      <c r="BG97" s="67" t="n">
        <f aca="false">BG93-BG96</f>
        <v>0</v>
      </c>
      <c r="BH97" s="67" t="n">
        <f aca="false">BH93-BH96</f>
        <v>0</v>
      </c>
      <c r="BI97" s="67" t="n">
        <f aca="false">BI93-BI96</f>
        <v>0</v>
      </c>
      <c r="BJ97" s="67" t="n">
        <f aca="false">BJ93-BJ96</f>
        <v>0</v>
      </c>
    </row>
    <row r="99" customFormat="false" ht="15.75" hidden="false" customHeight="true" outlineLevel="0" collapsed="false">
      <c r="A99" s="7" t="s">
        <v>436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customFormat="false" ht="15" hidden="false" customHeight="false" outlineLevel="0" collapsed="false">
      <c r="A100" s="6" t="s">
        <v>437</v>
      </c>
      <c r="C100" s="116" t="n">
        <f aca="false">Inputs!$B$34*(1+Inputs!$B$36)^(C$7-1)*MAX(0,MIN(1,C$6*1-Inputs!$B$37+1))/1</f>
        <v>4</v>
      </c>
      <c r="D100" s="116" t="n">
        <f aca="false">Inputs!$B$34*(1+Inputs!$B$36)^(D$7-1)*MAX(0,MIN(1,D$6*1-Inputs!$B$37+1))/1</f>
        <v>4</v>
      </c>
      <c r="E100" s="116" t="n">
        <f aca="false">Inputs!$B$34*(1+Inputs!$B$36)^(E$7-1)*MAX(0,MIN(1,E$6*1-Inputs!$B$37+1))/1</f>
        <v>4</v>
      </c>
      <c r="F100" s="116" t="n">
        <f aca="false">Inputs!$B$34*(1+Inputs!$B$36)^(F$7-1)*MAX(0,MIN(1,F$6*1-Inputs!$B$37+1))/1</f>
        <v>4</v>
      </c>
      <c r="G100" s="116" t="n">
        <f aca="false">Inputs!$B$34*(1+Inputs!$B$36)^(G$7-1)*MAX(0,MIN(1,G$6*1-Inputs!$B$37+1))/1</f>
        <v>4</v>
      </c>
      <c r="H100" s="116" t="n">
        <f aca="false">Inputs!$B$34*(1+Inputs!$B$36)^(H$7-1)*MAX(0,MIN(1,H$6*1-Inputs!$B$37+1))/1</f>
        <v>4</v>
      </c>
      <c r="I100" s="116" t="n">
        <f aca="false">Inputs!$B$34*(1+Inputs!$B$36)^(I$7-1)*MAX(0,MIN(1,I$6*1-Inputs!$B$37+1))/1</f>
        <v>4</v>
      </c>
      <c r="J100" s="116" t="n">
        <f aca="false">Inputs!$B$34*(1+Inputs!$B$36)^(J$7-1)*MAX(0,MIN(1,J$6*1-Inputs!$B$37+1))/1</f>
        <v>4</v>
      </c>
      <c r="K100" s="116" t="n">
        <f aca="false">Inputs!$B$34*(1+Inputs!$B$36)^(K$7-1)*MAX(0,MIN(1,K$6*1-Inputs!$B$37+1))/1</f>
        <v>4</v>
      </c>
      <c r="L100" s="116" t="n">
        <f aca="false">Inputs!$B$34*(1+Inputs!$B$36)^(L$7-1)*MAX(0,MIN(1,L$6*1-Inputs!$B$37+1))/1</f>
        <v>4</v>
      </c>
      <c r="M100" s="116" t="n">
        <f aca="false">Inputs!$B$34*(1+Inputs!$B$36)^(M$7-1)*MAX(0,MIN(1,M$6*1-Inputs!$B$37+1))/1</f>
        <v>4</v>
      </c>
      <c r="N100" s="116" t="n">
        <f aca="false">Inputs!$B$34*(1+Inputs!$B$36)^(N$7-1)*MAX(0,MIN(1,N$6*1-Inputs!$B$37+1))/1</f>
        <v>4</v>
      </c>
      <c r="O100" s="116" t="n">
        <f aca="false">Inputs!$B$34*(1+Inputs!$B$36)^(O$7-1)*MAX(0,MIN(1,O$6*1-Inputs!$B$37+1))/1</f>
        <v>4.8</v>
      </c>
      <c r="P100" s="116" t="n">
        <f aca="false">Inputs!$B$34*(1+Inputs!$B$36)^(P$7-1)*MAX(0,MIN(1,P$6*1-Inputs!$B$37+1))/1</f>
        <v>4.8</v>
      </c>
      <c r="Q100" s="116" t="n">
        <f aca="false">Inputs!$B$34*(1+Inputs!$B$36)^(Q$7-1)*MAX(0,MIN(1,Q$6*1-Inputs!$B$37+1))/1</f>
        <v>4.8</v>
      </c>
      <c r="R100" s="116" t="n">
        <f aca="false">Inputs!$B$34*(1+Inputs!$B$36)^(R$7-1)*MAX(0,MIN(1,R$6*1-Inputs!$B$37+1))/1</f>
        <v>4.8</v>
      </c>
      <c r="S100" s="116" t="n">
        <f aca="false">Inputs!$B$34*(1+Inputs!$B$36)^(S$7-1)*MAX(0,MIN(1,S$6*1-Inputs!$B$37+1))/1</f>
        <v>4.8</v>
      </c>
      <c r="T100" s="116" t="n">
        <f aca="false">Inputs!$B$34*(1+Inputs!$B$36)^(T$7-1)*MAX(0,MIN(1,T$6*1-Inputs!$B$37+1))/1</f>
        <v>4.8</v>
      </c>
      <c r="U100" s="116" t="n">
        <f aca="false">Inputs!$B$34*(1+Inputs!$B$36)^(U$7-1)*MAX(0,MIN(1,U$6*1-Inputs!$B$37+1))/1</f>
        <v>4.8</v>
      </c>
      <c r="V100" s="116" t="n">
        <f aca="false">Inputs!$B$34*(1+Inputs!$B$36)^(V$7-1)*MAX(0,MIN(1,V$6*1-Inputs!$B$37+1))/1</f>
        <v>4.8</v>
      </c>
      <c r="W100" s="116" t="n">
        <f aca="false">Inputs!$B$34*(1+Inputs!$B$36)^(W$7-1)*MAX(0,MIN(1,W$6*1-Inputs!$B$37+1))/1</f>
        <v>4.8</v>
      </c>
      <c r="X100" s="116" t="n">
        <f aca="false">Inputs!$B$34*(1+Inputs!$B$36)^(X$7-1)*MAX(0,MIN(1,X$6*1-Inputs!$B$37+1))/1</f>
        <v>4.8</v>
      </c>
      <c r="Y100" s="116" t="n">
        <f aca="false">Inputs!$B$34*(1+Inputs!$B$36)^(Y$7-1)*MAX(0,MIN(1,Y$6*1-Inputs!$B$37+1))/1</f>
        <v>4.8</v>
      </c>
      <c r="Z100" s="116" t="n">
        <f aca="false">Inputs!$B$34*(1+Inputs!$B$36)^(Z$7-1)*MAX(0,MIN(1,Z$6*1-Inputs!$B$37+1))/1</f>
        <v>4.8</v>
      </c>
      <c r="AA100" s="116" t="n">
        <f aca="false">Inputs!$B$34*(1+Inputs!$B$36)^(AA$7-1)*MAX(0,MIN(1,AA$6*1-Inputs!$B$37+1))/1</f>
        <v>5.76</v>
      </c>
      <c r="AB100" s="116" t="n">
        <f aca="false">Inputs!$B$34*(1+Inputs!$B$36)^(AB$7-1)*MAX(0,MIN(1,AB$6*1-Inputs!$B$37+1))/1</f>
        <v>5.76</v>
      </c>
      <c r="AC100" s="116" t="n">
        <f aca="false">Inputs!$B$34*(1+Inputs!$B$36)^(AC$7-1)*MAX(0,MIN(1,AC$6*1-Inputs!$B$37+1))/1</f>
        <v>5.76</v>
      </c>
      <c r="AD100" s="116" t="n">
        <f aca="false">Inputs!$B$34*(1+Inputs!$B$36)^(AD$7-1)*MAX(0,MIN(1,AD$6*1-Inputs!$B$37+1))/1</f>
        <v>5.76</v>
      </c>
      <c r="AE100" s="116" t="n">
        <f aca="false">Inputs!$B$34*(1+Inputs!$B$36)^(AE$7-1)*MAX(0,MIN(1,AE$6*1-Inputs!$B$37+1))/1</f>
        <v>5.76</v>
      </c>
      <c r="AF100" s="116" t="n">
        <f aca="false">Inputs!$B$34*(1+Inputs!$B$36)^(AF$7-1)*MAX(0,MIN(1,AF$6*1-Inputs!$B$37+1))/1</f>
        <v>5.76</v>
      </c>
      <c r="AG100" s="116" t="n">
        <f aca="false">Inputs!$B$34*(1+Inputs!$B$36)^(AG$7-1)*MAX(0,MIN(1,AG$6*1-Inputs!$B$37+1))/1</f>
        <v>5.76</v>
      </c>
      <c r="AH100" s="116" t="n">
        <f aca="false">Inputs!$B$34*(1+Inputs!$B$36)^(AH$7-1)*MAX(0,MIN(1,AH$6*1-Inputs!$B$37+1))/1</f>
        <v>5.76</v>
      </c>
      <c r="AI100" s="116" t="n">
        <f aca="false">Inputs!$B$34*(1+Inputs!$B$36)^(AI$7-1)*MAX(0,MIN(1,AI$6*1-Inputs!$B$37+1))/1</f>
        <v>5.76</v>
      </c>
      <c r="AJ100" s="116" t="n">
        <f aca="false">Inputs!$B$34*(1+Inputs!$B$36)^(AJ$7-1)*MAX(0,MIN(1,AJ$6*1-Inputs!$B$37+1))/1</f>
        <v>5.76</v>
      </c>
      <c r="AK100" s="116" t="n">
        <f aca="false">Inputs!$B$34*(1+Inputs!$B$36)^(AK$7-1)*MAX(0,MIN(1,AK$6*1-Inputs!$B$37+1))/1</f>
        <v>5.76</v>
      </c>
      <c r="AL100" s="116" t="n">
        <f aca="false">Inputs!$B$34*(1+Inputs!$B$36)^(AL$7-1)*MAX(0,MIN(1,AL$6*1-Inputs!$B$37+1))/1</f>
        <v>5.76</v>
      </c>
      <c r="AM100" s="116" t="n">
        <f aca="false">Inputs!$B$34*(1+Inputs!$B$36)^(AM$7-1)*MAX(0,MIN(1,AM$6*1-Inputs!$B$37+1))/1</f>
        <v>6.912</v>
      </c>
      <c r="AN100" s="116" t="n">
        <f aca="false">Inputs!$B$34*(1+Inputs!$B$36)^(AN$7-1)*MAX(0,MIN(1,AN$6*1-Inputs!$B$37+1))/1</f>
        <v>6.912</v>
      </c>
      <c r="AO100" s="116" t="n">
        <f aca="false">Inputs!$B$34*(1+Inputs!$B$36)^(AO$7-1)*MAX(0,MIN(1,AO$6*1-Inputs!$B$37+1))/1</f>
        <v>6.912</v>
      </c>
      <c r="AP100" s="116" t="n">
        <f aca="false">Inputs!$B$34*(1+Inputs!$B$36)^(AP$7-1)*MAX(0,MIN(1,AP$6*1-Inputs!$B$37+1))/1</f>
        <v>6.912</v>
      </c>
      <c r="AQ100" s="116" t="n">
        <f aca="false">Inputs!$B$34*(1+Inputs!$B$36)^(AQ$7-1)*MAX(0,MIN(1,AQ$6*1-Inputs!$B$37+1))/1</f>
        <v>6.912</v>
      </c>
      <c r="AR100" s="116" t="n">
        <f aca="false">Inputs!$B$34*(1+Inputs!$B$36)^(AR$7-1)*MAX(0,MIN(1,AR$6*1-Inputs!$B$37+1))/1</f>
        <v>6.912</v>
      </c>
      <c r="AS100" s="116" t="n">
        <f aca="false">Inputs!$B$34*(1+Inputs!$B$36)^(AS$7-1)*MAX(0,MIN(1,AS$6*1-Inputs!$B$37+1))/1</f>
        <v>6.912</v>
      </c>
      <c r="AT100" s="116" t="n">
        <f aca="false">Inputs!$B$34*(1+Inputs!$B$36)^(AT$7-1)*MAX(0,MIN(1,AT$6*1-Inputs!$B$37+1))/1</f>
        <v>6.912</v>
      </c>
      <c r="AU100" s="116" t="n">
        <f aca="false">Inputs!$B$34*(1+Inputs!$B$36)^(AU$7-1)*MAX(0,MIN(1,AU$6*1-Inputs!$B$37+1))/1</f>
        <v>6.912</v>
      </c>
      <c r="AV100" s="116" t="n">
        <f aca="false">Inputs!$B$34*(1+Inputs!$B$36)^(AV$7-1)*MAX(0,MIN(1,AV$6*1-Inputs!$B$37+1))/1</f>
        <v>6.912</v>
      </c>
      <c r="AW100" s="116" t="n">
        <f aca="false">Inputs!$B$34*(1+Inputs!$B$36)^(AW$7-1)*MAX(0,MIN(1,AW$6*1-Inputs!$B$37+1))/1</f>
        <v>6.912</v>
      </c>
      <c r="AX100" s="116" t="n">
        <f aca="false">Inputs!$B$34*(1+Inputs!$B$36)^(AX$7-1)*MAX(0,MIN(1,AX$6*1-Inputs!$B$37+1))/1</f>
        <v>6.912</v>
      </c>
      <c r="AY100" s="116" t="n">
        <f aca="false">Inputs!$B$34*(1+Inputs!$B$36)^(AY$7-1)*MAX(0,MIN(1,AY$6*1-Inputs!$B$37+1))/1</f>
        <v>8.2944</v>
      </c>
      <c r="AZ100" s="116" t="n">
        <f aca="false">Inputs!$B$34*(1+Inputs!$B$36)^(AZ$7-1)*MAX(0,MIN(1,AZ$6*1-Inputs!$B$37+1))/1</f>
        <v>8.2944</v>
      </c>
      <c r="BA100" s="116" t="n">
        <f aca="false">Inputs!$B$34*(1+Inputs!$B$36)^(BA$7-1)*MAX(0,MIN(1,BA$6*1-Inputs!$B$37+1))/1</f>
        <v>8.2944</v>
      </c>
      <c r="BB100" s="116" t="n">
        <f aca="false">Inputs!$B$34*(1+Inputs!$B$36)^(BB$7-1)*MAX(0,MIN(1,BB$6*1-Inputs!$B$37+1))/1</f>
        <v>8.2944</v>
      </c>
      <c r="BC100" s="116" t="n">
        <f aca="false">Inputs!$B$34*(1+Inputs!$B$36)^(BC$7-1)*MAX(0,MIN(1,BC$6*1-Inputs!$B$37+1))/1</f>
        <v>8.2944</v>
      </c>
      <c r="BD100" s="116" t="n">
        <f aca="false">Inputs!$B$34*(1+Inputs!$B$36)^(BD$7-1)*MAX(0,MIN(1,BD$6*1-Inputs!$B$37+1))/1</f>
        <v>8.2944</v>
      </c>
      <c r="BE100" s="116" t="n">
        <f aca="false">Inputs!$B$34*(1+Inputs!$B$36)^(BE$7-1)*MAX(0,MIN(1,BE$6*1-Inputs!$B$37+1))/1</f>
        <v>8.2944</v>
      </c>
      <c r="BF100" s="116" t="n">
        <f aca="false">Inputs!$B$34*(1+Inputs!$B$36)^(BF$7-1)*MAX(0,MIN(1,BF$6*1-Inputs!$B$37+1))/1</f>
        <v>8.2944</v>
      </c>
      <c r="BG100" s="116" t="n">
        <f aca="false">Inputs!$B$34*(1+Inputs!$B$36)^(BG$7-1)*MAX(0,MIN(1,BG$6*1-Inputs!$B$37+1))/1</f>
        <v>8.2944</v>
      </c>
      <c r="BH100" s="116" t="n">
        <f aca="false">Inputs!$B$34*(1+Inputs!$B$36)^(BH$7-1)*MAX(0,MIN(1,BH$6*1-Inputs!$B$37+1))/1</f>
        <v>8.2944</v>
      </c>
      <c r="BI100" s="116" t="n">
        <f aca="false">Inputs!$B$34*(1+Inputs!$B$36)^(BI$7-1)*MAX(0,MIN(1,BI$6*1-Inputs!$B$37+1))/1</f>
        <v>8.2944</v>
      </c>
      <c r="BJ100" s="116" t="n">
        <f aca="false">Inputs!$B$34*(1+Inputs!$B$36)^(BJ$7-1)*MAX(0,MIN(1,BJ$6*1-Inputs!$B$37+1))/1</f>
        <v>8.2944</v>
      </c>
    </row>
    <row r="101" customFormat="false" ht="15" hidden="false" customHeight="false" outlineLevel="0" collapsed="false">
      <c r="A101" s="6" t="s">
        <v>438</v>
      </c>
      <c r="C101" s="116" t="n">
        <f aca="false">Inputs!$B$38*(1+Inputs!$B$40)^(C$7-1)*MAX(0,MIN(1,C$6*1-Inputs!$B$41+1))/1</f>
        <v>12</v>
      </c>
      <c r="D101" s="116" t="n">
        <f aca="false">Inputs!$B$38*(1+Inputs!$B$40)^(D$7-1)*MAX(0,MIN(1,D$6*1-Inputs!$B$41+1))/1</f>
        <v>12</v>
      </c>
      <c r="E101" s="116" t="n">
        <f aca="false">Inputs!$B$38*(1+Inputs!$B$40)^(E$7-1)*MAX(0,MIN(1,E$6*1-Inputs!$B$41+1))/1</f>
        <v>12</v>
      </c>
      <c r="F101" s="116" t="n">
        <f aca="false">Inputs!$B$38*(1+Inputs!$B$40)^(F$7-1)*MAX(0,MIN(1,F$6*1-Inputs!$B$41+1))/1</f>
        <v>12</v>
      </c>
      <c r="G101" s="116" t="n">
        <f aca="false">Inputs!$B$38*(1+Inputs!$B$40)^(G$7-1)*MAX(0,MIN(1,G$6*1-Inputs!$B$41+1))/1</f>
        <v>12</v>
      </c>
      <c r="H101" s="116" t="n">
        <f aca="false">Inputs!$B$38*(1+Inputs!$B$40)^(H$7-1)*MAX(0,MIN(1,H$6*1-Inputs!$B$41+1))/1</f>
        <v>12</v>
      </c>
      <c r="I101" s="116" t="n">
        <f aca="false">Inputs!$B$38*(1+Inputs!$B$40)^(I$7-1)*MAX(0,MIN(1,I$6*1-Inputs!$B$41+1))/1</f>
        <v>12</v>
      </c>
      <c r="J101" s="116" t="n">
        <f aca="false">Inputs!$B$38*(1+Inputs!$B$40)^(J$7-1)*MAX(0,MIN(1,J$6*1-Inputs!$B$41+1))/1</f>
        <v>12</v>
      </c>
      <c r="K101" s="116" t="n">
        <f aca="false">Inputs!$B$38*(1+Inputs!$B$40)^(K$7-1)*MAX(0,MIN(1,K$6*1-Inputs!$B$41+1))/1</f>
        <v>12</v>
      </c>
      <c r="L101" s="116" t="n">
        <f aca="false">Inputs!$B$38*(1+Inputs!$B$40)^(L$7-1)*MAX(0,MIN(1,L$6*1-Inputs!$B$41+1))/1</f>
        <v>12</v>
      </c>
      <c r="M101" s="116" t="n">
        <f aca="false">Inputs!$B$38*(1+Inputs!$B$40)^(M$7-1)*MAX(0,MIN(1,M$6*1-Inputs!$B$41+1))/1</f>
        <v>12</v>
      </c>
      <c r="N101" s="116" t="n">
        <f aca="false">Inputs!$B$38*(1+Inputs!$B$40)^(N$7-1)*MAX(0,MIN(1,N$6*1-Inputs!$B$41+1))/1</f>
        <v>12</v>
      </c>
      <c r="O101" s="116" t="n">
        <f aca="false">Inputs!$B$38*(1+Inputs!$B$40)^(O$7-1)*MAX(0,MIN(1,O$6*1-Inputs!$B$41+1))/1</f>
        <v>15.6</v>
      </c>
      <c r="P101" s="116" t="n">
        <f aca="false">Inputs!$B$38*(1+Inputs!$B$40)^(P$7-1)*MAX(0,MIN(1,P$6*1-Inputs!$B$41+1))/1</f>
        <v>15.6</v>
      </c>
      <c r="Q101" s="116" t="n">
        <f aca="false">Inputs!$B$38*(1+Inputs!$B$40)^(Q$7-1)*MAX(0,MIN(1,Q$6*1-Inputs!$B$41+1))/1</f>
        <v>15.6</v>
      </c>
      <c r="R101" s="116" t="n">
        <f aca="false">Inputs!$B$38*(1+Inputs!$B$40)^(R$7-1)*MAX(0,MIN(1,R$6*1-Inputs!$B$41+1))/1</f>
        <v>15.6</v>
      </c>
      <c r="S101" s="116" t="n">
        <f aca="false">Inputs!$B$38*(1+Inputs!$B$40)^(S$7-1)*MAX(0,MIN(1,S$6*1-Inputs!$B$41+1))/1</f>
        <v>15.6</v>
      </c>
      <c r="T101" s="116" t="n">
        <f aca="false">Inputs!$B$38*(1+Inputs!$B$40)^(T$7-1)*MAX(0,MIN(1,T$6*1-Inputs!$B$41+1))/1</f>
        <v>15.6</v>
      </c>
      <c r="U101" s="116" t="n">
        <f aca="false">Inputs!$B$38*(1+Inputs!$B$40)^(U$7-1)*MAX(0,MIN(1,U$6*1-Inputs!$B$41+1))/1</f>
        <v>15.6</v>
      </c>
      <c r="V101" s="116" t="n">
        <f aca="false">Inputs!$B$38*(1+Inputs!$B$40)^(V$7-1)*MAX(0,MIN(1,V$6*1-Inputs!$B$41+1))/1</f>
        <v>15.6</v>
      </c>
      <c r="W101" s="116" t="n">
        <f aca="false">Inputs!$B$38*(1+Inputs!$B$40)^(W$7-1)*MAX(0,MIN(1,W$6*1-Inputs!$B$41+1))/1</f>
        <v>15.6</v>
      </c>
      <c r="X101" s="116" t="n">
        <f aca="false">Inputs!$B$38*(1+Inputs!$B$40)^(X$7-1)*MAX(0,MIN(1,X$6*1-Inputs!$B$41+1))/1</f>
        <v>15.6</v>
      </c>
      <c r="Y101" s="116" t="n">
        <f aca="false">Inputs!$B$38*(1+Inputs!$B$40)^(Y$7-1)*MAX(0,MIN(1,Y$6*1-Inputs!$B$41+1))/1</f>
        <v>15.6</v>
      </c>
      <c r="Z101" s="116" t="n">
        <f aca="false">Inputs!$B$38*(1+Inputs!$B$40)^(Z$7-1)*MAX(0,MIN(1,Z$6*1-Inputs!$B$41+1))/1</f>
        <v>15.6</v>
      </c>
      <c r="AA101" s="116" t="n">
        <f aca="false">Inputs!$B$38*(1+Inputs!$B$40)^(AA$7-1)*MAX(0,MIN(1,AA$6*1-Inputs!$B$41+1))/1</f>
        <v>20.28</v>
      </c>
      <c r="AB101" s="116" t="n">
        <f aca="false">Inputs!$B$38*(1+Inputs!$B$40)^(AB$7-1)*MAX(0,MIN(1,AB$6*1-Inputs!$B$41+1))/1</f>
        <v>20.28</v>
      </c>
      <c r="AC101" s="116" t="n">
        <f aca="false">Inputs!$B$38*(1+Inputs!$B$40)^(AC$7-1)*MAX(0,MIN(1,AC$6*1-Inputs!$B$41+1))/1</f>
        <v>20.28</v>
      </c>
      <c r="AD101" s="116" t="n">
        <f aca="false">Inputs!$B$38*(1+Inputs!$B$40)^(AD$7-1)*MAX(0,MIN(1,AD$6*1-Inputs!$B$41+1))/1</f>
        <v>20.28</v>
      </c>
      <c r="AE101" s="116" t="n">
        <f aca="false">Inputs!$B$38*(1+Inputs!$B$40)^(AE$7-1)*MAX(0,MIN(1,AE$6*1-Inputs!$B$41+1))/1</f>
        <v>20.28</v>
      </c>
      <c r="AF101" s="116" t="n">
        <f aca="false">Inputs!$B$38*(1+Inputs!$B$40)^(AF$7-1)*MAX(0,MIN(1,AF$6*1-Inputs!$B$41+1))/1</f>
        <v>20.28</v>
      </c>
      <c r="AG101" s="116" t="n">
        <f aca="false">Inputs!$B$38*(1+Inputs!$B$40)^(AG$7-1)*MAX(0,MIN(1,AG$6*1-Inputs!$B$41+1))/1</f>
        <v>20.28</v>
      </c>
      <c r="AH101" s="116" t="n">
        <f aca="false">Inputs!$B$38*(1+Inputs!$B$40)^(AH$7-1)*MAX(0,MIN(1,AH$6*1-Inputs!$B$41+1))/1</f>
        <v>20.28</v>
      </c>
      <c r="AI101" s="116" t="n">
        <f aca="false">Inputs!$B$38*(1+Inputs!$B$40)^(AI$7-1)*MAX(0,MIN(1,AI$6*1-Inputs!$B$41+1))/1</f>
        <v>20.28</v>
      </c>
      <c r="AJ101" s="116" t="n">
        <f aca="false">Inputs!$B$38*(1+Inputs!$B$40)^(AJ$7-1)*MAX(0,MIN(1,AJ$6*1-Inputs!$B$41+1))/1</f>
        <v>20.28</v>
      </c>
      <c r="AK101" s="116" t="n">
        <f aca="false">Inputs!$B$38*(1+Inputs!$B$40)^(AK$7-1)*MAX(0,MIN(1,AK$6*1-Inputs!$B$41+1))/1</f>
        <v>20.28</v>
      </c>
      <c r="AL101" s="116" t="n">
        <f aca="false">Inputs!$B$38*(1+Inputs!$B$40)^(AL$7-1)*MAX(0,MIN(1,AL$6*1-Inputs!$B$41+1))/1</f>
        <v>20.28</v>
      </c>
      <c r="AM101" s="116" t="n">
        <f aca="false">Inputs!$B$38*(1+Inputs!$B$40)^(AM$7-1)*MAX(0,MIN(1,AM$6*1-Inputs!$B$41+1))/1</f>
        <v>26.364</v>
      </c>
      <c r="AN101" s="116" t="n">
        <f aca="false">Inputs!$B$38*(1+Inputs!$B$40)^(AN$7-1)*MAX(0,MIN(1,AN$6*1-Inputs!$B$41+1))/1</f>
        <v>26.364</v>
      </c>
      <c r="AO101" s="116" t="n">
        <f aca="false">Inputs!$B$38*(1+Inputs!$B$40)^(AO$7-1)*MAX(0,MIN(1,AO$6*1-Inputs!$B$41+1))/1</f>
        <v>26.364</v>
      </c>
      <c r="AP101" s="116" t="n">
        <f aca="false">Inputs!$B$38*(1+Inputs!$B$40)^(AP$7-1)*MAX(0,MIN(1,AP$6*1-Inputs!$B$41+1))/1</f>
        <v>26.364</v>
      </c>
      <c r="AQ101" s="116" t="n">
        <f aca="false">Inputs!$B$38*(1+Inputs!$B$40)^(AQ$7-1)*MAX(0,MIN(1,AQ$6*1-Inputs!$B$41+1))/1</f>
        <v>26.364</v>
      </c>
      <c r="AR101" s="116" t="n">
        <f aca="false">Inputs!$B$38*(1+Inputs!$B$40)^(AR$7-1)*MAX(0,MIN(1,AR$6*1-Inputs!$B$41+1))/1</f>
        <v>26.364</v>
      </c>
      <c r="AS101" s="116" t="n">
        <f aca="false">Inputs!$B$38*(1+Inputs!$B$40)^(AS$7-1)*MAX(0,MIN(1,AS$6*1-Inputs!$B$41+1))/1</f>
        <v>26.364</v>
      </c>
      <c r="AT101" s="116" t="n">
        <f aca="false">Inputs!$B$38*(1+Inputs!$B$40)^(AT$7-1)*MAX(0,MIN(1,AT$6*1-Inputs!$B$41+1))/1</f>
        <v>26.364</v>
      </c>
      <c r="AU101" s="116" t="n">
        <f aca="false">Inputs!$B$38*(1+Inputs!$B$40)^(AU$7-1)*MAX(0,MIN(1,AU$6*1-Inputs!$B$41+1))/1</f>
        <v>26.364</v>
      </c>
      <c r="AV101" s="116" t="n">
        <f aca="false">Inputs!$B$38*(1+Inputs!$B$40)^(AV$7-1)*MAX(0,MIN(1,AV$6*1-Inputs!$B$41+1))/1</f>
        <v>26.364</v>
      </c>
      <c r="AW101" s="116" t="n">
        <f aca="false">Inputs!$B$38*(1+Inputs!$B$40)^(AW$7-1)*MAX(0,MIN(1,AW$6*1-Inputs!$B$41+1))/1</f>
        <v>26.364</v>
      </c>
      <c r="AX101" s="116" t="n">
        <f aca="false">Inputs!$B$38*(1+Inputs!$B$40)^(AX$7-1)*MAX(0,MIN(1,AX$6*1-Inputs!$B$41+1))/1</f>
        <v>26.364</v>
      </c>
      <c r="AY101" s="116" t="n">
        <f aca="false">Inputs!$B$38*(1+Inputs!$B$40)^(AY$7-1)*MAX(0,MIN(1,AY$6*1-Inputs!$B$41+1))/1</f>
        <v>34.2732</v>
      </c>
      <c r="AZ101" s="116" t="n">
        <f aca="false">Inputs!$B$38*(1+Inputs!$B$40)^(AZ$7-1)*MAX(0,MIN(1,AZ$6*1-Inputs!$B$41+1))/1</f>
        <v>34.2732</v>
      </c>
      <c r="BA101" s="116" t="n">
        <f aca="false">Inputs!$B$38*(1+Inputs!$B$40)^(BA$7-1)*MAX(0,MIN(1,BA$6*1-Inputs!$B$41+1))/1</f>
        <v>34.2732</v>
      </c>
      <c r="BB101" s="116" t="n">
        <f aca="false">Inputs!$B$38*(1+Inputs!$B$40)^(BB$7-1)*MAX(0,MIN(1,BB$6*1-Inputs!$B$41+1))/1</f>
        <v>34.2732</v>
      </c>
      <c r="BC101" s="116" t="n">
        <f aca="false">Inputs!$B$38*(1+Inputs!$B$40)^(BC$7-1)*MAX(0,MIN(1,BC$6*1-Inputs!$B$41+1))/1</f>
        <v>34.2732</v>
      </c>
      <c r="BD101" s="116" t="n">
        <f aca="false">Inputs!$B$38*(1+Inputs!$B$40)^(BD$7-1)*MAX(0,MIN(1,BD$6*1-Inputs!$B$41+1))/1</f>
        <v>34.2732</v>
      </c>
      <c r="BE101" s="116" t="n">
        <f aca="false">Inputs!$B$38*(1+Inputs!$B$40)^(BE$7-1)*MAX(0,MIN(1,BE$6*1-Inputs!$B$41+1))/1</f>
        <v>34.2732</v>
      </c>
      <c r="BF101" s="116" t="n">
        <f aca="false">Inputs!$B$38*(1+Inputs!$B$40)^(BF$7-1)*MAX(0,MIN(1,BF$6*1-Inputs!$B$41+1))/1</f>
        <v>34.2732</v>
      </c>
      <c r="BG101" s="116" t="n">
        <f aca="false">Inputs!$B$38*(1+Inputs!$B$40)^(BG$7-1)*MAX(0,MIN(1,BG$6*1-Inputs!$B$41+1))/1</f>
        <v>34.2732</v>
      </c>
      <c r="BH101" s="116" t="n">
        <f aca="false">Inputs!$B$38*(1+Inputs!$B$40)^(BH$7-1)*MAX(0,MIN(1,BH$6*1-Inputs!$B$41+1))/1</f>
        <v>34.2732</v>
      </c>
      <c r="BI101" s="116" t="n">
        <f aca="false">Inputs!$B$38*(1+Inputs!$B$40)^(BI$7-1)*MAX(0,MIN(1,BI$6*1-Inputs!$B$41+1))/1</f>
        <v>34.2732</v>
      </c>
      <c r="BJ101" s="116" t="n">
        <f aca="false">Inputs!$B$38*(1+Inputs!$B$40)^(BJ$7-1)*MAX(0,MIN(1,BJ$6*1-Inputs!$B$41+1))/1</f>
        <v>34.2732</v>
      </c>
    </row>
    <row r="102" customFormat="false" ht="15" hidden="false" customHeight="false" outlineLevel="0" collapsed="false">
      <c r="A102" s="6" t="s">
        <v>439</v>
      </c>
      <c r="C102" s="116" t="n">
        <f aca="false">Inputs!$B$42*(1+Inputs!$B$44)^(C$7-1)*MAX(0,MIN(1,C$6*1-Inputs!$B$45+1))/1</f>
        <v>2</v>
      </c>
      <c r="D102" s="116" t="n">
        <f aca="false">Inputs!$B$42*(1+Inputs!$B$44)^(D$7-1)*MAX(0,MIN(1,D$6*1-Inputs!$B$45+1))/1</f>
        <v>2</v>
      </c>
      <c r="E102" s="116" t="n">
        <f aca="false">Inputs!$B$42*(1+Inputs!$B$44)^(E$7-1)*MAX(0,MIN(1,E$6*1-Inputs!$B$45+1))/1</f>
        <v>2</v>
      </c>
      <c r="F102" s="116" t="n">
        <f aca="false">Inputs!$B$42*(1+Inputs!$B$44)^(F$7-1)*MAX(0,MIN(1,F$6*1-Inputs!$B$45+1))/1</f>
        <v>2</v>
      </c>
      <c r="G102" s="116" t="n">
        <f aca="false">Inputs!$B$42*(1+Inputs!$B$44)^(G$7-1)*MAX(0,MIN(1,G$6*1-Inputs!$B$45+1))/1</f>
        <v>2</v>
      </c>
      <c r="H102" s="116" t="n">
        <f aca="false">Inputs!$B$42*(1+Inputs!$B$44)^(H$7-1)*MAX(0,MIN(1,H$6*1-Inputs!$B$45+1))/1</f>
        <v>2</v>
      </c>
      <c r="I102" s="116" t="n">
        <f aca="false">Inputs!$B$42*(1+Inputs!$B$44)^(I$7-1)*MAX(0,MIN(1,I$6*1-Inputs!$B$45+1))/1</f>
        <v>2</v>
      </c>
      <c r="J102" s="116" t="n">
        <f aca="false">Inputs!$B$42*(1+Inputs!$B$44)^(J$7-1)*MAX(0,MIN(1,J$6*1-Inputs!$B$45+1))/1</f>
        <v>2</v>
      </c>
      <c r="K102" s="116" t="n">
        <f aca="false">Inputs!$B$42*(1+Inputs!$B$44)^(K$7-1)*MAX(0,MIN(1,K$6*1-Inputs!$B$45+1))/1</f>
        <v>2</v>
      </c>
      <c r="L102" s="116" t="n">
        <f aca="false">Inputs!$B$42*(1+Inputs!$B$44)^(L$7-1)*MAX(0,MIN(1,L$6*1-Inputs!$B$45+1))/1</f>
        <v>2</v>
      </c>
      <c r="M102" s="116" t="n">
        <f aca="false">Inputs!$B$42*(1+Inputs!$B$44)^(M$7-1)*MAX(0,MIN(1,M$6*1-Inputs!$B$45+1))/1</f>
        <v>2</v>
      </c>
      <c r="N102" s="116" t="n">
        <f aca="false">Inputs!$B$42*(1+Inputs!$B$44)^(N$7-1)*MAX(0,MIN(1,N$6*1-Inputs!$B$45+1))/1</f>
        <v>2</v>
      </c>
      <c r="O102" s="116" t="n">
        <f aca="false">Inputs!$B$42*(1+Inputs!$B$44)^(O$7-1)*MAX(0,MIN(1,O$6*1-Inputs!$B$45+1))/1</f>
        <v>2.4</v>
      </c>
      <c r="P102" s="116" t="n">
        <f aca="false">Inputs!$B$42*(1+Inputs!$B$44)^(P$7-1)*MAX(0,MIN(1,P$6*1-Inputs!$B$45+1))/1</f>
        <v>2.4</v>
      </c>
      <c r="Q102" s="116" t="n">
        <f aca="false">Inputs!$B$42*(1+Inputs!$B$44)^(Q$7-1)*MAX(0,MIN(1,Q$6*1-Inputs!$B$45+1))/1</f>
        <v>2.4</v>
      </c>
      <c r="R102" s="116" t="n">
        <f aca="false">Inputs!$B$42*(1+Inputs!$B$44)^(R$7-1)*MAX(0,MIN(1,R$6*1-Inputs!$B$45+1))/1</f>
        <v>2.4</v>
      </c>
      <c r="S102" s="116" t="n">
        <f aca="false">Inputs!$B$42*(1+Inputs!$B$44)^(S$7-1)*MAX(0,MIN(1,S$6*1-Inputs!$B$45+1))/1</f>
        <v>2.4</v>
      </c>
      <c r="T102" s="116" t="n">
        <f aca="false">Inputs!$B$42*(1+Inputs!$B$44)^(T$7-1)*MAX(0,MIN(1,T$6*1-Inputs!$B$45+1))/1</f>
        <v>2.4</v>
      </c>
      <c r="U102" s="116" t="n">
        <f aca="false">Inputs!$B$42*(1+Inputs!$B$44)^(U$7-1)*MAX(0,MIN(1,U$6*1-Inputs!$B$45+1))/1</f>
        <v>2.4</v>
      </c>
      <c r="V102" s="116" t="n">
        <f aca="false">Inputs!$B$42*(1+Inputs!$B$44)^(V$7-1)*MAX(0,MIN(1,V$6*1-Inputs!$B$45+1))/1</f>
        <v>2.4</v>
      </c>
      <c r="W102" s="116" t="n">
        <f aca="false">Inputs!$B$42*(1+Inputs!$B$44)^(W$7-1)*MAX(0,MIN(1,W$6*1-Inputs!$B$45+1))/1</f>
        <v>2.4</v>
      </c>
      <c r="X102" s="116" t="n">
        <f aca="false">Inputs!$B$42*(1+Inputs!$B$44)^(X$7-1)*MAX(0,MIN(1,X$6*1-Inputs!$B$45+1))/1</f>
        <v>2.4</v>
      </c>
      <c r="Y102" s="116" t="n">
        <f aca="false">Inputs!$B$42*(1+Inputs!$B$44)^(Y$7-1)*MAX(0,MIN(1,Y$6*1-Inputs!$B$45+1))/1</f>
        <v>2.4</v>
      </c>
      <c r="Z102" s="116" t="n">
        <f aca="false">Inputs!$B$42*(1+Inputs!$B$44)^(Z$7-1)*MAX(0,MIN(1,Z$6*1-Inputs!$B$45+1))/1</f>
        <v>2.4</v>
      </c>
      <c r="AA102" s="116" t="n">
        <f aca="false">Inputs!$B$42*(1+Inputs!$B$44)^(AA$7-1)*MAX(0,MIN(1,AA$6*1-Inputs!$B$45+1))/1</f>
        <v>2.88</v>
      </c>
      <c r="AB102" s="116" t="n">
        <f aca="false">Inputs!$B$42*(1+Inputs!$B$44)^(AB$7-1)*MAX(0,MIN(1,AB$6*1-Inputs!$B$45+1))/1</f>
        <v>2.88</v>
      </c>
      <c r="AC102" s="116" t="n">
        <f aca="false">Inputs!$B$42*(1+Inputs!$B$44)^(AC$7-1)*MAX(0,MIN(1,AC$6*1-Inputs!$B$45+1))/1</f>
        <v>2.88</v>
      </c>
      <c r="AD102" s="116" t="n">
        <f aca="false">Inputs!$B$42*(1+Inputs!$B$44)^(AD$7-1)*MAX(0,MIN(1,AD$6*1-Inputs!$B$45+1))/1</f>
        <v>2.88</v>
      </c>
      <c r="AE102" s="116" t="n">
        <f aca="false">Inputs!$B$42*(1+Inputs!$B$44)^(AE$7-1)*MAX(0,MIN(1,AE$6*1-Inputs!$B$45+1))/1</f>
        <v>2.88</v>
      </c>
      <c r="AF102" s="116" t="n">
        <f aca="false">Inputs!$B$42*(1+Inputs!$B$44)^(AF$7-1)*MAX(0,MIN(1,AF$6*1-Inputs!$B$45+1))/1</f>
        <v>2.88</v>
      </c>
      <c r="AG102" s="116" t="n">
        <f aca="false">Inputs!$B$42*(1+Inputs!$B$44)^(AG$7-1)*MAX(0,MIN(1,AG$6*1-Inputs!$B$45+1))/1</f>
        <v>2.88</v>
      </c>
      <c r="AH102" s="116" t="n">
        <f aca="false">Inputs!$B$42*(1+Inputs!$B$44)^(AH$7-1)*MAX(0,MIN(1,AH$6*1-Inputs!$B$45+1))/1</f>
        <v>2.88</v>
      </c>
      <c r="AI102" s="116" t="n">
        <f aca="false">Inputs!$B$42*(1+Inputs!$B$44)^(AI$7-1)*MAX(0,MIN(1,AI$6*1-Inputs!$B$45+1))/1</f>
        <v>2.88</v>
      </c>
      <c r="AJ102" s="116" t="n">
        <f aca="false">Inputs!$B$42*(1+Inputs!$B$44)^(AJ$7-1)*MAX(0,MIN(1,AJ$6*1-Inputs!$B$45+1))/1</f>
        <v>2.88</v>
      </c>
      <c r="AK102" s="116" t="n">
        <f aca="false">Inputs!$B$42*(1+Inputs!$B$44)^(AK$7-1)*MAX(0,MIN(1,AK$6*1-Inputs!$B$45+1))/1</f>
        <v>2.88</v>
      </c>
      <c r="AL102" s="116" t="n">
        <f aca="false">Inputs!$B$42*(1+Inputs!$B$44)^(AL$7-1)*MAX(0,MIN(1,AL$6*1-Inputs!$B$45+1))/1</f>
        <v>2.88</v>
      </c>
      <c r="AM102" s="116" t="n">
        <f aca="false">Inputs!$B$42*(1+Inputs!$B$44)^(AM$7-1)*MAX(0,MIN(1,AM$6*1-Inputs!$B$45+1))/1</f>
        <v>3.456</v>
      </c>
      <c r="AN102" s="116" t="n">
        <f aca="false">Inputs!$B$42*(1+Inputs!$B$44)^(AN$7-1)*MAX(0,MIN(1,AN$6*1-Inputs!$B$45+1))/1</f>
        <v>3.456</v>
      </c>
      <c r="AO102" s="116" t="n">
        <f aca="false">Inputs!$B$42*(1+Inputs!$B$44)^(AO$7-1)*MAX(0,MIN(1,AO$6*1-Inputs!$B$45+1))/1</f>
        <v>3.456</v>
      </c>
      <c r="AP102" s="116" t="n">
        <f aca="false">Inputs!$B$42*(1+Inputs!$B$44)^(AP$7-1)*MAX(0,MIN(1,AP$6*1-Inputs!$B$45+1))/1</f>
        <v>3.456</v>
      </c>
      <c r="AQ102" s="116" t="n">
        <f aca="false">Inputs!$B$42*(1+Inputs!$B$44)^(AQ$7-1)*MAX(0,MIN(1,AQ$6*1-Inputs!$B$45+1))/1</f>
        <v>3.456</v>
      </c>
      <c r="AR102" s="116" t="n">
        <f aca="false">Inputs!$B$42*(1+Inputs!$B$44)^(AR$7-1)*MAX(0,MIN(1,AR$6*1-Inputs!$B$45+1))/1</f>
        <v>3.456</v>
      </c>
      <c r="AS102" s="116" t="n">
        <f aca="false">Inputs!$B$42*(1+Inputs!$B$44)^(AS$7-1)*MAX(0,MIN(1,AS$6*1-Inputs!$B$45+1))/1</f>
        <v>3.456</v>
      </c>
      <c r="AT102" s="116" t="n">
        <f aca="false">Inputs!$B$42*(1+Inputs!$B$44)^(AT$7-1)*MAX(0,MIN(1,AT$6*1-Inputs!$B$45+1))/1</f>
        <v>3.456</v>
      </c>
      <c r="AU102" s="116" t="n">
        <f aca="false">Inputs!$B$42*(1+Inputs!$B$44)^(AU$7-1)*MAX(0,MIN(1,AU$6*1-Inputs!$B$45+1))/1</f>
        <v>3.456</v>
      </c>
      <c r="AV102" s="116" t="n">
        <f aca="false">Inputs!$B$42*(1+Inputs!$B$44)^(AV$7-1)*MAX(0,MIN(1,AV$6*1-Inputs!$B$45+1))/1</f>
        <v>3.456</v>
      </c>
      <c r="AW102" s="116" t="n">
        <f aca="false">Inputs!$B$42*(1+Inputs!$B$44)^(AW$7-1)*MAX(0,MIN(1,AW$6*1-Inputs!$B$45+1))/1</f>
        <v>3.456</v>
      </c>
      <c r="AX102" s="116" t="n">
        <f aca="false">Inputs!$B$42*(1+Inputs!$B$44)^(AX$7-1)*MAX(0,MIN(1,AX$6*1-Inputs!$B$45+1))/1</f>
        <v>3.456</v>
      </c>
      <c r="AY102" s="116" t="n">
        <f aca="false">Inputs!$B$42*(1+Inputs!$B$44)^(AY$7-1)*MAX(0,MIN(1,AY$6*1-Inputs!$B$45+1))/1</f>
        <v>4.1472</v>
      </c>
      <c r="AZ102" s="116" t="n">
        <f aca="false">Inputs!$B$42*(1+Inputs!$B$44)^(AZ$7-1)*MAX(0,MIN(1,AZ$6*1-Inputs!$B$45+1))/1</f>
        <v>4.1472</v>
      </c>
      <c r="BA102" s="116" t="n">
        <f aca="false">Inputs!$B$42*(1+Inputs!$B$44)^(BA$7-1)*MAX(0,MIN(1,BA$6*1-Inputs!$B$45+1))/1</f>
        <v>4.1472</v>
      </c>
      <c r="BB102" s="116" t="n">
        <f aca="false">Inputs!$B$42*(1+Inputs!$B$44)^(BB$7-1)*MAX(0,MIN(1,BB$6*1-Inputs!$B$45+1))/1</f>
        <v>4.1472</v>
      </c>
      <c r="BC102" s="116" t="n">
        <f aca="false">Inputs!$B$42*(1+Inputs!$B$44)^(BC$7-1)*MAX(0,MIN(1,BC$6*1-Inputs!$B$45+1))/1</f>
        <v>4.1472</v>
      </c>
      <c r="BD102" s="116" t="n">
        <f aca="false">Inputs!$B$42*(1+Inputs!$B$44)^(BD$7-1)*MAX(0,MIN(1,BD$6*1-Inputs!$B$45+1))/1</f>
        <v>4.1472</v>
      </c>
      <c r="BE102" s="116" t="n">
        <f aca="false">Inputs!$B$42*(1+Inputs!$B$44)^(BE$7-1)*MAX(0,MIN(1,BE$6*1-Inputs!$B$45+1))/1</f>
        <v>4.1472</v>
      </c>
      <c r="BF102" s="116" t="n">
        <f aca="false">Inputs!$B$42*(1+Inputs!$B$44)^(BF$7-1)*MAX(0,MIN(1,BF$6*1-Inputs!$B$45+1))/1</f>
        <v>4.1472</v>
      </c>
      <c r="BG102" s="116" t="n">
        <f aca="false">Inputs!$B$42*(1+Inputs!$B$44)^(BG$7-1)*MAX(0,MIN(1,BG$6*1-Inputs!$B$45+1))/1</f>
        <v>4.1472</v>
      </c>
      <c r="BH102" s="116" t="n">
        <f aca="false">Inputs!$B$42*(1+Inputs!$B$44)^(BH$7-1)*MAX(0,MIN(1,BH$6*1-Inputs!$B$45+1))/1</f>
        <v>4.1472</v>
      </c>
      <c r="BI102" s="116" t="n">
        <f aca="false">Inputs!$B$42*(1+Inputs!$B$44)^(BI$7-1)*MAX(0,MIN(1,BI$6*1-Inputs!$B$45+1))/1</f>
        <v>4.1472</v>
      </c>
      <c r="BJ102" s="116" t="n">
        <f aca="false">Inputs!$B$42*(1+Inputs!$B$44)^(BJ$7-1)*MAX(0,MIN(1,BJ$6*1-Inputs!$B$45+1))/1</f>
        <v>4.1472</v>
      </c>
    </row>
    <row r="103" customFormat="false" ht="15" hidden="false" customHeight="false" outlineLevel="0" collapsed="false">
      <c r="A103" s="6" t="s">
        <v>440</v>
      </c>
      <c r="C103" s="116" t="n">
        <f aca="false">Inputs!$B$46*(1+Inputs!$B$48)^(C$7-1)*MAX(0,MIN(1,C$6*1-Inputs!$B$49+1))/1</f>
        <v>3</v>
      </c>
      <c r="D103" s="116" t="n">
        <f aca="false">Inputs!$B$46*(1+Inputs!$B$48)^(D$7-1)*MAX(0,MIN(1,D$6*1-Inputs!$B$49+1))/1</f>
        <v>3</v>
      </c>
      <c r="E103" s="116" t="n">
        <f aca="false">Inputs!$B$46*(1+Inputs!$B$48)^(E$7-1)*MAX(0,MIN(1,E$6*1-Inputs!$B$49+1))/1</f>
        <v>3</v>
      </c>
      <c r="F103" s="116" t="n">
        <f aca="false">Inputs!$B$46*(1+Inputs!$B$48)^(F$7-1)*MAX(0,MIN(1,F$6*1-Inputs!$B$49+1))/1</f>
        <v>3</v>
      </c>
      <c r="G103" s="116" t="n">
        <f aca="false">Inputs!$B$46*(1+Inputs!$B$48)^(G$7-1)*MAX(0,MIN(1,G$6*1-Inputs!$B$49+1))/1</f>
        <v>3</v>
      </c>
      <c r="H103" s="116" t="n">
        <f aca="false">Inputs!$B$46*(1+Inputs!$B$48)^(H$7-1)*MAX(0,MIN(1,H$6*1-Inputs!$B$49+1))/1</f>
        <v>3</v>
      </c>
      <c r="I103" s="116" t="n">
        <f aca="false">Inputs!$B$46*(1+Inputs!$B$48)^(I$7-1)*MAX(0,MIN(1,I$6*1-Inputs!$B$49+1))/1</f>
        <v>3</v>
      </c>
      <c r="J103" s="116" t="n">
        <f aca="false">Inputs!$B$46*(1+Inputs!$B$48)^(J$7-1)*MAX(0,MIN(1,J$6*1-Inputs!$B$49+1))/1</f>
        <v>3</v>
      </c>
      <c r="K103" s="116" t="n">
        <f aca="false">Inputs!$B$46*(1+Inputs!$B$48)^(K$7-1)*MAX(0,MIN(1,K$6*1-Inputs!$B$49+1))/1</f>
        <v>3</v>
      </c>
      <c r="L103" s="116" t="n">
        <f aca="false">Inputs!$B$46*(1+Inputs!$B$48)^(L$7-1)*MAX(0,MIN(1,L$6*1-Inputs!$B$49+1))/1</f>
        <v>3</v>
      </c>
      <c r="M103" s="116" t="n">
        <f aca="false">Inputs!$B$46*(1+Inputs!$B$48)^(M$7-1)*MAX(0,MIN(1,M$6*1-Inputs!$B$49+1))/1</f>
        <v>3</v>
      </c>
      <c r="N103" s="116" t="n">
        <f aca="false">Inputs!$B$46*(1+Inputs!$B$48)^(N$7-1)*MAX(0,MIN(1,N$6*1-Inputs!$B$49+1))/1</f>
        <v>3</v>
      </c>
      <c r="O103" s="116" t="n">
        <f aca="false">Inputs!$B$46*(1+Inputs!$B$48)^(O$7-1)*MAX(0,MIN(1,O$6*1-Inputs!$B$49+1))/1</f>
        <v>3.45</v>
      </c>
      <c r="P103" s="116" t="n">
        <f aca="false">Inputs!$B$46*(1+Inputs!$B$48)^(P$7-1)*MAX(0,MIN(1,P$6*1-Inputs!$B$49+1))/1</f>
        <v>3.45</v>
      </c>
      <c r="Q103" s="116" t="n">
        <f aca="false">Inputs!$B$46*(1+Inputs!$B$48)^(Q$7-1)*MAX(0,MIN(1,Q$6*1-Inputs!$B$49+1))/1</f>
        <v>3.45</v>
      </c>
      <c r="R103" s="116" t="n">
        <f aca="false">Inputs!$B$46*(1+Inputs!$B$48)^(R$7-1)*MAX(0,MIN(1,R$6*1-Inputs!$B$49+1))/1</f>
        <v>3.45</v>
      </c>
      <c r="S103" s="116" t="n">
        <f aca="false">Inputs!$B$46*(1+Inputs!$B$48)^(S$7-1)*MAX(0,MIN(1,S$6*1-Inputs!$B$49+1))/1</f>
        <v>3.45</v>
      </c>
      <c r="T103" s="116" t="n">
        <f aca="false">Inputs!$B$46*(1+Inputs!$B$48)^(T$7-1)*MAX(0,MIN(1,T$6*1-Inputs!$B$49+1))/1</f>
        <v>3.45</v>
      </c>
      <c r="U103" s="116" t="n">
        <f aca="false">Inputs!$B$46*(1+Inputs!$B$48)^(U$7-1)*MAX(0,MIN(1,U$6*1-Inputs!$B$49+1))/1</f>
        <v>3.45</v>
      </c>
      <c r="V103" s="116" t="n">
        <f aca="false">Inputs!$B$46*(1+Inputs!$B$48)^(V$7-1)*MAX(0,MIN(1,V$6*1-Inputs!$B$49+1))/1</f>
        <v>3.45</v>
      </c>
      <c r="W103" s="116" t="n">
        <f aca="false">Inputs!$B$46*(1+Inputs!$B$48)^(W$7-1)*MAX(0,MIN(1,W$6*1-Inputs!$B$49+1))/1</f>
        <v>3.45</v>
      </c>
      <c r="X103" s="116" t="n">
        <f aca="false">Inputs!$B$46*(1+Inputs!$B$48)^(X$7-1)*MAX(0,MIN(1,X$6*1-Inputs!$B$49+1))/1</f>
        <v>3.45</v>
      </c>
      <c r="Y103" s="116" t="n">
        <f aca="false">Inputs!$B$46*(1+Inputs!$B$48)^(Y$7-1)*MAX(0,MIN(1,Y$6*1-Inputs!$B$49+1))/1</f>
        <v>3.45</v>
      </c>
      <c r="Z103" s="116" t="n">
        <f aca="false">Inputs!$B$46*(1+Inputs!$B$48)^(Z$7-1)*MAX(0,MIN(1,Z$6*1-Inputs!$B$49+1))/1</f>
        <v>3.45</v>
      </c>
      <c r="AA103" s="116" t="n">
        <f aca="false">Inputs!$B$46*(1+Inputs!$B$48)^(AA$7-1)*MAX(0,MIN(1,AA$6*1-Inputs!$B$49+1))/1</f>
        <v>3.9675</v>
      </c>
      <c r="AB103" s="116" t="n">
        <f aca="false">Inputs!$B$46*(1+Inputs!$B$48)^(AB$7-1)*MAX(0,MIN(1,AB$6*1-Inputs!$B$49+1))/1</f>
        <v>3.9675</v>
      </c>
      <c r="AC103" s="116" t="n">
        <f aca="false">Inputs!$B$46*(1+Inputs!$B$48)^(AC$7-1)*MAX(0,MIN(1,AC$6*1-Inputs!$B$49+1))/1</f>
        <v>3.9675</v>
      </c>
      <c r="AD103" s="116" t="n">
        <f aca="false">Inputs!$B$46*(1+Inputs!$B$48)^(AD$7-1)*MAX(0,MIN(1,AD$6*1-Inputs!$B$49+1))/1</f>
        <v>3.9675</v>
      </c>
      <c r="AE103" s="116" t="n">
        <f aca="false">Inputs!$B$46*(1+Inputs!$B$48)^(AE$7-1)*MAX(0,MIN(1,AE$6*1-Inputs!$B$49+1))/1</f>
        <v>3.9675</v>
      </c>
      <c r="AF103" s="116" t="n">
        <f aca="false">Inputs!$B$46*(1+Inputs!$B$48)^(AF$7-1)*MAX(0,MIN(1,AF$6*1-Inputs!$B$49+1))/1</f>
        <v>3.9675</v>
      </c>
      <c r="AG103" s="116" t="n">
        <f aca="false">Inputs!$B$46*(1+Inputs!$B$48)^(AG$7-1)*MAX(0,MIN(1,AG$6*1-Inputs!$B$49+1))/1</f>
        <v>3.9675</v>
      </c>
      <c r="AH103" s="116" t="n">
        <f aca="false">Inputs!$B$46*(1+Inputs!$B$48)^(AH$7-1)*MAX(0,MIN(1,AH$6*1-Inputs!$B$49+1))/1</f>
        <v>3.9675</v>
      </c>
      <c r="AI103" s="116" t="n">
        <f aca="false">Inputs!$B$46*(1+Inputs!$B$48)^(AI$7-1)*MAX(0,MIN(1,AI$6*1-Inputs!$B$49+1))/1</f>
        <v>3.9675</v>
      </c>
      <c r="AJ103" s="116" t="n">
        <f aca="false">Inputs!$B$46*(1+Inputs!$B$48)^(AJ$7-1)*MAX(0,MIN(1,AJ$6*1-Inputs!$B$49+1))/1</f>
        <v>3.9675</v>
      </c>
      <c r="AK103" s="116" t="n">
        <f aca="false">Inputs!$B$46*(1+Inputs!$B$48)^(AK$7-1)*MAX(0,MIN(1,AK$6*1-Inputs!$B$49+1))/1</f>
        <v>3.9675</v>
      </c>
      <c r="AL103" s="116" t="n">
        <f aca="false">Inputs!$B$46*(1+Inputs!$B$48)^(AL$7-1)*MAX(0,MIN(1,AL$6*1-Inputs!$B$49+1))/1</f>
        <v>3.9675</v>
      </c>
      <c r="AM103" s="116" t="n">
        <f aca="false">Inputs!$B$46*(1+Inputs!$B$48)^(AM$7-1)*MAX(0,MIN(1,AM$6*1-Inputs!$B$49+1))/1</f>
        <v>4.562625</v>
      </c>
      <c r="AN103" s="116" t="n">
        <f aca="false">Inputs!$B$46*(1+Inputs!$B$48)^(AN$7-1)*MAX(0,MIN(1,AN$6*1-Inputs!$B$49+1))/1</f>
        <v>4.562625</v>
      </c>
      <c r="AO103" s="116" t="n">
        <f aca="false">Inputs!$B$46*(1+Inputs!$B$48)^(AO$7-1)*MAX(0,MIN(1,AO$6*1-Inputs!$B$49+1))/1</f>
        <v>4.562625</v>
      </c>
      <c r="AP103" s="116" t="n">
        <f aca="false">Inputs!$B$46*(1+Inputs!$B$48)^(AP$7-1)*MAX(0,MIN(1,AP$6*1-Inputs!$B$49+1))/1</f>
        <v>4.562625</v>
      </c>
      <c r="AQ103" s="116" t="n">
        <f aca="false">Inputs!$B$46*(1+Inputs!$B$48)^(AQ$7-1)*MAX(0,MIN(1,AQ$6*1-Inputs!$B$49+1))/1</f>
        <v>4.562625</v>
      </c>
      <c r="AR103" s="116" t="n">
        <f aca="false">Inputs!$B$46*(1+Inputs!$B$48)^(AR$7-1)*MAX(0,MIN(1,AR$6*1-Inputs!$B$49+1))/1</f>
        <v>4.562625</v>
      </c>
      <c r="AS103" s="116" t="n">
        <f aca="false">Inputs!$B$46*(1+Inputs!$B$48)^(AS$7-1)*MAX(0,MIN(1,AS$6*1-Inputs!$B$49+1))/1</f>
        <v>4.562625</v>
      </c>
      <c r="AT103" s="116" t="n">
        <f aca="false">Inputs!$B$46*(1+Inputs!$B$48)^(AT$7-1)*MAX(0,MIN(1,AT$6*1-Inputs!$B$49+1))/1</f>
        <v>4.562625</v>
      </c>
      <c r="AU103" s="116" t="n">
        <f aca="false">Inputs!$B$46*(1+Inputs!$B$48)^(AU$7-1)*MAX(0,MIN(1,AU$6*1-Inputs!$B$49+1))/1</f>
        <v>4.562625</v>
      </c>
      <c r="AV103" s="116" t="n">
        <f aca="false">Inputs!$B$46*(1+Inputs!$B$48)^(AV$7-1)*MAX(0,MIN(1,AV$6*1-Inputs!$B$49+1))/1</f>
        <v>4.562625</v>
      </c>
      <c r="AW103" s="116" t="n">
        <f aca="false">Inputs!$B$46*(1+Inputs!$B$48)^(AW$7-1)*MAX(0,MIN(1,AW$6*1-Inputs!$B$49+1))/1</f>
        <v>4.562625</v>
      </c>
      <c r="AX103" s="116" t="n">
        <f aca="false">Inputs!$B$46*(1+Inputs!$B$48)^(AX$7-1)*MAX(0,MIN(1,AX$6*1-Inputs!$B$49+1))/1</f>
        <v>4.562625</v>
      </c>
      <c r="AY103" s="116" t="n">
        <f aca="false">Inputs!$B$46*(1+Inputs!$B$48)^(AY$7-1)*MAX(0,MIN(1,AY$6*1-Inputs!$B$49+1))/1</f>
        <v>5.24701875</v>
      </c>
      <c r="AZ103" s="116" t="n">
        <f aca="false">Inputs!$B$46*(1+Inputs!$B$48)^(AZ$7-1)*MAX(0,MIN(1,AZ$6*1-Inputs!$B$49+1))/1</f>
        <v>5.24701875</v>
      </c>
      <c r="BA103" s="116" t="n">
        <f aca="false">Inputs!$B$46*(1+Inputs!$B$48)^(BA$7-1)*MAX(0,MIN(1,BA$6*1-Inputs!$B$49+1))/1</f>
        <v>5.24701875</v>
      </c>
      <c r="BB103" s="116" t="n">
        <f aca="false">Inputs!$B$46*(1+Inputs!$B$48)^(BB$7-1)*MAX(0,MIN(1,BB$6*1-Inputs!$B$49+1))/1</f>
        <v>5.24701875</v>
      </c>
      <c r="BC103" s="116" t="n">
        <f aca="false">Inputs!$B$46*(1+Inputs!$B$48)^(BC$7-1)*MAX(0,MIN(1,BC$6*1-Inputs!$B$49+1))/1</f>
        <v>5.24701875</v>
      </c>
      <c r="BD103" s="116" t="n">
        <f aca="false">Inputs!$B$46*(1+Inputs!$B$48)^(BD$7-1)*MAX(0,MIN(1,BD$6*1-Inputs!$B$49+1))/1</f>
        <v>5.24701875</v>
      </c>
      <c r="BE103" s="116" t="n">
        <f aca="false">Inputs!$B$46*(1+Inputs!$B$48)^(BE$7-1)*MAX(0,MIN(1,BE$6*1-Inputs!$B$49+1))/1</f>
        <v>5.24701875</v>
      </c>
      <c r="BF103" s="116" t="n">
        <f aca="false">Inputs!$B$46*(1+Inputs!$B$48)^(BF$7-1)*MAX(0,MIN(1,BF$6*1-Inputs!$B$49+1))/1</f>
        <v>5.24701875</v>
      </c>
      <c r="BG103" s="116" t="n">
        <f aca="false">Inputs!$B$46*(1+Inputs!$B$48)^(BG$7-1)*MAX(0,MIN(1,BG$6*1-Inputs!$B$49+1))/1</f>
        <v>5.24701875</v>
      </c>
      <c r="BH103" s="116" t="n">
        <f aca="false">Inputs!$B$46*(1+Inputs!$B$48)^(BH$7-1)*MAX(0,MIN(1,BH$6*1-Inputs!$B$49+1))/1</f>
        <v>5.24701875</v>
      </c>
      <c r="BI103" s="116" t="n">
        <f aca="false">Inputs!$B$46*(1+Inputs!$B$48)^(BI$7-1)*MAX(0,MIN(1,BI$6*1-Inputs!$B$49+1))/1</f>
        <v>5.24701875</v>
      </c>
      <c r="BJ103" s="116" t="n">
        <f aca="false">Inputs!$B$46*(1+Inputs!$B$48)^(BJ$7-1)*MAX(0,MIN(1,BJ$6*1-Inputs!$B$49+1))/1</f>
        <v>5.24701875</v>
      </c>
    </row>
    <row r="104" customFormat="false" ht="15" hidden="false" customHeight="false" outlineLevel="0" collapsed="false">
      <c r="A104" s="113" t="s">
        <v>441</v>
      </c>
      <c r="C104" s="121" t="n">
        <f aca="false">C100+C101+C102+C103</f>
        <v>21</v>
      </c>
      <c r="D104" s="121" t="n">
        <f aca="false">D100+D101+D102+D103</f>
        <v>21</v>
      </c>
      <c r="E104" s="121" t="n">
        <f aca="false">E100+E101+E102+E103</f>
        <v>21</v>
      </c>
      <c r="F104" s="121" t="n">
        <f aca="false">F100+F101+F102+F103</f>
        <v>21</v>
      </c>
      <c r="G104" s="121" t="n">
        <f aca="false">G100+G101+G102+G103</f>
        <v>21</v>
      </c>
      <c r="H104" s="121" t="n">
        <f aca="false">H100+H101+H102+H103</f>
        <v>21</v>
      </c>
      <c r="I104" s="121" t="n">
        <f aca="false">I100+I101+I102+I103</f>
        <v>21</v>
      </c>
      <c r="J104" s="121" t="n">
        <f aca="false">J100+J101+J102+J103</f>
        <v>21</v>
      </c>
      <c r="K104" s="121" t="n">
        <f aca="false">K100+K101+K102+K103</f>
        <v>21</v>
      </c>
      <c r="L104" s="121" t="n">
        <f aca="false">L100+L101+L102+L103</f>
        <v>21</v>
      </c>
      <c r="M104" s="121" t="n">
        <f aca="false">M100+M101+M102+M103</f>
        <v>21</v>
      </c>
      <c r="N104" s="121" t="n">
        <f aca="false">N100+N101+N102+N103</f>
        <v>21</v>
      </c>
      <c r="O104" s="121" t="n">
        <f aca="false">O100+O101+O102+O103</f>
        <v>26.25</v>
      </c>
      <c r="P104" s="121" t="n">
        <f aca="false">P100+P101+P102+P103</f>
        <v>26.25</v>
      </c>
      <c r="Q104" s="121" t="n">
        <f aca="false">Q100+Q101+Q102+Q103</f>
        <v>26.25</v>
      </c>
      <c r="R104" s="121" t="n">
        <f aca="false">R100+R101+R102+R103</f>
        <v>26.25</v>
      </c>
      <c r="S104" s="121" t="n">
        <f aca="false">S100+S101+S102+S103</f>
        <v>26.25</v>
      </c>
      <c r="T104" s="121" t="n">
        <f aca="false">T100+T101+T102+T103</f>
        <v>26.25</v>
      </c>
      <c r="U104" s="121" t="n">
        <f aca="false">U100+U101+U102+U103</f>
        <v>26.25</v>
      </c>
      <c r="V104" s="121" t="n">
        <f aca="false">V100+V101+V102+V103</f>
        <v>26.25</v>
      </c>
      <c r="W104" s="121" t="n">
        <f aca="false">W100+W101+W102+W103</f>
        <v>26.25</v>
      </c>
      <c r="X104" s="121" t="n">
        <f aca="false">X100+X101+X102+X103</f>
        <v>26.25</v>
      </c>
      <c r="Y104" s="121" t="n">
        <f aca="false">Y100+Y101+Y102+Y103</f>
        <v>26.25</v>
      </c>
      <c r="Z104" s="121" t="n">
        <f aca="false">Z100+Z101+Z102+Z103</f>
        <v>26.25</v>
      </c>
      <c r="AA104" s="121" t="n">
        <f aca="false">AA100+AA101+AA102+AA103</f>
        <v>32.8875</v>
      </c>
      <c r="AB104" s="121" t="n">
        <f aca="false">AB100+AB101+AB102+AB103</f>
        <v>32.8875</v>
      </c>
      <c r="AC104" s="121" t="n">
        <f aca="false">AC100+AC101+AC102+AC103</f>
        <v>32.8875</v>
      </c>
      <c r="AD104" s="121" t="n">
        <f aca="false">AD100+AD101+AD102+AD103</f>
        <v>32.8875</v>
      </c>
      <c r="AE104" s="121" t="n">
        <f aca="false">AE100+AE101+AE102+AE103</f>
        <v>32.8875</v>
      </c>
      <c r="AF104" s="121" t="n">
        <f aca="false">AF100+AF101+AF102+AF103</f>
        <v>32.8875</v>
      </c>
      <c r="AG104" s="121" t="n">
        <f aca="false">AG100+AG101+AG102+AG103</f>
        <v>32.8875</v>
      </c>
      <c r="AH104" s="121" t="n">
        <f aca="false">AH100+AH101+AH102+AH103</f>
        <v>32.8875</v>
      </c>
      <c r="AI104" s="121" t="n">
        <f aca="false">AI100+AI101+AI102+AI103</f>
        <v>32.8875</v>
      </c>
      <c r="AJ104" s="121" t="n">
        <f aca="false">AJ100+AJ101+AJ102+AJ103</f>
        <v>32.8875</v>
      </c>
      <c r="AK104" s="121" t="n">
        <f aca="false">AK100+AK101+AK102+AK103</f>
        <v>32.8875</v>
      </c>
      <c r="AL104" s="121" t="n">
        <f aca="false">AL100+AL101+AL102+AL103</f>
        <v>32.8875</v>
      </c>
      <c r="AM104" s="121" t="n">
        <f aca="false">AM100+AM101+AM102+AM103</f>
        <v>41.294625</v>
      </c>
      <c r="AN104" s="121" t="n">
        <f aca="false">AN100+AN101+AN102+AN103</f>
        <v>41.294625</v>
      </c>
      <c r="AO104" s="121" t="n">
        <f aca="false">AO100+AO101+AO102+AO103</f>
        <v>41.294625</v>
      </c>
      <c r="AP104" s="121" t="n">
        <f aca="false">AP100+AP101+AP102+AP103</f>
        <v>41.294625</v>
      </c>
      <c r="AQ104" s="121" t="n">
        <f aca="false">AQ100+AQ101+AQ102+AQ103</f>
        <v>41.294625</v>
      </c>
      <c r="AR104" s="121" t="n">
        <f aca="false">AR100+AR101+AR102+AR103</f>
        <v>41.294625</v>
      </c>
      <c r="AS104" s="121" t="n">
        <f aca="false">AS100+AS101+AS102+AS103</f>
        <v>41.294625</v>
      </c>
      <c r="AT104" s="121" t="n">
        <f aca="false">AT100+AT101+AT102+AT103</f>
        <v>41.294625</v>
      </c>
      <c r="AU104" s="121" t="n">
        <f aca="false">AU100+AU101+AU102+AU103</f>
        <v>41.294625</v>
      </c>
      <c r="AV104" s="121" t="n">
        <f aca="false">AV100+AV101+AV102+AV103</f>
        <v>41.294625</v>
      </c>
      <c r="AW104" s="121" t="n">
        <f aca="false">AW100+AW101+AW102+AW103</f>
        <v>41.294625</v>
      </c>
      <c r="AX104" s="121" t="n">
        <f aca="false">AX100+AX101+AX102+AX103</f>
        <v>41.294625</v>
      </c>
      <c r="AY104" s="121" t="n">
        <f aca="false">AY100+AY101+AY102+AY103</f>
        <v>51.96181875</v>
      </c>
      <c r="AZ104" s="121" t="n">
        <f aca="false">AZ100+AZ101+AZ102+AZ103</f>
        <v>51.96181875</v>
      </c>
      <c r="BA104" s="121" t="n">
        <f aca="false">BA100+BA101+BA102+BA103</f>
        <v>51.96181875</v>
      </c>
      <c r="BB104" s="121" t="n">
        <f aca="false">BB100+BB101+BB102+BB103</f>
        <v>51.96181875</v>
      </c>
      <c r="BC104" s="121" t="n">
        <f aca="false">BC100+BC101+BC102+BC103</f>
        <v>51.96181875</v>
      </c>
      <c r="BD104" s="121" t="n">
        <f aca="false">BD100+BD101+BD102+BD103</f>
        <v>51.96181875</v>
      </c>
      <c r="BE104" s="121" t="n">
        <f aca="false">BE100+BE101+BE102+BE103</f>
        <v>51.96181875</v>
      </c>
      <c r="BF104" s="121" t="n">
        <f aca="false">BF100+BF101+BF102+BF103</f>
        <v>51.96181875</v>
      </c>
      <c r="BG104" s="121" t="n">
        <f aca="false">BG100+BG101+BG102+BG103</f>
        <v>51.96181875</v>
      </c>
      <c r="BH104" s="121" t="n">
        <f aca="false">BH100+BH101+BH102+BH103</f>
        <v>51.96181875</v>
      </c>
      <c r="BI104" s="121" t="n">
        <f aca="false">BI100+BI101+BI102+BI103</f>
        <v>51.96181875</v>
      </c>
      <c r="BJ104" s="121" t="n">
        <f aca="false">BJ100+BJ101+BJ102+BJ103</f>
        <v>51.96181875</v>
      </c>
    </row>
    <row r="106" customFormat="false" ht="15.75" hidden="false" customHeight="true" outlineLevel="0" collapsed="false">
      <c r="A106" s="7" t="s">
        <v>442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customFormat="false" ht="15" hidden="false" customHeight="false" outlineLevel="0" collapsed="false">
      <c r="A107" s="6" t="s">
        <v>443</v>
      </c>
      <c r="C107" s="67" t="n">
        <f aca="false">-C100*Inputs!$B$35/12*1*(1+Inputs!$B$50)*(1+Inputs!$B$51)^(C$7-1)</f>
        <v>-64000</v>
      </c>
      <c r="D107" s="67" t="n">
        <f aca="false">-D100*Inputs!$B$35/12*1*(1+Inputs!$B$50)*(1+Inputs!$B$51)^(D$7-1)</f>
        <v>-64000</v>
      </c>
      <c r="E107" s="67" t="n">
        <f aca="false">-E100*Inputs!$B$35/12*1*(1+Inputs!$B$50)*(1+Inputs!$B$51)^(E$7-1)</f>
        <v>-64000</v>
      </c>
      <c r="F107" s="67" t="n">
        <f aca="false">-F100*Inputs!$B$35/12*1*(1+Inputs!$B$50)*(1+Inputs!$B$51)^(F$7-1)</f>
        <v>-64000</v>
      </c>
      <c r="G107" s="67" t="n">
        <f aca="false">-G100*Inputs!$B$35/12*1*(1+Inputs!$B$50)*(1+Inputs!$B$51)^(G$7-1)</f>
        <v>-64000</v>
      </c>
      <c r="H107" s="67" t="n">
        <f aca="false">-H100*Inputs!$B$35/12*1*(1+Inputs!$B$50)*(1+Inputs!$B$51)^(H$7-1)</f>
        <v>-64000</v>
      </c>
      <c r="I107" s="67" t="n">
        <f aca="false">-I100*Inputs!$B$35/12*1*(1+Inputs!$B$50)*(1+Inputs!$B$51)^(I$7-1)</f>
        <v>-64000</v>
      </c>
      <c r="J107" s="67" t="n">
        <f aca="false">-J100*Inputs!$B$35/12*1*(1+Inputs!$B$50)*(1+Inputs!$B$51)^(J$7-1)</f>
        <v>-64000</v>
      </c>
      <c r="K107" s="67" t="n">
        <f aca="false">-K100*Inputs!$B$35/12*1*(1+Inputs!$B$50)*(1+Inputs!$B$51)^(K$7-1)</f>
        <v>-64000</v>
      </c>
      <c r="L107" s="67" t="n">
        <f aca="false">-L100*Inputs!$B$35/12*1*(1+Inputs!$B$50)*(1+Inputs!$B$51)^(L$7-1)</f>
        <v>-64000</v>
      </c>
      <c r="M107" s="67" t="n">
        <f aca="false">-M100*Inputs!$B$35/12*1*(1+Inputs!$B$50)*(1+Inputs!$B$51)^(M$7-1)</f>
        <v>-64000</v>
      </c>
      <c r="N107" s="67" t="n">
        <f aca="false">-N100*Inputs!$B$35/12*1*(1+Inputs!$B$50)*(1+Inputs!$B$51)^(N$7-1)</f>
        <v>-64000</v>
      </c>
      <c r="O107" s="67" t="n">
        <f aca="false">-O100*Inputs!$B$35/12*1*(1+Inputs!$B$50)*(1+Inputs!$B$51)^(O$7-1)</f>
        <v>-79104</v>
      </c>
      <c r="P107" s="67" t="n">
        <f aca="false">-P100*Inputs!$B$35/12*1*(1+Inputs!$B$50)*(1+Inputs!$B$51)^(P$7-1)</f>
        <v>-79104</v>
      </c>
      <c r="Q107" s="67" t="n">
        <f aca="false">-Q100*Inputs!$B$35/12*1*(1+Inputs!$B$50)*(1+Inputs!$B$51)^(Q$7-1)</f>
        <v>-79104</v>
      </c>
      <c r="R107" s="67" t="n">
        <f aca="false">-R100*Inputs!$B$35/12*1*(1+Inputs!$B$50)*(1+Inputs!$B$51)^(R$7-1)</f>
        <v>-79104</v>
      </c>
      <c r="S107" s="67" t="n">
        <f aca="false">-S100*Inputs!$B$35/12*1*(1+Inputs!$B$50)*(1+Inputs!$B$51)^(S$7-1)</f>
        <v>-79104</v>
      </c>
      <c r="T107" s="67" t="n">
        <f aca="false">-T100*Inputs!$B$35/12*1*(1+Inputs!$B$50)*(1+Inputs!$B$51)^(T$7-1)</f>
        <v>-79104</v>
      </c>
      <c r="U107" s="67" t="n">
        <f aca="false">-U100*Inputs!$B$35/12*1*(1+Inputs!$B$50)*(1+Inputs!$B$51)^(U$7-1)</f>
        <v>-79104</v>
      </c>
      <c r="V107" s="67" t="n">
        <f aca="false">-V100*Inputs!$B$35/12*1*(1+Inputs!$B$50)*(1+Inputs!$B$51)^(V$7-1)</f>
        <v>-79104</v>
      </c>
      <c r="W107" s="67" t="n">
        <f aca="false">-W100*Inputs!$B$35/12*1*(1+Inputs!$B$50)*(1+Inputs!$B$51)^(W$7-1)</f>
        <v>-79104</v>
      </c>
      <c r="X107" s="67" t="n">
        <f aca="false">-X100*Inputs!$B$35/12*1*(1+Inputs!$B$50)*(1+Inputs!$B$51)^(X$7-1)</f>
        <v>-79104</v>
      </c>
      <c r="Y107" s="67" t="n">
        <f aca="false">-Y100*Inputs!$B$35/12*1*(1+Inputs!$B$50)*(1+Inputs!$B$51)^(Y$7-1)</f>
        <v>-79104</v>
      </c>
      <c r="Z107" s="67" t="n">
        <f aca="false">-Z100*Inputs!$B$35/12*1*(1+Inputs!$B$50)*(1+Inputs!$B$51)^(Z$7-1)</f>
        <v>-79104</v>
      </c>
      <c r="AA107" s="67" t="n">
        <f aca="false">-AA100*Inputs!$B$35/12*1*(1+Inputs!$B$50)*(1+Inputs!$B$51)^(AA$7-1)</f>
        <v>-97772.544</v>
      </c>
      <c r="AB107" s="67" t="n">
        <f aca="false">-AB100*Inputs!$B$35/12*1*(1+Inputs!$B$50)*(1+Inputs!$B$51)^(AB$7-1)</f>
        <v>-97772.544</v>
      </c>
      <c r="AC107" s="67" t="n">
        <f aca="false">-AC100*Inputs!$B$35/12*1*(1+Inputs!$B$50)*(1+Inputs!$B$51)^(AC$7-1)</f>
        <v>-97772.544</v>
      </c>
      <c r="AD107" s="67" t="n">
        <f aca="false">-AD100*Inputs!$B$35/12*1*(1+Inputs!$B$50)*(1+Inputs!$B$51)^(AD$7-1)</f>
        <v>-97772.544</v>
      </c>
      <c r="AE107" s="67" t="n">
        <f aca="false">-AE100*Inputs!$B$35/12*1*(1+Inputs!$B$50)*(1+Inputs!$B$51)^(AE$7-1)</f>
        <v>-97772.544</v>
      </c>
      <c r="AF107" s="67" t="n">
        <f aca="false">-AF100*Inputs!$B$35/12*1*(1+Inputs!$B$50)*(1+Inputs!$B$51)^(AF$7-1)</f>
        <v>-97772.544</v>
      </c>
      <c r="AG107" s="67" t="n">
        <f aca="false">-AG100*Inputs!$B$35/12*1*(1+Inputs!$B$50)*(1+Inputs!$B$51)^(AG$7-1)</f>
        <v>-97772.544</v>
      </c>
      <c r="AH107" s="67" t="n">
        <f aca="false">-AH100*Inputs!$B$35/12*1*(1+Inputs!$B$50)*(1+Inputs!$B$51)^(AH$7-1)</f>
        <v>-97772.544</v>
      </c>
      <c r="AI107" s="67" t="n">
        <f aca="false">-AI100*Inputs!$B$35/12*1*(1+Inputs!$B$50)*(1+Inputs!$B$51)^(AI$7-1)</f>
        <v>-97772.544</v>
      </c>
      <c r="AJ107" s="67" t="n">
        <f aca="false">-AJ100*Inputs!$B$35/12*1*(1+Inputs!$B$50)*(1+Inputs!$B$51)^(AJ$7-1)</f>
        <v>-97772.544</v>
      </c>
      <c r="AK107" s="67" t="n">
        <f aca="false">-AK100*Inputs!$B$35/12*1*(1+Inputs!$B$50)*(1+Inputs!$B$51)^(AK$7-1)</f>
        <v>-97772.544</v>
      </c>
      <c r="AL107" s="67" t="n">
        <f aca="false">-AL100*Inputs!$B$35/12*1*(1+Inputs!$B$50)*(1+Inputs!$B$51)^(AL$7-1)</f>
        <v>-97772.544</v>
      </c>
      <c r="AM107" s="67" t="n">
        <f aca="false">-AM100*Inputs!$B$35/12*1*(1+Inputs!$B$50)*(1+Inputs!$B$51)^(AM$7-1)</f>
        <v>-120846.864384</v>
      </c>
      <c r="AN107" s="67" t="n">
        <f aca="false">-AN100*Inputs!$B$35/12*1*(1+Inputs!$B$50)*(1+Inputs!$B$51)^(AN$7-1)</f>
        <v>-120846.864384</v>
      </c>
      <c r="AO107" s="67" t="n">
        <f aca="false">-AO100*Inputs!$B$35/12*1*(1+Inputs!$B$50)*(1+Inputs!$B$51)^(AO$7-1)</f>
        <v>-120846.864384</v>
      </c>
      <c r="AP107" s="67" t="n">
        <f aca="false">-AP100*Inputs!$B$35/12*1*(1+Inputs!$B$50)*(1+Inputs!$B$51)^(AP$7-1)</f>
        <v>-120846.864384</v>
      </c>
      <c r="AQ107" s="67" t="n">
        <f aca="false">-AQ100*Inputs!$B$35/12*1*(1+Inputs!$B$50)*(1+Inputs!$B$51)^(AQ$7-1)</f>
        <v>-120846.864384</v>
      </c>
      <c r="AR107" s="67" t="n">
        <f aca="false">-AR100*Inputs!$B$35/12*1*(1+Inputs!$B$50)*(1+Inputs!$B$51)^(AR$7-1)</f>
        <v>-120846.864384</v>
      </c>
      <c r="AS107" s="67" t="n">
        <f aca="false">-AS100*Inputs!$B$35/12*1*(1+Inputs!$B$50)*(1+Inputs!$B$51)^(AS$7-1)</f>
        <v>-120846.864384</v>
      </c>
      <c r="AT107" s="67" t="n">
        <f aca="false">-AT100*Inputs!$B$35/12*1*(1+Inputs!$B$50)*(1+Inputs!$B$51)^(AT$7-1)</f>
        <v>-120846.864384</v>
      </c>
      <c r="AU107" s="67" t="n">
        <f aca="false">-AU100*Inputs!$B$35/12*1*(1+Inputs!$B$50)*(1+Inputs!$B$51)^(AU$7-1)</f>
        <v>-120846.864384</v>
      </c>
      <c r="AV107" s="67" t="n">
        <f aca="false">-AV100*Inputs!$B$35/12*1*(1+Inputs!$B$50)*(1+Inputs!$B$51)^(AV$7-1)</f>
        <v>-120846.864384</v>
      </c>
      <c r="AW107" s="67" t="n">
        <f aca="false">-AW100*Inputs!$B$35/12*1*(1+Inputs!$B$50)*(1+Inputs!$B$51)^(AW$7-1)</f>
        <v>-120846.864384</v>
      </c>
      <c r="AX107" s="67" t="n">
        <f aca="false">-AX100*Inputs!$B$35/12*1*(1+Inputs!$B$50)*(1+Inputs!$B$51)^(AX$7-1)</f>
        <v>-120846.864384</v>
      </c>
      <c r="AY107" s="67" t="n">
        <f aca="false">-AY100*Inputs!$B$35/12*1*(1+Inputs!$B$50)*(1+Inputs!$B$51)^(AY$7-1)</f>
        <v>-149366.724378624</v>
      </c>
      <c r="AZ107" s="67" t="n">
        <f aca="false">-AZ100*Inputs!$B$35/12*1*(1+Inputs!$B$50)*(1+Inputs!$B$51)^(AZ$7-1)</f>
        <v>-149366.724378624</v>
      </c>
      <c r="BA107" s="67" t="n">
        <f aca="false">-BA100*Inputs!$B$35/12*1*(1+Inputs!$B$50)*(1+Inputs!$B$51)^(BA$7-1)</f>
        <v>-149366.724378624</v>
      </c>
      <c r="BB107" s="67" t="n">
        <f aca="false">-BB100*Inputs!$B$35/12*1*(1+Inputs!$B$50)*(1+Inputs!$B$51)^(BB$7-1)</f>
        <v>-149366.724378624</v>
      </c>
      <c r="BC107" s="67" t="n">
        <f aca="false">-BC100*Inputs!$B$35/12*1*(1+Inputs!$B$50)*(1+Inputs!$B$51)^(BC$7-1)</f>
        <v>-149366.724378624</v>
      </c>
      <c r="BD107" s="67" t="n">
        <f aca="false">-BD100*Inputs!$B$35/12*1*(1+Inputs!$B$50)*(1+Inputs!$B$51)^(BD$7-1)</f>
        <v>-149366.724378624</v>
      </c>
      <c r="BE107" s="67" t="n">
        <f aca="false">-BE100*Inputs!$B$35/12*1*(1+Inputs!$B$50)*(1+Inputs!$B$51)^(BE$7-1)</f>
        <v>-149366.724378624</v>
      </c>
      <c r="BF107" s="67" t="n">
        <f aca="false">-BF100*Inputs!$B$35/12*1*(1+Inputs!$B$50)*(1+Inputs!$B$51)^(BF$7-1)</f>
        <v>-149366.724378624</v>
      </c>
      <c r="BG107" s="67" t="n">
        <f aca="false">-BG100*Inputs!$B$35/12*1*(1+Inputs!$B$50)*(1+Inputs!$B$51)^(BG$7-1)</f>
        <v>-149366.724378624</v>
      </c>
      <c r="BH107" s="67" t="n">
        <f aca="false">-BH100*Inputs!$B$35/12*1*(1+Inputs!$B$50)*(1+Inputs!$B$51)^(BH$7-1)</f>
        <v>-149366.724378624</v>
      </c>
      <c r="BI107" s="67" t="n">
        <f aca="false">-BI100*Inputs!$B$35/12*1*(1+Inputs!$B$50)*(1+Inputs!$B$51)^(BI$7-1)</f>
        <v>-149366.724378624</v>
      </c>
      <c r="BJ107" s="67" t="n">
        <f aca="false">-BJ100*Inputs!$B$35/12*1*(1+Inputs!$B$50)*(1+Inputs!$B$51)^(BJ$7-1)</f>
        <v>-149366.724378624</v>
      </c>
    </row>
    <row r="108" customFormat="false" ht="15" hidden="false" customHeight="false" outlineLevel="0" collapsed="false">
      <c r="A108" s="6" t="s">
        <v>444</v>
      </c>
      <c r="C108" s="67" t="n">
        <f aca="false">-C101*Inputs!$B$39/12*1*(1+Inputs!$B$50)*(1+Inputs!$B$51)^(C$7-1)</f>
        <v>-114000</v>
      </c>
      <c r="D108" s="67" t="n">
        <f aca="false">-D101*Inputs!$B$39/12*1*(1+Inputs!$B$50)*(1+Inputs!$B$51)^(D$7-1)</f>
        <v>-114000</v>
      </c>
      <c r="E108" s="67" t="n">
        <f aca="false">-E101*Inputs!$B$39/12*1*(1+Inputs!$B$50)*(1+Inputs!$B$51)^(E$7-1)</f>
        <v>-114000</v>
      </c>
      <c r="F108" s="67" t="n">
        <f aca="false">-F101*Inputs!$B$39/12*1*(1+Inputs!$B$50)*(1+Inputs!$B$51)^(F$7-1)</f>
        <v>-114000</v>
      </c>
      <c r="G108" s="67" t="n">
        <f aca="false">-G101*Inputs!$B$39/12*1*(1+Inputs!$B$50)*(1+Inputs!$B$51)^(G$7-1)</f>
        <v>-114000</v>
      </c>
      <c r="H108" s="67" t="n">
        <f aca="false">-H101*Inputs!$B$39/12*1*(1+Inputs!$B$50)*(1+Inputs!$B$51)^(H$7-1)</f>
        <v>-114000</v>
      </c>
      <c r="I108" s="67" t="n">
        <f aca="false">-I101*Inputs!$B$39/12*1*(1+Inputs!$B$50)*(1+Inputs!$B$51)^(I$7-1)</f>
        <v>-114000</v>
      </c>
      <c r="J108" s="67" t="n">
        <f aca="false">-J101*Inputs!$B$39/12*1*(1+Inputs!$B$50)*(1+Inputs!$B$51)^(J$7-1)</f>
        <v>-114000</v>
      </c>
      <c r="K108" s="67" t="n">
        <f aca="false">-K101*Inputs!$B$39/12*1*(1+Inputs!$B$50)*(1+Inputs!$B$51)^(K$7-1)</f>
        <v>-114000</v>
      </c>
      <c r="L108" s="67" t="n">
        <f aca="false">-L101*Inputs!$B$39/12*1*(1+Inputs!$B$50)*(1+Inputs!$B$51)^(L$7-1)</f>
        <v>-114000</v>
      </c>
      <c r="M108" s="67" t="n">
        <f aca="false">-M101*Inputs!$B$39/12*1*(1+Inputs!$B$50)*(1+Inputs!$B$51)^(M$7-1)</f>
        <v>-114000</v>
      </c>
      <c r="N108" s="67" t="n">
        <f aca="false">-N101*Inputs!$B$39/12*1*(1+Inputs!$B$50)*(1+Inputs!$B$51)^(N$7-1)</f>
        <v>-114000</v>
      </c>
      <c r="O108" s="67" t="n">
        <f aca="false">-O101*Inputs!$B$39/12*1*(1+Inputs!$B$50)*(1+Inputs!$B$51)^(O$7-1)</f>
        <v>-152646</v>
      </c>
      <c r="P108" s="67" t="n">
        <f aca="false">-P101*Inputs!$B$39/12*1*(1+Inputs!$B$50)*(1+Inputs!$B$51)^(P$7-1)</f>
        <v>-152646</v>
      </c>
      <c r="Q108" s="67" t="n">
        <f aca="false">-Q101*Inputs!$B$39/12*1*(1+Inputs!$B$50)*(1+Inputs!$B$51)^(Q$7-1)</f>
        <v>-152646</v>
      </c>
      <c r="R108" s="67" t="n">
        <f aca="false">-R101*Inputs!$B$39/12*1*(1+Inputs!$B$50)*(1+Inputs!$B$51)^(R$7-1)</f>
        <v>-152646</v>
      </c>
      <c r="S108" s="67" t="n">
        <f aca="false">-S101*Inputs!$B$39/12*1*(1+Inputs!$B$50)*(1+Inputs!$B$51)^(S$7-1)</f>
        <v>-152646</v>
      </c>
      <c r="T108" s="67" t="n">
        <f aca="false">-T101*Inputs!$B$39/12*1*(1+Inputs!$B$50)*(1+Inputs!$B$51)^(T$7-1)</f>
        <v>-152646</v>
      </c>
      <c r="U108" s="67" t="n">
        <f aca="false">-U101*Inputs!$B$39/12*1*(1+Inputs!$B$50)*(1+Inputs!$B$51)^(U$7-1)</f>
        <v>-152646</v>
      </c>
      <c r="V108" s="67" t="n">
        <f aca="false">-V101*Inputs!$B$39/12*1*(1+Inputs!$B$50)*(1+Inputs!$B$51)^(V$7-1)</f>
        <v>-152646</v>
      </c>
      <c r="W108" s="67" t="n">
        <f aca="false">-W101*Inputs!$B$39/12*1*(1+Inputs!$B$50)*(1+Inputs!$B$51)^(W$7-1)</f>
        <v>-152646</v>
      </c>
      <c r="X108" s="67" t="n">
        <f aca="false">-X101*Inputs!$B$39/12*1*(1+Inputs!$B$50)*(1+Inputs!$B$51)^(X$7-1)</f>
        <v>-152646</v>
      </c>
      <c r="Y108" s="67" t="n">
        <f aca="false">-Y101*Inputs!$B$39/12*1*(1+Inputs!$B$50)*(1+Inputs!$B$51)^(Y$7-1)</f>
        <v>-152646</v>
      </c>
      <c r="Z108" s="67" t="n">
        <f aca="false">-Z101*Inputs!$B$39/12*1*(1+Inputs!$B$50)*(1+Inputs!$B$51)^(Z$7-1)</f>
        <v>-152646</v>
      </c>
      <c r="AA108" s="67" t="n">
        <f aca="false">-AA101*Inputs!$B$39/12*1*(1+Inputs!$B$50)*(1+Inputs!$B$51)^(AA$7-1)</f>
        <v>-204392.994</v>
      </c>
      <c r="AB108" s="67" t="n">
        <f aca="false">-AB101*Inputs!$B$39/12*1*(1+Inputs!$B$50)*(1+Inputs!$B$51)^(AB$7-1)</f>
        <v>-204392.994</v>
      </c>
      <c r="AC108" s="67" t="n">
        <f aca="false">-AC101*Inputs!$B$39/12*1*(1+Inputs!$B$50)*(1+Inputs!$B$51)^(AC$7-1)</f>
        <v>-204392.994</v>
      </c>
      <c r="AD108" s="67" t="n">
        <f aca="false">-AD101*Inputs!$B$39/12*1*(1+Inputs!$B$50)*(1+Inputs!$B$51)^(AD$7-1)</f>
        <v>-204392.994</v>
      </c>
      <c r="AE108" s="67" t="n">
        <f aca="false">-AE101*Inputs!$B$39/12*1*(1+Inputs!$B$50)*(1+Inputs!$B$51)^(AE$7-1)</f>
        <v>-204392.994</v>
      </c>
      <c r="AF108" s="67" t="n">
        <f aca="false">-AF101*Inputs!$B$39/12*1*(1+Inputs!$B$50)*(1+Inputs!$B$51)^(AF$7-1)</f>
        <v>-204392.994</v>
      </c>
      <c r="AG108" s="67" t="n">
        <f aca="false">-AG101*Inputs!$B$39/12*1*(1+Inputs!$B$50)*(1+Inputs!$B$51)^(AG$7-1)</f>
        <v>-204392.994</v>
      </c>
      <c r="AH108" s="67" t="n">
        <f aca="false">-AH101*Inputs!$B$39/12*1*(1+Inputs!$B$50)*(1+Inputs!$B$51)^(AH$7-1)</f>
        <v>-204392.994</v>
      </c>
      <c r="AI108" s="67" t="n">
        <f aca="false">-AI101*Inputs!$B$39/12*1*(1+Inputs!$B$50)*(1+Inputs!$B$51)^(AI$7-1)</f>
        <v>-204392.994</v>
      </c>
      <c r="AJ108" s="67" t="n">
        <f aca="false">-AJ101*Inputs!$B$39/12*1*(1+Inputs!$B$50)*(1+Inputs!$B$51)^(AJ$7-1)</f>
        <v>-204392.994</v>
      </c>
      <c r="AK108" s="67" t="n">
        <f aca="false">-AK101*Inputs!$B$39/12*1*(1+Inputs!$B$50)*(1+Inputs!$B$51)^(AK$7-1)</f>
        <v>-204392.994</v>
      </c>
      <c r="AL108" s="67" t="n">
        <f aca="false">-AL101*Inputs!$B$39/12*1*(1+Inputs!$B$50)*(1+Inputs!$B$51)^(AL$7-1)</f>
        <v>-204392.994</v>
      </c>
      <c r="AM108" s="67" t="n">
        <f aca="false">-AM101*Inputs!$B$39/12*1*(1+Inputs!$B$50)*(1+Inputs!$B$51)^(AM$7-1)</f>
        <v>-273682.218966</v>
      </c>
      <c r="AN108" s="67" t="n">
        <f aca="false">-AN101*Inputs!$B$39/12*1*(1+Inputs!$B$50)*(1+Inputs!$B$51)^(AN$7-1)</f>
        <v>-273682.218966</v>
      </c>
      <c r="AO108" s="67" t="n">
        <f aca="false">-AO101*Inputs!$B$39/12*1*(1+Inputs!$B$50)*(1+Inputs!$B$51)^(AO$7-1)</f>
        <v>-273682.218966</v>
      </c>
      <c r="AP108" s="67" t="n">
        <f aca="false">-AP101*Inputs!$B$39/12*1*(1+Inputs!$B$50)*(1+Inputs!$B$51)^(AP$7-1)</f>
        <v>-273682.218966</v>
      </c>
      <c r="AQ108" s="67" t="n">
        <f aca="false">-AQ101*Inputs!$B$39/12*1*(1+Inputs!$B$50)*(1+Inputs!$B$51)^(AQ$7-1)</f>
        <v>-273682.218966</v>
      </c>
      <c r="AR108" s="67" t="n">
        <f aca="false">-AR101*Inputs!$B$39/12*1*(1+Inputs!$B$50)*(1+Inputs!$B$51)^(AR$7-1)</f>
        <v>-273682.218966</v>
      </c>
      <c r="AS108" s="67" t="n">
        <f aca="false">-AS101*Inputs!$B$39/12*1*(1+Inputs!$B$50)*(1+Inputs!$B$51)^(AS$7-1)</f>
        <v>-273682.218966</v>
      </c>
      <c r="AT108" s="67" t="n">
        <f aca="false">-AT101*Inputs!$B$39/12*1*(1+Inputs!$B$50)*(1+Inputs!$B$51)^(AT$7-1)</f>
        <v>-273682.218966</v>
      </c>
      <c r="AU108" s="67" t="n">
        <f aca="false">-AU101*Inputs!$B$39/12*1*(1+Inputs!$B$50)*(1+Inputs!$B$51)^(AU$7-1)</f>
        <v>-273682.218966</v>
      </c>
      <c r="AV108" s="67" t="n">
        <f aca="false">-AV101*Inputs!$B$39/12*1*(1+Inputs!$B$50)*(1+Inputs!$B$51)^(AV$7-1)</f>
        <v>-273682.218966</v>
      </c>
      <c r="AW108" s="67" t="n">
        <f aca="false">-AW101*Inputs!$B$39/12*1*(1+Inputs!$B$50)*(1+Inputs!$B$51)^(AW$7-1)</f>
        <v>-273682.218966</v>
      </c>
      <c r="AX108" s="67" t="n">
        <f aca="false">-AX101*Inputs!$B$39/12*1*(1+Inputs!$B$50)*(1+Inputs!$B$51)^(AX$7-1)</f>
        <v>-273682.218966</v>
      </c>
      <c r="AY108" s="67" t="n">
        <f aca="false">-AY101*Inputs!$B$39/12*1*(1+Inputs!$B$50)*(1+Inputs!$B$51)^(AY$7-1)</f>
        <v>-366460.491195474</v>
      </c>
      <c r="AZ108" s="67" t="n">
        <f aca="false">-AZ101*Inputs!$B$39/12*1*(1+Inputs!$B$50)*(1+Inputs!$B$51)^(AZ$7-1)</f>
        <v>-366460.491195474</v>
      </c>
      <c r="BA108" s="67" t="n">
        <f aca="false">-BA101*Inputs!$B$39/12*1*(1+Inputs!$B$50)*(1+Inputs!$B$51)^(BA$7-1)</f>
        <v>-366460.491195474</v>
      </c>
      <c r="BB108" s="67" t="n">
        <f aca="false">-BB101*Inputs!$B$39/12*1*(1+Inputs!$B$50)*(1+Inputs!$B$51)^(BB$7-1)</f>
        <v>-366460.491195474</v>
      </c>
      <c r="BC108" s="67" t="n">
        <f aca="false">-BC101*Inputs!$B$39/12*1*(1+Inputs!$B$50)*(1+Inputs!$B$51)^(BC$7-1)</f>
        <v>-366460.491195474</v>
      </c>
      <c r="BD108" s="67" t="n">
        <f aca="false">-BD101*Inputs!$B$39/12*1*(1+Inputs!$B$50)*(1+Inputs!$B$51)^(BD$7-1)</f>
        <v>-366460.491195474</v>
      </c>
      <c r="BE108" s="67" t="n">
        <f aca="false">-BE101*Inputs!$B$39/12*1*(1+Inputs!$B$50)*(1+Inputs!$B$51)^(BE$7-1)</f>
        <v>-366460.491195474</v>
      </c>
      <c r="BF108" s="67" t="n">
        <f aca="false">-BF101*Inputs!$B$39/12*1*(1+Inputs!$B$50)*(1+Inputs!$B$51)^(BF$7-1)</f>
        <v>-366460.491195474</v>
      </c>
      <c r="BG108" s="67" t="n">
        <f aca="false">-BG101*Inputs!$B$39/12*1*(1+Inputs!$B$50)*(1+Inputs!$B$51)^(BG$7-1)</f>
        <v>-366460.491195474</v>
      </c>
      <c r="BH108" s="67" t="n">
        <f aca="false">-BH101*Inputs!$B$39/12*1*(1+Inputs!$B$50)*(1+Inputs!$B$51)^(BH$7-1)</f>
        <v>-366460.491195474</v>
      </c>
      <c r="BI108" s="67" t="n">
        <f aca="false">-BI101*Inputs!$B$39/12*1*(1+Inputs!$B$50)*(1+Inputs!$B$51)^(BI$7-1)</f>
        <v>-366460.491195474</v>
      </c>
      <c r="BJ108" s="67" t="n">
        <f aca="false">-BJ101*Inputs!$B$39/12*1*(1+Inputs!$B$50)*(1+Inputs!$B$51)^(BJ$7-1)</f>
        <v>-366460.491195474</v>
      </c>
    </row>
    <row r="109" customFormat="false" ht="15" hidden="false" customHeight="false" outlineLevel="0" collapsed="false">
      <c r="A109" s="6" t="s">
        <v>445</v>
      </c>
      <c r="C109" s="67" t="n">
        <f aca="false">-C102*Inputs!$B$43/12*1*(1+Inputs!$B$50)*(1+Inputs!$B$51)^(C$7-1)</f>
        <v>-17000</v>
      </c>
      <c r="D109" s="67" t="n">
        <f aca="false">-D102*Inputs!$B$43/12*1*(1+Inputs!$B$50)*(1+Inputs!$B$51)^(D$7-1)</f>
        <v>-17000</v>
      </c>
      <c r="E109" s="67" t="n">
        <f aca="false">-E102*Inputs!$B$43/12*1*(1+Inputs!$B$50)*(1+Inputs!$B$51)^(E$7-1)</f>
        <v>-17000</v>
      </c>
      <c r="F109" s="67" t="n">
        <f aca="false">-F102*Inputs!$B$43/12*1*(1+Inputs!$B$50)*(1+Inputs!$B$51)^(F$7-1)</f>
        <v>-17000</v>
      </c>
      <c r="G109" s="67" t="n">
        <f aca="false">-G102*Inputs!$B$43/12*1*(1+Inputs!$B$50)*(1+Inputs!$B$51)^(G$7-1)</f>
        <v>-17000</v>
      </c>
      <c r="H109" s="67" t="n">
        <f aca="false">-H102*Inputs!$B$43/12*1*(1+Inputs!$B$50)*(1+Inputs!$B$51)^(H$7-1)</f>
        <v>-17000</v>
      </c>
      <c r="I109" s="67" t="n">
        <f aca="false">-I102*Inputs!$B$43/12*1*(1+Inputs!$B$50)*(1+Inputs!$B$51)^(I$7-1)</f>
        <v>-17000</v>
      </c>
      <c r="J109" s="67" t="n">
        <f aca="false">-J102*Inputs!$B$43/12*1*(1+Inputs!$B$50)*(1+Inputs!$B$51)^(J$7-1)</f>
        <v>-17000</v>
      </c>
      <c r="K109" s="67" t="n">
        <f aca="false">-K102*Inputs!$B$43/12*1*(1+Inputs!$B$50)*(1+Inputs!$B$51)^(K$7-1)</f>
        <v>-17000</v>
      </c>
      <c r="L109" s="67" t="n">
        <f aca="false">-L102*Inputs!$B$43/12*1*(1+Inputs!$B$50)*(1+Inputs!$B$51)^(L$7-1)</f>
        <v>-17000</v>
      </c>
      <c r="M109" s="67" t="n">
        <f aca="false">-M102*Inputs!$B$43/12*1*(1+Inputs!$B$50)*(1+Inputs!$B$51)^(M$7-1)</f>
        <v>-17000</v>
      </c>
      <c r="N109" s="67" t="n">
        <f aca="false">-N102*Inputs!$B$43/12*1*(1+Inputs!$B$50)*(1+Inputs!$B$51)^(N$7-1)</f>
        <v>-17000</v>
      </c>
      <c r="O109" s="67" t="n">
        <f aca="false">-O102*Inputs!$B$43/12*1*(1+Inputs!$B$50)*(1+Inputs!$B$51)^(O$7-1)</f>
        <v>-21012</v>
      </c>
      <c r="P109" s="67" t="n">
        <f aca="false">-P102*Inputs!$B$43/12*1*(1+Inputs!$B$50)*(1+Inputs!$B$51)^(P$7-1)</f>
        <v>-21012</v>
      </c>
      <c r="Q109" s="67" t="n">
        <f aca="false">-Q102*Inputs!$B$43/12*1*(1+Inputs!$B$50)*(1+Inputs!$B$51)^(Q$7-1)</f>
        <v>-21012</v>
      </c>
      <c r="R109" s="67" t="n">
        <f aca="false">-R102*Inputs!$B$43/12*1*(1+Inputs!$B$50)*(1+Inputs!$B$51)^(R$7-1)</f>
        <v>-21012</v>
      </c>
      <c r="S109" s="67" t="n">
        <f aca="false">-S102*Inputs!$B$43/12*1*(1+Inputs!$B$50)*(1+Inputs!$B$51)^(S$7-1)</f>
        <v>-21012</v>
      </c>
      <c r="T109" s="67" t="n">
        <f aca="false">-T102*Inputs!$B$43/12*1*(1+Inputs!$B$50)*(1+Inputs!$B$51)^(T$7-1)</f>
        <v>-21012</v>
      </c>
      <c r="U109" s="67" t="n">
        <f aca="false">-U102*Inputs!$B$43/12*1*(1+Inputs!$B$50)*(1+Inputs!$B$51)^(U$7-1)</f>
        <v>-21012</v>
      </c>
      <c r="V109" s="67" t="n">
        <f aca="false">-V102*Inputs!$B$43/12*1*(1+Inputs!$B$50)*(1+Inputs!$B$51)^(V$7-1)</f>
        <v>-21012</v>
      </c>
      <c r="W109" s="67" t="n">
        <f aca="false">-W102*Inputs!$B$43/12*1*(1+Inputs!$B$50)*(1+Inputs!$B$51)^(W$7-1)</f>
        <v>-21012</v>
      </c>
      <c r="X109" s="67" t="n">
        <f aca="false">-X102*Inputs!$B$43/12*1*(1+Inputs!$B$50)*(1+Inputs!$B$51)^(X$7-1)</f>
        <v>-21012</v>
      </c>
      <c r="Y109" s="67" t="n">
        <f aca="false">-Y102*Inputs!$B$43/12*1*(1+Inputs!$B$50)*(1+Inputs!$B$51)^(Y$7-1)</f>
        <v>-21012</v>
      </c>
      <c r="Z109" s="67" t="n">
        <f aca="false">-Z102*Inputs!$B$43/12*1*(1+Inputs!$B$50)*(1+Inputs!$B$51)^(Z$7-1)</f>
        <v>-21012</v>
      </c>
      <c r="AA109" s="67" t="n">
        <f aca="false">-AA102*Inputs!$B$43/12*1*(1+Inputs!$B$50)*(1+Inputs!$B$51)^(AA$7-1)</f>
        <v>-25970.832</v>
      </c>
      <c r="AB109" s="67" t="n">
        <f aca="false">-AB102*Inputs!$B$43/12*1*(1+Inputs!$B$50)*(1+Inputs!$B$51)^(AB$7-1)</f>
        <v>-25970.832</v>
      </c>
      <c r="AC109" s="67" t="n">
        <f aca="false">-AC102*Inputs!$B$43/12*1*(1+Inputs!$B$50)*(1+Inputs!$B$51)^(AC$7-1)</f>
        <v>-25970.832</v>
      </c>
      <c r="AD109" s="67" t="n">
        <f aca="false">-AD102*Inputs!$B$43/12*1*(1+Inputs!$B$50)*(1+Inputs!$B$51)^(AD$7-1)</f>
        <v>-25970.832</v>
      </c>
      <c r="AE109" s="67" t="n">
        <f aca="false">-AE102*Inputs!$B$43/12*1*(1+Inputs!$B$50)*(1+Inputs!$B$51)^(AE$7-1)</f>
        <v>-25970.832</v>
      </c>
      <c r="AF109" s="67" t="n">
        <f aca="false">-AF102*Inputs!$B$43/12*1*(1+Inputs!$B$50)*(1+Inputs!$B$51)^(AF$7-1)</f>
        <v>-25970.832</v>
      </c>
      <c r="AG109" s="67" t="n">
        <f aca="false">-AG102*Inputs!$B$43/12*1*(1+Inputs!$B$50)*(1+Inputs!$B$51)^(AG$7-1)</f>
        <v>-25970.832</v>
      </c>
      <c r="AH109" s="67" t="n">
        <f aca="false">-AH102*Inputs!$B$43/12*1*(1+Inputs!$B$50)*(1+Inputs!$B$51)^(AH$7-1)</f>
        <v>-25970.832</v>
      </c>
      <c r="AI109" s="67" t="n">
        <f aca="false">-AI102*Inputs!$B$43/12*1*(1+Inputs!$B$50)*(1+Inputs!$B$51)^(AI$7-1)</f>
        <v>-25970.832</v>
      </c>
      <c r="AJ109" s="67" t="n">
        <f aca="false">-AJ102*Inputs!$B$43/12*1*(1+Inputs!$B$50)*(1+Inputs!$B$51)^(AJ$7-1)</f>
        <v>-25970.832</v>
      </c>
      <c r="AK109" s="67" t="n">
        <f aca="false">-AK102*Inputs!$B$43/12*1*(1+Inputs!$B$50)*(1+Inputs!$B$51)^(AK$7-1)</f>
        <v>-25970.832</v>
      </c>
      <c r="AL109" s="67" t="n">
        <f aca="false">-AL102*Inputs!$B$43/12*1*(1+Inputs!$B$50)*(1+Inputs!$B$51)^(AL$7-1)</f>
        <v>-25970.832</v>
      </c>
      <c r="AM109" s="67" t="n">
        <f aca="false">-AM102*Inputs!$B$43/12*1*(1+Inputs!$B$50)*(1+Inputs!$B$51)^(AM$7-1)</f>
        <v>-32099.948352</v>
      </c>
      <c r="AN109" s="67" t="n">
        <f aca="false">-AN102*Inputs!$B$43/12*1*(1+Inputs!$B$50)*(1+Inputs!$B$51)^(AN$7-1)</f>
        <v>-32099.948352</v>
      </c>
      <c r="AO109" s="67" t="n">
        <f aca="false">-AO102*Inputs!$B$43/12*1*(1+Inputs!$B$50)*(1+Inputs!$B$51)^(AO$7-1)</f>
        <v>-32099.948352</v>
      </c>
      <c r="AP109" s="67" t="n">
        <f aca="false">-AP102*Inputs!$B$43/12*1*(1+Inputs!$B$50)*(1+Inputs!$B$51)^(AP$7-1)</f>
        <v>-32099.948352</v>
      </c>
      <c r="AQ109" s="67" t="n">
        <f aca="false">-AQ102*Inputs!$B$43/12*1*(1+Inputs!$B$50)*(1+Inputs!$B$51)^(AQ$7-1)</f>
        <v>-32099.948352</v>
      </c>
      <c r="AR109" s="67" t="n">
        <f aca="false">-AR102*Inputs!$B$43/12*1*(1+Inputs!$B$50)*(1+Inputs!$B$51)^(AR$7-1)</f>
        <v>-32099.948352</v>
      </c>
      <c r="AS109" s="67" t="n">
        <f aca="false">-AS102*Inputs!$B$43/12*1*(1+Inputs!$B$50)*(1+Inputs!$B$51)^(AS$7-1)</f>
        <v>-32099.948352</v>
      </c>
      <c r="AT109" s="67" t="n">
        <f aca="false">-AT102*Inputs!$B$43/12*1*(1+Inputs!$B$50)*(1+Inputs!$B$51)^(AT$7-1)</f>
        <v>-32099.948352</v>
      </c>
      <c r="AU109" s="67" t="n">
        <f aca="false">-AU102*Inputs!$B$43/12*1*(1+Inputs!$B$50)*(1+Inputs!$B$51)^(AU$7-1)</f>
        <v>-32099.948352</v>
      </c>
      <c r="AV109" s="67" t="n">
        <f aca="false">-AV102*Inputs!$B$43/12*1*(1+Inputs!$B$50)*(1+Inputs!$B$51)^(AV$7-1)</f>
        <v>-32099.948352</v>
      </c>
      <c r="AW109" s="67" t="n">
        <f aca="false">-AW102*Inputs!$B$43/12*1*(1+Inputs!$B$50)*(1+Inputs!$B$51)^(AW$7-1)</f>
        <v>-32099.948352</v>
      </c>
      <c r="AX109" s="67" t="n">
        <f aca="false">-AX102*Inputs!$B$43/12*1*(1+Inputs!$B$50)*(1+Inputs!$B$51)^(AX$7-1)</f>
        <v>-32099.948352</v>
      </c>
      <c r="AY109" s="67" t="n">
        <f aca="false">-AY102*Inputs!$B$43/12*1*(1+Inputs!$B$50)*(1+Inputs!$B$51)^(AY$7-1)</f>
        <v>-39675.536163072</v>
      </c>
      <c r="AZ109" s="67" t="n">
        <f aca="false">-AZ102*Inputs!$B$43/12*1*(1+Inputs!$B$50)*(1+Inputs!$B$51)^(AZ$7-1)</f>
        <v>-39675.536163072</v>
      </c>
      <c r="BA109" s="67" t="n">
        <f aca="false">-BA102*Inputs!$B$43/12*1*(1+Inputs!$B$50)*(1+Inputs!$B$51)^(BA$7-1)</f>
        <v>-39675.536163072</v>
      </c>
      <c r="BB109" s="67" t="n">
        <f aca="false">-BB102*Inputs!$B$43/12*1*(1+Inputs!$B$50)*(1+Inputs!$B$51)^(BB$7-1)</f>
        <v>-39675.536163072</v>
      </c>
      <c r="BC109" s="67" t="n">
        <f aca="false">-BC102*Inputs!$B$43/12*1*(1+Inputs!$B$50)*(1+Inputs!$B$51)^(BC$7-1)</f>
        <v>-39675.536163072</v>
      </c>
      <c r="BD109" s="67" t="n">
        <f aca="false">-BD102*Inputs!$B$43/12*1*(1+Inputs!$B$50)*(1+Inputs!$B$51)^(BD$7-1)</f>
        <v>-39675.536163072</v>
      </c>
      <c r="BE109" s="67" t="n">
        <f aca="false">-BE102*Inputs!$B$43/12*1*(1+Inputs!$B$50)*(1+Inputs!$B$51)^(BE$7-1)</f>
        <v>-39675.536163072</v>
      </c>
      <c r="BF109" s="67" t="n">
        <f aca="false">-BF102*Inputs!$B$43/12*1*(1+Inputs!$B$50)*(1+Inputs!$B$51)^(BF$7-1)</f>
        <v>-39675.536163072</v>
      </c>
      <c r="BG109" s="67" t="n">
        <f aca="false">-BG102*Inputs!$B$43/12*1*(1+Inputs!$B$50)*(1+Inputs!$B$51)^(BG$7-1)</f>
        <v>-39675.536163072</v>
      </c>
      <c r="BH109" s="67" t="n">
        <f aca="false">-BH102*Inputs!$B$43/12*1*(1+Inputs!$B$50)*(1+Inputs!$B$51)^(BH$7-1)</f>
        <v>-39675.536163072</v>
      </c>
      <c r="BI109" s="67" t="n">
        <f aca="false">-BI102*Inputs!$B$43/12*1*(1+Inputs!$B$50)*(1+Inputs!$B$51)^(BI$7-1)</f>
        <v>-39675.536163072</v>
      </c>
      <c r="BJ109" s="67" t="n">
        <f aca="false">-BJ102*Inputs!$B$43/12*1*(1+Inputs!$B$50)*(1+Inputs!$B$51)^(BJ$7-1)</f>
        <v>-39675.536163072</v>
      </c>
    </row>
    <row r="110" customFormat="false" ht="15" hidden="false" customHeight="false" outlineLevel="0" collapsed="false">
      <c r="A110" s="6" t="s">
        <v>446</v>
      </c>
      <c r="C110" s="67" t="n">
        <f aca="false">-C103*Inputs!$B$47/12*1*(1+Inputs!$B$50)*(1+Inputs!$B$51)^(C$7-1)</f>
        <v>-19500</v>
      </c>
      <c r="D110" s="67" t="n">
        <f aca="false">-D103*Inputs!$B$47/12*1*(1+Inputs!$B$50)*(1+Inputs!$B$51)^(D$7-1)</f>
        <v>-19500</v>
      </c>
      <c r="E110" s="67" t="n">
        <f aca="false">-E103*Inputs!$B$47/12*1*(1+Inputs!$B$50)*(1+Inputs!$B$51)^(E$7-1)</f>
        <v>-19500</v>
      </c>
      <c r="F110" s="67" t="n">
        <f aca="false">-F103*Inputs!$B$47/12*1*(1+Inputs!$B$50)*(1+Inputs!$B$51)^(F$7-1)</f>
        <v>-19500</v>
      </c>
      <c r="G110" s="67" t="n">
        <f aca="false">-G103*Inputs!$B$47/12*1*(1+Inputs!$B$50)*(1+Inputs!$B$51)^(G$7-1)</f>
        <v>-19500</v>
      </c>
      <c r="H110" s="67" t="n">
        <f aca="false">-H103*Inputs!$B$47/12*1*(1+Inputs!$B$50)*(1+Inputs!$B$51)^(H$7-1)</f>
        <v>-19500</v>
      </c>
      <c r="I110" s="67" t="n">
        <f aca="false">-I103*Inputs!$B$47/12*1*(1+Inputs!$B$50)*(1+Inputs!$B$51)^(I$7-1)</f>
        <v>-19500</v>
      </c>
      <c r="J110" s="67" t="n">
        <f aca="false">-J103*Inputs!$B$47/12*1*(1+Inputs!$B$50)*(1+Inputs!$B$51)^(J$7-1)</f>
        <v>-19500</v>
      </c>
      <c r="K110" s="67" t="n">
        <f aca="false">-K103*Inputs!$B$47/12*1*(1+Inputs!$B$50)*(1+Inputs!$B$51)^(K$7-1)</f>
        <v>-19500</v>
      </c>
      <c r="L110" s="67" t="n">
        <f aca="false">-L103*Inputs!$B$47/12*1*(1+Inputs!$B$50)*(1+Inputs!$B$51)^(L$7-1)</f>
        <v>-19500</v>
      </c>
      <c r="M110" s="67" t="n">
        <f aca="false">-M103*Inputs!$B$47/12*1*(1+Inputs!$B$50)*(1+Inputs!$B$51)^(M$7-1)</f>
        <v>-19500</v>
      </c>
      <c r="N110" s="67" t="n">
        <f aca="false">-N103*Inputs!$B$47/12*1*(1+Inputs!$B$50)*(1+Inputs!$B$51)^(N$7-1)</f>
        <v>-19500</v>
      </c>
      <c r="O110" s="67" t="n">
        <f aca="false">-O103*Inputs!$B$47/12*1*(1+Inputs!$B$50)*(1+Inputs!$B$51)^(O$7-1)</f>
        <v>-23097.75</v>
      </c>
      <c r="P110" s="67" t="n">
        <f aca="false">-P103*Inputs!$B$47/12*1*(1+Inputs!$B$50)*(1+Inputs!$B$51)^(P$7-1)</f>
        <v>-23097.75</v>
      </c>
      <c r="Q110" s="67" t="n">
        <f aca="false">-Q103*Inputs!$B$47/12*1*(1+Inputs!$B$50)*(1+Inputs!$B$51)^(Q$7-1)</f>
        <v>-23097.75</v>
      </c>
      <c r="R110" s="67" t="n">
        <f aca="false">-R103*Inputs!$B$47/12*1*(1+Inputs!$B$50)*(1+Inputs!$B$51)^(R$7-1)</f>
        <v>-23097.75</v>
      </c>
      <c r="S110" s="67" t="n">
        <f aca="false">-S103*Inputs!$B$47/12*1*(1+Inputs!$B$50)*(1+Inputs!$B$51)^(S$7-1)</f>
        <v>-23097.75</v>
      </c>
      <c r="T110" s="67" t="n">
        <f aca="false">-T103*Inputs!$B$47/12*1*(1+Inputs!$B$50)*(1+Inputs!$B$51)^(T$7-1)</f>
        <v>-23097.75</v>
      </c>
      <c r="U110" s="67" t="n">
        <f aca="false">-U103*Inputs!$B$47/12*1*(1+Inputs!$B$50)*(1+Inputs!$B$51)^(U$7-1)</f>
        <v>-23097.75</v>
      </c>
      <c r="V110" s="67" t="n">
        <f aca="false">-V103*Inputs!$B$47/12*1*(1+Inputs!$B$50)*(1+Inputs!$B$51)^(V$7-1)</f>
        <v>-23097.75</v>
      </c>
      <c r="W110" s="67" t="n">
        <f aca="false">-W103*Inputs!$B$47/12*1*(1+Inputs!$B$50)*(1+Inputs!$B$51)^(W$7-1)</f>
        <v>-23097.75</v>
      </c>
      <c r="X110" s="67" t="n">
        <f aca="false">-X103*Inputs!$B$47/12*1*(1+Inputs!$B$50)*(1+Inputs!$B$51)^(X$7-1)</f>
        <v>-23097.75</v>
      </c>
      <c r="Y110" s="67" t="n">
        <f aca="false">-Y103*Inputs!$B$47/12*1*(1+Inputs!$B$50)*(1+Inputs!$B$51)^(Y$7-1)</f>
        <v>-23097.75</v>
      </c>
      <c r="Z110" s="67" t="n">
        <f aca="false">-Z103*Inputs!$B$47/12*1*(1+Inputs!$B$50)*(1+Inputs!$B$51)^(Z$7-1)</f>
        <v>-23097.75</v>
      </c>
      <c r="AA110" s="67" t="n">
        <f aca="false">-AA103*Inputs!$B$47/12*1*(1+Inputs!$B$50)*(1+Inputs!$B$51)^(AA$7-1)</f>
        <v>-27359.284875</v>
      </c>
      <c r="AB110" s="67" t="n">
        <f aca="false">-AB103*Inputs!$B$47/12*1*(1+Inputs!$B$50)*(1+Inputs!$B$51)^(AB$7-1)</f>
        <v>-27359.284875</v>
      </c>
      <c r="AC110" s="67" t="n">
        <f aca="false">-AC103*Inputs!$B$47/12*1*(1+Inputs!$B$50)*(1+Inputs!$B$51)^(AC$7-1)</f>
        <v>-27359.284875</v>
      </c>
      <c r="AD110" s="67" t="n">
        <f aca="false">-AD103*Inputs!$B$47/12*1*(1+Inputs!$B$50)*(1+Inputs!$B$51)^(AD$7-1)</f>
        <v>-27359.284875</v>
      </c>
      <c r="AE110" s="67" t="n">
        <f aca="false">-AE103*Inputs!$B$47/12*1*(1+Inputs!$B$50)*(1+Inputs!$B$51)^(AE$7-1)</f>
        <v>-27359.284875</v>
      </c>
      <c r="AF110" s="67" t="n">
        <f aca="false">-AF103*Inputs!$B$47/12*1*(1+Inputs!$B$50)*(1+Inputs!$B$51)^(AF$7-1)</f>
        <v>-27359.284875</v>
      </c>
      <c r="AG110" s="67" t="n">
        <f aca="false">-AG103*Inputs!$B$47/12*1*(1+Inputs!$B$50)*(1+Inputs!$B$51)^(AG$7-1)</f>
        <v>-27359.284875</v>
      </c>
      <c r="AH110" s="67" t="n">
        <f aca="false">-AH103*Inputs!$B$47/12*1*(1+Inputs!$B$50)*(1+Inputs!$B$51)^(AH$7-1)</f>
        <v>-27359.284875</v>
      </c>
      <c r="AI110" s="67" t="n">
        <f aca="false">-AI103*Inputs!$B$47/12*1*(1+Inputs!$B$50)*(1+Inputs!$B$51)^(AI$7-1)</f>
        <v>-27359.284875</v>
      </c>
      <c r="AJ110" s="67" t="n">
        <f aca="false">-AJ103*Inputs!$B$47/12*1*(1+Inputs!$B$50)*(1+Inputs!$B$51)^(AJ$7-1)</f>
        <v>-27359.284875</v>
      </c>
      <c r="AK110" s="67" t="n">
        <f aca="false">-AK103*Inputs!$B$47/12*1*(1+Inputs!$B$50)*(1+Inputs!$B$51)^(AK$7-1)</f>
        <v>-27359.284875</v>
      </c>
      <c r="AL110" s="67" t="n">
        <f aca="false">-AL103*Inputs!$B$47/12*1*(1+Inputs!$B$50)*(1+Inputs!$B$51)^(AL$7-1)</f>
        <v>-27359.284875</v>
      </c>
      <c r="AM110" s="67" t="n">
        <f aca="false">-AM103*Inputs!$B$47/12*1*(1+Inputs!$B$50)*(1+Inputs!$B$51)^(AM$7-1)</f>
        <v>-32407.0729344375</v>
      </c>
      <c r="AN110" s="67" t="n">
        <f aca="false">-AN103*Inputs!$B$47/12*1*(1+Inputs!$B$50)*(1+Inputs!$B$51)^(AN$7-1)</f>
        <v>-32407.0729344375</v>
      </c>
      <c r="AO110" s="67" t="n">
        <f aca="false">-AO103*Inputs!$B$47/12*1*(1+Inputs!$B$50)*(1+Inputs!$B$51)^(AO$7-1)</f>
        <v>-32407.0729344375</v>
      </c>
      <c r="AP110" s="67" t="n">
        <f aca="false">-AP103*Inputs!$B$47/12*1*(1+Inputs!$B$50)*(1+Inputs!$B$51)^(AP$7-1)</f>
        <v>-32407.0729344375</v>
      </c>
      <c r="AQ110" s="67" t="n">
        <f aca="false">-AQ103*Inputs!$B$47/12*1*(1+Inputs!$B$50)*(1+Inputs!$B$51)^(AQ$7-1)</f>
        <v>-32407.0729344375</v>
      </c>
      <c r="AR110" s="67" t="n">
        <f aca="false">-AR103*Inputs!$B$47/12*1*(1+Inputs!$B$50)*(1+Inputs!$B$51)^(AR$7-1)</f>
        <v>-32407.0729344375</v>
      </c>
      <c r="AS110" s="67" t="n">
        <f aca="false">-AS103*Inputs!$B$47/12*1*(1+Inputs!$B$50)*(1+Inputs!$B$51)^(AS$7-1)</f>
        <v>-32407.0729344375</v>
      </c>
      <c r="AT110" s="67" t="n">
        <f aca="false">-AT103*Inputs!$B$47/12*1*(1+Inputs!$B$50)*(1+Inputs!$B$51)^(AT$7-1)</f>
        <v>-32407.0729344375</v>
      </c>
      <c r="AU110" s="67" t="n">
        <f aca="false">-AU103*Inputs!$B$47/12*1*(1+Inputs!$B$50)*(1+Inputs!$B$51)^(AU$7-1)</f>
        <v>-32407.0729344375</v>
      </c>
      <c r="AV110" s="67" t="n">
        <f aca="false">-AV103*Inputs!$B$47/12*1*(1+Inputs!$B$50)*(1+Inputs!$B$51)^(AV$7-1)</f>
        <v>-32407.0729344375</v>
      </c>
      <c r="AW110" s="67" t="n">
        <f aca="false">-AW103*Inputs!$B$47/12*1*(1+Inputs!$B$50)*(1+Inputs!$B$51)^(AW$7-1)</f>
        <v>-32407.0729344375</v>
      </c>
      <c r="AX110" s="67" t="n">
        <f aca="false">-AX103*Inputs!$B$47/12*1*(1+Inputs!$B$50)*(1+Inputs!$B$51)^(AX$7-1)</f>
        <v>-32407.0729344375</v>
      </c>
      <c r="AY110" s="67" t="n">
        <f aca="false">-AY103*Inputs!$B$47/12*1*(1+Inputs!$B$50)*(1+Inputs!$B$51)^(AY$7-1)</f>
        <v>-38386.1778908412</v>
      </c>
      <c r="AZ110" s="67" t="n">
        <f aca="false">-AZ103*Inputs!$B$47/12*1*(1+Inputs!$B$50)*(1+Inputs!$B$51)^(AZ$7-1)</f>
        <v>-38386.1778908412</v>
      </c>
      <c r="BA110" s="67" t="n">
        <f aca="false">-BA103*Inputs!$B$47/12*1*(1+Inputs!$B$50)*(1+Inputs!$B$51)^(BA$7-1)</f>
        <v>-38386.1778908412</v>
      </c>
      <c r="BB110" s="67" t="n">
        <f aca="false">-BB103*Inputs!$B$47/12*1*(1+Inputs!$B$50)*(1+Inputs!$B$51)^(BB$7-1)</f>
        <v>-38386.1778908412</v>
      </c>
      <c r="BC110" s="67" t="n">
        <f aca="false">-BC103*Inputs!$B$47/12*1*(1+Inputs!$B$50)*(1+Inputs!$B$51)^(BC$7-1)</f>
        <v>-38386.1778908412</v>
      </c>
      <c r="BD110" s="67" t="n">
        <f aca="false">-BD103*Inputs!$B$47/12*1*(1+Inputs!$B$50)*(1+Inputs!$B$51)^(BD$7-1)</f>
        <v>-38386.1778908412</v>
      </c>
      <c r="BE110" s="67" t="n">
        <f aca="false">-BE103*Inputs!$B$47/12*1*(1+Inputs!$B$50)*(1+Inputs!$B$51)^(BE$7-1)</f>
        <v>-38386.1778908412</v>
      </c>
      <c r="BF110" s="67" t="n">
        <f aca="false">-BF103*Inputs!$B$47/12*1*(1+Inputs!$B$50)*(1+Inputs!$B$51)^(BF$7-1)</f>
        <v>-38386.1778908412</v>
      </c>
      <c r="BG110" s="67" t="n">
        <f aca="false">-BG103*Inputs!$B$47/12*1*(1+Inputs!$B$50)*(1+Inputs!$B$51)^(BG$7-1)</f>
        <v>-38386.1778908412</v>
      </c>
      <c r="BH110" s="67" t="n">
        <f aca="false">-BH103*Inputs!$B$47/12*1*(1+Inputs!$B$50)*(1+Inputs!$B$51)^(BH$7-1)</f>
        <v>-38386.1778908412</v>
      </c>
      <c r="BI110" s="67" t="n">
        <f aca="false">-BI103*Inputs!$B$47/12*1*(1+Inputs!$B$50)*(1+Inputs!$B$51)^(BI$7-1)</f>
        <v>-38386.1778908412</v>
      </c>
      <c r="BJ110" s="67" t="n">
        <f aca="false">-BJ103*Inputs!$B$47/12*1*(1+Inputs!$B$50)*(1+Inputs!$B$51)^(BJ$7-1)</f>
        <v>-38386.1778908412</v>
      </c>
    </row>
    <row r="111" customFormat="false" ht="15" hidden="false" customHeight="false" outlineLevel="0" collapsed="false">
      <c r="A111" s="113" t="s">
        <v>447</v>
      </c>
      <c r="C111" s="68" t="n">
        <f aca="false">C107+C108+C109+C110</f>
        <v>-214500</v>
      </c>
      <c r="D111" s="68" t="n">
        <f aca="false">D107+D108+D109+D110</f>
        <v>-214500</v>
      </c>
      <c r="E111" s="68" t="n">
        <f aca="false">E107+E108+E109+E110</f>
        <v>-214500</v>
      </c>
      <c r="F111" s="68" t="n">
        <f aca="false">F107+F108+F109+F110</f>
        <v>-214500</v>
      </c>
      <c r="G111" s="68" t="n">
        <f aca="false">G107+G108+G109+G110</f>
        <v>-214500</v>
      </c>
      <c r="H111" s="68" t="n">
        <f aca="false">H107+H108+H109+H110</f>
        <v>-214500</v>
      </c>
      <c r="I111" s="68" t="n">
        <f aca="false">I107+I108+I109+I110</f>
        <v>-214500</v>
      </c>
      <c r="J111" s="68" t="n">
        <f aca="false">J107+J108+J109+J110</f>
        <v>-214500</v>
      </c>
      <c r="K111" s="68" t="n">
        <f aca="false">K107+K108+K109+K110</f>
        <v>-214500</v>
      </c>
      <c r="L111" s="68" t="n">
        <f aca="false">L107+L108+L109+L110</f>
        <v>-214500</v>
      </c>
      <c r="M111" s="68" t="n">
        <f aca="false">M107+M108+M109+M110</f>
        <v>-214500</v>
      </c>
      <c r="N111" s="68" t="n">
        <f aca="false">N107+N108+N109+N110</f>
        <v>-214500</v>
      </c>
      <c r="O111" s="68" t="n">
        <f aca="false">O107+O108+O109+O110</f>
        <v>-275859.75</v>
      </c>
      <c r="P111" s="68" t="n">
        <f aca="false">P107+P108+P109+P110</f>
        <v>-275859.75</v>
      </c>
      <c r="Q111" s="68" t="n">
        <f aca="false">Q107+Q108+Q109+Q110</f>
        <v>-275859.75</v>
      </c>
      <c r="R111" s="68" t="n">
        <f aca="false">R107+R108+R109+R110</f>
        <v>-275859.75</v>
      </c>
      <c r="S111" s="68" t="n">
        <f aca="false">S107+S108+S109+S110</f>
        <v>-275859.75</v>
      </c>
      <c r="T111" s="68" t="n">
        <f aca="false">T107+T108+T109+T110</f>
        <v>-275859.75</v>
      </c>
      <c r="U111" s="68" t="n">
        <f aca="false">U107+U108+U109+U110</f>
        <v>-275859.75</v>
      </c>
      <c r="V111" s="68" t="n">
        <f aca="false">V107+V108+V109+V110</f>
        <v>-275859.75</v>
      </c>
      <c r="W111" s="68" t="n">
        <f aca="false">W107+W108+W109+W110</f>
        <v>-275859.75</v>
      </c>
      <c r="X111" s="68" t="n">
        <f aca="false">X107+X108+X109+X110</f>
        <v>-275859.75</v>
      </c>
      <c r="Y111" s="68" t="n">
        <f aca="false">Y107+Y108+Y109+Y110</f>
        <v>-275859.75</v>
      </c>
      <c r="Z111" s="68" t="n">
        <f aca="false">Z107+Z108+Z109+Z110</f>
        <v>-275859.75</v>
      </c>
      <c r="AA111" s="68" t="n">
        <f aca="false">AA107+AA108+AA109+AA110</f>
        <v>-355495.654875</v>
      </c>
      <c r="AB111" s="68" t="n">
        <f aca="false">AB107+AB108+AB109+AB110</f>
        <v>-355495.654875</v>
      </c>
      <c r="AC111" s="68" t="n">
        <f aca="false">AC107+AC108+AC109+AC110</f>
        <v>-355495.654875</v>
      </c>
      <c r="AD111" s="68" t="n">
        <f aca="false">AD107+AD108+AD109+AD110</f>
        <v>-355495.654875</v>
      </c>
      <c r="AE111" s="68" t="n">
        <f aca="false">AE107+AE108+AE109+AE110</f>
        <v>-355495.654875</v>
      </c>
      <c r="AF111" s="68" t="n">
        <f aca="false">AF107+AF108+AF109+AF110</f>
        <v>-355495.654875</v>
      </c>
      <c r="AG111" s="68" t="n">
        <f aca="false">AG107+AG108+AG109+AG110</f>
        <v>-355495.654875</v>
      </c>
      <c r="AH111" s="68" t="n">
        <f aca="false">AH107+AH108+AH109+AH110</f>
        <v>-355495.654875</v>
      </c>
      <c r="AI111" s="68" t="n">
        <f aca="false">AI107+AI108+AI109+AI110</f>
        <v>-355495.654875</v>
      </c>
      <c r="AJ111" s="68" t="n">
        <f aca="false">AJ107+AJ108+AJ109+AJ110</f>
        <v>-355495.654875</v>
      </c>
      <c r="AK111" s="68" t="n">
        <f aca="false">AK107+AK108+AK109+AK110</f>
        <v>-355495.654875</v>
      </c>
      <c r="AL111" s="68" t="n">
        <f aca="false">AL107+AL108+AL109+AL110</f>
        <v>-355495.654875</v>
      </c>
      <c r="AM111" s="68" t="n">
        <f aca="false">AM107+AM108+AM109+AM110</f>
        <v>-459036.104636437</v>
      </c>
      <c r="AN111" s="68" t="n">
        <f aca="false">AN107+AN108+AN109+AN110</f>
        <v>-459036.104636437</v>
      </c>
      <c r="AO111" s="68" t="n">
        <f aca="false">AO107+AO108+AO109+AO110</f>
        <v>-459036.104636437</v>
      </c>
      <c r="AP111" s="68" t="n">
        <f aca="false">AP107+AP108+AP109+AP110</f>
        <v>-459036.104636437</v>
      </c>
      <c r="AQ111" s="68" t="n">
        <f aca="false">AQ107+AQ108+AQ109+AQ110</f>
        <v>-459036.104636437</v>
      </c>
      <c r="AR111" s="68" t="n">
        <f aca="false">AR107+AR108+AR109+AR110</f>
        <v>-459036.104636437</v>
      </c>
      <c r="AS111" s="68" t="n">
        <f aca="false">AS107+AS108+AS109+AS110</f>
        <v>-459036.104636437</v>
      </c>
      <c r="AT111" s="68" t="n">
        <f aca="false">AT107+AT108+AT109+AT110</f>
        <v>-459036.104636437</v>
      </c>
      <c r="AU111" s="68" t="n">
        <f aca="false">AU107+AU108+AU109+AU110</f>
        <v>-459036.104636437</v>
      </c>
      <c r="AV111" s="68" t="n">
        <f aca="false">AV107+AV108+AV109+AV110</f>
        <v>-459036.104636437</v>
      </c>
      <c r="AW111" s="68" t="n">
        <f aca="false">AW107+AW108+AW109+AW110</f>
        <v>-459036.104636437</v>
      </c>
      <c r="AX111" s="68" t="n">
        <f aca="false">AX107+AX108+AX109+AX110</f>
        <v>-459036.104636437</v>
      </c>
      <c r="AY111" s="68" t="n">
        <f aca="false">AY107+AY108+AY109+AY110</f>
        <v>-593888.929628011</v>
      </c>
      <c r="AZ111" s="68" t="n">
        <f aca="false">AZ107+AZ108+AZ109+AZ110</f>
        <v>-593888.929628011</v>
      </c>
      <c r="BA111" s="68" t="n">
        <f aca="false">BA107+BA108+BA109+BA110</f>
        <v>-593888.929628011</v>
      </c>
      <c r="BB111" s="68" t="n">
        <f aca="false">BB107+BB108+BB109+BB110</f>
        <v>-593888.929628011</v>
      </c>
      <c r="BC111" s="68" t="n">
        <f aca="false">BC107+BC108+BC109+BC110</f>
        <v>-593888.929628011</v>
      </c>
      <c r="BD111" s="68" t="n">
        <f aca="false">BD107+BD108+BD109+BD110</f>
        <v>-593888.929628011</v>
      </c>
      <c r="BE111" s="68" t="n">
        <f aca="false">BE107+BE108+BE109+BE110</f>
        <v>-593888.929628011</v>
      </c>
      <c r="BF111" s="68" t="n">
        <f aca="false">BF107+BF108+BF109+BF110</f>
        <v>-593888.929628011</v>
      </c>
      <c r="BG111" s="68" t="n">
        <f aca="false">BG107+BG108+BG109+BG110</f>
        <v>-593888.929628011</v>
      </c>
      <c r="BH111" s="68" t="n">
        <f aca="false">BH107+BH108+BH109+BH110</f>
        <v>-593888.929628011</v>
      </c>
      <c r="BI111" s="68" t="n">
        <f aca="false">BI107+BI108+BI109+BI110</f>
        <v>-593888.929628011</v>
      </c>
      <c r="BJ111" s="68" t="n">
        <f aca="false">BJ107+BJ108+BJ109+BJ110</f>
        <v>-593888.929628011</v>
      </c>
    </row>
    <row r="114" customFormat="false" ht="15.75" hidden="false" customHeight="true" outlineLevel="0" collapsed="false">
      <c r="A114" s="7" t="s">
        <v>451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customFormat="false" ht="15" hidden="false" customHeight="false" outlineLevel="0" collapsed="false">
      <c r="A115" s="33" t="s">
        <v>340</v>
      </c>
      <c r="C115" s="52" t="s">
        <v>341</v>
      </c>
      <c r="D115" s="52" t="s">
        <v>342</v>
      </c>
      <c r="E115" s="52" t="s">
        <v>343</v>
      </c>
      <c r="F115" s="52" t="s">
        <v>344</v>
      </c>
      <c r="G115" s="52" t="s">
        <v>345</v>
      </c>
      <c r="H115" s="52" t="s">
        <v>346</v>
      </c>
      <c r="I115" s="52" t="s">
        <v>347</v>
      </c>
      <c r="J115" s="52" t="s">
        <v>348</v>
      </c>
      <c r="K115" s="52" t="s">
        <v>349</v>
      </c>
      <c r="L115" s="52" t="s">
        <v>350</v>
      </c>
      <c r="M115" s="52" t="s">
        <v>351</v>
      </c>
      <c r="N115" s="52" t="s">
        <v>352</v>
      </c>
      <c r="O115" s="52" t="s">
        <v>353</v>
      </c>
      <c r="P115" s="52" t="s">
        <v>354</v>
      </c>
      <c r="Q115" s="52" t="s">
        <v>355</v>
      </c>
      <c r="R115" s="52" t="s">
        <v>356</v>
      </c>
      <c r="S115" s="52" t="s">
        <v>357</v>
      </c>
      <c r="T115" s="52" t="s">
        <v>358</v>
      </c>
      <c r="U115" s="52" t="s">
        <v>359</v>
      </c>
      <c r="V115" s="52" t="s">
        <v>360</v>
      </c>
      <c r="W115" s="52" t="s">
        <v>361</v>
      </c>
      <c r="X115" s="52" t="s">
        <v>362</v>
      </c>
      <c r="Y115" s="52" t="s">
        <v>363</v>
      </c>
      <c r="Z115" s="52" t="s">
        <v>364</v>
      </c>
      <c r="AA115" s="52" t="s">
        <v>365</v>
      </c>
      <c r="AB115" s="52" t="s">
        <v>366</v>
      </c>
      <c r="AC115" s="52" t="s">
        <v>367</v>
      </c>
      <c r="AD115" s="52" t="s">
        <v>368</v>
      </c>
      <c r="AE115" s="52" t="s">
        <v>369</v>
      </c>
      <c r="AF115" s="52" t="s">
        <v>370</v>
      </c>
      <c r="AG115" s="52" t="s">
        <v>371</v>
      </c>
      <c r="AH115" s="52" t="s">
        <v>372</v>
      </c>
      <c r="AI115" s="52" t="s">
        <v>373</v>
      </c>
      <c r="AJ115" s="52" t="s">
        <v>374</v>
      </c>
      <c r="AK115" s="52" t="s">
        <v>375</v>
      </c>
      <c r="AL115" s="52" t="s">
        <v>376</v>
      </c>
      <c r="AM115" s="52" t="s">
        <v>377</v>
      </c>
      <c r="AN115" s="52" t="s">
        <v>378</v>
      </c>
      <c r="AO115" s="52" t="s">
        <v>379</v>
      </c>
      <c r="AP115" s="52" t="s">
        <v>380</v>
      </c>
      <c r="AQ115" s="52" t="s">
        <v>381</v>
      </c>
      <c r="AR115" s="52" t="s">
        <v>382</v>
      </c>
      <c r="AS115" s="52" t="s">
        <v>383</v>
      </c>
      <c r="AT115" s="52" t="s">
        <v>384</v>
      </c>
      <c r="AU115" s="52" t="s">
        <v>385</v>
      </c>
      <c r="AV115" s="52" t="s">
        <v>386</v>
      </c>
      <c r="AW115" s="52" t="s">
        <v>387</v>
      </c>
      <c r="AX115" s="52" t="s">
        <v>388</v>
      </c>
      <c r="AY115" s="52" t="s">
        <v>389</v>
      </c>
      <c r="AZ115" s="52" t="s">
        <v>390</v>
      </c>
      <c r="BA115" s="52" t="s">
        <v>391</v>
      </c>
      <c r="BB115" s="52" t="s">
        <v>392</v>
      </c>
      <c r="BC115" s="52" t="s">
        <v>393</v>
      </c>
      <c r="BD115" s="52" t="s">
        <v>394</v>
      </c>
      <c r="BE115" s="52" t="s">
        <v>395</v>
      </c>
      <c r="BF115" s="52" t="s">
        <v>396</v>
      </c>
      <c r="BG115" s="52" t="s">
        <v>397</v>
      </c>
      <c r="BH115" s="52" t="s">
        <v>398</v>
      </c>
      <c r="BI115" s="52" t="s">
        <v>399</v>
      </c>
      <c r="BJ115" s="52" t="s">
        <v>400</v>
      </c>
    </row>
    <row r="116" customFormat="false" ht="15" hidden="false" customHeight="false" outlineLevel="0" collapsed="false">
      <c r="A116" s="72" t="s">
        <v>401</v>
      </c>
      <c r="C116" s="72" t="n">
        <v>1</v>
      </c>
      <c r="D116" s="72" t="n">
        <v>2</v>
      </c>
      <c r="E116" s="72" t="n">
        <v>3</v>
      </c>
      <c r="F116" s="72" t="n">
        <v>4</v>
      </c>
      <c r="G116" s="72" t="n">
        <v>5</v>
      </c>
      <c r="H116" s="72" t="n">
        <v>6</v>
      </c>
      <c r="I116" s="72" t="n">
        <v>7</v>
      </c>
      <c r="J116" s="72" t="n">
        <v>8</v>
      </c>
      <c r="K116" s="72" t="n">
        <v>9</v>
      </c>
      <c r="L116" s="72" t="n">
        <v>10</v>
      </c>
      <c r="M116" s="72" t="n">
        <v>11</v>
      </c>
      <c r="N116" s="72" t="n">
        <v>12</v>
      </c>
      <c r="O116" s="72" t="n">
        <v>13</v>
      </c>
      <c r="P116" s="72" t="n">
        <v>14</v>
      </c>
      <c r="Q116" s="72" t="n">
        <v>15</v>
      </c>
      <c r="R116" s="72" t="n">
        <v>16</v>
      </c>
      <c r="S116" s="72" t="n">
        <v>17</v>
      </c>
      <c r="T116" s="72" t="n">
        <v>18</v>
      </c>
      <c r="U116" s="72" t="n">
        <v>19</v>
      </c>
      <c r="V116" s="72" t="n">
        <v>20</v>
      </c>
      <c r="W116" s="72" t="n">
        <v>21</v>
      </c>
      <c r="X116" s="72" t="n">
        <v>22</v>
      </c>
      <c r="Y116" s="72" t="n">
        <v>23</v>
      </c>
      <c r="Z116" s="72" t="n">
        <v>24</v>
      </c>
      <c r="AA116" s="72" t="n">
        <v>25</v>
      </c>
      <c r="AB116" s="72" t="n">
        <v>26</v>
      </c>
      <c r="AC116" s="72" t="n">
        <v>27</v>
      </c>
      <c r="AD116" s="72" t="n">
        <v>28</v>
      </c>
      <c r="AE116" s="72" t="n">
        <v>29</v>
      </c>
      <c r="AF116" s="72" t="n">
        <v>30</v>
      </c>
      <c r="AG116" s="72" t="n">
        <v>31</v>
      </c>
      <c r="AH116" s="72" t="n">
        <v>32</v>
      </c>
      <c r="AI116" s="72" t="n">
        <v>33</v>
      </c>
      <c r="AJ116" s="72" t="n">
        <v>34</v>
      </c>
      <c r="AK116" s="72" t="n">
        <v>35</v>
      </c>
      <c r="AL116" s="72" t="n">
        <v>36</v>
      </c>
      <c r="AM116" s="72" t="n">
        <v>37</v>
      </c>
      <c r="AN116" s="72" t="n">
        <v>38</v>
      </c>
      <c r="AO116" s="72" t="n">
        <v>39</v>
      </c>
      <c r="AP116" s="72" t="n">
        <v>40</v>
      </c>
      <c r="AQ116" s="72" t="n">
        <v>41</v>
      </c>
      <c r="AR116" s="72" t="n">
        <v>42</v>
      </c>
      <c r="AS116" s="72" t="n">
        <v>43</v>
      </c>
      <c r="AT116" s="72" t="n">
        <v>44</v>
      </c>
      <c r="AU116" s="72" t="n">
        <v>45</v>
      </c>
      <c r="AV116" s="72" t="n">
        <v>46</v>
      </c>
      <c r="AW116" s="72" t="n">
        <v>47</v>
      </c>
      <c r="AX116" s="72" t="n">
        <v>48</v>
      </c>
      <c r="AY116" s="72" t="n">
        <v>49</v>
      </c>
      <c r="AZ116" s="72" t="n">
        <v>50</v>
      </c>
      <c r="BA116" s="72" t="n">
        <v>51</v>
      </c>
      <c r="BB116" s="72" t="n">
        <v>52</v>
      </c>
      <c r="BC116" s="72" t="n">
        <v>53</v>
      </c>
      <c r="BD116" s="72" t="n">
        <v>54</v>
      </c>
      <c r="BE116" s="72" t="n">
        <v>55</v>
      </c>
      <c r="BF116" s="72" t="n">
        <v>56</v>
      </c>
      <c r="BG116" s="72" t="n">
        <v>57</v>
      </c>
      <c r="BH116" s="72" t="n">
        <v>58</v>
      </c>
      <c r="BI116" s="72" t="n">
        <v>59</v>
      </c>
      <c r="BJ116" s="72" t="n">
        <v>60</v>
      </c>
    </row>
    <row r="117" customFormat="false" ht="15" hidden="false" customHeight="false" outlineLevel="0" collapsed="false">
      <c r="A117" s="72" t="s">
        <v>153</v>
      </c>
      <c r="C117" s="72" t="n">
        <f aca="false">ROUNDUP(C116*1/12,0)</f>
        <v>1</v>
      </c>
      <c r="D117" s="72" t="n">
        <f aca="false">ROUNDUP(D116*1/12,0)</f>
        <v>1</v>
      </c>
      <c r="E117" s="72" t="n">
        <f aca="false">ROUNDUP(E116*1/12,0)</f>
        <v>1</v>
      </c>
      <c r="F117" s="72" t="n">
        <f aca="false">ROUNDUP(F116*1/12,0)</f>
        <v>1</v>
      </c>
      <c r="G117" s="72" t="n">
        <f aca="false">ROUNDUP(G116*1/12,0)</f>
        <v>1</v>
      </c>
      <c r="H117" s="72" t="n">
        <f aca="false">ROUNDUP(H116*1/12,0)</f>
        <v>1</v>
      </c>
      <c r="I117" s="72" t="n">
        <f aca="false">ROUNDUP(I116*1/12,0)</f>
        <v>1</v>
      </c>
      <c r="J117" s="72" t="n">
        <f aca="false">ROUNDUP(J116*1/12,0)</f>
        <v>1</v>
      </c>
      <c r="K117" s="72" t="n">
        <f aca="false">ROUNDUP(K116*1/12,0)</f>
        <v>1</v>
      </c>
      <c r="L117" s="72" t="n">
        <f aca="false">ROUNDUP(L116*1/12,0)</f>
        <v>1</v>
      </c>
      <c r="M117" s="72" t="n">
        <f aca="false">ROUNDUP(M116*1/12,0)</f>
        <v>1</v>
      </c>
      <c r="N117" s="72" t="n">
        <f aca="false">ROUNDUP(N116*1/12,0)</f>
        <v>1</v>
      </c>
      <c r="O117" s="72" t="n">
        <f aca="false">ROUNDUP(O116*1/12,0)</f>
        <v>2</v>
      </c>
      <c r="P117" s="72" t="n">
        <f aca="false">ROUNDUP(P116*1/12,0)</f>
        <v>2</v>
      </c>
      <c r="Q117" s="72" t="n">
        <f aca="false">ROUNDUP(Q116*1/12,0)</f>
        <v>2</v>
      </c>
      <c r="R117" s="72" t="n">
        <f aca="false">ROUNDUP(R116*1/12,0)</f>
        <v>2</v>
      </c>
      <c r="S117" s="72" t="n">
        <f aca="false">ROUNDUP(S116*1/12,0)</f>
        <v>2</v>
      </c>
      <c r="T117" s="72" t="n">
        <f aca="false">ROUNDUP(T116*1/12,0)</f>
        <v>2</v>
      </c>
      <c r="U117" s="72" t="n">
        <f aca="false">ROUNDUP(U116*1/12,0)</f>
        <v>2</v>
      </c>
      <c r="V117" s="72" t="n">
        <f aca="false">ROUNDUP(V116*1/12,0)</f>
        <v>2</v>
      </c>
      <c r="W117" s="72" t="n">
        <f aca="false">ROUNDUP(W116*1/12,0)</f>
        <v>2</v>
      </c>
      <c r="X117" s="72" t="n">
        <f aca="false">ROUNDUP(X116*1/12,0)</f>
        <v>2</v>
      </c>
      <c r="Y117" s="72" t="n">
        <f aca="false">ROUNDUP(Y116*1/12,0)</f>
        <v>2</v>
      </c>
      <c r="Z117" s="72" t="n">
        <f aca="false">ROUNDUP(Z116*1/12,0)</f>
        <v>2</v>
      </c>
      <c r="AA117" s="72" t="n">
        <f aca="false">ROUNDUP(AA116*1/12,0)</f>
        <v>3</v>
      </c>
      <c r="AB117" s="72" t="n">
        <f aca="false">ROUNDUP(AB116*1/12,0)</f>
        <v>3</v>
      </c>
      <c r="AC117" s="72" t="n">
        <f aca="false">ROUNDUP(AC116*1/12,0)</f>
        <v>3</v>
      </c>
      <c r="AD117" s="72" t="n">
        <f aca="false">ROUNDUP(AD116*1/12,0)</f>
        <v>3</v>
      </c>
      <c r="AE117" s="72" t="n">
        <f aca="false">ROUNDUP(AE116*1/12,0)</f>
        <v>3</v>
      </c>
      <c r="AF117" s="72" t="n">
        <f aca="false">ROUNDUP(AF116*1/12,0)</f>
        <v>3</v>
      </c>
      <c r="AG117" s="72" t="n">
        <f aca="false">ROUNDUP(AG116*1/12,0)</f>
        <v>3</v>
      </c>
      <c r="AH117" s="72" t="n">
        <f aca="false">ROUNDUP(AH116*1/12,0)</f>
        <v>3</v>
      </c>
      <c r="AI117" s="72" t="n">
        <f aca="false">ROUNDUP(AI116*1/12,0)</f>
        <v>3</v>
      </c>
      <c r="AJ117" s="72" t="n">
        <f aca="false">ROUNDUP(AJ116*1/12,0)</f>
        <v>3</v>
      </c>
      <c r="AK117" s="72" t="n">
        <f aca="false">ROUNDUP(AK116*1/12,0)</f>
        <v>3</v>
      </c>
      <c r="AL117" s="72" t="n">
        <f aca="false">ROUNDUP(AL116*1/12,0)</f>
        <v>3</v>
      </c>
      <c r="AM117" s="72" t="n">
        <f aca="false">ROUNDUP(AM116*1/12,0)</f>
        <v>4</v>
      </c>
      <c r="AN117" s="72" t="n">
        <f aca="false">ROUNDUP(AN116*1/12,0)</f>
        <v>4</v>
      </c>
      <c r="AO117" s="72" t="n">
        <f aca="false">ROUNDUP(AO116*1/12,0)</f>
        <v>4</v>
      </c>
      <c r="AP117" s="72" t="n">
        <f aca="false">ROUNDUP(AP116*1/12,0)</f>
        <v>4</v>
      </c>
      <c r="AQ117" s="72" t="n">
        <f aca="false">ROUNDUP(AQ116*1/12,0)</f>
        <v>4</v>
      </c>
      <c r="AR117" s="72" t="n">
        <f aca="false">ROUNDUP(AR116*1/12,0)</f>
        <v>4</v>
      </c>
      <c r="AS117" s="72" t="n">
        <f aca="false">ROUNDUP(AS116*1/12,0)</f>
        <v>4</v>
      </c>
      <c r="AT117" s="72" t="n">
        <f aca="false">ROUNDUP(AT116*1/12,0)</f>
        <v>4</v>
      </c>
      <c r="AU117" s="72" t="n">
        <f aca="false">ROUNDUP(AU116*1/12,0)</f>
        <v>4</v>
      </c>
      <c r="AV117" s="72" t="n">
        <f aca="false">ROUNDUP(AV116*1/12,0)</f>
        <v>4</v>
      </c>
      <c r="AW117" s="72" t="n">
        <f aca="false">ROUNDUP(AW116*1/12,0)</f>
        <v>4</v>
      </c>
      <c r="AX117" s="72" t="n">
        <f aca="false">ROUNDUP(AX116*1/12,0)</f>
        <v>4</v>
      </c>
      <c r="AY117" s="72" t="n">
        <f aca="false">ROUNDUP(AY116*1/12,0)</f>
        <v>5</v>
      </c>
      <c r="AZ117" s="72" t="n">
        <f aca="false">ROUNDUP(AZ116*1/12,0)</f>
        <v>5</v>
      </c>
      <c r="BA117" s="72" t="n">
        <f aca="false">ROUNDUP(BA116*1/12,0)</f>
        <v>5</v>
      </c>
      <c r="BB117" s="72" t="n">
        <f aca="false">ROUNDUP(BB116*1/12,0)</f>
        <v>5</v>
      </c>
      <c r="BC117" s="72" t="n">
        <f aca="false">ROUNDUP(BC116*1/12,0)</f>
        <v>5</v>
      </c>
      <c r="BD117" s="72" t="n">
        <f aca="false">ROUNDUP(BD116*1/12,0)</f>
        <v>5</v>
      </c>
      <c r="BE117" s="72" t="n">
        <f aca="false">ROUNDUP(BE116*1/12,0)</f>
        <v>5</v>
      </c>
      <c r="BF117" s="72" t="n">
        <f aca="false">ROUNDUP(BF116*1/12,0)</f>
        <v>5</v>
      </c>
      <c r="BG117" s="72" t="n">
        <f aca="false">ROUNDUP(BG116*1/12,0)</f>
        <v>5</v>
      </c>
      <c r="BH117" s="72" t="n">
        <f aca="false">ROUNDUP(BH116*1/12,0)</f>
        <v>5</v>
      </c>
      <c r="BI117" s="72" t="n">
        <f aca="false">ROUNDUP(BI116*1/12,0)</f>
        <v>5</v>
      </c>
      <c r="BJ117" s="72" t="n">
        <f aca="false">ROUNDUP(BJ116*1/12,0)</f>
        <v>5</v>
      </c>
    </row>
    <row r="119" customFormat="false" ht="15.75" hidden="false" customHeight="true" outlineLevel="0" collapsed="false">
      <c r="A119" s="7" t="s">
        <v>254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customFormat="false" ht="15" hidden="false" customHeight="false" outlineLevel="0" collapsed="false">
      <c r="A120" s="6" t="s">
        <v>402</v>
      </c>
      <c r="C120" s="116" t="n">
        <f aca="false">C210+C211</f>
        <v>16</v>
      </c>
      <c r="D120" s="116" t="n">
        <f aca="false">D210+D211</f>
        <v>16</v>
      </c>
      <c r="E120" s="116" t="n">
        <f aca="false">E210+E211</f>
        <v>16</v>
      </c>
      <c r="F120" s="116" t="n">
        <f aca="false">F210+F211</f>
        <v>16</v>
      </c>
      <c r="G120" s="116" t="n">
        <f aca="false">G210+G211</f>
        <v>16</v>
      </c>
      <c r="H120" s="116" t="n">
        <f aca="false">H210+H211</f>
        <v>16</v>
      </c>
      <c r="I120" s="116" t="n">
        <f aca="false">I210+I211</f>
        <v>16</v>
      </c>
      <c r="J120" s="116" t="n">
        <f aca="false">J210+J211</f>
        <v>16</v>
      </c>
      <c r="K120" s="116" t="n">
        <f aca="false">K210+K211</f>
        <v>16</v>
      </c>
      <c r="L120" s="116" t="n">
        <f aca="false">L210+L211</f>
        <v>16</v>
      </c>
      <c r="M120" s="116" t="n">
        <f aca="false">M210+M211</f>
        <v>16</v>
      </c>
      <c r="N120" s="116" t="n">
        <f aca="false">N210+N211</f>
        <v>16</v>
      </c>
      <c r="O120" s="116" t="n">
        <f aca="false">O210+O211</f>
        <v>20.4</v>
      </c>
      <c r="P120" s="116" t="n">
        <f aca="false">P210+P211</f>
        <v>20.4</v>
      </c>
      <c r="Q120" s="116" t="n">
        <f aca="false">Q210+Q211</f>
        <v>20.4</v>
      </c>
      <c r="R120" s="116" t="n">
        <f aca="false">R210+R211</f>
        <v>20.4</v>
      </c>
      <c r="S120" s="116" t="n">
        <f aca="false">S210+S211</f>
        <v>20.4</v>
      </c>
      <c r="T120" s="116" t="n">
        <f aca="false">T210+T211</f>
        <v>20.4</v>
      </c>
      <c r="U120" s="116" t="n">
        <f aca="false">U210+U211</f>
        <v>20.4</v>
      </c>
      <c r="V120" s="116" t="n">
        <f aca="false">V210+V211</f>
        <v>20.4</v>
      </c>
      <c r="W120" s="116" t="n">
        <f aca="false">W210+W211</f>
        <v>20.4</v>
      </c>
      <c r="X120" s="116" t="n">
        <f aca="false">X210+X211</f>
        <v>20.4</v>
      </c>
      <c r="Y120" s="116" t="n">
        <f aca="false">Y210+Y211</f>
        <v>20.4</v>
      </c>
      <c r="Z120" s="116" t="n">
        <f aca="false">Z210+Z211</f>
        <v>20.4</v>
      </c>
      <c r="AA120" s="116" t="n">
        <f aca="false">AA210+AA211</f>
        <v>26.04</v>
      </c>
      <c r="AB120" s="116" t="n">
        <f aca="false">AB210+AB211</f>
        <v>26.04</v>
      </c>
      <c r="AC120" s="116" t="n">
        <f aca="false">AC210+AC211</f>
        <v>26.04</v>
      </c>
      <c r="AD120" s="116" t="n">
        <f aca="false">AD210+AD211</f>
        <v>26.04</v>
      </c>
      <c r="AE120" s="116" t="n">
        <f aca="false">AE210+AE211</f>
        <v>26.04</v>
      </c>
      <c r="AF120" s="116" t="n">
        <f aca="false">AF210+AF211</f>
        <v>26.04</v>
      </c>
      <c r="AG120" s="116" t="n">
        <f aca="false">AG210+AG211</f>
        <v>26.04</v>
      </c>
      <c r="AH120" s="116" t="n">
        <f aca="false">AH210+AH211</f>
        <v>26.04</v>
      </c>
      <c r="AI120" s="116" t="n">
        <f aca="false">AI210+AI211</f>
        <v>26.04</v>
      </c>
      <c r="AJ120" s="116" t="n">
        <f aca="false">AJ210+AJ211</f>
        <v>26.04</v>
      </c>
      <c r="AK120" s="116" t="n">
        <f aca="false">AK210+AK211</f>
        <v>26.04</v>
      </c>
      <c r="AL120" s="116" t="n">
        <f aca="false">AL210+AL211</f>
        <v>26.04</v>
      </c>
      <c r="AM120" s="116" t="n">
        <f aca="false">AM210+AM211</f>
        <v>33.276</v>
      </c>
      <c r="AN120" s="116" t="n">
        <f aca="false">AN210+AN211</f>
        <v>33.276</v>
      </c>
      <c r="AO120" s="116" t="n">
        <f aca="false">AO210+AO211</f>
        <v>33.276</v>
      </c>
      <c r="AP120" s="116" t="n">
        <f aca="false">AP210+AP211</f>
        <v>33.276</v>
      </c>
      <c r="AQ120" s="116" t="n">
        <f aca="false">AQ210+AQ211</f>
        <v>33.276</v>
      </c>
      <c r="AR120" s="116" t="n">
        <f aca="false">AR210+AR211</f>
        <v>33.276</v>
      </c>
      <c r="AS120" s="116" t="n">
        <f aca="false">AS210+AS211</f>
        <v>33.276</v>
      </c>
      <c r="AT120" s="116" t="n">
        <f aca="false">AT210+AT211</f>
        <v>33.276</v>
      </c>
      <c r="AU120" s="116" t="n">
        <f aca="false">AU210+AU211</f>
        <v>33.276</v>
      </c>
      <c r="AV120" s="116" t="n">
        <f aca="false">AV210+AV211</f>
        <v>33.276</v>
      </c>
      <c r="AW120" s="116" t="n">
        <f aca="false">AW210+AW211</f>
        <v>33.276</v>
      </c>
      <c r="AX120" s="116" t="n">
        <f aca="false">AX210+AX211</f>
        <v>33.276</v>
      </c>
      <c r="AY120" s="116" t="n">
        <f aca="false">AY210+AY211</f>
        <v>42.5676</v>
      </c>
      <c r="AZ120" s="116" t="n">
        <f aca="false">AZ210+AZ211</f>
        <v>42.5676</v>
      </c>
      <c r="BA120" s="116" t="n">
        <f aca="false">BA210+BA211</f>
        <v>42.5676</v>
      </c>
      <c r="BB120" s="116" t="n">
        <f aca="false">BB210+BB211</f>
        <v>42.5676</v>
      </c>
      <c r="BC120" s="116" t="n">
        <f aca="false">BC210+BC211</f>
        <v>42.5676</v>
      </c>
      <c r="BD120" s="116" t="n">
        <f aca="false">BD210+BD211</f>
        <v>42.5676</v>
      </c>
      <c r="BE120" s="116" t="n">
        <f aca="false">BE210+BE211</f>
        <v>42.5676</v>
      </c>
      <c r="BF120" s="116" t="n">
        <f aca="false">BF210+BF211</f>
        <v>42.5676</v>
      </c>
      <c r="BG120" s="116" t="n">
        <f aca="false">BG210+BG211</f>
        <v>42.5676</v>
      </c>
      <c r="BH120" s="116" t="n">
        <f aca="false">BH210+BH211</f>
        <v>42.5676</v>
      </c>
      <c r="BI120" s="116" t="n">
        <f aca="false">BI210+BI211</f>
        <v>42.5676</v>
      </c>
      <c r="BJ120" s="116" t="n">
        <f aca="false">BJ210+BJ211</f>
        <v>42.5676</v>
      </c>
    </row>
    <row r="121" customFormat="false" ht="15" hidden="false" customHeight="false" outlineLevel="0" collapsed="false">
      <c r="A121" s="6" t="s">
        <v>235</v>
      </c>
      <c r="C121" s="117" t="n">
        <f aca="false">C120*Inputs!$C$7/12*1</f>
        <v>2400</v>
      </c>
      <c r="D121" s="117" t="n">
        <f aca="false">D120*Inputs!$C$7/12*1</f>
        <v>2400</v>
      </c>
      <c r="E121" s="117" t="n">
        <f aca="false">E120*Inputs!$C$7/12*1</f>
        <v>2400</v>
      </c>
      <c r="F121" s="117" t="n">
        <f aca="false">F120*Inputs!$C$7/12*1</f>
        <v>2400</v>
      </c>
      <c r="G121" s="117" t="n">
        <f aca="false">G120*Inputs!$C$7/12*1</f>
        <v>2400</v>
      </c>
      <c r="H121" s="117" t="n">
        <f aca="false">H120*Inputs!$C$7/12*1</f>
        <v>2400</v>
      </c>
      <c r="I121" s="117" t="n">
        <f aca="false">I120*Inputs!$C$7/12*1</f>
        <v>2400</v>
      </c>
      <c r="J121" s="117" t="n">
        <f aca="false">J120*Inputs!$C$7/12*1</f>
        <v>2400</v>
      </c>
      <c r="K121" s="117" t="n">
        <f aca="false">K120*Inputs!$C$7/12*1</f>
        <v>2400</v>
      </c>
      <c r="L121" s="117" t="n">
        <f aca="false">L120*Inputs!$C$7/12*1</f>
        <v>2400</v>
      </c>
      <c r="M121" s="117" t="n">
        <f aca="false">M120*Inputs!$C$7/12*1</f>
        <v>2400</v>
      </c>
      <c r="N121" s="117" t="n">
        <f aca="false">N120*Inputs!$C$7/12*1</f>
        <v>2400</v>
      </c>
      <c r="O121" s="117" t="n">
        <f aca="false">O120*Inputs!$C$7/12*1</f>
        <v>3060</v>
      </c>
      <c r="P121" s="117" t="n">
        <f aca="false">P120*Inputs!$C$7/12*1</f>
        <v>3060</v>
      </c>
      <c r="Q121" s="117" t="n">
        <f aca="false">Q120*Inputs!$C$7/12*1</f>
        <v>3060</v>
      </c>
      <c r="R121" s="117" t="n">
        <f aca="false">R120*Inputs!$C$7/12*1</f>
        <v>3060</v>
      </c>
      <c r="S121" s="117" t="n">
        <f aca="false">S120*Inputs!$C$7/12*1</f>
        <v>3060</v>
      </c>
      <c r="T121" s="117" t="n">
        <f aca="false">T120*Inputs!$C$7/12*1</f>
        <v>3060</v>
      </c>
      <c r="U121" s="117" t="n">
        <f aca="false">U120*Inputs!$C$7/12*1</f>
        <v>3060</v>
      </c>
      <c r="V121" s="117" t="n">
        <f aca="false">V120*Inputs!$C$7/12*1</f>
        <v>3060</v>
      </c>
      <c r="W121" s="117" t="n">
        <f aca="false">W120*Inputs!$C$7/12*1</f>
        <v>3060</v>
      </c>
      <c r="X121" s="117" t="n">
        <f aca="false">X120*Inputs!$C$7/12*1</f>
        <v>3060</v>
      </c>
      <c r="Y121" s="117" t="n">
        <f aca="false">Y120*Inputs!$C$7/12*1</f>
        <v>3060</v>
      </c>
      <c r="Z121" s="117" t="n">
        <f aca="false">Z120*Inputs!$C$7/12*1</f>
        <v>3060</v>
      </c>
      <c r="AA121" s="117" t="n">
        <f aca="false">AA120*Inputs!$C$7/12*1</f>
        <v>3906</v>
      </c>
      <c r="AB121" s="117" t="n">
        <f aca="false">AB120*Inputs!$C$7/12*1</f>
        <v>3906</v>
      </c>
      <c r="AC121" s="117" t="n">
        <f aca="false">AC120*Inputs!$C$7/12*1</f>
        <v>3906</v>
      </c>
      <c r="AD121" s="117" t="n">
        <f aca="false">AD120*Inputs!$C$7/12*1</f>
        <v>3906</v>
      </c>
      <c r="AE121" s="117" t="n">
        <f aca="false">AE120*Inputs!$C$7/12*1</f>
        <v>3906</v>
      </c>
      <c r="AF121" s="117" t="n">
        <f aca="false">AF120*Inputs!$C$7/12*1</f>
        <v>3906</v>
      </c>
      <c r="AG121" s="117" t="n">
        <f aca="false">AG120*Inputs!$C$7/12*1</f>
        <v>3906</v>
      </c>
      <c r="AH121" s="117" t="n">
        <f aca="false">AH120*Inputs!$C$7/12*1</f>
        <v>3906</v>
      </c>
      <c r="AI121" s="117" t="n">
        <f aca="false">AI120*Inputs!$C$7/12*1</f>
        <v>3906</v>
      </c>
      <c r="AJ121" s="117" t="n">
        <f aca="false">AJ120*Inputs!$C$7/12*1</f>
        <v>3906</v>
      </c>
      <c r="AK121" s="117" t="n">
        <f aca="false">AK120*Inputs!$C$7/12*1</f>
        <v>3906</v>
      </c>
      <c r="AL121" s="117" t="n">
        <f aca="false">AL120*Inputs!$C$7/12*1</f>
        <v>3906</v>
      </c>
      <c r="AM121" s="117" t="n">
        <f aca="false">AM120*Inputs!$C$7/12*1</f>
        <v>4991.4</v>
      </c>
      <c r="AN121" s="117" t="n">
        <f aca="false">AN120*Inputs!$C$7/12*1</f>
        <v>4991.4</v>
      </c>
      <c r="AO121" s="117" t="n">
        <f aca="false">AO120*Inputs!$C$7/12*1</f>
        <v>4991.4</v>
      </c>
      <c r="AP121" s="117" t="n">
        <f aca="false">AP120*Inputs!$C$7/12*1</f>
        <v>4991.4</v>
      </c>
      <c r="AQ121" s="117" t="n">
        <f aca="false">AQ120*Inputs!$C$7/12*1</f>
        <v>4991.4</v>
      </c>
      <c r="AR121" s="117" t="n">
        <f aca="false">AR120*Inputs!$C$7/12*1</f>
        <v>4991.4</v>
      </c>
      <c r="AS121" s="117" t="n">
        <f aca="false">AS120*Inputs!$C$7/12*1</f>
        <v>4991.4</v>
      </c>
      <c r="AT121" s="117" t="n">
        <f aca="false">AT120*Inputs!$C$7/12*1</f>
        <v>4991.4</v>
      </c>
      <c r="AU121" s="117" t="n">
        <f aca="false">AU120*Inputs!$C$7/12*1</f>
        <v>4991.4</v>
      </c>
      <c r="AV121" s="117" t="n">
        <f aca="false">AV120*Inputs!$C$7/12*1</f>
        <v>4991.4</v>
      </c>
      <c r="AW121" s="117" t="n">
        <f aca="false">AW120*Inputs!$C$7/12*1</f>
        <v>4991.4</v>
      </c>
      <c r="AX121" s="117" t="n">
        <f aca="false">AX120*Inputs!$C$7/12*1</f>
        <v>4991.4</v>
      </c>
      <c r="AY121" s="117" t="n">
        <f aca="false">AY120*Inputs!$C$7/12*1</f>
        <v>6385.14</v>
      </c>
      <c r="AZ121" s="117" t="n">
        <f aca="false">AZ120*Inputs!$C$7/12*1</f>
        <v>6385.14</v>
      </c>
      <c r="BA121" s="117" t="n">
        <f aca="false">BA120*Inputs!$C$7/12*1</f>
        <v>6385.14</v>
      </c>
      <c r="BB121" s="117" t="n">
        <f aca="false">BB120*Inputs!$C$7/12*1</f>
        <v>6385.14</v>
      </c>
      <c r="BC121" s="117" t="n">
        <f aca="false">BC120*Inputs!$C$7/12*1</f>
        <v>6385.14</v>
      </c>
      <c r="BD121" s="117" t="n">
        <f aca="false">BD120*Inputs!$C$7/12*1</f>
        <v>6385.14</v>
      </c>
      <c r="BE121" s="117" t="n">
        <f aca="false">BE120*Inputs!$C$7/12*1</f>
        <v>6385.14</v>
      </c>
      <c r="BF121" s="117" t="n">
        <f aca="false">BF120*Inputs!$C$7/12*1</f>
        <v>6385.14</v>
      </c>
      <c r="BG121" s="117" t="n">
        <f aca="false">BG120*Inputs!$C$7/12*1</f>
        <v>6385.14</v>
      </c>
      <c r="BH121" s="117" t="n">
        <f aca="false">BH120*Inputs!$C$7/12*1</f>
        <v>6385.14</v>
      </c>
      <c r="BI121" s="117" t="n">
        <f aca="false">BI120*Inputs!$C$7/12*1</f>
        <v>6385.14</v>
      </c>
      <c r="BJ121" s="117" t="n">
        <f aca="false">BJ120*Inputs!$C$7/12*1</f>
        <v>6385.14</v>
      </c>
    </row>
    <row r="122" customFormat="false" ht="15" hidden="false" customHeight="false" outlineLevel="0" collapsed="false">
      <c r="A122" s="6" t="s">
        <v>403</v>
      </c>
      <c r="C122" s="117" t="n">
        <f aca="false">C210*Inputs!$C$7/12*1*Inputs!$C$8</f>
        <v>330</v>
      </c>
      <c r="D122" s="117" t="n">
        <f aca="false">D210*Inputs!$C$7/12*1*Inputs!$C$8</f>
        <v>330</v>
      </c>
      <c r="E122" s="117" t="n">
        <f aca="false">E210*Inputs!$C$7/12*1*Inputs!$C$8</f>
        <v>330</v>
      </c>
      <c r="F122" s="117" t="n">
        <f aca="false">F210*Inputs!$C$7/12*1*Inputs!$C$8</f>
        <v>330</v>
      </c>
      <c r="G122" s="117" t="n">
        <f aca="false">G210*Inputs!$C$7/12*1*Inputs!$C$8</f>
        <v>330</v>
      </c>
      <c r="H122" s="117" t="n">
        <f aca="false">H210*Inputs!$C$7/12*1*Inputs!$C$8</f>
        <v>330</v>
      </c>
      <c r="I122" s="117" t="n">
        <f aca="false">I210*Inputs!$C$7/12*1*Inputs!$C$8</f>
        <v>330</v>
      </c>
      <c r="J122" s="117" t="n">
        <f aca="false">J210*Inputs!$C$7/12*1*Inputs!$C$8</f>
        <v>330</v>
      </c>
      <c r="K122" s="117" t="n">
        <f aca="false">K210*Inputs!$C$7/12*1*Inputs!$C$8</f>
        <v>330</v>
      </c>
      <c r="L122" s="117" t="n">
        <f aca="false">L210*Inputs!$C$7/12*1*Inputs!$C$8</f>
        <v>330</v>
      </c>
      <c r="M122" s="117" t="n">
        <f aca="false">M210*Inputs!$C$7/12*1*Inputs!$C$8</f>
        <v>330</v>
      </c>
      <c r="N122" s="117" t="n">
        <f aca="false">N210*Inputs!$C$7/12*1*Inputs!$C$8</f>
        <v>330</v>
      </c>
      <c r="O122" s="117" t="n">
        <f aca="false">O210*Inputs!$C$7/12*1*Inputs!$C$8</f>
        <v>396</v>
      </c>
      <c r="P122" s="117" t="n">
        <f aca="false">P210*Inputs!$C$7/12*1*Inputs!$C$8</f>
        <v>396</v>
      </c>
      <c r="Q122" s="117" t="n">
        <f aca="false">Q210*Inputs!$C$7/12*1*Inputs!$C$8</f>
        <v>396</v>
      </c>
      <c r="R122" s="117" t="n">
        <f aca="false">R210*Inputs!$C$7/12*1*Inputs!$C$8</f>
        <v>396</v>
      </c>
      <c r="S122" s="117" t="n">
        <f aca="false">S210*Inputs!$C$7/12*1*Inputs!$C$8</f>
        <v>396</v>
      </c>
      <c r="T122" s="117" t="n">
        <f aca="false">T210*Inputs!$C$7/12*1*Inputs!$C$8</f>
        <v>396</v>
      </c>
      <c r="U122" s="117" t="n">
        <f aca="false">U210*Inputs!$C$7/12*1*Inputs!$C$8</f>
        <v>396</v>
      </c>
      <c r="V122" s="117" t="n">
        <f aca="false">V210*Inputs!$C$7/12*1*Inputs!$C$8</f>
        <v>396</v>
      </c>
      <c r="W122" s="117" t="n">
        <f aca="false">W210*Inputs!$C$7/12*1*Inputs!$C$8</f>
        <v>396</v>
      </c>
      <c r="X122" s="117" t="n">
        <f aca="false">X210*Inputs!$C$7/12*1*Inputs!$C$8</f>
        <v>396</v>
      </c>
      <c r="Y122" s="117" t="n">
        <f aca="false">Y210*Inputs!$C$7/12*1*Inputs!$C$8</f>
        <v>396</v>
      </c>
      <c r="Z122" s="117" t="n">
        <f aca="false">Z210*Inputs!$C$7/12*1*Inputs!$C$8</f>
        <v>396</v>
      </c>
      <c r="AA122" s="117" t="n">
        <f aca="false">AA210*Inputs!$C$7/12*1*Inputs!$C$8</f>
        <v>475.2</v>
      </c>
      <c r="AB122" s="117" t="n">
        <f aca="false">AB210*Inputs!$C$7/12*1*Inputs!$C$8</f>
        <v>475.2</v>
      </c>
      <c r="AC122" s="117" t="n">
        <f aca="false">AC210*Inputs!$C$7/12*1*Inputs!$C$8</f>
        <v>475.2</v>
      </c>
      <c r="AD122" s="117" t="n">
        <f aca="false">AD210*Inputs!$C$7/12*1*Inputs!$C$8</f>
        <v>475.2</v>
      </c>
      <c r="AE122" s="117" t="n">
        <f aca="false">AE210*Inputs!$C$7/12*1*Inputs!$C$8</f>
        <v>475.2</v>
      </c>
      <c r="AF122" s="117" t="n">
        <f aca="false">AF210*Inputs!$C$7/12*1*Inputs!$C$8</f>
        <v>475.2</v>
      </c>
      <c r="AG122" s="117" t="n">
        <f aca="false">AG210*Inputs!$C$7/12*1*Inputs!$C$8</f>
        <v>475.2</v>
      </c>
      <c r="AH122" s="117" t="n">
        <f aca="false">AH210*Inputs!$C$7/12*1*Inputs!$C$8</f>
        <v>475.2</v>
      </c>
      <c r="AI122" s="117" t="n">
        <f aca="false">AI210*Inputs!$C$7/12*1*Inputs!$C$8</f>
        <v>475.2</v>
      </c>
      <c r="AJ122" s="117" t="n">
        <f aca="false">AJ210*Inputs!$C$7/12*1*Inputs!$C$8</f>
        <v>475.2</v>
      </c>
      <c r="AK122" s="117" t="n">
        <f aca="false">AK210*Inputs!$C$7/12*1*Inputs!$C$8</f>
        <v>475.2</v>
      </c>
      <c r="AL122" s="117" t="n">
        <f aca="false">AL210*Inputs!$C$7/12*1*Inputs!$C$8</f>
        <v>475.2</v>
      </c>
      <c r="AM122" s="117" t="n">
        <f aca="false">AM210*Inputs!$C$7/12*1*Inputs!$C$8</f>
        <v>570.24</v>
      </c>
      <c r="AN122" s="117" t="n">
        <f aca="false">AN210*Inputs!$C$7/12*1*Inputs!$C$8</f>
        <v>570.24</v>
      </c>
      <c r="AO122" s="117" t="n">
        <f aca="false">AO210*Inputs!$C$7/12*1*Inputs!$C$8</f>
        <v>570.24</v>
      </c>
      <c r="AP122" s="117" t="n">
        <f aca="false">AP210*Inputs!$C$7/12*1*Inputs!$C$8</f>
        <v>570.24</v>
      </c>
      <c r="AQ122" s="117" t="n">
        <f aca="false">AQ210*Inputs!$C$7/12*1*Inputs!$C$8</f>
        <v>570.24</v>
      </c>
      <c r="AR122" s="117" t="n">
        <f aca="false">AR210*Inputs!$C$7/12*1*Inputs!$C$8</f>
        <v>570.24</v>
      </c>
      <c r="AS122" s="117" t="n">
        <f aca="false">AS210*Inputs!$C$7/12*1*Inputs!$C$8</f>
        <v>570.24</v>
      </c>
      <c r="AT122" s="117" t="n">
        <f aca="false">AT210*Inputs!$C$7/12*1*Inputs!$C$8</f>
        <v>570.24</v>
      </c>
      <c r="AU122" s="117" t="n">
        <f aca="false">AU210*Inputs!$C$7/12*1*Inputs!$C$8</f>
        <v>570.24</v>
      </c>
      <c r="AV122" s="117" t="n">
        <f aca="false">AV210*Inputs!$C$7/12*1*Inputs!$C$8</f>
        <v>570.24</v>
      </c>
      <c r="AW122" s="117" t="n">
        <f aca="false">AW210*Inputs!$C$7/12*1*Inputs!$C$8</f>
        <v>570.24</v>
      </c>
      <c r="AX122" s="117" t="n">
        <f aca="false">AX210*Inputs!$C$7/12*1*Inputs!$C$8</f>
        <v>570.24</v>
      </c>
      <c r="AY122" s="117" t="n">
        <f aca="false">AY210*Inputs!$C$7/12*1*Inputs!$C$8</f>
        <v>684.288</v>
      </c>
      <c r="AZ122" s="117" t="n">
        <f aca="false">AZ210*Inputs!$C$7/12*1*Inputs!$C$8</f>
        <v>684.288</v>
      </c>
      <c r="BA122" s="117" t="n">
        <f aca="false">BA210*Inputs!$C$7/12*1*Inputs!$C$8</f>
        <v>684.288</v>
      </c>
      <c r="BB122" s="117" t="n">
        <f aca="false">BB210*Inputs!$C$7/12*1*Inputs!$C$8</f>
        <v>684.288</v>
      </c>
      <c r="BC122" s="117" t="n">
        <f aca="false">BC210*Inputs!$C$7/12*1*Inputs!$C$8</f>
        <v>684.288</v>
      </c>
      <c r="BD122" s="117" t="n">
        <f aca="false">BD210*Inputs!$C$7/12*1*Inputs!$C$8</f>
        <v>684.288</v>
      </c>
      <c r="BE122" s="117" t="n">
        <f aca="false">BE210*Inputs!$C$7/12*1*Inputs!$C$8</f>
        <v>684.288</v>
      </c>
      <c r="BF122" s="117" t="n">
        <f aca="false">BF210*Inputs!$C$7/12*1*Inputs!$C$8</f>
        <v>684.288</v>
      </c>
      <c r="BG122" s="117" t="n">
        <f aca="false">BG210*Inputs!$C$7/12*1*Inputs!$C$8</f>
        <v>684.288</v>
      </c>
      <c r="BH122" s="117" t="n">
        <f aca="false">BH210*Inputs!$C$7/12*1*Inputs!$C$8</f>
        <v>684.288</v>
      </c>
      <c r="BI122" s="117" t="n">
        <f aca="false">BI210*Inputs!$C$7/12*1*Inputs!$C$8</f>
        <v>684.288</v>
      </c>
      <c r="BJ122" s="117" t="n">
        <f aca="false">BJ210*Inputs!$C$7/12*1*Inputs!$C$8</f>
        <v>684.288</v>
      </c>
    </row>
    <row r="123" customFormat="false" ht="15" hidden="false" customHeight="false" outlineLevel="0" collapsed="false">
      <c r="A123" s="6" t="s">
        <v>404</v>
      </c>
      <c r="C123" s="117" t="n">
        <f aca="false">C211*Inputs!$C$7/12*1*Inputs!$C$9</f>
        <v>1350</v>
      </c>
      <c r="D123" s="117" t="n">
        <f aca="false">D211*Inputs!$C$7/12*1*Inputs!$C$9</f>
        <v>1350</v>
      </c>
      <c r="E123" s="117" t="n">
        <f aca="false">E211*Inputs!$C$7/12*1*Inputs!$C$9</f>
        <v>1350</v>
      </c>
      <c r="F123" s="117" t="n">
        <f aca="false">F211*Inputs!$C$7/12*1*Inputs!$C$9</f>
        <v>1350</v>
      </c>
      <c r="G123" s="117" t="n">
        <f aca="false">G211*Inputs!$C$7/12*1*Inputs!$C$9</f>
        <v>1350</v>
      </c>
      <c r="H123" s="117" t="n">
        <f aca="false">H211*Inputs!$C$7/12*1*Inputs!$C$9</f>
        <v>1350</v>
      </c>
      <c r="I123" s="117" t="n">
        <f aca="false">I211*Inputs!$C$7/12*1*Inputs!$C$9</f>
        <v>1350</v>
      </c>
      <c r="J123" s="117" t="n">
        <f aca="false">J211*Inputs!$C$7/12*1*Inputs!$C$9</f>
        <v>1350</v>
      </c>
      <c r="K123" s="117" t="n">
        <f aca="false">K211*Inputs!$C$7/12*1*Inputs!$C$9</f>
        <v>1350</v>
      </c>
      <c r="L123" s="117" t="n">
        <f aca="false">L211*Inputs!$C$7/12*1*Inputs!$C$9</f>
        <v>1350</v>
      </c>
      <c r="M123" s="117" t="n">
        <f aca="false">M211*Inputs!$C$7/12*1*Inputs!$C$9</f>
        <v>1350</v>
      </c>
      <c r="N123" s="117" t="n">
        <f aca="false">N211*Inputs!$C$7/12*1*Inputs!$C$9</f>
        <v>1350</v>
      </c>
      <c r="O123" s="117" t="n">
        <f aca="false">O211*Inputs!$C$7/12*1*Inputs!$C$9</f>
        <v>1755</v>
      </c>
      <c r="P123" s="117" t="n">
        <f aca="false">P211*Inputs!$C$7/12*1*Inputs!$C$9</f>
        <v>1755</v>
      </c>
      <c r="Q123" s="117" t="n">
        <f aca="false">Q211*Inputs!$C$7/12*1*Inputs!$C$9</f>
        <v>1755</v>
      </c>
      <c r="R123" s="117" t="n">
        <f aca="false">R211*Inputs!$C$7/12*1*Inputs!$C$9</f>
        <v>1755</v>
      </c>
      <c r="S123" s="117" t="n">
        <f aca="false">S211*Inputs!$C$7/12*1*Inputs!$C$9</f>
        <v>1755</v>
      </c>
      <c r="T123" s="117" t="n">
        <f aca="false">T211*Inputs!$C$7/12*1*Inputs!$C$9</f>
        <v>1755</v>
      </c>
      <c r="U123" s="117" t="n">
        <f aca="false">U211*Inputs!$C$7/12*1*Inputs!$C$9</f>
        <v>1755</v>
      </c>
      <c r="V123" s="117" t="n">
        <f aca="false">V211*Inputs!$C$7/12*1*Inputs!$C$9</f>
        <v>1755</v>
      </c>
      <c r="W123" s="117" t="n">
        <f aca="false">W211*Inputs!$C$7/12*1*Inputs!$C$9</f>
        <v>1755</v>
      </c>
      <c r="X123" s="117" t="n">
        <f aca="false">X211*Inputs!$C$7/12*1*Inputs!$C$9</f>
        <v>1755</v>
      </c>
      <c r="Y123" s="117" t="n">
        <f aca="false">Y211*Inputs!$C$7/12*1*Inputs!$C$9</f>
        <v>1755</v>
      </c>
      <c r="Z123" s="117" t="n">
        <f aca="false">Z211*Inputs!$C$7/12*1*Inputs!$C$9</f>
        <v>1755</v>
      </c>
      <c r="AA123" s="117" t="n">
        <f aca="false">AA211*Inputs!$C$7/12*1*Inputs!$C$9</f>
        <v>2281.5</v>
      </c>
      <c r="AB123" s="117" t="n">
        <f aca="false">AB211*Inputs!$C$7/12*1*Inputs!$C$9</f>
        <v>2281.5</v>
      </c>
      <c r="AC123" s="117" t="n">
        <f aca="false">AC211*Inputs!$C$7/12*1*Inputs!$C$9</f>
        <v>2281.5</v>
      </c>
      <c r="AD123" s="117" t="n">
        <f aca="false">AD211*Inputs!$C$7/12*1*Inputs!$C$9</f>
        <v>2281.5</v>
      </c>
      <c r="AE123" s="117" t="n">
        <f aca="false">AE211*Inputs!$C$7/12*1*Inputs!$C$9</f>
        <v>2281.5</v>
      </c>
      <c r="AF123" s="117" t="n">
        <f aca="false">AF211*Inputs!$C$7/12*1*Inputs!$C$9</f>
        <v>2281.5</v>
      </c>
      <c r="AG123" s="117" t="n">
        <f aca="false">AG211*Inputs!$C$7/12*1*Inputs!$C$9</f>
        <v>2281.5</v>
      </c>
      <c r="AH123" s="117" t="n">
        <f aca="false">AH211*Inputs!$C$7/12*1*Inputs!$C$9</f>
        <v>2281.5</v>
      </c>
      <c r="AI123" s="117" t="n">
        <f aca="false">AI211*Inputs!$C$7/12*1*Inputs!$C$9</f>
        <v>2281.5</v>
      </c>
      <c r="AJ123" s="117" t="n">
        <f aca="false">AJ211*Inputs!$C$7/12*1*Inputs!$C$9</f>
        <v>2281.5</v>
      </c>
      <c r="AK123" s="117" t="n">
        <f aca="false">AK211*Inputs!$C$7/12*1*Inputs!$C$9</f>
        <v>2281.5</v>
      </c>
      <c r="AL123" s="117" t="n">
        <f aca="false">AL211*Inputs!$C$7/12*1*Inputs!$C$9</f>
        <v>2281.5</v>
      </c>
      <c r="AM123" s="117" t="n">
        <f aca="false">AM211*Inputs!$C$7/12*1*Inputs!$C$9</f>
        <v>2965.95</v>
      </c>
      <c r="AN123" s="117" t="n">
        <f aca="false">AN211*Inputs!$C$7/12*1*Inputs!$C$9</f>
        <v>2965.95</v>
      </c>
      <c r="AO123" s="117" t="n">
        <f aca="false">AO211*Inputs!$C$7/12*1*Inputs!$C$9</f>
        <v>2965.95</v>
      </c>
      <c r="AP123" s="117" t="n">
        <f aca="false">AP211*Inputs!$C$7/12*1*Inputs!$C$9</f>
        <v>2965.95</v>
      </c>
      <c r="AQ123" s="117" t="n">
        <f aca="false">AQ211*Inputs!$C$7/12*1*Inputs!$C$9</f>
        <v>2965.95</v>
      </c>
      <c r="AR123" s="117" t="n">
        <f aca="false">AR211*Inputs!$C$7/12*1*Inputs!$C$9</f>
        <v>2965.95</v>
      </c>
      <c r="AS123" s="117" t="n">
        <f aca="false">AS211*Inputs!$C$7/12*1*Inputs!$C$9</f>
        <v>2965.95</v>
      </c>
      <c r="AT123" s="117" t="n">
        <f aca="false">AT211*Inputs!$C$7/12*1*Inputs!$C$9</f>
        <v>2965.95</v>
      </c>
      <c r="AU123" s="117" t="n">
        <f aca="false">AU211*Inputs!$C$7/12*1*Inputs!$C$9</f>
        <v>2965.95</v>
      </c>
      <c r="AV123" s="117" t="n">
        <f aca="false">AV211*Inputs!$C$7/12*1*Inputs!$C$9</f>
        <v>2965.95</v>
      </c>
      <c r="AW123" s="117" t="n">
        <f aca="false">AW211*Inputs!$C$7/12*1*Inputs!$C$9</f>
        <v>2965.95</v>
      </c>
      <c r="AX123" s="117" t="n">
        <f aca="false">AX211*Inputs!$C$7/12*1*Inputs!$C$9</f>
        <v>2965.95</v>
      </c>
      <c r="AY123" s="117" t="n">
        <f aca="false">AY211*Inputs!$C$7/12*1*Inputs!$C$9</f>
        <v>3855.735</v>
      </c>
      <c r="AZ123" s="117" t="n">
        <f aca="false">AZ211*Inputs!$C$7/12*1*Inputs!$C$9</f>
        <v>3855.735</v>
      </c>
      <c r="BA123" s="117" t="n">
        <f aca="false">BA211*Inputs!$C$7/12*1*Inputs!$C$9</f>
        <v>3855.735</v>
      </c>
      <c r="BB123" s="117" t="n">
        <f aca="false">BB211*Inputs!$C$7/12*1*Inputs!$C$9</f>
        <v>3855.735</v>
      </c>
      <c r="BC123" s="117" t="n">
        <f aca="false">BC211*Inputs!$C$7/12*1*Inputs!$C$9</f>
        <v>3855.735</v>
      </c>
      <c r="BD123" s="117" t="n">
        <f aca="false">BD211*Inputs!$C$7/12*1*Inputs!$C$9</f>
        <v>3855.735</v>
      </c>
      <c r="BE123" s="117" t="n">
        <f aca="false">BE211*Inputs!$C$7/12*1*Inputs!$C$9</f>
        <v>3855.735</v>
      </c>
      <c r="BF123" s="117" t="n">
        <f aca="false">BF211*Inputs!$C$7/12*1*Inputs!$C$9</f>
        <v>3855.735</v>
      </c>
      <c r="BG123" s="117" t="n">
        <f aca="false">BG211*Inputs!$C$7/12*1*Inputs!$C$9</f>
        <v>3855.735</v>
      </c>
      <c r="BH123" s="117" t="n">
        <f aca="false">BH211*Inputs!$C$7/12*1*Inputs!$C$9</f>
        <v>3855.735</v>
      </c>
      <c r="BI123" s="117" t="n">
        <f aca="false">BI211*Inputs!$C$7/12*1*Inputs!$C$9</f>
        <v>3855.735</v>
      </c>
      <c r="BJ123" s="117" t="n">
        <f aca="false">BJ211*Inputs!$C$7/12*1*Inputs!$C$9</f>
        <v>3855.735</v>
      </c>
    </row>
    <row r="124" customFormat="false" ht="15" hidden="false" customHeight="false" outlineLevel="0" collapsed="false">
      <c r="A124" s="6" t="s">
        <v>234</v>
      </c>
      <c r="C124" s="117" t="n">
        <f aca="false">Inputs!$C$10*(1+Inputs!$C$11)^(C$117-1)*1</f>
        <v>400</v>
      </c>
      <c r="D124" s="117" t="n">
        <f aca="false">Inputs!$C$10*(1+Inputs!$C$11)^(D$117-1)*1</f>
        <v>400</v>
      </c>
      <c r="E124" s="117" t="n">
        <f aca="false">Inputs!$C$10*(1+Inputs!$C$11)^(E$117-1)*1</f>
        <v>400</v>
      </c>
      <c r="F124" s="117" t="n">
        <f aca="false">Inputs!$C$10*(1+Inputs!$C$11)^(F$117-1)*1</f>
        <v>400</v>
      </c>
      <c r="G124" s="117" t="n">
        <f aca="false">Inputs!$C$10*(1+Inputs!$C$11)^(G$117-1)*1</f>
        <v>400</v>
      </c>
      <c r="H124" s="117" t="n">
        <f aca="false">Inputs!$C$10*(1+Inputs!$C$11)^(H$117-1)*1</f>
        <v>400</v>
      </c>
      <c r="I124" s="117" t="n">
        <f aca="false">Inputs!$C$10*(1+Inputs!$C$11)^(I$117-1)*1</f>
        <v>400</v>
      </c>
      <c r="J124" s="117" t="n">
        <f aca="false">Inputs!$C$10*(1+Inputs!$C$11)^(J$117-1)*1</f>
        <v>400</v>
      </c>
      <c r="K124" s="117" t="n">
        <f aca="false">Inputs!$C$10*(1+Inputs!$C$11)^(K$117-1)*1</f>
        <v>400</v>
      </c>
      <c r="L124" s="117" t="n">
        <f aca="false">Inputs!$C$10*(1+Inputs!$C$11)^(L$117-1)*1</f>
        <v>400</v>
      </c>
      <c r="M124" s="117" t="n">
        <f aca="false">Inputs!$C$10*(1+Inputs!$C$11)^(M$117-1)*1</f>
        <v>400</v>
      </c>
      <c r="N124" s="117" t="n">
        <f aca="false">Inputs!$C$10*(1+Inputs!$C$11)^(N$117-1)*1</f>
        <v>400</v>
      </c>
      <c r="O124" s="117" t="n">
        <f aca="false">Inputs!$C$10*(1+Inputs!$C$11)^(O$117-1)*1</f>
        <v>480</v>
      </c>
      <c r="P124" s="117" t="n">
        <f aca="false">Inputs!$C$10*(1+Inputs!$C$11)^(P$117-1)*1</f>
        <v>480</v>
      </c>
      <c r="Q124" s="117" t="n">
        <f aca="false">Inputs!$C$10*(1+Inputs!$C$11)^(Q$117-1)*1</f>
        <v>480</v>
      </c>
      <c r="R124" s="117" t="n">
        <f aca="false">Inputs!$C$10*(1+Inputs!$C$11)^(R$117-1)*1</f>
        <v>480</v>
      </c>
      <c r="S124" s="117" t="n">
        <f aca="false">Inputs!$C$10*(1+Inputs!$C$11)^(S$117-1)*1</f>
        <v>480</v>
      </c>
      <c r="T124" s="117" t="n">
        <f aca="false">Inputs!$C$10*(1+Inputs!$C$11)^(T$117-1)*1</f>
        <v>480</v>
      </c>
      <c r="U124" s="117" t="n">
        <f aca="false">Inputs!$C$10*(1+Inputs!$C$11)^(U$117-1)*1</f>
        <v>480</v>
      </c>
      <c r="V124" s="117" t="n">
        <f aca="false">Inputs!$C$10*(1+Inputs!$C$11)^(V$117-1)*1</f>
        <v>480</v>
      </c>
      <c r="W124" s="117" t="n">
        <f aca="false">Inputs!$C$10*(1+Inputs!$C$11)^(W$117-1)*1</f>
        <v>480</v>
      </c>
      <c r="X124" s="117" t="n">
        <f aca="false">Inputs!$C$10*(1+Inputs!$C$11)^(X$117-1)*1</f>
        <v>480</v>
      </c>
      <c r="Y124" s="117" t="n">
        <f aca="false">Inputs!$C$10*(1+Inputs!$C$11)^(Y$117-1)*1</f>
        <v>480</v>
      </c>
      <c r="Z124" s="117" t="n">
        <f aca="false">Inputs!$C$10*(1+Inputs!$C$11)^(Z$117-1)*1</f>
        <v>480</v>
      </c>
      <c r="AA124" s="117" t="n">
        <f aca="false">Inputs!$C$10*(1+Inputs!$C$11)^(AA$117-1)*1</f>
        <v>576</v>
      </c>
      <c r="AB124" s="117" t="n">
        <f aca="false">Inputs!$C$10*(1+Inputs!$C$11)^(AB$117-1)*1</f>
        <v>576</v>
      </c>
      <c r="AC124" s="117" t="n">
        <f aca="false">Inputs!$C$10*(1+Inputs!$C$11)^(AC$117-1)*1</f>
        <v>576</v>
      </c>
      <c r="AD124" s="117" t="n">
        <f aca="false">Inputs!$C$10*(1+Inputs!$C$11)^(AD$117-1)*1</f>
        <v>576</v>
      </c>
      <c r="AE124" s="117" t="n">
        <f aca="false">Inputs!$C$10*(1+Inputs!$C$11)^(AE$117-1)*1</f>
        <v>576</v>
      </c>
      <c r="AF124" s="117" t="n">
        <f aca="false">Inputs!$C$10*(1+Inputs!$C$11)^(AF$117-1)*1</f>
        <v>576</v>
      </c>
      <c r="AG124" s="117" t="n">
        <f aca="false">Inputs!$C$10*(1+Inputs!$C$11)^(AG$117-1)*1</f>
        <v>576</v>
      </c>
      <c r="AH124" s="117" t="n">
        <f aca="false">Inputs!$C$10*(1+Inputs!$C$11)^(AH$117-1)*1</f>
        <v>576</v>
      </c>
      <c r="AI124" s="117" t="n">
        <f aca="false">Inputs!$C$10*(1+Inputs!$C$11)^(AI$117-1)*1</f>
        <v>576</v>
      </c>
      <c r="AJ124" s="117" t="n">
        <f aca="false">Inputs!$C$10*(1+Inputs!$C$11)^(AJ$117-1)*1</f>
        <v>576</v>
      </c>
      <c r="AK124" s="117" t="n">
        <f aca="false">Inputs!$C$10*(1+Inputs!$C$11)^(AK$117-1)*1</f>
        <v>576</v>
      </c>
      <c r="AL124" s="117" t="n">
        <f aca="false">Inputs!$C$10*(1+Inputs!$C$11)^(AL$117-1)*1</f>
        <v>576</v>
      </c>
      <c r="AM124" s="117" t="n">
        <f aca="false">Inputs!$C$10*(1+Inputs!$C$11)^(AM$117-1)*1</f>
        <v>691.2</v>
      </c>
      <c r="AN124" s="117" t="n">
        <f aca="false">Inputs!$C$10*(1+Inputs!$C$11)^(AN$117-1)*1</f>
        <v>691.2</v>
      </c>
      <c r="AO124" s="117" t="n">
        <f aca="false">Inputs!$C$10*(1+Inputs!$C$11)^(AO$117-1)*1</f>
        <v>691.2</v>
      </c>
      <c r="AP124" s="117" t="n">
        <f aca="false">Inputs!$C$10*(1+Inputs!$C$11)^(AP$117-1)*1</f>
        <v>691.2</v>
      </c>
      <c r="AQ124" s="117" t="n">
        <f aca="false">Inputs!$C$10*(1+Inputs!$C$11)^(AQ$117-1)*1</f>
        <v>691.2</v>
      </c>
      <c r="AR124" s="117" t="n">
        <f aca="false">Inputs!$C$10*(1+Inputs!$C$11)^(AR$117-1)*1</f>
        <v>691.2</v>
      </c>
      <c r="AS124" s="117" t="n">
        <f aca="false">Inputs!$C$10*(1+Inputs!$C$11)^(AS$117-1)*1</f>
        <v>691.2</v>
      </c>
      <c r="AT124" s="117" t="n">
        <f aca="false">Inputs!$C$10*(1+Inputs!$C$11)^(AT$117-1)*1</f>
        <v>691.2</v>
      </c>
      <c r="AU124" s="117" t="n">
        <f aca="false">Inputs!$C$10*(1+Inputs!$C$11)^(AU$117-1)*1</f>
        <v>691.2</v>
      </c>
      <c r="AV124" s="117" t="n">
        <f aca="false">Inputs!$C$10*(1+Inputs!$C$11)^(AV$117-1)*1</f>
        <v>691.2</v>
      </c>
      <c r="AW124" s="117" t="n">
        <f aca="false">Inputs!$C$10*(1+Inputs!$C$11)^(AW$117-1)*1</f>
        <v>691.2</v>
      </c>
      <c r="AX124" s="117" t="n">
        <f aca="false">Inputs!$C$10*(1+Inputs!$C$11)^(AX$117-1)*1</f>
        <v>691.2</v>
      </c>
      <c r="AY124" s="117" t="n">
        <f aca="false">Inputs!$C$10*(1+Inputs!$C$11)^(AY$117-1)*1</f>
        <v>829.44</v>
      </c>
      <c r="AZ124" s="117" t="n">
        <f aca="false">Inputs!$C$10*(1+Inputs!$C$11)^(AZ$117-1)*1</f>
        <v>829.44</v>
      </c>
      <c r="BA124" s="117" t="n">
        <f aca="false">Inputs!$C$10*(1+Inputs!$C$11)^(BA$117-1)*1</f>
        <v>829.44</v>
      </c>
      <c r="BB124" s="117" t="n">
        <f aca="false">Inputs!$C$10*(1+Inputs!$C$11)^(BB$117-1)*1</f>
        <v>829.44</v>
      </c>
      <c r="BC124" s="117" t="n">
        <f aca="false">Inputs!$C$10*(1+Inputs!$C$11)^(BC$117-1)*1</f>
        <v>829.44</v>
      </c>
      <c r="BD124" s="117" t="n">
        <f aca="false">Inputs!$C$10*(1+Inputs!$C$11)^(BD$117-1)*1</f>
        <v>829.44</v>
      </c>
      <c r="BE124" s="117" t="n">
        <f aca="false">Inputs!$C$10*(1+Inputs!$C$11)^(BE$117-1)*1</f>
        <v>829.44</v>
      </c>
      <c r="BF124" s="117" t="n">
        <f aca="false">Inputs!$C$10*(1+Inputs!$C$11)^(BF$117-1)*1</f>
        <v>829.44</v>
      </c>
      <c r="BG124" s="117" t="n">
        <f aca="false">Inputs!$C$10*(1+Inputs!$C$11)^(BG$117-1)*1</f>
        <v>829.44</v>
      </c>
      <c r="BH124" s="117" t="n">
        <f aca="false">Inputs!$C$10*(1+Inputs!$C$11)^(BH$117-1)*1</f>
        <v>829.44</v>
      </c>
      <c r="BI124" s="117" t="n">
        <f aca="false">Inputs!$C$10*(1+Inputs!$C$11)^(BI$117-1)*1</f>
        <v>829.44</v>
      </c>
      <c r="BJ124" s="117" t="n">
        <f aca="false">Inputs!$C$10*(1+Inputs!$C$11)^(BJ$117-1)*1</f>
        <v>829.44</v>
      </c>
    </row>
    <row r="125" customFormat="false" ht="15" hidden="false" customHeight="false" outlineLevel="0" collapsed="false">
      <c r="A125" s="4" t="s">
        <v>405</v>
      </c>
      <c r="C125" s="118" t="n">
        <f aca="false">C122+C123+C124</f>
        <v>2080</v>
      </c>
      <c r="D125" s="118" t="n">
        <f aca="false">D122+D123+D124</f>
        <v>2080</v>
      </c>
      <c r="E125" s="118" t="n">
        <f aca="false">E122+E123+E124</f>
        <v>2080</v>
      </c>
      <c r="F125" s="118" t="n">
        <f aca="false">F122+F123+F124</f>
        <v>2080</v>
      </c>
      <c r="G125" s="118" t="n">
        <f aca="false">G122+G123+G124</f>
        <v>2080</v>
      </c>
      <c r="H125" s="118" t="n">
        <f aca="false">H122+H123+H124</f>
        <v>2080</v>
      </c>
      <c r="I125" s="118" t="n">
        <f aca="false">I122+I123+I124</f>
        <v>2080</v>
      </c>
      <c r="J125" s="118" t="n">
        <f aca="false">J122+J123+J124</f>
        <v>2080</v>
      </c>
      <c r="K125" s="118" t="n">
        <f aca="false">K122+K123+K124</f>
        <v>2080</v>
      </c>
      <c r="L125" s="118" t="n">
        <f aca="false">L122+L123+L124</f>
        <v>2080</v>
      </c>
      <c r="M125" s="118" t="n">
        <f aca="false">M122+M123+M124</f>
        <v>2080</v>
      </c>
      <c r="N125" s="118" t="n">
        <f aca="false">N122+N123+N124</f>
        <v>2080</v>
      </c>
      <c r="O125" s="118" t="n">
        <f aca="false">O122+O123+O124</f>
        <v>2631</v>
      </c>
      <c r="P125" s="118" t="n">
        <f aca="false">P122+P123+P124</f>
        <v>2631</v>
      </c>
      <c r="Q125" s="118" t="n">
        <f aca="false">Q122+Q123+Q124</f>
        <v>2631</v>
      </c>
      <c r="R125" s="118" t="n">
        <f aca="false">R122+R123+R124</f>
        <v>2631</v>
      </c>
      <c r="S125" s="118" t="n">
        <f aca="false">S122+S123+S124</f>
        <v>2631</v>
      </c>
      <c r="T125" s="118" t="n">
        <f aca="false">T122+T123+T124</f>
        <v>2631</v>
      </c>
      <c r="U125" s="118" t="n">
        <f aca="false">U122+U123+U124</f>
        <v>2631</v>
      </c>
      <c r="V125" s="118" t="n">
        <f aca="false">V122+V123+V124</f>
        <v>2631</v>
      </c>
      <c r="W125" s="118" t="n">
        <f aca="false">W122+W123+W124</f>
        <v>2631</v>
      </c>
      <c r="X125" s="118" t="n">
        <f aca="false">X122+X123+X124</f>
        <v>2631</v>
      </c>
      <c r="Y125" s="118" t="n">
        <f aca="false">Y122+Y123+Y124</f>
        <v>2631</v>
      </c>
      <c r="Z125" s="118" t="n">
        <f aca="false">Z122+Z123+Z124</f>
        <v>2631</v>
      </c>
      <c r="AA125" s="118" t="n">
        <f aca="false">AA122+AA123+AA124</f>
        <v>3332.7</v>
      </c>
      <c r="AB125" s="118" t="n">
        <f aca="false">AB122+AB123+AB124</f>
        <v>3332.7</v>
      </c>
      <c r="AC125" s="118" t="n">
        <f aca="false">AC122+AC123+AC124</f>
        <v>3332.7</v>
      </c>
      <c r="AD125" s="118" t="n">
        <f aca="false">AD122+AD123+AD124</f>
        <v>3332.7</v>
      </c>
      <c r="AE125" s="118" t="n">
        <f aca="false">AE122+AE123+AE124</f>
        <v>3332.7</v>
      </c>
      <c r="AF125" s="118" t="n">
        <f aca="false">AF122+AF123+AF124</f>
        <v>3332.7</v>
      </c>
      <c r="AG125" s="118" t="n">
        <f aca="false">AG122+AG123+AG124</f>
        <v>3332.7</v>
      </c>
      <c r="AH125" s="118" t="n">
        <f aca="false">AH122+AH123+AH124</f>
        <v>3332.7</v>
      </c>
      <c r="AI125" s="118" t="n">
        <f aca="false">AI122+AI123+AI124</f>
        <v>3332.7</v>
      </c>
      <c r="AJ125" s="118" t="n">
        <f aca="false">AJ122+AJ123+AJ124</f>
        <v>3332.7</v>
      </c>
      <c r="AK125" s="118" t="n">
        <f aca="false">AK122+AK123+AK124</f>
        <v>3332.7</v>
      </c>
      <c r="AL125" s="118" t="n">
        <f aca="false">AL122+AL123+AL124</f>
        <v>3332.7</v>
      </c>
      <c r="AM125" s="118" t="n">
        <f aca="false">AM122+AM123+AM124</f>
        <v>4227.39</v>
      </c>
      <c r="AN125" s="118" t="n">
        <f aca="false">AN122+AN123+AN124</f>
        <v>4227.39</v>
      </c>
      <c r="AO125" s="118" t="n">
        <f aca="false">AO122+AO123+AO124</f>
        <v>4227.39</v>
      </c>
      <c r="AP125" s="118" t="n">
        <f aca="false">AP122+AP123+AP124</f>
        <v>4227.39</v>
      </c>
      <c r="AQ125" s="118" t="n">
        <f aca="false">AQ122+AQ123+AQ124</f>
        <v>4227.39</v>
      </c>
      <c r="AR125" s="118" t="n">
        <f aca="false">AR122+AR123+AR124</f>
        <v>4227.39</v>
      </c>
      <c r="AS125" s="118" t="n">
        <f aca="false">AS122+AS123+AS124</f>
        <v>4227.39</v>
      </c>
      <c r="AT125" s="118" t="n">
        <f aca="false">AT122+AT123+AT124</f>
        <v>4227.39</v>
      </c>
      <c r="AU125" s="118" t="n">
        <f aca="false">AU122+AU123+AU124</f>
        <v>4227.39</v>
      </c>
      <c r="AV125" s="118" t="n">
        <f aca="false">AV122+AV123+AV124</f>
        <v>4227.39</v>
      </c>
      <c r="AW125" s="118" t="n">
        <f aca="false">AW122+AW123+AW124</f>
        <v>4227.39</v>
      </c>
      <c r="AX125" s="118" t="n">
        <f aca="false">AX122+AX123+AX124</f>
        <v>4227.39</v>
      </c>
      <c r="AY125" s="118" t="n">
        <f aca="false">AY122+AY123+AY124</f>
        <v>5369.463</v>
      </c>
      <c r="AZ125" s="118" t="n">
        <f aca="false">AZ122+AZ123+AZ124</f>
        <v>5369.463</v>
      </c>
      <c r="BA125" s="118" t="n">
        <f aca="false">BA122+BA123+BA124</f>
        <v>5369.463</v>
      </c>
      <c r="BB125" s="118" t="n">
        <f aca="false">BB122+BB123+BB124</f>
        <v>5369.463</v>
      </c>
      <c r="BC125" s="118" t="n">
        <f aca="false">BC122+BC123+BC124</f>
        <v>5369.463</v>
      </c>
      <c r="BD125" s="118" t="n">
        <f aca="false">BD122+BD123+BD124</f>
        <v>5369.463</v>
      </c>
      <c r="BE125" s="118" t="n">
        <f aca="false">BE122+BE123+BE124</f>
        <v>5369.463</v>
      </c>
      <c r="BF125" s="118" t="n">
        <f aca="false">BF122+BF123+BF124</f>
        <v>5369.463</v>
      </c>
      <c r="BG125" s="118" t="n">
        <f aca="false">BG122+BG123+BG124</f>
        <v>5369.463</v>
      </c>
      <c r="BH125" s="118" t="n">
        <f aca="false">BH122+BH123+BH124</f>
        <v>5369.463</v>
      </c>
      <c r="BI125" s="118" t="n">
        <f aca="false">BI122+BI123+BI124</f>
        <v>5369.463</v>
      </c>
      <c r="BJ125" s="118" t="n">
        <f aca="false">BJ122+BJ123+BJ124</f>
        <v>5369.463</v>
      </c>
    </row>
    <row r="127" customFormat="false" ht="15.75" hidden="false" customHeight="true" outlineLevel="0" collapsed="false">
      <c r="A127" s="7" t="s">
        <v>406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customFormat="false" ht="15" hidden="false" customHeight="false" outlineLevel="0" collapsed="false">
      <c r="A128" s="6" t="s">
        <v>407</v>
      </c>
      <c r="C128" s="119" t="n">
        <f aca="false">Inputs!$C$14*(1+Inputs!$C$17)^(C$117-1)</f>
        <v>350</v>
      </c>
      <c r="D128" s="119" t="n">
        <f aca="false">Inputs!$C$14*(1+Inputs!$C$17)^(D$117-1)</f>
        <v>350</v>
      </c>
      <c r="E128" s="119" t="n">
        <f aca="false">Inputs!$C$14*(1+Inputs!$C$17)^(E$117-1)</f>
        <v>350</v>
      </c>
      <c r="F128" s="119" t="n">
        <f aca="false">Inputs!$C$14*(1+Inputs!$C$17)^(F$117-1)</f>
        <v>350</v>
      </c>
      <c r="G128" s="119" t="n">
        <f aca="false">Inputs!$C$14*(1+Inputs!$C$17)^(G$117-1)</f>
        <v>350</v>
      </c>
      <c r="H128" s="119" t="n">
        <f aca="false">Inputs!$C$14*(1+Inputs!$C$17)^(H$117-1)</f>
        <v>350</v>
      </c>
      <c r="I128" s="119" t="n">
        <f aca="false">Inputs!$C$14*(1+Inputs!$C$17)^(I$117-1)</f>
        <v>350</v>
      </c>
      <c r="J128" s="119" t="n">
        <f aca="false">Inputs!$C$14*(1+Inputs!$C$17)^(J$117-1)</f>
        <v>350</v>
      </c>
      <c r="K128" s="119" t="n">
        <f aca="false">Inputs!$C$14*(1+Inputs!$C$17)^(K$117-1)</f>
        <v>350</v>
      </c>
      <c r="L128" s="119" t="n">
        <f aca="false">Inputs!$C$14*(1+Inputs!$C$17)^(L$117-1)</f>
        <v>350</v>
      </c>
      <c r="M128" s="119" t="n">
        <f aca="false">Inputs!$C$14*(1+Inputs!$C$17)^(M$117-1)</f>
        <v>350</v>
      </c>
      <c r="N128" s="119" t="n">
        <f aca="false">Inputs!$C$14*(1+Inputs!$C$17)^(N$117-1)</f>
        <v>350</v>
      </c>
      <c r="O128" s="119" t="n">
        <f aca="false">Inputs!$C$14*(1+Inputs!$C$17)^(O$117-1)</f>
        <v>360.5</v>
      </c>
      <c r="P128" s="119" t="n">
        <f aca="false">Inputs!$C$14*(1+Inputs!$C$17)^(P$117-1)</f>
        <v>360.5</v>
      </c>
      <c r="Q128" s="119" t="n">
        <f aca="false">Inputs!$C$14*(1+Inputs!$C$17)^(Q$117-1)</f>
        <v>360.5</v>
      </c>
      <c r="R128" s="119" t="n">
        <f aca="false">Inputs!$C$14*(1+Inputs!$C$17)^(R$117-1)</f>
        <v>360.5</v>
      </c>
      <c r="S128" s="119" t="n">
        <f aca="false">Inputs!$C$14*(1+Inputs!$C$17)^(S$117-1)</f>
        <v>360.5</v>
      </c>
      <c r="T128" s="119" t="n">
        <f aca="false">Inputs!$C$14*(1+Inputs!$C$17)^(T$117-1)</f>
        <v>360.5</v>
      </c>
      <c r="U128" s="119" t="n">
        <f aca="false">Inputs!$C$14*(1+Inputs!$C$17)^(U$117-1)</f>
        <v>360.5</v>
      </c>
      <c r="V128" s="119" t="n">
        <f aca="false">Inputs!$C$14*(1+Inputs!$C$17)^(V$117-1)</f>
        <v>360.5</v>
      </c>
      <c r="W128" s="119" t="n">
        <f aca="false">Inputs!$C$14*(1+Inputs!$C$17)^(W$117-1)</f>
        <v>360.5</v>
      </c>
      <c r="X128" s="119" t="n">
        <f aca="false">Inputs!$C$14*(1+Inputs!$C$17)^(X$117-1)</f>
        <v>360.5</v>
      </c>
      <c r="Y128" s="119" t="n">
        <f aca="false">Inputs!$C$14*(1+Inputs!$C$17)^(Y$117-1)</f>
        <v>360.5</v>
      </c>
      <c r="Z128" s="119" t="n">
        <f aca="false">Inputs!$C$14*(1+Inputs!$C$17)^(Z$117-1)</f>
        <v>360.5</v>
      </c>
      <c r="AA128" s="119" t="n">
        <f aca="false">Inputs!$C$14*(1+Inputs!$C$17)^(AA$117-1)</f>
        <v>371.315</v>
      </c>
      <c r="AB128" s="119" t="n">
        <f aca="false">Inputs!$C$14*(1+Inputs!$C$17)^(AB$117-1)</f>
        <v>371.315</v>
      </c>
      <c r="AC128" s="119" t="n">
        <f aca="false">Inputs!$C$14*(1+Inputs!$C$17)^(AC$117-1)</f>
        <v>371.315</v>
      </c>
      <c r="AD128" s="119" t="n">
        <f aca="false">Inputs!$C$14*(1+Inputs!$C$17)^(AD$117-1)</f>
        <v>371.315</v>
      </c>
      <c r="AE128" s="119" t="n">
        <f aca="false">Inputs!$C$14*(1+Inputs!$C$17)^(AE$117-1)</f>
        <v>371.315</v>
      </c>
      <c r="AF128" s="119" t="n">
        <f aca="false">Inputs!$C$14*(1+Inputs!$C$17)^(AF$117-1)</f>
        <v>371.315</v>
      </c>
      <c r="AG128" s="119" t="n">
        <f aca="false">Inputs!$C$14*(1+Inputs!$C$17)^(AG$117-1)</f>
        <v>371.315</v>
      </c>
      <c r="AH128" s="119" t="n">
        <f aca="false">Inputs!$C$14*(1+Inputs!$C$17)^(AH$117-1)</f>
        <v>371.315</v>
      </c>
      <c r="AI128" s="119" t="n">
        <f aca="false">Inputs!$C$14*(1+Inputs!$C$17)^(AI$117-1)</f>
        <v>371.315</v>
      </c>
      <c r="AJ128" s="119" t="n">
        <f aca="false">Inputs!$C$14*(1+Inputs!$C$17)^(AJ$117-1)</f>
        <v>371.315</v>
      </c>
      <c r="AK128" s="119" t="n">
        <f aca="false">Inputs!$C$14*(1+Inputs!$C$17)^(AK$117-1)</f>
        <v>371.315</v>
      </c>
      <c r="AL128" s="119" t="n">
        <f aca="false">Inputs!$C$14*(1+Inputs!$C$17)^(AL$117-1)</f>
        <v>371.315</v>
      </c>
      <c r="AM128" s="119" t="n">
        <f aca="false">Inputs!$C$14*(1+Inputs!$C$17)^(AM$117-1)</f>
        <v>382.45445</v>
      </c>
      <c r="AN128" s="119" t="n">
        <f aca="false">Inputs!$C$14*(1+Inputs!$C$17)^(AN$117-1)</f>
        <v>382.45445</v>
      </c>
      <c r="AO128" s="119" t="n">
        <f aca="false">Inputs!$C$14*(1+Inputs!$C$17)^(AO$117-1)</f>
        <v>382.45445</v>
      </c>
      <c r="AP128" s="119" t="n">
        <f aca="false">Inputs!$C$14*(1+Inputs!$C$17)^(AP$117-1)</f>
        <v>382.45445</v>
      </c>
      <c r="AQ128" s="119" t="n">
        <f aca="false">Inputs!$C$14*(1+Inputs!$C$17)^(AQ$117-1)</f>
        <v>382.45445</v>
      </c>
      <c r="AR128" s="119" t="n">
        <f aca="false">Inputs!$C$14*(1+Inputs!$C$17)^(AR$117-1)</f>
        <v>382.45445</v>
      </c>
      <c r="AS128" s="119" t="n">
        <f aca="false">Inputs!$C$14*(1+Inputs!$C$17)^(AS$117-1)</f>
        <v>382.45445</v>
      </c>
      <c r="AT128" s="119" t="n">
        <f aca="false">Inputs!$C$14*(1+Inputs!$C$17)^(AT$117-1)</f>
        <v>382.45445</v>
      </c>
      <c r="AU128" s="119" t="n">
        <f aca="false">Inputs!$C$14*(1+Inputs!$C$17)^(AU$117-1)</f>
        <v>382.45445</v>
      </c>
      <c r="AV128" s="119" t="n">
        <f aca="false">Inputs!$C$14*(1+Inputs!$C$17)^(AV$117-1)</f>
        <v>382.45445</v>
      </c>
      <c r="AW128" s="119" t="n">
        <f aca="false">Inputs!$C$14*(1+Inputs!$C$17)^(AW$117-1)</f>
        <v>382.45445</v>
      </c>
      <c r="AX128" s="119" t="n">
        <f aca="false">Inputs!$C$14*(1+Inputs!$C$17)^(AX$117-1)</f>
        <v>382.45445</v>
      </c>
      <c r="AY128" s="119" t="n">
        <f aca="false">Inputs!$C$14*(1+Inputs!$C$17)^(AY$117-1)</f>
        <v>393.9280835</v>
      </c>
      <c r="AZ128" s="119" t="n">
        <f aca="false">Inputs!$C$14*(1+Inputs!$C$17)^(AZ$117-1)</f>
        <v>393.9280835</v>
      </c>
      <c r="BA128" s="119" t="n">
        <f aca="false">Inputs!$C$14*(1+Inputs!$C$17)^(BA$117-1)</f>
        <v>393.9280835</v>
      </c>
      <c r="BB128" s="119" t="n">
        <f aca="false">Inputs!$C$14*(1+Inputs!$C$17)^(BB$117-1)</f>
        <v>393.9280835</v>
      </c>
      <c r="BC128" s="119" t="n">
        <f aca="false">Inputs!$C$14*(1+Inputs!$C$17)^(BC$117-1)</f>
        <v>393.9280835</v>
      </c>
      <c r="BD128" s="119" t="n">
        <f aca="false">Inputs!$C$14*(1+Inputs!$C$17)^(BD$117-1)</f>
        <v>393.9280835</v>
      </c>
      <c r="BE128" s="119" t="n">
        <f aca="false">Inputs!$C$14*(1+Inputs!$C$17)^(BE$117-1)</f>
        <v>393.9280835</v>
      </c>
      <c r="BF128" s="119" t="n">
        <f aca="false">Inputs!$C$14*(1+Inputs!$C$17)^(BF$117-1)</f>
        <v>393.9280835</v>
      </c>
      <c r="BG128" s="119" t="n">
        <f aca="false">Inputs!$C$14*(1+Inputs!$C$17)^(BG$117-1)</f>
        <v>393.9280835</v>
      </c>
      <c r="BH128" s="119" t="n">
        <f aca="false">Inputs!$C$14*(1+Inputs!$C$17)^(BH$117-1)</f>
        <v>393.9280835</v>
      </c>
      <c r="BI128" s="119" t="n">
        <f aca="false">Inputs!$C$14*(1+Inputs!$C$17)^(BI$117-1)</f>
        <v>393.9280835</v>
      </c>
      <c r="BJ128" s="119" t="n">
        <f aca="false">Inputs!$C$14*(1+Inputs!$C$17)^(BJ$117-1)</f>
        <v>393.9280835</v>
      </c>
    </row>
    <row r="129" customFormat="false" ht="15" hidden="false" customHeight="false" outlineLevel="0" collapsed="false">
      <c r="A129" s="6" t="s">
        <v>408</v>
      </c>
      <c r="C129" s="119" t="n">
        <f aca="false">Inputs!$C$15*(1+Inputs!$C$17)^(C$117-1)</f>
        <v>175</v>
      </c>
      <c r="D129" s="119" t="n">
        <f aca="false">Inputs!$C$15*(1+Inputs!$C$17)^(D$117-1)</f>
        <v>175</v>
      </c>
      <c r="E129" s="119" t="n">
        <f aca="false">Inputs!$C$15*(1+Inputs!$C$17)^(E$117-1)</f>
        <v>175</v>
      </c>
      <c r="F129" s="119" t="n">
        <f aca="false">Inputs!$C$15*(1+Inputs!$C$17)^(F$117-1)</f>
        <v>175</v>
      </c>
      <c r="G129" s="119" t="n">
        <f aca="false">Inputs!$C$15*(1+Inputs!$C$17)^(G$117-1)</f>
        <v>175</v>
      </c>
      <c r="H129" s="119" t="n">
        <f aca="false">Inputs!$C$15*(1+Inputs!$C$17)^(H$117-1)</f>
        <v>175</v>
      </c>
      <c r="I129" s="119" t="n">
        <f aca="false">Inputs!$C$15*(1+Inputs!$C$17)^(I$117-1)</f>
        <v>175</v>
      </c>
      <c r="J129" s="119" t="n">
        <f aca="false">Inputs!$C$15*(1+Inputs!$C$17)^(J$117-1)</f>
        <v>175</v>
      </c>
      <c r="K129" s="119" t="n">
        <f aca="false">Inputs!$C$15*(1+Inputs!$C$17)^(K$117-1)</f>
        <v>175</v>
      </c>
      <c r="L129" s="119" t="n">
        <f aca="false">Inputs!$C$15*(1+Inputs!$C$17)^(L$117-1)</f>
        <v>175</v>
      </c>
      <c r="M129" s="119" t="n">
        <f aca="false">Inputs!$C$15*(1+Inputs!$C$17)^(M$117-1)</f>
        <v>175</v>
      </c>
      <c r="N129" s="119" t="n">
        <f aca="false">Inputs!$C$15*(1+Inputs!$C$17)^(N$117-1)</f>
        <v>175</v>
      </c>
      <c r="O129" s="119" t="n">
        <f aca="false">Inputs!$C$15*(1+Inputs!$C$17)^(O$117-1)</f>
        <v>180.25</v>
      </c>
      <c r="P129" s="119" t="n">
        <f aca="false">Inputs!$C$15*(1+Inputs!$C$17)^(P$117-1)</f>
        <v>180.25</v>
      </c>
      <c r="Q129" s="119" t="n">
        <f aca="false">Inputs!$C$15*(1+Inputs!$C$17)^(Q$117-1)</f>
        <v>180.25</v>
      </c>
      <c r="R129" s="119" t="n">
        <f aca="false">Inputs!$C$15*(1+Inputs!$C$17)^(R$117-1)</f>
        <v>180.25</v>
      </c>
      <c r="S129" s="119" t="n">
        <f aca="false">Inputs!$C$15*(1+Inputs!$C$17)^(S$117-1)</f>
        <v>180.25</v>
      </c>
      <c r="T129" s="119" t="n">
        <f aca="false">Inputs!$C$15*(1+Inputs!$C$17)^(T$117-1)</f>
        <v>180.25</v>
      </c>
      <c r="U129" s="119" t="n">
        <f aca="false">Inputs!$C$15*(1+Inputs!$C$17)^(U$117-1)</f>
        <v>180.25</v>
      </c>
      <c r="V129" s="119" t="n">
        <f aca="false">Inputs!$C$15*(1+Inputs!$C$17)^(V$117-1)</f>
        <v>180.25</v>
      </c>
      <c r="W129" s="119" t="n">
        <f aca="false">Inputs!$C$15*(1+Inputs!$C$17)^(W$117-1)</f>
        <v>180.25</v>
      </c>
      <c r="X129" s="119" t="n">
        <f aca="false">Inputs!$C$15*(1+Inputs!$C$17)^(X$117-1)</f>
        <v>180.25</v>
      </c>
      <c r="Y129" s="119" t="n">
        <f aca="false">Inputs!$C$15*(1+Inputs!$C$17)^(Y$117-1)</f>
        <v>180.25</v>
      </c>
      <c r="Z129" s="119" t="n">
        <f aca="false">Inputs!$C$15*(1+Inputs!$C$17)^(Z$117-1)</f>
        <v>180.25</v>
      </c>
      <c r="AA129" s="119" t="n">
        <f aca="false">Inputs!$C$15*(1+Inputs!$C$17)^(AA$117-1)</f>
        <v>185.6575</v>
      </c>
      <c r="AB129" s="119" t="n">
        <f aca="false">Inputs!$C$15*(1+Inputs!$C$17)^(AB$117-1)</f>
        <v>185.6575</v>
      </c>
      <c r="AC129" s="119" t="n">
        <f aca="false">Inputs!$C$15*(1+Inputs!$C$17)^(AC$117-1)</f>
        <v>185.6575</v>
      </c>
      <c r="AD129" s="119" t="n">
        <f aca="false">Inputs!$C$15*(1+Inputs!$C$17)^(AD$117-1)</f>
        <v>185.6575</v>
      </c>
      <c r="AE129" s="119" t="n">
        <f aca="false">Inputs!$C$15*(1+Inputs!$C$17)^(AE$117-1)</f>
        <v>185.6575</v>
      </c>
      <c r="AF129" s="119" t="n">
        <f aca="false">Inputs!$C$15*(1+Inputs!$C$17)^(AF$117-1)</f>
        <v>185.6575</v>
      </c>
      <c r="AG129" s="119" t="n">
        <f aca="false">Inputs!$C$15*(1+Inputs!$C$17)^(AG$117-1)</f>
        <v>185.6575</v>
      </c>
      <c r="AH129" s="119" t="n">
        <f aca="false">Inputs!$C$15*(1+Inputs!$C$17)^(AH$117-1)</f>
        <v>185.6575</v>
      </c>
      <c r="AI129" s="119" t="n">
        <f aca="false">Inputs!$C$15*(1+Inputs!$C$17)^(AI$117-1)</f>
        <v>185.6575</v>
      </c>
      <c r="AJ129" s="119" t="n">
        <f aca="false">Inputs!$C$15*(1+Inputs!$C$17)^(AJ$117-1)</f>
        <v>185.6575</v>
      </c>
      <c r="AK129" s="119" t="n">
        <f aca="false">Inputs!$C$15*(1+Inputs!$C$17)^(AK$117-1)</f>
        <v>185.6575</v>
      </c>
      <c r="AL129" s="119" t="n">
        <f aca="false">Inputs!$C$15*(1+Inputs!$C$17)^(AL$117-1)</f>
        <v>185.6575</v>
      </c>
      <c r="AM129" s="119" t="n">
        <f aca="false">Inputs!$C$15*(1+Inputs!$C$17)^(AM$117-1)</f>
        <v>191.227225</v>
      </c>
      <c r="AN129" s="119" t="n">
        <f aca="false">Inputs!$C$15*(1+Inputs!$C$17)^(AN$117-1)</f>
        <v>191.227225</v>
      </c>
      <c r="AO129" s="119" t="n">
        <f aca="false">Inputs!$C$15*(1+Inputs!$C$17)^(AO$117-1)</f>
        <v>191.227225</v>
      </c>
      <c r="AP129" s="119" t="n">
        <f aca="false">Inputs!$C$15*(1+Inputs!$C$17)^(AP$117-1)</f>
        <v>191.227225</v>
      </c>
      <c r="AQ129" s="119" t="n">
        <f aca="false">Inputs!$C$15*(1+Inputs!$C$17)^(AQ$117-1)</f>
        <v>191.227225</v>
      </c>
      <c r="AR129" s="119" t="n">
        <f aca="false">Inputs!$C$15*(1+Inputs!$C$17)^(AR$117-1)</f>
        <v>191.227225</v>
      </c>
      <c r="AS129" s="119" t="n">
        <f aca="false">Inputs!$C$15*(1+Inputs!$C$17)^(AS$117-1)</f>
        <v>191.227225</v>
      </c>
      <c r="AT129" s="119" t="n">
        <f aca="false">Inputs!$C$15*(1+Inputs!$C$17)^(AT$117-1)</f>
        <v>191.227225</v>
      </c>
      <c r="AU129" s="119" t="n">
        <f aca="false">Inputs!$C$15*(1+Inputs!$C$17)^(AU$117-1)</f>
        <v>191.227225</v>
      </c>
      <c r="AV129" s="119" t="n">
        <f aca="false">Inputs!$C$15*(1+Inputs!$C$17)^(AV$117-1)</f>
        <v>191.227225</v>
      </c>
      <c r="AW129" s="119" t="n">
        <f aca="false">Inputs!$C$15*(1+Inputs!$C$17)^(AW$117-1)</f>
        <v>191.227225</v>
      </c>
      <c r="AX129" s="119" t="n">
        <f aca="false">Inputs!$C$15*(1+Inputs!$C$17)^(AX$117-1)</f>
        <v>191.227225</v>
      </c>
      <c r="AY129" s="119" t="n">
        <f aca="false">Inputs!$C$15*(1+Inputs!$C$17)^(AY$117-1)</f>
        <v>196.96404175</v>
      </c>
      <c r="AZ129" s="119" t="n">
        <f aca="false">Inputs!$C$15*(1+Inputs!$C$17)^(AZ$117-1)</f>
        <v>196.96404175</v>
      </c>
      <c r="BA129" s="119" t="n">
        <f aca="false">Inputs!$C$15*(1+Inputs!$C$17)^(BA$117-1)</f>
        <v>196.96404175</v>
      </c>
      <c r="BB129" s="119" t="n">
        <f aca="false">Inputs!$C$15*(1+Inputs!$C$17)^(BB$117-1)</f>
        <v>196.96404175</v>
      </c>
      <c r="BC129" s="119" t="n">
        <f aca="false">Inputs!$C$15*(1+Inputs!$C$17)^(BC$117-1)</f>
        <v>196.96404175</v>
      </c>
      <c r="BD129" s="119" t="n">
        <f aca="false">Inputs!$C$15*(1+Inputs!$C$17)^(BD$117-1)</f>
        <v>196.96404175</v>
      </c>
      <c r="BE129" s="119" t="n">
        <f aca="false">Inputs!$C$15*(1+Inputs!$C$17)^(BE$117-1)</f>
        <v>196.96404175</v>
      </c>
      <c r="BF129" s="119" t="n">
        <f aca="false">Inputs!$C$15*(1+Inputs!$C$17)^(BF$117-1)</f>
        <v>196.96404175</v>
      </c>
      <c r="BG129" s="119" t="n">
        <f aca="false">Inputs!$C$15*(1+Inputs!$C$17)^(BG$117-1)</f>
        <v>196.96404175</v>
      </c>
      <c r="BH129" s="119" t="n">
        <f aca="false">Inputs!$C$15*(1+Inputs!$C$17)^(BH$117-1)</f>
        <v>196.96404175</v>
      </c>
      <c r="BI129" s="119" t="n">
        <f aca="false">Inputs!$C$15*(1+Inputs!$C$17)^(BI$117-1)</f>
        <v>196.96404175</v>
      </c>
      <c r="BJ129" s="119" t="n">
        <f aca="false">Inputs!$C$15*(1+Inputs!$C$17)^(BJ$117-1)</f>
        <v>196.96404175</v>
      </c>
    </row>
    <row r="130" customFormat="false" ht="15" hidden="false" customHeight="false" outlineLevel="0" collapsed="false">
      <c r="A130" s="6" t="s">
        <v>409</v>
      </c>
      <c r="C130" s="119" t="n">
        <f aca="false">Inputs!$C$16*(1+Inputs!$C$17)^(C$117-1)</f>
        <v>150</v>
      </c>
      <c r="D130" s="119" t="n">
        <f aca="false">Inputs!$C$16*(1+Inputs!$C$17)^(D$117-1)</f>
        <v>150</v>
      </c>
      <c r="E130" s="119" t="n">
        <f aca="false">Inputs!$C$16*(1+Inputs!$C$17)^(E$117-1)</f>
        <v>150</v>
      </c>
      <c r="F130" s="119" t="n">
        <f aca="false">Inputs!$C$16*(1+Inputs!$C$17)^(F$117-1)</f>
        <v>150</v>
      </c>
      <c r="G130" s="119" t="n">
        <f aca="false">Inputs!$C$16*(1+Inputs!$C$17)^(G$117-1)</f>
        <v>150</v>
      </c>
      <c r="H130" s="119" t="n">
        <f aca="false">Inputs!$C$16*(1+Inputs!$C$17)^(H$117-1)</f>
        <v>150</v>
      </c>
      <c r="I130" s="119" t="n">
        <f aca="false">Inputs!$C$16*(1+Inputs!$C$17)^(I$117-1)</f>
        <v>150</v>
      </c>
      <c r="J130" s="119" t="n">
        <f aca="false">Inputs!$C$16*(1+Inputs!$C$17)^(J$117-1)</f>
        <v>150</v>
      </c>
      <c r="K130" s="119" t="n">
        <f aca="false">Inputs!$C$16*(1+Inputs!$C$17)^(K$117-1)</f>
        <v>150</v>
      </c>
      <c r="L130" s="119" t="n">
        <f aca="false">Inputs!$C$16*(1+Inputs!$C$17)^(L$117-1)</f>
        <v>150</v>
      </c>
      <c r="M130" s="119" t="n">
        <f aca="false">Inputs!$C$16*(1+Inputs!$C$17)^(M$117-1)</f>
        <v>150</v>
      </c>
      <c r="N130" s="119" t="n">
        <f aca="false">Inputs!$C$16*(1+Inputs!$C$17)^(N$117-1)</f>
        <v>150</v>
      </c>
      <c r="O130" s="119" t="n">
        <f aca="false">Inputs!$C$16*(1+Inputs!$C$17)^(O$117-1)</f>
        <v>154.5</v>
      </c>
      <c r="P130" s="119" t="n">
        <f aca="false">Inputs!$C$16*(1+Inputs!$C$17)^(P$117-1)</f>
        <v>154.5</v>
      </c>
      <c r="Q130" s="119" t="n">
        <f aca="false">Inputs!$C$16*(1+Inputs!$C$17)^(Q$117-1)</f>
        <v>154.5</v>
      </c>
      <c r="R130" s="119" t="n">
        <f aca="false">Inputs!$C$16*(1+Inputs!$C$17)^(R$117-1)</f>
        <v>154.5</v>
      </c>
      <c r="S130" s="119" t="n">
        <f aca="false">Inputs!$C$16*(1+Inputs!$C$17)^(S$117-1)</f>
        <v>154.5</v>
      </c>
      <c r="T130" s="119" t="n">
        <f aca="false">Inputs!$C$16*(1+Inputs!$C$17)^(T$117-1)</f>
        <v>154.5</v>
      </c>
      <c r="U130" s="119" t="n">
        <f aca="false">Inputs!$C$16*(1+Inputs!$C$17)^(U$117-1)</f>
        <v>154.5</v>
      </c>
      <c r="V130" s="119" t="n">
        <f aca="false">Inputs!$C$16*(1+Inputs!$C$17)^(V$117-1)</f>
        <v>154.5</v>
      </c>
      <c r="W130" s="119" t="n">
        <f aca="false">Inputs!$C$16*(1+Inputs!$C$17)^(W$117-1)</f>
        <v>154.5</v>
      </c>
      <c r="X130" s="119" t="n">
        <f aca="false">Inputs!$C$16*(1+Inputs!$C$17)^(X$117-1)</f>
        <v>154.5</v>
      </c>
      <c r="Y130" s="119" t="n">
        <f aca="false">Inputs!$C$16*(1+Inputs!$C$17)^(Y$117-1)</f>
        <v>154.5</v>
      </c>
      <c r="Z130" s="119" t="n">
        <f aca="false">Inputs!$C$16*(1+Inputs!$C$17)^(Z$117-1)</f>
        <v>154.5</v>
      </c>
      <c r="AA130" s="119" t="n">
        <f aca="false">Inputs!$C$16*(1+Inputs!$C$17)^(AA$117-1)</f>
        <v>159.135</v>
      </c>
      <c r="AB130" s="119" t="n">
        <f aca="false">Inputs!$C$16*(1+Inputs!$C$17)^(AB$117-1)</f>
        <v>159.135</v>
      </c>
      <c r="AC130" s="119" t="n">
        <f aca="false">Inputs!$C$16*(1+Inputs!$C$17)^(AC$117-1)</f>
        <v>159.135</v>
      </c>
      <c r="AD130" s="119" t="n">
        <f aca="false">Inputs!$C$16*(1+Inputs!$C$17)^(AD$117-1)</f>
        <v>159.135</v>
      </c>
      <c r="AE130" s="119" t="n">
        <f aca="false">Inputs!$C$16*(1+Inputs!$C$17)^(AE$117-1)</f>
        <v>159.135</v>
      </c>
      <c r="AF130" s="119" t="n">
        <f aca="false">Inputs!$C$16*(1+Inputs!$C$17)^(AF$117-1)</f>
        <v>159.135</v>
      </c>
      <c r="AG130" s="119" t="n">
        <f aca="false">Inputs!$C$16*(1+Inputs!$C$17)^(AG$117-1)</f>
        <v>159.135</v>
      </c>
      <c r="AH130" s="119" t="n">
        <f aca="false">Inputs!$C$16*(1+Inputs!$C$17)^(AH$117-1)</f>
        <v>159.135</v>
      </c>
      <c r="AI130" s="119" t="n">
        <f aca="false">Inputs!$C$16*(1+Inputs!$C$17)^(AI$117-1)</f>
        <v>159.135</v>
      </c>
      <c r="AJ130" s="119" t="n">
        <f aca="false">Inputs!$C$16*(1+Inputs!$C$17)^(AJ$117-1)</f>
        <v>159.135</v>
      </c>
      <c r="AK130" s="119" t="n">
        <f aca="false">Inputs!$C$16*(1+Inputs!$C$17)^(AK$117-1)</f>
        <v>159.135</v>
      </c>
      <c r="AL130" s="119" t="n">
        <f aca="false">Inputs!$C$16*(1+Inputs!$C$17)^(AL$117-1)</f>
        <v>159.135</v>
      </c>
      <c r="AM130" s="119" t="n">
        <f aca="false">Inputs!$C$16*(1+Inputs!$C$17)^(AM$117-1)</f>
        <v>163.90905</v>
      </c>
      <c r="AN130" s="119" t="n">
        <f aca="false">Inputs!$C$16*(1+Inputs!$C$17)^(AN$117-1)</f>
        <v>163.90905</v>
      </c>
      <c r="AO130" s="119" t="n">
        <f aca="false">Inputs!$C$16*(1+Inputs!$C$17)^(AO$117-1)</f>
        <v>163.90905</v>
      </c>
      <c r="AP130" s="119" t="n">
        <f aca="false">Inputs!$C$16*(1+Inputs!$C$17)^(AP$117-1)</f>
        <v>163.90905</v>
      </c>
      <c r="AQ130" s="119" t="n">
        <f aca="false">Inputs!$C$16*(1+Inputs!$C$17)^(AQ$117-1)</f>
        <v>163.90905</v>
      </c>
      <c r="AR130" s="119" t="n">
        <f aca="false">Inputs!$C$16*(1+Inputs!$C$17)^(AR$117-1)</f>
        <v>163.90905</v>
      </c>
      <c r="AS130" s="119" t="n">
        <f aca="false">Inputs!$C$16*(1+Inputs!$C$17)^(AS$117-1)</f>
        <v>163.90905</v>
      </c>
      <c r="AT130" s="119" t="n">
        <f aca="false">Inputs!$C$16*(1+Inputs!$C$17)^(AT$117-1)</f>
        <v>163.90905</v>
      </c>
      <c r="AU130" s="119" t="n">
        <f aca="false">Inputs!$C$16*(1+Inputs!$C$17)^(AU$117-1)</f>
        <v>163.90905</v>
      </c>
      <c r="AV130" s="119" t="n">
        <f aca="false">Inputs!$C$16*(1+Inputs!$C$17)^(AV$117-1)</f>
        <v>163.90905</v>
      </c>
      <c r="AW130" s="119" t="n">
        <f aca="false">Inputs!$C$16*(1+Inputs!$C$17)^(AW$117-1)</f>
        <v>163.90905</v>
      </c>
      <c r="AX130" s="119" t="n">
        <f aca="false">Inputs!$C$16*(1+Inputs!$C$17)^(AX$117-1)</f>
        <v>163.90905</v>
      </c>
      <c r="AY130" s="119" t="n">
        <f aca="false">Inputs!$C$16*(1+Inputs!$C$17)^(AY$117-1)</f>
        <v>168.8263215</v>
      </c>
      <c r="AZ130" s="119" t="n">
        <f aca="false">Inputs!$C$16*(1+Inputs!$C$17)^(AZ$117-1)</f>
        <v>168.8263215</v>
      </c>
      <c r="BA130" s="119" t="n">
        <f aca="false">Inputs!$C$16*(1+Inputs!$C$17)^(BA$117-1)</f>
        <v>168.8263215</v>
      </c>
      <c r="BB130" s="119" t="n">
        <f aca="false">Inputs!$C$16*(1+Inputs!$C$17)^(BB$117-1)</f>
        <v>168.8263215</v>
      </c>
      <c r="BC130" s="119" t="n">
        <f aca="false">Inputs!$C$16*(1+Inputs!$C$17)^(BC$117-1)</f>
        <v>168.8263215</v>
      </c>
      <c r="BD130" s="119" t="n">
        <f aca="false">Inputs!$C$16*(1+Inputs!$C$17)^(BD$117-1)</f>
        <v>168.8263215</v>
      </c>
      <c r="BE130" s="119" t="n">
        <f aca="false">Inputs!$C$16*(1+Inputs!$C$17)^(BE$117-1)</f>
        <v>168.8263215</v>
      </c>
      <c r="BF130" s="119" t="n">
        <f aca="false">Inputs!$C$16*(1+Inputs!$C$17)^(BF$117-1)</f>
        <v>168.8263215</v>
      </c>
      <c r="BG130" s="119" t="n">
        <f aca="false">Inputs!$C$16*(1+Inputs!$C$17)^(BG$117-1)</f>
        <v>168.8263215</v>
      </c>
      <c r="BH130" s="119" t="n">
        <f aca="false">Inputs!$C$16*(1+Inputs!$C$17)^(BH$117-1)</f>
        <v>168.8263215</v>
      </c>
      <c r="BI130" s="119" t="n">
        <f aca="false">Inputs!$C$16*(1+Inputs!$C$17)^(BI$117-1)</f>
        <v>168.8263215</v>
      </c>
      <c r="BJ130" s="119" t="n">
        <f aca="false">Inputs!$C$16*(1+Inputs!$C$17)^(BJ$117-1)</f>
        <v>168.8263215</v>
      </c>
    </row>
    <row r="131" customFormat="false" ht="15" hidden="false" customHeight="false" outlineLevel="0" collapsed="false">
      <c r="A131" s="6" t="s">
        <v>237</v>
      </c>
      <c r="C131" s="67" t="n">
        <f aca="false">C122*C128+C123*C129+C124*C130</f>
        <v>411750</v>
      </c>
      <c r="D131" s="67" t="n">
        <f aca="false">D122*D128+D123*D129+D124*D130</f>
        <v>411750</v>
      </c>
      <c r="E131" s="67" t="n">
        <f aca="false">E122*E128+E123*E129+E124*E130</f>
        <v>411750</v>
      </c>
      <c r="F131" s="67" t="n">
        <f aca="false">F122*F128+F123*F129+F124*F130</f>
        <v>411750</v>
      </c>
      <c r="G131" s="67" t="n">
        <f aca="false">G122*G128+G123*G129+G124*G130</f>
        <v>411750</v>
      </c>
      <c r="H131" s="67" t="n">
        <f aca="false">H122*H128+H123*H129+H124*H130</f>
        <v>411750</v>
      </c>
      <c r="I131" s="67" t="n">
        <f aca="false">I122*I128+I123*I129+I124*I130</f>
        <v>411750</v>
      </c>
      <c r="J131" s="67" t="n">
        <f aca="false">J122*J128+J123*J129+J124*J130</f>
        <v>411750</v>
      </c>
      <c r="K131" s="67" t="n">
        <f aca="false">K122*K128+K123*K129+K124*K130</f>
        <v>411750</v>
      </c>
      <c r="L131" s="67" t="n">
        <f aca="false">L122*L128+L123*L129+L124*L130</f>
        <v>411750</v>
      </c>
      <c r="M131" s="67" t="n">
        <f aca="false">M122*M128+M123*M129+M124*M130</f>
        <v>411750</v>
      </c>
      <c r="N131" s="67" t="n">
        <f aca="false">N122*N128+N123*N129+N124*N130</f>
        <v>411750</v>
      </c>
      <c r="O131" s="67" t="n">
        <f aca="false">O122*O128+O123*O129+O124*O130</f>
        <v>533256.75</v>
      </c>
      <c r="P131" s="67" t="n">
        <f aca="false">P122*P128+P123*P129+P124*P130</f>
        <v>533256.75</v>
      </c>
      <c r="Q131" s="67" t="n">
        <f aca="false">Q122*Q128+Q123*Q129+Q124*Q130</f>
        <v>533256.75</v>
      </c>
      <c r="R131" s="67" t="n">
        <f aca="false">R122*R128+R123*R129+R124*R130</f>
        <v>533256.75</v>
      </c>
      <c r="S131" s="67" t="n">
        <f aca="false">S122*S128+S123*S129+S124*S130</f>
        <v>533256.75</v>
      </c>
      <c r="T131" s="67" t="n">
        <f aca="false">T122*T128+T123*T129+T124*T130</f>
        <v>533256.75</v>
      </c>
      <c r="U131" s="67" t="n">
        <f aca="false">U122*U128+U123*U129+U124*U130</f>
        <v>533256.75</v>
      </c>
      <c r="V131" s="67" t="n">
        <f aca="false">V122*V128+V123*V129+V124*V130</f>
        <v>533256.75</v>
      </c>
      <c r="W131" s="67" t="n">
        <f aca="false">W122*W128+W123*W129+W124*W130</f>
        <v>533256.75</v>
      </c>
      <c r="X131" s="67" t="n">
        <f aca="false">X122*X128+X123*X129+X124*X130</f>
        <v>533256.75</v>
      </c>
      <c r="Y131" s="67" t="n">
        <f aca="false">Y122*Y128+Y123*Y129+Y124*Y130</f>
        <v>533256.75</v>
      </c>
      <c r="Z131" s="67" t="n">
        <f aca="false">Z122*Z128+Z123*Z129+Z124*Z130</f>
        <v>533256.75</v>
      </c>
      <c r="AA131" s="67" t="n">
        <f aca="false">AA122*AA128+AA123*AA129+AA124*AA130</f>
        <v>691688.23425</v>
      </c>
      <c r="AB131" s="67" t="n">
        <f aca="false">AB122*AB128+AB123*AB129+AB124*AB130</f>
        <v>691688.23425</v>
      </c>
      <c r="AC131" s="67" t="n">
        <f aca="false">AC122*AC128+AC123*AC129+AC124*AC130</f>
        <v>691688.23425</v>
      </c>
      <c r="AD131" s="67" t="n">
        <f aca="false">AD122*AD128+AD123*AD129+AD124*AD130</f>
        <v>691688.23425</v>
      </c>
      <c r="AE131" s="67" t="n">
        <f aca="false">AE122*AE128+AE123*AE129+AE124*AE130</f>
        <v>691688.23425</v>
      </c>
      <c r="AF131" s="67" t="n">
        <f aca="false">AF122*AF128+AF123*AF129+AF124*AF130</f>
        <v>691688.23425</v>
      </c>
      <c r="AG131" s="67" t="n">
        <f aca="false">AG122*AG128+AG123*AG129+AG124*AG130</f>
        <v>691688.23425</v>
      </c>
      <c r="AH131" s="67" t="n">
        <f aca="false">AH122*AH128+AH123*AH129+AH124*AH130</f>
        <v>691688.23425</v>
      </c>
      <c r="AI131" s="67" t="n">
        <f aca="false">AI122*AI128+AI123*AI129+AI124*AI130</f>
        <v>691688.23425</v>
      </c>
      <c r="AJ131" s="67" t="n">
        <f aca="false">AJ122*AJ128+AJ123*AJ129+AJ124*AJ130</f>
        <v>691688.23425</v>
      </c>
      <c r="AK131" s="67" t="n">
        <f aca="false">AK122*AK128+AK123*AK129+AK124*AK130</f>
        <v>691688.23425</v>
      </c>
      <c r="AL131" s="67" t="n">
        <f aca="false">AL122*AL128+AL123*AL129+AL124*AL130</f>
        <v>691688.23425</v>
      </c>
      <c r="AM131" s="67" t="n">
        <f aca="false">AM122*AM128+AM123*AM129+AM124*AM130</f>
        <v>898555.14891675</v>
      </c>
      <c r="AN131" s="67" t="n">
        <f aca="false">AN122*AN128+AN123*AN129+AN124*AN130</f>
        <v>898555.14891675</v>
      </c>
      <c r="AO131" s="67" t="n">
        <f aca="false">AO122*AO128+AO123*AO129+AO124*AO130</f>
        <v>898555.14891675</v>
      </c>
      <c r="AP131" s="67" t="n">
        <f aca="false">AP122*AP128+AP123*AP129+AP124*AP130</f>
        <v>898555.14891675</v>
      </c>
      <c r="AQ131" s="67" t="n">
        <f aca="false">AQ122*AQ128+AQ123*AQ129+AQ124*AQ130</f>
        <v>898555.14891675</v>
      </c>
      <c r="AR131" s="67" t="n">
        <f aca="false">AR122*AR128+AR123*AR129+AR124*AR130</f>
        <v>898555.14891675</v>
      </c>
      <c r="AS131" s="67" t="n">
        <f aca="false">AS122*AS128+AS123*AS129+AS124*AS130</f>
        <v>898555.14891675</v>
      </c>
      <c r="AT131" s="67" t="n">
        <f aca="false">AT122*AT128+AT123*AT129+AT124*AT130</f>
        <v>898555.14891675</v>
      </c>
      <c r="AU131" s="67" t="n">
        <f aca="false">AU122*AU128+AU123*AU129+AU124*AU130</f>
        <v>898555.14891675</v>
      </c>
      <c r="AV131" s="67" t="n">
        <f aca="false">AV122*AV128+AV123*AV129+AV124*AV130</f>
        <v>898555.14891675</v>
      </c>
      <c r="AW131" s="67" t="n">
        <f aca="false">AW122*AW128+AW123*AW129+AW124*AW130</f>
        <v>898555.14891675</v>
      </c>
      <c r="AX131" s="67" t="n">
        <f aca="false">AX122*AX128+AX123*AX129+AX124*AX130</f>
        <v>898555.14891675</v>
      </c>
      <c r="AY131" s="67" t="n">
        <f aca="false">AY122*AY128+AY123*AY129+AY124*AY130</f>
        <v>1169032.71402394</v>
      </c>
      <c r="AZ131" s="67" t="n">
        <f aca="false">AZ122*AZ128+AZ123*AZ129+AZ124*AZ130</f>
        <v>1169032.71402394</v>
      </c>
      <c r="BA131" s="67" t="n">
        <f aca="false">BA122*BA128+BA123*BA129+BA124*BA130</f>
        <v>1169032.71402394</v>
      </c>
      <c r="BB131" s="67" t="n">
        <f aca="false">BB122*BB128+BB123*BB129+BB124*BB130</f>
        <v>1169032.71402394</v>
      </c>
      <c r="BC131" s="67" t="n">
        <f aca="false">BC122*BC128+BC123*BC129+BC124*BC130</f>
        <v>1169032.71402394</v>
      </c>
      <c r="BD131" s="67" t="n">
        <f aca="false">BD122*BD128+BD123*BD129+BD124*BD130</f>
        <v>1169032.71402394</v>
      </c>
      <c r="BE131" s="67" t="n">
        <f aca="false">BE122*BE128+BE123*BE129+BE124*BE130</f>
        <v>1169032.71402394</v>
      </c>
      <c r="BF131" s="67" t="n">
        <f aca="false">BF122*BF128+BF123*BF129+BF124*BF130</f>
        <v>1169032.71402394</v>
      </c>
      <c r="BG131" s="67" t="n">
        <f aca="false">BG122*BG128+BG123*BG129+BG124*BG130</f>
        <v>1169032.71402394</v>
      </c>
      <c r="BH131" s="67" t="n">
        <f aca="false">BH122*BH128+BH123*BH129+BH124*BH130</f>
        <v>1169032.71402394</v>
      </c>
      <c r="BI131" s="67" t="n">
        <f aca="false">BI122*BI128+BI123*BI129+BI124*BI130</f>
        <v>1169032.71402394</v>
      </c>
      <c r="BJ131" s="67" t="n">
        <f aca="false">BJ122*BJ128+BJ123*BJ129+BJ124*BJ130</f>
        <v>1169032.71402394</v>
      </c>
    </row>
    <row r="132" customFormat="false" ht="15" hidden="false" customHeight="false" outlineLevel="0" collapsed="false">
      <c r="A132" s="6" t="s">
        <v>239</v>
      </c>
      <c r="C132" s="67" t="n">
        <f aca="false">C131*Inputs!$C$20*(1-Inputs!$C$21)</f>
        <v>148230</v>
      </c>
      <c r="D132" s="67" t="n">
        <f aca="false">D131*Inputs!$C$20*(1-Inputs!$C$21)</f>
        <v>148230</v>
      </c>
      <c r="E132" s="67" t="n">
        <f aca="false">E131*Inputs!$C$20*(1-Inputs!$C$21)</f>
        <v>148230</v>
      </c>
      <c r="F132" s="67" t="n">
        <f aca="false">F131*Inputs!$C$20*(1-Inputs!$C$21)</f>
        <v>148230</v>
      </c>
      <c r="G132" s="67" t="n">
        <f aca="false">G131*Inputs!$C$20*(1-Inputs!$C$21)</f>
        <v>148230</v>
      </c>
      <c r="H132" s="67" t="n">
        <f aca="false">H131*Inputs!$C$20*(1-Inputs!$C$21)</f>
        <v>148230</v>
      </c>
      <c r="I132" s="67" t="n">
        <f aca="false">I131*Inputs!$C$20*(1-Inputs!$C$21)</f>
        <v>148230</v>
      </c>
      <c r="J132" s="67" t="n">
        <f aca="false">J131*Inputs!$C$20*(1-Inputs!$C$21)</f>
        <v>148230</v>
      </c>
      <c r="K132" s="67" t="n">
        <f aca="false">K131*Inputs!$C$20*(1-Inputs!$C$21)</f>
        <v>148230</v>
      </c>
      <c r="L132" s="67" t="n">
        <f aca="false">L131*Inputs!$C$20*(1-Inputs!$C$21)</f>
        <v>148230</v>
      </c>
      <c r="M132" s="67" t="n">
        <f aca="false">M131*Inputs!$C$20*(1-Inputs!$C$21)</f>
        <v>148230</v>
      </c>
      <c r="N132" s="67" t="n">
        <f aca="false">N131*Inputs!$C$20*(1-Inputs!$C$21)</f>
        <v>148230</v>
      </c>
      <c r="O132" s="67" t="n">
        <f aca="false">O131*Inputs!$C$20*(1-Inputs!$C$21)</f>
        <v>191972.43</v>
      </c>
      <c r="P132" s="67" t="n">
        <f aca="false">P131*Inputs!$C$20*(1-Inputs!$C$21)</f>
        <v>191972.43</v>
      </c>
      <c r="Q132" s="67" t="n">
        <f aca="false">Q131*Inputs!$C$20*(1-Inputs!$C$21)</f>
        <v>191972.43</v>
      </c>
      <c r="R132" s="67" t="n">
        <f aca="false">R131*Inputs!$C$20*(1-Inputs!$C$21)</f>
        <v>191972.43</v>
      </c>
      <c r="S132" s="67" t="n">
        <f aca="false">S131*Inputs!$C$20*(1-Inputs!$C$21)</f>
        <v>191972.43</v>
      </c>
      <c r="T132" s="67" t="n">
        <f aca="false">T131*Inputs!$C$20*(1-Inputs!$C$21)</f>
        <v>191972.43</v>
      </c>
      <c r="U132" s="67" t="n">
        <f aca="false">U131*Inputs!$C$20*(1-Inputs!$C$21)</f>
        <v>191972.43</v>
      </c>
      <c r="V132" s="67" t="n">
        <f aca="false">V131*Inputs!$C$20*(1-Inputs!$C$21)</f>
        <v>191972.43</v>
      </c>
      <c r="W132" s="67" t="n">
        <f aca="false">W131*Inputs!$C$20*(1-Inputs!$C$21)</f>
        <v>191972.43</v>
      </c>
      <c r="X132" s="67" t="n">
        <f aca="false">X131*Inputs!$C$20*(1-Inputs!$C$21)</f>
        <v>191972.43</v>
      </c>
      <c r="Y132" s="67" t="n">
        <f aca="false">Y131*Inputs!$C$20*(1-Inputs!$C$21)</f>
        <v>191972.43</v>
      </c>
      <c r="Z132" s="67" t="n">
        <f aca="false">Z131*Inputs!$C$20*(1-Inputs!$C$21)</f>
        <v>191972.43</v>
      </c>
      <c r="AA132" s="67" t="n">
        <f aca="false">AA131*Inputs!$C$20*(1-Inputs!$C$21)</f>
        <v>249007.76433</v>
      </c>
      <c r="AB132" s="67" t="n">
        <f aca="false">AB131*Inputs!$C$20*(1-Inputs!$C$21)</f>
        <v>249007.76433</v>
      </c>
      <c r="AC132" s="67" t="n">
        <f aca="false">AC131*Inputs!$C$20*(1-Inputs!$C$21)</f>
        <v>249007.76433</v>
      </c>
      <c r="AD132" s="67" t="n">
        <f aca="false">AD131*Inputs!$C$20*(1-Inputs!$C$21)</f>
        <v>249007.76433</v>
      </c>
      <c r="AE132" s="67" t="n">
        <f aca="false">AE131*Inputs!$C$20*(1-Inputs!$C$21)</f>
        <v>249007.76433</v>
      </c>
      <c r="AF132" s="67" t="n">
        <f aca="false">AF131*Inputs!$C$20*(1-Inputs!$C$21)</f>
        <v>249007.76433</v>
      </c>
      <c r="AG132" s="67" t="n">
        <f aca="false">AG131*Inputs!$C$20*(1-Inputs!$C$21)</f>
        <v>249007.76433</v>
      </c>
      <c r="AH132" s="67" t="n">
        <f aca="false">AH131*Inputs!$C$20*(1-Inputs!$C$21)</f>
        <v>249007.76433</v>
      </c>
      <c r="AI132" s="67" t="n">
        <f aca="false">AI131*Inputs!$C$20*(1-Inputs!$C$21)</f>
        <v>249007.76433</v>
      </c>
      <c r="AJ132" s="67" t="n">
        <f aca="false">AJ131*Inputs!$C$20*(1-Inputs!$C$21)</f>
        <v>249007.76433</v>
      </c>
      <c r="AK132" s="67" t="n">
        <f aca="false">AK131*Inputs!$C$20*(1-Inputs!$C$21)</f>
        <v>249007.76433</v>
      </c>
      <c r="AL132" s="67" t="n">
        <f aca="false">AL131*Inputs!$C$20*(1-Inputs!$C$21)</f>
        <v>249007.76433</v>
      </c>
      <c r="AM132" s="67" t="n">
        <f aca="false">AM131*Inputs!$C$20*(1-Inputs!$C$21)</f>
        <v>323479.85361003</v>
      </c>
      <c r="AN132" s="67" t="n">
        <f aca="false">AN131*Inputs!$C$20*(1-Inputs!$C$21)</f>
        <v>323479.85361003</v>
      </c>
      <c r="AO132" s="67" t="n">
        <f aca="false">AO131*Inputs!$C$20*(1-Inputs!$C$21)</f>
        <v>323479.85361003</v>
      </c>
      <c r="AP132" s="67" t="n">
        <f aca="false">AP131*Inputs!$C$20*(1-Inputs!$C$21)</f>
        <v>323479.85361003</v>
      </c>
      <c r="AQ132" s="67" t="n">
        <f aca="false">AQ131*Inputs!$C$20*(1-Inputs!$C$21)</f>
        <v>323479.85361003</v>
      </c>
      <c r="AR132" s="67" t="n">
        <f aca="false">AR131*Inputs!$C$20*(1-Inputs!$C$21)</f>
        <v>323479.85361003</v>
      </c>
      <c r="AS132" s="67" t="n">
        <f aca="false">AS131*Inputs!$C$20*(1-Inputs!$C$21)</f>
        <v>323479.85361003</v>
      </c>
      <c r="AT132" s="67" t="n">
        <f aca="false">AT131*Inputs!$C$20*(1-Inputs!$C$21)</f>
        <v>323479.85361003</v>
      </c>
      <c r="AU132" s="67" t="n">
        <f aca="false">AU131*Inputs!$C$20*(1-Inputs!$C$21)</f>
        <v>323479.85361003</v>
      </c>
      <c r="AV132" s="67" t="n">
        <f aca="false">AV131*Inputs!$C$20*(1-Inputs!$C$21)</f>
        <v>323479.85361003</v>
      </c>
      <c r="AW132" s="67" t="n">
        <f aca="false">AW131*Inputs!$C$20*(1-Inputs!$C$21)</f>
        <v>323479.85361003</v>
      </c>
      <c r="AX132" s="67" t="n">
        <f aca="false">AX131*Inputs!$C$20*(1-Inputs!$C$21)</f>
        <v>323479.85361003</v>
      </c>
      <c r="AY132" s="67" t="n">
        <f aca="false">AY131*Inputs!$C$20*(1-Inputs!$C$21)</f>
        <v>420851.77704862</v>
      </c>
      <c r="AZ132" s="67" t="n">
        <f aca="false">AZ131*Inputs!$C$20*(1-Inputs!$C$21)</f>
        <v>420851.77704862</v>
      </c>
      <c r="BA132" s="67" t="n">
        <f aca="false">BA131*Inputs!$C$20*(1-Inputs!$C$21)</f>
        <v>420851.77704862</v>
      </c>
      <c r="BB132" s="67" t="n">
        <f aca="false">BB131*Inputs!$C$20*(1-Inputs!$C$21)</f>
        <v>420851.77704862</v>
      </c>
      <c r="BC132" s="67" t="n">
        <f aca="false">BC131*Inputs!$C$20*(1-Inputs!$C$21)</f>
        <v>420851.77704862</v>
      </c>
      <c r="BD132" s="67" t="n">
        <f aca="false">BD131*Inputs!$C$20*(1-Inputs!$C$21)</f>
        <v>420851.77704862</v>
      </c>
      <c r="BE132" s="67" t="n">
        <f aca="false">BE131*Inputs!$C$20*(1-Inputs!$C$21)</f>
        <v>420851.77704862</v>
      </c>
      <c r="BF132" s="67" t="n">
        <f aca="false">BF131*Inputs!$C$20*(1-Inputs!$C$21)</f>
        <v>420851.77704862</v>
      </c>
      <c r="BG132" s="67" t="n">
        <f aca="false">BG131*Inputs!$C$20*(1-Inputs!$C$21)</f>
        <v>420851.77704862</v>
      </c>
      <c r="BH132" s="67" t="n">
        <f aca="false">BH131*Inputs!$C$20*(1-Inputs!$C$21)</f>
        <v>420851.77704862</v>
      </c>
      <c r="BI132" s="67" t="n">
        <f aca="false">BI131*Inputs!$C$20*(1-Inputs!$C$21)</f>
        <v>420851.77704862</v>
      </c>
      <c r="BJ132" s="67" t="n">
        <f aca="false">BJ131*Inputs!$C$20*(1-Inputs!$C$21)</f>
        <v>420851.77704862</v>
      </c>
    </row>
    <row r="133" customFormat="false" ht="15" hidden="false" customHeight="false" outlineLevel="0" collapsed="false">
      <c r="A133" s="6" t="s">
        <v>410</v>
      </c>
      <c r="C133" s="67" t="n">
        <f aca="false">C131*(1-Inputs!$C$20)*Inputs!$C$22</f>
        <v>227286</v>
      </c>
      <c r="D133" s="67" t="n">
        <f aca="false">D131*(1-Inputs!$C$20)*Inputs!$C$22</f>
        <v>227286</v>
      </c>
      <c r="E133" s="67" t="n">
        <f aca="false">E131*(1-Inputs!$C$20)*Inputs!$C$22</f>
        <v>227286</v>
      </c>
      <c r="F133" s="67" t="n">
        <f aca="false">F131*(1-Inputs!$C$20)*Inputs!$C$22</f>
        <v>227286</v>
      </c>
      <c r="G133" s="67" t="n">
        <f aca="false">G131*(1-Inputs!$C$20)*Inputs!$C$22</f>
        <v>227286</v>
      </c>
      <c r="H133" s="67" t="n">
        <f aca="false">H131*(1-Inputs!$C$20)*Inputs!$C$22</f>
        <v>227286</v>
      </c>
      <c r="I133" s="67" t="n">
        <f aca="false">I131*(1-Inputs!$C$20)*Inputs!$C$22</f>
        <v>227286</v>
      </c>
      <c r="J133" s="67" t="n">
        <f aca="false">J131*(1-Inputs!$C$20)*Inputs!$C$22</f>
        <v>227286</v>
      </c>
      <c r="K133" s="67" t="n">
        <f aca="false">K131*(1-Inputs!$C$20)*Inputs!$C$22</f>
        <v>227286</v>
      </c>
      <c r="L133" s="67" t="n">
        <f aca="false">L131*(1-Inputs!$C$20)*Inputs!$C$22</f>
        <v>227286</v>
      </c>
      <c r="M133" s="67" t="n">
        <f aca="false">M131*(1-Inputs!$C$20)*Inputs!$C$22</f>
        <v>227286</v>
      </c>
      <c r="N133" s="67" t="n">
        <f aca="false">N131*(1-Inputs!$C$20)*Inputs!$C$22</f>
        <v>227286</v>
      </c>
      <c r="O133" s="67" t="n">
        <f aca="false">O131*(1-Inputs!$C$20)*Inputs!$C$22</f>
        <v>294357.726</v>
      </c>
      <c r="P133" s="67" t="n">
        <f aca="false">P131*(1-Inputs!$C$20)*Inputs!$C$22</f>
        <v>294357.726</v>
      </c>
      <c r="Q133" s="67" t="n">
        <f aca="false">Q131*(1-Inputs!$C$20)*Inputs!$C$22</f>
        <v>294357.726</v>
      </c>
      <c r="R133" s="67" t="n">
        <f aca="false">R131*(1-Inputs!$C$20)*Inputs!$C$22</f>
        <v>294357.726</v>
      </c>
      <c r="S133" s="67" t="n">
        <f aca="false">S131*(1-Inputs!$C$20)*Inputs!$C$22</f>
        <v>294357.726</v>
      </c>
      <c r="T133" s="67" t="n">
        <f aca="false">T131*(1-Inputs!$C$20)*Inputs!$C$22</f>
        <v>294357.726</v>
      </c>
      <c r="U133" s="67" t="n">
        <f aca="false">U131*(1-Inputs!$C$20)*Inputs!$C$22</f>
        <v>294357.726</v>
      </c>
      <c r="V133" s="67" t="n">
        <f aca="false">V131*(1-Inputs!$C$20)*Inputs!$C$22</f>
        <v>294357.726</v>
      </c>
      <c r="W133" s="67" t="n">
        <f aca="false">W131*(1-Inputs!$C$20)*Inputs!$C$22</f>
        <v>294357.726</v>
      </c>
      <c r="X133" s="67" t="n">
        <f aca="false">X131*(1-Inputs!$C$20)*Inputs!$C$22</f>
        <v>294357.726</v>
      </c>
      <c r="Y133" s="67" t="n">
        <f aca="false">Y131*(1-Inputs!$C$20)*Inputs!$C$22</f>
        <v>294357.726</v>
      </c>
      <c r="Z133" s="67" t="n">
        <f aca="false">Z131*(1-Inputs!$C$20)*Inputs!$C$22</f>
        <v>294357.726</v>
      </c>
      <c r="AA133" s="67" t="n">
        <f aca="false">AA131*(1-Inputs!$C$20)*Inputs!$C$22</f>
        <v>381811.905306</v>
      </c>
      <c r="AB133" s="67" t="n">
        <f aca="false">AB131*(1-Inputs!$C$20)*Inputs!$C$22</f>
        <v>381811.905306</v>
      </c>
      <c r="AC133" s="67" t="n">
        <f aca="false">AC131*(1-Inputs!$C$20)*Inputs!$C$22</f>
        <v>381811.905306</v>
      </c>
      <c r="AD133" s="67" t="n">
        <f aca="false">AD131*(1-Inputs!$C$20)*Inputs!$C$22</f>
        <v>381811.905306</v>
      </c>
      <c r="AE133" s="67" t="n">
        <f aca="false">AE131*(1-Inputs!$C$20)*Inputs!$C$22</f>
        <v>381811.905306</v>
      </c>
      <c r="AF133" s="67" t="n">
        <f aca="false">AF131*(1-Inputs!$C$20)*Inputs!$C$22</f>
        <v>381811.905306</v>
      </c>
      <c r="AG133" s="67" t="n">
        <f aca="false">AG131*(1-Inputs!$C$20)*Inputs!$C$22</f>
        <v>381811.905306</v>
      </c>
      <c r="AH133" s="67" t="n">
        <f aca="false">AH131*(1-Inputs!$C$20)*Inputs!$C$22</f>
        <v>381811.905306</v>
      </c>
      <c r="AI133" s="67" t="n">
        <f aca="false">AI131*(1-Inputs!$C$20)*Inputs!$C$22</f>
        <v>381811.905306</v>
      </c>
      <c r="AJ133" s="67" t="n">
        <f aca="false">AJ131*(1-Inputs!$C$20)*Inputs!$C$22</f>
        <v>381811.905306</v>
      </c>
      <c r="AK133" s="67" t="n">
        <f aca="false">AK131*(1-Inputs!$C$20)*Inputs!$C$22</f>
        <v>381811.905306</v>
      </c>
      <c r="AL133" s="67" t="n">
        <f aca="false">AL131*(1-Inputs!$C$20)*Inputs!$C$22</f>
        <v>381811.905306</v>
      </c>
      <c r="AM133" s="67" t="n">
        <f aca="false">AM131*(1-Inputs!$C$20)*Inputs!$C$22</f>
        <v>496002.442202046</v>
      </c>
      <c r="AN133" s="67" t="n">
        <f aca="false">AN131*(1-Inputs!$C$20)*Inputs!$C$22</f>
        <v>496002.442202046</v>
      </c>
      <c r="AO133" s="67" t="n">
        <f aca="false">AO131*(1-Inputs!$C$20)*Inputs!$C$22</f>
        <v>496002.442202046</v>
      </c>
      <c r="AP133" s="67" t="n">
        <f aca="false">AP131*(1-Inputs!$C$20)*Inputs!$C$22</f>
        <v>496002.442202046</v>
      </c>
      <c r="AQ133" s="67" t="n">
        <f aca="false">AQ131*(1-Inputs!$C$20)*Inputs!$C$22</f>
        <v>496002.442202046</v>
      </c>
      <c r="AR133" s="67" t="n">
        <f aca="false">AR131*(1-Inputs!$C$20)*Inputs!$C$22</f>
        <v>496002.442202046</v>
      </c>
      <c r="AS133" s="67" t="n">
        <f aca="false">AS131*(1-Inputs!$C$20)*Inputs!$C$22</f>
        <v>496002.442202046</v>
      </c>
      <c r="AT133" s="67" t="n">
        <f aca="false">AT131*(1-Inputs!$C$20)*Inputs!$C$22</f>
        <v>496002.442202046</v>
      </c>
      <c r="AU133" s="67" t="n">
        <f aca="false">AU131*(1-Inputs!$C$20)*Inputs!$C$22</f>
        <v>496002.442202046</v>
      </c>
      <c r="AV133" s="67" t="n">
        <f aca="false">AV131*(1-Inputs!$C$20)*Inputs!$C$22</f>
        <v>496002.442202046</v>
      </c>
      <c r="AW133" s="67" t="n">
        <f aca="false">AW131*(1-Inputs!$C$20)*Inputs!$C$22</f>
        <v>496002.442202046</v>
      </c>
      <c r="AX133" s="67" t="n">
        <f aca="false">AX131*(1-Inputs!$C$20)*Inputs!$C$22</f>
        <v>496002.442202046</v>
      </c>
      <c r="AY133" s="67" t="n">
        <f aca="false">AY131*(1-Inputs!$C$20)*Inputs!$C$22</f>
        <v>645306.058141218</v>
      </c>
      <c r="AZ133" s="67" t="n">
        <f aca="false">AZ131*(1-Inputs!$C$20)*Inputs!$C$22</f>
        <v>645306.058141218</v>
      </c>
      <c r="BA133" s="67" t="n">
        <f aca="false">BA131*(1-Inputs!$C$20)*Inputs!$C$22</f>
        <v>645306.058141218</v>
      </c>
      <c r="BB133" s="67" t="n">
        <f aca="false">BB131*(1-Inputs!$C$20)*Inputs!$C$22</f>
        <v>645306.058141218</v>
      </c>
      <c r="BC133" s="67" t="n">
        <f aca="false">BC131*(1-Inputs!$C$20)*Inputs!$C$22</f>
        <v>645306.058141218</v>
      </c>
      <c r="BD133" s="67" t="n">
        <f aca="false">BD131*(1-Inputs!$C$20)*Inputs!$C$22</f>
        <v>645306.058141218</v>
      </c>
      <c r="BE133" s="67" t="n">
        <f aca="false">BE131*(1-Inputs!$C$20)*Inputs!$C$22</f>
        <v>645306.058141218</v>
      </c>
      <c r="BF133" s="67" t="n">
        <f aca="false">BF131*(1-Inputs!$C$20)*Inputs!$C$22</f>
        <v>645306.058141218</v>
      </c>
      <c r="BG133" s="67" t="n">
        <f aca="false">BG131*(1-Inputs!$C$20)*Inputs!$C$22</f>
        <v>645306.058141218</v>
      </c>
      <c r="BH133" s="67" t="n">
        <f aca="false">BH131*(1-Inputs!$C$20)*Inputs!$C$22</f>
        <v>645306.058141218</v>
      </c>
      <c r="BI133" s="67" t="n">
        <f aca="false">BI131*(1-Inputs!$C$20)*Inputs!$C$22</f>
        <v>645306.058141218</v>
      </c>
      <c r="BJ133" s="67" t="n">
        <f aca="false">BJ131*(1-Inputs!$C$20)*Inputs!$C$22</f>
        <v>645306.058141218</v>
      </c>
    </row>
    <row r="134" customFormat="false" ht="15" hidden="false" customHeight="false" outlineLevel="0" collapsed="false">
      <c r="A134" s="113" t="s">
        <v>238</v>
      </c>
      <c r="C134" s="68" t="n">
        <f aca="false">C132+C133</f>
        <v>375516</v>
      </c>
      <c r="D134" s="68" t="n">
        <f aca="false">D132+D133</f>
        <v>375516</v>
      </c>
      <c r="E134" s="68" t="n">
        <f aca="false">E132+E133</f>
        <v>375516</v>
      </c>
      <c r="F134" s="68" t="n">
        <f aca="false">F132+F133</f>
        <v>375516</v>
      </c>
      <c r="G134" s="68" t="n">
        <f aca="false">G132+G133</f>
        <v>375516</v>
      </c>
      <c r="H134" s="68" t="n">
        <f aca="false">H132+H133</f>
        <v>375516</v>
      </c>
      <c r="I134" s="68" t="n">
        <f aca="false">I132+I133</f>
        <v>375516</v>
      </c>
      <c r="J134" s="68" t="n">
        <f aca="false">J132+J133</f>
        <v>375516</v>
      </c>
      <c r="K134" s="68" t="n">
        <f aca="false">K132+K133</f>
        <v>375516</v>
      </c>
      <c r="L134" s="68" t="n">
        <f aca="false">L132+L133</f>
        <v>375516</v>
      </c>
      <c r="M134" s="68" t="n">
        <f aca="false">M132+M133</f>
        <v>375516</v>
      </c>
      <c r="N134" s="68" t="n">
        <f aca="false">N132+N133</f>
        <v>375516</v>
      </c>
      <c r="O134" s="68" t="n">
        <f aca="false">O132+O133</f>
        <v>486330.156</v>
      </c>
      <c r="P134" s="68" t="n">
        <f aca="false">P132+P133</f>
        <v>486330.156</v>
      </c>
      <c r="Q134" s="68" t="n">
        <f aca="false">Q132+Q133</f>
        <v>486330.156</v>
      </c>
      <c r="R134" s="68" t="n">
        <f aca="false">R132+R133</f>
        <v>486330.156</v>
      </c>
      <c r="S134" s="68" t="n">
        <f aca="false">S132+S133</f>
        <v>486330.156</v>
      </c>
      <c r="T134" s="68" t="n">
        <f aca="false">T132+T133</f>
        <v>486330.156</v>
      </c>
      <c r="U134" s="68" t="n">
        <f aca="false">U132+U133</f>
        <v>486330.156</v>
      </c>
      <c r="V134" s="68" t="n">
        <f aca="false">V132+V133</f>
        <v>486330.156</v>
      </c>
      <c r="W134" s="68" t="n">
        <f aca="false">W132+W133</f>
        <v>486330.156</v>
      </c>
      <c r="X134" s="68" t="n">
        <f aca="false">X132+X133</f>
        <v>486330.156</v>
      </c>
      <c r="Y134" s="68" t="n">
        <f aca="false">Y132+Y133</f>
        <v>486330.156</v>
      </c>
      <c r="Z134" s="68" t="n">
        <f aca="false">Z132+Z133</f>
        <v>486330.156</v>
      </c>
      <c r="AA134" s="68" t="n">
        <f aca="false">AA132+AA133</f>
        <v>630819.669636</v>
      </c>
      <c r="AB134" s="68" t="n">
        <f aca="false">AB132+AB133</f>
        <v>630819.669636</v>
      </c>
      <c r="AC134" s="68" t="n">
        <f aca="false">AC132+AC133</f>
        <v>630819.669636</v>
      </c>
      <c r="AD134" s="68" t="n">
        <f aca="false">AD132+AD133</f>
        <v>630819.669636</v>
      </c>
      <c r="AE134" s="68" t="n">
        <f aca="false">AE132+AE133</f>
        <v>630819.669636</v>
      </c>
      <c r="AF134" s="68" t="n">
        <f aca="false">AF132+AF133</f>
        <v>630819.669636</v>
      </c>
      <c r="AG134" s="68" t="n">
        <f aca="false">AG132+AG133</f>
        <v>630819.669636</v>
      </c>
      <c r="AH134" s="68" t="n">
        <f aca="false">AH132+AH133</f>
        <v>630819.669636</v>
      </c>
      <c r="AI134" s="68" t="n">
        <f aca="false">AI132+AI133</f>
        <v>630819.669636</v>
      </c>
      <c r="AJ134" s="68" t="n">
        <f aca="false">AJ132+AJ133</f>
        <v>630819.669636</v>
      </c>
      <c r="AK134" s="68" t="n">
        <f aca="false">AK132+AK133</f>
        <v>630819.669636</v>
      </c>
      <c r="AL134" s="68" t="n">
        <f aca="false">AL132+AL133</f>
        <v>630819.669636</v>
      </c>
      <c r="AM134" s="68" t="n">
        <f aca="false">AM132+AM133</f>
        <v>819482.295812076</v>
      </c>
      <c r="AN134" s="68" t="n">
        <f aca="false">AN132+AN133</f>
        <v>819482.295812076</v>
      </c>
      <c r="AO134" s="68" t="n">
        <f aca="false">AO132+AO133</f>
        <v>819482.295812076</v>
      </c>
      <c r="AP134" s="68" t="n">
        <f aca="false">AP132+AP133</f>
        <v>819482.295812076</v>
      </c>
      <c r="AQ134" s="68" t="n">
        <f aca="false">AQ132+AQ133</f>
        <v>819482.295812076</v>
      </c>
      <c r="AR134" s="68" t="n">
        <f aca="false">AR132+AR133</f>
        <v>819482.295812076</v>
      </c>
      <c r="AS134" s="68" t="n">
        <f aca="false">AS132+AS133</f>
        <v>819482.295812076</v>
      </c>
      <c r="AT134" s="68" t="n">
        <f aca="false">AT132+AT133</f>
        <v>819482.295812076</v>
      </c>
      <c r="AU134" s="68" t="n">
        <f aca="false">AU132+AU133</f>
        <v>819482.295812076</v>
      </c>
      <c r="AV134" s="68" t="n">
        <f aca="false">AV132+AV133</f>
        <v>819482.295812076</v>
      </c>
      <c r="AW134" s="68" t="n">
        <f aca="false">AW132+AW133</f>
        <v>819482.295812076</v>
      </c>
      <c r="AX134" s="68" t="n">
        <f aca="false">AX132+AX133</f>
        <v>819482.295812076</v>
      </c>
      <c r="AY134" s="68" t="n">
        <f aca="false">AY132+AY133</f>
        <v>1066157.83518984</v>
      </c>
      <c r="AZ134" s="68" t="n">
        <f aca="false">AZ132+AZ133</f>
        <v>1066157.83518984</v>
      </c>
      <c r="BA134" s="68" t="n">
        <f aca="false">BA132+BA133</f>
        <v>1066157.83518984</v>
      </c>
      <c r="BB134" s="68" t="n">
        <f aca="false">BB132+BB133</f>
        <v>1066157.83518984</v>
      </c>
      <c r="BC134" s="68" t="n">
        <f aca="false">BC132+BC133</f>
        <v>1066157.83518984</v>
      </c>
      <c r="BD134" s="68" t="n">
        <f aca="false">BD132+BD133</f>
        <v>1066157.83518984</v>
      </c>
      <c r="BE134" s="68" t="n">
        <f aca="false">BE132+BE133</f>
        <v>1066157.83518984</v>
      </c>
      <c r="BF134" s="68" t="n">
        <f aca="false">BF132+BF133</f>
        <v>1066157.83518984</v>
      </c>
      <c r="BG134" s="68" t="n">
        <f aca="false">BG132+BG133</f>
        <v>1066157.83518984</v>
      </c>
      <c r="BH134" s="68" t="n">
        <f aca="false">BH132+BH133</f>
        <v>1066157.83518984</v>
      </c>
      <c r="BI134" s="68" t="n">
        <f aca="false">BI132+BI133</f>
        <v>1066157.83518984</v>
      </c>
      <c r="BJ134" s="68" t="n">
        <f aca="false">BJ132+BJ133</f>
        <v>1066157.83518984</v>
      </c>
    </row>
    <row r="136" customFormat="false" ht="15.75" hidden="false" customHeight="true" outlineLevel="0" collapsed="false">
      <c r="A136" s="7" t="s">
        <v>76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customFormat="false" ht="15" hidden="false" customHeight="false" outlineLevel="0" collapsed="false">
      <c r="A137" s="6" t="s">
        <v>244</v>
      </c>
      <c r="C137" s="67" t="n">
        <f aca="false">C217+C218</f>
        <v>-178000</v>
      </c>
      <c r="D137" s="67" t="n">
        <f aca="false">D217+D218</f>
        <v>-178000</v>
      </c>
      <c r="E137" s="67" t="n">
        <f aca="false">E217+E218</f>
        <v>-178000</v>
      </c>
      <c r="F137" s="67" t="n">
        <f aca="false">F217+F218</f>
        <v>-178000</v>
      </c>
      <c r="G137" s="67" t="n">
        <f aca="false">G217+G218</f>
        <v>-178000</v>
      </c>
      <c r="H137" s="67" t="n">
        <f aca="false">H217+H218</f>
        <v>-178000</v>
      </c>
      <c r="I137" s="67" t="n">
        <f aca="false">I217+I218</f>
        <v>-178000</v>
      </c>
      <c r="J137" s="67" t="n">
        <f aca="false">J217+J218</f>
        <v>-178000</v>
      </c>
      <c r="K137" s="67" t="n">
        <f aca="false">K217+K218</f>
        <v>-178000</v>
      </c>
      <c r="L137" s="67" t="n">
        <f aca="false">L217+L218</f>
        <v>-178000</v>
      </c>
      <c r="M137" s="67" t="n">
        <f aca="false">M217+M218</f>
        <v>-178000</v>
      </c>
      <c r="N137" s="67" t="n">
        <f aca="false">N217+N218</f>
        <v>-178000</v>
      </c>
      <c r="O137" s="67" t="n">
        <f aca="false">O217+O218</f>
        <v>-231750</v>
      </c>
      <c r="P137" s="67" t="n">
        <f aca="false">P217+P218</f>
        <v>-231750</v>
      </c>
      <c r="Q137" s="67" t="n">
        <f aca="false">Q217+Q218</f>
        <v>-231750</v>
      </c>
      <c r="R137" s="67" t="n">
        <f aca="false">R217+R218</f>
        <v>-231750</v>
      </c>
      <c r="S137" s="67" t="n">
        <f aca="false">S217+S218</f>
        <v>-231750</v>
      </c>
      <c r="T137" s="67" t="n">
        <f aca="false">T217+T218</f>
        <v>-231750</v>
      </c>
      <c r="U137" s="67" t="n">
        <f aca="false">U217+U218</f>
        <v>-231750</v>
      </c>
      <c r="V137" s="67" t="n">
        <f aca="false">V217+V218</f>
        <v>-231750</v>
      </c>
      <c r="W137" s="67" t="n">
        <f aca="false">W217+W218</f>
        <v>-231750</v>
      </c>
      <c r="X137" s="67" t="n">
        <f aca="false">X217+X218</f>
        <v>-231750</v>
      </c>
      <c r="Y137" s="67" t="n">
        <f aca="false">Y217+Y218</f>
        <v>-231750</v>
      </c>
      <c r="Z137" s="67" t="n">
        <f aca="false">Z217+Z218</f>
        <v>-231750</v>
      </c>
      <c r="AA137" s="67" t="n">
        <f aca="false">AA217+AA218</f>
        <v>-302165.538</v>
      </c>
      <c r="AB137" s="67" t="n">
        <f aca="false">AB217+AB218</f>
        <v>-302165.538</v>
      </c>
      <c r="AC137" s="67" t="n">
        <f aca="false">AC217+AC218</f>
        <v>-302165.538</v>
      </c>
      <c r="AD137" s="67" t="n">
        <f aca="false">AD217+AD218</f>
        <v>-302165.538</v>
      </c>
      <c r="AE137" s="67" t="n">
        <f aca="false">AE217+AE218</f>
        <v>-302165.538</v>
      </c>
      <c r="AF137" s="67" t="n">
        <f aca="false">AF217+AF218</f>
        <v>-302165.538</v>
      </c>
      <c r="AG137" s="67" t="n">
        <f aca="false">AG217+AG218</f>
        <v>-302165.538</v>
      </c>
      <c r="AH137" s="67" t="n">
        <f aca="false">AH217+AH218</f>
        <v>-302165.538</v>
      </c>
      <c r="AI137" s="67" t="n">
        <f aca="false">AI217+AI218</f>
        <v>-302165.538</v>
      </c>
      <c r="AJ137" s="67" t="n">
        <f aca="false">AJ217+AJ218</f>
        <v>-302165.538</v>
      </c>
      <c r="AK137" s="67" t="n">
        <f aca="false">AK217+AK218</f>
        <v>-302165.538</v>
      </c>
      <c r="AL137" s="67" t="n">
        <f aca="false">AL217+AL218</f>
        <v>-302165.538</v>
      </c>
      <c r="AM137" s="67" t="n">
        <f aca="false">AM217+AM218</f>
        <v>-394529.08335</v>
      </c>
      <c r="AN137" s="67" t="n">
        <f aca="false">AN217+AN218</f>
        <v>-394529.08335</v>
      </c>
      <c r="AO137" s="67" t="n">
        <f aca="false">AO217+AO218</f>
        <v>-394529.08335</v>
      </c>
      <c r="AP137" s="67" t="n">
        <f aca="false">AP217+AP218</f>
        <v>-394529.08335</v>
      </c>
      <c r="AQ137" s="67" t="n">
        <f aca="false">AQ217+AQ218</f>
        <v>-394529.08335</v>
      </c>
      <c r="AR137" s="67" t="n">
        <f aca="false">AR217+AR218</f>
        <v>-394529.08335</v>
      </c>
      <c r="AS137" s="67" t="n">
        <f aca="false">AS217+AS218</f>
        <v>-394529.08335</v>
      </c>
      <c r="AT137" s="67" t="n">
        <f aca="false">AT217+AT218</f>
        <v>-394529.08335</v>
      </c>
      <c r="AU137" s="67" t="n">
        <f aca="false">AU217+AU218</f>
        <v>-394529.08335</v>
      </c>
      <c r="AV137" s="67" t="n">
        <f aca="false">AV217+AV218</f>
        <v>-394529.08335</v>
      </c>
      <c r="AW137" s="67" t="n">
        <f aca="false">AW217+AW218</f>
        <v>-394529.08335</v>
      </c>
      <c r="AX137" s="67" t="n">
        <f aca="false">AX217+AX218</f>
        <v>-394529.08335</v>
      </c>
      <c r="AY137" s="67" t="n">
        <f aca="false">AY217+AY218</f>
        <v>-515827.215574098</v>
      </c>
      <c r="AZ137" s="67" t="n">
        <f aca="false">AZ217+AZ218</f>
        <v>-515827.215574098</v>
      </c>
      <c r="BA137" s="67" t="n">
        <f aca="false">BA217+BA218</f>
        <v>-515827.215574098</v>
      </c>
      <c r="BB137" s="67" t="n">
        <f aca="false">BB217+BB218</f>
        <v>-515827.215574098</v>
      </c>
      <c r="BC137" s="67" t="n">
        <f aca="false">BC217+BC218</f>
        <v>-515827.215574098</v>
      </c>
      <c r="BD137" s="67" t="n">
        <f aca="false">BD217+BD218</f>
        <v>-515827.215574098</v>
      </c>
      <c r="BE137" s="67" t="n">
        <f aca="false">BE217+BE218</f>
        <v>-515827.215574098</v>
      </c>
      <c r="BF137" s="67" t="n">
        <f aca="false">BF217+BF218</f>
        <v>-515827.215574098</v>
      </c>
      <c r="BG137" s="67" t="n">
        <f aca="false">BG217+BG218</f>
        <v>-515827.215574098</v>
      </c>
      <c r="BH137" s="67" t="n">
        <f aca="false">BH217+BH218</f>
        <v>-515827.215574098</v>
      </c>
      <c r="BI137" s="67" t="n">
        <f aca="false">BI217+BI218</f>
        <v>-515827.215574098</v>
      </c>
      <c r="BJ137" s="67" t="n">
        <f aca="false">BJ217+BJ218</f>
        <v>-515827.215574098</v>
      </c>
    </row>
    <row r="138" customFormat="false" ht="15" hidden="false" customHeight="false" outlineLevel="0" collapsed="false">
      <c r="A138" s="6" t="s">
        <v>245</v>
      </c>
      <c r="C138" s="67" t="n">
        <f aca="false">-C124*Inputs!$C$25*(1+Inputs!$C$51)^(C$117-1)</f>
        <v>-36000</v>
      </c>
      <c r="D138" s="67" t="n">
        <f aca="false">-D124*Inputs!$C$25*(1+Inputs!$C$51)^(D$117-1)</f>
        <v>-36000</v>
      </c>
      <c r="E138" s="67" t="n">
        <f aca="false">-E124*Inputs!$C$25*(1+Inputs!$C$51)^(E$117-1)</f>
        <v>-36000</v>
      </c>
      <c r="F138" s="67" t="n">
        <f aca="false">-F124*Inputs!$C$25*(1+Inputs!$C$51)^(F$117-1)</f>
        <v>-36000</v>
      </c>
      <c r="G138" s="67" t="n">
        <f aca="false">-G124*Inputs!$C$25*(1+Inputs!$C$51)^(G$117-1)</f>
        <v>-36000</v>
      </c>
      <c r="H138" s="67" t="n">
        <f aca="false">-H124*Inputs!$C$25*(1+Inputs!$C$51)^(H$117-1)</f>
        <v>-36000</v>
      </c>
      <c r="I138" s="67" t="n">
        <f aca="false">-I124*Inputs!$C$25*(1+Inputs!$C$51)^(I$117-1)</f>
        <v>-36000</v>
      </c>
      <c r="J138" s="67" t="n">
        <f aca="false">-J124*Inputs!$C$25*(1+Inputs!$C$51)^(J$117-1)</f>
        <v>-36000</v>
      </c>
      <c r="K138" s="67" t="n">
        <f aca="false">-K124*Inputs!$C$25*(1+Inputs!$C$51)^(K$117-1)</f>
        <v>-36000</v>
      </c>
      <c r="L138" s="67" t="n">
        <f aca="false">-L124*Inputs!$C$25*(1+Inputs!$C$51)^(L$117-1)</f>
        <v>-36000</v>
      </c>
      <c r="M138" s="67" t="n">
        <f aca="false">-M124*Inputs!$C$25*(1+Inputs!$C$51)^(M$117-1)</f>
        <v>-36000</v>
      </c>
      <c r="N138" s="67" t="n">
        <f aca="false">-N124*Inputs!$C$25*(1+Inputs!$C$51)^(N$117-1)</f>
        <v>-36000</v>
      </c>
      <c r="O138" s="67" t="n">
        <f aca="false">-O124*Inputs!$C$25*(1+Inputs!$C$51)^(O$117-1)</f>
        <v>-44496</v>
      </c>
      <c r="P138" s="67" t="n">
        <f aca="false">-P124*Inputs!$C$25*(1+Inputs!$C$51)^(P$117-1)</f>
        <v>-44496</v>
      </c>
      <c r="Q138" s="67" t="n">
        <f aca="false">-Q124*Inputs!$C$25*(1+Inputs!$C$51)^(Q$117-1)</f>
        <v>-44496</v>
      </c>
      <c r="R138" s="67" t="n">
        <f aca="false">-R124*Inputs!$C$25*(1+Inputs!$C$51)^(R$117-1)</f>
        <v>-44496</v>
      </c>
      <c r="S138" s="67" t="n">
        <f aca="false">-S124*Inputs!$C$25*(1+Inputs!$C$51)^(S$117-1)</f>
        <v>-44496</v>
      </c>
      <c r="T138" s="67" t="n">
        <f aca="false">-T124*Inputs!$C$25*(1+Inputs!$C$51)^(T$117-1)</f>
        <v>-44496</v>
      </c>
      <c r="U138" s="67" t="n">
        <f aca="false">-U124*Inputs!$C$25*(1+Inputs!$C$51)^(U$117-1)</f>
        <v>-44496</v>
      </c>
      <c r="V138" s="67" t="n">
        <f aca="false">-V124*Inputs!$C$25*(1+Inputs!$C$51)^(V$117-1)</f>
        <v>-44496</v>
      </c>
      <c r="W138" s="67" t="n">
        <f aca="false">-W124*Inputs!$C$25*(1+Inputs!$C$51)^(W$117-1)</f>
        <v>-44496</v>
      </c>
      <c r="X138" s="67" t="n">
        <f aca="false">-X124*Inputs!$C$25*(1+Inputs!$C$51)^(X$117-1)</f>
        <v>-44496</v>
      </c>
      <c r="Y138" s="67" t="n">
        <f aca="false">-Y124*Inputs!$C$25*(1+Inputs!$C$51)^(Y$117-1)</f>
        <v>-44496</v>
      </c>
      <c r="Z138" s="67" t="n">
        <f aca="false">-Z124*Inputs!$C$25*(1+Inputs!$C$51)^(Z$117-1)</f>
        <v>-44496</v>
      </c>
      <c r="AA138" s="67" t="n">
        <f aca="false">-AA124*Inputs!$C$25*(1+Inputs!$C$51)^(AA$117-1)</f>
        <v>-54997.056</v>
      </c>
      <c r="AB138" s="67" t="n">
        <f aca="false">-AB124*Inputs!$C$25*(1+Inputs!$C$51)^(AB$117-1)</f>
        <v>-54997.056</v>
      </c>
      <c r="AC138" s="67" t="n">
        <f aca="false">-AC124*Inputs!$C$25*(1+Inputs!$C$51)^(AC$117-1)</f>
        <v>-54997.056</v>
      </c>
      <c r="AD138" s="67" t="n">
        <f aca="false">-AD124*Inputs!$C$25*(1+Inputs!$C$51)^(AD$117-1)</f>
        <v>-54997.056</v>
      </c>
      <c r="AE138" s="67" t="n">
        <f aca="false">-AE124*Inputs!$C$25*(1+Inputs!$C$51)^(AE$117-1)</f>
        <v>-54997.056</v>
      </c>
      <c r="AF138" s="67" t="n">
        <f aca="false">-AF124*Inputs!$C$25*(1+Inputs!$C$51)^(AF$117-1)</f>
        <v>-54997.056</v>
      </c>
      <c r="AG138" s="67" t="n">
        <f aca="false">-AG124*Inputs!$C$25*(1+Inputs!$C$51)^(AG$117-1)</f>
        <v>-54997.056</v>
      </c>
      <c r="AH138" s="67" t="n">
        <f aca="false">-AH124*Inputs!$C$25*(1+Inputs!$C$51)^(AH$117-1)</f>
        <v>-54997.056</v>
      </c>
      <c r="AI138" s="67" t="n">
        <f aca="false">-AI124*Inputs!$C$25*(1+Inputs!$C$51)^(AI$117-1)</f>
        <v>-54997.056</v>
      </c>
      <c r="AJ138" s="67" t="n">
        <f aca="false">-AJ124*Inputs!$C$25*(1+Inputs!$C$51)^(AJ$117-1)</f>
        <v>-54997.056</v>
      </c>
      <c r="AK138" s="67" t="n">
        <f aca="false">-AK124*Inputs!$C$25*(1+Inputs!$C$51)^(AK$117-1)</f>
        <v>-54997.056</v>
      </c>
      <c r="AL138" s="67" t="n">
        <f aca="false">-AL124*Inputs!$C$25*(1+Inputs!$C$51)^(AL$117-1)</f>
        <v>-54997.056</v>
      </c>
      <c r="AM138" s="67" t="n">
        <f aca="false">-AM124*Inputs!$C$25*(1+Inputs!$C$51)^(AM$117-1)</f>
        <v>-67976.361216</v>
      </c>
      <c r="AN138" s="67" t="n">
        <f aca="false">-AN124*Inputs!$C$25*(1+Inputs!$C$51)^(AN$117-1)</f>
        <v>-67976.361216</v>
      </c>
      <c r="AO138" s="67" t="n">
        <f aca="false">-AO124*Inputs!$C$25*(1+Inputs!$C$51)^(AO$117-1)</f>
        <v>-67976.361216</v>
      </c>
      <c r="AP138" s="67" t="n">
        <f aca="false">-AP124*Inputs!$C$25*(1+Inputs!$C$51)^(AP$117-1)</f>
        <v>-67976.361216</v>
      </c>
      <c r="AQ138" s="67" t="n">
        <f aca="false">-AQ124*Inputs!$C$25*(1+Inputs!$C$51)^(AQ$117-1)</f>
        <v>-67976.361216</v>
      </c>
      <c r="AR138" s="67" t="n">
        <f aca="false">-AR124*Inputs!$C$25*(1+Inputs!$C$51)^(AR$117-1)</f>
        <v>-67976.361216</v>
      </c>
      <c r="AS138" s="67" t="n">
        <f aca="false">-AS124*Inputs!$C$25*(1+Inputs!$C$51)^(AS$117-1)</f>
        <v>-67976.361216</v>
      </c>
      <c r="AT138" s="67" t="n">
        <f aca="false">-AT124*Inputs!$C$25*(1+Inputs!$C$51)^(AT$117-1)</f>
        <v>-67976.361216</v>
      </c>
      <c r="AU138" s="67" t="n">
        <f aca="false">-AU124*Inputs!$C$25*(1+Inputs!$C$51)^(AU$117-1)</f>
        <v>-67976.361216</v>
      </c>
      <c r="AV138" s="67" t="n">
        <f aca="false">-AV124*Inputs!$C$25*(1+Inputs!$C$51)^(AV$117-1)</f>
        <v>-67976.361216</v>
      </c>
      <c r="AW138" s="67" t="n">
        <f aca="false">-AW124*Inputs!$C$25*(1+Inputs!$C$51)^(AW$117-1)</f>
        <v>-67976.361216</v>
      </c>
      <c r="AX138" s="67" t="n">
        <f aca="false">-AX124*Inputs!$C$25*(1+Inputs!$C$51)^(AX$117-1)</f>
        <v>-67976.361216</v>
      </c>
      <c r="AY138" s="67" t="n">
        <f aca="false">-AY124*Inputs!$C$25*(1+Inputs!$C$51)^(AY$117-1)</f>
        <v>-84018.782462976</v>
      </c>
      <c r="AZ138" s="67" t="n">
        <f aca="false">-AZ124*Inputs!$C$25*(1+Inputs!$C$51)^(AZ$117-1)</f>
        <v>-84018.782462976</v>
      </c>
      <c r="BA138" s="67" t="n">
        <f aca="false">-BA124*Inputs!$C$25*(1+Inputs!$C$51)^(BA$117-1)</f>
        <v>-84018.782462976</v>
      </c>
      <c r="BB138" s="67" t="n">
        <f aca="false">-BB124*Inputs!$C$25*(1+Inputs!$C$51)^(BB$117-1)</f>
        <v>-84018.782462976</v>
      </c>
      <c r="BC138" s="67" t="n">
        <f aca="false">-BC124*Inputs!$C$25*(1+Inputs!$C$51)^(BC$117-1)</f>
        <v>-84018.782462976</v>
      </c>
      <c r="BD138" s="67" t="n">
        <f aca="false">-BD124*Inputs!$C$25*(1+Inputs!$C$51)^(BD$117-1)</f>
        <v>-84018.782462976</v>
      </c>
      <c r="BE138" s="67" t="n">
        <f aca="false">-BE124*Inputs!$C$25*(1+Inputs!$C$51)^(BE$117-1)</f>
        <v>-84018.782462976</v>
      </c>
      <c r="BF138" s="67" t="n">
        <f aca="false">-BF124*Inputs!$C$25*(1+Inputs!$C$51)^(BF$117-1)</f>
        <v>-84018.782462976</v>
      </c>
      <c r="BG138" s="67" t="n">
        <f aca="false">-BG124*Inputs!$C$25*(1+Inputs!$C$51)^(BG$117-1)</f>
        <v>-84018.782462976</v>
      </c>
      <c r="BH138" s="67" t="n">
        <f aca="false">-BH124*Inputs!$C$25*(1+Inputs!$C$51)^(BH$117-1)</f>
        <v>-84018.782462976</v>
      </c>
      <c r="BI138" s="67" t="n">
        <f aca="false">-BI124*Inputs!$C$25*(1+Inputs!$C$51)^(BI$117-1)</f>
        <v>-84018.782462976</v>
      </c>
      <c r="BJ138" s="67" t="n">
        <f aca="false">-BJ124*Inputs!$C$25*(1+Inputs!$C$51)^(BJ$117-1)</f>
        <v>-84018.782462976</v>
      </c>
    </row>
    <row r="139" customFormat="false" ht="15" hidden="false" customHeight="false" outlineLevel="0" collapsed="false">
      <c r="A139" s="6" t="s">
        <v>411</v>
      </c>
      <c r="C139" s="67" t="n">
        <f aca="false">-C134*Inputs!$C$26</f>
        <v>-11265.48</v>
      </c>
      <c r="D139" s="67" t="n">
        <f aca="false">-D134*Inputs!$C$26</f>
        <v>-11265.48</v>
      </c>
      <c r="E139" s="67" t="n">
        <f aca="false">-E134*Inputs!$C$26</f>
        <v>-11265.48</v>
      </c>
      <c r="F139" s="67" t="n">
        <f aca="false">-F134*Inputs!$C$26</f>
        <v>-11265.48</v>
      </c>
      <c r="G139" s="67" t="n">
        <f aca="false">-G134*Inputs!$C$26</f>
        <v>-11265.48</v>
      </c>
      <c r="H139" s="67" t="n">
        <f aca="false">-H134*Inputs!$C$26</f>
        <v>-11265.48</v>
      </c>
      <c r="I139" s="67" t="n">
        <f aca="false">-I134*Inputs!$C$26</f>
        <v>-11265.48</v>
      </c>
      <c r="J139" s="67" t="n">
        <f aca="false">-J134*Inputs!$C$26</f>
        <v>-11265.48</v>
      </c>
      <c r="K139" s="67" t="n">
        <f aca="false">-K134*Inputs!$C$26</f>
        <v>-11265.48</v>
      </c>
      <c r="L139" s="67" t="n">
        <f aca="false">-L134*Inputs!$C$26</f>
        <v>-11265.48</v>
      </c>
      <c r="M139" s="67" t="n">
        <f aca="false">-M134*Inputs!$C$26</f>
        <v>-11265.48</v>
      </c>
      <c r="N139" s="67" t="n">
        <f aca="false">-N134*Inputs!$C$26</f>
        <v>-11265.48</v>
      </c>
      <c r="O139" s="67" t="n">
        <f aca="false">-O134*Inputs!$C$26</f>
        <v>-14589.90468</v>
      </c>
      <c r="P139" s="67" t="n">
        <f aca="false">-P134*Inputs!$C$26</f>
        <v>-14589.90468</v>
      </c>
      <c r="Q139" s="67" t="n">
        <f aca="false">-Q134*Inputs!$C$26</f>
        <v>-14589.90468</v>
      </c>
      <c r="R139" s="67" t="n">
        <f aca="false">-R134*Inputs!$C$26</f>
        <v>-14589.90468</v>
      </c>
      <c r="S139" s="67" t="n">
        <f aca="false">-S134*Inputs!$C$26</f>
        <v>-14589.90468</v>
      </c>
      <c r="T139" s="67" t="n">
        <f aca="false">-T134*Inputs!$C$26</f>
        <v>-14589.90468</v>
      </c>
      <c r="U139" s="67" t="n">
        <f aca="false">-U134*Inputs!$C$26</f>
        <v>-14589.90468</v>
      </c>
      <c r="V139" s="67" t="n">
        <f aca="false">-V134*Inputs!$C$26</f>
        <v>-14589.90468</v>
      </c>
      <c r="W139" s="67" t="n">
        <f aca="false">-W134*Inputs!$C$26</f>
        <v>-14589.90468</v>
      </c>
      <c r="X139" s="67" t="n">
        <f aca="false">-X134*Inputs!$C$26</f>
        <v>-14589.90468</v>
      </c>
      <c r="Y139" s="67" t="n">
        <f aca="false">-Y134*Inputs!$C$26</f>
        <v>-14589.90468</v>
      </c>
      <c r="Z139" s="67" t="n">
        <f aca="false">-Z134*Inputs!$C$26</f>
        <v>-14589.90468</v>
      </c>
      <c r="AA139" s="67" t="n">
        <f aca="false">-AA134*Inputs!$C$26</f>
        <v>-18924.59008908</v>
      </c>
      <c r="AB139" s="67" t="n">
        <f aca="false">-AB134*Inputs!$C$26</f>
        <v>-18924.59008908</v>
      </c>
      <c r="AC139" s="67" t="n">
        <f aca="false">-AC134*Inputs!$C$26</f>
        <v>-18924.59008908</v>
      </c>
      <c r="AD139" s="67" t="n">
        <f aca="false">-AD134*Inputs!$C$26</f>
        <v>-18924.59008908</v>
      </c>
      <c r="AE139" s="67" t="n">
        <f aca="false">-AE134*Inputs!$C$26</f>
        <v>-18924.59008908</v>
      </c>
      <c r="AF139" s="67" t="n">
        <f aca="false">-AF134*Inputs!$C$26</f>
        <v>-18924.59008908</v>
      </c>
      <c r="AG139" s="67" t="n">
        <f aca="false">-AG134*Inputs!$C$26</f>
        <v>-18924.59008908</v>
      </c>
      <c r="AH139" s="67" t="n">
        <f aca="false">-AH134*Inputs!$C$26</f>
        <v>-18924.59008908</v>
      </c>
      <c r="AI139" s="67" t="n">
        <f aca="false">-AI134*Inputs!$C$26</f>
        <v>-18924.59008908</v>
      </c>
      <c r="AJ139" s="67" t="n">
        <f aca="false">-AJ134*Inputs!$C$26</f>
        <v>-18924.59008908</v>
      </c>
      <c r="AK139" s="67" t="n">
        <f aca="false">-AK134*Inputs!$C$26</f>
        <v>-18924.59008908</v>
      </c>
      <c r="AL139" s="67" t="n">
        <f aca="false">-AL134*Inputs!$C$26</f>
        <v>-18924.59008908</v>
      </c>
      <c r="AM139" s="67" t="n">
        <f aca="false">-AM134*Inputs!$C$26</f>
        <v>-24584.4688743623</v>
      </c>
      <c r="AN139" s="67" t="n">
        <f aca="false">-AN134*Inputs!$C$26</f>
        <v>-24584.4688743623</v>
      </c>
      <c r="AO139" s="67" t="n">
        <f aca="false">-AO134*Inputs!$C$26</f>
        <v>-24584.4688743623</v>
      </c>
      <c r="AP139" s="67" t="n">
        <f aca="false">-AP134*Inputs!$C$26</f>
        <v>-24584.4688743623</v>
      </c>
      <c r="AQ139" s="67" t="n">
        <f aca="false">-AQ134*Inputs!$C$26</f>
        <v>-24584.4688743623</v>
      </c>
      <c r="AR139" s="67" t="n">
        <f aca="false">-AR134*Inputs!$C$26</f>
        <v>-24584.4688743623</v>
      </c>
      <c r="AS139" s="67" t="n">
        <f aca="false">-AS134*Inputs!$C$26</f>
        <v>-24584.4688743623</v>
      </c>
      <c r="AT139" s="67" t="n">
        <f aca="false">-AT134*Inputs!$C$26</f>
        <v>-24584.4688743623</v>
      </c>
      <c r="AU139" s="67" t="n">
        <f aca="false">-AU134*Inputs!$C$26</f>
        <v>-24584.4688743623</v>
      </c>
      <c r="AV139" s="67" t="n">
        <f aca="false">-AV134*Inputs!$C$26</f>
        <v>-24584.4688743623</v>
      </c>
      <c r="AW139" s="67" t="n">
        <f aca="false">-AW134*Inputs!$C$26</f>
        <v>-24584.4688743623</v>
      </c>
      <c r="AX139" s="67" t="n">
        <f aca="false">-AX134*Inputs!$C$26</f>
        <v>-24584.4688743623</v>
      </c>
      <c r="AY139" s="67" t="n">
        <f aca="false">-AY134*Inputs!$C$26</f>
        <v>-31984.7350556951</v>
      </c>
      <c r="AZ139" s="67" t="n">
        <f aca="false">-AZ134*Inputs!$C$26</f>
        <v>-31984.7350556951</v>
      </c>
      <c r="BA139" s="67" t="n">
        <f aca="false">-BA134*Inputs!$C$26</f>
        <v>-31984.7350556951</v>
      </c>
      <c r="BB139" s="67" t="n">
        <f aca="false">-BB134*Inputs!$C$26</f>
        <v>-31984.7350556951</v>
      </c>
      <c r="BC139" s="67" t="n">
        <f aca="false">-BC134*Inputs!$C$26</f>
        <v>-31984.7350556951</v>
      </c>
      <c r="BD139" s="67" t="n">
        <f aca="false">-BD134*Inputs!$C$26</f>
        <v>-31984.7350556951</v>
      </c>
      <c r="BE139" s="67" t="n">
        <f aca="false">-BE134*Inputs!$C$26</f>
        <v>-31984.7350556951</v>
      </c>
      <c r="BF139" s="67" t="n">
        <f aca="false">-BF134*Inputs!$C$26</f>
        <v>-31984.7350556951</v>
      </c>
      <c r="BG139" s="67" t="n">
        <f aca="false">-BG134*Inputs!$C$26</f>
        <v>-31984.7350556951</v>
      </c>
      <c r="BH139" s="67" t="n">
        <f aca="false">-BH134*Inputs!$C$26</f>
        <v>-31984.7350556951</v>
      </c>
      <c r="BI139" s="67" t="n">
        <f aca="false">-BI134*Inputs!$C$26</f>
        <v>-31984.7350556951</v>
      </c>
      <c r="BJ139" s="67" t="n">
        <f aca="false">-BJ134*Inputs!$C$26</f>
        <v>-31984.7350556951</v>
      </c>
    </row>
    <row r="140" customFormat="false" ht="15" hidden="false" customHeight="false" outlineLevel="0" collapsed="false">
      <c r="A140" s="4" t="s">
        <v>76</v>
      </c>
      <c r="C140" s="73" t="n">
        <f aca="false">C137+C138+C139</f>
        <v>-225265.48</v>
      </c>
      <c r="D140" s="73" t="n">
        <f aca="false">D137+D138+D139</f>
        <v>-225265.48</v>
      </c>
      <c r="E140" s="73" t="n">
        <f aca="false">E137+E138+E139</f>
        <v>-225265.48</v>
      </c>
      <c r="F140" s="73" t="n">
        <f aca="false">F137+F138+F139</f>
        <v>-225265.48</v>
      </c>
      <c r="G140" s="73" t="n">
        <f aca="false">G137+G138+G139</f>
        <v>-225265.48</v>
      </c>
      <c r="H140" s="73" t="n">
        <f aca="false">H137+H138+H139</f>
        <v>-225265.48</v>
      </c>
      <c r="I140" s="73" t="n">
        <f aca="false">I137+I138+I139</f>
        <v>-225265.48</v>
      </c>
      <c r="J140" s="73" t="n">
        <f aca="false">J137+J138+J139</f>
        <v>-225265.48</v>
      </c>
      <c r="K140" s="73" t="n">
        <f aca="false">K137+K138+K139</f>
        <v>-225265.48</v>
      </c>
      <c r="L140" s="73" t="n">
        <f aca="false">L137+L138+L139</f>
        <v>-225265.48</v>
      </c>
      <c r="M140" s="73" t="n">
        <f aca="false">M137+M138+M139</f>
        <v>-225265.48</v>
      </c>
      <c r="N140" s="73" t="n">
        <f aca="false">N137+N138+N139</f>
        <v>-225265.48</v>
      </c>
      <c r="O140" s="73" t="n">
        <f aca="false">O137+O138+O139</f>
        <v>-290835.90468</v>
      </c>
      <c r="P140" s="73" t="n">
        <f aca="false">P137+P138+P139</f>
        <v>-290835.90468</v>
      </c>
      <c r="Q140" s="73" t="n">
        <f aca="false">Q137+Q138+Q139</f>
        <v>-290835.90468</v>
      </c>
      <c r="R140" s="73" t="n">
        <f aca="false">R137+R138+R139</f>
        <v>-290835.90468</v>
      </c>
      <c r="S140" s="73" t="n">
        <f aca="false">S137+S138+S139</f>
        <v>-290835.90468</v>
      </c>
      <c r="T140" s="73" t="n">
        <f aca="false">T137+T138+T139</f>
        <v>-290835.90468</v>
      </c>
      <c r="U140" s="73" t="n">
        <f aca="false">U137+U138+U139</f>
        <v>-290835.90468</v>
      </c>
      <c r="V140" s="73" t="n">
        <f aca="false">V137+V138+V139</f>
        <v>-290835.90468</v>
      </c>
      <c r="W140" s="73" t="n">
        <f aca="false">W137+W138+W139</f>
        <v>-290835.90468</v>
      </c>
      <c r="X140" s="73" t="n">
        <f aca="false">X137+X138+X139</f>
        <v>-290835.90468</v>
      </c>
      <c r="Y140" s="73" t="n">
        <f aca="false">Y137+Y138+Y139</f>
        <v>-290835.90468</v>
      </c>
      <c r="Z140" s="73" t="n">
        <f aca="false">Z137+Z138+Z139</f>
        <v>-290835.90468</v>
      </c>
      <c r="AA140" s="73" t="n">
        <f aca="false">AA137+AA138+AA139</f>
        <v>-376087.18408908</v>
      </c>
      <c r="AB140" s="73" t="n">
        <f aca="false">AB137+AB138+AB139</f>
        <v>-376087.18408908</v>
      </c>
      <c r="AC140" s="73" t="n">
        <f aca="false">AC137+AC138+AC139</f>
        <v>-376087.18408908</v>
      </c>
      <c r="AD140" s="73" t="n">
        <f aca="false">AD137+AD138+AD139</f>
        <v>-376087.18408908</v>
      </c>
      <c r="AE140" s="73" t="n">
        <f aca="false">AE137+AE138+AE139</f>
        <v>-376087.18408908</v>
      </c>
      <c r="AF140" s="73" t="n">
        <f aca="false">AF137+AF138+AF139</f>
        <v>-376087.18408908</v>
      </c>
      <c r="AG140" s="73" t="n">
        <f aca="false">AG137+AG138+AG139</f>
        <v>-376087.18408908</v>
      </c>
      <c r="AH140" s="73" t="n">
        <f aca="false">AH137+AH138+AH139</f>
        <v>-376087.18408908</v>
      </c>
      <c r="AI140" s="73" t="n">
        <f aca="false">AI137+AI138+AI139</f>
        <v>-376087.18408908</v>
      </c>
      <c r="AJ140" s="73" t="n">
        <f aca="false">AJ137+AJ138+AJ139</f>
        <v>-376087.18408908</v>
      </c>
      <c r="AK140" s="73" t="n">
        <f aca="false">AK137+AK138+AK139</f>
        <v>-376087.18408908</v>
      </c>
      <c r="AL140" s="73" t="n">
        <f aca="false">AL137+AL138+AL139</f>
        <v>-376087.18408908</v>
      </c>
      <c r="AM140" s="73" t="n">
        <f aca="false">AM137+AM138+AM139</f>
        <v>-487089.913440362</v>
      </c>
      <c r="AN140" s="73" t="n">
        <f aca="false">AN137+AN138+AN139</f>
        <v>-487089.913440362</v>
      </c>
      <c r="AO140" s="73" t="n">
        <f aca="false">AO137+AO138+AO139</f>
        <v>-487089.913440362</v>
      </c>
      <c r="AP140" s="73" t="n">
        <f aca="false">AP137+AP138+AP139</f>
        <v>-487089.913440362</v>
      </c>
      <c r="AQ140" s="73" t="n">
        <f aca="false">AQ137+AQ138+AQ139</f>
        <v>-487089.913440362</v>
      </c>
      <c r="AR140" s="73" t="n">
        <f aca="false">AR137+AR138+AR139</f>
        <v>-487089.913440362</v>
      </c>
      <c r="AS140" s="73" t="n">
        <f aca="false">AS137+AS138+AS139</f>
        <v>-487089.913440362</v>
      </c>
      <c r="AT140" s="73" t="n">
        <f aca="false">AT137+AT138+AT139</f>
        <v>-487089.913440362</v>
      </c>
      <c r="AU140" s="73" t="n">
        <f aca="false">AU137+AU138+AU139</f>
        <v>-487089.913440362</v>
      </c>
      <c r="AV140" s="73" t="n">
        <f aca="false">AV137+AV138+AV139</f>
        <v>-487089.913440362</v>
      </c>
      <c r="AW140" s="73" t="n">
        <f aca="false">AW137+AW138+AW139</f>
        <v>-487089.913440362</v>
      </c>
      <c r="AX140" s="73" t="n">
        <f aca="false">AX137+AX138+AX139</f>
        <v>-487089.913440362</v>
      </c>
      <c r="AY140" s="73" t="n">
        <f aca="false">AY137+AY138+AY139</f>
        <v>-631830.733092769</v>
      </c>
      <c r="AZ140" s="73" t="n">
        <f aca="false">AZ137+AZ138+AZ139</f>
        <v>-631830.733092769</v>
      </c>
      <c r="BA140" s="73" t="n">
        <f aca="false">BA137+BA138+BA139</f>
        <v>-631830.733092769</v>
      </c>
      <c r="BB140" s="73" t="n">
        <f aca="false">BB137+BB138+BB139</f>
        <v>-631830.733092769</v>
      </c>
      <c r="BC140" s="73" t="n">
        <f aca="false">BC137+BC138+BC139</f>
        <v>-631830.733092769</v>
      </c>
      <c r="BD140" s="73" t="n">
        <f aca="false">BD137+BD138+BD139</f>
        <v>-631830.733092769</v>
      </c>
      <c r="BE140" s="73" t="n">
        <f aca="false">BE137+BE138+BE139</f>
        <v>-631830.733092769</v>
      </c>
      <c r="BF140" s="73" t="n">
        <f aca="false">BF137+BF138+BF139</f>
        <v>-631830.733092769</v>
      </c>
      <c r="BG140" s="73" t="n">
        <f aca="false">BG137+BG138+BG139</f>
        <v>-631830.733092769</v>
      </c>
      <c r="BH140" s="73" t="n">
        <f aca="false">BH137+BH138+BH139</f>
        <v>-631830.733092769</v>
      </c>
      <c r="BI140" s="73" t="n">
        <f aca="false">BI137+BI138+BI139</f>
        <v>-631830.733092769</v>
      </c>
      <c r="BJ140" s="73" t="n">
        <f aca="false">BJ137+BJ138+BJ139</f>
        <v>-631830.733092769</v>
      </c>
    </row>
    <row r="141" customFormat="false" ht="15" hidden="false" customHeight="false" outlineLevel="0" collapsed="false">
      <c r="A141" s="113" t="s">
        <v>45</v>
      </c>
      <c r="C141" s="68" t="n">
        <f aca="false">C134+C140</f>
        <v>150250.52</v>
      </c>
      <c r="D141" s="68" t="n">
        <f aca="false">D134+D140</f>
        <v>150250.52</v>
      </c>
      <c r="E141" s="68" t="n">
        <f aca="false">E134+E140</f>
        <v>150250.52</v>
      </c>
      <c r="F141" s="68" t="n">
        <f aca="false">F134+F140</f>
        <v>150250.52</v>
      </c>
      <c r="G141" s="68" t="n">
        <f aca="false">G134+G140</f>
        <v>150250.52</v>
      </c>
      <c r="H141" s="68" t="n">
        <f aca="false">H134+H140</f>
        <v>150250.52</v>
      </c>
      <c r="I141" s="68" t="n">
        <f aca="false">I134+I140</f>
        <v>150250.52</v>
      </c>
      <c r="J141" s="68" t="n">
        <f aca="false">J134+J140</f>
        <v>150250.52</v>
      </c>
      <c r="K141" s="68" t="n">
        <f aca="false">K134+K140</f>
        <v>150250.52</v>
      </c>
      <c r="L141" s="68" t="n">
        <f aca="false">L134+L140</f>
        <v>150250.52</v>
      </c>
      <c r="M141" s="68" t="n">
        <f aca="false">M134+M140</f>
        <v>150250.52</v>
      </c>
      <c r="N141" s="68" t="n">
        <f aca="false">N134+N140</f>
        <v>150250.52</v>
      </c>
      <c r="O141" s="68" t="n">
        <f aca="false">O134+O140</f>
        <v>195494.25132</v>
      </c>
      <c r="P141" s="68" t="n">
        <f aca="false">P134+P140</f>
        <v>195494.25132</v>
      </c>
      <c r="Q141" s="68" t="n">
        <f aca="false">Q134+Q140</f>
        <v>195494.25132</v>
      </c>
      <c r="R141" s="68" t="n">
        <f aca="false">R134+R140</f>
        <v>195494.25132</v>
      </c>
      <c r="S141" s="68" t="n">
        <f aca="false">S134+S140</f>
        <v>195494.25132</v>
      </c>
      <c r="T141" s="68" t="n">
        <f aca="false">T134+T140</f>
        <v>195494.25132</v>
      </c>
      <c r="U141" s="68" t="n">
        <f aca="false">U134+U140</f>
        <v>195494.25132</v>
      </c>
      <c r="V141" s="68" t="n">
        <f aca="false">V134+V140</f>
        <v>195494.25132</v>
      </c>
      <c r="W141" s="68" t="n">
        <f aca="false">W134+W140</f>
        <v>195494.25132</v>
      </c>
      <c r="X141" s="68" t="n">
        <f aca="false">X134+X140</f>
        <v>195494.25132</v>
      </c>
      <c r="Y141" s="68" t="n">
        <f aca="false">Y134+Y140</f>
        <v>195494.25132</v>
      </c>
      <c r="Z141" s="68" t="n">
        <f aca="false">Z134+Z140</f>
        <v>195494.25132</v>
      </c>
      <c r="AA141" s="68" t="n">
        <f aca="false">AA134+AA140</f>
        <v>254732.48554692</v>
      </c>
      <c r="AB141" s="68" t="n">
        <f aca="false">AB134+AB140</f>
        <v>254732.48554692</v>
      </c>
      <c r="AC141" s="68" t="n">
        <f aca="false">AC134+AC140</f>
        <v>254732.48554692</v>
      </c>
      <c r="AD141" s="68" t="n">
        <f aca="false">AD134+AD140</f>
        <v>254732.48554692</v>
      </c>
      <c r="AE141" s="68" t="n">
        <f aca="false">AE134+AE140</f>
        <v>254732.48554692</v>
      </c>
      <c r="AF141" s="68" t="n">
        <f aca="false">AF134+AF140</f>
        <v>254732.48554692</v>
      </c>
      <c r="AG141" s="68" t="n">
        <f aca="false">AG134+AG140</f>
        <v>254732.48554692</v>
      </c>
      <c r="AH141" s="68" t="n">
        <f aca="false">AH134+AH140</f>
        <v>254732.48554692</v>
      </c>
      <c r="AI141" s="68" t="n">
        <f aca="false">AI134+AI140</f>
        <v>254732.48554692</v>
      </c>
      <c r="AJ141" s="68" t="n">
        <f aca="false">AJ134+AJ140</f>
        <v>254732.48554692</v>
      </c>
      <c r="AK141" s="68" t="n">
        <f aca="false">AK134+AK140</f>
        <v>254732.48554692</v>
      </c>
      <c r="AL141" s="68" t="n">
        <f aca="false">AL134+AL140</f>
        <v>254732.48554692</v>
      </c>
      <c r="AM141" s="68" t="n">
        <f aca="false">AM134+AM140</f>
        <v>332392.382371714</v>
      </c>
      <c r="AN141" s="68" t="n">
        <f aca="false">AN134+AN140</f>
        <v>332392.382371714</v>
      </c>
      <c r="AO141" s="68" t="n">
        <f aca="false">AO134+AO140</f>
        <v>332392.382371714</v>
      </c>
      <c r="AP141" s="68" t="n">
        <f aca="false">AP134+AP140</f>
        <v>332392.382371714</v>
      </c>
      <c r="AQ141" s="68" t="n">
        <f aca="false">AQ134+AQ140</f>
        <v>332392.382371714</v>
      </c>
      <c r="AR141" s="68" t="n">
        <f aca="false">AR134+AR140</f>
        <v>332392.382371714</v>
      </c>
      <c r="AS141" s="68" t="n">
        <f aca="false">AS134+AS140</f>
        <v>332392.382371714</v>
      </c>
      <c r="AT141" s="68" t="n">
        <f aca="false">AT134+AT140</f>
        <v>332392.382371714</v>
      </c>
      <c r="AU141" s="68" t="n">
        <f aca="false">AU134+AU140</f>
        <v>332392.382371714</v>
      </c>
      <c r="AV141" s="68" t="n">
        <f aca="false">AV134+AV140</f>
        <v>332392.382371714</v>
      </c>
      <c r="AW141" s="68" t="n">
        <f aca="false">AW134+AW140</f>
        <v>332392.382371714</v>
      </c>
      <c r="AX141" s="68" t="n">
        <f aca="false">AX134+AX140</f>
        <v>332392.382371714</v>
      </c>
      <c r="AY141" s="68" t="n">
        <f aca="false">AY134+AY140</f>
        <v>434327.102097068</v>
      </c>
      <c r="AZ141" s="68" t="n">
        <f aca="false">AZ134+AZ140</f>
        <v>434327.102097068</v>
      </c>
      <c r="BA141" s="68" t="n">
        <f aca="false">BA134+BA140</f>
        <v>434327.102097068</v>
      </c>
      <c r="BB141" s="68" t="n">
        <f aca="false">BB134+BB140</f>
        <v>434327.102097068</v>
      </c>
      <c r="BC141" s="68" t="n">
        <f aca="false">BC134+BC140</f>
        <v>434327.102097068</v>
      </c>
      <c r="BD141" s="68" t="n">
        <f aca="false">BD134+BD140</f>
        <v>434327.102097068</v>
      </c>
      <c r="BE141" s="68" t="n">
        <f aca="false">BE134+BE140</f>
        <v>434327.102097068</v>
      </c>
      <c r="BF141" s="68" t="n">
        <f aca="false">BF134+BF140</f>
        <v>434327.102097068</v>
      </c>
      <c r="BG141" s="68" t="n">
        <f aca="false">BG134+BG140</f>
        <v>434327.102097068</v>
      </c>
      <c r="BH141" s="68" t="n">
        <f aca="false">BH134+BH140</f>
        <v>434327.102097068</v>
      </c>
      <c r="BI141" s="68" t="n">
        <f aca="false">BI134+BI140</f>
        <v>434327.102097068</v>
      </c>
      <c r="BJ141" s="68" t="n">
        <f aca="false">BJ134+BJ140</f>
        <v>434327.102097068</v>
      </c>
    </row>
    <row r="143" customFormat="false" ht="15.75" hidden="false" customHeight="true" outlineLevel="0" collapsed="false">
      <c r="A143" s="7" t="s">
        <v>47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customFormat="false" ht="15" hidden="false" customHeight="false" outlineLevel="0" collapsed="false">
      <c r="A144" s="6" t="s">
        <v>327</v>
      </c>
      <c r="C144" s="67" t="n">
        <f aca="false">C221-C217-C218</f>
        <v>-36500</v>
      </c>
      <c r="D144" s="67" t="n">
        <f aca="false">D221-D217-D218</f>
        <v>-36500</v>
      </c>
      <c r="E144" s="67" t="n">
        <f aca="false">E221-E217-E218</f>
        <v>-36500</v>
      </c>
      <c r="F144" s="67" t="n">
        <f aca="false">F221-F217-F218</f>
        <v>-36500</v>
      </c>
      <c r="G144" s="67" t="n">
        <f aca="false">G221-G217-G218</f>
        <v>-36500</v>
      </c>
      <c r="H144" s="67" t="n">
        <f aca="false">H221-H217-H218</f>
        <v>-36500</v>
      </c>
      <c r="I144" s="67" t="n">
        <f aca="false">I221-I217-I218</f>
        <v>-36500</v>
      </c>
      <c r="J144" s="67" t="n">
        <f aca="false">J221-J217-J218</f>
        <v>-36500</v>
      </c>
      <c r="K144" s="67" t="n">
        <f aca="false">K221-K217-K218</f>
        <v>-36500</v>
      </c>
      <c r="L144" s="67" t="n">
        <f aca="false">L221-L217-L218</f>
        <v>-36500</v>
      </c>
      <c r="M144" s="67" t="n">
        <f aca="false">M221-M217-M218</f>
        <v>-36500</v>
      </c>
      <c r="N144" s="67" t="n">
        <f aca="false">N221-N217-N218</f>
        <v>-36500</v>
      </c>
      <c r="O144" s="67" t="n">
        <f aca="false">O221-O217-O218</f>
        <v>-44109.75</v>
      </c>
      <c r="P144" s="67" t="n">
        <f aca="false">P221-P217-P218</f>
        <v>-44109.75</v>
      </c>
      <c r="Q144" s="67" t="n">
        <f aca="false">Q221-Q217-Q218</f>
        <v>-44109.75</v>
      </c>
      <c r="R144" s="67" t="n">
        <f aca="false">R221-R217-R218</f>
        <v>-44109.75</v>
      </c>
      <c r="S144" s="67" t="n">
        <f aca="false">S221-S217-S218</f>
        <v>-44109.75</v>
      </c>
      <c r="T144" s="67" t="n">
        <f aca="false">T221-T217-T218</f>
        <v>-44109.75</v>
      </c>
      <c r="U144" s="67" t="n">
        <f aca="false">U221-U217-U218</f>
        <v>-44109.75</v>
      </c>
      <c r="V144" s="67" t="n">
        <f aca="false">V221-V217-V218</f>
        <v>-44109.75</v>
      </c>
      <c r="W144" s="67" t="n">
        <f aca="false">W221-W217-W218</f>
        <v>-44109.75</v>
      </c>
      <c r="X144" s="67" t="n">
        <f aca="false">X221-X217-X218</f>
        <v>-44109.75</v>
      </c>
      <c r="Y144" s="67" t="n">
        <f aca="false">Y221-Y217-Y218</f>
        <v>-44109.75</v>
      </c>
      <c r="Z144" s="67" t="n">
        <f aca="false">Z221-Z217-Z218</f>
        <v>-44109.75</v>
      </c>
      <c r="AA144" s="67" t="n">
        <f aca="false">AA221-AA217-AA218</f>
        <v>-53330.116875</v>
      </c>
      <c r="AB144" s="67" t="n">
        <f aca="false">AB221-AB217-AB218</f>
        <v>-53330.116875</v>
      </c>
      <c r="AC144" s="67" t="n">
        <f aca="false">AC221-AC217-AC218</f>
        <v>-53330.116875</v>
      </c>
      <c r="AD144" s="67" t="n">
        <f aca="false">AD221-AD217-AD218</f>
        <v>-53330.116875</v>
      </c>
      <c r="AE144" s="67" t="n">
        <f aca="false">AE221-AE217-AE218</f>
        <v>-53330.116875</v>
      </c>
      <c r="AF144" s="67" t="n">
        <f aca="false">AF221-AF217-AF218</f>
        <v>-53330.116875</v>
      </c>
      <c r="AG144" s="67" t="n">
        <f aca="false">AG221-AG217-AG218</f>
        <v>-53330.116875</v>
      </c>
      <c r="AH144" s="67" t="n">
        <f aca="false">AH221-AH217-AH218</f>
        <v>-53330.116875</v>
      </c>
      <c r="AI144" s="67" t="n">
        <f aca="false">AI221-AI217-AI218</f>
        <v>-53330.116875</v>
      </c>
      <c r="AJ144" s="67" t="n">
        <f aca="false">AJ221-AJ217-AJ218</f>
        <v>-53330.116875</v>
      </c>
      <c r="AK144" s="67" t="n">
        <f aca="false">AK221-AK217-AK218</f>
        <v>-53330.116875</v>
      </c>
      <c r="AL144" s="67" t="n">
        <f aca="false">AL221-AL217-AL218</f>
        <v>-53330.116875</v>
      </c>
      <c r="AM144" s="67" t="n">
        <f aca="false">AM221-AM217-AM218</f>
        <v>-64507.0212864374</v>
      </c>
      <c r="AN144" s="67" t="n">
        <f aca="false">AN221-AN217-AN218</f>
        <v>-64507.0212864374</v>
      </c>
      <c r="AO144" s="67" t="n">
        <f aca="false">AO221-AO217-AO218</f>
        <v>-64507.0212864374</v>
      </c>
      <c r="AP144" s="67" t="n">
        <f aca="false">AP221-AP217-AP218</f>
        <v>-64507.0212864374</v>
      </c>
      <c r="AQ144" s="67" t="n">
        <f aca="false">AQ221-AQ217-AQ218</f>
        <v>-64507.0212864374</v>
      </c>
      <c r="AR144" s="67" t="n">
        <f aca="false">AR221-AR217-AR218</f>
        <v>-64507.0212864374</v>
      </c>
      <c r="AS144" s="67" t="n">
        <f aca="false">AS221-AS217-AS218</f>
        <v>-64507.0212864374</v>
      </c>
      <c r="AT144" s="67" t="n">
        <f aca="false">AT221-AT217-AT218</f>
        <v>-64507.0212864374</v>
      </c>
      <c r="AU144" s="67" t="n">
        <f aca="false">AU221-AU217-AU218</f>
        <v>-64507.0212864374</v>
      </c>
      <c r="AV144" s="67" t="n">
        <f aca="false">AV221-AV217-AV218</f>
        <v>-64507.0212864374</v>
      </c>
      <c r="AW144" s="67" t="n">
        <f aca="false">AW221-AW217-AW218</f>
        <v>-64507.0212864374</v>
      </c>
      <c r="AX144" s="67" t="n">
        <f aca="false">AX221-AX217-AX218</f>
        <v>-64507.0212864374</v>
      </c>
      <c r="AY144" s="67" t="n">
        <f aca="false">AY221-AY217-AY218</f>
        <v>-78061.7140539133</v>
      </c>
      <c r="AZ144" s="67" t="n">
        <f aca="false">AZ221-AZ217-AZ218</f>
        <v>-78061.7140539133</v>
      </c>
      <c r="BA144" s="67" t="n">
        <f aca="false">BA221-BA217-BA218</f>
        <v>-78061.7140539133</v>
      </c>
      <c r="BB144" s="67" t="n">
        <f aca="false">BB221-BB217-BB218</f>
        <v>-78061.7140539133</v>
      </c>
      <c r="BC144" s="67" t="n">
        <f aca="false">BC221-BC217-BC218</f>
        <v>-78061.7140539133</v>
      </c>
      <c r="BD144" s="67" t="n">
        <f aca="false">BD221-BD217-BD218</f>
        <v>-78061.7140539133</v>
      </c>
      <c r="BE144" s="67" t="n">
        <f aca="false">BE221-BE217-BE218</f>
        <v>-78061.7140539133</v>
      </c>
      <c r="BF144" s="67" t="n">
        <f aca="false">BF221-BF217-BF218</f>
        <v>-78061.7140539133</v>
      </c>
      <c r="BG144" s="67" t="n">
        <f aca="false">BG221-BG217-BG218</f>
        <v>-78061.7140539133</v>
      </c>
      <c r="BH144" s="67" t="n">
        <f aca="false">BH221-BH217-BH218</f>
        <v>-78061.7140539133</v>
      </c>
      <c r="BI144" s="67" t="n">
        <f aca="false">BI221-BI217-BI218</f>
        <v>-78061.7140539133</v>
      </c>
      <c r="BJ144" s="67" t="n">
        <f aca="false">BJ221-BJ217-BJ218</f>
        <v>-78061.7140539133</v>
      </c>
    </row>
    <row r="145" customFormat="false" ht="15" hidden="false" customHeight="false" outlineLevel="0" collapsed="false">
      <c r="A145" s="6" t="s">
        <v>328</v>
      </c>
      <c r="C145" s="67" t="n">
        <f aca="false">-Inputs!$C$28*1</f>
        <v>-8000</v>
      </c>
      <c r="D145" s="67" t="n">
        <f aca="false">-Inputs!$C$28*1</f>
        <v>-8000</v>
      </c>
      <c r="E145" s="67" t="n">
        <f aca="false">-Inputs!$C$28*1</f>
        <v>-8000</v>
      </c>
      <c r="F145" s="67" t="n">
        <f aca="false">-Inputs!$C$28*1</f>
        <v>-8000</v>
      </c>
      <c r="G145" s="67" t="n">
        <f aca="false">-Inputs!$C$28*1</f>
        <v>-8000</v>
      </c>
      <c r="H145" s="67" t="n">
        <f aca="false">-Inputs!$C$28*1</f>
        <v>-8000</v>
      </c>
      <c r="I145" s="67" t="n">
        <f aca="false">-Inputs!$C$28*1</f>
        <v>-8000</v>
      </c>
      <c r="J145" s="67" t="n">
        <f aca="false">-Inputs!$C$28*1</f>
        <v>-8000</v>
      </c>
      <c r="K145" s="67" t="n">
        <f aca="false">-Inputs!$C$28*1</f>
        <v>-8000</v>
      </c>
      <c r="L145" s="67" t="n">
        <f aca="false">-Inputs!$C$28*1</f>
        <v>-8000</v>
      </c>
      <c r="M145" s="67" t="n">
        <f aca="false">-Inputs!$C$28*1</f>
        <v>-8000</v>
      </c>
      <c r="N145" s="67" t="n">
        <f aca="false">-Inputs!$C$28*1</f>
        <v>-8000</v>
      </c>
      <c r="O145" s="67" t="n">
        <f aca="false">-Inputs!$C$28*1</f>
        <v>-8000</v>
      </c>
      <c r="P145" s="67" t="n">
        <f aca="false">-Inputs!$C$28*1</f>
        <v>-8000</v>
      </c>
      <c r="Q145" s="67" t="n">
        <f aca="false">-Inputs!$C$28*1</f>
        <v>-8000</v>
      </c>
      <c r="R145" s="67" t="n">
        <f aca="false">-Inputs!$C$28*1</f>
        <v>-8000</v>
      </c>
      <c r="S145" s="67" t="n">
        <f aca="false">-Inputs!$C$28*1</f>
        <v>-8000</v>
      </c>
      <c r="T145" s="67" t="n">
        <f aca="false">-Inputs!$C$28*1</f>
        <v>-8000</v>
      </c>
      <c r="U145" s="67" t="n">
        <f aca="false">-Inputs!$C$28*1</f>
        <v>-8000</v>
      </c>
      <c r="V145" s="67" t="n">
        <f aca="false">-Inputs!$C$28*1</f>
        <v>-8000</v>
      </c>
      <c r="W145" s="67" t="n">
        <f aca="false">-Inputs!$C$28*1</f>
        <v>-8000</v>
      </c>
      <c r="X145" s="67" t="n">
        <f aca="false">-Inputs!$C$28*1</f>
        <v>-8000</v>
      </c>
      <c r="Y145" s="67" t="n">
        <f aca="false">-Inputs!$C$28*1</f>
        <v>-8000</v>
      </c>
      <c r="Z145" s="67" t="n">
        <f aca="false">-Inputs!$C$28*1</f>
        <v>-8000</v>
      </c>
      <c r="AA145" s="67" t="n">
        <f aca="false">-Inputs!$C$28*1</f>
        <v>-8000</v>
      </c>
      <c r="AB145" s="67" t="n">
        <f aca="false">-Inputs!$C$28*1</f>
        <v>-8000</v>
      </c>
      <c r="AC145" s="67" t="n">
        <f aca="false">-Inputs!$C$28*1</f>
        <v>-8000</v>
      </c>
      <c r="AD145" s="67" t="n">
        <f aca="false">-Inputs!$C$28*1</f>
        <v>-8000</v>
      </c>
      <c r="AE145" s="67" t="n">
        <f aca="false">-Inputs!$C$28*1</f>
        <v>-8000</v>
      </c>
      <c r="AF145" s="67" t="n">
        <f aca="false">-Inputs!$C$28*1</f>
        <v>-8000</v>
      </c>
      <c r="AG145" s="67" t="n">
        <f aca="false">-Inputs!$C$28*1</f>
        <v>-8000</v>
      </c>
      <c r="AH145" s="67" t="n">
        <f aca="false">-Inputs!$C$28*1</f>
        <v>-8000</v>
      </c>
      <c r="AI145" s="67" t="n">
        <f aca="false">-Inputs!$C$28*1</f>
        <v>-8000</v>
      </c>
      <c r="AJ145" s="67" t="n">
        <f aca="false">-Inputs!$C$28*1</f>
        <v>-8000</v>
      </c>
      <c r="AK145" s="67" t="n">
        <f aca="false">-Inputs!$C$28*1</f>
        <v>-8000</v>
      </c>
      <c r="AL145" s="67" t="n">
        <f aca="false">-Inputs!$C$28*1</f>
        <v>-8000</v>
      </c>
      <c r="AM145" s="67" t="n">
        <f aca="false">-Inputs!$C$28*1</f>
        <v>-8000</v>
      </c>
      <c r="AN145" s="67" t="n">
        <f aca="false">-Inputs!$C$28*1</f>
        <v>-8000</v>
      </c>
      <c r="AO145" s="67" t="n">
        <f aca="false">-Inputs!$C$28*1</f>
        <v>-8000</v>
      </c>
      <c r="AP145" s="67" t="n">
        <f aca="false">-Inputs!$C$28*1</f>
        <v>-8000</v>
      </c>
      <c r="AQ145" s="67" t="n">
        <f aca="false">-Inputs!$C$28*1</f>
        <v>-8000</v>
      </c>
      <c r="AR145" s="67" t="n">
        <f aca="false">-Inputs!$C$28*1</f>
        <v>-8000</v>
      </c>
      <c r="AS145" s="67" t="n">
        <f aca="false">-Inputs!$C$28*1</f>
        <v>-8000</v>
      </c>
      <c r="AT145" s="67" t="n">
        <f aca="false">-Inputs!$C$28*1</f>
        <v>-8000</v>
      </c>
      <c r="AU145" s="67" t="n">
        <f aca="false">-Inputs!$C$28*1</f>
        <v>-8000</v>
      </c>
      <c r="AV145" s="67" t="n">
        <f aca="false">-Inputs!$C$28*1</f>
        <v>-8000</v>
      </c>
      <c r="AW145" s="67" t="n">
        <f aca="false">-Inputs!$C$28*1</f>
        <v>-8000</v>
      </c>
      <c r="AX145" s="67" t="n">
        <f aca="false">-Inputs!$C$28*1</f>
        <v>-8000</v>
      </c>
      <c r="AY145" s="67" t="n">
        <f aca="false">-Inputs!$C$28*1</f>
        <v>-8000</v>
      </c>
      <c r="AZ145" s="67" t="n">
        <f aca="false">-Inputs!$C$28*1</f>
        <v>-8000</v>
      </c>
      <c r="BA145" s="67" t="n">
        <f aca="false">-Inputs!$C$28*1</f>
        <v>-8000</v>
      </c>
      <c r="BB145" s="67" t="n">
        <f aca="false">-Inputs!$C$28*1</f>
        <v>-8000</v>
      </c>
      <c r="BC145" s="67" t="n">
        <f aca="false">-Inputs!$C$28*1</f>
        <v>-8000</v>
      </c>
      <c r="BD145" s="67" t="n">
        <f aca="false">-Inputs!$C$28*1</f>
        <v>-8000</v>
      </c>
      <c r="BE145" s="67" t="n">
        <f aca="false">-Inputs!$C$28*1</f>
        <v>-8000</v>
      </c>
      <c r="BF145" s="67" t="n">
        <f aca="false">-Inputs!$C$28*1</f>
        <v>-8000</v>
      </c>
      <c r="BG145" s="67" t="n">
        <f aca="false">-Inputs!$C$28*1</f>
        <v>-8000</v>
      </c>
      <c r="BH145" s="67" t="n">
        <f aca="false">-Inputs!$C$28*1</f>
        <v>-8000</v>
      </c>
      <c r="BI145" s="67" t="n">
        <f aca="false">-Inputs!$C$28*1</f>
        <v>-8000</v>
      </c>
      <c r="BJ145" s="67" t="n">
        <f aca="false">-Inputs!$C$28*1</f>
        <v>-8000</v>
      </c>
    </row>
    <row r="146" customFormat="false" ht="15" hidden="false" customHeight="false" outlineLevel="0" collapsed="false">
      <c r="A146" s="6" t="s">
        <v>329</v>
      </c>
      <c r="C146" s="67" t="n">
        <f aca="false">-C214*Inputs!$C$27*1</f>
        <v>-4200</v>
      </c>
      <c r="D146" s="67" t="n">
        <f aca="false">-D214*Inputs!$C$27*1</f>
        <v>-4200</v>
      </c>
      <c r="E146" s="67" t="n">
        <f aca="false">-E214*Inputs!$C$27*1</f>
        <v>-4200</v>
      </c>
      <c r="F146" s="67" t="n">
        <f aca="false">-F214*Inputs!$C$27*1</f>
        <v>-4200</v>
      </c>
      <c r="G146" s="67" t="n">
        <f aca="false">-G214*Inputs!$C$27*1</f>
        <v>-4200</v>
      </c>
      <c r="H146" s="67" t="n">
        <f aca="false">-H214*Inputs!$C$27*1</f>
        <v>-4200</v>
      </c>
      <c r="I146" s="67" t="n">
        <f aca="false">-I214*Inputs!$C$27*1</f>
        <v>-4200</v>
      </c>
      <c r="J146" s="67" t="n">
        <f aca="false">-J214*Inputs!$C$27*1</f>
        <v>-4200</v>
      </c>
      <c r="K146" s="67" t="n">
        <f aca="false">-K214*Inputs!$C$27*1</f>
        <v>-4200</v>
      </c>
      <c r="L146" s="67" t="n">
        <f aca="false">-L214*Inputs!$C$27*1</f>
        <v>-4200</v>
      </c>
      <c r="M146" s="67" t="n">
        <f aca="false">-M214*Inputs!$C$27*1</f>
        <v>-4200</v>
      </c>
      <c r="N146" s="67" t="n">
        <f aca="false">-N214*Inputs!$C$27*1</f>
        <v>-4200</v>
      </c>
      <c r="O146" s="67" t="n">
        <f aca="false">-O214*Inputs!$C$27*1</f>
        <v>-5250</v>
      </c>
      <c r="P146" s="67" t="n">
        <f aca="false">-P214*Inputs!$C$27*1</f>
        <v>-5250</v>
      </c>
      <c r="Q146" s="67" t="n">
        <f aca="false">-Q214*Inputs!$C$27*1</f>
        <v>-5250</v>
      </c>
      <c r="R146" s="67" t="n">
        <f aca="false">-R214*Inputs!$C$27*1</f>
        <v>-5250</v>
      </c>
      <c r="S146" s="67" t="n">
        <f aca="false">-S214*Inputs!$C$27*1</f>
        <v>-5250</v>
      </c>
      <c r="T146" s="67" t="n">
        <f aca="false">-T214*Inputs!$C$27*1</f>
        <v>-5250</v>
      </c>
      <c r="U146" s="67" t="n">
        <f aca="false">-U214*Inputs!$C$27*1</f>
        <v>-5250</v>
      </c>
      <c r="V146" s="67" t="n">
        <f aca="false">-V214*Inputs!$C$27*1</f>
        <v>-5250</v>
      </c>
      <c r="W146" s="67" t="n">
        <f aca="false">-W214*Inputs!$C$27*1</f>
        <v>-5250</v>
      </c>
      <c r="X146" s="67" t="n">
        <f aca="false">-X214*Inputs!$C$27*1</f>
        <v>-5250</v>
      </c>
      <c r="Y146" s="67" t="n">
        <f aca="false">-Y214*Inputs!$C$27*1</f>
        <v>-5250</v>
      </c>
      <c r="Z146" s="67" t="n">
        <f aca="false">-Z214*Inputs!$C$27*1</f>
        <v>-5250</v>
      </c>
      <c r="AA146" s="67" t="n">
        <f aca="false">-AA214*Inputs!$C$27*1</f>
        <v>-6577.5</v>
      </c>
      <c r="AB146" s="67" t="n">
        <f aca="false">-AB214*Inputs!$C$27*1</f>
        <v>-6577.5</v>
      </c>
      <c r="AC146" s="67" t="n">
        <f aca="false">-AC214*Inputs!$C$27*1</f>
        <v>-6577.5</v>
      </c>
      <c r="AD146" s="67" t="n">
        <f aca="false">-AD214*Inputs!$C$27*1</f>
        <v>-6577.5</v>
      </c>
      <c r="AE146" s="67" t="n">
        <f aca="false">-AE214*Inputs!$C$27*1</f>
        <v>-6577.5</v>
      </c>
      <c r="AF146" s="67" t="n">
        <f aca="false">-AF214*Inputs!$C$27*1</f>
        <v>-6577.5</v>
      </c>
      <c r="AG146" s="67" t="n">
        <f aca="false">-AG214*Inputs!$C$27*1</f>
        <v>-6577.5</v>
      </c>
      <c r="AH146" s="67" t="n">
        <f aca="false">-AH214*Inputs!$C$27*1</f>
        <v>-6577.5</v>
      </c>
      <c r="AI146" s="67" t="n">
        <f aca="false">-AI214*Inputs!$C$27*1</f>
        <v>-6577.5</v>
      </c>
      <c r="AJ146" s="67" t="n">
        <f aca="false">-AJ214*Inputs!$C$27*1</f>
        <v>-6577.5</v>
      </c>
      <c r="AK146" s="67" t="n">
        <f aca="false">-AK214*Inputs!$C$27*1</f>
        <v>-6577.5</v>
      </c>
      <c r="AL146" s="67" t="n">
        <f aca="false">-AL214*Inputs!$C$27*1</f>
        <v>-6577.5</v>
      </c>
      <c r="AM146" s="67" t="n">
        <f aca="false">-AM214*Inputs!$C$27*1</f>
        <v>-8258.925</v>
      </c>
      <c r="AN146" s="67" t="n">
        <f aca="false">-AN214*Inputs!$C$27*1</f>
        <v>-8258.925</v>
      </c>
      <c r="AO146" s="67" t="n">
        <f aca="false">-AO214*Inputs!$C$27*1</f>
        <v>-8258.925</v>
      </c>
      <c r="AP146" s="67" t="n">
        <f aca="false">-AP214*Inputs!$C$27*1</f>
        <v>-8258.925</v>
      </c>
      <c r="AQ146" s="67" t="n">
        <f aca="false">-AQ214*Inputs!$C$27*1</f>
        <v>-8258.925</v>
      </c>
      <c r="AR146" s="67" t="n">
        <f aca="false">-AR214*Inputs!$C$27*1</f>
        <v>-8258.925</v>
      </c>
      <c r="AS146" s="67" t="n">
        <f aca="false">-AS214*Inputs!$C$27*1</f>
        <v>-8258.925</v>
      </c>
      <c r="AT146" s="67" t="n">
        <f aca="false">-AT214*Inputs!$C$27*1</f>
        <v>-8258.925</v>
      </c>
      <c r="AU146" s="67" t="n">
        <f aca="false">-AU214*Inputs!$C$27*1</f>
        <v>-8258.925</v>
      </c>
      <c r="AV146" s="67" t="n">
        <f aca="false">-AV214*Inputs!$C$27*1</f>
        <v>-8258.925</v>
      </c>
      <c r="AW146" s="67" t="n">
        <f aca="false">-AW214*Inputs!$C$27*1</f>
        <v>-8258.925</v>
      </c>
      <c r="AX146" s="67" t="n">
        <f aca="false">-AX214*Inputs!$C$27*1</f>
        <v>-8258.925</v>
      </c>
      <c r="AY146" s="67" t="n">
        <f aca="false">-AY214*Inputs!$C$27*1</f>
        <v>-10392.36375</v>
      </c>
      <c r="AZ146" s="67" t="n">
        <f aca="false">-AZ214*Inputs!$C$27*1</f>
        <v>-10392.36375</v>
      </c>
      <c r="BA146" s="67" t="n">
        <f aca="false">-BA214*Inputs!$C$27*1</f>
        <v>-10392.36375</v>
      </c>
      <c r="BB146" s="67" t="n">
        <f aca="false">-BB214*Inputs!$C$27*1</f>
        <v>-10392.36375</v>
      </c>
      <c r="BC146" s="67" t="n">
        <f aca="false">-BC214*Inputs!$C$27*1</f>
        <v>-10392.36375</v>
      </c>
      <c r="BD146" s="67" t="n">
        <f aca="false">-BD214*Inputs!$C$27*1</f>
        <v>-10392.36375</v>
      </c>
      <c r="BE146" s="67" t="n">
        <f aca="false">-BE214*Inputs!$C$27*1</f>
        <v>-10392.36375</v>
      </c>
      <c r="BF146" s="67" t="n">
        <f aca="false">-BF214*Inputs!$C$27*1</f>
        <v>-10392.36375</v>
      </c>
      <c r="BG146" s="67" t="n">
        <f aca="false">-BG214*Inputs!$C$27*1</f>
        <v>-10392.36375</v>
      </c>
      <c r="BH146" s="67" t="n">
        <f aca="false">-BH214*Inputs!$C$27*1</f>
        <v>-10392.36375</v>
      </c>
      <c r="BI146" s="67" t="n">
        <f aca="false">-BI214*Inputs!$C$27*1</f>
        <v>-10392.36375</v>
      </c>
      <c r="BJ146" s="67" t="n">
        <f aca="false">-BJ214*Inputs!$C$27*1</f>
        <v>-10392.36375</v>
      </c>
    </row>
    <row r="147" customFormat="false" ht="15" hidden="false" customHeight="false" outlineLevel="0" collapsed="false">
      <c r="A147" s="6" t="s">
        <v>330</v>
      </c>
      <c r="C147" s="67" t="n">
        <f aca="false">-Inputs!$C$29*1</f>
        <v>-8000</v>
      </c>
      <c r="D147" s="67" t="n">
        <f aca="false">-Inputs!$C$29*1</f>
        <v>-8000</v>
      </c>
      <c r="E147" s="67" t="n">
        <f aca="false">-Inputs!$C$29*1</f>
        <v>-8000</v>
      </c>
      <c r="F147" s="67" t="n">
        <f aca="false">-Inputs!$C$29*1</f>
        <v>-8000</v>
      </c>
      <c r="G147" s="67" t="n">
        <f aca="false">-Inputs!$C$29*1</f>
        <v>-8000</v>
      </c>
      <c r="H147" s="67" t="n">
        <f aca="false">-Inputs!$C$29*1</f>
        <v>-8000</v>
      </c>
      <c r="I147" s="67" t="n">
        <f aca="false">-Inputs!$C$29*1</f>
        <v>-8000</v>
      </c>
      <c r="J147" s="67" t="n">
        <f aca="false">-Inputs!$C$29*1</f>
        <v>-8000</v>
      </c>
      <c r="K147" s="67" t="n">
        <f aca="false">-Inputs!$C$29*1</f>
        <v>-8000</v>
      </c>
      <c r="L147" s="67" t="n">
        <f aca="false">-Inputs!$C$29*1</f>
        <v>-8000</v>
      </c>
      <c r="M147" s="67" t="n">
        <f aca="false">-Inputs!$C$29*1</f>
        <v>-8000</v>
      </c>
      <c r="N147" s="67" t="n">
        <f aca="false">-Inputs!$C$29*1</f>
        <v>-8000</v>
      </c>
      <c r="O147" s="67" t="n">
        <f aca="false">-Inputs!$C$29*1</f>
        <v>-8000</v>
      </c>
      <c r="P147" s="67" t="n">
        <f aca="false">-Inputs!$C$29*1</f>
        <v>-8000</v>
      </c>
      <c r="Q147" s="67" t="n">
        <f aca="false">-Inputs!$C$29*1</f>
        <v>-8000</v>
      </c>
      <c r="R147" s="67" t="n">
        <f aca="false">-Inputs!$C$29*1</f>
        <v>-8000</v>
      </c>
      <c r="S147" s="67" t="n">
        <f aca="false">-Inputs!$C$29*1</f>
        <v>-8000</v>
      </c>
      <c r="T147" s="67" t="n">
        <f aca="false">-Inputs!$C$29*1</f>
        <v>-8000</v>
      </c>
      <c r="U147" s="67" t="n">
        <f aca="false">-Inputs!$C$29*1</f>
        <v>-8000</v>
      </c>
      <c r="V147" s="67" t="n">
        <f aca="false">-Inputs!$C$29*1</f>
        <v>-8000</v>
      </c>
      <c r="W147" s="67" t="n">
        <f aca="false">-Inputs!$C$29*1</f>
        <v>-8000</v>
      </c>
      <c r="X147" s="67" t="n">
        <f aca="false">-Inputs!$C$29*1</f>
        <v>-8000</v>
      </c>
      <c r="Y147" s="67" t="n">
        <f aca="false">-Inputs!$C$29*1</f>
        <v>-8000</v>
      </c>
      <c r="Z147" s="67" t="n">
        <f aca="false">-Inputs!$C$29*1</f>
        <v>-8000</v>
      </c>
      <c r="AA147" s="67" t="n">
        <f aca="false">-Inputs!$C$29*1</f>
        <v>-8000</v>
      </c>
      <c r="AB147" s="67" t="n">
        <f aca="false">-Inputs!$C$29*1</f>
        <v>-8000</v>
      </c>
      <c r="AC147" s="67" t="n">
        <f aca="false">-Inputs!$C$29*1</f>
        <v>-8000</v>
      </c>
      <c r="AD147" s="67" t="n">
        <f aca="false">-Inputs!$C$29*1</f>
        <v>-8000</v>
      </c>
      <c r="AE147" s="67" t="n">
        <f aca="false">-Inputs!$C$29*1</f>
        <v>-8000</v>
      </c>
      <c r="AF147" s="67" t="n">
        <f aca="false">-Inputs!$C$29*1</f>
        <v>-8000</v>
      </c>
      <c r="AG147" s="67" t="n">
        <f aca="false">-Inputs!$C$29*1</f>
        <v>-8000</v>
      </c>
      <c r="AH147" s="67" t="n">
        <f aca="false">-Inputs!$C$29*1</f>
        <v>-8000</v>
      </c>
      <c r="AI147" s="67" t="n">
        <f aca="false">-Inputs!$C$29*1</f>
        <v>-8000</v>
      </c>
      <c r="AJ147" s="67" t="n">
        <f aca="false">-Inputs!$C$29*1</f>
        <v>-8000</v>
      </c>
      <c r="AK147" s="67" t="n">
        <f aca="false">-Inputs!$C$29*1</f>
        <v>-8000</v>
      </c>
      <c r="AL147" s="67" t="n">
        <f aca="false">-Inputs!$C$29*1</f>
        <v>-8000</v>
      </c>
      <c r="AM147" s="67" t="n">
        <f aca="false">-Inputs!$C$29*1</f>
        <v>-8000</v>
      </c>
      <c r="AN147" s="67" t="n">
        <f aca="false">-Inputs!$C$29*1</f>
        <v>-8000</v>
      </c>
      <c r="AO147" s="67" t="n">
        <f aca="false">-Inputs!$C$29*1</f>
        <v>-8000</v>
      </c>
      <c r="AP147" s="67" t="n">
        <f aca="false">-Inputs!$C$29*1</f>
        <v>-8000</v>
      </c>
      <c r="AQ147" s="67" t="n">
        <f aca="false">-Inputs!$C$29*1</f>
        <v>-8000</v>
      </c>
      <c r="AR147" s="67" t="n">
        <f aca="false">-Inputs!$C$29*1</f>
        <v>-8000</v>
      </c>
      <c r="AS147" s="67" t="n">
        <f aca="false">-Inputs!$C$29*1</f>
        <v>-8000</v>
      </c>
      <c r="AT147" s="67" t="n">
        <f aca="false">-Inputs!$C$29*1</f>
        <v>-8000</v>
      </c>
      <c r="AU147" s="67" t="n">
        <f aca="false">-Inputs!$C$29*1</f>
        <v>-8000</v>
      </c>
      <c r="AV147" s="67" t="n">
        <f aca="false">-Inputs!$C$29*1</f>
        <v>-8000</v>
      </c>
      <c r="AW147" s="67" t="n">
        <f aca="false">-Inputs!$C$29*1</f>
        <v>-8000</v>
      </c>
      <c r="AX147" s="67" t="n">
        <f aca="false">-Inputs!$C$29*1</f>
        <v>-8000</v>
      </c>
      <c r="AY147" s="67" t="n">
        <f aca="false">-Inputs!$C$29*1</f>
        <v>-8000</v>
      </c>
      <c r="AZ147" s="67" t="n">
        <f aca="false">-Inputs!$C$29*1</f>
        <v>-8000</v>
      </c>
      <c r="BA147" s="67" t="n">
        <f aca="false">-Inputs!$C$29*1</f>
        <v>-8000</v>
      </c>
      <c r="BB147" s="67" t="n">
        <f aca="false">-Inputs!$C$29*1</f>
        <v>-8000</v>
      </c>
      <c r="BC147" s="67" t="n">
        <f aca="false">-Inputs!$C$29*1</f>
        <v>-8000</v>
      </c>
      <c r="BD147" s="67" t="n">
        <f aca="false">-Inputs!$C$29*1</f>
        <v>-8000</v>
      </c>
      <c r="BE147" s="67" t="n">
        <f aca="false">-Inputs!$C$29*1</f>
        <v>-8000</v>
      </c>
      <c r="BF147" s="67" t="n">
        <f aca="false">-Inputs!$C$29*1</f>
        <v>-8000</v>
      </c>
      <c r="BG147" s="67" t="n">
        <f aca="false">-Inputs!$C$29*1</f>
        <v>-8000</v>
      </c>
      <c r="BH147" s="67" t="n">
        <f aca="false">-Inputs!$C$29*1</f>
        <v>-8000</v>
      </c>
      <c r="BI147" s="67" t="n">
        <f aca="false">-Inputs!$C$29*1</f>
        <v>-8000</v>
      </c>
      <c r="BJ147" s="67" t="n">
        <f aca="false">-Inputs!$C$29*1</f>
        <v>-8000</v>
      </c>
    </row>
    <row r="148" customFormat="false" ht="15" hidden="false" customHeight="false" outlineLevel="0" collapsed="false">
      <c r="A148" s="6" t="s">
        <v>331</v>
      </c>
      <c r="C148" s="67" t="n">
        <f aca="false">-Inputs!$C$30*1</f>
        <v>-6000</v>
      </c>
      <c r="D148" s="67" t="n">
        <f aca="false">-Inputs!$C$30*1</f>
        <v>-6000</v>
      </c>
      <c r="E148" s="67" t="n">
        <f aca="false">-Inputs!$C$30*1</f>
        <v>-6000</v>
      </c>
      <c r="F148" s="67" t="n">
        <f aca="false">-Inputs!$C$30*1</f>
        <v>-6000</v>
      </c>
      <c r="G148" s="67" t="n">
        <f aca="false">-Inputs!$C$30*1</f>
        <v>-6000</v>
      </c>
      <c r="H148" s="67" t="n">
        <f aca="false">-Inputs!$C$30*1</f>
        <v>-6000</v>
      </c>
      <c r="I148" s="67" t="n">
        <f aca="false">-Inputs!$C$30*1</f>
        <v>-6000</v>
      </c>
      <c r="J148" s="67" t="n">
        <f aca="false">-Inputs!$C$30*1</f>
        <v>-6000</v>
      </c>
      <c r="K148" s="67" t="n">
        <f aca="false">-Inputs!$C$30*1</f>
        <v>-6000</v>
      </c>
      <c r="L148" s="67" t="n">
        <f aca="false">-Inputs!$C$30*1</f>
        <v>-6000</v>
      </c>
      <c r="M148" s="67" t="n">
        <f aca="false">-Inputs!$C$30*1</f>
        <v>-6000</v>
      </c>
      <c r="N148" s="67" t="n">
        <f aca="false">-Inputs!$C$30*1</f>
        <v>-6000</v>
      </c>
      <c r="O148" s="67" t="n">
        <f aca="false">-Inputs!$C$30*1</f>
        <v>-6000</v>
      </c>
      <c r="P148" s="67" t="n">
        <f aca="false">-Inputs!$C$30*1</f>
        <v>-6000</v>
      </c>
      <c r="Q148" s="67" t="n">
        <f aca="false">-Inputs!$C$30*1</f>
        <v>-6000</v>
      </c>
      <c r="R148" s="67" t="n">
        <f aca="false">-Inputs!$C$30*1</f>
        <v>-6000</v>
      </c>
      <c r="S148" s="67" t="n">
        <f aca="false">-Inputs!$C$30*1</f>
        <v>-6000</v>
      </c>
      <c r="T148" s="67" t="n">
        <f aca="false">-Inputs!$C$30*1</f>
        <v>-6000</v>
      </c>
      <c r="U148" s="67" t="n">
        <f aca="false">-Inputs!$C$30*1</f>
        <v>-6000</v>
      </c>
      <c r="V148" s="67" t="n">
        <f aca="false">-Inputs!$C$30*1</f>
        <v>-6000</v>
      </c>
      <c r="W148" s="67" t="n">
        <f aca="false">-Inputs!$C$30*1</f>
        <v>-6000</v>
      </c>
      <c r="X148" s="67" t="n">
        <f aca="false">-Inputs!$C$30*1</f>
        <v>-6000</v>
      </c>
      <c r="Y148" s="67" t="n">
        <f aca="false">-Inputs!$C$30*1</f>
        <v>-6000</v>
      </c>
      <c r="Z148" s="67" t="n">
        <f aca="false">-Inputs!$C$30*1</f>
        <v>-6000</v>
      </c>
      <c r="AA148" s="67" t="n">
        <f aca="false">-Inputs!$C$30*1</f>
        <v>-6000</v>
      </c>
      <c r="AB148" s="67" t="n">
        <f aca="false">-Inputs!$C$30*1</f>
        <v>-6000</v>
      </c>
      <c r="AC148" s="67" t="n">
        <f aca="false">-Inputs!$C$30*1</f>
        <v>-6000</v>
      </c>
      <c r="AD148" s="67" t="n">
        <f aca="false">-Inputs!$C$30*1</f>
        <v>-6000</v>
      </c>
      <c r="AE148" s="67" t="n">
        <f aca="false">-Inputs!$C$30*1</f>
        <v>-6000</v>
      </c>
      <c r="AF148" s="67" t="n">
        <f aca="false">-Inputs!$C$30*1</f>
        <v>-6000</v>
      </c>
      <c r="AG148" s="67" t="n">
        <f aca="false">-Inputs!$C$30*1</f>
        <v>-6000</v>
      </c>
      <c r="AH148" s="67" t="n">
        <f aca="false">-Inputs!$C$30*1</f>
        <v>-6000</v>
      </c>
      <c r="AI148" s="67" t="n">
        <f aca="false">-Inputs!$C$30*1</f>
        <v>-6000</v>
      </c>
      <c r="AJ148" s="67" t="n">
        <f aca="false">-Inputs!$C$30*1</f>
        <v>-6000</v>
      </c>
      <c r="AK148" s="67" t="n">
        <f aca="false">-Inputs!$C$30*1</f>
        <v>-6000</v>
      </c>
      <c r="AL148" s="67" t="n">
        <f aca="false">-Inputs!$C$30*1</f>
        <v>-6000</v>
      </c>
      <c r="AM148" s="67" t="n">
        <f aca="false">-Inputs!$C$30*1</f>
        <v>-6000</v>
      </c>
      <c r="AN148" s="67" t="n">
        <f aca="false">-Inputs!$C$30*1</f>
        <v>-6000</v>
      </c>
      <c r="AO148" s="67" t="n">
        <f aca="false">-Inputs!$C$30*1</f>
        <v>-6000</v>
      </c>
      <c r="AP148" s="67" t="n">
        <f aca="false">-Inputs!$C$30*1</f>
        <v>-6000</v>
      </c>
      <c r="AQ148" s="67" t="n">
        <f aca="false">-Inputs!$C$30*1</f>
        <v>-6000</v>
      </c>
      <c r="AR148" s="67" t="n">
        <f aca="false">-Inputs!$C$30*1</f>
        <v>-6000</v>
      </c>
      <c r="AS148" s="67" t="n">
        <f aca="false">-Inputs!$C$30*1</f>
        <v>-6000</v>
      </c>
      <c r="AT148" s="67" t="n">
        <f aca="false">-Inputs!$C$30*1</f>
        <v>-6000</v>
      </c>
      <c r="AU148" s="67" t="n">
        <f aca="false">-Inputs!$C$30*1</f>
        <v>-6000</v>
      </c>
      <c r="AV148" s="67" t="n">
        <f aca="false">-Inputs!$C$30*1</f>
        <v>-6000</v>
      </c>
      <c r="AW148" s="67" t="n">
        <f aca="false">-Inputs!$C$30*1</f>
        <v>-6000</v>
      </c>
      <c r="AX148" s="67" t="n">
        <f aca="false">-Inputs!$C$30*1</f>
        <v>-6000</v>
      </c>
      <c r="AY148" s="67" t="n">
        <f aca="false">-Inputs!$C$30*1</f>
        <v>-6000</v>
      </c>
      <c r="AZ148" s="67" t="n">
        <f aca="false">-Inputs!$C$30*1</f>
        <v>-6000</v>
      </c>
      <c r="BA148" s="67" t="n">
        <f aca="false">-Inputs!$C$30*1</f>
        <v>-6000</v>
      </c>
      <c r="BB148" s="67" t="n">
        <f aca="false">-Inputs!$C$30*1</f>
        <v>-6000</v>
      </c>
      <c r="BC148" s="67" t="n">
        <f aca="false">-Inputs!$C$30*1</f>
        <v>-6000</v>
      </c>
      <c r="BD148" s="67" t="n">
        <f aca="false">-Inputs!$C$30*1</f>
        <v>-6000</v>
      </c>
      <c r="BE148" s="67" t="n">
        <f aca="false">-Inputs!$C$30*1</f>
        <v>-6000</v>
      </c>
      <c r="BF148" s="67" t="n">
        <f aca="false">-Inputs!$C$30*1</f>
        <v>-6000</v>
      </c>
      <c r="BG148" s="67" t="n">
        <f aca="false">-Inputs!$C$30*1</f>
        <v>-6000</v>
      </c>
      <c r="BH148" s="67" t="n">
        <f aca="false">-Inputs!$C$30*1</f>
        <v>-6000</v>
      </c>
      <c r="BI148" s="67" t="n">
        <f aca="false">-Inputs!$C$30*1</f>
        <v>-6000</v>
      </c>
      <c r="BJ148" s="67" t="n">
        <f aca="false">-Inputs!$C$30*1</f>
        <v>-6000</v>
      </c>
    </row>
    <row r="149" customFormat="false" ht="15" hidden="false" customHeight="false" outlineLevel="0" collapsed="false">
      <c r="A149" s="113" t="s">
        <v>77</v>
      </c>
      <c r="C149" s="68" t="n">
        <f aca="false">C144+C145+C146+C147+C148</f>
        <v>-62700</v>
      </c>
      <c r="D149" s="68" t="n">
        <f aca="false">D144+D145+D146+D147+D148</f>
        <v>-62700</v>
      </c>
      <c r="E149" s="68" t="n">
        <f aca="false">E144+E145+E146+E147+E148</f>
        <v>-62700</v>
      </c>
      <c r="F149" s="68" t="n">
        <f aca="false">F144+F145+F146+F147+F148</f>
        <v>-62700</v>
      </c>
      <c r="G149" s="68" t="n">
        <f aca="false">G144+G145+G146+G147+G148</f>
        <v>-62700</v>
      </c>
      <c r="H149" s="68" t="n">
        <f aca="false">H144+H145+H146+H147+H148</f>
        <v>-62700</v>
      </c>
      <c r="I149" s="68" t="n">
        <f aca="false">I144+I145+I146+I147+I148</f>
        <v>-62700</v>
      </c>
      <c r="J149" s="68" t="n">
        <f aca="false">J144+J145+J146+J147+J148</f>
        <v>-62700</v>
      </c>
      <c r="K149" s="68" t="n">
        <f aca="false">K144+K145+K146+K147+K148</f>
        <v>-62700</v>
      </c>
      <c r="L149" s="68" t="n">
        <f aca="false">L144+L145+L146+L147+L148</f>
        <v>-62700</v>
      </c>
      <c r="M149" s="68" t="n">
        <f aca="false">M144+M145+M146+M147+M148</f>
        <v>-62700</v>
      </c>
      <c r="N149" s="68" t="n">
        <f aca="false">N144+N145+N146+N147+N148</f>
        <v>-62700</v>
      </c>
      <c r="O149" s="68" t="n">
        <f aca="false">O144+O145+O146+O147+O148</f>
        <v>-71359.75</v>
      </c>
      <c r="P149" s="68" t="n">
        <f aca="false">P144+P145+P146+P147+P148</f>
        <v>-71359.75</v>
      </c>
      <c r="Q149" s="68" t="n">
        <f aca="false">Q144+Q145+Q146+Q147+Q148</f>
        <v>-71359.75</v>
      </c>
      <c r="R149" s="68" t="n">
        <f aca="false">R144+R145+R146+R147+R148</f>
        <v>-71359.75</v>
      </c>
      <c r="S149" s="68" t="n">
        <f aca="false">S144+S145+S146+S147+S148</f>
        <v>-71359.75</v>
      </c>
      <c r="T149" s="68" t="n">
        <f aca="false">T144+T145+T146+T147+T148</f>
        <v>-71359.75</v>
      </c>
      <c r="U149" s="68" t="n">
        <f aca="false">U144+U145+U146+U147+U148</f>
        <v>-71359.75</v>
      </c>
      <c r="V149" s="68" t="n">
        <f aca="false">V144+V145+V146+V147+V148</f>
        <v>-71359.75</v>
      </c>
      <c r="W149" s="68" t="n">
        <f aca="false">W144+W145+W146+W147+W148</f>
        <v>-71359.75</v>
      </c>
      <c r="X149" s="68" t="n">
        <f aca="false">X144+X145+X146+X147+X148</f>
        <v>-71359.75</v>
      </c>
      <c r="Y149" s="68" t="n">
        <f aca="false">Y144+Y145+Y146+Y147+Y148</f>
        <v>-71359.75</v>
      </c>
      <c r="Z149" s="68" t="n">
        <f aca="false">Z144+Z145+Z146+Z147+Z148</f>
        <v>-71359.75</v>
      </c>
      <c r="AA149" s="68" t="n">
        <f aca="false">AA144+AA145+AA146+AA147+AA148</f>
        <v>-81907.616875</v>
      </c>
      <c r="AB149" s="68" t="n">
        <f aca="false">AB144+AB145+AB146+AB147+AB148</f>
        <v>-81907.616875</v>
      </c>
      <c r="AC149" s="68" t="n">
        <f aca="false">AC144+AC145+AC146+AC147+AC148</f>
        <v>-81907.616875</v>
      </c>
      <c r="AD149" s="68" t="n">
        <f aca="false">AD144+AD145+AD146+AD147+AD148</f>
        <v>-81907.616875</v>
      </c>
      <c r="AE149" s="68" t="n">
        <f aca="false">AE144+AE145+AE146+AE147+AE148</f>
        <v>-81907.616875</v>
      </c>
      <c r="AF149" s="68" t="n">
        <f aca="false">AF144+AF145+AF146+AF147+AF148</f>
        <v>-81907.616875</v>
      </c>
      <c r="AG149" s="68" t="n">
        <f aca="false">AG144+AG145+AG146+AG147+AG148</f>
        <v>-81907.616875</v>
      </c>
      <c r="AH149" s="68" t="n">
        <f aca="false">AH144+AH145+AH146+AH147+AH148</f>
        <v>-81907.616875</v>
      </c>
      <c r="AI149" s="68" t="n">
        <f aca="false">AI144+AI145+AI146+AI147+AI148</f>
        <v>-81907.616875</v>
      </c>
      <c r="AJ149" s="68" t="n">
        <f aca="false">AJ144+AJ145+AJ146+AJ147+AJ148</f>
        <v>-81907.616875</v>
      </c>
      <c r="AK149" s="68" t="n">
        <f aca="false">AK144+AK145+AK146+AK147+AK148</f>
        <v>-81907.616875</v>
      </c>
      <c r="AL149" s="68" t="n">
        <f aca="false">AL144+AL145+AL146+AL147+AL148</f>
        <v>-81907.616875</v>
      </c>
      <c r="AM149" s="68" t="n">
        <f aca="false">AM144+AM145+AM146+AM147+AM148</f>
        <v>-94765.9462864374</v>
      </c>
      <c r="AN149" s="68" t="n">
        <f aca="false">AN144+AN145+AN146+AN147+AN148</f>
        <v>-94765.9462864374</v>
      </c>
      <c r="AO149" s="68" t="n">
        <f aca="false">AO144+AO145+AO146+AO147+AO148</f>
        <v>-94765.9462864374</v>
      </c>
      <c r="AP149" s="68" t="n">
        <f aca="false">AP144+AP145+AP146+AP147+AP148</f>
        <v>-94765.9462864374</v>
      </c>
      <c r="AQ149" s="68" t="n">
        <f aca="false">AQ144+AQ145+AQ146+AQ147+AQ148</f>
        <v>-94765.9462864374</v>
      </c>
      <c r="AR149" s="68" t="n">
        <f aca="false">AR144+AR145+AR146+AR147+AR148</f>
        <v>-94765.9462864374</v>
      </c>
      <c r="AS149" s="68" t="n">
        <f aca="false">AS144+AS145+AS146+AS147+AS148</f>
        <v>-94765.9462864374</v>
      </c>
      <c r="AT149" s="68" t="n">
        <f aca="false">AT144+AT145+AT146+AT147+AT148</f>
        <v>-94765.9462864374</v>
      </c>
      <c r="AU149" s="68" t="n">
        <f aca="false">AU144+AU145+AU146+AU147+AU148</f>
        <v>-94765.9462864374</v>
      </c>
      <c r="AV149" s="68" t="n">
        <f aca="false">AV144+AV145+AV146+AV147+AV148</f>
        <v>-94765.9462864374</v>
      </c>
      <c r="AW149" s="68" t="n">
        <f aca="false">AW144+AW145+AW146+AW147+AW148</f>
        <v>-94765.9462864374</v>
      </c>
      <c r="AX149" s="68" t="n">
        <f aca="false">AX144+AX145+AX146+AX147+AX148</f>
        <v>-94765.9462864374</v>
      </c>
      <c r="AY149" s="68" t="n">
        <f aca="false">AY144+AY145+AY146+AY147+AY148</f>
        <v>-110454.077803913</v>
      </c>
      <c r="AZ149" s="68" t="n">
        <f aca="false">AZ144+AZ145+AZ146+AZ147+AZ148</f>
        <v>-110454.077803913</v>
      </c>
      <c r="BA149" s="68" t="n">
        <f aca="false">BA144+BA145+BA146+BA147+BA148</f>
        <v>-110454.077803913</v>
      </c>
      <c r="BB149" s="68" t="n">
        <f aca="false">BB144+BB145+BB146+BB147+BB148</f>
        <v>-110454.077803913</v>
      </c>
      <c r="BC149" s="68" t="n">
        <f aca="false">BC144+BC145+BC146+BC147+BC148</f>
        <v>-110454.077803913</v>
      </c>
      <c r="BD149" s="68" t="n">
        <f aca="false">BD144+BD145+BD146+BD147+BD148</f>
        <v>-110454.077803913</v>
      </c>
      <c r="BE149" s="68" t="n">
        <f aca="false">BE144+BE145+BE146+BE147+BE148</f>
        <v>-110454.077803913</v>
      </c>
      <c r="BF149" s="68" t="n">
        <f aca="false">BF144+BF145+BF146+BF147+BF148</f>
        <v>-110454.077803913</v>
      </c>
      <c r="BG149" s="68" t="n">
        <f aca="false">BG144+BG145+BG146+BG147+BG148</f>
        <v>-110454.077803913</v>
      </c>
      <c r="BH149" s="68" t="n">
        <f aca="false">BH144+BH145+BH146+BH147+BH148</f>
        <v>-110454.077803913</v>
      </c>
      <c r="BI149" s="68" t="n">
        <f aca="false">BI144+BI145+BI146+BI147+BI148</f>
        <v>-110454.077803913</v>
      </c>
      <c r="BJ149" s="68" t="n">
        <f aca="false">BJ144+BJ145+BJ146+BJ147+BJ148</f>
        <v>-110454.077803913</v>
      </c>
    </row>
    <row r="150" customFormat="false" ht="15" hidden="false" customHeight="false" outlineLevel="0" collapsed="false">
      <c r="A150" s="113" t="s">
        <v>48</v>
      </c>
      <c r="C150" s="68" t="n">
        <f aca="false">C141+C149</f>
        <v>87550.52</v>
      </c>
      <c r="D150" s="68" t="n">
        <f aca="false">D141+D149</f>
        <v>87550.52</v>
      </c>
      <c r="E150" s="68" t="n">
        <f aca="false">E141+E149</f>
        <v>87550.52</v>
      </c>
      <c r="F150" s="68" t="n">
        <f aca="false">F141+F149</f>
        <v>87550.52</v>
      </c>
      <c r="G150" s="68" t="n">
        <f aca="false">G141+G149</f>
        <v>87550.52</v>
      </c>
      <c r="H150" s="68" t="n">
        <f aca="false">H141+H149</f>
        <v>87550.52</v>
      </c>
      <c r="I150" s="68" t="n">
        <f aca="false">I141+I149</f>
        <v>87550.52</v>
      </c>
      <c r="J150" s="68" t="n">
        <f aca="false">J141+J149</f>
        <v>87550.52</v>
      </c>
      <c r="K150" s="68" t="n">
        <f aca="false">K141+K149</f>
        <v>87550.52</v>
      </c>
      <c r="L150" s="68" t="n">
        <f aca="false">L141+L149</f>
        <v>87550.52</v>
      </c>
      <c r="M150" s="68" t="n">
        <f aca="false">M141+M149</f>
        <v>87550.52</v>
      </c>
      <c r="N150" s="68" t="n">
        <f aca="false">N141+N149</f>
        <v>87550.52</v>
      </c>
      <c r="O150" s="68" t="n">
        <f aca="false">O141+O149</f>
        <v>124134.50132</v>
      </c>
      <c r="P150" s="68" t="n">
        <f aca="false">P141+P149</f>
        <v>124134.50132</v>
      </c>
      <c r="Q150" s="68" t="n">
        <f aca="false">Q141+Q149</f>
        <v>124134.50132</v>
      </c>
      <c r="R150" s="68" t="n">
        <f aca="false">R141+R149</f>
        <v>124134.50132</v>
      </c>
      <c r="S150" s="68" t="n">
        <f aca="false">S141+S149</f>
        <v>124134.50132</v>
      </c>
      <c r="T150" s="68" t="n">
        <f aca="false">T141+T149</f>
        <v>124134.50132</v>
      </c>
      <c r="U150" s="68" t="n">
        <f aca="false">U141+U149</f>
        <v>124134.50132</v>
      </c>
      <c r="V150" s="68" t="n">
        <f aca="false">V141+V149</f>
        <v>124134.50132</v>
      </c>
      <c r="W150" s="68" t="n">
        <f aca="false">W141+W149</f>
        <v>124134.50132</v>
      </c>
      <c r="X150" s="68" t="n">
        <f aca="false">X141+X149</f>
        <v>124134.50132</v>
      </c>
      <c r="Y150" s="68" t="n">
        <f aca="false">Y141+Y149</f>
        <v>124134.50132</v>
      </c>
      <c r="Z150" s="68" t="n">
        <f aca="false">Z141+Z149</f>
        <v>124134.50132</v>
      </c>
      <c r="AA150" s="68" t="n">
        <f aca="false">AA141+AA149</f>
        <v>172824.86867192</v>
      </c>
      <c r="AB150" s="68" t="n">
        <f aca="false">AB141+AB149</f>
        <v>172824.86867192</v>
      </c>
      <c r="AC150" s="68" t="n">
        <f aca="false">AC141+AC149</f>
        <v>172824.86867192</v>
      </c>
      <c r="AD150" s="68" t="n">
        <f aca="false">AD141+AD149</f>
        <v>172824.86867192</v>
      </c>
      <c r="AE150" s="68" t="n">
        <f aca="false">AE141+AE149</f>
        <v>172824.86867192</v>
      </c>
      <c r="AF150" s="68" t="n">
        <f aca="false">AF141+AF149</f>
        <v>172824.86867192</v>
      </c>
      <c r="AG150" s="68" t="n">
        <f aca="false">AG141+AG149</f>
        <v>172824.86867192</v>
      </c>
      <c r="AH150" s="68" t="n">
        <f aca="false">AH141+AH149</f>
        <v>172824.86867192</v>
      </c>
      <c r="AI150" s="68" t="n">
        <f aca="false">AI141+AI149</f>
        <v>172824.86867192</v>
      </c>
      <c r="AJ150" s="68" t="n">
        <f aca="false">AJ141+AJ149</f>
        <v>172824.86867192</v>
      </c>
      <c r="AK150" s="68" t="n">
        <f aca="false">AK141+AK149</f>
        <v>172824.86867192</v>
      </c>
      <c r="AL150" s="68" t="n">
        <f aca="false">AL141+AL149</f>
        <v>172824.86867192</v>
      </c>
      <c r="AM150" s="68" t="n">
        <f aca="false">AM141+AM149</f>
        <v>237626.436085276</v>
      </c>
      <c r="AN150" s="68" t="n">
        <f aca="false">AN141+AN149</f>
        <v>237626.436085276</v>
      </c>
      <c r="AO150" s="68" t="n">
        <f aca="false">AO141+AO149</f>
        <v>237626.436085276</v>
      </c>
      <c r="AP150" s="68" t="n">
        <f aca="false">AP141+AP149</f>
        <v>237626.436085276</v>
      </c>
      <c r="AQ150" s="68" t="n">
        <f aca="false">AQ141+AQ149</f>
        <v>237626.436085276</v>
      </c>
      <c r="AR150" s="68" t="n">
        <f aca="false">AR141+AR149</f>
        <v>237626.436085276</v>
      </c>
      <c r="AS150" s="68" t="n">
        <f aca="false">AS141+AS149</f>
        <v>237626.436085276</v>
      </c>
      <c r="AT150" s="68" t="n">
        <f aca="false">AT141+AT149</f>
        <v>237626.436085276</v>
      </c>
      <c r="AU150" s="68" t="n">
        <f aca="false">AU141+AU149</f>
        <v>237626.436085276</v>
      </c>
      <c r="AV150" s="68" t="n">
        <f aca="false">AV141+AV149</f>
        <v>237626.436085276</v>
      </c>
      <c r="AW150" s="68" t="n">
        <f aca="false">AW141+AW149</f>
        <v>237626.436085276</v>
      </c>
      <c r="AX150" s="68" t="n">
        <f aca="false">AX141+AX149</f>
        <v>237626.436085276</v>
      </c>
      <c r="AY150" s="68" t="n">
        <f aca="false">AY141+AY149</f>
        <v>323873.024293155</v>
      </c>
      <c r="AZ150" s="68" t="n">
        <f aca="false">AZ141+AZ149</f>
        <v>323873.024293155</v>
      </c>
      <c r="BA150" s="68" t="n">
        <f aca="false">BA141+BA149</f>
        <v>323873.024293155</v>
      </c>
      <c r="BB150" s="68" t="n">
        <f aca="false">BB141+BB149</f>
        <v>323873.024293155</v>
      </c>
      <c r="BC150" s="68" t="n">
        <f aca="false">BC141+BC149</f>
        <v>323873.024293155</v>
      </c>
      <c r="BD150" s="68" t="n">
        <f aca="false">BD141+BD149</f>
        <v>323873.024293155</v>
      </c>
      <c r="BE150" s="68" t="n">
        <f aca="false">BE141+BE149</f>
        <v>323873.024293155</v>
      </c>
      <c r="BF150" s="68" t="n">
        <f aca="false">BF141+BF149</f>
        <v>323873.024293155</v>
      </c>
      <c r="BG150" s="68" t="n">
        <f aca="false">BG141+BG149</f>
        <v>323873.024293155</v>
      </c>
      <c r="BH150" s="68" t="n">
        <f aca="false">BH141+BH149</f>
        <v>323873.024293155</v>
      </c>
      <c r="BI150" s="68" t="n">
        <f aca="false">BI141+BI149</f>
        <v>323873.024293155</v>
      </c>
      <c r="BJ150" s="68" t="n">
        <f aca="false">BJ141+BJ149</f>
        <v>323873.024293155</v>
      </c>
    </row>
    <row r="152" customFormat="false" ht="15.75" hidden="false" customHeight="true" outlineLevel="0" collapsed="false">
      <c r="A152" s="7" t="s">
        <v>412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customFormat="false" ht="15" hidden="false" customHeight="false" outlineLevel="0" collapsed="false">
      <c r="A153" s="4" t="s">
        <v>79</v>
      </c>
      <c r="C153" s="73" t="n">
        <f aca="false">C150+C164</f>
        <v>86550.52</v>
      </c>
      <c r="D153" s="73" t="n">
        <f aca="false">D150+D164</f>
        <v>86550.52</v>
      </c>
      <c r="E153" s="73" t="n">
        <f aca="false">E150+E164</f>
        <v>86550.52</v>
      </c>
      <c r="F153" s="73" t="n">
        <f aca="false">F150+F164</f>
        <v>86550.52</v>
      </c>
      <c r="G153" s="73" t="n">
        <f aca="false">G150+G164</f>
        <v>86550.52</v>
      </c>
      <c r="H153" s="73" t="n">
        <f aca="false">H150+H164</f>
        <v>86550.52</v>
      </c>
      <c r="I153" s="73" t="n">
        <f aca="false">I150+I164</f>
        <v>86550.52</v>
      </c>
      <c r="J153" s="73" t="n">
        <f aca="false">J150+J164</f>
        <v>86550.52</v>
      </c>
      <c r="K153" s="73" t="n">
        <f aca="false">K150+K164</f>
        <v>86550.52</v>
      </c>
      <c r="L153" s="73" t="n">
        <f aca="false">L150+L164</f>
        <v>86550.52</v>
      </c>
      <c r="M153" s="73" t="n">
        <f aca="false">M150+M164</f>
        <v>86550.52</v>
      </c>
      <c r="N153" s="73" t="n">
        <f aca="false">N150+N164</f>
        <v>86550.52</v>
      </c>
      <c r="O153" s="73" t="n">
        <f aca="false">O150+O164</f>
        <v>123134.50132</v>
      </c>
      <c r="P153" s="73" t="n">
        <f aca="false">P150+P164</f>
        <v>123134.50132</v>
      </c>
      <c r="Q153" s="73" t="n">
        <f aca="false">Q150+Q164</f>
        <v>123134.50132</v>
      </c>
      <c r="R153" s="73" t="n">
        <f aca="false">R150+R164</f>
        <v>123134.50132</v>
      </c>
      <c r="S153" s="73" t="n">
        <f aca="false">S150+S164</f>
        <v>123134.50132</v>
      </c>
      <c r="T153" s="73" t="n">
        <f aca="false">T150+T164</f>
        <v>123134.50132</v>
      </c>
      <c r="U153" s="73" t="n">
        <f aca="false">U150+U164</f>
        <v>123134.50132</v>
      </c>
      <c r="V153" s="73" t="n">
        <f aca="false">V150+V164</f>
        <v>123134.50132</v>
      </c>
      <c r="W153" s="73" t="n">
        <f aca="false">W150+W164</f>
        <v>123134.50132</v>
      </c>
      <c r="X153" s="73" t="n">
        <f aca="false">X150+X164</f>
        <v>123134.50132</v>
      </c>
      <c r="Y153" s="73" t="n">
        <f aca="false">Y150+Y164</f>
        <v>123134.50132</v>
      </c>
      <c r="Z153" s="73" t="n">
        <f aca="false">Z150+Z164</f>
        <v>123134.50132</v>
      </c>
      <c r="AA153" s="73" t="n">
        <f aca="false">AA150+AA164</f>
        <v>171824.86867192</v>
      </c>
      <c r="AB153" s="73" t="n">
        <f aca="false">AB150+AB164</f>
        <v>171824.86867192</v>
      </c>
      <c r="AC153" s="73" t="n">
        <f aca="false">AC150+AC164</f>
        <v>171824.86867192</v>
      </c>
      <c r="AD153" s="73" t="n">
        <f aca="false">AD150+AD164</f>
        <v>171824.86867192</v>
      </c>
      <c r="AE153" s="73" t="n">
        <f aca="false">AE150+AE164</f>
        <v>171824.86867192</v>
      </c>
      <c r="AF153" s="73" t="n">
        <f aca="false">AF150+AF164</f>
        <v>171824.86867192</v>
      </c>
      <c r="AG153" s="73" t="n">
        <f aca="false">AG150+AG164</f>
        <v>171824.86867192</v>
      </c>
      <c r="AH153" s="73" t="n">
        <f aca="false">AH150+AH164</f>
        <v>171824.86867192</v>
      </c>
      <c r="AI153" s="73" t="n">
        <f aca="false">AI150+AI164</f>
        <v>171824.86867192</v>
      </c>
      <c r="AJ153" s="73" t="n">
        <f aca="false">AJ150+AJ164</f>
        <v>171824.86867192</v>
      </c>
      <c r="AK153" s="73" t="n">
        <f aca="false">AK150+AK164</f>
        <v>171824.86867192</v>
      </c>
      <c r="AL153" s="73" t="n">
        <f aca="false">AL150+AL164</f>
        <v>171824.86867192</v>
      </c>
      <c r="AM153" s="73" t="n">
        <f aca="false">AM150+AM164</f>
        <v>236626.436085276</v>
      </c>
      <c r="AN153" s="73" t="n">
        <f aca="false">AN150+AN164</f>
        <v>236626.436085276</v>
      </c>
      <c r="AO153" s="73" t="n">
        <f aca="false">AO150+AO164</f>
        <v>236626.436085276</v>
      </c>
      <c r="AP153" s="73" t="n">
        <f aca="false">AP150+AP164</f>
        <v>236626.436085276</v>
      </c>
      <c r="AQ153" s="73" t="n">
        <f aca="false">AQ150+AQ164</f>
        <v>236626.436085276</v>
      </c>
      <c r="AR153" s="73" t="n">
        <f aca="false">AR150+AR164</f>
        <v>236626.436085276</v>
      </c>
      <c r="AS153" s="73" t="n">
        <f aca="false">AS150+AS164</f>
        <v>236626.436085276</v>
      </c>
      <c r="AT153" s="73" t="n">
        <f aca="false">AT150+AT164</f>
        <v>236626.436085276</v>
      </c>
      <c r="AU153" s="73" t="n">
        <f aca="false">AU150+AU164</f>
        <v>236626.436085276</v>
      </c>
      <c r="AV153" s="73" t="n">
        <f aca="false">AV150+AV164</f>
        <v>236626.436085276</v>
      </c>
      <c r="AW153" s="73" t="n">
        <f aca="false">AW150+AW164</f>
        <v>236626.436085276</v>
      </c>
      <c r="AX153" s="73" t="n">
        <f aca="false">AX150+AX164</f>
        <v>236626.436085276</v>
      </c>
      <c r="AY153" s="73" t="n">
        <f aca="false">AY150+AY164</f>
        <v>322873.024293155</v>
      </c>
      <c r="AZ153" s="73" t="n">
        <f aca="false">AZ150+AZ164</f>
        <v>322873.024293155</v>
      </c>
      <c r="BA153" s="73" t="n">
        <f aca="false">BA150+BA164</f>
        <v>322873.024293155</v>
      </c>
      <c r="BB153" s="73" t="n">
        <f aca="false">BB150+BB164</f>
        <v>322873.024293155</v>
      </c>
      <c r="BC153" s="73" t="n">
        <f aca="false">BC150+BC164</f>
        <v>322873.024293155</v>
      </c>
      <c r="BD153" s="73" t="n">
        <f aca="false">BD150+BD164</f>
        <v>322873.024293155</v>
      </c>
      <c r="BE153" s="73" t="n">
        <f aca="false">BE150+BE164</f>
        <v>322873.024293155</v>
      </c>
      <c r="BF153" s="73" t="n">
        <f aca="false">BF150+BF164</f>
        <v>322873.024293155</v>
      </c>
      <c r="BG153" s="73" t="n">
        <f aca="false">BG150+BG164</f>
        <v>322873.024293155</v>
      </c>
      <c r="BH153" s="73" t="n">
        <f aca="false">BH150+BH164</f>
        <v>322873.024293155</v>
      </c>
      <c r="BI153" s="73" t="n">
        <f aca="false">BI150+BI164</f>
        <v>322873.024293155</v>
      </c>
      <c r="BJ153" s="73" t="n">
        <f aca="false">BJ150+BJ164</f>
        <v>322873.024293155</v>
      </c>
    </row>
    <row r="154" customFormat="false" ht="15" hidden="false" customHeight="false" outlineLevel="0" collapsed="false">
      <c r="A154" s="6" t="s">
        <v>413</v>
      </c>
      <c r="C154" s="67" t="n">
        <f aca="false">-(C169+C170+C172)/2*Inputs!$C$56/12</f>
        <v>-1333.33333333333</v>
      </c>
      <c r="D154" s="67" t="n">
        <f aca="false">-(D169+D170+D172)/2*Inputs!$C$56/12</f>
        <v>-1322.22222222222</v>
      </c>
      <c r="E154" s="67" t="n">
        <f aca="false">-(E169+E170+E172)/2*Inputs!$C$56/12</f>
        <v>-1300</v>
      </c>
      <c r="F154" s="67" t="n">
        <f aca="false">-(F169+F170+F172)/2*Inputs!$C$56/12</f>
        <v>-1277.77777777778</v>
      </c>
      <c r="G154" s="67" t="n">
        <f aca="false">-(G169+G170+G172)/2*Inputs!$C$56/12</f>
        <v>-1255.55555555556</v>
      </c>
      <c r="H154" s="67" t="n">
        <f aca="false">-(H169+H170+H172)/2*Inputs!$C$56/12</f>
        <v>-1233.33333333333</v>
      </c>
      <c r="I154" s="67" t="n">
        <f aca="false">-(I169+I170+I172)/2*Inputs!$C$56/12</f>
        <v>-1211.11111111111</v>
      </c>
      <c r="J154" s="67" t="n">
        <f aca="false">-(J169+J170+J172)/2*Inputs!$C$56/12</f>
        <v>-1188.88888888889</v>
      </c>
      <c r="K154" s="67" t="n">
        <f aca="false">-(K169+K170+K172)/2*Inputs!$C$56/12</f>
        <v>-1166.66666666667</v>
      </c>
      <c r="L154" s="67" t="n">
        <f aca="false">-(L169+L170+L172)/2*Inputs!$C$56/12</f>
        <v>-1144.44444444444</v>
      </c>
      <c r="M154" s="67" t="n">
        <f aca="false">-(M169+M170+M172)/2*Inputs!$C$56/12</f>
        <v>-1122.22222222222</v>
      </c>
      <c r="N154" s="67" t="n">
        <f aca="false">-(N169+N170+N172)/2*Inputs!$C$56/12</f>
        <v>-1100</v>
      </c>
      <c r="O154" s="67" t="n">
        <f aca="false">-(O169+O170+O172)/2*Inputs!$C$56/12</f>
        <v>-1077.77777777778</v>
      </c>
      <c r="P154" s="67" t="n">
        <f aca="false">-(P169+P170+P172)/2*Inputs!$C$56/12</f>
        <v>-1055.55555555555</v>
      </c>
      <c r="Q154" s="67" t="n">
        <f aca="false">-(Q169+Q170+Q172)/2*Inputs!$C$56/12</f>
        <v>-1033.33333333333</v>
      </c>
      <c r="R154" s="67" t="n">
        <f aca="false">-(R169+R170+R172)/2*Inputs!$C$56/12</f>
        <v>-1011.11111111111</v>
      </c>
      <c r="S154" s="67" t="n">
        <f aca="false">-(S169+S170+S172)/2*Inputs!$C$56/12</f>
        <v>-988.888888888888</v>
      </c>
      <c r="T154" s="67" t="n">
        <f aca="false">-(T169+T170+T172)/2*Inputs!$C$56/12</f>
        <v>-966.666666666666</v>
      </c>
      <c r="U154" s="67" t="n">
        <f aca="false">-(U169+U170+U172)/2*Inputs!$C$56/12</f>
        <v>-944.444444444443</v>
      </c>
      <c r="V154" s="67" t="n">
        <f aca="false">-(V169+V170+V172)/2*Inputs!$C$56/12</f>
        <v>-922.222222222221</v>
      </c>
      <c r="W154" s="67" t="n">
        <f aca="false">-(W169+W170+W172)/2*Inputs!$C$56/12</f>
        <v>-899.999999999999</v>
      </c>
      <c r="X154" s="67" t="n">
        <f aca="false">-(X169+X170+X172)/2*Inputs!$C$56/12</f>
        <v>-877.777777777777</v>
      </c>
      <c r="Y154" s="67" t="n">
        <f aca="false">-(Y169+Y170+Y172)/2*Inputs!$C$56/12</f>
        <v>-855.555555555554</v>
      </c>
      <c r="Z154" s="67" t="n">
        <f aca="false">-(Z169+Z170+Z172)/2*Inputs!$C$56/12</f>
        <v>-833.333333333332</v>
      </c>
      <c r="AA154" s="67" t="n">
        <f aca="false">-(AA169+AA170+AA172)/2*Inputs!$C$56/12</f>
        <v>-811.11111111111</v>
      </c>
      <c r="AB154" s="67" t="n">
        <f aca="false">-(AB169+AB170+AB172)/2*Inputs!$C$56/12</f>
        <v>-788.888888888888</v>
      </c>
      <c r="AC154" s="67" t="n">
        <f aca="false">-(AC169+AC170+AC172)/2*Inputs!$C$56/12</f>
        <v>-766.666666666666</v>
      </c>
      <c r="AD154" s="67" t="n">
        <f aca="false">-(AD169+AD170+AD172)/2*Inputs!$C$56/12</f>
        <v>-744.444444444443</v>
      </c>
      <c r="AE154" s="67" t="n">
        <f aca="false">-(AE169+AE170+AE172)/2*Inputs!$C$56/12</f>
        <v>-722.222222222221</v>
      </c>
      <c r="AF154" s="67" t="n">
        <f aca="false">-(AF169+AF170+AF172)/2*Inputs!$C$56/12</f>
        <v>-699.999999999999</v>
      </c>
      <c r="AG154" s="67" t="n">
        <f aca="false">-(AG169+AG170+AG172)/2*Inputs!$C$56/12</f>
        <v>-677.777777777777</v>
      </c>
      <c r="AH154" s="67" t="n">
        <f aca="false">-(AH169+AH170+AH172)/2*Inputs!$C$56/12</f>
        <v>-655.555555555555</v>
      </c>
      <c r="AI154" s="67" t="n">
        <f aca="false">-(AI169+AI170+AI172)/2*Inputs!$C$56/12</f>
        <v>-633.333333333332</v>
      </c>
      <c r="AJ154" s="67" t="n">
        <f aca="false">-(AJ169+AJ170+AJ172)/2*Inputs!$C$56/12</f>
        <v>-611.11111111111</v>
      </c>
      <c r="AK154" s="67" t="n">
        <f aca="false">-(AK169+AK170+AK172)/2*Inputs!$C$56/12</f>
        <v>-588.888888888888</v>
      </c>
      <c r="AL154" s="67" t="n">
        <f aca="false">-(AL169+AL170+AL172)/2*Inputs!$C$56/12</f>
        <v>-566.666666666666</v>
      </c>
      <c r="AM154" s="67" t="n">
        <f aca="false">-(AM169+AM170+AM172)/2*Inputs!$C$56/12</f>
        <v>-544.444444444444</v>
      </c>
      <c r="AN154" s="67" t="n">
        <f aca="false">-(AN169+AN170+AN172)/2*Inputs!$C$56/12</f>
        <v>-522.222222222222</v>
      </c>
      <c r="AO154" s="67" t="n">
        <f aca="false">-(AO169+AO170+AO172)/2*Inputs!$C$56/12</f>
        <v>-499.999999999999</v>
      </c>
      <c r="AP154" s="67" t="n">
        <f aca="false">-(AP169+AP170+AP172)/2*Inputs!$C$56/12</f>
        <v>-477.777777777777</v>
      </c>
      <c r="AQ154" s="67" t="n">
        <f aca="false">-(AQ169+AQ170+AQ172)/2*Inputs!$C$56/12</f>
        <v>-455.555555555555</v>
      </c>
      <c r="AR154" s="67" t="n">
        <f aca="false">-(AR169+AR170+AR172)/2*Inputs!$C$56/12</f>
        <v>-433.333333333333</v>
      </c>
      <c r="AS154" s="67" t="n">
        <f aca="false">-(AS169+AS170+AS172)/2*Inputs!$C$56/12</f>
        <v>-411.11111111111</v>
      </c>
      <c r="AT154" s="67" t="n">
        <f aca="false">-(AT169+AT170+AT172)/2*Inputs!$C$56/12</f>
        <v>-388.888888888888</v>
      </c>
      <c r="AU154" s="67" t="n">
        <f aca="false">-(AU169+AU170+AU172)/2*Inputs!$C$56/12</f>
        <v>-366.666666666666</v>
      </c>
      <c r="AV154" s="67" t="n">
        <f aca="false">-(AV169+AV170+AV172)/2*Inputs!$C$56/12</f>
        <v>-344.444444444444</v>
      </c>
      <c r="AW154" s="67" t="n">
        <f aca="false">-(AW169+AW170+AW172)/2*Inputs!$C$56/12</f>
        <v>-322.222222222222</v>
      </c>
      <c r="AX154" s="67" t="n">
        <f aca="false">-(AX169+AX170+AX172)/2*Inputs!$C$56/12</f>
        <v>-299.999999999999</v>
      </c>
      <c r="AY154" s="67" t="n">
        <f aca="false">-(AY169+AY170+AY172)/2*Inputs!$C$56/12</f>
        <v>-277.777777777777</v>
      </c>
      <c r="AZ154" s="67" t="n">
        <f aca="false">-(AZ169+AZ170+AZ172)/2*Inputs!$C$56/12</f>
        <v>-255.555555555555</v>
      </c>
      <c r="BA154" s="67" t="n">
        <f aca="false">-(BA169+BA170+BA172)/2*Inputs!$C$56/12</f>
        <v>-233.333333333333</v>
      </c>
      <c r="BB154" s="67" t="n">
        <f aca="false">-(BB169+BB170+BB172)/2*Inputs!$C$56/12</f>
        <v>-211.11111111111</v>
      </c>
      <c r="BC154" s="67" t="n">
        <f aca="false">-(BC169+BC170+BC172)/2*Inputs!$C$56/12</f>
        <v>-188.888888888888</v>
      </c>
      <c r="BD154" s="67" t="n">
        <f aca="false">-(BD169+BD170+BD172)/2*Inputs!$C$56/12</f>
        <v>-166.666666666666</v>
      </c>
      <c r="BE154" s="67" t="n">
        <f aca="false">-(BE169+BE170+BE172)/2*Inputs!$C$56/12</f>
        <v>-144.444444444444</v>
      </c>
      <c r="BF154" s="67" t="n">
        <f aca="false">-(BF169+BF170+BF172)/2*Inputs!$C$56/12</f>
        <v>-122.222222222221</v>
      </c>
      <c r="BG154" s="67" t="n">
        <f aca="false">-(BG169+BG170+BG172)/2*Inputs!$C$56/12</f>
        <v>-99.9999999999992</v>
      </c>
      <c r="BH154" s="67" t="n">
        <f aca="false">-(BH169+BH170+BH172)/2*Inputs!$C$56/12</f>
        <v>-77.777777777777</v>
      </c>
      <c r="BI154" s="67" t="n">
        <f aca="false">-(BI169+BI170+BI172)/2*Inputs!$C$56/12</f>
        <v>-55.5555555555548</v>
      </c>
      <c r="BJ154" s="67" t="n">
        <f aca="false">-(BJ169+BJ170+BJ172)/2*Inputs!$C$56/12</f>
        <v>-33.3333333333326</v>
      </c>
    </row>
    <row r="155" customFormat="false" ht="15" hidden="false" customHeight="false" outlineLevel="0" collapsed="false">
      <c r="A155" s="113" t="s">
        <v>81</v>
      </c>
      <c r="C155" s="68" t="n">
        <f aca="false">C153+C154</f>
        <v>85217.1866666667</v>
      </c>
      <c r="D155" s="68" t="n">
        <f aca="false">D153+D154</f>
        <v>85228.2977777778</v>
      </c>
      <c r="E155" s="68" t="n">
        <f aca="false">E153+E154</f>
        <v>85250.52</v>
      </c>
      <c r="F155" s="68" t="n">
        <f aca="false">F153+F154</f>
        <v>85272.7422222222</v>
      </c>
      <c r="G155" s="68" t="n">
        <f aca="false">G153+G154</f>
        <v>85294.9644444444</v>
      </c>
      <c r="H155" s="68" t="n">
        <f aca="false">H153+H154</f>
        <v>85317.1866666667</v>
      </c>
      <c r="I155" s="68" t="n">
        <f aca="false">I153+I154</f>
        <v>85339.4088888889</v>
      </c>
      <c r="J155" s="68" t="n">
        <f aca="false">J153+J154</f>
        <v>85361.6311111111</v>
      </c>
      <c r="K155" s="68" t="n">
        <f aca="false">K153+K154</f>
        <v>85383.8533333333</v>
      </c>
      <c r="L155" s="68" t="n">
        <f aca="false">L153+L154</f>
        <v>85406.0755555556</v>
      </c>
      <c r="M155" s="68" t="n">
        <f aca="false">M153+M154</f>
        <v>85428.2977777778</v>
      </c>
      <c r="N155" s="68" t="n">
        <f aca="false">N153+N154</f>
        <v>85450.52</v>
      </c>
      <c r="O155" s="68" t="n">
        <f aca="false">O153+O154</f>
        <v>122056.723542222</v>
      </c>
      <c r="P155" s="68" t="n">
        <f aca="false">P153+P154</f>
        <v>122078.945764445</v>
      </c>
      <c r="Q155" s="68" t="n">
        <f aca="false">Q153+Q154</f>
        <v>122101.167986667</v>
      </c>
      <c r="R155" s="68" t="n">
        <f aca="false">R153+R154</f>
        <v>122123.390208889</v>
      </c>
      <c r="S155" s="68" t="n">
        <f aca="false">S153+S154</f>
        <v>122145.612431111</v>
      </c>
      <c r="T155" s="68" t="n">
        <f aca="false">T153+T154</f>
        <v>122167.834653334</v>
      </c>
      <c r="U155" s="68" t="n">
        <f aca="false">U153+U154</f>
        <v>122190.056875556</v>
      </c>
      <c r="V155" s="68" t="n">
        <f aca="false">V153+V154</f>
        <v>122212.279097778</v>
      </c>
      <c r="W155" s="68" t="n">
        <f aca="false">W153+W154</f>
        <v>122234.50132</v>
      </c>
      <c r="X155" s="68" t="n">
        <f aca="false">X153+X154</f>
        <v>122256.723542222</v>
      </c>
      <c r="Y155" s="68" t="n">
        <f aca="false">Y153+Y154</f>
        <v>122278.945764445</v>
      </c>
      <c r="Z155" s="68" t="n">
        <f aca="false">Z153+Z154</f>
        <v>122301.167986667</v>
      </c>
      <c r="AA155" s="68" t="n">
        <f aca="false">AA153+AA154</f>
        <v>171013.757560809</v>
      </c>
      <c r="AB155" s="68" t="n">
        <f aca="false">AB153+AB154</f>
        <v>171035.979783031</v>
      </c>
      <c r="AC155" s="68" t="n">
        <f aca="false">AC153+AC154</f>
        <v>171058.202005253</v>
      </c>
      <c r="AD155" s="68" t="n">
        <f aca="false">AD153+AD154</f>
        <v>171080.424227476</v>
      </c>
      <c r="AE155" s="68" t="n">
        <f aca="false">AE153+AE154</f>
        <v>171102.646449698</v>
      </c>
      <c r="AF155" s="68" t="n">
        <f aca="false">AF153+AF154</f>
        <v>171124.86867192</v>
      </c>
      <c r="AG155" s="68" t="n">
        <f aca="false">AG153+AG154</f>
        <v>171147.090894142</v>
      </c>
      <c r="AH155" s="68" t="n">
        <f aca="false">AH153+AH154</f>
        <v>171169.313116365</v>
      </c>
      <c r="AI155" s="68" t="n">
        <f aca="false">AI153+AI154</f>
        <v>171191.535338587</v>
      </c>
      <c r="AJ155" s="68" t="n">
        <f aca="false">AJ153+AJ154</f>
        <v>171213.757560809</v>
      </c>
      <c r="AK155" s="68" t="n">
        <f aca="false">AK153+AK154</f>
        <v>171235.979783031</v>
      </c>
      <c r="AL155" s="68" t="n">
        <f aca="false">AL153+AL154</f>
        <v>171258.202005253</v>
      </c>
      <c r="AM155" s="68" t="n">
        <f aca="false">AM153+AM154</f>
        <v>236081.991640832</v>
      </c>
      <c r="AN155" s="68" t="n">
        <f aca="false">AN153+AN154</f>
        <v>236104.213863054</v>
      </c>
      <c r="AO155" s="68" t="n">
        <f aca="false">AO153+AO154</f>
        <v>236126.436085276</v>
      </c>
      <c r="AP155" s="68" t="n">
        <f aca="false">AP153+AP154</f>
        <v>236148.658307499</v>
      </c>
      <c r="AQ155" s="68" t="n">
        <f aca="false">AQ153+AQ154</f>
        <v>236170.880529721</v>
      </c>
      <c r="AR155" s="68" t="n">
        <f aca="false">AR153+AR154</f>
        <v>236193.102751943</v>
      </c>
      <c r="AS155" s="68" t="n">
        <f aca="false">AS153+AS154</f>
        <v>236215.324974165</v>
      </c>
      <c r="AT155" s="68" t="n">
        <f aca="false">AT153+AT154</f>
        <v>236237.547196387</v>
      </c>
      <c r="AU155" s="68" t="n">
        <f aca="false">AU153+AU154</f>
        <v>236259.76941861</v>
      </c>
      <c r="AV155" s="68" t="n">
        <f aca="false">AV153+AV154</f>
        <v>236281.991640832</v>
      </c>
      <c r="AW155" s="68" t="n">
        <f aca="false">AW153+AW154</f>
        <v>236304.213863054</v>
      </c>
      <c r="AX155" s="68" t="n">
        <f aca="false">AX153+AX154</f>
        <v>236326.436085276</v>
      </c>
      <c r="AY155" s="68" t="n">
        <f aca="false">AY153+AY154</f>
        <v>322595.246515377</v>
      </c>
      <c r="AZ155" s="68" t="n">
        <f aca="false">AZ153+AZ154</f>
        <v>322617.468737599</v>
      </c>
      <c r="BA155" s="68" t="n">
        <f aca="false">BA153+BA154</f>
        <v>322639.690959822</v>
      </c>
      <c r="BB155" s="68" t="n">
        <f aca="false">BB153+BB154</f>
        <v>322661.913182044</v>
      </c>
      <c r="BC155" s="68" t="n">
        <f aca="false">BC153+BC154</f>
        <v>322684.135404266</v>
      </c>
      <c r="BD155" s="68" t="n">
        <f aca="false">BD153+BD154</f>
        <v>322706.357626488</v>
      </c>
      <c r="BE155" s="68" t="n">
        <f aca="false">BE153+BE154</f>
        <v>322728.57984871</v>
      </c>
      <c r="BF155" s="68" t="n">
        <f aca="false">BF153+BF154</f>
        <v>322750.802070933</v>
      </c>
      <c r="BG155" s="68" t="n">
        <f aca="false">BG153+BG154</f>
        <v>322773.024293155</v>
      </c>
      <c r="BH155" s="68" t="n">
        <f aca="false">BH153+BH154</f>
        <v>322795.246515377</v>
      </c>
      <c r="BI155" s="68" t="n">
        <f aca="false">BI153+BI154</f>
        <v>322817.468737599</v>
      </c>
      <c r="BJ155" s="68" t="n">
        <f aca="false">BJ153+BJ154</f>
        <v>322839.690959822</v>
      </c>
    </row>
    <row r="156" customFormat="false" ht="15" hidden="false" customHeight="false" outlineLevel="0" collapsed="false">
      <c r="A156" s="120" t="s">
        <v>414</v>
      </c>
      <c r="C156" s="67" t="n">
        <f aca="false">C155</f>
        <v>85217.1866666667</v>
      </c>
      <c r="D156" s="67" t="n">
        <f aca="false">C156+D155</f>
        <v>170445.484444444</v>
      </c>
      <c r="E156" s="67" t="n">
        <f aca="false">D156+E155</f>
        <v>255696.004444444</v>
      </c>
      <c r="F156" s="67" t="n">
        <f aca="false">E156+F155</f>
        <v>340968.746666667</v>
      </c>
      <c r="G156" s="67" t="n">
        <f aca="false">F156+G155</f>
        <v>426263.711111111</v>
      </c>
      <c r="H156" s="67" t="n">
        <f aca="false">G156+H155</f>
        <v>511580.897777778</v>
      </c>
      <c r="I156" s="67" t="n">
        <f aca="false">H156+I155</f>
        <v>596920.306666667</v>
      </c>
      <c r="J156" s="67" t="n">
        <f aca="false">I156+J155</f>
        <v>682281.937777778</v>
      </c>
      <c r="K156" s="67" t="n">
        <f aca="false">J156+K155</f>
        <v>767665.791111111</v>
      </c>
      <c r="L156" s="67" t="n">
        <f aca="false">K156+L155</f>
        <v>853071.866666667</v>
      </c>
      <c r="M156" s="67" t="n">
        <f aca="false">L156+M155</f>
        <v>938500.164444444</v>
      </c>
      <c r="N156" s="67" t="n">
        <f aca="false">M156+N155</f>
        <v>1023950.68444444</v>
      </c>
      <c r="O156" s="67" t="n">
        <f aca="false">N156+O155</f>
        <v>1146007.40798667</v>
      </c>
      <c r="P156" s="67" t="n">
        <f aca="false">O156+P155</f>
        <v>1268086.35375111</v>
      </c>
      <c r="Q156" s="67" t="n">
        <f aca="false">P156+Q155</f>
        <v>1390187.52173778</v>
      </c>
      <c r="R156" s="67" t="n">
        <f aca="false">Q156+R155</f>
        <v>1512310.91194667</v>
      </c>
      <c r="S156" s="67" t="n">
        <f aca="false">R156+S155</f>
        <v>1634456.52437778</v>
      </c>
      <c r="T156" s="67" t="n">
        <f aca="false">S156+T155</f>
        <v>1756624.35903111</v>
      </c>
      <c r="U156" s="67" t="n">
        <f aca="false">T156+U155</f>
        <v>1878814.41590667</v>
      </c>
      <c r="V156" s="67" t="n">
        <f aca="false">U156+V155</f>
        <v>2001026.69500445</v>
      </c>
      <c r="W156" s="67" t="n">
        <f aca="false">V156+W155</f>
        <v>2123261.19632445</v>
      </c>
      <c r="X156" s="67" t="n">
        <f aca="false">W156+X155</f>
        <v>2245517.91986667</v>
      </c>
      <c r="Y156" s="67" t="n">
        <f aca="false">X156+Y155</f>
        <v>2367796.86563111</v>
      </c>
      <c r="Z156" s="67" t="n">
        <f aca="false">Y156+Z155</f>
        <v>2490098.03361778</v>
      </c>
      <c r="AA156" s="67" t="n">
        <f aca="false">Z156+AA155</f>
        <v>2661111.79117859</v>
      </c>
      <c r="AB156" s="67" t="n">
        <f aca="false">AA156+AB155</f>
        <v>2832147.77096162</v>
      </c>
      <c r="AC156" s="67" t="n">
        <f aca="false">AB156+AC155</f>
        <v>3003205.97296687</v>
      </c>
      <c r="AD156" s="67" t="n">
        <f aca="false">AC156+AD155</f>
        <v>3174286.39719435</v>
      </c>
      <c r="AE156" s="67" t="n">
        <f aca="false">AD156+AE155</f>
        <v>3345389.04364405</v>
      </c>
      <c r="AF156" s="67" t="n">
        <f aca="false">AE156+AF155</f>
        <v>3516513.91231597</v>
      </c>
      <c r="AG156" s="67" t="n">
        <f aca="false">AF156+AG155</f>
        <v>3687661.00321011</v>
      </c>
      <c r="AH156" s="67" t="n">
        <f aca="false">AG156+AH155</f>
        <v>3858830.31632647</v>
      </c>
      <c r="AI156" s="67" t="n">
        <f aca="false">AH156+AI155</f>
        <v>4030021.85166506</v>
      </c>
      <c r="AJ156" s="67" t="n">
        <f aca="false">AI156+AJ155</f>
        <v>4201235.60922587</v>
      </c>
      <c r="AK156" s="67" t="n">
        <f aca="false">AJ156+AK155</f>
        <v>4372471.5890089</v>
      </c>
      <c r="AL156" s="67" t="n">
        <f aca="false">AK156+AL155</f>
        <v>4543729.79101415</v>
      </c>
      <c r="AM156" s="67" t="n">
        <f aca="false">AL156+AM155</f>
        <v>4779811.78265499</v>
      </c>
      <c r="AN156" s="67" t="n">
        <f aca="false">AM156+AN155</f>
        <v>5015915.99651804</v>
      </c>
      <c r="AO156" s="67" t="n">
        <f aca="false">AN156+AO155</f>
        <v>5252042.43260332</v>
      </c>
      <c r="AP156" s="67" t="n">
        <f aca="false">AO156+AP155</f>
        <v>5488191.09091082</v>
      </c>
      <c r="AQ156" s="67" t="n">
        <f aca="false">AP156+AQ155</f>
        <v>5724361.97144054</v>
      </c>
      <c r="AR156" s="67" t="n">
        <f aca="false">AQ156+AR155</f>
        <v>5960555.07419248</v>
      </c>
      <c r="AS156" s="67" t="n">
        <f aca="false">AR156+AS155</f>
        <v>6196770.39916664</v>
      </c>
      <c r="AT156" s="67" t="n">
        <f aca="false">AS156+AT155</f>
        <v>6433007.94636303</v>
      </c>
      <c r="AU156" s="67" t="n">
        <f aca="false">AT156+AU155</f>
        <v>6669267.71578164</v>
      </c>
      <c r="AV156" s="67" t="n">
        <f aca="false">AU156+AV155</f>
        <v>6905549.70742247</v>
      </c>
      <c r="AW156" s="67" t="n">
        <f aca="false">AV156+AW155</f>
        <v>7141853.92128553</v>
      </c>
      <c r="AX156" s="67" t="n">
        <f aca="false">AW156+AX155</f>
        <v>7378180.3573708</v>
      </c>
      <c r="AY156" s="67" t="n">
        <f aca="false">AX156+AY155</f>
        <v>7700775.60388618</v>
      </c>
      <c r="AZ156" s="67" t="n">
        <f aca="false">AY156+AZ155</f>
        <v>8023393.07262378</v>
      </c>
      <c r="BA156" s="67" t="n">
        <f aca="false">AZ156+BA155</f>
        <v>8346032.7635836</v>
      </c>
      <c r="BB156" s="67" t="n">
        <f aca="false">BA156+BB155</f>
        <v>8668694.67676565</v>
      </c>
      <c r="BC156" s="67" t="n">
        <f aca="false">BB156+BC155</f>
        <v>8991378.81216991</v>
      </c>
      <c r="BD156" s="67" t="n">
        <f aca="false">BC156+BD155</f>
        <v>9314085.1697964</v>
      </c>
      <c r="BE156" s="67" t="n">
        <f aca="false">BD156+BE155</f>
        <v>9636813.74964511</v>
      </c>
      <c r="BF156" s="67" t="n">
        <f aca="false">BE156+BF155</f>
        <v>9959564.55171604</v>
      </c>
      <c r="BG156" s="67" t="n">
        <f aca="false">BF156+BG155</f>
        <v>10282337.5760092</v>
      </c>
      <c r="BH156" s="67" t="n">
        <f aca="false">BG156+BH155</f>
        <v>10605132.8225246</v>
      </c>
      <c r="BI156" s="67" t="n">
        <f aca="false">BH156+BI155</f>
        <v>10927950.2912622</v>
      </c>
      <c r="BJ156" s="67" t="n">
        <f aca="false">BI156+BJ155</f>
        <v>11250789.982222</v>
      </c>
    </row>
    <row r="157" customFormat="false" ht="15" hidden="false" customHeight="false" outlineLevel="0" collapsed="false">
      <c r="A157" s="120" t="s">
        <v>415</v>
      </c>
      <c r="C157" s="67" t="n">
        <f aca="false">MAX(0,C156)</f>
        <v>85217.1866666667</v>
      </c>
      <c r="D157" s="67" t="n">
        <f aca="false">MAX(C157,D156)</f>
        <v>170445.484444444</v>
      </c>
      <c r="E157" s="67" t="n">
        <f aca="false">MAX(D157,E156)</f>
        <v>255696.004444444</v>
      </c>
      <c r="F157" s="67" t="n">
        <f aca="false">MAX(E157,F156)</f>
        <v>340968.746666667</v>
      </c>
      <c r="G157" s="67" t="n">
        <f aca="false">MAX(F157,G156)</f>
        <v>426263.711111111</v>
      </c>
      <c r="H157" s="67" t="n">
        <f aca="false">MAX(G157,H156)</f>
        <v>511580.897777778</v>
      </c>
      <c r="I157" s="67" t="n">
        <f aca="false">MAX(H157,I156)</f>
        <v>596920.306666667</v>
      </c>
      <c r="J157" s="67" t="n">
        <f aca="false">MAX(I157,J156)</f>
        <v>682281.937777778</v>
      </c>
      <c r="K157" s="67" t="n">
        <f aca="false">MAX(J157,K156)</f>
        <v>767665.791111111</v>
      </c>
      <c r="L157" s="67" t="n">
        <f aca="false">MAX(K157,L156)</f>
        <v>853071.866666667</v>
      </c>
      <c r="M157" s="67" t="n">
        <f aca="false">MAX(L157,M156)</f>
        <v>938500.164444444</v>
      </c>
      <c r="N157" s="67" t="n">
        <f aca="false">MAX(M157,N156)</f>
        <v>1023950.68444444</v>
      </c>
      <c r="O157" s="67" t="n">
        <f aca="false">MAX(N157,O156)</f>
        <v>1146007.40798667</v>
      </c>
      <c r="P157" s="67" t="n">
        <f aca="false">MAX(O157,P156)</f>
        <v>1268086.35375111</v>
      </c>
      <c r="Q157" s="67" t="n">
        <f aca="false">MAX(P157,Q156)</f>
        <v>1390187.52173778</v>
      </c>
      <c r="R157" s="67" t="n">
        <f aca="false">MAX(Q157,R156)</f>
        <v>1512310.91194667</v>
      </c>
      <c r="S157" s="67" t="n">
        <f aca="false">MAX(R157,S156)</f>
        <v>1634456.52437778</v>
      </c>
      <c r="T157" s="67" t="n">
        <f aca="false">MAX(S157,T156)</f>
        <v>1756624.35903111</v>
      </c>
      <c r="U157" s="67" t="n">
        <f aca="false">MAX(T157,U156)</f>
        <v>1878814.41590667</v>
      </c>
      <c r="V157" s="67" t="n">
        <f aca="false">MAX(U157,V156)</f>
        <v>2001026.69500445</v>
      </c>
      <c r="W157" s="67" t="n">
        <f aca="false">MAX(V157,W156)</f>
        <v>2123261.19632445</v>
      </c>
      <c r="X157" s="67" t="n">
        <f aca="false">MAX(W157,X156)</f>
        <v>2245517.91986667</v>
      </c>
      <c r="Y157" s="67" t="n">
        <f aca="false">MAX(X157,Y156)</f>
        <v>2367796.86563111</v>
      </c>
      <c r="Z157" s="67" t="n">
        <f aca="false">MAX(Y157,Z156)</f>
        <v>2490098.03361778</v>
      </c>
      <c r="AA157" s="67" t="n">
        <f aca="false">MAX(Z157,AA156)</f>
        <v>2661111.79117859</v>
      </c>
      <c r="AB157" s="67" t="n">
        <f aca="false">MAX(AA157,AB156)</f>
        <v>2832147.77096162</v>
      </c>
      <c r="AC157" s="67" t="n">
        <f aca="false">MAX(AB157,AC156)</f>
        <v>3003205.97296687</v>
      </c>
      <c r="AD157" s="67" t="n">
        <f aca="false">MAX(AC157,AD156)</f>
        <v>3174286.39719435</v>
      </c>
      <c r="AE157" s="67" t="n">
        <f aca="false">MAX(AD157,AE156)</f>
        <v>3345389.04364405</v>
      </c>
      <c r="AF157" s="67" t="n">
        <f aca="false">MAX(AE157,AF156)</f>
        <v>3516513.91231597</v>
      </c>
      <c r="AG157" s="67" t="n">
        <f aca="false">MAX(AF157,AG156)</f>
        <v>3687661.00321011</v>
      </c>
      <c r="AH157" s="67" t="n">
        <f aca="false">MAX(AG157,AH156)</f>
        <v>3858830.31632647</v>
      </c>
      <c r="AI157" s="67" t="n">
        <f aca="false">MAX(AH157,AI156)</f>
        <v>4030021.85166506</v>
      </c>
      <c r="AJ157" s="67" t="n">
        <f aca="false">MAX(AI157,AJ156)</f>
        <v>4201235.60922587</v>
      </c>
      <c r="AK157" s="67" t="n">
        <f aca="false">MAX(AJ157,AK156)</f>
        <v>4372471.5890089</v>
      </c>
      <c r="AL157" s="67" t="n">
        <f aca="false">MAX(AK157,AL156)</f>
        <v>4543729.79101415</v>
      </c>
      <c r="AM157" s="67" t="n">
        <f aca="false">MAX(AL157,AM156)</f>
        <v>4779811.78265499</v>
      </c>
      <c r="AN157" s="67" t="n">
        <f aca="false">MAX(AM157,AN156)</f>
        <v>5015915.99651804</v>
      </c>
      <c r="AO157" s="67" t="n">
        <f aca="false">MAX(AN157,AO156)</f>
        <v>5252042.43260332</v>
      </c>
      <c r="AP157" s="67" t="n">
        <f aca="false">MAX(AO157,AP156)</f>
        <v>5488191.09091082</v>
      </c>
      <c r="AQ157" s="67" t="n">
        <f aca="false">MAX(AP157,AQ156)</f>
        <v>5724361.97144054</v>
      </c>
      <c r="AR157" s="67" t="n">
        <f aca="false">MAX(AQ157,AR156)</f>
        <v>5960555.07419248</v>
      </c>
      <c r="AS157" s="67" t="n">
        <f aca="false">MAX(AR157,AS156)</f>
        <v>6196770.39916664</v>
      </c>
      <c r="AT157" s="67" t="n">
        <f aca="false">MAX(AS157,AT156)</f>
        <v>6433007.94636303</v>
      </c>
      <c r="AU157" s="67" t="n">
        <f aca="false">MAX(AT157,AU156)</f>
        <v>6669267.71578164</v>
      </c>
      <c r="AV157" s="67" t="n">
        <f aca="false">MAX(AU157,AV156)</f>
        <v>6905549.70742247</v>
      </c>
      <c r="AW157" s="67" t="n">
        <f aca="false">MAX(AV157,AW156)</f>
        <v>7141853.92128553</v>
      </c>
      <c r="AX157" s="67" t="n">
        <f aca="false">MAX(AW157,AX156)</f>
        <v>7378180.3573708</v>
      </c>
      <c r="AY157" s="67" t="n">
        <f aca="false">MAX(AX157,AY156)</f>
        <v>7700775.60388618</v>
      </c>
      <c r="AZ157" s="67" t="n">
        <f aca="false">MAX(AY157,AZ156)</f>
        <v>8023393.07262378</v>
      </c>
      <c r="BA157" s="67" t="n">
        <f aca="false">MAX(AZ157,BA156)</f>
        <v>8346032.7635836</v>
      </c>
      <c r="BB157" s="67" t="n">
        <f aca="false">MAX(BA157,BB156)</f>
        <v>8668694.67676565</v>
      </c>
      <c r="BC157" s="67" t="n">
        <f aca="false">MAX(BB157,BC156)</f>
        <v>8991378.81216991</v>
      </c>
      <c r="BD157" s="67" t="n">
        <f aca="false">MAX(BC157,BD156)</f>
        <v>9314085.1697964</v>
      </c>
      <c r="BE157" s="67" t="n">
        <f aca="false">MAX(BD157,BE156)</f>
        <v>9636813.74964511</v>
      </c>
      <c r="BF157" s="67" t="n">
        <f aca="false">MAX(BE157,BF156)</f>
        <v>9959564.55171604</v>
      </c>
      <c r="BG157" s="67" t="n">
        <f aca="false">MAX(BF157,BG156)</f>
        <v>10282337.5760092</v>
      </c>
      <c r="BH157" s="67" t="n">
        <f aca="false">MAX(BG157,BH156)</f>
        <v>10605132.8225246</v>
      </c>
      <c r="BI157" s="67" t="n">
        <f aca="false">MAX(BH157,BI156)</f>
        <v>10927950.2912622</v>
      </c>
      <c r="BJ157" s="67" t="n">
        <f aca="false">MAX(BI157,BJ156)</f>
        <v>11250789.982222</v>
      </c>
    </row>
    <row r="158" customFormat="false" ht="15" hidden="false" customHeight="false" outlineLevel="0" collapsed="false">
      <c r="A158" s="6" t="s">
        <v>82</v>
      </c>
      <c r="C158" s="67" t="n">
        <f aca="false">-C157*Inputs!$C$66</f>
        <v>-17895.6092</v>
      </c>
      <c r="D158" s="67" t="n">
        <f aca="false">-(D157-C157)*Inputs!$C$66</f>
        <v>-17897.9425333333</v>
      </c>
      <c r="E158" s="67" t="n">
        <f aca="false">-(E157-D157)*Inputs!$C$66</f>
        <v>-17902.6092</v>
      </c>
      <c r="F158" s="67" t="n">
        <f aca="false">-(F157-E157)*Inputs!$C$66</f>
        <v>-17907.2758666667</v>
      </c>
      <c r="G158" s="67" t="n">
        <f aca="false">-(G157-F157)*Inputs!$C$66</f>
        <v>-17911.9425333333</v>
      </c>
      <c r="H158" s="67" t="n">
        <f aca="false">-(H157-G157)*Inputs!$C$66</f>
        <v>-17916.6092</v>
      </c>
      <c r="I158" s="67" t="n">
        <f aca="false">-(I157-H157)*Inputs!$C$66</f>
        <v>-17921.2758666667</v>
      </c>
      <c r="J158" s="67" t="n">
        <f aca="false">-(J157-I157)*Inputs!$C$66</f>
        <v>-17925.9425333333</v>
      </c>
      <c r="K158" s="67" t="n">
        <f aca="false">-(K157-J157)*Inputs!$C$66</f>
        <v>-17930.6092</v>
      </c>
      <c r="L158" s="67" t="n">
        <f aca="false">-(L157-K157)*Inputs!$C$66</f>
        <v>-17935.2758666667</v>
      </c>
      <c r="M158" s="67" t="n">
        <f aca="false">-(M157-L157)*Inputs!$C$66</f>
        <v>-17939.9425333333</v>
      </c>
      <c r="N158" s="67" t="n">
        <f aca="false">-(N157-M157)*Inputs!$C$66</f>
        <v>-17944.6092</v>
      </c>
      <c r="O158" s="67" t="n">
        <f aca="false">-(O157-N157)*Inputs!$C$66</f>
        <v>-25631.9119438667</v>
      </c>
      <c r="P158" s="67" t="n">
        <f aca="false">-(P157-O157)*Inputs!$C$66</f>
        <v>-25636.5786105334</v>
      </c>
      <c r="Q158" s="67" t="n">
        <f aca="false">-(Q157-P157)*Inputs!$C$66</f>
        <v>-25641.2452772</v>
      </c>
      <c r="R158" s="67" t="n">
        <f aca="false">-(R157-Q157)*Inputs!$C$66</f>
        <v>-25645.9119438667</v>
      </c>
      <c r="S158" s="67" t="n">
        <f aca="false">-(S157-R157)*Inputs!$C$66</f>
        <v>-25650.5786105334</v>
      </c>
      <c r="T158" s="67" t="n">
        <f aca="false">-(T157-S157)*Inputs!$C$66</f>
        <v>-25655.2452772</v>
      </c>
      <c r="U158" s="67" t="n">
        <f aca="false">-(U157-T157)*Inputs!$C$66</f>
        <v>-25659.9119438667</v>
      </c>
      <c r="V158" s="67" t="n">
        <f aca="false">-(V157-U157)*Inputs!$C$66</f>
        <v>-25664.5786105334</v>
      </c>
      <c r="W158" s="67" t="n">
        <f aca="false">-(W157-V157)*Inputs!$C$66</f>
        <v>-25669.2452772</v>
      </c>
      <c r="X158" s="67" t="n">
        <f aca="false">-(X157-W157)*Inputs!$C$66</f>
        <v>-25673.9119438667</v>
      </c>
      <c r="Y158" s="67" t="n">
        <f aca="false">-(Y157-X157)*Inputs!$C$66</f>
        <v>-25678.5786105334</v>
      </c>
      <c r="Z158" s="67" t="n">
        <f aca="false">-(Z157-Y157)*Inputs!$C$66</f>
        <v>-25683.2452772</v>
      </c>
      <c r="AA158" s="67" t="n">
        <f aca="false">-(AA157-Z157)*Inputs!$C$66</f>
        <v>-35912.8890877699</v>
      </c>
      <c r="AB158" s="67" t="n">
        <f aca="false">-(AB157-AA157)*Inputs!$C$66</f>
        <v>-35917.5557544365</v>
      </c>
      <c r="AC158" s="67" t="n">
        <f aca="false">-(AC157-AB157)*Inputs!$C$66</f>
        <v>-35922.2224211032</v>
      </c>
      <c r="AD158" s="67" t="n">
        <f aca="false">-(AD157-AC157)*Inputs!$C$66</f>
        <v>-35926.8890877699</v>
      </c>
      <c r="AE158" s="67" t="n">
        <f aca="false">-(AE157-AD157)*Inputs!$C$66</f>
        <v>-35931.5557544365</v>
      </c>
      <c r="AF158" s="67" t="n">
        <f aca="false">-(AF157-AE157)*Inputs!$C$66</f>
        <v>-35936.2224211032</v>
      </c>
      <c r="AG158" s="67" t="n">
        <f aca="false">-(AG157-AF157)*Inputs!$C$66</f>
        <v>-35940.8890877699</v>
      </c>
      <c r="AH158" s="67" t="n">
        <f aca="false">-(AH157-AG157)*Inputs!$C$66</f>
        <v>-35945.5557544366</v>
      </c>
      <c r="AI158" s="67" t="n">
        <f aca="false">-(AI157-AH157)*Inputs!$C$66</f>
        <v>-35950.2224211032</v>
      </c>
      <c r="AJ158" s="67" t="n">
        <f aca="false">-(AJ157-AI157)*Inputs!$C$66</f>
        <v>-35954.8890877699</v>
      </c>
      <c r="AK158" s="67" t="n">
        <f aca="false">-(AK157-AJ157)*Inputs!$C$66</f>
        <v>-35959.5557544365</v>
      </c>
      <c r="AL158" s="67" t="n">
        <f aca="false">-(AL157-AK157)*Inputs!$C$66</f>
        <v>-35964.2224211032</v>
      </c>
      <c r="AM158" s="67" t="n">
        <f aca="false">-(AM157-AL157)*Inputs!$C$66</f>
        <v>-49577.2182445748</v>
      </c>
      <c r="AN158" s="67" t="n">
        <f aca="false">-(AN157-AM157)*Inputs!$C$66</f>
        <v>-49581.8849112414</v>
      </c>
      <c r="AO158" s="67" t="n">
        <f aca="false">-(AO157-AN157)*Inputs!$C$66</f>
        <v>-49586.551577908</v>
      </c>
      <c r="AP158" s="67" t="n">
        <f aca="false">-(AP157-AO157)*Inputs!$C$66</f>
        <v>-49591.2182445746</v>
      </c>
      <c r="AQ158" s="67" t="n">
        <f aca="false">-(AQ157-AP157)*Inputs!$C$66</f>
        <v>-49595.8849112413</v>
      </c>
      <c r="AR158" s="67" t="n">
        <f aca="false">-(AR157-AQ157)*Inputs!$C$66</f>
        <v>-49600.5515779081</v>
      </c>
      <c r="AS158" s="67" t="n">
        <f aca="false">-(AS157-AR157)*Inputs!$C$66</f>
        <v>-49605.2182445747</v>
      </c>
      <c r="AT158" s="67" t="n">
        <f aca="false">-(AT157-AS157)*Inputs!$C$66</f>
        <v>-49609.8849112413</v>
      </c>
      <c r="AU158" s="67" t="n">
        <f aca="false">-(AU157-AT157)*Inputs!$C$66</f>
        <v>-49614.551577908</v>
      </c>
      <c r="AV158" s="67" t="n">
        <f aca="false">-(AV157-AU157)*Inputs!$C$66</f>
        <v>-49619.2182445748</v>
      </c>
      <c r="AW158" s="67" t="n">
        <f aca="false">-(AW157-AV157)*Inputs!$C$66</f>
        <v>-49623.8849112414</v>
      </c>
      <c r="AX158" s="67" t="n">
        <f aca="false">-(AX157-AW157)*Inputs!$C$66</f>
        <v>-49628.551577908</v>
      </c>
      <c r="AY158" s="67" t="n">
        <f aca="false">-(AY157-AX157)*Inputs!$C$66</f>
        <v>-67745.0017682293</v>
      </c>
      <c r="AZ158" s="67" t="n">
        <f aca="false">-(AZ157-AY157)*Inputs!$C$66</f>
        <v>-67749.6684348959</v>
      </c>
      <c r="BA158" s="67" t="n">
        <f aca="false">-(BA157-AZ157)*Inputs!$C$66</f>
        <v>-67754.3351015625</v>
      </c>
      <c r="BB158" s="67" t="n">
        <f aca="false">-(BB157-BA157)*Inputs!$C$66</f>
        <v>-67759.0017682291</v>
      </c>
      <c r="BC158" s="67" t="n">
        <f aca="false">-(BC157-BB157)*Inputs!$C$66</f>
        <v>-67763.6684348959</v>
      </c>
      <c r="BD158" s="67" t="n">
        <f aca="false">-(BD157-BC157)*Inputs!$C$66</f>
        <v>-67768.3351015626</v>
      </c>
      <c r="BE158" s="67" t="n">
        <f aca="false">-(BE157-BD157)*Inputs!$C$66</f>
        <v>-67773.0017682292</v>
      </c>
      <c r="BF158" s="67" t="n">
        <f aca="false">-(BF157-BE157)*Inputs!$C$66</f>
        <v>-67777.6684348958</v>
      </c>
      <c r="BG158" s="67" t="n">
        <f aca="false">-(BG157-BF157)*Inputs!$C$66</f>
        <v>-67782.3351015624</v>
      </c>
      <c r="BH158" s="67" t="n">
        <f aca="false">-(BH157-BG157)*Inputs!$C$66</f>
        <v>-67787.0017682291</v>
      </c>
      <c r="BI158" s="67" t="n">
        <f aca="false">-(BI157-BH157)*Inputs!$C$66</f>
        <v>-67791.6684348957</v>
      </c>
      <c r="BJ158" s="67" t="n">
        <f aca="false">-(BJ157-BI157)*Inputs!$C$66</f>
        <v>-67796.3351015627</v>
      </c>
    </row>
    <row r="159" customFormat="false" ht="15" hidden="false" customHeight="false" outlineLevel="0" collapsed="false">
      <c r="A159" s="113" t="s">
        <v>50</v>
      </c>
      <c r="C159" s="68" t="n">
        <f aca="false">C155+C158</f>
        <v>67321.5774666667</v>
      </c>
      <c r="D159" s="68" t="n">
        <f aca="false">D155+D158</f>
        <v>67330.3552444445</v>
      </c>
      <c r="E159" s="68" t="n">
        <f aca="false">E155+E158</f>
        <v>67347.9108</v>
      </c>
      <c r="F159" s="68" t="n">
        <f aca="false">F155+F158</f>
        <v>67365.4663555556</v>
      </c>
      <c r="G159" s="68" t="n">
        <f aca="false">G155+G158</f>
        <v>67383.0219111111</v>
      </c>
      <c r="H159" s="68" t="n">
        <f aca="false">H155+H158</f>
        <v>67400.5774666667</v>
      </c>
      <c r="I159" s="68" t="n">
        <f aca="false">I155+I158</f>
        <v>67418.1330222222</v>
      </c>
      <c r="J159" s="68" t="n">
        <f aca="false">J155+J158</f>
        <v>67435.6885777778</v>
      </c>
      <c r="K159" s="68" t="n">
        <f aca="false">K155+K158</f>
        <v>67453.2441333333</v>
      </c>
      <c r="L159" s="68" t="n">
        <f aca="false">L155+L158</f>
        <v>67470.7996888889</v>
      </c>
      <c r="M159" s="68" t="n">
        <f aca="false">M155+M158</f>
        <v>67488.3552444444</v>
      </c>
      <c r="N159" s="68" t="n">
        <f aca="false">N155+N158</f>
        <v>67505.9108</v>
      </c>
      <c r="O159" s="68" t="n">
        <f aca="false">O155+O158</f>
        <v>96424.8115983557</v>
      </c>
      <c r="P159" s="68" t="n">
        <f aca="false">P155+P158</f>
        <v>96442.3671539113</v>
      </c>
      <c r="Q159" s="68" t="n">
        <f aca="false">Q155+Q158</f>
        <v>96459.9227094669</v>
      </c>
      <c r="R159" s="68" t="n">
        <f aca="false">R155+R158</f>
        <v>96477.4782650224</v>
      </c>
      <c r="S159" s="68" t="n">
        <f aca="false">S155+S158</f>
        <v>96495.033820578</v>
      </c>
      <c r="T159" s="68" t="n">
        <f aca="false">T155+T158</f>
        <v>96512.5893761335</v>
      </c>
      <c r="U159" s="68" t="n">
        <f aca="false">U155+U158</f>
        <v>96530.1449316891</v>
      </c>
      <c r="V159" s="68" t="n">
        <f aca="false">V155+V158</f>
        <v>96547.7004872446</v>
      </c>
      <c r="W159" s="68" t="n">
        <f aca="false">W155+W158</f>
        <v>96565.2560428002</v>
      </c>
      <c r="X159" s="68" t="n">
        <f aca="false">X155+X158</f>
        <v>96582.8115983558</v>
      </c>
      <c r="Y159" s="68" t="n">
        <f aca="false">Y155+Y158</f>
        <v>96600.3671539113</v>
      </c>
      <c r="Z159" s="68" t="n">
        <f aca="false">Z155+Z158</f>
        <v>96617.9227094669</v>
      </c>
      <c r="AA159" s="68" t="n">
        <f aca="false">AA155+AA158</f>
        <v>135100.868473039</v>
      </c>
      <c r="AB159" s="68" t="n">
        <f aca="false">AB155+AB158</f>
        <v>135118.424028595</v>
      </c>
      <c r="AC159" s="68" t="n">
        <f aca="false">AC155+AC158</f>
        <v>135135.97958415</v>
      </c>
      <c r="AD159" s="68" t="n">
        <f aca="false">AD155+AD158</f>
        <v>135153.535139706</v>
      </c>
      <c r="AE159" s="68" t="n">
        <f aca="false">AE155+AE158</f>
        <v>135171.090695261</v>
      </c>
      <c r="AF159" s="68" t="n">
        <f aca="false">AF155+AF158</f>
        <v>135188.646250817</v>
      </c>
      <c r="AG159" s="68" t="n">
        <f aca="false">AG155+AG158</f>
        <v>135206.201806372</v>
      </c>
      <c r="AH159" s="68" t="n">
        <f aca="false">AH155+AH158</f>
        <v>135223.757361928</v>
      </c>
      <c r="AI159" s="68" t="n">
        <f aca="false">AI155+AI158</f>
        <v>135241.312917484</v>
      </c>
      <c r="AJ159" s="68" t="n">
        <f aca="false">AJ155+AJ158</f>
        <v>135258.868473039</v>
      </c>
      <c r="AK159" s="68" t="n">
        <f aca="false">AK155+AK158</f>
        <v>135276.424028595</v>
      </c>
      <c r="AL159" s="68" t="n">
        <f aca="false">AL155+AL158</f>
        <v>135293.97958415</v>
      </c>
      <c r="AM159" s="68" t="n">
        <f aca="false">AM155+AM158</f>
        <v>186504.773396257</v>
      </c>
      <c r="AN159" s="68" t="n">
        <f aca="false">AN155+AN158</f>
        <v>186522.328951813</v>
      </c>
      <c r="AO159" s="68" t="n">
        <f aca="false">AO155+AO158</f>
        <v>186539.884507368</v>
      </c>
      <c r="AP159" s="68" t="n">
        <f aca="false">AP155+AP158</f>
        <v>186557.440062924</v>
      </c>
      <c r="AQ159" s="68" t="n">
        <f aca="false">AQ155+AQ158</f>
        <v>186574.995618479</v>
      </c>
      <c r="AR159" s="68" t="n">
        <f aca="false">AR155+AR158</f>
        <v>186592.551174035</v>
      </c>
      <c r="AS159" s="68" t="n">
        <f aca="false">AS155+AS158</f>
        <v>186610.10672959</v>
      </c>
      <c r="AT159" s="68" t="n">
        <f aca="false">AT155+AT158</f>
        <v>186627.662285146</v>
      </c>
      <c r="AU159" s="68" t="n">
        <f aca="false">AU155+AU158</f>
        <v>186645.217840702</v>
      </c>
      <c r="AV159" s="68" t="n">
        <f aca="false">AV155+AV158</f>
        <v>186662.773396257</v>
      </c>
      <c r="AW159" s="68" t="n">
        <f aca="false">AW155+AW158</f>
        <v>186680.328951813</v>
      </c>
      <c r="AX159" s="68" t="n">
        <f aca="false">AX155+AX158</f>
        <v>186697.884507368</v>
      </c>
      <c r="AY159" s="68" t="n">
        <f aca="false">AY155+AY158</f>
        <v>254850.244747148</v>
      </c>
      <c r="AZ159" s="68" t="n">
        <f aca="false">AZ155+AZ158</f>
        <v>254867.800302703</v>
      </c>
      <c r="BA159" s="68" t="n">
        <f aca="false">BA155+BA158</f>
        <v>254885.355858259</v>
      </c>
      <c r="BB159" s="68" t="n">
        <f aca="false">BB155+BB158</f>
        <v>254902.911413815</v>
      </c>
      <c r="BC159" s="68" t="n">
        <f aca="false">BC155+BC158</f>
        <v>254920.46696937</v>
      </c>
      <c r="BD159" s="68" t="n">
        <f aca="false">BD155+BD158</f>
        <v>254938.022524926</v>
      </c>
      <c r="BE159" s="68" t="n">
        <f aca="false">BE155+BE158</f>
        <v>254955.578080481</v>
      </c>
      <c r="BF159" s="68" t="n">
        <f aca="false">BF155+BF158</f>
        <v>254973.133636037</v>
      </c>
      <c r="BG159" s="68" t="n">
        <f aca="false">BG155+BG158</f>
        <v>254990.689191592</v>
      </c>
      <c r="BH159" s="68" t="n">
        <f aca="false">BH155+BH158</f>
        <v>255008.244747148</v>
      </c>
      <c r="BI159" s="68" t="n">
        <f aca="false">BI155+BI158</f>
        <v>255025.800302704</v>
      </c>
      <c r="BJ159" s="68" t="n">
        <f aca="false">BJ155+BJ158</f>
        <v>255043.355858259</v>
      </c>
    </row>
    <row r="161" customFormat="false" ht="15.75" hidden="false" customHeight="true" outlineLevel="0" collapsed="false">
      <c r="A161" s="7" t="s">
        <v>416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customFormat="false" ht="15" hidden="false" customHeight="false" outlineLevel="0" collapsed="false">
      <c r="A162" s="6" t="s">
        <v>84</v>
      </c>
      <c r="C162" s="67" t="n">
        <f aca="false">IF(C$116=1,Inputs!$C$31,0)</f>
        <v>60000</v>
      </c>
      <c r="D162" s="67" t="n">
        <f aca="false">IF(D$116=1,Inputs!$C$31,0)</f>
        <v>0</v>
      </c>
      <c r="E162" s="67" t="n">
        <f aca="false">IF(E$116=1,Inputs!$C$31,0)</f>
        <v>0</v>
      </c>
      <c r="F162" s="67" t="n">
        <f aca="false">IF(F$116=1,Inputs!$C$31,0)</f>
        <v>0</v>
      </c>
      <c r="G162" s="67" t="n">
        <f aca="false">IF(G$116=1,Inputs!$C$31,0)</f>
        <v>0</v>
      </c>
      <c r="H162" s="67" t="n">
        <f aca="false">IF(H$116=1,Inputs!$C$31,0)</f>
        <v>0</v>
      </c>
      <c r="I162" s="67" t="n">
        <f aca="false">IF(I$116=1,Inputs!$C$31,0)</f>
        <v>0</v>
      </c>
      <c r="J162" s="67" t="n">
        <f aca="false">IF(J$116=1,Inputs!$C$31,0)</f>
        <v>0</v>
      </c>
      <c r="K162" s="67" t="n">
        <f aca="false">IF(K$116=1,Inputs!$C$31,0)</f>
        <v>0</v>
      </c>
      <c r="L162" s="67" t="n">
        <f aca="false">IF(L$116=1,Inputs!$C$31,0)</f>
        <v>0</v>
      </c>
      <c r="M162" s="67" t="n">
        <f aca="false">IF(M$116=1,Inputs!$C$31,0)</f>
        <v>0</v>
      </c>
      <c r="N162" s="67" t="n">
        <f aca="false">IF(N$116=1,Inputs!$C$31,0)</f>
        <v>0</v>
      </c>
      <c r="O162" s="67" t="n">
        <f aca="false">IF(O$116=1,Inputs!$C$31,0)</f>
        <v>0</v>
      </c>
      <c r="P162" s="67" t="n">
        <f aca="false">IF(P$116=1,Inputs!$C$31,0)</f>
        <v>0</v>
      </c>
      <c r="Q162" s="67" t="n">
        <f aca="false">IF(Q$116=1,Inputs!$C$31,0)</f>
        <v>0</v>
      </c>
      <c r="R162" s="67" t="n">
        <f aca="false">IF(R$116=1,Inputs!$C$31,0)</f>
        <v>0</v>
      </c>
      <c r="S162" s="67" t="n">
        <f aca="false">IF(S$116=1,Inputs!$C$31,0)</f>
        <v>0</v>
      </c>
      <c r="T162" s="67" t="n">
        <f aca="false">IF(T$116=1,Inputs!$C$31,0)</f>
        <v>0</v>
      </c>
      <c r="U162" s="67" t="n">
        <f aca="false">IF(U$116=1,Inputs!$C$31,0)</f>
        <v>0</v>
      </c>
      <c r="V162" s="67" t="n">
        <f aca="false">IF(V$116=1,Inputs!$C$31,0)</f>
        <v>0</v>
      </c>
      <c r="W162" s="67" t="n">
        <f aca="false">IF(W$116=1,Inputs!$C$31,0)</f>
        <v>0</v>
      </c>
      <c r="X162" s="67" t="n">
        <f aca="false">IF(X$116=1,Inputs!$C$31,0)</f>
        <v>0</v>
      </c>
      <c r="Y162" s="67" t="n">
        <f aca="false">IF(Y$116=1,Inputs!$C$31,0)</f>
        <v>0</v>
      </c>
      <c r="Z162" s="67" t="n">
        <f aca="false">IF(Z$116=1,Inputs!$C$31,0)</f>
        <v>0</v>
      </c>
      <c r="AA162" s="67" t="n">
        <f aca="false">IF(AA$116=1,Inputs!$C$31,0)</f>
        <v>0</v>
      </c>
      <c r="AB162" s="67" t="n">
        <f aca="false">IF(AB$116=1,Inputs!$C$31,0)</f>
        <v>0</v>
      </c>
      <c r="AC162" s="67" t="n">
        <f aca="false">IF(AC$116=1,Inputs!$C$31,0)</f>
        <v>0</v>
      </c>
      <c r="AD162" s="67" t="n">
        <f aca="false">IF(AD$116=1,Inputs!$C$31,0)</f>
        <v>0</v>
      </c>
      <c r="AE162" s="67" t="n">
        <f aca="false">IF(AE$116=1,Inputs!$C$31,0)</f>
        <v>0</v>
      </c>
      <c r="AF162" s="67" t="n">
        <f aca="false">IF(AF$116=1,Inputs!$C$31,0)</f>
        <v>0</v>
      </c>
      <c r="AG162" s="67" t="n">
        <f aca="false">IF(AG$116=1,Inputs!$C$31,0)</f>
        <v>0</v>
      </c>
      <c r="AH162" s="67" t="n">
        <f aca="false">IF(AH$116=1,Inputs!$C$31,0)</f>
        <v>0</v>
      </c>
      <c r="AI162" s="67" t="n">
        <f aca="false">IF(AI$116=1,Inputs!$C$31,0)</f>
        <v>0</v>
      </c>
      <c r="AJ162" s="67" t="n">
        <f aca="false">IF(AJ$116=1,Inputs!$C$31,0)</f>
        <v>0</v>
      </c>
      <c r="AK162" s="67" t="n">
        <f aca="false">IF(AK$116=1,Inputs!$C$31,0)</f>
        <v>0</v>
      </c>
      <c r="AL162" s="67" t="n">
        <f aca="false">IF(AL$116=1,Inputs!$C$31,0)</f>
        <v>0</v>
      </c>
      <c r="AM162" s="67" t="n">
        <f aca="false">IF(AM$116=1,Inputs!$C$31,0)</f>
        <v>0</v>
      </c>
      <c r="AN162" s="67" t="n">
        <f aca="false">IF(AN$116=1,Inputs!$C$31,0)</f>
        <v>0</v>
      </c>
      <c r="AO162" s="67" t="n">
        <f aca="false">IF(AO$116=1,Inputs!$C$31,0)</f>
        <v>0</v>
      </c>
      <c r="AP162" s="67" t="n">
        <f aca="false">IF(AP$116=1,Inputs!$C$31,0)</f>
        <v>0</v>
      </c>
      <c r="AQ162" s="67" t="n">
        <f aca="false">IF(AQ$116=1,Inputs!$C$31,0)</f>
        <v>0</v>
      </c>
      <c r="AR162" s="67" t="n">
        <f aca="false">IF(AR$116=1,Inputs!$C$31,0)</f>
        <v>0</v>
      </c>
      <c r="AS162" s="67" t="n">
        <f aca="false">IF(AS$116=1,Inputs!$C$31,0)</f>
        <v>0</v>
      </c>
      <c r="AT162" s="67" t="n">
        <f aca="false">IF(AT$116=1,Inputs!$C$31,0)</f>
        <v>0</v>
      </c>
      <c r="AU162" s="67" t="n">
        <f aca="false">IF(AU$116=1,Inputs!$C$31,0)</f>
        <v>0</v>
      </c>
      <c r="AV162" s="67" t="n">
        <f aca="false">IF(AV$116=1,Inputs!$C$31,0)</f>
        <v>0</v>
      </c>
      <c r="AW162" s="67" t="n">
        <f aca="false">IF(AW$116=1,Inputs!$C$31,0)</f>
        <v>0</v>
      </c>
      <c r="AX162" s="67" t="n">
        <f aca="false">IF(AX$116=1,Inputs!$C$31,0)</f>
        <v>0</v>
      </c>
      <c r="AY162" s="67" t="n">
        <f aca="false">IF(AY$116=1,Inputs!$C$31,0)</f>
        <v>0</v>
      </c>
      <c r="AZ162" s="67" t="n">
        <f aca="false">IF(AZ$116=1,Inputs!$C$31,0)</f>
        <v>0</v>
      </c>
      <c r="BA162" s="67" t="n">
        <f aca="false">IF(BA$116=1,Inputs!$C$31,0)</f>
        <v>0</v>
      </c>
      <c r="BB162" s="67" t="n">
        <f aca="false">IF(BB$116=1,Inputs!$C$31,0)</f>
        <v>0</v>
      </c>
      <c r="BC162" s="67" t="n">
        <f aca="false">IF(BC$116=1,Inputs!$C$31,0)</f>
        <v>0</v>
      </c>
      <c r="BD162" s="67" t="n">
        <f aca="false">IF(BD$116=1,Inputs!$C$31,0)</f>
        <v>0</v>
      </c>
      <c r="BE162" s="67" t="n">
        <f aca="false">IF(BE$116=1,Inputs!$C$31,0)</f>
        <v>0</v>
      </c>
      <c r="BF162" s="67" t="n">
        <f aca="false">IF(BF$116=1,Inputs!$C$31,0)</f>
        <v>0</v>
      </c>
      <c r="BG162" s="67" t="n">
        <f aca="false">IF(BG$116=1,Inputs!$C$31,0)</f>
        <v>0</v>
      </c>
      <c r="BH162" s="67" t="n">
        <f aca="false">IF(BH$116=1,Inputs!$C$31,0)</f>
        <v>0</v>
      </c>
      <c r="BI162" s="67" t="n">
        <f aca="false">IF(BI$116=1,Inputs!$C$31,0)</f>
        <v>0</v>
      </c>
      <c r="BJ162" s="67" t="n">
        <f aca="false">IF(BJ$116=1,Inputs!$C$31,0)</f>
        <v>0</v>
      </c>
    </row>
    <row r="163" customFormat="false" ht="15" hidden="false" customHeight="false" outlineLevel="0" collapsed="false">
      <c r="A163" s="6" t="s">
        <v>417</v>
      </c>
      <c r="C163" s="67" t="n">
        <f aca="false">C162</f>
        <v>60000</v>
      </c>
      <c r="D163" s="67" t="n">
        <f aca="false">C163+D162</f>
        <v>60000</v>
      </c>
      <c r="E163" s="67" t="n">
        <f aca="false">D163+E162</f>
        <v>60000</v>
      </c>
      <c r="F163" s="67" t="n">
        <f aca="false">E163+F162</f>
        <v>60000</v>
      </c>
      <c r="G163" s="67" t="n">
        <f aca="false">F163+G162</f>
        <v>60000</v>
      </c>
      <c r="H163" s="67" t="n">
        <f aca="false">G163+H162</f>
        <v>60000</v>
      </c>
      <c r="I163" s="67" t="n">
        <f aca="false">H163+I162</f>
        <v>60000</v>
      </c>
      <c r="J163" s="67" t="n">
        <f aca="false">I163+J162</f>
        <v>60000</v>
      </c>
      <c r="K163" s="67" t="n">
        <f aca="false">J163+K162</f>
        <v>60000</v>
      </c>
      <c r="L163" s="67" t="n">
        <f aca="false">K163+L162</f>
        <v>60000</v>
      </c>
      <c r="M163" s="67" t="n">
        <f aca="false">L163+M162</f>
        <v>60000</v>
      </c>
      <c r="N163" s="67" t="n">
        <f aca="false">M163+N162</f>
        <v>60000</v>
      </c>
      <c r="O163" s="67" t="n">
        <f aca="false">N163+O162</f>
        <v>60000</v>
      </c>
      <c r="P163" s="67" t="n">
        <f aca="false">O163+P162</f>
        <v>60000</v>
      </c>
      <c r="Q163" s="67" t="n">
        <f aca="false">P163+Q162</f>
        <v>60000</v>
      </c>
      <c r="R163" s="67" t="n">
        <f aca="false">Q163+R162</f>
        <v>60000</v>
      </c>
      <c r="S163" s="67" t="n">
        <f aca="false">R163+S162</f>
        <v>60000</v>
      </c>
      <c r="T163" s="67" t="n">
        <f aca="false">S163+T162</f>
        <v>60000</v>
      </c>
      <c r="U163" s="67" t="n">
        <f aca="false">T163+U162</f>
        <v>60000</v>
      </c>
      <c r="V163" s="67" t="n">
        <f aca="false">U163+V162</f>
        <v>60000</v>
      </c>
      <c r="W163" s="67" t="n">
        <f aca="false">V163+W162</f>
        <v>60000</v>
      </c>
      <c r="X163" s="67" t="n">
        <f aca="false">W163+X162</f>
        <v>60000</v>
      </c>
      <c r="Y163" s="67" t="n">
        <f aca="false">X163+Y162</f>
        <v>60000</v>
      </c>
      <c r="Z163" s="67" t="n">
        <f aca="false">Y163+Z162</f>
        <v>60000</v>
      </c>
      <c r="AA163" s="67" t="n">
        <f aca="false">Z163+AA162</f>
        <v>60000</v>
      </c>
      <c r="AB163" s="67" t="n">
        <f aca="false">AA163+AB162</f>
        <v>60000</v>
      </c>
      <c r="AC163" s="67" t="n">
        <f aca="false">AB163+AC162</f>
        <v>60000</v>
      </c>
      <c r="AD163" s="67" t="n">
        <f aca="false">AC163+AD162</f>
        <v>60000</v>
      </c>
      <c r="AE163" s="67" t="n">
        <f aca="false">AD163+AE162</f>
        <v>60000</v>
      </c>
      <c r="AF163" s="67" t="n">
        <f aca="false">AE163+AF162</f>
        <v>60000</v>
      </c>
      <c r="AG163" s="67" t="n">
        <f aca="false">AF163+AG162</f>
        <v>60000</v>
      </c>
      <c r="AH163" s="67" t="n">
        <f aca="false">AG163+AH162</f>
        <v>60000</v>
      </c>
      <c r="AI163" s="67" t="n">
        <f aca="false">AH163+AI162</f>
        <v>60000</v>
      </c>
      <c r="AJ163" s="67" t="n">
        <f aca="false">AI163+AJ162</f>
        <v>60000</v>
      </c>
      <c r="AK163" s="67" t="n">
        <f aca="false">AJ163+AK162</f>
        <v>60000</v>
      </c>
      <c r="AL163" s="67" t="n">
        <f aca="false">AK163+AL162</f>
        <v>60000</v>
      </c>
      <c r="AM163" s="67" t="n">
        <f aca="false">AL163+AM162</f>
        <v>60000</v>
      </c>
      <c r="AN163" s="67" t="n">
        <f aca="false">AM163+AN162</f>
        <v>60000</v>
      </c>
      <c r="AO163" s="67" t="n">
        <f aca="false">AN163+AO162</f>
        <v>60000</v>
      </c>
      <c r="AP163" s="67" t="n">
        <f aca="false">AO163+AP162</f>
        <v>60000</v>
      </c>
      <c r="AQ163" s="67" t="n">
        <f aca="false">AP163+AQ162</f>
        <v>60000</v>
      </c>
      <c r="AR163" s="67" t="n">
        <f aca="false">AQ163+AR162</f>
        <v>60000</v>
      </c>
      <c r="AS163" s="67" t="n">
        <f aca="false">AR163+AS162</f>
        <v>60000</v>
      </c>
      <c r="AT163" s="67" t="n">
        <f aca="false">AS163+AT162</f>
        <v>60000</v>
      </c>
      <c r="AU163" s="67" t="n">
        <f aca="false">AT163+AU162</f>
        <v>60000</v>
      </c>
      <c r="AV163" s="67" t="n">
        <f aca="false">AU163+AV162</f>
        <v>60000</v>
      </c>
      <c r="AW163" s="67" t="n">
        <f aca="false">AV163+AW162</f>
        <v>60000</v>
      </c>
      <c r="AX163" s="67" t="n">
        <f aca="false">AW163+AX162</f>
        <v>60000</v>
      </c>
      <c r="AY163" s="67" t="n">
        <f aca="false">AX163+AY162</f>
        <v>60000</v>
      </c>
      <c r="AZ163" s="67" t="n">
        <f aca="false">AY163+AZ162</f>
        <v>60000</v>
      </c>
      <c r="BA163" s="67" t="n">
        <f aca="false">AZ163+BA162</f>
        <v>60000</v>
      </c>
      <c r="BB163" s="67" t="n">
        <f aca="false">BA163+BB162</f>
        <v>60000</v>
      </c>
      <c r="BC163" s="67" t="n">
        <f aca="false">BB163+BC162</f>
        <v>60000</v>
      </c>
      <c r="BD163" s="67" t="n">
        <f aca="false">BC163+BD162</f>
        <v>60000</v>
      </c>
      <c r="BE163" s="67" t="n">
        <f aca="false">BD163+BE162</f>
        <v>60000</v>
      </c>
      <c r="BF163" s="67" t="n">
        <f aca="false">BE163+BF162</f>
        <v>60000</v>
      </c>
      <c r="BG163" s="67" t="n">
        <f aca="false">BF163+BG162</f>
        <v>60000</v>
      </c>
      <c r="BH163" s="67" t="n">
        <f aca="false">BG163+BH162</f>
        <v>60000</v>
      </c>
      <c r="BI163" s="67" t="n">
        <f aca="false">BH163+BI162</f>
        <v>60000</v>
      </c>
      <c r="BJ163" s="67" t="n">
        <f aca="false">BI163+BJ162</f>
        <v>60000</v>
      </c>
    </row>
    <row r="164" customFormat="false" ht="15" hidden="false" customHeight="false" outlineLevel="0" collapsed="false">
      <c r="A164" s="6" t="s">
        <v>78</v>
      </c>
      <c r="C164" s="67" t="n">
        <f aca="false">-MIN(C163/MAX(1,Inputs!$C$65*12),C162)</f>
        <v>-1000</v>
      </c>
      <c r="D164" s="67" t="n">
        <f aca="false">-MIN(D163/MAX(1,Inputs!$C$65*12),C166+D162)</f>
        <v>-1000</v>
      </c>
      <c r="E164" s="67" t="n">
        <f aca="false">-MIN(E163/MAX(1,Inputs!$C$65*12),D166+E162)</f>
        <v>-1000</v>
      </c>
      <c r="F164" s="67" t="n">
        <f aca="false">-MIN(F163/MAX(1,Inputs!$C$65*12),E166+F162)</f>
        <v>-1000</v>
      </c>
      <c r="G164" s="67" t="n">
        <f aca="false">-MIN(G163/MAX(1,Inputs!$C$65*12),F166+G162)</f>
        <v>-1000</v>
      </c>
      <c r="H164" s="67" t="n">
        <f aca="false">-MIN(H163/MAX(1,Inputs!$C$65*12),G166+H162)</f>
        <v>-1000</v>
      </c>
      <c r="I164" s="67" t="n">
        <f aca="false">-MIN(I163/MAX(1,Inputs!$C$65*12),H166+I162)</f>
        <v>-1000</v>
      </c>
      <c r="J164" s="67" t="n">
        <f aca="false">-MIN(J163/MAX(1,Inputs!$C$65*12),I166+J162)</f>
        <v>-1000</v>
      </c>
      <c r="K164" s="67" t="n">
        <f aca="false">-MIN(K163/MAX(1,Inputs!$C$65*12),J166+K162)</f>
        <v>-1000</v>
      </c>
      <c r="L164" s="67" t="n">
        <f aca="false">-MIN(L163/MAX(1,Inputs!$C$65*12),K166+L162)</f>
        <v>-1000</v>
      </c>
      <c r="M164" s="67" t="n">
        <f aca="false">-MIN(M163/MAX(1,Inputs!$C$65*12),L166+M162)</f>
        <v>-1000</v>
      </c>
      <c r="N164" s="67" t="n">
        <f aca="false">-MIN(N163/MAX(1,Inputs!$C$65*12),M166+N162)</f>
        <v>-1000</v>
      </c>
      <c r="O164" s="67" t="n">
        <f aca="false">-MIN(O163/MAX(1,Inputs!$C$65*12),N166+O162)</f>
        <v>-1000</v>
      </c>
      <c r="P164" s="67" t="n">
        <f aca="false">-MIN(P163/MAX(1,Inputs!$C$65*12),O166+P162)</f>
        <v>-1000</v>
      </c>
      <c r="Q164" s="67" t="n">
        <f aca="false">-MIN(Q163/MAX(1,Inputs!$C$65*12),P166+Q162)</f>
        <v>-1000</v>
      </c>
      <c r="R164" s="67" t="n">
        <f aca="false">-MIN(R163/MAX(1,Inputs!$C$65*12),Q166+R162)</f>
        <v>-1000</v>
      </c>
      <c r="S164" s="67" t="n">
        <f aca="false">-MIN(S163/MAX(1,Inputs!$C$65*12),R166+S162)</f>
        <v>-1000</v>
      </c>
      <c r="T164" s="67" t="n">
        <f aca="false">-MIN(T163/MAX(1,Inputs!$C$65*12),S166+T162)</f>
        <v>-1000</v>
      </c>
      <c r="U164" s="67" t="n">
        <f aca="false">-MIN(U163/MAX(1,Inputs!$C$65*12),T166+U162)</f>
        <v>-1000</v>
      </c>
      <c r="V164" s="67" t="n">
        <f aca="false">-MIN(V163/MAX(1,Inputs!$C$65*12),U166+V162)</f>
        <v>-1000</v>
      </c>
      <c r="W164" s="67" t="n">
        <f aca="false">-MIN(W163/MAX(1,Inputs!$C$65*12),V166+W162)</f>
        <v>-1000</v>
      </c>
      <c r="X164" s="67" t="n">
        <f aca="false">-MIN(X163/MAX(1,Inputs!$C$65*12),W166+X162)</f>
        <v>-1000</v>
      </c>
      <c r="Y164" s="67" t="n">
        <f aca="false">-MIN(Y163/MAX(1,Inputs!$C$65*12),X166+Y162)</f>
        <v>-1000</v>
      </c>
      <c r="Z164" s="67" t="n">
        <f aca="false">-MIN(Z163/MAX(1,Inputs!$C$65*12),Y166+Z162)</f>
        <v>-1000</v>
      </c>
      <c r="AA164" s="67" t="n">
        <f aca="false">-MIN(AA163/MAX(1,Inputs!$C$65*12),Z166+AA162)</f>
        <v>-1000</v>
      </c>
      <c r="AB164" s="67" t="n">
        <f aca="false">-MIN(AB163/MAX(1,Inputs!$C$65*12),AA166+AB162)</f>
        <v>-1000</v>
      </c>
      <c r="AC164" s="67" t="n">
        <f aca="false">-MIN(AC163/MAX(1,Inputs!$C$65*12),AB166+AC162)</f>
        <v>-1000</v>
      </c>
      <c r="AD164" s="67" t="n">
        <f aca="false">-MIN(AD163/MAX(1,Inputs!$C$65*12),AC166+AD162)</f>
        <v>-1000</v>
      </c>
      <c r="AE164" s="67" t="n">
        <f aca="false">-MIN(AE163/MAX(1,Inputs!$C$65*12),AD166+AE162)</f>
        <v>-1000</v>
      </c>
      <c r="AF164" s="67" t="n">
        <f aca="false">-MIN(AF163/MAX(1,Inputs!$C$65*12),AE166+AF162)</f>
        <v>-1000</v>
      </c>
      <c r="AG164" s="67" t="n">
        <f aca="false">-MIN(AG163/MAX(1,Inputs!$C$65*12),AF166+AG162)</f>
        <v>-1000</v>
      </c>
      <c r="AH164" s="67" t="n">
        <f aca="false">-MIN(AH163/MAX(1,Inputs!$C$65*12),AG166+AH162)</f>
        <v>-1000</v>
      </c>
      <c r="AI164" s="67" t="n">
        <f aca="false">-MIN(AI163/MAX(1,Inputs!$C$65*12),AH166+AI162)</f>
        <v>-1000</v>
      </c>
      <c r="AJ164" s="67" t="n">
        <f aca="false">-MIN(AJ163/MAX(1,Inputs!$C$65*12),AI166+AJ162)</f>
        <v>-1000</v>
      </c>
      <c r="AK164" s="67" t="n">
        <f aca="false">-MIN(AK163/MAX(1,Inputs!$C$65*12),AJ166+AK162)</f>
        <v>-1000</v>
      </c>
      <c r="AL164" s="67" t="n">
        <f aca="false">-MIN(AL163/MAX(1,Inputs!$C$65*12),AK166+AL162)</f>
        <v>-1000</v>
      </c>
      <c r="AM164" s="67" t="n">
        <f aca="false">-MIN(AM163/MAX(1,Inputs!$C$65*12),AL166+AM162)</f>
        <v>-1000</v>
      </c>
      <c r="AN164" s="67" t="n">
        <f aca="false">-MIN(AN163/MAX(1,Inputs!$C$65*12),AM166+AN162)</f>
        <v>-1000</v>
      </c>
      <c r="AO164" s="67" t="n">
        <f aca="false">-MIN(AO163/MAX(1,Inputs!$C$65*12),AN166+AO162)</f>
        <v>-1000</v>
      </c>
      <c r="AP164" s="67" t="n">
        <f aca="false">-MIN(AP163/MAX(1,Inputs!$C$65*12),AO166+AP162)</f>
        <v>-1000</v>
      </c>
      <c r="AQ164" s="67" t="n">
        <f aca="false">-MIN(AQ163/MAX(1,Inputs!$C$65*12),AP166+AQ162)</f>
        <v>-1000</v>
      </c>
      <c r="AR164" s="67" t="n">
        <f aca="false">-MIN(AR163/MAX(1,Inputs!$C$65*12),AQ166+AR162)</f>
        <v>-1000</v>
      </c>
      <c r="AS164" s="67" t="n">
        <f aca="false">-MIN(AS163/MAX(1,Inputs!$C$65*12),AR166+AS162)</f>
        <v>-1000</v>
      </c>
      <c r="AT164" s="67" t="n">
        <f aca="false">-MIN(AT163/MAX(1,Inputs!$C$65*12),AS166+AT162)</f>
        <v>-1000</v>
      </c>
      <c r="AU164" s="67" t="n">
        <f aca="false">-MIN(AU163/MAX(1,Inputs!$C$65*12),AT166+AU162)</f>
        <v>-1000</v>
      </c>
      <c r="AV164" s="67" t="n">
        <f aca="false">-MIN(AV163/MAX(1,Inputs!$C$65*12),AU166+AV162)</f>
        <v>-1000</v>
      </c>
      <c r="AW164" s="67" t="n">
        <f aca="false">-MIN(AW163/MAX(1,Inputs!$C$65*12),AV166+AW162)</f>
        <v>-1000</v>
      </c>
      <c r="AX164" s="67" t="n">
        <f aca="false">-MIN(AX163/MAX(1,Inputs!$C$65*12),AW166+AX162)</f>
        <v>-1000</v>
      </c>
      <c r="AY164" s="67" t="n">
        <f aca="false">-MIN(AY163/MAX(1,Inputs!$C$65*12),AX166+AY162)</f>
        <v>-1000</v>
      </c>
      <c r="AZ164" s="67" t="n">
        <f aca="false">-MIN(AZ163/MAX(1,Inputs!$C$65*12),AY166+AZ162)</f>
        <v>-1000</v>
      </c>
      <c r="BA164" s="67" t="n">
        <f aca="false">-MIN(BA163/MAX(1,Inputs!$C$65*12),AZ166+BA162)</f>
        <v>-1000</v>
      </c>
      <c r="BB164" s="67" t="n">
        <f aca="false">-MIN(BB163/MAX(1,Inputs!$C$65*12),BA166+BB162)</f>
        <v>-1000</v>
      </c>
      <c r="BC164" s="67" t="n">
        <f aca="false">-MIN(BC163/MAX(1,Inputs!$C$65*12),BB166+BC162)</f>
        <v>-1000</v>
      </c>
      <c r="BD164" s="67" t="n">
        <f aca="false">-MIN(BD163/MAX(1,Inputs!$C$65*12),BC166+BD162)</f>
        <v>-1000</v>
      </c>
      <c r="BE164" s="67" t="n">
        <f aca="false">-MIN(BE163/MAX(1,Inputs!$C$65*12),BD166+BE162)</f>
        <v>-1000</v>
      </c>
      <c r="BF164" s="67" t="n">
        <f aca="false">-MIN(BF163/MAX(1,Inputs!$C$65*12),BE166+BF162)</f>
        <v>-1000</v>
      </c>
      <c r="BG164" s="67" t="n">
        <f aca="false">-MIN(BG163/MAX(1,Inputs!$C$65*12),BF166+BG162)</f>
        <v>-1000</v>
      </c>
      <c r="BH164" s="67" t="n">
        <f aca="false">-MIN(BH163/MAX(1,Inputs!$C$65*12),BG166+BH162)</f>
        <v>-1000</v>
      </c>
      <c r="BI164" s="67" t="n">
        <f aca="false">-MIN(BI163/MAX(1,Inputs!$C$65*12),BH166+BI162)</f>
        <v>-1000</v>
      </c>
      <c r="BJ164" s="67" t="n">
        <f aca="false">-MIN(BJ163/MAX(1,Inputs!$C$65*12),BI166+BJ162)</f>
        <v>-1000</v>
      </c>
    </row>
    <row r="165" customFormat="false" ht="15" hidden="false" customHeight="false" outlineLevel="0" collapsed="false">
      <c r="A165" s="6" t="s">
        <v>418</v>
      </c>
      <c r="C165" s="67" t="n">
        <f aca="false">C164</f>
        <v>-1000</v>
      </c>
      <c r="D165" s="67" t="n">
        <f aca="false">C165+D164</f>
        <v>-2000</v>
      </c>
      <c r="E165" s="67" t="n">
        <f aca="false">D165+E164</f>
        <v>-3000</v>
      </c>
      <c r="F165" s="67" t="n">
        <f aca="false">E165+F164</f>
        <v>-4000</v>
      </c>
      <c r="G165" s="67" t="n">
        <f aca="false">F165+G164</f>
        <v>-5000</v>
      </c>
      <c r="H165" s="67" t="n">
        <f aca="false">G165+H164</f>
        <v>-6000</v>
      </c>
      <c r="I165" s="67" t="n">
        <f aca="false">H165+I164</f>
        <v>-7000</v>
      </c>
      <c r="J165" s="67" t="n">
        <f aca="false">I165+J164</f>
        <v>-8000</v>
      </c>
      <c r="K165" s="67" t="n">
        <f aca="false">J165+K164</f>
        <v>-9000</v>
      </c>
      <c r="L165" s="67" t="n">
        <f aca="false">K165+L164</f>
        <v>-10000</v>
      </c>
      <c r="M165" s="67" t="n">
        <f aca="false">L165+M164</f>
        <v>-11000</v>
      </c>
      <c r="N165" s="67" t="n">
        <f aca="false">M165+N164</f>
        <v>-12000</v>
      </c>
      <c r="O165" s="67" t="n">
        <f aca="false">N165+O164</f>
        <v>-13000</v>
      </c>
      <c r="P165" s="67" t="n">
        <f aca="false">O165+P164</f>
        <v>-14000</v>
      </c>
      <c r="Q165" s="67" t="n">
        <f aca="false">P165+Q164</f>
        <v>-15000</v>
      </c>
      <c r="R165" s="67" t="n">
        <f aca="false">Q165+R164</f>
        <v>-16000</v>
      </c>
      <c r="S165" s="67" t="n">
        <f aca="false">R165+S164</f>
        <v>-17000</v>
      </c>
      <c r="T165" s="67" t="n">
        <f aca="false">S165+T164</f>
        <v>-18000</v>
      </c>
      <c r="U165" s="67" t="n">
        <f aca="false">T165+U164</f>
        <v>-19000</v>
      </c>
      <c r="V165" s="67" t="n">
        <f aca="false">U165+V164</f>
        <v>-20000</v>
      </c>
      <c r="W165" s="67" t="n">
        <f aca="false">V165+W164</f>
        <v>-21000</v>
      </c>
      <c r="X165" s="67" t="n">
        <f aca="false">W165+X164</f>
        <v>-22000</v>
      </c>
      <c r="Y165" s="67" t="n">
        <f aca="false">X165+Y164</f>
        <v>-23000</v>
      </c>
      <c r="Z165" s="67" t="n">
        <f aca="false">Y165+Z164</f>
        <v>-24000</v>
      </c>
      <c r="AA165" s="67" t="n">
        <f aca="false">Z165+AA164</f>
        <v>-25000</v>
      </c>
      <c r="AB165" s="67" t="n">
        <f aca="false">AA165+AB164</f>
        <v>-26000</v>
      </c>
      <c r="AC165" s="67" t="n">
        <f aca="false">AB165+AC164</f>
        <v>-27000</v>
      </c>
      <c r="AD165" s="67" t="n">
        <f aca="false">AC165+AD164</f>
        <v>-28000</v>
      </c>
      <c r="AE165" s="67" t="n">
        <f aca="false">AD165+AE164</f>
        <v>-29000</v>
      </c>
      <c r="AF165" s="67" t="n">
        <f aca="false">AE165+AF164</f>
        <v>-30000</v>
      </c>
      <c r="AG165" s="67" t="n">
        <f aca="false">AF165+AG164</f>
        <v>-31000</v>
      </c>
      <c r="AH165" s="67" t="n">
        <f aca="false">AG165+AH164</f>
        <v>-32000</v>
      </c>
      <c r="AI165" s="67" t="n">
        <f aca="false">AH165+AI164</f>
        <v>-33000</v>
      </c>
      <c r="AJ165" s="67" t="n">
        <f aca="false">AI165+AJ164</f>
        <v>-34000</v>
      </c>
      <c r="AK165" s="67" t="n">
        <f aca="false">AJ165+AK164</f>
        <v>-35000</v>
      </c>
      <c r="AL165" s="67" t="n">
        <f aca="false">AK165+AL164</f>
        <v>-36000</v>
      </c>
      <c r="AM165" s="67" t="n">
        <f aca="false">AL165+AM164</f>
        <v>-37000</v>
      </c>
      <c r="AN165" s="67" t="n">
        <f aca="false">AM165+AN164</f>
        <v>-38000</v>
      </c>
      <c r="AO165" s="67" t="n">
        <f aca="false">AN165+AO164</f>
        <v>-39000</v>
      </c>
      <c r="AP165" s="67" t="n">
        <f aca="false">AO165+AP164</f>
        <v>-40000</v>
      </c>
      <c r="AQ165" s="67" t="n">
        <f aca="false">AP165+AQ164</f>
        <v>-41000</v>
      </c>
      <c r="AR165" s="67" t="n">
        <f aca="false">AQ165+AR164</f>
        <v>-42000</v>
      </c>
      <c r="AS165" s="67" t="n">
        <f aca="false">AR165+AS164</f>
        <v>-43000</v>
      </c>
      <c r="AT165" s="67" t="n">
        <f aca="false">AS165+AT164</f>
        <v>-44000</v>
      </c>
      <c r="AU165" s="67" t="n">
        <f aca="false">AT165+AU164</f>
        <v>-45000</v>
      </c>
      <c r="AV165" s="67" t="n">
        <f aca="false">AU165+AV164</f>
        <v>-46000</v>
      </c>
      <c r="AW165" s="67" t="n">
        <f aca="false">AV165+AW164</f>
        <v>-47000</v>
      </c>
      <c r="AX165" s="67" t="n">
        <f aca="false">AW165+AX164</f>
        <v>-48000</v>
      </c>
      <c r="AY165" s="67" t="n">
        <f aca="false">AX165+AY164</f>
        <v>-49000</v>
      </c>
      <c r="AZ165" s="67" t="n">
        <f aca="false">AY165+AZ164</f>
        <v>-50000</v>
      </c>
      <c r="BA165" s="67" t="n">
        <f aca="false">AZ165+BA164</f>
        <v>-51000</v>
      </c>
      <c r="BB165" s="67" t="n">
        <f aca="false">BA165+BB164</f>
        <v>-52000</v>
      </c>
      <c r="BC165" s="67" t="n">
        <f aca="false">BB165+BC164</f>
        <v>-53000</v>
      </c>
      <c r="BD165" s="67" t="n">
        <f aca="false">BC165+BD164</f>
        <v>-54000</v>
      </c>
      <c r="BE165" s="67" t="n">
        <f aca="false">BD165+BE164</f>
        <v>-55000</v>
      </c>
      <c r="BF165" s="67" t="n">
        <f aca="false">BE165+BF164</f>
        <v>-56000</v>
      </c>
      <c r="BG165" s="67" t="n">
        <f aca="false">BF165+BG164</f>
        <v>-57000</v>
      </c>
      <c r="BH165" s="67" t="n">
        <f aca="false">BG165+BH164</f>
        <v>-58000</v>
      </c>
      <c r="BI165" s="67" t="n">
        <f aca="false">BH165+BI164</f>
        <v>-59000</v>
      </c>
      <c r="BJ165" s="67" t="n">
        <f aca="false">BI165+BJ164</f>
        <v>-60000</v>
      </c>
    </row>
    <row r="166" customFormat="false" ht="15" hidden="false" customHeight="false" outlineLevel="0" collapsed="false">
      <c r="A166" s="4" t="s">
        <v>92</v>
      </c>
      <c r="C166" s="73" t="n">
        <f aca="false">C163+C165</f>
        <v>59000</v>
      </c>
      <c r="D166" s="73" t="n">
        <f aca="false">D163+D165</f>
        <v>58000</v>
      </c>
      <c r="E166" s="73" t="n">
        <f aca="false">E163+E165</f>
        <v>57000</v>
      </c>
      <c r="F166" s="73" t="n">
        <f aca="false">F163+F165</f>
        <v>56000</v>
      </c>
      <c r="G166" s="73" t="n">
        <f aca="false">G163+G165</f>
        <v>55000</v>
      </c>
      <c r="H166" s="73" t="n">
        <f aca="false">H163+H165</f>
        <v>54000</v>
      </c>
      <c r="I166" s="73" t="n">
        <f aca="false">I163+I165</f>
        <v>53000</v>
      </c>
      <c r="J166" s="73" t="n">
        <f aca="false">J163+J165</f>
        <v>52000</v>
      </c>
      <c r="K166" s="73" t="n">
        <f aca="false">K163+K165</f>
        <v>51000</v>
      </c>
      <c r="L166" s="73" t="n">
        <f aca="false">L163+L165</f>
        <v>50000</v>
      </c>
      <c r="M166" s="73" t="n">
        <f aca="false">M163+M165</f>
        <v>49000</v>
      </c>
      <c r="N166" s="73" t="n">
        <f aca="false">N163+N165</f>
        <v>48000</v>
      </c>
      <c r="O166" s="73" t="n">
        <f aca="false">O163+O165</f>
        <v>47000</v>
      </c>
      <c r="P166" s="73" t="n">
        <f aca="false">P163+P165</f>
        <v>46000</v>
      </c>
      <c r="Q166" s="73" t="n">
        <f aca="false">Q163+Q165</f>
        <v>45000</v>
      </c>
      <c r="R166" s="73" t="n">
        <f aca="false">R163+R165</f>
        <v>44000</v>
      </c>
      <c r="S166" s="73" t="n">
        <f aca="false">S163+S165</f>
        <v>43000</v>
      </c>
      <c r="T166" s="73" t="n">
        <f aca="false">T163+T165</f>
        <v>42000</v>
      </c>
      <c r="U166" s="73" t="n">
        <f aca="false">U163+U165</f>
        <v>41000</v>
      </c>
      <c r="V166" s="73" t="n">
        <f aca="false">V163+V165</f>
        <v>40000</v>
      </c>
      <c r="W166" s="73" t="n">
        <f aca="false">W163+W165</f>
        <v>39000</v>
      </c>
      <c r="X166" s="73" t="n">
        <f aca="false">X163+X165</f>
        <v>38000</v>
      </c>
      <c r="Y166" s="73" t="n">
        <f aca="false">Y163+Y165</f>
        <v>37000</v>
      </c>
      <c r="Z166" s="73" t="n">
        <f aca="false">Z163+Z165</f>
        <v>36000</v>
      </c>
      <c r="AA166" s="73" t="n">
        <f aca="false">AA163+AA165</f>
        <v>35000</v>
      </c>
      <c r="AB166" s="73" t="n">
        <f aca="false">AB163+AB165</f>
        <v>34000</v>
      </c>
      <c r="AC166" s="73" t="n">
        <f aca="false">AC163+AC165</f>
        <v>33000</v>
      </c>
      <c r="AD166" s="73" t="n">
        <f aca="false">AD163+AD165</f>
        <v>32000</v>
      </c>
      <c r="AE166" s="73" t="n">
        <f aca="false">AE163+AE165</f>
        <v>31000</v>
      </c>
      <c r="AF166" s="73" t="n">
        <f aca="false">AF163+AF165</f>
        <v>30000</v>
      </c>
      <c r="AG166" s="73" t="n">
        <f aca="false">AG163+AG165</f>
        <v>29000</v>
      </c>
      <c r="AH166" s="73" t="n">
        <f aca="false">AH163+AH165</f>
        <v>28000</v>
      </c>
      <c r="AI166" s="73" t="n">
        <f aca="false">AI163+AI165</f>
        <v>27000</v>
      </c>
      <c r="AJ166" s="73" t="n">
        <f aca="false">AJ163+AJ165</f>
        <v>26000</v>
      </c>
      <c r="AK166" s="73" t="n">
        <f aca="false">AK163+AK165</f>
        <v>25000</v>
      </c>
      <c r="AL166" s="73" t="n">
        <f aca="false">AL163+AL165</f>
        <v>24000</v>
      </c>
      <c r="AM166" s="73" t="n">
        <f aca="false">AM163+AM165</f>
        <v>23000</v>
      </c>
      <c r="AN166" s="73" t="n">
        <f aca="false">AN163+AN165</f>
        <v>22000</v>
      </c>
      <c r="AO166" s="73" t="n">
        <f aca="false">AO163+AO165</f>
        <v>21000</v>
      </c>
      <c r="AP166" s="73" t="n">
        <f aca="false">AP163+AP165</f>
        <v>20000</v>
      </c>
      <c r="AQ166" s="73" t="n">
        <f aca="false">AQ163+AQ165</f>
        <v>19000</v>
      </c>
      <c r="AR166" s="73" t="n">
        <f aca="false">AR163+AR165</f>
        <v>18000</v>
      </c>
      <c r="AS166" s="73" t="n">
        <f aca="false">AS163+AS165</f>
        <v>17000</v>
      </c>
      <c r="AT166" s="73" t="n">
        <f aca="false">AT163+AT165</f>
        <v>16000</v>
      </c>
      <c r="AU166" s="73" t="n">
        <f aca="false">AU163+AU165</f>
        <v>15000</v>
      </c>
      <c r="AV166" s="73" t="n">
        <f aca="false">AV163+AV165</f>
        <v>14000</v>
      </c>
      <c r="AW166" s="73" t="n">
        <f aca="false">AW163+AW165</f>
        <v>13000</v>
      </c>
      <c r="AX166" s="73" t="n">
        <f aca="false">AX163+AX165</f>
        <v>12000</v>
      </c>
      <c r="AY166" s="73" t="n">
        <f aca="false">AY163+AY165</f>
        <v>11000</v>
      </c>
      <c r="AZ166" s="73" t="n">
        <f aca="false">AZ163+AZ165</f>
        <v>10000</v>
      </c>
      <c r="BA166" s="73" t="n">
        <f aca="false">BA163+BA165</f>
        <v>9000</v>
      </c>
      <c r="BB166" s="73" t="n">
        <f aca="false">BB163+BB165</f>
        <v>8000</v>
      </c>
      <c r="BC166" s="73" t="n">
        <f aca="false">BC163+BC165</f>
        <v>7000</v>
      </c>
      <c r="BD166" s="73" t="n">
        <f aca="false">BD163+BD165</f>
        <v>6000</v>
      </c>
      <c r="BE166" s="73" t="n">
        <f aca="false">BE163+BE165</f>
        <v>5000</v>
      </c>
      <c r="BF166" s="73" t="n">
        <f aca="false">BF163+BF165</f>
        <v>4000</v>
      </c>
      <c r="BG166" s="73" t="n">
        <f aca="false">BG163+BG165</f>
        <v>3000</v>
      </c>
      <c r="BH166" s="73" t="n">
        <f aca="false">BH163+BH165</f>
        <v>2000</v>
      </c>
      <c r="BI166" s="73" t="n">
        <f aca="false">BI163+BI165</f>
        <v>1000</v>
      </c>
      <c r="BJ166" s="73" t="n">
        <f aca="false">BJ163+BJ165</f>
        <v>0</v>
      </c>
    </row>
    <row r="168" customFormat="false" ht="15.75" hidden="false" customHeight="true" outlineLevel="0" collapsed="false">
      <c r="A168" s="7" t="s">
        <v>419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customFormat="false" ht="15" hidden="false" customHeight="false" outlineLevel="0" collapsed="false">
      <c r="A169" s="6" t="s">
        <v>420</v>
      </c>
      <c r="C169" s="67" t="n">
        <f aca="false">0</f>
        <v>0</v>
      </c>
      <c r="D169" s="67" t="n">
        <f aca="false">C172</f>
        <v>200000</v>
      </c>
      <c r="E169" s="67" t="n">
        <f aca="false">D172</f>
        <v>196666.666666667</v>
      </c>
      <c r="F169" s="67" t="n">
        <f aca="false">E172</f>
        <v>193333.333333333</v>
      </c>
      <c r="G169" s="67" t="n">
        <f aca="false">F172</f>
        <v>190000</v>
      </c>
      <c r="H169" s="67" t="n">
        <f aca="false">G172</f>
        <v>186666.666666667</v>
      </c>
      <c r="I169" s="67" t="n">
        <f aca="false">H172</f>
        <v>183333.333333333</v>
      </c>
      <c r="J169" s="67" t="n">
        <f aca="false">I172</f>
        <v>180000</v>
      </c>
      <c r="K169" s="67" t="n">
        <f aca="false">J172</f>
        <v>176666.666666667</v>
      </c>
      <c r="L169" s="67" t="n">
        <f aca="false">K172</f>
        <v>173333.333333333</v>
      </c>
      <c r="M169" s="67" t="n">
        <f aca="false">L172</f>
        <v>170000</v>
      </c>
      <c r="N169" s="67" t="n">
        <f aca="false">M172</f>
        <v>166666.666666667</v>
      </c>
      <c r="O169" s="67" t="n">
        <f aca="false">N172</f>
        <v>163333.333333333</v>
      </c>
      <c r="P169" s="67" t="n">
        <f aca="false">O172</f>
        <v>160000</v>
      </c>
      <c r="Q169" s="67" t="n">
        <f aca="false">P172</f>
        <v>156666.666666667</v>
      </c>
      <c r="R169" s="67" t="n">
        <f aca="false">Q172</f>
        <v>153333.333333333</v>
      </c>
      <c r="S169" s="67" t="n">
        <f aca="false">R172</f>
        <v>150000</v>
      </c>
      <c r="T169" s="67" t="n">
        <f aca="false">S172</f>
        <v>146666.666666667</v>
      </c>
      <c r="U169" s="67" t="n">
        <f aca="false">T172</f>
        <v>143333.333333333</v>
      </c>
      <c r="V169" s="67" t="n">
        <f aca="false">U172</f>
        <v>140000</v>
      </c>
      <c r="W169" s="67" t="n">
        <f aca="false">V172</f>
        <v>136666.666666666</v>
      </c>
      <c r="X169" s="67" t="n">
        <f aca="false">W172</f>
        <v>133333.333333333</v>
      </c>
      <c r="Y169" s="67" t="n">
        <f aca="false">X172</f>
        <v>130000</v>
      </c>
      <c r="Z169" s="67" t="n">
        <f aca="false">Y172</f>
        <v>126666.666666666</v>
      </c>
      <c r="AA169" s="67" t="n">
        <f aca="false">Z172</f>
        <v>123333.333333333</v>
      </c>
      <c r="AB169" s="67" t="n">
        <f aca="false">AA172</f>
        <v>120000</v>
      </c>
      <c r="AC169" s="67" t="n">
        <f aca="false">AB172</f>
        <v>116666.666666667</v>
      </c>
      <c r="AD169" s="67" t="n">
        <f aca="false">AC172</f>
        <v>113333.333333333</v>
      </c>
      <c r="AE169" s="67" t="n">
        <f aca="false">AD172</f>
        <v>110000</v>
      </c>
      <c r="AF169" s="67" t="n">
        <f aca="false">AE172</f>
        <v>106666.666666667</v>
      </c>
      <c r="AG169" s="67" t="n">
        <f aca="false">AF172</f>
        <v>103333.333333333</v>
      </c>
      <c r="AH169" s="67" t="n">
        <f aca="false">AG172</f>
        <v>99999.9999999999</v>
      </c>
      <c r="AI169" s="67" t="n">
        <f aca="false">AH172</f>
        <v>96666.6666666665</v>
      </c>
      <c r="AJ169" s="67" t="n">
        <f aca="false">AI172</f>
        <v>93333.3333333332</v>
      </c>
      <c r="AK169" s="67" t="n">
        <f aca="false">AJ172</f>
        <v>89999.9999999999</v>
      </c>
      <c r="AL169" s="67" t="n">
        <f aca="false">AK172</f>
        <v>86666.6666666665</v>
      </c>
      <c r="AM169" s="67" t="n">
        <f aca="false">AL172</f>
        <v>83333.3333333332</v>
      </c>
      <c r="AN169" s="67" t="n">
        <f aca="false">AM172</f>
        <v>79999.9999999999</v>
      </c>
      <c r="AO169" s="67" t="n">
        <f aca="false">AN172</f>
        <v>76666.6666666666</v>
      </c>
      <c r="AP169" s="67" t="n">
        <f aca="false">AO172</f>
        <v>73333.3333333332</v>
      </c>
      <c r="AQ169" s="67" t="n">
        <f aca="false">AP172</f>
        <v>69999.9999999999</v>
      </c>
      <c r="AR169" s="67" t="n">
        <f aca="false">AQ172</f>
        <v>66666.6666666666</v>
      </c>
      <c r="AS169" s="67" t="n">
        <f aca="false">AR172</f>
        <v>63333.3333333332</v>
      </c>
      <c r="AT169" s="67" t="n">
        <f aca="false">AS172</f>
        <v>59999.9999999999</v>
      </c>
      <c r="AU169" s="67" t="n">
        <f aca="false">AT172</f>
        <v>56666.6666666666</v>
      </c>
      <c r="AV169" s="67" t="n">
        <f aca="false">AU172</f>
        <v>53333.3333333332</v>
      </c>
      <c r="AW169" s="67" t="n">
        <f aca="false">AV172</f>
        <v>49999.9999999999</v>
      </c>
      <c r="AX169" s="67" t="n">
        <f aca="false">AW172</f>
        <v>46666.6666666666</v>
      </c>
      <c r="AY169" s="67" t="n">
        <f aca="false">AX172</f>
        <v>43333.3333333332</v>
      </c>
      <c r="AZ169" s="67" t="n">
        <f aca="false">AY172</f>
        <v>39999.9999999999</v>
      </c>
      <c r="BA169" s="67" t="n">
        <f aca="false">AZ172</f>
        <v>36666.6666666666</v>
      </c>
      <c r="BB169" s="67" t="n">
        <f aca="false">BA172</f>
        <v>33333.3333333332</v>
      </c>
      <c r="BC169" s="67" t="n">
        <f aca="false">BB172</f>
        <v>29999.9999999999</v>
      </c>
      <c r="BD169" s="67" t="n">
        <f aca="false">BC172</f>
        <v>26666.6666666665</v>
      </c>
      <c r="BE169" s="67" t="n">
        <f aca="false">BD172</f>
        <v>23333.3333333332</v>
      </c>
      <c r="BF169" s="67" t="n">
        <f aca="false">BE172</f>
        <v>19999.9999999999</v>
      </c>
      <c r="BG169" s="67" t="n">
        <f aca="false">BF172</f>
        <v>16666.6666666666</v>
      </c>
      <c r="BH169" s="67" t="n">
        <f aca="false">BG172</f>
        <v>13333.3333333332</v>
      </c>
      <c r="BI169" s="67" t="n">
        <f aca="false">BH172</f>
        <v>9999.99999999988</v>
      </c>
      <c r="BJ169" s="67" t="n">
        <f aca="false">BI172</f>
        <v>6666.66666666655</v>
      </c>
    </row>
    <row r="170" customFormat="false" ht="15" hidden="false" customHeight="false" outlineLevel="0" collapsed="false">
      <c r="A170" s="6" t="s">
        <v>85</v>
      </c>
      <c r="C170" s="67" t="n">
        <f aca="false">IF(C$116=1,Inputs!$C$55,0)</f>
        <v>200000</v>
      </c>
      <c r="D170" s="67" t="n">
        <f aca="false">IF(D$116=1,Inputs!$C$55,0)</f>
        <v>0</v>
      </c>
      <c r="E170" s="67" t="n">
        <f aca="false">IF(E$116=1,Inputs!$C$55,0)</f>
        <v>0</v>
      </c>
      <c r="F170" s="67" t="n">
        <f aca="false">IF(F$116=1,Inputs!$C$55,0)</f>
        <v>0</v>
      </c>
      <c r="G170" s="67" t="n">
        <f aca="false">IF(G$116=1,Inputs!$C$55,0)</f>
        <v>0</v>
      </c>
      <c r="H170" s="67" t="n">
        <f aca="false">IF(H$116=1,Inputs!$C$55,0)</f>
        <v>0</v>
      </c>
      <c r="I170" s="67" t="n">
        <f aca="false">IF(I$116=1,Inputs!$C$55,0)</f>
        <v>0</v>
      </c>
      <c r="J170" s="67" t="n">
        <f aca="false">IF(J$116=1,Inputs!$C$55,0)</f>
        <v>0</v>
      </c>
      <c r="K170" s="67" t="n">
        <f aca="false">IF(K$116=1,Inputs!$C$55,0)</f>
        <v>0</v>
      </c>
      <c r="L170" s="67" t="n">
        <f aca="false">IF(L$116=1,Inputs!$C$55,0)</f>
        <v>0</v>
      </c>
      <c r="M170" s="67" t="n">
        <f aca="false">IF(M$116=1,Inputs!$C$55,0)</f>
        <v>0</v>
      </c>
      <c r="N170" s="67" t="n">
        <f aca="false">IF(N$116=1,Inputs!$C$55,0)</f>
        <v>0</v>
      </c>
      <c r="O170" s="67" t="n">
        <f aca="false">IF(O$116=1,Inputs!$C$55,0)</f>
        <v>0</v>
      </c>
      <c r="P170" s="67" t="n">
        <f aca="false">IF(P$116=1,Inputs!$C$55,0)</f>
        <v>0</v>
      </c>
      <c r="Q170" s="67" t="n">
        <f aca="false">IF(Q$116=1,Inputs!$C$55,0)</f>
        <v>0</v>
      </c>
      <c r="R170" s="67" t="n">
        <f aca="false">IF(R$116=1,Inputs!$C$55,0)</f>
        <v>0</v>
      </c>
      <c r="S170" s="67" t="n">
        <f aca="false">IF(S$116=1,Inputs!$C$55,0)</f>
        <v>0</v>
      </c>
      <c r="T170" s="67" t="n">
        <f aca="false">IF(T$116=1,Inputs!$C$55,0)</f>
        <v>0</v>
      </c>
      <c r="U170" s="67" t="n">
        <f aca="false">IF(U$116=1,Inputs!$C$55,0)</f>
        <v>0</v>
      </c>
      <c r="V170" s="67" t="n">
        <f aca="false">IF(V$116=1,Inputs!$C$55,0)</f>
        <v>0</v>
      </c>
      <c r="W170" s="67" t="n">
        <f aca="false">IF(W$116=1,Inputs!$C$55,0)</f>
        <v>0</v>
      </c>
      <c r="X170" s="67" t="n">
        <f aca="false">IF(X$116=1,Inputs!$C$55,0)</f>
        <v>0</v>
      </c>
      <c r="Y170" s="67" t="n">
        <f aca="false">IF(Y$116=1,Inputs!$C$55,0)</f>
        <v>0</v>
      </c>
      <c r="Z170" s="67" t="n">
        <f aca="false">IF(Z$116=1,Inputs!$C$55,0)</f>
        <v>0</v>
      </c>
      <c r="AA170" s="67" t="n">
        <f aca="false">IF(AA$116=1,Inputs!$C$55,0)</f>
        <v>0</v>
      </c>
      <c r="AB170" s="67" t="n">
        <f aca="false">IF(AB$116=1,Inputs!$C$55,0)</f>
        <v>0</v>
      </c>
      <c r="AC170" s="67" t="n">
        <f aca="false">IF(AC$116=1,Inputs!$C$55,0)</f>
        <v>0</v>
      </c>
      <c r="AD170" s="67" t="n">
        <f aca="false">IF(AD$116=1,Inputs!$C$55,0)</f>
        <v>0</v>
      </c>
      <c r="AE170" s="67" t="n">
        <f aca="false">IF(AE$116=1,Inputs!$C$55,0)</f>
        <v>0</v>
      </c>
      <c r="AF170" s="67" t="n">
        <f aca="false">IF(AF$116=1,Inputs!$C$55,0)</f>
        <v>0</v>
      </c>
      <c r="AG170" s="67" t="n">
        <f aca="false">IF(AG$116=1,Inputs!$C$55,0)</f>
        <v>0</v>
      </c>
      <c r="AH170" s="67" t="n">
        <f aca="false">IF(AH$116=1,Inputs!$C$55,0)</f>
        <v>0</v>
      </c>
      <c r="AI170" s="67" t="n">
        <f aca="false">IF(AI$116=1,Inputs!$C$55,0)</f>
        <v>0</v>
      </c>
      <c r="AJ170" s="67" t="n">
        <f aca="false">IF(AJ$116=1,Inputs!$C$55,0)</f>
        <v>0</v>
      </c>
      <c r="AK170" s="67" t="n">
        <f aca="false">IF(AK$116=1,Inputs!$C$55,0)</f>
        <v>0</v>
      </c>
      <c r="AL170" s="67" t="n">
        <f aca="false">IF(AL$116=1,Inputs!$C$55,0)</f>
        <v>0</v>
      </c>
      <c r="AM170" s="67" t="n">
        <f aca="false">IF(AM$116=1,Inputs!$C$55,0)</f>
        <v>0</v>
      </c>
      <c r="AN170" s="67" t="n">
        <f aca="false">IF(AN$116=1,Inputs!$C$55,0)</f>
        <v>0</v>
      </c>
      <c r="AO170" s="67" t="n">
        <f aca="false">IF(AO$116=1,Inputs!$C$55,0)</f>
        <v>0</v>
      </c>
      <c r="AP170" s="67" t="n">
        <f aca="false">IF(AP$116=1,Inputs!$C$55,0)</f>
        <v>0</v>
      </c>
      <c r="AQ170" s="67" t="n">
        <f aca="false">IF(AQ$116=1,Inputs!$C$55,0)</f>
        <v>0</v>
      </c>
      <c r="AR170" s="67" t="n">
        <f aca="false">IF(AR$116=1,Inputs!$C$55,0)</f>
        <v>0</v>
      </c>
      <c r="AS170" s="67" t="n">
        <f aca="false">IF(AS$116=1,Inputs!$C$55,0)</f>
        <v>0</v>
      </c>
      <c r="AT170" s="67" t="n">
        <f aca="false">IF(AT$116=1,Inputs!$C$55,0)</f>
        <v>0</v>
      </c>
      <c r="AU170" s="67" t="n">
        <f aca="false">IF(AU$116=1,Inputs!$C$55,0)</f>
        <v>0</v>
      </c>
      <c r="AV170" s="67" t="n">
        <f aca="false">IF(AV$116=1,Inputs!$C$55,0)</f>
        <v>0</v>
      </c>
      <c r="AW170" s="67" t="n">
        <f aca="false">IF(AW$116=1,Inputs!$C$55,0)</f>
        <v>0</v>
      </c>
      <c r="AX170" s="67" t="n">
        <f aca="false">IF(AX$116=1,Inputs!$C$55,0)</f>
        <v>0</v>
      </c>
      <c r="AY170" s="67" t="n">
        <f aca="false">IF(AY$116=1,Inputs!$C$55,0)</f>
        <v>0</v>
      </c>
      <c r="AZ170" s="67" t="n">
        <f aca="false">IF(AZ$116=1,Inputs!$C$55,0)</f>
        <v>0</v>
      </c>
      <c r="BA170" s="67" t="n">
        <f aca="false">IF(BA$116=1,Inputs!$C$55,0)</f>
        <v>0</v>
      </c>
      <c r="BB170" s="67" t="n">
        <f aca="false">IF(BB$116=1,Inputs!$C$55,0)</f>
        <v>0</v>
      </c>
      <c r="BC170" s="67" t="n">
        <f aca="false">IF(BC$116=1,Inputs!$C$55,0)</f>
        <v>0</v>
      </c>
      <c r="BD170" s="67" t="n">
        <f aca="false">IF(BD$116=1,Inputs!$C$55,0)</f>
        <v>0</v>
      </c>
      <c r="BE170" s="67" t="n">
        <f aca="false">IF(BE$116=1,Inputs!$C$55,0)</f>
        <v>0</v>
      </c>
      <c r="BF170" s="67" t="n">
        <f aca="false">IF(BF$116=1,Inputs!$C$55,0)</f>
        <v>0</v>
      </c>
      <c r="BG170" s="67" t="n">
        <f aca="false">IF(BG$116=1,Inputs!$C$55,0)</f>
        <v>0</v>
      </c>
      <c r="BH170" s="67" t="n">
        <f aca="false">IF(BH$116=1,Inputs!$C$55,0)</f>
        <v>0</v>
      </c>
      <c r="BI170" s="67" t="n">
        <f aca="false">IF(BI$116=1,Inputs!$C$55,0)</f>
        <v>0</v>
      </c>
      <c r="BJ170" s="67" t="n">
        <f aca="false">IF(BJ$116=1,Inputs!$C$55,0)</f>
        <v>0</v>
      </c>
    </row>
    <row r="171" customFormat="false" ht="15" hidden="false" customHeight="false" outlineLevel="0" collapsed="false">
      <c r="A171" s="6" t="s">
        <v>86</v>
      </c>
      <c r="C171" s="67" t="n">
        <f aca="false">-MIN(C169,Inputs!$C$55/MAX(1,Inputs!$C$57*12))</f>
        <v>-0</v>
      </c>
      <c r="D171" s="67" t="n">
        <f aca="false">-MIN(D169,Inputs!$C$55/MAX(1,Inputs!$C$57*12))</f>
        <v>-3333.33333333333</v>
      </c>
      <c r="E171" s="67" t="n">
        <f aca="false">-MIN(E169,Inputs!$C$55/MAX(1,Inputs!$C$57*12))</f>
        <v>-3333.33333333333</v>
      </c>
      <c r="F171" s="67" t="n">
        <f aca="false">-MIN(F169,Inputs!$C$55/MAX(1,Inputs!$C$57*12))</f>
        <v>-3333.33333333333</v>
      </c>
      <c r="G171" s="67" t="n">
        <f aca="false">-MIN(G169,Inputs!$C$55/MAX(1,Inputs!$C$57*12))</f>
        <v>-3333.33333333333</v>
      </c>
      <c r="H171" s="67" t="n">
        <f aca="false">-MIN(H169,Inputs!$C$55/MAX(1,Inputs!$C$57*12))</f>
        <v>-3333.33333333333</v>
      </c>
      <c r="I171" s="67" t="n">
        <f aca="false">-MIN(I169,Inputs!$C$55/MAX(1,Inputs!$C$57*12))</f>
        <v>-3333.33333333333</v>
      </c>
      <c r="J171" s="67" t="n">
        <f aca="false">-MIN(J169,Inputs!$C$55/MAX(1,Inputs!$C$57*12))</f>
        <v>-3333.33333333333</v>
      </c>
      <c r="K171" s="67" t="n">
        <f aca="false">-MIN(K169,Inputs!$C$55/MAX(1,Inputs!$C$57*12))</f>
        <v>-3333.33333333333</v>
      </c>
      <c r="L171" s="67" t="n">
        <f aca="false">-MIN(L169,Inputs!$C$55/MAX(1,Inputs!$C$57*12))</f>
        <v>-3333.33333333333</v>
      </c>
      <c r="M171" s="67" t="n">
        <f aca="false">-MIN(M169,Inputs!$C$55/MAX(1,Inputs!$C$57*12))</f>
        <v>-3333.33333333333</v>
      </c>
      <c r="N171" s="67" t="n">
        <f aca="false">-MIN(N169,Inputs!$C$55/MAX(1,Inputs!$C$57*12))</f>
        <v>-3333.33333333333</v>
      </c>
      <c r="O171" s="67" t="n">
        <f aca="false">-MIN(O169,Inputs!$C$55/MAX(1,Inputs!$C$57*12))</f>
        <v>-3333.33333333333</v>
      </c>
      <c r="P171" s="67" t="n">
        <f aca="false">-MIN(P169,Inputs!$C$55/MAX(1,Inputs!$C$57*12))</f>
        <v>-3333.33333333333</v>
      </c>
      <c r="Q171" s="67" t="n">
        <f aca="false">-MIN(Q169,Inputs!$C$55/MAX(1,Inputs!$C$57*12))</f>
        <v>-3333.33333333333</v>
      </c>
      <c r="R171" s="67" t="n">
        <f aca="false">-MIN(R169,Inputs!$C$55/MAX(1,Inputs!$C$57*12))</f>
        <v>-3333.33333333333</v>
      </c>
      <c r="S171" s="67" t="n">
        <f aca="false">-MIN(S169,Inputs!$C$55/MAX(1,Inputs!$C$57*12))</f>
        <v>-3333.33333333333</v>
      </c>
      <c r="T171" s="67" t="n">
        <f aca="false">-MIN(T169,Inputs!$C$55/MAX(1,Inputs!$C$57*12))</f>
        <v>-3333.33333333333</v>
      </c>
      <c r="U171" s="67" t="n">
        <f aca="false">-MIN(U169,Inputs!$C$55/MAX(1,Inputs!$C$57*12))</f>
        <v>-3333.33333333333</v>
      </c>
      <c r="V171" s="67" t="n">
        <f aca="false">-MIN(V169,Inputs!$C$55/MAX(1,Inputs!$C$57*12))</f>
        <v>-3333.33333333333</v>
      </c>
      <c r="W171" s="67" t="n">
        <f aca="false">-MIN(W169,Inputs!$C$55/MAX(1,Inputs!$C$57*12))</f>
        <v>-3333.33333333333</v>
      </c>
      <c r="X171" s="67" t="n">
        <f aca="false">-MIN(X169,Inputs!$C$55/MAX(1,Inputs!$C$57*12))</f>
        <v>-3333.33333333333</v>
      </c>
      <c r="Y171" s="67" t="n">
        <f aca="false">-MIN(Y169,Inputs!$C$55/MAX(1,Inputs!$C$57*12))</f>
        <v>-3333.33333333333</v>
      </c>
      <c r="Z171" s="67" t="n">
        <f aca="false">-MIN(Z169,Inputs!$C$55/MAX(1,Inputs!$C$57*12))</f>
        <v>-3333.33333333333</v>
      </c>
      <c r="AA171" s="67" t="n">
        <f aca="false">-MIN(AA169,Inputs!$C$55/MAX(1,Inputs!$C$57*12))</f>
        <v>-3333.33333333333</v>
      </c>
      <c r="AB171" s="67" t="n">
        <f aca="false">-MIN(AB169,Inputs!$C$55/MAX(1,Inputs!$C$57*12))</f>
        <v>-3333.33333333333</v>
      </c>
      <c r="AC171" s="67" t="n">
        <f aca="false">-MIN(AC169,Inputs!$C$55/MAX(1,Inputs!$C$57*12))</f>
        <v>-3333.33333333333</v>
      </c>
      <c r="AD171" s="67" t="n">
        <f aca="false">-MIN(AD169,Inputs!$C$55/MAX(1,Inputs!$C$57*12))</f>
        <v>-3333.33333333333</v>
      </c>
      <c r="AE171" s="67" t="n">
        <f aca="false">-MIN(AE169,Inputs!$C$55/MAX(1,Inputs!$C$57*12))</f>
        <v>-3333.33333333333</v>
      </c>
      <c r="AF171" s="67" t="n">
        <f aca="false">-MIN(AF169,Inputs!$C$55/MAX(1,Inputs!$C$57*12))</f>
        <v>-3333.33333333333</v>
      </c>
      <c r="AG171" s="67" t="n">
        <f aca="false">-MIN(AG169,Inputs!$C$55/MAX(1,Inputs!$C$57*12))</f>
        <v>-3333.33333333333</v>
      </c>
      <c r="AH171" s="67" t="n">
        <f aca="false">-MIN(AH169,Inputs!$C$55/MAX(1,Inputs!$C$57*12))</f>
        <v>-3333.33333333333</v>
      </c>
      <c r="AI171" s="67" t="n">
        <f aca="false">-MIN(AI169,Inputs!$C$55/MAX(1,Inputs!$C$57*12))</f>
        <v>-3333.33333333333</v>
      </c>
      <c r="AJ171" s="67" t="n">
        <f aca="false">-MIN(AJ169,Inputs!$C$55/MAX(1,Inputs!$C$57*12))</f>
        <v>-3333.33333333333</v>
      </c>
      <c r="AK171" s="67" t="n">
        <f aca="false">-MIN(AK169,Inputs!$C$55/MAX(1,Inputs!$C$57*12))</f>
        <v>-3333.33333333333</v>
      </c>
      <c r="AL171" s="67" t="n">
        <f aca="false">-MIN(AL169,Inputs!$C$55/MAX(1,Inputs!$C$57*12))</f>
        <v>-3333.33333333333</v>
      </c>
      <c r="AM171" s="67" t="n">
        <f aca="false">-MIN(AM169,Inputs!$C$55/MAX(1,Inputs!$C$57*12))</f>
        <v>-3333.33333333333</v>
      </c>
      <c r="AN171" s="67" t="n">
        <f aca="false">-MIN(AN169,Inputs!$C$55/MAX(1,Inputs!$C$57*12))</f>
        <v>-3333.33333333333</v>
      </c>
      <c r="AO171" s="67" t="n">
        <f aca="false">-MIN(AO169,Inputs!$C$55/MAX(1,Inputs!$C$57*12))</f>
        <v>-3333.33333333333</v>
      </c>
      <c r="AP171" s="67" t="n">
        <f aca="false">-MIN(AP169,Inputs!$C$55/MAX(1,Inputs!$C$57*12))</f>
        <v>-3333.33333333333</v>
      </c>
      <c r="AQ171" s="67" t="n">
        <f aca="false">-MIN(AQ169,Inputs!$C$55/MAX(1,Inputs!$C$57*12))</f>
        <v>-3333.33333333333</v>
      </c>
      <c r="AR171" s="67" t="n">
        <f aca="false">-MIN(AR169,Inputs!$C$55/MAX(1,Inputs!$C$57*12))</f>
        <v>-3333.33333333333</v>
      </c>
      <c r="AS171" s="67" t="n">
        <f aca="false">-MIN(AS169,Inputs!$C$55/MAX(1,Inputs!$C$57*12))</f>
        <v>-3333.33333333333</v>
      </c>
      <c r="AT171" s="67" t="n">
        <f aca="false">-MIN(AT169,Inputs!$C$55/MAX(1,Inputs!$C$57*12))</f>
        <v>-3333.33333333333</v>
      </c>
      <c r="AU171" s="67" t="n">
        <f aca="false">-MIN(AU169,Inputs!$C$55/MAX(1,Inputs!$C$57*12))</f>
        <v>-3333.33333333333</v>
      </c>
      <c r="AV171" s="67" t="n">
        <f aca="false">-MIN(AV169,Inputs!$C$55/MAX(1,Inputs!$C$57*12))</f>
        <v>-3333.33333333333</v>
      </c>
      <c r="AW171" s="67" t="n">
        <f aca="false">-MIN(AW169,Inputs!$C$55/MAX(1,Inputs!$C$57*12))</f>
        <v>-3333.33333333333</v>
      </c>
      <c r="AX171" s="67" t="n">
        <f aca="false">-MIN(AX169,Inputs!$C$55/MAX(1,Inputs!$C$57*12))</f>
        <v>-3333.33333333333</v>
      </c>
      <c r="AY171" s="67" t="n">
        <f aca="false">-MIN(AY169,Inputs!$C$55/MAX(1,Inputs!$C$57*12))</f>
        <v>-3333.33333333333</v>
      </c>
      <c r="AZ171" s="67" t="n">
        <f aca="false">-MIN(AZ169,Inputs!$C$55/MAX(1,Inputs!$C$57*12))</f>
        <v>-3333.33333333333</v>
      </c>
      <c r="BA171" s="67" t="n">
        <f aca="false">-MIN(BA169,Inputs!$C$55/MAX(1,Inputs!$C$57*12))</f>
        <v>-3333.33333333333</v>
      </c>
      <c r="BB171" s="67" t="n">
        <f aca="false">-MIN(BB169,Inputs!$C$55/MAX(1,Inputs!$C$57*12))</f>
        <v>-3333.33333333333</v>
      </c>
      <c r="BC171" s="67" t="n">
        <f aca="false">-MIN(BC169,Inputs!$C$55/MAX(1,Inputs!$C$57*12))</f>
        <v>-3333.33333333333</v>
      </c>
      <c r="BD171" s="67" t="n">
        <f aca="false">-MIN(BD169,Inputs!$C$55/MAX(1,Inputs!$C$57*12))</f>
        <v>-3333.33333333333</v>
      </c>
      <c r="BE171" s="67" t="n">
        <f aca="false">-MIN(BE169,Inputs!$C$55/MAX(1,Inputs!$C$57*12))</f>
        <v>-3333.33333333333</v>
      </c>
      <c r="BF171" s="67" t="n">
        <f aca="false">-MIN(BF169,Inputs!$C$55/MAX(1,Inputs!$C$57*12))</f>
        <v>-3333.33333333333</v>
      </c>
      <c r="BG171" s="67" t="n">
        <f aca="false">-MIN(BG169,Inputs!$C$55/MAX(1,Inputs!$C$57*12))</f>
        <v>-3333.33333333333</v>
      </c>
      <c r="BH171" s="67" t="n">
        <f aca="false">-MIN(BH169,Inputs!$C$55/MAX(1,Inputs!$C$57*12))</f>
        <v>-3333.33333333333</v>
      </c>
      <c r="BI171" s="67" t="n">
        <f aca="false">-MIN(BI169,Inputs!$C$55/MAX(1,Inputs!$C$57*12))</f>
        <v>-3333.33333333333</v>
      </c>
      <c r="BJ171" s="67" t="n">
        <f aca="false">-MIN(BJ169,Inputs!$C$55/MAX(1,Inputs!$C$57*12))</f>
        <v>-3333.33333333333</v>
      </c>
    </row>
    <row r="172" customFormat="false" ht="15" hidden="false" customHeight="false" outlineLevel="0" collapsed="false">
      <c r="A172" s="4" t="s">
        <v>421</v>
      </c>
      <c r="C172" s="73" t="n">
        <f aca="false">C169+C170+C171</f>
        <v>200000</v>
      </c>
      <c r="D172" s="73" t="n">
        <f aca="false">D169+D170+D171</f>
        <v>196666.666666667</v>
      </c>
      <c r="E172" s="73" t="n">
        <f aca="false">E169+E170+E171</f>
        <v>193333.333333333</v>
      </c>
      <c r="F172" s="73" t="n">
        <f aca="false">F169+F170+F171</f>
        <v>190000</v>
      </c>
      <c r="G172" s="73" t="n">
        <f aca="false">G169+G170+G171</f>
        <v>186666.666666667</v>
      </c>
      <c r="H172" s="73" t="n">
        <f aca="false">H169+H170+H171</f>
        <v>183333.333333333</v>
      </c>
      <c r="I172" s="73" t="n">
        <f aca="false">I169+I170+I171</f>
        <v>180000</v>
      </c>
      <c r="J172" s="73" t="n">
        <f aca="false">J169+J170+J171</f>
        <v>176666.666666667</v>
      </c>
      <c r="K172" s="73" t="n">
        <f aca="false">K169+K170+K171</f>
        <v>173333.333333333</v>
      </c>
      <c r="L172" s="73" t="n">
        <f aca="false">L169+L170+L171</f>
        <v>170000</v>
      </c>
      <c r="M172" s="73" t="n">
        <f aca="false">M169+M170+M171</f>
        <v>166666.666666667</v>
      </c>
      <c r="N172" s="73" t="n">
        <f aca="false">N169+N170+N171</f>
        <v>163333.333333333</v>
      </c>
      <c r="O172" s="73" t="n">
        <f aca="false">O169+O170+O171</f>
        <v>160000</v>
      </c>
      <c r="P172" s="73" t="n">
        <f aca="false">P169+P170+P171</f>
        <v>156666.666666667</v>
      </c>
      <c r="Q172" s="73" t="n">
        <f aca="false">Q169+Q170+Q171</f>
        <v>153333.333333333</v>
      </c>
      <c r="R172" s="73" t="n">
        <f aca="false">R169+R170+R171</f>
        <v>150000</v>
      </c>
      <c r="S172" s="73" t="n">
        <f aca="false">S169+S170+S171</f>
        <v>146666.666666667</v>
      </c>
      <c r="T172" s="73" t="n">
        <f aca="false">T169+T170+T171</f>
        <v>143333.333333333</v>
      </c>
      <c r="U172" s="73" t="n">
        <f aca="false">U169+U170+U171</f>
        <v>140000</v>
      </c>
      <c r="V172" s="73" t="n">
        <f aca="false">V169+V170+V171</f>
        <v>136666.666666666</v>
      </c>
      <c r="W172" s="73" t="n">
        <f aca="false">W169+W170+W171</f>
        <v>133333.333333333</v>
      </c>
      <c r="X172" s="73" t="n">
        <f aca="false">X169+X170+X171</f>
        <v>130000</v>
      </c>
      <c r="Y172" s="73" t="n">
        <f aca="false">Y169+Y170+Y171</f>
        <v>126666.666666666</v>
      </c>
      <c r="Z172" s="73" t="n">
        <f aca="false">Z169+Z170+Z171</f>
        <v>123333.333333333</v>
      </c>
      <c r="AA172" s="73" t="n">
        <f aca="false">AA169+AA170+AA171</f>
        <v>120000</v>
      </c>
      <c r="AB172" s="73" t="n">
        <f aca="false">AB169+AB170+AB171</f>
        <v>116666.666666667</v>
      </c>
      <c r="AC172" s="73" t="n">
        <f aca="false">AC169+AC170+AC171</f>
        <v>113333.333333333</v>
      </c>
      <c r="AD172" s="73" t="n">
        <f aca="false">AD169+AD170+AD171</f>
        <v>110000</v>
      </c>
      <c r="AE172" s="73" t="n">
        <f aca="false">AE169+AE170+AE171</f>
        <v>106666.666666667</v>
      </c>
      <c r="AF172" s="73" t="n">
        <f aca="false">AF169+AF170+AF171</f>
        <v>103333.333333333</v>
      </c>
      <c r="AG172" s="73" t="n">
        <f aca="false">AG169+AG170+AG171</f>
        <v>99999.9999999999</v>
      </c>
      <c r="AH172" s="73" t="n">
        <f aca="false">AH169+AH170+AH171</f>
        <v>96666.6666666665</v>
      </c>
      <c r="AI172" s="73" t="n">
        <f aca="false">AI169+AI170+AI171</f>
        <v>93333.3333333332</v>
      </c>
      <c r="AJ172" s="73" t="n">
        <f aca="false">AJ169+AJ170+AJ171</f>
        <v>89999.9999999999</v>
      </c>
      <c r="AK172" s="73" t="n">
        <f aca="false">AK169+AK170+AK171</f>
        <v>86666.6666666665</v>
      </c>
      <c r="AL172" s="73" t="n">
        <f aca="false">AL169+AL170+AL171</f>
        <v>83333.3333333332</v>
      </c>
      <c r="AM172" s="73" t="n">
        <f aca="false">AM169+AM170+AM171</f>
        <v>79999.9999999999</v>
      </c>
      <c r="AN172" s="73" t="n">
        <f aca="false">AN169+AN170+AN171</f>
        <v>76666.6666666666</v>
      </c>
      <c r="AO172" s="73" t="n">
        <f aca="false">AO169+AO170+AO171</f>
        <v>73333.3333333332</v>
      </c>
      <c r="AP172" s="73" t="n">
        <f aca="false">AP169+AP170+AP171</f>
        <v>69999.9999999999</v>
      </c>
      <c r="AQ172" s="73" t="n">
        <f aca="false">AQ169+AQ170+AQ171</f>
        <v>66666.6666666666</v>
      </c>
      <c r="AR172" s="73" t="n">
        <f aca="false">AR169+AR170+AR171</f>
        <v>63333.3333333332</v>
      </c>
      <c r="AS172" s="73" t="n">
        <f aca="false">AS169+AS170+AS171</f>
        <v>59999.9999999999</v>
      </c>
      <c r="AT172" s="73" t="n">
        <f aca="false">AT169+AT170+AT171</f>
        <v>56666.6666666666</v>
      </c>
      <c r="AU172" s="73" t="n">
        <f aca="false">AU169+AU170+AU171</f>
        <v>53333.3333333332</v>
      </c>
      <c r="AV172" s="73" t="n">
        <f aca="false">AV169+AV170+AV171</f>
        <v>49999.9999999999</v>
      </c>
      <c r="AW172" s="73" t="n">
        <f aca="false">AW169+AW170+AW171</f>
        <v>46666.6666666666</v>
      </c>
      <c r="AX172" s="73" t="n">
        <f aca="false">AX169+AX170+AX171</f>
        <v>43333.3333333332</v>
      </c>
      <c r="AY172" s="73" t="n">
        <f aca="false">AY169+AY170+AY171</f>
        <v>39999.9999999999</v>
      </c>
      <c r="AZ172" s="73" t="n">
        <f aca="false">AZ169+AZ170+AZ171</f>
        <v>36666.6666666666</v>
      </c>
      <c r="BA172" s="73" t="n">
        <f aca="false">BA169+BA170+BA171</f>
        <v>33333.3333333332</v>
      </c>
      <c r="BB172" s="73" t="n">
        <f aca="false">BB169+BB170+BB171</f>
        <v>29999.9999999999</v>
      </c>
      <c r="BC172" s="73" t="n">
        <f aca="false">BC169+BC170+BC171</f>
        <v>26666.6666666665</v>
      </c>
      <c r="BD172" s="73" t="n">
        <f aca="false">BD169+BD170+BD171</f>
        <v>23333.3333333332</v>
      </c>
      <c r="BE172" s="73" t="n">
        <f aca="false">BE169+BE170+BE171</f>
        <v>19999.9999999999</v>
      </c>
      <c r="BF172" s="73" t="n">
        <f aca="false">BF169+BF170+BF171</f>
        <v>16666.6666666666</v>
      </c>
      <c r="BG172" s="73" t="n">
        <f aca="false">BG169+BG170+BG171</f>
        <v>13333.3333333332</v>
      </c>
      <c r="BH172" s="73" t="n">
        <f aca="false">BH169+BH170+BH171</f>
        <v>9999.99999999988</v>
      </c>
      <c r="BI172" s="73" t="n">
        <f aca="false">BI169+BI170+BI171</f>
        <v>6666.66666666655</v>
      </c>
      <c r="BJ172" s="73" t="n">
        <f aca="false">BJ169+BJ170+BJ171</f>
        <v>3333.33333333322</v>
      </c>
    </row>
    <row r="174" customFormat="false" ht="15.75" hidden="false" customHeight="true" outlineLevel="0" collapsed="false">
      <c r="A174" s="7" t="s">
        <v>310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customFormat="false" ht="15" hidden="false" customHeight="false" outlineLevel="0" collapsed="false">
      <c r="A175" s="6" t="s">
        <v>90</v>
      </c>
      <c r="C175" s="67" t="n">
        <f aca="false">C134*Inputs!$C$60/30</f>
        <v>563274</v>
      </c>
      <c r="D175" s="67" t="n">
        <f aca="false">D134*Inputs!$C$60/30</f>
        <v>563274</v>
      </c>
      <c r="E175" s="67" t="n">
        <f aca="false">E134*Inputs!$C$60/30</f>
        <v>563274</v>
      </c>
      <c r="F175" s="67" t="n">
        <f aca="false">F134*Inputs!$C$60/30</f>
        <v>563274</v>
      </c>
      <c r="G175" s="67" t="n">
        <f aca="false">G134*Inputs!$C$60/30</f>
        <v>563274</v>
      </c>
      <c r="H175" s="67" t="n">
        <f aca="false">H134*Inputs!$C$60/30</f>
        <v>563274</v>
      </c>
      <c r="I175" s="67" t="n">
        <f aca="false">I134*Inputs!$C$60/30</f>
        <v>563274</v>
      </c>
      <c r="J175" s="67" t="n">
        <f aca="false">J134*Inputs!$C$60/30</f>
        <v>563274</v>
      </c>
      <c r="K175" s="67" t="n">
        <f aca="false">K134*Inputs!$C$60/30</f>
        <v>563274</v>
      </c>
      <c r="L175" s="67" t="n">
        <f aca="false">L134*Inputs!$C$60/30</f>
        <v>563274</v>
      </c>
      <c r="M175" s="67" t="n">
        <f aca="false">M134*Inputs!$C$60/30</f>
        <v>563274</v>
      </c>
      <c r="N175" s="67" t="n">
        <f aca="false">N134*Inputs!$C$60/30</f>
        <v>563274</v>
      </c>
      <c r="O175" s="67" t="n">
        <f aca="false">O134*Inputs!$C$60/30</f>
        <v>729495.234</v>
      </c>
      <c r="P175" s="67" t="n">
        <f aca="false">P134*Inputs!$C$60/30</f>
        <v>729495.234</v>
      </c>
      <c r="Q175" s="67" t="n">
        <f aca="false">Q134*Inputs!$C$60/30</f>
        <v>729495.234</v>
      </c>
      <c r="R175" s="67" t="n">
        <f aca="false">R134*Inputs!$C$60/30</f>
        <v>729495.234</v>
      </c>
      <c r="S175" s="67" t="n">
        <f aca="false">S134*Inputs!$C$60/30</f>
        <v>729495.234</v>
      </c>
      <c r="T175" s="67" t="n">
        <f aca="false">T134*Inputs!$C$60/30</f>
        <v>729495.234</v>
      </c>
      <c r="U175" s="67" t="n">
        <f aca="false">U134*Inputs!$C$60/30</f>
        <v>729495.234</v>
      </c>
      <c r="V175" s="67" t="n">
        <f aca="false">V134*Inputs!$C$60/30</f>
        <v>729495.234</v>
      </c>
      <c r="W175" s="67" t="n">
        <f aca="false">W134*Inputs!$C$60/30</f>
        <v>729495.234</v>
      </c>
      <c r="X175" s="67" t="n">
        <f aca="false">X134*Inputs!$C$60/30</f>
        <v>729495.234</v>
      </c>
      <c r="Y175" s="67" t="n">
        <f aca="false">Y134*Inputs!$C$60/30</f>
        <v>729495.234</v>
      </c>
      <c r="Z175" s="67" t="n">
        <f aca="false">Z134*Inputs!$C$60/30</f>
        <v>729495.234</v>
      </c>
      <c r="AA175" s="67" t="n">
        <f aca="false">AA134*Inputs!$C$60/30</f>
        <v>946229.504454</v>
      </c>
      <c r="AB175" s="67" t="n">
        <f aca="false">AB134*Inputs!$C$60/30</f>
        <v>946229.504454</v>
      </c>
      <c r="AC175" s="67" t="n">
        <f aca="false">AC134*Inputs!$C$60/30</f>
        <v>946229.504454</v>
      </c>
      <c r="AD175" s="67" t="n">
        <f aca="false">AD134*Inputs!$C$60/30</f>
        <v>946229.504454</v>
      </c>
      <c r="AE175" s="67" t="n">
        <f aca="false">AE134*Inputs!$C$60/30</f>
        <v>946229.504454</v>
      </c>
      <c r="AF175" s="67" t="n">
        <f aca="false">AF134*Inputs!$C$60/30</f>
        <v>946229.504454</v>
      </c>
      <c r="AG175" s="67" t="n">
        <f aca="false">AG134*Inputs!$C$60/30</f>
        <v>946229.504454</v>
      </c>
      <c r="AH175" s="67" t="n">
        <f aca="false">AH134*Inputs!$C$60/30</f>
        <v>946229.504454</v>
      </c>
      <c r="AI175" s="67" t="n">
        <f aca="false">AI134*Inputs!$C$60/30</f>
        <v>946229.504454</v>
      </c>
      <c r="AJ175" s="67" t="n">
        <f aca="false">AJ134*Inputs!$C$60/30</f>
        <v>946229.504454</v>
      </c>
      <c r="AK175" s="67" t="n">
        <f aca="false">AK134*Inputs!$C$60/30</f>
        <v>946229.504454</v>
      </c>
      <c r="AL175" s="67" t="n">
        <f aca="false">AL134*Inputs!$C$60/30</f>
        <v>946229.504454</v>
      </c>
      <c r="AM175" s="67" t="n">
        <f aca="false">AM134*Inputs!$C$60/30</f>
        <v>1229223.44371811</v>
      </c>
      <c r="AN175" s="67" t="n">
        <f aca="false">AN134*Inputs!$C$60/30</f>
        <v>1229223.44371811</v>
      </c>
      <c r="AO175" s="67" t="n">
        <f aca="false">AO134*Inputs!$C$60/30</f>
        <v>1229223.44371811</v>
      </c>
      <c r="AP175" s="67" t="n">
        <f aca="false">AP134*Inputs!$C$60/30</f>
        <v>1229223.44371811</v>
      </c>
      <c r="AQ175" s="67" t="n">
        <f aca="false">AQ134*Inputs!$C$60/30</f>
        <v>1229223.44371811</v>
      </c>
      <c r="AR175" s="67" t="n">
        <f aca="false">AR134*Inputs!$C$60/30</f>
        <v>1229223.44371811</v>
      </c>
      <c r="AS175" s="67" t="n">
        <f aca="false">AS134*Inputs!$C$60/30</f>
        <v>1229223.44371811</v>
      </c>
      <c r="AT175" s="67" t="n">
        <f aca="false">AT134*Inputs!$C$60/30</f>
        <v>1229223.44371811</v>
      </c>
      <c r="AU175" s="67" t="n">
        <f aca="false">AU134*Inputs!$C$60/30</f>
        <v>1229223.44371811</v>
      </c>
      <c r="AV175" s="67" t="n">
        <f aca="false">AV134*Inputs!$C$60/30</f>
        <v>1229223.44371811</v>
      </c>
      <c r="AW175" s="67" t="n">
        <f aca="false">AW134*Inputs!$C$60/30</f>
        <v>1229223.44371811</v>
      </c>
      <c r="AX175" s="67" t="n">
        <f aca="false">AX134*Inputs!$C$60/30</f>
        <v>1229223.44371811</v>
      </c>
      <c r="AY175" s="67" t="n">
        <f aca="false">AY134*Inputs!$C$60/30</f>
        <v>1599236.75278476</v>
      </c>
      <c r="AZ175" s="67" t="n">
        <f aca="false">AZ134*Inputs!$C$60/30</f>
        <v>1599236.75278476</v>
      </c>
      <c r="BA175" s="67" t="n">
        <f aca="false">BA134*Inputs!$C$60/30</f>
        <v>1599236.75278476</v>
      </c>
      <c r="BB175" s="67" t="n">
        <f aca="false">BB134*Inputs!$C$60/30</f>
        <v>1599236.75278476</v>
      </c>
      <c r="BC175" s="67" t="n">
        <f aca="false">BC134*Inputs!$C$60/30</f>
        <v>1599236.75278476</v>
      </c>
      <c r="BD175" s="67" t="n">
        <f aca="false">BD134*Inputs!$C$60/30</f>
        <v>1599236.75278476</v>
      </c>
      <c r="BE175" s="67" t="n">
        <f aca="false">BE134*Inputs!$C$60/30</f>
        <v>1599236.75278476</v>
      </c>
      <c r="BF175" s="67" t="n">
        <f aca="false">BF134*Inputs!$C$60/30</f>
        <v>1599236.75278476</v>
      </c>
      <c r="BG175" s="67" t="n">
        <f aca="false">BG134*Inputs!$C$60/30</f>
        <v>1599236.75278476</v>
      </c>
      <c r="BH175" s="67" t="n">
        <f aca="false">BH134*Inputs!$C$60/30</f>
        <v>1599236.75278476</v>
      </c>
      <c r="BI175" s="67" t="n">
        <f aca="false">BI134*Inputs!$C$60/30</f>
        <v>1599236.75278476</v>
      </c>
      <c r="BJ175" s="67" t="n">
        <f aca="false">BJ134*Inputs!$C$60/30</f>
        <v>1599236.75278476</v>
      </c>
    </row>
    <row r="176" customFormat="false" ht="15" hidden="false" customHeight="false" outlineLevel="0" collapsed="false">
      <c r="A176" s="6" t="s">
        <v>91</v>
      </c>
      <c r="C176" s="67" t="n">
        <f aca="false">-C140*Inputs!$C$61/30</f>
        <v>0</v>
      </c>
      <c r="D176" s="67" t="n">
        <f aca="false">-D140*Inputs!$C$61/30</f>
        <v>0</v>
      </c>
      <c r="E176" s="67" t="n">
        <f aca="false">-E140*Inputs!$C$61/30</f>
        <v>0</v>
      </c>
      <c r="F176" s="67" t="n">
        <f aca="false">-F140*Inputs!$C$61/30</f>
        <v>0</v>
      </c>
      <c r="G176" s="67" t="n">
        <f aca="false">-G140*Inputs!$C$61/30</f>
        <v>0</v>
      </c>
      <c r="H176" s="67" t="n">
        <f aca="false">-H140*Inputs!$C$61/30</f>
        <v>0</v>
      </c>
      <c r="I176" s="67" t="n">
        <f aca="false">-I140*Inputs!$C$61/30</f>
        <v>0</v>
      </c>
      <c r="J176" s="67" t="n">
        <f aca="false">-J140*Inputs!$C$61/30</f>
        <v>0</v>
      </c>
      <c r="K176" s="67" t="n">
        <f aca="false">-K140*Inputs!$C$61/30</f>
        <v>0</v>
      </c>
      <c r="L176" s="67" t="n">
        <f aca="false">-L140*Inputs!$C$61/30</f>
        <v>0</v>
      </c>
      <c r="M176" s="67" t="n">
        <f aca="false">-M140*Inputs!$C$61/30</f>
        <v>0</v>
      </c>
      <c r="N176" s="67" t="n">
        <f aca="false">-N140*Inputs!$C$61/30</f>
        <v>0</v>
      </c>
      <c r="O176" s="67" t="n">
        <f aca="false">-O140*Inputs!$C$61/30</f>
        <v>0</v>
      </c>
      <c r="P176" s="67" t="n">
        <f aca="false">-P140*Inputs!$C$61/30</f>
        <v>0</v>
      </c>
      <c r="Q176" s="67" t="n">
        <f aca="false">-Q140*Inputs!$C$61/30</f>
        <v>0</v>
      </c>
      <c r="R176" s="67" t="n">
        <f aca="false">-R140*Inputs!$C$61/30</f>
        <v>0</v>
      </c>
      <c r="S176" s="67" t="n">
        <f aca="false">-S140*Inputs!$C$61/30</f>
        <v>0</v>
      </c>
      <c r="T176" s="67" t="n">
        <f aca="false">-T140*Inputs!$C$61/30</f>
        <v>0</v>
      </c>
      <c r="U176" s="67" t="n">
        <f aca="false">-U140*Inputs!$C$61/30</f>
        <v>0</v>
      </c>
      <c r="V176" s="67" t="n">
        <f aca="false">-V140*Inputs!$C$61/30</f>
        <v>0</v>
      </c>
      <c r="W176" s="67" t="n">
        <f aca="false">-W140*Inputs!$C$61/30</f>
        <v>0</v>
      </c>
      <c r="X176" s="67" t="n">
        <f aca="false">-X140*Inputs!$C$61/30</f>
        <v>0</v>
      </c>
      <c r="Y176" s="67" t="n">
        <f aca="false">-Y140*Inputs!$C$61/30</f>
        <v>0</v>
      </c>
      <c r="Z176" s="67" t="n">
        <f aca="false">-Z140*Inputs!$C$61/30</f>
        <v>0</v>
      </c>
      <c r="AA176" s="67" t="n">
        <f aca="false">-AA140*Inputs!$C$61/30</f>
        <v>0</v>
      </c>
      <c r="AB176" s="67" t="n">
        <f aca="false">-AB140*Inputs!$C$61/30</f>
        <v>0</v>
      </c>
      <c r="AC176" s="67" t="n">
        <f aca="false">-AC140*Inputs!$C$61/30</f>
        <v>0</v>
      </c>
      <c r="AD176" s="67" t="n">
        <f aca="false">-AD140*Inputs!$C$61/30</f>
        <v>0</v>
      </c>
      <c r="AE176" s="67" t="n">
        <f aca="false">-AE140*Inputs!$C$61/30</f>
        <v>0</v>
      </c>
      <c r="AF176" s="67" t="n">
        <f aca="false">-AF140*Inputs!$C$61/30</f>
        <v>0</v>
      </c>
      <c r="AG176" s="67" t="n">
        <f aca="false">-AG140*Inputs!$C$61/30</f>
        <v>0</v>
      </c>
      <c r="AH176" s="67" t="n">
        <f aca="false">-AH140*Inputs!$C$61/30</f>
        <v>0</v>
      </c>
      <c r="AI176" s="67" t="n">
        <f aca="false">-AI140*Inputs!$C$61/30</f>
        <v>0</v>
      </c>
      <c r="AJ176" s="67" t="n">
        <f aca="false">-AJ140*Inputs!$C$61/30</f>
        <v>0</v>
      </c>
      <c r="AK176" s="67" t="n">
        <f aca="false">-AK140*Inputs!$C$61/30</f>
        <v>0</v>
      </c>
      <c r="AL176" s="67" t="n">
        <f aca="false">-AL140*Inputs!$C$61/30</f>
        <v>0</v>
      </c>
      <c r="AM176" s="67" t="n">
        <f aca="false">-AM140*Inputs!$C$61/30</f>
        <v>0</v>
      </c>
      <c r="AN176" s="67" t="n">
        <f aca="false">-AN140*Inputs!$C$61/30</f>
        <v>0</v>
      </c>
      <c r="AO176" s="67" t="n">
        <f aca="false">-AO140*Inputs!$C$61/30</f>
        <v>0</v>
      </c>
      <c r="AP176" s="67" t="n">
        <f aca="false">-AP140*Inputs!$C$61/30</f>
        <v>0</v>
      </c>
      <c r="AQ176" s="67" t="n">
        <f aca="false">-AQ140*Inputs!$C$61/30</f>
        <v>0</v>
      </c>
      <c r="AR176" s="67" t="n">
        <f aca="false">-AR140*Inputs!$C$61/30</f>
        <v>0</v>
      </c>
      <c r="AS176" s="67" t="n">
        <f aca="false">-AS140*Inputs!$C$61/30</f>
        <v>0</v>
      </c>
      <c r="AT176" s="67" t="n">
        <f aca="false">-AT140*Inputs!$C$61/30</f>
        <v>0</v>
      </c>
      <c r="AU176" s="67" t="n">
        <f aca="false">-AU140*Inputs!$C$61/30</f>
        <v>0</v>
      </c>
      <c r="AV176" s="67" t="n">
        <f aca="false">-AV140*Inputs!$C$61/30</f>
        <v>0</v>
      </c>
      <c r="AW176" s="67" t="n">
        <f aca="false">-AW140*Inputs!$C$61/30</f>
        <v>0</v>
      </c>
      <c r="AX176" s="67" t="n">
        <f aca="false">-AX140*Inputs!$C$61/30</f>
        <v>0</v>
      </c>
      <c r="AY176" s="67" t="n">
        <f aca="false">-AY140*Inputs!$C$61/30</f>
        <v>0</v>
      </c>
      <c r="AZ176" s="67" t="n">
        <f aca="false">-AZ140*Inputs!$C$61/30</f>
        <v>0</v>
      </c>
      <c r="BA176" s="67" t="n">
        <f aca="false">-BA140*Inputs!$C$61/30</f>
        <v>0</v>
      </c>
      <c r="BB176" s="67" t="n">
        <f aca="false">-BB140*Inputs!$C$61/30</f>
        <v>0</v>
      </c>
      <c r="BC176" s="67" t="n">
        <f aca="false">-BC140*Inputs!$C$61/30</f>
        <v>0</v>
      </c>
      <c r="BD176" s="67" t="n">
        <f aca="false">-BD140*Inputs!$C$61/30</f>
        <v>0</v>
      </c>
      <c r="BE176" s="67" t="n">
        <f aca="false">-BE140*Inputs!$C$61/30</f>
        <v>0</v>
      </c>
      <c r="BF176" s="67" t="n">
        <f aca="false">-BF140*Inputs!$C$61/30</f>
        <v>0</v>
      </c>
      <c r="BG176" s="67" t="n">
        <f aca="false">-BG140*Inputs!$C$61/30</f>
        <v>0</v>
      </c>
      <c r="BH176" s="67" t="n">
        <f aca="false">-BH140*Inputs!$C$61/30</f>
        <v>0</v>
      </c>
      <c r="BI176" s="67" t="n">
        <f aca="false">-BI140*Inputs!$C$61/30</f>
        <v>0</v>
      </c>
      <c r="BJ176" s="67" t="n">
        <f aca="false">-BJ140*Inputs!$C$61/30</f>
        <v>0</v>
      </c>
    </row>
    <row r="177" customFormat="false" ht="15" hidden="false" customHeight="false" outlineLevel="0" collapsed="false">
      <c r="A177" s="6" t="s">
        <v>94</v>
      </c>
      <c r="C177" s="67" t="n">
        <f aca="false">-C140*Inputs!$C$62/30</f>
        <v>112632.74</v>
      </c>
      <c r="D177" s="67" t="n">
        <f aca="false">-D140*Inputs!$C$62/30</f>
        <v>112632.74</v>
      </c>
      <c r="E177" s="67" t="n">
        <f aca="false">-E140*Inputs!$C$62/30</f>
        <v>112632.74</v>
      </c>
      <c r="F177" s="67" t="n">
        <f aca="false">-F140*Inputs!$C$62/30</f>
        <v>112632.74</v>
      </c>
      <c r="G177" s="67" t="n">
        <f aca="false">-G140*Inputs!$C$62/30</f>
        <v>112632.74</v>
      </c>
      <c r="H177" s="67" t="n">
        <f aca="false">-H140*Inputs!$C$62/30</f>
        <v>112632.74</v>
      </c>
      <c r="I177" s="67" t="n">
        <f aca="false">-I140*Inputs!$C$62/30</f>
        <v>112632.74</v>
      </c>
      <c r="J177" s="67" t="n">
        <f aca="false">-J140*Inputs!$C$62/30</f>
        <v>112632.74</v>
      </c>
      <c r="K177" s="67" t="n">
        <f aca="false">-K140*Inputs!$C$62/30</f>
        <v>112632.74</v>
      </c>
      <c r="L177" s="67" t="n">
        <f aca="false">-L140*Inputs!$C$62/30</f>
        <v>112632.74</v>
      </c>
      <c r="M177" s="67" t="n">
        <f aca="false">-M140*Inputs!$C$62/30</f>
        <v>112632.74</v>
      </c>
      <c r="N177" s="67" t="n">
        <f aca="false">-N140*Inputs!$C$62/30</f>
        <v>112632.74</v>
      </c>
      <c r="O177" s="67" t="n">
        <f aca="false">-O140*Inputs!$C$62/30</f>
        <v>145417.95234</v>
      </c>
      <c r="P177" s="67" t="n">
        <f aca="false">-P140*Inputs!$C$62/30</f>
        <v>145417.95234</v>
      </c>
      <c r="Q177" s="67" t="n">
        <f aca="false">-Q140*Inputs!$C$62/30</f>
        <v>145417.95234</v>
      </c>
      <c r="R177" s="67" t="n">
        <f aca="false">-R140*Inputs!$C$62/30</f>
        <v>145417.95234</v>
      </c>
      <c r="S177" s="67" t="n">
        <f aca="false">-S140*Inputs!$C$62/30</f>
        <v>145417.95234</v>
      </c>
      <c r="T177" s="67" t="n">
        <f aca="false">-T140*Inputs!$C$62/30</f>
        <v>145417.95234</v>
      </c>
      <c r="U177" s="67" t="n">
        <f aca="false">-U140*Inputs!$C$62/30</f>
        <v>145417.95234</v>
      </c>
      <c r="V177" s="67" t="n">
        <f aca="false">-V140*Inputs!$C$62/30</f>
        <v>145417.95234</v>
      </c>
      <c r="W177" s="67" t="n">
        <f aca="false">-W140*Inputs!$C$62/30</f>
        <v>145417.95234</v>
      </c>
      <c r="X177" s="67" t="n">
        <f aca="false">-X140*Inputs!$C$62/30</f>
        <v>145417.95234</v>
      </c>
      <c r="Y177" s="67" t="n">
        <f aca="false">-Y140*Inputs!$C$62/30</f>
        <v>145417.95234</v>
      </c>
      <c r="Z177" s="67" t="n">
        <f aca="false">-Z140*Inputs!$C$62/30</f>
        <v>145417.95234</v>
      </c>
      <c r="AA177" s="67" t="n">
        <f aca="false">-AA140*Inputs!$C$62/30</f>
        <v>188043.59204454</v>
      </c>
      <c r="AB177" s="67" t="n">
        <f aca="false">-AB140*Inputs!$C$62/30</f>
        <v>188043.59204454</v>
      </c>
      <c r="AC177" s="67" t="n">
        <f aca="false">-AC140*Inputs!$C$62/30</f>
        <v>188043.59204454</v>
      </c>
      <c r="AD177" s="67" t="n">
        <f aca="false">-AD140*Inputs!$C$62/30</f>
        <v>188043.59204454</v>
      </c>
      <c r="AE177" s="67" t="n">
        <f aca="false">-AE140*Inputs!$C$62/30</f>
        <v>188043.59204454</v>
      </c>
      <c r="AF177" s="67" t="n">
        <f aca="false">-AF140*Inputs!$C$62/30</f>
        <v>188043.59204454</v>
      </c>
      <c r="AG177" s="67" t="n">
        <f aca="false">-AG140*Inputs!$C$62/30</f>
        <v>188043.59204454</v>
      </c>
      <c r="AH177" s="67" t="n">
        <f aca="false">-AH140*Inputs!$C$62/30</f>
        <v>188043.59204454</v>
      </c>
      <c r="AI177" s="67" t="n">
        <f aca="false">-AI140*Inputs!$C$62/30</f>
        <v>188043.59204454</v>
      </c>
      <c r="AJ177" s="67" t="n">
        <f aca="false">-AJ140*Inputs!$C$62/30</f>
        <v>188043.59204454</v>
      </c>
      <c r="AK177" s="67" t="n">
        <f aca="false">-AK140*Inputs!$C$62/30</f>
        <v>188043.59204454</v>
      </c>
      <c r="AL177" s="67" t="n">
        <f aca="false">-AL140*Inputs!$C$62/30</f>
        <v>188043.59204454</v>
      </c>
      <c r="AM177" s="67" t="n">
        <f aca="false">-AM140*Inputs!$C$62/30</f>
        <v>243544.956720181</v>
      </c>
      <c r="AN177" s="67" t="n">
        <f aca="false">-AN140*Inputs!$C$62/30</f>
        <v>243544.956720181</v>
      </c>
      <c r="AO177" s="67" t="n">
        <f aca="false">-AO140*Inputs!$C$62/30</f>
        <v>243544.956720181</v>
      </c>
      <c r="AP177" s="67" t="n">
        <f aca="false">-AP140*Inputs!$C$62/30</f>
        <v>243544.956720181</v>
      </c>
      <c r="AQ177" s="67" t="n">
        <f aca="false">-AQ140*Inputs!$C$62/30</f>
        <v>243544.956720181</v>
      </c>
      <c r="AR177" s="67" t="n">
        <f aca="false">-AR140*Inputs!$C$62/30</f>
        <v>243544.956720181</v>
      </c>
      <c r="AS177" s="67" t="n">
        <f aca="false">-AS140*Inputs!$C$62/30</f>
        <v>243544.956720181</v>
      </c>
      <c r="AT177" s="67" t="n">
        <f aca="false">-AT140*Inputs!$C$62/30</f>
        <v>243544.956720181</v>
      </c>
      <c r="AU177" s="67" t="n">
        <f aca="false">-AU140*Inputs!$C$62/30</f>
        <v>243544.956720181</v>
      </c>
      <c r="AV177" s="67" t="n">
        <f aca="false">-AV140*Inputs!$C$62/30</f>
        <v>243544.956720181</v>
      </c>
      <c r="AW177" s="67" t="n">
        <f aca="false">-AW140*Inputs!$C$62/30</f>
        <v>243544.956720181</v>
      </c>
      <c r="AX177" s="67" t="n">
        <f aca="false">-AX140*Inputs!$C$62/30</f>
        <v>243544.956720181</v>
      </c>
      <c r="AY177" s="67" t="n">
        <f aca="false">-AY140*Inputs!$C$62/30</f>
        <v>315915.366546385</v>
      </c>
      <c r="AZ177" s="67" t="n">
        <f aca="false">-AZ140*Inputs!$C$62/30</f>
        <v>315915.366546385</v>
      </c>
      <c r="BA177" s="67" t="n">
        <f aca="false">-BA140*Inputs!$C$62/30</f>
        <v>315915.366546385</v>
      </c>
      <c r="BB177" s="67" t="n">
        <f aca="false">-BB140*Inputs!$C$62/30</f>
        <v>315915.366546385</v>
      </c>
      <c r="BC177" s="67" t="n">
        <f aca="false">-BC140*Inputs!$C$62/30</f>
        <v>315915.366546385</v>
      </c>
      <c r="BD177" s="67" t="n">
        <f aca="false">-BD140*Inputs!$C$62/30</f>
        <v>315915.366546385</v>
      </c>
      <c r="BE177" s="67" t="n">
        <f aca="false">-BE140*Inputs!$C$62/30</f>
        <v>315915.366546385</v>
      </c>
      <c r="BF177" s="67" t="n">
        <f aca="false">-BF140*Inputs!$C$62/30</f>
        <v>315915.366546385</v>
      </c>
      <c r="BG177" s="67" t="n">
        <f aca="false">-BG140*Inputs!$C$62/30</f>
        <v>315915.366546385</v>
      </c>
      <c r="BH177" s="67" t="n">
        <f aca="false">-BH140*Inputs!$C$62/30</f>
        <v>315915.366546385</v>
      </c>
      <c r="BI177" s="67" t="n">
        <f aca="false">-BI140*Inputs!$C$62/30</f>
        <v>315915.366546385</v>
      </c>
      <c r="BJ177" s="67" t="n">
        <f aca="false">-BJ140*Inputs!$C$62/30</f>
        <v>315915.366546385</v>
      </c>
    </row>
    <row r="178" customFormat="false" ht="15" hidden="false" customHeight="false" outlineLevel="0" collapsed="false">
      <c r="A178" s="6" t="s">
        <v>333</v>
      </c>
      <c r="C178" s="67" t="n">
        <f aca="false">-C175</f>
        <v>-563274</v>
      </c>
      <c r="D178" s="67" t="n">
        <f aca="false">C175-D175</f>
        <v>0</v>
      </c>
      <c r="E178" s="67" t="n">
        <f aca="false">D175-E175</f>
        <v>0</v>
      </c>
      <c r="F178" s="67" t="n">
        <f aca="false">E175-F175</f>
        <v>0</v>
      </c>
      <c r="G178" s="67" t="n">
        <f aca="false">F175-G175</f>
        <v>0</v>
      </c>
      <c r="H178" s="67" t="n">
        <f aca="false">G175-H175</f>
        <v>0</v>
      </c>
      <c r="I178" s="67" t="n">
        <f aca="false">H175-I175</f>
        <v>0</v>
      </c>
      <c r="J178" s="67" t="n">
        <f aca="false">I175-J175</f>
        <v>0</v>
      </c>
      <c r="K178" s="67" t="n">
        <f aca="false">J175-K175</f>
        <v>0</v>
      </c>
      <c r="L178" s="67" t="n">
        <f aca="false">K175-L175</f>
        <v>0</v>
      </c>
      <c r="M178" s="67" t="n">
        <f aca="false">L175-M175</f>
        <v>0</v>
      </c>
      <c r="N178" s="67" t="n">
        <f aca="false">M175-N175</f>
        <v>0</v>
      </c>
      <c r="O178" s="67" t="n">
        <f aca="false">N175-O175</f>
        <v>-166221.234</v>
      </c>
      <c r="P178" s="67" t="n">
        <f aca="false">O175-P175</f>
        <v>0</v>
      </c>
      <c r="Q178" s="67" t="n">
        <f aca="false">P175-Q175</f>
        <v>0</v>
      </c>
      <c r="R178" s="67" t="n">
        <f aca="false">Q175-R175</f>
        <v>0</v>
      </c>
      <c r="S178" s="67" t="n">
        <f aca="false">R175-S175</f>
        <v>0</v>
      </c>
      <c r="T178" s="67" t="n">
        <f aca="false">S175-T175</f>
        <v>0</v>
      </c>
      <c r="U178" s="67" t="n">
        <f aca="false">T175-U175</f>
        <v>0</v>
      </c>
      <c r="V178" s="67" t="n">
        <f aca="false">U175-V175</f>
        <v>0</v>
      </c>
      <c r="W178" s="67" t="n">
        <f aca="false">V175-W175</f>
        <v>0</v>
      </c>
      <c r="X178" s="67" t="n">
        <f aca="false">W175-X175</f>
        <v>0</v>
      </c>
      <c r="Y178" s="67" t="n">
        <f aca="false">X175-Y175</f>
        <v>0</v>
      </c>
      <c r="Z178" s="67" t="n">
        <f aca="false">Y175-Z175</f>
        <v>0</v>
      </c>
      <c r="AA178" s="67" t="n">
        <f aca="false">Z175-AA175</f>
        <v>-216734.270454</v>
      </c>
      <c r="AB178" s="67" t="n">
        <f aca="false">AA175-AB175</f>
        <v>0</v>
      </c>
      <c r="AC178" s="67" t="n">
        <f aca="false">AB175-AC175</f>
        <v>0</v>
      </c>
      <c r="AD178" s="67" t="n">
        <f aca="false">AC175-AD175</f>
        <v>0</v>
      </c>
      <c r="AE178" s="67" t="n">
        <f aca="false">AD175-AE175</f>
        <v>0</v>
      </c>
      <c r="AF178" s="67" t="n">
        <f aca="false">AE175-AF175</f>
        <v>0</v>
      </c>
      <c r="AG178" s="67" t="n">
        <f aca="false">AF175-AG175</f>
        <v>0</v>
      </c>
      <c r="AH178" s="67" t="n">
        <f aca="false">AG175-AH175</f>
        <v>0</v>
      </c>
      <c r="AI178" s="67" t="n">
        <f aca="false">AH175-AI175</f>
        <v>0</v>
      </c>
      <c r="AJ178" s="67" t="n">
        <f aca="false">AI175-AJ175</f>
        <v>0</v>
      </c>
      <c r="AK178" s="67" t="n">
        <f aca="false">AJ175-AK175</f>
        <v>0</v>
      </c>
      <c r="AL178" s="67" t="n">
        <f aca="false">AK175-AL175</f>
        <v>0</v>
      </c>
      <c r="AM178" s="67" t="n">
        <f aca="false">AL175-AM175</f>
        <v>-282993.939264114</v>
      </c>
      <c r="AN178" s="67" t="n">
        <f aca="false">AM175-AN175</f>
        <v>0</v>
      </c>
      <c r="AO178" s="67" t="n">
        <f aca="false">AN175-AO175</f>
        <v>0</v>
      </c>
      <c r="AP178" s="67" t="n">
        <f aca="false">AO175-AP175</f>
        <v>0</v>
      </c>
      <c r="AQ178" s="67" t="n">
        <f aca="false">AP175-AQ175</f>
        <v>0</v>
      </c>
      <c r="AR178" s="67" t="n">
        <f aca="false">AQ175-AR175</f>
        <v>0</v>
      </c>
      <c r="AS178" s="67" t="n">
        <f aca="false">AR175-AS175</f>
        <v>0</v>
      </c>
      <c r="AT178" s="67" t="n">
        <f aca="false">AS175-AT175</f>
        <v>0</v>
      </c>
      <c r="AU178" s="67" t="n">
        <f aca="false">AT175-AU175</f>
        <v>0</v>
      </c>
      <c r="AV178" s="67" t="n">
        <f aca="false">AU175-AV175</f>
        <v>0</v>
      </c>
      <c r="AW178" s="67" t="n">
        <f aca="false">AV175-AW175</f>
        <v>0</v>
      </c>
      <c r="AX178" s="67" t="n">
        <f aca="false">AW175-AX175</f>
        <v>0</v>
      </c>
      <c r="AY178" s="67" t="n">
        <f aca="false">AX175-AY175</f>
        <v>-370013.309066642</v>
      </c>
      <c r="AZ178" s="67" t="n">
        <f aca="false">AY175-AZ175</f>
        <v>0</v>
      </c>
      <c r="BA178" s="67" t="n">
        <f aca="false">AZ175-BA175</f>
        <v>0</v>
      </c>
      <c r="BB178" s="67" t="n">
        <f aca="false">BA175-BB175</f>
        <v>0</v>
      </c>
      <c r="BC178" s="67" t="n">
        <f aca="false">BB175-BC175</f>
        <v>0</v>
      </c>
      <c r="BD178" s="67" t="n">
        <f aca="false">BC175-BD175</f>
        <v>0</v>
      </c>
      <c r="BE178" s="67" t="n">
        <f aca="false">BD175-BE175</f>
        <v>0</v>
      </c>
      <c r="BF178" s="67" t="n">
        <f aca="false">BE175-BF175</f>
        <v>0</v>
      </c>
      <c r="BG178" s="67" t="n">
        <f aca="false">BF175-BG175</f>
        <v>0</v>
      </c>
      <c r="BH178" s="67" t="n">
        <f aca="false">BG175-BH175</f>
        <v>0</v>
      </c>
      <c r="BI178" s="67" t="n">
        <f aca="false">BH175-BI175</f>
        <v>0</v>
      </c>
      <c r="BJ178" s="67" t="n">
        <f aca="false">BI175-BJ175</f>
        <v>0</v>
      </c>
    </row>
    <row r="179" customFormat="false" ht="15" hidden="false" customHeight="false" outlineLevel="0" collapsed="false">
      <c r="A179" s="6" t="s">
        <v>334</v>
      </c>
      <c r="C179" s="67" t="n">
        <f aca="false">-C176</f>
        <v>-0</v>
      </c>
      <c r="D179" s="67" t="n">
        <f aca="false">C176-D176</f>
        <v>0</v>
      </c>
      <c r="E179" s="67" t="n">
        <f aca="false">D176-E176</f>
        <v>0</v>
      </c>
      <c r="F179" s="67" t="n">
        <f aca="false">E176-F176</f>
        <v>0</v>
      </c>
      <c r="G179" s="67" t="n">
        <f aca="false">F176-G176</f>
        <v>0</v>
      </c>
      <c r="H179" s="67" t="n">
        <f aca="false">G176-H176</f>
        <v>0</v>
      </c>
      <c r="I179" s="67" t="n">
        <f aca="false">H176-I176</f>
        <v>0</v>
      </c>
      <c r="J179" s="67" t="n">
        <f aca="false">I176-J176</f>
        <v>0</v>
      </c>
      <c r="K179" s="67" t="n">
        <f aca="false">J176-K176</f>
        <v>0</v>
      </c>
      <c r="L179" s="67" t="n">
        <f aca="false">K176-L176</f>
        <v>0</v>
      </c>
      <c r="M179" s="67" t="n">
        <f aca="false">L176-M176</f>
        <v>0</v>
      </c>
      <c r="N179" s="67" t="n">
        <f aca="false">M176-N176</f>
        <v>0</v>
      </c>
      <c r="O179" s="67" t="n">
        <f aca="false">N176-O176</f>
        <v>0</v>
      </c>
      <c r="P179" s="67" t="n">
        <f aca="false">O176-P176</f>
        <v>0</v>
      </c>
      <c r="Q179" s="67" t="n">
        <f aca="false">P176-Q176</f>
        <v>0</v>
      </c>
      <c r="R179" s="67" t="n">
        <f aca="false">Q176-R176</f>
        <v>0</v>
      </c>
      <c r="S179" s="67" t="n">
        <f aca="false">R176-S176</f>
        <v>0</v>
      </c>
      <c r="T179" s="67" t="n">
        <f aca="false">S176-T176</f>
        <v>0</v>
      </c>
      <c r="U179" s="67" t="n">
        <f aca="false">T176-U176</f>
        <v>0</v>
      </c>
      <c r="V179" s="67" t="n">
        <f aca="false">U176-V176</f>
        <v>0</v>
      </c>
      <c r="W179" s="67" t="n">
        <f aca="false">V176-W176</f>
        <v>0</v>
      </c>
      <c r="X179" s="67" t="n">
        <f aca="false">W176-X176</f>
        <v>0</v>
      </c>
      <c r="Y179" s="67" t="n">
        <f aca="false">X176-Y176</f>
        <v>0</v>
      </c>
      <c r="Z179" s="67" t="n">
        <f aca="false">Y176-Z176</f>
        <v>0</v>
      </c>
      <c r="AA179" s="67" t="n">
        <f aca="false">Z176-AA176</f>
        <v>0</v>
      </c>
      <c r="AB179" s="67" t="n">
        <f aca="false">AA176-AB176</f>
        <v>0</v>
      </c>
      <c r="AC179" s="67" t="n">
        <f aca="false">AB176-AC176</f>
        <v>0</v>
      </c>
      <c r="AD179" s="67" t="n">
        <f aca="false">AC176-AD176</f>
        <v>0</v>
      </c>
      <c r="AE179" s="67" t="n">
        <f aca="false">AD176-AE176</f>
        <v>0</v>
      </c>
      <c r="AF179" s="67" t="n">
        <f aca="false">AE176-AF176</f>
        <v>0</v>
      </c>
      <c r="AG179" s="67" t="n">
        <f aca="false">AF176-AG176</f>
        <v>0</v>
      </c>
      <c r="AH179" s="67" t="n">
        <f aca="false">AG176-AH176</f>
        <v>0</v>
      </c>
      <c r="AI179" s="67" t="n">
        <f aca="false">AH176-AI176</f>
        <v>0</v>
      </c>
      <c r="AJ179" s="67" t="n">
        <f aca="false">AI176-AJ176</f>
        <v>0</v>
      </c>
      <c r="AK179" s="67" t="n">
        <f aca="false">AJ176-AK176</f>
        <v>0</v>
      </c>
      <c r="AL179" s="67" t="n">
        <f aca="false">AK176-AL176</f>
        <v>0</v>
      </c>
      <c r="AM179" s="67" t="n">
        <f aca="false">AL176-AM176</f>
        <v>0</v>
      </c>
      <c r="AN179" s="67" t="n">
        <f aca="false">AM176-AN176</f>
        <v>0</v>
      </c>
      <c r="AO179" s="67" t="n">
        <f aca="false">AN176-AO176</f>
        <v>0</v>
      </c>
      <c r="AP179" s="67" t="n">
        <f aca="false">AO176-AP176</f>
        <v>0</v>
      </c>
      <c r="AQ179" s="67" t="n">
        <f aca="false">AP176-AQ176</f>
        <v>0</v>
      </c>
      <c r="AR179" s="67" t="n">
        <f aca="false">AQ176-AR176</f>
        <v>0</v>
      </c>
      <c r="AS179" s="67" t="n">
        <f aca="false">AR176-AS176</f>
        <v>0</v>
      </c>
      <c r="AT179" s="67" t="n">
        <f aca="false">AS176-AT176</f>
        <v>0</v>
      </c>
      <c r="AU179" s="67" t="n">
        <f aca="false">AT176-AU176</f>
        <v>0</v>
      </c>
      <c r="AV179" s="67" t="n">
        <f aca="false">AU176-AV176</f>
        <v>0</v>
      </c>
      <c r="AW179" s="67" t="n">
        <f aca="false">AV176-AW176</f>
        <v>0</v>
      </c>
      <c r="AX179" s="67" t="n">
        <f aca="false">AW176-AX176</f>
        <v>0</v>
      </c>
      <c r="AY179" s="67" t="n">
        <f aca="false">AX176-AY176</f>
        <v>0</v>
      </c>
      <c r="AZ179" s="67" t="n">
        <f aca="false">AY176-AZ176</f>
        <v>0</v>
      </c>
      <c r="BA179" s="67" t="n">
        <f aca="false">AZ176-BA176</f>
        <v>0</v>
      </c>
      <c r="BB179" s="67" t="n">
        <f aca="false">BA176-BB176</f>
        <v>0</v>
      </c>
      <c r="BC179" s="67" t="n">
        <f aca="false">BB176-BC176</f>
        <v>0</v>
      </c>
      <c r="BD179" s="67" t="n">
        <f aca="false">BC176-BD176</f>
        <v>0</v>
      </c>
      <c r="BE179" s="67" t="n">
        <f aca="false">BD176-BE176</f>
        <v>0</v>
      </c>
      <c r="BF179" s="67" t="n">
        <f aca="false">BE176-BF176</f>
        <v>0</v>
      </c>
      <c r="BG179" s="67" t="n">
        <f aca="false">BF176-BG176</f>
        <v>0</v>
      </c>
      <c r="BH179" s="67" t="n">
        <f aca="false">BG176-BH176</f>
        <v>0</v>
      </c>
      <c r="BI179" s="67" t="n">
        <f aca="false">BH176-BI176</f>
        <v>0</v>
      </c>
      <c r="BJ179" s="67" t="n">
        <f aca="false">BI176-BJ176</f>
        <v>0</v>
      </c>
    </row>
    <row r="180" customFormat="false" ht="15" hidden="false" customHeight="false" outlineLevel="0" collapsed="false">
      <c r="A180" s="6" t="s">
        <v>335</v>
      </c>
      <c r="C180" s="67" t="n">
        <f aca="false">C177</f>
        <v>112632.74</v>
      </c>
      <c r="D180" s="67" t="n">
        <f aca="false">D177-C177</f>
        <v>0</v>
      </c>
      <c r="E180" s="67" t="n">
        <f aca="false">E177-D177</f>
        <v>0</v>
      </c>
      <c r="F180" s="67" t="n">
        <f aca="false">F177-E177</f>
        <v>0</v>
      </c>
      <c r="G180" s="67" t="n">
        <f aca="false">G177-F177</f>
        <v>0</v>
      </c>
      <c r="H180" s="67" t="n">
        <f aca="false">H177-G177</f>
        <v>0</v>
      </c>
      <c r="I180" s="67" t="n">
        <f aca="false">I177-H177</f>
        <v>0</v>
      </c>
      <c r="J180" s="67" t="n">
        <f aca="false">J177-I177</f>
        <v>0</v>
      </c>
      <c r="K180" s="67" t="n">
        <f aca="false">K177-J177</f>
        <v>0</v>
      </c>
      <c r="L180" s="67" t="n">
        <f aca="false">L177-K177</f>
        <v>0</v>
      </c>
      <c r="M180" s="67" t="n">
        <f aca="false">M177-L177</f>
        <v>0</v>
      </c>
      <c r="N180" s="67" t="n">
        <f aca="false">N177-M177</f>
        <v>0</v>
      </c>
      <c r="O180" s="67" t="n">
        <f aca="false">O177-N177</f>
        <v>32785.21234</v>
      </c>
      <c r="P180" s="67" t="n">
        <f aca="false">P177-O177</f>
        <v>0</v>
      </c>
      <c r="Q180" s="67" t="n">
        <f aca="false">Q177-P177</f>
        <v>0</v>
      </c>
      <c r="R180" s="67" t="n">
        <f aca="false">R177-Q177</f>
        <v>0</v>
      </c>
      <c r="S180" s="67" t="n">
        <f aca="false">S177-R177</f>
        <v>0</v>
      </c>
      <c r="T180" s="67" t="n">
        <f aca="false">T177-S177</f>
        <v>0</v>
      </c>
      <c r="U180" s="67" t="n">
        <f aca="false">U177-T177</f>
        <v>0</v>
      </c>
      <c r="V180" s="67" t="n">
        <f aca="false">V177-U177</f>
        <v>0</v>
      </c>
      <c r="W180" s="67" t="n">
        <f aca="false">W177-V177</f>
        <v>0</v>
      </c>
      <c r="X180" s="67" t="n">
        <f aca="false">X177-W177</f>
        <v>0</v>
      </c>
      <c r="Y180" s="67" t="n">
        <f aca="false">Y177-X177</f>
        <v>0</v>
      </c>
      <c r="Z180" s="67" t="n">
        <f aca="false">Z177-Y177</f>
        <v>0</v>
      </c>
      <c r="AA180" s="67" t="n">
        <f aca="false">AA177-Z177</f>
        <v>42625.63970454</v>
      </c>
      <c r="AB180" s="67" t="n">
        <f aca="false">AB177-AA177</f>
        <v>0</v>
      </c>
      <c r="AC180" s="67" t="n">
        <f aca="false">AC177-AB177</f>
        <v>0</v>
      </c>
      <c r="AD180" s="67" t="n">
        <f aca="false">AD177-AC177</f>
        <v>0</v>
      </c>
      <c r="AE180" s="67" t="n">
        <f aca="false">AE177-AD177</f>
        <v>0</v>
      </c>
      <c r="AF180" s="67" t="n">
        <f aca="false">AF177-AE177</f>
        <v>0</v>
      </c>
      <c r="AG180" s="67" t="n">
        <f aca="false">AG177-AF177</f>
        <v>0</v>
      </c>
      <c r="AH180" s="67" t="n">
        <f aca="false">AH177-AG177</f>
        <v>0</v>
      </c>
      <c r="AI180" s="67" t="n">
        <f aca="false">AI177-AH177</f>
        <v>0</v>
      </c>
      <c r="AJ180" s="67" t="n">
        <f aca="false">AJ177-AI177</f>
        <v>0</v>
      </c>
      <c r="AK180" s="67" t="n">
        <f aca="false">AK177-AJ177</f>
        <v>0</v>
      </c>
      <c r="AL180" s="67" t="n">
        <f aca="false">AL177-AK177</f>
        <v>0</v>
      </c>
      <c r="AM180" s="67" t="n">
        <f aca="false">AM177-AL177</f>
        <v>55501.3646756412</v>
      </c>
      <c r="AN180" s="67" t="n">
        <f aca="false">AN177-AM177</f>
        <v>0</v>
      </c>
      <c r="AO180" s="67" t="n">
        <f aca="false">AO177-AN177</f>
        <v>0</v>
      </c>
      <c r="AP180" s="67" t="n">
        <f aca="false">AP177-AO177</f>
        <v>0</v>
      </c>
      <c r="AQ180" s="67" t="n">
        <f aca="false">AQ177-AP177</f>
        <v>0</v>
      </c>
      <c r="AR180" s="67" t="n">
        <f aca="false">AR177-AQ177</f>
        <v>0</v>
      </c>
      <c r="AS180" s="67" t="n">
        <f aca="false">AS177-AR177</f>
        <v>0</v>
      </c>
      <c r="AT180" s="67" t="n">
        <f aca="false">AT177-AS177</f>
        <v>0</v>
      </c>
      <c r="AU180" s="67" t="n">
        <f aca="false">AU177-AT177</f>
        <v>0</v>
      </c>
      <c r="AV180" s="67" t="n">
        <f aca="false">AV177-AU177</f>
        <v>0</v>
      </c>
      <c r="AW180" s="67" t="n">
        <f aca="false">AW177-AV177</f>
        <v>0</v>
      </c>
      <c r="AX180" s="67" t="n">
        <f aca="false">AX177-AW177</f>
        <v>0</v>
      </c>
      <c r="AY180" s="67" t="n">
        <f aca="false">AY177-AX177</f>
        <v>72370.4098262035</v>
      </c>
      <c r="AZ180" s="67" t="n">
        <f aca="false">AZ177-AY177</f>
        <v>0</v>
      </c>
      <c r="BA180" s="67" t="n">
        <f aca="false">BA177-AZ177</f>
        <v>0</v>
      </c>
      <c r="BB180" s="67" t="n">
        <f aca="false">BB177-BA177</f>
        <v>0</v>
      </c>
      <c r="BC180" s="67" t="n">
        <f aca="false">BC177-BB177</f>
        <v>0</v>
      </c>
      <c r="BD180" s="67" t="n">
        <f aca="false">BD177-BC177</f>
        <v>0</v>
      </c>
      <c r="BE180" s="67" t="n">
        <f aca="false">BE177-BD177</f>
        <v>0</v>
      </c>
      <c r="BF180" s="67" t="n">
        <f aca="false">BF177-BE177</f>
        <v>0</v>
      </c>
      <c r="BG180" s="67" t="n">
        <f aca="false">BG177-BF177</f>
        <v>0</v>
      </c>
      <c r="BH180" s="67" t="n">
        <f aca="false">BH177-BG177</f>
        <v>0</v>
      </c>
      <c r="BI180" s="67" t="n">
        <f aca="false">BI177-BH177</f>
        <v>0</v>
      </c>
      <c r="BJ180" s="67" t="n">
        <f aca="false">BJ177-BI177</f>
        <v>0</v>
      </c>
    </row>
    <row r="182" customFormat="false" ht="15.75" hidden="false" customHeight="true" outlineLevel="0" collapsed="false">
      <c r="A182" s="7" t="s">
        <v>422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customFormat="false" ht="15" hidden="false" customHeight="false" outlineLevel="0" collapsed="false">
      <c r="A183" s="4" t="s">
        <v>52</v>
      </c>
      <c r="C183" s="73" t="n">
        <f aca="false">C159-C164+C178+C179+C180</f>
        <v>-382319.682533333</v>
      </c>
      <c r="D183" s="73" t="n">
        <f aca="false">D159-D164+D178+D179+D180</f>
        <v>68330.3552444445</v>
      </c>
      <c r="E183" s="73" t="n">
        <f aca="false">E159-E164+E178+E179+E180</f>
        <v>68347.9108</v>
      </c>
      <c r="F183" s="73" t="n">
        <f aca="false">F159-F164+F178+F179+F180</f>
        <v>68365.4663555556</v>
      </c>
      <c r="G183" s="73" t="n">
        <f aca="false">G159-G164+G178+G179+G180</f>
        <v>68383.0219111111</v>
      </c>
      <c r="H183" s="73" t="n">
        <f aca="false">H159-H164+H178+H179+H180</f>
        <v>68400.5774666667</v>
      </c>
      <c r="I183" s="73" t="n">
        <f aca="false">I159-I164+I178+I179+I180</f>
        <v>68418.1330222222</v>
      </c>
      <c r="J183" s="73" t="n">
        <f aca="false">J159-J164+J178+J179+J180</f>
        <v>68435.6885777778</v>
      </c>
      <c r="K183" s="73" t="n">
        <f aca="false">K159-K164+K178+K179+K180</f>
        <v>68453.2441333333</v>
      </c>
      <c r="L183" s="73" t="n">
        <f aca="false">L159-L164+L178+L179+L180</f>
        <v>68470.7996888889</v>
      </c>
      <c r="M183" s="73" t="n">
        <f aca="false">M159-M164+M178+M179+M180</f>
        <v>68488.3552444444</v>
      </c>
      <c r="N183" s="73" t="n">
        <f aca="false">N159-N164+N178+N179+N180</f>
        <v>68505.9108</v>
      </c>
      <c r="O183" s="73" t="n">
        <f aca="false">O159-O164+O178+O179+O180</f>
        <v>-36011.2100616446</v>
      </c>
      <c r="P183" s="73" t="n">
        <f aca="false">P159-P164+P178+P179+P180</f>
        <v>97442.3671539113</v>
      </c>
      <c r="Q183" s="73" t="n">
        <f aca="false">Q159-Q164+Q178+Q179+Q180</f>
        <v>97459.9227094669</v>
      </c>
      <c r="R183" s="73" t="n">
        <f aca="false">R159-R164+R178+R179+R180</f>
        <v>97477.4782650224</v>
      </c>
      <c r="S183" s="73" t="n">
        <f aca="false">S159-S164+S178+S179+S180</f>
        <v>97495.033820578</v>
      </c>
      <c r="T183" s="73" t="n">
        <f aca="false">T159-T164+T178+T179+T180</f>
        <v>97512.5893761335</v>
      </c>
      <c r="U183" s="73" t="n">
        <f aca="false">U159-U164+U178+U179+U180</f>
        <v>97530.1449316891</v>
      </c>
      <c r="V183" s="73" t="n">
        <f aca="false">V159-V164+V178+V179+V180</f>
        <v>97547.7004872446</v>
      </c>
      <c r="W183" s="73" t="n">
        <f aca="false">W159-W164+W178+W179+W180</f>
        <v>97565.2560428002</v>
      </c>
      <c r="X183" s="73" t="n">
        <f aca="false">X159-X164+X178+X179+X180</f>
        <v>97582.8115983558</v>
      </c>
      <c r="Y183" s="73" t="n">
        <f aca="false">Y159-Y164+Y178+Y179+Y180</f>
        <v>97600.3671539113</v>
      </c>
      <c r="Z183" s="73" t="n">
        <f aca="false">Z159-Z164+Z178+Z179+Z180</f>
        <v>97617.9227094669</v>
      </c>
      <c r="AA183" s="73" t="n">
        <f aca="false">AA159-AA164+AA178+AA179+AA180</f>
        <v>-38007.7622764207</v>
      </c>
      <c r="AB183" s="73" t="n">
        <f aca="false">AB159-AB164+AB178+AB179+AB180</f>
        <v>136118.424028595</v>
      </c>
      <c r="AC183" s="73" t="n">
        <f aca="false">AC159-AC164+AC178+AC179+AC180</f>
        <v>136135.97958415</v>
      </c>
      <c r="AD183" s="73" t="n">
        <f aca="false">AD159-AD164+AD178+AD179+AD180</f>
        <v>136153.535139706</v>
      </c>
      <c r="AE183" s="73" t="n">
        <f aca="false">AE159-AE164+AE178+AE179+AE180</f>
        <v>136171.090695261</v>
      </c>
      <c r="AF183" s="73" t="n">
        <f aca="false">AF159-AF164+AF178+AF179+AF180</f>
        <v>136188.646250817</v>
      </c>
      <c r="AG183" s="73" t="n">
        <f aca="false">AG159-AG164+AG178+AG179+AG180</f>
        <v>136206.201806372</v>
      </c>
      <c r="AH183" s="73" t="n">
        <f aca="false">AH159-AH164+AH178+AH179+AH180</f>
        <v>136223.757361928</v>
      </c>
      <c r="AI183" s="73" t="n">
        <f aca="false">AI159-AI164+AI178+AI179+AI180</f>
        <v>136241.312917484</v>
      </c>
      <c r="AJ183" s="73" t="n">
        <f aca="false">AJ159-AJ164+AJ178+AJ179+AJ180</f>
        <v>136258.868473039</v>
      </c>
      <c r="AK183" s="73" t="n">
        <f aca="false">AK159-AK164+AK178+AK179+AK180</f>
        <v>136276.424028595</v>
      </c>
      <c r="AL183" s="73" t="n">
        <f aca="false">AL159-AL164+AL178+AL179+AL180</f>
        <v>136293.97958415</v>
      </c>
      <c r="AM183" s="73" t="n">
        <f aca="false">AM159-AM164+AM178+AM179+AM180</f>
        <v>-39987.8011922158</v>
      </c>
      <c r="AN183" s="73" t="n">
        <f aca="false">AN159-AN164+AN178+AN179+AN180</f>
        <v>187522.328951813</v>
      </c>
      <c r="AO183" s="73" t="n">
        <f aca="false">AO159-AO164+AO178+AO179+AO180</f>
        <v>187539.884507368</v>
      </c>
      <c r="AP183" s="73" t="n">
        <f aca="false">AP159-AP164+AP178+AP179+AP180</f>
        <v>187557.440062924</v>
      </c>
      <c r="AQ183" s="73" t="n">
        <f aca="false">AQ159-AQ164+AQ178+AQ179+AQ180</f>
        <v>187574.995618479</v>
      </c>
      <c r="AR183" s="73" t="n">
        <f aca="false">AR159-AR164+AR178+AR179+AR180</f>
        <v>187592.551174035</v>
      </c>
      <c r="AS183" s="73" t="n">
        <f aca="false">AS159-AS164+AS178+AS179+AS180</f>
        <v>187610.10672959</v>
      </c>
      <c r="AT183" s="73" t="n">
        <f aca="false">AT159-AT164+AT178+AT179+AT180</f>
        <v>187627.662285146</v>
      </c>
      <c r="AU183" s="73" t="n">
        <f aca="false">AU159-AU164+AU178+AU179+AU180</f>
        <v>187645.217840702</v>
      </c>
      <c r="AV183" s="73" t="n">
        <f aca="false">AV159-AV164+AV178+AV179+AV180</f>
        <v>187662.773396257</v>
      </c>
      <c r="AW183" s="73" t="n">
        <f aca="false">AW159-AW164+AW178+AW179+AW180</f>
        <v>187680.328951813</v>
      </c>
      <c r="AX183" s="73" t="n">
        <f aca="false">AX159-AX164+AX178+AX179+AX180</f>
        <v>187697.884507368</v>
      </c>
      <c r="AY183" s="73" t="n">
        <f aca="false">AY159-AY164+AY178+AY179+AY180</f>
        <v>-41792.6544932909</v>
      </c>
      <c r="AZ183" s="73" t="n">
        <f aca="false">AZ159-AZ164+AZ178+AZ179+AZ180</f>
        <v>255867.800302703</v>
      </c>
      <c r="BA183" s="73" t="n">
        <f aca="false">BA159-BA164+BA178+BA179+BA180</f>
        <v>255885.355858259</v>
      </c>
      <c r="BB183" s="73" t="n">
        <f aca="false">BB159-BB164+BB178+BB179+BB180</f>
        <v>255902.911413815</v>
      </c>
      <c r="BC183" s="73" t="n">
        <f aca="false">BC159-BC164+BC178+BC179+BC180</f>
        <v>255920.46696937</v>
      </c>
      <c r="BD183" s="73" t="n">
        <f aca="false">BD159-BD164+BD178+BD179+BD180</f>
        <v>255938.022524926</v>
      </c>
      <c r="BE183" s="73" t="n">
        <f aca="false">BE159-BE164+BE178+BE179+BE180</f>
        <v>255955.578080481</v>
      </c>
      <c r="BF183" s="73" t="n">
        <f aca="false">BF159-BF164+BF178+BF179+BF180</f>
        <v>255973.133636037</v>
      </c>
      <c r="BG183" s="73" t="n">
        <f aca="false">BG159-BG164+BG178+BG179+BG180</f>
        <v>255990.689191592</v>
      </c>
      <c r="BH183" s="73" t="n">
        <f aca="false">BH159-BH164+BH178+BH179+BH180</f>
        <v>256008.244747148</v>
      </c>
      <c r="BI183" s="73" t="n">
        <f aca="false">BI159-BI164+BI178+BI179+BI180</f>
        <v>256025.800302704</v>
      </c>
      <c r="BJ183" s="73" t="n">
        <f aca="false">BJ159-BJ164+BJ178+BJ179+BJ180</f>
        <v>256043.355858259</v>
      </c>
    </row>
    <row r="184" customFormat="false" ht="15" hidden="false" customHeight="false" outlineLevel="0" collapsed="false">
      <c r="A184" s="6" t="s">
        <v>423</v>
      </c>
      <c r="C184" s="67" t="n">
        <f aca="false">-C162</f>
        <v>-60000</v>
      </c>
      <c r="D184" s="67" t="n">
        <f aca="false">-D162</f>
        <v>-0</v>
      </c>
      <c r="E184" s="67" t="n">
        <f aca="false">-E162</f>
        <v>-0</v>
      </c>
      <c r="F184" s="67" t="n">
        <f aca="false">-F162</f>
        <v>-0</v>
      </c>
      <c r="G184" s="67" t="n">
        <f aca="false">-G162</f>
        <v>-0</v>
      </c>
      <c r="H184" s="67" t="n">
        <f aca="false">-H162</f>
        <v>-0</v>
      </c>
      <c r="I184" s="67" t="n">
        <f aca="false">-I162</f>
        <v>-0</v>
      </c>
      <c r="J184" s="67" t="n">
        <f aca="false">-J162</f>
        <v>-0</v>
      </c>
      <c r="K184" s="67" t="n">
        <f aca="false">-K162</f>
        <v>-0</v>
      </c>
      <c r="L184" s="67" t="n">
        <f aca="false">-L162</f>
        <v>-0</v>
      </c>
      <c r="M184" s="67" t="n">
        <f aca="false">-M162</f>
        <v>-0</v>
      </c>
      <c r="N184" s="67" t="n">
        <f aca="false">-N162</f>
        <v>-0</v>
      </c>
      <c r="O184" s="67" t="n">
        <f aca="false">-O162</f>
        <v>-0</v>
      </c>
      <c r="P184" s="67" t="n">
        <f aca="false">-P162</f>
        <v>-0</v>
      </c>
      <c r="Q184" s="67" t="n">
        <f aca="false">-Q162</f>
        <v>-0</v>
      </c>
      <c r="R184" s="67" t="n">
        <f aca="false">-R162</f>
        <v>-0</v>
      </c>
      <c r="S184" s="67" t="n">
        <f aca="false">-S162</f>
        <v>-0</v>
      </c>
      <c r="T184" s="67" t="n">
        <f aca="false">-T162</f>
        <v>-0</v>
      </c>
      <c r="U184" s="67" t="n">
        <f aca="false">-U162</f>
        <v>-0</v>
      </c>
      <c r="V184" s="67" t="n">
        <f aca="false">-V162</f>
        <v>-0</v>
      </c>
      <c r="W184" s="67" t="n">
        <f aca="false">-W162</f>
        <v>-0</v>
      </c>
      <c r="X184" s="67" t="n">
        <f aca="false">-X162</f>
        <v>-0</v>
      </c>
      <c r="Y184" s="67" t="n">
        <f aca="false">-Y162</f>
        <v>-0</v>
      </c>
      <c r="Z184" s="67" t="n">
        <f aca="false">-Z162</f>
        <v>-0</v>
      </c>
      <c r="AA184" s="67" t="n">
        <f aca="false">-AA162</f>
        <v>-0</v>
      </c>
      <c r="AB184" s="67" t="n">
        <f aca="false">-AB162</f>
        <v>-0</v>
      </c>
      <c r="AC184" s="67" t="n">
        <f aca="false">-AC162</f>
        <v>-0</v>
      </c>
      <c r="AD184" s="67" t="n">
        <f aca="false">-AD162</f>
        <v>-0</v>
      </c>
      <c r="AE184" s="67" t="n">
        <f aca="false">-AE162</f>
        <v>-0</v>
      </c>
      <c r="AF184" s="67" t="n">
        <f aca="false">-AF162</f>
        <v>-0</v>
      </c>
      <c r="AG184" s="67" t="n">
        <f aca="false">-AG162</f>
        <v>-0</v>
      </c>
      <c r="AH184" s="67" t="n">
        <f aca="false">-AH162</f>
        <v>-0</v>
      </c>
      <c r="AI184" s="67" t="n">
        <f aca="false">-AI162</f>
        <v>-0</v>
      </c>
      <c r="AJ184" s="67" t="n">
        <f aca="false">-AJ162</f>
        <v>-0</v>
      </c>
      <c r="AK184" s="67" t="n">
        <f aca="false">-AK162</f>
        <v>-0</v>
      </c>
      <c r="AL184" s="67" t="n">
        <f aca="false">-AL162</f>
        <v>-0</v>
      </c>
      <c r="AM184" s="67" t="n">
        <f aca="false">-AM162</f>
        <v>-0</v>
      </c>
      <c r="AN184" s="67" t="n">
        <f aca="false">-AN162</f>
        <v>-0</v>
      </c>
      <c r="AO184" s="67" t="n">
        <f aca="false">-AO162</f>
        <v>-0</v>
      </c>
      <c r="AP184" s="67" t="n">
        <f aca="false">-AP162</f>
        <v>-0</v>
      </c>
      <c r="AQ184" s="67" t="n">
        <f aca="false">-AQ162</f>
        <v>-0</v>
      </c>
      <c r="AR184" s="67" t="n">
        <f aca="false">-AR162</f>
        <v>-0</v>
      </c>
      <c r="AS184" s="67" t="n">
        <f aca="false">-AS162</f>
        <v>-0</v>
      </c>
      <c r="AT184" s="67" t="n">
        <f aca="false">-AT162</f>
        <v>-0</v>
      </c>
      <c r="AU184" s="67" t="n">
        <f aca="false">-AU162</f>
        <v>-0</v>
      </c>
      <c r="AV184" s="67" t="n">
        <f aca="false">-AV162</f>
        <v>-0</v>
      </c>
      <c r="AW184" s="67" t="n">
        <f aca="false">-AW162</f>
        <v>-0</v>
      </c>
      <c r="AX184" s="67" t="n">
        <f aca="false">-AX162</f>
        <v>-0</v>
      </c>
      <c r="AY184" s="67" t="n">
        <f aca="false">-AY162</f>
        <v>-0</v>
      </c>
      <c r="AZ184" s="67" t="n">
        <f aca="false">-AZ162</f>
        <v>-0</v>
      </c>
      <c r="BA184" s="67" t="n">
        <f aca="false">-BA162</f>
        <v>-0</v>
      </c>
      <c r="BB184" s="67" t="n">
        <f aca="false">-BB162</f>
        <v>-0</v>
      </c>
      <c r="BC184" s="67" t="n">
        <f aca="false">-BC162</f>
        <v>-0</v>
      </c>
      <c r="BD184" s="67" t="n">
        <f aca="false">-BD162</f>
        <v>-0</v>
      </c>
      <c r="BE184" s="67" t="n">
        <f aca="false">-BE162</f>
        <v>-0</v>
      </c>
      <c r="BF184" s="67" t="n">
        <f aca="false">-BF162</f>
        <v>-0</v>
      </c>
      <c r="BG184" s="67" t="n">
        <f aca="false">-BG162</f>
        <v>-0</v>
      </c>
      <c r="BH184" s="67" t="n">
        <f aca="false">-BH162</f>
        <v>-0</v>
      </c>
      <c r="BI184" s="67" t="n">
        <f aca="false">-BI162</f>
        <v>-0</v>
      </c>
      <c r="BJ184" s="67" t="n">
        <f aca="false">-BJ162</f>
        <v>-0</v>
      </c>
    </row>
    <row r="185" customFormat="false" ht="15" hidden="false" customHeight="false" outlineLevel="0" collapsed="false">
      <c r="A185" s="6" t="s">
        <v>64</v>
      </c>
      <c r="C185" s="67" t="n">
        <f aca="false">IF(C$116=1,Inputs!$C$54,0)</f>
        <v>300000</v>
      </c>
      <c r="D185" s="67" t="n">
        <f aca="false">IF(D$116=1,Inputs!$C$54,0)</f>
        <v>0</v>
      </c>
      <c r="E185" s="67" t="n">
        <f aca="false">IF(E$116=1,Inputs!$C$54,0)</f>
        <v>0</v>
      </c>
      <c r="F185" s="67" t="n">
        <f aca="false">IF(F$116=1,Inputs!$C$54,0)</f>
        <v>0</v>
      </c>
      <c r="G185" s="67" t="n">
        <f aca="false">IF(G$116=1,Inputs!$C$54,0)</f>
        <v>0</v>
      </c>
      <c r="H185" s="67" t="n">
        <f aca="false">IF(H$116=1,Inputs!$C$54,0)</f>
        <v>0</v>
      </c>
      <c r="I185" s="67" t="n">
        <f aca="false">IF(I$116=1,Inputs!$C$54,0)</f>
        <v>0</v>
      </c>
      <c r="J185" s="67" t="n">
        <f aca="false">IF(J$116=1,Inputs!$C$54,0)</f>
        <v>0</v>
      </c>
      <c r="K185" s="67" t="n">
        <f aca="false">IF(K$116=1,Inputs!$C$54,0)</f>
        <v>0</v>
      </c>
      <c r="L185" s="67" t="n">
        <f aca="false">IF(L$116=1,Inputs!$C$54,0)</f>
        <v>0</v>
      </c>
      <c r="M185" s="67" t="n">
        <f aca="false">IF(M$116=1,Inputs!$C$54,0)</f>
        <v>0</v>
      </c>
      <c r="N185" s="67" t="n">
        <f aca="false">IF(N$116=1,Inputs!$C$54,0)</f>
        <v>0</v>
      </c>
      <c r="O185" s="67" t="n">
        <f aca="false">IF(O$116=1,Inputs!$C$54,0)</f>
        <v>0</v>
      </c>
      <c r="P185" s="67" t="n">
        <f aca="false">IF(P$116=1,Inputs!$C$54,0)</f>
        <v>0</v>
      </c>
      <c r="Q185" s="67" t="n">
        <f aca="false">IF(Q$116=1,Inputs!$C$54,0)</f>
        <v>0</v>
      </c>
      <c r="R185" s="67" t="n">
        <f aca="false">IF(R$116=1,Inputs!$C$54,0)</f>
        <v>0</v>
      </c>
      <c r="S185" s="67" t="n">
        <f aca="false">IF(S$116=1,Inputs!$C$54,0)</f>
        <v>0</v>
      </c>
      <c r="T185" s="67" t="n">
        <f aca="false">IF(T$116=1,Inputs!$C$54,0)</f>
        <v>0</v>
      </c>
      <c r="U185" s="67" t="n">
        <f aca="false">IF(U$116=1,Inputs!$C$54,0)</f>
        <v>0</v>
      </c>
      <c r="V185" s="67" t="n">
        <f aca="false">IF(V$116=1,Inputs!$C$54,0)</f>
        <v>0</v>
      </c>
      <c r="W185" s="67" t="n">
        <f aca="false">IF(W$116=1,Inputs!$C$54,0)</f>
        <v>0</v>
      </c>
      <c r="X185" s="67" t="n">
        <f aca="false">IF(X$116=1,Inputs!$C$54,0)</f>
        <v>0</v>
      </c>
      <c r="Y185" s="67" t="n">
        <f aca="false">IF(Y$116=1,Inputs!$C$54,0)</f>
        <v>0</v>
      </c>
      <c r="Z185" s="67" t="n">
        <f aca="false">IF(Z$116=1,Inputs!$C$54,0)</f>
        <v>0</v>
      </c>
      <c r="AA185" s="67" t="n">
        <f aca="false">IF(AA$116=1,Inputs!$C$54,0)</f>
        <v>0</v>
      </c>
      <c r="AB185" s="67" t="n">
        <f aca="false">IF(AB$116=1,Inputs!$C$54,0)</f>
        <v>0</v>
      </c>
      <c r="AC185" s="67" t="n">
        <f aca="false">IF(AC$116=1,Inputs!$C$54,0)</f>
        <v>0</v>
      </c>
      <c r="AD185" s="67" t="n">
        <f aca="false">IF(AD$116=1,Inputs!$C$54,0)</f>
        <v>0</v>
      </c>
      <c r="AE185" s="67" t="n">
        <f aca="false">IF(AE$116=1,Inputs!$C$54,0)</f>
        <v>0</v>
      </c>
      <c r="AF185" s="67" t="n">
        <f aca="false">IF(AF$116=1,Inputs!$C$54,0)</f>
        <v>0</v>
      </c>
      <c r="AG185" s="67" t="n">
        <f aca="false">IF(AG$116=1,Inputs!$C$54,0)</f>
        <v>0</v>
      </c>
      <c r="AH185" s="67" t="n">
        <f aca="false">IF(AH$116=1,Inputs!$C$54,0)</f>
        <v>0</v>
      </c>
      <c r="AI185" s="67" t="n">
        <f aca="false">IF(AI$116=1,Inputs!$C$54,0)</f>
        <v>0</v>
      </c>
      <c r="AJ185" s="67" t="n">
        <f aca="false">IF(AJ$116=1,Inputs!$C$54,0)</f>
        <v>0</v>
      </c>
      <c r="AK185" s="67" t="n">
        <f aca="false">IF(AK$116=1,Inputs!$C$54,0)</f>
        <v>0</v>
      </c>
      <c r="AL185" s="67" t="n">
        <f aca="false">IF(AL$116=1,Inputs!$C$54,0)</f>
        <v>0</v>
      </c>
      <c r="AM185" s="67" t="n">
        <f aca="false">IF(AM$116=1,Inputs!$C$54,0)</f>
        <v>0</v>
      </c>
      <c r="AN185" s="67" t="n">
        <f aca="false">IF(AN$116=1,Inputs!$C$54,0)</f>
        <v>0</v>
      </c>
      <c r="AO185" s="67" t="n">
        <f aca="false">IF(AO$116=1,Inputs!$C$54,0)</f>
        <v>0</v>
      </c>
      <c r="AP185" s="67" t="n">
        <f aca="false">IF(AP$116=1,Inputs!$C$54,0)</f>
        <v>0</v>
      </c>
      <c r="AQ185" s="67" t="n">
        <f aca="false">IF(AQ$116=1,Inputs!$C$54,0)</f>
        <v>0</v>
      </c>
      <c r="AR185" s="67" t="n">
        <f aca="false">IF(AR$116=1,Inputs!$C$54,0)</f>
        <v>0</v>
      </c>
      <c r="AS185" s="67" t="n">
        <f aca="false">IF(AS$116=1,Inputs!$C$54,0)</f>
        <v>0</v>
      </c>
      <c r="AT185" s="67" t="n">
        <f aca="false">IF(AT$116=1,Inputs!$C$54,0)</f>
        <v>0</v>
      </c>
      <c r="AU185" s="67" t="n">
        <f aca="false">IF(AU$116=1,Inputs!$C$54,0)</f>
        <v>0</v>
      </c>
      <c r="AV185" s="67" t="n">
        <f aca="false">IF(AV$116=1,Inputs!$C$54,0)</f>
        <v>0</v>
      </c>
      <c r="AW185" s="67" t="n">
        <f aca="false">IF(AW$116=1,Inputs!$C$54,0)</f>
        <v>0</v>
      </c>
      <c r="AX185" s="67" t="n">
        <f aca="false">IF(AX$116=1,Inputs!$C$54,0)</f>
        <v>0</v>
      </c>
      <c r="AY185" s="67" t="n">
        <f aca="false">IF(AY$116=1,Inputs!$C$54,0)</f>
        <v>0</v>
      </c>
      <c r="AZ185" s="67" t="n">
        <f aca="false">IF(AZ$116=1,Inputs!$C$54,0)</f>
        <v>0</v>
      </c>
      <c r="BA185" s="67" t="n">
        <f aca="false">IF(BA$116=1,Inputs!$C$54,0)</f>
        <v>0</v>
      </c>
      <c r="BB185" s="67" t="n">
        <f aca="false">IF(BB$116=1,Inputs!$C$54,0)</f>
        <v>0</v>
      </c>
      <c r="BC185" s="67" t="n">
        <f aca="false">IF(BC$116=1,Inputs!$C$54,0)</f>
        <v>0</v>
      </c>
      <c r="BD185" s="67" t="n">
        <f aca="false">IF(BD$116=1,Inputs!$C$54,0)</f>
        <v>0</v>
      </c>
      <c r="BE185" s="67" t="n">
        <f aca="false">IF(BE$116=1,Inputs!$C$54,0)</f>
        <v>0</v>
      </c>
      <c r="BF185" s="67" t="n">
        <f aca="false">IF(BF$116=1,Inputs!$C$54,0)</f>
        <v>0</v>
      </c>
      <c r="BG185" s="67" t="n">
        <f aca="false">IF(BG$116=1,Inputs!$C$54,0)</f>
        <v>0</v>
      </c>
      <c r="BH185" s="67" t="n">
        <f aca="false">IF(BH$116=1,Inputs!$C$54,0)</f>
        <v>0</v>
      </c>
      <c r="BI185" s="67" t="n">
        <f aca="false">IF(BI$116=1,Inputs!$C$54,0)</f>
        <v>0</v>
      </c>
      <c r="BJ185" s="67" t="n">
        <f aca="false">IF(BJ$116=1,Inputs!$C$54,0)</f>
        <v>0</v>
      </c>
    </row>
    <row r="186" customFormat="false" ht="15" hidden="false" customHeight="false" outlineLevel="0" collapsed="false">
      <c r="A186" s="6" t="s">
        <v>54</v>
      </c>
      <c r="C186" s="67" t="n">
        <f aca="false">C185+C170+C171</f>
        <v>500000</v>
      </c>
      <c r="D186" s="67" t="n">
        <f aca="false">D185+D170+D171</f>
        <v>-3333.33333333333</v>
      </c>
      <c r="E186" s="67" t="n">
        <f aca="false">E185+E170+E171</f>
        <v>-3333.33333333333</v>
      </c>
      <c r="F186" s="67" t="n">
        <f aca="false">F185+F170+F171</f>
        <v>-3333.33333333333</v>
      </c>
      <c r="G186" s="67" t="n">
        <f aca="false">G185+G170+G171</f>
        <v>-3333.33333333333</v>
      </c>
      <c r="H186" s="67" t="n">
        <f aca="false">H185+H170+H171</f>
        <v>-3333.33333333333</v>
      </c>
      <c r="I186" s="67" t="n">
        <f aca="false">I185+I170+I171</f>
        <v>-3333.33333333333</v>
      </c>
      <c r="J186" s="67" t="n">
        <f aca="false">J185+J170+J171</f>
        <v>-3333.33333333333</v>
      </c>
      <c r="K186" s="67" t="n">
        <f aca="false">K185+K170+K171</f>
        <v>-3333.33333333333</v>
      </c>
      <c r="L186" s="67" t="n">
        <f aca="false">L185+L170+L171</f>
        <v>-3333.33333333333</v>
      </c>
      <c r="M186" s="67" t="n">
        <f aca="false">M185+M170+M171</f>
        <v>-3333.33333333333</v>
      </c>
      <c r="N186" s="67" t="n">
        <f aca="false">N185+N170+N171</f>
        <v>-3333.33333333333</v>
      </c>
      <c r="O186" s="67" t="n">
        <f aca="false">O185+O170+O171</f>
        <v>-3333.33333333333</v>
      </c>
      <c r="P186" s="67" t="n">
        <f aca="false">P185+P170+P171</f>
        <v>-3333.33333333333</v>
      </c>
      <c r="Q186" s="67" t="n">
        <f aca="false">Q185+Q170+Q171</f>
        <v>-3333.33333333333</v>
      </c>
      <c r="R186" s="67" t="n">
        <f aca="false">R185+R170+R171</f>
        <v>-3333.33333333333</v>
      </c>
      <c r="S186" s="67" t="n">
        <f aca="false">S185+S170+S171</f>
        <v>-3333.33333333333</v>
      </c>
      <c r="T186" s="67" t="n">
        <f aca="false">T185+T170+T171</f>
        <v>-3333.33333333333</v>
      </c>
      <c r="U186" s="67" t="n">
        <f aca="false">U185+U170+U171</f>
        <v>-3333.33333333333</v>
      </c>
      <c r="V186" s="67" t="n">
        <f aca="false">V185+V170+V171</f>
        <v>-3333.33333333333</v>
      </c>
      <c r="W186" s="67" t="n">
        <f aca="false">W185+W170+W171</f>
        <v>-3333.33333333333</v>
      </c>
      <c r="X186" s="67" t="n">
        <f aca="false">X185+X170+X171</f>
        <v>-3333.33333333333</v>
      </c>
      <c r="Y186" s="67" t="n">
        <f aca="false">Y185+Y170+Y171</f>
        <v>-3333.33333333333</v>
      </c>
      <c r="Z186" s="67" t="n">
        <f aca="false">Z185+Z170+Z171</f>
        <v>-3333.33333333333</v>
      </c>
      <c r="AA186" s="67" t="n">
        <f aca="false">AA185+AA170+AA171</f>
        <v>-3333.33333333333</v>
      </c>
      <c r="AB186" s="67" t="n">
        <f aca="false">AB185+AB170+AB171</f>
        <v>-3333.33333333333</v>
      </c>
      <c r="AC186" s="67" t="n">
        <f aca="false">AC185+AC170+AC171</f>
        <v>-3333.33333333333</v>
      </c>
      <c r="AD186" s="67" t="n">
        <f aca="false">AD185+AD170+AD171</f>
        <v>-3333.33333333333</v>
      </c>
      <c r="AE186" s="67" t="n">
        <f aca="false">AE185+AE170+AE171</f>
        <v>-3333.33333333333</v>
      </c>
      <c r="AF186" s="67" t="n">
        <f aca="false">AF185+AF170+AF171</f>
        <v>-3333.33333333333</v>
      </c>
      <c r="AG186" s="67" t="n">
        <f aca="false">AG185+AG170+AG171</f>
        <v>-3333.33333333333</v>
      </c>
      <c r="AH186" s="67" t="n">
        <f aca="false">AH185+AH170+AH171</f>
        <v>-3333.33333333333</v>
      </c>
      <c r="AI186" s="67" t="n">
        <f aca="false">AI185+AI170+AI171</f>
        <v>-3333.33333333333</v>
      </c>
      <c r="AJ186" s="67" t="n">
        <f aca="false">AJ185+AJ170+AJ171</f>
        <v>-3333.33333333333</v>
      </c>
      <c r="AK186" s="67" t="n">
        <f aca="false">AK185+AK170+AK171</f>
        <v>-3333.33333333333</v>
      </c>
      <c r="AL186" s="67" t="n">
        <f aca="false">AL185+AL170+AL171</f>
        <v>-3333.33333333333</v>
      </c>
      <c r="AM186" s="67" t="n">
        <f aca="false">AM185+AM170+AM171</f>
        <v>-3333.33333333333</v>
      </c>
      <c r="AN186" s="67" t="n">
        <f aca="false">AN185+AN170+AN171</f>
        <v>-3333.33333333333</v>
      </c>
      <c r="AO186" s="67" t="n">
        <f aca="false">AO185+AO170+AO171</f>
        <v>-3333.33333333333</v>
      </c>
      <c r="AP186" s="67" t="n">
        <f aca="false">AP185+AP170+AP171</f>
        <v>-3333.33333333333</v>
      </c>
      <c r="AQ186" s="67" t="n">
        <f aca="false">AQ185+AQ170+AQ171</f>
        <v>-3333.33333333333</v>
      </c>
      <c r="AR186" s="67" t="n">
        <f aca="false">AR185+AR170+AR171</f>
        <v>-3333.33333333333</v>
      </c>
      <c r="AS186" s="67" t="n">
        <f aca="false">AS185+AS170+AS171</f>
        <v>-3333.33333333333</v>
      </c>
      <c r="AT186" s="67" t="n">
        <f aca="false">AT185+AT170+AT171</f>
        <v>-3333.33333333333</v>
      </c>
      <c r="AU186" s="67" t="n">
        <f aca="false">AU185+AU170+AU171</f>
        <v>-3333.33333333333</v>
      </c>
      <c r="AV186" s="67" t="n">
        <f aca="false">AV185+AV170+AV171</f>
        <v>-3333.33333333333</v>
      </c>
      <c r="AW186" s="67" t="n">
        <f aca="false">AW185+AW170+AW171</f>
        <v>-3333.33333333333</v>
      </c>
      <c r="AX186" s="67" t="n">
        <f aca="false">AX185+AX170+AX171</f>
        <v>-3333.33333333333</v>
      </c>
      <c r="AY186" s="67" t="n">
        <f aca="false">AY185+AY170+AY171</f>
        <v>-3333.33333333333</v>
      </c>
      <c r="AZ186" s="67" t="n">
        <f aca="false">AZ185+AZ170+AZ171</f>
        <v>-3333.33333333333</v>
      </c>
      <c r="BA186" s="67" t="n">
        <f aca="false">BA185+BA170+BA171</f>
        <v>-3333.33333333333</v>
      </c>
      <c r="BB186" s="67" t="n">
        <f aca="false">BB185+BB170+BB171</f>
        <v>-3333.33333333333</v>
      </c>
      <c r="BC186" s="67" t="n">
        <f aca="false">BC185+BC170+BC171</f>
        <v>-3333.33333333333</v>
      </c>
      <c r="BD186" s="67" t="n">
        <f aca="false">BD185+BD170+BD171</f>
        <v>-3333.33333333333</v>
      </c>
      <c r="BE186" s="67" t="n">
        <f aca="false">BE185+BE170+BE171</f>
        <v>-3333.33333333333</v>
      </c>
      <c r="BF186" s="67" t="n">
        <f aca="false">BF185+BF170+BF171</f>
        <v>-3333.33333333333</v>
      </c>
      <c r="BG186" s="67" t="n">
        <f aca="false">BG185+BG170+BG171</f>
        <v>-3333.33333333333</v>
      </c>
      <c r="BH186" s="67" t="n">
        <f aca="false">BH185+BH170+BH171</f>
        <v>-3333.33333333333</v>
      </c>
      <c r="BI186" s="67" t="n">
        <f aca="false">BI185+BI170+BI171</f>
        <v>-3333.33333333333</v>
      </c>
      <c r="BJ186" s="67" t="n">
        <f aca="false">BJ185+BJ170+BJ171</f>
        <v>-3333.33333333333</v>
      </c>
    </row>
    <row r="187" customFormat="false" ht="15" hidden="false" customHeight="false" outlineLevel="0" collapsed="false">
      <c r="A187" s="113" t="s">
        <v>424</v>
      </c>
      <c r="C187" s="68" t="n">
        <f aca="false">C183+C184+C186</f>
        <v>57680.3174666667</v>
      </c>
      <c r="D187" s="68" t="n">
        <f aca="false">D183+D184+D186</f>
        <v>64997.0219111111</v>
      </c>
      <c r="E187" s="68" t="n">
        <f aca="false">E183+E184+E186</f>
        <v>65014.5774666667</v>
      </c>
      <c r="F187" s="68" t="n">
        <f aca="false">F183+F184+F186</f>
        <v>65032.1330222222</v>
      </c>
      <c r="G187" s="68" t="n">
        <f aca="false">G183+G184+G186</f>
        <v>65049.6885777778</v>
      </c>
      <c r="H187" s="68" t="n">
        <f aca="false">H183+H184+H186</f>
        <v>65067.2441333333</v>
      </c>
      <c r="I187" s="68" t="n">
        <f aca="false">I183+I184+I186</f>
        <v>65084.7996888889</v>
      </c>
      <c r="J187" s="68" t="n">
        <f aca="false">J183+J184+J186</f>
        <v>65102.3552444444</v>
      </c>
      <c r="K187" s="68" t="n">
        <f aca="false">K183+K184+K186</f>
        <v>65119.9108</v>
      </c>
      <c r="L187" s="68" t="n">
        <f aca="false">L183+L184+L186</f>
        <v>65137.4663555556</v>
      </c>
      <c r="M187" s="68" t="n">
        <f aca="false">M183+M184+M186</f>
        <v>65155.0219111111</v>
      </c>
      <c r="N187" s="68" t="n">
        <f aca="false">N183+N184+N186</f>
        <v>65172.5774666667</v>
      </c>
      <c r="O187" s="68" t="n">
        <f aca="false">O183+O184+O186</f>
        <v>-39344.5433949779</v>
      </c>
      <c r="P187" s="68" t="n">
        <f aca="false">P183+P184+P186</f>
        <v>94109.033820578</v>
      </c>
      <c r="Q187" s="68" t="n">
        <f aca="false">Q183+Q184+Q186</f>
        <v>94126.5893761335</v>
      </c>
      <c r="R187" s="68" t="n">
        <f aca="false">R183+R184+R186</f>
        <v>94144.1449316891</v>
      </c>
      <c r="S187" s="68" t="n">
        <f aca="false">S183+S184+S186</f>
        <v>94161.7004872446</v>
      </c>
      <c r="T187" s="68" t="n">
        <f aca="false">T183+T184+T186</f>
        <v>94179.2560428002</v>
      </c>
      <c r="U187" s="68" t="n">
        <f aca="false">U183+U184+U186</f>
        <v>94196.8115983557</v>
      </c>
      <c r="V187" s="68" t="n">
        <f aca="false">V183+V184+V186</f>
        <v>94214.3671539113</v>
      </c>
      <c r="W187" s="68" t="n">
        <f aca="false">W183+W184+W186</f>
        <v>94231.9227094669</v>
      </c>
      <c r="X187" s="68" t="n">
        <f aca="false">X183+X184+X186</f>
        <v>94249.4782650224</v>
      </c>
      <c r="Y187" s="68" t="n">
        <f aca="false">Y183+Y184+Y186</f>
        <v>94267.0338205779</v>
      </c>
      <c r="Z187" s="68" t="n">
        <f aca="false">Z183+Z184+Z186</f>
        <v>94284.5893761335</v>
      </c>
      <c r="AA187" s="68" t="n">
        <f aca="false">AA183+AA184+AA186</f>
        <v>-41341.095609754</v>
      </c>
      <c r="AB187" s="68" t="n">
        <f aca="false">AB183+AB184+AB186</f>
        <v>132785.090695261</v>
      </c>
      <c r="AC187" s="68" t="n">
        <f aca="false">AC183+AC184+AC186</f>
        <v>132802.646250817</v>
      </c>
      <c r="AD187" s="68" t="n">
        <f aca="false">AD183+AD184+AD186</f>
        <v>132820.201806372</v>
      </c>
      <c r="AE187" s="68" t="n">
        <f aca="false">AE183+AE184+AE186</f>
        <v>132837.757361928</v>
      </c>
      <c r="AF187" s="68" t="n">
        <f aca="false">AF183+AF184+AF186</f>
        <v>132855.312917483</v>
      </c>
      <c r="AG187" s="68" t="n">
        <f aca="false">AG183+AG184+AG186</f>
        <v>132872.868473039</v>
      </c>
      <c r="AH187" s="68" t="n">
        <f aca="false">AH183+AH184+AH186</f>
        <v>132890.424028595</v>
      </c>
      <c r="AI187" s="68" t="n">
        <f aca="false">AI183+AI184+AI186</f>
        <v>132907.97958415</v>
      </c>
      <c r="AJ187" s="68" t="n">
        <f aca="false">AJ183+AJ184+AJ186</f>
        <v>132925.535139706</v>
      </c>
      <c r="AK187" s="68" t="n">
        <f aca="false">AK183+AK184+AK186</f>
        <v>132943.090695261</v>
      </c>
      <c r="AL187" s="68" t="n">
        <f aca="false">AL183+AL184+AL186</f>
        <v>132960.646250817</v>
      </c>
      <c r="AM187" s="68" t="n">
        <f aca="false">AM183+AM184+AM186</f>
        <v>-43321.1345255491</v>
      </c>
      <c r="AN187" s="68" t="n">
        <f aca="false">AN183+AN184+AN186</f>
        <v>184188.995618479</v>
      </c>
      <c r="AO187" s="68" t="n">
        <f aca="false">AO183+AO184+AO186</f>
        <v>184206.551174035</v>
      </c>
      <c r="AP187" s="68" t="n">
        <f aca="false">AP183+AP184+AP186</f>
        <v>184224.106729591</v>
      </c>
      <c r="AQ187" s="68" t="n">
        <f aca="false">AQ183+AQ184+AQ186</f>
        <v>184241.662285146</v>
      </c>
      <c r="AR187" s="68" t="n">
        <f aca="false">AR183+AR184+AR186</f>
        <v>184259.217840702</v>
      </c>
      <c r="AS187" s="68" t="n">
        <f aca="false">AS183+AS184+AS186</f>
        <v>184276.773396257</v>
      </c>
      <c r="AT187" s="68" t="n">
        <f aca="false">AT183+AT184+AT186</f>
        <v>184294.328951813</v>
      </c>
      <c r="AU187" s="68" t="n">
        <f aca="false">AU183+AU184+AU186</f>
        <v>184311.884507368</v>
      </c>
      <c r="AV187" s="68" t="n">
        <f aca="false">AV183+AV184+AV186</f>
        <v>184329.440062924</v>
      </c>
      <c r="AW187" s="68" t="n">
        <f aca="false">AW183+AW184+AW186</f>
        <v>184346.995618479</v>
      </c>
      <c r="AX187" s="68" t="n">
        <f aca="false">AX183+AX184+AX186</f>
        <v>184364.551174035</v>
      </c>
      <c r="AY187" s="68" t="n">
        <f aca="false">AY183+AY184+AY186</f>
        <v>-45125.9878266242</v>
      </c>
      <c r="AZ187" s="68" t="n">
        <f aca="false">AZ183+AZ184+AZ186</f>
        <v>252534.46696937</v>
      </c>
      <c r="BA187" s="68" t="n">
        <f aca="false">BA183+BA184+BA186</f>
        <v>252552.022524926</v>
      </c>
      <c r="BB187" s="68" t="n">
        <f aca="false">BB183+BB184+BB186</f>
        <v>252569.578080481</v>
      </c>
      <c r="BC187" s="68" t="n">
        <f aca="false">BC183+BC184+BC186</f>
        <v>252587.133636037</v>
      </c>
      <c r="BD187" s="68" t="n">
        <f aca="false">BD183+BD184+BD186</f>
        <v>252604.689191592</v>
      </c>
      <c r="BE187" s="68" t="n">
        <f aca="false">BE183+BE184+BE186</f>
        <v>252622.244747148</v>
      </c>
      <c r="BF187" s="68" t="n">
        <f aca="false">BF183+BF184+BF186</f>
        <v>252639.800302704</v>
      </c>
      <c r="BG187" s="68" t="n">
        <f aca="false">BG183+BG184+BG186</f>
        <v>252657.355858259</v>
      </c>
      <c r="BH187" s="68" t="n">
        <f aca="false">BH183+BH184+BH186</f>
        <v>252674.911413815</v>
      </c>
      <c r="BI187" s="68" t="n">
        <f aca="false">BI183+BI184+BI186</f>
        <v>252692.46696937</v>
      </c>
      <c r="BJ187" s="68" t="n">
        <f aca="false">BJ183+BJ184+BJ186</f>
        <v>252710.022524926</v>
      </c>
    </row>
    <row r="188" customFormat="false" ht="15" hidden="false" customHeight="false" outlineLevel="0" collapsed="false">
      <c r="A188" s="6" t="s">
        <v>336</v>
      </c>
      <c r="C188" s="67" t="n">
        <f aca="false">0</f>
        <v>0</v>
      </c>
      <c r="D188" s="67" t="n">
        <f aca="false">C189</f>
        <v>57680.3174666667</v>
      </c>
      <c r="E188" s="67" t="n">
        <f aca="false">D189</f>
        <v>122677.339377778</v>
      </c>
      <c r="F188" s="67" t="n">
        <f aca="false">E189</f>
        <v>187691.916844444</v>
      </c>
      <c r="G188" s="67" t="n">
        <f aca="false">F189</f>
        <v>252724.049866667</v>
      </c>
      <c r="H188" s="67" t="n">
        <f aca="false">G189</f>
        <v>317773.738444444</v>
      </c>
      <c r="I188" s="67" t="n">
        <f aca="false">H189</f>
        <v>382840.982577778</v>
      </c>
      <c r="J188" s="67" t="n">
        <f aca="false">I189</f>
        <v>447925.782266667</v>
      </c>
      <c r="K188" s="67" t="n">
        <f aca="false">J189</f>
        <v>513028.137511111</v>
      </c>
      <c r="L188" s="67" t="n">
        <f aca="false">K189</f>
        <v>578148.048311111</v>
      </c>
      <c r="M188" s="67" t="n">
        <f aca="false">L189</f>
        <v>643285.514666667</v>
      </c>
      <c r="N188" s="67" t="n">
        <f aca="false">M189</f>
        <v>708440.536577778</v>
      </c>
      <c r="O188" s="67" t="n">
        <f aca="false">N189</f>
        <v>773613.114044444</v>
      </c>
      <c r="P188" s="67" t="n">
        <f aca="false">O189</f>
        <v>734268.570649467</v>
      </c>
      <c r="Q188" s="67" t="n">
        <f aca="false">P189</f>
        <v>828377.604470045</v>
      </c>
      <c r="R188" s="67" t="n">
        <f aca="false">Q189</f>
        <v>922504.193846178</v>
      </c>
      <c r="S188" s="67" t="n">
        <f aca="false">R189</f>
        <v>1016648.33877787</v>
      </c>
      <c r="T188" s="67" t="n">
        <f aca="false">S189</f>
        <v>1110810.03926511</v>
      </c>
      <c r="U188" s="67" t="n">
        <f aca="false">T189</f>
        <v>1204989.29530791</v>
      </c>
      <c r="V188" s="67" t="n">
        <f aca="false">U189</f>
        <v>1299186.10690627</v>
      </c>
      <c r="W188" s="67" t="n">
        <f aca="false">V189</f>
        <v>1393400.47406018</v>
      </c>
      <c r="X188" s="67" t="n">
        <f aca="false">W189</f>
        <v>1487632.39676965</v>
      </c>
      <c r="Y188" s="67" t="n">
        <f aca="false">X189</f>
        <v>1581881.87503467</v>
      </c>
      <c r="Z188" s="67" t="n">
        <f aca="false">Y189</f>
        <v>1676148.90885525</v>
      </c>
      <c r="AA188" s="67" t="n">
        <f aca="false">Z189</f>
        <v>1770433.49823138</v>
      </c>
      <c r="AB188" s="67" t="n">
        <f aca="false">AA189</f>
        <v>1729092.40262163</v>
      </c>
      <c r="AC188" s="67" t="n">
        <f aca="false">AB189</f>
        <v>1861877.49331689</v>
      </c>
      <c r="AD188" s="67" t="n">
        <f aca="false">AC189</f>
        <v>1994680.1395677</v>
      </c>
      <c r="AE188" s="67" t="n">
        <f aca="false">AD189</f>
        <v>2127500.34137408</v>
      </c>
      <c r="AF188" s="67" t="n">
        <f aca="false">AE189</f>
        <v>2260338.098736</v>
      </c>
      <c r="AG188" s="67" t="n">
        <f aca="false">AF189</f>
        <v>2393193.41165349</v>
      </c>
      <c r="AH188" s="67" t="n">
        <f aca="false">AG189</f>
        <v>2526066.28012653</v>
      </c>
      <c r="AI188" s="67" t="n">
        <f aca="false">AH189</f>
        <v>2658956.70415512</v>
      </c>
      <c r="AJ188" s="67" t="n">
        <f aca="false">AI189</f>
        <v>2791864.68373927</v>
      </c>
      <c r="AK188" s="67" t="n">
        <f aca="false">AJ189</f>
        <v>2924790.21887898</v>
      </c>
      <c r="AL188" s="67" t="n">
        <f aca="false">AK189</f>
        <v>3057733.30957424</v>
      </c>
      <c r="AM188" s="67" t="n">
        <f aca="false">AL189</f>
        <v>3190693.95582506</v>
      </c>
      <c r="AN188" s="67" t="n">
        <f aca="false">AM189</f>
        <v>3147372.82129951</v>
      </c>
      <c r="AO188" s="67" t="n">
        <f aca="false">AN189</f>
        <v>3331561.81691799</v>
      </c>
      <c r="AP188" s="67" t="n">
        <f aca="false">AO189</f>
        <v>3515768.36809202</v>
      </c>
      <c r="AQ188" s="67" t="n">
        <f aca="false">AP189</f>
        <v>3699992.47482161</v>
      </c>
      <c r="AR188" s="67" t="n">
        <f aca="false">AQ189</f>
        <v>3884234.13710676</v>
      </c>
      <c r="AS188" s="67" t="n">
        <f aca="false">AR189</f>
        <v>4068493.35494746</v>
      </c>
      <c r="AT188" s="67" t="n">
        <f aca="false">AS189</f>
        <v>4252770.12834372</v>
      </c>
      <c r="AU188" s="67" t="n">
        <f aca="false">AT189</f>
        <v>4437064.45729553</v>
      </c>
      <c r="AV188" s="67" t="n">
        <f aca="false">AU189</f>
        <v>4621376.3418029</v>
      </c>
      <c r="AW188" s="67" t="n">
        <f aca="false">AV189</f>
        <v>4805705.78186582</v>
      </c>
      <c r="AX188" s="67" t="n">
        <f aca="false">AW189</f>
        <v>4990052.7774843</v>
      </c>
      <c r="AY188" s="67" t="n">
        <f aca="false">AX189</f>
        <v>5174417.32865833</v>
      </c>
      <c r="AZ188" s="67" t="n">
        <f aca="false">AY189</f>
        <v>5129291.34083171</v>
      </c>
      <c r="BA188" s="67" t="n">
        <f aca="false">AZ189</f>
        <v>5381825.80780108</v>
      </c>
      <c r="BB188" s="67" t="n">
        <f aca="false">BA189</f>
        <v>5634377.83032601</v>
      </c>
      <c r="BC188" s="67" t="n">
        <f aca="false">BB189</f>
        <v>5886947.40840649</v>
      </c>
      <c r="BD188" s="67" t="n">
        <f aca="false">BC189</f>
        <v>6139534.54204252</v>
      </c>
      <c r="BE188" s="67" t="n">
        <f aca="false">BD189</f>
        <v>6392139.23123412</v>
      </c>
      <c r="BF188" s="67" t="n">
        <f aca="false">BE189</f>
        <v>6644761.47598126</v>
      </c>
      <c r="BG188" s="67" t="n">
        <f aca="false">BF189</f>
        <v>6897401.27628397</v>
      </c>
      <c r="BH188" s="67" t="n">
        <f aca="false">BG189</f>
        <v>7150058.63214223</v>
      </c>
      <c r="BI188" s="67" t="n">
        <f aca="false">BH189</f>
        <v>7402733.54355604</v>
      </c>
      <c r="BJ188" s="67" t="n">
        <f aca="false">BI189</f>
        <v>7655426.01052541</v>
      </c>
    </row>
    <row r="189" customFormat="false" ht="15" hidden="false" customHeight="false" outlineLevel="0" collapsed="false">
      <c r="A189" s="113" t="s">
        <v>87</v>
      </c>
      <c r="C189" s="68" t="n">
        <f aca="false">C188+C187</f>
        <v>57680.3174666667</v>
      </c>
      <c r="D189" s="68" t="n">
        <f aca="false">D188+D187</f>
        <v>122677.339377778</v>
      </c>
      <c r="E189" s="68" t="n">
        <f aca="false">E188+E187</f>
        <v>187691.916844444</v>
      </c>
      <c r="F189" s="68" t="n">
        <f aca="false">F188+F187</f>
        <v>252724.049866667</v>
      </c>
      <c r="G189" s="68" t="n">
        <f aca="false">G188+G187</f>
        <v>317773.738444444</v>
      </c>
      <c r="H189" s="68" t="n">
        <f aca="false">H188+H187</f>
        <v>382840.982577778</v>
      </c>
      <c r="I189" s="68" t="n">
        <f aca="false">I188+I187</f>
        <v>447925.782266667</v>
      </c>
      <c r="J189" s="68" t="n">
        <f aca="false">J188+J187</f>
        <v>513028.137511111</v>
      </c>
      <c r="K189" s="68" t="n">
        <f aca="false">K188+K187</f>
        <v>578148.048311111</v>
      </c>
      <c r="L189" s="68" t="n">
        <f aca="false">L188+L187</f>
        <v>643285.514666667</v>
      </c>
      <c r="M189" s="68" t="n">
        <f aca="false">M188+M187</f>
        <v>708440.536577778</v>
      </c>
      <c r="N189" s="68" t="n">
        <f aca="false">N188+N187</f>
        <v>773613.114044444</v>
      </c>
      <c r="O189" s="68" t="n">
        <f aca="false">O188+O187</f>
        <v>734268.570649467</v>
      </c>
      <c r="P189" s="68" t="n">
        <f aca="false">P188+P187</f>
        <v>828377.604470045</v>
      </c>
      <c r="Q189" s="68" t="n">
        <f aca="false">Q188+Q187</f>
        <v>922504.193846178</v>
      </c>
      <c r="R189" s="68" t="n">
        <f aca="false">R188+R187</f>
        <v>1016648.33877787</v>
      </c>
      <c r="S189" s="68" t="n">
        <f aca="false">S188+S187</f>
        <v>1110810.03926511</v>
      </c>
      <c r="T189" s="68" t="n">
        <f aca="false">T188+T187</f>
        <v>1204989.29530791</v>
      </c>
      <c r="U189" s="68" t="n">
        <f aca="false">U188+U187</f>
        <v>1299186.10690627</v>
      </c>
      <c r="V189" s="68" t="n">
        <f aca="false">V188+V187</f>
        <v>1393400.47406018</v>
      </c>
      <c r="W189" s="68" t="n">
        <f aca="false">W188+W187</f>
        <v>1487632.39676965</v>
      </c>
      <c r="X189" s="68" t="n">
        <f aca="false">X188+X187</f>
        <v>1581881.87503467</v>
      </c>
      <c r="Y189" s="68" t="n">
        <f aca="false">Y188+Y187</f>
        <v>1676148.90885525</v>
      </c>
      <c r="Z189" s="68" t="n">
        <f aca="false">Z188+Z187</f>
        <v>1770433.49823138</v>
      </c>
      <c r="AA189" s="68" t="n">
        <f aca="false">AA188+AA187</f>
        <v>1729092.40262163</v>
      </c>
      <c r="AB189" s="68" t="n">
        <f aca="false">AB188+AB187</f>
        <v>1861877.49331689</v>
      </c>
      <c r="AC189" s="68" t="n">
        <f aca="false">AC188+AC187</f>
        <v>1994680.1395677</v>
      </c>
      <c r="AD189" s="68" t="n">
        <f aca="false">AD188+AD187</f>
        <v>2127500.34137408</v>
      </c>
      <c r="AE189" s="68" t="n">
        <f aca="false">AE188+AE187</f>
        <v>2260338.098736</v>
      </c>
      <c r="AF189" s="68" t="n">
        <f aca="false">AF188+AF187</f>
        <v>2393193.41165349</v>
      </c>
      <c r="AG189" s="68" t="n">
        <f aca="false">AG188+AG187</f>
        <v>2526066.28012653</v>
      </c>
      <c r="AH189" s="68" t="n">
        <f aca="false">AH188+AH187</f>
        <v>2658956.70415512</v>
      </c>
      <c r="AI189" s="68" t="n">
        <f aca="false">AI188+AI187</f>
        <v>2791864.68373927</v>
      </c>
      <c r="AJ189" s="68" t="n">
        <f aca="false">AJ188+AJ187</f>
        <v>2924790.21887898</v>
      </c>
      <c r="AK189" s="68" t="n">
        <f aca="false">AK188+AK187</f>
        <v>3057733.30957424</v>
      </c>
      <c r="AL189" s="68" t="n">
        <f aca="false">AL188+AL187</f>
        <v>3190693.95582506</v>
      </c>
      <c r="AM189" s="68" t="n">
        <f aca="false">AM188+AM187</f>
        <v>3147372.82129951</v>
      </c>
      <c r="AN189" s="68" t="n">
        <f aca="false">AN188+AN187</f>
        <v>3331561.81691799</v>
      </c>
      <c r="AO189" s="68" t="n">
        <f aca="false">AO188+AO187</f>
        <v>3515768.36809202</v>
      </c>
      <c r="AP189" s="68" t="n">
        <f aca="false">AP188+AP187</f>
        <v>3699992.47482161</v>
      </c>
      <c r="AQ189" s="68" t="n">
        <f aca="false">AQ188+AQ187</f>
        <v>3884234.13710676</v>
      </c>
      <c r="AR189" s="68" t="n">
        <f aca="false">AR188+AR187</f>
        <v>4068493.35494746</v>
      </c>
      <c r="AS189" s="68" t="n">
        <f aca="false">AS188+AS187</f>
        <v>4252770.12834372</v>
      </c>
      <c r="AT189" s="68" t="n">
        <f aca="false">AT188+AT187</f>
        <v>4437064.45729553</v>
      </c>
      <c r="AU189" s="68" t="n">
        <f aca="false">AU188+AU187</f>
        <v>4621376.3418029</v>
      </c>
      <c r="AV189" s="68" t="n">
        <f aca="false">AV188+AV187</f>
        <v>4805705.78186582</v>
      </c>
      <c r="AW189" s="68" t="n">
        <f aca="false">AW188+AW187</f>
        <v>4990052.7774843</v>
      </c>
      <c r="AX189" s="68" t="n">
        <f aca="false">AX188+AX187</f>
        <v>5174417.32865833</v>
      </c>
      <c r="AY189" s="68" t="n">
        <f aca="false">AY188+AY187</f>
        <v>5129291.34083171</v>
      </c>
      <c r="AZ189" s="68" t="n">
        <f aca="false">AZ188+AZ187</f>
        <v>5381825.80780108</v>
      </c>
      <c r="BA189" s="68" t="n">
        <f aca="false">BA188+BA187</f>
        <v>5634377.83032601</v>
      </c>
      <c r="BB189" s="68" t="n">
        <f aca="false">BB188+BB187</f>
        <v>5886947.40840649</v>
      </c>
      <c r="BC189" s="68" t="n">
        <f aca="false">BC188+BC187</f>
        <v>6139534.54204252</v>
      </c>
      <c r="BD189" s="68" t="n">
        <f aca="false">BD188+BD187</f>
        <v>6392139.23123412</v>
      </c>
      <c r="BE189" s="68" t="n">
        <f aca="false">BE188+BE187</f>
        <v>6644761.47598126</v>
      </c>
      <c r="BF189" s="68" t="n">
        <f aca="false">BF188+BF187</f>
        <v>6897401.27628397</v>
      </c>
      <c r="BG189" s="68" t="n">
        <f aca="false">BG188+BG187</f>
        <v>7150058.63214223</v>
      </c>
      <c r="BH189" s="68" t="n">
        <f aca="false">BH188+BH187</f>
        <v>7402733.54355604</v>
      </c>
      <c r="BI189" s="68" t="n">
        <f aca="false">BI188+BI187</f>
        <v>7655426.01052541</v>
      </c>
      <c r="BJ189" s="68" t="n">
        <f aca="false">BJ188+BJ187</f>
        <v>7908136.03305034</v>
      </c>
    </row>
    <row r="190" customFormat="false" ht="15" hidden="false" customHeight="false" outlineLevel="0" collapsed="false">
      <c r="A190" s="120" t="s">
        <v>425</v>
      </c>
      <c r="C190" s="117" t="n">
        <f aca="false">IF(C150&gt;0,1,0)</f>
        <v>1</v>
      </c>
      <c r="D190" s="117" t="n">
        <f aca="false">IF(D150&gt;0,1,0)</f>
        <v>1</v>
      </c>
      <c r="E190" s="117" t="n">
        <f aca="false">IF(E150&gt;0,1,0)</f>
        <v>1</v>
      </c>
      <c r="F190" s="117" t="n">
        <f aca="false">IF(F150&gt;0,1,0)</f>
        <v>1</v>
      </c>
      <c r="G190" s="117" t="n">
        <f aca="false">IF(G150&gt;0,1,0)</f>
        <v>1</v>
      </c>
      <c r="H190" s="117" t="n">
        <f aca="false">IF(H150&gt;0,1,0)</f>
        <v>1</v>
      </c>
      <c r="I190" s="117" t="n">
        <f aca="false">IF(I150&gt;0,1,0)</f>
        <v>1</v>
      </c>
      <c r="J190" s="117" t="n">
        <f aca="false">IF(J150&gt;0,1,0)</f>
        <v>1</v>
      </c>
      <c r="K190" s="117" t="n">
        <f aca="false">IF(K150&gt;0,1,0)</f>
        <v>1</v>
      </c>
      <c r="L190" s="117" t="n">
        <f aca="false">IF(L150&gt;0,1,0)</f>
        <v>1</v>
      </c>
      <c r="M190" s="117" t="n">
        <f aca="false">IF(M150&gt;0,1,0)</f>
        <v>1</v>
      </c>
      <c r="N190" s="117" t="n">
        <f aca="false">IF(N150&gt;0,1,0)</f>
        <v>1</v>
      </c>
      <c r="O190" s="117" t="n">
        <f aca="false">IF(O150&gt;0,1,0)</f>
        <v>1</v>
      </c>
      <c r="P190" s="117" t="n">
        <f aca="false">IF(P150&gt;0,1,0)</f>
        <v>1</v>
      </c>
      <c r="Q190" s="117" t="n">
        <f aca="false">IF(Q150&gt;0,1,0)</f>
        <v>1</v>
      </c>
      <c r="R190" s="117" t="n">
        <f aca="false">IF(R150&gt;0,1,0)</f>
        <v>1</v>
      </c>
      <c r="S190" s="117" t="n">
        <f aca="false">IF(S150&gt;0,1,0)</f>
        <v>1</v>
      </c>
      <c r="T190" s="117" t="n">
        <f aca="false">IF(T150&gt;0,1,0)</f>
        <v>1</v>
      </c>
      <c r="U190" s="117" t="n">
        <f aca="false">IF(U150&gt;0,1,0)</f>
        <v>1</v>
      </c>
      <c r="V190" s="117" t="n">
        <f aca="false">IF(V150&gt;0,1,0)</f>
        <v>1</v>
      </c>
      <c r="W190" s="117" t="n">
        <f aca="false">IF(W150&gt;0,1,0)</f>
        <v>1</v>
      </c>
      <c r="X190" s="117" t="n">
        <f aca="false">IF(X150&gt;0,1,0)</f>
        <v>1</v>
      </c>
      <c r="Y190" s="117" t="n">
        <f aca="false">IF(Y150&gt;0,1,0)</f>
        <v>1</v>
      </c>
      <c r="Z190" s="117" t="n">
        <f aca="false">IF(Z150&gt;0,1,0)</f>
        <v>1</v>
      </c>
      <c r="AA190" s="117" t="n">
        <f aca="false">IF(AA150&gt;0,1,0)</f>
        <v>1</v>
      </c>
      <c r="AB190" s="117" t="n">
        <f aca="false">IF(AB150&gt;0,1,0)</f>
        <v>1</v>
      </c>
      <c r="AC190" s="117" t="n">
        <f aca="false">IF(AC150&gt;0,1,0)</f>
        <v>1</v>
      </c>
      <c r="AD190" s="117" t="n">
        <f aca="false">IF(AD150&gt;0,1,0)</f>
        <v>1</v>
      </c>
      <c r="AE190" s="117" t="n">
        <f aca="false">IF(AE150&gt;0,1,0)</f>
        <v>1</v>
      </c>
      <c r="AF190" s="117" t="n">
        <f aca="false">IF(AF150&gt;0,1,0)</f>
        <v>1</v>
      </c>
      <c r="AG190" s="117" t="n">
        <f aca="false">IF(AG150&gt;0,1,0)</f>
        <v>1</v>
      </c>
      <c r="AH190" s="117" t="n">
        <f aca="false">IF(AH150&gt;0,1,0)</f>
        <v>1</v>
      </c>
      <c r="AI190" s="117" t="n">
        <f aca="false">IF(AI150&gt;0,1,0)</f>
        <v>1</v>
      </c>
      <c r="AJ190" s="117" t="n">
        <f aca="false">IF(AJ150&gt;0,1,0)</f>
        <v>1</v>
      </c>
      <c r="AK190" s="117" t="n">
        <f aca="false">IF(AK150&gt;0,1,0)</f>
        <v>1</v>
      </c>
      <c r="AL190" s="117" t="n">
        <f aca="false">IF(AL150&gt;0,1,0)</f>
        <v>1</v>
      </c>
      <c r="AM190" s="117" t="n">
        <f aca="false">IF(AM150&gt;0,1,0)</f>
        <v>1</v>
      </c>
      <c r="AN190" s="117" t="n">
        <f aca="false">IF(AN150&gt;0,1,0)</f>
        <v>1</v>
      </c>
      <c r="AO190" s="117" t="n">
        <f aca="false">IF(AO150&gt;0,1,0)</f>
        <v>1</v>
      </c>
      <c r="AP190" s="117" t="n">
        <f aca="false">IF(AP150&gt;0,1,0)</f>
        <v>1</v>
      </c>
      <c r="AQ190" s="117" t="n">
        <f aca="false">IF(AQ150&gt;0,1,0)</f>
        <v>1</v>
      </c>
      <c r="AR190" s="117" t="n">
        <f aca="false">IF(AR150&gt;0,1,0)</f>
        <v>1</v>
      </c>
      <c r="AS190" s="117" t="n">
        <f aca="false">IF(AS150&gt;0,1,0)</f>
        <v>1</v>
      </c>
      <c r="AT190" s="117" t="n">
        <f aca="false">IF(AT150&gt;0,1,0)</f>
        <v>1</v>
      </c>
      <c r="AU190" s="117" t="n">
        <f aca="false">IF(AU150&gt;0,1,0)</f>
        <v>1</v>
      </c>
      <c r="AV190" s="117" t="n">
        <f aca="false">IF(AV150&gt;0,1,0)</f>
        <v>1</v>
      </c>
      <c r="AW190" s="117" t="n">
        <f aca="false">IF(AW150&gt;0,1,0)</f>
        <v>1</v>
      </c>
      <c r="AX190" s="117" t="n">
        <f aca="false">IF(AX150&gt;0,1,0)</f>
        <v>1</v>
      </c>
      <c r="AY190" s="117" t="n">
        <f aca="false">IF(AY150&gt;0,1,0)</f>
        <v>1</v>
      </c>
      <c r="AZ190" s="117" t="n">
        <f aca="false">IF(AZ150&gt;0,1,0)</f>
        <v>1</v>
      </c>
      <c r="BA190" s="117" t="n">
        <f aca="false">IF(BA150&gt;0,1,0)</f>
        <v>1</v>
      </c>
      <c r="BB190" s="117" t="n">
        <f aca="false">IF(BB150&gt;0,1,0)</f>
        <v>1</v>
      </c>
      <c r="BC190" s="117" t="n">
        <f aca="false">IF(BC150&gt;0,1,0)</f>
        <v>1</v>
      </c>
      <c r="BD190" s="117" t="n">
        <f aca="false">IF(BD150&gt;0,1,0)</f>
        <v>1</v>
      </c>
      <c r="BE190" s="117" t="n">
        <f aca="false">IF(BE150&gt;0,1,0)</f>
        <v>1</v>
      </c>
      <c r="BF190" s="117" t="n">
        <f aca="false">IF(BF150&gt;0,1,0)</f>
        <v>1</v>
      </c>
      <c r="BG190" s="117" t="n">
        <f aca="false">IF(BG150&gt;0,1,0)</f>
        <v>1</v>
      </c>
      <c r="BH190" s="117" t="n">
        <f aca="false">IF(BH150&gt;0,1,0)</f>
        <v>1</v>
      </c>
      <c r="BI190" s="117" t="n">
        <f aca="false">IF(BI150&gt;0,1,0)</f>
        <v>1</v>
      </c>
      <c r="BJ190" s="117" t="n">
        <f aca="false">IF(BJ150&gt;0,1,0)</f>
        <v>1</v>
      </c>
    </row>
    <row r="192" customFormat="false" ht="15.75" hidden="false" customHeight="true" outlineLevel="0" collapsed="false">
      <c r="A192" s="7" t="s">
        <v>426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customFormat="false" ht="15" hidden="false" customHeight="false" outlineLevel="0" collapsed="false">
      <c r="A193" s="120" t="s">
        <v>427</v>
      </c>
      <c r="C193" s="117" t="n">
        <f aca="false">IF(C159&gt;0,1,0)</f>
        <v>1</v>
      </c>
      <c r="D193" s="117" t="n">
        <f aca="false">IF(D159&gt;0,1,0)</f>
        <v>1</v>
      </c>
      <c r="E193" s="117" t="n">
        <f aca="false">IF(E159&gt;0,1,0)</f>
        <v>1</v>
      </c>
      <c r="F193" s="117" t="n">
        <f aca="false">IF(F159&gt;0,1,0)</f>
        <v>1</v>
      </c>
      <c r="G193" s="117" t="n">
        <f aca="false">IF(G159&gt;0,1,0)</f>
        <v>1</v>
      </c>
      <c r="H193" s="117" t="n">
        <f aca="false">IF(H159&gt;0,1,0)</f>
        <v>1</v>
      </c>
      <c r="I193" s="117" t="n">
        <f aca="false">IF(I159&gt;0,1,0)</f>
        <v>1</v>
      </c>
      <c r="J193" s="117" t="n">
        <f aca="false">IF(J159&gt;0,1,0)</f>
        <v>1</v>
      </c>
      <c r="K193" s="117" t="n">
        <f aca="false">IF(K159&gt;0,1,0)</f>
        <v>1</v>
      </c>
      <c r="L193" s="117" t="n">
        <f aca="false">IF(L159&gt;0,1,0)</f>
        <v>1</v>
      </c>
      <c r="M193" s="117" t="n">
        <f aca="false">IF(M159&gt;0,1,0)</f>
        <v>1</v>
      </c>
      <c r="N193" s="117" t="n">
        <f aca="false">IF(N159&gt;0,1,0)</f>
        <v>1</v>
      </c>
      <c r="O193" s="117" t="n">
        <f aca="false">IF(O159&gt;0,1,0)</f>
        <v>1</v>
      </c>
      <c r="P193" s="117" t="n">
        <f aca="false">IF(P159&gt;0,1,0)</f>
        <v>1</v>
      </c>
      <c r="Q193" s="117" t="n">
        <f aca="false">IF(Q159&gt;0,1,0)</f>
        <v>1</v>
      </c>
      <c r="R193" s="117" t="n">
        <f aca="false">IF(R159&gt;0,1,0)</f>
        <v>1</v>
      </c>
      <c r="S193" s="117" t="n">
        <f aca="false">IF(S159&gt;0,1,0)</f>
        <v>1</v>
      </c>
      <c r="T193" s="117" t="n">
        <f aca="false">IF(T159&gt;0,1,0)</f>
        <v>1</v>
      </c>
      <c r="U193" s="117" t="n">
        <f aca="false">IF(U159&gt;0,1,0)</f>
        <v>1</v>
      </c>
      <c r="V193" s="117" t="n">
        <f aca="false">IF(V159&gt;0,1,0)</f>
        <v>1</v>
      </c>
      <c r="W193" s="117" t="n">
        <f aca="false">IF(W159&gt;0,1,0)</f>
        <v>1</v>
      </c>
      <c r="X193" s="117" t="n">
        <f aca="false">IF(X159&gt;0,1,0)</f>
        <v>1</v>
      </c>
      <c r="Y193" s="117" t="n">
        <f aca="false">IF(Y159&gt;0,1,0)</f>
        <v>1</v>
      </c>
      <c r="Z193" s="117" t="n">
        <f aca="false">IF(Z159&gt;0,1,0)</f>
        <v>1</v>
      </c>
      <c r="AA193" s="117" t="n">
        <f aca="false">IF(AA159&gt;0,1,0)</f>
        <v>1</v>
      </c>
      <c r="AB193" s="117" t="n">
        <f aca="false">IF(AB159&gt;0,1,0)</f>
        <v>1</v>
      </c>
      <c r="AC193" s="117" t="n">
        <f aca="false">IF(AC159&gt;0,1,0)</f>
        <v>1</v>
      </c>
      <c r="AD193" s="117" t="n">
        <f aca="false">IF(AD159&gt;0,1,0)</f>
        <v>1</v>
      </c>
      <c r="AE193" s="117" t="n">
        <f aca="false">IF(AE159&gt;0,1,0)</f>
        <v>1</v>
      </c>
      <c r="AF193" s="117" t="n">
        <f aca="false">IF(AF159&gt;0,1,0)</f>
        <v>1</v>
      </c>
      <c r="AG193" s="117" t="n">
        <f aca="false">IF(AG159&gt;0,1,0)</f>
        <v>1</v>
      </c>
      <c r="AH193" s="117" t="n">
        <f aca="false">IF(AH159&gt;0,1,0)</f>
        <v>1</v>
      </c>
      <c r="AI193" s="117" t="n">
        <f aca="false">IF(AI159&gt;0,1,0)</f>
        <v>1</v>
      </c>
      <c r="AJ193" s="117" t="n">
        <f aca="false">IF(AJ159&gt;0,1,0)</f>
        <v>1</v>
      </c>
      <c r="AK193" s="117" t="n">
        <f aca="false">IF(AK159&gt;0,1,0)</f>
        <v>1</v>
      </c>
      <c r="AL193" s="117" t="n">
        <f aca="false">IF(AL159&gt;0,1,0)</f>
        <v>1</v>
      </c>
      <c r="AM193" s="117" t="n">
        <f aca="false">IF(AM159&gt;0,1,0)</f>
        <v>1</v>
      </c>
      <c r="AN193" s="117" t="n">
        <f aca="false">IF(AN159&gt;0,1,0)</f>
        <v>1</v>
      </c>
      <c r="AO193" s="117" t="n">
        <f aca="false">IF(AO159&gt;0,1,0)</f>
        <v>1</v>
      </c>
      <c r="AP193" s="117" t="n">
        <f aca="false">IF(AP159&gt;0,1,0)</f>
        <v>1</v>
      </c>
      <c r="AQ193" s="117" t="n">
        <f aca="false">IF(AQ159&gt;0,1,0)</f>
        <v>1</v>
      </c>
      <c r="AR193" s="117" t="n">
        <f aca="false">IF(AR159&gt;0,1,0)</f>
        <v>1</v>
      </c>
      <c r="AS193" s="117" t="n">
        <f aca="false">IF(AS159&gt;0,1,0)</f>
        <v>1</v>
      </c>
      <c r="AT193" s="117" t="n">
        <f aca="false">IF(AT159&gt;0,1,0)</f>
        <v>1</v>
      </c>
      <c r="AU193" s="117" t="n">
        <f aca="false">IF(AU159&gt;0,1,0)</f>
        <v>1</v>
      </c>
      <c r="AV193" s="117" t="n">
        <f aca="false">IF(AV159&gt;0,1,0)</f>
        <v>1</v>
      </c>
      <c r="AW193" s="117" t="n">
        <f aca="false">IF(AW159&gt;0,1,0)</f>
        <v>1</v>
      </c>
      <c r="AX193" s="117" t="n">
        <f aca="false">IF(AX159&gt;0,1,0)</f>
        <v>1</v>
      </c>
      <c r="AY193" s="117" t="n">
        <f aca="false">IF(AY159&gt;0,1,0)</f>
        <v>1</v>
      </c>
      <c r="AZ193" s="117" t="n">
        <f aca="false">IF(AZ159&gt;0,1,0)</f>
        <v>1</v>
      </c>
      <c r="BA193" s="117" t="n">
        <f aca="false">IF(BA159&gt;0,1,0)</f>
        <v>1</v>
      </c>
      <c r="BB193" s="117" t="n">
        <f aca="false">IF(BB159&gt;0,1,0)</f>
        <v>1</v>
      </c>
      <c r="BC193" s="117" t="n">
        <f aca="false">IF(BC159&gt;0,1,0)</f>
        <v>1</v>
      </c>
      <c r="BD193" s="117" t="n">
        <f aca="false">IF(BD159&gt;0,1,0)</f>
        <v>1</v>
      </c>
      <c r="BE193" s="117" t="n">
        <f aca="false">IF(BE159&gt;0,1,0)</f>
        <v>1</v>
      </c>
      <c r="BF193" s="117" t="n">
        <f aca="false">IF(BF159&gt;0,1,0)</f>
        <v>1</v>
      </c>
      <c r="BG193" s="117" t="n">
        <f aca="false">IF(BG159&gt;0,1,0)</f>
        <v>1</v>
      </c>
      <c r="BH193" s="117" t="n">
        <f aca="false">IF(BH159&gt;0,1,0)</f>
        <v>1</v>
      </c>
      <c r="BI193" s="117" t="n">
        <f aca="false">IF(BI159&gt;0,1,0)</f>
        <v>1</v>
      </c>
      <c r="BJ193" s="117" t="n">
        <f aca="false">IF(BJ159&gt;0,1,0)</f>
        <v>1</v>
      </c>
    </row>
    <row r="194" customFormat="false" ht="15" hidden="false" customHeight="false" outlineLevel="0" collapsed="false">
      <c r="A194" s="6" t="s">
        <v>428</v>
      </c>
      <c r="C194" s="67" t="n">
        <f aca="false">C183+C184</f>
        <v>-442319.682533333</v>
      </c>
      <c r="D194" s="67" t="n">
        <f aca="false">D183+D184</f>
        <v>68330.3552444445</v>
      </c>
      <c r="E194" s="67" t="n">
        <f aca="false">E183+E184</f>
        <v>68347.9108</v>
      </c>
      <c r="F194" s="67" t="n">
        <f aca="false">F183+F184</f>
        <v>68365.4663555556</v>
      </c>
      <c r="G194" s="67" t="n">
        <f aca="false">G183+G184</f>
        <v>68383.0219111111</v>
      </c>
      <c r="H194" s="67" t="n">
        <f aca="false">H183+H184</f>
        <v>68400.5774666667</v>
      </c>
      <c r="I194" s="67" t="n">
        <f aca="false">I183+I184</f>
        <v>68418.1330222222</v>
      </c>
      <c r="J194" s="67" t="n">
        <f aca="false">J183+J184</f>
        <v>68435.6885777778</v>
      </c>
      <c r="K194" s="67" t="n">
        <f aca="false">K183+K184</f>
        <v>68453.2441333333</v>
      </c>
      <c r="L194" s="67" t="n">
        <f aca="false">L183+L184</f>
        <v>68470.7996888889</v>
      </c>
      <c r="M194" s="67" t="n">
        <f aca="false">M183+M184</f>
        <v>68488.3552444444</v>
      </c>
      <c r="N194" s="67" t="n">
        <f aca="false">N183+N184</f>
        <v>68505.9108</v>
      </c>
      <c r="O194" s="67" t="n">
        <f aca="false">O183+O184</f>
        <v>-36011.2100616446</v>
      </c>
      <c r="P194" s="67" t="n">
        <f aca="false">P183+P184</f>
        <v>97442.3671539113</v>
      </c>
      <c r="Q194" s="67" t="n">
        <f aca="false">Q183+Q184</f>
        <v>97459.9227094669</v>
      </c>
      <c r="R194" s="67" t="n">
        <f aca="false">R183+R184</f>
        <v>97477.4782650224</v>
      </c>
      <c r="S194" s="67" t="n">
        <f aca="false">S183+S184</f>
        <v>97495.033820578</v>
      </c>
      <c r="T194" s="67" t="n">
        <f aca="false">T183+T184</f>
        <v>97512.5893761335</v>
      </c>
      <c r="U194" s="67" t="n">
        <f aca="false">U183+U184</f>
        <v>97530.1449316891</v>
      </c>
      <c r="V194" s="67" t="n">
        <f aca="false">V183+V184</f>
        <v>97547.7004872446</v>
      </c>
      <c r="W194" s="67" t="n">
        <f aca="false">W183+W184</f>
        <v>97565.2560428002</v>
      </c>
      <c r="X194" s="67" t="n">
        <f aca="false">X183+X184</f>
        <v>97582.8115983558</v>
      </c>
      <c r="Y194" s="67" t="n">
        <f aca="false">Y183+Y184</f>
        <v>97600.3671539113</v>
      </c>
      <c r="Z194" s="67" t="n">
        <f aca="false">Z183+Z184</f>
        <v>97617.9227094669</v>
      </c>
      <c r="AA194" s="67" t="n">
        <f aca="false">AA183+AA184</f>
        <v>-38007.7622764207</v>
      </c>
      <c r="AB194" s="67" t="n">
        <f aca="false">AB183+AB184</f>
        <v>136118.424028595</v>
      </c>
      <c r="AC194" s="67" t="n">
        <f aca="false">AC183+AC184</f>
        <v>136135.97958415</v>
      </c>
      <c r="AD194" s="67" t="n">
        <f aca="false">AD183+AD184</f>
        <v>136153.535139706</v>
      </c>
      <c r="AE194" s="67" t="n">
        <f aca="false">AE183+AE184</f>
        <v>136171.090695261</v>
      </c>
      <c r="AF194" s="67" t="n">
        <f aca="false">AF183+AF184</f>
        <v>136188.646250817</v>
      </c>
      <c r="AG194" s="67" t="n">
        <f aca="false">AG183+AG184</f>
        <v>136206.201806372</v>
      </c>
      <c r="AH194" s="67" t="n">
        <f aca="false">AH183+AH184</f>
        <v>136223.757361928</v>
      </c>
      <c r="AI194" s="67" t="n">
        <f aca="false">AI183+AI184</f>
        <v>136241.312917484</v>
      </c>
      <c r="AJ194" s="67" t="n">
        <f aca="false">AJ183+AJ184</f>
        <v>136258.868473039</v>
      </c>
      <c r="AK194" s="67" t="n">
        <f aca="false">AK183+AK184</f>
        <v>136276.424028595</v>
      </c>
      <c r="AL194" s="67" t="n">
        <f aca="false">AL183+AL184</f>
        <v>136293.97958415</v>
      </c>
      <c r="AM194" s="67" t="n">
        <f aca="false">AM183+AM184</f>
        <v>-39987.8011922158</v>
      </c>
      <c r="AN194" s="67" t="n">
        <f aca="false">AN183+AN184</f>
        <v>187522.328951813</v>
      </c>
      <c r="AO194" s="67" t="n">
        <f aca="false">AO183+AO184</f>
        <v>187539.884507368</v>
      </c>
      <c r="AP194" s="67" t="n">
        <f aca="false">AP183+AP184</f>
        <v>187557.440062924</v>
      </c>
      <c r="AQ194" s="67" t="n">
        <f aca="false">AQ183+AQ184</f>
        <v>187574.995618479</v>
      </c>
      <c r="AR194" s="67" t="n">
        <f aca="false">AR183+AR184</f>
        <v>187592.551174035</v>
      </c>
      <c r="AS194" s="67" t="n">
        <f aca="false">AS183+AS184</f>
        <v>187610.10672959</v>
      </c>
      <c r="AT194" s="67" t="n">
        <f aca="false">AT183+AT184</f>
        <v>187627.662285146</v>
      </c>
      <c r="AU194" s="67" t="n">
        <f aca="false">AU183+AU184</f>
        <v>187645.217840702</v>
      </c>
      <c r="AV194" s="67" t="n">
        <f aca="false">AV183+AV184</f>
        <v>187662.773396257</v>
      </c>
      <c r="AW194" s="67" t="n">
        <f aca="false">AW183+AW184</f>
        <v>187680.328951813</v>
      </c>
      <c r="AX194" s="67" t="n">
        <f aca="false">AX183+AX184</f>
        <v>187697.884507368</v>
      </c>
      <c r="AY194" s="67" t="n">
        <f aca="false">AY183+AY184</f>
        <v>-41792.6544932909</v>
      </c>
      <c r="AZ194" s="67" t="n">
        <f aca="false">AZ183+AZ184</f>
        <v>255867.800302703</v>
      </c>
      <c r="BA194" s="67" t="n">
        <f aca="false">BA183+BA184</f>
        <v>255885.355858259</v>
      </c>
      <c r="BB194" s="67" t="n">
        <f aca="false">BB183+BB184</f>
        <v>255902.911413815</v>
      </c>
      <c r="BC194" s="67" t="n">
        <f aca="false">BC183+BC184</f>
        <v>255920.46696937</v>
      </c>
      <c r="BD194" s="67" t="n">
        <f aca="false">BD183+BD184</f>
        <v>255938.022524926</v>
      </c>
      <c r="BE194" s="67" t="n">
        <f aca="false">BE183+BE184</f>
        <v>255955.578080481</v>
      </c>
      <c r="BF194" s="67" t="n">
        <f aca="false">BF183+BF184</f>
        <v>255973.133636037</v>
      </c>
      <c r="BG194" s="67" t="n">
        <f aca="false">BG183+BG184</f>
        <v>255990.689191592</v>
      </c>
      <c r="BH194" s="67" t="n">
        <f aca="false">BH183+BH184</f>
        <v>256008.244747148</v>
      </c>
      <c r="BI194" s="67" t="n">
        <f aca="false">BI183+BI184</f>
        <v>256025.800302704</v>
      </c>
      <c r="BJ194" s="67" t="n">
        <f aca="false">BJ183+BJ184</f>
        <v>256043.355858259</v>
      </c>
    </row>
    <row r="195" customFormat="false" ht="15" hidden="false" customHeight="false" outlineLevel="0" collapsed="false">
      <c r="A195" s="6" t="s">
        <v>429</v>
      </c>
      <c r="C195" s="67" t="n">
        <f aca="false">C194</f>
        <v>-442319.682533333</v>
      </c>
      <c r="D195" s="67" t="n">
        <f aca="false">C195+D194</f>
        <v>-373989.327288889</v>
      </c>
      <c r="E195" s="67" t="n">
        <f aca="false">D195+E194</f>
        <v>-305641.416488889</v>
      </c>
      <c r="F195" s="67" t="n">
        <f aca="false">E195+F194</f>
        <v>-237275.950133333</v>
      </c>
      <c r="G195" s="67" t="n">
        <f aca="false">F195+G194</f>
        <v>-168892.928222222</v>
      </c>
      <c r="H195" s="67" t="n">
        <f aca="false">G195+H194</f>
        <v>-100492.350755556</v>
      </c>
      <c r="I195" s="67" t="n">
        <f aca="false">H195+I194</f>
        <v>-32074.2177333333</v>
      </c>
      <c r="J195" s="67" t="n">
        <f aca="false">I195+J194</f>
        <v>36361.4708444445</v>
      </c>
      <c r="K195" s="67" t="n">
        <f aca="false">J195+K194</f>
        <v>104814.714977778</v>
      </c>
      <c r="L195" s="67" t="n">
        <f aca="false">K195+L194</f>
        <v>173285.514666667</v>
      </c>
      <c r="M195" s="67" t="n">
        <f aca="false">L195+M194</f>
        <v>241773.869911111</v>
      </c>
      <c r="N195" s="67" t="n">
        <f aca="false">M195+N194</f>
        <v>310279.780711111</v>
      </c>
      <c r="O195" s="67" t="n">
        <f aca="false">N195+O194</f>
        <v>274268.570649467</v>
      </c>
      <c r="P195" s="67" t="n">
        <f aca="false">O195+P194</f>
        <v>371710.937803378</v>
      </c>
      <c r="Q195" s="67" t="n">
        <f aca="false">P195+Q194</f>
        <v>469170.860512845</v>
      </c>
      <c r="R195" s="67" t="n">
        <f aca="false">Q195+R194</f>
        <v>566648.338777867</v>
      </c>
      <c r="S195" s="67" t="n">
        <f aca="false">R195+S194</f>
        <v>664143.372598445</v>
      </c>
      <c r="T195" s="67" t="n">
        <f aca="false">S195+T194</f>
        <v>761655.961974579</v>
      </c>
      <c r="U195" s="67" t="n">
        <f aca="false">T195+U194</f>
        <v>859186.106906268</v>
      </c>
      <c r="V195" s="67" t="n">
        <f aca="false">U195+V194</f>
        <v>956733.807393512</v>
      </c>
      <c r="W195" s="67" t="n">
        <f aca="false">V195+W194</f>
        <v>1054299.06343631</v>
      </c>
      <c r="X195" s="67" t="n">
        <f aca="false">W195+X194</f>
        <v>1151881.87503467</v>
      </c>
      <c r="Y195" s="67" t="n">
        <f aca="false">X195+Y194</f>
        <v>1249482.24218858</v>
      </c>
      <c r="Z195" s="67" t="n">
        <f aca="false">Y195+Z194</f>
        <v>1347100.16489805</v>
      </c>
      <c r="AA195" s="67" t="n">
        <f aca="false">Z195+AA194</f>
        <v>1309092.40262163</v>
      </c>
      <c r="AB195" s="67" t="n">
        <f aca="false">AA195+AB194</f>
        <v>1445210.82665022</v>
      </c>
      <c r="AC195" s="67" t="n">
        <f aca="false">AB195+AC194</f>
        <v>1581346.80623437</v>
      </c>
      <c r="AD195" s="67" t="n">
        <f aca="false">AC195+AD194</f>
        <v>1717500.34137408</v>
      </c>
      <c r="AE195" s="67" t="n">
        <f aca="false">AD195+AE194</f>
        <v>1853671.43206934</v>
      </c>
      <c r="AF195" s="67" t="n">
        <f aca="false">AE195+AF194</f>
        <v>1989860.07832015</v>
      </c>
      <c r="AG195" s="67" t="n">
        <f aca="false">AF195+AG194</f>
        <v>2126066.28012653</v>
      </c>
      <c r="AH195" s="67" t="n">
        <f aca="false">AG195+AH194</f>
        <v>2262290.03748846</v>
      </c>
      <c r="AI195" s="67" t="n">
        <f aca="false">AH195+AI194</f>
        <v>2398531.35040594</v>
      </c>
      <c r="AJ195" s="67" t="n">
        <f aca="false">AI195+AJ194</f>
        <v>2534790.21887898</v>
      </c>
      <c r="AK195" s="67" t="n">
        <f aca="false">AJ195+AK194</f>
        <v>2671066.64290757</v>
      </c>
      <c r="AL195" s="67" t="n">
        <f aca="false">AK195+AL194</f>
        <v>2807360.62249172</v>
      </c>
      <c r="AM195" s="67" t="n">
        <f aca="false">AL195+AM194</f>
        <v>2767372.82129951</v>
      </c>
      <c r="AN195" s="67" t="n">
        <f aca="false">AM195+AN194</f>
        <v>2954895.15025132</v>
      </c>
      <c r="AO195" s="67" t="n">
        <f aca="false">AN195+AO194</f>
        <v>3142435.03475869</v>
      </c>
      <c r="AP195" s="67" t="n">
        <f aca="false">AO195+AP194</f>
        <v>3329992.47482161</v>
      </c>
      <c r="AQ195" s="67" t="n">
        <f aca="false">AP195+AQ194</f>
        <v>3517567.47044009</v>
      </c>
      <c r="AR195" s="67" t="n">
        <f aca="false">AQ195+AR194</f>
        <v>3705160.02161413</v>
      </c>
      <c r="AS195" s="67" t="n">
        <f aca="false">AR195+AS194</f>
        <v>3892770.12834372</v>
      </c>
      <c r="AT195" s="67" t="n">
        <f aca="false">AS195+AT194</f>
        <v>4080397.79062886</v>
      </c>
      <c r="AU195" s="67" t="n">
        <f aca="false">AT195+AU194</f>
        <v>4268043.00846956</v>
      </c>
      <c r="AV195" s="67" t="n">
        <f aca="false">AU195+AV194</f>
        <v>4455705.78186582</v>
      </c>
      <c r="AW195" s="67" t="n">
        <f aca="false">AV195+AW194</f>
        <v>4643386.11081763</v>
      </c>
      <c r="AX195" s="67" t="n">
        <f aca="false">AW195+AX194</f>
        <v>4831083.995325</v>
      </c>
      <c r="AY195" s="67" t="n">
        <f aca="false">AX195+AY194</f>
        <v>4789291.34083171</v>
      </c>
      <c r="AZ195" s="67" t="n">
        <f aca="false">AY195+AZ194</f>
        <v>5045159.14113442</v>
      </c>
      <c r="BA195" s="67" t="n">
        <f aca="false">AZ195+BA194</f>
        <v>5301044.49699267</v>
      </c>
      <c r="BB195" s="67" t="n">
        <f aca="false">BA195+BB194</f>
        <v>5556947.40840649</v>
      </c>
      <c r="BC195" s="67" t="n">
        <f aca="false">BB195+BC194</f>
        <v>5812867.87537586</v>
      </c>
      <c r="BD195" s="67" t="n">
        <f aca="false">BC195+BD194</f>
        <v>6068805.89790078</v>
      </c>
      <c r="BE195" s="67" t="n">
        <f aca="false">BD195+BE194</f>
        <v>6324761.47598127</v>
      </c>
      <c r="BF195" s="67" t="n">
        <f aca="false">BE195+BF194</f>
        <v>6580734.6096173</v>
      </c>
      <c r="BG195" s="67" t="n">
        <f aca="false">BF195+BG194</f>
        <v>6836725.2988089</v>
      </c>
      <c r="BH195" s="67" t="n">
        <f aca="false">BG195+BH194</f>
        <v>7092733.54355604</v>
      </c>
      <c r="BI195" s="67" t="n">
        <f aca="false">BH195+BI194</f>
        <v>7348759.34385875</v>
      </c>
      <c r="BJ195" s="67" t="n">
        <f aca="false">BI195+BJ194</f>
        <v>7604802.69971701</v>
      </c>
    </row>
    <row r="196" customFormat="false" ht="15" hidden="false" customHeight="false" outlineLevel="0" collapsed="false">
      <c r="A196" s="120" t="s">
        <v>430</v>
      </c>
      <c r="C196" s="67" t="n">
        <f aca="false">C195</f>
        <v>-442319.682533333</v>
      </c>
      <c r="D196" s="67" t="n">
        <f aca="false">MIN(C196,D195)</f>
        <v>-442319.682533333</v>
      </c>
      <c r="E196" s="67" t="n">
        <f aca="false">MIN(D196,E195)</f>
        <v>-442319.682533333</v>
      </c>
      <c r="F196" s="67" t="n">
        <f aca="false">MIN(E196,F195)</f>
        <v>-442319.682533333</v>
      </c>
      <c r="G196" s="67" t="n">
        <f aca="false">MIN(F196,G195)</f>
        <v>-442319.682533333</v>
      </c>
      <c r="H196" s="67" t="n">
        <f aca="false">MIN(G196,H195)</f>
        <v>-442319.682533333</v>
      </c>
      <c r="I196" s="67" t="n">
        <f aca="false">MIN(H196,I195)</f>
        <v>-442319.682533333</v>
      </c>
      <c r="J196" s="67" t="n">
        <f aca="false">MIN(I196,J195)</f>
        <v>-442319.682533333</v>
      </c>
      <c r="K196" s="67" t="n">
        <f aca="false">MIN(J196,K195)</f>
        <v>-442319.682533333</v>
      </c>
      <c r="L196" s="67" t="n">
        <f aca="false">MIN(K196,L195)</f>
        <v>-442319.682533333</v>
      </c>
      <c r="M196" s="67" t="n">
        <f aca="false">MIN(L196,M195)</f>
        <v>-442319.682533333</v>
      </c>
      <c r="N196" s="67" t="n">
        <f aca="false">MIN(M196,N195)</f>
        <v>-442319.682533333</v>
      </c>
      <c r="O196" s="67" t="n">
        <f aca="false">MIN(N196,O195)</f>
        <v>-442319.682533333</v>
      </c>
      <c r="P196" s="67" t="n">
        <f aca="false">MIN(O196,P195)</f>
        <v>-442319.682533333</v>
      </c>
      <c r="Q196" s="67" t="n">
        <f aca="false">MIN(P196,Q195)</f>
        <v>-442319.682533333</v>
      </c>
      <c r="R196" s="67" t="n">
        <f aca="false">MIN(Q196,R195)</f>
        <v>-442319.682533333</v>
      </c>
      <c r="S196" s="67" t="n">
        <f aca="false">MIN(R196,S195)</f>
        <v>-442319.682533333</v>
      </c>
      <c r="T196" s="67" t="n">
        <f aca="false">MIN(S196,T195)</f>
        <v>-442319.682533333</v>
      </c>
      <c r="U196" s="67" t="n">
        <f aca="false">MIN(T196,U195)</f>
        <v>-442319.682533333</v>
      </c>
      <c r="V196" s="67" t="n">
        <f aca="false">MIN(U196,V195)</f>
        <v>-442319.682533333</v>
      </c>
      <c r="W196" s="67" t="n">
        <f aca="false">MIN(V196,W195)</f>
        <v>-442319.682533333</v>
      </c>
      <c r="X196" s="67" t="n">
        <f aca="false">MIN(W196,X195)</f>
        <v>-442319.682533333</v>
      </c>
      <c r="Y196" s="67" t="n">
        <f aca="false">MIN(X196,Y195)</f>
        <v>-442319.682533333</v>
      </c>
      <c r="Z196" s="67" t="n">
        <f aca="false">MIN(Y196,Z195)</f>
        <v>-442319.682533333</v>
      </c>
      <c r="AA196" s="67" t="n">
        <f aca="false">MIN(Z196,AA195)</f>
        <v>-442319.682533333</v>
      </c>
      <c r="AB196" s="67" t="n">
        <f aca="false">MIN(AA196,AB195)</f>
        <v>-442319.682533333</v>
      </c>
      <c r="AC196" s="67" t="n">
        <f aca="false">MIN(AB196,AC195)</f>
        <v>-442319.682533333</v>
      </c>
      <c r="AD196" s="67" t="n">
        <f aca="false">MIN(AC196,AD195)</f>
        <v>-442319.682533333</v>
      </c>
      <c r="AE196" s="67" t="n">
        <f aca="false">MIN(AD196,AE195)</f>
        <v>-442319.682533333</v>
      </c>
      <c r="AF196" s="67" t="n">
        <f aca="false">MIN(AE196,AF195)</f>
        <v>-442319.682533333</v>
      </c>
      <c r="AG196" s="67" t="n">
        <f aca="false">MIN(AF196,AG195)</f>
        <v>-442319.682533333</v>
      </c>
      <c r="AH196" s="67" t="n">
        <f aca="false">MIN(AG196,AH195)</f>
        <v>-442319.682533333</v>
      </c>
      <c r="AI196" s="67" t="n">
        <f aca="false">MIN(AH196,AI195)</f>
        <v>-442319.682533333</v>
      </c>
      <c r="AJ196" s="67" t="n">
        <f aca="false">MIN(AI196,AJ195)</f>
        <v>-442319.682533333</v>
      </c>
      <c r="AK196" s="67" t="n">
        <f aca="false">MIN(AJ196,AK195)</f>
        <v>-442319.682533333</v>
      </c>
      <c r="AL196" s="67" t="n">
        <f aca="false">MIN(AK196,AL195)</f>
        <v>-442319.682533333</v>
      </c>
      <c r="AM196" s="67" t="n">
        <f aca="false">MIN(AL196,AM195)</f>
        <v>-442319.682533333</v>
      </c>
      <c r="AN196" s="67" t="n">
        <f aca="false">MIN(AM196,AN195)</f>
        <v>-442319.682533333</v>
      </c>
      <c r="AO196" s="67" t="n">
        <f aca="false">MIN(AN196,AO195)</f>
        <v>-442319.682533333</v>
      </c>
      <c r="AP196" s="67" t="n">
        <f aca="false">MIN(AO196,AP195)</f>
        <v>-442319.682533333</v>
      </c>
      <c r="AQ196" s="67" t="n">
        <f aca="false">MIN(AP196,AQ195)</f>
        <v>-442319.682533333</v>
      </c>
      <c r="AR196" s="67" t="n">
        <f aca="false">MIN(AQ196,AR195)</f>
        <v>-442319.682533333</v>
      </c>
      <c r="AS196" s="67" t="n">
        <f aca="false">MIN(AR196,AS195)</f>
        <v>-442319.682533333</v>
      </c>
      <c r="AT196" s="67" t="n">
        <f aca="false">MIN(AS196,AT195)</f>
        <v>-442319.682533333</v>
      </c>
      <c r="AU196" s="67" t="n">
        <f aca="false">MIN(AT196,AU195)</f>
        <v>-442319.682533333</v>
      </c>
      <c r="AV196" s="67" t="n">
        <f aca="false">MIN(AU196,AV195)</f>
        <v>-442319.682533333</v>
      </c>
      <c r="AW196" s="67" t="n">
        <f aca="false">MIN(AV196,AW195)</f>
        <v>-442319.682533333</v>
      </c>
      <c r="AX196" s="67" t="n">
        <f aca="false">MIN(AW196,AX195)</f>
        <v>-442319.682533333</v>
      </c>
      <c r="AY196" s="67" t="n">
        <f aca="false">MIN(AX196,AY195)</f>
        <v>-442319.682533333</v>
      </c>
      <c r="AZ196" s="67" t="n">
        <f aca="false">MIN(AY196,AZ195)</f>
        <v>-442319.682533333</v>
      </c>
      <c r="BA196" s="67" t="n">
        <f aca="false">MIN(AZ196,BA195)</f>
        <v>-442319.682533333</v>
      </c>
      <c r="BB196" s="67" t="n">
        <f aca="false">MIN(BA196,BB195)</f>
        <v>-442319.682533333</v>
      </c>
      <c r="BC196" s="67" t="n">
        <f aca="false">MIN(BB196,BC195)</f>
        <v>-442319.682533333</v>
      </c>
      <c r="BD196" s="67" t="n">
        <f aca="false">MIN(BC196,BD195)</f>
        <v>-442319.682533333</v>
      </c>
      <c r="BE196" s="67" t="n">
        <f aca="false">MIN(BD196,BE195)</f>
        <v>-442319.682533333</v>
      </c>
      <c r="BF196" s="67" t="n">
        <f aca="false">MIN(BE196,BF195)</f>
        <v>-442319.682533333</v>
      </c>
      <c r="BG196" s="67" t="n">
        <f aca="false">MIN(BF196,BG195)</f>
        <v>-442319.682533333</v>
      </c>
      <c r="BH196" s="67" t="n">
        <f aca="false">MIN(BG196,BH195)</f>
        <v>-442319.682533333</v>
      </c>
      <c r="BI196" s="67" t="n">
        <f aca="false">MIN(BH196,BI195)</f>
        <v>-442319.682533333</v>
      </c>
      <c r="BJ196" s="67" t="n">
        <f aca="false">MIN(BI196,BJ195)</f>
        <v>-442319.682533333</v>
      </c>
    </row>
    <row r="197" customFormat="false" ht="15" hidden="false" customHeight="false" outlineLevel="0" collapsed="false">
      <c r="A197" s="120" t="s">
        <v>431</v>
      </c>
      <c r="C197" s="117" t="n">
        <f aca="false">IF(AND(C195&gt;=0,C196&lt;0),1,0)</f>
        <v>0</v>
      </c>
      <c r="D197" s="117" t="n">
        <f aca="false">IF(AND(D195&gt;=0,D196&lt;0),1,0)</f>
        <v>0</v>
      </c>
      <c r="E197" s="117" t="n">
        <f aca="false">IF(AND(E195&gt;=0,E196&lt;0),1,0)</f>
        <v>0</v>
      </c>
      <c r="F197" s="117" t="n">
        <f aca="false">IF(AND(F195&gt;=0,F196&lt;0),1,0)</f>
        <v>0</v>
      </c>
      <c r="G197" s="117" t="n">
        <f aca="false">IF(AND(G195&gt;=0,G196&lt;0),1,0)</f>
        <v>0</v>
      </c>
      <c r="H197" s="117" t="n">
        <f aca="false">IF(AND(H195&gt;=0,H196&lt;0),1,0)</f>
        <v>0</v>
      </c>
      <c r="I197" s="117" t="n">
        <f aca="false">IF(AND(I195&gt;=0,I196&lt;0),1,0)</f>
        <v>0</v>
      </c>
      <c r="J197" s="117" t="n">
        <f aca="false">IF(AND(J195&gt;=0,J196&lt;0),1,0)</f>
        <v>1</v>
      </c>
      <c r="K197" s="117" t="n">
        <f aca="false">IF(AND(K195&gt;=0,K196&lt;0),1,0)</f>
        <v>1</v>
      </c>
      <c r="L197" s="117" t="n">
        <f aca="false">IF(AND(L195&gt;=0,L196&lt;0),1,0)</f>
        <v>1</v>
      </c>
      <c r="M197" s="117" t="n">
        <f aca="false">IF(AND(M195&gt;=0,M196&lt;0),1,0)</f>
        <v>1</v>
      </c>
      <c r="N197" s="117" t="n">
        <f aca="false">IF(AND(N195&gt;=0,N196&lt;0),1,0)</f>
        <v>1</v>
      </c>
      <c r="O197" s="117" t="n">
        <f aca="false">IF(AND(O195&gt;=0,O196&lt;0),1,0)</f>
        <v>1</v>
      </c>
      <c r="P197" s="117" t="n">
        <f aca="false">IF(AND(P195&gt;=0,P196&lt;0),1,0)</f>
        <v>1</v>
      </c>
      <c r="Q197" s="117" t="n">
        <f aca="false">IF(AND(Q195&gt;=0,Q196&lt;0),1,0)</f>
        <v>1</v>
      </c>
      <c r="R197" s="117" t="n">
        <f aca="false">IF(AND(R195&gt;=0,R196&lt;0),1,0)</f>
        <v>1</v>
      </c>
      <c r="S197" s="117" t="n">
        <f aca="false">IF(AND(S195&gt;=0,S196&lt;0),1,0)</f>
        <v>1</v>
      </c>
      <c r="T197" s="117" t="n">
        <f aca="false">IF(AND(T195&gt;=0,T196&lt;0),1,0)</f>
        <v>1</v>
      </c>
      <c r="U197" s="117" t="n">
        <f aca="false">IF(AND(U195&gt;=0,U196&lt;0),1,0)</f>
        <v>1</v>
      </c>
      <c r="V197" s="117" t="n">
        <f aca="false">IF(AND(V195&gt;=0,V196&lt;0),1,0)</f>
        <v>1</v>
      </c>
      <c r="W197" s="117" t="n">
        <f aca="false">IF(AND(W195&gt;=0,W196&lt;0),1,0)</f>
        <v>1</v>
      </c>
      <c r="X197" s="117" t="n">
        <f aca="false">IF(AND(X195&gt;=0,X196&lt;0),1,0)</f>
        <v>1</v>
      </c>
      <c r="Y197" s="117" t="n">
        <f aca="false">IF(AND(Y195&gt;=0,Y196&lt;0),1,0)</f>
        <v>1</v>
      </c>
      <c r="Z197" s="117" t="n">
        <f aca="false">IF(AND(Z195&gt;=0,Z196&lt;0),1,0)</f>
        <v>1</v>
      </c>
      <c r="AA197" s="117" t="n">
        <f aca="false">IF(AND(AA195&gt;=0,AA196&lt;0),1,0)</f>
        <v>1</v>
      </c>
      <c r="AB197" s="117" t="n">
        <f aca="false">IF(AND(AB195&gt;=0,AB196&lt;0),1,0)</f>
        <v>1</v>
      </c>
      <c r="AC197" s="117" t="n">
        <f aca="false">IF(AND(AC195&gt;=0,AC196&lt;0),1,0)</f>
        <v>1</v>
      </c>
      <c r="AD197" s="117" t="n">
        <f aca="false">IF(AND(AD195&gt;=0,AD196&lt;0),1,0)</f>
        <v>1</v>
      </c>
      <c r="AE197" s="117" t="n">
        <f aca="false">IF(AND(AE195&gt;=0,AE196&lt;0),1,0)</f>
        <v>1</v>
      </c>
      <c r="AF197" s="117" t="n">
        <f aca="false">IF(AND(AF195&gt;=0,AF196&lt;0),1,0)</f>
        <v>1</v>
      </c>
      <c r="AG197" s="117" t="n">
        <f aca="false">IF(AND(AG195&gt;=0,AG196&lt;0),1,0)</f>
        <v>1</v>
      </c>
      <c r="AH197" s="117" t="n">
        <f aca="false">IF(AND(AH195&gt;=0,AH196&lt;0),1,0)</f>
        <v>1</v>
      </c>
      <c r="AI197" s="117" t="n">
        <f aca="false">IF(AND(AI195&gt;=0,AI196&lt;0),1,0)</f>
        <v>1</v>
      </c>
      <c r="AJ197" s="117" t="n">
        <f aca="false">IF(AND(AJ195&gt;=0,AJ196&lt;0),1,0)</f>
        <v>1</v>
      </c>
      <c r="AK197" s="117" t="n">
        <f aca="false">IF(AND(AK195&gt;=0,AK196&lt;0),1,0)</f>
        <v>1</v>
      </c>
      <c r="AL197" s="117" t="n">
        <f aca="false">IF(AND(AL195&gt;=0,AL196&lt;0),1,0)</f>
        <v>1</v>
      </c>
      <c r="AM197" s="117" t="n">
        <f aca="false">IF(AND(AM195&gt;=0,AM196&lt;0),1,0)</f>
        <v>1</v>
      </c>
      <c r="AN197" s="117" t="n">
        <f aca="false">IF(AND(AN195&gt;=0,AN196&lt;0),1,0)</f>
        <v>1</v>
      </c>
      <c r="AO197" s="117" t="n">
        <f aca="false">IF(AND(AO195&gt;=0,AO196&lt;0),1,0)</f>
        <v>1</v>
      </c>
      <c r="AP197" s="117" t="n">
        <f aca="false">IF(AND(AP195&gt;=0,AP196&lt;0),1,0)</f>
        <v>1</v>
      </c>
      <c r="AQ197" s="117" t="n">
        <f aca="false">IF(AND(AQ195&gt;=0,AQ196&lt;0),1,0)</f>
        <v>1</v>
      </c>
      <c r="AR197" s="117" t="n">
        <f aca="false">IF(AND(AR195&gt;=0,AR196&lt;0),1,0)</f>
        <v>1</v>
      </c>
      <c r="AS197" s="117" t="n">
        <f aca="false">IF(AND(AS195&gt;=0,AS196&lt;0),1,0)</f>
        <v>1</v>
      </c>
      <c r="AT197" s="117" t="n">
        <f aca="false">IF(AND(AT195&gt;=0,AT196&lt;0),1,0)</f>
        <v>1</v>
      </c>
      <c r="AU197" s="117" t="n">
        <f aca="false">IF(AND(AU195&gt;=0,AU196&lt;0),1,0)</f>
        <v>1</v>
      </c>
      <c r="AV197" s="117" t="n">
        <f aca="false">IF(AND(AV195&gt;=0,AV196&lt;0),1,0)</f>
        <v>1</v>
      </c>
      <c r="AW197" s="117" t="n">
        <f aca="false">IF(AND(AW195&gt;=0,AW196&lt;0),1,0)</f>
        <v>1</v>
      </c>
      <c r="AX197" s="117" t="n">
        <f aca="false">IF(AND(AX195&gt;=0,AX196&lt;0),1,0)</f>
        <v>1</v>
      </c>
      <c r="AY197" s="117" t="n">
        <f aca="false">IF(AND(AY195&gt;=0,AY196&lt;0),1,0)</f>
        <v>1</v>
      </c>
      <c r="AZ197" s="117" t="n">
        <f aca="false">IF(AND(AZ195&gt;=0,AZ196&lt;0),1,0)</f>
        <v>1</v>
      </c>
      <c r="BA197" s="117" t="n">
        <f aca="false">IF(AND(BA195&gt;=0,BA196&lt;0),1,0)</f>
        <v>1</v>
      </c>
      <c r="BB197" s="117" t="n">
        <f aca="false">IF(AND(BB195&gt;=0,BB196&lt;0),1,0)</f>
        <v>1</v>
      </c>
      <c r="BC197" s="117" t="n">
        <f aca="false">IF(AND(BC195&gt;=0,BC196&lt;0),1,0)</f>
        <v>1</v>
      </c>
      <c r="BD197" s="117" t="n">
        <f aca="false">IF(AND(BD195&gt;=0,BD196&lt;0),1,0)</f>
        <v>1</v>
      </c>
      <c r="BE197" s="117" t="n">
        <f aca="false">IF(AND(BE195&gt;=0,BE196&lt;0),1,0)</f>
        <v>1</v>
      </c>
      <c r="BF197" s="117" t="n">
        <f aca="false">IF(AND(BF195&gt;=0,BF196&lt;0),1,0)</f>
        <v>1</v>
      </c>
      <c r="BG197" s="117" t="n">
        <f aca="false">IF(AND(BG195&gt;=0,BG196&lt;0),1,0)</f>
        <v>1</v>
      </c>
      <c r="BH197" s="117" t="n">
        <f aca="false">IF(AND(BH195&gt;=0,BH196&lt;0),1,0)</f>
        <v>1</v>
      </c>
      <c r="BI197" s="117" t="n">
        <f aca="false">IF(AND(BI195&gt;=0,BI196&lt;0),1,0)</f>
        <v>1</v>
      </c>
      <c r="BJ197" s="117" t="n">
        <f aca="false">IF(AND(BJ195&gt;=0,BJ196&lt;0),1,0)</f>
        <v>1</v>
      </c>
    </row>
    <row r="198" customFormat="false" ht="15" hidden="false" customHeight="false" outlineLevel="0" collapsed="false">
      <c r="A198" s="6" t="s">
        <v>432</v>
      </c>
      <c r="C198" s="67" t="n">
        <f aca="false">C183-C154*(1-Inputs!$C$66)+C184</f>
        <v>-441266.3492</v>
      </c>
      <c r="D198" s="67" t="n">
        <f aca="false">D183-D154*(1-Inputs!$C$66)+D184</f>
        <v>69374.9108</v>
      </c>
      <c r="E198" s="67" t="n">
        <f aca="false">E183-E154*(1-Inputs!$C$66)+E184</f>
        <v>69374.9108</v>
      </c>
      <c r="F198" s="67" t="n">
        <f aca="false">F183-F154*(1-Inputs!$C$66)+F184</f>
        <v>69374.9108</v>
      </c>
      <c r="G198" s="67" t="n">
        <f aca="false">G183-G154*(1-Inputs!$C$66)+G184</f>
        <v>69374.9108</v>
      </c>
      <c r="H198" s="67" t="n">
        <f aca="false">H183-H154*(1-Inputs!$C$66)+H184</f>
        <v>69374.9108</v>
      </c>
      <c r="I198" s="67" t="n">
        <f aca="false">I183-I154*(1-Inputs!$C$66)+I184</f>
        <v>69374.9108</v>
      </c>
      <c r="J198" s="67" t="n">
        <f aca="false">J183-J154*(1-Inputs!$C$66)+J184</f>
        <v>69374.9108</v>
      </c>
      <c r="K198" s="67" t="n">
        <f aca="false">K183-K154*(1-Inputs!$C$66)+K184</f>
        <v>69374.9108</v>
      </c>
      <c r="L198" s="67" t="n">
        <f aca="false">L183-L154*(1-Inputs!$C$66)+L184</f>
        <v>69374.9108</v>
      </c>
      <c r="M198" s="67" t="n">
        <f aca="false">M183-M154*(1-Inputs!$C$66)+M184</f>
        <v>69374.9108</v>
      </c>
      <c r="N198" s="67" t="n">
        <f aca="false">N183-N154*(1-Inputs!$C$66)+N184</f>
        <v>69374.9108</v>
      </c>
      <c r="O198" s="67" t="n">
        <f aca="false">O183-O154*(1-Inputs!$C$66)+O184</f>
        <v>-35159.7656172002</v>
      </c>
      <c r="P198" s="67" t="n">
        <f aca="false">P183-P154*(1-Inputs!$C$66)+P184</f>
        <v>98276.2560428002</v>
      </c>
      <c r="Q198" s="67" t="n">
        <f aca="false">Q183-Q154*(1-Inputs!$C$66)+Q184</f>
        <v>98276.2560428002</v>
      </c>
      <c r="R198" s="67" t="n">
        <f aca="false">R183-R154*(1-Inputs!$C$66)+R184</f>
        <v>98276.2560428002</v>
      </c>
      <c r="S198" s="67" t="n">
        <f aca="false">S183-S154*(1-Inputs!$C$66)+S184</f>
        <v>98276.2560428002</v>
      </c>
      <c r="T198" s="67" t="n">
        <f aca="false">T183-T154*(1-Inputs!$C$66)+T184</f>
        <v>98276.2560428002</v>
      </c>
      <c r="U198" s="67" t="n">
        <f aca="false">U183-U154*(1-Inputs!$C$66)+U184</f>
        <v>98276.2560428002</v>
      </c>
      <c r="V198" s="67" t="n">
        <f aca="false">V183-V154*(1-Inputs!$C$66)+V184</f>
        <v>98276.2560428002</v>
      </c>
      <c r="W198" s="67" t="n">
        <f aca="false">W183-W154*(1-Inputs!$C$66)+W184</f>
        <v>98276.2560428002</v>
      </c>
      <c r="X198" s="67" t="n">
        <f aca="false">X183-X154*(1-Inputs!$C$66)+X184</f>
        <v>98276.2560428002</v>
      </c>
      <c r="Y198" s="67" t="n">
        <f aca="false">Y183-Y154*(1-Inputs!$C$66)+Y184</f>
        <v>98276.2560428002</v>
      </c>
      <c r="Z198" s="67" t="n">
        <f aca="false">Z183-Z154*(1-Inputs!$C$66)+Z184</f>
        <v>98276.2560428002</v>
      </c>
      <c r="AA198" s="67" t="n">
        <f aca="false">AA183-AA154*(1-Inputs!$C$66)+AA184</f>
        <v>-37366.9844986429</v>
      </c>
      <c r="AB198" s="67" t="n">
        <f aca="false">AB183-AB154*(1-Inputs!$C$66)+AB184</f>
        <v>136741.646250817</v>
      </c>
      <c r="AC198" s="67" t="n">
        <f aca="false">AC183-AC154*(1-Inputs!$C$66)+AC184</f>
        <v>136741.646250817</v>
      </c>
      <c r="AD198" s="67" t="n">
        <f aca="false">AD183-AD154*(1-Inputs!$C$66)+AD184</f>
        <v>136741.646250817</v>
      </c>
      <c r="AE198" s="67" t="n">
        <f aca="false">AE183-AE154*(1-Inputs!$C$66)+AE184</f>
        <v>136741.646250817</v>
      </c>
      <c r="AF198" s="67" t="n">
        <f aca="false">AF183-AF154*(1-Inputs!$C$66)+AF184</f>
        <v>136741.646250817</v>
      </c>
      <c r="AG198" s="67" t="n">
        <f aca="false">AG183-AG154*(1-Inputs!$C$66)+AG184</f>
        <v>136741.646250817</v>
      </c>
      <c r="AH198" s="67" t="n">
        <f aca="false">AH183-AH154*(1-Inputs!$C$66)+AH184</f>
        <v>136741.646250817</v>
      </c>
      <c r="AI198" s="67" t="n">
        <f aca="false">AI183-AI154*(1-Inputs!$C$66)+AI184</f>
        <v>136741.646250817</v>
      </c>
      <c r="AJ198" s="67" t="n">
        <f aca="false">AJ183-AJ154*(1-Inputs!$C$66)+AJ184</f>
        <v>136741.646250817</v>
      </c>
      <c r="AK198" s="67" t="n">
        <f aca="false">AK183-AK154*(1-Inputs!$C$66)+AK184</f>
        <v>136741.646250817</v>
      </c>
      <c r="AL198" s="67" t="n">
        <f aca="false">AL183-AL154*(1-Inputs!$C$66)+AL184</f>
        <v>136741.646250817</v>
      </c>
      <c r="AM198" s="67" t="n">
        <f aca="false">AM183-AM154*(1-Inputs!$C$66)+AM184</f>
        <v>-39557.6900811047</v>
      </c>
      <c r="AN198" s="67" t="n">
        <f aca="false">AN183-AN154*(1-Inputs!$C$66)+AN184</f>
        <v>187934.884507368</v>
      </c>
      <c r="AO198" s="67" t="n">
        <f aca="false">AO183-AO154*(1-Inputs!$C$66)+AO184</f>
        <v>187934.884507368</v>
      </c>
      <c r="AP198" s="67" t="n">
        <f aca="false">AP183-AP154*(1-Inputs!$C$66)+AP184</f>
        <v>187934.884507368</v>
      </c>
      <c r="AQ198" s="67" t="n">
        <f aca="false">AQ183-AQ154*(1-Inputs!$C$66)+AQ184</f>
        <v>187934.884507368</v>
      </c>
      <c r="AR198" s="67" t="n">
        <f aca="false">AR183-AR154*(1-Inputs!$C$66)+AR184</f>
        <v>187934.884507368</v>
      </c>
      <c r="AS198" s="67" t="n">
        <f aca="false">AS183-AS154*(1-Inputs!$C$66)+AS184</f>
        <v>187934.884507368</v>
      </c>
      <c r="AT198" s="67" t="n">
        <f aca="false">AT183-AT154*(1-Inputs!$C$66)+AT184</f>
        <v>187934.884507368</v>
      </c>
      <c r="AU198" s="67" t="n">
        <f aca="false">AU183-AU154*(1-Inputs!$C$66)+AU184</f>
        <v>187934.884507368</v>
      </c>
      <c r="AV198" s="67" t="n">
        <f aca="false">AV183-AV154*(1-Inputs!$C$66)+AV184</f>
        <v>187934.884507368</v>
      </c>
      <c r="AW198" s="67" t="n">
        <f aca="false">AW183-AW154*(1-Inputs!$C$66)+AW184</f>
        <v>187934.884507368</v>
      </c>
      <c r="AX198" s="67" t="n">
        <f aca="false">AX183-AX154*(1-Inputs!$C$66)+AX184</f>
        <v>187934.884507368</v>
      </c>
      <c r="AY198" s="67" t="n">
        <f aca="false">AY183-AY154*(1-Inputs!$C$66)+AY184</f>
        <v>-41573.2100488465</v>
      </c>
      <c r="AZ198" s="67" t="n">
        <f aca="false">AZ183-AZ154*(1-Inputs!$C$66)+AZ184</f>
        <v>256069.689191592</v>
      </c>
      <c r="BA198" s="67" t="n">
        <f aca="false">BA183-BA154*(1-Inputs!$C$66)+BA184</f>
        <v>256069.689191592</v>
      </c>
      <c r="BB198" s="67" t="n">
        <f aca="false">BB183-BB154*(1-Inputs!$C$66)+BB184</f>
        <v>256069.689191592</v>
      </c>
      <c r="BC198" s="67" t="n">
        <f aca="false">BC183-BC154*(1-Inputs!$C$66)+BC184</f>
        <v>256069.689191592</v>
      </c>
      <c r="BD198" s="67" t="n">
        <f aca="false">BD183-BD154*(1-Inputs!$C$66)+BD184</f>
        <v>256069.689191592</v>
      </c>
      <c r="BE198" s="67" t="n">
        <f aca="false">BE183-BE154*(1-Inputs!$C$66)+BE184</f>
        <v>256069.689191592</v>
      </c>
      <c r="BF198" s="67" t="n">
        <f aca="false">BF183-BF154*(1-Inputs!$C$66)+BF184</f>
        <v>256069.689191592</v>
      </c>
      <c r="BG198" s="67" t="n">
        <f aca="false">BG183-BG154*(1-Inputs!$C$66)+BG184</f>
        <v>256069.689191592</v>
      </c>
      <c r="BH198" s="67" t="n">
        <f aca="false">BH183-BH154*(1-Inputs!$C$66)+BH184</f>
        <v>256069.689191593</v>
      </c>
      <c r="BI198" s="67" t="n">
        <f aca="false">BI183-BI154*(1-Inputs!$C$66)+BI184</f>
        <v>256069.689191593</v>
      </c>
      <c r="BJ198" s="67" t="n">
        <f aca="false">BJ183-BJ154*(1-Inputs!$C$66)+BJ184</f>
        <v>256069.689191592</v>
      </c>
    </row>
    <row r="200" customFormat="false" ht="15.75" hidden="false" customHeight="true" outlineLevel="0" collapsed="false">
      <c r="A200" s="7" t="s">
        <v>433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customFormat="false" ht="15" hidden="false" customHeight="false" outlineLevel="0" collapsed="false">
      <c r="A201" s="6" t="s">
        <v>97</v>
      </c>
      <c r="C201" s="67" t="n">
        <f aca="false">C185</f>
        <v>300000</v>
      </c>
      <c r="D201" s="67" t="n">
        <f aca="false">C201+D185</f>
        <v>300000</v>
      </c>
      <c r="E201" s="67" t="n">
        <f aca="false">D201+E185</f>
        <v>300000</v>
      </c>
      <c r="F201" s="67" t="n">
        <f aca="false">E201+F185</f>
        <v>300000</v>
      </c>
      <c r="G201" s="67" t="n">
        <f aca="false">F201+G185</f>
        <v>300000</v>
      </c>
      <c r="H201" s="67" t="n">
        <f aca="false">G201+H185</f>
        <v>300000</v>
      </c>
      <c r="I201" s="67" t="n">
        <f aca="false">H201+I185</f>
        <v>300000</v>
      </c>
      <c r="J201" s="67" t="n">
        <f aca="false">I201+J185</f>
        <v>300000</v>
      </c>
      <c r="K201" s="67" t="n">
        <f aca="false">J201+K185</f>
        <v>300000</v>
      </c>
      <c r="L201" s="67" t="n">
        <f aca="false">K201+L185</f>
        <v>300000</v>
      </c>
      <c r="M201" s="67" t="n">
        <f aca="false">L201+M185</f>
        <v>300000</v>
      </c>
      <c r="N201" s="67" t="n">
        <f aca="false">M201+N185</f>
        <v>300000</v>
      </c>
      <c r="O201" s="67" t="n">
        <f aca="false">N201+O185</f>
        <v>300000</v>
      </c>
      <c r="P201" s="67" t="n">
        <f aca="false">O201+P185</f>
        <v>300000</v>
      </c>
      <c r="Q201" s="67" t="n">
        <f aca="false">P201+Q185</f>
        <v>300000</v>
      </c>
      <c r="R201" s="67" t="n">
        <f aca="false">Q201+R185</f>
        <v>300000</v>
      </c>
      <c r="S201" s="67" t="n">
        <f aca="false">R201+S185</f>
        <v>300000</v>
      </c>
      <c r="T201" s="67" t="n">
        <f aca="false">S201+T185</f>
        <v>300000</v>
      </c>
      <c r="U201" s="67" t="n">
        <f aca="false">T201+U185</f>
        <v>300000</v>
      </c>
      <c r="V201" s="67" t="n">
        <f aca="false">U201+V185</f>
        <v>300000</v>
      </c>
      <c r="W201" s="67" t="n">
        <f aca="false">V201+W185</f>
        <v>300000</v>
      </c>
      <c r="X201" s="67" t="n">
        <f aca="false">W201+X185</f>
        <v>300000</v>
      </c>
      <c r="Y201" s="67" t="n">
        <f aca="false">X201+Y185</f>
        <v>300000</v>
      </c>
      <c r="Z201" s="67" t="n">
        <f aca="false">Y201+Z185</f>
        <v>300000</v>
      </c>
      <c r="AA201" s="67" t="n">
        <f aca="false">Z201+AA185</f>
        <v>300000</v>
      </c>
      <c r="AB201" s="67" t="n">
        <f aca="false">AA201+AB185</f>
        <v>300000</v>
      </c>
      <c r="AC201" s="67" t="n">
        <f aca="false">AB201+AC185</f>
        <v>300000</v>
      </c>
      <c r="AD201" s="67" t="n">
        <f aca="false">AC201+AD185</f>
        <v>300000</v>
      </c>
      <c r="AE201" s="67" t="n">
        <f aca="false">AD201+AE185</f>
        <v>300000</v>
      </c>
      <c r="AF201" s="67" t="n">
        <f aca="false">AE201+AF185</f>
        <v>300000</v>
      </c>
      <c r="AG201" s="67" t="n">
        <f aca="false">AF201+AG185</f>
        <v>300000</v>
      </c>
      <c r="AH201" s="67" t="n">
        <f aca="false">AG201+AH185</f>
        <v>300000</v>
      </c>
      <c r="AI201" s="67" t="n">
        <f aca="false">AH201+AI185</f>
        <v>300000</v>
      </c>
      <c r="AJ201" s="67" t="n">
        <f aca="false">AI201+AJ185</f>
        <v>300000</v>
      </c>
      <c r="AK201" s="67" t="n">
        <f aca="false">AJ201+AK185</f>
        <v>300000</v>
      </c>
      <c r="AL201" s="67" t="n">
        <f aca="false">AK201+AL185</f>
        <v>300000</v>
      </c>
      <c r="AM201" s="67" t="n">
        <f aca="false">AL201+AM185</f>
        <v>300000</v>
      </c>
      <c r="AN201" s="67" t="n">
        <f aca="false">AM201+AN185</f>
        <v>300000</v>
      </c>
      <c r="AO201" s="67" t="n">
        <f aca="false">AN201+AO185</f>
        <v>300000</v>
      </c>
      <c r="AP201" s="67" t="n">
        <f aca="false">AO201+AP185</f>
        <v>300000</v>
      </c>
      <c r="AQ201" s="67" t="n">
        <f aca="false">AP201+AQ185</f>
        <v>300000</v>
      </c>
      <c r="AR201" s="67" t="n">
        <f aca="false">AQ201+AR185</f>
        <v>300000</v>
      </c>
      <c r="AS201" s="67" t="n">
        <f aca="false">AR201+AS185</f>
        <v>300000</v>
      </c>
      <c r="AT201" s="67" t="n">
        <f aca="false">AS201+AT185</f>
        <v>300000</v>
      </c>
      <c r="AU201" s="67" t="n">
        <f aca="false">AT201+AU185</f>
        <v>300000</v>
      </c>
      <c r="AV201" s="67" t="n">
        <f aca="false">AU201+AV185</f>
        <v>300000</v>
      </c>
      <c r="AW201" s="67" t="n">
        <f aca="false">AV201+AW185</f>
        <v>300000</v>
      </c>
      <c r="AX201" s="67" t="n">
        <f aca="false">AW201+AX185</f>
        <v>300000</v>
      </c>
      <c r="AY201" s="67" t="n">
        <f aca="false">AX201+AY185</f>
        <v>300000</v>
      </c>
      <c r="AZ201" s="67" t="n">
        <f aca="false">AY201+AZ185</f>
        <v>300000</v>
      </c>
      <c r="BA201" s="67" t="n">
        <f aca="false">AZ201+BA185</f>
        <v>300000</v>
      </c>
      <c r="BB201" s="67" t="n">
        <f aca="false">BA201+BB185</f>
        <v>300000</v>
      </c>
      <c r="BC201" s="67" t="n">
        <f aca="false">BB201+BC185</f>
        <v>300000</v>
      </c>
      <c r="BD201" s="67" t="n">
        <f aca="false">BC201+BD185</f>
        <v>300000</v>
      </c>
      <c r="BE201" s="67" t="n">
        <f aca="false">BD201+BE185</f>
        <v>300000</v>
      </c>
      <c r="BF201" s="67" t="n">
        <f aca="false">BE201+BF185</f>
        <v>300000</v>
      </c>
      <c r="BG201" s="67" t="n">
        <f aca="false">BF201+BG185</f>
        <v>300000</v>
      </c>
      <c r="BH201" s="67" t="n">
        <f aca="false">BG201+BH185</f>
        <v>300000</v>
      </c>
      <c r="BI201" s="67" t="n">
        <f aca="false">BH201+BI185</f>
        <v>300000</v>
      </c>
      <c r="BJ201" s="67" t="n">
        <f aca="false">BI201+BJ185</f>
        <v>300000</v>
      </c>
    </row>
    <row r="202" customFormat="false" ht="15" hidden="false" customHeight="false" outlineLevel="0" collapsed="false">
      <c r="A202" s="6" t="s">
        <v>98</v>
      </c>
      <c r="C202" s="67" t="n">
        <f aca="false">C159</f>
        <v>67321.5774666667</v>
      </c>
      <c r="D202" s="67" t="n">
        <f aca="false">C202+D159</f>
        <v>134651.932711111</v>
      </c>
      <c r="E202" s="67" t="n">
        <f aca="false">D202+E159</f>
        <v>201999.843511111</v>
      </c>
      <c r="F202" s="67" t="n">
        <f aca="false">E202+F159</f>
        <v>269365.309866667</v>
      </c>
      <c r="G202" s="67" t="n">
        <f aca="false">F202+G159</f>
        <v>336748.331777778</v>
      </c>
      <c r="H202" s="67" t="n">
        <f aca="false">G202+H159</f>
        <v>404148.909244444</v>
      </c>
      <c r="I202" s="67" t="n">
        <f aca="false">H202+I159</f>
        <v>471567.042266667</v>
      </c>
      <c r="J202" s="67" t="n">
        <f aca="false">I202+J159</f>
        <v>539002.730844444</v>
      </c>
      <c r="K202" s="67" t="n">
        <f aca="false">J202+K159</f>
        <v>606455.974977778</v>
      </c>
      <c r="L202" s="67" t="n">
        <f aca="false">K202+L159</f>
        <v>673926.774666667</v>
      </c>
      <c r="M202" s="67" t="n">
        <f aca="false">L202+M159</f>
        <v>741415.129911111</v>
      </c>
      <c r="N202" s="67" t="n">
        <f aca="false">M202+N159</f>
        <v>808921.040711111</v>
      </c>
      <c r="O202" s="67" t="n">
        <f aca="false">N202+O159</f>
        <v>905345.852309467</v>
      </c>
      <c r="P202" s="67" t="n">
        <f aca="false">O202+P159</f>
        <v>1001788.21946338</v>
      </c>
      <c r="Q202" s="67" t="n">
        <f aca="false">P202+Q159</f>
        <v>1098248.14217284</v>
      </c>
      <c r="R202" s="67" t="n">
        <f aca="false">Q202+R159</f>
        <v>1194725.62043787</v>
      </c>
      <c r="S202" s="67" t="n">
        <f aca="false">R202+S159</f>
        <v>1291220.65425845</v>
      </c>
      <c r="T202" s="67" t="n">
        <f aca="false">S202+T159</f>
        <v>1387733.24363458</v>
      </c>
      <c r="U202" s="67" t="n">
        <f aca="false">T202+U159</f>
        <v>1484263.38856627</v>
      </c>
      <c r="V202" s="67" t="n">
        <f aca="false">U202+V159</f>
        <v>1580811.08905351</v>
      </c>
      <c r="W202" s="67" t="n">
        <f aca="false">V202+W159</f>
        <v>1677376.34509631</v>
      </c>
      <c r="X202" s="67" t="n">
        <f aca="false">W202+X159</f>
        <v>1773959.15669467</v>
      </c>
      <c r="Y202" s="67" t="n">
        <f aca="false">X202+Y159</f>
        <v>1870559.52384858</v>
      </c>
      <c r="Z202" s="67" t="n">
        <f aca="false">Y202+Z159</f>
        <v>1967177.44655805</v>
      </c>
      <c r="AA202" s="67" t="n">
        <f aca="false">Z202+AA159</f>
        <v>2102278.31503109</v>
      </c>
      <c r="AB202" s="67" t="n">
        <f aca="false">AA202+AB159</f>
        <v>2237396.73905968</v>
      </c>
      <c r="AC202" s="67" t="n">
        <f aca="false">AB202+AC159</f>
        <v>2372532.71864383</v>
      </c>
      <c r="AD202" s="67" t="n">
        <f aca="false">AC202+AD159</f>
        <v>2507686.25378354</v>
      </c>
      <c r="AE202" s="67" t="n">
        <f aca="false">AD202+AE159</f>
        <v>2642857.3444788</v>
      </c>
      <c r="AF202" s="67" t="n">
        <f aca="false">AE202+AF159</f>
        <v>2778045.99072961</v>
      </c>
      <c r="AG202" s="67" t="n">
        <f aca="false">AF202+AG159</f>
        <v>2913252.19253599</v>
      </c>
      <c r="AH202" s="67" t="n">
        <f aca="false">AG202+AH159</f>
        <v>3048475.94989792</v>
      </c>
      <c r="AI202" s="67" t="n">
        <f aca="false">AH202+AI159</f>
        <v>3183717.2628154</v>
      </c>
      <c r="AJ202" s="67" t="n">
        <f aca="false">AI202+AJ159</f>
        <v>3318976.13128844</v>
      </c>
      <c r="AK202" s="67" t="n">
        <f aca="false">AJ202+AK159</f>
        <v>3454252.55531703</v>
      </c>
      <c r="AL202" s="67" t="n">
        <f aca="false">AK202+AL159</f>
        <v>3589546.53490118</v>
      </c>
      <c r="AM202" s="67" t="n">
        <f aca="false">AL202+AM159</f>
        <v>3776051.30829744</v>
      </c>
      <c r="AN202" s="67" t="n">
        <f aca="false">AM202+AN159</f>
        <v>3962573.63724925</v>
      </c>
      <c r="AO202" s="67" t="n">
        <f aca="false">AN202+AO159</f>
        <v>4149113.52175662</v>
      </c>
      <c r="AP202" s="67" t="n">
        <f aca="false">AO202+AP159</f>
        <v>4335670.96181954</v>
      </c>
      <c r="AQ202" s="67" t="n">
        <f aca="false">AP202+AQ159</f>
        <v>4522245.95743802</v>
      </c>
      <c r="AR202" s="67" t="n">
        <f aca="false">AQ202+AR159</f>
        <v>4708838.50861206</v>
      </c>
      <c r="AS202" s="67" t="n">
        <f aca="false">AR202+AS159</f>
        <v>4895448.61534165</v>
      </c>
      <c r="AT202" s="67" t="n">
        <f aca="false">AS202+AT159</f>
        <v>5082076.2776268</v>
      </c>
      <c r="AU202" s="67" t="n">
        <f aca="false">AT202+AU159</f>
        <v>5268721.4954675</v>
      </c>
      <c r="AV202" s="67" t="n">
        <f aca="false">AU202+AV159</f>
        <v>5455384.26886375</v>
      </c>
      <c r="AW202" s="67" t="n">
        <f aca="false">AV202+AW159</f>
        <v>5642064.59781557</v>
      </c>
      <c r="AX202" s="67" t="n">
        <f aca="false">AW202+AX159</f>
        <v>5828762.48232294</v>
      </c>
      <c r="AY202" s="67" t="n">
        <f aca="false">AX202+AY159</f>
        <v>6083612.72707008</v>
      </c>
      <c r="AZ202" s="67" t="n">
        <f aca="false">AY202+AZ159</f>
        <v>6338480.52737279</v>
      </c>
      <c r="BA202" s="67" t="n">
        <f aca="false">AZ202+BA159</f>
        <v>6593365.88323105</v>
      </c>
      <c r="BB202" s="67" t="n">
        <f aca="false">BA202+BB159</f>
        <v>6848268.79464486</v>
      </c>
      <c r="BC202" s="67" t="n">
        <f aca="false">BB202+BC159</f>
        <v>7103189.26161423</v>
      </c>
      <c r="BD202" s="67" t="n">
        <f aca="false">BC202+BD159</f>
        <v>7358127.28413916</v>
      </c>
      <c r="BE202" s="67" t="n">
        <f aca="false">BD202+BE159</f>
        <v>7613082.86221964</v>
      </c>
      <c r="BF202" s="67" t="n">
        <f aca="false">BE202+BF159</f>
        <v>7868055.99585567</v>
      </c>
      <c r="BG202" s="67" t="n">
        <f aca="false">BF202+BG159</f>
        <v>8123046.68504727</v>
      </c>
      <c r="BH202" s="67" t="n">
        <f aca="false">BG202+BH159</f>
        <v>8378054.92979442</v>
      </c>
      <c r="BI202" s="67" t="n">
        <f aca="false">BH202+BI159</f>
        <v>8633080.73009712</v>
      </c>
      <c r="BJ202" s="67" t="n">
        <f aca="false">BI202+BJ159</f>
        <v>8888124.08595538</v>
      </c>
    </row>
    <row r="203" customFormat="false" ht="15" hidden="false" customHeight="false" outlineLevel="0" collapsed="false">
      <c r="A203" s="4" t="s">
        <v>93</v>
      </c>
      <c r="C203" s="73" t="n">
        <f aca="false">C189+C175+C176+C166</f>
        <v>679954.317466667</v>
      </c>
      <c r="D203" s="73" t="n">
        <f aca="false">D189+D175+D176+D166</f>
        <v>743951.339377778</v>
      </c>
      <c r="E203" s="73" t="n">
        <f aca="false">E189+E175+E176+E166</f>
        <v>807965.916844445</v>
      </c>
      <c r="F203" s="73" t="n">
        <f aca="false">F189+F175+F176+F166</f>
        <v>871998.049866667</v>
      </c>
      <c r="G203" s="73" t="n">
        <f aca="false">G189+G175+G176+G166</f>
        <v>936047.738444445</v>
      </c>
      <c r="H203" s="73" t="n">
        <f aca="false">H189+H175+H176+H166</f>
        <v>1000114.98257778</v>
      </c>
      <c r="I203" s="73" t="n">
        <f aca="false">I189+I175+I176+I166</f>
        <v>1064199.78226667</v>
      </c>
      <c r="J203" s="73" t="n">
        <f aca="false">J189+J175+J176+J166</f>
        <v>1128302.13751111</v>
      </c>
      <c r="K203" s="73" t="n">
        <f aca="false">K189+K175+K176+K166</f>
        <v>1192422.04831111</v>
      </c>
      <c r="L203" s="73" t="n">
        <f aca="false">L189+L175+L176+L166</f>
        <v>1256559.51466667</v>
      </c>
      <c r="M203" s="73" t="n">
        <f aca="false">M189+M175+M176+M166</f>
        <v>1320714.53657778</v>
      </c>
      <c r="N203" s="73" t="n">
        <f aca="false">N189+N175+N176+N166</f>
        <v>1384887.11404444</v>
      </c>
      <c r="O203" s="73" t="n">
        <f aca="false">O189+O175+O176+O166</f>
        <v>1510763.80464947</v>
      </c>
      <c r="P203" s="73" t="n">
        <f aca="false">P189+P175+P176+P166</f>
        <v>1603872.83847004</v>
      </c>
      <c r="Q203" s="73" t="n">
        <f aca="false">Q189+Q175+Q176+Q166</f>
        <v>1696999.42784618</v>
      </c>
      <c r="R203" s="73" t="n">
        <f aca="false">R189+R175+R176+R166</f>
        <v>1790143.57277787</v>
      </c>
      <c r="S203" s="73" t="n">
        <f aca="false">S189+S175+S176+S166</f>
        <v>1883305.27326511</v>
      </c>
      <c r="T203" s="73" t="n">
        <f aca="false">T189+T175+T176+T166</f>
        <v>1976484.52930791</v>
      </c>
      <c r="U203" s="73" t="n">
        <f aca="false">U189+U175+U176+U166</f>
        <v>2069681.34090627</v>
      </c>
      <c r="V203" s="73" t="n">
        <f aca="false">V189+V175+V176+V166</f>
        <v>2162895.70806018</v>
      </c>
      <c r="W203" s="73" t="n">
        <f aca="false">W189+W175+W176+W166</f>
        <v>2256127.63076965</v>
      </c>
      <c r="X203" s="73" t="n">
        <f aca="false">X189+X175+X176+X166</f>
        <v>2349377.10903467</v>
      </c>
      <c r="Y203" s="73" t="n">
        <f aca="false">Y189+Y175+Y176+Y166</f>
        <v>2442644.14285525</v>
      </c>
      <c r="Z203" s="73" t="n">
        <f aca="false">Z189+Z175+Z176+Z166</f>
        <v>2535928.73223138</v>
      </c>
      <c r="AA203" s="73" t="n">
        <f aca="false">AA189+AA175+AA176+AA166</f>
        <v>2710321.90707563</v>
      </c>
      <c r="AB203" s="73" t="n">
        <f aca="false">AB189+AB175+AB176+AB166</f>
        <v>2842106.99777089</v>
      </c>
      <c r="AC203" s="73" t="n">
        <f aca="false">AC189+AC175+AC176+AC166</f>
        <v>2973909.6440217</v>
      </c>
      <c r="AD203" s="73" t="n">
        <f aca="false">AD189+AD175+AD176+AD166</f>
        <v>3105729.84582808</v>
      </c>
      <c r="AE203" s="73" t="n">
        <f aca="false">AE189+AE175+AE176+AE166</f>
        <v>3237567.60319</v>
      </c>
      <c r="AF203" s="73" t="n">
        <f aca="false">AF189+AF175+AF176+AF166</f>
        <v>3369422.91610749</v>
      </c>
      <c r="AG203" s="73" t="n">
        <f aca="false">AG189+AG175+AG176+AG166</f>
        <v>3501295.78458053</v>
      </c>
      <c r="AH203" s="73" t="n">
        <f aca="false">AH189+AH175+AH176+AH166</f>
        <v>3633186.20860912</v>
      </c>
      <c r="AI203" s="73" t="n">
        <f aca="false">AI189+AI175+AI176+AI166</f>
        <v>3765094.18819327</v>
      </c>
      <c r="AJ203" s="73" t="n">
        <f aca="false">AJ189+AJ175+AJ176+AJ166</f>
        <v>3897019.72333298</v>
      </c>
      <c r="AK203" s="73" t="n">
        <f aca="false">AK189+AK175+AK176+AK166</f>
        <v>4028962.81402824</v>
      </c>
      <c r="AL203" s="73" t="n">
        <f aca="false">AL189+AL175+AL176+AL166</f>
        <v>4160923.46027906</v>
      </c>
      <c r="AM203" s="73" t="n">
        <f aca="false">AM189+AM175+AM176+AM166</f>
        <v>4399596.26501762</v>
      </c>
      <c r="AN203" s="73" t="n">
        <f aca="false">AN189+AN175+AN176+AN166</f>
        <v>4582785.2606361</v>
      </c>
      <c r="AO203" s="73" t="n">
        <f aca="false">AO189+AO175+AO176+AO166</f>
        <v>4765991.81181013</v>
      </c>
      <c r="AP203" s="73" t="n">
        <f aca="false">AP189+AP175+AP176+AP166</f>
        <v>4949215.91853973</v>
      </c>
      <c r="AQ203" s="73" t="n">
        <f aca="false">AQ189+AQ175+AQ176+AQ166</f>
        <v>5132457.58082487</v>
      </c>
      <c r="AR203" s="73" t="n">
        <f aca="false">AR189+AR175+AR176+AR166</f>
        <v>5315716.79866557</v>
      </c>
      <c r="AS203" s="73" t="n">
        <f aca="false">AS189+AS175+AS176+AS166</f>
        <v>5498993.57206183</v>
      </c>
      <c r="AT203" s="73" t="n">
        <f aca="false">AT189+AT175+AT176+AT166</f>
        <v>5682287.90101364</v>
      </c>
      <c r="AU203" s="73" t="n">
        <f aca="false">AU189+AU175+AU176+AU166</f>
        <v>5865599.78552101</v>
      </c>
      <c r="AV203" s="73" t="n">
        <f aca="false">AV189+AV175+AV176+AV166</f>
        <v>6048929.22558393</v>
      </c>
      <c r="AW203" s="73" t="n">
        <f aca="false">AW189+AW175+AW176+AW166</f>
        <v>6232276.22120241</v>
      </c>
      <c r="AX203" s="73" t="n">
        <f aca="false">AX189+AX175+AX176+AX166</f>
        <v>6415640.77237645</v>
      </c>
      <c r="AY203" s="73" t="n">
        <f aca="false">AY189+AY175+AY176+AY166</f>
        <v>6739528.09361647</v>
      </c>
      <c r="AZ203" s="73" t="n">
        <f aca="false">AZ189+AZ175+AZ176+AZ166</f>
        <v>6991062.56058584</v>
      </c>
      <c r="BA203" s="73" t="n">
        <f aca="false">BA189+BA175+BA176+BA166</f>
        <v>7242614.58311076</v>
      </c>
      <c r="BB203" s="73" t="n">
        <f aca="false">BB189+BB175+BB176+BB166</f>
        <v>7494184.16119124</v>
      </c>
      <c r="BC203" s="73" t="n">
        <f aca="false">BC189+BC175+BC176+BC166</f>
        <v>7745771.29482728</v>
      </c>
      <c r="BD203" s="73" t="n">
        <f aca="false">BD189+BD175+BD176+BD166</f>
        <v>7997375.98401887</v>
      </c>
      <c r="BE203" s="73" t="n">
        <f aca="false">BE189+BE175+BE176+BE166</f>
        <v>8248998.22876602</v>
      </c>
      <c r="BF203" s="73" t="n">
        <f aca="false">BF189+BF175+BF176+BF166</f>
        <v>8500638.02906872</v>
      </c>
      <c r="BG203" s="73" t="n">
        <f aca="false">BG189+BG175+BG176+BG166</f>
        <v>8752295.38492698</v>
      </c>
      <c r="BH203" s="73" t="n">
        <f aca="false">BH189+BH175+BH176+BH166</f>
        <v>9003970.2963408</v>
      </c>
      <c r="BI203" s="73" t="n">
        <f aca="false">BI189+BI175+BI176+BI166</f>
        <v>9255662.76331017</v>
      </c>
      <c r="BJ203" s="73" t="n">
        <f aca="false">BJ189+BJ175+BJ176+BJ166</f>
        <v>9507372.78583509</v>
      </c>
    </row>
    <row r="204" customFormat="false" ht="15" hidden="false" customHeight="false" outlineLevel="0" collapsed="false">
      <c r="A204" s="6" t="s">
        <v>96</v>
      </c>
      <c r="C204" s="67" t="n">
        <f aca="false">C177+C172</f>
        <v>312632.74</v>
      </c>
      <c r="D204" s="67" t="n">
        <f aca="false">D177+D172</f>
        <v>309299.406666667</v>
      </c>
      <c r="E204" s="67" t="n">
        <f aca="false">E177+E172</f>
        <v>305966.073333333</v>
      </c>
      <c r="F204" s="67" t="n">
        <f aca="false">F177+F172</f>
        <v>302632.74</v>
      </c>
      <c r="G204" s="67" t="n">
        <f aca="false">G177+G172</f>
        <v>299299.406666667</v>
      </c>
      <c r="H204" s="67" t="n">
        <f aca="false">H177+H172</f>
        <v>295966.073333333</v>
      </c>
      <c r="I204" s="67" t="n">
        <f aca="false">I177+I172</f>
        <v>292632.74</v>
      </c>
      <c r="J204" s="67" t="n">
        <f aca="false">J177+J172</f>
        <v>289299.406666667</v>
      </c>
      <c r="K204" s="67" t="n">
        <f aca="false">K177+K172</f>
        <v>285966.073333333</v>
      </c>
      <c r="L204" s="67" t="n">
        <f aca="false">L177+L172</f>
        <v>282632.74</v>
      </c>
      <c r="M204" s="67" t="n">
        <f aca="false">M177+M172</f>
        <v>279299.406666667</v>
      </c>
      <c r="N204" s="67" t="n">
        <f aca="false">N177+N172</f>
        <v>275966.073333333</v>
      </c>
      <c r="O204" s="67" t="n">
        <f aca="false">O177+O172</f>
        <v>305417.95234</v>
      </c>
      <c r="P204" s="67" t="n">
        <f aca="false">P177+P172</f>
        <v>302084.619006667</v>
      </c>
      <c r="Q204" s="67" t="n">
        <f aca="false">Q177+Q172</f>
        <v>298751.285673333</v>
      </c>
      <c r="R204" s="67" t="n">
        <f aca="false">R177+R172</f>
        <v>295417.95234</v>
      </c>
      <c r="S204" s="67" t="n">
        <f aca="false">S177+S172</f>
        <v>292084.619006667</v>
      </c>
      <c r="T204" s="67" t="n">
        <f aca="false">T177+T172</f>
        <v>288751.285673333</v>
      </c>
      <c r="U204" s="67" t="n">
        <f aca="false">U177+U172</f>
        <v>285417.95234</v>
      </c>
      <c r="V204" s="67" t="n">
        <f aca="false">V177+V172</f>
        <v>282084.619006667</v>
      </c>
      <c r="W204" s="67" t="n">
        <f aca="false">W177+W172</f>
        <v>278751.285673333</v>
      </c>
      <c r="X204" s="67" t="n">
        <f aca="false">X177+X172</f>
        <v>275417.95234</v>
      </c>
      <c r="Y204" s="67" t="n">
        <f aca="false">Y177+Y172</f>
        <v>272084.619006667</v>
      </c>
      <c r="Z204" s="67" t="n">
        <f aca="false">Z177+Z172</f>
        <v>268751.285673333</v>
      </c>
      <c r="AA204" s="67" t="n">
        <f aca="false">AA177+AA172</f>
        <v>308043.59204454</v>
      </c>
      <c r="AB204" s="67" t="n">
        <f aca="false">AB177+AB172</f>
        <v>304710.258711206</v>
      </c>
      <c r="AC204" s="67" t="n">
        <f aca="false">AC177+AC172</f>
        <v>301376.925377873</v>
      </c>
      <c r="AD204" s="67" t="n">
        <f aca="false">AD177+AD172</f>
        <v>298043.59204454</v>
      </c>
      <c r="AE204" s="67" t="n">
        <f aca="false">AE177+AE172</f>
        <v>294710.258711207</v>
      </c>
      <c r="AF204" s="67" t="n">
        <f aca="false">AF177+AF172</f>
        <v>291376.925377873</v>
      </c>
      <c r="AG204" s="67" t="n">
        <f aca="false">AG177+AG172</f>
        <v>288043.59204454</v>
      </c>
      <c r="AH204" s="67" t="n">
        <f aca="false">AH177+AH172</f>
        <v>284710.258711207</v>
      </c>
      <c r="AI204" s="67" t="n">
        <f aca="false">AI177+AI172</f>
        <v>281376.925377873</v>
      </c>
      <c r="AJ204" s="67" t="n">
        <f aca="false">AJ177+AJ172</f>
        <v>278043.59204454</v>
      </c>
      <c r="AK204" s="67" t="n">
        <f aca="false">AK177+AK172</f>
        <v>274710.258711207</v>
      </c>
      <c r="AL204" s="67" t="n">
        <f aca="false">AL177+AL172</f>
        <v>271376.925377873</v>
      </c>
      <c r="AM204" s="67" t="n">
        <f aca="false">AM177+AM172</f>
        <v>323544.956720181</v>
      </c>
      <c r="AN204" s="67" t="n">
        <f aca="false">AN177+AN172</f>
        <v>320211.623386848</v>
      </c>
      <c r="AO204" s="67" t="n">
        <f aca="false">AO177+AO172</f>
        <v>316878.290053514</v>
      </c>
      <c r="AP204" s="67" t="n">
        <f aca="false">AP177+AP172</f>
        <v>313544.956720181</v>
      </c>
      <c r="AQ204" s="67" t="n">
        <f aca="false">AQ177+AQ172</f>
        <v>310211.623386848</v>
      </c>
      <c r="AR204" s="67" t="n">
        <f aca="false">AR177+AR172</f>
        <v>306878.290053514</v>
      </c>
      <c r="AS204" s="67" t="n">
        <f aca="false">AS177+AS172</f>
        <v>303544.956720181</v>
      </c>
      <c r="AT204" s="67" t="n">
        <f aca="false">AT177+AT172</f>
        <v>300211.623386848</v>
      </c>
      <c r="AU204" s="67" t="n">
        <f aca="false">AU177+AU172</f>
        <v>296878.290053514</v>
      </c>
      <c r="AV204" s="67" t="n">
        <f aca="false">AV177+AV172</f>
        <v>293544.956720181</v>
      </c>
      <c r="AW204" s="67" t="n">
        <f aca="false">AW177+AW172</f>
        <v>290211.623386848</v>
      </c>
      <c r="AX204" s="67" t="n">
        <f aca="false">AX177+AX172</f>
        <v>286878.290053514</v>
      </c>
      <c r="AY204" s="67" t="n">
        <f aca="false">AY177+AY172</f>
        <v>355915.366546385</v>
      </c>
      <c r="AZ204" s="67" t="n">
        <f aca="false">AZ177+AZ172</f>
        <v>352582.033213051</v>
      </c>
      <c r="BA204" s="67" t="n">
        <f aca="false">BA177+BA172</f>
        <v>349248.699879718</v>
      </c>
      <c r="BB204" s="67" t="n">
        <f aca="false">BB177+BB172</f>
        <v>345915.366546385</v>
      </c>
      <c r="BC204" s="67" t="n">
        <f aca="false">BC177+BC172</f>
        <v>342582.033213051</v>
      </c>
      <c r="BD204" s="67" t="n">
        <f aca="false">BD177+BD172</f>
        <v>339248.699879718</v>
      </c>
      <c r="BE204" s="67" t="n">
        <f aca="false">BE177+BE172</f>
        <v>335915.366546385</v>
      </c>
      <c r="BF204" s="67" t="n">
        <f aca="false">BF177+BF172</f>
        <v>332582.033213051</v>
      </c>
      <c r="BG204" s="67" t="n">
        <f aca="false">BG177+BG172</f>
        <v>329248.699879718</v>
      </c>
      <c r="BH204" s="67" t="n">
        <f aca="false">BH177+BH172</f>
        <v>325915.366546385</v>
      </c>
      <c r="BI204" s="67" t="n">
        <f aca="false">BI177+BI172</f>
        <v>322582.033213051</v>
      </c>
      <c r="BJ204" s="67" t="n">
        <f aca="false">BJ177+BJ172</f>
        <v>319248.699879718</v>
      </c>
    </row>
    <row r="205" customFormat="false" ht="15" hidden="false" customHeight="false" outlineLevel="0" collapsed="false">
      <c r="A205" s="6" t="s">
        <v>99</v>
      </c>
      <c r="C205" s="67" t="n">
        <f aca="false">C201+C202</f>
        <v>367321.577466667</v>
      </c>
      <c r="D205" s="67" t="n">
        <f aca="false">D201+D202</f>
        <v>434651.932711111</v>
      </c>
      <c r="E205" s="67" t="n">
        <f aca="false">E201+E202</f>
        <v>501999.843511111</v>
      </c>
      <c r="F205" s="67" t="n">
        <f aca="false">F201+F202</f>
        <v>569365.309866667</v>
      </c>
      <c r="G205" s="67" t="n">
        <f aca="false">G201+G202</f>
        <v>636748.331777778</v>
      </c>
      <c r="H205" s="67" t="n">
        <f aca="false">H201+H202</f>
        <v>704148.909244445</v>
      </c>
      <c r="I205" s="67" t="n">
        <f aca="false">I201+I202</f>
        <v>771567.042266667</v>
      </c>
      <c r="J205" s="67" t="n">
        <f aca="false">J201+J202</f>
        <v>839002.730844444</v>
      </c>
      <c r="K205" s="67" t="n">
        <f aca="false">K201+K202</f>
        <v>906455.974977778</v>
      </c>
      <c r="L205" s="67" t="n">
        <f aca="false">L201+L202</f>
        <v>973926.774666667</v>
      </c>
      <c r="M205" s="67" t="n">
        <f aca="false">M201+M202</f>
        <v>1041415.12991111</v>
      </c>
      <c r="N205" s="67" t="n">
        <f aca="false">N201+N202</f>
        <v>1108921.04071111</v>
      </c>
      <c r="O205" s="67" t="n">
        <f aca="false">O201+O202</f>
        <v>1205345.85230947</v>
      </c>
      <c r="P205" s="67" t="n">
        <f aca="false">P201+P202</f>
        <v>1301788.21946338</v>
      </c>
      <c r="Q205" s="67" t="n">
        <f aca="false">Q201+Q202</f>
        <v>1398248.14217284</v>
      </c>
      <c r="R205" s="67" t="n">
        <f aca="false">R201+R202</f>
        <v>1494725.62043787</v>
      </c>
      <c r="S205" s="67" t="n">
        <f aca="false">S201+S202</f>
        <v>1591220.65425845</v>
      </c>
      <c r="T205" s="67" t="n">
        <f aca="false">T201+T202</f>
        <v>1687733.24363458</v>
      </c>
      <c r="U205" s="67" t="n">
        <f aca="false">U201+U202</f>
        <v>1784263.38856627</v>
      </c>
      <c r="V205" s="67" t="n">
        <f aca="false">V201+V202</f>
        <v>1880811.08905351</v>
      </c>
      <c r="W205" s="67" t="n">
        <f aca="false">W201+W202</f>
        <v>1977376.34509631</v>
      </c>
      <c r="X205" s="67" t="n">
        <f aca="false">X201+X202</f>
        <v>2073959.15669467</v>
      </c>
      <c r="Y205" s="67" t="n">
        <f aca="false">Y201+Y202</f>
        <v>2170559.52384858</v>
      </c>
      <c r="Z205" s="67" t="n">
        <f aca="false">Z201+Z202</f>
        <v>2267177.44655805</v>
      </c>
      <c r="AA205" s="67" t="n">
        <f aca="false">AA201+AA202</f>
        <v>2402278.31503109</v>
      </c>
      <c r="AB205" s="67" t="n">
        <f aca="false">AB201+AB202</f>
        <v>2537396.73905968</v>
      </c>
      <c r="AC205" s="67" t="n">
        <f aca="false">AC201+AC202</f>
        <v>2672532.71864383</v>
      </c>
      <c r="AD205" s="67" t="n">
        <f aca="false">AD201+AD202</f>
        <v>2807686.25378354</v>
      </c>
      <c r="AE205" s="67" t="n">
        <f aca="false">AE201+AE202</f>
        <v>2942857.3444788</v>
      </c>
      <c r="AF205" s="67" t="n">
        <f aca="false">AF201+AF202</f>
        <v>3078045.99072961</v>
      </c>
      <c r="AG205" s="67" t="n">
        <f aca="false">AG201+AG202</f>
        <v>3213252.19253599</v>
      </c>
      <c r="AH205" s="67" t="n">
        <f aca="false">AH201+AH202</f>
        <v>3348475.94989792</v>
      </c>
      <c r="AI205" s="67" t="n">
        <f aca="false">AI201+AI202</f>
        <v>3483717.2628154</v>
      </c>
      <c r="AJ205" s="67" t="n">
        <f aca="false">AJ201+AJ202</f>
        <v>3618976.13128844</v>
      </c>
      <c r="AK205" s="67" t="n">
        <f aca="false">AK201+AK202</f>
        <v>3754252.55531703</v>
      </c>
      <c r="AL205" s="67" t="n">
        <f aca="false">AL201+AL202</f>
        <v>3889546.53490118</v>
      </c>
      <c r="AM205" s="67" t="n">
        <f aca="false">AM201+AM202</f>
        <v>4076051.30829744</v>
      </c>
      <c r="AN205" s="67" t="n">
        <f aca="false">AN201+AN202</f>
        <v>4262573.63724925</v>
      </c>
      <c r="AO205" s="67" t="n">
        <f aca="false">AO201+AO202</f>
        <v>4449113.52175662</v>
      </c>
      <c r="AP205" s="67" t="n">
        <f aca="false">AP201+AP202</f>
        <v>4635670.96181954</v>
      </c>
      <c r="AQ205" s="67" t="n">
        <f aca="false">AQ201+AQ202</f>
        <v>4822245.95743802</v>
      </c>
      <c r="AR205" s="67" t="n">
        <f aca="false">AR201+AR202</f>
        <v>5008838.50861206</v>
      </c>
      <c r="AS205" s="67" t="n">
        <f aca="false">AS201+AS202</f>
        <v>5195448.61534165</v>
      </c>
      <c r="AT205" s="67" t="n">
        <f aca="false">AT201+AT202</f>
        <v>5382076.2776268</v>
      </c>
      <c r="AU205" s="67" t="n">
        <f aca="false">AU201+AU202</f>
        <v>5568721.4954675</v>
      </c>
      <c r="AV205" s="67" t="n">
        <f aca="false">AV201+AV202</f>
        <v>5755384.26886375</v>
      </c>
      <c r="AW205" s="67" t="n">
        <f aca="false">AW201+AW202</f>
        <v>5942064.59781557</v>
      </c>
      <c r="AX205" s="67" t="n">
        <f aca="false">AX201+AX202</f>
        <v>6128762.48232294</v>
      </c>
      <c r="AY205" s="67" t="n">
        <f aca="false">AY201+AY202</f>
        <v>6383612.72707008</v>
      </c>
      <c r="AZ205" s="67" t="n">
        <f aca="false">AZ201+AZ202</f>
        <v>6638480.52737279</v>
      </c>
      <c r="BA205" s="67" t="n">
        <f aca="false">BA201+BA202</f>
        <v>6893365.88323105</v>
      </c>
      <c r="BB205" s="67" t="n">
        <f aca="false">BB201+BB202</f>
        <v>7148268.79464486</v>
      </c>
      <c r="BC205" s="67" t="n">
        <f aca="false">BC201+BC202</f>
        <v>7403189.26161423</v>
      </c>
      <c r="BD205" s="67" t="n">
        <f aca="false">BD201+BD202</f>
        <v>7658127.28413916</v>
      </c>
      <c r="BE205" s="67" t="n">
        <f aca="false">BE201+BE202</f>
        <v>7913082.86221964</v>
      </c>
      <c r="BF205" s="67" t="n">
        <f aca="false">BF201+BF202</f>
        <v>8168055.99585567</v>
      </c>
      <c r="BG205" s="67" t="n">
        <f aca="false">BG201+BG202</f>
        <v>8423046.68504727</v>
      </c>
      <c r="BH205" s="67" t="n">
        <f aca="false">BH201+BH202</f>
        <v>8678054.92979442</v>
      </c>
      <c r="BI205" s="67" t="n">
        <f aca="false">BI201+BI202</f>
        <v>8933080.73009712</v>
      </c>
      <c r="BJ205" s="67" t="n">
        <f aca="false">BJ201+BJ202</f>
        <v>9188124.08595538</v>
      </c>
    </row>
    <row r="206" customFormat="false" ht="15" hidden="false" customHeight="false" outlineLevel="0" collapsed="false">
      <c r="A206" s="4" t="s">
        <v>100</v>
      </c>
      <c r="C206" s="73" t="n">
        <f aca="false">C204+C205</f>
        <v>679954.317466667</v>
      </c>
      <c r="D206" s="73" t="n">
        <f aca="false">D204+D205</f>
        <v>743951.339377778</v>
      </c>
      <c r="E206" s="73" t="n">
        <f aca="false">E204+E205</f>
        <v>807965.916844444</v>
      </c>
      <c r="F206" s="73" t="n">
        <f aca="false">F204+F205</f>
        <v>871998.049866667</v>
      </c>
      <c r="G206" s="73" t="n">
        <f aca="false">G204+G205</f>
        <v>936047.738444444</v>
      </c>
      <c r="H206" s="73" t="n">
        <f aca="false">H204+H205</f>
        <v>1000114.98257778</v>
      </c>
      <c r="I206" s="73" t="n">
        <f aca="false">I204+I205</f>
        <v>1064199.78226667</v>
      </c>
      <c r="J206" s="73" t="n">
        <f aca="false">J204+J205</f>
        <v>1128302.13751111</v>
      </c>
      <c r="K206" s="73" t="n">
        <f aca="false">K204+K205</f>
        <v>1192422.04831111</v>
      </c>
      <c r="L206" s="73" t="n">
        <f aca="false">L204+L205</f>
        <v>1256559.51466667</v>
      </c>
      <c r="M206" s="73" t="n">
        <f aca="false">M204+M205</f>
        <v>1320714.53657778</v>
      </c>
      <c r="N206" s="73" t="n">
        <f aca="false">N204+N205</f>
        <v>1384887.11404444</v>
      </c>
      <c r="O206" s="73" t="n">
        <f aca="false">O204+O205</f>
        <v>1510763.80464947</v>
      </c>
      <c r="P206" s="73" t="n">
        <f aca="false">P204+P205</f>
        <v>1603872.83847004</v>
      </c>
      <c r="Q206" s="73" t="n">
        <f aca="false">Q204+Q205</f>
        <v>1696999.42784618</v>
      </c>
      <c r="R206" s="73" t="n">
        <f aca="false">R204+R205</f>
        <v>1790143.57277787</v>
      </c>
      <c r="S206" s="73" t="n">
        <f aca="false">S204+S205</f>
        <v>1883305.27326511</v>
      </c>
      <c r="T206" s="73" t="n">
        <f aca="false">T204+T205</f>
        <v>1976484.52930791</v>
      </c>
      <c r="U206" s="73" t="n">
        <f aca="false">U204+U205</f>
        <v>2069681.34090627</v>
      </c>
      <c r="V206" s="73" t="n">
        <f aca="false">V204+V205</f>
        <v>2162895.70806018</v>
      </c>
      <c r="W206" s="73" t="n">
        <f aca="false">W204+W205</f>
        <v>2256127.63076965</v>
      </c>
      <c r="X206" s="73" t="n">
        <f aca="false">X204+X205</f>
        <v>2349377.10903467</v>
      </c>
      <c r="Y206" s="73" t="n">
        <f aca="false">Y204+Y205</f>
        <v>2442644.14285525</v>
      </c>
      <c r="Z206" s="73" t="n">
        <f aca="false">Z204+Z205</f>
        <v>2535928.73223138</v>
      </c>
      <c r="AA206" s="73" t="n">
        <f aca="false">AA204+AA205</f>
        <v>2710321.90707563</v>
      </c>
      <c r="AB206" s="73" t="n">
        <f aca="false">AB204+AB205</f>
        <v>2842106.99777089</v>
      </c>
      <c r="AC206" s="73" t="n">
        <f aca="false">AC204+AC205</f>
        <v>2973909.6440217</v>
      </c>
      <c r="AD206" s="73" t="n">
        <f aca="false">AD204+AD205</f>
        <v>3105729.84582808</v>
      </c>
      <c r="AE206" s="73" t="n">
        <f aca="false">AE204+AE205</f>
        <v>3237567.60319</v>
      </c>
      <c r="AF206" s="73" t="n">
        <f aca="false">AF204+AF205</f>
        <v>3369422.91610749</v>
      </c>
      <c r="AG206" s="73" t="n">
        <f aca="false">AG204+AG205</f>
        <v>3501295.78458053</v>
      </c>
      <c r="AH206" s="73" t="n">
        <f aca="false">AH204+AH205</f>
        <v>3633186.20860912</v>
      </c>
      <c r="AI206" s="73" t="n">
        <f aca="false">AI204+AI205</f>
        <v>3765094.18819327</v>
      </c>
      <c r="AJ206" s="73" t="n">
        <f aca="false">AJ204+AJ205</f>
        <v>3897019.72333298</v>
      </c>
      <c r="AK206" s="73" t="n">
        <f aca="false">AK204+AK205</f>
        <v>4028962.81402824</v>
      </c>
      <c r="AL206" s="73" t="n">
        <f aca="false">AL204+AL205</f>
        <v>4160923.46027906</v>
      </c>
      <c r="AM206" s="73" t="n">
        <f aca="false">AM204+AM205</f>
        <v>4399596.26501762</v>
      </c>
      <c r="AN206" s="73" t="n">
        <f aca="false">AN204+AN205</f>
        <v>4582785.2606361</v>
      </c>
      <c r="AO206" s="73" t="n">
        <f aca="false">AO204+AO205</f>
        <v>4765991.81181014</v>
      </c>
      <c r="AP206" s="73" t="n">
        <f aca="false">AP204+AP205</f>
        <v>4949215.91853973</v>
      </c>
      <c r="AQ206" s="73" t="n">
        <f aca="false">AQ204+AQ205</f>
        <v>5132457.58082487</v>
      </c>
      <c r="AR206" s="73" t="n">
        <f aca="false">AR204+AR205</f>
        <v>5315716.79866557</v>
      </c>
      <c r="AS206" s="73" t="n">
        <f aca="false">AS204+AS205</f>
        <v>5498993.57206183</v>
      </c>
      <c r="AT206" s="73" t="n">
        <f aca="false">AT204+AT205</f>
        <v>5682287.90101364</v>
      </c>
      <c r="AU206" s="73" t="n">
        <f aca="false">AU204+AU205</f>
        <v>5865599.78552101</v>
      </c>
      <c r="AV206" s="73" t="n">
        <f aca="false">AV204+AV205</f>
        <v>6048929.22558394</v>
      </c>
      <c r="AW206" s="73" t="n">
        <f aca="false">AW204+AW205</f>
        <v>6232276.22120241</v>
      </c>
      <c r="AX206" s="73" t="n">
        <f aca="false">AX204+AX205</f>
        <v>6415640.77237645</v>
      </c>
      <c r="AY206" s="73" t="n">
        <f aca="false">AY204+AY205</f>
        <v>6739528.09361647</v>
      </c>
      <c r="AZ206" s="73" t="n">
        <f aca="false">AZ204+AZ205</f>
        <v>6991062.56058584</v>
      </c>
      <c r="BA206" s="73" t="n">
        <f aca="false">BA204+BA205</f>
        <v>7242614.58311076</v>
      </c>
      <c r="BB206" s="73" t="n">
        <f aca="false">BB204+BB205</f>
        <v>7494184.16119125</v>
      </c>
      <c r="BC206" s="73" t="n">
        <f aca="false">BC204+BC205</f>
        <v>7745771.29482728</v>
      </c>
      <c r="BD206" s="73" t="n">
        <f aca="false">BD204+BD205</f>
        <v>7997375.98401887</v>
      </c>
      <c r="BE206" s="73" t="n">
        <f aca="false">BE204+BE205</f>
        <v>8248998.22876602</v>
      </c>
      <c r="BF206" s="73" t="n">
        <f aca="false">BF204+BF205</f>
        <v>8500638.02906873</v>
      </c>
      <c r="BG206" s="73" t="n">
        <f aca="false">BG204+BG205</f>
        <v>8752295.38492698</v>
      </c>
      <c r="BH206" s="73" t="n">
        <f aca="false">BH204+BH205</f>
        <v>9003970.2963408</v>
      </c>
      <c r="BI206" s="73" t="n">
        <f aca="false">BI204+BI205</f>
        <v>9255662.76331017</v>
      </c>
      <c r="BJ206" s="73" t="n">
        <f aca="false">BJ204+BJ205</f>
        <v>9507372.7858351</v>
      </c>
    </row>
    <row r="207" customFormat="false" ht="15" hidden="false" customHeight="false" outlineLevel="0" collapsed="false">
      <c r="A207" s="6" t="s">
        <v>434</v>
      </c>
      <c r="C207" s="67" t="n">
        <f aca="false">C203-C206</f>
        <v>0</v>
      </c>
      <c r="D207" s="67" t="n">
        <f aca="false">D203-D206</f>
        <v>0</v>
      </c>
      <c r="E207" s="67" t="n">
        <f aca="false">E203-E206</f>
        <v>0</v>
      </c>
      <c r="F207" s="67" t="n">
        <f aca="false">F203-F206</f>
        <v>0</v>
      </c>
      <c r="G207" s="67" t="n">
        <f aca="false">G203-G206</f>
        <v>0</v>
      </c>
      <c r="H207" s="67" t="n">
        <f aca="false">H203-H206</f>
        <v>0</v>
      </c>
      <c r="I207" s="67" t="n">
        <f aca="false">I203-I206</f>
        <v>0</v>
      </c>
      <c r="J207" s="67" t="n">
        <f aca="false">J203-J206</f>
        <v>0</v>
      </c>
      <c r="K207" s="67" t="n">
        <f aca="false">K203-K206</f>
        <v>0</v>
      </c>
      <c r="L207" s="67" t="n">
        <f aca="false">L203-L206</f>
        <v>0</v>
      </c>
      <c r="M207" s="67" t="n">
        <f aca="false">M203-M206</f>
        <v>0</v>
      </c>
      <c r="N207" s="67" t="n">
        <f aca="false">N203-N206</f>
        <v>0</v>
      </c>
      <c r="O207" s="67" t="n">
        <f aca="false">O203-O206</f>
        <v>0</v>
      </c>
      <c r="P207" s="67" t="n">
        <f aca="false">P203-P206</f>
        <v>0</v>
      </c>
      <c r="Q207" s="67" t="n">
        <f aca="false">Q203-Q206</f>
        <v>0</v>
      </c>
      <c r="R207" s="67" t="n">
        <f aca="false">R203-R206</f>
        <v>0</v>
      </c>
      <c r="S207" s="67" t="n">
        <f aca="false">S203-S206</f>
        <v>0</v>
      </c>
      <c r="T207" s="67" t="n">
        <f aca="false">T203-T206</f>
        <v>0</v>
      </c>
      <c r="U207" s="67" t="n">
        <f aca="false">U203-U206</f>
        <v>0</v>
      </c>
      <c r="V207" s="67" t="n">
        <f aca="false">V203-V206</f>
        <v>0</v>
      </c>
      <c r="W207" s="67" t="n">
        <f aca="false">W203-W206</f>
        <v>0</v>
      </c>
      <c r="X207" s="67" t="n">
        <f aca="false">X203-X206</f>
        <v>0</v>
      </c>
      <c r="Y207" s="67" t="n">
        <f aca="false">Y203-Y206</f>
        <v>0</v>
      </c>
      <c r="Z207" s="67" t="n">
        <f aca="false">Z203-Z206</f>
        <v>0</v>
      </c>
      <c r="AA207" s="67" t="n">
        <f aca="false">AA203-AA206</f>
        <v>0</v>
      </c>
      <c r="AB207" s="67" t="n">
        <f aca="false">AB203-AB206</f>
        <v>0</v>
      </c>
      <c r="AC207" s="67" t="n">
        <f aca="false">AC203-AC206</f>
        <v>0</v>
      </c>
      <c r="AD207" s="67" t="n">
        <f aca="false">AD203-AD206</f>
        <v>0</v>
      </c>
      <c r="AE207" s="67" t="n">
        <f aca="false">AE203-AE206</f>
        <v>0</v>
      </c>
      <c r="AF207" s="67" t="n">
        <f aca="false">AF203-AF206</f>
        <v>0</v>
      </c>
      <c r="AG207" s="67" t="n">
        <f aca="false">AG203-AG206</f>
        <v>0</v>
      </c>
      <c r="AH207" s="67" t="n">
        <f aca="false">AH203-AH206</f>
        <v>0</v>
      </c>
      <c r="AI207" s="67" t="n">
        <f aca="false">AI203-AI206</f>
        <v>0</v>
      </c>
      <c r="AJ207" s="67" t="n">
        <f aca="false">AJ203-AJ206</f>
        <v>0</v>
      </c>
      <c r="AK207" s="67" t="n">
        <f aca="false">AK203-AK206</f>
        <v>0</v>
      </c>
      <c r="AL207" s="67" t="n">
        <f aca="false">AL203-AL206</f>
        <v>0</v>
      </c>
      <c r="AM207" s="67" t="n">
        <f aca="false">AM203-AM206</f>
        <v>0</v>
      </c>
      <c r="AN207" s="67" t="n">
        <f aca="false">AN203-AN206</f>
        <v>0</v>
      </c>
      <c r="AO207" s="67" t="n">
        <f aca="false">AO203-AO206</f>
        <v>0</v>
      </c>
      <c r="AP207" s="67" t="n">
        <f aca="false">AP203-AP206</f>
        <v>0</v>
      </c>
      <c r="AQ207" s="67" t="n">
        <f aca="false">AQ203-AQ206</f>
        <v>0</v>
      </c>
      <c r="AR207" s="67" t="n">
        <f aca="false">AR203-AR206</f>
        <v>0</v>
      </c>
      <c r="AS207" s="67" t="n">
        <f aca="false">AS203-AS206</f>
        <v>0</v>
      </c>
      <c r="AT207" s="67" t="n">
        <f aca="false">AT203-AT206</f>
        <v>0</v>
      </c>
      <c r="AU207" s="67" t="n">
        <f aca="false">AU203-AU206</f>
        <v>0</v>
      </c>
      <c r="AV207" s="67" t="n">
        <f aca="false">AV203-AV206</f>
        <v>0</v>
      </c>
      <c r="AW207" s="67" t="n">
        <f aca="false">AW203-AW206</f>
        <v>0</v>
      </c>
      <c r="AX207" s="67" t="n">
        <f aca="false">AX203-AX206</f>
        <v>0</v>
      </c>
      <c r="AY207" s="67" t="n">
        <f aca="false">AY203-AY206</f>
        <v>0</v>
      </c>
      <c r="AZ207" s="67" t="n">
        <f aca="false">AZ203-AZ206</f>
        <v>0</v>
      </c>
      <c r="BA207" s="67" t="n">
        <f aca="false">BA203-BA206</f>
        <v>0</v>
      </c>
      <c r="BB207" s="67" t="n">
        <f aca="false">BB203-BB206</f>
        <v>0</v>
      </c>
      <c r="BC207" s="67" t="n">
        <f aca="false">BC203-BC206</f>
        <v>0</v>
      </c>
      <c r="BD207" s="67" t="n">
        <f aca="false">BD203-BD206</f>
        <v>0</v>
      </c>
      <c r="BE207" s="67" t="n">
        <f aca="false">BE203-BE206</f>
        <v>0</v>
      </c>
      <c r="BF207" s="67" t="n">
        <f aca="false">BF203-BF206</f>
        <v>0</v>
      </c>
      <c r="BG207" s="67" t="n">
        <f aca="false">BG203-BG206</f>
        <v>0</v>
      </c>
      <c r="BH207" s="67" t="n">
        <f aca="false">BH203-BH206</f>
        <v>0</v>
      </c>
      <c r="BI207" s="67" t="n">
        <f aca="false">BI203-BI206</f>
        <v>0</v>
      </c>
      <c r="BJ207" s="67" t="n">
        <f aca="false">BJ203-BJ206</f>
        <v>0</v>
      </c>
    </row>
    <row r="209" customFormat="false" ht="15.75" hidden="false" customHeight="true" outlineLevel="0" collapsed="false">
      <c r="A209" s="7" t="s">
        <v>436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customFormat="false" ht="15" hidden="false" customHeight="false" outlineLevel="0" collapsed="false">
      <c r="A210" s="6" t="s">
        <v>437</v>
      </c>
      <c r="C210" s="116" t="n">
        <f aca="false">Inputs!$C$34*(1+Inputs!$C$36)^(C$117-1)*MAX(0,MIN(1,C$116*1-Inputs!$C$37+1))/1</f>
        <v>4</v>
      </c>
      <c r="D210" s="116" t="n">
        <f aca="false">Inputs!$C$34*(1+Inputs!$C$36)^(D$117-1)*MAX(0,MIN(1,D$116*1-Inputs!$C$37+1))/1</f>
        <v>4</v>
      </c>
      <c r="E210" s="116" t="n">
        <f aca="false">Inputs!$C$34*(1+Inputs!$C$36)^(E$117-1)*MAX(0,MIN(1,E$116*1-Inputs!$C$37+1))/1</f>
        <v>4</v>
      </c>
      <c r="F210" s="116" t="n">
        <f aca="false">Inputs!$C$34*(1+Inputs!$C$36)^(F$117-1)*MAX(0,MIN(1,F$116*1-Inputs!$C$37+1))/1</f>
        <v>4</v>
      </c>
      <c r="G210" s="116" t="n">
        <f aca="false">Inputs!$C$34*(1+Inputs!$C$36)^(G$117-1)*MAX(0,MIN(1,G$116*1-Inputs!$C$37+1))/1</f>
        <v>4</v>
      </c>
      <c r="H210" s="116" t="n">
        <f aca="false">Inputs!$C$34*(1+Inputs!$C$36)^(H$117-1)*MAX(0,MIN(1,H$116*1-Inputs!$C$37+1))/1</f>
        <v>4</v>
      </c>
      <c r="I210" s="116" t="n">
        <f aca="false">Inputs!$C$34*(1+Inputs!$C$36)^(I$117-1)*MAX(0,MIN(1,I$116*1-Inputs!$C$37+1))/1</f>
        <v>4</v>
      </c>
      <c r="J210" s="116" t="n">
        <f aca="false">Inputs!$C$34*(1+Inputs!$C$36)^(J$117-1)*MAX(0,MIN(1,J$116*1-Inputs!$C$37+1))/1</f>
        <v>4</v>
      </c>
      <c r="K210" s="116" t="n">
        <f aca="false">Inputs!$C$34*(1+Inputs!$C$36)^(K$117-1)*MAX(0,MIN(1,K$116*1-Inputs!$C$37+1))/1</f>
        <v>4</v>
      </c>
      <c r="L210" s="116" t="n">
        <f aca="false">Inputs!$C$34*(1+Inputs!$C$36)^(L$117-1)*MAX(0,MIN(1,L$116*1-Inputs!$C$37+1))/1</f>
        <v>4</v>
      </c>
      <c r="M210" s="116" t="n">
        <f aca="false">Inputs!$C$34*(1+Inputs!$C$36)^(M$117-1)*MAX(0,MIN(1,M$116*1-Inputs!$C$37+1))/1</f>
        <v>4</v>
      </c>
      <c r="N210" s="116" t="n">
        <f aca="false">Inputs!$C$34*(1+Inputs!$C$36)^(N$117-1)*MAX(0,MIN(1,N$116*1-Inputs!$C$37+1))/1</f>
        <v>4</v>
      </c>
      <c r="O210" s="116" t="n">
        <f aca="false">Inputs!$C$34*(1+Inputs!$C$36)^(O$117-1)*MAX(0,MIN(1,O$116*1-Inputs!$C$37+1))/1</f>
        <v>4.8</v>
      </c>
      <c r="P210" s="116" t="n">
        <f aca="false">Inputs!$C$34*(1+Inputs!$C$36)^(P$117-1)*MAX(0,MIN(1,P$116*1-Inputs!$C$37+1))/1</f>
        <v>4.8</v>
      </c>
      <c r="Q210" s="116" t="n">
        <f aca="false">Inputs!$C$34*(1+Inputs!$C$36)^(Q$117-1)*MAX(0,MIN(1,Q$116*1-Inputs!$C$37+1))/1</f>
        <v>4.8</v>
      </c>
      <c r="R210" s="116" t="n">
        <f aca="false">Inputs!$C$34*(1+Inputs!$C$36)^(R$117-1)*MAX(0,MIN(1,R$116*1-Inputs!$C$37+1))/1</f>
        <v>4.8</v>
      </c>
      <c r="S210" s="116" t="n">
        <f aca="false">Inputs!$C$34*(1+Inputs!$C$36)^(S$117-1)*MAX(0,MIN(1,S$116*1-Inputs!$C$37+1))/1</f>
        <v>4.8</v>
      </c>
      <c r="T210" s="116" t="n">
        <f aca="false">Inputs!$C$34*(1+Inputs!$C$36)^(T$117-1)*MAX(0,MIN(1,T$116*1-Inputs!$C$37+1))/1</f>
        <v>4.8</v>
      </c>
      <c r="U210" s="116" t="n">
        <f aca="false">Inputs!$C$34*(1+Inputs!$C$36)^(U$117-1)*MAX(0,MIN(1,U$116*1-Inputs!$C$37+1))/1</f>
        <v>4.8</v>
      </c>
      <c r="V210" s="116" t="n">
        <f aca="false">Inputs!$C$34*(1+Inputs!$C$36)^(V$117-1)*MAX(0,MIN(1,V$116*1-Inputs!$C$37+1))/1</f>
        <v>4.8</v>
      </c>
      <c r="W210" s="116" t="n">
        <f aca="false">Inputs!$C$34*(1+Inputs!$C$36)^(W$117-1)*MAX(0,MIN(1,W$116*1-Inputs!$C$37+1))/1</f>
        <v>4.8</v>
      </c>
      <c r="X210" s="116" t="n">
        <f aca="false">Inputs!$C$34*(1+Inputs!$C$36)^(X$117-1)*MAX(0,MIN(1,X$116*1-Inputs!$C$37+1))/1</f>
        <v>4.8</v>
      </c>
      <c r="Y210" s="116" t="n">
        <f aca="false">Inputs!$C$34*(1+Inputs!$C$36)^(Y$117-1)*MAX(0,MIN(1,Y$116*1-Inputs!$C$37+1))/1</f>
        <v>4.8</v>
      </c>
      <c r="Z210" s="116" t="n">
        <f aca="false">Inputs!$C$34*(1+Inputs!$C$36)^(Z$117-1)*MAX(0,MIN(1,Z$116*1-Inputs!$C$37+1))/1</f>
        <v>4.8</v>
      </c>
      <c r="AA210" s="116" t="n">
        <f aca="false">Inputs!$C$34*(1+Inputs!$C$36)^(AA$117-1)*MAX(0,MIN(1,AA$116*1-Inputs!$C$37+1))/1</f>
        <v>5.76</v>
      </c>
      <c r="AB210" s="116" t="n">
        <f aca="false">Inputs!$C$34*(1+Inputs!$C$36)^(AB$117-1)*MAX(0,MIN(1,AB$116*1-Inputs!$C$37+1))/1</f>
        <v>5.76</v>
      </c>
      <c r="AC210" s="116" t="n">
        <f aca="false">Inputs!$C$34*(1+Inputs!$C$36)^(AC$117-1)*MAX(0,MIN(1,AC$116*1-Inputs!$C$37+1))/1</f>
        <v>5.76</v>
      </c>
      <c r="AD210" s="116" t="n">
        <f aca="false">Inputs!$C$34*(1+Inputs!$C$36)^(AD$117-1)*MAX(0,MIN(1,AD$116*1-Inputs!$C$37+1))/1</f>
        <v>5.76</v>
      </c>
      <c r="AE210" s="116" t="n">
        <f aca="false">Inputs!$C$34*(1+Inputs!$C$36)^(AE$117-1)*MAX(0,MIN(1,AE$116*1-Inputs!$C$37+1))/1</f>
        <v>5.76</v>
      </c>
      <c r="AF210" s="116" t="n">
        <f aca="false">Inputs!$C$34*(1+Inputs!$C$36)^(AF$117-1)*MAX(0,MIN(1,AF$116*1-Inputs!$C$37+1))/1</f>
        <v>5.76</v>
      </c>
      <c r="AG210" s="116" t="n">
        <f aca="false">Inputs!$C$34*(1+Inputs!$C$36)^(AG$117-1)*MAX(0,MIN(1,AG$116*1-Inputs!$C$37+1))/1</f>
        <v>5.76</v>
      </c>
      <c r="AH210" s="116" t="n">
        <f aca="false">Inputs!$C$34*(1+Inputs!$C$36)^(AH$117-1)*MAX(0,MIN(1,AH$116*1-Inputs!$C$37+1))/1</f>
        <v>5.76</v>
      </c>
      <c r="AI210" s="116" t="n">
        <f aca="false">Inputs!$C$34*(1+Inputs!$C$36)^(AI$117-1)*MAX(0,MIN(1,AI$116*1-Inputs!$C$37+1))/1</f>
        <v>5.76</v>
      </c>
      <c r="AJ210" s="116" t="n">
        <f aca="false">Inputs!$C$34*(1+Inputs!$C$36)^(AJ$117-1)*MAX(0,MIN(1,AJ$116*1-Inputs!$C$37+1))/1</f>
        <v>5.76</v>
      </c>
      <c r="AK210" s="116" t="n">
        <f aca="false">Inputs!$C$34*(1+Inputs!$C$36)^(AK$117-1)*MAX(0,MIN(1,AK$116*1-Inputs!$C$37+1))/1</f>
        <v>5.76</v>
      </c>
      <c r="AL210" s="116" t="n">
        <f aca="false">Inputs!$C$34*(1+Inputs!$C$36)^(AL$117-1)*MAX(0,MIN(1,AL$116*1-Inputs!$C$37+1))/1</f>
        <v>5.76</v>
      </c>
      <c r="AM210" s="116" t="n">
        <f aca="false">Inputs!$C$34*(1+Inputs!$C$36)^(AM$117-1)*MAX(0,MIN(1,AM$116*1-Inputs!$C$37+1))/1</f>
        <v>6.912</v>
      </c>
      <c r="AN210" s="116" t="n">
        <f aca="false">Inputs!$C$34*(1+Inputs!$C$36)^(AN$117-1)*MAX(0,MIN(1,AN$116*1-Inputs!$C$37+1))/1</f>
        <v>6.912</v>
      </c>
      <c r="AO210" s="116" t="n">
        <f aca="false">Inputs!$C$34*(1+Inputs!$C$36)^(AO$117-1)*MAX(0,MIN(1,AO$116*1-Inputs!$C$37+1))/1</f>
        <v>6.912</v>
      </c>
      <c r="AP210" s="116" t="n">
        <f aca="false">Inputs!$C$34*(1+Inputs!$C$36)^(AP$117-1)*MAX(0,MIN(1,AP$116*1-Inputs!$C$37+1))/1</f>
        <v>6.912</v>
      </c>
      <c r="AQ210" s="116" t="n">
        <f aca="false">Inputs!$C$34*(1+Inputs!$C$36)^(AQ$117-1)*MAX(0,MIN(1,AQ$116*1-Inputs!$C$37+1))/1</f>
        <v>6.912</v>
      </c>
      <c r="AR210" s="116" t="n">
        <f aca="false">Inputs!$C$34*(1+Inputs!$C$36)^(AR$117-1)*MAX(0,MIN(1,AR$116*1-Inputs!$C$37+1))/1</f>
        <v>6.912</v>
      </c>
      <c r="AS210" s="116" t="n">
        <f aca="false">Inputs!$C$34*(1+Inputs!$C$36)^(AS$117-1)*MAX(0,MIN(1,AS$116*1-Inputs!$C$37+1))/1</f>
        <v>6.912</v>
      </c>
      <c r="AT210" s="116" t="n">
        <f aca="false">Inputs!$C$34*(1+Inputs!$C$36)^(AT$117-1)*MAX(0,MIN(1,AT$116*1-Inputs!$C$37+1))/1</f>
        <v>6.912</v>
      </c>
      <c r="AU210" s="116" t="n">
        <f aca="false">Inputs!$C$34*(1+Inputs!$C$36)^(AU$117-1)*MAX(0,MIN(1,AU$116*1-Inputs!$C$37+1))/1</f>
        <v>6.912</v>
      </c>
      <c r="AV210" s="116" t="n">
        <f aca="false">Inputs!$C$34*(1+Inputs!$C$36)^(AV$117-1)*MAX(0,MIN(1,AV$116*1-Inputs!$C$37+1))/1</f>
        <v>6.912</v>
      </c>
      <c r="AW210" s="116" t="n">
        <f aca="false">Inputs!$C$34*(1+Inputs!$C$36)^(AW$117-1)*MAX(0,MIN(1,AW$116*1-Inputs!$C$37+1))/1</f>
        <v>6.912</v>
      </c>
      <c r="AX210" s="116" t="n">
        <f aca="false">Inputs!$C$34*(1+Inputs!$C$36)^(AX$117-1)*MAX(0,MIN(1,AX$116*1-Inputs!$C$37+1))/1</f>
        <v>6.912</v>
      </c>
      <c r="AY210" s="116" t="n">
        <f aca="false">Inputs!$C$34*(1+Inputs!$C$36)^(AY$117-1)*MAX(0,MIN(1,AY$116*1-Inputs!$C$37+1))/1</f>
        <v>8.2944</v>
      </c>
      <c r="AZ210" s="116" t="n">
        <f aca="false">Inputs!$C$34*(1+Inputs!$C$36)^(AZ$117-1)*MAX(0,MIN(1,AZ$116*1-Inputs!$C$37+1))/1</f>
        <v>8.2944</v>
      </c>
      <c r="BA210" s="116" t="n">
        <f aca="false">Inputs!$C$34*(1+Inputs!$C$36)^(BA$117-1)*MAX(0,MIN(1,BA$116*1-Inputs!$C$37+1))/1</f>
        <v>8.2944</v>
      </c>
      <c r="BB210" s="116" t="n">
        <f aca="false">Inputs!$C$34*(1+Inputs!$C$36)^(BB$117-1)*MAX(0,MIN(1,BB$116*1-Inputs!$C$37+1))/1</f>
        <v>8.2944</v>
      </c>
      <c r="BC210" s="116" t="n">
        <f aca="false">Inputs!$C$34*(1+Inputs!$C$36)^(BC$117-1)*MAX(0,MIN(1,BC$116*1-Inputs!$C$37+1))/1</f>
        <v>8.2944</v>
      </c>
      <c r="BD210" s="116" t="n">
        <f aca="false">Inputs!$C$34*(1+Inputs!$C$36)^(BD$117-1)*MAX(0,MIN(1,BD$116*1-Inputs!$C$37+1))/1</f>
        <v>8.2944</v>
      </c>
      <c r="BE210" s="116" t="n">
        <f aca="false">Inputs!$C$34*(1+Inputs!$C$36)^(BE$117-1)*MAX(0,MIN(1,BE$116*1-Inputs!$C$37+1))/1</f>
        <v>8.2944</v>
      </c>
      <c r="BF210" s="116" t="n">
        <f aca="false">Inputs!$C$34*(1+Inputs!$C$36)^(BF$117-1)*MAX(0,MIN(1,BF$116*1-Inputs!$C$37+1))/1</f>
        <v>8.2944</v>
      </c>
      <c r="BG210" s="116" t="n">
        <f aca="false">Inputs!$C$34*(1+Inputs!$C$36)^(BG$117-1)*MAX(0,MIN(1,BG$116*1-Inputs!$C$37+1))/1</f>
        <v>8.2944</v>
      </c>
      <c r="BH210" s="116" t="n">
        <f aca="false">Inputs!$C$34*(1+Inputs!$C$36)^(BH$117-1)*MAX(0,MIN(1,BH$116*1-Inputs!$C$37+1))/1</f>
        <v>8.2944</v>
      </c>
      <c r="BI210" s="116" t="n">
        <f aca="false">Inputs!$C$34*(1+Inputs!$C$36)^(BI$117-1)*MAX(0,MIN(1,BI$116*1-Inputs!$C$37+1))/1</f>
        <v>8.2944</v>
      </c>
      <c r="BJ210" s="116" t="n">
        <f aca="false">Inputs!$C$34*(1+Inputs!$C$36)^(BJ$117-1)*MAX(0,MIN(1,BJ$116*1-Inputs!$C$37+1))/1</f>
        <v>8.2944</v>
      </c>
    </row>
    <row r="211" customFormat="false" ht="15" hidden="false" customHeight="false" outlineLevel="0" collapsed="false">
      <c r="A211" s="6" t="s">
        <v>438</v>
      </c>
      <c r="C211" s="116" t="n">
        <f aca="false">Inputs!$C$38*(1+Inputs!$C$40)^(C$117-1)*MAX(0,MIN(1,C$116*1-Inputs!$C$41+1))/1</f>
        <v>12</v>
      </c>
      <c r="D211" s="116" t="n">
        <f aca="false">Inputs!$C$38*(1+Inputs!$C$40)^(D$117-1)*MAX(0,MIN(1,D$116*1-Inputs!$C$41+1))/1</f>
        <v>12</v>
      </c>
      <c r="E211" s="116" t="n">
        <f aca="false">Inputs!$C$38*(1+Inputs!$C$40)^(E$117-1)*MAX(0,MIN(1,E$116*1-Inputs!$C$41+1))/1</f>
        <v>12</v>
      </c>
      <c r="F211" s="116" t="n">
        <f aca="false">Inputs!$C$38*(1+Inputs!$C$40)^(F$117-1)*MAX(0,MIN(1,F$116*1-Inputs!$C$41+1))/1</f>
        <v>12</v>
      </c>
      <c r="G211" s="116" t="n">
        <f aca="false">Inputs!$C$38*(1+Inputs!$C$40)^(G$117-1)*MAX(0,MIN(1,G$116*1-Inputs!$C$41+1))/1</f>
        <v>12</v>
      </c>
      <c r="H211" s="116" t="n">
        <f aca="false">Inputs!$C$38*(1+Inputs!$C$40)^(H$117-1)*MAX(0,MIN(1,H$116*1-Inputs!$C$41+1))/1</f>
        <v>12</v>
      </c>
      <c r="I211" s="116" t="n">
        <f aca="false">Inputs!$C$38*(1+Inputs!$C$40)^(I$117-1)*MAX(0,MIN(1,I$116*1-Inputs!$C$41+1))/1</f>
        <v>12</v>
      </c>
      <c r="J211" s="116" t="n">
        <f aca="false">Inputs!$C$38*(1+Inputs!$C$40)^(J$117-1)*MAX(0,MIN(1,J$116*1-Inputs!$C$41+1))/1</f>
        <v>12</v>
      </c>
      <c r="K211" s="116" t="n">
        <f aca="false">Inputs!$C$38*(1+Inputs!$C$40)^(K$117-1)*MAX(0,MIN(1,K$116*1-Inputs!$C$41+1))/1</f>
        <v>12</v>
      </c>
      <c r="L211" s="116" t="n">
        <f aca="false">Inputs!$C$38*(1+Inputs!$C$40)^(L$117-1)*MAX(0,MIN(1,L$116*1-Inputs!$C$41+1))/1</f>
        <v>12</v>
      </c>
      <c r="M211" s="116" t="n">
        <f aca="false">Inputs!$C$38*(1+Inputs!$C$40)^(M$117-1)*MAX(0,MIN(1,M$116*1-Inputs!$C$41+1))/1</f>
        <v>12</v>
      </c>
      <c r="N211" s="116" t="n">
        <f aca="false">Inputs!$C$38*(1+Inputs!$C$40)^(N$117-1)*MAX(0,MIN(1,N$116*1-Inputs!$C$41+1))/1</f>
        <v>12</v>
      </c>
      <c r="O211" s="116" t="n">
        <f aca="false">Inputs!$C$38*(1+Inputs!$C$40)^(O$117-1)*MAX(0,MIN(1,O$116*1-Inputs!$C$41+1))/1</f>
        <v>15.6</v>
      </c>
      <c r="P211" s="116" t="n">
        <f aca="false">Inputs!$C$38*(1+Inputs!$C$40)^(P$117-1)*MAX(0,MIN(1,P$116*1-Inputs!$C$41+1))/1</f>
        <v>15.6</v>
      </c>
      <c r="Q211" s="116" t="n">
        <f aca="false">Inputs!$C$38*(1+Inputs!$C$40)^(Q$117-1)*MAX(0,MIN(1,Q$116*1-Inputs!$C$41+1))/1</f>
        <v>15.6</v>
      </c>
      <c r="R211" s="116" t="n">
        <f aca="false">Inputs!$C$38*(1+Inputs!$C$40)^(R$117-1)*MAX(0,MIN(1,R$116*1-Inputs!$C$41+1))/1</f>
        <v>15.6</v>
      </c>
      <c r="S211" s="116" t="n">
        <f aca="false">Inputs!$C$38*(1+Inputs!$C$40)^(S$117-1)*MAX(0,MIN(1,S$116*1-Inputs!$C$41+1))/1</f>
        <v>15.6</v>
      </c>
      <c r="T211" s="116" t="n">
        <f aca="false">Inputs!$C$38*(1+Inputs!$C$40)^(T$117-1)*MAX(0,MIN(1,T$116*1-Inputs!$C$41+1))/1</f>
        <v>15.6</v>
      </c>
      <c r="U211" s="116" t="n">
        <f aca="false">Inputs!$C$38*(1+Inputs!$C$40)^(U$117-1)*MAX(0,MIN(1,U$116*1-Inputs!$C$41+1))/1</f>
        <v>15.6</v>
      </c>
      <c r="V211" s="116" t="n">
        <f aca="false">Inputs!$C$38*(1+Inputs!$C$40)^(V$117-1)*MAX(0,MIN(1,V$116*1-Inputs!$C$41+1))/1</f>
        <v>15.6</v>
      </c>
      <c r="W211" s="116" t="n">
        <f aca="false">Inputs!$C$38*(1+Inputs!$C$40)^(W$117-1)*MAX(0,MIN(1,W$116*1-Inputs!$C$41+1))/1</f>
        <v>15.6</v>
      </c>
      <c r="X211" s="116" t="n">
        <f aca="false">Inputs!$C$38*(1+Inputs!$C$40)^(X$117-1)*MAX(0,MIN(1,X$116*1-Inputs!$C$41+1))/1</f>
        <v>15.6</v>
      </c>
      <c r="Y211" s="116" t="n">
        <f aca="false">Inputs!$C$38*(1+Inputs!$C$40)^(Y$117-1)*MAX(0,MIN(1,Y$116*1-Inputs!$C$41+1))/1</f>
        <v>15.6</v>
      </c>
      <c r="Z211" s="116" t="n">
        <f aca="false">Inputs!$C$38*(1+Inputs!$C$40)^(Z$117-1)*MAX(0,MIN(1,Z$116*1-Inputs!$C$41+1))/1</f>
        <v>15.6</v>
      </c>
      <c r="AA211" s="116" t="n">
        <f aca="false">Inputs!$C$38*(1+Inputs!$C$40)^(AA$117-1)*MAX(0,MIN(1,AA$116*1-Inputs!$C$41+1))/1</f>
        <v>20.28</v>
      </c>
      <c r="AB211" s="116" t="n">
        <f aca="false">Inputs!$C$38*(1+Inputs!$C$40)^(AB$117-1)*MAX(0,MIN(1,AB$116*1-Inputs!$C$41+1))/1</f>
        <v>20.28</v>
      </c>
      <c r="AC211" s="116" t="n">
        <f aca="false">Inputs!$C$38*(1+Inputs!$C$40)^(AC$117-1)*MAX(0,MIN(1,AC$116*1-Inputs!$C$41+1))/1</f>
        <v>20.28</v>
      </c>
      <c r="AD211" s="116" t="n">
        <f aca="false">Inputs!$C$38*(1+Inputs!$C$40)^(AD$117-1)*MAX(0,MIN(1,AD$116*1-Inputs!$C$41+1))/1</f>
        <v>20.28</v>
      </c>
      <c r="AE211" s="116" t="n">
        <f aca="false">Inputs!$C$38*(1+Inputs!$C$40)^(AE$117-1)*MAX(0,MIN(1,AE$116*1-Inputs!$C$41+1))/1</f>
        <v>20.28</v>
      </c>
      <c r="AF211" s="116" t="n">
        <f aca="false">Inputs!$C$38*(1+Inputs!$C$40)^(AF$117-1)*MAX(0,MIN(1,AF$116*1-Inputs!$C$41+1))/1</f>
        <v>20.28</v>
      </c>
      <c r="AG211" s="116" t="n">
        <f aca="false">Inputs!$C$38*(1+Inputs!$C$40)^(AG$117-1)*MAX(0,MIN(1,AG$116*1-Inputs!$C$41+1))/1</f>
        <v>20.28</v>
      </c>
      <c r="AH211" s="116" t="n">
        <f aca="false">Inputs!$C$38*(1+Inputs!$C$40)^(AH$117-1)*MAX(0,MIN(1,AH$116*1-Inputs!$C$41+1))/1</f>
        <v>20.28</v>
      </c>
      <c r="AI211" s="116" t="n">
        <f aca="false">Inputs!$C$38*(1+Inputs!$C$40)^(AI$117-1)*MAX(0,MIN(1,AI$116*1-Inputs!$C$41+1))/1</f>
        <v>20.28</v>
      </c>
      <c r="AJ211" s="116" t="n">
        <f aca="false">Inputs!$C$38*(1+Inputs!$C$40)^(AJ$117-1)*MAX(0,MIN(1,AJ$116*1-Inputs!$C$41+1))/1</f>
        <v>20.28</v>
      </c>
      <c r="AK211" s="116" t="n">
        <f aca="false">Inputs!$C$38*(1+Inputs!$C$40)^(AK$117-1)*MAX(0,MIN(1,AK$116*1-Inputs!$C$41+1))/1</f>
        <v>20.28</v>
      </c>
      <c r="AL211" s="116" t="n">
        <f aca="false">Inputs!$C$38*(1+Inputs!$C$40)^(AL$117-1)*MAX(0,MIN(1,AL$116*1-Inputs!$C$41+1))/1</f>
        <v>20.28</v>
      </c>
      <c r="AM211" s="116" t="n">
        <f aca="false">Inputs!$C$38*(1+Inputs!$C$40)^(AM$117-1)*MAX(0,MIN(1,AM$116*1-Inputs!$C$41+1))/1</f>
        <v>26.364</v>
      </c>
      <c r="AN211" s="116" t="n">
        <f aca="false">Inputs!$C$38*(1+Inputs!$C$40)^(AN$117-1)*MAX(0,MIN(1,AN$116*1-Inputs!$C$41+1))/1</f>
        <v>26.364</v>
      </c>
      <c r="AO211" s="116" t="n">
        <f aca="false">Inputs!$C$38*(1+Inputs!$C$40)^(AO$117-1)*MAX(0,MIN(1,AO$116*1-Inputs!$C$41+1))/1</f>
        <v>26.364</v>
      </c>
      <c r="AP211" s="116" t="n">
        <f aca="false">Inputs!$C$38*(1+Inputs!$C$40)^(AP$117-1)*MAX(0,MIN(1,AP$116*1-Inputs!$C$41+1))/1</f>
        <v>26.364</v>
      </c>
      <c r="AQ211" s="116" t="n">
        <f aca="false">Inputs!$C$38*(1+Inputs!$C$40)^(AQ$117-1)*MAX(0,MIN(1,AQ$116*1-Inputs!$C$41+1))/1</f>
        <v>26.364</v>
      </c>
      <c r="AR211" s="116" t="n">
        <f aca="false">Inputs!$C$38*(1+Inputs!$C$40)^(AR$117-1)*MAX(0,MIN(1,AR$116*1-Inputs!$C$41+1))/1</f>
        <v>26.364</v>
      </c>
      <c r="AS211" s="116" t="n">
        <f aca="false">Inputs!$C$38*(1+Inputs!$C$40)^(AS$117-1)*MAX(0,MIN(1,AS$116*1-Inputs!$C$41+1))/1</f>
        <v>26.364</v>
      </c>
      <c r="AT211" s="116" t="n">
        <f aca="false">Inputs!$C$38*(1+Inputs!$C$40)^(AT$117-1)*MAX(0,MIN(1,AT$116*1-Inputs!$C$41+1))/1</f>
        <v>26.364</v>
      </c>
      <c r="AU211" s="116" t="n">
        <f aca="false">Inputs!$C$38*(1+Inputs!$C$40)^(AU$117-1)*MAX(0,MIN(1,AU$116*1-Inputs!$C$41+1))/1</f>
        <v>26.364</v>
      </c>
      <c r="AV211" s="116" t="n">
        <f aca="false">Inputs!$C$38*(1+Inputs!$C$40)^(AV$117-1)*MAX(0,MIN(1,AV$116*1-Inputs!$C$41+1))/1</f>
        <v>26.364</v>
      </c>
      <c r="AW211" s="116" t="n">
        <f aca="false">Inputs!$C$38*(1+Inputs!$C$40)^(AW$117-1)*MAX(0,MIN(1,AW$116*1-Inputs!$C$41+1))/1</f>
        <v>26.364</v>
      </c>
      <c r="AX211" s="116" t="n">
        <f aca="false">Inputs!$C$38*(1+Inputs!$C$40)^(AX$117-1)*MAX(0,MIN(1,AX$116*1-Inputs!$C$41+1))/1</f>
        <v>26.364</v>
      </c>
      <c r="AY211" s="116" t="n">
        <f aca="false">Inputs!$C$38*(1+Inputs!$C$40)^(AY$117-1)*MAX(0,MIN(1,AY$116*1-Inputs!$C$41+1))/1</f>
        <v>34.2732</v>
      </c>
      <c r="AZ211" s="116" t="n">
        <f aca="false">Inputs!$C$38*(1+Inputs!$C$40)^(AZ$117-1)*MAX(0,MIN(1,AZ$116*1-Inputs!$C$41+1))/1</f>
        <v>34.2732</v>
      </c>
      <c r="BA211" s="116" t="n">
        <f aca="false">Inputs!$C$38*(1+Inputs!$C$40)^(BA$117-1)*MAX(0,MIN(1,BA$116*1-Inputs!$C$41+1))/1</f>
        <v>34.2732</v>
      </c>
      <c r="BB211" s="116" t="n">
        <f aca="false">Inputs!$C$38*(1+Inputs!$C$40)^(BB$117-1)*MAX(0,MIN(1,BB$116*1-Inputs!$C$41+1))/1</f>
        <v>34.2732</v>
      </c>
      <c r="BC211" s="116" t="n">
        <f aca="false">Inputs!$C$38*(1+Inputs!$C$40)^(BC$117-1)*MAX(0,MIN(1,BC$116*1-Inputs!$C$41+1))/1</f>
        <v>34.2732</v>
      </c>
      <c r="BD211" s="116" t="n">
        <f aca="false">Inputs!$C$38*(1+Inputs!$C$40)^(BD$117-1)*MAX(0,MIN(1,BD$116*1-Inputs!$C$41+1))/1</f>
        <v>34.2732</v>
      </c>
      <c r="BE211" s="116" t="n">
        <f aca="false">Inputs!$C$38*(1+Inputs!$C$40)^(BE$117-1)*MAX(0,MIN(1,BE$116*1-Inputs!$C$41+1))/1</f>
        <v>34.2732</v>
      </c>
      <c r="BF211" s="116" t="n">
        <f aca="false">Inputs!$C$38*(1+Inputs!$C$40)^(BF$117-1)*MAX(0,MIN(1,BF$116*1-Inputs!$C$41+1))/1</f>
        <v>34.2732</v>
      </c>
      <c r="BG211" s="116" t="n">
        <f aca="false">Inputs!$C$38*(1+Inputs!$C$40)^(BG$117-1)*MAX(0,MIN(1,BG$116*1-Inputs!$C$41+1))/1</f>
        <v>34.2732</v>
      </c>
      <c r="BH211" s="116" t="n">
        <f aca="false">Inputs!$C$38*(1+Inputs!$C$40)^(BH$117-1)*MAX(0,MIN(1,BH$116*1-Inputs!$C$41+1))/1</f>
        <v>34.2732</v>
      </c>
      <c r="BI211" s="116" t="n">
        <f aca="false">Inputs!$C$38*(1+Inputs!$C$40)^(BI$117-1)*MAX(0,MIN(1,BI$116*1-Inputs!$C$41+1))/1</f>
        <v>34.2732</v>
      </c>
      <c r="BJ211" s="116" t="n">
        <f aca="false">Inputs!$C$38*(1+Inputs!$C$40)^(BJ$117-1)*MAX(0,MIN(1,BJ$116*1-Inputs!$C$41+1))/1</f>
        <v>34.2732</v>
      </c>
    </row>
    <row r="212" customFormat="false" ht="15" hidden="false" customHeight="false" outlineLevel="0" collapsed="false">
      <c r="A212" s="6" t="s">
        <v>439</v>
      </c>
      <c r="C212" s="116" t="n">
        <f aca="false">Inputs!$C$42*(1+Inputs!$C$44)^(C$117-1)*MAX(0,MIN(1,C$116*1-Inputs!$C$45+1))/1</f>
        <v>2</v>
      </c>
      <c r="D212" s="116" t="n">
        <f aca="false">Inputs!$C$42*(1+Inputs!$C$44)^(D$117-1)*MAX(0,MIN(1,D$116*1-Inputs!$C$45+1))/1</f>
        <v>2</v>
      </c>
      <c r="E212" s="116" t="n">
        <f aca="false">Inputs!$C$42*(1+Inputs!$C$44)^(E$117-1)*MAX(0,MIN(1,E$116*1-Inputs!$C$45+1))/1</f>
        <v>2</v>
      </c>
      <c r="F212" s="116" t="n">
        <f aca="false">Inputs!$C$42*(1+Inputs!$C$44)^(F$117-1)*MAX(0,MIN(1,F$116*1-Inputs!$C$45+1))/1</f>
        <v>2</v>
      </c>
      <c r="G212" s="116" t="n">
        <f aca="false">Inputs!$C$42*(1+Inputs!$C$44)^(G$117-1)*MAX(0,MIN(1,G$116*1-Inputs!$C$45+1))/1</f>
        <v>2</v>
      </c>
      <c r="H212" s="116" t="n">
        <f aca="false">Inputs!$C$42*(1+Inputs!$C$44)^(H$117-1)*MAX(0,MIN(1,H$116*1-Inputs!$C$45+1))/1</f>
        <v>2</v>
      </c>
      <c r="I212" s="116" t="n">
        <f aca="false">Inputs!$C$42*(1+Inputs!$C$44)^(I$117-1)*MAX(0,MIN(1,I$116*1-Inputs!$C$45+1))/1</f>
        <v>2</v>
      </c>
      <c r="J212" s="116" t="n">
        <f aca="false">Inputs!$C$42*(1+Inputs!$C$44)^(J$117-1)*MAX(0,MIN(1,J$116*1-Inputs!$C$45+1))/1</f>
        <v>2</v>
      </c>
      <c r="K212" s="116" t="n">
        <f aca="false">Inputs!$C$42*(1+Inputs!$C$44)^(K$117-1)*MAX(0,MIN(1,K$116*1-Inputs!$C$45+1))/1</f>
        <v>2</v>
      </c>
      <c r="L212" s="116" t="n">
        <f aca="false">Inputs!$C$42*(1+Inputs!$C$44)^(L$117-1)*MAX(0,MIN(1,L$116*1-Inputs!$C$45+1))/1</f>
        <v>2</v>
      </c>
      <c r="M212" s="116" t="n">
        <f aca="false">Inputs!$C$42*(1+Inputs!$C$44)^(M$117-1)*MAX(0,MIN(1,M$116*1-Inputs!$C$45+1))/1</f>
        <v>2</v>
      </c>
      <c r="N212" s="116" t="n">
        <f aca="false">Inputs!$C$42*(1+Inputs!$C$44)^(N$117-1)*MAX(0,MIN(1,N$116*1-Inputs!$C$45+1))/1</f>
        <v>2</v>
      </c>
      <c r="O212" s="116" t="n">
        <f aca="false">Inputs!$C$42*(1+Inputs!$C$44)^(O$117-1)*MAX(0,MIN(1,O$116*1-Inputs!$C$45+1))/1</f>
        <v>2.4</v>
      </c>
      <c r="P212" s="116" t="n">
        <f aca="false">Inputs!$C$42*(1+Inputs!$C$44)^(P$117-1)*MAX(0,MIN(1,P$116*1-Inputs!$C$45+1))/1</f>
        <v>2.4</v>
      </c>
      <c r="Q212" s="116" t="n">
        <f aca="false">Inputs!$C$42*(1+Inputs!$C$44)^(Q$117-1)*MAX(0,MIN(1,Q$116*1-Inputs!$C$45+1))/1</f>
        <v>2.4</v>
      </c>
      <c r="R212" s="116" t="n">
        <f aca="false">Inputs!$C$42*(1+Inputs!$C$44)^(R$117-1)*MAX(0,MIN(1,R$116*1-Inputs!$C$45+1))/1</f>
        <v>2.4</v>
      </c>
      <c r="S212" s="116" t="n">
        <f aca="false">Inputs!$C$42*(1+Inputs!$C$44)^(S$117-1)*MAX(0,MIN(1,S$116*1-Inputs!$C$45+1))/1</f>
        <v>2.4</v>
      </c>
      <c r="T212" s="116" t="n">
        <f aca="false">Inputs!$C$42*(1+Inputs!$C$44)^(T$117-1)*MAX(0,MIN(1,T$116*1-Inputs!$C$45+1))/1</f>
        <v>2.4</v>
      </c>
      <c r="U212" s="116" t="n">
        <f aca="false">Inputs!$C$42*(1+Inputs!$C$44)^(U$117-1)*MAX(0,MIN(1,U$116*1-Inputs!$C$45+1))/1</f>
        <v>2.4</v>
      </c>
      <c r="V212" s="116" t="n">
        <f aca="false">Inputs!$C$42*(1+Inputs!$C$44)^(V$117-1)*MAX(0,MIN(1,V$116*1-Inputs!$C$45+1))/1</f>
        <v>2.4</v>
      </c>
      <c r="W212" s="116" t="n">
        <f aca="false">Inputs!$C$42*(1+Inputs!$C$44)^(W$117-1)*MAX(0,MIN(1,W$116*1-Inputs!$C$45+1))/1</f>
        <v>2.4</v>
      </c>
      <c r="X212" s="116" t="n">
        <f aca="false">Inputs!$C$42*(1+Inputs!$C$44)^(X$117-1)*MAX(0,MIN(1,X$116*1-Inputs!$C$45+1))/1</f>
        <v>2.4</v>
      </c>
      <c r="Y212" s="116" t="n">
        <f aca="false">Inputs!$C$42*(1+Inputs!$C$44)^(Y$117-1)*MAX(0,MIN(1,Y$116*1-Inputs!$C$45+1))/1</f>
        <v>2.4</v>
      </c>
      <c r="Z212" s="116" t="n">
        <f aca="false">Inputs!$C$42*(1+Inputs!$C$44)^(Z$117-1)*MAX(0,MIN(1,Z$116*1-Inputs!$C$45+1))/1</f>
        <v>2.4</v>
      </c>
      <c r="AA212" s="116" t="n">
        <f aca="false">Inputs!$C$42*(1+Inputs!$C$44)^(AA$117-1)*MAX(0,MIN(1,AA$116*1-Inputs!$C$45+1))/1</f>
        <v>2.88</v>
      </c>
      <c r="AB212" s="116" t="n">
        <f aca="false">Inputs!$C$42*(1+Inputs!$C$44)^(AB$117-1)*MAX(0,MIN(1,AB$116*1-Inputs!$C$45+1))/1</f>
        <v>2.88</v>
      </c>
      <c r="AC212" s="116" t="n">
        <f aca="false">Inputs!$C$42*(1+Inputs!$C$44)^(AC$117-1)*MAX(0,MIN(1,AC$116*1-Inputs!$C$45+1))/1</f>
        <v>2.88</v>
      </c>
      <c r="AD212" s="116" t="n">
        <f aca="false">Inputs!$C$42*(1+Inputs!$C$44)^(AD$117-1)*MAX(0,MIN(1,AD$116*1-Inputs!$C$45+1))/1</f>
        <v>2.88</v>
      </c>
      <c r="AE212" s="116" t="n">
        <f aca="false">Inputs!$C$42*(1+Inputs!$C$44)^(AE$117-1)*MAX(0,MIN(1,AE$116*1-Inputs!$C$45+1))/1</f>
        <v>2.88</v>
      </c>
      <c r="AF212" s="116" t="n">
        <f aca="false">Inputs!$C$42*(1+Inputs!$C$44)^(AF$117-1)*MAX(0,MIN(1,AF$116*1-Inputs!$C$45+1))/1</f>
        <v>2.88</v>
      </c>
      <c r="AG212" s="116" t="n">
        <f aca="false">Inputs!$C$42*(1+Inputs!$C$44)^(AG$117-1)*MAX(0,MIN(1,AG$116*1-Inputs!$C$45+1))/1</f>
        <v>2.88</v>
      </c>
      <c r="AH212" s="116" t="n">
        <f aca="false">Inputs!$C$42*(1+Inputs!$C$44)^(AH$117-1)*MAX(0,MIN(1,AH$116*1-Inputs!$C$45+1))/1</f>
        <v>2.88</v>
      </c>
      <c r="AI212" s="116" t="n">
        <f aca="false">Inputs!$C$42*(1+Inputs!$C$44)^(AI$117-1)*MAX(0,MIN(1,AI$116*1-Inputs!$C$45+1))/1</f>
        <v>2.88</v>
      </c>
      <c r="AJ212" s="116" t="n">
        <f aca="false">Inputs!$C$42*(1+Inputs!$C$44)^(AJ$117-1)*MAX(0,MIN(1,AJ$116*1-Inputs!$C$45+1))/1</f>
        <v>2.88</v>
      </c>
      <c r="AK212" s="116" t="n">
        <f aca="false">Inputs!$C$42*(1+Inputs!$C$44)^(AK$117-1)*MAX(0,MIN(1,AK$116*1-Inputs!$C$45+1))/1</f>
        <v>2.88</v>
      </c>
      <c r="AL212" s="116" t="n">
        <f aca="false">Inputs!$C$42*(1+Inputs!$C$44)^(AL$117-1)*MAX(0,MIN(1,AL$116*1-Inputs!$C$45+1))/1</f>
        <v>2.88</v>
      </c>
      <c r="AM212" s="116" t="n">
        <f aca="false">Inputs!$C$42*(1+Inputs!$C$44)^(AM$117-1)*MAX(0,MIN(1,AM$116*1-Inputs!$C$45+1))/1</f>
        <v>3.456</v>
      </c>
      <c r="AN212" s="116" t="n">
        <f aca="false">Inputs!$C$42*(1+Inputs!$C$44)^(AN$117-1)*MAX(0,MIN(1,AN$116*1-Inputs!$C$45+1))/1</f>
        <v>3.456</v>
      </c>
      <c r="AO212" s="116" t="n">
        <f aca="false">Inputs!$C$42*(1+Inputs!$C$44)^(AO$117-1)*MAX(0,MIN(1,AO$116*1-Inputs!$C$45+1))/1</f>
        <v>3.456</v>
      </c>
      <c r="AP212" s="116" t="n">
        <f aca="false">Inputs!$C$42*(1+Inputs!$C$44)^(AP$117-1)*MAX(0,MIN(1,AP$116*1-Inputs!$C$45+1))/1</f>
        <v>3.456</v>
      </c>
      <c r="AQ212" s="116" t="n">
        <f aca="false">Inputs!$C$42*(1+Inputs!$C$44)^(AQ$117-1)*MAX(0,MIN(1,AQ$116*1-Inputs!$C$45+1))/1</f>
        <v>3.456</v>
      </c>
      <c r="AR212" s="116" t="n">
        <f aca="false">Inputs!$C$42*(1+Inputs!$C$44)^(AR$117-1)*MAX(0,MIN(1,AR$116*1-Inputs!$C$45+1))/1</f>
        <v>3.456</v>
      </c>
      <c r="AS212" s="116" t="n">
        <f aca="false">Inputs!$C$42*(1+Inputs!$C$44)^(AS$117-1)*MAX(0,MIN(1,AS$116*1-Inputs!$C$45+1))/1</f>
        <v>3.456</v>
      </c>
      <c r="AT212" s="116" t="n">
        <f aca="false">Inputs!$C$42*(1+Inputs!$C$44)^(AT$117-1)*MAX(0,MIN(1,AT$116*1-Inputs!$C$45+1))/1</f>
        <v>3.456</v>
      </c>
      <c r="AU212" s="116" t="n">
        <f aca="false">Inputs!$C$42*(1+Inputs!$C$44)^(AU$117-1)*MAX(0,MIN(1,AU$116*1-Inputs!$C$45+1))/1</f>
        <v>3.456</v>
      </c>
      <c r="AV212" s="116" t="n">
        <f aca="false">Inputs!$C$42*(1+Inputs!$C$44)^(AV$117-1)*MAX(0,MIN(1,AV$116*1-Inputs!$C$45+1))/1</f>
        <v>3.456</v>
      </c>
      <c r="AW212" s="116" t="n">
        <f aca="false">Inputs!$C$42*(1+Inputs!$C$44)^(AW$117-1)*MAX(0,MIN(1,AW$116*1-Inputs!$C$45+1))/1</f>
        <v>3.456</v>
      </c>
      <c r="AX212" s="116" t="n">
        <f aca="false">Inputs!$C$42*(1+Inputs!$C$44)^(AX$117-1)*MAX(0,MIN(1,AX$116*1-Inputs!$C$45+1))/1</f>
        <v>3.456</v>
      </c>
      <c r="AY212" s="116" t="n">
        <f aca="false">Inputs!$C$42*(1+Inputs!$C$44)^(AY$117-1)*MAX(0,MIN(1,AY$116*1-Inputs!$C$45+1))/1</f>
        <v>4.1472</v>
      </c>
      <c r="AZ212" s="116" t="n">
        <f aca="false">Inputs!$C$42*(1+Inputs!$C$44)^(AZ$117-1)*MAX(0,MIN(1,AZ$116*1-Inputs!$C$45+1))/1</f>
        <v>4.1472</v>
      </c>
      <c r="BA212" s="116" t="n">
        <f aca="false">Inputs!$C$42*(1+Inputs!$C$44)^(BA$117-1)*MAX(0,MIN(1,BA$116*1-Inputs!$C$45+1))/1</f>
        <v>4.1472</v>
      </c>
      <c r="BB212" s="116" t="n">
        <f aca="false">Inputs!$C$42*(1+Inputs!$C$44)^(BB$117-1)*MAX(0,MIN(1,BB$116*1-Inputs!$C$45+1))/1</f>
        <v>4.1472</v>
      </c>
      <c r="BC212" s="116" t="n">
        <f aca="false">Inputs!$C$42*(1+Inputs!$C$44)^(BC$117-1)*MAX(0,MIN(1,BC$116*1-Inputs!$C$45+1))/1</f>
        <v>4.1472</v>
      </c>
      <c r="BD212" s="116" t="n">
        <f aca="false">Inputs!$C$42*(1+Inputs!$C$44)^(BD$117-1)*MAX(0,MIN(1,BD$116*1-Inputs!$C$45+1))/1</f>
        <v>4.1472</v>
      </c>
      <c r="BE212" s="116" t="n">
        <f aca="false">Inputs!$C$42*(1+Inputs!$C$44)^(BE$117-1)*MAX(0,MIN(1,BE$116*1-Inputs!$C$45+1))/1</f>
        <v>4.1472</v>
      </c>
      <c r="BF212" s="116" t="n">
        <f aca="false">Inputs!$C$42*(1+Inputs!$C$44)^(BF$117-1)*MAX(0,MIN(1,BF$116*1-Inputs!$C$45+1))/1</f>
        <v>4.1472</v>
      </c>
      <c r="BG212" s="116" t="n">
        <f aca="false">Inputs!$C$42*(1+Inputs!$C$44)^(BG$117-1)*MAX(0,MIN(1,BG$116*1-Inputs!$C$45+1))/1</f>
        <v>4.1472</v>
      </c>
      <c r="BH212" s="116" t="n">
        <f aca="false">Inputs!$C$42*(1+Inputs!$C$44)^(BH$117-1)*MAX(0,MIN(1,BH$116*1-Inputs!$C$45+1))/1</f>
        <v>4.1472</v>
      </c>
      <c r="BI212" s="116" t="n">
        <f aca="false">Inputs!$C$42*(1+Inputs!$C$44)^(BI$117-1)*MAX(0,MIN(1,BI$116*1-Inputs!$C$45+1))/1</f>
        <v>4.1472</v>
      </c>
      <c r="BJ212" s="116" t="n">
        <f aca="false">Inputs!$C$42*(1+Inputs!$C$44)^(BJ$117-1)*MAX(0,MIN(1,BJ$116*1-Inputs!$C$45+1))/1</f>
        <v>4.1472</v>
      </c>
    </row>
    <row r="213" customFormat="false" ht="15" hidden="false" customHeight="false" outlineLevel="0" collapsed="false">
      <c r="A213" s="6" t="s">
        <v>440</v>
      </c>
      <c r="C213" s="116" t="n">
        <f aca="false">Inputs!$C$46*(1+Inputs!$C$48)^(C$117-1)*MAX(0,MIN(1,C$116*1-Inputs!$C$49+1))/1</f>
        <v>3</v>
      </c>
      <c r="D213" s="116" t="n">
        <f aca="false">Inputs!$C$46*(1+Inputs!$C$48)^(D$117-1)*MAX(0,MIN(1,D$116*1-Inputs!$C$49+1))/1</f>
        <v>3</v>
      </c>
      <c r="E213" s="116" t="n">
        <f aca="false">Inputs!$C$46*(1+Inputs!$C$48)^(E$117-1)*MAX(0,MIN(1,E$116*1-Inputs!$C$49+1))/1</f>
        <v>3</v>
      </c>
      <c r="F213" s="116" t="n">
        <f aca="false">Inputs!$C$46*(1+Inputs!$C$48)^(F$117-1)*MAX(0,MIN(1,F$116*1-Inputs!$C$49+1))/1</f>
        <v>3</v>
      </c>
      <c r="G213" s="116" t="n">
        <f aca="false">Inputs!$C$46*(1+Inputs!$C$48)^(G$117-1)*MAX(0,MIN(1,G$116*1-Inputs!$C$49+1))/1</f>
        <v>3</v>
      </c>
      <c r="H213" s="116" t="n">
        <f aca="false">Inputs!$C$46*(1+Inputs!$C$48)^(H$117-1)*MAX(0,MIN(1,H$116*1-Inputs!$C$49+1))/1</f>
        <v>3</v>
      </c>
      <c r="I213" s="116" t="n">
        <f aca="false">Inputs!$C$46*(1+Inputs!$C$48)^(I$117-1)*MAX(0,MIN(1,I$116*1-Inputs!$C$49+1))/1</f>
        <v>3</v>
      </c>
      <c r="J213" s="116" t="n">
        <f aca="false">Inputs!$C$46*(1+Inputs!$C$48)^(J$117-1)*MAX(0,MIN(1,J$116*1-Inputs!$C$49+1))/1</f>
        <v>3</v>
      </c>
      <c r="K213" s="116" t="n">
        <f aca="false">Inputs!$C$46*(1+Inputs!$C$48)^(K$117-1)*MAX(0,MIN(1,K$116*1-Inputs!$C$49+1))/1</f>
        <v>3</v>
      </c>
      <c r="L213" s="116" t="n">
        <f aca="false">Inputs!$C$46*(1+Inputs!$C$48)^(L$117-1)*MAX(0,MIN(1,L$116*1-Inputs!$C$49+1))/1</f>
        <v>3</v>
      </c>
      <c r="M213" s="116" t="n">
        <f aca="false">Inputs!$C$46*(1+Inputs!$C$48)^(M$117-1)*MAX(0,MIN(1,M$116*1-Inputs!$C$49+1))/1</f>
        <v>3</v>
      </c>
      <c r="N213" s="116" t="n">
        <f aca="false">Inputs!$C$46*(1+Inputs!$C$48)^(N$117-1)*MAX(0,MIN(1,N$116*1-Inputs!$C$49+1))/1</f>
        <v>3</v>
      </c>
      <c r="O213" s="116" t="n">
        <f aca="false">Inputs!$C$46*(1+Inputs!$C$48)^(O$117-1)*MAX(0,MIN(1,O$116*1-Inputs!$C$49+1))/1</f>
        <v>3.45</v>
      </c>
      <c r="P213" s="116" t="n">
        <f aca="false">Inputs!$C$46*(1+Inputs!$C$48)^(P$117-1)*MAX(0,MIN(1,P$116*1-Inputs!$C$49+1))/1</f>
        <v>3.45</v>
      </c>
      <c r="Q213" s="116" t="n">
        <f aca="false">Inputs!$C$46*(1+Inputs!$C$48)^(Q$117-1)*MAX(0,MIN(1,Q$116*1-Inputs!$C$49+1))/1</f>
        <v>3.45</v>
      </c>
      <c r="R213" s="116" t="n">
        <f aca="false">Inputs!$C$46*(1+Inputs!$C$48)^(R$117-1)*MAX(0,MIN(1,R$116*1-Inputs!$C$49+1))/1</f>
        <v>3.45</v>
      </c>
      <c r="S213" s="116" t="n">
        <f aca="false">Inputs!$C$46*(1+Inputs!$C$48)^(S$117-1)*MAX(0,MIN(1,S$116*1-Inputs!$C$49+1))/1</f>
        <v>3.45</v>
      </c>
      <c r="T213" s="116" t="n">
        <f aca="false">Inputs!$C$46*(1+Inputs!$C$48)^(T$117-1)*MAX(0,MIN(1,T$116*1-Inputs!$C$49+1))/1</f>
        <v>3.45</v>
      </c>
      <c r="U213" s="116" t="n">
        <f aca="false">Inputs!$C$46*(1+Inputs!$C$48)^(U$117-1)*MAX(0,MIN(1,U$116*1-Inputs!$C$49+1))/1</f>
        <v>3.45</v>
      </c>
      <c r="V213" s="116" t="n">
        <f aca="false">Inputs!$C$46*(1+Inputs!$C$48)^(V$117-1)*MAX(0,MIN(1,V$116*1-Inputs!$C$49+1))/1</f>
        <v>3.45</v>
      </c>
      <c r="W213" s="116" t="n">
        <f aca="false">Inputs!$C$46*(1+Inputs!$C$48)^(W$117-1)*MAX(0,MIN(1,W$116*1-Inputs!$C$49+1))/1</f>
        <v>3.45</v>
      </c>
      <c r="X213" s="116" t="n">
        <f aca="false">Inputs!$C$46*(1+Inputs!$C$48)^(X$117-1)*MAX(0,MIN(1,X$116*1-Inputs!$C$49+1))/1</f>
        <v>3.45</v>
      </c>
      <c r="Y213" s="116" t="n">
        <f aca="false">Inputs!$C$46*(1+Inputs!$C$48)^(Y$117-1)*MAX(0,MIN(1,Y$116*1-Inputs!$C$49+1))/1</f>
        <v>3.45</v>
      </c>
      <c r="Z213" s="116" t="n">
        <f aca="false">Inputs!$C$46*(1+Inputs!$C$48)^(Z$117-1)*MAX(0,MIN(1,Z$116*1-Inputs!$C$49+1))/1</f>
        <v>3.45</v>
      </c>
      <c r="AA213" s="116" t="n">
        <f aca="false">Inputs!$C$46*(1+Inputs!$C$48)^(AA$117-1)*MAX(0,MIN(1,AA$116*1-Inputs!$C$49+1))/1</f>
        <v>3.9675</v>
      </c>
      <c r="AB213" s="116" t="n">
        <f aca="false">Inputs!$C$46*(1+Inputs!$C$48)^(AB$117-1)*MAX(0,MIN(1,AB$116*1-Inputs!$C$49+1))/1</f>
        <v>3.9675</v>
      </c>
      <c r="AC213" s="116" t="n">
        <f aca="false">Inputs!$C$46*(1+Inputs!$C$48)^(AC$117-1)*MAX(0,MIN(1,AC$116*1-Inputs!$C$49+1))/1</f>
        <v>3.9675</v>
      </c>
      <c r="AD213" s="116" t="n">
        <f aca="false">Inputs!$C$46*(1+Inputs!$C$48)^(AD$117-1)*MAX(0,MIN(1,AD$116*1-Inputs!$C$49+1))/1</f>
        <v>3.9675</v>
      </c>
      <c r="AE213" s="116" t="n">
        <f aca="false">Inputs!$C$46*(1+Inputs!$C$48)^(AE$117-1)*MAX(0,MIN(1,AE$116*1-Inputs!$C$49+1))/1</f>
        <v>3.9675</v>
      </c>
      <c r="AF213" s="116" t="n">
        <f aca="false">Inputs!$C$46*(1+Inputs!$C$48)^(AF$117-1)*MAX(0,MIN(1,AF$116*1-Inputs!$C$49+1))/1</f>
        <v>3.9675</v>
      </c>
      <c r="AG213" s="116" t="n">
        <f aca="false">Inputs!$C$46*(1+Inputs!$C$48)^(AG$117-1)*MAX(0,MIN(1,AG$116*1-Inputs!$C$49+1))/1</f>
        <v>3.9675</v>
      </c>
      <c r="AH213" s="116" t="n">
        <f aca="false">Inputs!$C$46*(1+Inputs!$C$48)^(AH$117-1)*MAX(0,MIN(1,AH$116*1-Inputs!$C$49+1))/1</f>
        <v>3.9675</v>
      </c>
      <c r="AI213" s="116" t="n">
        <f aca="false">Inputs!$C$46*(1+Inputs!$C$48)^(AI$117-1)*MAX(0,MIN(1,AI$116*1-Inputs!$C$49+1))/1</f>
        <v>3.9675</v>
      </c>
      <c r="AJ213" s="116" t="n">
        <f aca="false">Inputs!$C$46*(1+Inputs!$C$48)^(AJ$117-1)*MAX(0,MIN(1,AJ$116*1-Inputs!$C$49+1))/1</f>
        <v>3.9675</v>
      </c>
      <c r="AK213" s="116" t="n">
        <f aca="false">Inputs!$C$46*(1+Inputs!$C$48)^(AK$117-1)*MAX(0,MIN(1,AK$116*1-Inputs!$C$49+1))/1</f>
        <v>3.9675</v>
      </c>
      <c r="AL213" s="116" t="n">
        <f aca="false">Inputs!$C$46*(1+Inputs!$C$48)^(AL$117-1)*MAX(0,MIN(1,AL$116*1-Inputs!$C$49+1))/1</f>
        <v>3.9675</v>
      </c>
      <c r="AM213" s="116" t="n">
        <f aca="false">Inputs!$C$46*(1+Inputs!$C$48)^(AM$117-1)*MAX(0,MIN(1,AM$116*1-Inputs!$C$49+1))/1</f>
        <v>4.562625</v>
      </c>
      <c r="AN213" s="116" t="n">
        <f aca="false">Inputs!$C$46*(1+Inputs!$C$48)^(AN$117-1)*MAX(0,MIN(1,AN$116*1-Inputs!$C$49+1))/1</f>
        <v>4.562625</v>
      </c>
      <c r="AO213" s="116" t="n">
        <f aca="false">Inputs!$C$46*(1+Inputs!$C$48)^(AO$117-1)*MAX(0,MIN(1,AO$116*1-Inputs!$C$49+1))/1</f>
        <v>4.562625</v>
      </c>
      <c r="AP213" s="116" t="n">
        <f aca="false">Inputs!$C$46*(1+Inputs!$C$48)^(AP$117-1)*MAX(0,MIN(1,AP$116*1-Inputs!$C$49+1))/1</f>
        <v>4.562625</v>
      </c>
      <c r="AQ213" s="116" t="n">
        <f aca="false">Inputs!$C$46*(1+Inputs!$C$48)^(AQ$117-1)*MAX(0,MIN(1,AQ$116*1-Inputs!$C$49+1))/1</f>
        <v>4.562625</v>
      </c>
      <c r="AR213" s="116" t="n">
        <f aca="false">Inputs!$C$46*(1+Inputs!$C$48)^(AR$117-1)*MAX(0,MIN(1,AR$116*1-Inputs!$C$49+1))/1</f>
        <v>4.562625</v>
      </c>
      <c r="AS213" s="116" t="n">
        <f aca="false">Inputs!$C$46*(1+Inputs!$C$48)^(AS$117-1)*MAX(0,MIN(1,AS$116*1-Inputs!$C$49+1))/1</f>
        <v>4.562625</v>
      </c>
      <c r="AT213" s="116" t="n">
        <f aca="false">Inputs!$C$46*(1+Inputs!$C$48)^(AT$117-1)*MAX(0,MIN(1,AT$116*1-Inputs!$C$49+1))/1</f>
        <v>4.562625</v>
      </c>
      <c r="AU213" s="116" t="n">
        <f aca="false">Inputs!$C$46*(1+Inputs!$C$48)^(AU$117-1)*MAX(0,MIN(1,AU$116*1-Inputs!$C$49+1))/1</f>
        <v>4.562625</v>
      </c>
      <c r="AV213" s="116" t="n">
        <f aca="false">Inputs!$C$46*(1+Inputs!$C$48)^(AV$117-1)*MAX(0,MIN(1,AV$116*1-Inputs!$C$49+1))/1</f>
        <v>4.562625</v>
      </c>
      <c r="AW213" s="116" t="n">
        <f aca="false">Inputs!$C$46*(1+Inputs!$C$48)^(AW$117-1)*MAX(0,MIN(1,AW$116*1-Inputs!$C$49+1))/1</f>
        <v>4.562625</v>
      </c>
      <c r="AX213" s="116" t="n">
        <f aca="false">Inputs!$C$46*(1+Inputs!$C$48)^(AX$117-1)*MAX(0,MIN(1,AX$116*1-Inputs!$C$49+1))/1</f>
        <v>4.562625</v>
      </c>
      <c r="AY213" s="116" t="n">
        <f aca="false">Inputs!$C$46*(1+Inputs!$C$48)^(AY$117-1)*MAX(0,MIN(1,AY$116*1-Inputs!$C$49+1))/1</f>
        <v>5.24701875</v>
      </c>
      <c r="AZ213" s="116" t="n">
        <f aca="false">Inputs!$C$46*(1+Inputs!$C$48)^(AZ$117-1)*MAX(0,MIN(1,AZ$116*1-Inputs!$C$49+1))/1</f>
        <v>5.24701875</v>
      </c>
      <c r="BA213" s="116" t="n">
        <f aca="false">Inputs!$C$46*(1+Inputs!$C$48)^(BA$117-1)*MAX(0,MIN(1,BA$116*1-Inputs!$C$49+1))/1</f>
        <v>5.24701875</v>
      </c>
      <c r="BB213" s="116" t="n">
        <f aca="false">Inputs!$C$46*(1+Inputs!$C$48)^(BB$117-1)*MAX(0,MIN(1,BB$116*1-Inputs!$C$49+1))/1</f>
        <v>5.24701875</v>
      </c>
      <c r="BC213" s="116" t="n">
        <f aca="false">Inputs!$C$46*(1+Inputs!$C$48)^(BC$117-1)*MAX(0,MIN(1,BC$116*1-Inputs!$C$49+1))/1</f>
        <v>5.24701875</v>
      </c>
      <c r="BD213" s="116" t="n">
        <f aca="false">Inputs!$C$46*(1+Inputs!$C$48)^(BD$117-1)*MAX(0,MIN(1,BD$116*1-Inputs!$C$49+1))/1</f>
        <v>5.24701875</v>
      </c>
      <c r="BE213" s="116" t="n">
        <f aca="false">Inputs!$C$46*(1+Inputs!$C$48)^(BE$117-1)*MAX(0,MIN(1,BE$116*1-Inputs!$C$49+1))/1</f>
        <v>5.24701875</v>
      </c>
      <c r="BF213" s="116" t="n">
        <f aca="false">Inputs!$C$46*(1+Inputs!$C$48)^(BF$117-1)*MAX(0,MIN(1,BF$116*1-Inputs!$C$49+1))/1</f>
        <v>5.24701875</v>
      </c>
      <c r="BG213" s="116" t="n">
        <f aca="false">Inputs!$C$46*(1+Inputs!$C$48)^(BG$117-1)*MAX(0,MIN(1,BG$116*1-Inputs!$C$49+1))/1</f>
        <v>5.24701875</v>
      </c>
      <c r="BH213" s="116" t="n">
        <f aca="false">Inputs!$C$46*(1+Inputs!$C$48)^(BH$117-1)*MAX(0,MIN(1,BH$116*1-Inputs!$C$49+1))/1</f>
        <v>5.24701875</v>
      </c>
      <c r="BI213" s="116" t="n">
        <f aca="false">Inputs!$C$46*(1+Inputs!$C$48)^(BI$117-1)*MAX(0,MIN(1,BI$116*1-Inputs!$C$49+1))/1</f>
        <v>5.24701875</v>
      </c>
      <c r="BJ213" s="116" t="n">
        <f aca="false">Inputs!$C$46*(1+Inputs!$C$48)^(BJ$117-1)*MAX(0,MIN(1,BJ$116*1-Inputs!$C$49+1))/1</f>
        <v>5.24701875</v>
      </c>
    </row>
    <row r="214" customFormat="false" ht="15" hidden="false" customHeight="false" outlineLevel="0" collapsed="false">
      <c r="A214" s="113" t="s">
        <v>441</v>
      </c>
      <c r="C214" s="121" t="n">
        <f aca="false">C210+C211+C212+C213</f>
        <v>21</v>
      </c>
      <c r="D214" s="121" t="n">
        <f aca="false">D210+D211+D212+D213</f>
        <v>21</v>
      </c>
      <c r="E214" s="121" t="n">
        <f aca="false">E210+E211+E212+E213</f>
        <v>21</v>
      </c>
      <c r="F214" s="121" t="n">
        <f aca="false">F210+F211+F212+F213</f>
        <v>21</v>
      </c>
      <c r="G214" s="121" t="n">
        <f aca="false">G210+G211+G212+G213</f>
        <v>21</v>
      </c>
      <c r="H214" s="121" t="n">
        <f aca="false">H210+H211+H212+H213</f>
        <v>21</v>
      </c>
      <c r="I214" s="121" t="n">
        <f aca="false">I210+I211+I212+I213</f>
        <v>21</v>
      </c>
      <c r="J214" s="121" t="n">
        <f aca="false">J210+J211+J212+J213</f>
        <v>21</v>
      </c>
      <c r="K214" s="121" t="n">
        <f aca="false">K210+K211+K212+K213</f>
        <v>21</v>
      </c>
      <c r="L214" s="121" t="n">
        <f aca="false">L210+L211+L212+L213</f>
        <v>21</v>
      </c>
      <c r="M214" s="121" t="n">
        <f aca="false">M210+M211+M212+M213</f>
        <v>21</v>
      </c>
      <c r="N214" s="121" t="n">
        <f aca="false">N210+N211+N212+N213</f>
        <v>21</v>
      </c>
      <c r="O214" s="121" t="n">
        <f aca="false">O210+O211+O212+O213</f>
        <v>26.25</v>
      </c>
      <c r="P214" s="121" t="n">
        <f aca="false">P210+P211+P212+P213</f>
        <v>26.25</v>
      </c>
      <c r="Q214" s="121" t="n">
        <f aca="false">Q210+Q211+Q212+Q213</f>
        <v>26.25</v>
      </c>
      <c r="R214" s="121" t="n">
        <f aca="false">R210+R211+R212+R213</f>
        <v>26.25</v>
      </c>
      <c r="S214" s="121" t="n">
        <f aca="false">S210+S211+S212+S213</f>
        <v>26.25</v>
      </c>
      <c r="T214" s="121" t="n">
        <f aca="false">T210+T211+T212+T213</f>
        <v>26.25</v>
      </c>
      <c r="U214" s="121" t="n">
        <f aca="false">U210+U211+U212+U213</f>
        <v>26.25</v>
      </c>
      <c r="V214" s="121" t="n">
        <f aca="false">V210+V211+V212+V213</f>
        <v>26.25</v>
      </c>
      <c r="W214" s="121" t="n">
        <f aca="false">W210+W211+W212+W213</f>
        <v>26.25</v>
      </c>
      <c r="X214" s="121" t="n">
        <f aca="false">X210+X211+X212+X213</f>
        <v>26.25</v>
      </c>
      <c r="Y214" s="121" t="n">
        <f aca="false">Y210+Y211+Y212+Y213</f>
        <v>26.25</v>
      </c>
      <c r="Z214" s="121" t="n">
        <f aca="false">Z210+Z211+Z212+Z213</f>
        <v>26.25</v>
      </c>
      <c r="AA214" s="121" t="n">
        <f aca="false">AA210+AA211+AA212+AA213</f>
        <v>32.8875</v>
      </c>
      <c r="AB214" s="121" t="n">
        <f aca="false">AB210+AB211+AB212+AB213</f>
        <v>32.8875</v>
      </c>
      <c r="AC214" s="121" t="n">
        <f aca="false">AC210+AC211+AC212+AC213</f>
        <v>32.8875</v>
      </c>
      <c r="AD214" s="121" t="n">
        <f aca="false">AD210+AD211+AD212+AD213</f>
        <v>32.8875</v>
      </c>
      <c r="AE214" s="121" t="n">
        <f aca="false">AE210+AE211+AE212+AE213</f>
        <v>32.8875</v>
      </c>
      <c r="AF214" s="121" t="n">
        <f aca="false">AF210+AF211+AF212+AF213</f>
        <v>32.8875</v>
      </c>
      <c r="AG214" s="121" t="n">
        <f aca="false">AG210+AG211+AG212+AG213</f>
        <v>32.8875</v>
      </c>
      <c r="AH214" s="121" t="n">
        <f aca="false">AH210+AH211+AH212+AH213</f>
        <v>32.8875</v>
      </c>
      <c r="AI214" s="121" t="n">
        <f aca="false">AI210+AI211+AI212+AI213</f>
        <v>32.8875</v>
      </c>
      <c r="AJ214" s="121" t="n">
        <f aca="false">AJ210+AJ211+AJ212+AJ213</f>
        <v>32.8875</v>
      </c>
      <c r="AK214" s="121" t="n">
        <f aca="false">AK210+AK211+AK212+AK213</f>
        <v>32.8875</v>
      </c>
      <c r="AL214" s="121" t="n">
        <f aca="false">AL210+AL211+AL212+AL213</f>
        <v>32.8875</v>
      </c>
      <c r="AM214" s="121" t="n">
        <f aca="false">AM210+AM211+AM212+AM213</f>
        <v>41.294625</v>
      </c>
      <c r="AN214" s="121" t="n">
        <f aca="false">AN210+AN211+AN212+AN213</f>
        <v>41.294625</v>
      </c>
      <c r="AO214" s="121" t="n">
        <f aca="false">AO210+AO211+AO212+AO213</f>
        <v>41.294625</v>
      </c>
      <c r="AP214" s="121" t="n">
        <f aca="false">AP210+AP211+AP212+AP213</f>
        <v>41.294625</v>
      </c>
      <c r="AQ214" s="121" t="n">
        <f aca="false">AQ210+AQ211+AQ212+AQ213</f>
        <v>41.294625</v>
      </c>
      <c r="AR214" s="121" t="n">
        <f aca="false">AR210+AR211+AR212+AR213</f>
        <v>41.294625</v>
      </c>
      <c r="AS214" s="121" t="n">
        <f aca="false">AS210+AS211+AS212+AS213</f>
        <v>41.294625</v>
      </c>
      <c r="AT214" s="121" t="n">
        <f aca="false">AT210+AT211+AT212+AT213</f>
        <v>41.294625</v>
      </c>
      <c r="AU214" s="121" t="n">
        <f aca="false">AU210+AU211+AU212+AU213</f>
        <v>41.294625</v>
      </c>
      <c r="AV214" s="121" t="n">
        <f aca="false">AV210+AV211+AV212+AV213</f>
        <v>41.294625</v>
      </c>
      <c r="AW214" s="121" t="n">
        <f aca="false">AW210+AW211+AW212+AW213</f>
        <v>41.294625</v>
      </c>
      <c r="AX214" s="121" t="n">
        <f aca="false">AX210+AX211+AX212+AX213</f>
        <v>41.294625</v>
      </c>
      <c r="AY214" s="121" t="n">
        <f aca="false">AY210+AY211+AY212+AY213</f>
        <v>51.96181875</v>
      </c>
      <c r="AZ214" s="121" t="n">
        <f aca="false">AZ210+AZ211+AZ212+AZ213</f>
        <v>51.96181875</v>
      </c>
      <c r="BA214" s="121" t="n">
        <f aca="false">BA210+BA211+BA212+BA213</f>
        <v>51.96181875</v>
      </c>
      <c r="BB214" s="121" t="n">
        <f aca="false">BB210+BB211+BB212+BB213</f>
        <v>51.96181875</v>
      </c>
      <c r="BC214" s="121" t="n">
        <f aca="false">BC210+BC211+BC212+BC213</f>
        <v>51.96181875</v>
      </c>
      <c r="BD214" s="121" t="n">
        <f aca="false">BD210+BD211+BD212+BD213</f>
        <v>51.96181875</v>
      </c>
      <c r="BE214" s="121" t="n">
        <f aca="false">BE210+BE211+BE212+BE213</f>
        <v>51.96181875</v>
      </c>
      <c r="BF214" s="121" t="n">
        <f aca="false">BF210+BF211+BF212+BF213</f>
        <v>51.96181875</v>
      </c>
      <c r="BG214" s="121" t="n">
        <f aca="false">BG210+BG211+BG212+BG213</f>
        <v>51.96181875</v>
      </c>
      <c r="BH214" s="121" t="n">
        <f aca="false">BH210+BH211+BH212+BH213</f>
        <v>51.96181875</v>
      </c>
      <c r="BI214" s="121" t="n">
        <f aca="false">BI210+BI211+BI212+BI213</f>
        <v>51.96181875</v>
      </c>
      <c r="BJ214" s="121" t="n">
        <f aca="false">BJ210+BJ211+BJ212+BJ213</f>
        <v>51.96181875</v>
      </c>
    </row>
    <row r="216" customFormat="false" ht="15.75" hidden="false" customHeight="true" outlineLevel="0" collapsed="false">
      <c r="A216" s="7" t="s">
        <v>442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6" t="s">
        <v>443</v>
      </c>
      <c r="C217" s="67" t="n">
        <f aca="false">-C210*Inputs!$C$35/12*1*(1+Inputs!$C$50)*(1+Inputs!$C$51)^(C$117-1)</f>
        <v>-64000</v>
      </c>
      <c r="D217" s="67" t="n">
        <f aca="false">-D210*Inputs!$C$35/12*1*(1+Inputs!$C$50)*(1+Inputs!$C$51)^(D$117-1)</f>
        <v>-64000</v>
      </c>
      <c r="E217" s="67" t="n">
        <f aca="false">-E210*Inputs!$C$35/12*1*(1+Inputs!$C$50)*(1+Inputs!$C$51)^(E$117-1)</f>
        <v>-64000</v>
      </c>
      <c r="F217" s="67" t="n">
        <f aca="false">-F210*Inputs!$C$35/12*1*(1+Inputs!$C$50)*(1+Inputs!$C$51)^(F$117-1)</f>
        <v>-64000</v>
      </c>
      <c r="G217" s="67" t="n">
        <f aca="false">-G210*Inputs!$C$35/12*1*(1+Inputs!$C$50)*(1+Inputs!$C$51)^(G$117-1)</f>
        <v>-64000</v>
      </c>
      <c r="H217" s="67" t="n">
        <f aca="false">-H210*Inputs!$C$35/12*1*(1+Inputs!$C$50)*(1+Inputs!$C$51)^(H$117-1)</f>
        <v>-64000</v>
      </c>
      <c r="I217" s="67" t="n">
        <f aca="false">-I210*Inputs!$C$35/12*1*(1+Inputs!$C$50)*(1+Inputs!$C$51)^(I$117-1)</f>
        <v>-64000</v>
      </c>
      <c r="J217" s="67" t="n">
        <f aca="false">-J210*Inputs!$C$35/12*1*(1+Inputs!$C$50)*(1+Inputs!$C$51)^(J$117-1)</f>
        <v>-64000</v>
      </c>
      <c r="K217" s="67" t="n">
        <f aca="false">-K210*Inputs!$C$35/12*1*(1+Inputs!$C$50)*(1+Inputs!$C$51)^(K$117-1)</f>
        <v>-64000</v>
      </c>
      <c r="L217" s="67" t="n">
        <f aca="false">-L210*Inputs!$C$35/12*1*(1+Inputs!$C$50)*(1+Inputs!$C$51)^(L$117-1)</f>
        <v>-64000</v>
      </c>
      <c r="M217" s="67" t="n">
        <f aca="false">-M210*Inputs!$C$35/12*1*(1+Inputs!$C$50)*(1+Inputs!$C$51)^(M$117-1)</f>
        <v>-64000</v>
      </c>
      <c r="N217" s="67" t="n">
        <f aca="false">-N210*Inputs!$C$35/12*1*(1+Inputs!$C$50)*(1+Inputs!$C$51)^(N$117-1)</f>
        <v>-64000</v>
      </c>
      <c r="O217" s="67" t="n">
        <f aca="false">-O210*Inputs!$C$35/12*1*(1+Inputs!$C$50)*(1+Inputs!$C$51)^(O$117-1)</f>
        <v>-79104</v>
      </c>
      <c r="P217" s="67" t="n">
        <f aca="false">-P210*Inputs!$C$35/12*1*(1+Inputs!$C$50)*(1+Inputs!$C$51)^(P$117-1)</f>
        <v>-79104</v>
      </c>
      <c r="Q217" s="67" t="n">
        <f aca="false">-Q210*Inputs!$C$35/12*1*(1+Inputs!$C$50)*(1+Inputs!$C$51)^(Q$117-1)</f>
        <v>-79104</v>
      </c>
      <c r="R217" s="67" t="n">
        <f aca="false">-R210*Inputs!$C$35/12*1*(1+Inputs!$C$50)*(1+Inputs!$C$51)^(R$117-1)</f>
        <v>-79104</v>
      </c>
      <c r="S217" s="67" t="n">
        <f aca="false">-S210*Inputs!$C$35/12*1*(1+Inputs!$C$50)*(1+Inputs!$C$51)^(S$117-1)</f>
        <v>-79104</v>
      </c>
      <c r="T217" s="67" t="n">
        <f aca="false">-T210*Inputs!$C$35/12*1*(1+Inputs!$C$50)*(1+Inputs!$C$51)^(T$117-1)</f>
        <v>-79104</v>
      </c>
      <c r="U217" s="67" t="n">
        <f aca="false">-U210*Inputs!$C$35/12*1*(1+Inputs!$C$50)*(1+Inputs!$C$51)^(U$117-1)</f>
        <v>-79104</v>
      </c>
      <c r="V217" s="67" t="n">
        <f aca="false">-V210*Inputs!$C$35/12*1*(1+Inputs!$C$50)*(1+Inputs!$C$51)^(V$117-1)</f>
        <v>-79104</v>
      </c>
      <c r="W217" s="67" t="n">
        <f aca="false">-W210*Inputs!$C$35/12*1*(1+Inputs!$C$50)*(1+Inputs!$C$51)^(W$117-1)</f>
        <v>-79104</v>
      </c>
      <c r="X217" s="67" t="n">
        <f aca="false">-X210*Inputs!$C$35/12*1*(1+Inputs!$C$50)*(1+Inputs!$C$51)^(X$117-1)</f>
        <v>-79104</v>
      </c>
      <c r="Y217" s="67" t="n">
        <f aca="false">-Y210*Inputs!$C$35/12*1*(1+Inputs!$C$50)*(1+Inputs!$C$51)^(Y$117-1)</f>
        <v>-79104</v>
      </c>
      <c r="Z217" s="67" t="n">
        <f aca="false">-Z210*Inputs!$C$35/12*1*(1+Inputs!$C$50)*(1+Inputs!$C$51)^(Z$117-1)</f>
        <v>-79104</v>
      </c>
      <c r="AA217" s="67" t="n">
        <f aca="false">-AA210*Inputs!$C$35/12*1*(1+Inputs!$C$50)*(1+Inputs!$C$51)^(AA$117-1)</f>
        <v>-97772.544</v>
      </c>
      <c r="AB217" s="67" t="n">
        <f aca="false">-AB210*Inputs!$C$35/12*1*(1+Inputs!$C$50)*(1+Inputs!$C$51)^(AB$117-1)</f>
        <v>-97772.544</v>
      </c>
      <c r="AC217" s="67" t="n">
        <f aca="false">-AC210*Inputs!$C$35/12*1*(1+Inputs!$C$50)*(1+Inputs!$C$51)^(AC$117-1)</f>
        <v>-97772.544</v>
      </c>
      <c r="AD217" s="67" t="n">
        <f aca="false">-AD210*Inputs!$C$35/12*1*(1+Inputs!$C$50)*(1+Inputs!$C$51)^(AD$117-1)</f>
        <v>-97772.544</v>
      </c>
      <c r="AE217" s="67" t="n">
        <f aca="false">-AE210*Inputs!$C$35/12*1*(1+Inputs!$C$50)*(1+Inputs!$C$51)^(AE$117-1)</f>
        <v>-97772.544</v>
      </c>
      <c r="AF217" s="67" t="n">
        <f aca="false">-AF210*Inputs!$C$35/12*1*(1+Inputs!$C$50)*(1+Inputs!$C$51)^(AF$117-1)</f>
        <v>-97772.544</v>
      </c>
      <c r="AG217" s="67" t="n">
        <f aca="false">-AG210*Inputs!$C$35/12*1*(1+Inputs!$C$50)*(1+Inputs!$C$51)^(AG$117-1)</f>
        <v>-97772.544</v>
      </c>
      <c r="AH217" s="67" t="n">
        <f aca="false">-AH210*Inputs!$C$35/12*1*(1+Inputs!$C$50)*(1+Inputs!$C$51)^(AH$117-1)</f>
        <v>-97772.544</v>
      </c>
      <c r="AI217" s="67" t="n">
        <f aca="false">-AI210*Inputs!$C$35/12*1*(1+Inputs!$C$50)*(1+Inputs!$C$51)^(AI$117-1)</f>
        <v>-97772.544</v>
      </c>
      <c r="AJ217" s="67" t="n">
        <f aca="false">-AJ210*Inputs!$C$35/12*1*(1+Inputs!$C$50)*(1+Inputs!$C$51)^(AJ$117-1)</f>
        <v>-97772.544</v>
      </c>
      <c r="AK217" s="67" t="n">
        <f aca="false">-AK210*Inputs!$C$35/12*1*(1+Inputs!$C$50)*(1+Inputs!$C$51)^(AK$117-1)</f>
        <v>-97772.544</v>
      </c>
      <c r="AL217" s="67" t="n">
        <f aca="false">-AL210*Inputs!$C$35/12*1*(1+Inputs!$C$50)*(1+Inputs!$C$51)^(AL$117-1)</f>
        <v>-97772.544</v>
      </c>
      <c r="AM217" s="67" t="n">
        <f aca="false">-AM210*Inputs!$C$35/12*1*(1+Inputs!$C$50)*(1+Inputs!$C$51)^(AM$117-1)</f>
        <v>-120846.864384</v>
      </c>
      <c r="AN217" s="67" t="n">
        <f aca="false">-AN210*Inputs!$C$35/12*1*(1+Inputs!$C$50)*(1+Inputs!$C$51)^(AN$117-1)</f>
        <v>-120846.864384</v>
      </c>
      <c r="AO217" s="67" t="n">
        <f aca="false">-AO210*Inputs!$C$35/12*1*(1+Inputs!$C$50)*(1+Inputs!$C$51)^(AO$117-1)</f>
        <v>-120846.864384</v>
      </c>
      <c r="AP217" s="67" t="n">
        <f aca="false">-AP210*Inputs!$C$35/12*1*(1+Inputs!$C$50)*(1+Inputs!$C$51)^(AP$117-1)</f>
        <v>-120846.864384</v>
      </c>
      <c r="AQ217" s="67" t="n">
        <f aca="false">-AQ210*Inputs!$C$35/12*1*(1+Inputs!$C$50)*(1+Inputs!$C$51)^(AQ$117-1)</f>
        <v>-120846.864384</v>
      </c>
      <c r="AR217" s="67" t="n">
        <f aca="false">-AR210*Inputs!$C$35/12*1*(1+Inputs!$C$50)*(1+Inputs!$C$51)^(AR$117-1)</f>
        <v>-120846.864384</v>
      </c>
      <c r="AS217" s="67" t="n">
        <f aca="false">-AS210*Inputs!$C$35/12*1*(1+Inputs!$C$50)*(1+Inputs!$C$51)^(AS$117-1)</f>
        <v>-120846.864384</v>
      </c>
      <c r="AT217" s="67" t="n">
        <f aca="false">-AT210*Inputs!$C$35/12*1*(1+Inputs!$C$50)*(1+Inputs!$C$51)^(AT$117-1)</f>
        <v>-120846.864384</v>
      </c>
      <c r="AU217" s="67" t="n">
        <f aca="false">-AU210*Inputs!$C$35/12*1*(1+Inputs!$C$50)*(1+Inputs!$C$51)^(AU$117-1)</f>
        <v>-120846.864384</v>
      </c>
      <c r="AV217" s="67" t="n">
        <f aca="false">-AV210*Inputs!$C$35/12*1*(1+Inputs!$C$50)*(1+Inputs!$C$51)^(AV$117-1)</f>
        <v>-120846.864384</v>
      </c>
      <c r="AW217" s="67" t="n">
        <f aca="false">-AW210*Inputs!$C$35/12*1*(1+Inputs!$C$50)*(1+Inputs!$C$51)^(AW$117-1)</f>
        <v>-120846.864384</v>
      </c>
      <c r="AX217" s="67" t="n">
        <f aca="false">-AX210*Inputs!$C$35/12*1*(1+Inputs!$C$50)*(1+Inputs!$C$51)^(AX$117-1)</f>
        <v>-120846.864384</v>
      </c>
      <c r="AY217" s="67" t="n">
        <f aca="false">-AY210*Inputs!$C$35/12*1*(1+Inputs!$C$50)*(1+Inputs!$C$51)^(AY$117-1)</f>
        <v>-149366.724378624</v>
      </c>
      <c r="AZ217" s="67" t="n">
        <f aca="false">-AZ210*Inputs!$C$35/12*1*(1+Inputs!$C$50)*(1+Inputs!$C$51)^(AZ$117-1)</f>
        <v>-149366.724378624</v>
      </c>
      <c r="BA217" s="67" t="n">
        <f aca="false">-BA210*Inputs!$C$35/12*1*(1+Inputs!$C$50)*(1+Inputs!$C$51)^(BA$117-1)</f>
        <v>-149366.724378624</v>
      </c>
      <c r="BB217" s="67" t="n">
        <f aca="false">-BB210*Inputs!$C$35/12*1*(1+Inputs!$C$50)*(1+Inputs!$C$51)^(BB$117-1)</f>
        <v>-149366.724378624</v>
      </c>
      <c r="BC217" s="67" t="n">
        <f aca="false">-BC210*Inputs!$C$35/12*1*(1+Inputs!$C$50)*(1+Inputs!$C$51)^(BC$117-1)</f>
        <v>-149366.724378624</v>
      </c>
      <c r="BD217" s="67" t="n">
        <f aca="false">-BD210*Inputs!$C$35/12*1*(1+Inputs!$C$50)*(1+Inputs!$C$51)^(BD$117-1)</f>
        <v>-149366.724378624</v>
      </c>
      <c r="BE217" s="67" t="n">
        <f aca="false">-BE210*Inputs!$C$35/12*1*(1+Inputs!$C$50)*(1+Inputs!$C$51)^(BE$117-1)</f>
        <v>-149366.724378624</v>
      </c>
      <c r="BF217" s="67" t="n">
        <f aca="false">-BF210*Inputs!$C$35/12*1*(1+Inputs!$C$50)*(1+Inputs!$C$51)^(BF$117-1)</f>
        <v>-149366.724378624</v>
      </c>
      <c r="BG217" s="67" t="n">
        <f aca="false">-BG210*Inputs!$C$35/12*1*(1+Inputs!$C$50)*(1+Inputs!$C$51)^(BG$117-1)</f>
        <v>-149366.724378624</v>
      </c>
      <c r="BH217" s="67" t="n">
        <f aca="false">-BH210*Inputs!$C$35/12*1*(1+Inputs!$C$50)*(1+Inputs!$C$51)^(BH$117-1)</f>
        <v>-149366.724378624</v>
      </c>
      <c r="BI217" s="67" t="n">
        <f aca="false">-BI210*Inputs!$C$35/12*1*(1+Inputs!$C$50)*(1+Inputs!$C$51)^(BI$117-1)</f>
        <v>-149366.724378624</v>
      </c>
      <c r="BJ217" s="67" t="n">
        <f aca="false">-BJ210*Inputs!$C$35/12*1*(1+Inputs!$C$50)*(1+Inputs!$C$51)^(BJ$117-1)</f>
        <v>-149366.724378624</v>
      </c>
    </row>
    <row r="218" customFormat="false" ht="15" hidden="false" customHeight="false" outlineLevel="0" collapsed="false">
      <c r="A218" s="6" t="s">
        <v>444</v>
      </c>
      <c r="C218" s="67" t="n">
        <f aca="false">-C211*Inputs!$C$39/12*1*(1+Inputs!$C$50)*(1+Inputs!$C$51)^(C$117-1)</f>
        <v>-114000</v>
      </c>
      <c r="D218" s="67" t="n">
        <f aca="false">-D211*Inputs!$C$39/12*1*(1+Inputs!$C$50)*(1+Inputs!$C$51)^(D$117-1)</f>
        <v>-114000</v>
      </c>
      <c r="E218" s="67" t="n">
        <f aca="false">-E211*Inputs!$C$39/12*1*(1+Inputs!$C$50)*(1+Inputs!$C$51)^(E$117-1)</f>
        <v>-114000</v>
      </c>
      <c r="F218" s="67" t="n">
        <f aca="false">-F211*Inputs!$C$39/12*1*(1+Inputs!$C$50)*(1+Inputs!$C$51)^(F$117-1)</f>
        <v>-114000</v>
      </c>
      <c r="G218" s="67" t="n">
        <f aca="false">-G211*Inputs!$C$39/12*1*(1+Inputs!$C$50)*(1+Inputs!$C$51)^(G$117-1)</f>
        <v>-114000</v>
      </c>
      <c r="H218" s="67" t="n">
        <f aca="false">-H211*Inputs!$C$39/12*1*(1+Inputs!$C$50)*(1+Inputs!$C$51)^(H$117-1)</f>
        <v>-114000</v>
      </c>
      <c r="I218" s="67" t="n">
        <f aca="false">-I211*Inputs!$C$39/12*1*(1+Inputs!$C$50)*(1+Inputs!$C$51)^(I$117-1)</f>
        <v>-114000</v>
      </c>
      <c r="J218" s="67" t="n">
        <f aca="false">-J211*Inputs!$C$39/12*1*(1+Inputs!$C$50)*(1+Inputs!$C$51)^(J$117-1)</f>
        <v>-114000</v>
      </c>
      <c r="K218" s="67" t="n">
        <f aca="false">-K211*Inputs!$C$39/12*1*(1+Inputs!$C$50)*(1+Inputs!$C$51)^(K$117-1)</f>
        <v>-114000</v>
      </c>
      <c r="L218" s="67" t="n">
        <f aca="false">-L211*Inputs!$C$39/12*1*(1+Inputs!$C$50)*(1+Inputs!$C$51)^(L$117-1)</f>
        <v>-114000</v>
      </c>
      <c r="M218" s="67" t="n">
        <f aca="false">-M211*Inputs!$C$39/12*1*(1+Inputs!$C$50)*(1+Inputs!$C$51)^(M$117-1)</f>
        <v>-114000</v>
      </c>
      <c r="N218" s="67" t="n">
        <f aca="false">-N211*Inputs!$C$39/12*1*(1+Inputs!$C$50)*(1+Inputs!$C$51)^(N$117-1)</f>
        <v>-114000</v>
      </c>
      <c r="O218" s="67" t="n">
        <f aca="false">-O211*Inputs!$C$39/12*1*(1+Inputs!$C$50)*(1+Inputs!$C$51)^(O$117-1)</f>
        <v>-152646</v>
      </c>
      <c r="P218" s="67" t="n">
        <f aca="false">-P211*Inputs!$C$39/12*1*(1+Inputs!$C$50)*(1+Inputs!$C$51)^(P$117-1)</f>
        <v>-152646</v>
      </c>
      <c r="Q218" s="67" t="n">
        <f aca="false">-Q211*Inputs!$C$39/12*1*(1+Inputs!$C$50)*(1+Inputs!$C$51)^(Q$117-1)</f>
        <v>-152646</v>
      </c>
      <c r="R218" s="67" t="n">
        <f aca="false">-R211*Inputs!$C$39/12*1*(1+Inputs!$C$50)*(1+Inputs!$C$51)^(R$117-1)</f>
        <v>-152646</v>
      </c>
      <c r="S218" s="67" t="n">
        <f aca="false">-S211*Inputs!$C$39/12*1*(1+Inputs!$C$50)*(1+Inputs!$C$51)^(S$117-1)</f>
        <v>-152646</v>
      </c>
      <c r="T218" s="67" t="n">
        <f aca="false">-T211*Inputs!$C$39/12*1*(1+Inputs!$C$50)*(1+Inputs!$C$51)^(T$117-1)</f>
        <v>-152646</v>
      </c>
      <c r="U218" s="67" t="n">
        <f aca="false">-U211*Inputs!$C$39/12*1*(1+Inputs!$C$50)*(1+Inputs!$C$51)^(U$117-1)</f>
        <v>-152646</v>
      </c>
      <c r="V218" s="67" t="n">
        <f aca="false">-V211*Inputs!$C$39/12*1*(1+Inputs!$C$50)*(1+Inputs!$C$51)^(V$117-1)</f>
        <v>-152646</v>
      </c>
      <c r="W218" s="67" t="n">
        <f aca="false">-W211*Inputs!$C$39/12*1*(1+Inputs!$C$50)*(1+Inputs!$C$51)^(W$117-1)</f>
        <v>-152646</v>
      </c>
      <c r="X218" s="67" t="n">
        <f aca="false">-X211*Inputs!$C$39/12*1*(1+Inputs!$C$50)*(1+Inputs!$C$51)^(X$117-1)</f>
        <v>-152646</v>
      </c>
      <c r="Y218" s="67" t="n">
        <f aca="false">-Y211*Inputs!$C$39/12*1*(1+Inputs!$C$50)*(1+Inputs!$C$51)^(Y$117-1)</f>
        <v>-152646</v>
      </c>
      <c r="Z218" s="67" t="n">
        <f aca="false">-Z211*Inputs!$C$39/12*1*(1+Inputs!$C$50)*(1+Inputs!$C$51)^(Z$117-1)</f>
        <v>-152646</v>
      </c>
      <c r="AA218" s="67" t="n">
        <f aca="false">-AA211*Inputs!$C$39/12*1*(1+Inputs!$C$50)*(1+Inputs!$C$51)^(AA$117-1)</f>
        <v>-204392.994</v>
      </c>
      <c r="AB218" s="67" t="n">
        <f aca="false">-AB211*Inputs!$C$39/12*1*(1+Inputs!$C$50)*(1+Inputs!$C$51)^(AB$117-1)</f>
        <v>-204392.994</v>
      </c>
      <c r="AC218" s="67" t="n">
        <f aca="false">-AC211*Inputs!$C$39/12*1*(1+Inputs!$C$50)*(1+Inputs!$C$51)^(AC$117-1)</f>
        <v>-204392.994</v>
      </c>
      <c r="AD218" s="67" t="n">
        <f aca="false">-AD211*Inputs!$C$39/12*1*(1+Inputs!$C$50)*(1+Inputs!$C$51)^(AD$117-1)</f>
        <v>-204392.994</v>
      </c>
      <c r="AE218" s="67" t="n">
        <f aca="false">-AE211*Inputs!$C$39/12*1*(1+Inputs!$C$50)*(1+Inputs!$C$51)^(AE$117-1)</f>
        <v>-204392.994</v>
      </c>
      <c r="AF218" s="67" t="n">
        <f aca="false">-AF211*Inputs!$C$39/12*1*(1+Inputs!$C$50)*(1+Inputs!$C$51)^(AF$117-1)</f>
        <v>-204392.994</v>
      </c>
      <c r="AG218" s="67" t="n">
        <f aca="false">-AG211*Inputs!$C$39/12*1*(1+Inputs!$C$50)*(1+Inputs!$C$51)^(AG$117-1)</f>
        <v>-204392.994</v>
      </c>
      <c r="AH218" s="67" t="n">
        <f aca="false">-AH211*Inputs!$C$39/12*1*(1+Inputs!$C$50)*(1+Inputs!$C$51)^(AH$117-1)</f>
        <v>-204392.994</v>
      </c>
      <c r="AI218" s="67" t="n">
        <f aca="false">-AI211*Inputs!$C$39/12*1*(1+Inputs!$C$50)*(1+Inputs!$C$51)^(AI$117-1)</f>
        <v>-204392.994</v>
      </c>
      <c r="AJ218" s="67" t="n">
        <f aca="false">-AJ211*Inputs!$C$39/12*1*(1+Inputs!$C$50)*(1+Inputs!$C$51)^(AJ$117-1)</f>
        <v>-204392.994</v>
      </c>
      <c r="AK218" s="67" t="n">
        <f aca="false">-AK211*Inputs!$C$39/12*1*(1+Inputs!$C$50)*(1+Inputs!$C$51)^(AK$117-1)</f>
        <v>-204392.994</v>
      </c>
      <c r="AL218" s="67" t="n">
        <f aca="false">-AL211*Inputs!$C$39/12*1*(1+Inputs!$C$50)*(1+Inputs!$C$51)^(AL$117-1)</f>
        <v>-204392.994</v>
      </c>
      <c r="AM218" s="67" t="n">
        <f aca="false">-AM211*Inputs!$C$39/12*1*(1+Inputs!$C$50)*(1+Inputs!$C$51)^(AM$117-1)</f>
        <v>-273682.218966</v>
      </c>
      <c r="AN218" s="67" t="n">
        <f aca="false">-AN211*Inputs!$C$39/12*1*(1+Inputs!$C$50)*(1+Inputs!$C$51)^(AN$117-1)</f>
        <v>-273682.218966</v>
      </c>
      <c r="AO218" s="67" t="n">
        <f aca="false">-AO211*Inputs!$C$39/12*1*(1+Inputs!$C$50)*(1+Inputs!$C$51)^(AO$117-1)</f>
        <v>-273682.218966</v>
      </c>
      <c r="AP218" s="67" t="n">
        <f aca="false">-AP211*Inputs!$C$39/12*1*(1+Inputs!$C$50)*(1+Inputs!$C$51)^(AP$117-1)</f>
        <v>-273682.218966</v>
      </c>
      <c r="AQ218" s="67" t="n">
        <f aca="false">-AQ211*Inputs!$C$39/12*1*(1+Inputs!$C$50)*(1+Inputs!$C$51)^(AQ$117-1)</f>
        <v>-273682.218966</v>
      </c>
      <c r="AR218" s="67" t="n">
        <f aca="false">-AR211*Inputs!$C$39/12*1*(1+Inputs!$C$50)*(1+Inputs!$C$51)^(AR$117-1)</f>
        <v>-273682.218966</v>
      </c>
      <c r="AS218" s="67" t="n">
        <f aca="false">-AS211*Inputs!$C$39/12*1*(1+Inputs!$C$50)*(1+Inputs!$C$51)^(AS$117-1)</f>
        <v>-273682.218966</v>
      </c>
      <c r="AT218" s="67" t="n">
        <f aca="false">-AT211*Inputs!$C$39/12*1*(1+Inputs!$C$50)*(1+Inputs!$C$51)^(AT$117-1)</f>
        <v>-273682.218966</v>
      </c>
      <c r="AU218" s="67" t="n">
        <f aca="false">-AU211*Inputs!$C$39/12*1*(1+Inputs!$C$50)*(1+Inputs!$C$51)^(AU$117-1)</f>
        <v>-273682.218966</v>
      </c>
      <c r="AV218" s="67" t="n">
        <f aca="false">-AV211*Inputs!$C$39/12*1*(1+Inputs!$C$50)*(1+Inputs!$C$51)^(AV$117-1)</f>
        <v>-273682.218966</v>
      </c>
      <c r="AW218" s="67" t="n">
        <f aca="false">-AW211*Inputs!$C$39/12*1*(1+Inputs!$C$50)*(1+Inputs!$C$51)^(AW$117-1)</f>
        <v>-273682.218966</v>
      </c>
      <c r="AX218" s="67" t="n">
        <f aca="false">-AX211*Inputs!$C$39/12*1*(1+Inputs!$C$50)*(1+Inputs!$C$51)^(AX$117-1)</f>
        <v>-273682.218966</v>
      </c>
      <c r="AY218" s="67" t="n">
        <f aca="false">-AY211*Inputs!$C$39/12*1*(1+Inputs!$C$50)*(1+Inputs!$C$51)^(AY$117-1)</f>
        <v>-366460.491195474</v>
      </c>
      <c r="AZ218" s="67" t="n">
        <f aca="false">-AZ211*Inputs!$C$39/12*1*(1+Inputs!$C$50)*(1+Inputs!$C$51)^(AZ$117-1)</f>
        <v>-366460.491195474</v>
      </c>
      <c r="BA218" s="67" t="n">
        <f aca="false">-BA211*Inputs!$C$39/12*1*(1+Inputs!$C$50)*(1+Inputs!$C$51)^(BA$117-1)</f>
        <v>-366460.491195474</v>
      </c>
      <c r="BB218" s="67" t="n">
        <f aca="false">-BB211*Inputs!$C$39/12*1*(1+Inputs!$C$50)*(1+Inputs!$C$51)^(BB$117-1)</f>
        <v>-366460.491195474</v>
      </c>
      <c r="BC218" s="67" t="n">
        <f aca="false">-BC211*Inputs!$C$39/12*1*(1+Inputs!$C$50)*(1+Inputs!$C$51)^(BC$117-1)</f>
        <v>-366460.491195474</v>
      </c>
      <c r="BD218" s="67" t="n">
        <f aca="false">-BD211*Inputs!$C$39/12*1*(1+Inputs!$C$50)*(1+Inputs!$C$51)^(BD$117-1)</f>
        <v>-366460.491195474</v>
      </c>
      <c r="BE218" s="67" t="n">
        <f aca="false">-BE211*Inputs!$C$39/12*1*(1+Inputs!$C$50)*(1+Inputs!$C$51)^(BE$117-1)</f>
        <v>-366460.491195474</v>
      </c>
      <c r="BF218" s="67" t="n">
        <f aca="false">-BF211*Inputs!$C$39/12*1*(1+Inputs!$C$50)*(1+Inputs!$C$51)^(BF$117-1)</f>
        <v>-366460.491195474</v>
      </c>
      <c r="BG218" s="67" t="n">
        <f aca="false">-BG211*Inputs!$C$39/12*1*(1+Inputs!$C$50)*(1+Inputs!$C$51)^(BG$117-1)</f>
        <v>-366460.491195474</v>
      </c>
      <c r="BH218" s="67" t="n">
        <f aca="false">-BH211*Inputs!$C$39/12*1*(1+Inputs!$C$50)*(1+Inputs!$C$51)^(BH$117-1)</f>
        <v>-366460.491195474</v>
      </c>
      <c r="BI218" s="67" t="n">
        <f aca="false">-BI211*Inputs!$C$39/12*1*(1+Inputs!$C$50)*(1+Inputs!$C$51)^(BI$117-1)</f>
        <v>-366460.491195474</v>
      </c>
      <c r="BJ218" s="67" t="n">
        <f aca="false">-BJ211*Inputs!$C$39/12*1*(1+Inputs!$C$50)*(1+Inputs!$C$51)^(BJ$117-1)</f>
        <v>-366460.491195474</v>
      </c>
    </row>
    <row r="219" customFormat="false" ht="15" hidden="false" customHeight="false" outlineLevel="0" collapsed="false">
      <c r="A219" s="6" t="s">
        <v>445</v>
      </c>
      <c r="C219" s="67" t="n">
        <f aca="false">-C212*Inputs!$C$43/12*1*(1+Inputs!$C$50)*(1+Inputs!$C$51)^(C$117-1)</f>
        <v>-17000</v>
      </c>
      <c r="D219" s="67" t="n">
        <f aca="false">-D212*Inputs!$C$43/12*1*(1+Inputs!$C$50)*(1+Inputs!$C$51)^(D$117-1)</f>
        <v>-17000</v>
      </c>
      <c r="E219" s="67" t="n">
        <f aca="false">-E212*Inputs!$C$43/12*1*(1+Inputs!$C$50)*(1+Inputs!$C$51)^(E$117-1)</f>
        <v>-17000</v>
      </c>
      <c r="F219" s="67" t="n">
        <f aca="false">-F212*Inputs!$C$43/12*1*(1+Inputs!$C$50)*(1+Inputs!$C$51)^(F$117-1)</f>
        <v>-17000</v>
      </c>
      <c r="G219" s="67" t="n">
        <f aca="false">-G212*Inputs!$C$43/12*1*(1+Inputs!$C$50)*(1+Inputs!$C$51)^(G$117-1)</f>
        <v>-17000</v>
      </c>
      <c r="H219" s="67" t="n">
        <f aca="false">-H212*Inputs!$C$43/12*1*(1+Inputs!$C$50)*(1+Inputs!$C$51)^(H$117-1)</f>
        <v>-17000</v>
      </c>
      <c r="I219" s="67" t="n">
        <f aca="false">-I212*Inputs!$C$43/12*1*(1+Inputs!$C$50)*(1+Inputs!$C$51)^(I$117-1)</f>
        <v>-17000</v>
      </c>
      <c r="J219" s="67" t="n">
        <f aca="false">-J212*Inputs!$C$43/12*1*(1+Inputs!$C$50)*(1+Inputs!$C$51)^(J$117-1)</f>
        <v>-17000</v>
      </c>
      <c r="K219" s="67" t="n">
        <f aca="false">-K212*Inputs!$C$43/12*1*(1+Inputs!$C$50)*(1+Inputs!$C$51)^(K$117-1)</f>
        <v>-17000</v>
      </c>
      <c r="L219" s="67" t="n">
        <f aca="false">-L212*Inputs!$C$43/12*1*(1+Inputs!$C$50)*(1+Inputs!$C$51)^(L$117-1)</f>
        <v>-17000</v>
      </c>
      <c r="M219" s="67" t="n">
        <f aca="false">-M212*Inputs!$C$43/12*1*(1+Inputs!$C$50)*(1+Inputs!$C$51)^(M$117-1)</f>
        <v>-17000</v>
      </c>
      <c r="N219" s="67" t="n">
        <f aca="false">-N212*Inputs!$C$43/12*1*(1+Inputs!$C$50)*(1+Inputs!$C$51)^(N$117-1)</f>
        <v>-17000</v>
      </c>
      <c r="O219" s="67" t="n">
        <f aca="false">-O212*Inputs!$C$43/12*1*(1+Inputs!$C$50)*(1+Inputs!$C$51)^(O$117-1)</f>
        <v>-21012</v>
      </c>
      <c r="P219" s="67" t="n">
        <f aca="false">-P212*Inputs!$C$43/12*1*(1+Inputs!$C$50)*(1+Inputs!$C$51)^(P$117-1)</f>
        <v>-21012</v>
      </c>
      <c r="Q219" s="67" t="n">
        <f aca="false">-Q212*Inputs!$C$43/12*1*(1+Inputs!$C$50)*(1+Inputs!$C$51)^(Q$117-1)</f>
        <v>-21012</v>
      </c>
      <c r="R219" s="67" t="n">
        <f aca="false">-R212*Inputs!$C$43/12*1*(1+Inputs!$C$50)*(1+Inputs!$C$51)^(R$117-1)</f>
        <v>-21012</v>
      </c>
      <c r="S219" s="67" t="n">
        <f aca="false">-S212*Inputs!$C$43/12*1*(1+Inputs!$C$50)*(1+Inputs!$C$51)^(S$117-1)</f>
        <v>-21012</v>
      </c>
      <c r="T219" s="67" t="n">
        <f aca="false">-T212*Inputs!$C$43/12*1*(1+Inputs!$C$50)*(1+Inputs!$C$51)^(T$117-1)</f>
        <v>-21012</v>
      </c>
      <c r="U219" s="67" t="n">
        <f aca="false">-U212*Inputs!$C$43/12*1*(1+Inputs!$C$50)*(1+Inputs!$C$51)^(U$117-1)</f>
        <v>-21012</v>
      </c>
      <c r="V219" s="67" t="n">
        <f aca="false">-V212*Inputs!$C$43/12*1*(1+Inputs!$C$50)*(1+Inputs!$C$51)^(V$117-1)</f>
        <v>-21012</v>
      </c>
      <c r="W219" s="67" t="n">
        <f aca="false">-W212*Inputs!$C$43/12*1*(1+Inputs!$C$50)*(1+Inputs!$C$51)^(W$117-1)</f>
        <v>-21012</v>
      </c>
      <c r="X219" s="67" t="n">
        <f aca="false">-X212*Inputs!$C$43/12*1*(1+Inputs!$C$50)*(1+Inputs!$C$51)^(X$117-1)</f>
        <v>-21012</v>
      </c>
      <c r="Y219" s="67" t="n">
        <f aca="false">-Y212*Inputs!$C$43/12*1*(1+Inputs!$C$50)*(1+Inputs!$C$51)^(Y$117-1)</f>
        <v>-21012</v>
      </c>
      <c r="Z219" s="67" t="n">
        <f aca="false">-Z212*Inputs!$C$43/12*1*(1+Inputs!$C$50)*(1+Inputs!$C$51)^(Z$117-1)</f>
        <v>-21012</v>
      </c>
      <c r="AA219" s="67" t="n">
        <f aca="false">-AA212*Inputs!$C$43/12*1*(1+Inputs!$C$50)*(1+Inputs!$C$51)^(AA$117-1)</f>
        <v>-25970.832</v>
      </c>
      <c r="AB219" s="67" t="n">
        <f aca="false">-AB212*Inputs!$C$43/12*1*(1+Inputs!$C$50)*(1+Inputs!$C$51)^(AB$117-1)</f>
        <v>-25970.832</v>
      </c>
      <c r="AC219" s="67" t="n">
        <f aca="false">-AC212*Inputs!$C$43/12*1*(1+Inputs!$C$50)*(1+Inputs!$C$51)^(AC$117-1)</f>
        <v>-25970.832</v>
      </c>
      <c r="AD219" s="67" t="n">
        <f aca="false">-AD212*Inputs!$C$43/12*1*(1+Inputs!$C$50)*(1+Inputs!$C$51)^(AD$117-1)</f>
        <v>-25970.832</v>
      </c>
      <c r="AE219" s="67" t="n">
        <f aca="false">-AE212*Inputs!$C$43/12*1*(1+Inputs!$C$50)*(1+Inputs!$C$51)^(AE$117-1)</f>
        <v>-25970.832</v>
      </c>
      <c r="AF219" s="67" t="n">
        <f aca="false">-AF212*Inputs!$C$43/12*1*(1+Inputs!$C$50)*(1+Inputs!$C$51)^(AF$117-1)</f>
        <v>-25970.832</v>
      </c>
      <c r="AG219" s="67" t="n">
        <f aca="false">-AG212*Inputs!$C$43/12*1*(1+Inputs!$C$50)*(1+Inputs!$C$51)^(AG$117-1)</f>
        <v>-25970.832</v>
      </c>
      <c r="AH219" s="67" t="n">
        <f aca="false">-AH212*Inputs!$C$43/12*1*(1+Inputs!$C$50)*(1+Inputs!$C$51)^(AH$117-1)</f>
        <v>-25970.832</v>
      </c>
      <c r="AI219" s="67" t="n">
        <f aca="false">-AI212*Inputs!$C$43/12*1*(1+Inputs!$C$50)*(1+Inputs!$C$51)^(AI$117-1)</f>
        <v>-25970.832</v>
      </c>
      <c r="AJ219" s="67" t="n">
        <f aca="false">-AJ212*Inputs!$C$43/12*1*(1+Inputs!$C$50)*(1+Inputs!$C$51)^(AJ$117-1)</f>
        <v>-25970.832</v>
      </c>
      <c r="AK219" s="67" t="n">
        <f aca="false">-AK212*Inputs!$C$43/12*1*(1+Inputs!$C$50)*(1+Inputs!$C$51)^(AK$117-1)</f>
        <v>-25970.832</v>
      </c>
      <c r="AL219" s="67" t="n">
        <f aca="false">-AL212*Inputs!$C$43/12*1*(1+Inputs!$C$50)*(1+Inputs!$C$51)^(AL$117-1)</f>
        <v>-25970.832</v>
      </c>
      <c r="AM219" s="67" t="n">
        <f aca="false">-AM212*Inputs!$C$43/12*1*(1+Inputs!$C$50)*(1+Inputs!$C$51)^(AM$117-1)</f>
        <v>-32099.948352</v>
      </c>
      <c r="AN219" s="67" t="n">
        <f aca="false">-AN212*Inputs!$C$43/12*1*(1+Inputs!$C$50)*(1+Inputs!$C$51)^(AN$117-1)</f>
        <v>-32099.948352</v>
      </c>
      <c r="AO219" s="67" t="n">
        <f aca="false">-AO212*Inputs!$C$43/12*1*(1+Inputs!$C$50)*(1+Inputs!$C$51)^(AO$117-1)</f>
        <v>-32099.948352</v>
      </c>
      <c r="AP219" s="67" t="n">
        <f aca="false">-AP212*Inputs!$C$43/12*1*(1+Inputs!$C$50)*(1+Inputs!$C$51)^(AP$117-1)</f>
        <v>-32099.948352</v>
      </c>
      <c r="AQ219" s="67" t="n">
        <f aca="false">-AQ212*Inputs!$C$43/12*1*(1+Inputs!$C$50)*(1+Inputs!$C$51)^(AQ$117-1)</f>
        <v>-32099.948352</v>
      </c>
      <c r="AR219" s="67" t="n">
        <f aca="false">-AR212*Inputs!$C$43/12*1*(1+Inputs!$C$50)*(1+Inputs!$C$51)^(AR$117-1)</f>
        <v>-32099.948352</v>
      </c>
      <c r="AS219" s="67" t="n">
        <f aca="false">-AS212*Inputs!$C$43/12*1*(1+Inputs!$C$50)*(1+Inputs!$C$51)^(AS$117-1)</f>
        <v>-32099.948352</v>
      </c>
      <c r="AT219" s="67" t="n">
        <f aca="false">-AT212*Inputs!$C$43/12*1*(1+Inputs!$C$50)*(1+Inputs!$C$51)^(AT$117-1)</f>
        <v>-32099.948352</v>
      </c>
      <c r="AU219" s="67" t="n">
        <f aca="false">-AU212*Inputs!$C$43/12*1*(1+Inputs!$C$50)*(1+Inputs!$C$51)^(AU$117-1)</f>
        <v>-32099.948352</v>
      </c>
      <c r="AV219" s="67" t="n">
        <f aca="false">-AV212*Inputs!$C$43/12*1*(1+Inputs!$C$50)*(1+Inputs!$C$51)^(AV$117-1)</f>
        <v>-32099.948352</v>
      </c>
      <c r="AW219" s="67" t="n">
        <f aca="false">-AW212*Inputs!$C$43/12*1*(1+Inputs!$C$50)*(1+Inputs!$C$51)^(AW$117-1)</f>
        <v>-32099.948352</v>
      </c>
      <c r="AX219" s="67" t="n">
        <f aca="false">-AX212*Inputs!$C$43/12*1*(1+Inputs!$C$50)*(1+Inputs!$C$51)^(AX$117-1)</f>
        <v>-32099.948352</v>
      </c>
      <c r="AY219" s="67" t="n">
        <f aca="false">-AY212*Inputs!$C$43/12*1*(1+Inputs!$C$50)*(1+Inputs!$C$51)^(AY$117-1)</f>
        <v>-39675.536163072</v>
      </c>
      <c r="AZ219" s="67" t="n">
        <f aca="false">-AZ212*Inputs!$C$43/12*1*(1+Inputs!$C$50)*(1+Inputs!$C$51)^(AZ$117-1)</f>
        <v>-39675.536163072</v>
      </c>
      <c r="BA219" s="67" t="n">
        <f aca="false">-BA212*Inputs!$C$43/12*1*(1+Inputs!$C$50)*(1+Inputs!$C$51)^(BA$117-1)</f>
        <v>-39675.536163072</v>
      </c>
      <c r="BB219" s="67" t="n">
        <f aca="false">-BB212*Inputs!$C$43/12*1*(1+Inputs!$C$50)*(1+Inputs!$C$51)^(BB$117-1)</f>
        <v>-39675.536163072</v>
      </c>
      <c r="BC219" s="67" t="n">
        <f aca="false">-BC212*Inputs!$C$43/12*1*(1+Inputs!$C$50)*(1+Inputs!$C$51)^(BC$117-1)</f>
        <v>-39675.536163072</v>
      </c>
      <c r="BD219" s="67" t="n">
        <f aca="false">-BD212*Inputs!$C$43/12*1*(1+Inputs!$C$50)*(1+Inputs!$C$51)^(BD$117-1)</f>
        <v>-39675.536163072</v>
      </c>
      <c r="BE219" s="67" t="n">
        <f aca="false">-BE212*Inputs!$C$43/12*1*(1+Inputs!$C$50)*(1+Inputs!$C$51)^(BE$117-1)</f>
        <v>-39675.536163072</v>
      </c>
      <c r="BF219" s="67" t="n">
        <f aca="false">-BF212*Inputs!$C$43/12*1*(1+Inputs!$C$50)*(1+Inputs!$C$51)^(BF$117-1)</f>
        <v>-39675.536163072</v>
      </c>
      <c r="BG219" s="67" t="n">
        <f aca="false">-BG212*Inputs!$C$43/12*1*(1+Inputs!$C$50)*(1+Inputs!$C$51)^(BG$117-1)</f>
        <v>-39675.536163072</v>
      </c>
      <c r="BH219" s="67" t="n">
        <f aca="false">-BH212*Inputs!$C$43/12*1*(1+Inputs!$C$50)*(1+Inputs!$C$51)^(BH$117-1)</f>
        <v>-39675.536163072</v>
      </c>
      <c r="BI219" s="67" t="n">
        <f aca="false">-BI212*Inputs!$C$43/12*1*(1+Inputs!$C$50)*(1+Inputs!$C$51)^(BI$117-1)</f>
        <v>-39675.536163072</v>
      </c>
      <c r="BJ219" s="67" t="n">
        <f aca="false">-BJ212*Inputs!$C$43/12*1*(1+Inputs!$C$50)*(1+Inputs!$C$51)^(BJ$117-1)</f>
        <v>-39675.536163072</v>
      </c>
    </row>
    <row r="220" customFormat="false" ht="15" hidden="false" customHeight="false" outlineLevel="0" collapsed="false">
      <c r="A220" s="6" t="s">
        <v>446</v>
      </c>
      <c r="C220" s="67" t="n">
        <f aca="false">-C213*Inputs!$C$47/12*1*(1+Inputs!$C$50)*(1+Inputs!$C$51)^(C$117-1)</f>
        <v>-19500</v>
      </c>
      <c r="D220" s="67" t="n">
        <f aca="false">-D213*Inputs!$C$47/12*1*(1+Inputs!$C$50)*(1+Inputs!$C$51)^(D$117-1)</f>
        <v>-19500</v>
      </c>
      <c r="E220" s="67" t="n">
        <f aca="false">-E213*Inputs!$C$47/12*1*(1+Inputs!$C$50)*(1+Inputs!$C$51)^(E$117-1)</f>
        <v>-19500</v>
      </c>
      <c r="F220" s="67" t="n">
        <f aca="false">-F213*Inputs!$C$47/12*1*(1+Inputs!$C$50)*(1+Inputs!$C$51)^(F$117-1)</f>
        <v>-19500</v>
      </c>
      <c r="G220" s="67" t="n">
        <f aca="false">-G213*Inputs!$C$47/12*1*(1+Inputs!$C$50)*(1+Inputs!$C$51)^(G$117-1)</f>
        <v>-19500</v>
      </c>
      <c r="H220" s="67" t="n">
        <f aca="false">-H213*Inputs!$C$47/12*1*(1+Inputs!$C$50)*(1+Inputs!$C$51)^(H$117-1)</f>
        <v>-19500</v>
      </c>
      <c r="I220" s="67" t="n">
        <f aca="false">-I213*Inputs!$C$47/12*1*(1+Inputs!$C$50)*(1+Inputs!$C$51)^(I$117-1)</f>
        <v>-19500</v>
      </c>
      <c r="J220" s="67" t="n">
        <f aca="false">-J213*Inputs!$C$47/12*1*(1+Inputs!$C$50)*(1+Inputs!$C$51)^(J$117-1)</f>
        <v>-19500</v>
      </c>
      <c r="K220" s="67" t="n">
        <f aca="false">-K213*Inputs!$C$47/12*1*(1+Inputs!$C$50)*(1+Inputs!$C$51)^(K$117-1)</f>
        <v>-19500</v>
      </c>
      <c r="L220" s="67" t="n">
        <f aca="false">-L213*Inputs!$C$47/12*1*(1+Inputs!$C$50)*(1+Inputs!$C$51)^(L$117-1)</f>
        <v>-19500</v>
      </c>
      <c r="M220" s="67" t="n">
        <f aca="false">-M213*Inputs!$C$47/12*1*(1+Inputs!$C$50)*(1+Inputs!$C$51)^(M$117-1)</f>
        <v>-19500</v>
      </c>
      <c r="N220" s="67" t="n">
        <f aca="false">-N213*Inputs!$C$47/12*1*(1+Inputs!$C$50)*(1+Inputs!$C$51)^(N$117-1)</f>
        <v>-19500</v>
      </c>
      <c r="O220" s="67" t="n">
        <f aca="false">-O213*Inputs!$C$47/12*1*(1+Inputs!$C$50)*(1+Inputs!$C$51)^(O$117-1)</f>
        <v>-23097.75</v>
      </c>
      <c r="P220" s="67" t="n">
        <f aca="false">-P213*Inputs!$C$47/12*1*(1+Inputs!$C$50)*(1+Inputs!$C$51)^(P$117-1)</f>
        <v>-23097.75</v>
      </c>
      <c r="Q220" s="67" t="n">
        <f aca="false">-Q213*Inputs!$C$47/12*1*(1+Inputs!$C$50)*(1+Inputs!$C$51)^(Q$117-1)</f>
        <v>-23097.75</v>
      </c>
      <c r="R220" s="67" t="n">
        <f aca="false">-R213*Inputs!$C$47/12*1*(1+Inputs!$C$50)*(1+Inputs!$C$51)^(R$117-1)</f>
        <v>-23097.75</v>
      </c>
      <c r="S220" s="67" t="n">
        <f aca="false">-S213*Inputs!$C$47/12*1*(1+Inputs!$C$50)*(1+Inputs!$C$51)^(S$117-1)</f>
        <v>-23097.75</v>
      </c>
      <c r="T220" s="67" t="n">
        <f aca="false">-T213*Inputs!$C$47/12*1*(1+Inputs!$C$50)*(1+Inputs!$C$51)^(T$117-1)</f>
        <v>-23097.75</v>
      </c>
      <c r="U220" s="67" t="n">
        <f aca="false">-U213*Inputs!$C$47/12*1*(1+Inputs!$C$50)*(1+Inputs!$C$51)^(U$117-1)</f>
        <v>-23097.75</v>
      </c>
      <c r="V220" s="67" t="n">
        <f aca="false">-V213*Inputs!$C$47/12*1*(1+Inputs!$C$50)*(1+Inputs!$C$51)^(V$117-1)</f>
        <v>-23097.75</v>
      </c>
      <c r="W220" s="67" t="n">
        <f aca="false">-W213*Inputs!$C$47/12*1*(1+Inputs!$C$50)*(1+Inputs!$C$51)^(W$117-1)</f>
        <v>-23097.75</v>
      </c>
      <c r="X220" s="67" t="n">
        <f aca="false">-X213*Inputs!$C$47/12*1*(1+Inputs!$C$50)*(1+Inputs!$C$51)^(X$117-1)</f>
        <v>-23097.75</v>
      </c>
      <c r="Y220" s="67" t="n">
        <f aca="false">-Y213*Inputs!$C$47/12*1*(1+Inputs!$C$50)*(1+Inputs!$C$51)^(Y$117-1)</f>
        <v>-23097.75</v>
      </c>
      <c r="Z220" s="67" t="n">
        <f aca="false">-Z213*Inputs!$C$47/12*1*(1+Inputs!$C$50)*(1+Inputs!$C$51)^(Z$117-1)</f>
        <v>-23097.75</v>
      </c>
      <c r="AA220" s="67" t="n">
        <f aca="false">-AA213*Inputs!$C$47/12*1*(1+Inputs!$C$50)*(1+Inputs!$C$51)^(AA$117-1)</f>
        <v>-27359.284875</v>
      </c>
      <c r="AB220" s="67" t="n">
        <f aca="false">-AB213*Inputs!$C$47/12*1*(1+Inputs!$C$50)*(1+Inputs!$C$51)^(AB$117-1)</f>
        <v>-27359.284875</v>
      </c>
      <c r="AC220" s="67" t="n">
        <f aca="false">-AC213*Inputs!$C$47/12*1*(1+Inputs!$C$50)*(1+Inputs!$C$51)^(AC$117-1)</f>
        <v>-27359.284875</v>
      </c>
      <c r="AD220" s="67" t="n">
        <f aca="false">-AD213*Inputs!$C$47/12*1*(1+Inputs!$C$50)*(1+Inputs!$C$51)^(AD$117-1)</f>
        <v>-27359.284875</v>
      </c>
      <c r="AE220" s="67" t="n">
        <f aca="false">-AE213*Inputs!$C$47/12*1*(1+Inputs!$C$50)*(1+Inputs!$C$51)^(AE$117-1)</f>
        <v>-27359.284875</v>
      </c>
      <c r="AF220" s="67" t="n">
        <f aca="false">-AF213*Inputs!$C$47/12*1*(1+Inputs!$C$50)*(1+Inputs!$C$51)^(AF$117-1)</f>
        <v>-27359.284875</v>
      </c>
      <c r="AG220" s="67" t="n">
        <f aca="false">-AG213*Inputs!$C$47/12*1*(1+Inputs!$C$50)*(1+Inputs!$C$51)^(AG$117-1)</f>
        <v>-27359.284875</v>
      </c>
      <c r="AH220" s="67" t="n">
        <f aca="false">-AH213*Inputs!$C$47/12*1*(1+Inputs!$C$50)*(1+Inputs!$C$51)^(AH$117-1)</f>
        <v>-27359.284875</v>
      </c>
      <c r="AI220" s="67" t="n">
        <f aca="false">-AI213*Inputs!$C$47/12*1*(1+Inputs!$C$50)*(1+Inputs!$C$51)^(AI$117-1)</f>
        <v>-27359.284875</v>
      </c>
      <c r="AJ220" s="67" t="n">
        <f aca="false">-AJ213*Inputs!$C$47/12*1*(1+Inputs!$C$50)*(1+Inputs!$C$51)^(AJ$117-1)</f>
        <v>-27359.284875</v>
      </c>
      <c r="AK220" s="67" t="n">
        <f aca="false">-AK213*Inputs!$C$47/12*1*(1+Inputs!$C$50)*(1+Inputs!$C$51)^(AK$117-1)</f>
        <v>-27359.284875</v>
      </c>
      <c r="AL220" s="67" t="n">
        <f aca="false">-AL213*Inputs!$C$47/12*1*(1+Inputs!$C$50)*(1+Inputs!$C$51)^(AL$117-1)</f>
        <v>-27359.284875</v>
      </c>
      <c r="AM220" s="67" t="n">
        <f aca="false">-AM213*Inputs!$C$47/12*1*(1+Inputs!$C$50)*(1+Inputs!$C$51)^(AM$117-1)</f>
        <v>-32407.0729344375</v>
      </c>
      <c r="AN220" s="67" t="n">
        <f aca="false">-AN213*Inputs!$C$47/12*1*(1+Inputs!$C$50)*(1+Inputs!$C$51)^(AN$117-1)</f>
        <v>-32407.0729344375</v>
      </c>
      <c r="AO220" s="67" t="n">
        <f aca="false">-AO213*Inputs!$C$47/12*1*(1+Inputs!$C$50)*(1+Inputs!$C$51)^(AO$117-1)</f>
        <v>-32407.0729344375</v>
      </c>
      <c r="AP220" s="67" t="n">
        <f aca="false">-AP213*Inputs!$C$47/12*1*(1+Inputs!$C$50)*(1+Inputs!$C$51)^(AP$117-1)</f>
        <v>-32407.0729344375</v>
      </c>
      <c r="AQ220" s="67" t="n">
        <f aca="false">-AQ213*Inputs!$C$47/12*1*(1+Inputs!$C$50)*(1+Inputs!$C$51)^(AQ$117-1)</f>
        <v>-32407.0729344375</v>
      </c>
      <c r="AR220" s="67" t="n">
        <f aca="false">-AR213*Inputs!$C$47/12*1*(1+Inputs!$C$50)*(1+Inputs!$C$51)^(AR$117-1)</f>
        <v>-32407.0729344375</v>
      </c>
      <c r="AS220" s="67" t="n">
        <f aca="false">-AS213*Inputs!$C$47/12*1*(1+Inputs!$C$50)*(1+Inputs!$C$51)^(AS$117-1)</f>
        <v>-32407.0729344375</v>
      </c>
      <c r="AT220" s="67" t="n">
        <f aca="false">-AT213*Inputs!$C$47/12*1*(1+Inputs!$C$50)*(1+Inputs!$C$51)^(AT$117-1)</f>
        <v>-32407.0729344375</v>
      </c>
      <c r="AU220" s="67" t="n">
        <f aca="false">-AU213*Inputs!$C$47/12*1*(1+Inputs!$C$50)*(1+Inputs!$C$51)^(AU$117-1)</f>
        <v>-32407.0729344375</v>
      </c>
      <c r="AV220" s="67" t="n">
        <f aca="false">-AV213*Inputs!$C$47/12*1*(1+Inputs!$C$50)*(1+Inputs!$C$51)^(AV$117-1)</f>
        <v>-32407.0729344375</v>
      </c>
      <c r="AW220" s="67" t="n">
        <f aca="false">-AW213*Inputs!$C$47/12*1*(1+Inputs!$C$50)*(1+Inputs!$C$51)^(AW$117-1)</f>
        <v>-32407.0729344375</v>
      </c>
      <c r="AX220" s="67" t="n">
        <f aca="false">-AX213*Inputs!$C$47/12*1*(1+Inputs!$C$50)*(1+Inputs!$C$51)^(AX$117-1)</f>
        <v>-32407.0729344375</v>
      </c>
      <c r="AY220" s="67" t="n">
        <f aca="false">-AY213*Inputs!$C$47/12*1*(1+Inputs!$C$50)*(1+Inputs!$C$51)^(AY$117-1)</f>
        <v>-38386.1778908412</v>
      </c>
      <c r="AZ220" s="67" t="n">
        <f aca="false">-AZ213*Inputs!$C$47/12*1*(1+Inputs!$C$50)*(1+Inputs!$C$51)^(AZ$117-1)</f>
        <v>-38386.1778908412</v>
      </c>
      <c r="BA220" s="67" t="n">
        <f aca="false">-BA213*Inputs!$C$47/12*1*(1+Inputs!$C$50)*(1+Inputs!$C$51)^(BA$117-1)</f>
        <v>-38386.1778908412</v>
      </c>
      <c r="BB220" s="67" t="n">
        <f aca="false">-BB213*Inputs!$C$47/12*1*(1+Inputs!$C$50)*(1+Inputs!$C$51)^(BB$117-1)</f>
        <v>-38386.1778908412</v>
      </c>
      <c r="BC220" s="67" t="n">
        <f aca="false">-BC213*Inputs!$C$47/12*1*(1+Inputs!$C$50)*(1+Inputs!$C$51)^(BC$117-1)</f>
        <v>-38386.1778908412</v>
      </c>
      <c r="BD220" s="67" t="n">
        <f aca="false">-BD213*Inputs!$C$47/12*1*(1+Inputs!$C$50)*(1+Inputs!$C$51)^(BD$117-1)</f>
        <v>-38386.1778908412</v>
      </c>
      <c r="BE220" s="67" t="n">
        <f aca="false">-BE213*Inputs!$C$47/12*1*(1+Inputs!$C$50)*(1+Inputs!$C$51)^(BE$117-1)</f>
        <v>-38386.1778908412</v>
      </c>
      <c r="BF220" s="67" t="n">
        <f aca="false">-BF213*Inputs!$C$47/12*1*(1+Inputs!$C$50)*(1+Inputs!$C$51)^(BF$117-1)</f>
        <v>-38386.1778908412</v>
      </c>
      <c r="BG220" s="67" t="n">
        <f aca="false">-BG213*Inputs!$C$47/12*1*(1+Inputs!$C$50)*(1+Inputs!$C$51)^(BG$117-1)</f>
        <v>-38386.1778908412</v>
      </c>
      <c r="BH220" s="67" t="n">
        <f aca="false">-BH213*Inputs!$C$47/12*1*(1+Inputs!$C$50)*(1+Inputs!$C$51)^(BH$117-1)</f>
        <v>-38386.1778908412</v>
      </c>
      <c r="BI220" s="67" t="n">
        <f aca="false">-BI213*Inputs!$C$47/12*1*(1+Inputs!$C$50)*(1+Inputs!$C$51)^(BI$117-1)</f>
        <v>-38386.1778908412</v>
      </c>
      <c r="BJ220" s="67" t="n">
        <f aca="false">-BJ213*Inputs!$C$47/12*1*(1+Inputs!$C$50)*(1+Inputs!$C$51)^(BJ$117-1)</f>
        <v>-38386.1778908412</v>
      </c>
    </row>
    <row r="221" customFormat="false" ht="15" hidden="false" customHeight="false" outlineLevel="0" collapsed="false">
      <c r="A221" s="113" t="s">
        <v>447</v>
      </c>
      <c r="C221" s="68" t="n">
        <f aca="false">C217+C218+C219+C220</f>
        <v>-214500</v>
      </c>
      <c r="D221" s="68" t="n">
        <f aca="false">D217+D218+D219+D220</f>
        <v>-214500</v>
      </c>
      <c r="E221" s="68" t="n">
        <f aca="false">E217+E218+E219+E220</f>
        <v>-214500</v>
      </c>
      <c r="F221" s="68" t="n">
        <f aca="false">F217+F218+F219+F220</f>
        <v>-214500</v>
      </c>
      <c r="G221" s="68" t="n">
        <f aca="false">G217+G218+G219+G220</f>
        <v>-214500</v>
      </c>
      <c r="H221" s="68" t="n">
        <f aca="false">H217+H218+H219+H220</f>
        <v>-214500</v>
      </c>
      <c r="I221" s="68" t="n">
        <f aca="false">I217+I218+I219+I220</f>
        <v>-214500</v>
      </c>
      <c r="J221" s="68" t="n">
        <f aca="false">J217+J218+J219+J220</f>
        <v>-214500</v>
      </c>
      <c r="K221" s="68" t="n">
        <f aca="false">K217+K218+K219+K220</f>
        <v>-214500</v>
      </c>
      <c r="L221" s="68" t="n">
        <f aca="false">L217+L218+L219+L220</f>
        <v>-214500</v>
      </c>
      <c r="M221" s="68" t="n">
        <f aca="false">M217+M218+M219+M220</f>
        <v>-214500</v>
      </c>
      <c r="N221" s="68" t="n">
        <f aca="false">N217+N218+N219+N220</f>
        <v>-214500</v>
      </c>
      <c r="O221" s="68" t="n">
        <f aca="false">O217+O218+O219+O220</f>
        <v>-275859.75</v>
      </c>
      <c r="P221" s="68" t="n">
        <f aca="false">P217+P218+P219+P220</f>
        <v>-275859.75</v>
      </c>
      <c r="Q221" s="68" t="n">
        <f aca="false">Q217+Q218+Q219+Q220</f>
        <v>-275859.75</v>
      </c>
      <c r="R221" s="68" t="n">
        <f aca="false">R217+R218+R219+R220</f>
        <v>-275859.75</v>
      </c>
      <c r="S221" s="68" t="n">
        <f aca="false">S217+S218+S219+S220</f>
        <v>-275859.75</v>
      </c>
      <c r="T221" s="68" t="n">
        <f aca="false">T217+T218+T219+T220</f>
        <v>-275859.75</v>
      </c>
      <c r="U221" s="68" t="n">
        <f aca="false">U217+U218+U219+U220</f>
        <v>-275859.75</v>
      </c>
      <c r="V221" s="68" t="n">
        <f aca="false">V217+V218+V219+V220</f>
        <v>-275859.75</v>
      </c>
      <c r="W221" s="68" t="n">
        <f aca="false">W217+W218+W219+W220</f>
        <v>-275859.75</v>
      </c>
      <c r="X221" s="68" t="n">
        <f aca="false">X217+X218+X219+X220</f>
        <v>-275859.75</v>
      </c>
      <c r="Y221" s="68" t="n">
        <f aca="false">Y217+Y218+Y219+Y220</f>
        <v>-275859.75</v>
      </c>
      <c r="Z221" s="68" t="n">
        <f aca="false">Z217+Z218+Z219+Z220</f>
        <v>-275859.75</v>
      </c>
      <c r="AA221" s="68" t="n">
        <f aca="false">AA217+AA218+AA219+AA220</f>
        <v>-355495.654875</v>
      </c>
      <c r="AB221" s="68" t="n">
        <f aca="false">AB217+AB218+AB219+AB220</f>
        <v>-355495.654875</v>
      </c>
      <c r="AC221" s="68" t="n">
        <f aca="false">AC217+AC218+AC219+AC220</f>
        <v>-355495.654875</v>
      </c>
      <c r="AD221" s="68" t="n">
        <f aca="false">AD217+AD218+AD219+AD220</f>
        <v>-355495.654875</v>
      </c>
      <c r="AE221" s="68" t="n">
        <f aca="false">AE217+AE218+AE219+AE220</f>
        <v>-355495.654875</v>
      </c>
      <c r="AF221" s="68" t="n">
        <f aca="false">AF217+AF218+AF219+AF220</f>
        <v>-355495.654875</v>
      </c>
      <c r="AG221" s="68" t="n">
        <f aca="false">AG217+AG218+AG219+AG220</f>
        <v>-355495.654875</v>
      </c>
      <c r="AH221" s="68" t="n">
        <f aca="false">AH217+AH218+AH219+AH220</f>
        <v>-355495.654875</v>
      </c>
      <c r="AI221" s="68" t="n">
        <f aca="false">AI217+AI218+AI219+AI220</f>
        <v>-355495.654875</v>
      </c>
      <c r="AJ221" s="68" t="n">
        <f aca="false">AJ217+AJ218+AJ219+AJ220</f>
        <v>-355495.654875</v>
      </c>
      <c r="AK221" s="68" t="n">
        <f aca="false">AK217+AK218+AK219+AK220</f>
        <v>-355495.654875</v>
      </c>
      <c r="AL221" s="68" t="n">
        <f aca="false">AL217+AL218+AL219+AL220</f>
        <v>-355495.654875</v>
      </c>
      <c r="AM221" s="68" t="n">
        <f aca="false">AM217+AM218+AM219+AM220</f>
        <v>-459036.104636437</v>
      </c>
      <c r="AN221" s="68" t="n">
        <f aca="false">AN217+AN218+AN219+AN220</f>
        <v>-459036.104636437</v>
      </c>
      <c r="AO221" s="68" t="n">
        <f aca="false">AO217+AO218+AO219+AO220</f>
        <v>-459036.104636437</v>
      </c>
      <c r="AP221" s="68" t="n">
        <f aca="false">AP217+AP218+AP219+AP220</f>
        <v>-459036.104636437</v>
      </c>
      <c r="AQ221" s="68" t="n">
        <f aca="false">AQ217+AQ218+AQ219+AQ220</f>
        <v>-459036.104636437</v>
      </c>
      <c r="AR221" s="68" t="n">
        <f aca="false">AR217+AR218+AR219+AR220</f>
        <v>-459036.104636437</v>
      </c>
      <c r="AS221" s="68" t="n">
        <f aca="false">AS217+AS218+AS219+AS220</f>
        <v>-459036.104636437</v>
      </c>
      <c r="AT221" s="68" t="n">
        <f aca="false">AT217+AT218+AT219+AT220</f>
        <v>-459036.104636437</v>
      </c>
      <c r="AU221" s="68" t="n">
        <f aca="false">AU217+AU218+AU219+AU220</f>
        <v>-459036.104636437</v>
      </c>
      <c r="AV221" s="68" t="n">
        <f aca="false">AV217+AV218+AV219+AV220</f>
        <v>-459036.104636437</v>
      </c>
      <c r="AW221" s="68" t="n">
        <f aca="false">AW217+AW218+AW219+AW220</f>
        <v>-459036.104636437</v>
      </c>
      <c r="AX221" s="68" t="n">
        <f aca="false">AX217+AX218+AX219+AX220</f>
        <v>-459036.104636437</v>
      </c>
      <c r="AY221" s="68" t="n">
        <f aca="false">AY217+AY218+AY219+AY220</f>
        <v>-593888.929628011</v>
      </c>
      <c r="AZ221" s="68" t="n">
        <f aca="false">AZ217+AZ218+AZ219+AZ220</f>
        <v>-593888.929628011</v>
      </c>
      <c r="BA221" s="68" t="n">
        <f aca="false">BA217+BA218+BA219+BA220</f>
        <v>-593888.929628011</v>
      </c>
      <c r="BB221" s="68" t="n">
        <f aca="false">BB217+BB218+BB219+BB220</f>
        <v>-593888.929628011</v>
      </c>
      <c r="BC221" s="68" t="n">
        <f aca="false">BC217+BC218+BC219+BC220</f>
        <v>-593888.929628011</v>
      </c>
      <c r="BD221" s="68" t="n">
        <f aca="false">BD217+BD218+BD219+BD220</f>
        <v>-593888.929628011</v>
      </c>
      <c r="BE221" s="68" t="n">
        <f aca="false">BE217+BE218+BE219+BE220</f>
        <v>-593888.929628011</v>
      </c>
      <c r="BF221" s="68" t="n">
        <f aca="false">BF217+BF218+BF219+BF220</f>
        <v>-593888.929628011</v>
      </c>
      <c r="BG221" s="68" t="n">
        <f aca="false">BG217+BG218+BG219+BG220</f>
        <v>-593888.929628011</v>
      </c>
      <c r="BH221" s="68" t="n">
        <f aca="false">BH217+BH218+BH219+BH220</f>
        <v>-593888.929628011</v>
      </c>
      <c r="BI221" s="68" t="n">
        <f aca="false">BI217+BI218+BI219+BI220</f>
        <v>-593888.929628011</v>
      </c>
      <c r="BJ221" s="68" t="n">
        <f aca="false">BJ217+BJ218+BJ219+BJ220</f>
        <v>-593888.929628011</v>
      </c>
    </row>
    <row r="224" customFormat="false" ht="15.75" hidden="false" customHeight="true" outlineLevel="0" collapsed="false">
      <c r="A224" s="7" t="s">
        <v>452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customFormat="false" ht="15" hidden="false" customHeight="false" outlineLevel="0" collapsed="false">
      <c r="A225" s="33" t="s">
        <v>340</v>
      </c>
      <c r="C225" s="52" t="s">
        <v>341</v>
      </c>
      <c r="D225" s="52" t="s">
        <v>342</v>
      </c>
      <c r="E225" s="52" t="s">
        <v>343</v>
      </c>
      <c r="F225" s="52" t="s">
        <v>344</v>
      </c>
      <c r="G225" s="52" t="s">
        <v>345</v>
      </c>
      <c r="H225" s="52" t="s">
        <v>346</v>
      </c>
      <c r="I225" s="52" t="s">
        <v>347</v>
      </c>
      <c r="J225" s="52" t="s">
        <v>348</v>
      </c>
      <c r="K225" s="52" t="s">
        <v>349</v>
      </c>
      <c r="L225" s="52" t="s">
        <v>350</v>
      </c>
      <c r="M225" s="52" t="s">
        <v>351</v>
      </c>
      <c r="N225" s="52" t="s">
        <v>352</v>
      </c>
      <c r="O225" s="52" t="s">
        <v>353</v>
      </c>
      <c r="P225" s="52" t="s">
        <v>354</v>
      </c>
      <c r="Q225" s="52" t="s">
        <v>355</v>
      </c>
      <c r="R225" s="52" t="s">
        <v>356</v>
      </c>
      <c r="S225" s="52" t="s">
        <v>357</v>
      </c>
      <c r="T225" s="52" t="s">
        <v>358</v>
      </c>
      <c r="U225" s="52" t="s">
        <v>359</v>
      </c>
      <c r="V225" s="52" t="s">
        <v>360</v>
      </c>
      <c r="W225" s="52" t="s">
        <v>361</v>
      </c>
      <c r="X225" s="52" t="s">
        <v>362</v>
      </c>
      <c r="Y225" s="52" t="s">
        <v>363</v>
      </c>
      <c r="Z225" s="52" t="s">
        <v>364</v>
      </c>
      <c r="AA225" s="52" t="s">
        <v>365</v>
      </c>
      <c r="AB225" s="52" t="s">
        <v>366</v>
      </c>
      <c r="AC225" s="52" t="s">
        <v>367</v>
      </c>
      <c r="AD225" s="52" t="s">
        <v>368</v>
      </c>
      <c r="AE225" s="52" t="s">
        <v>369</v>
      </c>
      <c r="AF225" s="52" t="s">
        <v>370</v>
      </c>
      <c r="AG225" s="52" t="s">
        <v>371</v>
      </c>
      <c r="AH225" s="52" t="s">
        <v>372</v>
      </c>
      <c r="AI225" s="52" t="s">
        <v>373</v>
      </c>
      <c r="AJ225" s="52" t="s">
        <v>374</v>
      </c>
      <c r="AK225" s="52" t="s">
        <v>375</v>
      </c>
      <c r="AL225" s="52" t="s">
        <v>376</v>
      </c>
      <c r="AM225" s="52" t="s">
        <v>377</v>
      </c>
      <c r="AN225" s="52" t="s">
        <v>378</v>
      </c>
      <c r="AO225" s="52" t="s">
        <v>379</v>
      </c>
      <c r="AP225" s="52" t="s">
        <v>380</v>
      </c>
      <c r="AQ225" s="52" t="s">
        <v>381</v>
      </c>
      <c r="AR225" s="52" t="s">
        <v>382</v>
      </c>
      <c r="AS225" s="52" t="s">
        <v>383</v>
      </c>
      <c r="AT225" s="52" t="s">
        <v>384</v>
      </c>
      <c r="AU225" s="52" t="s">
        <v>385</v>
      </c>
      <c r="AV225" s="52" t="s">
        <v>386</v>
      </c>
      <c r="AW225" s="52" t="s">
        <v>387</v>
      </c>
      <c r="AX225" s="52" t="s">
        <v>388</v>
      </c>
      <c r="AY225" s="52" t="s">
        <v>389</v>
      </c>
      <c r="AZ225" s="52" t="s">
        <v>390</v>
      </c>
      <c r="BA225" s="52" t="s">
        <v>391</v>
      </c>
      <c r="BB225" s="52" t="s">
        <v>392</v>
      </c>
      <c r="BC225" s="52" t="s">
        <v>393</v>
      </c>
      <c r="BD225" s="52" t="s">
        <v>394</v>
      </c>
      <c r="BE225" s="52" t="s">
        <v>395</v>
      </c>
      <c r="BF225" s="52" t="s">
        <v>396</v>
      </c>
      <c r="BG225" s="52" t="s">
        <v>397</v>
      </c>
      <c r="BH225" s="52" t="s">
        <v>398</v>
      </c>
      <c r="BI225" s="52" t="s">
        <v>399</v>
      </c>
      <c r="BJ225" s="52" t="s">
        <v>400</v>
      </c>
    </row>
    <row r="226" customFormat="false" ht="15" hidden="false" customHeight="false" outlineLevel="0" collapsed="false">
      <c r="A226" s="72" t="s">
        <v>401</v>
      </c>
      <c r="C226" s="72" t="n">
        <v>1</v>
      </c>
      <c r="D226" s="72" t="n">
        <v>2</v>
      </c>
      <c r="E226" s="72" t="n">
        <v>3</v>
      </c>
      <c r="F226" s="72" t="n">
        <v>4</v>
      </c>
      <c r="G226" s="72" t="n">
        <v>5</v>
      </c>
      <c r="H226" s="72" t="n">
        <v>6</v>
      </c>
      <c r="I226" s="72" t="n">
        <v>7</v>
      </c>
      <c r="J226" s="72" t="n">
        <v>8</v>
      </c>
      <c r="K226" s="72" t="n">
        <v>9</v>
      </c>
      <c r="L226" s="72" t="n">
        <v>10</v>
      </c>
      <c r="M226" s="72" t="n">
        <v>11</v>
      </c>
      <c r="N226" s="72" t="n">
        <v>12</v>
      </c>
      <c r="O226" s="72" t="n">
        <v>13</v>
      </c>
      <c r="P226" s="72" t="n">
        <v>14</v>
      </c>
      <c r="Q226" s="72" t="n">
        <v>15</v>
      </c>
      <c r="R226" s="72" t="n">
        <v>16</v>
      </c>
      <c r="S226" s="72" t="n">
        <v>17</v>
      </c>
      <c r="T226" s="72" t="n">
        <v>18</v>
      </c>
      <c r="U226" s="72" t="n">
        <v>19</v>
      </c>
      <c r="V226" s="72" t="n">
        <v>20</v>
      </c>
      <c r="W226" s="72" t="n">
        <v>21</v>
      </c>
      <c r="X226" s="72" t="n">
        <v>22</v>
      </c>
      <c r="Y226" s="72" t="n">
        <v>23</v>
      </c>
      <c r="Z226" s="72" t="n">
        <v>24</v>
      </c>
      <c r="AA226" s="72" t="n">
        <v>25</v>
      </c>
      <c r="AB226" s="72" t="n">
        <v>26</v>
      </c>
      <c r="AC226" s="72" t="n">
        <v>27</v>
      </c>
      <c r="AD226" s="72" t="n">
        <v>28</v>
      </c>
      <c r="AE226" s="72" t="n">
        <v>29</v>
      </c>
      <c r="AF226" s="72" t="n">
        <v>30</v>
      </c>
      <c r="AG226" s="72" t="n">
        <v>31</v>
      </c>
      <c r="AH226" s="72" t="n">
        <v>32</v>
      </c>
      <c r="AI226" s="72" t="n">
        <v>33</v>
      </c>
      <c r="AJ226" s="72" t="n">
        <v>34</v>
      </c>
      <c r="AK226" s="72" t="n">
        <v>35</v>
      </c>
      <c r="AL226" s="72" t="n">
        <v>36</v>
      </c>
      <c r="AM226" s="72" t="n">
        <v>37</v>
      </c>
      <c r="AN226" s="72" t="n">
        <v>38</v>
      </c>
      <c r="AO226" s="72" t="n">
        <v>39</v>
      </c>
      <c r="AP226" s="72" t="n">
        <v>40</v>
      </c>
      <c r="AQ226" s="72" t="n">
        <v>41</v>
      </c>
      <c r="AR226" s="72" t="n">
        <v>42</v>
      </c>
      <c r="AS226" s="72" t="n">
        <v>43</v>
      </c>
      <c r="AT226" s="72" t="n">
        <v>44</v>
      </c>
      <c r="AU226" s="72" t="n">
        <v>45</v>
      </c>
      <c r="AV226" s="72" t="n">
        <v>46</v>
      </c>
      <c r="AW226" s="72" t="n">
        <v>47</v>
      </c>
      <c r="AX226" s="72" t="n">
        <v>48</v>
      </c>
      <c r="AY226" s="72" t="n">
        <v>49</v>
      </c>
      <c r="AZ226" s="72" t="n">
        <v>50</v>
      </c>
      <c r="BA226" s="72" t="n">
        <v>51</v>
      </c>
      <c r="BB226" s="72" t="n">
        <v>52</v>
      </c>
      <c r="BC226" s="72" t="n">
        <v>53</v>
      </c>
      <c r="BD226" s="72" t="n">
        <v>54</v>
      </c>
      <c r="BE226" s="72" t="n">
        <v>55</v>
      </c>
      <c r="BF226" s="72" t="n">
        <v>56</v>
      </c>
      <c r="BG226" s="72" t="n">
        <v>57</v>
      </c>
      <c r="BH226" s="72" t="n">
        <v>58</v>
      </c>
      <c r="BI226" s="72" t="n">
        <v>59</v>
      </c>
      <c r="BJ226" s="72" t="n">
        <v>60</v>
      </c>
    </row>
    <row r="227" customFormat="false" ht="15" hidden="false" customHeight="false" outlineLevel="0" collapsed="false">
      <c r="A227" s="72" t="s">
        <v>153</v>
      </c>
      <c r="C227" s="72" t="n">
        <f aca="false">ROUNDUP(C226*1/12,0)</f>
        <v>1</v>
      </c>
      <c r="D227" s="72" t="n">
        <f aca="false">ROUNDUP(D226*1/12,0)</f>
        <v>1</v>
      </c>
      <c r="E227" s="72" t="n">
        <f aca="false">ROUNDUP(E226*1/12,0)</f>
        <v>1</v>
      </c>
      <c r="F227" s="72" t="n">
        <f aca="false">ROUNDUP(F226*1/12,0)</f>
        <v>1</v>
      </c>
      <c r="G227" s="72" t="n">
        <f aca="false">ROUNDUP(G226*1/12,0)</f>
        <v>1</v>
      </c>
      <c r="H227" s="72" t="n">
        <f aca="false">ROUNDUP(H226*1/12,0)</f>
        <v>1</v>
      </c>
      <c r="I227" s="72" t="n">
        <f aca="false">ROUNDUP(I226*1/12,0)</f>
        <v>1</v>
      </c>
      <c r="J227" s="72" t="n">
        <f aca="false">ROUNDUP(J226*1/12,0)</f>
        <v>1</v>
      </c>
      <c r="K227" s="72" t="n">
        <f aca="false">ROUNDUP(K226*1/12,0)</f>
        <v>1</v>
      </c>
      <c r="L227" s="72" t="n">
        <f aca="false">ROUNDUP(L226*1/12,0)</f>
        <v>1</v>
      </c>
      <c r="M227" s="72" t="n">
        <f aca="false">ROUNDUP(M226*1/12,0)</f>
        <v>1</v>
      </c>
      <c r="N227" s="72" t="n">
        <f aca="false">ROUNDUP(N226*1/12,0)</f>
        <v>1</v>
      </c>
      <c r="O227" s="72" t="n">
        <f aca="false">ROUNDUP(O226*1/12,0)</f>
        <v>2</v>
      </c>
      <c r="P227" s="72" t="n">
        <f aca="false">ROUNDUP(P226*1/12,0)</f>
        <v>2</v>
      </c>
      <c r="Q227" s="72" t="n">
        <f aca="false">ROUNDUP(Q226*1/12,0)</f>
        <v>2</v>
      </c>
      <c r="R227" s="72" t="n">
        <f aca="false">ROUNDUP(R226*1/12,0)</f>
        <v>2</v>
      </c>
      <c r="S227" s="72" t="n">
        <f aca="false">ROUNDUP(S226*1/12,0)</f>
        <v>2</v>
      </c>
      <c r="T227" s="72" t="n">
        <f aca="false">ROUNDUP(T226*1/12,0)</f>
        <v>2</v>
      </c>
      <c r="U227" s="72" t="n">
        <f aca="false">ROUNDUP(U226*1/12,0)</f>
        <v>2</v>
      </c>
      <c r="V227" s="72" t="n">
        <f aca="false">ROUNDUP(V226*1/12,0)</f>
        <v>2</v>
      </c>
      <c r="W227" s="72" t="n">
        <f aca="false">ROUNDUP(W226*1/12,0)</f>
        <v>2</v>
      </c>
      <c r="X227" s="72" t="n">
        <f aca="false">ROUNDUP(X226*1/12,0)</f>
        <v>2</v>
      </c>
      <c r="Y227" s="72" t="n">
        <f aca="false">ROUNDUP(Y226*1/12,0)</f>
        <v>2</v>
      </c>
      <c r="Z227" s="72" t="n">
        <f aca="false">ROUNDUP(Z226*1/12,0)</f>
        <v>2</v>
      </c>
      <c r="AA227" s="72" t="n">
        <f aca="false">ROUNDUP(AA226*1/12,0)</f>
        <v>3</v>
      </c>
      <c r="AB227" s="72" t="n">
        <f aca="false">ROUNDUP(AB226*1/12,0)</f>
        <v>3</v>
      </c>
      <c r="AC227" s="72" t="n">
        <f aca="false">ROUNDUP(AC226*1/12,0)</f>
        <v>3</v>
      </c>
      <c r="AD227" s="72" t="n">
        <f aca="false">ROUNDUP(AD226*1/12,0)</f>
        <v>3</v>
      </c>
      <c r="AE227" s="72" t="n">
        <f aca="false">ROUNDUP(AE226*1/12,0)</f>
        <v>3</v>
      </c>
      <c r="AF227" s="72" t="n">
        <f aca="false">ROUNDUP(AF226*1/12,0)</f>
        <v>3</v>
      </c>
      <c r="AG227" s="72" t="n">
        <f aca="false">ROUNDUP(AG226*1/12,0)</f>
        <v>3</v>
      </c>
      <c r="AH227" s="72" t="n">
        <f aca="false">ROUNDUP(AH226*1/12,0)</f>
        <v>3</v>
      </c>
      <c r="AI227" s="72" t="n">
        <f aca="false">ROUNDUP(AI226*1/12,0)</f>
        <v>3</v>
      </c>
      <c r="AJ227" s="72" t="n">
        <f aca="false">ROUNDUP(AJ226*1/12,0)</f>
        <v>3</v>
      </c>
      <c r="AK227" s="72" t="n">
        <f aca="false">ROUNDUP(AK226*1/12,0)</f>
        <v>3</v>
      </c>
      <c r="AL227" s="72" t="n">
        <f aca="false">ROUNDUP(AL226*1/12,0)</f>
        <v>3</v>
      </c>
      <c r="AM227" s="72" t="n">
        <f aca="false">ROUNDUP(AM226*1/12,0)</f>
        <v>4</v>
      </c>
      <c r="AN227" s="72" t="n">
        <f aca="false">ROUNDUP(AN226*1/12,0)</f>
        <v>4</v>
      </c>
      <c r="AO227" s="72" t="n">
        <f aca="false">ROUNDUP(AO226*1/12,0)</f>
        <v>4</v>
      </c>
      <c r="AP227" s="72" t="n">
        <f aca="false">ROUNDUP(AP226*1/12,0)</f>
        <v>4</v>
      </c>
      <c r="AQ227" s="72" t="n">
        <f aca="false">ROUNDUP(AQ226*1/12,0)</f>
        <v>4</v>
      </c>
      <c r="AR227" s="72" t="n">
        <f aca="false">ROUNDUP(AR226*1/12,0)</f>
        <v>4</v>
      </c>
      <c r="AS227" s="72" t="n">
        <f aca="false">ROUNDUP(AS226*1/12,0)</f>
        <v>4</v>
      </c>
      <c r="AT227" s="72" t="n">
        <f aca="false">ROUNDUP(AT226*1/12,0)</f>
        <v>4</v>
      </c>
      <c r="AU227" s="72" t="n">
        <f aca="false">ROUNDUP(AU226*1/12,0)</f>
        <v>4</v>
      </c>
      <c r="AV227" s="72" t="n">
        <f aca="false">ROUNDUP(AV226*1/12,0)</f>
        <v>4</v>
      </c>
      <c r="AW227" s="72" t="n">
        <f aca="false">ROUNDUP(AW226*1/12,0)</f>
        <v>4</v>
      </c>
      <c r="AX227" s="72" t="n">
        <f aca="false">ROUNDUP(AX226*1/12,0)</f>
        <v>4</v>
      </c>
      <c r="AY227" s="72" t="n">
        <f aca="false">ROUNDUP(AY226*1/12,0)</f>
        <v>5</v>
      </c>
      <c r="AZ227" s="72" t="n">
        <f aca="false">ROUNDUP(AZ226*1/12,0)</f>
        <v>5</v>
      </c>
      <c r="BA227" s="72" t="n">
        <f aca="false">ROUNDUP(BA226*1/12,0)</f>
        <v>5</v>
      </c>
      <c r="BB227" s="72" t="n">
        <f aca="false">ROUNDUP(BB226*1/12,0)</f>
        <v>5</v>
      </c>
      <c r="BC227" s="72" t="n">
        <f aca="false">ROUNDUP(BC226*1/12,0)</f>
        <v>5</v>
      </c>
      <c r="BD227" s="72" t="n">
        <f aca="false">ROUNDUP(BD226*1/12,0)</f>
        <v>5</v>
      </c>
      <c r="BE227" s="72" t="n">
        <f aca="false">ROUNDUP(BE226*1/12,0)</f>
        <v>5</v>
      </c>
      <c r="BF227" s="72" t="n">
        <f aca="false">ROUNDUP(BF226*1/12,0)</f>
        <v>5</v>
      </c>
      <c r="BG227" s="72" t="n">
        <f aca="false">ROUNDUP(BG226*1/12,0)</f>
        <v>5</v>
      </c>
      <c r="BH227" s="72" t="n">
        <f aca="false">ROUNDUP(BH226*1/12,0)</f>
        <v>5</v>
      </c>
      <c r="BI227" s="72" t="n">
        <f aca="false">ROUNDUP(BI226*1/12,0)</f>
        <v>5</v>
      </c>
      <c r="BJ227" s="72" t="n">
        <f aca="false">ROUNDUP(BJ226*1/12,0)</f>
        <v>5</v>
      </c>
    </row>
    <row r="229" customFormat="false" ht="15.75" hidden="false" customHeight="true" outlineLevel="0" collapsed="false">
      <c r="A229" s="7" t="s">
        <v>254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customFormat="false" ht="15" hidden="false" customHeight="false" outlineLevel="0" collapsed="false">
      <c r="A230" s="6" t="s">
        <v>402</v>
      </c>
      <c r="C230" s="116" t="n">
        <f aca="false">C320+C321</f>
        <v>16</v>
      </c>
      <c r="D230" s="116" t="n">
        <f aca="false">D320+D321</f>
        <v>16</v>
      </c>
      <c r="E230" s="116" t="n">
        <f aca="false">E320+E321</f>
        <v>16</v>
      </c>
      <c r="F230" s="116" t="n">
        <f aca="false">F320+F321</f>
        <v>16</v>
      </c>
      <c r="G230" s="116" t="n">
        <f aca="false">G320+G321</f>
        <v>16</v>
      </c>
      <c r="H230" s="116" t="n">
        <f aca="false">H320+H321</f>
        <v>16</v>
      </c>
      <c r="I230" s="116" t="n">
        <f aca="false">I320+I321</f>
        <v>16</v>
      </c>
      <c r="J230" s="116" t="n">
        <f aca="false">J320+J321</f>
        <v>16</v>
      </c>
      <c r="K230" s="116" t="n">
        <f aca="false">K320+K321</f>
        <v>16</v>
      </c>
      <c r="L230" s="116" t="n">
        <f aca="false">L320+L321</f>
        <v>16</v>
      </c>
      <c r="M230" s="116" t="n">
        <f aca="false">M320+M321</f>
        <v>16</v>
      </c>
      <c r="N230" s="116" t="n">
        <f aca="false">N320+N321</f>
        <v>16</v>
      </c>
      <c r="O230" s="116" t="n">
        <f aca="false">O320+O321</f>
        <v>20.4</v>
      </c>
      <c r="P230" s="116" t="n">
        <f aca="false">P320+P321</f>
        <v>20.4</v>
      </c>
      <c r="Q230" s="116" t="n">
        <f aca="false">Q320+Q321</f>
        <v>20.4</v>
      </c>
      <c r="R230" s="116" t="n">
        <f aca="false">R320+R321</f>
        <v>20.4</v>
      </c>
      <c r="S230" s="116" t="n">
        <f aca="false">S320+S321</f>
        <v>20.4</v>
      </c>
      <c r="T230" s="116" t="n">
        <f aca="false">T320+T321</f>
        <v>20.4</v>
      </c>
      <c r="U230" s="116" t="n">
        <f aca="false">U320+U321</f>
        <v>20.4</v>
      </c>
      <c r="V230" s="116" t="n">
        <f aca="false">V320+V321</f>
        <v>20.4</v>
      </c>
      <c r="W230" s="116" t="n">
        <f aca="false">W320+W321</f>
        <v>20.4</v>
      </c>
      <c r="X230" s="116" t="n">
        <f aca="false">X320+X321</f>
        <v>20.4</v>
      </c>
      <c r="Y230" s="116" t="n">
        <f aca="false">Y320+Y321</f>
        <v>20.4</v>
      </c>
      <c r="Z230" s="116" t="n">
        <f aca="false">Z320+Z321</f>
        <v>20.4</v>
      </c>
      <c r="AA230" s="116" t="n">
        <f aca="false">AA320+AA321</f>
        <v>26.04</v>
      </c>
      <c r="AB230" s="116" t="n">
        <f aca="false">AB320+AB321</f>
        <v>26.04</v>
      </c>
      <c r="AC230" s="116" t="n">
        <f aca="false">AC320+AC321</f>
        <v>26.04</v>
      </c>
      <c r="AD230" s="116" t="n">
        <f aca="false">AD320+AD321</f>
        <v>26.04</v>
      </c>
      <c r="AE230" s="116" t="n">
        <f aca="false">AE320+AE321</f>
        <v>26.04</v>
      </c>
      <c r="AF230" s="116" t="n">
        <f aca="false">AF320+AF321</f>
        <v>26.04</v>
      </c>
      <c r="AG230" s="116" t="n">
        <f aca="false">AG320+AG321</f>
        <v>26.04</v>
      </c>
      <c r="AH230" s="116" t="n">
        <f aca="false">AH320+AH321</f>
        <v>26.04</v>
      </c>
      <c r="AI230" s="116" t="n">
        <f aca="false">AI320+AI321</f>
        <v>26.04</v>
      </c>
      <c r="AJ230" s="116" t="n">
        <f aca="false">AJ320+AJ321</f>
        <v>26.04</v>
      </c>
      <c r="AK230" s="116" t="n">
        <f aca="false">AK320+AK321</f>
        <v>26.04</v>
      </c>
      <c r="AL230" s="116" t="n">
        <f aca="false">AL320+AL321</f>
        <v>26.04</v>
      </c>
      <c r="AM230" s="116" t="n">
        <f aca="false">AM320+AM321</f>
        <v>33.276</v>
      </c>
      <c r="AN230" s="116" t="n">
        <f aca="false">AN320+AN321</f>
        <v>33.276</v>
      </c>
      <c r="AO230" s="116" t="n">
        <f aca="false">AO320+AO321</f>
        <v>33.276</v>
      </c>
      <c r="AP230" s="116" t="n">
        <f aca="false">AP320+AP321</f>
        <v>33.276</v>
      </c>
      <c r="AQ230" s="116" t="n">
        <f aca="false">AQ320+AQ321</f>
        <v>33.276</v>
      </c>
      <c r="AR230" s="116" t="n">
        <f aca="false">AR320+AR321</f>
        <v>33.276</v>
      </c>
      <c r="AS230" s="116" t="n">
        <f aca="false">AS320+AS321</f>
        <v>33.276</v>
      </c>
      <c r="AT230" s="116" t="n">
        <f aca="false">AT320+AT321</f>
        <v>33.276</v>
      </c>
      <c r="AU230" s="116" t="n">
        <f aca="false">AU320+AU321</f>
        <v>33.276</v>
      </c>
      <c r="AV230" s="116" t="n">
        <f aca="false">AV320+AV321</f>
        <v>33.276</v>
      </c>
      <c r="AW230" s="116" t="n">
        <f aca="false">AW320+AW321</f>
        <v>33.276</v>
      </c>
      <c r="AX230" s="116" t="n">
        <f aca="false">AX320+AX321</f>
        <v>33.276</v>
      </c>
      <c r="AY230" s="116" t="n">
        <f aca="false">AY320+AY321</f>
        <v>42.5676</v>
      </c>
      <c r="AZ230" s="116" t="n">
        <f aca="false">AZ320+AZ321</f>
        <v>42.5676</v>
      </c>
      <c r="BA230" s="116" t="n">
        <f aca="false">BA320+BA321</f>
        <v>42.5676</v>
      </c>
      <c r="BB230" s="116" t="n">
        <f aca="false">BB320+BB321</f>
        <v>42.5676</v>
      </c>
      <c r="BC230" s="116" t="n">
        <f aca="false">BC320+BC321</f>
        <v>42.5676</v>
      </c>
      <c r="BD230" s="116" t="n">
        <f aca="false">BD320+BD321</f>
        <v>42.5676</v>
      </c>
      <c r="BE230" s="116" t="n">
        <f aca="false">BE320+BE321</f>
        <v>42.5676</v>
      </c>
      <c r="BF230" s="116" t="n">
        <f aca="false">BF320+BF321</f>
        <v>42.5676</v>
      </c>
      <c r="BG230" s="116" t="n">
        <f aca="false">BG320+BG321</f>
        <v>42.5676</v>
      </c>
      <c r="BH230" s="116" t="n">
        <f aca="false">BH320+BH321</f>
        <v>42.5676</v>
      </c>
      <c r="BI230" s="116" t="n">
        <f aca="false">BI320+BI321</f>
        <v>42.5676</v>
      </c>
      <c r="BJ230" s="116" t="n">
        <f aca="false">BJ320+BJ321</f>
        <v>42.5676</v>
      </c>
    </row>
    <row r="231" customFormat="false" ht="15" hidden="false" customHeight="false" outlineLevel="0" collapsed="false">
      <c r="A231" s="6" t="s">
        <v>235</v>
      </c>
      <c r="C231" s="117" t="n">
        <f aca="false">C230*Inputs!$D$7/12*1</f>
        <v>2400</v>
      </c>
      <c r="D231" s="117" t="n">
        <f aca="false">D230*Inputs!$D$7/12*1</f>
        <v>2400</v>
      </c>
      <c r="E231" s="117" t="n">
        <f aca="false">E230*Inputs!$D$7/12*1</f>
        <v>2400</v>
      </c>
      <c r="F231" s="117" t="n">
        <f aca="false">F230*Inputs!$D$7/12*1</f>
        <v>2400</v>
      </c>
      <c r="G231" s="117" t="n">
        <f aca="false">G230*Inputs!$D$7/12*1</f>
        <v>2400</v>
      </c>
      <c r="H231" s="117" t="n">
        <f aca="false">H230*Inputs!$D$7/12*1</f>
        <v>2400</v>
      </c>
      <c r="I231" s="117" t="n">
        <f aca="false">I230*Inputs!$D$7/12*1</f>
        <v>2400</v>
      </c>
      <c r="J231" s="117" t="n">
        <f aca="false">J230*Inputs!$D$7/12*1</f>
        <v>2400</v>
      </c>
      <c r="K231" s="117" t="n">
        <f aca="false">K230*Inputs!$D$7/12*1</f>
        <v>2400</v>
      </c>
      <c r="L231" s="117" t="n">
        <f aca="false">L230*Inputs!$D$7/12*1</f>
        <v>2400</v>
      </c>
      <c r="M231" s="117" t="n">
        <f aca="false">M230*Inputs!$D$7/12*1</f>
        <v>2400</v>
      </c>
      <c r="N231" s="117" t="n">
        <f aca="false">N230*Inputs!$D$7/12*1</f>
        <v>2400</v>
      </c>
      <c r="O231" s="117" t="n">
        <f aca="false">O230*Inputs!$D$7/12*1</f>
        <v>3060</v>
      </c>
      <c r="P231" s="117" t="n">
        <f aca="false">P230*Inputs!$D$7/12*1</f>
        <v>3060</v>
      </c>
      <c r="Q231" s="117" t="n">
        <f aca="false">Q230*Inputs!$D$7/12*1</f>
        <v>3060</v>
      </c>
      <c r="R231" s="117" t="n">
        <f aca="false">R230*Inputs!$D$7/12*1</f>
        <v>3060</v>
      </c>
      <c r="S231" s="117" t="n">
        <f aca="false">S230*Inputs!$D$7/12*1</f>
        <v>3060</v>
      </c>
      <c r="T231" s="117" t="n">
        <f aca="false">T230*Inputs!$D$7/12*1</f>
        <v>3060</v>
      </c>
      <c r="U231" s="117" t="n">
        <f aca="false">U230*Inputs!$D$7/12*1</f>
        <v>3060</v>
      </c>
      <c r="V231" s="117" t="n">
        <f aca="false">V230*Inputs!$D$7/12*1</f>
        <v>3060</v>
      </c>
      <c r="W231" s="117" t="n">
        <f aca="false">W230*Inputs!$D$7/12*1</f>
        <v>3060</v>
      </c>
      <c r="X231" s="117" t="n">
        <f aca="false">X230*Inputs!$D$7/12*1</f>
        <v>3060</v>
      </c>
      <c r="Y231" s="117" t="n">
        <f aca="false">Y230*Inputs!$D$7/12*1</f>
        <v>3060</v>
      </c>
      <c r="Z231" s="117" t="n">
        <f aca="false">Z230*Inputs!$D$7/12*1</f>
        <v>3060</v>
      </c>
      <c r="AA231" s="117" t="n">
        <f aca="false">AA230*Inputs!$D$7/12*1</f>
        <v>3906</v>
      </c>
      <c r="AB231" s="117" t="n">
        <f aca="false">AB230*Inputs!$D$7/12*1</f>
        <v>3906</v>
      </c>
      <c r="AC231" s="117" t="n">
        <f aca="false">AC230*Inputs!$D$7/12*1</f>
        <v>3906</v>
      </c>
      <c r="AD231" s="117" t="n">
        <f aca="false">AD230*Inputs!$D$7/12*1</f>
        <v>3906</v>
      </c>
      <c r="AE231" s="117" t="n">
        <f aca="false">AE230*Inputs!$D$7/12*1</f>
        <v>3906</v>
      </c>
      <c r="AF231" s="117" t="n">
        <f aca="false">AF230*Inputs!$D$7/12*1</f>
        <v>3906</v>
      </c>
      <c r="AG231" s="117" t="n">
        <f aca="false">AG230*Inputs!$D$7/12*1</f>
        <v>3906</v>
      </c>
      <c r="AH231" s="117" t="n">
        <f aca="false">AH230*Inputs!$D$7/12*1</f>
        <v>3906</v>
      </c>
      <c r="AI231" s="117" t="n">
        <f aca="false">AI230*Inputs!$D$7/12*1</f>
        <v>3906</v>
      </c>
      <c r="AJ231" s="117" t="n">
        <f aca="false">AJ230*Inputs!$D$7/12*1</f>
        <v>3906</v>
      </c>
      <c r="AK231" s="117" t="n">
        <f aca="false">AK230*Inputs!$D$7/12*1</f>
        <v>3906</v>
      </c>
      <c r="AL231" s="117" t="n">
        <f aca="false">AL230*Inputs!$D$7/12*1</f>
        <v>3906</v>
      </c>
      <c r="AM231" s="117" t="n">
        <f aca="false">AM230*Inputs!$D$7/12*1</f>
        <v>4991.4</v>
      </c>
      <c r="AN231" s="117" t="n">
        <f aca="false">AN230*Inputs!$D$7/12*1</f>
        <v>4991.4</v>
      </c>
      <c r="AO231" s="117" t="n">
        <f aca="false">AO230*Inputs!$D$7/12*1</f>
        <v>4991.4</v>
      </c>
      <c r="AP231" s="117" t="n">
        <f aca="false">AP230*Inputs!$D$7/12*1</f>
        <v>4991.4</v>
      </c>
      <c r="AQ231" s="117" t="n">
        <f aca="false">AQ230*Inputs!$D$7/12*1</f>
        <v>4991.4</v>
      </c>
      <c r="AR231" s="117" t="n">
        <f aca="false">AR230*Inputs!$D$7/12*1</f>
        <v>4991.4</v>
      </c>
      <c r="AS231" s="117" t="n">
        <f aca="false">AS230*Inputs!$D$7/12*1</f>
        <v>4991.4</v>
      </c>
      <c r="AT231" s="117" t="n">
        <f aca="false">AT230*Inputs!$D$7/12*1</f>
        <v>4991.4</v>
      </c>
      <c r="AU231" s="117" t="n">
        <f aca="false">AU230*Inputs!$D$7/12*1</f>
        <v>4991.4</v>
      </c>
      <c r="AV231" s="117" t="n">
        <f aca="false">AV230*Inputs!$D$7/12*1</f>
        <v>4991.4</v>
      </c>
      <c r="AW231" s="117" t="n">
        <f aca="false">AW230*Inputs!$D$7/12*1</f>
        <v>4991.4</v>
      </c>
      <c r="AX231" s="117" t="n">
        <f aca="false">AX230*Inputs!$D$7/12*1</f>
        <v>4991.4</v>
      </c>
      <c r="AY231" s="117" t="n">
        <f aca="false">AY230*Inputs!$D$7/12*1</f>
        <v>6385.14</v>
      </c>
      <c r="AZ231" s="117" t="n">
        <f aca="false">AZ230*Inputs!$D$7/12*1</f>
        <v>6385.14</v>
      </c>
      <c r="BA231" s="117" t="n">
        <f aca="false">BA230*Inputs!$D$7/12*1</f>
        <v>6385.14</v>
      </c>
      <c r="BB231" s="117" t="n">
        <f aca="false">BB230*Inputs!$D$7/12*1</f>
        <v>6385.14</v>
      </c>
      <c r="BC231" s="117" t="n">
        <f aca="false">BC230*Inputs!$D$7/12*1</f>
        <v>6385.14</v>
      </c>
      <c r="BD231" s="117" t="n">
        <f aca="false">BD230*Inputs!$D$7/12*1</f>
        <v>6385.14</v>
      </c>
      <c r="BE231" s="117" t="n">
        <f aca="false">BE230*Inputs!$D$7/12*1</f>
        <v>6385.14</v>
      </c>
      <c r="BF231" s="117" t="n">
        <f aca="false">BF230*Inputs!$D$7/12*1</f>
        <v>6385.14</v>
      </c>
      <c r="BG231" s="117" t="n">
        <f aca="false">BG230*Inputs!$D$7/12*1</f>
        <v>6385.14</v>
      </c>
      <c r="BH231" s="117" t="n">
        <f aca="false">BH230*Inputs!$D$7/12*1</f>
        <v>6385.14</v>
      </c>
      <c r="BI231" s="117" t="n">
        <f aca="false">BI230*Inputs!$D$7/12*1</f>
        <v>6385.14</v>
      </c>
      <c r="BJ231" s="117" t="n">
        <f aca="false">BJ230*Inputs!$D$7/12*1</f>
        <v>6385.14</v>
      </c>
    </row>
    <row r="232" customFormat="false" ht="15" hidden="false" customHeight="false" outlineLevel="0" collapsed="false">
      <c r="A232" s="6" t="s">
        <v>403</v>
      </c>
      <c r="C232" s="117" t="n">
        <f aca="false">C320*Inputs!$D$7/12*1*Inputs!$D$8</f>
        <v>360</v>
      </c>
      <c r="D232" s="117" t="n">
        <f aca="false">D320*Inputs!$D$7/12*1*Inputs!$D$8</f>
        <v>360</v>
      </c>
      <c r="E232" s="117" t="n">
        <f aca="false">E320*Inputs!$D$7/12*1*Inputs!$D$8</f>
        <v>360</v>
      </c>
      <c r="F232" s="117" t="n">
        <f aca="false">F320*Inputs!$D$7/12*1*Inputs!$D$8</f>
        <v>360</v>
      </c>
      <c r="G232" s="117" t="n">
        <f aca="false">G320*Inputs!$D$7/12*1*Inputs!$D$8</f>
        <v>360</v>
      </c>
      <c r="H232" s="117" t="n">
        <f aca="false">H320*Inputs!$D$7/12*1*Inputs!$D$8</f>
        <v>360</v>
      </c>
      <c r="I232" s="117" t="n">
        <f aca="false">I320*Inputs!$D$7/12*1*Inputs!$D$8</f>
        <v>360</v>
      </c>
      <c r="J232" s="117" t="n">
        <f aca="false">J320*Inputs!$D$7/12*1*Inputs!$D$8</f>
        <v>360</v>
      </c>
      <c r="K232" s="117" t="n">
        <f aca="false">K320*Inputs!$D$7/12*1*Inputs!$D$8</f>
        <v>360</v>
      </c>
      <c r="L232" s="117" t="n">
        <f aca="false">L320*Inputs!$D$7/12*1*Inputs!$D$8</f>
        <v>360</v>
      </c>
      <c r="M232" s="117" t="n">
        <f aca="false">M320*Inputs!$D$7/12*1*Inputs!$D$8</f>
        <v>360</v>
      </c>
      <c r="N232" s="117" t="n">
        <f aca="false">N320*Inputs!$D$7/12*1*Inputs!$D$8</f>
        <v>360</v>
      </c>
      <c r="O232" s="117" t="n">
        <f aca="false">O320*Inputs!$D$7/12*1*Inputs!$D$8</f>
        <v>432</v>
      </c>
      <c r="P232" s="117" t="n">
        <f aca="false">P320*Inputs!$D$7/12*1*Inputs!$D$8</f>
        <v>432</v>
      </c>
      <c r="Q232" s="117" t="n">
        <f aca="false">Q320*Inputs!$D$7/12*1*Inputs!$D$8</f>
        <v>432</v>
      </c>
      <c r="R232" s="117" t="n">
        <f aca="false">R320*Inputs!$D$7/12*1*Inputs!$D$8</f>
        <v>432</v>
      </c>
      <c r="S232" s="117" t="n">
        <f aca="false">S320*Inputs!$D$7/12*1*Inputs!$D$8</f>
        <v>432</v>
      </c>
      <c r="T232" s="117" t="n">
        <f aca="false">T320*Inputs!$D$7/12*1*Inputs!$D$8</f>
        <v>432</v>
      </c>
      <c r="U232" s="117" t="n">
        <f aca="false">U320*Inputs!$D$7/12*1*Inputs!$D$8</f>
        <v>432</v>
      </c>
      <c r="V232" s="117" t="n">
        <f aca="false">V320*Inputs!$D$7/12*1*Inputs!$D$8</f>
        <v>432</v>
      </c>
      <c r="W232" s="117" t="n">
        <f aca="false">W320*Inputs!$D$7/12*1*Inputs!$D$8</f>
        <v>432</v>
      </c>
      <c r="X232" s="117" t="n">
        <f aca="false">X320*Inputs!$D$7/12*1*Inputs!$D$8</f>
        <v>432</v>
      </c>
      <c r="Y232" s="117" t="n">
        <f aca="false">Y320*Inputs!$D$7/12*1*Inputs!$D$8</f>
        <v>432</v>
      </c>
      <c r="Z232" s="117" t="n">
        <f aca="false">Z320*Inputs!$D$7/12*1*Inputs!$D$8</f>
        <v>432</v>
      </c>
      <c r="AA232" s="117" t="n">
        <f aca="false">AA320*Inputs!$D$7/12*1*Inputs!$D$8</f>
        <v>518.4</v>
      </c>
      <c r="AB232" s="117" t="n">
        <f aca="false">AB320*Inputs!$D$7/12*1*Inputs!$D$8</f>
        <v>518.4</v>
      </c>
      <c r="AC232" s="117" t="n">
        <f aca="false">AC320*Inputs!$D$7/12*1*Inputs!$D$8</f>
        <v>518.4</v>
      </c>
      <c r="AD232" s="117" t="n">
        <f aca="false">AD320*Inputs!$D$7/12*1*Inputs!$D$8</f>
        <v>518.4</v>
      </c>
      <c r="AE232" s="117" t="n">
        <f aca="false">AE320*Inputs!$D$7/12*1*Inputs!$D$8</f>
        <v>518.4</v>
      </c>
      <c r="AF232" s="117" t="n">
        <f aca="false">AF320*Inputs!$D$7/12*1*Inputs!$D$8</f>
        <v>518.4</v>
      </c>
      <c r="AG232" s="117" t="n">
        <f aca="false">AG320*Inputs!$D$7/12*1*Inputs!$D$8</f>
        <v>518.4</v>
      </c>
      <c r="AH232" s="117" t="n">
        <f aca="false">AH320*Inputs!$D$7/12*1*Inputs!$D$8</f>
        <v>518.4</v>
      </c>
      <c r="AI232" s="117" t="n">
        <f aca="false">AI320*Inputs!$D$7/12*1*Inputs!$D$8</f>
        <v>518.4</v>
      </c>
      <c r="AJ232" s="117" t="n">
        <f aca="false">AJ320*Inputs!$D$7/12*1*Inputs!$D$8</f>
        <v>518.4</v>
      </c>
      <c r="AK232" s="117" t="n">
        <f aca="false">AK320*Inputs!$D$7/12*1*Inputs!$D$8</f>
        <v>518.4</v>
      </c>
      <c r="AL232" s="117" t="n">
        <f aca="false">AL320*Inputs!$D$7/12*1*Inputs!$D$8</f>
        <v>518.4</v>
      </c>
      <c r="AM232" s="117" t="n">
        <f aca="false">AM320*Inputs!$D$7/12*1*Inputs!$D$8</f>
        <v>622.08</v>
      </c>
      <c r="AN232" s="117" t="n">
        <f aca="false">AN320*Inputs!$D$7/12*1*Inputs!$D$8</f>
        <v>622.08</v>
      </c>
      <c r="AO232" s="117" t="n">
        <f aca="false">AO320*Inputs!$D$7/12*1*Inputs!$D$8</f>
        <v>622.08</v>
      </c>
      <c r="AP232" s="117" t="n">
        <f aca="false">AP320*Inputs!$D$7/12*1*Inputs!$D$8</f>
        <v>622.08</v>
      </c>
      <c r="AQ232" s="117" t="n">
        <f aca="false">AQ320*Inputs!$D$7/12*1*Inputs!$D$8</f>
        <v>622.08</v>
      </c>
      <c r="AR232" s="117" t="n">
        <f aca="false">AR320*Inputs!$D$7/12*1*Inputs!$D$8</f>
        <v>622.08</v>
      </c>
      <c r="AS232" s="117" t="n">
        <f aca="false">AS320*Inputs!$D$7/12*1*Inputs!$D$8</f>
        <v>622.08</v>
      </c>
      <c r="AT232" s="117" t="n">
        <f aca="false">AT320*Inputs!$D$7/12*1*Inputs!$D$8</f>
        <v>622.08</v>
      </c>
      <c r="AU232" s="117" t="n">
        <f aca="false">AU320*Inputs!$D$7/12*1*Inputs!$D$8</f>
        <v>622.08</v>
      </c>
      <c r="AV232" s="117" t="n">
        <f aca="false">AV320*Inputs!$D$7/12*1*Inputs!$D$8</f>
        <v>622.08</v>
      </c>
      <c r="AW232" s="117" t="n">
        <f aca="false">AW320*Inputs!$D$7/12*1*Inputs!$D$8</f>
        <v>622.08</v>
      </c>
      <c r="AX232" s="117" t="n">
        <f aca="false">AX320*Inputs!$D$7/12*1*Inputs!$D$8</f>
        <v>622.08</v>
      </c>
      <c r="AY232" s="117" t="n">
        <f aca="false">AY320*Inputs!$D$7/12*1*Inputs!$D$8</f>
        <v>746.496</v>
      </c>
      <c r="AZ232" s="117" t="n">
        <f aca="false">AZ320*Inputs!$D$7/12*1*Inputs!$D$8</f>
        <v>746.496</v>
      </c>
      <c r="BA232" s="117" t="n">
        <f aca="false">BA320*Inputs!$D$7/12*1*Inputs!$D$8</f>
        <v>746.496</v>
      </c>
      <c r="BB232" s="117" t="n">
        <f aca="false">BB320*Inputs!$D$7/12*1*Inputs!$D$8</f>
        <v>746.496</v>
      </c>
      <c r="BC232" s="117" t="n">
        <f aca="false">BC320*Inputs!$D$7/12*1*Inputs!$D$8</f>
        <v>746.496</v>
      </c>
      <c r="BD232" s="117" t="n">
        <f aca="false">BD320*Inputs!$D$7/12*1*Inputs!$D$8</f>
        <v>746.496</v>
      </c>
      <c r="BE232" s="117" t="n">
        <f aca="false">BE320*Inputs!$D$7/12*1*Inputs!$D$8</f>
        <v>746.496</v>
      </c>
      <c r="BF232" s="117" t="n">
        <f aca="false">BF320*Inputs!$D$7/12*1*Inputs!$D$8</f>
        <v>746.496</v>
      </c>
      <c r="BG232" s="117" t="n">
        <f aca="false">BG320*Inputs!$D$7/12*1*Inputs!$D$8</f>
        <v>746.496</v>
      </c>
      <c r="BH232" s="117" t="n">
        <f aca="false">BH320*Inputs!$D$7/12*1*Inputs!$D$8</f>
        <v>746.496</v>
      </c>
      <c r="BI232" s="117" t="n">
        <f aca="false">BI320*Inputs!$D$7/12*1*Inputs!$D$8</f>
        <v>746.496</v>
      </c>
      <c r="BJ232" s="117" t="n">
        <f aca="false">BJ320*Inputs!$D$7/12*1*Inputs!$D$8</f>
        <v>746.496</v>
      </c>
    </row>
    <row r="233" customFormat="false" ht="15" hidden="false" customHeight="false" outlineLevel="0" collapsed="false">
      <c r="A233" s="6" t="s">
        <v>404</v>
      </c>
      <c r="C233" s="117" t="n">
        <f aca="false">C321*Inputs!$D$7/12*1*Inputs!$D$9</f>
        <v>1440</v>
      </c>
      <c r="D233" s="117" t="n">
        <f aca="false">D321*Inputs!$D$7/12*1*Inputs!$D$9</f>
        <v>1440</v>
      </c>
      <c r="E233" s="117" t="n">
        <f aca="false">E321*Inputs!$D$7/12*1*Inputs!$D$9</f>
        <v>1440</v>
      </c>
      <c r="F233" s="117" t="n">
        <f aca="false">F321*Inputs!$D$7/12*1*Inputs!$D$9</f>
        <v>1440</v>
      </c>
      <c r="G233" s="117" t="n">
        <f aca="false">G321*Inputs!$D$7/12*1*Inputs!$D$9</f>
        <v>1440</v>
      </c>
      <c r="H233" s="117" t="n">
        <f aca="false">H321*Inputs!$D$7/12*1*Inputs!$D$9</f>
        <v>1440</v>
      </c>
      <c r="I233" s="117" t="n">
        <f aca="false">I321*Inputs!$D$7/12*1*Inputs!$D$9</f>
        <v>1440</v>
      </c>
      <c r="J233" s="117" t="n">
        <f aca="false">J321*Inputs!$D$7/12*1*Inputs!$D$9</f>
        <v>1440</v>
      </c>
      <c r="K233" s="117" t="n">
        <f aca="false">K321*Inputs!$D$7/12*1*Inputs!$D$9</f>
        <v>1440</v>
      </c>
      <c r="L233" s="117" t="n">
        <f aca="false">L321*Inputs!$D$7/12*1*Inputs!$D$9</f>
        <v>1440</v>
      </c>
      <c r="M233" s="117" t="n">
        <f aca="false">M321*Inputs!$D$7/12*1*Inputs!$D$9</f>
        <v>1440</v>
      </c>
      <c r="N233" s="117" t="n">
        <f aca="false">N321*Inputs!$D$7/12*1*Inputs!$D$9</f>
        <v>1440</v>
      </c>
      <c r="O233" s="117" t="n">
        <f aca="false">O321*Inputs!$D$7/12*1*Inputs!$D$9</f>
        <v>1872</v>
      </c>
      <c r="P233" s="117" t="n">
        <f aca="false">P321*Inputs!$D$7/12*1*Inputs!$D$9</f>
        <v>1872</v>
      </c>
      <c r="Q233" s="117" t="n">
        <f aca="false">Q321*Inputs!$D$7/12*1*Inputs!$D$9</f>
        <v>1872</v>
      </c>
      <c r="R233" s="117" t="n">
        <f aca="false">R321*Inputs!$D$7/12*1*Inputs!$D$9</f>
        <v>1872</v>
      </c>
      <c r="S233" s="117" t="n">
        <f aca="false">S321*Inputs!$D$7/12*1*Inputs!$D$9</f>
        <v>1872</v>
      </c>
      <c r="T233" s="117" t="n">
        <f aca="false">T321*Inputs!$D$7/12*1*Inputs!$D$9</f>
        <v>1872</v>
      </c>
      <c r="U233" s="117" t="n">
        <f aca="false">U321*Inputs!$D$7/12*1*Inputs!$D$9</f>
        <v>1872</v>
      </c>
      <c r="V233" s="117" t="n">
        <f aca="false">V321*Inputs!$D$7/12*1*Inputs!$D$9</f>
        <v>1872</v>
      </c>
      <c r="W233" s="117" t="n">
        <f aca="false">W321*Inputs!$D$7/12*1*Inputs!$D$9</f>
        <v>1872</v>
      </c>
      <c r="X233" s="117" t="n">
        <f aca="false">X321*Inputs!$D$7/12*1*Inputs!$D$9</f>
        <v>1872</v>
      </c>
      <c r="Y233" s="117" t="n">
        <f aca="false">Y321*Inputs!$D$7/12*1*Inputs!$D$9</f>
        <v>1872</v>
      </c>
      <c r="Z233" s="117" t="n">
        <f aca="false">Z321*Inputs!$D$7/12*1*Inputs!$D$9</f>
        <v>1872</v>
      </c>
      <c r="AA233" s="117" t="n">
        <f aca="false">AA321*Inputs!$D$7/12*1*Inputs!$D$9</f>
        <v>2433.6</v>
      </c>
      <c r="AB233" s="117" t="n">
        <f aca="false">AB321*Inputs!$D$7/12*1*Inputs!$D$9</f>
        <v>2433.6</v>
      </c>
      <c r="AC233" s="117" t="n">
        <f aca="false">AC321*Inputs!$D$7/12*1*Inputs!$D$9</f>
        <v>2433.6</v>
      </c>
      <c r="AD233" s="117" t="n">
        <f aca="false">AD321*Inputs!$D$7/12*1*Inputs!$D$9</f>
        <v>2433.6</v>
      </c>
      <c r="AE233" s="117" t="n">
        <f aca="false">AE321*Inputs!$D$7/12*1*Inputs!$D$9</f>
        <v>2433.6</v>
      </c>
      <c r="AF233" s="117" t="n">
        <f aca="false">AF321*Inputs!$D$7/12*1*Inputs!$D$9</f>
        <v>2433.6</v>
      </c>
      <c r="AG233" s="117" t="n">
        <f aca="false">AG321*Inputs!$D$7/12*1*Inputs!$D$9</f>
        <v>2433.6</v>
      </c>
      <c r="AH233" s="117" t="n">
        <f aca="false">AH321*Inputs!$D$7/12*1*Inputs!$D$9</f>
        <v>2433.6</v>
      </c>
      <c r="AI233" s="117" t="n">
        <f aca="false">AI321*Inputs!$D$7/12*1*Inputs!$D$9</f>
        <v>2433.6</v>
      </c>
      <c r="AJ233" s="117" t="n">
        <f aca="false">AJ321*Inputs!$D$7/12*1*Inputs!$D$9</f>
        <v>2433.6</v>
      </c>
      <c r="AK233" s="117" t="n">
        <f aca="false">AK321*Inputs!$D$7/12*1*Inputs!$D$9</f>
        <v>2433.6</v>
      </c>
      <c r="AL233" s="117" t="n">
        <f aca="false">AL321*Inputs!$D$7/12*1*Inputs!$D$9</f>
        <v>2433.6</v>
      </c>
      <c r="AM233" s="117" t="n">
        <f aca="false">AM321*Inputs!$D$7/12*1*Inputs!$D$9</f>
        <v>3163.68</v>
      </c>
      <c r="AN233" s="117" t="n">
        <f aca="false">AN321*Inputs!$D$7/12*1*Inputs!$D$9</f>
        <v>3163.68</v>
      </c>
      <c r="AO233" s="117" t="n">
        <f aca="false">AO321*Inputs!$D$7/12*1*Inputs!$D$9</f>
        <v>3163.68</v>
      </c>
      <c r="AP233" s="117" t="n">
        <f aca="false">AP321*Inputs!$D$7/12*1*Inputs!$D$9</f>
        <v>3163.68</v>
      </c>
      <c r="AQ233" s="117" t="n">
        <f aca="false">AQ321*Inputs!$D$7/12*1*Inputs!$D$9</f>
        <v>3163.68</v>
      </c>
      <c r="AR233" s="117" t="n">
        <f aca="false">AR321*Inputs!$D$7/12*1*Inputs!$D$9</f>
        <v>3163.68</v>
      </c>
      <c r="AS233" s="117" t="n">
        <f aca="false">AS321*Inputs!$D$7/12*1*Inputs!$D$9</f>
        <v>3163.68</v>
      </c>
      <c r="AT233" s="117" t="n">
        <f aca="false">AT321*Inputs!$D$7/12*1*Inputs!$D$9</f>
        <v>3163.68</v>
      </c>
      <c r="AU233" s="117" t="n">
        <f aca="false">AU321*Inputs!$D$7/12*1*Inputs!$D$9</f>
        <v>3163.68</v>
      </c>
      <c r="AV233" s="117" t="n">
        <f aca="false">AV321*Inputs!$D$7/12*1*Inputs!$D$9</f>
        <v>3163.68</v>
      </c>
      <c r="AW233" s="117" t="n">
        <f aca="false">AW321*Inputs!$D$7/12*1*Inputs!$D$9</f>
        <v>3163.68</v>
      </c>
      <c r="AX233" s="117" t="n">
        <f aca="false">AX321*Inputs!$D$7/12*1*Inputs!$D$9</f>
        <v>3163.68</v>
      </c>
      <c r="AY233" s="117" t="n">
        <f aca="false">AY321*Inputs!$D$7/12*1*Inputs!$D$9</f>
        <v>4112.784</v>
      </c>
      <c r="AZ233" s="117" t="n">
        <f aca="false">AZ321*Inputs!$D$7/12*1*Inputs!$D$9</f>
        <v>4112.784</v>
      </c>
      <c r="BA233" s="117" t="n">
        <f aca="false">BA321*Inputs!$D$7/12*1*Inputs!$D$9</f>
        <v>4112.784</v>
      </c>
      <c r="BB233" s="117" t="n">
        <f aca="false">BB321*Inputs!$D$7/12*1*Inputs!$D$9</f>
        <v>4112.784</v>
      </c>
      <c r="BC233" s="117" t="n">
        <f aca="false">BC321*Inputs!$D$7/12*1*Inputs!$D$9</f>
        <v>4112.784</v>
      </c>
      <c r="BD233" s="117" t="n">
        <f aca="false">BD321*Inputs!$D$7/12*1*Inputs!$D$9</f>
        <v>4112.784</v>
      </c>
      <c r="BE233" s="117" t="n">
        <f aca="false">BE321*Inputs!$D$7/12*1*Inputs!$D$9</f>
        <v>4112.784</v>
      </c>
      <c r="BF233" s="117" t="n">
        <f aca="false">BF321*Inputs!$D$7/12*1*Inputs!$D$9</f>
        <v>4112.784</v>
      </c>
      <c r="BG233" s="117" t="n">
        <f aca="false">BG321*Inputs!$D$7/12*1*Inputs!$D$9</f>
        <v>4112.784</v>
      </c>
      <c r="BH233" s="117" t="n">
        <f aca="false">BH321*Inputs!$D$7/12*1*Inputs!$D$9</f>
        <v>4112.784</v>
      </c>
      <c r="BI233" s="117" t="n">
        <f aca="false">BI321*Inputs!$D$7/12*1*Inputs!$D$9</f>
        <v>4112.784</v>
      </c>
      <c r="BJ233" s="117" t="n">
        <f aca="false">BJ321*Inputs!$D$7/12*1*Inputs!$D$9</f>
        <v>4112.784</v>
      </c>
    </row>
    <row r="234" customFormat="false" ht="15" hidden="false" customHeight="false" outlineLevel="0" collapsed="false">
      <c r="A234" s="6" t="s">
        <v>234</v>
      </c>
      <c r="C234" s="117" t="n">
        <f aca="false">Inputs!$D$10*(1+Inputs!$D$11)^(C$227-1)*1</f>
        <v>500</v>
      </c>
      <c r="D234" s="117" t="n">
        <f aca="false">Inputs!$D$10*(1+Inputs!$D$11)^(D$227-1)*1</f>
        <v>500</v>
      </c>
      <c r="E234" s="117" t="n">
        <f aca="false">Inputs!$D$10*(1+Inputs!$D$11)^(E$227-1)*1</f>
        <v>500</v>
      </c>
      <c r="F234" s="117" t="n">
        <f aca="false">Inputs!$D$10*(1+Inputs!$D$11)^(F$227-1)*1</f>
        <v>500</v>
      </c>
      <c r="G234" s="117" t="n">
        <f aca="false">Inputs!$D$10*(1+Inputs!$D$11)^(G$227-1)*1</f>
        <v>500</v>
      </c>
      <c r="H234" s="117" t="n">
        <f aca="false">Inputs!$D$10*(1+Inputs!$D$11)^(H$227-1)*1</f>
        <v>500</v>
      </c>
      <c r="I234" s="117" t="n">
        <f aca="false">Inputs!$D$10*(1+Inputs!$D$11)^(I$227-1)*1</f>
        <v>500</v>
      </c>
      <c r="J234" s="117" t="n">
        <f aca="false">Inputs!$D$10*(1+Inputs!$D$11)^(J$227-1)*1</f>
        <v>500</v>
      </c>
      <c r="K234" s="117" t="n">
        <f aca="false">Inputs!$D$10*(1+Inputs!$D$11)^(K$227-1)*1</f>
        <v>500</v>
      </c>
      <c r="L234" s="117" t="n">
        <f aca="false">Inputs!$D$10*(1+Inputs!$D$11)^(L$227-1)*1</f>
        <v>500</v>
      </c>
      <c r="M234" s="117" t="n">
        <f aca="false">Inputs!$D$10*(1+Inputs!$D$11)^(M$227-1)*1</f>
        <v>500</v>
      </c>
      <c r="N234" s="117" t="n">
        <f aca="false">Inputs!$D$10*(1+Inputs!$D$11)^(N$227-1)*1</f>
        <v>500</v>
      </c>
      <c r="O234" s="117" t="n">
        <f aca="false">Inputs!$D$10*(1+Inputs!$D$11)^(O$227-1)*1</f>
        <v>650</v>
      </c>
      <c r="P234" s="117" t="n">
        <f aca="false">Inputs!$D$10*(1+Inputs!$D$11)^(P$227-1)*1</f>
        <v>650</v>
      </c>
      <c r="Q234" s="117" t="n">
        <f aca="false">Inputs!$D$10*(1+Inputs!$D$11)^(Q$227-1)*1</f>
        <v>650</v>
      </c>
      <c r="R234" s="117" t="n">
        <f aca="false">Inputs!$D$10*(1+Inputs!$D$11)^(R$227-1)*1</f>
        <v>650</v>
      </c>
      <c r="S234" s="117" t="n">
        <f aca="false">Inputs!$D$10*(1+Inputs!$D$11)^(S$227-1)*1</f>
        <v>650</v>
      </c>
      <c r="T234" s="117" t="n">
        <f aca="false">Inputs!$D$10*(1+Inputs!$D$11)^(T$227-1)*1</f>
        <v>650</v>
      </c>
      <c r="U234" s="117" t="n">
        <f aca="false">Inputs!$D$10*(1+Inputs!$D$11)^(U$227-1)*1</f>
        <v>650</v>
      </c>
      <c r="V234" s="117" t="n">
        <f aca="false">Inputs!$D$10*(1+Inputs!$D$11)^(V$227-1)*1</f>
        <v>650</v>
      </c>
      <c r="W234" s="117" t="n">
        <f aca="false">Inputs!$D$10*(1+Inputs!$D$11)^(W$227-1)*1</f>
        <v>650</v>
      </c>
      <c r="X234" s="117" t="n">
        <f aca="false">Inputs!$D$10*(1+Inputs!$D$11)^(X$227-1)*1</f>
        <v>650</v>
      </c>
      <c r="Y234" s="117" t="n">
        <f aca="false">Inputs!$D$10*(1+Inputs!$D$11)^(Y$227-1)*1</f>
        <v>650</v>
      </c>
      <c r="Z234" s="117" t="n">
        <f aca="false">Inputs!$D$10*(1+Inputs!$D$11)^(Z$227-1)*1</f>
        <v>650</v>
      </c>
      <c r="AA234" s="117" t="n">
        <f aca="false">Inputs!$D$10*(1+Inputs!$D$11)^(AA$227-1)*1</f>
        <v>845</v>
      </c>
      <c r="AB234" s="117" t="n">
        <f aca="false">Inputs!$D$10*(1+Inputs!$D$11)^(AB$227-1)*1</f>
        <v>845</v>
      </c>
      <c r="AC234" s="117" t="n">
        <f aca="false">Inputs!$D$10*(1+Inputs!$D$11)^(AC$227-1)*1</f>
        <v>845</v>
      </c>
      <c r="AD234" s="117" t="n">
        <f aca="false">Inputs!$D$10*(1+Inputs!$D$11)^(AD$227-1)*1</f>
        <v>845</v>
      </c>
      <c r="AE234" s="117" t="n">
        <f aca="false">Inputs!$D$10*(1+Inputs!$D$11)^(AE$227-1)*1</f>
        <v>845</v>
      </c>
      <c r="AF234" s="117" t="n">
        <f aca="false">Inputs!$D$10*(1+Inputs!$D$11)^(AF$227-1)*1</f>
        <v>845</v>
      </c>
      <c r="AG234" s="117" t="n">
        <f aca="false">Inputs!$D$10*(1+Inputs!$D$11)^(AG$227-1)*1</f>
        <v>845</v>
      </c>
      <c r="AH234" s="117" t="n">
        <f aca="false">Inputs!$D$10*(1+Inputs!$D$11)^(AH$227-1)*1</f>
        <v>845</v>
      </c>
      <c r="AI234" s="117" t="n">
        <f aca="false">Inputs!$D$10*(1+Inputs!$D$11)^(AI$227-1)*1</f>
        <v>845</v>
      </c>
      <c r="AJ234" s="117" t="n">
        <f aca="false">Inputs!$D$10*(1+Inputs!$D$11)^(AJ$227-1)*1</f>
        <v>845</v>
      </c>
      <c r="AK234" s="117" t="n">
        <f aca="false">Inputs!$D$10*(1+Inputs!$D$11)^(AK$227-1)*1</f>
        <v>845</v>
      </c>
      <c r="AL234" s="117" t="n">
        <f aca="false">Inputs!$D$10*(1+Inputs!$D$11)^(AL$227-1)*1</f>
        <v>845</v>
      </c>
      <c r="AM234" s="117" t="n">
        <f aca="false">Inputs!$D$10*(1+Inputs!$D$11)^(AM$227-1)*1</f>
        <v>1098.5</v>
      </c>
      <c r="AN234" s="117" t="n">
        <f aca="false">Inputs!$D$10*(1+Inputs!$D$11)^(AN$227-1)*1</f>
        <v>1098.5</v>
      </c>
      <c r="AO234" s="117" t="n">
        <f aca="false">Inputs!$D$10*(1+Inputs!$D$11)^(AO$227-1)*1</f>
        <v>1098.5</v>
      </c>
      <c r="AP234" s="117" t="n">
        <f aca="false">Inputs!$D$10*(1+Inputs!$D$11)^(AP$227-1)*1</f>
        <v>1098.5</v>
      </c>
      <c r="AQ234" s="117" t="n">
        <f aca="false">Inputs!$D$10*(1+Inputs!$D$11)^(AQ$227-1)*1</f>
        <v>1098.5</v>
      </c>
      <c r="AR234" s="117" t="n">
        <f aca="false">Inputs!$D$10*(1+Inputs!$D$11)^(AR$227-1)*1</f>
        <v>1098.5</v>
      </c>
      <c r="AS234" s="117" t="n">
        <f aca="false">Inputs!$D$10*(1+Inputs!$D$11)^(AS$227-1)*1</f>
        <v>1098.5</v>
      </c>
      <c r="AT234" s="117" t="n">
        <f aca="false">Inputs!$D$10*(1+Inputs!$D$11)^(AT$227-1)*1</f>
        <v>1098.5</v>
      </c>
      <c r="AU234" s="117" t="n">
        <f aca="false">Inputs!$D$10*(1+Inputs!$D$11)^(AU$227-1)*1</f>
        <v>1098.5</v>
      </c>
      <c r="AV234" s="117" t="n">
        <f aca="false">Inputs!$D$10*(1+Inputs!$D$11)^(AV$227-1)*1</f>
        <v>1098.5</v>
      </c>
      <c r="AW234" s="117" t="n">
        <f aca="false">Inputs!$D$10*(1+Inputs!$D$11)^(AW$227-1)*1</f>
        <v>1098.5</v>
      </c>
      <c r="AX234" s="117" t="n">
        <f aca="false">Inputs!$D$10*(1+Inputs!$D$11)^(AX$227-1)*1</f>
        <v>1098.5</v>
      </c>
      <c r="AY234" s="117" t="n">
        <f aca="false">Inputs!$D$10*(1+Inputs!$D$11)^(AY$227-1)*1</f>
        <v>1428.05</v>
      </c>
      <c r="AZ234" s="117" t="n">
        <f aca="false">Inputs!$D$10*(1+Inputs!$D$11)^(AZ$227-1)*1</f>
        <v>1428.05</v>
      </c>
      <c r="BA234" s="117" t="n">
        <f aca="false">Inputs!$D$10*(1+Inputs!$D$11)^(BA$227-1)*1</f>
        <v>1428.05</v>
      </c>
      <c r="BB234" s="117" t="n">
        <f aca="false">Inputs!$D$10*(1+Inputs!$D$11)^(BB$227-1)*1</f>
        <v>1428.05</v>
      </c>
      <c r="BC234" s="117" t="n">
        <f aca="false">Inputs!$D$10*(1+Inputs!$D$11)^(BC$227-1)*1</f>
        <v>1428.05</v>
      </c>
      <c r="BD234" s="117" t="n">
        <f aca="false">Inputs!$D$10*(1+Inputs!$D$11)^(BD$227-1)*1</f>
        <v>1428.05</v>
      </c>
      <c r="BE234" s="117" t="n">
        <f aca="false">Inputs!$D$10*(1+Inputs!$D$11)^(BE$227-1)*1</f>
        <v>1428.05</v>
      </c>
      <c r="BF234" s="117" t="n">
        <f aca="false">Inputs!$D$10*(1+Inputs!$D$11)^(BF$227-1)*1</f>
        <v>1428.05</v>
      </c>
      <c r="BG234" s="117" t="n">
        <f aca="false">Inputs!$D$10*(1+Inputs!$D$11)^(BG$227-1)*1</f>
        <v>1428.05</v>
      </c>
      <c r="BH234" s="117" t="n">
        <f aca="false">Inputs!$D$10*(1+Inputs!$D$11)^(BH$227-1)*1</f>
        <v>1428.05</v>
      </c>
      <c r="BI234" s="117" t="n">
        <f aca="false">Inputs!$D$10*(1+Inputs!$D$11)^(BI$227-1)*1</f>
        <v>1428.05</v>
      </c>
      <c r="BJ234" s="117" t="n">
        <f aca="false">Inputs!$D$10*(1+Inputs!$D$11)^(BJ$227-1)*1</f>
        <v>1428.05</v>
      </c>
    </row>
    <row r="235" customFormat="false" ht="15" hidden="false" customHeight="false" outlineLevel="0" collapsed="false">
      <c r="A235" s="4" t="s">
        <v>405</v>
      </c>
      <c r="C235" s="118" t="n">
        <f aca="false">C232+C233+C234</f>
        <v>2300</v>
      </c>
      <c r="D235" s="118" t="n">
        <f aca="false">D232+D233+D234</f>
        <v>2300</v>
      </c>
      <c r="E235" s="118" t="n">
        <f aca="false">E232+E233+E234</f>
        <v>2300</v>
      </c>
      <c r="F235" s="118" t="n">
        <f aca="false">F232+F233+F234</f>
        <v>2300</v>
      </c>
      <c r="G235" s="118" t="n">
        <f aca="false">G232+G233+G234</f>
        <v>2300</v>
      </c>
      <c r="H235" s="118" t="n">
        <f aca="false">H232+H233+H234</f>
        <v>2300</v>
      </c>
      <c r="I235" s="118" t="n">
        <f aca="false">I232+I233+I234</f>
        <v>2300</v>
      </c>
      <c r="J235" s="118" t="n">
        <f aca="false">J232+J233+J234</f>
        <v>2300</v>
      </c>
      <c r="K235" s="118" t="n">
        <f aca="false">K232+K233+K234</f>
        <v>2300</v>
      </c>
      <c r="L235" s="118" t="n">
        <f aca="false">L232+L233+L234</f>
        <v>2300</v>
      </c>
      <c r="M235" s="118" t="n">
        <f aca="false">M232+M233+M234</f>
        <v>2300</v>
      </c>
      <c r="N235" s="118" t="n">
        <f aca="false">N232+N233+N234</f>
        <v>2300</v>
      </c>
      <c r="O235" s="118" t="n">
        <f aca="false">O232+O233+O234</f>
        <v>2954</v>
      </c>
      <c r="P235" s="118" t="n">
        <f aca="false">P232+P233+P234</f>
        <v>2954</v>
      </c>
      <c r="Q235" s="118" t="n">
        <f aca="false">Q232+Q233+Q234</f>
        <v>2954</v>
      </c>
      <c r="R235" s="118" t="n">
        <f aca="false">R232+R233+R234</f>
        <v>2954</v>
      </c>
      <c r="S235" s="118" t="n">
        <f aca="false">S232+S233+S234</f>
        <v>2954</v>
      </c>
      <c r="T235" s="118" t="n">
        <f aca="false">T232+T233+T234</f>
        <v>2954</v>
      </c>
      <c r="U235" s="118" t="n">
        <f aca="false">U232+U233+U234</f>
        <v>2954</v>
      </c>
      <c r="V235" s="118" t="n">
        <f aca="false">V232+V233+V234</f>
        <v>2954</v>
      </c>
      <c r="W235" s="118" t="n">
        <f aca="false">W232+W233+W234</f>
        <v>2954</v>
      </c>
      <c r="X235" s="118" t="n">
        <f aca="false">X232+X233+X234</f>
        <v>2954</v>
      </c>
      <c r="Y235" s="118" t="n">
        <f aca="false">Y232+Y233+Y234</f>
        <v>2954</v>
      </c>
      <c r="Z235" s="118" t="n">
        <f aca="false">Z232+Z233+Z234</f>
        <v>2954</v>
      </c>
      <c r="AA235" s="118" t="n">
        <f aca="false">AA232+AA233+AA234</f>
        <v>3797</v>
      </c>
      <c r="AB235" s="118" t="n">
        <f aca="false">AB232+AB233+AB234</f>
        <v>3797</v>
      </c>
      <c r="AC235" s="118" t="n">
        <f aca="false">AC232+AC233+AC234</f>
        <v>3797</v>
      </c>
      <c r="AD235" s="118" t="n">
        <f aca="false">AD232+AD233+AD234</f>
        <v>3797</v>
      </c>
      <c r="AE235" s="118" t="n">
        <f aca="false">AE232+AE233+AE234</f>
        <v>3797</v>
      </c>
      <c r="AF235" s="118" t="n">
        <f aca="false">AF232+AF233+AF234</f>
        <v>3797</v>
      </c>
      <c r="AG235" s="118" t="n">
        <f aca="false">AG232+AG233+AG234</f>
        <v>3797</v>
      </c>
      <c r="AH235" s="118" t="n">
        <f aca="false">AH232+AH233+AH234</f>
        <v>3797</v>
      </c>
      <c r="AI235" s="118" t="n">
        <f aca="false">AI232+AI233+AI234</f>
        <v>3797</v>
      </c>
      <c r="AJ235" s="118" t="n">
        <f aca="false">AJ232+AJ233+AJ234</f>
        <v>3797</v>
      </c>
      <c r="AK235" s="118" t="n">
        <f aca="false">AK232+AK233+AK234</f>
        <v>3797</v>
      </c>
      <c r="AL235" s="118" t="n">
        <f aca="false">AL232+AL233+AL234</f>
        <v>3797</v>
      </c>
      <c r="AM235" s="118" t="n">
        <f aca="false">AM232+AM233+AM234</f>
        <v>4884.26</v>
      </c>
      <c r="AN235" s="118" t="n">
        <f aca="false">AN232+AN233+AN234</f>
        <v>4884.26</v>
      </c>
      <c r="AO235" s="118" t="n">
        <f aca="false">AO232+AO233+AO234</f>
        <v>4884.26</v>
      </c>
      <c r="AP235" s="118" t="n">
        <f aca="false">AP232+AP233+AP234</f>
        <v>4884.26</v>
      </c>
      <c r="AQ235" s="118" t="n">
        <f aca="false">AQ232+AQ233+AQ234</f>
        <v>4884.26</v>
      </c>
      <c r="AR235" s="118" t="n">
        <f aca="false">AR232+AR233+AR234</f>
        <v>4884.26</v>
      </c>
      <c r="AS235" s="118" t="n">
        <f aca="false">AS232+AS233+AS234</f>
        <v>4884.26</v>
      </c>
      <c r="AT235" s="118" t="n">
        <f aca="false">AT232+AT233+AT234</f>
        <v>4884.26</v>
      </c>
      <c r="AU235" s="118" t="n">
        <f aca="false">AU232+AU233+AU234</f>
        <v>4884.26</v>
      </c>
      <c r="AV235" s="118" t="n">
        <f aca="false">AV232+AV233+AV234</f>
        <v>4884.26</v>
      </c>
      <c r="AW235" s="118" t="n">
        <f aca="false">AW232+AW233+AW234</f>
        <v>4884.26</v>
      </c>
      <c r="AX235" s="118" t="n">
        <f aca="false">AX232+AX233+AX234</f>
        <v>4884.26</v>
      </c>
      <c r="AY235" s="118" t="n">
        <f aca="false">AY232+AY233+AY234</f>
        <v>6287.33</v>
      </c>
      <c r="AZ235" s="118" t="n">
        <f aca="false">AZ232+AZ233+AZ234</f>
        <v>6287.33</v>
      </c>
      <c r="BA235" s="118" t="n">
        <f aca="false">BA232+BA233+BA234</f>
        <v>6287.33</v>
      </c>
      <c r="BB235" s="118" t="n">
        <f aca="false">BB232+BB233+BB234</f>
        <v>6287.33</v>
      </c>
      <c r="BC235" s="118" t="n">
        <f aca="false">BC232+BC233+BC234</f>
        <v>6287.33</v>
      </c>
      <c r="BD235" s="118" t="n">
        <f aca="false">BD232+BD233+BD234</f>
        <v>6287.33</v>
      </c>
      <c r="BE235" s="118" t="n">
        <f aca="false">BE232+BE233+BE234</f>
        <v>6287.33</v>
      </c>
      <c r="BF235" s="118" t="n">
        <f aca="false">BF232+BF233+BF234</f>
        <v>6287.33</v>
      </c>
      <c r="BG235" s="118" t="n">
        <f aca="false">BG232+BG233+BG234</f>
        <v>6287.33</v>
      </c>
      <c r="BH235" s="118" t="n">
        <f aca="false">BH232+BH233+BH234</f>
        <v>6287.33</v>
      </c>
      <c r="BI235" s="118" t="n">
        <f aca="false">BI232+BI233+BI234</f>
        <v>6287.33</v>
      </c>
      <c r="BJ235" s="118" t="n">
        <f aca="false">BJ232+BJ233+BJ234</f>
        <v>6287.33</v>
      </c>
    </row>
    <row r="237" customFormat="false" ht="15.75" hidden="false" customHeight="true" outlineLevel="0" collapsed="false">
      <c r="A237" s="7" t="s">
        <v>406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407</v>
      </c>
      <c r="C238" s="119" t="n">
        <f aca="false">Inputs!$D$14*(1+Inputs!$D$17)^(C$227-1)</f>
        <v>400</v>
      </c>
      <c r="D238" s="119" t="n">
        <f aca="false">Inputs!$D$14*(1+Inputs!$D$17)^(D$227-1)</f>
        <v>400</v>
      </c>
      <c r="E238" s="119" t="n">
        <f aca="false">Inputs!$D$14*(1+Inputs!$D$17)^(E$227-1)</f>
        <v>400</v>
      </c>
      <c r="F238" s="119" t="n">
        <f aca="false">Inputs!$D$14*(1+Inputs!$D$17)^(F$227-1)</f>
        <v>400</v>
      </c>
      <c r="G238" s="119" t="n">
        <f aca="false">Inputs!$D$14*(1+Inputs!$D$17)^(G$227-1)</f>
        <v>400</v>
      </c>
      <c r="H238" s="119" t="n">
        <f aca="false">Inputs!$D$14*(1+Inputs!$D$17)^(H$227-1)</f>
        <v>400</v>
      </c>
      <c r="I238" s="119" t="n">
        <f aca="false">Inputs!$D$14*(1+Inputs!$D$17)^(I$227-1)</f>
        <v>400</v>
      </c>
      <c r="J238" s="119" t="n">
        <f aca="false">Inputs!$D$14*(1+Inputs!$D$17)^(J$227-1)</f>
        <v>400</v>
      </c>
      <c r="K238" s="119" t="n">
        <f aca="false">Inputs!$D$14*(1+Inputs!$D$17)^(K$227-1)</f>
        <v>400</v>
      </c>
      <c r="L238" s="119" t="n">
        <f aca="false">Inputs!$D$14*(1+Inputs!$D$17)^(L$227-1)</f>
        <v>400</v>
      </c>
      <c r="M238" s="119" t="n">
        <f aca="false">Inputs!$D$14*(1+Inputs!$D$17)^(M$227-1)</f>
        <v>400</v>
      </c>
      <c r="N238" s="119" t="n">
        <f aca="false">Inputs!$D$14*(1+Inputs!$D$17)^(N$227-1)</f>
        <v>400</v>
      </c>
      <c r="O238" s="119" t="n">
        <f aca="false">Inputs!$D$14*(1+Inputs!$D$17)^(O$227-1)</f>
        <v>416</v>
      </c>
      <c r="P238" s="119" t="n">
        <f aca="false">Inputs!$D$14*(1+Inputs!$D$17)^(P$227-1)</f>
        <v>416</v>
      </c>
      <c r="Q238" s="119" t="n">
        <f aca="false">Inputs!$D$14*(1+Inputs!$D$17)^(Q$227-1)</f>
        <v>416</v>
      </c>
      <c r="R238" s="119" t="n">
        <f aca="false">Inputs!$D$14*(1+Inputs!$D$17)^(R$227-1)</f>
        <v>416</v>
      </c>
      <c r="S238" s="119" t="n">
        <f aca="false">Inputs!$D$14*(1+Inputs!$D$17)^(S$227-1)</f>
        <v>416</v>
      </c>
      <c r="T238" s="119" t="n">
        <f aca="false">Inputs!$D$14*(1+Inputs!$D$17)^(T$227-1)</f>
        <v>416</v>
      </c>
      <c r="U238" s="119" t="n">
        <f aca="false">Inputs!$D$14*(1+Inputs!$D$17)^(U$227-1)</f>
        <v>416</v>
      </c>
      <c r="V238" s="119" t="n">
        <f aca="false">Inputs!$D$14*(1+Inputs!$D$17)^(V$227-1)</f>
        <v>416</v>
      </c>
      <c r="W238" s="119" t="n">
        <f aca="false">Inputs!$D$14*(1+Inputs!$D$17)^(W$227-1)</f>
        <v>416</v>
      </c>
      <c r="X238" s="119" t="n">
        <f aca="false">Inputs!$D$14*(1+Inputs!$D$17)^(X$227-1)</f>
        <v>416</v>
      </c>
      <c r="Y238" s="119" t="n">
        <f aca="false">Inputs!$D$14*(1+Inputs!$D$17)^(Y$227-1)</f>
        <v>416</v>
      </c>
      <c r="Z238" s="119" t="n">
        <f aca="false">Inputs!$D$14*(1+Inputs!$D$17)^(Z$227-1)</f>
        <v>416</v>
      </c>
      <c r="AA238" s="119" t="n">
        <f aca="false">Inputs!$D$14*(1+Inputs!$D$17)^(AA$227-1)</f>
        <v>432.64</v>
      </c>
      <c r="AB238" s="119" t="n">
        <f aca="false">Inputs!$D$14*(1+Inputs!$D$17)^(AB$227-1)</f>
        <v>432.64</v>
      </c>
      <c r="AC238" s="119" t="n">
        <f aca="false">Inputs!$D$14*(1+Inputs!$D$17)^(AC$227-1)</f>
        <v>432.64</v>
      </c>
      <c r="AD238" s="119" t="n">
        <f aca="false">Inputs!$D$14*(1+Inputs!$D$17)^(AD$227-1)</f>
        <v>432.64</v>
      </c>
      <c r="AE238" s="119" t="n">
        <f aca="false">Inputs!$D$14*(1+Inputs!$D$17)^(AE$227-1)</f>
        <v>432.64</v>
      </c>
      <c r="AF238" s="119" t="n">
        <f aca="false">Inputs!$D$14*(1+Inputs!$D$17)^(AF$227-1)</f>
        <v>432.64</v>
      </c>
      <c r="AG238" s="119" t="n">
        <f aca="false">Inputs!$D$14*(1+Inputs!$D$17)^(AG$227-1)</f>
        <v>432.64</v>
      </c>
      <c r="AH238" s="119" t="n">
        <f aca="false">Inputs!$D$14*(1+Inputs!$D$17)^(AH$227-1)</f>
        <v>432.64</v>
      </c>
      <c r="AI238" s="119" t="n">
        <f aca="false">Inputs!$D$14*(1+Inputs!$D$17)^(AI$227-1)</f>
        <v>432.64</v>
      </c>
      <c r="AJ238" s="119" t="n">
        <f aca="false">Inputs!$D$14*(1+Inputs!$D$17)^(AJ$227-1)</f>
        <v>432.64</v>
      </c>
      <c r="AK238" s="119" t="n">
        <f aca="false">Inputs!$D$14*(1+Inputs!$D$17)^(AK$227-1)</f>
        <v>432.64</v>
      </c>
      <c r="AL238" s="119" t="n">
        <f aca="false">Inputs!$D$14*(1+Inputs!$D$17)^(AL$227-1)</f>
        <v>432.64</v>
      </c>
      <c r="AM238" s="119" t="n">
        <f aca="false">Inputs!$D$14*(1+Inputs!$D$17)^(AM$227-1)</f>
        <v>449.9456</v>
      </c>
      <c r="AN238" s="119" t="n">
        <f aca="false">Inputs!$D$14*(1+Inputs!$D$17)^(AN$227-1)</f>
        <v>449.9456</v>
      </c>
      <c r="AO238" s="119" t="n">
        <f aca="false">Inputs!$D$14*(1+Inputs!$D$17)^(AO$227-1)</f>
        <v>449.9456</v>
      </c>
      <c r="AP238" s="119" t="n">
        <f aca="false">Inputs!$D$14*(1+Inputs!$D$17)^(AP$227-1)</f>
        <v>449.9456</v>
      </c>
      <c r="AQ238" s="119" t="n">
        <f aca="false">Inputs!$D$14*(1+Inputs!$D$17)^(AQ$227-1)</f>
        <v>449.9456</v>
      </c>
      <c r="AR238" s="119" t="n">
        <f aca="false">Inputs!$D$14*(1+Inputs!$D$17)^(AR$227-1)</f>
        <v>449.9456</v>
      </c>
      <c r="AS238" s="119" t="n">
        <f aca="false">Inputs!$D$14*(1+Inputs!$D$17)^(AS$227-1)</f>
        <v>449.9456</v>
      </c>
      <c r="AT238" s="119" t="n">
        <f aca="false">Inputs!$D$14*(1+Inputs!$D$17)^(AT$227-1)</f>
        <v>449.9456</v>
      </c>
      <c r="AU238" s="119" t="n">
        <f aca="false">Inputs!$D$14*(1+Inputs!$D$17)^(AU$227-1)</f>
        <v>449.9456</v>
      </c>
      <c r="AV238" s="119" t="n">
        <f aca="false">Inputs!$D$14*(1+Inputs!$D$17)^(AV$227-1)</f>
        <v>449.9456</v>
      </c>
      <c r="AW238" s="119" t="n">
        <f aca="false">Inputs!$D$14*(1+Inputs!$D$17)^(AW$227-1)</f>
        <v>449.9456</v>
      </c>
      <c r="AX238" s="119" t="n">
        <f aca="false">Inputs!$D$14*(1+Inputs!$D$17)^(AX$227-1)</f>
        <v>449.9456</v>
      </c>
      <c r="AY238" s="119" t="n">
        <f aca="false">Inputs!$D$14*(1+Inputs!$D$17)^(AY$227-1)</f>
        <v>467.943424</v>
      </c>
      <c r="AZ238" s="119" t="n">
        <f aca="false">Inputs!$D$14*(1+Inputs!$D$17)^(AZ$227-1)</f>
        <v>467.943424</v>
      </c>
      <c r="BA238" s="119" t="n">
        <f aca="false">Inputs!$D$14*(1+Inputs!$D$17)^(BA$227-1)</f>
        <v>467.943424</v>
      </c>
      <c r="BB238" s="119" t="n">
        <f aca="false">Inputs!$D$14*(1+Inputs!$D$17)^(BB$227-1)</f>
        <v>467.943424</v>
      </c>
      <c r="BC238" s="119" t="n">
        <f aca="false">Inputs!$D$14*(1+Inputs!$D$17)^(BC$227-1)</f>
        <v>467.943424</v>
      </c>
      <c r="BD238" s="119" t="n">
        <f aca="false">Inputs!$D$14*(1+Inputs!$D$17)^(BD$227-1)</f>
        <v>467.943424</v>
      </c>
      <c r="BE238" s="119" t="n">
        <f aca="false">Inputs!$D$14*(1+Inputs!$D$17)^(BE$227-1)</f>
        <v>467.943424</v>
      </c>
      <c r="BF238" s="119" t="n">
        <f aca="false">Inputs!$D$14*(1+Inputs!$D$17)^(BF$227-1)</f>
        <v>467.943424</v>
      </c>
      <c r="BG238" s="119" t="n">
        <f aca="false">Inputs!$D$14*(1+Inputs!$D$17)^(BG$227-1)</f>
        <v>467.943424</v>
      </c>
      <c r="BH238" s="119" t="n">
        <f aca="false">Inputs!$D$14*(1+Inputs!$D$17)^(BH$227-1)</f>
        <v>467.943424</v>
      </c>
      <c r="BI238" s="119" t="n">
        <f aca="false">Inputs!$D$14*(1+Inputs!$D$17)^(BI$227-1)</f>
        <v>467.943424</v>
      </c>
      <c r="BJ238" s="119" t="n">
        <f aca="false">Inputs!$D$14*(1+Inputs!$D$17)^(BJ$227-1)</f>
        <v>467.943424</v>
      </c>
    </row>
    <row r="239" customFormat="false" ht="15" hidden="false" customHeight="false" outlineLevel="0" collapsed="false">
      <c r="A239" s="6" t="s">
        <v>408</v>
      </c>
      <c r="C239" s="119" t="n">
        <f aca="false">Inputs!$D$15*(1+Inputs!$D$17)^(C$227-1)</f>
        <v>200</v>
      </c>
      <c r="D239" s="119" t="n">
        <f aca="false">Inputs!$D$15*(1+Inputs!$D$17)^(D$227-1)</f>
        <v>200</v>
      </c>
      <c r="E239" s="119" t="n">
        <f aca="false">Inputs!$D$15*(1+Inputs!$D$17)^(E$227-1)</f>
        <v>200</v>
      </c>
      <c r="F239" s="119" t="n">
        <f aca="false">Inputs!$D$15*(1+Inputs!$D$17)^(F$227-1)</f>
        <v>200</v>
      </c>
      <c r="G239" s="119" t="n">
        <f aca="false">Inputs!$D$15*(1+Inputs!$D$17)^(G$227-1)</f>
        <v>200</v>
      </c>
      <c r="H239" s="119" t="n">
        <f aca="false">Inputs!$D$15*(1+Inputs!$D$17)^(H$227-1)</f>
        <v>200</v>
      </c>
      <c r="I239" s="119" t="n">
        <f aca="false">Inputs!$D$15*(1+Inputs!$D$17)^(I$227-1)</f>
        <v>200</v>
      </c>
      <c r="J239" s="119" t="n">
        <f aca="false">Inputs!$D$15*(1+Inputs!$D$17)^(J$227-1)</f>
        <v>200</v>
      </c>
      <c r="K239" s="119" t="n">
        <f aca="false">Inputs!$D$15*(1+Inputs!$D$17)^(K$227-1)</f>
        <v>200</v>
      </c>
      <c r="L239" s="119" t="n">
        <f aca="false">Inputs!$D$15*(1+Inputs!$D$17)^(L$227-1)</f>
        <v>200</v>
      </c>
      <c r="M239" s="119" t="n">
        <f aca="false">Inputs!$D$15*(1+Inputs!$D$17)^(M$227-1)</f>
        <v>200</v>
      </c>
      <c r="N239" s="119" t="n">
        <f aca="false">Inputs!$D$15*(1+Inputs!$D$17)^(N$227-1)</f>
        <v>200</v>
      </c>
      <c r="O239" s="119" t="n">
        <f aca="false">Inputs!$D$15*(1+Inputs!$D$17)^(O$227-1)</f>
        <v>208</v>
      </c>
      <c r="P239" s="119" t="n">
        <f aca="false">Inputs!$D$15*(1+Inputs!$D$17)^(P$227-1)</f>
        <v>208</v>
      </c>
      <c r="Q239" s="119" t="n">
        <f aca="false">Inputs!$D$15*(1+Inputs!$D$17)^(Q$227-1)</f>
        <v>208</v>
      </c>
      <c r="R239" s="119" t="n">
        <f aca="false">Inputs!$D$15*(1+Inputs!$D$17)^(R$227-1)</f>
        <v>208</v>
      </c>
      <c r="S239" s="119" t="n">
        <f aca="false">Inputs!$D$15*(1+Inputs!$D$17)^(S$227-1)</f>
        <v>208</v>
      </c>
      <c r="T239" s="119" t="n">
        <f aca="false">Inputs!$D$15*(1+Inputs!$D$17)^(T$227-1)</f>
        <v>208</v>
      </c>
      <c r="U239" s="119" t="n">
        <f aca="false">Inputs!$D$15*(1+Inputs!$D$17)^(U$227-1)</f>
        <v>208</v>
      </c>
      <c r="V239" s="119" t="n">
        <f aca="false">Inputs!$D$15*(1+Inputs!$D$17)^(V$227-1)</f>
        <v>208</v>
      </c>
      <c r="W239" s="119" t="n">
        <f aca="false">Inputs!$D$15*(1+Inputs!$D$17)^(W$227-1)</f>
        <v>208</v>
      </c>
      <c r="X239" s="119" t="n">
        <f aca="false">Inputs!$D$15*(1+Inputs!$D$17)^(X$227-1)</f>
        <v>208</v>
      </c>
      <c r="Y239" s="119" t="n">
        <f aca="false">Inputs!$D$15*(1+Inputs!$D$17)^(Y$227-1)</f>
        <v>208</v>
      </c>
      <c r="Z239" s="119" t="n">
        <f aca="false">Inputs!$D$15*(1+Inputs!$D$17)^(Z$227-1)</f>
        <v>208</v>
      </c>
      <c r="AA239" s="119" t="n">
        <f aca="false">Inputs!$D$15*(1+Inputs!$D$17)^(AA$227-1)</f>
        <v>216.32</v>
      </c>
      <c r="AB239" s="119" t="n">
        <f aca="false">Inputs!$D$15*(1+Inputs!$D$17)^(AB$227-1)</f>
        <v>216.32</v>
      </c>
      <c r="AC239" s="119" t="n">
        <f aca="false">Inputs!$D$15*(1+Inputs!$D$17)^(AC$227-1)</f>
        <v>216.32</v>
      </c>
      <c r="AD239" s="119" t="n">
        <f aca="false">Inputs!$D$15*(1+Inputs!$D$17)^(AD$227-1)</f>
        <v>216.32</v>
      </c>
      <c r="AE239" s="119" t="n">
        <f aca="false">Inputs!$D$15*(1+Inputs!$D$17)^(AE$227-1)</f>
        <v>216.32</v>
      </c>
      <c r="AF239" s="119" t="n">
        <f aca="false">Inputs!$D$15*(1+Inputs!$D$17)^(AF$227-1)</f>
        <v>216.32</v>
      </c>
      <c r="AG239" s="119" t="n">
        <f aca="false">Inputs!$D$15*(1+Inputs!$D$17)^(AG$227-1)</f>
        <v>216.32</v>
      </c>
      <c r="AH239" s="119" t="n">
        <f aca="false">Inputs!$D$15*(1+Inputs!$D$17)^(AH$227-1)</f>
        <v>216.32</v>
      </c>
      <c r="AI239" s="119" t="n">
        <f aca="false">Inputs!$D$15*(1+Inputs!$D$17)^(AI$227-1)</f>
        <v>216.32</v>
      </c>
      <c r="AJ239" s="119" t="n">
        <f aca="false">Inputs!$D$15*(1+Inputs!$D$17)^(AJ$227-1)</f>
        <v>216.32</v>
      </c>
      <c r="AK239" s="119" t="n">
        <f aca="false">Inputs!$D$15*(1+Inputs!$D$17)^(AK$227-1)</f>
        <v>216.32</v>
      </c>
      <c r="AL239" s="119" t="n">
        <f aca="false">Inputs!$D$15*(1+Inputs!$D$17)^(AL$227-1)</f>
        <v>216.32</v>
      </c>
      <c r="AM239" s="119" t="n">
        <f aca="false">Inputs!$D$15*(1+Inputs!$D$17)^(AM$227-1)</f>
        <v>224.9728</v>
      </c>
      <c r="AN239" s="119" t="n">
        <f aca="false">Inputs!$D$15*(1+Inputs!$D$17)^(AN$227-1)</f>
        <v>224.9728</v>
      </c>
      <c r="AO239" s="119" t="n">
        <f aca="false">Inputs!$D$15*(1+Inputs!$D$17)^(AO$227-1)</f>
        <v>224.9728</v>
      </c>
      <c r="AP239" s="119" t="n">
        <f aca="false">Inputs!$D$15*(1+Inputs!$D$17)^(AP$227-1)</f>
        <v>224.9728</v>
      </c>
      <c r="AQ239" s="119" t="n">
        <f aca="false">Inputs!$D$15*(1+Inputs!$D$17)^(AQ$227-1)</f>
        <v>224.9728</v>
      </c>
      <c r="AR239" s="119" t="n">
        <f aca="false">Inputs!$D$15*(1+Inputs!$D$17)^(AR$227-1)</f>
        <v>224.9728</v>
      </c>
      <c r="AS239" s="119" t="n">
        <f aca="false">Inputs!$D$15*(1+Inputs!$D$17)^(AS$227-1)</f>
        <v>224.9728</v>
      </c>
      <c r="AT239" s="119" t="n">
        <f aca="false">Inputs!$D$15*(1+Inputs!$D$17)^(AT$227-1)</f>
        <v>224.9728</v>
      </c>
      <c r="AU239" s="119" t="n">
        <f aca="false">Inputs!$D$15*(1+Inputs!$D$17)^(AU$227-1)</f>
        <v>224.9728</v>
      </c>
      <c r="AV239" s="119" t="n">
        <f aca="false">Inputs!$D$15*(1+Inputs!$D$17)^(AV$227-1)</f>
        <v>224.9728</v>
      </c>
      <c r="AW239" s="119" t="n">
        <f aca="false">Inputs!$D$15*(1+Inputs!$D$17)^(AW$227-1)</f>
        <v>224.9728</v>
      </c>
      <c r="AX239" s="119" t="n">
        <f aca="false">Inputs!$D$15*(1+Inputs!$D$17)^(AX$227-1)</f>
        <v>224.9728</v>
      </c>
      <c r="AY239" s="119" t="n">
        <f aca="false">Inputs!$D$15*(1+Inputs!$D$17)^(AY$227-1)</f>
        <v>233.971712</v>
      </c>
      <c r="AZ239" s="119" t="n">
        <f aca="false">Inputs!$D$15*(1+Inputs!$D$17)^(AZ$227-1)</f>
        <v>233.971712</v>
      </c>
      <c r="BA239" s="119" t="n">
        <f aca="false">Inputs!$D$15*(1+Inputs!$D$17)^(BA$227-1)</f>
        <v>233.971712</v>
      </c>
      <c r="BB239" s="119" t="n">
        <f aca="false">Inputs!$D$15*(1+Inputs!$D$17)^(BB$227-1)</f>
        <v>233.971712</v>
      </c>
      <c r="BC239" s="119" t="n">
        <f aca="false">Inputs!$D$15*(1+Inputs!$D$17)^(BC$227-1)</f>
        <v>233.971712</v>
      </c>
      <c r="BD239" s="119" t="n">
        <f aca="false">Inputs!$D$15*(1+Inputs!$D$17)^(BD$227-1)</f>
        <v>233.971712</v>
      </c>
      <c r="BE239" s="119" t="n">
        <f aca="false">Inputs!$D$15*(1+Inputs!$D$17)^(BE$227-1)</f>
        <v>233.971712</v>
      </c>
      <c r="BF239" s="119" t="n">
        <f aca="false">Inputs!$D$15*(1+Inputs!$D$17)^(BF$227-1)</f>
        <v>233.971712</v>
      </c>
      <c r="BG239" s="119" t="n">
        <f aca="false">Inputs!$D$15*(1+Inputs!$D$17)^(BG$227-1)</f>
        <v>233.971712</v>
      </c>
      <c r="BH239" s="119" t="n">
        <f aca="false">Inputs!$D$15*(1+Inputs!$D$17)^(BH$227-1)</f>
        <v>233.971712</v>
      </c>
      <c r="BI239" s="119" t="n">
        <f aca="false">Inputs!$D$15*(1+Inputs!$D$17)^(BI$227-1)</f>
        <v>233.971712</v>
      </c>
      <c r="BJ239" s="119" t="n">
        <f aca="false">Inputs!$D$15*(1+Inputs!$D$17)^(BJ$227-1)</f>
        <v>233.971712</v>
      </c>
    </row>
    <row r="240" customFormat="false" ht="15" hidden="false" customHeight="false" outlineLevel="0" collapsed="false">
      <c r="A240" s="6" t="s">
        <v>409</v>
      </c>
      <c r="C240" s="119" t="n">
        <f aca="false">Inputs!$D$16*(1+Inputs!$D$17)^(C$227-1)</f>
        <v>165</v>
      </c>
      <c r="D240" s="119" t="n">
        <f aca="false">Inputs!$D$16*(1+Inputs!$D$17)^(D$227-1)</f>
        <v>165</v>
      </c>
      <c r="E240" s="119" t="n">
        <f aca="false">Inputs!$D$16*(1+Inputs!$D$17)^(E$227-1)</f>
        <v>165</v>
      </c>
      <c r="F240" s="119" t="n">
        <f aca="false">Inputs!$D$16*(1+Inputs!$D$17)^(F$227-1)</f>
        <v>165</v>
      </c>
      <c r="G240" s="119" t="n">
        <f aca="false">Inputs!$D$16*(1+Inputs!$D$17)^(G$227-1)</f>
        <v>165</v>
      </c>
      <c r="H240" s="119" t="n">
        <f aca="false">Inputs!$D$16*(1+Inputs!$D$17)^(H$227-1)</f>
        <v>165</v>
      </c>
      <c r="I240" s="119" t="n">
        <f aca="false">Inputs!$D$16*(1+Inputs!$D$17)^(I$227-1)</f>
        <v>165</v>
      </c>
      <c r="J240" s="119" t="n">
        <f aca="false">Inputs!$D$16*(1+Inputs!$D$17)^(J$227-1)</f>
        <v>165</v>
      </c>
      <c r="K240" s="119" t="n">
        <f aca="false">Inputs!$D$16*(1+Inputs!$D$17)^(K$227-1)</f>
        <v>165</v>
      </c>
      <c r="L240" s="119" t="n">
        <f aca="false">Inputs!$D$16*(1+Inputs!$D$17)^(L$227-1)</f>
        <v>165</v>
      </c>
      <c r="M240" s="119" t="n">
        <f aca="false">Inputs!$D$16*(1+Inputs!$D$17)^(M$227-1)</f>
        <v>165</v>
      </c>
      <c r="N240" s="119" t="n">
        <f aca="false">Inputs!$D$16*(1+Inputs!$D$17)^(N$227-1)</f>
        <v>165</v>
      </c>
      <c r="O240" s="119" t="n">
        <f aca="false">Inputs!$D$16*(1+Inputs!$D$17)^(O$227-1)</f>
        <v>171.6</v>
      </c>
      <c r="P240" s="119" t="n">
        <f aca="false">Inputs!$D$16*(1+Inputs!$D$17)^(P$227-1)</f>
        <v>171.6</v>
      </c>
      <c r="Q240" s="119" t="n">
        <f aca="false">Inputs!$D$16*(1+Inputs!$D$17)^(Q$227-1)</f>
        <v>171.6</v>
      </c>
      <c r="R240" s="119" t="n">
        <f aca="false">Inputs!$D$16*(1+Inputs!$D$17)^(R$227-1)</f>
        <v>171.6</v>
      </c>
      <c r="S240" s="119" t="n">
        <f aca="false">Inputs!$D$16*(1+Inputs!$D$17)^(S$227-1)</f>
        <v>171.6</v>
      </c>
      <c r="T240" s="119" t="n">
        <f aca="false">Inputs!$D$16*(1+Inputs!$D$17)^(T$227-1)</f>
        <v>171.6</v>
      </c>
      <c r="U240" s="119" t="n">
        <f aca="false">Inputs!$D$16*(1+Inputs!$D$17)^(U$227-1)</f>
        <v>171.6</v>
      </c>
      <c r="V240" s="119" t="n">
        <f aca="false">Inputs!$D$16*(1+Inputs!$D$17)^(V$227-1)</f>
        <v>171.6</v>
      </c>
      <c r="W240" s="119" t="n">
        <f aca="false">Inputs!$D$16*(1+Inputs!$D$17)^(W$227-1)</f>
        <v>171.6</v>
      </c>
      <c r="X240" s="119" t="n">
        <f aca="false">Inputs!$D$16*(1+Inputs!$D$17)^(X$227-1)</f>
        <v>171.6</v>
      </c>
      <c r="Y240" s="119" t="n">
        <f aca="false">Inputs!$D$16*(1+Inputs!$D$17)^(Y$227-1)</f>
        <v>171.6</v>
      </c>
      <c r="Z240" s="119" t="n">
        <f aca="false">Inputs!$D$16*(1+Inputs!$D$17)^(Z$227-1)</f>
        <v>171.6</v>
      </c>
      <c r="AA240" s="119" t="n">
        <f aca="false">Inputs!$D$16*(1+Inputs!$D$17)^(AA$227-1)</f>
        <v>178.464</v>
      </c>
      <c r="AB240" s="119" t="n">
        <f aca="false">Inputs!$D$16*(1+Inputs!$D$17)^(AB$227-1)</f>
        <v>178.464</v>
      </c>
      <c r="AC240" s="119" t="n">
        <f aca="false">Inputs!$D$16*(1+Inputs!$D$17)^(AC$227-1)</f>
        <v>178.464</v>
      </c>
      <c r="AD240" s="119" t="n">
        <f aca="false">Inputs!$D$16*(1+Inputs!$D$17)^(AD$227-1)</f>
        <v>178.464</v>
      </c>
      <c r="AE240" s="119" t="n">
        <f aca="false">Inputs!$D$16*(1+Inputs!$D$17)^(AE$227-1)</f>
        <v>178.464</v>
      </c>
      <c r="AF240" s="119" t="n">
        <f aca="false">Inputs!$D$16*(1+Inputs!$D$17)^(AF$227-1)</f>
        <v>178.464</v>
      </c>
      <c r="AG240" s="119" t="n">
        <f aca="false">Inputs!$D$16*(1+Inputs!$D$17)^(AG$227-1)</f>
        <v>178.464</v>
      </c>
      <c r="AH240" s="119" t="n">
        <f aca="false">Inputs!$D$16*(1+Inputs!$D$17)^(AH$227-1)</f>
        <v>178.464</v>
      </c>
      <c r="AI240" s="119" t="n">
        <f aca="false">Inputs!$D$16*(1+Inputs!$D$17)^(AI$227-1)</f>
        <v>178.464</v>
      </c>
      <c r="AJ240" s="119" t="n">
        <f aca="false">Inputs!$D$16*(1+Inputs!$D$17)^(AJ$227-1)</f>
        <v>178.464</v>
      </c>
      <c r="AK240" s="119" t="n">
        <f aca="false">Inputs!$D$16*(1+Inputs!$D$17)^(AK$227-1)</f>
        <v>178.464</v>
      </c>
      <c r="AL240" s="119" t="n">
        <f aca="false">Inputs!$D$16*(1+Inputs!$D$17)^(AL$227-1)</f>
        <v>178.464</v>
      </c>
      <c r="AM240" s="119" t="n">
        <f aca="false">Inputs!$D$16*(1+Inputs!$D$17)^(AM$227-1)</f>
        <v>185.60256</v>
      </c>
      <c r="AN240" s="119" t="n">
        <f aca="false">Inputs!$D$16*(1+Inputs!$D$17)^(AN$227-1)</f>
        <v>185.60256</v>
      </c>
      <c r="AO240" s="119" t="n">
        <f aca="false">Inputs!$D$16*(1+Inputs!$D$17)^(AO$227-1)</f>
        <v>185.60256</v>
      </c>
      <c r="AP240" s="119" t="n">
        <f aca="false">Inputs!$D$16*(1+Inputs!$D$17)^(AP$227-1)</f>
        <v>185.60256</v>
      </c>
      <c r="AQ240" s="119" t="n">
        <f aca="false">Inputs!$D$16*(1+Inputs!$D$17)^(AQ$227-1)</f>
        <v>185.60256</v>
      </c>
      <c r="AR240" s="119" t="n">
        <f aca="false">Inputs!$D$16*(1+Inputs!$D$17)^(AR$227-1)</f>
        <v>185.60256</v>
      </c>
      <c r="AS240" s="119" t="n">
        <f aca="false">Inputs!$D$16*(1+Inputs!$D$17)^(AS$227-1)</f>
        <v>185.60256</v>
      </c>
      <c r="AT240" s="119" t="n">
        <f aca="false">Inputs!$D$16*(1+Inputs!$D$17)^(AT$227-1)</f>
        <v>185.60256</v>
      </c>
      <c r="AU240" s="119" t="n">
        <f aca="false">Inputs!$D$16*(1+Inputs!$D$17)^(AU$227-1)</f>
        <v>185.60256</v>
      </c>
      <c r="AV240" s="119" t="n">
        <f aca="false">Inputs!$D$16*(1+Inputs!$D$17)^(AV$227-1)</f>
        <v>185.60256</v>
      </c>
      <c r="AW240" s="119" t="n">
        <f aca="false">Inputs!$D$16*(1+Inputs!$D$17)^(AW$227-1)</f>
        <v>185.60256</v>
      </c>
      <c r="AX240" s="119" t="n">
        <f aca="false">Inputs!$D$16*(1+Inputs!$D$17)^(AX$227-1)</f>
        <v>185.60256</v>
      </c>
      <c r="AY240" s="119" t="n">
        <f aca="false">Inputs!$D$16*(1+Inputs!$D$17)^(AY$227-1)</f>
        <v>193.0266624</v>
      </c>
      <c r="AZ240" s="119" t="n">
        <f aca="false">Inputs!$D$16*(1+Inputs!$D$17)^(AZ$227-1)</f>
        <v>193.0266624</v>
      </c>
      <c r="BA240" s="119" t="n">
        <f aca="false">Inputs!$D$16*(1+Inputs!$D$17)^(BA$227-1)</f>
        <v>193.0266624</v>
      </c>
      <c r="BB240" s="119" t="n">
        <f aca="false">Inputs!$D$16*(1+Inputs!$D$17)^(BB$227-1)</f>
        <v>193.0266624</v>
      </c>
      <c r="BC240" s="119" t="n">
        <f aca="false">Inputs!$D$16*(1+Inputs!$D$17)^(BC$227-1)</f>
        <v>193.0266624</v>
      </c>
      <c r="BD240" s="119" t="n">
        <f aca="false">Inputs!$D$16*(1+Inputs!$D$17)^(BD$227-1)</f>
        <v>193.0266624</v>
      </c>
      <c r="BE240" s="119" t="n">
        <f aca="false">Inputs!$D$16*(1+Inputs!$D$17)^(BE$227-1)</f>
        <v>193.0266624</v>
      </c>
      <c r="BF240" s="119" t="n">
        <f aca="false">Inputs!$D$16*(1+Inputs!$D$17)^(BF$227-1)</f>
        <v>193.0266624</v>
      </c>
      <c r="BG240" s="119" t="n">
        <f aca="false">Inputs!$D$16*(1+Inputs!$D$17)^(BG$227-1)</f>
        <v>193.0266624</v>
      </c>
      <c r="BH240" s="119" t="n">
        <f aca="false">Inputs!$D$16*(1+Inputs!$D$17)^(BH$227-1)</f>
        <v>193.0266624</v>
      </c>
      <c r="BI240" s="119" t="n">
        <f aca="false">Inputs!$D$16*(1+Inputs!$D$17)^(BI$227-1)</f>
        <v>193.0266624</v>
      </c>
      <c r="BJ240" s="119" t="n">
        <f aca="false">Inputs!$D$16*(1+Inputs!$D$17)^(BJ$227-1)</f>
        <v>193.0266624</v>
      </c>
    </row>
    <row r="241" customFormat="false" ht="15" hidden="false" customHeight="false" outlineLevel="0" collapsed="false">
      <c r="A241" s="6" t="s">
        <v>237</v>
      </c>
      <c r="C241" s="67" t="n">
        <f aca="false">C232*C238+C233*C239+C234*C240</f>
        <v>514500</v>
      </c>
      <c r="D241" s="67" t="n">
        <f aca="false">D232*D238+D233*D239+D234*D240</f>
        <v>514500</v>
      </c>
      <c r="E241" s="67" t="n">
        <f aca="false">E232*E238+E233*E239+E234*E240</f>
        <v>514500</v>
      </c>
      <c r="F241" s="67" t="n">
        <f aca="false">F232*F238+F233*F239+F234*F240</f>
        <v>514500</v>
      </c>
      <c r="G241" s="67" t="n">
        <f aca="false">G232*G238+G233*G239+G234*G240</f>
        <v>514500</v>
      </c>
      <c r="H241" s="67" t="n">
        <f aca="false">H232*H238+H233*H239+H234*H240</f>
        <v>514500</v>
      </c>
      <c r="I241" s="67" t="n">
        <f aca="false">I232*I238+I233*I239+I234*I240</f>
        <v>514500</v>
      </c>
      <c r="J241" s="67" t="n">
        <f aca="false">J232*J238+J233*J239+J234*J240</f>
        <v>514500</v>
      </c>
      <c r="K241" s="67" t="n">
        <f aca="false">K232*K238+K233*K239+K234*K240</f>
        <v>514500</v>
      </c>
      <c r="L241" s="67" t="n">
        <f aca="false">L232*L238+L233*L239+L234*L240</f>
        <v>514500</v>
      </c>
      <c r="M241" s="67" t="n">
        <f aca="false">M232*M238+M233*M239+M234*M240</f>
        <v>514500</v>
      </c>
      <c r="N241" s="67" t="n">
        <f aca="false">N232*N238+N233*N239+N234*N240</f>
        <v>514500</v>
      </c>
      <c r="O241" s="67" t="n">
        <f aca="false">O232*O238+O233*O239+O234*O240</f>
        <v>680628</v>
      </c>
      <c r="P241" s="67" t="n">
        <f aca="false">P232*P238+P233*P239+P234*P240</f>
        <v>680628</v>
      </c>
      <c r="Q241" s="67" t="n">
        <f aca="false">Q232*Q238+Q233*Q239+Q234*Q240</f>
        <v>680628</v>
      </c>
      <c r="R241" s="67" t="n">
        <f aca="false">R232*R238+R233*R239+R234*R240</f>
        <v>680628</v>
      </c>
      <c r="S241" s="67" t="n">
        <f aca="false">S232*S238+S233*S239+S234*S240</f>
        <v>680628</v>
      </c>
      <c r="T241" s="67" t="n">
        <f aca="false">T232*T238+T233*T239+T234*T240</f>
        <v>680628</v>
      </c>
      <c r="U241" s="67" t="n">
        <f aca="false">U232*U238+U233*U239+U234*U240</f>
        <v>680628</v>
      </c>
      <c r="V241" s="67" t="n">
        <f aca="false">V232*V238+V233*V239+V234*V240</f>
        <v>680628</v>
      </c>
      <c r="W241" s="67" t="n">
        <f aca="false">W232*W238+W233*W239+W234*W240</f>
        <v>680628</v>
      </c>
      <c r="X241" s="67" t="n">
        <f aca="false">X232*X238+X233*X239+X234*X240</f>
        <v>680628</v>
      </c>
      <c r="Y241" s="67" t="n">
        <f aca="false">Y232*Y238+Y233*Y239+Y234*Y240</f>
        <v>680628</v>
      </c>
      <c r="Z241" s="67" t="n">
        <f aca="false">Z232*Z238+Z233*Z239+Z234*Z240</f>
        <v>680628</v>
      </c>
      <c r="AA241" s="67" t="n">
        <f aca="false">AA232*AA238+AA233*AA239+AA234*AA240</f>
        <v>901519.008</v>
      </c>
      <c r="AB241" s="67" t="n">
        <f aca="false">AB232*AB238+AB233*AB239+AB234*AB240</f>
        <v>901519.008</v>
      </c>
      <c r="AC241" s="67" t="n">
        <f aca="false">AC232*AC238+AC233*AC239+AC234*AC240</f>
        <v>901519.008</v>
      </c>
      <c r="AD241" s="67" t="n">
        <f aca="false">AD232*AD238+AD233*AD239+AD234*AD240</f>
        <v>901519.008</v>
      </c>
      <c r="AE241" s="67" t="n">
        <f aca="false">AE232*AE238+AE233*AE239+AE234*AE240</f>
        <v>901519.008</v>
      </c>
      <c r="AF241" s="67" t="n">
        <f aca="false">AF232*AF238+AF233*AF239+AF234*AF240</f>
        <v>901519.008</v>
      </c>
      <c r="AG241" s="67" t="n">
        <f aca="false">AG232*AG238+AG233*AG239+AG234*AG240</f>
        <v>901519.008</v>
      </c>
      <c r="AH241" s="67" t="n">
        <f aca="false">AH232*AH238+AH233*AH239+AH234*AH240</f>
        <v>901519.008</v>
      </c>
      <c r="AI241" s="67" t="n">
        <f aca="false">AI232*AI238+AI233*AI239+AI234*AI240</f>
        <v>901519.008</v>
      </c>
      <c r="AJ241" s="67" t="n">
        <f aca="false">AJ232*AJ238+AJ233*AJ239+AJ234*AJ240</f>
        <v>901519.008</v>
      </c>
      <c r="AK241" s="67" t="n">
        <f aca="false">AK232*AK238+AK233*AK239+AK234*AK240</f>
        <v>901519.008</v>
      </c>
      <c r="AL241" s="67" t="n">
        <f aca="false">AL232*AL238+AL233*AL239+AL234*AL240</f>
        <v>901519.008</v>
      </c>
      <c r="AM241" s="67" t="n">
        <f aca="false">AM232*AM238+AM233*AM239+AM234*AM240</f>
        <v>1195528.518912</v>
      </c>
      <c r="AN241" s="67" t="n">
        <f aca="false">AN232*AN238+AN233*AN239+AN234*AN240</f>
        <v>1195528.518912</v>
      </c>
      <c r="AO241" s="67" t="n">
        <f aca="false">AO232*AO238+AO233*AO239+AO234*AO240</f>
        <v>1195528.518912</v>
      </c>
      <c r="AP241" s="67" t="n">
        <f aca="false">AP232*AP238+AP233*AP239+AP234*AP240</f>
        <v>1195528.518912</v>
      </c>
      <c r="AQ241" s="67" t="n">
        <f aca="false">AQ232*AQ238+AQ233*AQ239+AQ234*AQ240</f>
        <v>1195528.518912</v>
      </c>
      <c r="AR241" s="67" t="n">
        <f aca="false">AR232*AR238+AR233*AR239+AR234*AR240</f>
        <v>1195528.518912</v>
      </c>
      <c r="AS241" s="67" t="n">
        <f aca="false">AS232*AS238+AS233*AS239+AS234*AS240</f>
        <v>1195528.518912</v>
      </c>
      <c r="AT241" s="67" t="n">
        <f aca="false">AT232*AT238+AT233*AT239+AT234*AT240</f>
        <v>1195528.518912</v>
      </c>
      <c r="AU241" s="67" t="n">
        <f aca="false">AU232*AU238+AU233*AU239+AU234*AU240</f>
        <v>1195528.518912</v>
      </c>
      <c r="AV241" s="67" t="n">
        <f aca="false">AV232*AV238+AV233*AV239+AV234*AV240</f>
        <v>1195528.518912</v>
      </c>
      <c r="AW241" s="67" t="n">
        <f aca="false">AW232*AW238+AW233*AW239+AW234*AW240</f>
        <v>1195528.518912</v>
      </c>
      <c r="AX241" s="67" t="n">
        <f aca="false">AX232*AX238+AX233*AX239+AX234*AX240</f>
        <v>1195528.518912</v>
      </c>
      <c r="AY241" s="67" t="n">
        <f aca="false">AY232*AY238+AY233*AY239+AY234*AY240</f>
        <v>1587244.73304883</v>
      </c>
      <c r="AZ241" s="67" t="n">
        <f aca="false">AZ232*AZ238+AZ233*AZ239+AZ234*AZ240</f>
        <v>1587244.73304883</v>
      </c>
      <c r="BA241" s="67" t="n">
        <f aca="false">BA232*BA238+BA233*BA239+BA234*BA240</f>
        <v>1587244.73304883</v>
      </c>
      <c r="BB241" s="67" t="n">
        <f aca="false">BB232*BB238+BB233*BB239+BB234*BB240</f>
        <v>1587244.73304883</v>
      </c>
      <c r="BC241" s="67" t="n">
        <f aca="false">BC232*BC238+BC233*BC239+BC234*BC240</f>
        <v>1587244.73304883</v>
      </c>
      <c r="BD241" s="67" t="n">
        <f aca="false">BD232*BD238+BD233*BD239+BD234*BD240</f>
        <v>1587244.73304883</v>
      </c>
      <c r="BE241" s="67" t="n">
        <f aca="false">BE232*BE238+BE233*BE239+BE234*BE240</f>
        <v>1587244.73304883</v>
      </c>
      <c r="BF241" s="67" t="n">
        <f aca="false">BF232*BF238+BF233*BF239+BF234*BF240</f>
        <v>1587244.73304883</v>
      </c>
      <c r="BG241" s="67" t="n">
        <f aca="false">BG232*BG238+BG233*BG239+BG234*BG240</f>
        <v>1587244.73304883</v>
      </c>
      <c r="BH241" s="67" t="n">
        <f aca="false">BH232*BH238+BH233*BH239+BH234*BH240</f>
        <v>1587244.73304883</v>
      </c>
      <c r="BI241" s="67" t="n">
        <f aca="false">BI232*BI238+BI233*BI239+BI234*BI240</f>
        <v>1587244.73304883</v>
      </c>
      <c r="BJ241" s="67" t="n">
        <f aca="false">BJ232*BJ238+BJ233*BJ239+BJ234*BJ240</f>
        <v>1587244.73304883</v>
      </c>
    </row>
    <row r="242" customFormat="false" ht="15" hidden="false" customHeight="false" outlineLevel="0" collapsed="false">
      <c r="A242" s="6" t="s">
        <v>239</v>
      </c>
      <c r="C242" s="67" t="n">
        <f aca="false">C241*Inputs!$D$20*(1-Inputs!$D$21)</f>
        <v>189336</v>
      </c>
      <c r="D242" s="67" t="n">
        <f aca="false">D241*Inputs!$D$20*(1-Inputs!$D$21)</f>
        <v>189336</v>
      </c>
      <c r="E242" s="67" t="n">
        <f aca="false">E241*Inputs!$D$20*(1-Inputs!$D$21)</f>
        <v>189336</v>
      </c>
      <c r="F242" s="67" t="n">
        <f aca="false">F241*Inputs!$D$20*(1-Inputs!$D$21)</f>
        <v>189336</v>
      </c>
      <c r="G242" s="67" t="n">
        <f aca="false">G241*Inputs!$D$20*(1-Inputs!$D$21)</f>
        <v>189336</v>
      </c>
      <c r="H242" s="67" t="n">
        <f aca="false">H241*Inputs!$D$20*(1-Inputs!$D$21)</f>
        <v>189336</v>
      </c>
      <c r="I242" s="67" t="n">
        <f aca="false">I241*Inputs!$D$20*(1-Inputs!$D$21)</f>
        <v>189336</v>
      </c>
      <c r="J242" s="67" t="n">
        <f aca="false">J241*Inputs!$D$20*(1-Inputs!$D$21)</f>
        <v>189336</v>
      </c>
      <c r="K242" s="67" t="n">
        <f aca="false">K241*Inputs!$D$20*(1-Inputs!$D$21)</f>
        <v>189336</v>
      </c>
      <c r="L242" s="67" t="n">
        <f aca="false">L241*Inputs!$D$20*(1-Inputs!$D$21)</f>
        <v>189336</v>
      </c>
      <c r="M242" s="67" t="n">
        <f aca="false">M241*Inputs!$D$20*(1-Inputs!$D$21)</f>
        <v>189336</v>
      </c>
      <c r="N242" s="67" t="n">
        <f aca="false">N241*Inputs!$D$20*(1-Inputs!$D$21)</f>
        <v>189336</v>
      </c>
      <c r="O242" s="67" t="n">
        <f aca="false">O241*Inputs!$D$20*(1-Inputs!$D$21)</f>
        <v>250471.104</v>
      </c>
      <c r="P242" s="67" t="n">
        <f aca="false">P241*Inputs!$D$20*(1-Inputs!$D$21)</f>
        <v>250471.104</v>
      </c>
      <c r="Q242" s="67" t="n">
        <f aca="false">Q241*Inputs!$D$20*(1-Inputs!$D$21)</f>
        <v>250471.104</v>
      </c>
      <c r="R242" s="67" t="n">
        <f aca="false">R241*Inputs!$D$20*(1-Inputs!$D$21)</f>
        <v>250471.104</v>
      </c>
      <c r="S242" s="67" t="n">
        <f aca="false">S241*Inputs!$D$20*(1-Inputs!$D$21)</f>
        <v>250471.104</v>
      </c>
      <c r="T242" s="67" t="n">
        <f aca="false">T241*Inputs!$D$20*(1-Inputs!$D$21)</f>
        <v>250471.104</v>
      </c>
      <c r="U242" s="67" t="n">
        <f aca="false">U241*Inputs!$D$20*(1-Inputs!$D$21)</f>
        <v>250471.104</v>
      </c>
      <c r="V242" s="67" t="n">
        <f aca="false">V241*Inputs!$D$20*(1-Inputs!$D$21)</f>
        <v>250471.104</v>
      </c>
      <c r="W242" s="67" t="n">
        <f aca="false">W241*Inputs!$D$20*(1-Inputs!$D$21)</f>
        <v>250471.104</v>
      </c>
      <c r="X242" s="67" t="n">
        <f aca="false">X241*Inputs!$D$20*(1-Inputs!$D$21)</f>
        <v>250471.104</v>
      </c>
      <c r="Y242" s="67" t="n">
        <f aca="false">Y241*Inputs!$D$20*(1-Inputs!$D$21)</f>
        <v>250471.104</v>
      </c>
      <c r="Z242" s="67" t="n">
        <f aca="false">Z241*Inputs!$D$20*(1-Inputs!$D$21)</f>
        <v>250471.104</v>
      </c>
      <c r="AA242" s="67" t="n">
        <f aca="false">AA241*Inputs!$D$20*(1-Inputs!$D$21)</f>
        <v>331758.994944</v>
      </c>
      <c r="AB242" s="67" t="n">
        <f aca="false">AB241*Inputs!$D$20*(1-Inputs!$D$21)</f>
        <v>331758.994944</v>
      </c>
      <c r="AC242" s="67" t="n">
        <f aca="false">AC241*Inputs!$D$20*(1-Inputs!$D$21)</f>
        <v>331758.994944</v>
      </c>
      <c r="AD242" s="67" t="n">
        <f aca="false">AD241*Inputs!$D$20*(1-Inputs!$D$21)</f>
        <v>331758.994944</v>
      </c>
      <c r="AE242" s="67" t="n">
        <f aca="false">AE241*Inputs!$D$20*(1-Inputs!$D$21)</f>
        <v>331758.994944</v>
      </c>
      <c r="AF242" s="67" t="n">
        <f aca="false">AF241*Inputs!$D$20*(1-Inputs!$D$21)</f>
        <v>331758.994944</v>
      </c>
      <c r="AG242" s="67" t="n">
        <f aca="false">AG241*Inputs!$D$20*(1-Inputs!$D$21)</f>
        <v>331758.994944</v>
      </c>
      <c r="AH242" s="67" t="n">
        <f aca="false">AH241*Inputs!$D$20*(1-Inputs!$D$21)</f>
        <v>331758.994944</v>
      </c>
      <c r="AI242" s="67" t="n">
        <f aca="false">AI241*Inputs!$D$20*(1-Inputs!$D$21)</f>
        <v>331758.994944</v>
      </c>
      <c r="AJ242" s="67" t="n">
        <f aca="false">AJ241*Inputs!$D$20*(1-Inputs!$D$21)</f>
        <v>331758.994944</v>
      </c>
      <c r="AK242" s="67" t="n">
        <f aca="false">AK241*Inputs!$D$20*(1-Inputs!$D$21)</f>
        <v>331758.994944</v>
      </c>
      <c r="AL242" s="67" t="n">
        <f aca="false">AL241*Inputs!$D$20*(1-Inputs!$D$21)</f>
        <v>331758.994944</v>
      </c>
      <c r="AM242" s="67" t="n">
        <f aca="false">AM241*Inputs!$D$20*(1-Inputs!$D$21)</f>
        <v>439954.494959616</v>
      </c>
      <c r="AN242" s="67" t="n">
        <f aca="false">AN241*Inputs!$D$20*(1-Inputs!$D$21)</f>
        <v>439954.494959616</v>
      </c>
      <c r="AO242" s="67" t="n">
        <f aca="false">AO241*Inputs!$D$20*(1-Inputs!$D$21)</f>
        <v>439954.494959616</v>
      </c>
      <c r="AP242" s="67" t="n">
        <f aca="false">AP241*Inputs!$D$20*(1-Inputs!$D$21)</f>
        <v>439954.494959616</v>
      </c>
      <c r="AQ242" s="67" t="n">
        <f aca="false">AQ241*Inputs!$D$20*(1-Inputs!$D$21)</f>
        <v>439954.494959616</v>
      </c>
      <c r="AR242" s="67" t="n">
        <f aca="false">AR241*Inputs!$D$20*(1-Inputs!$D$21)</f>
        <v>439954.494959616</v>
      </c>
      <c r="AS242" s="67" t="n">
        <f aca="false">AS241*Inputs!$D$20*(1-Inputs!$D$21)</f>
        <v>439954.494959616</v>
      </c>
      <c r="AT242" s="67" t="n">
        <f aca="false">AT241*Inputs!$D$20*(1-Inputs!$D$21)</f>
        <v>439954.494959616</v>
      </c>
      <c r="AU242" s="67" t="n">
        <f aca="false">AU241*Inputs!$D$20*(1-Inputs!$D$21)</f>
        <v>439954.494959616</v>
      </c>
      <c r="AV242" s="67" t="n">
        <f aca="false">AV241*Inputs!$D$20*(1-Inputs!$D$21)</f>
        <v>439954.494959616</v>
      </c>
      <c r="AW242" s="67" t="n">
        <f aca="false">AW241*Inputs!$D$20*(1-Inputs!$D$21)</f>
        <v>439954.494959616</v>
      </c>
      <c r="AX242" s="67" t="n">
        <f aca="false">AX241*Inputs!$D$20*(1-Inputs!$D$21)</f>
        <v>439954.494959616</v>
      </c>
      <c r="AY242" s="67" t="n">
        <f aca="false">AY241*Inputs!$D$20*(1-Inputs!$D$21)</f>
        <v>584106.06176197</v>
      </c>
      <c r="AZ242" s="67" t="n">
        <f aca="false">AZ241*Inputs!$D$20*(1-Inputs!$D$21)</f>
        <v>584106.06176197</v>
      </c>
      <c r="BA242" s="67" t="n">
        <f aca="false">BA241*Inputs!$D$20*(1-Inputs!$D$21)</f>
        <v>584106.06176197</v>
      </c>
      <c r="BB242" s="67" t="n">
        <f aca="false">BB241*Inputs!$D$20*(1-Inputs!$D$21)</f>
        <v>584106.06176197</v>
      </c>
      <c r="BC242" s="67" t="n">
        <f aca="false">BC241*Inputs!$D$20*(1-Inputs!$D$21)</f>
        <v>584106.06176197</v>
      </c>
      <c r="BD242" s="67" t="n">
        <f aca="false">BD241*Inputs!$D$20*(1-Inputs!$D$21)</f>
        <v>584106.06176197</v>
      </c>
      <c r="BE242" s="67" t="n">
        <f aca="false">BE241*Inputs!$D$20*(1-Inputs!$D$21)</f>
        <v>584106.06176197</v>
      </c>
      <c r="BF242" s="67" t="n">
        <f aca="false">BF241*Inputs!$D$20*(1-Inputs!$D$21)</f>
        <v>584106.06176197</v>
      </c>
      <c r="BG242" s="67" t="n">
        <f aca="false">BG241*Inputs!$D$20*(1-Inputs!$D$21)</f>
        <v>584106.06176197</v>
      </c>
      <c r="BH242" s="67" t="n">
        <f aca="false">BH241*Inputs!$D$20*(1-Inputs!$D$21)</f>
        <v>584106.06176197</v>
      </c>
      <c r="BI242" s="67" t="n">
        <f aca="false">BI241*Inputs!$D$20*(1-Inputs!$D$21)</f>
        <v>584106.06176197</v>
      </c>
      <c r="BJ242" s="67" t="n">
        <f aca="false">BJ241*Inputs!$D$20*(1-Inputs!$D$21)</f>
        <v>584106.06176197</v>
      </c>
    </row>
    <row r="243" customFormat="false" ht="15" hidden="false" customHeight="false" outlineLevel="0" collapsed="false">
      <c r="A243" s="6" t="s">
        <v>410</v>
      </c>
      <c r="C243" s="67" t="n">
        <f aca="false">C241*(1-Inputs!$D$20)*Inputs!$D$22</f>
        <v>293265</v>
      </c>
      <c r="D243" s="67" t="n">
        <f aca="false">D241*(1-Inputs!$D$20)*Inputs!$D$22</f>
        <v>293265</v>
      </c>
      <c r="E243" s="67" t="n">
        <f aca="false">E241*(1-Inputs!$D$20)*Inputs!$D$22</f>
        <v>293265</v>
      </c>
      <c r="F243" s="67" t="n">
        <f aca="false">F241*(1-Inputs!$D$20)*Inputs!$D$22</f>
        <v>293265</v>
      </c>
      <c r="G243" s="67" t="n">
        <f aca="false">G241*(1-Inputs!$D$20)*Inputs!$D$22</f>
        <v>293265</v>
      </c>
      <c r="H243" s="67" t="n">
        <f aca="false">H241*(1-Inputs!$D$20)*Inputs!$D$22</f>
        <v>293265</v>
      </c>
      <c r="I243" s="67" t="n">
        <f aca="false">I241*(1-Inputs!$D$20)*Inputs!$D$22</f>
        <v>293265</v>
      </c>
      <c r="J243" s="67" t="n">
        <f aca="false">J241*(1-Inputs!$D$20)*Inputs!$D$22</f>
        <v>293265</v>
      </c>
      <c r="K243" s="67" t="n">
        <f aca="false">K241*(1-Inputs!$D$20)*Inputs!$D$22</f>
        <v>293265</v>
      </c>
      <c r="L243" s="67" t="n">
        <f aca="false">L241*(1-Inputs!$D$20)*Inputs!$D$22</f>
        <v>293265</v>
      </c>
      <c r="M243" s="67" t="n">
        <f aca="false">M241*(1-Inputs!$D$20)*Inputs!$D$22</f>
        <v>293265</v>
      </c>
      <c r="N243" s="67" t="n">
        <f aca="false">N241*(1-Inputs!$D$20)*Inputs!$D$22</f>
        <v>293265</v>
      </c>
      <c r="O243" s="67" t="n">
        <f aca="false">O241*(1-Inputs!$D$20)*Inputs!$D$22</f>
        <v>387957.96</v>
      </c>
      <c r="P243" s="67" t="n">
        <f aca="false">P241*(1-Inputs!$D$20)*Inputs!$D$22</f>
        <v>387957.96</v>
      </c>
      <c r="Q243" s="67" t="n">
        <f aca="false">Q241*(1-Inputs!$D$20)*Inputs!$D$22</f>
        <v>387957.96</v>
      </c>
      <c r="R243" s="67" t="n">
        <f aca="false">R241*(1-Inputs!$D$20)*Inputs!$D$22</f>
        <v>387957.96</v>
      </c>
      <c r="S243" s="67" t="n">
        <f aca="false">S241*(1-Inputs!$D$20)*Inputs!$D$22</f>
        <v>387957.96</v>
      </c>
      <c r="T243" s="67" t="n">
        <f aca="false">T241*(1-Inputs!$D$20)*Inputs!$D$22</f>
        <v>387957.96</v>
      </c>
      <c r="U243" s="67" t="n">
        <f aca="false">U241*(1-Inputs!$D$20)*Inputs!$D$22</f>
        <v>387957.96</v>
      </c>
      <c r="V243" s="67" t="n">
        <f aca="false">V241*(1-Inputs!$D$20)*Inputs!$D$22</f>
        <v>387957.96</v>
      </c>
      <c r="W243" s="67" t="n">
        <f aca="false">W241*(1-Inputs!$D$20)*Inputs!$D$22</f>
        <v>387957.96</v>
      </c>
      <c r="X243" s="67" t="n">
        <f aca="false">X241*(1-Inputs!$D$20)*Inputs!$D$22</f>
        <v>387957.96</v>
      </c>
      <c r="Y243" s="67" t="n">
        <f aca="false">Y241*(1-Inputs!$D$20)*Inputs!$D$22</f>
        <v>387957.96</v>
      </c>
      <c r="Z243" s="67" t="n">
        <f aca="false">Z241*(1-Inputs!$D$20)*Inputs!$D$22</f>
        <v>387957.96</v>
      </c>
      <c r="AA243" s="67" t="n">
        <f aca="false">AA241*(1-Inputs!$D$20)*Inputs!$D$22</f>
        <v>513865.83456</v>
      </c>
      <c r="AB243" s="67" t="n">
        <f aca="false">AB241*(1-Inputs!$D$20)*Inputs!$D$22</f>
        <v>513865.83456</v>
      </c>
      <c r="AC243" s="67" t="n">
        <f aca="false">AC241*(1-Inputs!$D$20)*Inputs!$D$22</f>
        <v>513865.83456</v>
      </c>
      <c r="AD243" s="67" t="n">
        <f aca="false">AD241*(1-Inputs!$D$20)*Inputs!$D$22</f>
        <v>513865.83456</v>
      </c>
      <c r="AE243" s="67" t="n">
        <f aca="false">AE241*(1-Inputs!$D$20)*Inputs!$D$22</f>
        <v>513865.83456</v>
      </c>
      <c r="AF243" s="67" t="n">
        <f aca="false">AF241*(1-Inputs!$D$20)*Inputs!$D$22</f>
        <v>513865.83456</v>
      </c>
      <c r="AG243" s="67" t="n">
        <f aca="false">AG241*(1-Inputs!$D$20)*Inputs!$D$22</f>
        <v>513865.83456</v>
      </c>
      <c r="AH243" s="67" t="n">
        <f aca="false">AH241*(1-Inputs!$D$20)*Inputs!$D$22</f>
        <v>513865.83456</v>
      </c>
      <c r="AI243" s="67" t="n">
        <f aca="false">AI241*(1-Inputs!$D$20)*Inputs!$D$22</f>
        <v>513865.83456</v>
      </c>
      <c r="AJ243" s="67" t="n">
        <f aca="false">AJ241*(1-Inputs!$D$20)*Inputs!$D$22</f>
        <v>513865.83456</v>
      </c>
      <c r="AK243" s="67" t="n">
        <f aca="false">AK241*(1-Inputs!$D$20)*Inputs!$D$22</f>
        <v>513865.83456</v>
      </c>
      <c r="AL243" s="67" t="n">
        <f aca="false">AL241*(1-Inputs!$D$20)*Inputs!$D$22</f>
        <v>513865.83456</v>
      </c>
      <c r="AM243" s="67" t="n">
        <f aca="false">AM241*(1-Inputs!$D$20)*Inputs!$D$22</f>
        <v>681451.25577984</v>
      </c>
      <c r="AN243" s="67" t="n">
        <f aca="false">AN241*(1-Inputs!$D$20)*Inputs!$D$22</f>
        <v>681451.25577984</v>
      </c>
      <c r="AO243" s="67" t="n">
        <f aca="false">AO241*(1-Inputs!$D$20)*Inputs!$D$22</f>
        <v>681451.25577984</v>
      </c>
      <c r="AP243" s="67" t="n">
        <f aca="false">AP241*(1-Inputs!$D$20)*Inputs!$D$22</f>
        <v>681451.25577984</v>
      </c>
      <c r="AQ243" s="67" t="n">
        <f aca="false">AQ241*(1-Inputs!$D$20)*Inputs!$D$22</f>
        <v>681451.25577984</v>
      </c>
      <c r="AR243" s="67" t="n">
        <f aca="false">AR241*(1-Inputs!$D$20)*Inputs!$D$22</f>
        <v>681451.25577984</v>
      </c>
      <c r="AS243" s="67" t="n">
        <f aca="false">AS241*(1-Inputs!$D$20)*Inputs!$D$22</f>
        <v>681451.25577984</v>
      </c>
      <c r="AT243" s="67" t="n">
        <f aca="false">AT241*(1-Inputs!$D$20)*Inputs!$D$22</f>
        <v>681451.25577984</v>
      </c>
      <c r="AU243" s="67" t="n">
        <f aca="false">AU241*(1-Inputs!$D$20)*Inputs!$D$22</f>
        <v>681451.25577984</v>
      </c>
      <c r="AV243" s="67" t="n">
        <f aca="false">AV241*(1-Inputs!$D$20)*Inputs!$D$22</f>
        <v>681451.25577984</v>
      </c>
      <c r="AW243" s="67" t="n">
        <f aca="false">AW241*(1-Inputs!$D$20)*Inputs!$D$22</f>
        <v>681451.25577984</v>
      </c>
      <c r="AX243" s="67" t="n">
        <f aca="false">AX241*(1-Inputs!$D$20)*Inputs!$D$22</f>
        <v>681451.25577984</v>
      </c>
      <c r="AY243" s="67" t="n">
        <f aca="false">AY241*(1-Inputs!$D$20)*Inputs!$D$22</f>
        <v>904729.497837834</v>
      </c>
      <c r="AZ243" s="67" t="n">
        <f aca="false">AZ241*(1-Inputs!$D$20)*Inputs!$D$22</f>
        <v>904729.497837834</v>
      </c>
      <c r="BA243" s="67" t="n">
        <f aca="false">BA241*(1-Inputs!$D$20)*Inputs!$D$22</f>
        <v>904729.497837834</v>
      </c>
      <c r="BB243" s="67" t="n">
        <f aca="false">BB241*(1-Inputs!$D$20)*Inputs!$D$22</f>
        <v>904729.497837834</v>
      </c>
      <c r="BC243" s="67" t="n">
        <f aca="false">BC241*(1-Inputs!$D$20)*Inputs!$D$22</f>
        <v>904729.497837834</v>
      </c>
      <c r="BD243" s="67" t="n">
        <f aca="false">BD241*(1-Inputs!$D$20)*Inputs!$D$22</f>
        <v>904729.497837834</v>
      </c>
      <c r="BE243" s="67" t="n">
        <f aca="false">BE241*(1-Inputs!$D$20)*Inputs!$D$22</f>
        <v>904729.497837834</v>
      </c>
      <c r="BF243" s="67" t="n">
        <f aca="false">BF241*(1-Inputs!$D$20)*Inputs!$D$22</f>
        <v>904729.497837834</v>
      </c>
      <c r="BG243" s="67" t="n">
        <f aca="false">BG241*(1-Inputs!$D$20)*Inputs!$D$22</f>
        <v>904729.497837834</v>
      </c>
      <c r="BH243" s="67" t="n">
        <f aca="false">BH241*(1-Inputs!$D$20)*Inputs!$D$22</f>
        <v>904729.497837834</v>
      </c>
      <c r="BI243" s="67" t="n">
        <f aca="false">BI241*(1-Inputs!$D$20)*Inputs!$D$22</f>
        <v>904729.497837834</v>
      </c>
      <c r="BJ243" s="67" t="n">
        <f aca="false">BJ241*(1-Inputs!$D$20)*Inputs!$D$22</f>
        <v>904729.497837834</v>
      </c>
    </row>
    <row r="244" customFormat="false" ht="15" hidden="false" customHeight="false" outlineLevel="0" collapsed="false">
      <c r="A244" s="113" t="s">
        <v>238</v>
      </c>
      <c r="C244" s="68" t="n">
        <f aca="false">C242+C243</f>
        <v>482601</v>
      </c>
      <c r="D244" s="68" t="n">
        <f aca="false">D242+D243</f>
        <v>482601</v>
      </c>
      <c r="E244" s="68" t="n">
        <f aca="false">E242+E243</f>
        <v>482601</v>
      </c>
      <c r="F244" s="68" t="n">
        <f aca="false">F242+F243</f>
        <v>482601</v>
      </c>
      <c r="G244" s="68" t="n">
        <f aca="false">G242+G243</f>
        <v>482601</v>
      </c>
      <c r="H244" s="68" t="n">
        <f aca="false">H242+H243</f>
        <v>482601</v>
      </c>
      <c r="I244" s="68" t="n">
        <f aca="false">I242+I243</f>
        <v>482601</v>
      </c>
      <c r="J244" s="68" t="n">
        <f aca="false">J242+J243</f>
        <v>482601</v>
      </c>
      <c r="K244" s="68" t="n">
        <f aca="false">K242+K243</f>
        <v>482601</v>
      </c>
      <c r="L244" s="68" t="n">
        <f aca="false">L242+L243</f>
        <v>482601</v>
      </c>
      <c r="M244" s="68" t="n">
        <f aca="false">M242+M243</f>
        <v>482601</v>
      </c>
      <c r="N244" s="68" t="n">
        <f aca="false">N242+N243</f>
        <v>482601</v>
      </c>
      <c r="O244" s="68" t="n">
        <f aca="false">O242+O243</f>
        <v>638429.064</v>
      </c>
      <c r="P244" s="68" t="n">
        <f aca="false">P242+P243</f>
        <v>638429.064</v>
      </c>
      <c r="Q244" s="68" t="n">
        <f aca="false">Q242+Q243</f>
        <v>638429.064</v>
      </c>
      <c r="R244" s="68" t="n">
        <f aca="false">R242+R243</f>
        <v>638429.064</v>
      </c>
      <c r="S244" s="68" t="n">
        <f aca="false">S242+S243</f>
        <v>638429.064</v>
      </c>
      <c r="T244" s="68" t="n">
        <f aca="false">T242+T243</f>
        <v>638429.064</v>
      </c>
      <c r="U244" s="68" t="n">
        <f aca="false">U242+U243</f>
        <v>638429.064</v>
      </c>
      <c r="V244" s="68" t="n">
        <f aca="false">V242+V243</f>
        <v>638429.064</v>
      </c>
      <c r="W244" s="68" t="n">
        <f aca="false">W242+W243</f>
        <v>638429.064</v>
      </c>
      <c r="X244" s="68" t="n">
        <f aca="false">X242+X243</f>
        <v>638429.064</v>
      </c>
      <c r="Y244" s="68" t="n">
        <f aca="false">Y242+Y243</f>
        <v>638429.064</v>
      </c>
      <c r="Z244" s="68" t="n">
        <f aca="false">Z242+Z243</f>
        <v>638429.064</v>
      </c>
      <c r="AA244" s="68" t="n">
        <f aca="false">AA242+AA243</f>
        <v>845624.829504</v>
      </c>
      <c r="AB244" s="68" t="n">
        <f aca="false">AB242+AB243</f>
        <v>845624.829504</v>
      </c>
      <c r="AC244" s="68" t="n">
        <f aca="false">AC242+AC243</f>
        <v>845624.829504</v>
      </c>
      <c r="AD244" s="68" t="n">
        <f aca="false">AD242+AD243</f>
        <v>845624.829504</v>
      </c>
      <c r="AE244" s="68" t="n">
        <f aca="false">AE242+AE243</f>
        <v>845624.829504</v>
      </c>
      <c r="AF244" s="68" t="n">
        <f aca="false">AF242+AF243</f>
        <v>845624.829504</v>
      </c>
      <c r="AG244" s="68" t="n">
        <f aca="false">AG242+AG243</f>
        <v>845624.829504</v>
      </c>
      <c r="AH244" s="68" t="n">
        <f aca="false">AH242+AH243</f>
        <v>845624.829504</v>
      </c>
      <c r="AI244" s="68" t="n">
        <f aca="false">AI242+AI243</f>
        <v>845624.829504</v>
      </c>
      <c r="AJ244" s="68" t="n">
        <f aca="false">AJ242+AJ243</f>
        <v>845624.829504</v>
      </c>
      <c r="AK244" s="68" t="n">
        <f aca="false">AK242+AK243</f>
        <v>845624.829504</v>
      </c>
      <c r="AL244" s="68" t="n">
        <f aca="false">AL242+AL243</f>
        <v>845624.829504</v>
      </c>
      <c r="AM244" s="68" t="n">
        <f aca="false">AM242+AM243</f>
        <v>1121405.75073946</v>
      </c>
      <c r="AN244" s="68" t="n">
        <f aca="false">AN242+AN243</f>
        <v>1121405.75073946</v>
      </c>
      <c r="AO244" s="68" t="n">
        <f aca="false">AO242+AO243</f>
        <v>1121405.75073946</v>
      </c>
      <c r="AP244" s="68" t="n">
        <f aca="false">AP242+AP243</f>
        <v>1121405.75073946</v>
      </c>
      <c r="AQ244" s="68" t="n">
        <f aca="false">AQ242+AQ243</f>
        <v>1121405.75073946</v>
      </c>
      <c r="AR244" s="68" t="n">
        <f aca="false">AR242+AR243</f>
        <v>1121405.75073946</v>
      </c>
      <c r="AS244" s="68" t="n">
        <f aca="false">AS242+AS243</f>
        <v>1121405.75073946</v>
      </c>
      <c r="AT244" s="68" t="n">
        <f aca="false">AT242+AT243</f>
        <v>1121405.75073946</v>
      </c>
      <c r="AU244" s="68" t="n">
        <f aca="false">AU242+AU243</f>
        <v>1121405.75073946</v>
      </c>
      <c r="AV244" s="68" t="n">
        <f aca="false">AV242+AV243</f>
        <v>1121405.75073946</v>
      </c>
      <c r="AW244" s="68" t="n">
        <f aca="false">AW242+AW243</f>
        <v>1121405.75073946</v>
      </c>
      <c r="AX244" s="68" t="n">
        <f aca="false">AX242+AX243</f>
        <v>1121405.75073946</v>
      </c>
      <c r="AY244" s="68" t="n">
        <f aca="false">AY242+AY243</f>
        <v>1488835.5595998</v>
      </c>
      <c r="AZ244" s="68" t="n">
        <f aca="false">AZ242+AZ243</f>
        <v>1488835.5595998</v>
      </c>
      <c r="BA244" s="68" t="n">
        <f aca="false">BA242+BA243</f>
        <v>1488835.5595998</v>
      </c>
      <c r="BB244" s="68" t="n">
        <f aca="false">BB242+BB243</f>
        <v>1488835.5595998</v>
      </c>
      <c r="BC244" s="68" t="n">
        <f aca="false">BC242+BC243</f>
        <v>1488835.5595998</v>
      </c>
      <c r="BD244" s="68" t="n">
        <f aca="false">BD242+BD243</f>
        <v>1488835.5595998</v>
      </c>
      <c r="BE244" s="68" t="n">
        <f aca="false">BE242+BE243</f>
        <v>1488835.5595998</v>
      </c>
      <c r="BF244" s="68" t="n">
        <f aca="false">BF242+BF243</f>
        <v>1488835.5595998</v>
      </c>
      <c r="BG244" s="68" t="n">
        <f aca="false">BG242+BG243</f>
        <v>1488835.5595998</v>
      </c>
      <c r="BH244" s="68" t="n">
        <f aca="false">BH242+BH243</f>
        <v>1488835.5595998</v>
      </c>
      <c r="BI244" s="68" t="n">
        <f aca="false">BI242+BI243</f>
        <v>1488835.5595998</v>
      </c>
      <c r="BJ244" s="68" t="n">
        <f aca="false">BJ242+BJ243</f>
        <v>1488835.5595998</v>
      </c>
    </row>
    <row r="246" customFormat="false" ht="15.75" hidden="false" customHeight="true" outlineLevel="0" collapsed="false">
      <c r="A246" s="7" t="s">
        <v>76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customFormat="false" ht="15" hidden="false" customHeight="false" outlineLevel="0" collapsed="false">
      <c r="A247" s="6" t="s">
        <v>244</v>
      </c>
      <c r="C247" s="67" t="n">
        <f aca="false">C327+C328</f>
        <v>-178000</v>
      </c>
      <c r="D247" s="67" t="n">
        <f aca="false">D327+D328</f>
        <v>-178000</v>
      </c>
      <c r="E247" s="67" t="n">
        <f aca="false">E327+E328</f>
        <v>-178000</v>
      </c>
      <c r="F247" s="67" t="n">
        <f aca="false">F327+F328</f>
        <v>-178000</v>
      </c>
      <c r="G247" s="67" t="n">
        <f aca="false">G327+G328</f>
        <v>-178000</v>
      </c>
      <c r="H247" s="67" t="n">
        <f aca="false">H327+H328</f>
        <v>-178000</v>
      </c>
      <c r="I247" s="67" t="n">
        <f aca="false">I327+I328</f>
        <v>-178000</v>
      </c>
      <c r="J247" s="67" t="n">
        <f aca="false">J327+J328</f>
        <v>-178000</v>
      </c>
      <c r="K247" s="67" t="n">
        <f aca="false">K327+K328</f>
        <v>-178000</v>
      </c>
      <c r="L247" s="67" t="n">
        <f aca="false">L327+L328</f>
        <v>-178000</v>
      </c>
      <c r="M247" s="67" t="n">
        <f aca="false">M327+M328</f>
        <v>-178000</v>
      </c>
      <c r="N247" s="67" t="n">
        <f aca="false">N327+N328</f>
        <v>-178000</v>
      </c>
      <c r="O247" s="67" t="n">
        <f aca="false">O327+O328</f>
        <v>-231750</v>
      </c>
      <c r="P247" s="67" t="n">
        <f aca="false">P327+P328</f>
        <v>-231750</v>
      </c>
      <c r="Q247" s="67" t="n">
        <f aca="false">Q327+Q328</f>
        <v>-231750</v>
      </c>
      <c r="R247" s="67" t="n">
        <f aca="false">R327+R328</f>
        <v>-231750</v>
      </c>
      <c r="S247" s="67" t="n">
        <f aca="false">S327+S328</f>
        <v>-231750</v>
      </c>
      <c r="T247" s="67" t="n">
        <f aca="false">T327+T328</f>
        <v>-231750</v>
      </c>
      <c r="U247" s="67" t="n">
        <f aca="false">U327+U328</f>
        <v>-231750</v>
      </c>
      <c r="V247" s="67" t="n">
        <f aca="false">V327+V328</f>
        <v>-231750</v>
      </c>
      <c r="W247" s="67" t="n">
        <f aca="false">W327+W328</f>
        <v>-231750</v>
      </c>
      <c r="X247" s="67" t="n">
        <f aca="false">X327+X328</f>
        <v>-231750</v>
      </c>
      <c r="Y247" s="67" t="n">
        <f aca="false">Y327+Y328</f>
        <v>-231750</v>
      </c>
      <c r="Z247" s="67" t="n">
        <f aca="false">Z327+Z328</f>
        <v>-231750</v>
      </c>
      <c r="AA247" s="67" t="n">
        <f aca="false">AA327+AA328</f>
        <v>-302165.538</v>
      </c>
      <c r="AB247" s="67" t="n">
        <f aca="false">AB327+AB328</f>
        <v>-302165.538</v>
      </c>
      <c r="AC247" s="67" t="n">
        <f aca="false">AC327+AC328</f>
        <v>-302165.538</v>
      </c>
      <c r="AD247" s="67" t="n">
        <f aca="false">AD327+AD328</f>
        <v>-302165.538</v>
      </c>
      <c r="AE247" s="67" t="n">
        <f aca="false">AE327+AE328</f>
        <v>-302165.538</v>
      </c>
      <c r="AF247" s="67" t="n">
        <f aca="false">AF327+AF328</f>
        <v>-302165.538</v>
      </c>
      <c r="AG247" s="67" t="n">
        <f aca="false">AG327+AG328</f>
        <v>-302165.538</v>
      </c>
      <c r="AH247" s="67" t="n">
        <f aca="false">AH327+AH328</f>
        <v>-302165.538</v>
      </c>
      <c r="AI247" s="67" t="n">
        <f aca="false">AI327+AI328</f>
        <v>-302165.538</v>
      </c>
      <c r="AJ247" s="67" t="n">
        <f aca="false">AJ327+AJ328</f>
        <v>-302165.538</v>
      </c>
      <c r="AK247" s="67" t="n">
        <f aca="false">AK327+AK328</f>
        <v>-302165.538</v>
      </c>
      <c r="AL247" s="67" t="n">
        <f aca="false">AL327+AL328</f>
        <v>-302165.538</v>
      </c>
      <c r="AM247" s="67" t="n">
        <f aca="false">AM327+AM328</f>
        <v>-394529.08335</v>
      </c>
      <c r="AN247" s="67" t="n">
        <f aca="false">AN327+AN328</f>
        <v>-394529.08335</v>
      </c>
      <c r="AO247" s="67" t="n">
        <f aca="false">AO327+AO328</f>
        <v>-394529.08335</v>
      </c>
      <c r="AP247" s="67" t="n">
        <f aca="false">AP327+AP328</f>
        <v>-394529.08335</v>
      </c>
      <c r="AQ247" s="67" t="n">
        <f aca="false">AQ327+AQ328</f>
        <v>-394529.08335</v>
      </c>
      <c r="AR247" s="67" t="n">
        <f aca="false">AR327+AR328</f>
        <v>-394529.08335</v>
      </c>
      <c r="AS247" s="67" t="n">
        <f aca="false">AS327+AS328</f>
        <v>-394529.08335</v>
      </c>
      <c r="AT247" s="67" t="n">
        <f aca="false">AT327+AT328</f>
        <v>-394529.08335</v>
      </c>
      <c r="AU247" s="67" t="n">
        <f aca="false">AU327+AU328</f>
        <v>-394529.08335</v>
      </c>
      <c r="AV247" s="67" t="n">
        <f aca="false">AV327+AV328</f>
        <v>-394529.08335</v>
      </c>
      <c r="AW247" s="67" t="n">
        <f aca="false">AW327+AW328</f>
        <v>-394529.08335</v>
      </c>
      <c r="AX247" s="67" t="n">
        <f aca="false">AX327+AX328</f>
        <v>-394529.08335</v>
      </c>
      <c r="AY247" s="67" t="n">
        <f aca="false">AY327+AY328</f>
        <v>-515827.215574098</v>
      </c>
      <c r="AZ247" s="67" t="n">
        <f aca="false">AZ327+AZ328</f>
        <v>-515827.215574098</v>
      </c>
      <c r="BA247" s="67" t="n">
        <f aca="false">BA327+BA328</f>
        <v>-515827.215574098</v>
      </c>
      <c r="BB247" s="67" t="n">
        <f aca="false">BB327+BB328</f>
        <v>-515827.215574098</v>
      </c>
      <c r="BC247" s="67" t="n">
        <f aca="false">BC327+BC328</f>
        <v>-515827.215574098</v>
      </c>
      <c r="BD247" s="67" t="n">
        <f aca="false">BD327+BD328</f>
        <v>-515827.215574098</v>
      </c>
      <c r="BE247" s="67" t="n">
        <f aca="false">BE327+BE328</f>
        <v>-515827.215574098</v>
      </c>
      <c r="BF247" s="67" t="n">
        <f aca="false">BF327+BF328</f>
        <v>-515827.215574098</v>
      </c>
      <c r="BG247" s="67" t="n">
        <f aca="false">BG327+BG328</f>
        <v>-515827.215574098</v>
      </c>
      <c r="BH247" s="67" t="n">
        <f aca="false">BH327+BH328</f>
        <v>-515827.215574098</v>
      </c>
      <c r="BI247" s="67" t="n">
        <f aca="false">BI327+BI328</f>
        <v>-515827.215574098</v>
      </c>
      <c r="BJ247" s="67" t="n">
        <f aca="false">BJ327+BJ328</f>
        <v>-515827.215574098</v>
      </c>
    </row>
    <row r="248" customFormat="false" ht="15" hidden="false" customHeight="false" outlineLevel="0" collapsed="false">
      <c r="A248" s="6" t="s">
        <v>245</v>
      </c>
      <c r="C248" s="67" t="n">
        <f aca="false">-C234*Inputs!$D$25*(1+Inputs!$D$51)^(C$227-1)</f>
        <v>-42500</v>
      </c>
      <c r="D248" s="67" t="n">
        <f aca="false">-D234*Inputs!$D$25*(1+Inputs!$D$51)^(D$227-1)</f>
        <v>-42500</v>
      </c>
      <c r="E248" s="67" t="n">
        <f aca="false">-E234*Inputs!$D$25*(1+Inputs!$D$51)^(E$227-1)</f>
        <v>-42500</v>
      </c>
      <c r="F248" s="67" t="n">
        <f aca="false">-F234*Inputs!$D$25*(1+Inputs!$D$51)^(F$227-1)</f>
        <v>-42500</v>
      </c>
      <c r="G248" s="67" t="n">
        <f aca="false">-G234*Inputs!$D$25*(1+Inputs!$D$51)^(G$227-1)</f>
        <v>-42500</v>
      </c>
      <c r="H248" s="67" t="n">
        <f aca="false">-H234*Inputs!$D$25*(1+Inputs!$D$51)^(H$227-1)</f>
        <v>-42500</v>
      </c>
      <c r="I248" s="67" t="n">
        <f aca="false">-I234*Inputs!$D$25*(1+Inputs!$D$51)^(I$227-1)</f>
        <v>-42500</v>
      </c>
      <c r="J248" s="67" t="n">
        <f aca="false">-J234*Inputs!$D$25*(1+Inputs!$D$51)^(J$227-1)</f>
        <v>-42500</v>
      </c>
      <c r="K248" s="67" t="n">
        <f aca="false">-K234*Inputs!$D$25*(1+Inputs!$D$51)^(K$227-1)</f>
        <v>-42500</v>
      </c>
      <c r="L248" s="67" t="n">
        <f aca="false">-L234*Inputs!$D$25*(1+Inputs!$D$51)^(L$227-1)</f>
        <v>-42500</v>
      </c>
      <c r="M248" s="67" t="n">
        <f aca="false">-M234*Inputs!$D$25*(1+Inputs!$D$51)^(M$227-1)</f>
        <v>-42500</v>
      </c>
      <c r="N248" s="67" t="n">
        <f aca="false">-N234*Inputs!$D$25*(1+Inputs!$D$51)^(N$227-1)</f>
        <v>-42500</v>
      </c>
      <c r="O248" s="67" t="n">
        <f aca="false">-O234*Inputs!$D$25*(1+Inputs!$D$51)^(O$227-1)</f>
        <v>-56907.5</v>
      </c>
      <c r="P248" s="67" t="n">
        <f aca="false">-P234*Inputs!$D$25*(1+Inputs!$D$51)^(P$227-1)</f>
        <v>-56907.5</v>
      </c>
      <c r="Q248" s="67" t="n">
        <f aca="false">-Q234*Inputs!$D$25*(1+Inputs!$D$51)^(Q$227-1)</f>
        <v>-56907.5</v>
      </c>
      <c r="R248" s="67" t="n">
        <f aca="false">-R234*Inputs!$D$25*(1+Inputs!$D$51)^(R$227-1)</f>
        <v>-56907.5</v>
      </c>
      <c r="S248" s="67" t="n">
        <f aca="false">-S234*Inputs!$D$25*(1+Inputs!$D$51)^(S$227-1)</f>
        <v>-56907.5</v>
      </c>
      <c r="T248" s="67" t="n">
        <f aca="false">-T234*Inputs!$D$25*(1+Inputs!$D$51)^(T$227-1)</f>
        <v>-56907.5</v>
      </c>
      <c r="U248" s="67" t="n">
        <f aca="false">-U234*Inputs!$D$25*(1+Inputs!$D$51)^(U$227-1)</f>
        <v>-56907.5</v>
      </c>
      <c r="V248" s="67" t="n">
        <f aca="false">-V234*Inputs!$D$25*(1+Inputs!$D$51)^(V$227-1)</f>
        <v>-56907.5</v>
      </c>
      <c r="W248" s="67" t="n">
        <f aca="false">-W234*Inputs!$D$25*(1+Inputs!$D$51)^(W$227-1)</f>
        <v>-56907.5</v>
      </c>
      <c r="X248" s="67" t="n">
        <f aca="false">-X234*Inputs!$D$25*(1+Inputs!$D$51)^(X$227-1)</f>
        <v>-56907.5</v>
      </c>
      <c r="Y248" s="67" t="n">
        <f aca="false">-Y234*Inputs!$D$25*(1+Inputs!$D$51)^(Y$227-1)</f>
        <v>-56907.5</v>
      </c>
      <c r="Z248" s="67" t="n">
        <f aca="false">-Z234*Inputs!$D$25*(1+Inputs!$D$51)^(Z$227-1)</f>
        <v>-56907.5</v>
      </c>
      <c r="AA248" s="67" t="n">
        <f aca="false">-AA234*Inputs!$D$25*(1+Inputs!$D$51)^(AA$227-1)</f>
        <v>-76199.1425</v>
      </c>
      <c r="AB248" s="67" t="n">
        <f aca="false">-AB234*Inputs!$D$25*(1+Inputs!$D$51)^(AB$227-1)</f>
        <v>-76199.1425</v>
      </c>
      <c r="AC248" s="67" t="n">
        <f aca="false">-AC234*Inputs!$D$25*(1+Inputs!$D$51)^(AC$227-1)</f>
        <v>-76199.1425</v>
      </c>
      <c r="AD248" s="67" t="n">
        <f aca="false">-AD234*Inputs!$D$25*(1+Inputs!$D$51)^(AD$227-1)</f>
        <v>-76199.1425</v>
      </c>
      <c r="AE248" s="67" t="n">
        <f aca="false">-AE234*Inputs!$D$25*(1+Inputs!$D$51)^(AE$227-1)</f>
        <v>-76199.1425</v>
      </c>
      <c r="AF248" s="67" t="n">
        <f aca="false">-AF234*Inputs!$D$25*(1+Inputs!$D$51)^(AF$227-1)</f>
        <v>-76199.1425</v>
      </c>
      <c r="AG248" s="67" t="n">
        <f aca="false">-AG234*Inputs!$D$25*(1+Inputs!$D$51)^(AG$227-1)</f>
        <v>-76199.1425</v>
      </c>
      <c r="AH248" s="67" t="n">
        <f aca="false">-AH234*Inputs!$D$25*(1+Inputs!$D$51)^(AH$227-1)</f>
        <v>-76199.1425</v>
      </c>
      <c r="AI248" s="67" t="n">
        <f aca="false">-AI234*Inputs!$D$25*(1+Inputs!$D$51)^(AI$227-1)</f>
        <v>-76199.1425</v>
      </c>
      <c r="AJ248" s="67" t="n">
        <f aca="false">-AJ234*Inputs!$D$25*(1+Inputs!$D$51)^(AJ$227-1)</f>
        <v>-76199.1425</v>
      </c>
      <c r="AK248" s="67" t="n">
        <f aca="false">-AK234*Inputs!$D$25*(1+Inputs!$D$51)^(AK$227-1)</f>
        <v>-76199.1425</v>
      </c>
      <c r="AL248" s="67" t="n">
        <f aca="false">-AL234*Inputs!$D$25*(1+Inputs!$D$51)^(AL$227-1)</f>
        <v>-76199.1425</v>
      </c>
      <c r="AM248" s="67" t="n">
        <f aca="false">-AM234*Inputs!$D$25*(1+Inputs!$D$51)^(AM$227-1)</f>
        <v>-102030.6518075</v>
      </c>
      <c r="AN248" s="67" t="n">
        <f aca="false">-AN234*Inputs!$D$25*(1+Inputs!$D$51)^(AN$227-1)</f>
        <v>-102030.6518075</v>
      </c>
      <c r="AO248" s="67" t="n">
        <f aca="false">-AO234*Inputs!$D$25*(1+Inputs!$D$51)^(AO$227-1)</f>
        <v>-102030.6518075</v>
      </c>
      <c r="AP248" s="67" t="n">
        <f aca="false">-AP234*Inputs!$D$25*(1+Inputs!$D$51)^(AP$227-1)</f>
        <v>-102030.6518075</v>
      </c>
      <c r="AQ248" s="67" t="n">
        <f aca="false">-AQ234*Inputs!$D$25*(1+Inputs!$D$51)^(AQ$227-1)</f>
        <v>-102030.6518075</v>
      </c>
      <c r="AR248" s="67" t="n">
        <f aca="false">-AR234*Inputs!$D$25*(1+Inputs!$D$51)^(AR$227-1)</f>
        <v>-102030.6518075</v>
      </c>
      <c r="AS248" s="67" t="n">
        <f aca="false">-AS234*Inputs!$D$25*(1+Inputs!$D$51)^(AS$227-1)</f>
        <v>-102030.6518075</v>
      </c>
      <c r="AT248" s="67" t="n">
        <f aca="false">-AT234*Inputs!$D$25*(1+Inputs!$D$51)^(AT$227-1)</f>
        <v>-102030.6518075</v>
      </c>
      <c r="AU248" s="67" t="n">
        <f aca="false">-AU234*Inputs!$D$25*(1+Inputs!$D$51)^(AU$227-1)</f>
        <v>-102030.6518075</v>
      </c>
      <c r="AV248" s="67" t="n">
        <f aca="false">-AV234*Inputs!$D$25*(1+Inputs!$D$51)^(AV$227-1)</f>
        <v>-102030.6518075</v>
      </c>
      <c r="AW248" s="67" t="n">
        <f aca="false">-AW234*Inputs!$D$25*(1+Inputs!$D$51)^(AW$227-1)</f>
        <v>-102030.6518075</v>
      </c>
      <c r="AX248" s="67" t="n">
        <f aca="false">-AX234*Inputs!$D$25*(1+Inputs!$D$51)^(AX$227-1)</f>
        <v>-102030.6518075</v>
      </c>
      <c r="AY248" s="67" t="n">
        <f aca="false">-AY234*Inputs!$D$25*(1+Inputs!$D$51)^(AY$227-1)</f>
        <v>-136619.042770243</v>
      </c>
      <c r="AZ248" s="67" t="n">
        <f aca="false">-AZ234*Inputs!$D$25*(1+Inputs!$D$51)^(AZ$227-1)</f>
        <v>-136619.042770243</v>
      </c>
      <c r="BA248" s="67" t="n">
        <f aca="false">-BA234*Inputs!$D$25*(1+Inputs!$D$51)^(BA$227-1)</f>
        <v>-136619.042770243</v>
      </c>
      <c r="BB248" s="67" t="n">
        <f aca="false">-BB234*Inputs!$D$25*(1+Inputs!$D$51)^(BB$227-1)</f>
        <v>-136619.042770243</v>
      </c>
      <c r="BC248" s="67" t="n">
        <f aca="false">-BC234*Inputs!$D$25*(1+Inputs!$D$51)^(BC$227-1)</f>
        <v>-136619.042770243</v>
      </c>
      <c r="BD248" s="67" t="n">
        <f aca="false">-BD234*Inputs!$D$25*(1+Inputs!$D$51)^(BD$227-1)</f>
        <v>-136619.042770243</v>
      </c>
      <c r="BE248" s="67" t="n">
        <f aca="false">-BE234*Inputs!$D$25*(1+Inputs!$D$51)^(BE$227-1)</f>
        <v>-136619.042770243</v>
      </c>
      <c r="BF248" s="67" t="n">
        <f aca="false">-BF234*Inputs!$D$25*(1+Inputs!$D$51)^(BF$227-1)</f>
        <v>-136619.042770243</v>
      </c>
      <c r="BG248" s="67" t="n">
        <f aca="false">-BG234*Inputs!$D$25*(1+Inputs!$D$51)^(BG$227-1)</f>
        <v>-136619.042770243</v>
      </c>
      <c r="BH248" s="67" t="n">
        <f aca="false">-BH234*Inputs!$D$25*(1+Inputs!$D$51)^(BH$227-1)</f>
        <v>-136619.042770243</v>
      </c>
      <c r="BI248" s="67" t="n">
        <f aca="false">-BI234*Inputs!$D$25*(1+Inputs!$D$51)^(BI$227-1)</f>
        <v>-136619.042770243</v>
      </c>
      <c r="BJ248" s="67" t="n">
        <f aca="false">-BJ234*Inputs!$D$25*(1+Inputs!$D$51)^(BJ$227-1)</f>
        <v>-136619.042770243</v>
      </c>
    </row>
    <row r="249" customFormat="false" ht="15" hidden="false" customHeight="false" outlineLevel="0" collapsed="false">
      <c r="A249" s="6" t="s">
        <v>411</v>
      </c>
      <c r="C249" s="67" t="n">
        <f aca="false">-C244*Inputs!$D$26</f>
        <v>-12065.025</v>
      </c>
      <c r="D249" s="67" t="n">
        <f aca="false">-D244*Inputs!$D$26</f>
        <v>-12065.025</v>
      </c>
      <c r="E249" s="67" t="n">
        <f aca="false">-E244*Inputs!$D$26</f>
        <v>-12065.025</v>
      </c>
      <c r="F249" s="67" t="n">
        <f aca="false">-F244*Inputs!$D$26</f>
        <v>-12065.025</v>
      </c>
      <c r="G249" s="67" t="n">
        <f aca="false">-G244*Inputs!$D$26</f>
        <v>-12065.025</v>
      </c>
      <c r="H249" s="67" t="n">
        <f aca="false">-H244*Inputs!$D$26</f>
        <v>-12065.025</v>
      </c>
      <c r="I249" s="67" t="n">
        <f aca="false">-I244*Inputs!$D$26</f>
        <v>-12065.025</v>
      </c>
      <c r="J249" s="67" t="n">
        <f aca="false">-J244*Inputs!$D$26</f>
        <v>-12065.025</v>
      </c>
      <c r="K249" s="67" t="n">
        <f aca="false">-K244*Inputs!$D$26</f>
        <v>-12065.025</v>
      </c>
      <c r="L249" s="67" t="n">
        <f aca="false">-L244*Inputs!$D$26</f>
        <v>-12065.025</v>
      </c>
      <c r="M249" s="67" t="n">
        <f aca="false">-M244*Inputs!$D$26</f>
        <v>-12065.025</v>
      </c>
      <c r="N249" s="67" t="n">
        <f aca="false">-N244*Inputs!$D$26</f>
        <v>-12065.025</v>
      </c>
      <c r="O249" s="67" t="n">
        <f aca="false">-O244*Inputs!$D$26</f>
        <v>-15960.7266</v>
      </c>
      <c r="P249" s="67" t="n">
        <f aca="false">-P244*Inputs!$D$26</f>
        <v>-15960.7266</v>
      </c>
      <c r="Q249" s="67" t="n">
        <f aca="false">-Q244*Inputs!$D$26</f>
        <v>-15960.7266</v>
      </c>
      <c r="R249" s="67" t="n">
        <f aca="false">-R244*Inputs!$D$26</f>
        <v>-15960.7266</v>
      </c>
      <c r="S249" s="67" t="n">
        <f aca="false">-S244*Inputs!$D$26</f>
        <v>-15960.7266</v>
      </c>
      <c r="T249" s="67" t="n">
        <f aca="false">-T244*Inputs!$D$26</f>
        <v>-15960.7266</v>
      </c>
      <c r="U249" s="67" t="n">
        <f aca="false">-U244*Inputs!$D$26</f>
        <v>-15960.7266</v>
      </c>
      <c r="V249" s="67" t="n">
        <f aca="false">-V244*Inputs!$D$26</f>
        <v>-15960.7266</v>
      </c>
      <c r="W249" s="67" t="n">
        <f aca="false">-W244*Inputs!$D$26</f>
        <v>-15960.7266</v>
      </c>
      <c r="X249" s="67" t="n">
        <f aca="false">-X244*Inputs!$D$26</f>
        <v>-15960.7266</v>
      </c>
      <c r="Y249" s="67" t="n">
        <f aca="false">-Y244*Inputs!$D$26</f>
        <v>-15960.7266</v>
      </c>
      <c r="Z249" s="67" t="n">
        <f aca="false">-Z244*Inputs!$D$26</f>
        <v>-15960.7266</v>
      </c>
      <c r="AA249" s="67" t="n">
        <f aca="false">-AA244*Inputs!$D$26</f>
        <v>-21140.6207376</v>
      </c>
      <c r="AB249" s="67" t="n">
        <f aca="false">-AB244*Inputs!$D$26</f>
        <v>-21140.6207376</v>
      </c>
      <c r="AC249" s="67" t="n">
        <f aca="false">-AC244*Inputs!$D$26</f>
        <v>-21140.6207376</v>
      </c>
      <c r="AD249" s="67" t="n">
        <f aca="false">-AD244*Inputs!$D$26</f>
        <v>-21140.6207376</v>
      </c>
      <c r="AE249" s="67" t="n">
        <f aca="false">-AE244*Inputs!$D$26</f>
        <v>-21140.6207376</v>
      </c>
      <c r="AF249" s="67" t="n">
        <f aca="false">-AF244*Inputs!$D$26</f>
        <v>-21140.6207376</v>
      </c>
      <c r="AG249" s="67" t="n">
        <f aca="false">-AG244*Inputs!$D$26</f>
        <v>-21140.6207376</v>
      </c>
      <c r="AH249" s="67" t="n">
        <f aca="false">-AH244*Inputs!$D$26</f>
        <v>-21140.6207376</v>
      </c>
      <c r="AI249" s="67" t="n">
        <f aca="false">-AI244*Inputs!$D$26</f>
        <v>-21140.6207376</v>
      </c>
      <c r="AJ249" s="67" t="n">
        <f aca="false">-AJ244*Inputs!$D$26</f>
        <v>-21140.6207376</v>
      </c>
      <c r="AK249" s="67" t="n">
        <f aca="false">-AK244*Inputs!$D$26</f>
        <v>-21140.6207376</v>
      </c>
      <c r="AL249" s="67" t="n">
        <f aca="false">-AL244*Inputs!$D$26</f>
        <v>-21140.6207376</v>
      </c>
      <c r="AM249" s="67" t="n">
        <f aca="false">-AM244*Inputs!$D$26</f>
        <v>-28035.1437684864</v>
      </c>
      <c r="AN249" s="67" t="n">
        <f aca="false">-AN244*Inputs!$D$26</f>
        <v>-28035.1437684864</v>
      </c>
      <c r="AO249" s="67" t="n">
        <f aca="false">-AO244*Inputs!$D$26</f>
        <v>-28035.1437684864</v>
      </c>
      <c r="AP249" s="67" t="n">
        <f aca="false">-AP244*Inputs!$D$26</f>
        <v>-28035.1437684864</v>
      </c>
      <c r="AQ249" s="67" t="n">
        <f aca="false">-AQ244*Inputs!$D$26</f>
        <v>-28035.1437684864</v>
      </c>
      <c r="AR249" s="67" t="n">
        <f aca="false">-AR244*Inputs!$D$26</f>
        <v>-28035.1437684864</v>
      </c>
      <c r="AS249" s="67" t="n">
        <f aca="false">-AS244*Inputs!$D$26</f>
        <v>-28035.1437684864</v>
      </c>
      <c r="AT249" s="67" t="n">
        <f aca="false">-AT244*Inputs!$D$26</f>
        <v>-28035.1437684864</v>
      </c>
      <c r="AU249" s="67" t="n">
        <f aca="false">-AU244*Inputs!$D$26</f>
        <v>-28035.1437684864</v>
      </c>
      <c r="AV249" s="67" t="n">
        <f aca="false">-AV244*Inputs!$D$26</f>
        <v>-28035.1437684864</v>
      </c>
      <c r="AW249" s="67" t="n">
        <f aca="false">-AW244*Inputs!$D$26</f>
        <v>-28035.1437684864</v>
      </c>
      <c r="AX249" s="67" t="n">
        <f aca="false">-AX244*Inputs!$D$26</f>
        <v>-28035.1437684864</v>
      </c>
      <c r="AY249" s="67" t="n">
        <f aca="false">-AY244*Inputs!$D$26</f>
        <v>-37220.8889899951</v>
      </c>
      <c r="AZ249" s="67" t="n">
        <f aca="false">-AZ244*Inputs!$D$26</f>
        <v>-37220.8889899951</v>
      </c>
      <c r="BA249" s="67" t="n">
        <f aca="false">-BA244*Inputs!$D$26</f>
        <v>-37220.8889899951</v>
      </c>
      <c r="BB249" s="67" t="n">
        <f aca="false">-BB244*Inputs!$D$26</f>
        <v>-37220.8889899951</v>
      </c>
      <c r="BC249" s="67" t="n">
        <f aca="false">-BC244*Inputs!$D$26</f>
        <v>-37220.8889899951</v>
      </c>
      <c r="BD249" s="67" t="n">
        <f aca="false">-BD244*Inputs!$D$26</f>
        <v>-37220.8889899951</v>
      </c>
      <c r="BE249" s="67" t="n">
        <f aca="false">-BE244*Inputs!$D$26</f>
        <v>-37220.8889899951</v>
      </c>
      <c r="BF249" s="67" t="n">
        <f aca="false">-BF244*Inputs!$D$26</f>
        <v>-37220.8889899951</v>
      </c>
      <c r="BG249" s="67" t="n">
        <f aca="false">-BG244*Inputs!$D$26</f>
        <v>-37220.8889899951</v>
      </c>
      <c r="BH249" s="67" t="n">
        <f aca="false">-BH244*Inputs!$D$26</f>
        <v>-37220.8889899951</v>
      </c>
      <c r="BI249" s="67" t="n">
        <f aca="false">-BI244*Inputs!$D$26</f>
        <v>-37220.8889899951</v>
      </c>
      <c r="BJ249" s="67" t="n">
        <f aca="false">-BJ244*Inputs!$D$26</f>
        <v>-37220.8889899951</v>
      </c>
    </row>
    <row r="250" customFormat="false" ht="15" hidden="false" customHeight="false" outlineLevel="0" collapsed="false">
      <c r="A250" s="4" t="s">
        <v>76</v>
      </c>
      <c r="C250" s="73" t="n">
        <f aca="false">C247+C248+C249</f>
        <v>-232565.025</v>
      </c>
      <c r="D250" s="73" t="n">
        <f aca="false">D247+D248+D249</f>
        <v>-232565.025</v>
      </c>
      <c r="E250" s="73" t="n">
        <f aca="false">E247+E248+E249</f>
        <v>-232565.025</v>
      </c>
      <c r="F250" s="73" t="n">
        <f aca="false">F247+F248+F249</f>
        <v>-232565.025</v>
      </c>
      <c r="G250" s="73" t="n">
        <f aca="false">G247+G248+G249</f>
        <v>-232565.025</v>
      </c>
      <c r="H250" s="73" t="n">
        <f aca="false">H247+H248+H249</f>
        <v>-232565.025</v>
      </c>
      <c r="I250" s="73" t="n">
        <f aca="false">I247+I248+I249</f>
        <v>-232565.025</v>
      </c>
      <c r="J250" s="73" t="n">
        <f aca="false">J247+J248+J249</f>
        <v>-232565.025</v>
      </c>
      <c r="K250" s="73" t="n">
        <f aca="false">K247+K248+K249</f>
        <v>-232565.025</v>
      </c>
      <c r="L250" s="73" t="n">
        <f aca="false">L247+L248+L249</f>
        <v>-232565.025</v>
      </c>
      <c r="M250" s="73" t="n">
        <f aca="false">M247+M248+M249</f>
        <v>-232565.025</v>
      </c>
      <c r="N250" s="73" t="n">
        <f aca="false">N247+N248+N249</f>
        <v>-232565.025</v>
      </c>
      <c r="O250" s="73" t="n">
        <f aca="false">O247+O248+O249</f>
        <v>-304618.2266</v>
      </c>
      <c r="P250" s="73" t="n">
        <f aca="false">P247+P248+P249</f>
        <v>-304618.2266</v>
      </c>
      <c r="Q250" s="73" t="n">
        <f aca="false">Q247+Q248+Q249</f>
        <v>-304618.2266</v>
      </c>
      <c r="R250" s="73" t="n">
        <f aca="false">R247+R248+R249</f>
        <v>-304618.2266</v>
      </c>
      <c r="S250" s="73" t="n">
        <f aca="false">S247+S248+S249</f>
        <v>-304618.2266</v>
      </c>
      <c r="T250" s="73" t="n">
        <f aca="false">T247+T248+T249</f>
        <v>-304618.2266</v>
      </c>
      <c r="U250" s="73" t="n">
        <f aca="false">U247+U248+U249</f>
        <v>-304618.2266</v>
      </c>
      <c r="V250" s="73" t="n">
        <f aca="false">V247+V248+V249</f>
        <v>-304618.2266</v>
      </c>
      <c r="W250" s="73" t="n">
        <f aca="false">W247+W248+W249</f>
        <v>-304618.2266</v>
      </c>
      <c r="X250" s="73" t="n">
        <f aca="false">X247+X248+X249</f>
        <v>-304618.2266</v>
      </c>
      <c r="Y250" s="73" t="n">
        <f aca="false">Y247+Y248+Y249</f>
        <v>-304618.2266</v>
      </c>
      <c r="Z250" s="73" t="n">
        <f aca="false">Z247+Z248+Z249</f>
        <v>-304618.2266</v>
      </c>
      <c r="AA250" s="73" t="n">
        <f aca="false">AA247+AA248+AA249</f>
        <v>-399505.3012376</v>
      </c>
      <c r="AB250" s="73" t="n">
        <f aca="false">AB247+AB248+AB249</f>
        <v>-399505.3012376</v>
      </c>
      <c r="AC250" s="73" t="n">
        <f aca="false">AC247+AC248+AC249</f>
        <v>-399505.3012376</v>
      </c>
      <c r="AD250" s="73" t="n">
        <f aca="false">AD247+AD248+AD249</f>
        <v>-399505.3012376</v>
      </c>
      <c r="AE250" s="73" t="n">
        <f aca="false">AE247+AE248+AE249</f>
        <v>-399505.3012376</v>
      </c>
      <c r="AF250" s="73" t="n">
        <f aca="false">AF247+AF248+AF249</f>
        <v>-399505.3012376</v>
      </c>
      <c r="AG250" s="73" t="n">
        <f aca="false">AG247+AG248+AG249</f>
        <v>-399505.3012376</v>
      </c>
      <c r="AH250" s="73" t="n">
        <f aca="false">AH247+AH248+AH249</f>
        <v>-399505.3012376</v>
      </c>
      <c r="AI250" s="73" t="n">
        <f aca="false">AI247+AI248+AI249</f>
        <v>-399505.3012376</v>
      </c>
      <c r="AJ250" s="73" t="n">
        <f aca="false">AJ247+AJ248+AJ249</f>
        <v>-399505.3012376</v>
      </c>
      <c r="AK250" s="73" t="n">
        <f aca="false">AK247+AK248+AK249</f>
        <v>-399505.3012376</v>
      </c>
      <c r="AL250" s="73" t="n">
        <f aca="false">AL247+AL248+AL249</f>
        <v>-399505.3012376</v>
      </c>
      <c r="AM250" s="73" t="n">
        <f aca="false">AM247+AM248+AM249</f>
        <v>-524594.878925986</v>
      </c>
      <c r="AN250" s="73" t="n">
        <f aca="false">AN247+AN248+AN249</f>
        <v>-524594.878925986</v>
      </c>
      <c r="AO250" s="73" t="n">
        <f aca="false">AO247+AO248+AO249</f>
        <v>-524594.878925986</v>
      </c>
      <c r="AP250" s="73" t="n">
        <f aca="false">AP247+AP248+AP249</f>
        <v>-524594.878925986</v>
      </c>
      <c r="AQ250" s="73" t="n">
        <f aca="false">AQ247+AQ248+AQ249</f>
        <v>-524594.878925986</v>
      </c>
      <c r="AR250" s="73" t="n">
        <f aca="false">AR247+AR248+AR249</f>
        <v>-524594.878925986</v>
      </c>
      <c r="AS250" s="73" t="n">
        <f aca="false">AS247+AS248+AS249</f>
        <v>-524594.878925986</v>
      </c>
      <c r="AT250" s="73" t="n">
        <f aca="false">AT247+AT248+AT249</f>
        <v>-524594.878925986</v>
      </c>
      <c r="AU250" s="73" t="n">
        <f aca="false">AU247+AU248+AU249</f>
        <v>-524594.878925986</v>
      </c>
      <c r="AV250" s="73" t="n">
        <f aca="false">AV247+AV248+AV249</f>
        <v>-524594.878925986</v>
      </c>
      <c r="AW250" s="73" t="n">
        <f aca="false">AW247+AW248+AW249</f>
        <v>-524594.878925986</v>
      </c>
      <c r="AX250" s="73" t="n">
        <f aca="false">AX247+AX248+AX249</f>
        <v>-524594.878925986</v>
      </c>
      <c r="AY250" s="73" t="n">
        <f aca="false">AY247+AY248+AY249</f>
        <v>-689667.147334336</v>
      </c>
      <c r="AZ250" s="73" t="n">
        <f aca="false">AZ247+AZ248+AZ249</f>
        <v>-689667.147334336</v>
      </c>
      <c r="BA250" s="73" t="n">
        <f aca="false">BA247+BA248+BA249</f>
        <v>-689667.147334336</v>
      </c>
      <c r="BB250" s="73" t="n">
        <f aca="false">BB247+BB248+BB249</f>
        <v>-689667.147334336</v>
      </c>
      <c r="BC250" s="73" t="n">
        <f aca="false">BC247+BC248+BC249</f>
        <v>-689667.147334336</v>
      </c>
      <c r="BD250" s="73" t="n">
        <f aca="false">BD247+BD248+BD249</f>
        <v>-689667.147334336</v>
      </c>
      <c r="BE250" s="73" t="n">
        <f aca="false">BE247+BE248+BE249</f>
        <v>-689667.147334336</v>
      </c>
      <c r="BF250" s="73" t="n">
        <f aca="false">BF247+BF248+BF249</f>
        <v>-689667.147334336</v>
      </c>
      <c r="BG250" s="73" t="n">
        <f aca="false">BG247+BG248+BG249</f>
        <v>-689667.147334336</v>
      </c>
      <c r="BH250" s="73" t="n">
        <f aca="false">BH247+BH248+BH249</f>
        <v>-689667.147334336</v>
      </c>
      <c r="BI250" s="73" t="n">
        <f aca="false">BI247+BI248+BI249</f>
        <v>-689667.147334336</v>
      </c>
      <c r="BJ250" s="73" t="n">
        <f aca="false">BJ247+BJ248+BJ249</f>
        <v>-689667.147334336</v>
      </c>
    </row>
    <row r="251" customFormat="false" ht="15" hidden="false" customHeight="false" outlineLevel="0" collapsed="false">
      <c r="A251" s="113" t="s">
        <v>45</v>
      </c>
      <c r="C251" s="68" t="n">
        <f aca="false">C244+C250</f>
        <v>250035.975</v>
      </c>
      <c r="D251" s="68" t="n">
        <f aca="false">D244+D250</f>
        <v>250035.975</v>
      </c>
      <c r="E251" s="68" t="n">
        <f aca="false">E244+E250</f>
        <v>250035.975</v>
      </c>
      <c r="F251" s="68" t="n">
        <f aca="false">F244+F250</f>
        <v>250035.975</v>
      </c>
      <c r="G251" s="68" t="n">
        <f aca="false">G244+G250</f>
        <v>250035.975</v>
      </c>
      <c r="H251" s="68" t="n">
        <f aca="false">H244+H250</f>
        <v>250035.975</v>
      </c>
      <c r="I251" s="68" t="n">
        <f aca="false">I244+I250</f>
        <v>250035.975</v>
      </c>
      <c r="J251" s="68" t="n">
        <f aca="false">J244+J250</f>
        <v>250035.975</v>
      </c>
      <c r="K251" s="68" t="n">
        <f aca="false">K244+K250</f>
        <v>250035.975</v>
      </c>
      <c r="L251" s="68" t="n">
        <f aca="false">L244+L250</f>
        <v>250035.975</v>
      </c>
      <c r="M251" s="68" t="n">
        <f aca="false">M244+M250</f>
        <v>250035.975</v>
      </c>
      <c r="N251" s="68" t="n">
        <f aca="false">N244+N250</f>
        <v>250035.975</v>
      </c>
      <c r="O251" s="68" t="n">
        <f aca="false">O244+O250</f>
        <v>333810.8374</v>
      </c>
      <c r="P251" s="68" t="n">
        <f aca="false">P244+P250</f>
        <v>333810.8374</v>
      </c>
      <c r="Q251" s="68" t="n">
        <f aca="false">Q244+Q250</f>
        <v>333810.8374</v>
      </c>
      <c r="R251" s="68" t="n">
        <f aca="false">R244+R250</f>
        <v>333810.8374</v>
      </c>
      <c r="S251" s="68" t="n">
        <f aca="false">S244+S250</f>
        <v>333810.8374</v>
      </c>
      <c r="T251" s="68" t="n">
        <f aca="false">T244+T250</f>
        <v>333810.8374</v>
      </c>
      <c r="U251" s="68" t="n">
        <f aca="false">U244+U250</f>
        <v>333810.8374</v>
      </c>
      <c r="V251" s="68" t="n">
        <f aca="false">V244+V250</f>
        <v>333810.8374</v>
      </c>
      <c r="W251" s="68" t="n">
        <f aca="false">W244+W250</f>
        <v>333810.8374</v>
      </c>
      <c r="X251" s="68" t="n">
        <f aca="false">X244+X250</f>
        <v>333810.8374</v>
      </c>
      <c r="Y251" s="68" t="n">
        <f aca="false">Y244+Y250</f>
        <v>333810.8374</v>
      </c>
      <c r="Z251" s="68" t="n">
        <f aca="false">Z244+Z250</f>
        <v>333810.8374</v>
      </c>
      <c r="AA251" s="68" t="n">
        <f aca="false">AA244+AA250</f>
        <v>446119.5282664</v>
      </c>
      <c r="AB251" s="68" t="n">
        <f aca="false">AB244+AB250</f>
        <v>446119.5282664</v>
      </c>
      <c r="AC251" s="68" t="n">
        <f aca="false">AC244+AC250</f>
        <v>446119.5282664</v>
      </c>
      <c r="AD251" s="68" t="n">
        <f aca="false">AD244+AD250</f>
        <v>446119.5282664</v>
      </c>
      <c r="AE251" s="68" t="n">
        <f aca="false">AE244+AE250</f>
        <v>446119.5282664</v>
      </c>
      <c r="AF251" s="68" t="n">
        <f aca="false">AF244+AF250</f>
        <v>446119.5282664</v>
      </c>
      <c r="AG251" s="68" t="n">
        <f aca="false">AG244+AG250</f>
        <v>446119.5282664</v>
      </c>
      <c r="AH251" s="68" t="n">
        <f aca="false">AH244+AH250</f>
        <v>446119.5282664</v>
      </c>
      <c r="AI251" s="68" t="n">
        <f aca="false">AI244+AI250</f>
        <v>446119.5282664</v>
      </c>
      <c r="AJ251" s="68" t="n">
        <f aca="false">AJ244+AJ250</f>
        <v>446119.5282664</v>
      </c>
      <c r="AK251" s="68" t="n">
        <f aca="false">AK244+AK250</f>
        <v>446119.5282664</v>
      </c>
      <c r="AL251" s="68" t="n">
        <f aca="false">AL244+AL250</f>
        <v>446119.5282664</v>
      </c>
      <c r="AM251" s="68" t="n">
        <f aca="false">AM244+AM250</f>
        <v>596810.87181347</v>
      </c>
      <c r="AN251" s="68" t="n">
        <f aca="false">AN244+AN250</f>
        <v>596810.87181347</v>
      </c>
      <c r="AO251" s="68" t="n">
        <f aca="false">AO244+AO250</f>
        <v>596810.87181347</v>
      </c>
      <c r="AP251" s="68" t="n">
        <f aca="false">AP244+AP250</f>
        <v>596810.87181347</v>
      </c>
      <c r="AQ251" s="68" t="n">
        <f aca="false">AQ244+AQ250</f>
        <v>596810.87181347</v>
      </c>
      <c r="AR251" s="68" t="n">
        <f aca="false">AR244+AR250</f>
        <v>596810.87181347</v>
      </c>
      <c r="AS251" s="68" t="n">
        <f aca="false">AS244+AS250</f>
        <v>596810.87181347</v>
      </c>
      <c r="AT251" s="68" t="n">
        <f aca="false">AT244+AT250</f>
        <v>596810.87181347</v>
      </c>
      <c r="AU251" s="68" t="n">
        <f aca="false">AU244+AU250</f>
        <v>596810.87181347</v>
      </c>
      <c r="AV251" s="68" t="n">
        <f aca="false">AV244+AV250</f>
        <v>596810.87181347</v>
      </c>
      <c r="AW251" s="68" t="n">
        <f aca="false">AW244+AW250</f>
        <v>596810.87181347</v>
      </c>
      <c r="AX251" s="68" t="n">
        <f aca="false">AX244+AX250</f>
        <v>596810.87181347</v>
      </c>
      <c r="AY251" s="68" t="n">
        <f aca="false">AY244+AY250</f>
        <v>799168.412265469</v>
      </c>
      <c r="AZ251" s="68" t="n">
        <f aca="false">AZ244+AZ250</f>
        <v>799168.412265469</v>
      </c>
      <c r="BA251" s="68" t="n">
        <f aca="false">BA244+BA250</f>
        <v>799168.412265469</v>
      </c>
      <c r="BB251" s="68" t="n">
        <f aca="false">BB244+BB250</f>
        <v>799168.412265469</v>
      </c>
      <c r="BC251" s="68" t="n">
        <f aca="false">BC244+BC250</f>
        <v>799168.412265469</v>
      </c>
      <c r="BD251" s="68" t="n">
        <f aca="false">BD244+BD250</f>
        <v>799168.412265469</v>
      </c>
      <c r="BE251" s="68" t="n">
        <f aca="false">BE244+BE250</f>
        <v>799168.412265469</v>
      </c>
      <c r="BF251" s="68" t="n">
        <f aca="false">BF244+BF250</f>
        <v>799168.412265469</v>
      </c>
      <c r="BG251" s="68" t="n">
        <f aca="false">BG244+BG250</f>
        <v>799168.412265469</v>
      </c>
      <c r="BH251" s="68" t="n">
        <f aca="false">BH244+BH250</f>
        <v>799168.412265469</v>
      </c>
      <c r="BI251" s="68" t="n">
        <f aca="false">BI244+BI250</f>
        <v>799168.412265469</v>
      </c>
      <c r="BJ251" s="68" t="n">
        <f aca="false">BJ244+BJ250</f>
        <v>799168.412265469</v>
      </c>
    </row>
    <row r="253" customFormat="false" ht="15.75" hidden="false" customHeight="true" outlineLevel="0" collapsed="false">
      <c r="A253" s="7" t="s">
        <v>47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customFormat="false" ht="15" hidden="false" customHeight="false" outlineLevel="0" collapsed="false">
      <c r="A254" s="6" t="s">
        <v>327</v>
      </c>
      <c r="C254" s="67" t="n">
        <f aca="false">C331-C327-C328</f>
        <v>-36500</v>
      </c>
      <c r="D254" s="67" t="n">
        <f aca="false">D331-D327-D328</f>
        <v>-36500</v>
      </c>
      <c r="E254" s="67" t="n">
        <f aca="false">E331-E327-E328</f>
        <v>-36500</v>
      </c>
      <c r="F254" s="67" t="n">
        <f aca="false">F331-F327-F328</f>
        <v>-36500</v>
      </c>
      <c r="G254" s="67" t="n">
        <f aca="false">G331-G327-G328</f>
        <v>-36500</v>
      </c>
      <c r="H254" s="67" t="n">
        <f aca="false">H331-H327-H328</f>
        <v>-36500</v>
      </c>
      <c r="I254" s="67" t="n">
        <f aca="false">I331-I327-I328</f>
        <v>-36500</v>
      </c>
      <c r="J254" s="67" t="n">
        <f aca="false">J331-J327-J328</f>
        <v>-36500</v>
      </c>
      <c r="K254" s="67" t="n">
        <f aca="false">K331-K327-K328</f>
        <v>-36500</v>
      </c>
      <c r="L254" s="67" t="n">
        <f aca="false">L331-L327-L328</f>
        <v>-36500</v>
      </c>
      <c r="M254" s="67" t="n">
        <f aca="false">M331-M327-M328</f>
        <v>-36500</v>
      </c>
      <c r="N254" s="67" t="n">
        <f aca="false">N331-N327-N328</f>
        <v>-36500</v>
      </c>
      <c r="O254" s="67" t="n">
        <f aca="false">O331-O327-O328</f>
        <v>-44109.75</v>
      </c>
      <c r="P254" s="67" t="n">
        <f aca="false">P331-P327-P328</f>
        <v>-44109.75</v>
      </c>
      <c r="Q254" s="67" t="n">
        <f aca="false">Q331-Q327-Q328</f>
        <v>-44109.75</v>
      </c>
      <c r="R254" s="67" t="n">
        <f aca="false">R331-R327-R328</f>
        <v>-44109.75</v>
      </c>
      <c r="S254" s="67" t="n">
        <f aca="false">S331-S327-S328</f>
        <v>-44109.75</v>
      </c>
      <c r="T254" s="67" t="n">
        <f aca="false">T331-T327-T328</f>
        <v>-44109.75</v>
      </c>
      <c r="U254" s="67" t="n">
        <f aca="false">U331-U327-U328</f>
        <v>-44109.75</v>
      </c>
      <c r="V254" s="67" t="n">
        <f aca="false">V331-V327-V328</f>
        <v>-44109.75</v>
      </c>
      <c r="W254" s="67" t="n">
        <f aca="false">W331-W327-W328</f>
        <v>-44109.75</v>
      </c>
      <c r="X254" s="67" t="n">
        <f aca="false">X331-X327-X328</f>
        <v>-44109.75</v>
      </c>
      <c r="Y254" s="67" t="n">
        <f aca="false">Y331-Y327-Y328</f>
        <v>-44109.75</v>
      </c>
      <c r="Z254" s="67" t="n">
        <f aca="false">Z331-Z327-Z328</f>
        <v>-44109.75</v>
      </c>
      <c r="AA254" s="67" t="n">
        <f aca="false">AA331-AA327-AA328</f>
        <v>-53330.116875</v>
      </c>
      <c r="AB254" s="67" t="n">
        <f aca="false">AB331-AB327-AB328</f>
        <v>-53330.116875</v>
      </c>
      <c r="AC254" s="67" t="n">
        <f aca="false">AC331-AC327-AC328</f>
        <v>-53330.116875</v>
      </c>
      <c r="AD254" s="67" t="n">
        <f aca="false">AD331-AD327-AD328</f>
        <v>-53330.116875</v>
      </c>
      <c r="AE254" s="67" t="n">
        <f aca="false">AE331-AE327-AE328</f>
        <v>-53330.116875</v>
      </c>
      <c r="AF254" s="67" t="n">
        <f aca="false">AF331-AF327-AF328</f>
        <v>-53330.116875</v>
      </c>
      <c r="AG254" s="67" t="n">
        <f aca="false">AG331-AG327-AG328</f>
        <v>-53330.116875</v>
      </c>
      <c r="AH254" s="67" t="n">
        <f aca="false">AH331-AH327-AH328</f>
        <v>-53330.116875</v>
      </c>
      <c r="AI254" s="67" t="n">
        <f aca="false">AI331-AI327-AI328</f>
        <v>-53330.116875</v>
      </c>
      <c r="AJ254" s="67" t="n">
        <f aca="false">AJ331-AJ327-AJ328</f>
        <v>-53330.116875</v>
      </c>
      <c r="AK254" s="67" t="n">
        <f aca="false">AK331-AK327-AK328</f>
        <v>-53330.116875</v>
      </c>
      <c r="AL254" s="67" t="n">
        <f aca="false">AL331-AL327-AL328</f>
        <v>-53330.116875</v>
      </c>
      <c r="AM254" s="67" t="n">
        <f aca="false">AM331-AM327-AM328</f>
        <v>-64507.0212864374</v>
      </c>
      <c r="AN254" s="67" t="n">
        <f aca="false">AN331-AN327-AN328</f>
        <v>-64507.0212864374</v>
      </c>
      <c r="AO254" s="67" t="n">
        <f aca="false">AO331-AO327-AO328</f>
        <v>-64507.0212864374</v>
      </c>
      <c r="AP254" s="67" t="n">
        <f aca="false">AP331-AP327-AP328</f>
        <v>-64507.0212864374</v>
      </c>
      <c r="AQ254" s="67" t="n">
        <f aca="false">AQ331-AQ327-AQ328</f>
        <v>-64507.0212864374</v>
      </c>
      <c r="AR254" s="67" t="n">
        <f aca="false">AR331-AR327-AR328</f>
        <v>-64507.0212864374</v>
      </c>
      <c r="AS254" s="67" t="n">
        <f aca="false">AS331-AS327-AS328</f>
        <v>-64507.0212864374</v>
      </c>
      <c r="AT254" s="67" t="n">
        <f aca="false">AT331-AT327-AT328</f>
        <v>-64507.0212864374</v>
      </c>
      <c r="AU254" s="67" t="n">
        <f aca="false">AU331-AU327-AU328</f>
        <v>-64507.0212864374</v>
      </c>
      <c r="AV254" s="67" t="n">
        <f aca="false">AV331-AV327-AV328</f>
        <v>-64507.0212864374</v>
      </c>
      <c r="AW254" s="67" t="n">
        <f aca="false">AW331-AW327-AW328</f>
        <v>-64507.0212864374</v>
      </c>
      <c r="AX254" s="67" t="n">
        <f aca="false">AX331-AX327-AX328</f>
        <v>-64507.0212864374</v>
      </c>
      <c r="AY254" s="67" t="n">
        <f aca="false">AY331-AY327-AY328</f>
        <v>-78061.7140539133</v>
      </c>
      <c r="AZ254" s="67" t="n">
        <f aca="false">AZ331-AZ327-AZ328</f>
        <v>-78061.7140539133</v>
      </c>
      <c r="BA254" s="67" t="n">
        <f aca="false">BA331-BA327-BA328</f>
        <v>-78061.7140539133</v>
      </c>
      <c r="BB254" s="67" t="n">
        <f aca="false">BB331-BB327-BB328</f>
        <v>-78061.7140539133</v>
      </c>
      <c r="BC254" s="67" t="n">
        <f aca="false">BC331-BC327-BC328</f>
        <v>-78061.7140539133</v>
      </c>
      <c r="BD254" s="67" t="n">
        <f aca="false">BD331-BD327-BD328</f>
        <v>-78061.7140539133</v>
      </c>
      <c r="BE254" s="67" t="n">
        <f aca="false">BE331-BE327-BE328</f>
        <v>-78061.7140539133</v>
      </c>
      <c r="BF254" s="67" t="n">
        <f aca="false">BF331-BF327-BF328</f>
        <v>-78061.7140539133</v>
      </c>
      <c r="BG254" s="67" t="n">
        <f aca="false">BG331-BG327-BG328</f>
        <v>-78061.7140539133</v>
      </c>
      <c r="BH254" s="67" t="n">
        <f aca="false">BH331-BH327-BH328</f>
        <v>-78061.7140539133</v>
      </c>
      <c r="BI254" s="67" t="n">
        <f aca="false">BI331-BI327-BI328</f>
        <v>-78061.7140539133</v>
      </c>
      <c r="BJ254" s="67" t="n">
        <f aca="false">BJ331-BJ327-BJ328</f>
        <v>-78061.7140539133</v>
      </c>
    </row>
    <row r="255" customFormat="false" ht="15" hidden="false" customHeight="false" outlineLevel="0" collapsed="false">
      <c r="A255" s="6" t="s">
        <v>328</v>
      </c>
      <c r="C255" s="67" t="n">
        <f aca="false">-Inputs!$D$28*1</f>
        <v>-8000</v>
      </c>
      <c r="D255" s="67" t="n">
        <f aca="false">-Inputs!$D$28*1</f>
        <v>-8000</v>
      </c>
      <c r="E255" s="67" t="n">
        <f aca="false">-Inputs!$D$28*1</f>
        <v>-8000</v>
      </c>
      <c r="F255" s="67" t="n">
        <f aca="false">-Inputs!$D$28*1</f>
        <v>-8000</v>
      </c>
      <c r="G255" s="67" t="n">
        <f aca="false">-Inputs!$D$28*1</f>
        <v>-8000</v>
      </c>
      <c r="H255" s="67" t="n">
        <f aca="false">-Inputs!$D$28*1</f>
        <v>-8000</v>
      </c>
      <c r="I255" s="67" t="n">
        <f aca="false">-Inputs!$D$28*1</f>
        <v>-8000</v>
      </c>
      <c r="J255" s="67" t="n">
        <f aca="false">-Inputs!$D$28*1</f>
        <v>-8000</v>
      </c>
      <c r="K255" s="67" t="n">
        <f aca="false">-Inputs!$D$28*1</f>
        <v>-8000</v>
      </c>
      <c r="L255" s="67" t="n">
        <f aca="false">-Inputs!$D$28*1</f>
        <v>-8000</v>
      </c>
      <c r="M255" s="67" t="n">
        <f aca="false">-Inputs!$D$28*1</f>
        <v>-8000</v>
      </c>
      <c r="N255" s="67" t="n">
        <f aca="false">-Inputs!$D$28*1</f>
        <v>-8000</v>
      </c>
      <c r="O255" s="67" t="n">
        <f aca="false">-Inputs!$D$28*1</f>
        <v>-8000</v>
      </c>
      <c r="P255" s="67" t="n">
        <f aca="false">-Inputs!$D$28*1</f>
        <v>-8000</v>
      </c>
      <c r="Q255" s="67" t="n">
        <f aca="false">-Inputs!$D$28*1</f>
        <v>-8000</v>
      </c>
      <c r="R255" s="67" t="n">
        <f aca="false">-Inputs!$D$28*1</f>
        <v>-8000</v>
      </c>
      <c r="S255" s="67" t="n">
        <f aca="false">-Inputs!$D$28*1</f>
        <v>-8000</v>
      </c>
      <c r="T255" s="67" t="n">
        <f aca="false">-Inputs!$D$28*1</f>
        <v>-8000</v>
      </c>
      <c r="U255" s="67" t="n">
        <f aca="false">-Inputs!$D$28*1</f>
        <v>-8000</v>
      </c>
      <c r="V255" s="67" t="n">
        <f aca="false">-Inputs!$D$28*1</f>
        <v>-8000</v>
      </c>
      <c r="W255" s="67" t="n">
        <f aca="false">-Inputs!$D$28*1</f>
        <v>-8000</v>
      </c>
      <c r="X255" s="67" t="n">
        <f aca="false">-Inputs!$D$28*1</f>
        <v>-8000</v>
      </c>
      <c r="Y255" s="67" t="n">
        <f aca="false">-Inputs!$D$28*1</f>
        <v>-8000</v>
      </c>
      <c r="Z255" s="67" t="n">
        <f aca="false">-Inputs!$D$28*1</f>
        <v>-8000</v>
      </c>
      <c r="AA255" s="67" t="n">
        <f aca="false">-Inputs!$D$28*1</f>
        <v>-8000</v>
      </c>
      <c r="AB255" s="67" t="n">
        <f aca="false">-Inputs!$D$28*1</f>
        <v>-8000</v>
      </c>
      <c r="AC255" s="67" t="n">
        <f aca="false">-Inputs!$D$28*1</f>
        <v>-8000</v>
      </c>
      <c r="AD255" s="67" t="n">
        <f aca="false">-Inputs!$D$28*1</f>
        <v>-8000</v>
      </c>
      <c r="AE255" s="67" t="n">
        <f aca="false">-Inputs!$D$28*1</f>
        <v>-8000</v>
      </c>
      <c r="AF255" s="67" t="n">
        <f aca="false">-Inputs!$D$28*1</f>
        <v>-8000</v>
      </c>
      <c r="AG255" s="67" t="n">
        <f aca="false">-Inputs!$D$28*1</f>
        <v>-8000</v>
      </c>
      <c r="AH255" s="67" t="n">
        <f aca="false">-Inputs!$D$28*1</f>
        <v>-8000</v>
      </c>
      <c r="AI255" s="67" t="n">
        <f aca="false">-Inputs!$D$28*1</f>
        <v>-8000</v>
      </c>
      <c r="AJ255" s="67" t="n">
        <f aca="false">-Inputs!$D$28*1</f>
        <v>-8000</v>
      </c>
      <c r="AK255" s="67" t="n">
        <f aca="false">-Inputs!$D$28*1</f>
        <v>-8000</v>
      </c>
      <c r="AL255" s="67" t="n">
        <f aca="false">-Inputs!$D$28*1</f>
        <v>-8000</v>
      </c>
      <c r="AM255" s="67" t="n">
        <f aca="false">-Inputs!$D$28*1</f>
        <v>-8000</v>
      </c>
      <c r="AN255" s="67" t="n">
        <f aca="false">-Inputs!$D$28*1</f>
        <v>-8000</v>
      </c>
      <c r="AO255" s="67" t="n">
        <f aca="false">-Inputs!$D$28*1</f>
        <v>-8000</v>
      </c>
      <c r="AP255" s="67" t="n">
        <f aca="false">-Inputs!$D$28*1</f>
        <v>-8000</v>
      </c>
      <c r="AQ255" s="67" t="n">
        <f aca="false">-Inputs!$D$28*1</f>
        <v>-8000</v>
      </c>
      <c r="AR255" s="67" t="n">
        <f aca="false">-Inputs!$D$28*1</f>
        <v>-8000</v>
      </c>
      <c r="AS255" s="67" t="n">
        <f aca="false">-Inputs!$D$28*1</f>
        <v>-8000</v>
      </c>
      <c r="AT255" s="67" t="n">
        <f aca="false">-Inputs!$D$28*1</f>
        <v>-8000</v>
      </c>
      <c r="AU255" s="67" t="n">
        <f aca="false">-Inputs!$D$28*1</f>
        <v>-8000</v>
      </c>
      <c r="AV255" s="67" t="n">
        <f aca="false">-Inputs!$D$28*1</f>
        <v>-8000</v>
      </c>
      <c r="AW255" s="67" t="n">
        <f aca="false">-Inputs!$D$28*1</f>
        <v>-8000</v>
      </c>
      <c r="AX255" s="67" t="n">
        <f aca="false">-Inputs!$D$28*1</f>
        <v>-8000</v>
      </c>
      <c r="AY255" s="67" t="n">
        <f aca="false">-Inputs!$D$28*1</f>
        <v>-8000</v>
      </c>
      <c r="AZ255" s="67" t="n">
        <f aca="false">-Inputs!$D$28*1</f>
        <v>-8000</v>
      </c>
      <c r="BA255" s="67" t="n">
        <f aca="false">-Inputs!$D$28*1</f>
        <v>-8000</v>
      </c>
      <c r="BB255" s="67" t="n">
        <f aca="false">-Inputs!$D$28*1</f>
        <v>-8000</v>
      </c>
      <c r="BC255" s="67" t="n">
        <f aca="false">-Inputs!$D$28*1</f>
        <v>-8000</v>
      </c>
      <c r="BD255" s="67" t="n">
        <f aca="false">-Inputs!$D$28*1</f>
        <v>-8000</v>
      </c>
      <c r="BE255" s="67" t="n">
        <f aca="false">-Inputs!$D$28*1</f>
        <v>-8000</v>
      </c>
      <c r="BF255" s="67" t="n">
        <f aca="false">-Inputs!$D$28*1</f>
        <v>-8000</v>
      </c>
      <c r="BG255" s="67" t="n">
        <f aca="false">-Inputs!$D$28*1</f>
        <v>-8000</v>
      </c>
      <c r="BH255" s="67" t="n">
        <f aca="false">-Inputs!$D$28*1</f>
        <v>-8000</v>
      </c>
      <c r="BI255" s="67" t="n">
        <f aca="false">-Inputs!$D$28*1</f>
        <v>-8000</v>
      </c>
      <c r="BJ255" s="67" t="n">
        <f aca="false">-Inputs!$D$28*1</f>
        <v>-8000</v>
      </c>
    </row>
    <row r="256" customFormat="false" ht="15" hidden="false" customHeight="false" outlineLevel="0" collapsed="false">
      <c r="A256" s="6" t="s">
        <v>329</v>
      </c>
      <c r="C256" s="67" t="n">
        <f aca="false">-C324*Inputs!$D$27*1</f>
        <v>-4200</v>
      </c>
      <c r="D256" s="67" t="n">
        <f aca="false">-D324*Inputs!$D$27*1</f>
        <v>-4200</v>
      </c>
      <c r="E256" s="67" t="n">
        <f aca="false">-E324*Inputs!$D$27*1</f>
        <v>-4200</v>
      </c>
      <c r="F256" s="67" t="n">
        <f aca="false">-F324*Inputs!$D$27*1</f>
        <v>-4200</v>
      </c>
      <c r="G256" s="67" t="n">
        <f aca="false">-G324*Inputs!$D$27*1</f>
        <v>-4200</v>
      </c>
      <c r="H256" s="67" t="n">
        <f aca="false">-H324*Inputs!$D$27*1</f>
        <v>-4200</v>
      </c>
      <c r="I256" s="67" t="n">
        <f aca="false">-I324*Inputs!$D$27*1</f>
        <v>-4200</v>
      </c>
      <c r="J256" s="67" t="n">
        <f aca="false">-J324*Inputs!$D$27*1</f>
        <v>-4200</v>
      </c>
      <c r="K256" s="67" t="n">
        <f aca="false">-K324*Inputs!$D$27*1</f>
        <v>-4200</v>
      </c>
      <c r="L256" s="67" t="n">
        <f aca="false">-L324*Inputs!$D$27*1</f>
        <v>-4200</v>
      </c>
      <c r="M256" s="67" t="n">
        <f aca="false">-M324*Inputs!$D$27*1</f>
        <v>-4200</v>
      </c>
      <c r="N256" s="67" t="n">
        <f aca="false">-N324*Inputs!$D$27*1</f>
        <v>-4200</v>
      </c>
      <c r="O256" s="67" t="n">
        <f aca="false">-O324*Inputs!$D$27*1</f>
        <v>-5250</v>
      </c>
      <c r="P256" s="67" t="n">
        <f aca="false">-P324*Inputs!$D$27*1</f>
        <v>-5250</v>
      </c>
      <c r="Q256" s="67" t="n">
        <f aca="false">-Q324*Inputs!$D$27*1</f>
        <v>-5250</v>
      </c>
      <c r="R256" s="67" t="n">
        <f aca="false">-R324*Inputs!$D$27*1</f>
        <v>-5250</v>
      </c>
      <c r="S256" s="67" t="n">
        <f aca="false">-S324*Inputs!$D$27*1</f>
        <v>-5250</v>
      </c>
      <c r="T256" s="67" t="n">
        <f aca="false">-T324*Inputs!$D$27*1</f>
        <v>-5250</v>
      </c>
      <c r="U256" s="67" t="n">
        <f aca="false">-U324*Inputs!$D$27*1</f>
        <v>-5250</v>
      </c>
      <c r="V256" s="67" t="n">
        <f aca="false">-V324*Inputs!$D$27*1</f>
        <v>-5250</v>
      </c>
      <c r="W256" s="67" t="n">
        <f aca="false">-W324*Inputs!$D$27*1</f>
        <v>-5250</v>
      </c>
      <c r="X256" s="67" t="n">
        <f aca="false">-X324*Inputs!$D$27*1</f>
        <v>-5250</v>
      </c>
      <c r="Y256" s="67" t="n">
        <f aca="false">-Y324*Inputs!$D$27*1</f>
        <v>-5250</v>
      </c>
      <c r="Z256" s="67" t="n">
        <f aca="false">-Z324*Inputs!$D$27*1</f>
        <v>-5250</v>
      </c>
      <c r="AA256" s="67" t="n">
        <f aca="false">-AA324*Inputs!$D$27*1</f>
        <v>-6577.5</v>
      </c>
      <c r="AB256" s="67" t="n">
        <f aca="false">-AB324*Inputs!$D$27*1</f>
        <v>-6577.5</v>
      </c>
      <c r="AC256" s="67" t="n">
        <f aca="false">-AC324*Inputs!$D$27*1</f>
        <v>-6577.5</v>
      </c>
      <c r="AD256" s="67" t="n">
        <f aca="false">-AD324*Inputs!$D$27*1</f>
        <v>-6577.5</v>
      </c>
      <c r="AE256" s="67" t="n">
        <f aca="false">-AE324*Inputs!$D$27*1</f>
        <v>-6577.5</v>
      </c>
      <c r="AF256" s="67" t="n">
        <f aca="false">-AF324*Inputs!$D$27*1</f>
        <v>-6577.5</v>
      </c>
      <c r="AG256" s="67" t="n">
        <f aca="false">-AG324*Inputs!$D$27*1</f>
        <v>-6577.5</v>
      </c>
      <c r="AH256" s="67" t="n">
        <f aca="false">-AH324*Inputs!$D$27*1</f>
        <v>-6577.5</v>
      </c>
      <c r="AI256" s="67" t="n">
        <f aca="false">-AI324*Inputs!$D$27*1</f>
        <v>-6577.5</v>
      </c>
      <c r="AJ256" s="67" t="n">
        <f aca="false">-AJ324*Inputs!$D$27*1</f>
        <v>-6577.5</v>
      </c>
      <c r="AK256" s="67" t="n">
        <f aca="false">-AK324*Inputs!$D$27*1</f>
        <v>-6577.5</v>
      </c>
      <c r="AL256" s="67" t="n">
        <f aca="false">-AL324*Inputs!$D$27*1</f>
        <v>-6577.5</v>
      </c>
      <c r="AM256" s="67" t="n">
        <f aca="false">-AM324*Inputs!$D$27*1</f>
        <v>-8258.925</v>
      </c>
      <c r="AN256" s="67" t="n">
        <f aca="false">-AN324*Inputs!$D$27*1</f>
        <v>-8258.925</v>
      </c>
      <c r="AO256" s="67" t="n">
        <f aca="false">-AO324*Inputs!$D$27*1</f>
        <v>-8258.925</v>
      </c>
      <c r="AP256" s="67" t="n">
        <f aca="false">-AP324*Inputs!$D$27*1</f>
        <v>-8258.925</v>
      </c>
      <c r="AQ256" s="67" t="n">
        <f aca="false">-AQ324*Inputs!$D$27*1</f>
        <v>-8258.925</v>
      </c>
      <c r="AR256" s="67" t="n">
        <f aca="false">-AR324*Inputs!$D$27*1</f>
        <v>-8258.925</v>
      </c>
      <c r="AS256" s="67" t="n">
        <f aca="false">-AS324*Inputs!$D$27*1</f>
        <v>-8258.925</v>
      </c>
      <c r="AT256" s="67" t="n">
        <f aca="false">-AT324*Inputs!$D$27*1</f>
        <v>-8258.925</v>
      </c>
      <c r="AU256" s="67" t="n">
        <f aca="false">-AU324*Inputs!$D$27*1</f>
        <v>-8258.925</v>
      </c>
      <c r="AV256" s="67" t="n">
        <f aca="false">-AV324*Inputs!$D$27*1</f>
        <v>-8258.925</v>
      </c>
      <c r="AW256" s="67" t="n">
        <f aca="false">-AW324*Inputs!$D$27*1</f>
        <v>-8258.925</v>
      </c>
      <c r="AX256" s="67" t="n">
        <f aca="false">-AX324*Inputs!$D$27*1</f>
        <v>-8258.925</v>
      </c>
      <c r="AY256" s="67" t="n">
        <f aca="false">-AY324*Inputs!$D$27*1</f>
        <v>-10392.36375</v>
      </c>
      <c r="AZ256" s="67" t="n">
        <f aca="false">-AZ324*Inputs!$D$27*1</f>
        <v>-10392.36375</v>
      </c>
      <c r="BA256" s="67" t="n">
        <f aca="false">-BA324*Inputs!$D$27*1</f>
        <v>-10392.36375</v>
      </c>
      <c r="BB256" s="67" t="n">
        <f aca="false">-BB324*Inputs!$D$27*1</f>
        <v>-10392.36375</v>
      </c>
      <c r="BC256" s="67" t="n">
        <f aca="false">-BC324*Inputs!$D$27*1</f>
        <v>-10392.36375</v>
      </c>
      <c r="BD256" s="67" t="n">
        <f aca="false">-BD324*Inputs!$D$27*1</f>
        <v>-10392.36375</v>
      </c>
      <c r="BE256" s="67" t="n">
        <f aca="false">-BE324*Inputs!$D$27*1</f>
        <v>-10392.36375</v>
      </c>
      <c r="BF256" s="67" t="n">
        <f aca="false">-BF324*Inputs!$D$27*1</f>
        <v>-10392.36375</v>
      </c>
      <c r="BG256" s="67" t="n">
        <f aca="false">-BG324*Inputs!$D$27*1</f>
        <v>-10392.36375</v>
      </c>
      <c r="BH256" s="67" t="n">
        <f aca="false">-BH324*Inputs!$D$27*1</f>
        <v>-10392.36375</v>
      </c>
      <c r="BI256" s="67" t="n">
        <f aca="false">-BI324*Inputs!$D$27*1</f>
        <v>-10392.36375</v>
      </c>
      <c r="BJ256" s="67" t="n">
        <f aca="false">-BJ324*Inputs!$D$27*1</f>
        <v>-10392.36375</v>
      </c>
    </row>
    <row r="257" customFormat="false" ht="15" hidden="false" customHeight="false" outlineLevel="0" collapsed="false">
      <c r="A257" s="6" t="s">
        <v>330</v>
      </c>
      <c r="C257" s="67" t="n">
        <f aca="false">-Inputs!$D$29*1</f>
        <v>-8000</v>
      </c>
      <c r="D257" s="67" t="n">
        <f aca="false">-Inputs!$D$29*1</f>
        <v>-8000</v>
      </c>
      <c r="E257" s="67" t="n">
        <f aca="false">-Inputs!$D$29*1</f>
        <v>-8000</v>
      </c>
      <c r="F257" s="67" t="n">
        <f aca="false">-Inputs!$D$29*1</f>
        <v>-8000</v>
      </c>
      <c r="G257" s="67" t="n">
        <f aca="false">-Inputs!$D$29*1</f>
        <v>-8000</v>
      </c>
      <c r="H257" s="67" t="n">
        <f aca="false">-Inputs!$D$29*1</f>
        <v>-8000</v>
      </c>
      <c r="I257" s="67" t="n">
        <f aca="false">-Inputs!$D$29*1</f>
        <v>-8000</v>
      </c>
      <c r="J257" s="67" t="n">
        <f aca="false">-Inputs!$D$29*1</f>
        <v>-8000</v>
      </c>
      <c r="K257" s="67" t="n">
        <f aca="false">-Inputs!$D$29*1</f>
        <v>-8000</v>
      </c>
      <c r="L257" s="67" t="n">
        <f aca="false">-Inputs!$D$29*1</f>
        <v>-8000</v>
      </c>
      <c r="M257" s="67" t="n">
        <f aca="false">-Inputs!$D$29*1</f>
        <v>-8000</v>
      </c>
      <c r="N257" s="67" t="n">
        <f aca="false">-Inputs!$D$29*1</f>
        <v>-8000</v>
      </c>
      <c r="O257" s="67" t="n">
        <f aca="false">-Inputs!$D$29*1</f>
        <v>-8000</v>
      </c>
      <c r="P257" s="67" t="n">
        <f aca="false">-Inputs!$D$29*1</f>
        <v>-8000</v>
      </c>
      <c r="Q257" s="67" t="n">
        <f aca="false">-Inputs!$D$29*1</f>
        <v>-8000</v>
      </c>
      <c r="R257" s="67" t="n">
        <f aca="false">-Inputs!$D$29*1</f>
        <v>-8000</v>
      </c>
      <c r="S257" s="67" t="n">
        <f aca="false">-Inputs!$D$29*1</f>
        <v>-8000</v>
      </c>
      <c r="T257" s="67" t="n">
        <f aca="false">-Inputs!$D$29*1</f>
        <v>-8000</v>
      </c>
      <c r="U257" s="67" t="n">
        <f aca="false">-Inputs!$D$29*1</f>
        <v>-8000</v>
      </c>
      <c r="V257" s="67" t="n">
        <f aca="false">-Inputs!$D$29*1</f>
        <v>-8000</v>
      </c>
      <c r="W257" s="67" t="n">
        <f aca="false">-Inputs!$D$29*1</f>
        <v>-8000</v>
      </c>
      <c r="X257" s="67" t="n">
        <f aca="false">-Inputs!$D$29*1</f>
        <v>-8000</v>
      </c>
      <c r="Y257" s="67" t="n">
        <f aca="false">-Inputs!$D$29*1</f>
        <v>-8000</v>
      </c>
      <c r="Z257" s="67" t="n">
        <f aca="false">-Inputs!$D$29*1</f>
        <v>-8000</v>
      </c>
      <c r="AA257" s="67" t="n">
        <f aca="false">-Inputs!$D$29*1</f>
        <v>-8000</v>
      </c>
      <c r="AB257" s="67" t="n">
        <f aca="false">-Inputs!$D$29*1</f>
        <v>-8000</v>
      </c>
      <c r="AC257" s="67" t="n">
        <f aca="false">-Inputs!$D$29*1</f>
        <v>-8000</v>
      </c>
      <c r="AD257" s="67" t="n">
        <f aca="false">-Inputs!$D$29*1</f>
        <v>-8000</v>
      </c>
      <c r="AE257" s="67" t="n">
        <f aca="false">-Inputs!$D$29*1</f>
        <v>-8000</v>
      </c>
      <c r="AF257" s="67" t="n">
        <f aca="false">-Inputs!$D$29*1</f>
        <v>-8000</v>
      </c>
      <c r="AG257" s="67" t="n">
        <f aca="false">-Inputs!$D$29*1</f>
        <v>-8000</v>
      </c>
      <c r="AH257" s="67" t="n">
        <f aca="false">-Inputs!$D$29*1</f>
        <v>-8000</v>
      </c>
      <c r="AI257" s="67" t="n">
        <f aca="false">-Inputs!$D$29*1</f>
        <v>-8000</v>
      </c>
      <c r="AJ257" s="67" t="n">
        <f aca="false">-Inputs!$D$29*1</f>
        <v>-8000</v>
      </c>
      <c r="AK257" s="67" t="n">
        <f aca="false">-Inputs!$D$29*1</f>
        <v>-8000</v>
      </c>
      <c r="AL257" s="67" t="n">
        <f aca="false">-Inputs!$D$29*1</f>
        <v>-8000</v>
      </c>
      <c r="AM257" s="67" t="n">
        <f aca="false">-Inputs!$D$29*1</f>
        <v>-8000</v>
      </c>
      <c r="AN257" s="67" t="n">
        <f aca="false">-Inputs!$D$29*1</f>
        <v>-8000</v>
      </c>
      <c r="AO257" s="67" t="n">
        <f aca="false">-Inputs!$D$29*1</f>
        <v>-8000</v>
      </c>
      <c r="AP257" s="67" t="n">
        <f aca="false">-Inputs!$D$29*1</f>
        <v>-8000</v>
      </c>
      <c r="AQ257" s="67" t="n">
        <f aca="false">-Inputs!$D$29*1</f>
        <v>-8000</v>
      </c>
      <c r="AR257" s="67" t="n">
        <f aca="false">-Inputs!$D$29*1</f>
        <v>-8000</v>
      </c>
      <c r="AS257" s="67" t="n">
        <f aca="false">-Inputs!$D$29*1</f>
        <v>-8000</v>
      </c>
      <c r="AT257" s="67" t="n">
        <f aca="false">-Inputs!$D$29*1</f>
        <v>-8000</v>
      </c>
      <c r="AU257" s="67" t="n">
        <f aca="false">-Inputs!$D$29*1</f>
        <v>-8000</v>
      </c>
      <c r="AV257" s="67" t="n">
        <f aca="false">-Inputs!$D$29*1</f>
        <v>-8000</v>
      </c>
      <c r="AW257" s="67" t="n">
        <f aca="false">-Inputs!$D$29*1</f>
        <v>-8000</v>
      </c>
      <c r="AX257" s="67" t="n">
        <f aca="false">-Inputs!$D$29*1</f>
        <v>-8000</v>
      </c>
      <c r="AY257" s="67" t="n">
        <f aca="false">-Inputs!$D$29*1</f>
        <v>-8000</v>
      </c>
      <c r="AZ257" s="67" t="n">
        <f aca="false">-Inputs!$D$29*1</f>
        <v>-8000</v>
      </c>
      <c r="BA257" s="67" t="n">
        <f aca="false">-Inputs!$D$29*1</f>
        <v>-8000</v>
      </c>
      <c r="BB257" s="67" t="n">
        <f aca="false">-Inputs!$D$29*1</f>
        <v>-8000</v>
      </c>
      <c r="BC257" s="67" t="n">
        <f aca="false">-Inputs!$D$29*1</f>
        <v>-8000</v>
      </c>
      <c r="BD257" s="67" t="n">
        <f aca="false">-Inputs!$D$29*1</f>
        <v>-8000</v>
      </c>
      <c r="BE257" s="67" t="n">
        <f aca="false">-Inputs!$D$29*1</f>
        <v>-8000</v>
      </c>
      <c r="BF257" s="67" t="n">
        <f aca="false">-Inputs!$D$29*1</f>
        <v>-8000</v>
      </c>
      <c r="BG257" s="67" t="n">
        <f aca="false">-Inputs!$D$29*1</f>
        <v>-8000</v>
      </c>
      <c r="BH257" s="67" t="n">
        <f aca="false">-Inputs!$D$29*1</f>
        <v>-8000</v>
      </c>
      <c r="BI257" s="67" t="n">
        <f aca="false">-Inputs!$D$29*1</f>
        <v>-8000</v>
      </c>
      <c r="BJ257" s="67" t="n">
        <f aca="false">-Inputs!$D$29*1</f>
        <v>-8000</v>
      </c>
    </row>
    <row r="258" customFormat="false" ht="15" hidden="false" customHeight="false" outlineLevel="0" collapsed="false">
      <c r="A258" s="6" t="s">
        <v>331</v>
      </c>
      <c r="C258" s="67" t="n">
        <f aca="false">-Inputs!$D$30*1</f>
        <v>-6000</v>
      </c>
      <c r="D258" s="67" t="n">
        <f aca="false">-Inputs!$D$30*1</f>
        <v>-6000</v>
      </c>
      <c r="E258" s="67" t="n">
        <f aca="false">-Inputs!$D$30*1</f>
        <v>-6000</v>
      </c>
      <c r="F258" s="67" t="n">
        <f aca="false">-Inputs!$D$30*1</f>
        <v>-6000</v>
      </c>
      <c r="G258" s="67" t="n">
        <f aca="false">-Inputs!$D$30*1</f>
        <v>-6000</v>
      </c>
      <c r="H258" s="67" t="n">
        <f aca="false">-Inputs!$D$30*1</f>
        <v>-6000</v>
      </c>
      <c r="I258" s="67" t="n">
        <f aca="false">-Inputs!$D$30*1</f>
        <v>-6000</v>
      </c>
      <c r="J258" s="67" t="n">
        <f aca="false">-Inputs!$D$30*1</f>
        <v>-6000</v>
      </c>
      <c r="K258" s="67" t="n">
        <f aca="false">-Inputs!$D$30*1</f>
        <v>-6000</v>
      </c>
      <c r="L258" s="67" t="n">
        <f aca="false">-Inputs!$D$30*1</f>
        <v>-6000</v>
      </c>
      <c r="M258" s="67" t="n">
        <f aca="false">-Inputs!$D$30*1</f>
        <v>-6000</v>
      </c>
      <c r="N258" s="67" t="n">
        <f aca="false">-Inputs!$D$30*1</f>
        <v>-6000</v>
      </c>
      <c r="O258" s="67" t="n">
        <f aca="false">-Inputs!$D$30*1</f>
        <v>-6000</v>
      </c>
      <c r="P258" s="67" t="n">
        <f aca="false">-Inputs!$D$30*1</f>
        <v>-6000</v>
      </c>
      <c r="Q258" s="67" t="n">
        <f aca="false">-Inputs!$D$30*1</f>
        <v>-6000</v>
      </c>
      <c r="R258" s="67" t="n">
        <f aca="false">-Inputs!$D$30*1</f>
        <v>-6000</v>
      </c>
      <c r="S258" s="67" t="n">
        <f aca="false">-Inputs!$D$30*1</f>
        <v>-6000</v>
      </c>
      <c r="T258" s="67" t="n">
        <f aca="false">-Inputs!$D$30*1</f>
        <v>-6000</v>
      </c>
      <c r="U258" s="67" t="n">
        <f aca="false">-Inputs!$D$30*1</f>
        <v>-6000</v>
      </c>
      <c r="V258" s="67" t="n">
        <f aca="false">-Inputs!$D$30*1</f>
        <v>-6000</v>
      </c>
      <c r="W258" s="67" t="n">
        <f aca="false">-Inputs!$D$30*1</f>
        <v>-6000</v>
      </c>
      <c r="X258" s="67" t="n">
        <f aca="false">-Inputs!$D$30*1</f>
        <v>-6000</v>
      </c>
      <c r="Y258" s="67" t="n">
        <f aca="false">-Inputs!$D$30*1</f>
        <v>-6000</v>
      </c>
      <c r="Z258" s="67" t="n">
        <f aca="false">-Inputs!$D$30*1</f>
        <v>-6000</v>
      </c>
      <c r="AA258" s="67" t="n">
        <f aca="false">-Inputs!$D$30*1</f>
        <v>-6000</v>
      </c>
      <c r="AB258" s="67" t="n">
        <f aca="false">-Inputs!$D$30*1</f>
        <v>-6000</v>
      </c>
      <c r="AC258" s="67" t="n">
        <f aca="false">-Inputs!$D$30*1</f>
        <v>-6000</v>
      </c>
      <c r="AD258" s="67" t="n">
        <f aca="false">-Inputs!$D$30*1</f>
        <v>-6000</v>
      </c>
      <c r="AE258" s="67" t="n">
        <f aca="false">-Inputs!$D$30*1</f>
        <v>-6000</v>
      </c>
      <c r="AF258" s="67" t="n">
        <f aca="false">-Inputs!$D$30*1</f>
        <v>-6000</v>
      </c>
      <c r="AG258" s="67" t="n">
        <f aca="false">-Inputs!$D$30*1</f>
        <v>-6000</v>
      </c>
      <c r="AH258" s="67" t="n">
        <f aca="false">-Inputs!$D$30*1</f>
        <v>-6000</v>
      </c>
      <c r="AI258" s="67" t="n">
        <f aca="false">-Inputs!$D$30*1</f>
        <v>-6000</v>
      </c>
      <c r="AJ258" s="67" t="n">
        <f aca="false">-Inputs!$D$30*1</f>
        <v>-6000</v>
      </c>
      <c r="AK258" s="67" t="n">
        <f aca="false">-Inputs!$D$30*1</f>
        <v>-6000</v>
      </c>
      <c r="AL258" s="67" t="n">
        <f aca="false">-Inputs!$D$30*1</f>
        <v>-6000</v>
      </c>
      <c r="AM258" s="67" t="n">
        <f aca="false">-Inputs!$D$30*1</f>
        <v>-6000</v>
      </c>
      <c r="AN258" s="67" t="n">
        <f aca="false">-Inputs!$D$30*1</f>
        <v>-6000</v>
      </c>
      <c r="AO258" s="67" t="n">
        <f aca="false">-Inputs!$D$30*1</f>
        <v>-6000</v>
      </c>
      <c r="AP258" s="67" t="n">
        <f aca="false">-Inputs!$D$30*1</f>
        <v>-6000</v>
      </c>
      <c r="AQ258" s="67" t="n">
        <f aca="false">-Inputs!$D$30*1</f>
        <v>-6000</v>
      </c>
      <c r="AR258" s="67" t="n">
        <f aca="false">-Inputs!$D$30*1</f>
        <v>-6000</v>
      </c>
      <c r="AS258" s="67" t="n">
        <f aca="false">-Inputs!$D$30*1</f>
        <v>-6000</v>
      </c>
      <c r="AT258" s="67" t="n">
        <f aca="false">-Inputs!$D$30*1</f>
        <v>-6000</v>
      </c>
      <c r="AU258" s="67" t="n">
        <f aca="false">-Inputs!$D$30*1</f>
        <v>-6000</v>
      </c>
      <c r="AV258" s="67" t="n">
        <f aca="false">-Inputs!$D$30*1</f>
        <v>-6000</v>
      </c>
      <c r="AW258" s="67" t="n">
        <f aca="false">-Inputs!$D$30*1</f>
        <v>-6000</v>
      </c>
      <c r="AX258" s="67" t="n">
        <f aca="false">-Inputs!$D$30*1</f>
        <v>-6000</v>
      </c>
      <c r="AY258" s="67" t="n">
        <f aca="false">-Inputs!$D$30*1</f>
        <v>-6000</v>
      </c>
      <c r="AZ258" s="67" t="n">
        <f aca="false">-Inputs!$D$30*1</f>
        <v>-6000</v>
      </c>
      <c r="BA258" s="67" t="n">
        <f aca="false">-Inputs!$D$30*1</f>
        <v>-6000</v>
      </c>
      <c r="BB258" s="67" t="n">
        <f aca="false">-Inputs!$D$30*1</f>
        <v>-6000</v>
      </c>
      <c r="BC258" s="67" t="n">
        <f aca="false">-Inputs!$D$30*1</f>
        <v>-6000</v>
      </c>
      <c r="BD258" s="67" t="n">
        <f aca="false">-Inputs!$D$30*1</f>
        <v>-6000</v>
      </c>
      <c r="BE258" s="67" t="n">
        <f aca="false">-Inputs!$D$30*1</f>
        <v>-6000</v>
      </c>
      <c r="BF258" s="67" t="n">
        <f aca="false">-Inputs!$D$30*1</f>
        <v>-6000</v>
      </c>
      <c r="BG258" s="67" t="n">
        <f aca="false">-Inputs!$D$30*1</f>
        <v>-6000</v>
      </c>
      <c r="BH258" s="67" t="n">
        <f aca="false">-Inputs!$D$30*1</f>
        <v>-6000</v>
      </c>
      <c r="BI258" s="67" t="n">
        <f aca="false">-Inputs!$D$30*1</f>
        <v>-6000</v>
      </c>
      <c r="BJ258" s="67" t="n">
        <f aca="false">-Inputs!$D$30*1</f>
        <v>-6000</v>
      </c>
    </row>
    <row r="259" customFormat="false" ht="15" hidden="false" customHeight="false" outlineLevel="0" collapsed="false">
      <c r="A259" s="113" t="s">
        <v>77</v>
      </c>
      <c r="C259" s="68" t="n">
        <f aca="false">C254+C255+C256+C257+C258</f>
        <v>-62700</v>
      </c>
      <c r="D259" s="68" t="n">
        <f aca="false">D254+D255+D256+D257+D258</f>
        <v>-62700</v>
      </c>
      <c r="E259" s="68" t="n">
        <f aca="false">E254+E255+E256+E257+E258</f>
        <v>-62700</v>
      </c>
      <c r="F259" s="68" t="n">
        <f aca="false">F254+F255+F256+F257+F258</f>
        <v>-62700</v>
      </c>
      <c r="G259" s="68" t="n">
        <f aca="false">G254+G255+G256+G257+G258</f>
        <v>-62700</v>
      </c>
      <c r="H259" s="68" t="n">
        <f aca="false">H254+H255+H256+H257+H258</f>
        <v>-62700</v>
      </c>
      <c r="I259" s="68" t="n">
        <f aca="false">I254+I255+I256+I257+I258</f>
        <v>-62700</v>
      </c>
      <c r="J259" s="68" t="n">
        <f aca="false">J254+J255+J256+J257+J258</f>
        <v>-62700</v>
      </c>
      <c r="K259" s="68" t="n">
        <f aca="false">K254+K255+K256+K257+K258</f>
        <v>-62700</v>
      </c>
      <c r="L259" s="68" t="n">
        <f aca="false">L254+L255+L256+L257+L258</f>
        <v>-62700</v>
      </c>
      <c r="M259" s="68" t="n">
        <f aca="false">M254+M255+M256+M257+M258</f>
        <v>-62700</v>
      </c>
      <c r="N259" s="68" t="n">
        <f aca="false">N254+N255+N256+N257+N258</f>
        <v>-62700</v>
      </c>
      <c r="O259" s="68" t="n">
        <f aca="false">O254+O255+O256+O257+O258</f>
        <v>-71359.75</v>
      </c>
      <c r="P259" s="68" t="n">
        <f aca="false">P254+P255+P256+P257+P258</f>
        <v>-71359.75</v>
      </c>
      <c r="Q259" s="68" t="n">
        <f aca="false">Q254+Q255+Q256+Q257+Q258</f>
        <v>-71359.75</v>
      </c>
      <c r="R259" s="68" t="n">
        <f aca="false">R254+R255+R256+R257+R258</f>
        <v>-71359.75</v>
      </c>
      <c r="S259" s="68" t="n">
        <f aca="false">S254+S255+S256+S257+S258</f>
        <v>-71359.75</v>
      </c>
      <c r="T259" s="68" t="n">
        <f aca="false">T254+T255+T256+T257+T258</f>
        <v>-71359.75</v>
      </c>
      <c r="U259" s="68" t="n">
        <f aca="false">U254+U255+U256+U257+U258</f>
        <v>-71359.75</v>
      </c>
      <c r="V259" s="68" t="n">
        <f aca="false">V254+V255+V256+V257+V258</f>
        <v>-71359.75</v>
      </c>
      <c r="W259" s="68" t="n">
        <f aca="false">W254+W255+W256+W257+W258</f>
        <v>-71359.75</v>
      </c>
      <c r="X259" s="68" t="n">
        <f aca="false">X254+X255+X256+X257+X258</f>
        <v>-71359.75</v>
      </c>
      <c r="Y259" s="68" t="n">
        <f aca="false">Y254+Y255+Y256+Y257+Y258</f>
        <v>-71359.75</v>
      </c>
      <c r="Z259" s="68" t="n">
        <f aca="false">Z254+Z255+Z256+Z257+Z258</f>
        <v>-71359.75</v>
      </c>
      <c r="AA259" s="68" t="n">
        <f aca="false">AA254+AA255+AA256+AA257+AA258</f>
        <v>-81907.616875</v>
      </c>
      <c r="AB259" s="68" t="n">
        <f aca="false">AB254+AB255+AB256+AB257+AB258</f>
        <v>-81907.616875</v>
      </c>
      <c r="AC259" s="68" t="n">
        <f aca="false">AC254+AC255+AC256+AC257+AC258</f>
        <v>-81907.616875</v>
      </c>
      <c r="AD259" s="68" t="n">
        <f aca="false">AD254+AD255+AD256+AD257+AD258</f>
        <v>-81907.616875</v>
      </c>
      <c r="AE259" s="68" t="n">
        <f aca="false">AE254+AE255+AE256+AE257+AE258</f>
        <v>-81907.616875</v>
      </c>
      <c r="AF259" s="68" t="n">
        <f aca="false">AF254+AF255+AF256+AF257+AF258</f>
        <v>-81907.616875</v>
      </c>
      <c r="AG259" s="68" t="n">
        <f aca="false">AG254+AG255+AG256+AG257+AG258</f>
        <v>-81907.616875</v>
      </c>
      <c r="AH259" s="68" t="n">
        <f aca="false">AH254+AH255+AH256+AH257+AH258</f>
        <v>-81907.616875</v>
      </c>
      <c r="AI259" s="68" t="n">
        <f aca="false">AI254+AI255+AI256+AI257+AI258</f>
        <v>-81907.616875</v>
      </c>
      <c r="AJ259" s="68" t="n">
        <f aca="false">AJ254+AJ255+AJ256+AJ257+AJ258</f>
        <v>-81907.616875</v>
      </c>
      <c r="AK259" s="68" t="n">
        <f aca="false">AK254+AK255+AK256+AK257+AK258</f>
        <v>-81907.616875</v>
      </c>
      <c r="AL259" s="68" t="n">
        <f aca="false">AL254+AL255+AL256+AL257+AL258</f>
        <v>-81907.616875</v>
      </c>
      <c r="AM259" s="68" t="n">
        <f aca="false">AM254+AM255+AM256+AM257+AM258</f>
        <v>-94765.9462864374</v>
      </c>
      <c r="AN259" s="68" t="n">
        <f aca="false">AN254+AN255+AN256+AN257+AN258</f>
        <v>-94765.9462864374</v>
      </c>
      <c r="AO259" s="68" t="n">
        <f aca="false">AO254+AO255+AO256+AO257+AO258</f>
        <v>-94765.9462864374</v>
      </c>
      <c r="AP259" s="68" t="n">
        <f aca="false">AP254+AP255+AP256+AP257+AP258</f>
        <v>-94765.9462864374</v>
      </c>
      <c r="AQ259" s="68" t="n">
        <f aca="false">AQ254+AQ255+AQ256+AQ257+AQ258</f>
        <v>-94765.9462864374</v>
      </c>
      <c r="AR259" s="68" t="n">
        <f aca="false">AR254+AR255+AR256+AR257+AR258</f>
        <v>-94765.9462864374</v>
      </c>
      <c r="AS259" s="68" t="n">
        <f aca="false">AS254+AS255+AS256+AS257+AS258</f>
        <v>-94765.9462864374</v>
      </c>
      <c r="AT259" s="68" t="n">
        <f aca="false">AT254+AT255+AT256+AT257+AT258</f>
        <v>-94765.9462864374</v>
      </c>
      <c r="AU259" s="68" t="n">
        <f aca="false">AU254+AU255+AU256+AU257+AU258</f>
        <v>-94765.9462864374</v>
      </c>
      <c r="AV259" s="68" t="n">
        <f aca="false">AV254+AV255+AV256+AV257+AV258</f>
        <v>-94765.9462864374</v>
      </c>
      <c r="AW259" s="68" t="n">
        <f aca="false">AW254+AW255+AW256+AW257+AW258</f>
        <v>-94765.9462864374</v>
      </c>
      <c r="AX259" s="68" t="n">
        <f aca="false">AX254+AX255+AX256+AX257+AX258</f>
        <v>-94765.9462864374</v>
      </c>
      <c r="AY259" s="68" t="n">
        <f aca="false">AY254+AY255+AY256+AY257+AY258</f>
        <v>-110454.077803913</v>
      </c>
      <c r="AZ259" s="68" t="n">
        <f aca="false">AZ254+AZ255+AZ256+AZ257+AZ258</f>
        <v>-110454.077803913</v>
      </c>
      <c r="BA259" s="68" t="n">
        <f aca="false">BA254+BA255+BA256+BA257+BA258</f>
        <v>-110454.077803913</v>
      </c>
      <c r="BB259" s="68" t="n">
        <f aca="false">BB254+BB255+BB256+BB257+BB258</f>
        <v>-110454.077803913</v>
      </c>
      <c r="BC259" s="68" t="n">
        <f aca="false">BC254+BC255+BC256+BC257+BC258</f>
        <v>-110454.077803913</v>
      </c>
      <c r="BD259" s="68" t="n">
        <f aca="false">BD254+BD255+BD256+BD257+BD258</f>
        <v>-110454.077803913</v>
      </c>
      <c r="BE259" s="68" t="n">
        <f aca="false">BE254+BE255+BE256+BE257+BE258</f>
        <v>-110454.077803913</v>
      </c>
      <c r="BF259" s="68" t="n">
        <f aca="false">BF254+BF255+BF256+BF257+BF258</f>
        <v>-110454.077803913</v>
      </c>
      <c r="BG259" s="68" t="n">
        <f aca="false">BG254+BG255+BG256+BG257+BG258</f>
        <v>-110454.077803913</v>
      </c>
      <c r="BH259" s="68" t="n">
        <f aca="false">BH254+BH255+BH256+BH257+BH258</f>
        <v>-110454.077803913</v>
      </c>
      <c r="BI259" s="68" t="n">
        <f aca="false">BI254+BI255+BI256+BI257+BI258</f>
        <v>-110454.077803913</v>
      </c>
      <c r="BJ259" s="68" t="n">
        <f aca="false">BJ254+BJ255+BJ256+BJ257+BJ258</f>
        <v>-110454.077803913</v>
      </c>
    </row>
    <row r="260" customFormat="false" ht="15" hidden="false" customHeight="false" outlineLevel="0" collapsed="false">
      <c r="A260" s="113" t="s">
        <v>48</v>
      </c>
      <c r="C260" s="68" t="n">
        <f aca="false">C251+C259</f>
        <v>187335.975</v>
      </c>
      <c r="D260" s="68" t="n">
        <f aca="false">D251+D259</f>
        <v>187335.975</v>
      </c>
      <c r="E260" s="68" t="n">
        <f aca="false">E251+E259</f>
        <v>187335.975</v>
      </c>
      <c r="F260" s="68" t="n">
        <f aca="false">F251+F259</f>
        <v>187335.975</v>
      </c>
      <c r="G260" s="68" t="n">
        <f aca="false">G251+G259</f>
        <v>187335.975</v>
      </c>
      <c r="H260" s="68" t="n">
        <f aca="false">H251+H259</f>
        <v>187335.975</v>
      </c>
      <c r="I260" s="68" t="n">
        <f aca="false">I251+I259</f>
        <v>187335.975</v>
      </c>
      <c r="J260" s="68" t="n">
        <f aca="false">J251+J259</f>
        <v>187335.975</v>
      </c>
      <c r="K260" s="68" t="n">
        <f aca="false">K251+K259</f>
        <v>187335.975</v>
      </c>
      <c r="L260" s="68" t="n">
        <f aca="false">L251+L259</f>
        <v>187335.975</v>
      </c>
      <c r="M260" s="68" t="n">
        <f aca="false">M251+M259</f>
        <v>187335.975</v>
      </c>
      <c r="N260" s="68" t="n">
        <f aca="false">N251+N259</f>
        <v>187335.975</v>
      </c>
      <c r="O260" s="68" t="n">
        <f aca="false">O251+O259</f>
        <v>262451.0874</v>
      </c>
      <c r="P260" s="68" t="n">
        <f aca="false">P251+P259</f>
        <v>262451.0874</v>
      </c>
      <c r="Q260" s="68" t="n">
        <f aca="false">Q251+Q259</f>
        <v>262451.0874</v>
      </c>
      <c r="R260" s="68" t="n">
        <f aca="false">R251+R259</f>
        <v>262451.0874</v>
      </c>
      <c r="S260" s="68" t="n">
        <f aca="false">S251+S259</f>
        <v>262451.0874</v>
      </c>
      <c r="T260" s="68" t="n">
        <f aca="false">T251+T259</f>
        <v>262451.0874</v>
      </c>
      <c r="U260" s="68" t="n">
        <f aca="false">U251+U259</f>
        <v>262451.0874</v>
      </c>
      <c r="V260" s="68" t="n">
        <f aca="false">V251+V259</f>
        <v>262451.0874</v>
      </c>
      <c r="W260" s="68" t="n">
        <f aca="false">W251+W259</f>
        <v>262451.0874</v>
      </c>
      <c r="X260" s="68" t="n">
        <f aca="false">X251+X259</f>
        <v>262451.0874</v>
      </c>
      <c r="Y260" s="68" t="n">
        <f aca="false">Y251+Y259</f>
        <v>262451.0874</v>
      </c>
      <c r="Z260" s="68" t="n">
        <f aca="false">Z251+Z259</f>
        <v>262451.0874</v>
      </c>
      <c r="AA260" s="68" t="n">
        <f aca="false">AA251+AA259</f>
        <v>364211.9113914</v>
      </c>
      <c r="AB260" s="68" t="n">
        <f aca="false">AB251+AB259</f>
        <v>364211.9113914</v>
      </c>
      <c r="AC260" s="68" t="n">
        <f aca="false">AC251+AC259</f>
        <v>364211.9113914</v>
      </c>
      <c r="AD260" s="68" t="n">
        <f aca="false">AD251+AD259</f>
        <v>364211.9113914</v>
      </c>
      <c r="AE260" s="68" t="n">
        <f aca="false">AE251+AE259</f>
        <v>364211.9113914</v>
      </c>
      <c r="AF260" s="68" t="n">
        <f aca="false">AF251+AF259</f>
        <v>364211.9113914</v>
      </c>
      <c r="AG260" s="68" t="n">
        <f aca="false">AG251+AG259</f>
        <v>364211.9113914</v>
      </c>
      <c r="AH260" s="68" t="n">
        <f aca="false">AH251+AH259</f>
        <v>364211.9113914</v>
      </c>
      <c r="AI260" s="68" t="n">
        <f aca="false">AI251+AI259</f>
        <v>364211.9113914</v>
      </c>
      <c r="AJ260" s="68" t="n">
        <f aca="false">AJ251+AJ259</f>
        <v>364211.9113914</v>
      </c>
      <c r="AK260" s="68" t="n">
        <f aca="false">AK251+AK259</f>
        <v>364211.9113914</v>
      </c>
      <c r="AL260" s="68" t="n">
        <f aca="false">AL251+AL259</f>
        <v>364211.9113914</v>
      </c>
      <c r="AM260" s="68" t="n">
        <f aca="false">AM251+AM259</f>
        <v>502044.925527032</v>
      </c>
      <c r="AN260" s="68" t="n">
        <f aca="false">AN251+AN259</f>
        <v>502044.925527032</v>
      </c>
      <c r="AO260" s="68" t="n">
        <f aca="false">AO251+AO259</f>
        <v>502044.925527032</v>
      </c>
      <c r="AP260" s="68" t="n">
        <f aca="false">AP251+AP259</f>
        <v>502044.925527032</v>
      </c>
      <c r="AQ260" s="68" t="n">
        <f aca="false">AQ251+AQ259</f>
        <v>502044.925527032</v>
      </c>
      <c r="AR260" s="68" t="n">
        <f aca="false">AR251+AR259</f>
        <v>502044.925527032</v>
      </c>
      <c r="AS260" s="68" t="n">
        <f aca="false">AS251+AS259</f>
        <v>502044.925527032</v>
      </c>
      <c r="AT260" s="68" t="n">
        <f aca="false">AT251+AT259</f>
        <v>502044.925527032</v>
      </c>
      <c r="AU260" s="68" t="n">
        <f aca="false">AU251+AU259</f>
        <v>502044.925527032</v>
      </c>
      <c r="AV260" s="68" t="n">
        <f aca="false">AV251+AV259</f>
        <v>502044.925527032</v>
      </c>
      <c r="AW260" s="68" t="n">
        <f aca="false">AW251+AW259</f>
        <v>502044.925527032</v>
      </c>
      <c r="AX260" s="68" t="n">
        <f aca="false">AX251+AX259</f>
        <v>502044.925527032</v>
      </c>
      <c r="AY260" s="68" t="n">
        <f aca="false">AY251+AY259</f>
        <v>688714.334461556</v>
      </c>
      <c r="AZ260" s="68" t="n">
        <f aca="false">AZ251+AZ259</f>
        <v>688714.334461556</v>
      </c>
      <c r="BA260" s="68" t="n">
        <f aca="false">BA251+BA259</f>
        <v>688714.334461556</v>
      </c>
      <c r="BB260" s="68" t="n">
        <f aca="false">BB251+BB259</f>
        <v>688714.334461556</v>
      </c>
      <c r="BC260" s="68" t="n">
        <f aca="false">BC251+BC259</f>
        <v>688714.334461556</v>
      </c>
      <c r="BD260" s="68" t="n">
        <f aca="false">BD251+BD259</f>
        <v>688714.334461556</v>
      </c>
      <c r="BE260" s="68" t="n">
        <f aca="false">BE251+BE259</f>
        <v>688714.334461556</v>
      </c>
      <c r="BF260" s="68" t="n">
        <f aca="false">BF251+BF259</f>
        <v>688714.334461556</v>
      </c>
      <c r="BG260" s="68" t="n">
        <f aca="false">BG251+BG259</f>
        <v>688714.334461556</v>
      </c>
      <c r="BH260" s="68" t="n">
        <f aca="false">BH251+BH259</f>
        <v>688714.334461556</v>
      </c>
      <c r="BI260" s="68" t="n">
        <f aca="false">BI251+BI259</f>
        <v>688714.334461556</v>
      </c>
      <c r="BJ260" s="68" t="n">
        <f aca="false">BJ251+BJ259</f>
        <v>688714.334461556</v>
      </c>
    </row>
    <row r="262" customFormat="false" ht="15.75" hidden="false" customHeight="true" outlineLevel="0" collapsed="false">
      <c r="A262" s="7" t="s">
        <v>412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customFormat="false" ht="15" hidden="false" customHeight="false" outlineLevel="0" collapsed="false">
      <c r="A263" s="4" t="s">
        <v>79</v>
      </c>
      <c r="C263" s="73" t="n">
        <f aca="false">C260+C274</f>
        <v>186335.975</v>
      </c>
      <c r="D263" s="73" t="n">
        <f aca="false">D260+D274</f>
        <v>186335.975</v>
      </c>
      <c r="E263" s="73" t="n">
        <f aca="false">E260+E274</f>
        <v>186335.975</v>
      </c>
      <c r="F263" s="73" t="n">
        <f aca="false">F260+F274</f>
        <v>186335.975</v>
      </c>
      <c r="G263" s="73" t="n">
        <f aca="false">G260+G274</f>
        <v>186335.975</v>
      </c>
      <c r="H263" s="73" t="n">
        <f aca="false">H260+H274</f>
        <v>186335.975</v>
      </c>
      <c r="I263" s="73" t="n">
        <f aca="false">I260+I274</f>
        <v>186335.975</v>
      </c>
      <c r="J263" s="73" t="n">
        <f aca="false">J260+J274</f>
        <v>186335.975</v>
      </c>
      <c r="K263" s="73" t="n">
        <f aca="false">K260+K274</f>
        <v>186335.975</v>
      </c>
      <c r="L263" s="73" t="n">
        <f aca="false">L260+L274</f>
        <v>186335.975</v>
      </c>
      <c r="M263" s="73" t="n">
        <f aca="false">M260+M274</f>
        <v>186335.975</v>
      </c>
      <c r="N263" s="73" t="n">
        <f aca="false">N260+N274</f>
        <v>186335.975</v>
      </c>
      <c r="O263" s="73" t="n">
        <f aca="false">O260+O274</f>
        <v>261451.0874</v>
      </c>
      <c r="P263" s="73" t="n">
        <f aca="false">P260+P274</f>
        <v>261451.0874</v>
      </c>
      <c r="Q263" s="73" t="n">
        <f aca="false">Q260+Q274</f>
        <v>261451.0874</v>
      </c>
      <c r="R263" s="73" t="n">
        <f aca="false">R260+R274</f>
        <v>261451.0874</v>
      </c>
      <c r="S263" s="73" t="n">
        <f aca="false">S260+S274</f>
        <v>261451.0874</v>
      </c>
      <c r="T263" s="73" t="n">
        <f aca="false">T260+T274</f>
        <v>261451.0874</v>
      </c>
      <c r="U263" s="73" t="n">
        <f aca="false">U260+U274</f>
        <v>261451.0874</v>
      </c>
      <c r="V263" s="73" t="n">
        <f aca="false">V260+V274</f>
        <v>261451.0874</v>
      </c>
      <c r="W263" s="73" t="n">
        <f aca="false">W260+W274</f>
        <v>261451.0874</v>
      </c>
      <c r="X263" s="73" t="n">
        <f aca="false">X260+X274</f>
        <v>261451.0874</v>
      </c>
      <c r="Y263" s="73" t="n">
        <f aca="false">Y260+Y274</f>
        <v>261451.0874</v>
      </c>
      <c r="Z263" s="73" t="n">
        <f aca="false">Z260+Z274</f>
        <v>261451.0874</v>
      </c>
      <c r="AA263" s="73" t="n">
        <f aca="false">AA260+AA274</f>
        <v>363211.9113914</v>
      </c>
      <c r="AB263" s="73" t="n">
        <f aca="false">AB260+AB274</f>
        <v>363211.9113914</v>
      </c>
      <c r="AC263" s="73" t="n">
        <f aca="false">AC260+AC274</f>
        <v>363211.9113914</v>
      </c>
      <c r="AD263" s="73" t="n">
        <f aca="false">AD260+AD274</f>
        <v>363211.9113914</v>
      </c>
      <c r="AE263" s="73" t="n">
        <f aca="false">AE260+AE274</f>
        <v>363211.9113914</v>
      </c>
      <c r="AF263" s="73" t="n">
        <f aca="false">AF260+AF274</f>
        <v>363211.9113914</v>
      </c>
      <c r="AG263" s="73" t="n">
        <f aca="false">AG260+AG274</f>
        <v>363211.9113914</v>
      </c>
      <c r="AH263" s="73" t="n">
        <f aca="false">AH260+AH274</f>
        <v>363211.9113914</v>
      </c>
      <c r="AI263" s="73" t="n">
        <f aca="false">AI260+AI274</f>
        <v>363211.9113914</v>
      </c>
      <c r="AJ263" s="73" t="n">
        <f aca="false">AJ260+AJ274</f>
        <v>363211.9113914</v>
      </c>
      <c r="AK263" s="73" t="n">
        <f aca="false">AK260+AK274</f>
        <v>363211.9113914</v>
      </c>
      <c r="AL263" s="73" t="n">
        <f aca="false">AL260+AL274</f>
        <v>363211.9113914</v>
      </c>
      <c r="AM263" s="73" t="n">
        <f aca="false">AM260+AM274</f>
        <v>501044.925527032</v>
      </c>
      <c r="AN263" s="73" t="n">
        <f aca="false">AN260+AN274</f>
        <v>501044.925527032</v>
      </c>
      <c r="AO263" s="73" t="n">
        <f aca="false">AO260+AO274</f>
        <v>501044.925527032</v>
      </c>
      <c r="AP263" s="73" t="n">
        <f aca="false">AP260+AP274</f>
        <v>501044.925527032</v>
      </c>
      <c r="AQ263" s="73" t="n">
        <f aca="false">AQ260+AQ274</f>
        <v>501044.925527032</v>
      </c>
      <c r="AR263" s="73" t="n">
        <f aca="false">AR260+AR274</f>
        <v>501044.925527032</v>
      </c>
      <c r="AS263" s="73" t="n">
        <f aca="false">AS260+AS274</f>
        <v>501044.925527032</v>
      </c>
      <c r="AT263" s="73" t="n">
        <f aca="false">AT260+AT274</f>
        <v>501044.925527032</v>
      </c>
      <c r="AU263" s="73" t="n">
        <f aca="false">AU260+AU274</f>
        <v>501044.925527032</v>
      </c>
      <c r="AV263" s="73" t="n">
        <f aca="false">AV260+AV274</f>
        <v>501044.925527032</v>
      </c>
      <c r="AW263" s="73" t="n">
        <f aca="false">AW260+AW274</f>
        <v>501044.925527032</v>
      </c>
      <c r="AX263" s="73" t="n">
        <f aca="false">AX260+AX274</f>
        <v>501044.925527032</v>
      </c>
      <c r="AY263" s="73" t="n">
        <f aca="false">AY260+AY274</f>
        <v>687714.334461556</v>
      </c>
      <c r="AZ263" s="73" t="n">
        <f aca="false">AZ260+AZ274</f>
        <v>687714.334461556</v>
      </c>
      <c r="BA263" s="73" t="n">
        <f aca="false">BA260+BA274</f>
        <v>687714.334461556</v>
      </c>
      <c r="BB263" s="73" t="n">
        <f aca="false">BB260+BB274</f>
        <v>687714.334461556</v>
      </c>
      <c r="BC263" s="73" t="n">
        <f aca="false">BC260+BC274</f>
        <v>687714.334461556</v>
      </c>
      <c r="BD263" s="73" t="n">
        <f aca="false">BD260+BD274</f>
        <v>687714.334461556</v>
      </c>
      <c r="BE263" s="73" t="n">
        <f aca="false">BE260+BE274</f>
        <v>687714.334461556</v>
      </c>
      <c r="BF263" s="73" t="n">
        <f aca="false">BF260+BF274</f>
        <v>687714.334461556</v>
      </c>
      <c r="BG263" s="73" t="n">
        <f aca="false">BG260+BG274</f>
        <v>687714.334461556</v>
      </c>
      <c r="BH263" s="73" t="n">
        <f aca="false">BH260+BH274</f>
        <v>687714.334461556</v>
      </c>
      <c r="BI263" s="73" t="n">
        <f aca="false">BI260+BI274</f>
        <v>687714.334461556</v>
      </c>
      <c r="BJ263" s="73" t="n">
        <f aca="false">BJ260+BJ274</f>
        <v>687714.334461556</v>
      </c>
    </row>
    <row r="264" customFormat="false" ht="15" hidden="false" customHeight="false" outlineLevel="0" collapsed="false">
      <c r="A264" s="6" t="s">
        <v>413</v>
      </c>
      <c r="C264" s="67" t="n">
        <f aca="false">-(C279+C280+C282)/2*Inputs!$D$56/12</f>
        <v>-1333.33333333333</v>
      </c>
      <c r="D264" s="67" t="n">
        <f aca="false">-(D279+D280+D282)/2*Inputs!$D$56/12</f>
        <v>-1322.22222222222</v>
      </c>
      <c r="E264" s="67" t="n">
        <f aca="false">-(E279+E280+E282)/2*Inputs!$D$56/12</f>
        <v>-1300</v>
      </c>
      <c r="F264" s="67" t="n">
        <f aca="false">-(F279+F280+F282)/2*Inputs!$D$56/12</f>
        <v>-1277.77777777778</v>
      </c>
      <c r="G264" s="67" t="n">
        <f aca="false">-(G279+G280+G282)/2*Inputs!$D$56/12</f>
        <v>-1255.55555555556</v>
      </c>
      <c r="H264" s="67" t="n">
        <f aca="false">-(H279+H280+H282)/2*Inputs!$D$56/12</f>
        <v>-1233.33333333333</v>
      </c>
      <c r="I264" s="67" t="n">
        <f aca="false">-(I279+I280+I282)/2*Inputs!$D$56/12</f>
        <v>-1211.11111111111</v>
      </c>
      <c r="J264" s="67" t="n">
        <f aca="false">-(J279+J280+J282)/2*Inputs!$D$56/12</f>
        <v>-1188.88888888889</v>
      </c>
      <c r="K264" s="67" t="n">
        <f aca="false">-(K279+K280+K282)/2*Inputs!$D$56/12</f>
        <v>-1166.66666666667</v>
      </c>
      <c r="L264" s="67" t="n">
        <f aca="false">-(L279+L280+L282)/2*Inputs!$D$56/12</f>
        <v>-1144.44444444444</v>
      </c>
      <c r="M264" s="67" t="n">
        <f aca="false">-(M279+M280+M282)/2*Inputs!$D$56/12</f>
        <v>-1122.22222222222</v>
      </c>
      <c r="N264" s="67" t="n">
        <f aca="false">-(N279+N280+N282)/2*Inputs!$D$56/12</f>
        <v>-1100</v>
      </c>
      <c r="O264" s="67" t="n">
        <f aca="false">-(O279+O280+O282)/2*Inputs!$D$56/12</f>
        <v>-1077.77777777778</v>
      </c>
      <c r="P264" s="67" t="n">
        <f aca="false">-(P279+P280+P282)/2*Inputs!$D$56/12</f>
        <v>-1055.55555555555</v>
      </c>
      <c r="Q264" s="67" t="n">
        <f aca="false">-(Q279+Q280+Q282)/2*Inputs!$D$56/12</f>
        <v>-1033.33333333333</v>
      </c>
      <c r="R264" s="67" t="n">
        <f aca="false">-(R279+R280+R282)/2*Inputs!$D$56/12</f>
        <v>-1011.11111111111</v>
      </c>
      <c r="S264" s="67" t="n">
        <f aca="false">-(S279+S280+S282)/2*Inputs!$D$56/12</f>
        <v>-988.888888888888</v>
      </c>
      <c r="T264" s="67" t="n">
        <f aca="false">-(T279+T280+T282)/2*Inputs!$D$56/12</f>
        <v>-966.666666666666</v>
      </c>
      <c r="U264" s="67" t="n">
        <f aca="false">-(U279+U280+U282)/2*Inputs!$D$56/12</f>
        <v>-944.444444444443</v>
      </c>
      <c r="V264" s="67" t="n">
        <f aca="false">-(V279+V280+V282)/2*Inputs!$D$56/12</f>
        <v>-922.222222222221</v>
      </c>
      <c r="W264" s="67" t="n">
        <f aca="false">-(W279+W280+W282)/2*Inputs!$D$56/12</f>
        <v>-899.999999999999</v>
      </c>
      <c r="X264" s="67" t="n">
        <f aca="false">-(X279+X280+X282)/2*Inputs!$D$56/12</f>
        <v>-877.777777777777</v>
      </c>
      <c r="Y264" s="67" t="n">
        <f aca="false">-(Y279+Y280+Y282)/2*Inputs!$D$56/12</f>
        <v>-855.555555555554</v>
      </c>
      <c r="Z264" s="67" t="n">
        <f aca="false">-(Z279+Z280+Z282)/2*Inputs!$D$56/12</f>
        <v>-833.333333333332</v>
      </c>
      <c r="AA264" s="67" t="n">
        <f aca="false">-(AA279+AA280+AA282)/2*Inputs!$D$56/12</f>
        <v>-811.11111111111</v>
      </c>
      <c r="AB264" s="67" t="n">
        <f aca="false">-(AB279+AB280+AB282)/2*Inputs!$D$56/12</f>
        <v>-788.888888888888</v>
      </c>
      <c r="AC264" s="67" t="n">
        <f aca="false">-(AC279+AC280+AC282)/2*Inputs!$D$56/12</f>
        <v>-766.666666666666</v>
      </c>
      <c r="AD264" s="67" t="n">
        <f aca="false">-(AD279+AD280+AD282)/2*Inputs!$D$56/12</f>
        <v>-744.444444444443</v>
      </c>
      <c r="AE264" s="67" t="n">
        <f aca="false">-(AE279+AE280+AE282)/2*Inputs!$D$56/12</f>
        <v>-722.222222222221</v>
      </c>
      <c r="AF264" s="67" t="n">
        <f aca="false">-(AF279+AF280+AF282)/2*Inputs!$D$56/12</f>
        <v>-699.999999999999</v>
      </c>
      <c r="AG264" s="67" t="n">
        <f aca="false">-(AG279+AG280+AG282)/2*Inputs!$D$56/12</f>
        <v>-677.777777777777</v>
      </c>
      <c r="AH264" s="67" t="n">
        <f aca="false">-(AH279+AH280+AH282)/2*Inputs!$D$56/12</f>
        <v>-655.555555555555</v>
      </c>
      <c r="AI264" s="67" t="n">
        <f aca="false">-(AI279+AI280+AI282)/2*Inputs!$D$56/12</f>
        <v>-633.333333333332</v>
      </c>
      <c r="AJ264" s="67" t="n">
        <f aca="false">-(AJ279+AJ280+AJ282)/2*Inputs!$D$56/12</f>
        <v>-611.11111111111</v>
      </c>
      <c r="AK264" s="67" t="n">
        <f aca="false">-(AK279+AK280+AK282)/2*Inputs!$D$56/12</f>
        <v>-588.888888888888</v>
      </c>
      <c r="AL264" s="67" t="n">
        <f aca="false">-(AL279+AL280+AL282)/2*Inputs!$D$56/12</f>
        <v>-566.666666666666</v>
      </c>
      <c r="AM264" s="67" t="n">
        <f aca="false">-(AM279+AM280+AM282)/2*Inputs!$D$56/12</f>
        <v>-544.444444444444</v>
      </c>
      <c r="AN264" s="67" t="n">
        <f aca="false">-(AN279+AN280+AN282)/2*Inputs!$D$56/12</f>
        <v>-522.222222222222</v>
      </c>
      <c r="AO264" s="67" t="n">
        <f aca="false">-(AO279+AO280+AO282)/2*Inputs!$D$56/12</f>
        <v>-499.999999999999</v>
      </c>
      <c r="AP264" s="67" t="n">
        <f aca="false">-(AP279+AP280+AP282)/2*Inputs!$D$56/12</f>
        <v>-477.777777777777</v>
      </c>
      <c r="AQ264" s="67" t="n">
        <f aca="false">-(AQ279+AQ280+AQ282)/2*Inputs!$D$56/12</f>
        <v>-455.555555555555</v>
      </c>
      <c r="AR264" s="67" t="n">
        <f aca="false">-(AR279+AR280+AR282)/2*Inputs!$D$56/12</f>
        <v>-433.333333333333</v>
      </c>
      <c r="AS264" s="67" t="n">
        <f aca="false">-(AS279+AS280+AS282)/2*Inputs!$D$56/12</f>
        <v>-411.11111111111</v>
      </c>
      <c r="AT264" s="67" t="n">
        <f aca="false">-(AT279+AT280+AT282)/2*Inputs!$D$56/12</f>
        <v>-388.888888888888</v>
      </c>
      <c r="AU264" s="67" t="n">
        <f aca="false">-(AU279+AU280+AU282)/2*Inputs!$D$56/12</f>
        <v>-366.666666666666</v>
      </c>
      <c r="AV264" s="67" t="n">
        <f aca="false">-(AV279+AV280+AV282)/2*Inputs!$D$56/12</f>
        <v>-344.444444444444</v>
      </c>
      <c r="AW264" s="67" t="n">
        <f aca="false">-(AW279+AW280+AW282)/2*Inputs!$D$56/12</f>
        <v>-322.222222222222</v>
      </c>
      <c r="AX264" s="67" t="n">
        <f aca="false">-(AX279+AX280+AX282)/2*Inputs!$D$56/12</f>
        <v>-299.999999999999</v>
      </c>
      <c r="AY264" s="67" t="n">
        <f aca="false">-(AY279+AY280+AY282)/2*Inputs!$D$56/12</f>
        <v>-277.777777777777</v>
      </c>
      <c r="AZ264" s="67" t="n">
        <f aca="false">-(AZ279+AZ280+AZ282)/2*Inputs!$D$56/12</f>
        <v>-255.555555555555</v>
      </c>
      <c r="BA264" s="67" t="n">
        <f aca="false">-(BA279+BA280+BA282)/2*Inputs!$D$56/12</f>
        <v>-233.333333333333</v>
      </c>
      <c r="BB264" s="67" t="n">
        <f aca="false">-(BB279+BB280+BB282)/2*Inputs!$D$56/12</f>
        <v>-211.11111111111</v>
      </c>
      <c r="BC264" s="67" t="n">
        <f aca="false">-(BC279+BC280+BC282)/2*Inputs!$D$56/12</f>
        <v>-188.888888888888</v>
      </c>
      <c r="BD264" s="67" t="n">
        <f aca="false">-(BD279+BD280+BD282)/2*Inputs!$D$56/12</f>
        <v>-166.666666666666</v>
      </c>
      <c r="BE264" s="67" t="n">
        <f aca="false">-(BE279+BE280+BE282)/2*Inputs!$D$56/12</f>
        <v>-144.444444444444</v>
      </c>
      <c r="BF264" s="67" t="n">
        <f aca="false">-(BF279+BF280+BF282)/2*Inputs!$D$56/12</f>
        <v>-122.222222222221</v>
      </c>
      <c r="BG264" s="67" t="n">
        <f aca="false">-(BG279+BG280+BG282)/2*Inputs!$D$56/12</f>
        <v>-99.9999999999992</v>
      </c>
      <c r="BH264" s="67" t="n">
        <f aca="false">-(BH279+BH280+BH282)/2*Inputs!$D$56/12</f>
        <v>-77.777777777777</v>
      </c>
      <c r="BI264" s="67" t="n">
        <f aca="false">-(BI279+BI280+BI282)/2*Inputs!$D$56/12</f>
        <v>-55.5555555555548</v>
      </c>
      <c r="BJ264" s="67" t="n">
        <f aca="false">-(BJ279+BJ280+BJ282)/2*Inputs!$D$56/12</f>
        <v>-33.3333333333326</v>
      </c>
    </row>
    <row r="265" customFormat="false" ht="15" hidden="false" customHeight="false" outlineLevel="0" collapsed="false">
      <c r="A265" s="113" t="s">
        <v>81</v>
      </c>
      <c r="C265" s="68" t="n">
        <f aca="false">C263+C264</f>
        <v>185002.641666667</v>
      </c>
      <c r="D265" s="68" t="n">
        <f aca="false">D263+D264</f>
        <v>185013.752777778</v>
      </c>
      <c r="E265" s="68" t="n">
        <f aca="false">E263+E264</f>
        <v>185035.975</v>
      </c>
      <c r="F265" s="68" t="n">
        <f aca="false">F263+F264</f>
        <v>185058.197222222</v>
      </c>
      <c r="G265" s="68" t="n">
        <f aca="false">G263+G264</f>
        <v>185080.419444444</v>
      </c>
      <c r="H265" s="68" t="n">
        <f aca="false">H263+H264</f>
        <v>185102.641666667</v>
      </c>
      <c r="I265" s="68" t="n">
        <f aca="false">I263+I264</f>
        <v>185124.863888889</v>
      </c>
      <c r="J265" s="68" t="n">
        <f aca="false">J263+J264</f>
        <v>185147.086111111</v>
      </c>
      <c r="K265" s="68" t="n">
        <f aca="false">K263+K264</f>
        <v>185169.308333333</v>
      </c>
      <c r="L265" s="68" t="n">
        <f aca="false">L263+L264</f>
        <v>185191.530555556</v>
      </c>
      <c r="M265" s="68" t="n">
        <f aca="false">M263+M264</f>
        <v>185213.752777778</v>
      </c>
      <c r="N265" s="68" t="n">
        <f aca="false">N263+N264</f>
        <v>185235.975</v>
      </c>
      <c r="O265" s="68" t="n">
        <f aca="false">O263+O264</f>
        <v>260373.309622222</v>
      </c>
      <c r="P265" s="68" t="n">
        <f aca="false">P263+P264</f>
        <v>260395.531844445</v>
      </c>
      <c r="Q265" s="68" t="n">
        <f aca="false">Q263+Q264</f>
        <v>260417.754066667</v>
      </c>
      <c r="R265" s="68" t="n">
        <f aca="false">R263+R264</f>
        <v>260439.976288889</v>
      </c>
      <c r="S265" s="68" t="n">
        <f aca="false">S263+S264</f>
        <v>260462.198511111</v>
      </c>
      <c r="T265" s="68" t="n">
        <f aca="false">T263+T264</f>
        <v>260484.420733333</v>
      </c>
      <c r="U265" s="68" t="n">
        <f aca="false">U263+U264</f>
        <v>260506.642955556</v>
      </c>
      <c r="V265" s="68" t="n">
        <f aca="false">V263+V264</f>
        <v>260528.865177778</v>
      </c>
      <c r="W265" s="68" t="n">
        <f aca="false">W263+W264</f>
        <v>260551.0874</v>
      </c>
      <c r="X265" s="68" t="n">
        <f aca="false">X263+X264</f>
        <v>260573.309622222</v>
      </c>
      <c r="Y265" s="68" t="n">
        <f aca="false">Y263+Y264</f>
        <v>260595.531844445</v>
      </c>
      <c r="Z265" s="68" t="n">
        <f aca="false">Z263+Z264</f>
        <v>260617.754066667</v>
      </c>
      <c r="AA265" s="68" t="n">
        <f aca="false">AA263+AA264</f>
        <v>362400.800280289</v>
      </c>
      <c r="AB265" s="68" t="n">
        <f aca="false">AB263+AB264</f>
        <v>362423.022502511</v>
      </c>
      <c r="AC265" s="68" t="n">
        <f aca="false">AC263+AC264</f>
        <v>362445.244724733</v>
      </c>
      <c r="AD265" s="68" t="n">
        <f aca="false">AD263+AD264</f>
        <v>362467.466946956</v>
      </c>
      <c r="AE265" s="68" t="n">
        <f aca="false">AE263+AE264</f>
        <v>362489.689169178</v>
      </c>
      <c r="AF265" s="68" t="n">
        <f aca="false">AF263+AF264</f>
        <v>362511.9113914</v>
      </c>
      <c r="AG265" s="68" t="n">
        <f aca="false">AG263+AG264</f>
        <v>362534.133613622</v>
      </c>
      <c r="AH265" s="68" t="n">
        <f aca="false">AH263+AH264</f>
        <v>362556.355835845</v>
      </c>
      <c r="AI265" s="68" t="n">
        <f aca="false">AI263+AI264</f>
        <v>362578.578058067</v>
      </c>
      <c r="AJ265" s="68" t="n">
        <f aca="false">AJ263+AJ264</f>
        <v>362600.800280289</v>
      </c>
      <c r="AK265" s="68" t="n">
        <f aca="false">AK263+AK264</f>
        <v>362623.022502511</v>
      </c>
      <c r="AL265" s="68" t="n">
        <f aca="false">AL263+AL264</f>
        <v>362645.244724733</v>
      </c>
      <c r="AM265" s="68" t="n">
        <f aca="false">AM263+AM264</f>
        <v>500500.481082588</v>
      </c>
      <c r="AN265" s="68" t="n">
        <f aca="false">AN263+AN264</f>
        <v>500522.70330481</v>
      </c>
      <c r="AO265" s="68" t="n">
        <f aca="false">AO263+AO264</f>
        <v>500544.925527032</v>
      </c>
      <c r="AP265" s="68" t="n">
        <f aca="false">AP263+AP264</f>
        <v>500567.147749254</v>
      </c>
      <c r="AQ265" s="68" t="n">
        <f aca="false">AQ263+AQ264</f>
        <v>500589.369971477</v>
      </c>
      <c r="AR265" s="68" t="n">
        <f aca="false">AR263+AR264</f>
        <v>500611.592193699</v>
      </c>
      <c r="AS265" s="68" t="n">
        <f aca="false">AS263+AS264</f>
        <v>500633.814415921</v>
      </c>
      <c r="AT265" s="68" t="n">
        <f aca="false">AT263+AT264</f>
        <v>500656.036638143</v>
      </c>
      <c r="AU265" s="68" t="n">
        <f aca="false">AU263+AU264</f>
        <v>500678.258860366</v>
      </c>
      <c r="AV265" s="68" t="n">
        <f aca="false">AV263+AV264</f>
        <v>500700.481082588</v>
      </c>
      <c r="AW265" s="68" t="n">
        <f aca="false">AW263+AW264</f>
        <v>500722.70330481</v>
      </c>
      <c r="AX265" s="68" t="n">
        <f aca="false">AX263+AX264</f>
        <v>500744.925527032</v>
      </c>
      <c r="AY265" s="68" t="n">
        <f aca="false">AY263+AY264</f>
        <v>687436.556683778</v>
      </c>
      <c r="AZ265" s="68" t="n">
        <f aca="false">AZ263+AZ264</f>
        <v>687458.778906</v>
      </c>
      <c r="BA265" s="68" t="n">
        <f aca="false">BA263+BA264</f>
        <v>687481.001128222</v>
      </c>
      <c r="BB265" s="68" t="n">
        <f aca="false">BB263+BB264</f>
        <v>687503.223350445</v>
      </c>
      <c r="BC265" s="68" t="n">
        <f aca="false">BC263+BC264</f>
        <v>687525.445572667</v>
      </c>
      <c r="BD265" s="68" t="n">
        <f aca="false">BD263+BD264</f>
        <v>687547.667794889</v>
      </c>
      <c r="BE265" s="68" t="n">
        <f aca="false">BE263+BE264</f>
        <v>687569.890017111</v>
      </c>
      <c r="BF265" s="68" t="n">
        <f aca="false">BF263+BF264</f>
        <v>687592.112239334</v>
      </c>
      <c r="BG265" s="68" t="n">
        <f aca="false">BG263+BG264</f>
        <v>687614.334461556</v>
      </c>
      <c r="BH265" s="68" t="n">
        <f aca="false">BH263+BH264</f>
        <v>687636.556683778</v>
      </c>
      <c r="BI265" s="68" t="n">
        <f aca="false">BI263+BI264</f>
        <v>687658.778906</v>
      </c>
      <c r="BJ265" s="68" t="n">
        <f aca="false">BJ263+BJ264</f>
        <v>687681.001128222</v>
      </c>
    </row>
    <row r="266" customFormat="false" ht="15" hidden="false" customHeight="false" outlineLevel="0" collapsed="false">
      <c r="A266" s="120" t="s">
        <v>414</v>
      </c>
      <c r="C266" s="67" t="n">
        <f aca="false">C265</f>
        <v>185002.641666667</v>
      </c>
      <c r="D266" s="67" t="n">
        <f aca="false">C266+D265</f>
        <v>370016.394444444</v>
      </c>
      <c r="E266" s="67" t="n">
        <f aca="false">D266+E265</f>
        <v>555052.369444444</v>
      </c>
      <c r="F266" s="67" t="n">
        <f aca="false">E266+F265</f>
        <v>740110.566666667</v>
      </c>
      <c r="G266" s="67" t="n">
        <f aca="false">F266+G265</f>
        <v>925190.986111111</v>
      </c>
      <c r="H266" s="67" t="n">
        <f aca="false">G266+H265</f>
        <v>1110293.62777778</v>
      </c>
      <c r="I266" s="67" t="n">
        <f aca="false">H266+I265</f>
        <v>1295418.49166667</v>
      </c>
      <c r="J266" s="67" t="n">
        <f aca="false">I266+J265</f>
        <v>1480565.57777778</v>
      </c>
      <c r="K266" s="67" t="n">
        <f aca="false">J266+K265</f>
        <v>1665734.88611111</v>
      </c>
      <c r="L266" s="67" t="n">
        <f aca="false">K266+L265</f>
        <v>1850926.41666667</v>
      </c>
      <c r="M266" s="67" t="n">
        <f aca="false">L266+M265</f>
        <v>2036140.16944444</v>
      </c>
      <c r="N266" s="67" t="n">
        <f aca="false">M266+N265</f>
        <v>2221376.14444444</v>
      </c>
      <c r="O266" s="67" t="n">
        <f aca="false">N266+O265</f>
        <v>2481749.45406667</v>
      </c>
      <c r="P266" s="67" t="n">
        <f aca="false">O266+P265</f>
        <v>2742144.98591111</v>
      </c>
      <c r="Q266" s="67" t="n">
        <f aca="false">P266+Q265</f>
        <v>3002562.73997778</v>
      </c>
      <c r="R266" s="67" t="n">
        <f aca="false">Q266+R265</f>
        <v>3263002.71626667</v>
      </c>
      <c r="S266" s="67" t="n">
        <f aca="false">R266+S265</f>
        <v>3523464.91477778</v>
      </c>
      <c r="T266" s="67" t="n">
        <f aca="false">S266+T265</f>
        <v>3783949.33551111</v>
      </c>
      <c r="U266" s="67" t="n">
        <f aca="false">T266+U265</f>
        <v>4044455.97846667</v>
      </c>
      <c r="V266" s="67" t="n">
        <f aca="false">U266+V265</f>
        <v>4304984.84364445</v>
      </c>
      <c r="W266" s="67" t="n">
        <f aca="false">V266+W265</f>
        <v>4565535.93104445</v>
      </c>
      <c r="X266" s="67" t="n">
        <f aca="false">W266+X265</f>
        <v>4826109.24066667</v>
      </c>
      <c r="Y266" s="67" t="n">
        <f aca="false">X266+Y265</f>
        <v>5086704.77251111</v>
      </c>
      <c r="Z266" s="67" t="n">
        <f aca="false">Y266+Z265</f>
        <v>5347322.52657778</v>
      </c>
      <c r="AA266" s="67" t="n">
        <f aca="false">Z266+AA265</f>
        <v>5709723.32685807</v>
      </c>
      <c r="AB266" s="67" t="n">
        <f aca="false">AA266+AB265</f>
        <v>6072146.34936058</v>
      </c>
      <c r="AC266" s="67" t="n">
        <f aca="false">AB266+AC265</f>
        <v>6434591.59408531</v>
      </c>
      <c r="AD266" s="67" t="n">
        <f aca="false">AC266+AD265</f>
        <v>6797059.06103227</v>
      </c>
      <c r="AE266" s="67" t="n">
        <f aca="false">AD266+AE265</f>
        <v>7159548.75020145</v>
      </c>
      <c r="AF266" s="67" t="n">
        <f aca="false">AE266+AF265</f>
        <v>7522060.66159285</v>
      </c>
      <c r="AG266" s="67" t="n">
        <f aca="false">AF266+AG265</f>
        <v>7884594.79520647</v>
      </c>
      <c r="AH266" s="67" t="n">
        <f aca="false">AG266+AH265</f>
        <v>8247151.15104231</v>
      </c>
      <c r="AI266" s="67" t="n">
        <f aca="false">AH266+AI265</f>
        <v>8609729.72910038</v>
      </c>
      <c r="AJ266" s="67" t="n">
        <f aca="false">AI266+AJ265</f>
        <v>8972330.52938067</v>
      </c>
      <c r="AK266" s="67" t="n">
        <f aca="false">AJ266+AK265</f>
        <v>9334953.55188318</v>
      </c>
      <c r="AL266" s="67" t="n">
        <f aca="false">AK266+AL265</f>
        <v>9697598.79660792</v>
      </c>
      <c r="AM266" s="67" t="n">
        <f aca="false">AL266+AM265</f>
        <v>10198099.2776905</v>
      </c>
      <c r="AN266" s="67" t="n">
        <f aca="false">AM266+AN265</f>
        <v>10698621.9809953</v>
      </c>
      <c r="AO266" s="67" t="n">
        <f aca="false">AN266+AO265</f>
        <v>11199166.9065223</v>
      </c>
      <c r="AP266" s="67" t="n">
        <f aca="false">AO266+AP265</f>
        <v>11699734.0542716</v>
      </c>
      <c r="AQ266" s="67" t="n">
        <f aca="false">AP266+AQ265</f>
        <v>12200323.4242431</v>
      </c>
      <c r="AR266" s="67" t="n">
        <f aca="false">AQ266+AR265</f>
        <v>12700935.0164368</v>
      </c>
      <c r="AS266" s="67" t="n">
        <f aca="false">AR266+AS265</f>
        <v>13201568.8308527</v>
      </c>
      <c r="AT266" s="67" t="n">
        <f aca="false">AS266+AT265</f>
        <v>13702224.8674908</v>
      </c>
      <c r="AU266" s="67" t="n">
        <f aca="false">AT266+AU265</f>
        <v>14202903.1263512</v>
      </c>
      <c r="AV266" s="67" t="n">
        <f aca="false">AU266+AV265</f>
        <v>14703603.6074338</v>
      </c>
      <c r="AW266" s="67" t="n">
        <f aca="false">AV266+AW265</f>
        <v>15204326.3107386</v>
      </c>
      <c r="AX266" s="67" t="n">
        <f aca="false">AW266+AX265</f>
        <v>15705071.2362656</v>
      </c>
      <c r="AY266" s="67" t="n">
        <f aca="false">AX266+AY265</f>
        <v>16392507.7929494</v>
      </c>
      <c r="AZ266" s="67" t="n">
        <f aca="false">AY266+AZ265</f>
        <v>17079966.5718554</v>
      </c>
      <c r="BA266" s="67" t="n">
        <f aca="false">AZ266+BA265</f>
        <v>17767447.5729836</v>
      </c>
      <c r="BB266" s="67" t="n">
        <f aca="false">BA266+BB265</f>
        <v>18454950.7963341</v>
      </c>
      <c r="BC266" s="67" t="n">
        <f aca="false">BB266+BC265</f>
        <v>19142476.2419067</v>
      </c>
      <c r="BD266" s="67" t="n">
        <f aca="false">BC266+BD265</f>
        <v>19830023.9097016</v>
      </c>
      <c r="BE266" s="67" t="n">
        <f aca="false">BD266+BE265</f>
        <v>20517593.7997188</v>
      </c>
      <c r="BF266" s="67" t="n">
        <f aca="false">BE266+BF265</f>
        <v>21205185.9119581</v>
      </c>
      <c r="BG266" s="67" t="n">
        <f aca="false">BF266+BG265</f>
        <v>21892800.2464196</v>
      </c>
      <c r="BH266" s="67" t="n">
        <f aca="false">BG266+BH265</f>
        <v>22580436.8031034</v>
      </c>
      <c r="BI266" s="67" t="n">
        <f aca="false">BH266+BI265</f>
        <v>23268095.5820094</v>
      </c>
      <c r="BJ266" s="67" t="n">
        <f aca="false">BI266+BJ265</f>
        <v>23955776.5831376</v>
      </c>
    </row>
    <row r="267" customFormat="false" ht="15" hidden="false" customHeight="false" outlineLevel="0" collapsed="false">
      <c r="A267" s="120" t="s">
        <v>415</v>
      </c>
      <c r="C267" s="67" t="n">
        <f aca="false">MAX(0,C266)</f>
        <v>185002.641666667</v>
      </c>
      <c r="D267" s="67" t="n">
        <f aca="false">MAX(C267,D266)</f>
        <v>370016.394444444</v>
      </c>
      <c r="E267" s="67" t="n">
        <f aca="false">MAX(D267,E266)</f>
        <v>555052.369444444</v>
      </c>
      <c r="F267" s="67" t="n">
        <f aca="false">MAX(E267,F266)</f>
        <v>740110.566666667</v>
      </c>
      <c r="G267" s="67" t="n">
        <f aca="false">MAX(F267,G266)</f>
        <v>925190.986111111</v>
      </c>
      <c r="H267" s="67" t="n">
        <f aca="false">MAX(G267,H266)</f>
        <v>1110293.62777778</v>
      </c>
      <c r="I267" s="67" t="n">
        <f aca="false">MAX(H267,I266)</f>
        <v>1295418.49166667</v>
      </c>
      <c r="J267" s="67" t="n">
        <f aca="false">MAX(I267,J266)</f>
        <v>1480565.57777778</v>
      </c>
      <c r="K267" s="67" t="n">
        <f aca="false">MAX(J267,K266)</f>
        <v>1665734.88611111</v>
      </c>
      <c r="L267" s="67" t="n">
        <f aca="false">MAX(K267,L266)</f>
        <v>1850926.41666667</v>
      </c>
      <c r="M267" s="67" t="n">
        <f aca="false">MAX(L267,M266)</f>
        <v>2036140.16944444</v>
      </c>
      <c r="N267" s="67" t="n">
        <f aca="false">MAX(M267,N266)</f>
        <v>2221376.14444444</v>
      </c>
      <c r="O267" s="67" t="n">
        <f aca="false">MAX(N267,O266)</f>
        <v>2481749.45406667</v>
      </c>
      <c r="P267" s="67" t="n">
        <f aca="false">MAX(O267,P266)</f>
        <v>2742144.98591111</v>
      </c>
      <c r="Q267" s="67" t="n">
        <f aca="false">MAX(P267,Q266)</f>
        <v>3002562.73997778</v>
      </c>
      <c r="R267" s="67" t="n">
        <f aca="false">MAX(Q267,R266)</f>
        <v>3263002.71626667</v>
      </c>
      <c r="S267" s="67" t="n">
        <f aca="false">MAX(R267,S266)</f>
        <v>3523464.91477778</v>
      </c>
      <c r="T267" s="67" t="n">
        <f aca="false">MAX(S267,T266)</f>
        <v>3783949.33551111</v>
      </c>
      <c r="U267" s="67" t="n">
        <f aca="false">MAX(T267,U266)</f>
        <v>4044455.97846667</v>
      </c>
      <c r="V267" s="67" t="n">
        <f aca="false">MAX(U267,V266)</f>
        <v>4304984.84364445</v>
      </c>
      <c r="W267" s="67" t="n">
        <f aca="false">MAX(V267,W266)</f>
        <v>4565535.93104445</v>
      </c>
      <c r="X267" s="67" t="n">
        <f aca="false">MAX(W267,X266)</f>
        <v>4826109.24066667</v>
      </c>
      <c r="Y267" s="67" t="n">
        <f aca="false">MAX(X267,Y266)</f>
        <v>5086704.77251111</v>
      </c>
      <c r="Z267" s="67" t="n">
        <f aca="false">MAX(Y267,Z266)</f>
        <v>5347322.52657778</v>
      </c>
      <c r="AA267" s="67" t="n">
        <f aca="false">MAX(Z267,AA266)</f>
        <v>5709723.32685807</v>
      </c>
      <c r="AB267" s="67" t="n">
        <f aca="false">MAX(AA267,AB266)</f>
        <v>6072146.34936058</v>
      </c>
      <c r="AC267" s="67" t="n">
        <f aca="false">MAX(AB267,AC266)</f>
        <v>6434591.59408531</v>
      </c>
      <c r="AD267" s="67" t="n">
        <f aca="false">MAX(AC267,AD266)</f>
        <v>6797059.06103227</v>
      </c>
      <c r="AE267" s="67" t="n">
        <f aca="false">MAX(AD267,AE266)</f>
        <v>7159548.75020145</v>
      </c>
      <c r="AF267" s="67" t="n">
        <f aca="false">MAX(AE267,AF266)</f>
        <v>7522060.66159285</v>
      </c>
      <c r="AG267" s="67" t="n">
        <f aca="false">MAX(AF267,AG266)</f>
        <v>7884594.79520647</v>
      </c>
      <c r="AH267" s="67" t="n">
        <f aca="false">MAX(AG267,AH266)</f>
        <v>8247151.15104231</v>
      </c>
      <c r="AI267" s="67" t="n">
        <f aca="false">MAX(AH267,AI266)</f>
        <v>8609729.72910038</v>
      </c>
      <c r="AJ267" s="67" t="n">
        <f aca="false">MAX(AI267,AJ266)</f>
        <v>8972330.52938067</v>
      </c>
      <c r="AK267" s="67" t="n">
        <f aca="false">MAX(AJ267,AK266)</f>
        <v>9334953.55188318</v>
      </c>
      <c r="AL267" s="67" t="n">
        <f aca="false">MAX(AK267,AL266)</f>
        <v>9697598.79660792</v>
      </c>
      <c r="AM267" s="67" t="n">
        <f aca="false">MAX(AL267,AM266)</f>
        <v>10198099.2776905</v>
      </c>
      <c r="AN267" s="67" t="n">
        <f aca="false">MAX(AM267,AN266)</f>
        <v>10698621.9809953</v>
      </c>
      <c r="AO267" s="67" t="n">
        <f aca="false">MAX(AN267,AO266)</f>
        <v>11199166.9065223</v>
      </c>
      <c r="AP267" s="67" t="n">
        <f aca="false">MAX(AO267,AP266)</f>
        <v>11699734.0542716</v>
      </c>
      <c r="AQ267" s="67" t="n">
        <f aca="false">MAX(AP267,AQ266)</f>
        <v>12200323.4242431</v>
      </c>
      <c r="AR267" s="67" t="n">
        <f aca="false">MAX(AQ267,AR266)</f>
        <v>12700935.0164368</v>
      </c>
      <c r="AS267" s="67" t="n">
        <f aca="false">MAX(AR267,AS266)</f>
        <v>13201568.8308527</v>
      </c>
      <c r="AT267" s="67" t="n">
        <f aca="false">MAX(AS267,AT266)</f>
        <v>13702224.8674908</v>
      </c>
      <c r="AU267" s="67" t="n">
        <f aca="false">MAX(AT267,AU266)</f>
        <v>14202903.1263512</v>
      </c>
      <c r="AV267" s="67" t="n">
        <f aca="false">MAX(AU267,AV266)</f>
        <v>14703603.6074338</v>
      </c>
      <c r="AW267" s="67" t="n">
        <f aca="false">MAX(AV267,AW266)</f>
        <v>15204326.3107386</v>
      </c>
      <c r="AX267" s="67" t="n">
        <f aca="false">MAX(AW267,AX266)</f>
        <v>15705071.2362656</v>
      </c>
      <c r="AY267" s="67" t="n">
        <f aca="false">MAX(AX267,AY266)</f>
        <v>16392507.7929494</v>
      </c>
      <c r="AZ267" s="67" t="n">
        <f aca="false">MAX(AY267,AZ266)</f>
        <v>17079966.5718554</v>
      </c>
      <c r="BA267" s="67" t="n">
        <f aca="false">MAX(AZ267,BA266)</f>
        <v>17767447.5729836</v>
      </c>
      <c r="BB267" s="67" t="n">
        <f aca="false">MAX(BA267,BB266)</f>
        <v>18454950.7963341</v>
      </c>
      <c r="BC267" s="67" t="n">
        <f aca="false">MAX(BB267,BC266)</f>
        <v>19142476.2419067</v>
      </c>
      <c r="BD267" s="67" t="n">
        <f aca="false">MAX(BC267,BD266)</f>
        <v>19830023.9097016</v>
      </c>
      <c r="BE267" s="67" t="n">
        <f aca="false">MAX(BD267,BE266)</f>
        <v>20517593.7997188</v>
      </c>
      <c r="BF267" s="67" t="n">
        <f aca="false">MAX(BE267,BF266)</f>
        <v>21205185.9119581</v>
      </c>
      <c r="BG267" s="67" t="n">
        <f aca="false">MAX(BF267,BG266)</f>
        <v>21892800.2464196</v>
      </c>
      <c r="BH267" s="67" t="n">
        <f aca="false">MAX(BG267,BH266)</f>
        <v>22580436.8031034</v>
      </c>
      <c r="BI267" s="67" t="n">
        <f aca="false">MAX(BH267,BI266)</f>
        <v>23268095.5820094</v>
      </c>
      <c r="BJ267" s="67" t="n">
        <f aca="false">MAX(BI267,BJ266)</f>
        <v>23955776.5831376</v>
      </c>
    </row>
    <row r="268" customFormat="false" ht="15" hidden="false" customHeight="false" outlineLevel="0" collapsed="false">
      <c r="A268" s="6" t="s">
        <v>82</v>
      </c>
      <c r="C268" s="67" t="n">
        <f aca="false">-C267*Inputs!$D$66</f>
        <v>-38850.55475</v>
      </c>
      <c r="D268" s="67" t="n">
        <f aca="false">-(D267-C267)*Inputs!$D$66</f>
        <v>-38852.8880833333</v>
      </c>
      <c r="E268" s="67" t="n">
        <f aca="false">-(E267-D267)*Inputs!$D$66</f>
        <v>-38857.55475</v>
      </c>
      <c r="F268" s="67" t="n">
        <f aca="false">-(F267-E267)*Inputs!$D$66</f>
        <v>-38862.2214166667</v>
      </c>
      <c r="G268" s="67" t="n">
        <f aca="false">-(G267-F267)*Inputs!$D$66</f>
        <v>-38866.8880833333</v>
      </c>
      <c r="H268" s="67" t="n">
        <f aca="false">-(H267-G267)*Inputs!$D$66</f>
        <v>-38871.55475</v>
      </c>
      <c r="I268" s="67" t="n">
        <f aca="false">-(I267-H267)*Inputs!$D$66</f>
        <v>-38876.2214166667</v>
      </c>
      <c r="J268" s="67" t="n">
        <f aca="false">-(J267-I267)*Inputs!$D$66</f>
        <v>-38880.8880833333</v>
      </c>
      <c r="K268" s="67" t="n">
        <f aca="false">-(K267-J267)*Inputs!$D$66</f>
        <v>-38885.55475</v>
      </c>
      <c r="L268" s="67" t="n">
        <f aca="false">-(L267-K267)*Inputs!$D$66</f>
        <v>-38890.2214166667</v>
      </c>
      <c r="M268" s="67" t="n">
        <f aca="false">-(M267-L267)*Inputs!$D$66</f>
        <v>-38894.8880833333</v>
      </c>
      <c r="N268" s="67" t="n">
        <f aca="false">-(N267-M267)*Inputs!$D$66</f>
        <v>-38899.55475</v>
      </c>
      <c r="O268" s="67" t="n">
        <f aca="false">-(O267-N267)*Inputs!$D$66</f>
        <v>-54678.3950206667</v>
      </c>
      <c r="P268" s="67" t="n">
        <f aca="false">-(P267-O267)*Inputs!$D$66</f>
        <v>-54683.0616873334</v>
      </c>
      <c r="Q268" s="67" t="n">
        <f aca="false">-(Q267-P267)*Inputs!$D$66</f>
        <v>-54687.728354</v>
      </c>
      <c r="R268" s="67" t="n">
        <f aca="false">-(R267-Q267)*Inputs!$D$66</f>
        <v>-54692.3950206667</v>
      </c>
      <c r="S268" s="67" t="n">
        <f aca="false">-(S267-R267)*Inputs!$D$66</f>
        <v>-54697.0616873333</v>
      </c>
      <c r="T268" s="67" t="n">
        <f aca="false">-(T267-S267)*Inputs!$D$66</f>
        <v>-54701.7283540001</v>
      </c>
      <c r="U268" s="67" t="n">
        <f aca="false">-(U267-T267)*Inputs!$D$66</f>
        <v>-54706.3950206667</v>
      </c>
      <c r="V268" s="67" t="n">
        <f aca="false">-(V267-U267)*Inputs!$D$66</f>
        <v>-54711.0616873334</v>
      </c>
      <c r="W268" s="67" t="n">
        <f aca="false">-(W267-V267)*Inputs!$D$66</f>
        <v>-54715.7283540001</v>
      </c>
      <c r="X268" s="67" t="n">
        <f aca="false">-(X267-W267)*Inputs!$D$66</f>
        <v>-54720.3950206667</v>
      </c>
      <c r="Y268" s="67" t="n">
        <f aca="false">-(Y267-X267)*Inputs!$D$66</f>
        <v>-54725.0616873334</v>
      </c>
      <c r="Z268" s="67" t="n">
        <f aca="false">-(Z267-Y267)*Inputs!$D$66</f>
        <v>-54729.728354</v>
      </c>
      <c r="AA268" s="67" t="n">
        <f aca="false">-(AA267-Z267)*Inputs!$D$66</f>
        <v>-76104.1680588606</v>
      </c>
      <c r="AB268" s="67" t="n">
        <f aca="false">-(AB267-AA267)*Inputs!$D$66</f>
        <v>-76108.8347255273</v>
      </c>
      <c r="AC268" s="67" t="n">
        <f aca="false">-(AC267-AB267)*Inputs!$D$66</f>
        <v>-76113.5013921941</v>
      </c>
      <c r="AD268" s="67" t="n">
        <f aca="false">-(AD267-AC267)*Inputs!$D$66</f>
        <v>-76118.1680588607</v>
      </c>
      <c r="AE268" s="67" t="n">
        <f aca="false">-(AE267-AD267)*Inputs!$D$66</f>
        <v>-76122.8347255273</v>
      </c>
      <c r="AF268" s="67" t="n">
        <f aca="false">-(AF267-AE267)*Inputs!$D$66</f>
        <v>-76127.501392194</v>
      </c>
      <c r="AG268" s="67" t="n">
        <f aca="false">-(AG267-AF267)*Inputs!$D$66</f>
        <v>-76132.1680588606</v>
      </c>
      <c r="AH268" s="67" t="n">
        <f aca="false">-(AH267-AG267)*Inputs!$D$66</f>
        <v>-76136.8347255274</v>
      </c>
      <c r="AI268" s="67" t="n">
        <f aca="false">-(AI267-AH267)*Inputs!$D$66</f>
        <v>-76141.501392194</v>
      </c>
      <c r="AJ268" s="67" t="n">
        <f aca="false">-(AJ267-AI267)*Inputs!$D$66</f>
        <v>-76146.1680588608</v>
      </c>
      <c r="AK268" s="67" t="n">
        <f aca="false">-(AK267-AJ267)*Inputs!$D$66</f>
        <v>-76150.8347255275</v>
      </c>
      <c r="AL268" s="67" t="n">
        <f aca="false">-(AL267-AK267)*Inputs!$D$66</f>
        <v>-76155.5013921941</v>
      </c>
      <c r="AM268" s="67" t="n">
        <f aca="false">-(AM267-AL267)*Inputs!$D$66</f>
        <v>-105105.101027344</v>
      </c>
      <c r="AN268" s="67" t="n">
        <f aca="false">-(AN267-AM267)*Inputs!$D$66</f>
        <v>-105109.76769401</v>
      </c>
      <c r="AO268" s="67" t="n">
        <f aca="false">-(AO267-AN267)*Inputs!$D$66</f>
        <v>-105114.434360677</v>
      </c>
      <c r="AP268" s="67" t="n">
        <f aca="false">-(AP267-AO267)*Inputs!$D$66</f>
        <v>-105119.101027343</v>
      </c>
      <c r="AQ268" s="67" t="n">
        <f aca="false">-(AQ267-AP267)*Inputs!$D$66</f>
        <v>-105123.76769401</v>
      </c>
      <c r="AR268" s="67" t="n">
        <f aca="false">-(AR267-AQ267)*Inputs!$D$66</f>
        <v>-105128.434360677</v>
      </c>
      <c r="AS268" s="67" t="n">
        <f aca="false">-(AS267-AR267)*Inputs!$D$66</f>
        <v>-105133.101027343</v>
      </c>
      <c r="AT268" s="67" t="n">
        <f aca="false">-(AT267-AS267)*Inputs!$D$66</f>
        <v>-105137.76769401</v>
      </c>
      <c r="AU268" s="67" t="n">
        <f aca="false">-(AU267-AT267)*Inputs!$D$66</f>
        <v>-105142.434360677</v>
      </c>
      <c r="AV268" s="67" t="n">
        <f aca="false">-(AV267-AU267)*Inputs!$D$66</f>
        <v>-105147.101027344</v>
      </c>
      <c r="AW268" s="67" t="n">
        <f aca="false">-(AW267-AV267)*Inputs!$D$66</f>
        <v>-105151.76769401</v>
      </c>
      <c r="AX268" s="67" t="n">
        <f aca="false">-(AX267-AW267)*Inputs!$D$66</f>
        <v>-105156.434360677</v>
      </c>
      <c r="AY268" s="67" t="n">
        <f aca="false">-(AY267-AX267)*Inputs!$D$66</f>
        <v>-144361.676903594</v>
      </c>
      <c r="AZ268" s="67" t="n">
        <f aca="false">-(AZ267-AY267)*Inputs!$D$66</f>
        <v>-144366.34357026</v>
      </c>
      <c r="BA268" s="67" t="n">
        <f aca="false">-(BA267-AZ267)*Inputs!$D$66</f>
        <v>-144371.010236927</v>
      </c>
      <c r="BB268" s="67" t="n">
        <f aca="false">-(BB267-BA267)*Inputs!$D$66</f>
        <v>-144375.676903593</v>
      </c>
      <c r="BC268" s="67" t="n">
        <f aca="false">-(BC267-BB267)*Inputs!$D$66</f>
        <v>-144380.34357026</v>
      </c>
      <c r="BD268" s="67" t="n">
        <f aca="false">-(BD267-BC267)*Inputs!$D$66</f>
        <v>-144385.010236927</v>
      </c>
      <c r="BE268" s="67" t="n">
        <f aca="false">-(BE267-BD267)*Inputs!$D$66</f>
        <v>-144389.676903593</v>
      </c>
      <c r="BF268" s="67" t="n">
        <f aca="false">-(BF267-BE267)*Inputs!$D$66</f>
        <v>-144394.34357026</v>
      </c>
      <c r="BG268" s="67" t="n">
        <f aca="false">-(BG267-BF267)*Inputs!$D$66</f>
        <v>-144399.010236927</v>
      </c>
      <c r="BH268" s="67" t="n">
        <f aca="false">-(BH267-BG267)*Inputs!$D$66</f>
        <v>-144403.676903594</v>
      </c>
      <c r="BI268" s="67" t="n">
        <f aca="false">-(BI267-BH267)*Inputs!$D$66</f>
        <v>-144408.34357026</v>
      </c>
      <c r="BJ268" s="67" t="n">
        <f aca="false">-(BJ267-BI267)*Inputs!$D$66</f>
        <v>-144413.010236927</v>
      </c>
    </row>
    <row r="269" customFormat="false" ht="15" hidden="false" customHeight="false" outlineLevel="0" collapsed="false">
      <c r="A269" s="113" t="s">
        <v>50</v>
      </c>
      <c r="C269" s="68" t="n">
        <f aca="false">C265+C268</f>
        <v>146152.086916667</v>
      </c>
      <c r="D269" s="68" t="n">
        <f aca="false">D265+D268</f>
        <v>146160.864694444</v>
      </c>
      <c r="E269" s="68" t="n">
        <f aca="false">E265+E268</f>
        <v>146178.42025</v>
      </c>
      <c r="F269" s="68" t="n">
        <f aca="false">F265+F268</f>
        <v>146195.975805556</v>
      </c>
      <c r="G269" s="68" t="n">
        <f aca="false">G265+G268</f>
        <v>146213.531361111</v>
      </c>
      <c r="H269" s="68" t="n">
        <f aca="false">H265+H268</f>
        <v>146231.086916667</v>
      </c>
      <c r="I269" s="68" t="n">
        <f aca="false">I265+I268</f>
        <v>146248.642472222</v>
      </c>
      <c r="J269" s="68" t="n">
        <f aca="false">J265+J268</f>
        <v>146266.198027778</v>
      </c>
      <c r="K269" s="68" t="n">
        <f aca="false">K265+K268</f>
        <v>146283.753583333</v>
      </c>
      <c r="L269" s="68" t="n">
        <f aca="false">L265+L268</f>
        <v>146301.309138889</v>
      </c>
      <c r="M269" s="68" t="n">
        <f aca="false">M265+M268</f>
        <v>146318.864694444</v>
      </c>
      <c r="N269" s="68" t="n">
        <f aca="false">N265+N268</f>
        <v>146336.42025</v>
      </c>
      <c r="O269" s="68" t="n">
        <f aca="false">O265+O268</f>
        <v>205694.914601556</v>
      </c>
      <c r="P269" s="68" t="n">
        <f aca="false">P265+P268</f>
        <v>205712.470157111</v>
      </c>
      <c r="Q269" s="68" t="n">
        <f aca="false">Q265+Q268</f>
        <v>205730.025712667</v>
      </c>
      <c r="R269" s="68" t="n">
        <f aca="false">R265+R268</f>
        <v>205747.581268222</v>
      </c>
      <c r="S269" s="68" t="n">
        <f aca="false">S265+S268</f>
        <v>205765.136823778</v>
      </c>
      <c r="T269" s="68" t="n">
        <f aca="false">T265+T268</f>
        <v>205782.692379333</v>
      </c>
      <c r="U269" s="68" t="n">
        <f aca="false">U265+U268</f>
        <v>205800.247934889</v>
      </c>
      <c r="V269" s="68" t="n">
        <f aca="false">V265+V268</f>
        <v>205817.803490445</v>
      </c>
      <c r="W269" s="68" t="n">
        <f aca="false">W265+W268</f>
        <v>205835.359046</v>
      </c>
      <c r="X269" s="68" t="n">
        <f aca="false">X265+X268</f>
        <v>205852.914601556</v>
      </c>
      <c r="Y269" s="68" t="n">
        <f aca="false">Y265+Y268</f>
        <v>205870.470157111</v>
      </c>
      <c r="Z269" s="68" t="n">
        <f aca="false">Z265+Z268</f>
        <v>205888.025712667</v>
      </c>
      <c r="AA269" s="68" t="n">
        <f aca="false">AA265+AA268</f>
        <v>286296.632221428</v>
      </c>
      <c r="AB269" s="68" t="n">
        <f aca="false">AB265+AB268</f>
        <v>286314.187776984</v>
      </c>
      <c r="AC269" s="68" t="n">
        <f aca="false">AC265+AC268</f>
        <v>286331.743332539</v>
      </c>
      <c r="AD269" s="68" t="n">
        <f aca="false">AD265+AD268</f>
        <v>286349.298888095</v>
      </c>
      <c r="AE269" s="68" t="n">
        <f aca="false">AE265+AE268</f>
        <v>286366.85444365</v>
      </c>
      <c r="AF269" s="68" t="n">
        <f aca="false">AF265+AF268</f>
        <v>286384.409999206</v>
      </c>
      <c r="AG269" s="68" t="n">
        <f aca="false">AG265+AG268</f>
        <v>286401.965554762</v>
      </c>
      <c r="AH269" s="68" t="n">
        <f aca="false">AH265+AH268</f>
        <v>286419.521110317</v>
      </c>
      <c r="AI269" s="68" t="n">
        <f aca="false">AI265+AI268</f>
        <v>286437.076665873</v>
      </c>
      <c r="AJ269" s="68" t="n">
        <f aca="false">AJ265+AJ268</f>
        <v>286454.632221428</v>
      </c>
      <c r="AK269" s="68" t="n">
        <f aca="false">AK265+AK268</f>
        <v>286472.187776984</v>
      </c>
      <c r="AL269" s="68" t="n">
        <f aca="false">AL265+AL268</f>
        <v>286489.743332539</v>
      </c>
      <c r="AM269" s="68" t="n">
        <f aca="false">AM265+AM268</f>
        <v>395395.380055244</v>
      </c>
      <c r="AN269" s="68" t="n">
        <f aca="false">AN265+AN268</f>
        <v>395412.9356108</v>
      </c>
      <c r="AO269" s="68" t="n">
        <f aca="false">AO265+AO268</f>
        <v>395430.491166355</v>
      </c>
      <c r="AP269" s="68" t="n">
        <f aca="false">AP265+AP268</f>
        <v>395448.046721911</v>
      </c>
      <c r="AQ269" s="68" t="n">
        <f aca="false">AQ265+AQ268</f>
        <v>395465.602277467</v>
      </c>
      <c r="AR269" s="68" t="n">
        <f aca="false">AR265+AR268</f>
        <v>395483.157833022</v>
      </c>
      <c r="AS269" s="68" t="n">
        <f aca="false">AS265+AS268</f>
        <v>395500.713388578</v>
      </c>
      <c r="AT269" s="68" t="n">
        <f aca="false">AT265+AT268</f>
        <v>395518.268944133</v>
      </c>
      <c r="AU269" s="68" t="n">
        <f aca="false">AU265+AU268</f>
        <v>395535.824499689</v>
      </c>
      <c r="AV269" s="68" t="n">
        <f aca="false">AV265+AV268</f>
        <v>395553.380055244</v>
      </c>
      <c r="AW269" s="68" t="n">
        <f aca="false">AW265+AW268</f>
        <v>395570.9356108</v>
      </c>
      <c r="AX269" s="68" t="n">
        <f aca="false">AX265+AX268</f>
        <v>395588.491166355</v>
      </c>
      <c r="AY269" s="68" t="n">
        <f aca="false">AY265+AY268</f>
        <v>543074.879780185</v>
      </c>
      <c r="AZ269" s="68" t="n">
        <f aca="false">AZ265+AZ268</f>
        <v>543092.43533574</v>
      </c>
      <c r="BA269" s="68" t="n">
        <f aca="false">BA265+BA268</f>
        <v>543109.990891296</v>
      </c>
      <c r="BB269" s="68" t="n">
        <f aca="false">BB265+BB268</f>
        <v>543127.546446852</v>
      </c>
      <c r="BC269" s="68" t="n">
        <f aca="false">BC265+BC268</f>
        <v>543145.102002407</v>
      </c>
      <c r="BD269" s="68" t="n">
        <f aca="false">BD265+BD268</f>
        <v>543162.657557962</v>
      </c>
      <c r="BE269" s="68" t="n">
        <f aca="false">BE265+BE268</f>
        <v>543180.213113518</v>
      </c>
      <c r="BF269" s="68" t="n">
        <f aca="false">BF265+BF268</f>
        <v>543197.768669073</v>
      </c>
      <c r="BG269" s="68" t="n">
        <f aca="false">BG265+BG268</f>
        <v>543215.324224629</v>
      </c>
      <c r="BH269" s="68" t="n">
        <f aca="false">BH265+BH268</f>
        <v>543232.879780185</v>
      </c>
      <c r="BI269" s="68" t="n">
        <f aca="false">BI265+BI268</f>
        <v>543250.43533574</v>
      </c>
      <c r="BJ269" s="68" t="n">
        <f aca="false">BJ265+BJ268</f>
        <v>543267.990891296</v>
      </c>
    </row>
    <row r="271" customFormat="false" ht="15.75" hidden="false" customHeight="true" outlineLevel="0" collapsed="false">
      <c r="A271" s="7" t="s">
        <v>416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customFormat="false" ht="15" hidden="false" customHeight="false" outlineLevel="0" collapsed="false">
      <c r="A272" s="6" t="s">
        <v>84</v>
      </c>
      <c r="C272" s="67" t="n">
        <f aca="false">IF(C$226=1,Inputs!$D$31,0)</f>
        <v>60000</v>
      </c>
      <c r="D272" s="67" t="n">
        <f aca="false">IF(D$226=1,Inputs!$D$31,0)</f>
        <v>0</v>
      </c>
      <c r="E272" s="67" t="n">
        <f aca="false">IF(E$226=1,Inputs!$D$31,0)</f>
        <v>0</v>
      </c>
      <c r="F272" s="67" t="n">
        <f aca="false">IF(F$226=1,Inputs!$D$31,0)</f>
        <v>0</v>
      </c>
      <c r="G272" s="67" t="n">
        <f aca="false">IF(G$226=1,Inputs!$D$31,0)</f>
        <v>0</v>
      </c>
      <c r="H272" s="67" t="n">
        <f aca="false">IF(H$226=1,Inputs!$D$31,0)</f>
        <v>0</v>
      </c>
      <c r="I272" s="67" t="n">
        <f aca="false">IF(I$226=1,Inputs!$D$31,0)</f>
        <v>0</v>
      </c>
      <c r="J272" s="67" t="n">
        <f aca="false">IF(J$226=1,Inputs!$D$31,0)</f>
        <v>0</v>
      </c>
      <c r="K272" s="67" t="n">
        <f aca="false">IF(K$226=1,Inputs!$D$31,0)</f>
        <v>0</v>
      </c>
      <c r="L272" s="67" t="n">
        <f aca="false">IF(L$226=1,Inputs!$D$31,0)</f>
        <v>0</v>
      </c>
      <c r="M272" s="67" t="n">
        <f aca="false">IF(M$226=1,Inputs!$D$31,0)</f>
        <v>0</v>
      </c>
      <c r="N272" s="67" t="n">
        <f aca="false">IF(N$226=1,Inputs!$D$31,0)</f>
        <v>0</v>
      </c>
      <c r="O272" s="67" t="n">
        <f aca="false">IF(O$226=1,Inputs!$D$31,0)</f>
        <v>0</v>
      </c>
      <c r="P272" s="67" t="n">
        <f aca="false">IF(P$226=1,Inputs!$D$31,0)</f>
        <v>0</v>
      </c>
      <c r="Q272" s="67" t="n">
        <f aca="false">IF(Q$226=1,Inputs!$D$31,0)</f>
        <v>0</v>
      </c>
      <c r="R272" s="67" t="n">
        <f aca="false">IF(R$226=1,Inputs!$D$31,0)</f>
        <v>0</v>
      </c>
      <c r="S272" s="67" t="n">
        <f aca="false">IF(S$226=1,Inputs!$D$31,0)</f>
        <v>0</v>
      </c>
      <c r="T272" s="67" t="n">
        <f aca="false">IF(T$226=1,Inputs!$D$31,0)</f>
        <v>0</v>
      </c>
      <c r="U272" s="67" t="n">
        <f aca="false">IF(U$226=1,Inputs!$D$31,0)</f>
        <v>0</v>
      </c>
      <c r="V272" s="67" t="n">
        <f aca="false">IF(V$226=1,Inputs!$D$31,0)</f>
        <v>0</v>
      </c>
      <c r="W272" s="67" t="n">
        <f aca="false">IF(W$226=1,Inputs!$D$31,0)</f>
        <v>0</v>
      </c>
      <c r="X272" s="67" t="n">
        <f aca="false">IF(X$226=1,Inputs!$D$31,0)</f>
        <v>0</v>
      </c>
      <c r="Y272" s="67" t="n">
        <f aca="false">IF(Y$226=1,Inputs!$D$31,0)</f>
        <v>0</v>
      </c>
      <c r="Z272" s="67" t="n">
        <f aca="false">IF(Z$226=1,Inputs!$D$31,0)</f>
        <v>0</v>
      </c>
      <c r="AA272" s="67" t="n">
        <f aca="false">IF(AA$226=1,Inputs!$D$31,0)</f>
        <v>0</v>
      </c>
      <c r="AB272" s="67" t="n">
        <f aca="false">IF(AB$226=1,Inputs!$D$31,0)</f>
        <v>0</v>
      </c>
      <c r="AC272" s="67" t="n">
        <f aca="false">IF(AC$226=1,Inputs!$D$31,0)</f>
        <v>0</v>
      </c>
      <c r="AD272" s="67" t="n">
        <f aca="false">IF(AD$226=1,Inputs!$D$31,0)</f>
        <v>0</v>
      </c>
      <c r="AE272" s="67" t="n">
        <f aca="false">IF(AE$226=1,Inputs!$D$31,0)</f>
        <v>0</v>
      </c>
      <c r="AF272" s="67" t="n">
        <f aca="false">IF(AF$226=1,Inputs!$D$31,0)</f>
        <v>0</v>
      </c>
      <c r="AG272" s="67" t="n">
        <f aca="false">IF(AG$226=1,Inputs!$D$31,0)</f>
        <v>0</v>
      </c>
      <c r="AH272" s="67" t="n">
        <f aca="false">IF(AH$226=1,Inputs!$D$31,0)</f>
        <v>0</v>
      </c>
      <c r="AI272" s="67" t="n">
        <f aca="false">IF(AI$226=1,Inputs!$D$31,0)</f>
        <v>0</v>
      </c>
      <c r="AJ272" s="67" t="n">
        <f aca="false">IF(AJ$226=1,Inputs!$D$31,0)</f>
        <v>0</v>
      </c>
      <c r="AK272" s="67" t="n">
        <f aca="false">IF(AK$226=1,Inputs!$D$31,0)</f>
        <v>0</v>
      </c>
      <c r="AL272" s="67" t="n">
        <f aca="false">IF(AL$226=1,Inputs!$D$31,0)</f>
        <v>0</v>
      </c>
      <c r="AM272" s="67" t="n">
        <f aca="false">IF(AM$226=1,Inputs!$D$31,0)</f>
        <v>0</v>
      </c>
      <c r="AN272" s="67" t="n">
        <f aca="false">IF(AN$226=1,Inputs!$D$31,0)</f>
        <v>0</v>
      </c>
      <c r="AO272" s="67" t="n">
        <f aca="false">IF(AO$226=1,Inputs!$D$31,0)</f>
        <v>0</v>
      </c>
      <c r="AP272" s="67" t="n">
        <f aca="false">IF(AP$226=1,Inputs!$D$31,0)</f>
        <v>0</v>
      </c>
      <c r="AQ272" s="67" t="n">
        <f aca="false">IF(AQ$226=1,Inputs!$D$31,0)</f>
        <v>0</v>
      </c>
      <c r="AR272" s="67" t="n">
        <f aca="false">IF(AR$226=1,Inputs!$D$31,0)</f>
        <v>0</v>
      </c>
      <c r="AS272" s="67" t="n">
        <f aca="false">IF(AS$226=1,Inputs!$D$31,0)</f>
        <v>0</v>
      </c>
      <c r="AT272" s="67" t="n">
        <f aca="false">IF(AT$226=1,Inputs!$D$31,0)</f>
        <v>0</v>
      </c>
      <c r="AU272" s="67" t="n">
        <f aca="false">IF(AU$226=1,Inputs!$D$31,0)</f>
        <v>0</v>
      </c>
      <c r="AV272" s="67" t="n">
        <f aca="false">IF(AV$226=1,Inputs!$D$31,0)</f>
        <v>0</v>
      </c>
      <c r="AW272" s="67" t="n">
        <f aca="false">IF(AW$226=1,Inputs!$D$31,0)</f>
        <v>0</v>
      </c>
      <c r="AX272" s="67" t="n">
        <f aca="false">IF(AX$226=1,Inputs!$D$31,0)</f>
        <v>0</v>
      </c>
      <c r="AY272" s="67" t="n">
        <f aca="false">IF(AY$226=1,Inputs!$D$31,0)</f>
        <v>0</v>
      </c>
      <c r="AZ272" s="67" t="n">
        <f aca="false">IF(AZ$226=1,Inputs!$D$31,0)</f>
        <v>0</v>
      </c>
      <c r="BA272" s="67" t="n">
        <f aca="false">IF(BA$226=1,Inputs!$D$31,0)</f>
        <v>0</v>
      </c>
      <c r="BB272" s="67" t="n">
        <f aca="false">IF(BB$226=1,Inputs!$D$31,0)</f>
        <v>0</v>
      </c>
      <c r="BC272" s="67" t="n">
        <f aca="false">IF(BC$226=1,Inputs!$D$31,0)</f>
        <v>0</v>
      </c>
      <c r="BD272" s="67" t="n">
        <f aca="false">IF(BD$226=1,Inputs!$D$31,0)</f>
        <v>0</v>
      </c>
      <c r="BE272" s="67" t="n">
        <f aca="false">IF(BE$226=1,Inputs!$D$31,0)</f>
        <v>0</v>
      </c>
      <c r="BF272" s="67" t="n">
        <f aca="false">IF(BF$226=1,Inputs!$D$31,0)</f>
        <v>0</v>
      </c>
      <c r="BG272" s="67" t="n">
        <f aca="false">IF(BG$226=1,Inputs!$D$31,0)</f>
        <v>0</v>
      </c>
      <c r="BH272" s="67" t="n">
        <f aca="false">IF(BH$226=1,Inputs!$D$31,0)</f>
        <v>0</v>
      </c>
      <c r="BI272" s="67" t="n">
        <f aca="false">IF(BI$226=1,Inputs!$D$31,0)</f>
        <v>0</v>
      </c>
      <c r="BJ272" s="67" t="n">
        <f aca="false">IF(BJ$226=1,Inputs!$D$31,0)</f>
        <v>0</v>
      </c>
    </row>
    <row r="273" customFormat="false" ht="15" hidden="false" customHeight="false" outlineLevel="0" collapsed="false">
      <c r="A273" s="6" t="s">
        <v>417</v>
      </c>
      <c r="C273" s="67" t="n">
        <f aca="false">C272</f>
        <v>60000</v>
      </c>
      <c r="D273" s="67" t="n">
        <f aca="false">C273+D272</f>
        <v>60000</v>
      </c>
      <c r="E273" s="67" t="n">
        <f aca="false">D273+E272</f>
        <v>60000</v>
      </c>
      <c r="F273" s="67" t="n">
        <f aca="false">E273+F272</f>
        <v>60000</v>
      </c>
      <c r="G273" s="67" t="n">
        <f aca="false">F273+G272</f>
        <v>60000</v>
      </c>
      <c r="H273" s="67" t="n">
        <f aca="false">G273+H272</f>
        <v>60000</v>
      </c>
      <c r="I273" s="67" t="n">
        <f aca="false">H273+I272</f>
        <v>60000</v>
      </c>
      <c r="J273" s="67" t="n">
        <f aca="false">I273+J272</f>
        <v>60000</v>
      </c>
      <c r="K273" s="67" t="n">
        <f aca="false">J273+K272</f>
        <v>60000</v>
      </c>
      <c r="L273" s="67" t="n">
        <f aca="false">K273+L272</f>
        <v>60000</v>
      </c>
      <c r="M273" s="67" t="n">
        <f aca="false">L273+M272</f>
        <v>60000</v>
      </c>
      <c r="N273" s="67" t="n">
        <f aca="false">M273+N272</f>
        <v>60000</v>
      </c>
      <c r="O273" s="67" t="n">
        <f aca="false">N273+O272</f>
        <v>60000</v>
      </c>
      <c r="P273" s="67" t="n">
        <f aca="false">O273+P272</f>
        <v>60000</v>
      </c>
      <c r="Q273" s="67" t="n">
        <f aca="false">P273+Q272</f>
        <v>60000</v>
      </c>
      <c r="R273" s="67" t="n">
        <f aca="false">Q273+R272</f>
        <v>60000</v>
      </c>
      <c r="S273" s="67" t="n">
        <f aca="false">R273+S272</f>
        <v>60000</v>
      </c>
      <c r="T273" s="67" t="n">
        <f aca="false">S273+T272</f>
        <v>60000</v>
      </c>
      <c r="U273" s="67" t="n">
        <f aca="false">T273+U272</f>
        <v>60000</v>
      </c>
      <c r="V273" s="67" t="n">
        <f aca="false">U273+V272</f>
        <v>60000</v>
      </c>
      <c r="W273" s="67" t="n">
        <f aca="false">V273+W272</f>
        <v>60000</v>
      </c>
      <c r="X273" s="67" t="n">
        <f aca="false">W273+X272</f>
        <v>60000</v>
      </c>
      <c r="Y273" s="67" t="n">
        <f aca="false">X273+Y272</f>
        <v>60000</v>
      </c>
      <c r="Z273" s="67" t="n">
        <f aca="false">Y273+Z272</f>
        <v>60000</v>
      </c>
      <c r="AA273" s="67" t="n">
        <f aca="false">Z273+AA272</f>
        <v>60000</v>
      </c>
      <c r="AB273" s="67" t="n">
        <f aca="false">AA273+AB272</f>
        <v>60000</v>
      </c>
      <c r="AC273" s="67" t="n">
        <f aca="false">AB273+AC272</f>
        <v>60000</v>
      </c>
      <c r="AD273" s="67" t="n">
        <f aca="false">AC273+AD272</f>
        <v>60000</v>
      </c>
      <c r="AE273" s="67" t="n">
        <f aca="false">AD273+AE272</f>
        <v>60000</v>
      </c>
      <c r="AF273" s="67" t="n">
        <f aca="false">AE273+AF272</f>
        <v>60000</v>
      </c>
      <c r="AG273" s="67" t="n">
        <f aca="false">AF273+AG272</f>
        <v>60000</v>
      </c>
      <c r="AH273" s="67" t="n">
        <f aca="false">AG273+AH272</f>
        <v>60000</v>
      </c>
      <c r="AI273" s="67" t="n">
        <f aca="false">AH273+AI272</f>
        <v>60000</v>
      </c>
      <c r="AJ273" s="67" t="n">
        <f aca="false">AI273+AJ272</f>
        <v>60000</v>
      </c>
      <c r="AK273" s="67" t="n">
        <f aca="false">AJ273+AK272</f>
        <v>60000</v>
      </c>
      <c r="AL273" s="67" t="n">
        <f aca="false">AK273+AL272</f>
        <v>60000</v>
      </c>
      <c r="AM273" s="67" t="n">
        <f aca="false">AL273+AM272</f>
        <v>60000</v>
      </c>
      <c r="AN273" s="67" t="n">
        <f aca="false">AM273+AN272</f>
        <v>60000</v>
      </c>
      <c r="AO273" s="67" t="n">
        <f aca="false">AN273+AO272</f>
        <v>60000</v>
      </c>
      <c r="AP273" s="67" t="n">
        <f aca="false">AO273+AP272</f>
        <v>60000</v>
      </c>
      <c r="AQ273" s="67" t="n">
        <f aca="false">AP273+AQ272</f>
        <v>60000</v>
      </c>
      <c r="AR273" s="67" t="n">
        <f aca="false">AQ273+AR272</f>
        <v>60000</v>
      </c>
      <c r="AS273" s="67" t="n">
        <f aca="false">AR273+AS272</f>
        <v>60000</v>
      </c>
      <c r="AT273" s="67" t="n">
        <f aca="false">AS273+AT272</f>
        <v>60000</v>
      </c>
      <c r="AU273" s="67" t="n">
        <f aca="false">AT273+AU272</f>
        <v>60000</v>
      </c>
      <c r="AV273" s="67" t="n">
        <f aca="false">AU273+AV272</f>
        <v>60000</v>
      </c>
      <c r="AW273" s="67" t="n">
        <f aca="false">AV273+AW272</f>
        <v>60000</v>
      </c>
      <c r="AX273" s="67" t="n">
        <f aca="false">AW273+AX272</f>
        <v>60000</v>
      </c>
      <c r="AY273" s="67" t="n">
        <f aca="false">AX273+AY272</f>
        <v>60000</v>
      </c>
      <c r="AZ273" s="67" t="n">
        <f aca="false">AY273+AZ272</f>
        <v>60000</v>
      </c>
      <c r="BA273" s="67" t="n">
        <f aca="false">AZ273+BA272</f>
        <v>60000</v>
      </c>
      <c r="BB273" s="67" t="n">
        <f aca="false">BA273+BB272</f>
        <v>60000</v>
      </c>
      <c r="BC273" s="67" t="n">
        <f aca="false">BB273+BC272</f>
        <v>60000</v>
      </c>
      <c r="BD273" s="67" t="n">
        <f aca="false">BC273+BD272</f>
        <v>60000</v>
      </c>
      <c r="BE273" s="67" t="n">
        <f aca="false">BD273+BE272</f>
        <v>60000</v>
      </c>
      <c r="BF273" s="67" t="n">
        <f aca="false">BE273+BF272</f>
        <v>60000</v>
      </c>
      <c r="BG273" s="67" t="n">
        <f aca="false">BF273+BG272</f>
        <v>60000</v>
      </c>
      <c r="BH273" s="67" t="n">
        <f aca="false">BG273+BH272</f>
        <v>60000</v>
      </c>
      <c r="BI273" s="67" t="n">
        <f aca="false">BH273+BI272</f>
        <v>60000</v>
      </c>
      <c r="BJ273" s="67" t="n">
        <f aca="false">BI273+BJ272</f>
        <v>60000</v>
      </c>
    </row>
    <row r="274" customFormat="false" ht="15" hidden="false" customHeight="false" outlineLevel="0" collapsed="false">
      <c r="A274" s="6" t="s">
        <v>78</v>
      </c>
      <c r="C274" s="67" t="n">
        <f aca="false">-MIN(C273/MAX(1,Inputs!$D$65*12),C272)</f>
        <v>-1000</v>
      </c>
      <c r="D274" s="67" t="n">
        <f aca="false">-MIN(D273/MAX(1,Inputs!$D$65*12),C276+D272)</f>
        <v>-1000</v>
      </c>
      <c r="E274" s="67" t="n">
        <f aca="false">-MIN(E273/MAX(1,Inputs!$D$65*12),D276+E272)</f>
        <v>-1000</v>
      </c>
      <c r="F274" s="67" t="n">
        <f aca="false">-MIN(F273/MAX(1,Inputs!$D$65*12),E276+F272)</f>
        <v>-1000</v>
      </c>
      <c r="G274" s="67" t="n">
        <f aca="false">-MIN(G273/MAX(1,Inputs!$D$65*12),F276+G272)</f>
        <v>-1000</v>
      </c>
      <c r="H274" s="67" t="n">
        <f aca="false">-MIN(H273/MAX(1,Inputs!$D$65*12),G276+H272)</f>
        <v>-1000</v>
      </c>
      <c r="I274" s="67" t="n">
        <f aca="false">-MIN(I273/MAX(1,Inputs!$D$65*12),H276+I272)</f>
        <v>-1000</v>
      </c>
      <c r="J274" s="67" t="n">
        <f aca="false">-MIN(J273/MAX(1,Inputs!$D$65*12),I276+J272)</f>
        <v>-1000</v>
      </c>
      <c r="K274" s="67" t="n">
        <f aca="false">-MIN(K273/MAX(1,Inputs!$D$65*12),J276+K272)</f>
        <v>-1000</v>
      </c>
      <c r="L274" s="67" t="n">
        <f aca="false">-MIN(L273/MAX(1,Inputs!$D$65*12),K276+L272)</f>
        <v>-1000</v>
      </c>
      <c r="M274" s="67" t="n">
        <f aca="false">-MIN(M273/MAX(1,Inputs!$D$65*12),L276+M272)</f>
        <v>-1000</v>
      </c>
      <c r="N274" s="67" t="n">
        <f aca="false">-MIN(N273/MAX(1,Inputs!$D$65*12),M276+N272)</f>
        <v>-1000</v>
      </c>
      <c r="O274" s="67" t="n">
        <f aca="false">-MIN(O273/MAX(1,Inputs!$D$65*12),N276+O272)</f>
        <v>-1000</v>
      </c>
      <c r="P274" s="67" t="n">
        <f aca="false">-MIN(P273/MAX(1,Inputs!$D$65*12),O276+P272)</f>
        <v>-1000</v>
      </c>
      <c r="Q274" s="67" t="n">
        <f aca="false">-MIN(Q273/MAX(1,Inputs!$D$65*12),P276+Q272)</f>
        <v>-1000</v>
      </c>
      <c r="R274" s="67" t="n">
        <f aca="false">-MIN(R273/MAX(1,Inputs!$D$65*12),Q276+R272)</f>
        <v>-1000</v>
      </c>
      <c r="S274" s="67" t="n">
        <f aca="false">-MIN(S273/MAX(1,Inputs!$D$65*12),R276+S272)</f>
        <v>-1000</v>
      </c>
      <c r="T274" s="67" t="n">
        <f aca="false">-MIN(T273/MAX(1,Inputs!$D$65*12),S276+T272)</f>
        <v>-1000</v>
      </c>
      <c r="U274" s="67" t="n">
        <f aca="false">-MIN(U273/MAX(1,Inputs!$D$65*12),T276+U272)</f>
        <v>-1000</v>
      </c>
      <c r="V274" s="67" t="n">
        <f aca="false">-MIN(V273/MAX(1,Inputs!$D$65*12),U276+V272)</f>
        <v>-1000</v>
      </c>
      <c r="W274" s="67" t="n">
        <f aca="false">-MIN(W273/MAX(1,Inputs!$D$65*12),V276+W272)</f>
        <v>-1000</v>
      </c>
      <c r="X274" s="67" t="n">
        <f aca="false">-MIN(X273/MAX(1,Inputs!$D$65*12),W276+X272)</f>
        <v>-1000</v>
      </c>
      <c r="Y274" s="67" t="n">
        <f aca="false">-MIN(Y273/MAX(1,Inputs!$D$65*12),X276+Y272)</f>
        <v>-1000</v>
      </c>
      <c r="Z274" s="67" t="n">
        <f aca="false">-MIN(Z273/MAX(1,Inputs!$D$65*12),Y276+Z272)</f>
        <v>-1000</v>
      </c>
      <c r="AA274" s="67" t="n">
        <f aca="false">-MIN(AA273/MAX(1,Inputs!$D$65*12),Z276+AA272)</f>
        <v>-1000</v>
      </c>
      <c r="AB274" s="67" t="n">
        <f aca="false">-MIN(AB273/MAX(1,Inputs!$D$65*12),AA276+AB272)</f>
        <v>-1000</v>
      </c>
      <c r="AC274" s="67" t="n">
        <f aca="false">-MIN(AC273/MAX(1,Inputs!$D$65*12),AB276+AC272)</f>
        <v>-1000</v>
      </c>
      <c r="AD274" s="67" t="n">
        <f aca="false">-MIN(AD273/MAX(1,Inputs!$D$65*12),AC276+AD272)</f>
        <v>-1000</v>
      </c>
      <c r="AE274" s="67" t="n">
        <f aca="false">-MIN(AE273/MAX(1,Inputs!$D$65*12),AD276+AE272)</f>
        <v>-1000</v>
      </c>
      <c r="AF274" s="67" t="n">
        <f aca="false">-MIN(AF273/MAX(1,Inputs!$D$65*12),AE276+AF272)</f>
        <v>-1000</v>
      </c>
      <c r="AG274" s="67" t="n">
        <f aca="false">-MIN(AG273/MAX(1,Inputs!$D$65*12),AF276+AG272)</f>
        <v>-1000</v>
      </c>
      <c r="AH274" s="67" t="n">
        <f aca="false">-MIN(AH273/MAX(1,Inputs!$D$65*12),AG276+AH272)</f>
        <v>-1000</v>
      </c>
      <c r="AI274" s="67" t="n">
        <f aca="false">-MIN(AI273/MAX(1,Inputs!$D$65*12),AH276+AI272)</f>
        <v>-1000</v>
      </c>
      <c r="AJ274" s="67" t="n">
        <f aca="false">-MIN(AJ273/MAX(1,Inputs!$D$65*12),AI276+AJ272)</f>
        <v>-1000</v>
      </c>
      <c r="AK274" s="67" t="n">
        <f aca="false">-MIN(AK273/MAX(1,Inputs!$D$65*12),AJ276+AK272)</f>
        <v>-1000</v>
      </c>
      <c r="AL274" s="67" t="n">
        <f aca="false">-MIN(AL273/MAX(1,Inputs!$D$65*12),AK276+AL272)</f>
        <v>-1000</v>
      </c>
      <c r="AM274" s="67" t="n">
        <f aca="false">-MIN(AM273/MAX(1,Inputs!$D$65*12),AL276+AM272)</f>
        <v>-1000</v>
      </c>
      <c r="AN274" s="67" t="n">
        <f aca="false">-MIN(AN273/MAX(1,Inputs!$D$65*12),AM276+AN272)</f>
        <v>-1000</v>
      </c>
      <c r="AO274" s="67" t="n">
        <f aca="false">-MIN(AO273/MAX(1,Inputs!$D$65*12),AN276+AO272)</f>
        <v>-1000</v>
      </c>
      <c r="AP274" s="67" t="n">
        <f aca="false">-MIN(AP273/MAX(1,Inputs!$D$65*12),AO276+AP272)</f>
        <v>-1000</v>
      </c>
      <c r="AQ274" s="67" t="n">
        <f aca="false">-MIN(AQ273/MAX(1,Inputs!$D$65*12),AP276+AQ272)</f>
        <v>-1000</v>
      </c>
      <c r="AR274" s="67" t="n">
        <f aca="false">-MIN(AR273/MAX(1,Inputs!$D$65*12),AQ276+AR272)</f>
        <v>-1000</v>
      </c>
      <c r="AS274" s="67" t="n">
        <f aca="false">-MIN(AS273/MAX(1,Inputs!$D$65*12),AR276+AS272)</f>
        <v>-1000</v>
      </c>
      <c r="AT274" s="67" t="n">
        <f aca="false">-MIN(AT273/MAX(1,Inputs!$D$65*12),AS276+AT272)</f>
        <v>-1000</v>
      </c>
      <c r="AU274" s="67" t="n">
        <f aca="false">-MIN(AU273/MAX(1,Inputs!$D$65*12),AT276+AU272)</f>
        <v>-1000</v>
      </c>
      <c r="AV274" s="67" t="n">
        <f aca="false">-MIN(AV273/MAX(1,Inputs!$D$65*12),AU276+AV272)</f>
        <v>-1000</v>
      </c>
      <c r="AW274" s="67" t="n">
        <f aca="false">-MIN(AW273/MAX(1,Inputs!$D$65*12),AV276+AW272)</f>
        <v>-1000</v>
      </c>
      <c r="AX274" s="67" t="n">
        <f aca="false">-MIN(AX273/MAX(1,Inputs!$D$65*12),AW276+AX272)</f>
        <v>-1000</v>
      </c>
      <c r="AY274" s="67" t="n">
        <f aca="false">-MIN(AY273/MAX(1,Inputs!$D$65*12),AX276+AY272)</f>
        <v>-1000</v>
      </c>
      <c r="AZ274" s="67" t="n">
        <f aca="false">-MIN(AZ273/MAX(1,Inputs!$D$65*12),AY276+AZ272)</f>
        <v>-1000</v>
      </c>
      <c r="BA274" s="67" t="n">
        <f aca="false">-MIN(BA273/MAX(1,Inputs!$D$65*12),AZ276+BA272)</f>
        <v>-1000</v>
      </c>
      <c r="BB274" s="67" t="n">
        <f aca="false">-MIN(BB273/MAX(1,Inputs!$D$65*12),BA276+BB272)</f>
        <v>-1000</v>
      </c>
      <c r="BC274" s="67" t="n">
        <f aca="false">-MIN(BC273/MAX(1,Inputs!$D$65*12),BB276+BC272)</f>
        <v>-1000</v>
      </c>
      <c r="BD274" s="67" t="n">
        <f aca="false">-MIN(BD273/MAX(1,Inputs!$D$65*12),BC276+BD272)</f>
        <v>-1000</v>
      </c>
      <c r="BE274" s="67" t="n">
        <f aca="false">-MIN(BE273/MAX(1,Inputs!$D$65*12),BD276+BE272)</f>
        <v>-1000</v>
      </c>
      <c r="BF274" s="67" t="n">
        <f aca="false">-MIN(BF273/MAX(1,Inputs!$D$65*12),BE276+BF272)</f>
        <v>-1000</v>
      </c>
      <c r="BG274" s="67" t="n">
        <f aca="false">-MIN(BG273/MAX(1,Inputs!$D$65*12),BF276+BG272)</f>
        <v>-1000</v>
      </c>
      <c r="BH274" s="67" t="n">
        <f aca="false">-MIN(BH273/MAX(1,Inputs!$D$65*12),BG276+BH272)</f>
        <v>-1000</v>
      </c>
      <c r="BI274" s="67" t="n">
        <f aca="false">-MIN(BI273/MAX(1,Inputs!$D$65*12),BH276+BI272)</f>
        <v>-1000</v>
      </c>
      <c r="BJ274" s="67" t="n">
        <f aca="false">-MIN(BJ273/MAX(1,Inputs!$D$65*12),BI276+BJ272)</f>
        <v>-1000</v>
      </c>
    </row>
    <row r="275" customFormat="false" ht="15" hidden="false" customHeight="false" outlineLevel="0" collapsed="false">
      <c r="A275" s="6" t="s">
        <v>418</v>
      </c>
      <c r="C275" s="67" t="n">
        <f aca="false">C274</f>
        <v>-1000</v>
      </c>
      <c r="D275" s="67" t="n">
        <f aca="false">C275+D274</f>
        <v>-2000</v>
      </c>
      <c r="E275" s="67" t="n">
        <f aca="false">D275+E274</f>
        <v>-3000</v>
      </c>
      <c r="F275" s="67" t="n">
        <f aca="false">E275+F274</f>
        <v>-4000</v>
      </c>
      <c r="G275" s="67" t="n">
        <f aca="false">F275+G274</f>
        <v>-5000</v>
      </c>
      <c r="H275" s="67" t="n">
        <f aca="false">G275+H274</f>
        <v>-6000</v>
      </c>
      <c r="I275" s="67" t="n">
        <f aca="false">H275+I274</f>
        <v>-7000</v>
      </c>
      <c r="J275" s="67" t="n">
        <f aca="false">I275+J274</f>
        <v>-8000</v>
      </c>
      <c r="K275" s="67" t="n">
        <f aca="false">J275+K274</f>
        <v>-9000</v>
      </c>
      <c r="L275" s="67" t="n">
        <f aca="false">K275+L274</f>
        <v>-10000</v>
      </c>
      <c r="M275" s="67" t="n">
        <f aca="false">L275+M274</f>
        <v>-11000</v>
      </c>
      <c r="N275" s="67" t="n">
        <f aca="false">M275+N274</f>
        <v>-12000</v>
      </c>
      <c r="O275" s="67" t="n">
        <f aca="false">N275+O274</f>
        <v>-13000</v>
      </c>
      <c r="P275" s="67" t="n">
        <f aca="false">O275+P274</f>
        <v>-14000</v>
      </c>
      <c r="Q275" s="67" t="n">
        <f aca="false">P275+Q274</f>
        <v>-15000</v>
      </c>
      <c r="R275" s="67" t="n">
        <f aca="false">Q275+R274</f>
        <v>-16000</v>
      </c>
      <c r="S275" s="67" t="n">
        <f aca="false">R275+S274</f>
        <v>-17000</v>
      </c>
      <c r="T275" s="67" t="n">
        <f aca="false">S275+T274</f>
        <v>-18000</v>
      </c>
      <c r="U275" s="67" t="n">
        <f aca="false">T275+U274</f>
        <v>-19000</v>
      </c>
      <c r="V275" s="67" t="n">
        <f aca="false">U275+V274</f>
        <v>-20000</v>
      </c>
      <c r="W275" s="67" t="n">
        <f aca="false">V275+W274</f>
        <v>-21000</v>
      </c>
      <c r="X275" s="67" t="n">
        <f aca="false">W275+X274</f>
        <v>-22000</v>
      </c>
      <c r="Y275" s="67" t="n">
        <f aca="false">X275+Y274</f>
        <v>-23000</v>
      </c>
      <c r="Z275" s="67" t="n">
        <f aca="false">Y275+Z274</f>
        <v>-24000</v>
      </c>
      <c r="AA275" s="67" t="n">
        <f aca="false">Z275+AA274</f>
        <v>-25000</v>
      </c>
      <c r="AB275" s="67" t="n">
        <f aca="false">AA275+AB274</f>
        <v>-26000</v>
      </c>
      <c r="AC275" s="67" t="n">
        <f aca="false">AB275+AC274</f>
        <v>-27000</v>
      </c>
      <c r="AD275" s="67" t="n">
        <f aca="false">AC275+AD274</f>
        <v>-28000</v>
      </c>
      <c r="AE275" s="67" t="n">
        <f aca="false">AD275+AE274</f>
        <v>-29000</v>
      </c>
      <c r="AF275" s="67" t="n">
        <f aca="false">AE275+AF274</f>
        <v>-30000</v>
      </c>
      <c r="AG275" s="67" t="n">
        <f aca="false">AF275+AG274</f>
        <v>-31000</v>
      </c>
      <c r="AH275" s="67" t="n">
        <f aca="false">AG275+AH274</f>
        <v>-32000</v>
      </c>
      <c r="AI275" s="67" t="n">
        <f aca="false">AH275+AI274</f>
        <v>-33000</v>
      </c>
      <c r="AJ275" s="67" t="n">
        <f aca="false">AI275+AJ274</f>
        <v>-34000</v>
      </c>
      <c r="AK275" s="67" t="n">
        <f aca="false">AJ275+AK274</f>
        <v>-35000</v>
      </c>
      <c r="AL275" s="67" t="n">
        <f aca="false">AK275+AL274</f>
        <v>-36000</v>
      </c>
      <c r="AM275" s="67" t="n">
        <f aca="false">AL275+AM274</f>
        <v>-37000</v>
      </c>
      <c r="AN275" s="67" t="n">
        <f aca="false">AM275+AN274</f>
        <v>-38000</v>
      </c>
      <c r="AO275" s="67" t="n">
        <f aca="false">AN275+AO274</f>
        <v>-39000</v>
      </c>
      <c r="AP275" s="67" t="n">
        <f aca="false">AO275+AP274</f>
        <v>-40000</v>
      </c>
      <c r="AQ275" s="67" t="n">
        <f aca="false">AP275+AQ274</f>
        <v>-41000</v>
      </c>
      <c r="AR275" s="67" t="n">
        <f aca="false">AQ275+AR274</f>
        <v>-42000</v>
      </c>
      <c r="AS275" s="67" t="n">
        <f aca="false">AR275+AS274</f>
        <v>-43000</v>
      </c>
      <c r="AT275" s="67" t="n">
        <f aca="false">AS275+AT274</f>
        <v>-44000</v>
      </c>
      <c r="AU275" s="67" t="n">
        <f aca="false">AT275+AU274</f>
        <v>-45000</v>
      </c>
      <c r="AV275" s="67" t="n">
        <f aca="false">AU275+AV274</f>
        <v>-46000</v>
      </c>
      <c r="AW275" s="67" t="n">
        <f aca="false">AV275+AW274</f>
        <v>-47000</v>
      </c>
      <c r="AX275" s="67" t="n">
        <f aca="false">AW275+AX274</f>
        <v>-48000</v>
      </c>
      <c r="AY275" s="67" t="n">
        <f aca="false">AX275+AY274</f>
        <v>-49000</v>
      </c>
      <c r="AZ275" s="67" t="n">
        <f aca="false">AY275+AZ274</f>
        <v>-50000</v>
      </c>
      <c r="BA275" s="67" t="n">
        <f aca="false">AZ275+BA274</f>
        <v>-51000</v>
      </c>
      <c r="BB275" s="67" t="n">
        <f aca="false">BA275+BB274</f>
        <v>-52000</v>
      </c>
      <c r="BC275" s="67" t="n">
        <f aca="false">BB275+BC274</f>
        <v>-53000</v>
      </c>
      <c r="BD275" s="67" t="n">
        <f aca="false">BC275+BD274</f>
        <v>-54000</v>
      </c>
      <c r="BE275" s="67" t="n">
        <f aca="false">BD275+BE274</f>
        <v>-55000</v>
      </c>
      <c r="BF275" s="67" t="n">
        <f aca="false">BE275+BF274</f>
        <v>-56000</v>
      </c>
      <c r="BG275" s="67" t="n">
        <f aca="false">BF275+BG274</f>
        <v>-57000</v>
      </c>
      <c r="BH275" s="67" t="n">
        <f aca="false">BG275+BH274</f>
        <v>-58000</v>
      </c>
      <c r="BI275" s="67" t="n">
        <f aca="false">BH275+BI274</f>
        <v>-59000</v>
      </c>
      <c r="BJ275" s="67" t="n">
        <f aca="false">BI275+BJ274</f>
        <v>-60000</v>
      </c>
    </row>
    <row r="276" customFormat="false" ht="15" hidden="false" customHeight="false" outlineLevel="0" collapsed="false">
      <c r="A276" s="4" t="s">
        <v>92</v>
      </c>
      <c r="C276" s="73" t="n">
        <f aca="false">C273+C275</f>
        <v>59000</v>
      </c>
      <c r="D276" s="73" t="n">
        <f aca="false">D273+D275</f>
        <v>58000</v>
      </c>
      <c r="E276" s="73" t="n">
        <f aca="false">E273+E275</f>
        <v>57000</v>
      </c>
      <c r="F276" s="73" t="n">
        <f aca="false">F273+F275</f>
        <v>56000</v>
      </c>
      <c r="G276" s="73" t="n">
        <f aca="false">G273+G275</f>
        <v>55000</v>
      </c>
      <c r="H276" s="73" t="n">
        <f aca="false">H273+H275</f>
        <v>54000</v>
      </c>
      <c r="I276" s="73" t="n">
        <f aca="false">I273+I275</f>
        <v>53000</v>
      </c>
      <c r="J276" s="73" t="n">
        <f aca="false">J273+J275</f>
        <v>52000</v>
      </c>
      <c r="K276" s="73" t="n">
        <f aca="false">K273+K275</f>
        <v>51000</v>
      </c>
      <c r="L276" s="73" t="n">
        <f aca="false">L273+L275</f>
        <v>50000</v>
      </c>
      <c r="M276" s="73" t="n">
        <f aca="false">M273+M275</f>
        <v>49000</v>
      </c>
      <c r="N276" s="73" t="n">
        <f aca="false">N273+N275</f>
        <v>48000</v>
      </c>
      <c r="O276" s="73" t="n">
        <f aca="false">O273+O275</f>
        <v>47000</v>
      </c>
      <c r="P276" s="73" t="n">
        <f aca="false">P273+P275</f>
        <v>46000</v>
      </c>
      <c r="Q276" s="73" t="n">
        <f aca="false">Q273+Q275</f>
        <v>45000</v>
      </c>
      <c r="R276" s="73" t="n">
        <f aca="false">R273+R275</f>
        <v>44000</v>
      </c>
      <c r="S276" s="73" t="n">
        <f aca="false">S273+S275</f>
        <v>43000</v>
      </c>
      <c r="T276" s="73" t="n">
        <f aca="false">T273+T275</f>
        <v>42000</v>
      </c>
      <c r="U276" s="73" t="n">
        <f aca="false">U273+U275</f>
        <v>41000</v>
      </c>
      <c r="V276" s="73" t="n">
        <f aca="false">V273+V275</f>
        <v>40000</v>
      </c>
      <c r="W276" s="73" t="n">
        <f aca="false">W273+W275</f>
        <v>39000</v>
      </c>
      <c r="X276" s="73" t="n">
        <f aca="false">X273+X275</f>
        <v>38000</v>
      </c>
      <c r="Y276" s="73" t="n">
        <f aca="false">Y273+Y275</f>
        <v>37000</v>
      </c>
      <c r="Z276" s="73" t="n">
        <f aca="false">Z273+Z275</f>
        <v>36000</v>
      </c>
      <c r="AA276" s="73" t="n">
        <f aca="false">AA273+AA275</f>
        <v>35000</v>
      </c>
      <c r="AB276" s="73" t="n">
        <f aca="false">AB273+AB275</f>
        <v>34000</v>
      </c>
      <c r="AC276" s="73" t="n">
        <f aca="false">AC273+AC275</f>
        <v>33000</v>
      </c>
      <c r="AD276" s="73" t="n">
        <f aca="false">AD273+AD275</f>
        <v>32000</v>
      </c>
      <c r="AE276" s="73" t="n">
        <f aca="false">AE273+AE275</f>
        <v>31000</v>
      </c>
      <c r="AF276" s="73" t="n">
        <f aca="false">AF273+AF275</f>
        <v>30000</v>
      </c>
      <c r="AG276" s="73" t="n">
        <f aca="false">AG273+AG275</f>
        <v>29000</v>
      </c>
      <c r="AH276" s="73" t="n">
        <f aca="false">AH273+AH275</f>
        <v>28000</v>
      </c>
      <c r="AI276" s="73" t="n">
        <f aca="false">AI273+AI275</f>
        <v>27000</v>
      </c>
      <c r="AJ276" s="73" t="n">
        <f aca="false">AJ273+AJ275</f>
        <v>26000</v>
      </c>
      <c r="AK276" s="73" t="n">
        <f aca="false">AK273+AK275</f>
        <v>25000</v>
      </c>
      <c r="AL276" s="73" t="n">
        <f aca="false">AL273+AL275</f>
        <v>24000</v>
      </c>
      <c r="AM276" s="73" t="n">
        <f aca="false">AM273+AM275</f>
        <v>23000</v>
      </c>
      <c r="AN276" s="73" t="n">
        <f aca="false">AN273+AN275</f>
        <v>22000</v>
      </c>
      <c r="AO276" s="73" t="n">
        <f aca="false">AO273+AO275</f>
        <v>21000</v>
      </c>
      <c r="AP276" s="73" t="n">
        <f aca="false">AP273+AP275</f>
        <v>20000</v>
      </c>
      <c r="AQ276" s="73" t="n">
        <f aca="false">AQ273+AQ275</f>
        <v>19000</v>
      </c>
      <c r="AR276" s="73" t="n">
        <f aca="false">AR273+AR275</f>
        <v>18000</v>
      </c>
      <c r="AS276" s="73" t="n">
        <f aca="false">AS273+AS275</f>
        <v>17000</v>
      </c>
      <c r="AT276" s="73" t="n">
        <f aca="false">AT273+AT275</f>
        <v>16000</v>
      </c>
      <c r="AU276" s="73" t="n">
        <f aca="false">AU273+AU275</f>
        <v>15000</v>
      </c>
      <c r="AV276" s="73" t="n">
        <f aca="false">AV273+AV275</f>
        <v>14000</v>
      </c>
      <c r="AW276" s="73" t="n">
        <f aca="false">AW273+AW275</f>
        <v>13000</v>
      </c>
      <c r="AX276" s="73" t="n">
        <f aca="false">AX273+AX275</f>
        <v>12000</v>
      </c>
      <c r="AY276" s="73" t="n">
        <f aca="false">AY273+AY275</f>
        <v>11000</v>
      </c>
      <c r="AZ276" s="73" t="n">
        <f aca="false">AZ273+AZ275</f>
        <v>10000</v>
      </c>
      <c r="BA276" s="73" t="n">
        <f aca="false">BA273+BA275</f>
        <v>9000</v>
      </c>
      <c r="BB276" s="73" t="n">
        <f aca="false">BB273+BB275</f>
        <v>8000</v>
      </c>
      <c r="BC276" s="73" t="n">
        <f aca="false">BC273+BC275</f>
        <v>7000</v>
      </c>
      <c r="BD276" s="73" t="n">
        <f aca="false">BD273+BD275</f>
        <v>6000</v>
      </c>
      <c r="BE276" s="73" t="n">
        <f aca="false">BE273+BE275</f>
        <v>5000</v>
      </c>
      <c r="BF276" s="73" t="n">
        <f aca="false">BF273+BF275</f>
        <v>4000</v>
      </c>
      <c r="BG276" s="73" t="n">
        <f aca="false">BG273+BG275</f>
        <v>3000</v>
      </c>
      <c r="BH276" s="73" t="n">
        <f aca="false">BH273+BH275</f>
        <v>2000</v>
      </c>
      <c r="BI276" s="73" t="n">
        <f aca="false">BI273+BI275</f>
        <v>1000</v>
      </c>
      <c r="BJ276" s="73" t="n">
        <f aca="false">BJ273+BJ275</f>
        <v>0</v>
      </c>
    </row>
    <row r="278" customFormat="false" ht="15.75" hidden="false" customHeight="true" outlineLevel="0" collapsed="false">
      <c r="A278" s="7" t="s">
        <v>419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customFormat="false" ht="15" hidden="false" customHeight="false" outlineLevel="0" collapsed="false">
      <c r="A279" s="6" t="s">
        <v>420</v>
      </c>
      <c r="C279" s="67" t="n">
        <f aca="false">0</f>
        <v>0</v>
      </c>
      <c r="D279" s="67" t="n">
        <f aca="false">C282</f>
        <v>200000</v>
      </c>
      <c r="E279" s="67" t="n">
        <f aca="false">D282</f>
        <v>196666.666666667</v>
      </c>
      <c r="F279" s="67" t="n">
        <f aca="false">E282</f>
        <v>193333.333333333</v>
      </c>
      <c r="G279" s="67" t="n">
        <f aca="false">F282</f>
        <v>190000</v>
      </c>
      <c r="H279" s="67" t="n">
        <f aca="false">G282</f>
        <v>186666.666666667</v>
      </c>
      <c r="I279" s="67" t="n">
        <f aca="false">H282</f>
        <v>183333.333333333</v>
      </c>
      <c r="J279" s="67" t="n">
        <f aca="false">I282</f>
        <v>180000</v>
      </c>
      <c r="K279" s="67" t="n">
        <f aca="false">J282</f>
        <v>176666.666666667</v>
      </c>
      <c r="L279" s="67" t="n">
        <f aca="false">K282</f>
        <v>173333.333333333</v>
      </c>
      <c r="M279" s="67" t="n">
        <f aca="false">L282</f>
        <v>170000</v>
      </c>
      <c r="N279" s="67" t="n">
        <f aca="false">M282</f>
        <v>166666.666666667</v>
      </c>
      <c r="O279" s="67" t="n">
        <f aca="false">N282</f>
        <v>163333.333333333</v>
      </c>
      <c r="P279" s="67" t="n">
        <f aca="false">O282</f>
        <v>160000</v>
      </c>
      <c r="Q279" s="67" t="n">
        <f aca="false">P282</f>
        <v>156666.666666667</v>
      </c>
      <c r="R279" s="67" t="n">
        <f aca="false">Q282</f>
        <v>153333.333333333</v>
      </c>
      <c r="S279" s="67" t="n">
        <f aca="false">R282</f>
        <v>150000</v>
      </c>
      <c r="T279" s="67" t="n">
        <f aca="false">S282</f>
        <v>146666.666666667</v>
      </c>
      <c r="U279" s="67" t="n">
        <f aca="false">T282</f>
        <v>143333.333333333</v>
      </c>
      <c r="V279" s="67" t="n">
        <f aca="false">U282</f>
        <v>140000</v>
      </c>
      <c r="W279" s="67" t="n">
        <f aca="false">V282</f>
        <v>136666.666666666</v>
      </c>
      <c r="X279" s="67" t="n">
        <f aca="false">W282</f>
        <v>133333.333333333</v>
      </c>
      <c r="Y279" s="67" t="n">
        <f aca="false">X282</f>
        <v>130000</v>
      </c>
      <c r="Z279" s="67" t="n">
        <f aca="false">Y282</f>
        <v>126666.666666666</v>
      </c>
      <c r="AA279" s="67" t="n">
        <f aca="false">Z282</f>
        <v>123333.333333333</v>
      </c>
      <c r="AB279" s="67" t="n">
        <f aca="false">AA282</f>
        <v>120000</v>
      </c>
      <c r="AC279" s="67" t="n">
        <f aca="false">AB282</f>
        <v>116666.666666667</v>
      </c>
      <c r="AD279" s="67" t="n">
        <f aca="false">AC282</f>
        <v>113333.333333333</v>
      </c>
      <c r="AE279" s="67" t="n">
        <f aca="false">AD282</f>
        <v>110000</v>
      </c>
      <c r="AF279" s="67" t="n">
        <f aca="false">AE282</f>
        <v>106666.666666667</v>
      </c>
      <c r="AG279" s="67" t="n">
        <f aca="false">AF282</f>
        <v>103333.333333333</v>
      </c>
      <c r="AH279" s="67" t="n">
        <f aca="false">AG282</f>
        <v>99999.9999999999</v>
      </c>
      <c r="AI279" s="67" t="n">
        <f aca="false">AH282</f>
        <v>96666.6666666665</v>
      </c>
      <c r="AJ279" s="67" t="n">
        <f aca="false">AI282</f>
        <v>93333.3333333332</v>
      </c>
      <c r="AK279" s="67" t="n">
        <f aca="false">AJ282</f>
        <v>89999.9999999999</v>
      </c>
      <c r="AL279" s="67" t="n">
        <f aca="false">AK282</f>
        <v>86666.6666666665</v>
      </c>
      <c r="AM279" s="67" t="n">
        <f aca="false">AL282</f>
        <v>83333.3333333332</v>
      </c>
      <c r="AN279" s="67" t="n">
        <f aca="false">AM282</f>
        <v>79999.9999999999</v>
      </c>
      <c r="AO279" s="67" t="n">
        <f aca="false">AN282</f>
        <v>76666.6666666666</v>
      </c>
      <c r="AP279" s="67" t="n">
        <f aca="false">AO282</f>
        <v>73333.3333333332</v>
      </c>
      <c r="AQ279" s="67" t="n">
        <f aca="false">AP282</f>
        <v>69999.9999999999</v>
      </c>
      <c r="AR279" s="67" t="n">
        <f aca="false">AQ282</f>
        <v>66666.6666666666</v>
      </c>
      <c r="AS279" s="67" t="n">
        <f aca="false">AR282</f>
        <v>63333.3333333332</v>
      </c>
      <c r="AT279" s="67" t="n">
        <f aca="false">AS282</f>
        <v>59999.9999999999</v>
      </c>
      <c r="AU279" s="67" t="n">
        <f aca="false">AT282</f>
        <v>56666.6666666666</v>
      </c>
      <c r="AV279" s="67" t="n">
        <f aca="false">AU282</f>
        <v>53333.3333333332</v>
      </c>
      <c r="AW279" s="67" t="n">
        <f aca="false">AV282</f>
        <v>49999.9999999999</v>
      </c>
      <c r="AX279" s="67" t="n">
        <f aca="false">AW282</f>
        <v>46666.6666666666</v>
      </c>
      <c r="AY279" s="67" t="n">
        <f aca="false">AX282</f>
        <v>43333.3333333332</v>
      </c>
      <c r="AZ279" s="67" t="n">
        <f aca="false">AY282</f>
        <v>39999.9999999999</v>
      </c>
      <c r="BA279" s="67" t="n">
        <f aca="false">AZ282</f>
        <v>36666.6666666666</v>
      </c>
      <c r="BB279" s="67" t="n">
        <f aca="false">BA282</f>
        <v>33333.3333333332</v>
      </c>
      <c r="BC279" s="67" t="n">
        <f aca="false">BB282</f>
        <v>29999.9999999999</v>
      </c>
      <c r="BD279" s="67" t="n">
        <f aca="false">BC282</f>
        <v>26666.6666666665</v>
      </c>
      <c r="BE279" s="67" t="n">
        <f aca="false">BD282</f>
        <v>23333.3333333332</v>
      </c>
      <c r="BF279" s="67" t="n">
        <f aca="false">BE282</f>
        <v>19999.9999999999</v>
      </c>
      <c r="BG279" s="67" t="n">
        <f aca="false">BF282</f>
        <v>16666.6666666666</v>
      </c>
      <c r="BH279" s="67" t="n">
        <f aca="false">BG282</f>
        <v>13333.3333333332</v>
      </c>
      <c r="BI279" s="67" t="n">
        <f aca="false">BH282</f>
        <v>9999.99999999988</v>
      </c>
      <c r="BJ279" s="67" t="n">
        <f aca="false">BI282</f>
        <v>6666.66666666655</v>
      </c>
    </row>
    <row r="280" customFormat="false" ht="15" hidden="false" customHeight="false" outlineLevel="0" collapsed="false">
      <c r="A280" s="6" t="s">
        <v>85</v>
      </c>
      <c r="C280" s="67" t="n">
        <f aca="false">IF(C$226=1,Inputs!$D$55,0)</f>
        <v>200000</v>
      </c>
      <c r="D280" s="67" t="n">
        <f aca="false">IF(D$226=1,Inputs!$D$55,0)</f>
        <v>0</v>
      </c>
      <c r="E280" s="67" t="n">
        <f aca="false">IF(E$226=1,Inputs!$D$55,0)</f>
        <v>0</v>
      </c>
      <c r="F280" s="67" t="n">
        <f aca="false">IF(F$226=1,Inputs!$D$55,0)</f>
        <v>0</v>
      </c>
      <c r="G280" s="67" t="n">
        <f aca="false">IF(G$226=1,Inputs!$D$55,0)</f>
        <v>0</v>
      </c>
      <c r="H280" s="67" t="n">
        <f aca="false">IF(H$226=1,Inputs!$D$55,0)</f>
        <v>0</v>
      </c>
      <c r="I280" s="67" t="n">
        <f aca="false">IF(I$226=1,Inputs!$D$55,0)</f>
        <v>0</v>
      </c>
      <c r="J280" s="67" t="n">
        <f aca="false">IF(J$226=1,Inputs!$D$55,0)</f>
        <v>0</v>
      </c>
      <c r="K280" s="67" t="n">
        <f aca="false">IF(K$226=1,Inputs!$D$55,0)</f>
        <v>0</v>
      </c>
      <c r="L280" s="67" t="n">
        <f aca="false">IF(L$226=1,Inputs!$D$55,0)</f>
        <v>0</v>
      </c>
      <c r="M280" s="67" t="n">
        <f aca="false">IF(M$226=1,Inputs!$D$55,0)</f>
        <v>0</v>
      </c>
      <c r="N280" s="67" t="n">
        <f aca="false">IF(N$226=1,Inputs!$D$55,0)</f>
        <v>0</v>
      </c>
      <c r="O280" s="67" t="n">
        <f aca="false">IF(O$226=1,Inputs!$D$55,0)</f>
        <v>0</v>
      </c>
      <c r="P280" s="67" t="n">
        <f aca="false">IF(P$226=1,Inputs!$D$55,0)</f>
        <v>0</v>
      </c>
      <c r="Q280" s="67" t="n">
        <f aca="false">IF(Q$226=1,Inputs!$D$55,0)</f>
        <v>0</v>
      </c>
      <c r="R280" s="67" t="n">
        <f aca="false">IF(R$226=1,Inputs!$D$55,0)</f>
        <v>0</v>
      </c>
      <c r="S280" s="67" t="n">
        <f aca="false">IF(S$226=1,Inputs!$D$55,0)</f>
        <v>0</v>
      </c>
      <c r="T280" s="67" t="n">
        <f aca="false">IF(T$226=1,Inputs!$D$55,0)</f>
        <v>0</v>
      </c>
      <c r="U280" s="67" t="n">
        <f aca="false">IF(U$226=1,Inputs!$D$55,0)</f>
        <v>0</v>
      </c>
      <c r="V280" s="67" t="n">
        <f aca="false">IF(V$226=1,Inputs!$D$55,0)</f>
        <v>0</v>
      </c>
      <c r="W280" s="67" t="n">
        <f aca="false">IF(W$226=1,Inputs!$D$55,0)</f>
        <v>0</v>
      </c>
      <c r="X280" s="67" t="n">
        <f aca="false">IF(X$226=1,Inputs!$D$55,0)</f>
        <v>0</v>
      </c>
      <c r="Y280" s="67" t="n">
        <f aca="false">IF(Y$226=1,Inputs!$D$55,0)</f>
        <v>0</v>
      </c>
      <c r="Z280" s="67" t="n">
        <f aca="false">IF(Z$226=1,Inputs!$D$55,0)</f>
        <v>0</v>
      </c>
      <c r="AA280" s="67" t="n">
        <f aca="false">IF(AA$226=1,Inputs!$D$55,0)</f>
        <v>0</v>
      </c>
      <c r="AB280" s="67" t="n">
        <f aca="false">IF(AB$226=1,Inputs!$D$55,0)</f>
        <v>0</v>
      </c>
      <c r="AC280" s="67" t="n">
        <f aca="false">IF(AC$226=1,Inputs!$D$55,0)</f>
        <v>0</v>
      </c>
      <c r="AD280" s="67" t="n">
        <f aca="false">IF(AD$226=1,Inputs!$D$55,0)</f>
        <v>0</v>
      </c>
      <c r="AE280" s="67" t="n">
        <f aca="false">IF(AE$226=1,Inputs!$D$55,0)</f>
        <v>0</v>
      </c>
      <c r="AF280" s="67" t="n">
        <f aca="false">IF(AF$226=1,Inputs!$D$55,0)</f>
        <v>0</v>
      </c>
      <c r="AG280" s="67" t="n">
        <f aca="false">IF(AG$226=1,Inputs!$D$55,0)</f>
        <v>0</v>
      </c>
      <c r="AH280" s="67" t="n">
        <f aca="false">IF(AH$226=1,Inputs!$D$55,0)</f>
        <v>0</v>
      </c>
      <c r="AI280" s="67" t="n">
        <f aca="false">IF(AI$226=1,Inputs!$D$55,0)</f>
        <v>0</v>
      </c>
      <c r="AJ280" s="67" t="n">
        <f aca="false">IF(AJ$226=1,Inputs!$D$55,0)</f>
        <v>0</v>
      </c>
      <c r="AK280" s="67" t="n">
        <f aca="false">IF(AK$226=1,Inputs!$D$55,0)</f>
        <v>0</v>
      </c>
      <c r="AL280" s="67" t="n">
        <f aca="false">IF(AL$226=1,Inputs!$D$55,0)</f>
        <v>0</v>
      </c>
      <c r="AM280" s="67" t="n">
        <f aca="false">IF(AM$226=1,Inputs!$D$55,0)</f>
        <v>0</v>
      </c>
      <c r="AN280" s="67" t="n">
        <f aca="false">IF(AN$226=1,Inputs!$D$55,0)</f>
        <v>0</v>
      </c>
      <c r="AO280" s="67" t="n">
        <f aca="false">IF(AO$226=1,Inputs!$D$55,0)</f>
        <v>0</v>
      </c>
      <c r="AP280" s="67" t="n">
        <f aca="false">IF(AP$226=1,Inputs!$D$55,0)</f>
        <v>0</v>
      </c>
      <c r="AQ280" s="67" t="n">
        <f aca="false">IF(AQ$226=1,Inputs!$D$55,0)</f>
        <v>0</v>
      </c>
      <c r="AR280" s="67" t="n">
        <f aca="false">IF(AR$226=1,Inputs!$D$55,0)</f>
        <v>0</v>
      </c>
      <c r="AS280" s="67" t="n">
        <f aca="false">IF(AS$226=1,Inputs!$D$55,0)</f>
        <v>0</v>
      </c>
      <c r="AT280" s="67" t="n">
        <f aca="false">IF(AT$226=1,Inputs!$D$55,0)</f>
        <v>0</v>
      </c>
      <c r="AU280" s="67" t="n">
        <f aca="false">IF(AU$226=1,Inputs!$D$55,0)</f>
        <v>0</v>
      </c>
      <c r="AV280" s="67" t="n">
        <f aca="false">IF(AV$226=1,Inputs!$D$55,0)</f>
        <v>0</v>
      </c>
      <c r="AW280" s="67" t="n">
        <f aca="false">IF(AW$226=1,Inputs!$D$55,0)</f>
        <v>0</v>
      </c>
      <c r="AX280" s="67" t="n">
        <f aca="false">IF(AX$226=1,Inputs!$D$55,0)</f>
        <v>0</v>
      </c>
      <c r="AY280" s="67" t="n">
        <f aca="false">IF(AY$226=1,Inputs!$D$55,0)</f>
        <v>0</v>
      </c>
      <c r="AZ280" s="67" t="n">
        <f aca="false">IF(AZ$226=1,Inputs!$D$55,0)</f>
        <v>0</v>
      </c>
      <c r="BA280" s="67" t="n">
        <f aca="false">IF(BA$226=1,Inputs!$D$55,0)</f>
        <v>0</v>
      </c>
      <c r="BB280" s="67" t="n">
        <f aca="false">IF(BB$226=1,Inputs!$D$55,0)</f>
        <v>0</v>
      </c>
      <c r="BC280" s="67" t="n">
        <f aca="false">IF(BC$226=1,Inputs!$D$55,0)</f>
        <v>0</v>
      </c>
      <c r="BD280" s="67" t="n">
        <f aca="false">IF(BD$226=1,Inputs!$D$55,0)</f>
        <v>0</v>
      </c>
      <c r="BE280" s="67" t="n">
        <f aca="false">IF(BE$226=1,Inputs!$D$55,0)</f>
        <v>0</v>
      </c>
      <c r="BF280" s="67" t="n">
        <f aca="false">IF(BF$226=1,Inputs!$D$55,0)</f>
        <v>0</v>
      </c>
      <c r="BG280" s="67" t="n">
        <f aca="false">IF(BG$226=1,Inputs!$D$55,0)</f>
        <v>0</v>
      </c>
      <c r="BH280" s="67" t="n">
        <f aca="false">IF(BH$226=1,Inputs!$D$55,0)</f>
        <v>0</v>
      </c>
      <c r="BI280" s="67" t="n">
        <f aca="false">IF(BI$226=1,Inputs!$D$55,0)</f>
        <v>0</v>
      </c>
      <c r="BJ280" s="67" t="n">
        <f aca="false">IF(BJ$226=1,Inputs!$D$55,0)</f>
        <v>0</v>
      </c>
    </row>
    <row r="281" customFormat="false" ht="15" hidden="false" customHeight="false" outlineLevel="0" collapsed="false">
      <c r="A281" s="6" t="s">
        <v>86</v>
      </c>
      <c r="C281" s="67" t="n">
        <f aca="false">-MIN(C279,Inputs!$D$55/MAX(1,Inputs!$D$57*12))</f>
        <v>-0</v>
      </c>
      <c r="D281" s="67" t="n">
        <f aca="false">-MIN(D279,Inputs!$D$55/MAX(1,Inputs!$D$57*12))</f>
        <v>-3333.33333333333</v>
      </c>
      <c r="E281" s="67" t="n">
        <f aca="false">-MIN(E279,Inputs!$D$55/MAX(1,Inputs!$D$57*12))</f>
        <v>-3333.33333333333</v>
      </c>
      <c r="F281" s="67" t="n">
        <f aca="false">-MIN(F279,Inputs!$D$55/MAX(1,Inputs!$D$57*12))</f>
        <v>-3333.33333333333</v>
      </c>
      <c r="G281" s="67" t="n">
        <f aca="false">-MIN(G279,Inputs!$D$55/MAX(1,Inputs!$D$57*12))</f>
        <v>-3333.33333333333</v>
      </c>
      <c r="H281" s="67" t="n">
        <f aca="false">-MIN(H279,Inputs!$D$55/MAX(1,Inputs!$D$57*12))</f>
        <v>-3333.33333333333</v>
      </c>
      <c r="I281" s="67" t="n">
        <f aca="false">-MIN(I279,Inputs!$D$55/MAX(1,Inputs!$D$57*12))</f>
        <v>-3333.33333333333</v>
      </c>
      <c r="J281" s="67" t="n">
        <f aca="false">-MIN(J279,Inputs!$D$55/MAX(1,Inputs!$D$57*12))</f>
        <v>-3333.33333333333</v>
      </c>
      <c r="K281" s="67" t="n">
        <f aca="false">-MIN(K279,Inputs!$D$55/MAX(1,Inputs!$D$57*12))</f>
        <v>-3333.33333333333</v>
      </c>
      <c r="L281" s="67" t="n">
        <f aca="false">-MIN(L279,Inputs!$D$55/MAX(1,Inputs!$D$57*12))</f>
        <v>-3333.33333333333</v>
      </c>
      <c r="M281" s="67" t="n">
        <f aca="false">-MIN(M279,Inputs!$D$55/MAX(1,Inputs!$D$57*12))</f>
        <v>-3333.33333333333</v>
      </c>
      <c r="N281" s="67" t="n">
        <f aca="false">-MIN(N279,Inputs!$D$55/MAX(1,Inputs!$D$57*12))</f>
        <v>-3333.33333333333</v>
      </c>
      <c r="O281" s="67" t="n">
        <f aca="false">-MIN(O279,Inputs!$D$55/MAX(1,Inputs!$D$57*12))</f>
        <v>-3333.33333333333</v>
      </c>
      <c r="P281" s="67" t="n">
        <f aca="false">-MIN(P279,Inputs!$D$55/MAX(1,Inputs!$D$57*12))</f>
        <v>-3333.33333333333</v>
      </c>
      <c r="Q281" s="67" t="n">
        <f aca="false">-MIN(Q279,Inputs!$D$55/MAX(1,Inputs!$D$57*12))</f>
        <v>-3333.33333333333</v>
      </c>
      <c r="R281" s="67" t="n">
        <f aca="false">-MIN(R279,Inputs!$D$55/MAX(1,Inputs!$D$57*12))</f>
        <v>-3333.33333333333</v>
      </c>
      <c r="S281" s="67" t="n">
        <f aca="false">-MIN(S279,Inputs!$D$55/MAX(1,Inputs!$D$57*12))</f>
        <v>-3333.33333333333</v>
      </c>
      <c r="T281" s="67" t="n">
        <f aca="false">-MIN(T279,Inputs!$D$55/MAX(1,Inputs!$D$57*12))</f>
        <v>-3333.33333333333</v>
      </c>
      <c r="U281" s="67" t="n">
        <f aca="false">-MIN(U279,Inputs!$D$55/MAX(1,Inputs!$D$57*12))</f>
        <v>-3333.33333333333</v>
      </c>
      <c r="V281" s="67" t="n">
        <f aca="false">-MIN(V279,Inputs!$D$55/MAX(1,Inputs!$D$57*12))</f>
        <v>-3333.33333333333</v>
      </c>
      <c r="W281" s="67" t="n">
        <f aca="false">-MIN(W279,Inputs!$D$55/MAX(1,Inputs!$D$57*12))</f>
        <v>-3333.33333333333</v>
      </c>
      <c r="X281" s="67" t="n">
        <f aca="false">-MIN(X279,Inputs!$D$55/MAX(1,Inputs!$D$57*12))</f>
        <v>-3333.33333333333</v>
      </c>
      <c r="Y281" s="67" t="n">
        <f aca="false">-MIN(Y279,Inputs!$D$55/MAX(1,Inputs!$D$57*12))</f>
        <v>-3333.33333333333</v>
      </c>
      <c r="Z281" s="67" t="n">
        <f aca="false">-MIN(Z279,Inputs!$D$55/MAX(1,Inputs!$D$57*12))</f>
        <v>-3333.33333333333</v>
      </c>
      <c r="AA281" s="67" t="n">
        <f aca="false">-MIN(AA279,Inputs!$D$55/MAX(1,Inputs!$D$57*12))</f>
        <v>-3333.33333333333</v>
      </c>
      <c r="AB281" s="67" t="n">
        <f aca="false">-MIN(AB279,Inputs!$D$55/MAX(1,Inputs!$D$57*12))</f>
        <v>-3333.33333333333</v>
      </c>
      <c r="AC281" s="67" t="n">
        <f aca="false">-MIN(AC279,Inputs!$D$55/MAX(1,Inputs!$D$57*12))</f>
        <v>-3333.33333333333</v>
      </c>
      <c r="AD281" s="67" t="n">
        <f aca="false">-MIN(AD279,Inputs!$D$55/MAX(1,Inputs!$D$57*12))</f>
        <v>-3333.33333333333</v>
      </c>
      <c r="AE281" s="67" t="n">
        <f aca="false">-MIN(AE279,Inputs!$D$55/MAX(1,Inputs!$D$57*12))</f>
        <v>-3333.33333333333</v>
      </c>
      <c r="AF281" s="67" t="n">
        <f aca="false">-MIN(AF279,Inputs!$D$55/MAX(1,Inputs!$D$57*12))</f>
        <v>-3333.33333333333</v>
      </c>
      <c r="AG281" s="67" t="n">
        <f aca="false">-MIN(AG279,Inputs!$D$55/MAX(1,Inputs!$D$57*12))</f>
        <v>-3333.33333333333</v>
      </c>
      <c r="AH281" s="67" t="n">
        <f aca="false">-MIN(AH279,Inputs!$D$55/MAX(1,Inputs!$D$57*12))</f>
        <v>-3333.33333333333</v>
      </c>
      <c r="AI281" s="67" t="n">
        <f aca="false">-MIN(AI279,Inputs!$D$55/MAX(1,Inputs!$D$57*12))</f>
        <v>-3333.33333333333</v>
      </c>
      <c r="AJ281" s="67" t="n">
        <f aca="false">-MIN(AJ279,Inputs!$D$55/MAX(1,Inputs!$D$57*12))</f>
        <v>-3333.33333333333</v>
      </c>
      <c r="AK281" s="67" t="n">
        <f aca="false">-MIN(AK279,Inputs!$D$55/MAX(1,Inputs!$D$57*12))</f>
        <v>-3333.33333333333</v>
      </c>
      <c r="AL281" s="67" t="n">
        <f aca="false">-MIN(AL279,Inputs!$D$55/MAX(1,Inputs!$D$57*12))</f>
        <v>-3333.33333333333</v>
      </c>
      <c r="AM281" s="67" t="n">
        <f aca="false">-MIN(AM279,Inputs!$D$55/MAX(1,Inputs!$D$57*12))</f>
        <v>-3333.33333333333</v>
      </c>
      <c r="AN281" s="67" t="n">
        <f aca="false">-MIN(AN279,Inputs!$D$55/MAX(1,Inputs!$D$57*12))</f>
        <v>-3333.33333333333</v>
      </c>
      <c r="AO281" s="67" t="n">
        <f aca="false">-MIN(AO279,Inputs!$D$55/MAX(1,Inputs!$D$57*12))</f>
        <v>-3333.33333333333</v>
      </c>
      <c r="AP281" s="67" t="n">
        <f aca="false">-MIN(AP279,Inputs!$D$55/MAX(1,Inputs!$D$57*12))</f>
        <v>-3333.33333333333</v>
      </c>
      <c r="AQ281" s="67" t="n">
        <f aca="false">-MIN(AQ279,Inputs!$D$55/MAX(1,Inputs!$D$57*12))</f>
        <v>-3333.33333333333</v>
      </c>
      <c r="AR281" s="67" t="n">
        <f aca="false">-MIN(AR279,Inputs!$D$55/MAX(1,Inputs!$D$57*12))</f>
        <v>-3333.33333333333</v>
      </c>
      <c r="AS281" s="67" t="n">
        <f aca="false">-MIN(AS279,Inputs!$D$55/MAX(1,Inputs!$D$57*12))</f>
        <v>-3333.33333333333</v>
      </c>
      <c r="AT281" s="67" t="n">
        <f aca="false">-MIN(AT279,Inputs!$D$55/MAX(1,Inputs!$D$57*12))</f>
        <v>-3333.33333333333</v>
      </c>
      <c r="AU281" s="67" t="n">
        <f aca="false">-MIN(AU279,Inputs!$D$55/MAX(1,Inputs!$D$57*12))</f>
        <v>-3333.33333333333</v>
      </c>
      <c r="AV281" s="67" t="n">
        <f aca="false">-MIN(AV279,Inputs!$D$55/MAX(1,Inputs!$D$57*12))</f>
        <v>-3333.33333333333</v>
      </c>
      <c r="AW281" s="67" t="n">
        <f aca="false">-MIN(AW279,Inputs!$D$55/MAX(1,Inputs!$D$57*12))</f>
        <v>-3333.33333333333</v>
      </c>
      <c r="AX281" s="67" t="n">
        <f aca="false">-MIN(AX279,Inputs!$D$55/MAX(1,Inputs!$D$57*12))</f>
        <v>-3333.33333333333</v>
      </c>
      <c r="AY281" s="67" t="n">
        <f aca="false">-MIN(AY279,Inputs!$D$55/MAX(1,Inputs!$D$57*12))</f>
        <v>-3333.33333333333</v>
      </c>
      <c r="AZ281" s="67" t="n">
        <f aca="false">-MIN(AZ279,Inputs!$D$55/MAX(1,Inputs!$D$57*12))</f>
        <v>-3333.33333333333</v>
      </c>
      <c r="BA281" s="67" t="n">
        <f aca="false">-MIN(BA279,Inputs!$D$55/MAX(1,Inputs!$D$57*12))</f>
        <v>-3333.33333333333</v>
      </c>
      <c r="BB281" s="67" t="n">
        <f aca="false">-MIN(BB279,Inputs!$D$55/MAX(1,Inputs!$D$57*12))</f>
        <v>-3333.33333333333</v>
      </c>
      <c r="BC281" s="67" t="n">
        <f aca="false">-MIN(BC279,Inputs!$D$55/MAX(1,Inputs!$D$57*12))</f>
        <v>-3333.33333333333</v>
      </c>
      <c r="BD281" s="67" t="n">
        <f aca="false">-MIN(BD279,Inputs!$D$55/MAX(1,Inputs!$D$57*12))</f>
        <v>-3333.33333333333</v>
      </c>
      <c r="BE281" s="67" t="n">
        <f aca="false">-MIN(BE279,Inputs!$D$55/MAX(1,Inputs!$D$57*12))</f>
        <v>-3333.33333333333</v>
      </c>
      <c r="BF281" s="67" t="n">
        <f aca="false">-MIN(BF279,Inputs!$D$55/MAX(1,Inputs!$D$57*12))</f>
        <v>-3333.33333333333</v>
      </c>
      <c r="BG281" s="67" t="n">
        <f aca="false">-MIN(BG279,Inputs!$D$55/MAX(1,Inputs!$D$57*12))</f>
        <v>-3333.33333333333</v>
      </c>
      <c r="BH281" s="67" t="n">
        <f aca="false">-MIN(BH279,Inputs!$D$55/MAX(1,Inputs!$D$57*12))</f>
        <v>-3333.33333333333</v>
      </c>
      <c r="BI281" s="67" t="n">
        <f aca="false">-MIN(BI279,Inputs!$D$55/MAX(1,Inputs!$D$57*12))</f>
        <v>-3333.33333333333</v>
      </c>
      <c r="BJ281" s="67" t="n">
        <f aca="false">-MIN(BJ279,Inputs!$D$55/MAX(1,Inputs!$D$57*12))</f>
        <v>-3333.33333333333</v>
      </c>
    </row>
    <row r="282" customFormat="false" ht="15" hidden="false" customHeight="false" outlineLevel="0" collapsed="false">
      <c r="A282" s="4" t="s">
        <v>421</v>
      </c>
      <c r="C282" s="73" t="n">
        <f aca="false">C279+C280+C281</f>
        <v>200000</v>
      </c>
      <c r="D282" s="73" t="n">
        <f aca="false">D279+D280+D281</f>
        <v>196666.666666667</v>
      </c>
      <c r="E282" s="73" t="n">
        <f aca="false">E279+E280+E281</f>
        <v>193333.333333333</v>
      </c>
      <c r="F282" s="73" t="n">
        <f aca="false">F279+F280+F281</f>
        <v>190000</v>
      </c>
      <c r="G282" s="73" t="n">
        <f aca="false">G279+G280+G281</f>
        <v>186666.666666667</v>
      </c>
      <c r="H282" s="73" t="n">
        <f aca="false">H279+H280+H281</f>
        <v>183333.333333333</v>
      </c>
      <c r="I282" s="73" t="n">
        <f aca="false">I279+I280+I281</f>
        <v>180000</v>
      </c>
      <c r="J282" s="73" t="n">
        <f aca="false">J279+J280+J281</f>
        <v>176666.666666667</v>
      </c>
      <c r="K282" s="73" t="n">
        <f aca="false">K279+K280+K281</f>
        <v>173333.333333333</v>
      </c>
      <c r="L282" s="73" t="n">
        <f aca="false">L279+L280+L281</f>
        <v>170000</v>
      </c>
      <c r="M282" s="73" t="n">
        <f aca="false">M279+M280+M281</f>
        <v>166666.666666667</v>
      </c>
      <c r="N282" s="73" t="n">
        <f aca="false">N279+N280+N281</f>
        <v>163333.333333333</v>
      </c>
      <c r="O282" s="73" t="n">
        <f aca="false">O279+O280+O281</f>
        <v>160000</v>
      </c>
      <c r="P282" s="73" t="n">
        <f aca="false">P279+P280+P281</f>
        <v>156666.666666667</v>
      </c>
      <c r="Q282" s="73" t="n">
        <f aca="false">Q279+Q280+Q281</f>
        <v>153333.333333333</v>
      </c>
      <c r="R282" s="73" t="n">
        <f aca="false">R279+R280+R281</f>
        <v>150000</v>
      </c>
      <c r="S282" s="73" t="n">
        <f aca="false">S279+S280+S281</f>
        <v>146666.666666667</v>
      </c>
      <c r="T282" s="73" t="n">
        <f aca="false">T279+T280+T281</f>
        <v>143333.333333333</v>
      </c>
      <c r="U282" s="73" t="n">
        <f aca="false">U279+U280+U281</f>
        <v>140000</v>
      </c>
      <c r="V282" s="73" t="n">
        <f aca="false">V279+V280+V281</f>
        <v>136666.666666666</v>
      </c>
      <c r="W282" s="73" t="n">
        <f aca="false">W279+W280+W281</f>
        <v>133333.333333333</v>
      </c>
      <c r="X282" s="73" t="n">
        <f aca="false">X279+X280+X281</f>
        <v>130000</v>
      </c>
      <c r="Y282" s="73" t="n">
        <f aca="false">Y279+Y280+Y281</f>
        <v>126666.666666666</v>
      </c>
      <c r="Z282" s="73" t="n">
        <f aca="false">Z279+Z280+Z281</f>
        <v>123333.333333333</v>
      </c>
      <c r="AA282" s="73" t="n">
        <f aca="false">AA279+AA280+AA281</f>
        <v>120000</v>
      </c>
      <c r="AB282" s="73" t="n">
        <f aca="false">AB279+AB280+AB281</f>
        <v>116666.666666667</v>
      </c>
      <c r="AC282" s="73" t="n">
        <f aca="false">AC279+AC280+AC281</f>
        <v>113333.333333333</v>
      </c>
      <c r="AD282" s="73" t="n">
        <f aca="false">AD279+AD280+AD281</f>
        <v>110000</v>
      </c>
      <c r="AE282" s="73" t="n">
        <f aca="false">AE279+AE280+AE281</f>
        <v>106666.666666667</v>
      </c>
      <c r="AF282" s="73" t="n">
        <f aca="false">AF279+AF280+AF281</f>
        <v>103333.333333333</v>
      </c>
      <c r="AG282" s="73" t="n">
        <f aca="false">AG279+AG280+AG281</f>
        <v>99999.9999999999</v>
      </c>
      <c r="AH282" s="73" t="n">
        <f aca="false">AH279+AH280+AH281</f>
        <v>96666.6666666665</v>
      </c>
      <c r="AI282" s="73" t="n">
        <f aca="false">AI279+AI280+AI281</f>
        <v>93333.3333333332</v>
      </c>
      <c r="AJ282" s="73" t="n">
        <f aca="false">AJ279+AJ280+AJ281</f>
        <v>89999.9999999999</v>
      </c>
      <c r="AK282" s="73" t="n">
        <f aca="false">AK279+AK280+AK281</f>
        <v>86666.6666666665</v>
      </c>
      <c r="AL282" s="73" t="n">
        <f aca="false">AL279+AL280+AL281</f>
        <v>83333.3333333332</v>
      </c>
      <c r="AM282" s="73" t="n">
        <f aca="false">AM279+AM280+AM281</f>
        <v>79999.9999999999</v>
      </c>
      <c r="AN282" s="73" t="n">
        <f aca="false">AN279+AN280+AN281</f>
        <v>76666.6666666666</v>
      </c>
      <c r="AO282" s="73" t="n">
        <f aca="false">AO279+AO280+AO281</f>
        <v>73333.3333333332</v>
      </c>
      <c r="AP282" s="73" t="n">
        <f aca="false">AP279+AP280+AP281</f>
        <v>69999.9999999999</v>
      </c>
      <c r="AQ282" s="73" t="n">
        <f aca="false">AQ279+AQ280+AQ281</f>
        <v>66666.6666666666</v>
      </c>
      <c r="AR282" s="73" t="n">
        <f aca="false">AR279+AR280+AR281</f>
        <v>63333.3333333332</v>
      </c>
      <c r="AS282" s="73" t="n">
        <f aca="false">AS279+AS280+AS281</f>
        <v>59999.9999999999</v>
      </c>
      <c r="AT282" s="73" t="n">
        <f aca="false">AT279+AT280+AT281</f>
        <v>56666.6666666666</v>
      </c>
      <c r="AU282" s="73" t="n">
        <f aca="false">AU279+AU280+AU281</f>
        <v>53333.3333333332</v>
      </c>
      <c r="AV282" s="73" t="n">
        <f aca="false">AV279+AV280+AV281</f>
        <v>49999.9999999999</v>
      </c>
      <c r="AW282" s="73" t="n">
        <f aca="false">AW279+AW280+AW281</f>
        <v>46666.6666666666</v>
      </c>
      <c r="AX282" s="73" t="n">
        <f aca="false">AX279+AX280+AX281</f>
        <v>43333.3333333332</v>
      </c>
      <c r="AY282" s="73" t="n">
        <f aca="false">AY279+AY280+AY281</f>
        <v>39999.9999999999</v>
      </c>
      <c r="AZ282" s="73" t="n">
        <f aca="false">AZ279+AZ280+AZ281</f>
        <v>36666.6666666666</v>
      </c>
      <c r="BA282" s="73" t="n">
        <f aca="false">BA279+BA280+BA281</f>
        <v>33333.3333333332</v>
      </c>
      <c r="BB282" s="73" t="n">
        <f aca="false">BB279+BB280+BB281</f>
        <v>29999.9999999999</v>
      </c>
      <c r="BC282" s="73" t="n">
        <f aca="false">BC279+BC280+BC281</f>
        <v>26666.6666666665</v>
      </c>
      <c r="BD282" s="73" t="n">
        <f aca="false">BD279+BD280+BD281</f>
        <v>23333.3333333332</v>
      </c>
      <c r="BE282" s="73" t="n">
        <f aca="false">BE279+BE280+BE281</f>
        <v>19999.9999999999</v>
      </c>
      <c r="BF282" s="73" t="n">
        <f aca="false">BF279+BF280+BF281</f>
        <v>16666.6666666666</v>
      </c>
      <c r="BG282" s="73" t="n">
        <f aca="false">BG279+BG280+BG281</f>
        <v>13333.3333333332</v>
      </c>
      <c r="BH282" s="73" t="n">
        <f aca="false">BH279+BH280+BH281</f>
        <v>9999.99999999988</v>
      </c>
      <c r="BI282" s="73" t="n">
        <f aca="false">BI279+BI280+BI281</f>
        <v>6666.66666666655</v>
      </c>
      <c r="BJ282" s="73" t="n">
        <f aca="false">BJ279+BJ280+BJ281</f>
        <v>3333.33333333322</v>
      </c>
    </row>
    <row r="284" customFormat="false" ht="15.75" hidden="false" customHeight="true" outlineLevel="0" collapsed="false">
      <c r="A284" s="7" t="s">
        <v>310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customFormat="false" ht="15" hidden="false" customHeight="false" outlineLevel="0" collapsed="false">
      <c r="A285" s="6" t="s">
        <v>90</v>
      </c>
      <c r="C285" s="67" t="n">
        <f aca="false">C244*Inputs!$D$60/30</f>
        <v>723901.5</v>
      </c>
      <c r="D285" s="67" t="n">
        <f aca="false">D244*Inputs!$D$60/30</f>
        <v>723901.5</v>
      </c>
      <c r="E285" s="67" t="n">
        <f aca="false">E244*Inputs!$D$60/30</f>
        <v>723901.5</v>
      </c>
      <c r="F285" s="67" t="n">
        <f aca="false">F244*Inputs!$D$60/30</f>
        <v>723901.5</v>
      </c>
      <c r="G285" s="67" t="n">
        <f aca="false">G244*Inputs!$D$60/30</f>
        <v>723901.5</v>
      </c>
      <c r="H285" s="67" t="n">
        <f aca="false">H244*Inputs!$D$60/30</f>
        <v>723901.5</v>
      </c>
      <c r="I285" s="67" t="n">
        <f aca="false">I244*Inputs!$D$60/30</f>
        <v>723901.5</v>
      </c>
      <c r="J285" s="67" t="n">
        <f aca="false">J244*Inputs!$D$60/30</f>
        <v>723901.5</v>
      </c>
      <c r="K285" s="67" t="n">
        <f aca="false">K244*Inputs!$D$60/30</f>
        <v>723901.5</v>
      </c>
      <c r="L285" s="67" t="n">
        <f aca="false">L244*Inputs!$D$60/30</f>
        <v>723901.5</v>
      </c>
      <c r="M285" s="67" t="n">
        <f aca="false">M244*Inputs!$D$60/30</f>
        <v>723901.5</v>
      </c>
      <c r="N285" s="67" t="n">
        <f aca="false">N244*Inputs!$D$60/30</f>
        <v>723901.5</v>
      </c>
      <c r="O285" s="67" t="n">
        <f aca="false">O244*Inputs!$D$60/30</f>
        <v>957643.596</v>
      </c>
      <c r="P285" s="67" t="n">
        <f aca="false">P244*Inputs!$D$60/30</f>
        <v>957643.596</v>
      </c>
      <c r="Q285" s="67" t="n">
        <f aca="false">Q244*Inputs!$D$60/30</f>
        <v>957643.596</v>
      </c>
      <c r="R285" s="67" t="n">
        <f aca="false">R244*Inputs!$D$60/30</f>
        <v>957643.596</v>
      </c>
      <c r="S285" s="67" t="n">
        <f aca="false">S244*Inputs!$D$60/30</f>
        <v>957643.596</v>
      </c>
      <c r="T285" s="67" t="n">
        <f aca="false">T244*Inputs!$D$60/30</f>
        <v>957643.596</v>
      </c>
      <c r="U285" s="67" t="n">
        <f aca="false">U244*Inputs!$D$60/30</f>
        <v>957643.596</v>
      </c>
      <c r="V285" s="67" t="n">
        <f aca="false">V244*Inputs!$D$60/30</f>
        <v>957643.596</v>
      </c>
      <c r="W285" s="67" t="n">
        <f aca="false">W244*Inputs!$D$60/30</f>
        <v>957643.596</v>
      </c>
      <c r="X285" s="67" t="n">
        <f aca="false">X244*Inputs!$D$60/30</f>
        <v>957643.596</v>
      </c>
      <c r="Y285" s="67" t="n">
        <f aca="false">Y244*Inputs!$D$60/30</f>
        <v>957643.596</v>
      </c>
      <c r="Z285" s="67" t="n">
        <f aca="false">Z244*Inputs!$D$60/30</f>
        <v>957643.596</v>
      </c>
      <c r="AA285" s="67" t="n">
        <f aca="false">AA244*Inputs!$D$60/30</f>
        <v>1268437.244256</v>
      </c>
      <c r="AB285" s="67" t="n">
        <f aca="false">AB244*Inputs!$D$60/30</f>
        <v>1268437.244256</v>
      </c>
      <c r="AC285" s="67" t="n">
        <f aca="false">AC244*Inputs!$D$60/30</f>
        <v>1268437.244256</v>
      </c>
      <c r="AD285" s="67" t="n">
        <f aca="false">AD244*Inputs!$D$60/30</f>
        <v>1268437.244256</v>
      </c>
      <c r="AE285" s="67" t="n">
        <f aca="false">AE244*Inputs!$D$60/30</f>
        <v>1268437.244256</v>
      </c>
      <c r="AF285" s="67" t="n">
        <f aca="false">AF244*Inputs!$D$60/30</f>
        <v>1268437.244256</v>
      </c>
      <c r="AG285" s="67" t="n">
        <f aca="false">AG244*Inputs!$D$60/30</f>
        <v>1268437.244256</v>
      </c>
      <c r="AH285" s="67" t="n">
        <f aca="false">AH244*Inputs!$D$60/30</f>
        <v>1268437.244256</v>
      </c>
      <c r="AI285" s="67" t="n">
        <f aca="false">AI244*Inputs!$D$60/30</f>
        <v>1268437.244256</v>
      </c>
      <c r="AJ285" s="67" t="n">
        <f aca="false">AJ244*Inputs!$D$60/30</f>
        <v>1268437.244256</v>
      </c>
      <c r="AK285" s="67" t="n">
        <f aca="false">AK244*Inputs!$D$60/30</f>
        <v>1268437.244256</v>
      </c>
      <c r="AL285" s="67" t="n">
        <f aca="false">AL244*Inputs!$D$60/30</f>
        <v>1268437.244256</v>
      </c>
      <c r="AM285" s="67" t="n">
        <f aca="false">AM244*Inputs!$D$60/30</f>
        <v>1682108.62610918</v>
      </c>
      <c r="AN285" s="67" t="n">
        <f aca="false">AN244*Inputs!$D$60/30</f>
        <v>1682108.62610918</v>
      </c>
      <c r="AO285" s="67" t="n">
        <f aca="false">AO244*Inputs!$D$60/30</f>
        <v>1682108.62610918</v>
      </c>
      <c r="AP285" s="67" t="n">
        <f aca="false">AP244*Inputs!$D$60/30</f>
        <v>1682108.62610918</v>
      </c>
      <c r="AQ285" s="67" t="n">
        <f aca="false">AQ244*Inputs!$D$60/30</f>
        <v>1682108.62610918</v>
      </c>
      <c r="AR285" s="67" t="n">
        <f aca="false">AR244*Inputs!$D$60/30</f>
        <v>1682108.62610918</v>
      </c>
      <c r="AS285" s="67" t="n">
        <f aca="false">AS244*Inputs!$D$60/30</f>
        <v>1682108.62610918</v>
      </c>
      <c r="AT285" s="67" t="n">
        <f aca="false">AT244*Inputs!$D$60/30</f>
        <v>1682108.62610918</v>
      </c>
      <c r="AU285" s="67" t="n">
        <f aca="false">AU244*Inputs!$D$60/30</f>
        <v>1682108.62610918</v>
      </c>
      <c r="AV285" s="67" t="n">
        <f aca="false">AV244*Inputs!$D$60/30</f>
        <v>1682108.62610918</v>
      </c>
      <c r="AW285" s="67" t="n">
        <f aca="false">AW244*Inputs!$D$60/30</f>
        <v>1682108.62610918</v>
      </c>
      <c r="AX285" s="67" t="n">
        <f aca="false">AX244*Inputs!$D$60/30</f>
        <v>1682108.62610918</v>
      </c>
      <c r="AY285" s="67" t="n">
        <f aca="false">AY244*Inputs!$D$60/30</f>
        <v>2233253.33939971</v>
      </c>
      <c r="AZ285" s="67" t="n">
        <f aca="false">AZ244*Inputs!$D$60/30</f>
        <v>2233253.33939971</v>
      </c>
      <c r="BA285" s="67" t="n">
        <f aca="false">BA244*Inputs!$D$60/30</f>
        <v>2233253.33939971</v>
      </c>
      <c r="BB285" s="67" t="n">
        <f aca="false">BB244*Inputs!$D$60/30</f>
        <v>2233253.33939971</v>
      </c>
      <c r="BC285" s="67" t="n">
        <f aca="false">BC244*Inputs!$D$60/30</f>
        <v>2233253.33939971</v>
      </c>
      <c r="BD285" s="67" t="n">
        <f aca="false">BD244*Inputs!$D$60/30</f>
        <v>2233253.33939971</v>
      </c>
      <c r="BE285" s="67" t="n">
        <f aca="false">BE244*Inputs!$D$60/30</f>
        <v>2233253.33939971</v>
      </c>
      <c r="BF285" s="67" t="n">
        <f aca="false">BF244*Inputs!$D$60/30</f>
        <v>2233253.33939971</v>
      </c>
      <c r="BG285" s="67" t="n">
        <f aca="false">BG244*Inputs!$D$60/30</f>
        <v>2233253.33939971</v>
      </c>
      <c r="BH285" s="67" t="n">
        <f aca="false">BH244*Inputs!$D$60/30</f>
        <v>2233253.33939971</v>
      </c>
      <c r="BI285" s="67" t="n">
        <f aca="false">BI244*Inputs!$D$60/30</f>
        <v>2233253.33939971</v>
      </c>
      <c r="BJ285" s="67" t="n">
        <f aca="false">BJ244*Inputs!$D$60/30</f>
        <v>2233253.33939971</v>
      </c>
    </row>
    <row r="286" customFormat="false" ht="15" hidden="false" customHeight="false" outlineLevel="0" collapsed="false">
      <c r="A286" s="6" t="s">
        <v>91</v>
      </c>
      <c r="C286" s="67" t="n">
        <f aca="false">-C250*Inputs!$D$61/30</f>
        <v>0</v>
      </c>
      <c r="D286" s="67" t="n">
        <f aca="false">-D250*Inputs!$D$61/30</f>
        <v>0</v>
      </c>
      <c r="E286" s="67" t="n">
        <f aca="false">-E250*Inputs!$D$61/30</f>
        <v>0</v>
      </c>
      <c r="F286" s="67" t="n">
        <f aca="false">-F250*Inputs!$D$61/30</f>
        <v>0</v>
      </c>
      <c r="G286" s="67" t="n">
        <f aca="false">-G250*Inputs!$D$61/30</f>
        <v>0</v>
      </c>
      <c r="H286" s="67" t="n">
        <f aca="false">-H250*Inputs!$D$61/30</f>
        <v>0</v>
      </c>
      <c r="I286" s="67" t="n">
        <f aca="false">-I250*Inputs!$D$61/30</f>
        <v>0</v>
      </c>
      <c r="J286" s="67" t="n">
        <f aca="false">-J250*Inputs!$D$61/30</f>
        <v>0</v>
      </c>
      <c r="K286" s="67" t="n">
        <f aca="false">-K250*Inputs!$D$61/30</f>
        <v>0</v>
      </c>
      <c r="L286" s="67" t="n">
        <f aca="false">-L250*Inputs!$D$61/30</f>
        <v>0</v>
      </c>
      <c r="M286" s="67" t="n">
        <f aca="false">-M250*Inputs!$D$61/30</f>
        <v>0</v>
      </c>
      <c r="N286" s="67" t="n">
        <f aca="false">-N250*Inputs!$D$61/30</f>
        <v>0</v>
      </c>
      <c r="O286" s="67" t="n">
        <f aca="false">-O250*Inputs!$D$61/30</f>
        <v>0</v>
      </c>
      <c r="P286" s="67" t="n">
        <f aca="false">-P250*Inputs!$D$61/30</f>
        <v>0</v>
      </c>
      <c r="Q286" s="67" t="n">
        <f aca="false">-Q250*Inputs!$D$61/30</f>
        <v>0</v>
      </c>
      <c r="R286" s="67" t="n">
        <f aca="false">-R250*Inputs!$D$61/30</f>
        <v>0</v>
      </c>
      <c r="S286" s="67" t="n">
        <f aca="false">-S250*Inputs!$D$61/30</f>
        <v>0</v>
      </c>
      <c r="T286" s="67" t="n">
        <f aca="false">-T250*Inputs!$D$61/30</f>
        <v>0</v>
      </c>
      <c r="U286" s="67" t="n">
        <f aca="false">-U250*Inputs!$D$61/30</f>
        <v>0</v>
      </c>
      <c r="V286" s="67" t="n">
        <f aca="false">-V250*Inputs!$D$61/30</f>
        <v>0</v>
      </c>
      <c r="W286" s="67" t="n">
        <f aca="false">-W250*Inputs!$D$61/30</f>
        <v>0</v>
      </c>
      <c r="X286" s="67" t="n">
        <f aca="false">-X250*Inputs!$D$61/30</f>
        <v>0</v>
      </c>
      <c r="Y286" s="67" t="n">
        <f aca="false">-Y250*Inputs!$D$61/30</f>
        <v>0</v>
      </c>
      <c r="Z286" s="67" t="n">
        <f aca="false">-Z250*Inputs!$D$61/30</f>
        <v>0</v>
      </c>
      <c r="AA286" s="67" t="n">
        <f aca="false">-AA250*Inputs!$D$61/30</f>
        <v>0</v>
      </c>
      <c r="AB286" s="67" t="n">
        <f aca="false">-AB250*Inputs!$D$61/30</f>
        <v>0</v>
      </c>
      <c r="AC286" s="67" t="n">
        <f aca="false">-AC250*Inputs!$D$61/30</f>
        <v>0</v>
      </c>
      <c r="AD286" s="67" t="n">
        <f aca="false">-AD250*Inputs!$D$61/30</f>
        <v>0</v>
      </c>
      <c r="AE286" s="67" t="n">
        <f aca="false">-AE250*Inputs!$D$61/30</f>
        <v>0</v>
      </c>
      <c r="AF286" s="67" t="n">
        <f aca="false">-AF250*Inputs!$D$61/30</f>
        <v>0</v>
      </c>
      <c r="AG286" s="67" t="n">
        <f aca="false">-AG250*Inputs!$D$61/30</f>
        <v>0</v>
      </c>
      <c r="AH286" s="67" t="n">
        <f aca="false">-AH250*Inputs!$D$61/30</f>
        <v>0</v>
      </c>
      <c r="AI286" s="67" t="n">
        <f aca="false">-AI250*Inputs!$D$61/30</f>
        <v>0</v>
      </c>
      <c r="AJ286" s="67" t="n">
        <f aca="false">-AJ250*Inputs!$D$61/30</f>
        <v>0</v>
      </c>
      <c r="AK286" s="67" t="n">
        <f aca="false">-AK250*Inputs!$D$61/30</f>
        <v>0</v>
      </c>
      <c r="AL286" s="67" t="n">
        <f aca="false">-AL250*Inputs!$D$61/30</f>
        <v>0</v>
      </c>
      <c r="AM286" s="67" t="n">
        <f aca="false">-AM250*Inputs!$D$61/30</f>
        <v>0</v>
      </c>
      <c r="AN286" s="67" t="n">
        <f aca="false">-AN250*Inputs!$D$61/30</f>
        <v>0</v>
      </c>
      <c r="AO286" s="67" t="n">
        <f aca="false">-AO250*Inputs!$D$61/30</f>
        <v>0</v>
      </c>
      <c r="AP286" s="67" t="n">
        <f aca="false">-AP250*Inputs!$D$61/30</f>
        <v>0</v>
      </c>
      <c r="AQ286" s="67" t="n">
        <f aca="false">-AQ250*Inputs!$D$61/30</f>
        <v>0</v>
      </c>
      <c r="AR286" s="67" t="n">
        <f aca="false">-AR250*Inputs!$D$61/30</f>
        <v>0</v>
      </c>
      <c r="AS286" s="67" t="n">
        <f aca="false">-AS250*Inputs!$D$61/30</f>
        <v>0</v>
      </c>
      <c r="AT286" s="67" t="n">
        <f aca="false">-AT250*Inputs!$D$61/30</f>
        <v>0</v>
      </c>
      <c r="AU286" s="67" t="n">
        <f aca="false">-AU250*Inputs!$D$61/30</f>
        <v>0</v>
      </c>
      <c r="AV286" s="67" t="n">
        <f aca="false">-AV250*Inputs!$D$61/30</f>
        <v>0</v>
      </c>
      <c r="AW286" s="67" t="n">
        <f aca="false">-AW250*Inputs!$D$61/30</f>
        <v>0</v>
      </c>
      <c r="AX286" s="67" t="n">
        <f aca="false">-AX250*Inputs!$D$61/30</f>
        <v>0</v>
      </c>
      <c r="AY286" s="67" t="n">
        <f aca="false">-AY250*Inputs!$D$61/30</f>
        <v>0</v>
      </c>
      <c r="AZ286" s="67" t="n">
        <f aca="false">-AZ250*Inputs!$D$61/30</f>
        <v>0</v>
      </c>
      <c r="BA286" s="67" t="n">
        <f aca="false">-BA250*Inputs!$D$61/30</f>
        <v>0</v>
      </c>
      <c r="BB286" s="67" t="n">
        <f aca="false">-BB250*Inputs!$D$61/30</f>
        <v>0</v>
      </c>
      <c r="BC286" s="67" t="n">
        <f aca="false">-BC250*Inputs!$D$61/30</f>
        <v>0</v>
      </c>
      <c r="BD286" s="67" t="n">
        <f aca="false">-BD250*Inputs!$D$61/30</f>
        <v>0</v>
      </c>
      <c r="BE286" s="67" t="n">
        <f aca="false">-BE250*Inputs!$D$61/30</f>
        <v>0</v>
      </c>
      <c r="BF286" s="67" t="n">
        <f aca="false">-BF250*Inputs!$D$61/30</f>
        <v>0</v>
      </c>
      <c r="BG286" s="67" t="n">
        <f aca="false">-BG250*Inputs!$D$61/30</f>
        <v>0</v>
      </c>
      <c r="BH286" s="67" t="n">
        <f aca="false">-BH250*Inputs!$D$61/30</f>
        <v>0</v>
      </c>
      <c r="BI286" s="67" t="n">
        <f aca="false">-BI250*Inputs!$D$61/30</f>
        <v>0</v>
      </c>
      <c r="BJ286" s="67" t="n">
        <f aca="false">-BJ250*Inputs!$D$61/30</f>
        <v>0</v>
      </c>
    </row>
    <row r="287" customFormat="false" ht="15" hidden="false" customHeight="false" outlineLevel="0" collapsed="false">
      <c r="A287" s="6" t="s">
        <v>94</v>
      </c>
      <c r="C287" s="67" t="n">
        <f aca="false">-C250*Inputs!$D$62/30</f>
        <v>116282.5125</v>
      </c>
      <c r="D287" s="67" t="n">
        <f aca="false">-D250*Inputs!$D$62/30</f>
        <v>116282.5125</v>
      </c>
      <c r="E287" s="67" t="n">
        <f aca="false">-E250*Inputs!$D$62/30</f>
        <v>116282.5125</v>
      </c>
      <c r="F287" s="67" t="n">
        <f aca="false">-F250*Inputs!$D$62/30</f>
        <v>116282.5125</v>
      </c>
      <c r="G287" s="67" t="n">
        <f aca="false">-G250*Inputs!$D$62/30</f>
        <v>116282.5125</v>
      </c>
      <c r="H287" s="67" t="n">
        <f aca="false">-H250*Inputs!$D$62/30</f>
        <v>116282.5125</v>
      </c>
      <c r="I287" s="67" t="n">
        <f aca="false">-I250*Inputs!$D$62/30</f>
        <v>116282.5125</v>
      </c>
      <c r="J287" s="67" t="n">
        <f aca="false">-J250*Inputs!$D$62/30</f>
        <v>116282.5125</v>
      </c>
      <c r="K287" s="67" t="n">
        <f aca="false">-K250*Inputs!$D$62/30</f>
        <v>116282.5125</v>
      </c>
      <c r="L287" s="67" t="n">
        <f aca="false">-L250*Inputs!$D$62/30</f>
        <v>116282.5125</v>
      </c>
      <c r="M287" s="67" t="n">
        <f aca="false">-M250*Inputs!$D$62/30</f>
        <v>116282.5125</v>
      </c>
      <c r="N287" s="67" t="n">
        <f aca="false">-N250*Inputs!$D$62/30</f>
        <v>116282.5125</v>
      </c>
      <c r="O287" s="67" t="n">
        <f aca="false">-O250*Inputs!$D$62/30</f>
        <v>152309.1133</v>
      </c>
      <c r="P287" s="67" t="n">
        <f aca="false">-P250*Inputs!$D$62/30</f>
        <v>152309.1133</v>
      </c>
      <c r="Q287" s="67" t="n">
        <f aca="false">-Q250*Inputs!$D$62/30</f>
        <v>152309.1133</v>
      </c>
      <c r="R287" s="67" t="n">
        <f aca="false">-R250*Inputs!$D$62/30</f>
        <v>152309.1133</v>
      </c>
      <c r="S287" s="67" t="n">
        <f aca="false">-S250*Inputs!$D$62/30</f>
        <v>152309.1133</v>
      </c>
      <c r="T287" s="67" t="n">
        <f aca="false">-T250*Inputs!$D$62/30</f>
        <v>152309.1133</v>
      </c>
      <c r="U287" s="67" t="n">
        <f aca="false">-U250*Inputs!$D$62/30</f>
        <v>152309.1133</v>
      </c>
      <c r="V287" s="67" t="n">
        <f aca="false">-V250*Inputs!$D$62/30</f>
        <v>152309.1133</v>
      </c>
      <c r="W287" s="67" t="n">
        <f aca="false">-W250*Inputs!$D$62/30</f>
        <v>152309.1133</v>
      </c>
      <c r="X287" s="67" t="n">
        <f aca="false">-X250*Inputs!$D$62/30</f>
        <v>152309.1133</v>
      </c>
      <c r="Y287" s="67" t="n">
        <f aca="false">-Y250*Inputs!$D$62/30</f>
        <v>152309.1133</v>
      </c>
      <c r="Z287" s="67" t="n">
        <f aca="false">-Z250*Inputs!$D$62/30</f>
        <v>152309.1133</v>
      </c>
      <c r="AA287" s="67" t="n">
        <f aca="false">-AA250*Inputs!$D$62/30</f>
        <v>199752.6506188</v>
      </c>
      <c r="AB287" s="67" t="n">
        <f aca="false">-AB250*Inputs!$D$62/30</f>
        <v>199752.6506188</v>
      </c>
      <c r="AC287" s="67" t="n">
        <f aca="false">-AC250*Inputs!$D$62/30</f>
        <v>199752.6506188</v>
      </c>
      <c r="AD287" s="67" t="n">
        <f aca="false">-AD250*Inputs!$D$62/30</f>
        <v>199752.6506188</v>
      </c>
      <c r="AE287" s="67" t="n">
        <f aca="false">-AE250*Inputs!$D$62/30</f>
        <v>199752.6506188</v>
      </c>
      <c r="AF287" s="67" t="n">
        <f aca="false">-AF250*Inputs!$D$62/30</f>
        <v>199752.6506188</v>
      </c>
      <c r="AG287" s="67" t="n">
        <f aca="false">-AG250*Inputs!$D$62/30</f>
        <v>199752.6506188</v>
      </c>
      <c r="AH287" s="67" t="n">
        <f aca="false">-AH250*Inputs!$D$62/30</f>
        <v>199752.6506188</v>
      </c>
      <c r="AI287" s="67" t="n">
        <f aca="false">-AI250*Inputs!$D$62/30</f>
        <v>199752.6506188</v>
      </c>
      <c r="AJ287" s="67" t="n">
        <f aca="false">-AJ250*Inputs!$D$62/30</f>
        <v>199752.6506188</v>
      </c>
      <c r="AK287" s="67" t="n">
        <f aca="false">-AK250*Inputs!$D$62/30</f>
        <v>199752.6506188</v>
      </c>
      <c r="AL287" s="67" t="n">
        <f aca="false">-AL250*Inputs!$D$62/30</f>
        <v>199752.6506188</v>
      </c>
      <c r="AM287" s="67" t="n">
        <f aca="false">-AM250*Inputs!$D$62/30</f>
        <v>262297.439462993</v>
      </c>
      <c r="AN287" s="67" t="n">
        <f aca="false">-AN250*Inputs!$D$62/30</f>
        <v>262297.439462993</v>
      </c>
      <c r="AO287" s="67" t="n">
        <f aca="false">-AO250*Inputs!$D$62/30</f>
        <v>262297.439462993</v>
      </c>
      <c r="AP287" s="67" t="n">
        <f aca="false">-AP250*Inputs!$D$62/30</f>
        <v>262297.439462993</v>
      </c>
      <c r="AQ287" s="67" t="n">
        <f aca="false">-AQ250*Inputs!$D$62/30</f>
        <v>262297.439462993</v>
      </c>
      <c r="AR287" s="67" t="n">
        <f aca="false">-AR250*Inputs!$D$62/30</f>
        <v>262297.439462993</v>
      </c>
      <c r="AS287" s="67" t="n">
        <f aca="false">-AS250*Inputs!$D$62/30</f>
        <v>262297.439462993</v>
      </c>
      <c r="AT287" s="67" t="n">
        <f aca="false">-AT250*Inputs!$D$62/30</f>
        <v>262297.439462993</v>
      </c>
      <c r="AU287" s="67" t="n">
        <f aca="false">-AU250*Inputs!$D$62/30</f>
        <v>262297.439462993</v>
      </c>
      <c r="AV287" s="67" t="n">
        <f aca="false">-AV250*Inputs!$D$62/30</f>
        <v>262297.439462993</v>
      </c>
      <c r="AW287" s="67" t="n">
        <f aca="false">-AW250*Inputs!$D$62/30</f>
        <v>262297.439462993</v>
      </c>
      <c r="AX287" s="67" t="n">
        <f aca="false">-AX250*Inputs!$D$62/30</f>
        <v>262297.439462993</v>
      </c>
      <c r="AY287" s="67" t="n">
        <f aca="false">-AY250*Inputs!$D$62/30</f>
        <v>344833.573667168</v>
      </c>
      <c r="AZ287" s="67" t="n">
        <f aca="false">-AZ250*Inputs!$D$62/30</f>
        <v>344833.573667168</v>
      </c>
      <c r="BA287" s="67" t="n">
        <f aca="false">-BA250*Inputs!$D$62/30</f>
        <v>344833.573667168</v>
      </c>
      <c r="BB287" s="67" t="n">
        <f aca="false">-BB250*Inputs!$D$62/30</f>
        <v>344833.573667168</v>
      </c>
      <c r="BC287" s="67" t="n">
        <f aca="false">-BC250*Inputs!$D$62/30</f>
        <v>344833.573667168</v>
      </c>
      <c r="BD287" s="67" t="n">
        <f aca="false">-BD250*Inputs!$D$62/30</f>
        <v>344833.573667168</v>
      </c>
      <c r="BE287" s="67" t="n">
        <f aca="false">-BE250*Inputs!$D$62/30</f>
        <v>344833.573667168</v>
      </c>
      <c r="BF287" s="67" t="n">
        <f aca="false">-BF250*Inputs!$D$62/30</f>
        <v>344833.573667168</v>
      </c>
      <c r="BG287" s="67" t="n">
        <f aca="false">-BG250*Inputs!$D$62/30</f>
        <v>344833.573667168</v>
      </c>
      <c r="BH287" s="67" t="n">
        <f aca="false">-BH250*Inputs!$D$62/30</f>
        <v>344833.573667168</v>
      </c>
      <c r="BI287" s="67" t="n">
        <f aca="false">-BI250*Inputs!$D$62/30</f>
        <v>344833.573667168</v>
      </c>
      <c r="BJ287" s="67" t="n">
        <f aca="false">-BJ250*Inputs!$D$62/30</f>
        <v>344833.573667168</v>
      </c>
    </row>
    <row r="288" customFormat="false" ht="15" hidden="false" customHeight="false" outlineLevel="0" collapsed="false">
      <c r="A288" s="6" t="s">
        <v>333</v>
      </c>
      <c r="C288" s="67" t="n">
        <f aca="false">-C285</f>
        <v>-723901.5</v>
      </c>
      <c r="D288" s="67" t="n">
        <f aca="false">C285-D285</f>
        <v>0</v>
      </c>
      <c r="E288" s="67" t="n">
        <f aca="false">D285-E285</f>
        <v>0</v>
      </c>
      <c r="F288" s="67" t="n">
        <f aca="false">E285-F285</f>
        <v>0</v>
      </c>
      <c r="G288" s="67" t="n">
        <f aca="false">F285-G285</f>
        <v>0</v>
      </c>
      <c r="H288" s="67" t="n">
        <f aca="false">G285-H285</f>
        <v>0</v>
      </c>
      <c r="I288" s="67" t="n">
        <f aca="false">H285-I285</f>
        <v>0</v>
      </c>
      <c r="J288" s="67" t="n">
        <f aca="false">I285-J285</f>
        <v>0</v>
      </c>
      <c r="K288" s="67" t="n">
        <f aca="false">J285-K285</f>
        <v>0</v>
      </c>
      <c r="L288" s="67" t="n">
        <f aca="false">K285-L285</f>
        <v>0</v>
      </c>
      <c r="M288" s="67" t="n">
        <f aca="false">L285-M285</f>
        <v>0</v>
      </c>
      <c r="N288" s="67" t="n">
        <f aca="false">M285-N285</f>
        <v>0</v>
      </c>
      <c r="O288" s="67" t="n">
        <f aca="false">N285-O285</f>
        <v>-233742.096</v>
      </c>
      <c r="P288" s="67" t="n">
        <f aca="false">O285-P285</f>
        <v>0</v>
      </c>
      <c r="Q288" s="67" t="n">
        <f aca="false">P285-Q285</f>
        <v>0</v>
      </c>
      <c r="R288" s="67" t="n">
        <f aca="false">Q285-R285</f>
        <v>0</v>
      </c>
      <c r="S288" s="67" t="n">
        <f aca="false">R285-S285</f>
        <v>0</v>
      </c>
      <c r="T288" s="67" t="n">
        <f aca="false">S285-T285</f>
        <v>0</v>
      </c>
      <c r="U288" s="67" t="n">
        <f aca="false">T285-U285</f>
        <v>0</v>
      </c>
      <c r="V288" s="67" t="n">
        <f aca="false">U285-V285</f>
        <v>0</v>
      </c>
      <c r="W288" s="67" t="n">
        <f aca="false">V285-W285</f>
        <v>0</v>
      </c>
      <c r="X288" s="67" t="n">
        <f aca="false">W285-X285</f>
        <v>0</v>
      </c>
      <c r="Y288" s="67" t="n">
        <f aca="false">X285-Y285</f>
        <v>0</v>
      </c>
      <c r="Z288" s="67" t="n">
        <f aca="false">Y285-Z285</f>
        <v>0</v>
      </c>
      <c r="AA288" s="67" t="n">
        <f aca="false">Z285-AA285</f>
        <v>-310793.648256</v>
      </c>
      <c r="AB288" s="67" t="n">
        <f aca="false">AA285-AB285</f>
        <v>0</v>
      </c>
      <c r="AC288" s="67" t="n">
        <f aca="false">AB285-AC285</f>
        <v>0</v>
      </c>
      <c r="AD288" s="67" t="n">
        <f aca="false">AC285-AD285</f>
        <v>0</v>
      </c>
      <c r="AE288" s="67" t="n">
        <f aca="false">AD285-AE285</f>
        <v>0</v>
      </c>
      <c r="AF288" s="67" t="n">
        <f aca="false">AE285-AF285</f>
        <v>0</v>
      </c>
      <c r="AG288" s="67" t="n">
        <f aca="false">AF285-AG285</f>
        <v>0</v>
      </c>
      <c r="AH288" s="67" t="n">
        <f aca="false">AG285-AH285</f>
        <v>0</v>
      </c>
      <c r="AI288" s="67" t="n">
        <f aca="false">AH285-AI285</f>
        <v>0</v>
      </c>
      <c r="AJ288" s="67" t="n">
        <f aca="false">AI285-AJ285</f>
        <v>0</v>
      </c>
      <c r="AK288" s="67" t="n">
        <f aca="false">AJ285-AK285</f>
        <v>0</v>
      </c>
      <c r="AL288" s="67" t="n">
        <f aca="false">AK285-AL285</f>
        <v>0</v>
      </c>
      <c r="AM288" s="67" t="n">
        <f aca="false">AL285-AM285</f>
        <v>-413671.381853184</v>
      </c>
      <c r="AN288" s="67" t="n">
        <f aca="false">AM285-AN285</f>
        <v>0</v>
      </c>
      <c r="AO288" s="67" t="n">
        <f aca="false">AN285-AO285</f>
        <v>0</v>
      </c>
      <c r="AP288" s="67" t="n">
        <f aca="false">AO285-AP285</f>
        <v>0</v>
      </c>
      <c r="AQ288" s="67" t="n">
        <f aca="false">AP285-AQ285</f>
        <v>0</v>
      </c>
      <c r="AR288" s="67" t="n">
        <f aca="false">AQ285-AR285</f>
        <v>0</v>
      </c>
      <c r="AS288" s="67" t="n">
        <f aca="false">AR285-AS285</f>
        <v>0</v>
      </c>
      <c r="AT288" s="67" t="n">
        <f aca="false">AS285-AT285</f>
        <v>0</v>
      </c>
      <c r="AU288" s="67" t="n">
        <f aca="false">AT285-AU285</f>
        <v>0</v>
      </c>
      <c r="AV288" s="67" t="n">
        <f aca="false">AU285-AV285</f>
        <v>0</v>
      </c>
      <c r="AW288" s="67" t="n">
        <f aca="false">AV285-AW285</f>
        <v>0</v>
      </c>
      <c r="AX288" s="67" t="n">
        <f aca="false">AW285-AX285</f>
        <v>0</v>
      </c>
      <c r="AY288" s="67" t="n">
        <f aca="false">AX285-AY285</f>
        <v>-551144.713290523</v>
      </c>
      <c r="AZ288" s="67" t="n">
        <f aca="false">AY285-AZ285</f>
        <v>0</v>
      </c>
      <c r="BA288" s="67" t="n">
        <f aca="false">AZ285-BA285</f>
        <v>0</v>
      </c>
      <c r="BB288" s="67" t="n">
        <f aca="false">BA285-BB285</f>
        <v>0</v>
      </c>
      <c r="BC288" s="67" t="n">
        <f aca="false">BB285-BC285</f>
        <v>0</v>
      </c>
      <c r="BD288" s="67" t="n">
        <f aca="false">BC285-BD285</f>
        <v>0</v>
      </c>
      <c r="BE288" s="67" t="n">
        <f aca="false">BD285-BE285</f>
        <v>0</v>
      </c>
      <c r="BF288" s="67" t="n">
        <f aca="false">BE285-BF285</f>
        <v>0</v>
      </c>
      <c r="BG288" s="67" t="n">
        <f aca="false">BF285-BG285</f>
        <v>0</v>
      </c>
      <c r="BH288" s="67" t="n">
        <f aca="false">BG285-BH285</f>
        <v>0</v>
      </c>
      <c r="BI288" s="67" t="n">
        <f aca="false">BH285-BI285</f>
        <v>0</v>
      </c>
      <c r="BJ288" s="67" t="n">
        <f aca="false">BI285-BJ285</f>
        <v>0</v>
      </c>
    </row>
    <row r="289" customFormat="false" ht="15" hidden="false" customHeight="false" outlineLevel="0" collapsed="false">
      <c r="A289" s="6" t="s">
        <v>334</v>
      </c>
      <c r="C289" s="67" t="n">
        <f aca="false">-C286</f>
        <v>-0</v>
      </c>
      <c r="D289" s="67" t="n">
        <f aca="false">C286-D286</f>
        <v>0</v>
      </c>
      <c r="E289" s="67" t="n">
        <f aca="false">D286-E286</f>
        <v>0</v>
      </c>
      <c r="F289" s="67" t="n">
        <f aca="false">E286-F286</f>
        <v>0</v>
      </c>
      <c r="G289" s="67" t="n">
        <f aca="false">F286-G286</f>
        <v>0</v>
      </c>
      <c r="H289" s="67" t="n">
        <f aca="false">G286-H286</f>
        <v>0</v>
      </c>
      <c r="I289" s="67" t="n">
        <f aca="false">H286-I286</f>
        <v>0</v>
      </c>
      <c r="J289" s="67" t="n">
        <f aca="false">I286-J286</f>
        <v>0</v>
      </c>
      <c r="K289" s="67" t="n">
        <f aca="false">J286-K286</f>
        <v>0</v>
      </c>
      <c r="L289" s="67" t="n">
        <f aca="false">K286-L286</f>
        <v>0</v>
      </c>
      <c r="M289" s="67" t="n">
        <f aca="false">L286-M286</f>
        <v>0</v>
      </c>
      <c r="N289" s="67" t="n">
        <f aca="false">M286-N286</f>
        <v>0</v>
      </c>
      <c r="O289" s="67" t="n">
        <f aca="false">N286-O286</f>
        <v>0</v>
      </c>
      <c r="P289" s="67" t="n">
        <f aca="false">O286-P286</f>
        <v>0</v>
      </c>
      <c r="Q289" s="67" t="n">
        <f aca="false">P286-Q286</f>
        <v>0</v>
      </c>
      <c r="R289" s="67" t="n">
        <f aca="false">Q286-R286</f>
        <v>0</v>
      </c>
      <c r="S289" s="67" t="n">
        <f aca="false">R286-S286</f>
        <v>0</v>
      </c>
      <c r="T289" s="67" t="n">
        <f aca="false">S286-T286</f>
        <v>0</v>
      </c>
      <c r="U289" s="67" t="n">
        <f aca="false">T286-U286</f>
        <v>0</v>
      </c>
      <c r="V289" s="67" t="n">
        <f aca="false">U286-V286</f>
        <v>0</v>
      </c>
      <c r="W289" s="67" t="n">
        <f aca="false">V286-W286</f>
        <v>0</v>
      </c>
      <c r="X289" s="67" t="n">
        <f aca="false">W286-X286</f>
        <v>0</v>
      </c>
      <c r="Y289" s="67" t="n">
        <f aca="false">X286-Y286</f>
        <v>0</v>
      </c>
      <c r="Z289" s="67" t="n">
        <f aca="false">Y286-Z286</f>
        <v>0</v>
      </c>
      <c r="AA289" s="67" t="n">
        <f aca="false">Z286-AA286</f>
        <v>0</v>
      </c>
      <c r="AB289" s="67" t="n">
        <f aca="false">AA286-AB286</f>
        <v>0</v>
      </c>
      <c r="AC289" s="67" t="n">
        <f aca="false">AB286-AC286</f>
        <v>0</v>
      </c>
      <c r="AD289" s="67" t="n">
        <f aca="false">AC286-AD286</f>
        <v>0</v>
      </c>
      <c r="AE289" s="67" t="n">
        <f aca="false">AD286-AE286</f>
        <v>0</v>
      </c>
      <c r="AF289" s="67" t="n">
        <f aca="false">AE286-AF286</f>
        <v>0</v>
      </c>
      <c r="AG289" s="67" t="n">
        <f aca="false">AF286-AG286</f>
        <v>0</v>
      </c>
      <c r="AH289" s="67" t="n">
        <f aca="false">AG286-AH286</f>
        <v>0</v>
      </c>
      <c r="AI289" s="67" t="n">
        <f aca="false">AH286-AI286</f>
        <v>0</v>
      </c>
      <c r="AJ289" s="67" t="n">
        <f aca="false">AI286-AJ286</f>
        <v>0</v>
      </c>
      <c r="AK289" s="67" t="n">
        <f aca="false">AJ286-AK286</f>
        <v>0</v>
      </c>
      <c r="AL289" s="67" t="n">
        <f aca="false">AK286-AL286</f>
        <v>0</v>
      </c>
      <c r="AM289" s="67" t="n">
        <f aca="false">AL286-AM286</f>
        <v>0</v>
      </c>
      <c r="AN289" s="67" t="n">
        <f aca="false">AM286-AN286</f>
        <v>0</v>
      </c>
      <c r="AO289" s="67" t="n">
        <f aca="false">AN286-AO286</f>
        <v>0</v>
      </c>
      <c r="AP289" s="67" t="n">
        <f aca="false">AO286-AP286</f>
        <v>0</v>
      </c>
      <c r="AQ289" s="67" t="n">
        <f aca="false">AP286-AQ286</f>
        <v>0</v>
      </c>
      <c r="AR289" s="67" t="n">
        <f aca="false">AQ286-AR286</f>
        <v>0</v>
      </c>
      <c r="AS289" s="67" t="n">
        <f aca="false">AR286-AS286</f>
        <v>0</v>
      </c>
      <c r="AT289" s="67" t="n">
        <f aca="false">AS286-AT286</f>
        <v>0</v>
      </c>
      <c r="AU289" s="67" t="n">
        <f aca="false">AT286-AU286</f>
        <v>0</v>
      </c>
      <c r="AV289" s="67" t="n">
        <f aca="false">AU286-AV286</f>
        <v>0</v>
      </c>
      <c r="AW289" s="67" t="n">
        <f aca="false">AV286-AW286</f>
        <v>0</v>
      </c>
      <c r="AX289" s="67" t="n">
        <f aca="false">AW286-AX286</f>
        <v>0</v>
      </c>
      <c r="AY289" s="67" t="n">
        <f aca="false">AX286-AY286</f>
        <v>0</v>
      </c>
      <c r="AZ289" s="67" t="n">
        <f aca="false">AY286-AZ286</f>
        <v>0</v>
      </c>
      <c r="BA289" s="67" t="n">
        <f aca="false">AZ286-BA286</f>
        <v>0</v>
      </c>
      <c r="BB289" s="67" t="n">
        <f aca="false">BA286-BB286</f>
        <v>0</v>
      </c>
      <c r="BC289" s="67" t="n">
        <f aca="false">BB286-BC286</f>
        <v>0</v>
      </c>
      <c r="BD289" s="67" t="n">
        <f aca="false">BC286-BD286</f>
        <v>0</v>
      </c>
      <c r="BE289" s="67" t="n">
        <f aca="false">BD286-BE286</f>
        <v>0</v>
      </c>
      <c r="BF289" s="67" t="n">
        <f aca="false">BE286-BF286</f>
        <v>0</v>
      </c>
      <c r="BG289" s="67" t="n">
        <f aca="false">BF286-BG286</f>
        <v>0</v>
      </c>
      <c r="BH289" s="67" t="n">
        <f aca="false">BG286-BH286</f>
        <v>0</v>
      </c>
      <c r="BI289" s="67" t="n">
        <f aca="false">BH286-BI286</f>
        <v>0</v>
      </c>
      <c r="BJ289" s="67" t="n">
        <f aca="false">BI286-BJ286</f>
        <v>0</v>
      </c>
    </row>
    <row r="290" customFormat="false" ht="15" hidden="false" customHeight="false" outlineLevel="0" collapsed="false">
      <c r="A290" s="6" t="s">
        <v>335</v>
      </c>
      <c r="C290" s="67" t="n">
        <f aca="false">C287</f>
        <v>116282.5125</v>
      </c>
      <c r="D290" s="67" t="n">
        <f aca="false">D287-C287</f>
        <v>0</v>
      </c>
      <c r="E290" s="67" t="n">
        <f aca="false">E287-D287</f>
        <v>0</v>
      </c>
      <c r="F290" s="67" t="n">
        <f aca="false">F287-E287</f>
        <v>0</v>
      </c>
      <c r="G290" s="67" t="n">
        <f aca="false">G287-F287</f>
        <v>0</v>
      </c>
      <c r="H290" s="67" t="n">
        <f aca="false">H287-G287</f>
        <v>0</v>
      </c>
      <c r="I290" s="67" t="n">
        <f aca="false">I287-H287</f>
        <v>0</v>
      </c>
      <c r="J290" s="67" t="n">
        <f aca="false">J287-I287</f>
        <v>0</v>
      </c>
      <c r="K290" s="67" t="n">
        <f aca="false">K287-J287</f>
        <v>0</v>
      </c>
      <c r="L290" s="67" t="n">
        <f aca="false">L287-K287</f>
        <v>0</v>
      </c>
      <c r="M290" s="67" t="n">
        <f aca="false">M287-L287</f>
        <v>0</v>
      </c>
      <c r="N290" s="67" t="n">
        <f aca="false">N287-M287</f>
        <v>0</v>
      </c>
      <c r="O290" s="67" t="n">
        <f aca="false">O287-N287</f>
        <v>36026.6008</v>
      </c>
      <c r="P290" s="67" t="n">
        <f aca="false">P287-O287</f>
        <v>0</v>
      </c>
      <c r="Q290" s="67" t="n">
        <f aca="false">Q287-P287</f>
        <v>0</v>
      </c>
      <c r="R290" s="67" t="n">
        <f aca="false">R287-Q287</f>
        <v>0</v>
      </c>
      <c r="S290" s="67" t="n">
        <f aca="false">S287-R287</f>
        <v>0</v>
      </c>
      <c r="T290" s="67" t="n">
        <f aca="false">T287-S287</f>
        <v>0</v>
      </c>
      <c r="U290" s="67" t="n">
        <f aca="false">U287-T287</f>
        <v>0</v>
      </c>
      <c r="V290" s="67" t="n">
        <f aca="false">V287-U287</f>
        <v>0</v>
      </c>
      <c r="W290" s="67" t="n">
        <f aca="false">W287-V287</f>
        <v>0</v>
      </c>
      <c r="X290" s="67" t="n">
        <f aca="false">X287-W287</f>
        <v>0</v>
      </c>
      <c r="Y290" s="67" t="n">
        <f aca="false">Y287-X287</f>
        <v>0</v>
      </c>
      <c r="Z290" s="67" t="n">
        <f aca="false">Z287-Y287</f>
        <v>0</v>
      </c>
      <c r="AA290" s="67" t="n">
        <f aca="false">AA287-Z287</f>
        <v>47443.5373188</v>
      </c>
      <c r="AB290" s="67" t="n">
        <f aca="false">AB287-AA287</f>
        <v>0</v>
      </c>
      <c r="AC290" s="67" t="n">
        <f aca="false">AC287-AB287</f>
        <v>0</v>
      </c>
      <c r="AD290" s="67" t="n">
        <f aca="false">AD287-AC287</f>
        <v>0</v>
      </c>
      <c r="AE290" s="67" t="n">
        <f aca="false">AE287-AD287</f>
        <v>0</v>
      </c>
      <c r="AF290" s="67" t="n">
        <f aca="false">AF287-AE287</f>
        <v>0</v>
      </c>
      <c r="AG290" s="67" t="n">
        <f aca="false">AG287-AF287</f>
        <v>0</v>
      </c>
      <c r="AH290" s="67" t="n">
        <f aca="false">AH287-AG287</f>
        <v>0</v>
      </c>
      <c r="AI290" s="67" t="n">
        <f aca="false">AI287-AH287</f>
        <v>0</v>
      </c>
      <c r="AJ290" s="67" t="n">
        <f aca="false">AJ287-AI287</f>
        <v>0</v>
      </c>
      <c r="AK290" s="67" t="n">
        <f aca="false">AK287-AJ287</f>
        <v>0</v>
      </c>
      <c r="AL290" s="67" t="n">
        <f aca="false">AL287-AK287</f>
        <v>0</v>
      </c>
      <c r="AM290" s="67" t="n">
        <f aca="false">AM287-AL287</f>
        <v>62544.7888441932</v>
      </c>
      <c r="AN290" s="67" t="n">
        <f aca="false">AN287-AM287</f>
        <v>0</v>
      </c>
      <c r="AO290" s="67" t="n">
        <f aca="false">AO287-AN287</f>
        <v>0</v>
      </c>
      <c r="AP290" s="67" t="n">
        <f aca="false">AP287-AO287</f>
        <v>0</v>
      </c>
      <c r="AQ290" s="67" t="n">
        <f aca="false">AQ287-AP287</f>
        <v>0</v>
      </c>
      <c r="AR290" s="67" t="n">
        <f aca="false">AR287-AQ287</f>
        <v>0</v>
      </c>
      <c r="AS290" s="67" t="n">
        <f aca="false">AS287-AR287</f>
        <v>0</v>
      </c>
      <c r="AT290" s="67" t="n">
        <f aca="false">AT287-AS287</f>
        <v>0</v>
      </c>
      <c r="AU290" s="67" t="n">
        <f aca="false">AU287-AT287</f>
        <v>0</v>
      </c>
      <c r="AV290" s="67" t="n">
        <f aca="false">AV287-AU287</f>
        <v>0</v>
      </c>
      <c r="AW290" s="67" t="n">
        <f aca="false">AW287-AV287</f>
        <v>0</v>
      </c>
      <c r="AX290" s="67" t="n">
        <f aca="false">AX287-AW287</f>
        <v>0</v>
      </c>
      <c r="AY290" s="67" t="n">
        <f aca="false">AY287-AX287</f>
        <v>82536.1342041747</v>
      </c>
      <c r="AZ290" s="67" t="n">
        <f aca="false">AZ287-AY287</f>
        <v>0</v>
      </c>
      <c r="BA290" s="67" t="n">
        <f aca="false">BA287-AZ287</f>
        <v>0</v>
      </c>
      <c r="BB290" s="67" t="n">
        <f aca="false">BB287-BA287</f>
        <v>0</v>
      </c>
      <c r="BC290" s="67" t="n">
        <f aca="false">BC287-BB287</f>
        <v>0</v>
      </c>
      <c r="BD290" s="67" t="n">
        <f aca="false">BD287-BC287</f>
        <v>0</v>
      </c>
      <c r="BE290" s="67" t="n">
        <f aca="false">BE287-BD287</f>
        <v>0</v>
      </c>
      <c r="BF290" s="67" t="n">
        <f aca="false">BF287-BE287</f>
        <v>0</v>
      </c>
      <c r="BG290" s="67" t="n">
        <f aca="false">BG287-BF287</f>
        <v>0</v>
      </c>
      <c r="BH290" s="67" t="n">
        <f aca="false">BH287-BG287</f>
        <v>0</v>
      </c>
      <c r="BI290" s="67" t="n">
        <f aca="false">BI287-BH287</f>
        <v>0</v>
      </c>
      <c r="BJ290" s="67" t="n">
        <f aca="false">BJ287-BI287</f>
        <v>0</v>
      </c>
    </row>
    <row r="292" customFormat="false" ht="15.75" hidden="false" customHeight="true" outlineLevel="0" collapsed="false">
      <c r="A292" s="7" t="s">
        <v>422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customFormat="false" ht="15" hidden="false" customHeight="false" outlineLevel="0" collapsed="false">
      <c r="A293" s="4" t="s">
        <v>52</v>
      </c>
      <c r="C293" s="73" t="n">
        <f aca="false">C269-C274+C288+C289+C290</f>
        <v>-460466.900583333</v>
      </c>
      <c r="D293" s="73" t="n">
        <f aca="false">D269-D274+D288+D289+D290</f>
        <v>147160.864694444</v>
      </c>
      <c r="E293" s="73" t="n">
        <f aca="false">E269-E274+E288+E289+E290</f>
        <v>147178.42025</v>
      </c>
      <c r="F293" s="73" t="n">
        <f aca="false">F269-F274+F288+F289+F290</f>
        <v>147195.975805556</v>
      </c>
      <c r="G293" s="73" t="n">
        <f aca="false">G269-G274+G288+G289+G290</f>
        <v>147213.531361111</v>
      </c>
      <c r="H293" s="73" t="n">
        <f aca="false">H269-H274+H288+H289+H290</f>
        <v>147231.086916667</v>
      </c>
      <c r="I293" s="73" t="n">
        <f aca="false">I269-I274+I288+I289+I290</f>
        <v>147248.642472222</v>
      </c>
      <c r="J293" s="73" t="n">
        <f aca="false">J269-J274+J288+J289+J290</f>
        <v>147266.198027778</v>
      </c>
      <c r="K293" s="73" t="n">
        <f aca="false">K269-K274+K288+K289+K290</f>
        <v>147283.753583333</v>
      </c>
      <c r="L293" s="73" t="n">
        <f aca="false">L269-L274+L288+L289+L290</f>
        <v>147301.309138889</v>
      </c>
      <c r="M293" s="73" t="n">
        <f aca="false">M269-M274+M288+M289+M290</f>
        <v>147318.864694444</v>
      </c>
      <c r="N293" s="73" t="n">
        <f aca="false">N269-N274+N288+N289+N290</f>
        <v>147336.42025</v>
      </c>
      <c r="O293" s="73" t="n">
        <f aca="false">O269-O274+O288+O289+O290</f>
        <v>8979.41940155537</v>
      </c>
      <c r="P293" s="73" t="n">
        <f aca="false">P269-P274+P288+P289+P290</f>
        <v>206712.470157111</v>
      </c>
      <c r="Q293" s="73" t="n">
        <f aca="false">Q269-Q274+Q288+Q289+Q290</f>
        <v>206730.025712667</v>
      </c>
      <c r="R293" s="73" t="n">
        <f aca="false">R269-R274+R288+R289+R290</f>
        <v>206747.581268222</v>
      </c>
      <c r="S293" s="73" t="n">
        <f aca="false">S269-S274+S288+S289+S290</f>
        <v>206765.136823778</v>
      </c>
      <c r="T293" s="73" t="n">
        <f aca="false">T269-T274+T288+T289+T290</f>
        <v>206782.692379333</v>
      </c>
      <c r="U293" s="73" t="n">
        <f aca="false">U269-U274+U288+U289+U290</f>
        <v>206800.247934889</v>
      </c>
      <c r="V293" s="73" t="n">
        <f aca="false">V269-V274+V288+V289+V290</f>
        <v>206817.803490445</v>
      </c>
      <c r="W293" s="73" t="n">
        <f aca="false">W269-W274+W288+W289+W290</f>
        <v>206835.359046</v>
      </c>
      <c r="X293" s="73" t="n">
        <f aca="false">X269-X274+X288+X289+X290</f>
        <v>206852.914601556</v>
      </c>
      <c r="Y293" s="73" t="n">
        <f aca="false">Y269-Y274+Y288+Y289+Y290</f>
        <v>206870.470157111</v>
      </c>
      <c r="Z293" s="73" t="n">
        <f aca="false">Z269-Z274+Z288+Z289+Z290</f>
        <v>206888.025712667</v>
      </c>
      <c r="AA293" s="73" t="n">
        <f aca="false">AA269-AA274+AA288+AA289+AA290</f>
        <v>23946.5212842285</v>
      </c>
      <c r="AB293" s="73" t="n">
        <f aca="false">AB269-AB274+AB288+AB289+AB290</f>
        <v>287314.187776984</v>
      </c>
      <c r="AC293" s="73" t="n">
        <f aca="false">AC269-AC274+AC288+AC289+AC290</f>
        <v>287331.743332539</v>
      </c>
      <c r="AD293" s="73" t="n">
        <f aca="false">AD269-AD274+AD288+AD289+AD290</f>
        <v>287349.298888095</v>
      </c>
      <c r="AE293" s="73" t="n">
        <f aca="false">AE269-AE274+AE288+AE289+AE290</f>
        <v>287366.85444365</v>
      </c>
      <c r="AF293" s="73" t="n">
        <f aca="false">AF269-AF274+AF288+AF289+AF290</f>
        <v>287384.409999206</v>
      </c>
      <c r="AG293" s="73" t="n">
        <f aca="false">AG269-AG274+AG288+AG289+AG290</f>
        <v>287401.965554762</v>
      </c>
      <c r="AH293" s="73" t="n">
        <f aca="false">AH269-AH274+AH288+AH289+AH290</f>
        <v>287419.521110317</v>
      </c>
      <c r="AI293" s="73" t="n">
        <f aca="false">AI269-AI274+AI288+AI289+AI290</f>
        <v>287437.076665873</v>
      </c>
      <c r="AJ293" s="73" t="n">
        <f aca="false">AJ269-AJ274+AJ288+AJ289+AJ290</f>
        <v>287454.632221428</v>
      </c>
      <c r="AK293" s="73" t="n">
        <f aca="false">AK269-AK274+AK288+AK289+AK290</f>
        <v>287472.187776984</v>
      </c>
      <c r="AL293" s="73" t="n">
        <f aca="false">AL269-AL274+AL288+AL289+AL290</f>
        <v>287489.743332539</v>
      </c>
      <c r="AM293" s="73" t="n">
        <f aca="false">AM269-AM274+AM288+AM289+AM290</f>
        <v>45268.7870462537</v>
      </c>
      <c r="AN293" s="73" t="n">
        <f aca="false">AN269-AN274+AN288+AN289+AN290</f>
        <v>396412.9356108</v>
      </c>
      <c r="AO293" s="73" t="n">
        <f aca="false">AO269-AO274+AO288+AO289+AO290</f>
        <v>396430.491166355</v>
      </c>
      <c r="AP293" s="73" t="n">
        <f aca="false">AP269-AP274+AP288+AP289+AP290</f>
        <v>396448.046721911</v>
      </c>
      <c r="AQ293" s="73" t="n">
        <f aca="false">AQ269-AQ274+AQ288+AQ289+AQ290</f>
        <v>396465.602277467</v>
      </c>
      <c r="AR293" s="73" t="n">
        <f aca="false">AR269-AR274+AR288+AR289+AR290</f>
        <v>396483.157833022</v>
      </c>
      <c r="AS293" s="73" t="n">
        <f aca="false">AS269-AS274+AS288+AS289+AS290</f>
        <v>396500.713388578</v>
      </c>
      <c r="AT293" s="73" t="n">
        <f aca="false">AT269-AT274+AT288+AT289+AT290</f>
        <v>396518.268944133</v>
      </c>
      <c r="AU293" s="73" t="n">
        <f aca="false">AU269-AU274+AU288+AU289+AU290</f>
        <v>396535.824499689</v>
      </c>
      <c r="AV293" s="73" t="n">
        <f aca="false">AV269-AV274+AV288+AV289+AV290</f>
        <v>396553.380055244</v>
      </c>
      <c r="AW293" s="73" t="n">
        <f aca="false">AW269-AW274+AW288+AW289+AW290</f>
        <v>396570.9356108</v>
      </c>
      <c r="AX293" s="73" t="n">
        <f aca="false">AX269-AX274+AX288+AX289+AX290</f>
        <v>396588.491166355</v>
      </c>
      <c r="AY293" s="73" t="n">
        <f aca="false">AY269-AY274+AY288+AY289+AY290</f>
        <v>75466.3006938359</v>
      </c>
      <c r="AZ293" s="73" t="n">
        <f aca="false">AZ269-AZ274+AZ288+AZ289+AZ290</f>
        <v>544092.43533574</v>
      </c>
      <c r="BA293" s="73" t="n">
        <f aca="false">BA269-BA274+BA288+BA289+BA290</f>
        <v>544109.990891296</v>
      </c>
      <c r="BB293" s="73" t="n">
        <f aca="false">BB269-BB274+BB288+BB289+BB290</f>
        <v>544127.546446852</v>
      </c>
      <c r="BC293" s="73" t="n">
        <f aca="false">BC269-BC274+BC288+BC289+BC290</f>
        <v>544145.102002407</v>
      </c>
      <c r="BD293" s="73" t="n">
        <f aca="false">BD269-BD274+BD288+BD289+BD290</f>
        <v>544162.657557962</v>
      </c>
      <c r="BE293" s="73" t="n">
        <f aca="false">BE269-BE274+BE288+BE289+BE290</f>
        <v>544180.213113518</v>
      </c>
      <c r="BF293" s="73" t="n">
        <f aca="false">BF269-BF274+BF288+BF289+BF290</f>
        <v>544197.768669073</v>
      </c>
      <c r="BG293" s="73" t="n">
        <f aca="false">BG269-BG274+BG288+BG289+BG290</f>
        <v>544215.324224629</v>
      </c>
      <c r="BH293" s="73" t="n">
        <f aca="false">BH269-BH274+BH288+BH289+BH290</f>
        <v>544232.879780185</v>
      </c>
      <c r="BI293" s="73" t="n">
        <f aca="false">BI269-BI274+BI288+BI289+BI290</f>
        <v>544250.43533574</v>
      </c>
      <c r="BJ293" s="73" t="n">
        <f aca="false">BJ269-BJ274+BJ288+BJ289+BJ290</f>
        <v>544267.990891296</v>
      </c>
    </row>
    <row r="294" customFormat="false" ht="15" hidden="false" customHeight="false" outlineLevel="0" collapsed="false">
      <c r="A294" s="6" t="s">
        <v>423</v>
      </c>
      <c r="C294" s="67" t="n">
        <f aca="false">-C272</f>
        <v>-60000</v>
      </c>
      <c r="D294" s="67" t="n">
        <f aca="false">-D272</f>
        <v>-0</v>
      </c>
      <c r="E294" s="67" t="n">
        <f aca="false">-E272</f>
        <v>-0</v>
      </c>
      <c r="F294" s="67" t="n">
        <f aca="false">-F272</f>
        <v>-0</v>
      </c>
      <c r="G294" s="67" t="n">
        <f aca="false">-G272</f>
        <v>-0</v>
      </c>
      <c r="H294" s="67" t="n">
        <f aca="false">-H272</f>
        <v>-0</v>
      </c>
      <c r="I294" s="67" t="n">
        <f aca="false">-I272</f>
        <v>-0</v>
      </c>
      <c r="J294" s="67" t="n">
        <f aca="false">-J272</f>
        <v>-0</v>
      </c>
      <c r="K294" s="67" t="n">
        <f aca="false">-K272</f>
        <v>-0</v>
      </c>
      <c r="L294" s="67" t="n">
        <f aca="false">-L272</f>
        <v>-0</v>
      </c>
      <c r="M294" s="67" t="n">
        <f aca="false">-M272</f>
        <v>-0</v>
      </c>
      <c r="N294" s="67" t="n">
        <f aca="false">-N272</f>
        <v>-0</v>
      </c>
      <c r="O294" s="67" t="n">
        <f aca="false">-O272</f>
        <v>-0</v>
      </c>
      <c r="P294" s="67" t="n">
        <f aca="false">-P272</f>
        <v>-0</v>
      </c>
      <c r="Q294" s="67" t="n">
        <f aca="false">-Q272</f>
        <v>-0</v>
      </c>
      <c r="R294" s="67" t="n">
        <f aca="false">-R272</f>
        <v>-0</v>
      </c>
      <c r="S294" s="67" t="n">
        <f aca="false">-S272</f>
        <v>-0</v>
      </c>
      <c r="T294" s="67" t="n">
        <f aca="false">-T272</f>
        <v>-0</v>
      </c>
      <c r="U294" s="67" t="n">
        <f aca="false">-U272</f>
        <v>-0</v>
      </c>
      <c r="V294" s="67" t="n">
        <f aca="false">-V272</f>
        <v>-0</v>
      </c>
      <c r="W294" s="67" t="n">
        <f aca="false">-W272</f>
        <v>-0</v>
      </c>
      <c r="X294" s="67" t="n">
        <f aca="false">-X272</f>
        <v>-0</v>
      </c>
      <c r="Y294" s="67" t="n">
        <f aca="false">-Y272</f>
        <v>-0</v>
      </c>
      <c r="Z294" s="67" t="n">
        <f aca="false">-Z272</f>
        <v>-0</v>
      </c>
      <c r="AA294" s="67" t="n">
        <f aca="false">-AA272</f>
        <v>-0</v>
      </c>
      <c r="AB294" s="67" t="n">
        <f aca="false">-AB272</f>
        <v>-0</v>
      </c>
      <c r="AC294" s="67" t="n">
        <f aca="false">-AC272</f>
        <v>-0</v>
      </c>
      <c r="AD294" s="67" t="n">
        <f aca="false">-AD272</f>
        <v>-0</v>
      </c>
      <c r="AE294" s="67" t="n">
        <f aca="false">-AE272</f>
        <v>-0</v>
      </c>
      <c r="AF294" s="67" t="n">
        <f aca="false">-AF272</f>
        <v>-0</v>
      </c>
      <c r="AG294" s="67" t="n">
        <f aca="false">-AG272</f>
        <v>-0</v>
      </c>
      <c r="AH294" s="67" t="n">
        <f aca="false">-AH272</f>
        <v>-0</v>
      </c>
      <c r="AI294" s="67" t="n">
        <f aca="false">-AI272</f>
        <v>-0</v>
      </c>
      <c r="AJ294" s="67" t="n">
        <f aca="false">-AJ272</f>
        <v>-0</v>
      </c>
      <c r="AK294" s="67" t="n">
        <f aca="false">-AK272</f>
        <v>-0</v>
      </c>
      <c r="AL294" s="67" t="n">
        <f aca="false">-AL272</f>
        <v>-0</v>
      </c>
      <c r="AM294" s="67" t="n">
        <f aca="false">-AM272</f>
        <v>-0</v>
      </c>
      <c r="AN294" s="67" t="n">
        <f aca="false">-AN272</f>
        <v>-0</v>
      </c>
      <c r="AO294" s="67" t="n">
        <f aca="false">-AO272</f>
        <v>-0</v>
      </c>
      <c r="AP294" s="67" t="n">
        <f aca="false">-AP272</f>
        <v>-0</v>
      </c>
      <c r="AQ294" s="67" t="n">
        <f aca="false">-AQ272</f>
        <v>-0</v>
      </c>
      <c r="AR294" s="67" t="n">
        <f aca="false">-AR272</f>
        <v>-0</v>
      </c>
      <c r="AS294" s="67" t="n">
        <f aca="false">-AS272</f>
        <v>-0</v>
      </c>
      <c r="AT294" s="67" t="n">
        <f aca="false">-AT272</f>
        <v>-0</v>
      </c>
      <c r="AU294" s="67" t="n">
        <f aca="false">-AU272</f>
        <v>-0</v>
      </c>
      <c r="AV294" s="67" t="n">
        <f aca="false">-AV272</f>
        <v>-0</v>
      </c>
      <c r="AW294" s="67" t="n">
        <f aca="false">-AW272</f>
        <v>-0</v>
      </c>
      <c r="AX294" s="67" t="n">
        <f aca="false">-AX272</f>
        <v>-0</v>
      </c>
      <c r="AY294" s="67" t="n">
        <f aca="false">-AY272</f>
        <v>-0</v>
      </c>
      <c r="AZ294" s="67" t="n">
        <f aca="false">-AZ272</f>
        <v>-0</v>
      </c>
      <c r="BA294" s="67" t="n">
        <f aca="false">-BA272</f>
        <v>-0</v>
      </c>
      <c r="BB294" s="67" t="n">
        <f aca="false">-BB272</f>
        <v>-0</v>
      </c>
      <c r="BC294" s="67" t="n">
        <f aca="false">-BC272</f>
        <v>-0</v>
      </c>
      <c r="BD294" s="67" t="n">
        <f aca="false">-BD272</f>
        <v>-0</v>
      </c>
      <c r="BE294" s="67" t="n">
        <f aca="false">-BE272</f>
        <v>-0</v>
      </c>
      <c r="BF294" s="67" t="n">
        <f aca="false">-BF272</f>
        <v>-0</v>
      </c>
      <c r="BG294" s="67" t="n">
        <f aca="false">-BG272</f>
        <v>-0</v>
      </c>
      <c r="BH294" s="67" t="n">
        <f aca="false">-BH272</f>
        <v>-0</v>
      </c>
      <c r="BI294" s="67" t="n">
        <f aca="false">-BI272</f>
        <v>-0</v>
      </c>
      <c r="BJ294" s="67" t="n">
        <f aca="false">-BJ272</f>
        <v>-0</v>
      </c>
    </row>
    <row r="295" customFormat="false" ht="15" hidden="false" customHeight="false" outlineLevel="0" collapsed="false">
      <c r="A295" s="6" t="s">
        <v>64</v>
      </c>
      <c r="C295" s="67" t="n">
        <f aca="false">IF(C$226=1,Inputs!$D$54,0)</f>
        <v>300000</v>
      </c>
      <c r="D295" s="67" t="n">
        <f aca="false">IF(D$226=1,Inputs!$D$54,0)</f>
        <v>0</v>
      </c>
      <c r="E295" s="67" t="n">
        <f aca="false">IF(E$226=1,Inputs!$D$54,0)</f>
        <v>0</v>
      </c>
      <c r="F295" s="67" t="n">
        <f aca="false">IF(F$226=1,Inputs!$D$54,0)</f>
        <v>0</v>
      </c>
      <c r="G295" s="67" t="n">
        <f aca="false">IF(G$226=1,Inputs!$D$54,0)</f>
        <v>0</v>
      </c>
      <c r="H295" s="67" t="n">
        <f aca="false">IF(H$226=1,Inputs!$D$54,0)</f>
        <v>0</v>
      </c>
      <c r="I295" s="67" t="n">
        <f aca="false">IF(I$226=1,Inputs!$D$54,0)</f>
        <v>0</v>
      </c>
      <c r="J295" s="67" t="n">
        <f aca="false">IF(J$226=1,Inputs!$D$54,0)</f>
        <v>0</v>
      </c>
      <c r="K295" s="67" t="n">
        <f aca="false">IF(K$226=1,Inputs!$D$54,0)</f>
        <v>0</v>
      </c>
      <c r="L295" s="67" t="n">
        <f aca="false">IF(L$226=1,Inputs!$D$54,0)</f>
        <v>0</v>
      </c>
      <c r="M295" s="67" t="n">
        <f aca="false">IF(M$226=1,Inputs!$D$54,0)</f>
        <v>0</v>
      </c>
      <c r="N295" s="67" t="n">
        <f aca="false">IF(N$226=1,Inputs!$D$54,0)</f>
        <v>0</v>
      </c>
      <c r="O295" s="67" t="n">
        <f aca="false">IF(O$226=1,Inputs!$D$54,0)</f>
        <v>0</v>
      </c>
      <c r="P295" s="67" t="n">
        <f aca="false">IF(P$226=1,Inputs!$D$54,0)</f>
        <v>0</v>
      </c>
      <c r="Q295" s="67" t="n">
        <f aca="false">IF(Q$226=1,Inputs!$D$54,0)</f>
        <v>0</v>
      </c>
      <c r="R295" s="67" t="n">
        <f aca="false">IF(R$226=1,Inputs!$D$54,0)</f>
        <v>0</v>
      </c>
      <c r="S295" s="67" t="n">
        <f aca="false">IF(S$226=1,Inputs!$D$54,0)</f>
        <v>0</v>
      </c>
      <c r="T295" s="67" t="n">
        <f aca="false">IF(T$226=1,Inputs!$D$54,0)</f>
        <v>0</v>
      </c>
      <c r="U295" s="67" t="n">
        <f aca="false">IF(U$226=1,Inputs!$D$54,0)</f>
        <v>0</v>
      </c>
      <c r="V295" s="67" t="n">
        <f aca="false">IF(V$226=1,Inputs!$D$54,0)</f>
        <v>0</v>
      </c>
      <c r="W295" s="67" t="n">
        <f aca="false">IF(W$226=1,Inputs!$D$54,0)</f>
        <v>0</v>
      </c>
      <c r="X295" s="67" t="n">
        <f aca="false">IF(X$226=1,Inputs!$D$54,0)</f>
        <v>0</v>
      </c>
      <c r="Y295" s="67" t="n">
        <f aca="false">IF(Y$226=1,Inputs!$D$54,0)</f>
        <v>0</v>
      </c>
      <c r="Z295" s="67" t="n">
        <f aca="false">IF(Z$226=1,Inputs!$D$54,0)</f>
        <v>0</v>
      </c>
      <c r="AA295" s="67" t="n">
        <f aca="false">IF(AA$226=1,Inputs!$D$54,0)</f>
        <v>0</v>
      </c>
      <c r="AB295" s="67" t="n">
        <f aca="false">IF(AB$226=1,Inputs!$D$54,0)</f>
        <v>0</v>
      </c>
      <c r="AC295" s="67" t="n">
        <f aca="false">IF(AC$226=1,Inputs!$D$54,0)</f>
        <v>0</v>
      </c>
      <c r="AD295" s="67" t="n">
        <f aca="false">IF(AD$226=1,Inputs!$D$54,0)</f>
        <v>0</v>
      </c>
      <c r="AE295" s="67" t="n">
        <f aca="false">IF(AE$226=1,Inputs!$D$54,0)</f>
        <v>0</v>
      </c>
      <c r="AF295" s="67" t="n">
        <f aca="false">IF(AF$226=1,Inputs!$D$54,0)</f>
        <v>0</v>
      </c>
      <c r="AG295" s="67" t="n">
        <f aca="false">IF(AG$226=1,Inputs!$D$54,0)</f>
        <v>0</v>
      </c>
      <c r="AH295" s="67" t="n">
        <f aca="false">IF(AH$226=1,Inputs!$D$54,0)</f>
        <v>0</v>
      </c>
      <c r="AI295" s="67" t="n">
        <f aca="false">IF(AI$226=1,Inputs!$D$54,0)</f>
        <v>0</v>
      </c>
      <c r="AJ295" s="67" t="n">
        <f aca="false">IF(AJ$226=1,Inputs!$D$54,0)</f>
        <v>0</v>
      </c>
      <c r="AK295" s="67" t="n">
        <f aca="false">IF(AK$226=1,Inputs!$D$54,0)</f>
        <v>0</v>
      </c>
      <c r="AL295" s="67" t="n">
        <f aca="false">IF(AL$226=1,Inputs!$D$54,0)</f>
        <v>0</v>
      </c>
      <c r="AM295" s="67" t="n">
        <f aca="false">IF(AM$226=1,Inputs!$D$54,0)</f>
        <v>0</v>
      </c>
      <c r="AN295" s="67" t="n">
        <f aca="false">IF(AN$226=1,Inputs!$D$54,0)</f>
        <v>0</v>
      </c>
      <c r="AO295" s="67" t="n">
        <f aca="false">IF(AO$226=1,Inputs!$D$54,0)</f>
        <v>0</v>
      </c>
      <c r="AP295" s="67" t="n">
        <f aca="false">IF(AP$226=1,Inputs!$D$54,0)</f>
        <v>0</v>
      </c>
      <c r="AQ295" s="67" t="n">
        <f aca="false">IF(AQ$226=1,Inputs!$D$54,0)</f>
        <v>0</v>
      </c>
      <c r="AR295" s="67" t="n">
        <f aca="false">IF(AR$226=1,Inputs!$D$54,0)</f>
        <v>0</v>
      </c>
      <c r="AS295" s="67" t="n">
        <f aca="false">IF(AS$226=1,Inputs!$D$54,0)</f>
        <v>0</v>
      </c>
      <c r="AT295" s="67" t="n">
        <f aca="false">IF(AT$226=1,Inputs!$D$54,0)</f>
        <v>0</v>
      </c>
      <c r="AU295" s="67" t="n">
        <f aca="false">IF(AU$226=1,Inputs!$D$54,0)</f>
        <v>0</v>
      </c>
      <c r="AV295" s="67" t="n">
        <f aca="false">IF(AV$226=1,Inputs!$D$54,0)</f>
        <v>0</v>
      </c>
      <c r="AW295" s="67" t="n">
        <f aca="false">IF(AW$226=1,Inputs!$D$54,0)</f>
        <v>0</v>
      </c>
      <c r="AX295" s="67" t="n">
        <f aca="false">IF(AX$226=1,Inputs!$D$54,0)</f>
        <v>0</v>
      </c>
      <c r="AY295" s="67" t="n">
        <f aca="false">IF(AY$226=1,Inputs!$D$54,0)</f>
        <v>0</v>
      </c>
      <c r="AZ295" s="67" t="n">
        <f aca="false">IF(AZ$226=1,Inputs!$D$54,0)</f>
        <v>0</v>
      </c>
      <c r="BA295" s="67" t="n">
        <f aca="false">IF(BA$226=1,Inputs!$D$54,0)</f>
        <v>0</v>
      </c>
      <c r="BB295" s="67" t="n">
        <f aca="false">IF(BB$226=1,Inputs!$D$54,0)</f>
        <v>0</v>
      </c>
      <c r="BC295" s="67" t="n">
        <f aca="false">IF(BC$226=1,Inputs!$D$54,0)</f>
        <v>0</v>
      </c>
      <c r="BD295" s="67" t="n">
        <f aca="false">IF(BD$226=1,Inputs!$D$54,0)</f>
        <v>0</v>
      </c>
      <c r="BE295" s="67" t="n">
        <f aca="false">IF(BE$226=1,Inputs!$D$54,0)</f>
        <v>0</v>
      </c>
      <c r="BF295" s="67" t="n">
        <f aca="false">IF(BF$226=1,Inputs!$D$54,0)</f>
        <v>0</v>
      </c>
      <c r="BG295" s="67" t="n">
        <f aca="false">IF(BG$226=1,Inputs!$D$54,0)</f>
        <v>0</v>
      </c>
      <c r="BH295" s="67" t="n">
        <f aca="false">IF(BH$226=1,Inputs!$D$54,0)</f>
        <v>0</v>
      </c>
      <c r="BI295" s="67" t="n">
        <f aca="false">IF(BI$226=1,Inputs!$D$54,0)</f>
        <v>0</v>
      </c>
      <c r="BJ295" s="67" t="n">
        <f aca="false">IF(BJ$226=1,Inputs!$D$54,0)</f>
        <v>0</v>
      </c>
    </row>
    <row r="296" customFormat="false" ht="15" hidden="false" customHeight="false" outlineLevel="0" collapsed="false">
      <c r="A296" s="6" t="s">
        <v>54</v>
      </c>
      <c r="C296" s="67" t="n">
        <f aca="false">C295+C280+C281</f>
        <v>500000</v>
      </c>
      <c r="D296" s="67" t="n">
        <f aca="false">D295+D280+D281</f>
        <v>-3333.33333333333</v>
      </c>
      <c r="E296" s="67" t="n">
        <f aca="false">E295+E280+E281</f>
        <v>-3333.33333333333</v>
      </c>
      <c r="F296" s="67" t="n">
        <f aca="false">F295+F280+F281</f>
        <v>-3333.33333333333</v>
      </c>
      <c r="G296" s="67" t="n">
        <f aca="false">G295+G280+G281</f>
        <v>-3333.33333333333</v>
      </c>
      <c r="H296" s="67" t="n">
        <f aca="false">H295+H280+H281</f>
        <v>-3333.33333333333</v>
      </c>
      <c r="I296" s="67" t="n">
        <f aca="false">I295+I280+I281</f>
        <v>-3333.33333333333</v>
      </c>
      <c r="J296" s="67" t="n">
        <f aca="false">J295+J280+J281</f>
        <v>-3333.33333333333</v>
      </c>
      <c r="K296" s="67" t="n">
        <f aca="false">K295+K280+K281</f>
        <v>-3333.33333333333</v>
      </c>
      <c r="L296" s="67" t="n">
        <f aca="false">L295+L280+L281</f>
        <v>-3333.33333333333</v>
      </c>
      <c r="M296" s="67" t="n">
        <f aca="false">M295+M280+M281</f>
        <v>-3333.33333333333</v>
      </c>
      <c r="N296" s="67" t="n">
        <f aca="false">N295+N280+N281</f>
        <v>-3333.33333333333</v>
      </c>
      <c r="O296" s="67" t="n">
        <f aca="false">O295+O280+O281</f>
        <v>-3333.33333333333</v>
      </c>
      <c r="P296" s="67" t="n">
        <f aca="false">P295+P280+P281</f>
        <v>-3333.33333333333</v>
      </c>
      <c r="Q296" s="67" t="n">
        <f aca="false">Q295+Q280+Q281</f>
        <v>-3333.33333333333</v>
      </c>
      <c r="R296" s="67" t="n">
        <f aca="false">R295+R280+R281</f>
        <v>-3333.33333333333</v>
      </c>
      <c r="S296" s="67" t="n">
        <f aca="false">S295+S280+S281</f>
        <v>-3333.33333333333</v>
      </c>
      <c r="T296" s="67" t="n">
        <f aca="false">T295+T280+T281</f>
        <v>-3333.33333333333</v>
      </c>
      <c r="U296" s="67" t="n">
        <f aca="false">U295+U280+U281</f>
        <v>-3333.33333333333</v>
      </c>
      <c r="V296" s="67" t="n">
        <f aca="false">V295+V280+V281</f>
        <v>-3333.33333333333</v>
      </c>
      <c r="W296" s="67" t="n">
        <f aca="false">W295+W280+W281</f>
        <v>-3333.33333333333</v>
      </c>
      <c r="X296" s="67" t="n">
        <f aca="false">X295+X280+X281</f>
        <v>-3333.33333333333</v>
      </c>
      <c r="Y296" s="67" t="n">
        <f aca="false">Y295+Y280+Y281</f>
        <v>-3333.33333333333</v>
      </c>
      <c r="Z296" s="67" t="n">
        <f aca="false">Z295+Z280+Z281</f>
        <v>-3333.33333333333</v>
      </c>
      <c r="AA296" s="67" t="n">
        <f aca="false">AA295+AA280+AA281</f>
        <v>-3333.33333333333</v>
      </c>
      <c r="AB296" s="67" t="n">
        <f aca="false">AB295+AB280+AB281</f>
        <v>-3333.33333333333</v>
      </c>
      <c r="AC296" s="67" t="n">
        <f aca="false">AC295+AC280+AC281</f>
        <v>-3333.33333333333</v>
      </c>
      <c r="AD296" s="67" t="n">
        <f aca="false">AD295+AD280+AD281</f>
        <v>-3333.33333333333</v>
      </c>
      <c r="AE296" s="67" t="n">
        <f aca="false">AE295+AE280+AE281</f>
        <v>-3333.33333333333</v>
      </c>
      <c r="AF296" s="67" t="n">
        <f aca="false">AF295+AF280+AF281</f>
        <v>-3333.33333333333</v>
      </c>
      <c r="AG296" s="67" t="n">
        <f aca="false">AG295+AG280+AG281</f>
        <v>-3333.33333333333</v>
      </c>
      <c r="AH296" s="67" t="n">
        <f aca="false">AH295+AH280+AH281</f>
        <v>-3333.33333333333</v>
      </c>
      <c r="AI296" s="67" t="n">
        <f aca="false">AI295+AI280+AI281</f>
        <v>-3333.33333333333</v>
      </c>
      <c r="AJ296" s="67" t="n">
        <f aca="false">AJ295+AJ280+AJ281</f>
        <v>-3333.33333333333</v>
      </c>
      <c r="AK296" s="67" t="n">
        <f aca="false">AK295+AK280+AK281</f>
        <v>-3333.33333333333</v>
      </c>
      <c r="AL296" s="67" t="n">
        <f aca="false">AL295+AL280+AL281</f>
        <v>-3333.33333333333</v>
      </c>
      <c r="AM296" s="67" t="n">
        <f aca="false">AM295+AM280+AM281</f>
        <v>-3333.33333333333</v>
      </c>
      <c r="AN296" s="67" t="n">
        <f aca="false">AN295+AN280+AN281</f>
        <v>-3333.33333333333</v>
      </c>
      <c r="AO296" s="67" t="n">
        <f aca="false">AO295+AO280+AO281</f>
        <v>-3333.33333333333</v>
      </c>
      <c r="AP296" s="67" t="n">
        <f aca="false">AP295+AP280+AP281</f>
        <v>-3333.33333333333</v>
      </c>
      <c r="AQ296" s="67" t="n">
        <f aca="false">AQ295+AQ280+AQ281</f>
        <v>-3333.33333333333</v>
      </c>
      <c r="AR296" s="67" t="n">
        <f aca="false">AR295+AR280+AR281</f>
        <v>-3333.33333333333</v>
      </c>
      <c r="AS296" s="67" t="n">
        <f aca="false">AS295+AS280+AS281</f>
        <v>-3333.33333333333</v>
      </c>
      <c r="AT296" s="67" t="n">
        <f aca="false">AT295+AT280+AT281</f>
        <v>-3333.33333333333</v>
      </c>
      <c r="AU296" s="67" t="n">
        <f aca="false">AU295+AU280+AU281</f>
        <v>-3333.33333333333</v>
      </c>
      <c r="AV296" s="67" t="n">
        <f aca="false">AV295+AV280+AV281</f>
        <v>-3333.33333333333</v>
      </c>
      <c r="AW296" s="67" t="n">
        <f aca="false">AW295+AW280+AW281</f>
        <v>-3333.33333333333</v>
      </c>
      <c r="AX296" s="67" t="n">
        <f aca="false">AX295+AX280+AX281</f>
        <v>-3333.33333333333</v>
      </c>
      <c r="AY296" s="67" t="n">
        <f aca="false">AY295+AY280+AY281</f>
        <v>-3333.33333333333</v>
      </c>
      <c r="AZ296" s="67" t="n">
        <f aca="false">AZ295+AZ280+AZ281</f>
        <v>-3333.33333333333</v>
      </c>
      <c r="BA296" s="67" t="n">
        <f aca="false">BA295+BA280+BA281</f>
        <v>-3333.33333333333</v>
      </c>
      <c r="BB296" s="67" t="n">
        <f aca="false">BB295+BB280+BB281</f>
        <v>-3333.33333333333</v>
      </c>
      <c r="BC296" s="67" t="n">
        <f aca="false">BC295+BC280+BC281</f>
        <v>-3333.33333333333</v>
      </c>
      <c r="BD296" s="67" t="n">
        <f aca="false">BD295+BD280+BD281</f>
        <v>-3333.33333333333</v>
      </c>
      <c r="BE296" s="67" t="n">
        <f aca="false">BE295+BE280+BE281</f>
        <v>-3333.33333333333</v>
      </c>
      <c r="BF296" s="67" t="n">
        <f aca="false">BF295+BF280+BF281</f>
        <v>-3333.33333333333</v>
      </c>
      <c r="BG296" s="67" t="n">
        <f aca="false">BG295+BG280+BG281</f>
        <v>-3333.33333333333</v>
      </c>
      <c r="BH296" s="67" t="n">
        <f aca="false">BH295+BH280+BH281</f>
        <v>-3333.33333333333</v>
      </c>
      <c r="BI296" s="67" t="n">
        <f aca="false">BI295+BI280+BI281</f>
        <v>-3333.33333333333</v>
      </c>
      <c r="BJ296" s="67" t="n">
        <f aca="false">BJ295+BJ280+BJ281</f>
        <v>-3333.33333333333</v>
      </c>
    </row>
    <row r="297" customFormat="false" ht="15" hidden="false" customHeight="false" outlineLevel="0" collapsed="false">
      <c r="A297" s="113" t="s">
        <v>424</v>
      </c>
      <c r="C297" s="68" t="n">
        <f aca="false">C293+C294+C296</f>
        <v>-20466.9005833333</v>
      </c>
      <c r="D297" s="68" t="n">
        <f aca="false">D293+D294+D296</f>
        <v>143827.531361111</v>
      </c>
      <c r="E297" s="68" t="n">
        <f aca="false">E293+E294+E296</f>
        <v>143845.086916667</v>
      </c>
      <c r="F297" s="68" t="n">
        <f aca="false">F293+F294+F296</f>
        <v>143862.642472222</v>
      </c>
      <c r="G297" s="68" t="n">
        <f aca="false">G293+G294+G296</f>
        <v>143880.198027778</v>
      </c>
      <c r="H297" s="68" t="n">
        <f aca="false">H293+H294+H296</f>
        <v>143897.753583333</v>
      </c>
      <c r="I297" s="68" t="n">
        <f aca="false">I293+I294+I296</f>
        <v>143915.309138889</v>
      </c>
      <c r="J297" s="68" t="n">
        <f aca="false">J293+J294+J296</f>
        <v>143932.864694444</v>
      </c>
      <c r="K297" s="68" t="n">
        <f aca="false">K293+K294+K296</f>
        <v>143950.42025</v>
      </c>
      <c r="L297" s="68" t="n">
        <f aca="false">L293+L294+L296</f>
        <v>143967.975805556</v>
      </c>
      <c r="M297" s="68" t="n">
        <f aca="false">M293+M294+M296</f>
        <v>143985.531361111</v>
      </c>
      <c r="N297" s="68" t="n">
        <f aca="false">N293+N294+N296</f>
        <v>144003.086916667</v>
      </c>
      <c r="O297" s="68" t="n">
        <f aca="false">O293+O294+O296</f>
        <v>5646.08606822203</v>
      </c>
      <c r="P297" s="68" t="n">
        <f aca="false">P293+P294+P296</f>
        <v>203379.136823778</v>
      </c>
      <c r="Q297" s="68" t="n">
        <f aca="false">Q293+Q294+Q296</f>
        <v>203396.692379333</v>
      </c>
      <c r="R297" s="68" t="n">
        <f aca="false">R293+R294+R296</f>
        <v>203414.247934889</v>
      </c>
      <c r="S297" s="68" t="n">
        <f aca="false">S293+S294+S296</f>
        <v>203431.803490445</v>
      </c>
      <c r="T297" s="68" t="n">
        <f aca="false">T293+T294+T296</f>
        <v>203449.359046</v>
      </c>
      <c r="U297" s="68" t="n">
        <f aca="false">U293+U294+U296</f>
        <v>203466.914601556</v>
      </c>
      <c r="V297" s="68" t="n">
        <f aca="false">V293+V294+V296</f>
        <v>203484.470157111</v>
      </c>
      <c r="W297" s="68" t="n">
        <f aca="false">W293+W294+W296</f>
        <v>203502.025712667</v>
      </c>
      <c r="X297" s="68" t="n">
        <f aca="false">X293+X294+X296</f>
        <v>203519.581268222</v>
      </c>
      <c r="Y297" s="68" t="n">
        <f aca="false">Y293+Y294+Y296</f>
        <v>203537.136823778</v>
      </c>
      <c r="Z297" s="68" t="n">
        <f aca="false">Z293+Z294+Z296</f>
        <v>203554.692379333</v>
      </c>
      <c r="AA297" s="68" t="n">
        <f aca="false">AA293+AA294+AA296</f>
        <v>20613.1879508952</v>
      </c>
      <c r="AB297" s="68" t="n">
        <f aca="false">AB293+AB294+AB296</f>
        <v>283980.854443651</v>
      </c>
      <c r="AC297" s="68" t="n">
        <f aca="false">AC293+AC294+AC296</f>
        <v>283998.409999206</v>
      </c>
      <c r="AD297" s="68" t="n">
        <f aca="false">AD293+AD294+AD296</f>
        <v>284015.965554762</v>
      </c>
      <c r="AE297" s="68" t="n">
        <f aca="false">AE293+AE294+AE296</f>
        <v>284033.521110317</v>
      </c>
      <c r="AF297" s="68" t="n">
        <f aca="false">AF293+AF294+AF296</f>
        <v>284051.076665873</v>
      </c>
      <c r="AG297" s="68" t="n">
        <f aca="false">AG293+AG294+AG296</f>
        <v>284068.632221428</v>
      </c>
      <c r="AH297" s="68" t="n">
        <f aca="false">AH293+AH294+AH296</f>
        <v>284086.187776984</v>
      </c>
      <c r="AI297" s="68" t="n">
        <f aca="false">AI293+AI294+AI296</f>
        <v>284103.743332539</v>
      </c>
      <c r="AJ297" s="68" t="n">
        <f aca="false">AJ293+AJ294+AJ296</f>
        <v>284121.298888095</v>
      </c>
      <c r="AK297" s="68" t="n">
        <f aca="false">AK293+AK294+AK296</f>
        <v>284138.85444365</v>
      </c>
      <c r="AL297" s="68" t="n">
        <f aca="false">AL293+AL294+AL296</f>
        <v>284156.409999206</v>
      </c>
      <c r="AM297" s="68" t="n">
        <f aca="false">AM293+AM294+AM296</f>
        <v>41935.4537129203</v>
      </c>
      <c r="AN297" s="68" t="n">
        <f aca="false">AN293+AN294+AN296</f>
        <v>393079.602277466</v>
      </c>
      <c r="AO297" s="68" t="n">
        <f aca="false">AO293+AO294+AO296</f>
        <v>393097.157833022</v>
      </c>
      <c r="AP297" s="68" t="n">
        <f aca="false">AP293+AP294+AP296</f>
        <v>393114.713388578</v>
      </c>
      <c r="AQ297" s="68" t="n">
        <f aca="false">AQ293+AQ294+AQ296</f>
        <v>393132.268944133</v>
      </c>
      <c r="AR297" s="68" t="n">
        <f aca="false">AR293+AR294+AR296</f>
        <v>393149.824499689</v>
      </c>
      <c r="AS297" s="68" t="n">
        <f aca="false">AS293+AS294+AS296</f>
        <v>393167.380055244</v>
      </c>
      <c r="AT297" s="68" t="n">
        <f aca="false">AT293+AT294+AT296</f>
        <v>393184.9356108</v>
      </c>
      <c r="AU297" s="68" t="n">
        <f aca="false">AU293+AU294+AU296</f>
        <v>393202.491166356</v>
      </c>
      <c r="AV297" s="68" t="n">
        <f aca="false">AV293+AV294+AV296</f>
        <v>393220.046721911</v>
      </c>
      <c r="AW297" s="68" t="n">
        <f aca="false">AW293+AW294+AW296</f>
        <v>393237.602277466</v>
      </c>
      <c r="AX297" s="68" t="n">
        <f aca="false">AX293+AX294+AX296</f>
        <v>393255.157833022</v>
      </c>
      <c r="AY297" s="68" t="n">
        <f aca="false">AY293+AY294+AY296</f>
        <v>72132.9673605026</v>
      </c>
      <c r="AZ297" s="68" t="n">
        <f aca="false">AZ293+AZ294+AZ296</f>
        <v>540759.102002407</v>
      </c>
      <c r="BA297" s="68" t="n">
        <f aca="false">BA293+BA294+BA296</f>
        <v>540776.657557962</v>
      </c>
      <c r="BB297" s="68" t="n">
        <f aca="false">BB293+BB294+BB296</f>
        <v>540794.213113518</v>
      </c>
      <c r="BC297" s="68" t="n">
        <f aca="false">BC293+BC294+BC296</f>
        <v>540811.768669073</v>
      </c>
      <c r="BD297" s="68" t="n">
        <f aca="false">BD293+BD294+BD296</f>
        <v>540829.324224629</v>
      </c>
      <c r="BE297" s="68" t="n">
        <f aca="false">BE293+BE294+BE296</f>
        <v>540846.879780185</v>
      </c>
      <c r="BF297" s="68" t="n">
        <f aca="false">BF293+BF294+BF296</f>
        <v>540864.43533574</v>
      </c>
      <c r="BG297" s="68" t="n">
        <f aca="false">BG293+BG294+BG296</f>
        <v>540881.990891296</v>
      </c>
      <c r="BH297" s="68" t="n">
        <f aca="false">BH293+BH294+BH296</f>
        <v>540899.546446851</v>
      </c>
      <c r="BI297" s="68" t="n">
        <f aca="false">BI293+BI294+BI296</f>
        <v>540917.102002407</v>
      </c>
      <c r="BJ297" s="68" t="n">
        <f aca="false">BJ293+BJ294+BJ296</f>
        <v>540934.657557962</v>
      </c>
    </row>
    <row r="298" customFormat="false" ht="15" hidden="false" customHeight="false" outlineLevel="0" collapsed="false">
      <c r="A298" s="6" t="s">
        <v>336</v>
      </c>
      <c r="C298" s="67" t="n">
        <f aca="false">0</f>
        <v>0</v>
      </c>
      <c r="D298" s="67" t="n">
        <f aca="false">C299</f>
        <v>-20466.9005833333</v>
      </c>
      <c r="E298" s="67" t="n">
        <f aca="false">D299</f>
        <v>123360.630777778</v>
      </c>
      <c r="F298" s="67" t="n">
        <f aca="false">E299</f>
        <v>267205.717694445</v>
      </c>
      <c r="G298" s="67" t="n">
        <f aca="false">F299</f>
        <v>411068.360166667</v>
      </c>
      <c r="H298" s="67" t="n">
        <f aca="false">G299</f>
        <v>554948.558194445</v>
      </c>
      <c r="I298" s="67" t="n">
        <f aca="false">H299</f>
        <v>698846.311777778</v>
      </c>
      <c r="J298" s="67" t="n">
        <f aca="false">I299</f>
        <v>842761.620916667</v>
      </c>
      <c r="K298" s="67" t="n">
        <f aca="false">J299</f>
        <v>986694.485611111</v>
      </c>
      <c r="L298" s="67" t="n">
        <f aca="false">K299</f>
        <v>1130644.90586111</v>
      </c>
      <c r="M298" s="67" t="n">
        <f aca="false">L299</f>
        <v>1274612.88166667</v>
      </c>
      <c r="N298" s="67" t="n">
        <f aca="false">M299</f>
        <v>1418598.41302778</v>
      </c>
      <c r="O298" s="67" t="n">
        <f aca="false">N299</f>
        <v>1562601.49994444</v>
      </c>
      <c r="P298" s="67" t="n">
        <f aca="false">O299</f>
        <v>1568247.58601267</v>
      </c>
      <c r="Q298" s="67" t="n">
        <f aca="false">P299</f>
        <v>1771626.72283644</v>
      </c>
      <c r="R298" s="67" t="n">
        <f aca="false">Q299</f>
        <v>1975023.41521578</v>
      </c>
      <c r="S298" s="67" t="n">
        <f aca="false">R299</f>
        <v>2178437.66315067</v>
      </c>
      <c r="T298" s="67" t="n">
        <f aca="false">S299</f>
        <v>2381869.46664111</v>
      </c>
      <c r="U298" s="67" t="n">
        <f aca="false">T299</f>
        <v>2585318.82568711</v>
      </c>
      <c r="V298" s="67" t="n">
        <f aca="false">U299</f>
        <v>2788785.74028867</v>
      </c>
      <c r="W298" s="67" t="n">
        <f aca="false">V299</f>
        <v>2992270.21044578</v>
      </c>
      <c r="X298" s="67" t="n">
        <f aca="false">W299</f>
        <v>3195772.23615844</v>
      </c>
      <c r="Y298" s="67" t="n">
        <f aca="false">X299</f>
        <v>3399291.81742667</v>
      </c>
      <c r="Z298" s="67" t="n">
        <f aca="false">Y299</f>
        <v>3602828.95425044</v>
      </c>
      <c r="AA298" s="67" t="n">
        <f aca="false">Z299</f>
        <v>3806383.64662978</v>
      </c>
      <c r="AB298" s="67" t="n">
        <f aca="false">AA299</f>
        <v>3826996.83458067</v>
      </c>
      <c r="AC298" s="67" t="n">
        <f aca="false">AB299</f>
        <v>4110977.68902432</v>
      </c>
      <c r="AD298" s="67" t="n">
        <f aca="false">AC299</f>
        <v>4394976.09902353</v>
      </c>
      <c r="AE298" s="67" t="n">
        <f aca="false">AD299</f>
        <v>4678992.06457829</v>
      </c>
      <c r="AF298" s="67" t="n">
        <f aca="false">AE299</f>
        <v>4963025.58568861</v>
      </c>
      <c r="AG298" s="67" t="n">
        <f aca="false">AF299</f>
        <v>5247076.66235448</v>
      </c>
      <c r="AH298" s="67" t="n">
        <f aca="false">AG299</f>
        <v>5531145.29457591</v>
      </c>
      <c r="AI298" s="67" t="n">
        <f aca="false">AH299</f>
        <v>5815231.48235289</v>
      </c>
      <c r="AJ298" s="67" t="n">
        <f aca="false">AI299</f>
        <v>6099335.22568543</v>
      </c>
      <c r="AK298" s="67" t="n">
        <f aca="false">AJ299</f>
        <v>6383456.52457353</v>
      </c>
      <c r="AL298" s="67" t="n">
        <f aca="false">AK299</f>
        <v>6667595.37901718</v>
      </c>
      <c r="AM298" s="67" t="n">
        <f aca="false">AL299</f>
        <v>6951751.78901639</v>
      </c>
      <c r="AN298" s="67" t="n">
        <f aca="false">AM299</f>
        <v>6993687.24272931</v>
      </c>
      <c r="AO298" s="67" t="n">
        <f aca="false">AN299</f>
        <v>7386766.84500677</v>
      </c>
      <c r="AP298" s="67" t="n">
        <f aca="false">AO299</f>
        <v>7779864.00283979</v>
      </c>
      <c r="AQ298" s="67" t="n">
        <f aca="false">AP299</f>
        <v>8172978.71622837</v>
      </c>
      <c r="AR298" s="67" t="n">
        <f aca="false">AQ299</f>
        <v>8566110.98517251</v>
      </c>
      <c r="AS298" s="67" t="n">
        <f aca="false">AR299</f>
        <v>8959260.80967219</v>
      </c>
      <c r="AT298" s="67" t="n">
        <f aca="false">AS299</f>
        <v>9352428.18972744</v>
      </c>
      <c r="AU298" s="67" t="n">
        <f aca="false">AT299</f>
        <v>9745613.12533824</v>
      </c>
      <c r="AV298" s="67" t="n">
        <f aca="false">AU299</f>
        <v>10138815.6165046</v>
      </c>
      <c r="AW298" s="67" t="n">
        <f aca="false">AV299</f>
        <v>10532035.6632265</v>
      </c>
      <c r="AX298" s="67" t="n">
        <f aca="false">AW299</f>
        <v>10925273.265504</v>
      </c>
      <c r="AY298" s="67" t="n">
        <f aca="false">AX299</f>
        <v>11318528.423337</v>
      </c>
      <c r="AZ298" s="67" t="n">
        <f aca="false">AY299</f>
        <v>11390661.3906975</v>
      </c>
      <c r="BA298" s="67" t="n">
        <f aca="false">AZ299</f>
        <v>11931420.4926999</v>
      </c>
      <c r="BB298" s="67" t="n">
        <f aca="false">BA299</f>
        <v>12472197.1502579</v>
      </c>
      <c r="BC298" s="67" t="n">
        <f aca="false">BB299</f>
        <v>13012991.3633714</v>
      </c>
      <c r="BD298" s="67" t="n">
        <f aca="false">BC299</f>
        <v>13553803.1320405</v>
      </c>
      <c r="BE298" s="67" t="n">
        <f aca="false">BD299</f>
        <v>14094632.4562651</v>
      </c>
      <c r="BF298" s="67" t="n">
        <f aca="false">BE299</f>
        <v>14635479.3360453</v>
      </c>
      <c r="BG298" s="67" t="n">
        <f aca="false">BF299</f>
        <v>15176343.771381</v>
      </c>
      <c r="BH298" s="67" t="n">
        <f aca="false">BG299</f>
        <v>15717225.7622723</v>
      </c>
      <c r="BI298" s="67" t="n">
        <f aca="false">BH299</f>
        <v>16258125.3087192</v>
      </c>
      <c r="BJ298" s="67" t="n">
        <f aca="false">BI299</f>
        <v>16799042.4107216</v>
      </c>
    </row>
    <row r="299" customFormat="false" ht="15" hidden="false" customHeight="false" outlineLevel="0" collapsed="false">
      <c r="A299" s="113" t="s">
        <v>87</v>
      </c>
      <c r="C299" s="68" t="n">
        <f aca="false">C298+C297</f>
        <v>-20466.9005833333</v>
      </c>
      <c r="D299" s="68" t="n">
        <f aca="false">D298+D297</f>
        <v>123360.630777778</v>
      </c>
      <c r="E299" s="68" t="n">
        <f aca="false">E298+E297</f>
        <v>267205.717694445</v>
      </c>
      <c r="F299" s="68" t="n">
        <f aca="false">F298+F297</f>
        <v>411068.360166667</v>
      </c>
      <c r="G299" s="68" t="n">
        <f aca="false">G298+G297</f>
        <v>554948.558194445</v>
      </c>
      <c r="H299" s="68" t="n">
        <f aca="false">H298+H297</f>
        <v>698846.311777778</v>
      </c>
      <c r="I299" s="68" t="n">
        <f aca="false">I298+I297</f>
        <v>842761.620916667</v>
      </c>
      <c r="J299" s="68" t="n">
        <f aca="false">J298+J297</f>
        <v>986694.485611111</v>
      </c>
      <c r="K299" s="68" t="n">
        <f aca="false">K298+K297</f>
        <v>1130644.90586111</v>
      </c>
      <c r="L299" s="68" t="n">
        <f aca="false">L298+L297</f>
        <v>1274612.88166667</v>
      </c>
      <c r="M299" s="68" t="n">
        <f aca="false">M298+M297</f>
        <v>1418598.41302778</v>
      </c>
      <c r="N299" s="68" t="n">
        <f aca="false">N298+N297</f>
        <v>1562601.49994444</v>
      </c>
      <c r="O299" s="68" t="n">
        <f aca="false">O298+O297</f>
        <v>1568247.58601267</v>
      </c>
      <c r="P299" s="68" t="n">
        <f aca="false">P298+P297</f>
        <v>1771626.72283644</v>
      </c>
      <c r="Q299" s="68" t="n">
        <f aca="false">Q298+Q297</f>
        <v>1975023.41521578</v>
      </c>
      <c r="R299" s="68" t="n">
        <f aca="false">R298+R297</f>
        <v>2178437.66315067</v>
      </c>
      <c r="S299" s="68" t="n">
        <f aca="false">S298+S297</f>
        <v>2381869.46664111</v>
      </c>
      <c r="T299" s="68" t="n">
        <f aca="false">T298+T297</f>
        <v>2585318.82568711</v>
      </c>
      <c r="U299" s="68" t="n">
        <f aca="false">U298+U297</f>
        <v>2788785.74028867</v>
      </c>
      <c r="V299" s="68" t="n">
        <f aca="false">V298+V297</f>
        <v>2992270.21044578</v>
      </c>
      <c r="W299" s="68" t="n">
        <f aca="false">W298+W297</f>
        <v>3195772.23615844</v>
      </c>
      <c r="X299" s="68" t="n">
        <f aca="false">X298+X297</f>
        <v>3399291.81742667</v>
      </c>
      <c r="Y299" s="68" t="n">
        <f aca="false">Y298+Y297</f>
        <v>3602828.95425044</v>
      </c>
      <c r="Z299" s="68" t="n">
        <f aca="false">Z298+Z297</f>
        <v>3806383.64662978</v>
      </c>
      <c r="AA299" s="68" t="n">
        <f aca="false">AA298+AA297</f>
        <v>3826996.83458067</v>
      </c>
      <c r="AB299" s="68" t="n">
        <f aca="false">AB298+AB297</f>
        <v>4110977.68902432</v>
      </c>
      <c r="AC299" s="68" t="n">
        <f aca="false">AC298+AC297</f>
        <v>4394976.09902353</v>
      </c>
      <c r="AD299" s="68" t="n">
        <f aca="false">AD298+AD297</f>
        <v>4678992.06457829</v>
      </c>
      <c r="AE299" s="68" t="n">
        <f aca="false">AE298+AE297</f>
        <v>4963025.58568861</v>
      </c>
      <c r="AF299" s="68" t="n">
        <f aca="false">AF298+AF297</f>
        <v>5247076.66235448</v>
      </c>
      <c r="AG299" s="68" t="n">
        <f aca="false">AG298+AG297</f>
        <v>5531145.29457591</v>
      </c>
      <c r="AH299" s="68" t="n">
        <f aca="false">AH298+AH297</f>
        <v>5815231.48235289</v>
      </c>
      <c r="AI299" s="68" t="n">
        <f aca="false">AI298+AI297</f>
        <v>6099335.22568543</v>
      </c>
      <c r="AJ299" s="68" t="n">
        <f aca="false">AJ298+AJ297</f>
        <v>6383456.52457353</v>
      </c>
      <c r="AK299" s="68" t="n">
        <f aca="false">AK298+AK297</f>
        <v>6667595.37901718</v>
      </c>
      <c r="AL299" s="68" t="n">
        <f aca="false">AL298+AL297</f>
        <v>6951751.78901639</v>
      </c>
      <c r="AM299" s="68" t="n">
        <f aca="false">AM298+AM297</f>
        <v>6993687.24272931</v>
      </c>
      <c r="AN299" s="68" t="n">
        <f aca="false">AN298+AN297</f>
        <v>7386766.84500677</v>
      </c>
      <c r="AO299" s="68" t="n">
        <f aca="false">AO298+AO297</f>
        <v>7779864.00283979</v>
      </c>
      <c r="AP299" s="68" t="n">
        <f aca="false">AP298+AP297</f>
        <v>8172978.71622837</v>
      </c>
      <c r="AQ299" s="68" t="n">
        <f aca="false">AQ298+AQ297</f>
        <v>8566110.98517251</v>
      </c>
      <c r="AR299" s="68" t="n">
        <f aca="false">AR298+AR297</f>
        <v>8959260.80967219</v>
      </c>
      <c r="AS299" s="68" t="n">
        <f aca="false">AS298+AS297</f>
        <v>9352428.18972744</v>
      </c>
      <c r="AT299" s="68" t="n">
        <f aca="false">AT298+AT297</f>
        <v>9745613.12533824</v>
      </c>
      <c r="AU299" s="68" t="n">
        <f aca="false">AU298+AU297</f>
        <v>10138815.6165046</v>
      </c>
      <c r="AV299" s="68" t="n">
        <f aca="false">AV298+AV297</f>
        <v>10532035.6632265</v>
      </c>
      <c r="AW299" s="68" t="n">
        <f aca="false">AW298+AW297</f>
        <v>10925273.265504</v>
      </c>
      <c r="AX299" s="68" t="n">
        <f aca="false">AX298+AX297</f>
        <v>11318528.423337</v>
      </c>
      <c r="AY299" s="68" t="n">
        <f aca="false">AY298+AY297</f>
        <v>11390661.3906975</v>
      </c>
      <c r="AZ299" s="68" t="n">
        <f aca="false">AZ298+AZ297</f>
        <v>11931420.4926999</v>
      </c>
      <c r="BA299" s="68" t="n">
        <f aca="false">BA298+BA297</f>
        <v>12472197.1502579</v>
      </c>
      <c r="BB299" s="68" t="n">
        <f aca="false">BB298+BB297</f>
        <v>13012991.3633714</v>
      </c>
      <c r="BC299" s="68" t="n">
        <f aca="false">BC298+BC297</f>
        <v>13553803.1320405</v>
      </c>
      <c r="BD299" s="68" t="n">
        <f aca="false">BD298+BD297</f>
        <v>14094632.4562651</v>
      </c>
      <c r="BE299" s="68" t="n">
        <f aca="false">BE298+BE297</f>
        <v>14635479.3360453</v>
      </c>
      <c r="BF299" s="68" t="n">
        <f aca="false">BF298+BF297</f>
        <v>15176343.771381</v>
      </c>
      <c r="BG299" s="68" t="n">
        <f aca="false">BG298+BG297</f>
        <v>15717225.7622723</v>
      </c>
      <c r="BH299" s="68" t="n">
        <f aca="false">BH298+BH297</f>
        <v>16258125.3087192</v>
      </c>
      <c r="BI299" s="68" t="n">
        <f aca="false">BI298+BI297</f>
        <v>16799042.4107216</v>
      </c>
      <c r="BJ299" s="68" t="n">
        <f aca="false">BJ298+BJ297</f>
        <v>17339977.0682795</v>
      </c>
    </row>
    <row r="300" customFormat="false" ht="15" hidden="false" customHeight="false" outlineLevel="0" collapsed="false">
      <c r="A300" s="120" t="s">
        <v>425</v>
      </c>
      <c r="C300" s="117" t="n">
        <f aca="false">IF(C260&gt;0,1,0)</f>
        <v>1</v>
      </c>
      <c r="D300" s="117" t="n">
        <f aca="false">IF(D260&gt;0,1,0)</f>
        <v>1</v>
      </c>
      <c r="E300" s="117" t="n">
        <f aca="false">IF(E260&gt;0,1,0)</f>
        <v>1</v>
      </c>
      <c r="F300" s="117" t="n">
        <f aca="false">IF(F260&gt;0,1,0)</f>
        <v>1</v>
      </c>
      <c r="G300" s="117" t="n">
        <f aca="false">IF(G260&gt;0,1,0)</f>
        <v>1</v>
      </c>
      <c r="H300" s="117" t="n">
        <f aca="false">IF(H260&gt;0,1,0)</f>
        <v>1</v>
      </c>
      <c r="I300" s="117" t="n">
        <f aca="false">IF(I260&gt;0,1,0)</f>
        <v>1</v>
      </c>
      <c r="J300" s="117" t="n">
        <f aca="false">IF(J260&gt;0,1,0)</f>
        <v>1</v>
      </c>
      <c r="K300" s="117" t="n">
        <f aca="false">IF(K260&gt;0,1,0)</f>
        <v>1</v>
      </c>
      <c r="L300" s="117" t="n">
        <f aca="false">IF(L260&gt;0,1,0)</f>
        <v>1</v>
      </c>
      <c r="M300" s="117" t="n">
        <f aca="false">IF(M260&gt;0,1,0)</f>
        <v>1</v>
      </c>
      <c r="N300" s="117" t="n">
        <f aca="false">IF(N260&gt;0,1,0)</f>
        <v>1</v>
      </c>
      <c r="O300" s="117" t="n">
        <f aca="false">IF(O260&gt;0,1,0)</f>
        <v>1</v>
      </c>
      <c r="P300" s="117" t="n">
        <f aca="false">IF(P260&gt;0,1,0)</f>
        <v>1</v>
      </c>
      <c r="Q300" s="117" t="n">
        <f aca="false">IF(Q260&gt;0,1,0)</f>
        <v>1</v>
      </c>
      <c r="R300" s="117" t="n">
        <f aca="false">IF(R260&gt;0,1,0)</f>
        <v>1</v>
      </c>
      <c r="S300" s="117" t="n">
        <f aca="false">IF(S260&gt;0,1,0)</f>
        <v>1</v>
      </c>
      <c r="T300" s="117" t="n">
        <f aca="false">IF(T260&gt;0,1,0)</f>
        <v>1</v>
      </c>
      <c r="U300" s="117" t="n">
        <f aca="false">IF(U260&gt;0,1,0)</f>
        <v>1</v>
      </c>
      <c r="V300" s="117" t="n">
        <f aca="false">IF(V260&gt;0,1,0)</f>
        <v>1</v>
      </c>
      <c r="W300" s="117" t="n">
        <f aca="false">IF(W260&gt;0,1,0)</f>
        <v>1</v>
      </c>
      <c r="X300" s="117" t="n">
        <f aca="false">IF(X260&gt;0,1,0)</f>
        <v>1</v>
      </c>
      <c r="Y300" s="117" t="n">
        <f aca="false">IF(Y260&gt;0,1,0)</f>
        <v>1</v>
      </c>
      <c r="Z300" s="117" t="n">
        <f aca="false">IF(Z260&gt;0,1,0)</f>
        <v>1</v>
      </c>
      <c r="AA300" s="117" t="n">
        <f aca="false">IF(AA260&gt;0,1,0)</f>
        <v>1</v>
      </c>
      <c r="AB300" s="117" t="n">
        <f aca="false">IF(AB260&gt;0,1,0)</f>
        <v>1</v>
      </c>
      <c r="AC300" s="117" t="n">
        <f aca="false">IF(AC260&gt;0,1,0)</f>
        <v>1</v>
      </c>
      <c r="AD300" s="117" t="n">
        <f aca="false">IF(AD260&gt;0,1,0)</f>
        <v>1</v>
      </c>
      <c r="AE300" s="117" t="n">
        <f aca="false">IF(AE260&gt;0,1,0)</f>
        <v>1</v>
      </c>
      <c r="AF300" s="117" t="n">
        <f aca="false">IF(AF260&gt;0,1,0)</f>
        <v>1</v>
      </c>
      <c r="AG300" s="117" t="n">
        <f aca="false">IF(AG260&gt;0,1,0)</f>
        <v>1</v>
      </c>
      <c r="AH300" s="117" t="n">
        <f aca="false">IF(AH260&gt;0,1,0)</f>
        <v>1</v>
      </c>
      <c r="AI300" s="117" t="n">
        <f aca="false">IF(AI260&gt;0,1,0)</f>
        <v>1</v>
      </c>
      <c r="AJ300" s="117" t="n">
        <f aca="false">IF(AJ260&gt;0,1,0)</f>
        <v>1</v>
      </c>
      <c r="AK300" s="117" t="n">
        <f aca="false">IF(AK260&gt;0,1,0)</f>
        <v>1</v>
      </c>
      <c r="AL300" s="117" t="n">
        <f aca="false">IF(AL260&gt;0,1,0)</f>
        <v>1</v>
      </c>
      <c r="AM300" s="117" t="n">
        <f aca="false">IF(AM260&gt;0,1,0)</f>
        <v>1</v>
      </c>
      <c r="AN300" s="117" t="n">
        <f aca="false">IF(AN260&gt;0,1,0)</f>
        <v>1</v>
      </c>
      <c r="AO300" s="117" t="n">
        <f aca="false">IF(AO260&gt;0,1,0)</f>
        <v>1</v>
      </c>
      <c r="AP300" s="117" t="n">
        <f aca="false">IF(AP260&gt;0,1,0)</f>
        <v>1</v>
      </c>
      <c r="AQ300" s="117" t="n">
        <f aca="false">IF(AQ260&gt;0,1,0)</f>
        <v>1</v>
      </c>
      <c r="AR300" s="117" t="n">
        <f aca="false">IF(AR260&gt;0,1,0)</f>
        <v>1</v>
      </c>
      <c r="AS300" s="117" t="n">
        <f aca="false">IF(AS260&gt;0,1,0)</f>
        <v>1</v>
      </c>
      <c r="AT300" s="117" t="n">
        <f aca="false">IF(AT260&gt;0,1,0)</f>
        <v>1</v>
      </c>
      <c r="AU300" s="117" t="n">
        <f aca="false">IF(AU260&gt;0,1,0)</f>
        <v>1</v>
      </c>
      <c r="AV300" s="117" t="n">
        <f aca="false">IF(AV260&gt;0,1,0)</f>
        <v>1</v>
      </c>
      <c r="AW300" s="117" t="n">
        <f aca="false">IF(AW260&gt;0,1,0)</f>
        <v>1</v>
      </c>
      <c r="AX300" s="117" t="n">
        <f aca="false">IF(AX260&gt;0,1,0)</f>
        <v>1</v>
      </c>
      <c r="AY300" s="117" t="n">
        <f aca="false">IF(AY260&gt;0,1,0)</f>
        <v>1</v>
      </c>
      <c r="AZ300" s="117" t="n">
        <f aca="false">IF(AZ260&gt;0,1,0)</f>
        <v>1</v>
      </c>
      <c r="BA300" s="117" t="n">
        <f aca="false">IF(BA260&gt;0,1,0)</f>
        <v>1</v>
      </c>
      <c r="BB300" s="117" t="n">
        <f aca="false">IF(BB260&gt;0,1,0)</f>
        <v>1</v>
      </c>
      <c r="BC300" s="117" t="n">
        <f aca="false">IF(BC260&gt;0,1,0)</f>
        <v>1</v>
      </c>
      <c r="BD300" s="117" t="n">
        <f aca="false">IF(BD260&gt;0,1,0)</f>
        <v>1</v>
      </c>
      <c r="BE300" s="117" t="n">
        <f aca="false">IF(BE260&gt;0,1,0)</f>
        <v>1</v>
      </c>
      <c r="BF300" s="117" t="n">
        <f aca="false">IF(BF260&gt;0,1,0)</f>
        <v>1</v>
      </c>
      <c r="BG300" s="117" t="n">
        <f aca="false">IF(BG260&gt;0,1,0)</f>
        <v>1</v>
      </c>
      <c r="BH300" s="117" t="n">
        <f aca="false">IF(BH260&gt;0,1,0)</f>
        <v>1</v>
      </c>
      <c r="BI300" s="117" t="n">
        <f aca="false">IF(BI260&gt;0,1,0)</f>
        <v>1</v>
      </c>
      <c r="BJ300" s="117" t="n">
        <f aca="false">IF(BJ260&gt;0,1,0)</f>
        <v>1</v>
      </c>
    </row>
    <row r="302" customFormat="false" ht="15.75" hidden="false" customHeight="true" outlineLevel="0" collapsed="false">
      <c r="A302" s="7" t="s">
        <v>426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customFormat="false" ht="15" hidden="false" customHeight="false" outlineLevel="0" collapsed="false">
      <c r="A303" s="120" t="s">
        <v>427</v>
      </c>
      <c r="C303" s="117" t="n">
        <f aca="false">IF(C269&gt;0,1,0)</f>
        <v>1</v>
      </c>
      <c r="D303" s="117" t="n">
        <f aca="false">IF(D269&gt;0,1,0)</f>
        <v>1</v>
      </c>
      <c r="E303" s="117" t="n">
        <f aca="false">IF(E269&gt;0,1,0)</f>
        <v>1</v>
      </c>
      <c r="F303" s="117" t="n">
        <f aca="false">IF(F269&gt;0,1,0)</f>
        <v>1</v>
      </c>
      <c r="G303" s="117" t="n">
        <f aca="false">IF(G269&gt;0,1,0)</f>
        <v>1</v>
      </c>
      <c r="H303" s="117" t="n">
        <f aca="false">IF(H269&gt;0,1,0)</f>
        <v>1</v>
      </c>
      <c r="I303" s="117" t="n">
        <f aca="false">IF(I269&gt;0,1,0)</f>
        <v>1</v>
      </c>
      <c r="J303" s="117" t="n">
        <f aca="false">IF(J269&gt;0,1,0)</f>
        <v>1</v>
      </c>
      <c r="K303" s="117" t="n">
        <f aca="false">IF(K269&gt;0,1,0)</f>
        <v>1</v>
      </c>
      <c r="L303" s="117" t="n">
        <f aca="false">IF(L269&gt;0,1,0)</f>
        <v>1</v>
      </c>
      <c r="M303" s="117" t="n">
        <f aca="false">IF(M269&gt;0,1,0)</f>
        <v>1</v>
      </c>
      <c r="N303" s="117" t="n">
        <f aca="false">IF(N269&gt;0,1,0)</f>
        <v>1</v>
      </c>
      <c r="O303" s="117" t="n">
        <f aca="false">IF(O269&gt;0,1,0)</f>
        <v>1</v>
      </c>
      <c r="P303" s="117" t="n">
        <f aca="false">IF(P269&gt;0,1,0)</f>
        <v>1</v>
      </c>
      <c r="Q303" s="117" t="n">
        <f aca="false">IF(Q269&gt;0,1,0)</f>
        <v>1</v>
      </c>
      <c r="R303" s="117" t="n">
        <f aca="false">IF(R269&gt;0,1,0)</f>
        <v>1</v>
      </c>
      <c r="S303" s="117" t="n">
        <f aca="false">IF(S269&gt;0,1,0)</f>
        <v>1</v>
      </c>
      <c r="T303" s="117" t="n">
        <f aca="false">IF(T269&gt;0,1,0)</f>
        <v>1</v>
      </c>
      <c r="U303" s="117" t="n">
        <f aca="false">IF(U269&gt;0,1,0)</f>
        <v>1</v>
      </c>
      <c r="V303" s="117" t="n">
        <f aca="false">IF(V269&gt;0,1,0)</f>
        <v>1</v>
      </c>
      <c r="W303" s="117" t="n">
        <f aca="false">IF(W269&gt;0,1,0)</f>
        <v>1</v>
      </c>
      <c r="X303" s="117" t="n">
        <f aca="false">IF(X269&gt;0,1,0)</f>
        <v>1</v>
      </c>
      <c r="Y303" s="117" t="n">
        <f aca="false">IF(Y269&gt;0,1,0)</f>
        <v>1</v>
      </c>
      <c r="Z303" s="117" t="n">
        <f aca="false">IF(Z269&gt;0,1,0)</f>
        <v>1</v>
      </c>
      <c r="AA303" s="117" t="n">
        <f aca="false">IF(AA269&gt;0,1,0)</f>
        <v>1</v>
      </c>
      <c r="AB303" s="117" t="n">
        <f aca="false">IF(AB269&gt;0,1,0)</f>
        <v>1</v>
      </c>
      <c r="AC303" s="117" t="n">
        <f aca="false">IF(AC269&gt;0,1,0)</f>
        <v>1</v>
      </c>
      <c r="AD303" s="117" t="n">
        <f aca="false">IF(AD269&gt;0,1,0)</f>
        <v>1</v>
      </c>
      <c r="AE303" s="117" t="n">
        <f aca="false">IF(AE269&gt;0,1,0)</f>
        <v>1</v>
      </c>
      <c r="AF303" s="117" t="n">
        <f aca="false">IF(AF269&gt;0,1,0)</f>
        <v>1</v>
      </c>
      <c r="AG303" s="117" t="n">
        <f aca="false">IF(AG269&gt;0,1,0)</f>
        <v>1</v>
      </c>
      <c r="AH303" s="117" t="n">
        <f aca="false">IF(AH269&gt;0,1,0)</f>
        <v>1</v>
      </c>
      <c r="AI303" s="117" t="n">
        <f aca="false">IF(AI269&gt;0,1,0)</f>
        <v>1</v>
      </c>
      <c r="AJ303" s="117" t="n">
        <f aca="false">IF(AJ269&gt;0,1,0)</f>
        <v>1</v>
      </c>
      <c r="AK303" s="117" t="n">
        <f aca="false">IF(AK269&gt;0,1,0)</f>
        <v>1</v>
      </c>
      <c r="AL303" s="117" t="n">
        <f aca="false">IF(AL269&gt;0,1,0)</f>
        <v>1</v>
      </c>
      <c r="AM303" s="117" t="n">
        <f aca="false">IF(AM269&gt;0,1,0)</f>
        <v>1</v>
      </c>
      <c r="AN303" s="117" t="n">
        <f aca="false">IF(AN269&gt;0,1,0)</f>
        <v>1</v>
      </c>
      <c r="AO303" s="117" t="n">
        <f aca="false">IF(AO269&gt;0,1,0)</f>
        <v>1</v>
      </c>
      <c r="AP303" s="117" t="n">
        <f aca="false">IF(AP269&gt;0,1,0)</f>
        <v>1</v>
      </c>
      <c r="AQ303" s="117" t="n">
        <f aca="false">IF(AQ269&gt;0,1,0)</f>
        <v>1</v>
      </c>
      <c r="AR303" s="117" t="n">
        <f aca="false">IF(AR269&gt;0,1,0)</f>
        <v>1</v>
      </c>
      <c r="AS303" s="117" t="n">
        <f aca="false">IF(AS269&gt;0,1,0)</f>
        <v>1</v>
      </c>
      <c r="AT303" s="117" t="n">
        <f aca="false">IF(AT269&gt;0,1,0)</f>
        <v>1</v>
      </c>
      <c r="AU303" s="117" t="n">
        <f aca="false">IF(AU269&gt;0,1,0)</f>
        <v>1</v>
      </c>
      <c r="AV303" s="117" t="n">
        <f aca="false">IF(AV269&gt;0,1,0)</f>
        <v>1</v>
      </c>
      <c r="AW303" s="117" t="n">
        <f aca="false">IF(AW269&gt;0,1,0)</f>
        <v>1</v>
      </c>
      <c r="AX303" s="117" t="n">
        <f aca="false">IF(AX269&gt;0,1,0)</f>
        <v>1</v>
      </c>
      <c r="AY303" s="117" t="n">
        <f aca="false">IF(AY269&gt;0,1,0)</f>
        <v>1</v>
      </c>
      <c r="AZ303" s="117" t="n">
        <f aca="false">IF(AZ269&gt;0,1,0)</f>
        <v>1</v>
      </c>
      <c r="BA303" s="117" t="n">
        <f aca="false">IF(BA269&gt;0,1,0)</f>
        <v>1</v>
      </c>
      <c r="BB303" s="117" t="n">
        <f aca="false">IF(BB269&gt;0,1,0)</f>
        <v>1</v>
      </c>
      <c r="BC303" s="117" t="n">
        <f aca="false">IF(BC269&gt;0,1,0)</f>
        <v>1</v>
      </c>
      <c r="BD303" s="117" t="n">
        <f aca="false">IF(BD269&gt;0,1,0)</f>
        <v>1</v>
      </c>
      <c r="BE303" s="117" t="n">
        <f aca="false">IF(BE269&gt;0,1,0)</f>
        <v>1</v>
      </c>
      <c r="BF303" s="117" t="n">
        <f aca="false">IF(BF269&gt;0,1,0)</f>
        <v>1</v>
      </c>
      <c r="BG303" s="117" t="n">
        <f aca="false">IF(BG269&gt;0,1,0)</f>
        <v>1</v>
      </c>
      <c r="BH303" s="117" t="n">
        <f aca="false">IF(BH269&gt;0,1,0)</f>
        <v>1</v>
      </c>
      <c r="BI303" s="117" t="n">
        <f aca="false">IF(BI269&gt;0,1,0)</f>
        <v>1</v>
      </c>
      <c r="BJ303" s="117" t="n">
        <f aca="false">IF(BJ269&gt;0,1,0)</f>
        <v>1</v>
      </c>
    </row>
    <row r="304" customFormat="false" ht="15" hidden="false" customHeight="false" outlineLevel="0" collapsed="false">
      <c r="A304" s="6" t="s">
        <v>428</v>
      </c>
      <c r="C304" s="67" t="n">
        <f aca="false">C293+C294</f>
        <v>-520466.900583333</v>
      </c>
      <c r="D304" s="67" t="n">
        <f aca="false">D293+D294</f>
        <v>147160.864694444</v>
      </c>
      <c r="E304" s="67" t="n">
        <f aca="false">E293+E294</f>
        <v>147178.42025</v>
      </c>
      <c r="F304" s="67" t="n">
        <f aca="false">F293+F294</f>
        <v>147195.975805556</v>
      </c>
      <c r="G304" s="67" t="n">
        <f aca="false">G293+G294</f>
        <v>147213.531361111</v>
      </c>
      <c r="H304" s="67" t="n">
        <f aca="false">H293+H294</f>
        <v>147231.086916667</v>
      </c>
      <c r="I304" s="67" t="n">
        <f aca="false">I293+I294</f>
        <v>147248.642472222</v>
      </c>
      <c r="J304" s="67" t="n">
        <f aca="false">J293+J294</f>
        <v>147266.198027778</v>
      </c>
      <c r="K304" s="67" t="n">
        <f aca="false">K293+K294</f>
        <v>147283.753583333</v>
      </c>
      <c r="L304" s="67" t="n">
        <f aca="false">L293+L294</f>
        <v>147301.309138889</v>
      </c>
      <c r="M304" s="67" t="n">
        <f aca="false">M293+M294</f>
        <v>147318.864694444</v>
      </c>
      <c r="N304" s="67" t="n">
        <f aca="false">N293+N294</f>
        <v>147336.42025</v>
      </c>
      <c r="O304" s="67" t="n">
        <f aca="false">O293+O294</f>
        <v>8979.41940155537</v>
      </c>
      <c r="P304" s="67" t="n">
        <f aca="false">P293+P294</f>
        <v>206712.470157111</v>
      </c>
      <c r="Q304" s="67" t="n">
        <f aca="false">Q293+Q294</f>
        <v>206730.025712667</v>
      </c>
      <c r="R304" s="67" t="n">
        <f aca="false">R293+R294</f>
        <v>206747.581268222</v>
      </c>
      <c r="S304" s="67" t="n">
        <f aca="false">S293+S294</f>
        <v>206765.136823778</v>
      </c>
      <c r="T304" s="67" t="n">
        <f aca="false">T293+T294</f>
        <v>206782.692379333</v>
      </c>
      <c r="U304" s="67" t="n">
        <f aca="false">U293+U294</f>
        <v>206800.247934889</v>
      </c>
      <c r="V304" s="67" t="n">
        <f aca="false">V293+V294</f>
        <v>206817.803490445</v>
      </c>
      <c r="W304" s="67" t="n">
        <f aca="false">W293+W294</f>
        <v>206835.359046</v>
      </c>
      <c r="X304" s="67" t="n">
        <f aca="false">X293+X294</f>
        <v>206852.914601556</v>
      </c>
      <c r="Y304" s="67" t="n">
        <f aca="false">Y293+Y294</f>
        <v>206870.470157111</v>
      </c>
      <c r="Z304" s="67" t="n">
        <f aca="false">Z293+Z294</f>
        <v>206888.025712667</v>
      </c>
      <c r="AA304" s="67" t="n">
        <f aca="false">AA293+AA294</f>
        <v>23946.5212842285</v>
      </c>
      <c r="AB304" s="67" t="n">
        <f aca="false">AB293+AB294</f>
        <v>287314.187776984</v>
      </c>
      <c r="AC304" s="67" t="n">
        <f aca="false">AC293+AC294</f>
        <v>287331.743332539</v>
      </c>
      <c r="AD304" s="67" t="n">
        <f aca="false">AD293+AD294</f>
        <v>287349.298888095</v>
      </c>
      <c r="AE304" s="67" t="n">
        <f aca="false">AE293+AE294</f>
        <v>287366.85444365</v>
      </c>
      <c r="AF304" s="67" t="n">
        <f aca="false">AF293+AF294</f>
        <v>287384.409999206</v>
      </c>
      <c r="AG304" s="67" t="n">
        <f aca="false">AG293+AG294</f>
        <v>287401.965554762</v>
      </c>
      <c r="AH304" s="67" t="n">
        <f aca="false">AH293+AH294</f>
        <v>287419.521110317</v>
      </c>
      <c r="AI304" s="67" t="n">
        <f aca="false">AI293+AI294</f>
        <v>287437.076665873</v>
      </c>
      <c r="AJ304" s="67" t="n">
        <f aca="false">AJ293+AJ294</f>
        <v>287454.632221428</v>
      </c>
      <c r="AK304" s="67" t="n">
        <f aca="false">AK293+AK294</f>
        <v>287472.187776984</v>
      </c>
      <c r="AL304" s="67" t="n">
        <f aca="false">AL293+AL294</f>
        <v>287489.743332539</v>
      </c>
      <c r="AM304" s="67" t="n">
        <f aca="false">AM293+AM294</f>
        <v>45268.7870462537</v>
      </c>
      <c r="AN304" s="67" t="n">
        <f aca="false">AN293+AN294</f>
        <v>396412.9356108</v>
      </c>
      <c r="AO304" s="67" t="n">
        <f aca="false">AO293+AO294</f>
        <v>396430.491166355</v>
      </c>
      <c r="AP304" s="67" t="n">
        <f aca="false">AP293+AP294</f>
        <v>396448.046721911</v>
      </c>
      <c r="AQ304" s="67" t="n">
        <f aca="false">AQ293+AQ294</f>
        <v>396465.602277467</v>
      </c>
      <c r="AR304" s="67" t="n">
        <f aca="false">AR293+AR294</f>
        <v>396483.157833022</v>
      </c>
      <c r="AS304" s="67" t="n">
        <f aca="false">AS293+AS294</f>
        <v>396500.713388578</v>
      </c>
      <c r="AT304" s="67" t="n">
        <f aca="false">AT293+AT294</f>
        <v>396518.268944133</v>
      </c>
      <c r="AU304" s="67" t="n">
        <f aca="false">AU293+AU294</f>
        <v>396535.824499689</v>
      </c>
      <c r="AV304" s="67" t="n">
        <f aca="false">AV293+AV294</f>
        <v>396553.380055244</v>
      </c>
      <c r="AW304" s="67" t="n">
        <f aca="false">AW293+AW294</f>
        <v>396570.9356108</v>
      </c>
      <c r="AX304" s="67" t="n">
        <f aca="false">AX293+AX294</f>
        <v>396588.491166355</v>
      </c>
      <c r="AY304" s="67" t="n">
        <f aca="false">AY293+AY294</f>
        <v>75466.3006938359</v>
      </c>
      <c r="AZ304" s="67" t="n">
        <f aca="false">AZ293+AZ294</f>
        <v>544092.43533574</v>
      </c>
      <c r="BA304" s="67" t="n">
        <f aca="false">BA293+BA294</f>
        <v>544109.990891296</v>
      </c>
      <c r="BB304" s="67" t="n">
        <f aca="false">BB293+BB294</f>
        <v>544127.546446852</v>
      </c>
      <c r="BC304" s="67" t="n">
        <f aca="false">BC293+BC294</f>
        <v>544145.102002407</v>
      </c>
      <c r="BD304" s="67" t="n">
        <f aca="false">BD293+BD294</f>
        <v>544162.657557962</v>
      </c>
      <c r="BE304" s="67" t="n">
        <f aca="false">BE293+BE294</f>
        <v>544180.213113518</v>
      </c>
      <c r="BF304" s="67" t="n">
        <f aca="false">BF293+BF294</f>
        <v>544197.768669073</v>
      </c>
      <c r="BG304" s="67" t="n">
        <f aca="false">BG293+BG294</f>
        <v>544215.324224629</v>
      </c>
      <c r="BH304" s="67" t="n">
        <f aca="false">BH293+BH294</f>
        <v>544232.879780185</v>
      </c>
      <c r="BI304" s="67" t="n">
        <f aca="false">BI293+BI294</f>
        <v>544250.43533574</v>
      </c>
      <c r="BJ304" s="67" t="n">
        <f aca="false">BJ293+BJ294</f>
        <v>544267.990891296</v>
      </c>
    </row>
    <row r="305" customFormat="false" ht="15" hidden="false" customHeight="false" outlineLevel="0" collapsed="false">
      <c r="A305" s="6" t="s">
        <v>429</v>
      </c>
      <c r="C305" s="67" t="n">
        <f aca="false">C304</f>
        <v>-520466.900583333</v>
      </c>
      <c r="D305" s="67" t="n">
        <f aca="false">C305+D304</f>
        <v>-373306.035888889</v>
      </c>
      <c r="E305" s="67" t="n">
        <f aca="false">D305+E304</f>
        <v>-226127.615638889</v>
      </c>
      <c r="F305" s="67" t="n">
        <f aca="false">E305+F304</f>
        <v>-78931.6398333332</v>
      </c>
      <c r="G305" s="67" t="n">
        <f aca="false">F305+G304</f>
        <v>68281.8915277779</v>
      </c>
      <c r="H305" s="67" t="n">
        <f aca="false">G305+H304</f>
        <v>215512.978444445</v>
      </c>
      <c r="I305" s="67" t="n">
        <f aca="false">H305+I304</f>
        <v>362761.620916667</v>
      </c>
      <c r="J305" s="67" t="n">
        <f aca="false">I305+J304</f>
        <v>510027.818944445</v>
      </c>
      <c r="K305" s="67" t="n">
        <f aca="false">J305+K304</f>
        <v>657311.572527778</v>
      </c>
      <c r="L305" s="67" t="n">
        <f aca="false">K305+L304</f>
        <v>804612.881666667</v>
      </c>
      <c r="M305" s="67" t="n">
        <f aca="false">L305+M304</f>
        <v>951931.746361111</v>
      </c>
      <c r="N305" s="67" t="n">
        <f aca="false">M305+N304</f>
        <v>1099268.16661111</v>
      </c>
      <c r="O305" s="67" t="n">
        <f aca="false">N305+O304</f>
        <v>1108247.58601267</v>
      </c>
      <c r="P305" s="67" t="n">
        <f aca="false">O305+P304</f>
        <v>1314960.05616978</v>
      </c>
      <c r="Q305" s="67" t="n">
        <f aca="false">P305+Q304</f>
        <v>1521690.08188244</v>
      </c>
      <c r="R305" s="67" t="n">
        <f aca="false">Q305+R304</f>
        <v>1728437.66315067</v>
      </c>
      <c r="S305" s="67" t="n">
        <f aca="false">R305+S304</f>
        <v>1935202.79997444</v>
      </c>
      <c r="T305" s="67" t="n">
        <f aca="false">S305+T304</f>
        <v>2141985.49235378</v>
      </c>
      <c r="U305" s="67" t="n">
        <f aca="false">T305+U304</f>
        <v>2348785.74028867</v>
      </c>
      <c r="V305" s="67" t="n">
        <f aca="false">U305+V304</f>
        <v>2555603.54377911</v>
      </c>
      <c r="W305" s="67" t="n">
        <f aca="false">V305+W304</f>
        <v>2762438.90282511</v>
      </c>
      <c r="X305" s="67" t="n">
        <f aca="false">W305+X304</f>
        <v>2969291.81742667</v>
      </c>
      <c r="Y305" s="67" t="n">
        <f aca="false">X305+Y304</f>
        <v>3176162.28758378</v>
      </c>
      <c r="Z305" s="67" t="n">
        <f aca="false">Y305+Z304</f>
        <v>3383050.31329645</v>
      </c>
      <c r="AA305" s="67" t="n">
        <f aca="false">Z305+AA304</f>
        <v>3406996.83458067</v>
      </c>
      <c r="AB305" s="67" t="n">
        <f aca="false">AA305+AB304</f>
        <v>3694311.02235766</v>
      </c>
      <c r="AC305" s="67" t="n">
        <f aca="false">AB305+AC304</f>
        <v>3981642.7656902</v>
      </c>
      <c r="AD305" s="67" t="n">
        <f aca="false">AC305+AD304</f>
        <v>4268992.06457829</v>
      </c>
      <c r="AE305" s="67" t="n">
        <f aca="false">AD305+AE304</f>
        <v>4556358.91902194</v>
      </c>
      <c r="AF305" s="67" t="n">
        <f aca="false">AE305+AF304</f>
        <v>4843743.32902115</v>
      </c>
      <c r="AG305" s="67" t="n">
        <f aca="false">AF305+AG304</f>
        <v>5131145.29457591</v>
      </c>
      <c r="AH305" s="67" t="n">
        <f aca="false">AG305+AH304</f>
        <v>5418564.81568623</v>
      </c>
      <c r="AI305" s="67" t="n">
        <f aca="false">AH305+AI304</f>
        <v>5706001.8923521</v>
      </c>
      <c r="AJ305" s="67" t="n">
        <f aca="false">AI305+AJ304</f>
        <v>5993456.52457353</v>
      </c>
      <c r="AK305" s="67" t="n">
        <f aca="false">AJ305+AK304</f>
        <v>6280928.71235051</v>
      </c>
      <c r="AL305" s="67" t="n">
        <f aca="false">AK305+AL304</f>
        <v>6568418.45568305</v>
      </c>
      <c r="AM305" s="67" t="n">
        <f aca="false">AL305+AM304</f>
        <v>6613687.2427293</v>
      </c>
      <c r="AN305" s="67" t="n">
        <f aca="false">AM305+AN304</f>
        <v>7010100.1783401</v>
      </c>
      <c r="AO305" s="67" t="n">
        <f aca="false">AN305+AO304</f>
        <v>7406530.66950646</v>
      </c>
      <c r="AP305" s="67" t="n">
        <f aca="false">AO305+AP304</f>
        <v>7802978.71622837</v>
      </c>
      <c r="AQ305" s="67" t="n">
        <f aca="false">AP305+AQ304</f>
        <v>8199444.31850584</v>
      </c>
      <c r="AR305" s="67" t="n">
        <f aca="false">AQ305+AR304</f>
        <v>8595927.47633886</v>
      </c>
      <c r="AS305" s="67" t="n">
        <f aca="false">AR305+AS304</f>
        <v>8992428.18972744</v>
      </c>
      <c r="AT305" s="67" t="n">
        <f aca="false">AS305+AT304</f>
        <v>9388946.45867157</v>
      </c>
      <c r="AU305" s="67" t="n">
        <f aca="false">AT305+AU304</f>
        <v>9785482.28317126</v>
      </c>
      <c r="AV305" s="67" t="n">
        <f aca="false">AU305+AV304</f>
        <v>10182035.6632265</v>
      </c>
      <c r="AW305" s="67" t="n">
        <f aca="false">AV305+AW304</f>
        <v>10578606.5988373</v>
      </c>
      <c r="AX305" s="67" t="n">
        <f aca="false">AW305+AX304</f>
        <v>10975195.0900037</v>
      </c>
      <c r="AY305" s="67" t="n">
        <f aca="false">AX305+AY304</f>
        <v>11050661.3906975</v>
      </c>
      <c r="AZ305" s="67" t="n">
        <f aca="false">AY305+AZ304</f>
        <v>11594753.8260332</v>
      </c>
      <c r="BA305" s="67" t="n">
        <f aca="false">AZ305+BA304</f>
        <v>12138863.8169245</v>
      </c>
      <c r="BB305" s="67" t="n">
        <f aca="false">BA305+BB304</f>
        <v>12682991.3633714</v>
      </c>
      <c r="BC305" s="67" t="n">
        <f aca="false">BB305+BC304</f>
        <v>13227136.4653738</v>
      </c>
      <c r="BD305" s="67" t="n">
        <f aca="false">BC305+BD304</f>
        <v>13771299.1229318</v>
      </c>
      <c r="BE305" s="67" t="n">
        <f aca="false">BD305+BE304</f>
        <v>14315479.3360453</v>
      </c>
      <c r="BF305" s="67" t="n">
        <f aca="false">BE305+BF304</f>
        <v>14859677.1047143</v>
      </c>
      <c r="BG305" s="67" t="n">
        <f aca="false">BF305+BG304</f>
        <v>15403892.428939</v>
      </c>
      <c r="BH305" s="67" t="n">
        <f aca="false">BG305+BH304</f>
        <v>15948125.3087192</v>
      </c>
      <c r="BI305" s="67" t="n">
        <f aca="false">BH305+BI304</f>
        <v>16492375.7440549</v>
      </c>
      <c r="BJ305" s="67" t="n">
        <f aca="false">BI305+BJ304</f>
        <v>17036643.7349462</v>
      </c>
    </row>
    <row r="306" customFormat="false" ht="15" hidden="false" customHeight="false" outlineLevel="0" collapsed="false">
      <c r="A306" s="120" t="s">
        <v>430</v>
      </c>
      <c r="C306" s="67" t="n">
        <f aca="false">C305</f>
        <v>-520466.900583333</v>
      </c>
      <c r="D306" s="67" t="n">
        <f aca="false">MIN(C306,D305)</f>
        <v>-520466.900583333</v>
      </c>
      <c r="E306" s="67" t="n">
        <f aca="false">MIN(D306,E305)</f>
        <v>-520466.900583333</v>
      </c>
      <c r="F306" s="67" t="n">
        <f aca="false">MIN(E306,F305)</f>
        <v>-520466.900583333</v>
      </c>
      <c r="G306" s="67" t="n">
        <f aca="false">MIN(F306,G305)</f>
        <v>-520466.900583333</v>
      </c>
      <c r="H306" s="67" t="n">
        <f aca="false">MIN(G306,H305)</f>
        <v>-520466.900583333</v>
      </c>
      <c r="I306" s="67" t="n">
        <f aca="false">MIN(H306,I305)</f>
        <v>-520466.900583333</v>
      </c>
      <c r="J306" s="67" t="n">
        <f aca="false">MIN(I306,J305)</f>
        <v>-520466.900583333</v>
      </c>
      <c r="K306" s="67" t="n">
        <f aca="false">MIN(J306,K305)</f>
        <v>-520466.900583333</v>
      </c>
      <c r="L306" s="67" t="n">
        <f aca="false">MIN(K306,L305)</f>
        <v>-520466.900583333</v>
      </c>
      <c r="M306" s="67" t="n">
        <f aca="false">MIN(L306,M305)</f>
        <v>-520466.900583333</v>
      </c>
      <c r="N306" s="67" t="n">
        <f aca="false">MIN(M306,N305)</f>
        <v>-520466.900583333</v>
      </c>
      <c r="O306" s="67" t="n">
        <f aca="false">MIN(N306,O305)</f>
        <v>-520466.900583333</v>
      </c>
      <c r="P306" s="67" t="n">
        <f aca="false">MIN(O306,P305)</f>
        <v>-520466.900583333</v>
      </c>
      <c r="Q306" s="67" t="n">
        <f aca="false">MIN(P306,Q305)</f>
        <v>-520466.900583333</v>
      </c>
      <c r="R306" s="67" t="n">
        <f aca="false">MIN(Q306,R305)</f>
        <v>-520466.900583333</v>
      </c>
      <c r="S306" s="67" t="n">
        <f aca="false">MIN(R306,S305)</f>
        <v>-520466.900583333</v>
      </c>
      <c r="T306" s="67" t="n">
        <f aca="false">MIN(S306,T305)</f>
        <v>-520466.900583333</v>
      </c>
      <c r="U306" s="67" t="n">
        <f aca="false">MIN(T306,U305)</f>
        <v>-520466.900583333</v>
      </c>
      <c r="V306" s="67" t="n">
        <f aca="false">MIN(U306,V305)</f>
        <v>-520466.900583333</v>
      </c>
      <c r="W306" s="67" t="n">
        <f aca="false">MIN(V306,W305)</f>
        <v>-520466.900583333</v>
      </c>
      <c r="X306" s="67" t="n">
        <f aca="false">MIN(W306,X305)</f>
        <v>-520466.900583333</v>
      </c>
      <c r="Y306" s="67" t="n">
        <f aca="false">MIN(X306,Y305)</f>
        <v>-520466.900583333</v>
      </c>
      <c r="Z306" s="67" t="n">
        <f aca="false">MIN(Y306,Z305)</f>
        <v>-520466.900583333</v>
      </c>
      <c r="AA306" s="67" t="n">
        <f aca="false">MIN(Z306,AA305)</f>
        <v>-520466.900583333</v>
      </c>
      <c r="AB306" s="67" t="n">
        <f aca="false">MIN(AA306,AB305)</f>
        <v>-520466.900583333</v>
      </c>
      <c r="AC306" s="67" t="n">
        <f aca="false">MIN(AB306,AC305)</f>
        <v>-520466.900583333</v>
      </c>
      <c r="AD306" s="67" t="n">
        <f aca="false">MIN(AC306,AD305)</f>
        <v>-520466.900583333</v>
      </c>
      <c r="AE306" s="67" t="n">
        <f aca="false">MIN(AD306,AE305)</f>
        <v>-520466.900583333</v>
      </c>
      <c r="AF306" s="67" t="n">
        <f aca="false">MIN(AE306,AF305)</f>
        <v>-520466.900583333</v>
      </c>
      <c r="AG306" s="67" t="n">
        <f aca="false">MIN(AF306,AG305)</f>
        <v>-520466.900583333</v>
      </c>
      <c r="AH306" s="67" t="n">
        <f aca="false">MIN(AG306,AH305)</f>
        <v>-520466.900583333</v>
      </c>
      <c r="AI306" s="67" t="n">
        <f aca="false">MIN(AH306,AI305)</f>
        <v>-520466.900583333</v>
      </c>
      <c r="AJ306" s="67" t="n">
        <f aca="false">MIN(AI306,AJ305)</f>
        <v>-520466.900583333</v>
      </c>
      <c r="AK306" s="67" t="n">
        <f aca="false">MIN(AJ306,AK305)</f>
        <v>-520466.900583333</v>
      </c>
      <c r="AL306" s="67" t="n">
        <f aca="false">MIN(AK306,AL305)</f>
        <v>-520466.900583333</v>
      </c>
      <c r="AM306" s="67" t="n">
        <f aca="false">MIN(AL306,AM305)</f>
        <v>-520466.900583333</v>
      </c>
      <c r="AN306" s="67" t="n">
        <f aca="false">MIN(AM306,AN305)</f>
        <v>-520466.900583333</v>
      </c>
      <c r="AO306" s="67" t="n">
        <f aca="false">MIN(AN306,AO305)</f>
        <v>-520466.900583333</v>
      </c>
      <c r="AP306" s="67" t="n">
        <f aca="false">MIN(AO306,AP305)</f>
        <v>-520466.900583333</v>
      </c>
      <c r="AQ306" s="67" t="n">
        <f aca="false">MIN(AP306,AQ305)</f>
        <v>-520466.900583333</v>
      </c>
      <c r="AR306" s="67" t="n">
        <f aca="false">MIN(AQ306,AR305)</f>
        <v>-520466.900583333</v>
      </c>
      <c r="AS306" s="67" t="n">
        <f aca="false">MIN(AR306,AS305)</f>
        <v>-520466.900583333</v>
      </c>
      <c r="AT306" s="67" t="n">
        <f aca="false">MIN(AS306,AT305)</f>
        <v>-520466.900583333</v>
      </c>
      <c r="AU306" s="67" t="n">
        <f aca="false">MIN(AT306,AU305)</f>
        <v>-520466.900583333</v>
      </c>
      <c r="AV306" s="67" t="n">
        <f aca="false">MIN(AU306,AV305)</f>
        <v>-520466.900583333</v>
      </c>
      <c r="AW306" s="67" t="n">
        <f aca="false">MIN(AV306,AW305)</f>
        <v>-520466.900583333</v>
      </c>
      <c r="AX306" s="67" t="n">
        <f aca="false">MIN(AW306,AX305)</f>
        <v>-520466.900583333</v>
      </c>
      <c r="AY306" s="67" t="n">
        <f aca="false">MIN(AX306,AY305)</f>
        <v>-520466.900583333</v>
      </c>
      <c r="AZ306" s="67" t="n">
        <f aca="false">MIN(AY306,AZ305)</f>
        <v>-520466.900583333</v>
      </c>
      <c r="BA306" s="67" t="n">
        <f aca="false">MIN(AZ306,BA305)</f>
        <v>-520466.900583333</v>
      </c>
      <c r="BB306" s="67" t="n">
        <f aca="false">MIN(BA306,BB305)</f>
        <v>-520466.900583333</v>
      </c>
      <c r="BC306" s="67" t="n">
        <f aca="false">MIN(BB306,BC305)</f>
        <v>-520466.900583333</v>
      </c>
      <c r="BD306" s="67" t="n">
        <f aca="false">MIN(BC306,BD305)</f>
        <v>-520466.900583333</v>
      </c>
      <c r="BE306" s="67" t="n">
        <f aca="false">MIN(BD306,BE305)</f>
        <v>-520466.900583333</v>
      </c>
      <c r="BF306" s="67" t="n">
        <f aca="false">MIN(BE306,BF305)</f>
        <v>-520466.900583333</v>
      </c>
      <c r="BG306" s="67" t="n">
        <f aca="false">MIN(BF306,BG305)</f>
        <v>-520466.900583333</v>
      </c>
      <c r="BH306" s="67" t="n">
        <f aca="false">MIN(BG306,BH305)</f>
        <v>-520466.900583333</v>
      </c>
      <c r="BI306" s="67" t="n">
        <f aca="false">MIN(BH306,BI305)</f>
        <v>-520466.900583333</v>
      </c>
      <c r="BJ306" s="67" t="n">
        <f aca="false">MIN(BI306,BJ305)</f>
        <v>-520466.900583333</v>
      </c>
    </row>
    <row r="307" customFormat="false" ht="15" hidden="false" customHeight="false" outlineLevel="0" collapsed="false">
      <c r="A307" s="120" t="s">
        <v>431</v>
      </c>
      <c r="C307" s="117" t="n">
        <f aca="false">IF(AND(C305&gt;=0,C306&lt;0),1,0)</f>
        <v>0</v>
      </c>
      <c r="D307" s="117" t="n">
        <f aca="false">IF(AND(D305&gt;=0,D306&lt;0),1,0)</f>
        <v>0</v>
      </c>
      <c r="E307" s="117" t="n">
        <f aca="false">IF(AND(E305&gt;=0,E306&lt;0),1,0)</f>
        <v>0</v>
      </c>
      <c r="F307" s="117" t="n">
        <f aca="false">IF(AND(F305&gt;=0,F306&lt;0),1,0)</f>
        <v>0</v>
      </c>
      <c r="G307" s="117" t="n">
        <f aca="false">IF(AND(G305&gt;=0,G306&lt;0),1,0)</f>
        <v>1</v>
      </c>
      <c r="H307" s="117" t="n">
        <f aca="false">IF(AND(H305&gt;=0,H306&lt;0),1,0)</f>
        <v>1</v>
      </c>
      <c r="I307" s="117" t="n">
        <f aca="false">IF(AND(I305&gt;=0,I306&lt;0),1,0)</f>
        <v>1</v>
      </c>
      <c r="J307" s="117" t="n">
        <f aca="false">IF(AND(J305&gt;=0,J306&lt;0),1,0)</f>
        <v>1</v>
      </c>
      <c r="K307" s="117" t="n">
        <f aca="false">IF(AND(K305&gt;=0,K306&lt;0),1,0)</f>
        <v>1</v>
      </c>
      <c r="L307" s="117" t="n">
        <f aca="false">IF(AND(L305&gt;=0,L306&lt;0),1,0)</f>
        <v>1</v>
      </c>
      <c r="M307" s="117" t="n">
        <f aca="false">IF(AND(M305&gt;=0,M306&lt;0),1,0)</f>
        <v>1</v>
      </c>
      <c r="N307" s="117" t="n">
        <f aca="false">IF(AND(N305&gt;=0,N306&lt;0),1,0)</f>
        <v>1</v>
      </c>
      <c r="O307" s="117" t="n">
        <f aca="false">IF(AND(O305&gt;=0,O306&lt;0),1,0)</f>
        <v>1</v>
      </c>
      <c r="P307" s="117" t="n">
        <f aca="false">IF(AND(P305&gt;=0,P306&lt;0),1,0)</f>
        <v>1</v>
      </c>
      <c r="Q307" s="117" t="n">
        <f aca="false">IF(AND(Q305&gt;=0,Q306&lt;0),1,0)</f>
        <v>1</v>
      </c>
      <c r="R307" s="117" t="n">
        <f aca="false">IF(AND(R305&gt;=0,R306&lt;0),1,0)</f>
        <v>1</v>
      </c>
      <c r="S307" s="117" t="n">
        <f aca="false">IF(AND(S305&gt;=0,S306&lt;0),1,0)</f>
        <v>1</v>
      </c>
      <c r="T307" s="117" t="n">
        <f aca="false">IF(AND(T305&gt;=0,T306&lt;0),1,0)</f>
        <v>1</v>
      </c>
      <c r="U307" s="117" t="n">
        <f aca="false">IF(AND(U305&gt;=0,U306&lt;0),1,0)</f>
        <v>1</v>
      </c>
      <c r="V307" s="117" t="n">
        <f aca="false">IF(AND(V305&gt;=0,V306&lt;0),1,0)</f>
        <v>1</v>
      </c>
      <c r="W307" s="117" t="n">
        <f aca="false">IF(AND(W305&gt;=0,W306&lt;0),1,0)</f>
        <v>1</v>
      </c>
      <c r="X307" s="117" t="n">
        <f aca="false">IF(AND(X305&gt;=0,X306&lt;0),1,0)</f>
        <v>1</v>
      </c>
      <c r="Y307" s="117" t="n">
        <f aca="false">IF(AND(Y305&gt;=0,Y306&lt;0),1,0)</f>
        <v>1</v>
      </c>
      <c r="Z307" s="117" t="n">
        <f aca="false">IF(AND(Z305&gt;=0,Z306&lt;0),1,0)</f>
        <v>1</v>
      </c>
      <c r="AA307" s="117" t="n">
        <f aca="false">IF(AND(AA305&gt;=0,AA306&lt;0),1,0)</f>
        <v>1</v>
      </c>
      <c r="AB307" s="117" t="n">
        <f aca="false">IF(AND(AB305&gt;=0,AB306&lt;0),1,0)</f>
        <v>1</v>
      </c>
      <c r="AC307" s="117" t="n">
        <f aca="false">IF(AND(AC305&gt;=0,AC306&lt;0),1,0)</f>
        <v>1</v>
      </c>
      <c r="AD307" s="117" t="n">
        <f aca="false">IF(AND(AD305&gt;=0,AD306&lt;0),1,0)</f>
        <v>1</v>
      </c>
      <c r="AE307" s="117" t="n">
        <f aca="false">IF(AND(AE305&gt;=0,AE306&lt;0),1,0)</f>
        <v>1</v>
      </c>
      <c r="AF307" s="117" t="n">
        <f aca="false">IF(AND(AF305&gt;=0,AF306&lt;0),1,0)</f>
        <v>1</v>
      </c>
      <c r="AG307" s="117" t="n">
        <f aca="false">IF(AND(AG305&gt;=0,AG306&lt;0),1,0)</f>
        <v>1</v>
      </c>
      <c r="AH307" s="117" t="n">
        <f aca="false">IF(AND(AH305&gt;=0,AH306&lt;0),1,0)</f>
        <v>1</v>
      </c>
      <c r="AI307" s="117" t="n">
        <f aca="false">IF(AND(AI305&gt;=0,AI306&lt;0),1,0)</f>
        <v>1</v>
      </c>
      <c r="AJ307" s="117" t="n">
        <f aca="false">IF(AND(AJ305&gt;=0,AJ306&lt;0),1,0)</f>
        <v>1</v>
      </c>
      <c r="AK307" s="117" t="n">
        <f aca="false">IF(AND(AK305&gt;=0,AK306&lt;0),1,0)</f>
        <v>1</v>
      </c>
      <c r="AL307" s="117" t="n">
        <f aca="false">IF(AND(AL305&gt;=0,AL306&lt;0),1,0)</f>
        <v>1</v>
      </c>
      <c r="AM307" s="117" t="n">
        <f aca="false">IF(AND(AM305&gt;=0,AM306&lt;0),1,0)</f>
        <v>1</v>
      </c>
      <c r="AN307" s="117" t="n">
        <f aca="false">IF(AND(AN305&gt;=0,AN306&lt;0),1,0)</f>
        <v>1</v>
      </c>
      <c r="AO307" s="117" t="n">
        <f aca="false">IF(AND(AO305&gt;=0,AO306&lt;0),1,0)</f>
        <v>1</v>
      </c>
      <c r="AP307" s="117" t="n">
        <f aca="false">IF(AND(AP305&gt;=0,AP306&lt;0),1,0)</f>
        <v>1</v>
      </c>
      <c r="AQ307" s="117" t="n">
        <f aca="false">IF(AND(AQ305&gt;=0,AQ306&lt;0),1,0)</f>
        <v>1</v>
      </c>
      <c r="AR307" s="117" t="n">
        <f aca="false">IF(AND(AR305&gt;=0,AR306&lt;0),1,0)</f>
        <v>1</v>
      </c>
      <c r="AS307" s="117" t="n">
        <f aca="false">IF(AND(AS305&gt;=0,AS306&lt;0),1,0)</f>
        <v>1</v>
      </c>
      <c r="AT307" s="117" t="n">
        <f aca="false">IF(AND(AT305&gt;=0,AT306&lt;0),1,0)</f>
        <v>1</v>
      </c>
      <c r="AU307" s="117" t="n">
        <f aca="false">IF(AND(AU305&gt;=0,AU306&lt;0),1,0)</f>
        <v>1</v>
      </c>
      <c r="AV307" s="117" t="n">
        <f aca="false">IF(AND(AV305&gt;=0,AV306&lt;0),1,0)</f>
        <v>1</v>
      </c>
      <c r="AW307" s="117" t="n">
        <f aca="false">IF(AND(AW305&gt;=0,AW306&lt;0),1,0)</f>
        <v>1</v>
      </c>
      <c r="AX307" s="117" t="n">
        <f aca="false">IF(AND(AX305&gt;=0,AX306&lt;0),1,0)</f>
        <v>1</v>
      </c>
      <c r="AY307" s="117" t="n">
        <f aca="false">IF(AND(AY305&gt;=0,AY306&lt;0),1,0)</f>
        <v>1</v>
      </c>
      <c r="AZ307" s="117" t="n">
        <f aca="false">IF(AND(AZ305&gt;=0,AZ306&lt;0),1,0)</f>
        <v>1</v>
      </c>
      <c r="BA307" s="117" t="n">
        <f aca="false">IF(AND(BA305&gt;=0,BA306&lt;0),1,0)</f>
        <v>1</v>
      </c>
      <c r="BB307" s="117" t="n">
        <f aca="false">IF(AND(BB305&gt;=0,BB306&lt;0),1,0)</f>
        <v>1</v>
      </c>
      <c r="BC307" s="117" t="n">
        <f aca="false">IF(AND(BC305&gt;=0,BC306&lt;0),1,0)</f>
        <v>1</v>
      </c>
      <c r="BD307" s="117" t="n">
        <f aca="false">IF(AND(BD305&gt;=0,BD306&lt;0),1,0)</f>
        <v>1</v>
      </c>
      <c r="BE307" s="117" t="n">
        <f aca="false">IF(AND(BE305&gt;=0,BE306&lt;0),1,0)</f>
        <v>1</v>
      </c>
      <c r="BF307" s="117" t="n">
        <f aca="false">IF(AND(BF305&gt;=0,BF306&lt;0),1,0)</f>
        <v>1</v>
      </c>
      <c r="BG307" s="117" t="n">
        <f aca="false">IF(AND(BG305&gt;=0,BG306&lt;0),1,0)</f>
        <v>1</v>
      </c>
      <c r="BH307" s="117" t="n">
        <f aca="false">IF(AND(BH305&gt;=0,BH306&lt;0),1,0)</f>
        <v>1</v>
      </c>
      <c r="BI307" s="117" t="n">
        <f aca="false">IF(AND(BI305&gt;=0,BI306&lt;0),1,0)</f>
        <v>1</v>
      </c>
      <c r="BJ307" s="117" t="n">
        <f aca="false">IF(AND(BJ305&gt;=0,BJ306&lt;0),1,0)</f>
        <v>1</v>
      </c>
    </row>
    <row r="308" customFormat="false" ht="15" hidden="false" customHeight="false" outlineLevel="0" collapsed="false">
      <c r="A308" s="6" t="s">
        <v>432</v>
      </c>
      <c r="C308" s="67" t="n">
        <f aca="false">C293-C264*(1-Inputs!$D$66)+C294</f>
        <v>-519413.56725</v>
      </c>
      <c r="D308" s="67" t="n">
        <f aca="false">D293-D264*(1-Inputs!$D$66)+D294</f>
        <v>148205.42025</v>
      </c>
      <c r="E308" s="67" t="n">
        <f aca="false">E293-E264*(1-Inputs!$D$66)+E294</f>
        <v>148205.42025</v>
      </c>
      <c r="F308" s="67" t="n">
        <f aca="false">F293-F264*(1-Inputs!$D$66)+F294</f>
        <v>148205.42025</v>
      </c>
      <c r="G308" s="67" t="n">
        <f aca="false">G293-G264*(1-Inputs!$D$66)+G294</f>
        <v>148205.42025</v>
      </c>
      <c r="H308" s="67" t="n">
        <f aca="false">H293-H264*(1-Inputs!$D$66)+H294</f>
        <v>148205.42025</v>
      </c>
      <c r="I308" s="67" t="n">
        <f aca="false">I293-I264*(1-Inputs!$D$66)+I294</f>
        <v>148205.42025</v>
      </c>
      <c r="J308" s="67" t="n">
        <f aca="false">J293-J264*(1-Inputs!$D$66)+J294</f>
        <v>148205.42025</v>
      </c>
      <c r="K308" s="67" t="n">
        <f aca="false">K293-K264*(1-Inputs!$D$66)+K294</f>
        <v>148205.42025</v>
      </c>
      <c r="L308" s="67" t="n">
        <f aca="false">L293-L264*(1-Inputs!$D$66)+L294</f>
        <v>148205.42025</v>
      </c>
      <c r="M308" s="67" t="n">
        <f aca="false">M293-M264*(1-Inputs!$D$66)+M294</f>
        <v>148205.42025</v>
      </c>
      <c r="N308" s="67" t="n">
        <f aca="false">N293-N264*(1-Inputs!$D$66)+N294</f>
        <v>148205.42025</v>
      </c>
      <c r="O308" s="67" t="n">
        <f aca="false">O293-O264*(1-Inputs!$D$66)+O294</f>
        <v>9830.86384599981</v>
      </c>
      <c r="P308" s="67" t="n">
        <f aca="false">P293-P264*(1-Inputs!$D$66)+P294</f>
        <v>207546.359046</v>
      </c>
      <c r="Q308" s="67" t="n">
        <f aca="false">Q293-Q264*(1-Inputs!$D$66)+Q294</f>
        <v>207546.359046</v>
      </c>
      <c r="R308" s="67" t="n">
        <f aca="false">R293-R264*(1-Inputs!$D$66)+R294</f>
        <v>207546.359046</v>
      </c>
      <c r="S308" s="67" t="n">
        <f aca="false">S293-S264*(1-Inputs!$D$66)+S294</f>
        <v>207546.359046</v>
      </c>
      <c r="T308" s="67" t="n">
        <f aca="false">T293-T264*(1-Inputs!$D$66)+T294</f>
        <v>207546.359046</v>
      </c>
      <c r="U308" s="67" t="n">
        <f aca="false">U293-U264*(1-Inputs!$D$66)+U294</f>
        <v>207546.359046</v>
      </c>
      <c r="V308" s="67" t="n">
        <f aca="false">V293-V264*(1-Inputs!$D$66)+V294</f>
        <v>207546.359046</v>
      </c>
      <c r="W308" s="67" t="n">
        <f aca="false">W293-W264*(1-Inputs!$D$66)+W294</f>
        <v>207546.359046</v>
      </c>
      <c r="X308" s="67" t="n">
        <f aca="false">X293-X264*(1-Inputs!$D$66)+X294</f>
        <v>207546.359046</v>
      </c>
      <c r="Y308" s="67" t="n">
        <f aca="false">Y293-Y264*(1-Inputs!$D$66)+Y294</f>
        <v>207546.359046</v>
      </c>
      <c r="Z308" s="67" t="n">
        <f aca="false">Z293-Z264*(1-Inputs!$D$66)+Z294</f>
        <v>207546.359046</v>
      </c>
      <c r="AA308" s="67" t="n">
        <f aca="false">AA293-AA264*(1-Inputs!$D$66)+AA294</f>
        <v>24587.2990620063</v>
      </c>
      <c r="AB308" s="67" t="n">
        <f aca="false">AB293-AB264*(1-Inputs!$D$66)+AB294</f>
        <v>287937.409999206</v>
      </c>
      <c r="AC308" s="67" t="n">
        <f aca="false">AC293-AC264*(1-Inputs!$D$66)+AC294</f>
        <v>287937.409999206</v>
      </c>
      <c r="AD308" s="67" t="n">
        <f aca="false">AD293-AD264*(1-Inputs!$D$66)+AD294</f>
        <v>287937.409999206</v>
      </c>
      <c r="AE308" s="67" t="n">
        <f aca="false">AE293-AE264*(1-Inputs!$D$66)+AE294</f>
        <v>287937.409999206</v>
      </c>
      <c r="AF308" s="67" t="n">
        <f aca="false">AF293-AF264*(1-Inputs!$D$66)+AF294</f>
        <v>287937.409999206</v>
      </c>
      <c r="AG308" s="67" t="n">
        <f aca="false">AG293-AG264*(1-Inputs!$D$66)+AG294</f>
        <v>287937.409999206</v>
      </c>
      <c r="AH308" s="67" t="n">
        <f aca="false">AH293-AH264*(1-Inputs!$D$66)+AH294</f>
        <v>287937.409999206</v>
      </c>
      <c r="AI308" s="67" t="n">
        <f aca="false">AI293-AI264*(1-Inputs!$D$66)+AI294</f>
        <v>287937.409999206</v>
      </c>
      <c r="AJ308" s="67" t="n">
        <f aca="false">AJ293-AJ264*(1-Inputs!$D$66)+AJ294</f>
        <v>287937.409999206</v>
      </c>
      <c r="AK308" s="67" t="n">
        <f aca="false">AK293-AK264*(1-Inputs!$D$66)+AK294</f>
        <v>287937.409999206</v>
      </c>
      <c r="AL308" s="67" t="n">
        <f aca="false">AL293-AL264*(1-Inputs!$D$66)+AL294</f>
        <v>287937.409999206</v>
      </c>
      <c r="AM308" s="67" t="n">
        <f aca="false">AM293-AM264*(1-Inputs!$D$66)+AM294</f>
        <v>45698.8981573648</v>
      </c>
      <c r="AN308" s="67" t="n">
        <f aca="false">AN293-AN264*(1-Inputs!$D$66)+AN294</f>
        <v>396825.491166355</v>
      </c>
      <c r="AO308" s="67" t="n">
        <f aca="false">AO293-AO264*(1-Inputs!$D$66)+AO294</f>
        <v>396825.491166355</v>
      </c>
      <c r="AP308" s="67" t="n">
        <f aca="false">AP293-AP264*(1-Inputs!$D$66)+AP294</f>
        <v>396825.491166355</v>
      </c>
      <c r="AQ308" s="67" t="n">
        <f aca="false">AQ293-AQ264*(1-Inputs!$D$66)+AQ294</f>
        <v>396825.491166355</v>
      </c>
      <c r="AR308" s="67" t="n">
        <f aca="false">AR293-AR264*(1-Inputs!$D$66)+AR294</f>
        <v>396825.491166356</v>
      </c>
      <c r="AS308" s="67" t="n">
        <f aca="false">AS293-AS264*(1-Inputs!$D$66)+AS294</f>
        <v>396825.491166356</v>
      </c>
      <c r="AT308" s="67" t="n">
        <f aca="false">AT293-AT264*(1-Inputs!$D$66)+AT294</f>
        <v>396825.491166356</v>
      </c>
      <c r="AU308" s="67" t="n">
        <f aca="false">AU293-AU264*(1-Inputs!$D$66)+AU294</f>
        <v>396825.491166356</v>
      </c>
      <c r="AV308" s="67" t="n">
        <f aca="false">AV293-AV264*(1-Inputs!$D$66)+AV294</f>
        <v>396825.491166355</v>
      </c>
      <c r="AW308" s="67" t="n">
        <f aca="false">AW293-AW264*(1-Inputs!$D$66)+AW294</f>
        <v>396825.491166355</v>
      </c>
      <c r="AX308" s="67" t="n">
        <f aca="false">AX293-AX264*(1-Inputs!$D$66)+AX294</f>
        <v>396825.491166355</v>
      </c>
      <c r="AY308" s="67" t="n">
        <f aca="false">AY293-AY264*(1-Inputs!$D$66)+AY294</f>
        <v>75685.7451382803</v>
      </c>
      <c r="AZ308" s="67" t="n">
        <f aca="false">AZ293-AZ264*(1-Inputs!$D$66)+AZ294</f>
        <v>544294.324224629</v>
      </c>
      <c r="BA308" s="67" t="n">
        <f aca="false">BA293-BA264*(1-Inputs!$D$66)+BA294</f>
        <v>544294.324224629</v>
      </c>
      <c r="BB308" s="67" t="n">
        <f aca="false">BB293-BB264*(1-Inputs!$D$66)+BB294</f>
        <v>544294.324224629</v>
      </c>
      <c r="BC308" s="67" t="n">
        <f aca="false">BC293-BC264*(1-Inputs!$D$66)+BC294</f>
        <v>544294.324224629</v>
      </c>
      <c r="BD308" s="67" t="n">
        <f aca="false">BD293-BD264*(1-Inputs!$D$66)+BD294</f>
        <v>544294.324224629</v>
      </c>
      <c r="BE308" s="67" t="n">
        <f aca="false">BE293-BE264*(1-Inputs!$D$66)+BE294</f>
        <v>544294.324224629</v>
      </c>
      <c r="BF308" s="67" t="n">
        <f aca="false">BF293-BF264*(1-Inputs!$D$66)+BF294</f>
        <v>544294.324224629</v>
      </c>
      <c r="BG308" s="67" t="n">
        <f aca="false">BG293-BG264*(1-Inputs!$D$66)+BG294</f>
        <v>544294.324224629</v>
      </c>
      <c r="BH308" s="67" t="n">
        <f aca="false">BH293-BH264*(1-Inputs!$D$66)+BH294</f>
        <v>544294.324224629</v>
      </c>
      <c r="BI308" s="67" t="n">
        <f aca="false">BI293-BI264*(1-Inputs!$D$66)+BI294</f>
        <v>544294.324224629</v>
      </c>
      <c r="BJ308" s="67" t="n">
        <f aca="false">BJ293-BJ264*(1-Inputs!$D$66)+BJ294</f>
        <v>544294.324224629</v>
      </c>
    </row>
    <row r="310" customFormat="false" ht="15.75" hidden="false" customHeight="true" outlineLevel="0" collapsed="false">
      <c r="A310" s="7" t="s">
        <v>433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customFormat="false" ht="15" hidden="false" customHeight="false" outlineLevel="0" collapsed="false">
      <c r="A311" s="6" t="s">
        <v>97</v>
      </c>
      <c r="C311" s="67" t="n">
        <f aca="false">C295</f>
        <v>300000</v>
      </c>
      <c r="D311" s="67" t="n">
        <f aca="false">C311+D295</f>
        <v>300000</v>
      </c>
      <c r="E311" s="67" t="n">
        <f aca="false">D311+E295</f>
        <v>300000</v>
      </c>
      <c r="F311" s="67" t="n">
        <f aca="false">E311+F295</f>
        <v>300000</v>
      </c>
      <c r="G311" s="67" t="n">
        <f aca="false">F311+G295</f>
        <v>300000</v>
      </c>
      <c r="H311" s="67" t="n">
        <f aca="false">G311+H295</f>
        <v>300000</v>
      </c>
      <c r="I311" s="67" t="n">
        <f aca="false">H311+I295</f>
        <v>300000</v>
      </c>
      <c r="J311" s="67" t="n">
        <f aca="false">I311+J295</f>
        <v>300000</v>
      </c>
      <c r="K311" s="67" t="n">
        <f aca="false">J311+K295</f>
        <v>300000</v>
      </c>
      <c r="L311" s="67" t="n">
        <f aca="false">K311+L295</f>
        <v>300000</v>
      </c>
      <c r="M311" s="67" t="n">
        <f aca="false">L311+M295</f>
        <v>300000</v>
      </c>
      <c r="N311" s="67" t="n">
        <f aca="false">M311+N295</f>
        <v>300000</v>
      </c>
      <c r="O311" s="67" t="n">
        <f aca="false">N311+O295</f>
        <v>300000</v>
      </c>
      <c r="P311" s="67" t="n">
        <f aca="false">O311+P295</f>
        <v>300000</v>
      </c>
      <c r="Q311" s="67" t="n">
        <f aca="false">P311+Q295</f>
        <v>300000</v>
      </c>
      <c r="R311" s="67" t="n">
        <f aca="false">Q311+R295</f>
        <v>300000</v>
      </c>
      <c r="S311" s="67" t="n">
        <f aca="false">R311+S295</f>
        <v>300000</v>
      </c>
      <c r="T311" s="67" t="n">
        <f aca="false">S311+T295</f>
        <v>300000</v>
      </c>
      <c r="U311" s="67" t="n">
        <f aca="false">T311+U295</f>
        <v>300000</v>
      </c>
      <c r="V311" s="67" t="n">
        <f aca="false">U311+V295</f>
        <v>300000</v>
      </c>
      <c r="W311" s="67" t="n">
        <f aca="false">V311+W295</f>
        <v>300000</v>
      </c>
      <c r="X311" s="67" t="n">
        <f aca="false">W311+X295</f>
        <v>300000</v>
      </c>
      <c r="Y311" s="67" t="n">
        <f aca="false">X311+Y295</f>
        <v>300000</v>
      </c>
      <c r="Z311" s="67" t="n">
        <f aca="false">Y311+Z295</f>
        <v>300000</v>
      </c>
      <c r="AA311" s="67" t="n">
        <f aca="false">Z311+AA295</f>
        <v>300000</v>
      </c>
      <c r="AB311" s="67" t="n">
        <f aca="false">AA311+AB295</f>
        <v>300000</v>
      </c>
      <c r="AC311" s="67" t="n">
        <f aca="false">AB311+AC295</f>
        <v>300000</v>
      </c>
      <c r="AD311" s="67" t="n">
        <f aca="false">AC311+AD295</f>
        <v>300000</v>
      </c>
      <c r="AE311" s="67" t="n">
        <f aca="false">AD311+AE295</f>
        <v>300000</v>
      </c>
      <c r="AF311" s="67" t="n">
        <f aca="false">AE311+AF295</f>
        <v>300000</v>
      </c>
      <c r="AG311" s="67" t="n">
        <f aca="false">AF311+AG295</f>
        <v>300000</v>
      </c>
      <c r="AH311" s="67" t="n">
        <f aca="false">AG311+AH295</f>
        <v>300000</v>
      </c>
      <c r="AI311" s="67" t="n">
        <f aca="false">AH311+AI295</f>
        <v>300000</v>
      </c>
      <c r="AJ311" s="67" t="n">
        <f aca="false">AI311+AJ295</f>
        <v>300000</v>
      </c>
      <c r="AK311" s="67" t="n">
        <f aca="false">AJ311+AK295</f>
        <v>300000</v>
      </c>
      <c r="AL311" s="67" t="n">
        <f aca="false">AK311+AL295</f>
        <v>300000</v>
      </c>
      <c r="AM311" s="67" t="n">
        <f aca="false">AL311+AM295</f>
        <v>300000</v>
      </c>
      <c r="AN311" s="67" t="n">
        <f aca="false">AM311+AN295</f>
        <v>300000</v>
      </c>
      <c r="AO311" s="67" t="n">
        <f aca="false">AN311+AO295</f>
        <v>300000</v>
      </c>
      <c r="AP311" s="67" t="n">
        <f aca="false">AO311+AP295</f>
        <v>300000</v>
      </c>
      <c r="AQ311" s="67" t="n">
        <f aca="false">AP311+AQ295</f>
        <v>300000</v>
      </c>
      <c r="AR311" s="67" t="n">
        <f aca="false">AQ311+AR295</f>
        <v>300000</v>
      </c>
      <c r="AS311" s="67" t="n">
        <f aca="false">AR311+AS295</f>
        <v>300000</v>
      </c>
      <c r="AT311" s="67" t="n">
        <f aca="false">AS311+AT295</f>
        <v>300000</v>
      </c>
      <c r="AU311" s="67" t="n">
        <f aca="false">AT311+AU295</f>
        <v>300000</v>
      </c>
      <c r="AV311" s="67" t="n">
        <f aca="false">AU311+AV295</f>
        <v>300000</v>
      </c>
      <c r="AW311" s="67" t="n">
        <f aca="false">AV311+AW295</f>
        <v>300000</v>
      </c>
      <c r="AX311" s="67" t="n">
        <f aca="false">AW311+AX295</f>
        <v>300000</v>
      </c>
      <c r="AY311" s="67" t="n">
        <f aca="false">AX311+AY295</f>
        <v>300000</v>
      </c>
      <c r="AZ311" s="67" t="n">
        <f aca="false">AY311+AZ295</f>
        <v>300000</v>
      </c>
      <c r="BA311" s="67" t="n">
        <f aca="false">AZ311+BA295</f>
        <v>300000</v>
      </c>
      <c r="BB311" s="67" t="n">
        <f aca="false">BA311+BB295</f>
        <v>300000</v>
      </c>
      <c r="BC311" s="67" t="n">
        <f aca="false">BB311+BC295</f>
        <v>300000</v>
      </c>
      <c r="BD311" s="67" t="n">
        <f aca="false">BC311+BD295</f>
        <v>300000</v>
      </c>
      <c r="BE311" s="67" t="n">
        <f aca="false">BD311+BE295</f>
        <v>300000</v>
      </c>
      <c r="BF311" s="67" t="n">
        <f aca="false">BE311+BF295</f>
        <v>300000</v>
      </c>
      <c r="BG311" s="67" t="n">
        <f aca="false">BF311+BG295</f>
        <v>300000</v>
      </c>
      <c r="BH311" s="67" t="n">
        <f aca="false">BG311+BH295</f>
        <v>300000</v>
      </c>
      <c r="BI311" s="67" t="n">
        <f aca="false">BH311+BI295</f>
        <v>300000</v>
      </c>
      <c r="BJ311" s="67" t="n">
        <f aca="false">BI311+BJ295</f>
        <v>300000</v>
      </c>
    </row>
    <row r="312" customFormat="false" ht="15" hidden="false" customHeight="false" outlineLevel="0" collapsed="false">
      <c r="A312" s="6" t="s">
        <v>98</v>
      </c>
      <c r="C312" s="67" t="n">
        <f aca="false">C269</f>
        <v>146152.086916667</v>
      </c>
      <c r="D312" s="67" t="n">
        <f aca="false">C312+D269</f>
        <v>292312.951611111</v>
      </c>
      <c r="E312" s="67" t="n">
        <f aca="false">D312+E269</f>
        <v>438491.371861111</v>
      </c>
      <c r="F312" s="67" t="n">
        <f aca="false">E312+F269</f>
        <v>584687.347666667</v>
      </c>
      <c r="G312" s="67" t="n">
        <f aca="false">F312+G269</f>
        <v>730900.879027778</v>
      </c>
      <c r="H312" s="67" t="n">
        <f aca="false">G312+H269</f>
        <v>877131.965944445</v>
      </c>
      <c r="I312" s="67" t="n">
        <f aca="false">H312+I269</f>
        <v>1023380.60841667</v>
      </c>
      <c r="J312" s="67" t="n">
        <f aca="false">I312+J269</f>
        <v>1169646.80644444</v>
      </c>
      <c r="K312" s="67" t="n">
        <f aca="false">J312+K269</f>
        <v>1315930.56002778</v>
      </c>
      <c r="L312" s="67" t="n">
        <f aca="false">K312+L269</f>
        <v>1462231.86916667</v>
      </c>
      <c r="M312" s="67" t="n">
        <f aca="false">L312+M269</f>
        <v>1608550.73386111</v>
      </c>
      <c r="N312" s="67" t="n">
        <f aca="false">M312+N269</f>
        <v>1754887.15411111</v>
      </c>
      <c r="O312" s="67" t="n">
        <f aca="false">N312+O269</f>
        <v>1960582.06871267</v>
      </c>
      <c r="P312" s="67" t="n">
        <f aca="false">O312+P269</f>
        <v>2166294.53886978</v>
      </c>
      <c r="Q312" s="67" t="n">
        <f aca="false">P312+Q269</f>
        <v>2372024.56458244</v>
      </c>
      <c r="R312" s="67" t="n">
        <f aca="false">Q312+R269</f>
        <v>2577772.14585067</v>
      </c>
      <c r="S312" s="67" t="n">
        <f aca="false">R312+S269</f>
        <v>2783537.28267445</v>
      </c>
      <c r="T312" s="67" t="n">
        <f aca="false">S312+T269</f>
        <v>2989319.97505378</v>
      </c>
      <c r="U312" s="67" t="n">
        <f aca="false">T312+U269</f>
        <v>3195120.22298867</v>
      </c>
      <c r="V312" s="67" t="n">
        <f aca="false">U312+V269</f>
        <v>3400938.02647911</v>
      </c>
      <c r="W312" s="67" t="n">
        <f aca="false">V312+W269</f>
        <v>3606773.38552511</v>
      </c>
      <c r="X312" s="67" t="n">
        <f aca="false">W312+X269</f>
        <v>3812626.30012667</v>
      </c>
      <c r="Y312" s="67" t="n">
        <f aca="false">X312+Y269</f>
        <v>4018496.77028378</v>
      </c>
      <c r="Z312" s="67" t="n">
        <f aca="false">Y312+Z269</f>
        <v>4224384.79599645</v>
      </c>
      <c r="AA312" s="67" t="n">
        <f aca="false">Z312+AA269</f>
        <v>4510681.42821787</v>
      </c>
      <c r="AB312" s="67" t="n">
        <f aca="false">AA312+AB269</f>
        <v>4796995.61599486</v>
      </c>
      <c r="AC312" s="67" t="n">
        <f aca="false">AB312+AC269</f>
        <v>5083327.3593274</v>
      </c>
      <c r="AD312" s="67" t="n">
        <f aca="false">AC312+AD269</f>
        <v>5369676.65821549</v>
      </c>
      <c r="AE312" s="67" t="n">
        <f aca="false">AD312+AE269</f>
        <v>5656043.51265914</v>
      </c>
      <c r="AF312" s="67" t="n">
        <f aca="false">AE312+AF269</f>
        <v>5942427.92265835</v>
      </c>
      <c r="AG312" s="67" t="n">
        <f aca="false">AF312+AG269</f>
        <v>6228829.88821311</v>
      </c>
      <c r="AH312" s="67" t="n">
        <f aca="false">AG312+AH269</f>
        <v>6515249.40932343</v>
      </c>
      <c r="AI312" s="67" t="n">
        <f aca="false">AH312+AI269</f>
        <v>6801686.4859893</v>
      </c>
      <c r="AJ312" s="67" t="n">
        <f aca="false">AI312+AJ269</f>
        <v>7088141.11821073</v>
      </c>
      <c r="AK312" s="67" t="n">
        <f aca="false">AJ312+AK269</f>
        <v>7374613.30598771</v>
      </c>
      <c r="AL312" s="67" t="n">
        <f aca="false">AK312+AL269</f>
        <v>7661103.04932025</v>
      </c>
      <c r="AM312" s="67" t="n">
        <f aca="false">AL312+AM269</f>
        <v>8056498.4293755</v>
      </c>
      <c r="AN312" s="67" t="n">
        <f aca="false">AM312+AN269</f>
        <v>8451911.3649863</v>
      </c>
      <c r="AO312" s="67" t="n">
        <f aca="false">AN312+AO269</f>
        <v>8847341.85615265</v>
      </c>
      <c r="AP312" s="67" t="n">
        <f aca="false">AO312+AP269</f>
        <v>9242789.90287456</v>
      </c>
      <c r="AQ312" s="67" t="n">
        <f aca="false">AP312+AQ269</f>
        <v>9638255.50515203</v>
      </c>
      <c r="AR312" s="67" t="n">
        <f aca="false">AQ312+AR269</f>
        <v>10033738.6629851</v>
      </c>
      <c r="AS312" s="67" t="n">
        <f aca="false">AR312+AS269</f>
        <v>10429239.3763736</v>
      </c>
      <c r="AT312" s="67" t="n">
        <f aca="false">AS312+AT269</f>
        <v>10824757.6453178</v>
      </c>
      <c r="AU312" s="67" t="n">
        <f aca="false">AT312+AU269</f>
        <v>11220293.4698175</v>
      </c>
      <c r="AV312" s="67" t="n">
        <f aca="false">AU312+AV269</f>
        <v>11615846.8498727</v>
      </c>
      <c r="AW312" s="67" t="n">
        <f aca="false">AV312+AW269</f>
        <v>12011417.7854835</v>
      </c>
      <c r="AX312" s="67" t="n">
        <f aca="false">AW312+AX269</f>
        <v>12407006.2766499</v>
      </c>
      <c r="AY312" s="67" t="n">
        <f aca="false">AX312+AY269</f>
        <v>12950081.15643</v>
      </c>
      <c r="AZ312" s="67" t="n">
        <f aca="false">AY312+AZ269</f>
        <v>13493173.5917658</v>
      </c>
      <c r="BA312" s="67" t="n">
        <f aca="false">AZ312+BA269</f>
        <v>14036283.5826571</v>
      </c>
      <c r="BB312" s="67" t="n">
        <f aca="false">BA312+BB269</f>
        <v>14579411.1291039</v>
      </c>
      <c r="BC312" s="67" t="n">
        <f aca="false">BB312+BC269</f>
        <v>15122556.2311063</v>
      </c>
      <c r="BD312" s="67" t="n">
        <f aca="false">BC312+BD269</f>
        <v>15665718.8886643</v>
      </c>
      <c r="BE312" s="67" t="n">
        <f aca="false">BD312+BE269</f>
        <v>16208899.1017778</v>
      </c>
      <c r="BF312" s="67" t="n">
        <f aca="false">BE312+BF269</f>
        <v>16752096.8704469</v>
      </c>
      <c r="BG312" s="67" t="n">
        <f aca="false">BF312+BG269</f>
        <v>17295312.1946715</v>
      </c>
      <c r="BH312" s="67" t="n">
        <f aca="false">BG312+BH269</f>
        <v>17838545.0744517</v>
      </c>
      <c r="BI312" s="67" t="n">
        <f aca="false">BH312+BI269</f>
        <v>18381795.5097874</v>
      </c>
      <c r="BJ312" s="67" t="n">
        <f aca="false">BI312+BJ269</f>
        <v>18925063.5006787</v>
      </c>
    </row>
    <row r="313" customFormat="false" ht="15" hidden="false" customHeight="false" outlineLevel="0" collapsed="false">
      <c r="A313" s="4" t="s">
        <v>93</v>
      </c>
      <c r="C313" s="73" t="n">
        <f aca="false">C299+C285+C286+C276</f>
        <v>762434.599416667</v>
      </c>
      <c r="D313" s="73" t="n">
        <f aca="false">D299+D285+D286+D276</f>
        <v>905262.130777778</v>
      </c>
      <c r="E313" s="73" t="n">
        <f aca="false">E299+E285+E286+E276</f>
        <v>1048107.21769444</v>
      </c>
      <c r="F313" s="73" t="n">
        <f aca="false">F299+F285+F286+F276</f>
        <v>1190969.86016667</v>
      </c>
      <c r="G313" s="73" t="n">
        <f aca="false">G299+G285+G286+G276</f>
        <v>1333850.05819444</v>
      </c>
      <c r="H313" s="73" t="n">
        <f aca="false">H299+H285+H286+H276</f>
        <v>1476747.81177778</v>
      </c>
      <c r="I313" s="73" t="n">
        <f aca="false">I299+I285+I286+I276</f>
        <v>1619663.12091667</v>
      </c>
      <c r="J313" s="73" t="n">
        <f aca="false">J299+J285+J286+J276</f>
        <v>1762595.98561111</v>
      </c>
      <c r="K313" s="73" t="n">
        <f aca="false">K299+K285+K286+K276</f>
        <v>1905546.40586111</v>
      </c>
      <c r="L313" s="73" t="n">
        <f aca="false">L299+L285+L286+L276</f>
        <v>2048514.38166667</v>
      </c>
      <c r="M313" s="73" t="n">
        <f aca="false">M299+M285+M286+M276</f>
        <v>2191499.91302778</v>
      </c>
      <c r="N313" s="73" t="n">
        <f aca="false">N299+N285+N286+N276</f>
        <v>2334502.99994444</v>
      </c>
      <c r="O313" s="73" t="n">
        <f aca="false">O299+O285+O286+O276</f>
        <v>2572891.18201267</v>
      </c>
      <c r="P313" s="73" t="n">
        <f aca="false">P299+P285+P286+P276</f>
        <v>2775270.31883644</v>
      </c>
      <c r="Q313" s="73" t="n">
        <f aca="false">Q299+Q285+Q286+Q276</f>
        <v>2977667.01121578</v>
      </c>
      <c r="R313" s="73" t="n">
        <f aca="false">R299+R285+R286+R276</f>
        <v>3180081.25915067</v>
      </c>
      <c r="S313" s="73" t="n">
        <f aca="false">S299+S285+S286+S276</f>
        <v>3382513.06264111</v>
      </c>
      <c r="T313" s="73" t="n">
        <f aca="false">T299+T285+T286+T276</f>
        <v>3584962.42168711</v>
      </c>
      <c r="U313" s="73" t="n">
        <f aca="false">U299+U285+U286+U276</f>
        <v>3787429.33628867</v>
      </c>
      <c r="V313" s="73" t="n">
        <f aca="false">V299+V285+V286+V276</f>
        <v>3989913.80644578</v>
      </c>
      <c r="W313" s="73" t="n">
        <f aca="false">W299+W285+W286+W276</f>
        <v>4192415.83215845</v>
      </c>
      <c r="X313" s="73" t="n">
        <f aca="false">X299+X285+X286+X276</f>
        <v>4394935.41342667</v>
      </c>
      <c r="Y313" s="73" t="n">
        <f aca="false">Y299+Y285+Y286+Y276</f>
        <v>4597472.55025045</v>
      </c>
      <c r="Z313" s="73" t="n">
        <f aca="false">Z299+Z285+Z286+Z276</f>
        <v>4800027.24262978</v>
      </c>
      <c r="AA313" s="73" t="n">
        <f aca="false">AA299+AA285+AA286+AA276</f>
        <v>5130434.07883667</v>
      </c>
      <c r="AB313" s="73" t="n">
        <f aca="false">AB299+AB285+AB286+AB276</f>
        <v>5413414.93328033</v>
      </c>
      <c r="AC313" s="73" t="n">
        <f aca="false">AC299+AC285+AC286+AC276</f>
        <v>5696413.34327953</v>
      </c>
      <c r="AD313" s="73" t="n">
        <f aca="false">AD299+AD285+AD286+AD276</f>
        <v>5979429.30883429</v>
      </c>
      <c r="AE313" s="73" t="n">
        <f aca="false">AE299+AE285+AE286+AE276</f>
        <v>6262462.82994461</v>
      </c>
      <c r="AF313" s="73" t="n">
        <f aca="false">AF299+AF285+AF286+AF276</f>
        <v>6545513.90661048</v>
      </c>
      <c r="AG313" s="73" t="n">
        <f aca="false">AG299+AG285+AG286+AG276</f>
        <v>6828582.53883191</v>
      </c>
      <c r="AH313" s="73" t="n">
        <f aca="false">AH299+AH285+AH286+AH276</f>
        <v>7111668.72660889</v>
      </c>
      <c r="AI313" s="73" t="n">
        <f aca="false">AI299+AI285+AI286+AI276</f>
        <v>7394772.46994143</v>
      </c>
      <c r="AJ313" s="73" t="n">
        <f aca="false">AJ299+AJ285+AJ286+AJ276</f>
        <v>7677893.76882953</v>
      </c>
      <c r="AK313" s="73" t="n">
        <f aca="false">AK299+AK285+AK286+AK276</f>
        <v>7961032.62327318</v>
      </c>
      <c r="AL313" s="73" t="n">
        <f aca="false">AL299+AL285+AL286+AL276</f>
        <v>8244189.03327239</v>
      </c>
      <c r="AM313" s="73" t="n">
        <f aca="false">AM299+AM285+AM286+AM276</f>
        <v>8698795.86883849</v>
      </c>
      <c r="AN313" s="73" t="n">
        <f aca="false">AN299+AN285+AN286+AN276</f>
        <v>9090875.47111595</v>
      </c>
      <c r="AO313" s="73" t="n">
        <f aca="false">AO299+AO285+AO286+AO276</f>
        <v>9482972.62894898</v>
      </c>
      <c r="AP313" s="73" t="n">
        <f aca="false">AP299+AP285+AP286+AP276</f>
        <v>9875087.34233756</v>
      </c>
      <c r="AQ313" s="73" t="n">
        <f aca="false">AQ299+AQ285+AQ286+AQ276</f>
        <v>10267219.6112817</v>
      </c>
      <c r="AR313" s="73" t="n">
        <f aca="false">AR299+AR285+AR286+AR276</f>
        <v>10659369.4357814</v>
      </c>
      <c r="AS313" s="73" t="n">
        <f aca="false">AS299+AS285+AS286+AS276</f>
        <v>11051536.8158366</v>
      </c>
      <c r="AT313" s="73" t="n">
        <f aca="false">AT299+AT285+AT286+AT276</f>
        <v>11443721.7514474</v>
      </c>
      <c r="AU313" s="73" t="n">
        <f aca="false">AU299+AU285+AU286+AU276</f>
        <v>11835924.2426138</v>
      </c>
      <c r="AV313" s="73" t="n">
        <f aca="false">AV299+AV285+AV286+AV276</f>
        <v>12228144.2893357</v>
      </c>
      <c r="AW313" s="73" t="n">
        <f aca="false">AW299+AW285+AW286+AW276</f>
        <v>12620381.8916132</v>
      </c>
      <c r="AX313" s="73" t="n">
        <f aca="false">AX299+AX285+AX286+AX276</f>
        <v>13012637.0494462</v>
      </c>
      <c r="AY313" s="73" t="n">
        <f aca="false">AY299+AY285+AY286+AY276</f>
        <v>13634914.7300972</v>
      </c>
      <c r="AZ313" s="73" t="n">
        <f aca="false">AZ299+AZ285+AZ286+AZ276</f>
        <v>14174673.8320996</v>
      </c>
      <c r="BA313" s="73" t="n">
        <f aca="false">BA299+BA285+BA286+BA276</f>
        <v>14714450.4896576</v>
      </c>
      <c r="BB313" s="73" t="n">
        <f aca="false">BB299+BB285+BB286+BB276</f>
        <v>15254244.7027711</v>
      </c>
      <c r="BC313" s="73" t="n">
        <f aca="false">BC299+BC285+BC286+BC276</f>
        <v>15794056.4714402</v>
      </c>
      <c r="BD313" s="73" t="n">
        <f aca="false">BD299+BD285+BD286+BD276</f>
        <v>16333885.7956648</v>
      </c>
      <c r="BE313" s="73" t="n">
        <f aca="false">BE299+BE285+BE286+BE276</f>
        <v>16873732.675445</v>
      </c>
      <c r="BF313" s="73" t="n">
        <f aca="false">BF299+BF285+BF286+BF276</f>
        <v>17413597.1107807</v>
      </c>
      <c r="BG313" s="73" t="n">
        <f aca="false">BG299+BG285+BG286+BG276</f>
        <v>17953479.101672</v>
      </c>
      <c r="BH313" s="73" t="n">
        <f aca="false">BH299+BH285+BH286+BH276</f>
        <v>18493378.6481189</v>
      </c>
      <c r="BI313" s="73" t="n">
        <f aca="false">BI299+BI285+BI286+BI276</f>
        <v>19033295.7501213</v>
      </c>
      <c r="BJ313" s="73" t="n">
        <f aca="false">BJ299+BJ285+BJ286+BJ276</f>
        <v>19573230.4076792</v>
      </c>
    </row>
    <row r="314" customFormat="false" ht="15" hidden="false" customHeight="false" outlineLevel="0" collapsed="false">
      <c r="A314" s="6" t="s">
        <v>96</v>
      </c>
      <c r="C314" s="67" t="n">
        <f aca="false">C287+C282</f>
        <v>316282.5125</v>
      </c>
      <c r="D314" s="67" t="n">
        <f aca="false">D287+D282</f>
        <v>312949.179166667</v>
      </c>
      <c r="E314" s="67" t="n">
        <f aca="false">E287+E282</f>
        <v>309615.845833333</v>
      </c>
      <c r="F314" s="67" t="n">
        <f aca="false">F287+F282</f>
        <v>306282.5125</v>
      </c>
      <c r="G314" s="67" t="n">
        <f aca="false">G287+G282</f>
        <v>302949.179166667</v>
      </c>
      <c r="H314" s="67" t="n">
        <f aca="false">H287+H282</f>
        <v>299615.845833333</v>
      </c>
      <c r="I314" s="67" t="n">
        <f aca="false">I287+I282</f>
        <v>296282.5125</v>
      </c>
      <c r="J314" s="67" t="n">
        <f aca="false">J287+J282</f>
        <v>292949.179166667</v>
      </c>
      <c r="K314" s="67" t="n">
        <f aca="false">K287+K282</f>
        <v>289615.845833333</v>
      </c>
      <c r="L314" s="67" t="n">
        <f aca="false">L287+L282</f>
        <v>286282.5125</v>
      </c>
      <c r="M314" s="67" t="n">
        <f aca="false">M287+M282</f>
        <v>282949.179166667</v>
      </c>
      <c r="N314" s="67" t="n">
        <f aca="false">N287+N282</f>
        <v>279615.845833333</v>
      </c>
      <c r="O314" s="67" t="n">
        <f aca="false">O287+O282</f>
        <v>312309.1133</v>
      </c>
      <c r="P314" s="67" t="n">
        <f aca="false">P287+P282</f>
        <v>308975.779966667</v>
      </c>
      <c r="Q314" s="67" t="n">
        <f aca="false">Q287+Q282</f>
        <v>305642.446633333</v>
      </c>
      <c r="R314" s="67" t="n">
        <f aca="false">R287+R282</f>
        <v>302309.1133</v>
      </c>
      <c r="S314" s="67" t="n">
        <f aca="false">S287+S282</f>
        <v>298975.779966667</v>
      </c>
      <c r="T314" s="67" t="n">
        <f aca="false">T287+T282</f>
        <v>295642.446633333</v>
      </c>
      <c r="U314" s="67" t="n">
        <f aca="false">U287+U282</f>
        <v>292309.1133</v>
      </c>
      <c r="V314" s="67" t="n">
        <f aca="false">V287+V282</f>
        <v>288975.779966667</v>
      </c>
      <c r="W314" s="67" t="n">
        <f aca="false">W287+W282</f>
        <v>285642.446633333</v>
      </c>
      <c r="X314" s="67" t="n">
        <f aca="false">X287+X282</f>
        <v>282309.1133</v>
      </c>
      <c r="Y314" s="67" t="n">
        <f aca="false">Y287+Y282</f>
        <v>278975.779966667</v>
      </c>
      <c r="Z314" s="67" t="n">
        <f aca="false">Z287+Z282</f>
        <v>275642.446633333</v>
      </c>
      <c r="AA314" s="67" t="n">
        <f aca="false">AA287+AA282</f>
        <v>319752.6506188</v>
      </c>
      <c r="AB314" s="67" t="n">
        <f aca="false">AB287+AB282</f>
        <v>316419.317285467</v>
      </c>
      <c r="AC314" s="67" t="n">
        <f aca="false">AC287+AC282</f>
        <v>313085.983952133</v>
      </c>
      <c r="AD314" s="67" t="n">
        <f aca="false">AD287+AD282</f>
        <v>309752.6506188</v>
      </c>
      <c r="AE314" s="67" t="n">
        <f aca="false">AE287+AE282</f>
        <v>306419.317285467</v>
      </c>
      <c r="AF314" s="67" t="n">
        <f aca="false">AF287+AF282</f>
        <v>303085.983952133</v>
      </c>
      <c r="AG314" s="67" t="n">
        <f aca="false">AG287+AG282</f>
        <v>299752.6506188</v>
      </c>
      <c r="AH314" s="67" t="n">
        <f aca="false">AH287+AH282</f>
        <v>296419.317285467</v>
      </c>
      <c r="AI314" s="67" t="n">
        <f aca="false">AI287+AI282</f>
        <v>293085.983952133</v>
      </c>
      <c r="AJ314" s="67" t="n">
        <f aca="false">AJ287+AJ282</f>
        <v>289752.6506188</v>
      </c>
      <c r="AK314" s="67" t="n">
        <f aca="false">AK287+AK282</f>
        <v>286419.317285467</v>
      </c>
      <c r="AL314" s="67" t="n">
        <f aca="false">AL287+AL282</f>
        <v>283085.983952133</v>
      </c>
      <c r="AM314" s="67" t="n">
        <f aca="false">AM287+AM282</f>
        <v>342297.439462993</v>
      </c>
      <c r="AN314" s="67" t="n">
        <f aca="false">AN287+AN282</f>
        <v>338964.10612966</v>
      </c>
      <c r="AO314" s="67" t="n">
        <f aca="false">AO287+AO282</f>
        <v>335630.772796326</v>
      </c>
      <c r="AP314" s="67" t="n">
        <f aca="false">AP287+AP282</f>
        <v>332297.439462993</v>
      </c>
      <c r="AQ314" s="67" t="n">
        <f aca="false">AQ287+AQ282</f>
        <v>328964.10612966</v>
      </c>
      <c r="AR314" s="67" t="n">
        <f aca="false">AR287+AR282</f>
        <v>325630.772796326</v>
      </c>
      <c r="AS314" s="67" t="n">
        <f aca="false">AS287+AS282</f>
        <v>322297.439462993</v>
      </c>
      <c r="AT314" s="67" t="n">
        <f aca="false">AT287+AT282</f>
        <v>318964.10612966</v>
      </c>
      <c r="AU314" s="67" t="n">
        <f aca="false">AU287+AU282</f>
        <v>315630.772796326</v>
      </c>
      <c r="AV314" s="67" t="n">
        <f aca="false">AV287+AV282</f>
        <v>312297.439462993</v>
      </c>
      <c r="AW314" s="67" t="n">
        <f aca="false">AW287+AW282</f>
        <v>308964.10612966</v>
      </c>
      <c r="AX314" s="67" t="n">
        <f aca="false">AX287+AX282</f>
        <v>305630.772796326</v>
      </c>
      <c r="AY314" s="67" t="n">
        <f aca="false">AY287+AY282</f>
        <v>384833.573667168</v>
      </c>
      <c r="AZ314" s="67" t="n">
        <f aca="false">AZ287+AZ282</f>
        <v>381500.240333834</v>
      </c>
      <c r="BA314" s="67" t="n">
        <f aca="false">BA287+BA282</f>
        <v>378166.907000501</v>
      </c>
      <c r="BB314" s="67" t="n">
        <f aca="false">BB287+BB282</f>
        <v>374833.573667168</v>
      </c>
      <c r="BC314" s="67" t="n">
        <f aca="false">BC287+BC282</f>
        <v>371500.240333834</v>
      </c>
      <c r="BD314" s="67" t="n">
        <f aca="false">BD287+BD282</f>
        <v>368166.907000501</v>
      </c>
      <c r="BE314" s="67" t="n">
        <f aca="false">BE287+BE282</f>
        <v>364833.573667168</v>
      </c>
      <c r="BF314" s="67" t="n">
        <f aca="false">BF287+BF282</f>
        <v>361500.240333834</v>
      </c>
      <c r="BG314" s="67" t="n">
        <f aca="false">BG287+BG282</f>
        <v>358166.907000501</v>
      </c>
      <c r="BH314" s="67" t="n">
        <f aca="false">BH287+BH282</f>
        <v>354833.573667168</v>
      </c>
      <c r="BI314" s="67" t="n">
        <f aca="false">BI287+BI282</f>
        <v>351500.240333834</v>
      </c>
      <c r="BJ314" s="67" t="n">
        <f aca="false">BJ287+BJ282</f>
        <v>348166.907000501</v>
      </c>
    </row>
    <row r="315" customFormat="false" ht="15" hidden="false" customHeight="false" outlineLevel="0" collapsed="false">
      <c r="A315" s="6" t="s">
        <v>99</v>
      </c>
      <c r="C315" s="67" t="n">
        <f aca="false">C311+C312</f>
        <v>446152.086916667</v>
      </c>
      <c r="D315" s="67" t="n">
        <f aca="false">D311+D312</f>
        <v>592312.951611111</v>
      </c>
      <c r="E315" s="67" t="n">
        <f aca="false">E311+E312</f>
        <v>738491.371861111</v>
      </c>
      <c r="F315" s="67" t="n">
        <f aca="false">F311+F312</f>
        <v>884687.347666667</v>
      </c>
      <c r="G315" s="67" t="n">
        <f aca="false">G311+G312</f>
        <v>1030900.87902778</v>
      </c>
      <c r="H315" s="67" t="n">
        <f aca="false">H311+H312</f>
        <v>1177131.96594444</v>
      </c>
      <c r="I315" s="67" t="n">
        <f aca="false">I311+I312</f>
        <v>1323380.60841667</v>
      </c>
      <c r="J315" s="67" t="n">
        <f aca="false">J311+J312</f>
        <v>1469646.80644444</v>
      </c>
      <c r="K315" s="67" t="n">
        <f aca="false">K311+K312</f>
        <v>1615930.56002778</v>
      </c>
      <c r="L315" s="67" t="n">
        <f aca="false">L311+L312</f>
        <v>1762231.86916667</v>
      </c>
      <c r="M315" s="67" t="n">
        <f aca="false">M311+M312</f>
        <v>1908550.73386111</v>
      </c>
      <c r="N315" s="67" t="n">
        <f aca="false">N311+N312</f>
        <v>2054887.15411111</v>
      </c>
      <c r="O315" s="67" t="n">
        <f aca="false">O311+O312</f>
        <v>2260582.06871267</v>
      </c>
      <c r="P315" s="67" t="n">
        <f aca="false">P311+P312</f>
        <v>2466294.53886978</v>
      </c>
      <c r="Q315" s="67" t="n">
        <f aca="false">Q311+Q312</f>
        <v>2672024.56458244</v>
      </c>
      <c r="R315" s="67" t="n">
        <f aca="false">R311+R312</f>
        <v>2877772.14585067</v>
      </c>
      <c r="S315" s="67" t="n">
        <f aca="false">S311+S312</f>
        <v>3083537.28267445</v>
      </c>
      <c r="T315" s="67" t="n">
        <f aca="false">T311+T312</f>
        <v>3289319.97505378</v>
      </c>
      <c r="U315" s="67" t="n">
        <f aca="false">U311+U312</f>
        <v>3495120.22298867</v>
      </c>
      <c r="V315" s="67" t="n">
        <f aca="false">V311+V312</f>
        <v>3700938.02647911</v>
      </c>
      <c r="W315" s="67" t="n">
        <f aca="false">W311+W312</f>
        <v>3906773.38552511</v>
      </c>
      <c r="X315" s="67" t="n">
        <f aca="false">X311+X312</f>
        <v>4112626.30012667</v>
      </c>
      <c r="Y315" s="67" t="n">
        <f aca="false">Y311+Y312</f>
        <v>4318496.77028378</v>
      </c>
      <c r="Z315" s="67" t="n">
        <f aca="false">Z311+Z312</f>
        <v>4524384.79599645</v>
      </c>
      <c r="AA315" s="67" t="n">
        <f aca="false">AA311+AA312</f>
        <v>4810681.42821787</v>
      </c>
      <c r="AB315" s="67" t="n">
        <f aca="false">AB311+AB312</f>
        <v>5096995.61599486</v>
      </c>
      <c r="AC315" s="67" t="n">
        <f aca="false">AC311+AC312</f>
        <v>5383327.3593274</v>
      </c>
      <c r="AD315" s="67" t="n">
        <f aca="false">AD311+AD312</f>
        <v>5669676.65821549</v>
      </c>
      <c r="AE315" s="67" t="n">
        <f aca="false">AE311+AE312</f>
        <v>5956043.51265914</v>
      </c>
      <c r="AF315" s="67" t="n">
        <f aca="false">AF311+AF312</f>
        <v>6242427.92265835</v>
      </c>
      <c r="AG315" s="67" t="n">
        <f aca="false">AG311+AG312</f>
        <v>6528829.88821311</v>
      </c>
      <c r="AH315" s="67" t="n">
        <f aca="false">AH311+AH312</f>
        <v>6815249.40932343</v>
      </c>
      <c r="AI315" s="67" t="n">
        <f aca="false">AI311+AI312</f>
        <v>7101686.4859893</v>
      </c>
      <c r="AJ315" s="67" t="n">
        <f aca="false">AJ311+AJ312</f>
        <v>7388141.11821073</v>
      </c>
      <c r="AK315" s="67" t="n">
        <f aca="false">AK311+AK312</f>
        <v>7674613.30598771</v>
      </c>
      <c r="AL315" s="67" t="n">
        <f aca="false">AL311+AL312</f>
        <v>7961103.04932025</v>
      </c>
      <c r="AM315" s="67" t="n">
        <f aca="false">AM311+AM312</f>
        <v>8356498.4293755</v>
      </c>
      <c r="AN315" s="67" t="n">
        <f aca="false">AN311+AN312</f>
        <v>8751911.3649863</v>
      </c>
      <c r="AO315" s="67" t="n">
        <f aca="false">AO311+AO312</f>
        <v>9147341.85615265</v>
      </c>
      <c r="AP315" s="67" t="n">
        <f aca="false">AP311+AP312</f>
        <v>9542789.90287456</v>
      </c>
      <c r="AQ315" s="67" t="n">
        <f aca="false">AQ311+AQ312</f>
        <v>9938255.50515203</v>
      </c>
      <c r="AR315" s="67" t="n">
        <f aca="false">AR311+AR312</f>
        <v>10333738.6629851</v>
      </c>
      <c r="AS315" s="67" t="n">
        <f aca="false">AS311+AS312</f>
        <v>10729239.3763736</v>
      </c>
      <c r="AT315" s="67" t="n">
        <f aca="false">AT311+AT312</f>
        <v>11124757.6453178</v>
      </c>
      <c r="AU315" s="67" t="n">
        <f aca="false">AU311+AU312</f>
        <v>11520293.4698175</v>
      </c>
      <c r="AV315" s="67" t="n">
        <f aca="false">AV311+AV312</f>
        <v>11915846.8498727</v>
      </c>
      <c r="AW315" s="67" t="n">
        <f aca="false">AW311+AW312</f>
        <v>12311417.7854835</v>
      </c>
      <c r="AX315" s="67" t="n">
        <f aca="false">AX311+AX312</f>
        <v>12707006.2766499</v>
      </c>
      <c r="AY315" s="67" t="n">
        <f aca="false">AY311+AY312</f>
        <v>13250081.15643</v>
      </c>
      <c r="AZ315" s="67" t="n">
        <f aca="false">AZ311+AZ312</f>
        <v>13793173.5917658</v>
      </c>
      <c r="BA315" s="67" t="n">
        <f aca="false">BA311+BA312</f>
        <v>14336283.5826571</v>
      </c>
      <c r="BB315" s="67" t="n">
        <f aca="false">BB311+BB312</f>
        <v>14879411.1291039</v>
      </c>
      <c r="BC315" s="67" t="n">
        <f aca="false">BC311+BC312</f>
        <v>15422556.2311063</v>
      </c>
      <c r="BD315" s="67" t="n">
        <f aca="false">BD311+BD312</f>
        <v>15965718.8886643</v>
      </c>
      <c r="BE315" s="67" t="n">
        <f aca="false">BE311+BE312</f>
        <v>16508899.1017778</v>
      </c>
      <c r="BF315" s="67" t="n">
        <f aca="false">BF311+BF312</f>
        <v>17052096.8704469</v>
      </c>
      <c r="BG315" s="67" t="n">
        <f aca="false">BG311+BG312</f>
        <v>17595312.1946715</v>
      </c>
      <c r="BH315" s="67" t="n">
        <f aca="false">BH311+BH312</f>
        <v>18138545.0744517</v>
      </c>
      <c r="BI315" s="67" t="n">
        <f aca="false">BI311+BI312</f>
        <v>18681795.5097874</v>
      </c>
      <c r="BJ315" s="67" t="n">
        <f aca="false">BJ311+BJ312</f>
        <v>19225063.5006787</v>
      </c>
    </row>
    <row r="316" customFormat="false" ht="15" hidden="false" customHeight="false" outlineLevel="0" collapsed="false">
      <c r="A316" s="4" t="s">
        <v>100</v>
      </c>
      <c r="C316" s="73" t="n">
        <f aca="false">C314+C315</f>
        <v>762434.599416667</v>
      </c>
      <c r="D316" s="73" t="n">
        <f aca="false">D314+D315</f>
        <v>905262.130777778</v>
      </c>
      <c r="E316" s="73" t="n">
        <f aca="false">E314+E315</f>
        <v>1048107.21769444</v>
      </c>
      <c r="F316" s="73" t="n">
        <f aca="false">F314+F315</f>
        <v>1190969.86016667</v>
      </c>
      <c r="G316" s="73" t="n">
        <f aca="false">G314+G315</f>
        <v>1333850.05819444</v>
      </c>
      <c r="H316" s="73" t="n">
        <f aca="false">H314+H315</f>
        <v>1476747.81177778</v>
      </c>
      <c r="I316" s="73" t="n">
        <f aca="false">I314+I315</f>
        <v>1619663.12091667</v>
      </c>
      <c r="J316" s="73" t="n">
        <f aca="false">J314+J315</f>
        <v>1762595.98561111</v>
      </c>
      <c r="K316" s="73" t="n">
        <f aca="false">K314+K315</f>
        <v>1905546.40586111</v>
      </c>
      <c r="L316" s="73" t="n">
        <f aca="false">L314+L315</f>
        <v>2048514.38166667</v>
      </c>
      <c r="M316" s="73" t="n">
        <f aca="false">M314+M315</f>
        <v>2191499.91302778</v>
      </c>
      <c r="N316" s="73" t="n">
        <f aca="false">N314+N315</f>
        <v>2334502.99994444</v>
      </c>
      <c r="O316" s="73" t="n">
        <f aca="false">O314+O315</f>
        <v>2572891.18201267</v>
      </c>
      <c r="P316" s="73" t="n">
        <f aca="false">P314+P315</f>
        <v>2775270.31883644</v>
      </c>
      <c r="Q316" s="73" t="n">
        <f aca="false">Q314+Q315</f>
        <v>2977667.01121578</v>
      </c>
      <c r="R316" s="73" t="n">
        <f aca="false">R314+R315</f>
        <v>3180081.25915067</v>
      </c>
      <c r="S316" s="73" t="n">
        <f aca="false">S314+S315</f>
        <v>3382513.06264111</v>
      </c>
      <c r="T316" s="73" t="n">
        <f aca="false">T314+T315</f>
        <v>3584962.42168711</v>
      </c>
      <c r="U316" s="73" t="n">
        <f aca="false">U314+U315</f>
        <v>3787429.33628867</v>
      </c>
      <c r="V316" s="73" t="n">
        <f aca="false">V314+V315</f>
        <v>3989913.80644578</v>
      </c>
      <c r="W316" s="73" t="n">
        <f aca="false">W314+W315</f>
        <v>4192415.83215845</v>
      </c>
      <c r="X316" s="73" t="n">
        <f aca="false">X314+X315</f>
        <v>4394935.41342667</v>
      </c>
      <c r="Y316" s="73" t="n">
        <f aca="false">Y314+Y315</f>
        <v>4597472.55025045</v>
      </c>
      <c r="Z316" s="73" t="n">
        <f aca="false">Z314+Z315</f>
        <v>4800027.24262978</v>
      </c>
      <c r="AA316" s="73" t="n">
        <f aca="false">AA314+AA315</f>
        <v>5130434.07883667</v>
      </c>
      <c r="AB316" s="73" t="n">
        <f aca="false">AB314+AB315</f>
        <v>5413414.93328033</v>
      </c>
      <c r="AC316" s="73" t="n">
        <f aca="false">AC314+AC315</f>
        <v>5696413.34327953</v>
      </c>
      <c r="AD316" s="73" t="n">
        <f aca="false">AD314+AD315</f>
        <v>5979429.30883429</v>
      </c>
      <c r="AE316" s="73" t="n">
        <f aca="false">AE314+AE315</f>
        <v>6262462.82994461</v>
      </c>
      <c r="AF316" s="73" t="n">
        <f aca="false">AF314+AF315</f>
        <v>6545513.90661048</v>
      </c>
      <c r="AG316" s="73" t="n">
        <f aca="false">AG314+AG315</f>
        <v>6828582.53883191</v>
      </c>
      <c r="AH316" s="73" t="n">
        <f aca="false">AH314+AH315</f>
        <v>7111668.72660889</v>
      </c>
      <c r="AI316" s="73" t="n">
        <f aca="false">AI314+AI315</f>
        <v>7394772.46994143</v>
      </c>
      <c r="AJ316" s="73" t="n">
        <f aca="false">AJ314+AJ315</f>
        <v>7677893.76882953</v>
      </c>
      <c r="AK316" s="73" t="n">
        <f aca="false">AK314+AK315</f>
        <v>7961032.62327318</v>
      </c>
      <c r="AL316" s="73" t="n">
        <f aca="false">AL314+AL315</f>
        <v>8244189.03327238</v>
      </c>
      <c r="AM316" s="73" t="n">
        <f aca="false">AM314+AM315</f>
        <v>8698795.86883849</v>
      </c>
      <c r="AN316" s="73" t="n">
        <f aca="false">AN314+AN315</f>
        <v>9090875.47111595</v>
      </c>
      <c r="AO316" s="73" t="n">
        <f aca="false">AO314+AO315</f>
        <v>9482972.62894898</v>
      </c>
      <c r="AP316" s="73" t="n">
        <f aca="false">AP314+AP315</f>
        <v>9875087.34233755</v>
      </c>
      <c r="AQ316" s="73" t="n">
        <f aca="false">AQ314+AQ315</f>
        <v>10267219.6112817</v>
      </c>
      <c r="AR316" s="73" t="n">
        <f aca="false">AR314+AR315</f>
        <v>10659369.4357814</v>
      </c>
      <c r="AS316" s="73" t="n">
        <f aca="false">AS314+AS315</f>
        <v>11051536.8158366</v>
      </c>
      <c r="AT316" s="73" t="n">
        <f aca="false">AT314+AT315</f>
        <v>11443721.7514474</v>
      </c>
      <c r="AU316" s="73" t="n">
        <f aca="false">AU314+AU315</f>
        <v>11835924.2426138</v>
      </c>
      <c r="AV316" s="73" t="n">
        <f aca="false">AV314+AV315</f>
        <v>12228144.2893357</v>
      </c>
      <c r="AW316" s="73" t="n">
        <f aca="false">AW314+AW315</f>
        <v>12620381.8916132</v>
      </c>
      <c r="AX316" s="73" t="n">
        <f aca="false">AX314+AX315</f>
        <v>13012637.0494462</v>
      </c>
      <c r="AY316" s="73" t="n">
        <f aca="false">AY314+AY315</f>
        <v>13634914.7300972</v>
      </c>
      <c r="AZ316" s="73" t="n">
        <f aca="false">AZ314+AZ315</f>
        <v>14174673.8320996</v>
      </c>
      <c r="BA316" s="73" t="n">
        <f aca="false">BA314+BA315</f>
        <v>14714450.4896576</v>
      </c>
      <c r="BB316" s="73" t="n">
        <f aca="false">BB314+BB315</f>
        <v>15254244.7027711</v>
      </c>
      <c r="BC316" s="73" t="n">
        <f aca="false">BC314+BC315</f>
        <v>15794056.4714402</v>
      </c>
      <c r="BD316" s="73" t="n">
        <f aca="false">BD314+BD315</f>
        <v>16333885.7956648</v>
      </c>
      <c r="BE316" s="73" t="n">
        <f aca="false">BE314+BE315</f>
        <v>16873732.675445</v>
      </c>
      <c r="BF316" s="73" t="n">
        <f aca="false">BF314+BF315</f>
        <v>17413597.1107807</v>
      </c>
      <c r="BG316" s="73" t="n">
        <f aca="false">BG314+BG315</f>
        <v>17953479.101672</v>
      </c>
      <c r="BH316" s="73" t="n">
        <f aca="false">BH314+BH315</f>
        <v>18493378.6481189</v>
      </c>
      <c r="BI316" s="73" t="n">
        <f aca="false">BI314+BI315</f>
        <v>19033295.7501213</v>
      </c>
      <c r="BJ316" s="73" t="n">
        <f aca="false">BJ314+BJ315</f>
        <v>19573230.4076792</v>
      </c>
    </row>
    <row r="317" customFormat="false" ht="15" hidden="false" customHeight="false" outlineLevel="0" collapsed="false">
      <c r="A317" s="6" t="s">
        <v>434</v>
      </c>
      <c r="C317" s="67" t="n">
        <f aca="false">C313-C316</f>
        <v>0</v>
      </c>
      <c r="D317" s="67" t="n">
        <f aca="false">D313-D316</f>
        <v>0</v>
      </c>
      <c r="E317" s="67" t="n">
        <f aca="false">E313-E316</f>
        <v>0</v>
      </c>
      <c r="F317" s="67" t="n">
        <f aca="false">F313-F316</f>
        <v>0</v>
      </c>
      <c r="G317" s="67" t="n">
        <f aca="false">G313-G316</f>
        <v>0</v>
      </c>
      <c r="H317" s="67" t="n">
        <f aca="false">H313-H316</f>
        <v>0</v>
      </c>
      <c r="I317" s="67" t="n">
        <f aca="false">I313-I316</f>
        <v>0</v>
      </c>
      <c r="J317" s="67" t="n">
        <f aca="false">J313-J316</f>
        <v>0</v>
      </c>
      <c r="K317" s="67" t="n">
        <f aca="false">K313-K316</f>
        <v>0</v>
      </c>
      <c r="L317" s="67" t="n">
        <f aca="false">L313-L316</f>
        <v>0</v>
      </c>
      <c r="M317" s="67" t="n">
        <f aca="false">M313-M316</f>
        <v>0</v>
      </c>
      <c r="N317" s="67" t="n">
        <f aca="false">N313-N316</f>
        <v>0</v>
      </c>
      <c r="O317" s="67" t="n">
        <f aca="false">O313-O316</f>
        <v>0</v>
      </c>
      <c r="P317" s="67" t="n">
        <f aca="false">P313-P316</f>
        <v>0</v>
      </c>
      <c r="Q317" s="67" t="n">
        <f aca="false">Q313-Q316</f>
        <v>0</v>
      </c>
      <c r="R317" s="67" t="n">
        <f aca="false">R313-R316</f>
        <v>0</v>
      </c>
      <c r="S317" s="67" t="n">
        <f aca="false">S313-S316</f>
        <v>0</v>
      </c>
      <c r="T317" s="67" t="n">
        <f aca="false">T313-T316</f>
        <v>0</v>
      </c>
      <c r="U317" s="67" t="n">
        <f aca="false">U313-U316</f>
        <v>0</v>
      </c>
      <c r="V317" s="67" t="n">
        <f aca="false">V313-V316</f>
        <v>0</v>
      </c>
      <c r="W317" s="67" t="n">
        <f aca="false">W313-W316</f>
        <v>0</v>
      </c>
      <c r="X317" s="67" t="n">
        <f aca="false">X313-X316</f>
        <v>0</v>
      </c>
      <c r="Y317" s="67" t="n">
        <f aca="false">Y313-Y316</f>
        <v>0</v>
      </c>
      <c r="Z317" s="67" t="n">
        <f aca="false">Z313-Z316</f>
        <v>0</v>
      </c>
      <c r="AA317" s="67" t="n">
        <f aca="false">AA313-AA316</f>
        <v>0</v>
      </c>
      <c r="AB317" s="67" t="n">
        <f aca="false">AB313-AB316</f>
        <v>0</v>
      </c>
      <c r="AC317" s="67" t="n">
        <f aca="false">AC313-AC316</f>
        <v>0</v>
      </c>
      <c r="AD317" s="67" t="n">
        <f aca="false">AD313-AD316</f>
        <v>0</v>
      </c>
      <c r="AE317" s="67" t="n">
        <f aca="false">AE313-AE316</f>
        <v>0</v>
      </c>
      <c r="AF317" s="67" t="n">
        <f aca="false">AF313-AF316</f>
        <v>0</v>
      </c>
      <c r="AG317" s="67" t="n">
        <f aca="false">AG313-AG316</f>
        <v>0</v>
      </c>
      <c r="AH317" s="67" t="n">
        <f aca="false">AH313-AH316</f>
        <v>0</v>
      </c>
      <c r="AI317" s="67" t="n">
        <f aca="false">AI313-AI316</f>
        <v>0</v>
      </c>
      <c r="AJ317" s="67" t="n">
        <f aca="false">AJ313-AJ316</f>
        <v>0</v>
      </c>
      <c r="AK317" s="67" t="n">
        <f aca="false">AK313-AK316</f>
        <v>0</v>
      </c>
      <c r="AL317" s="67" t="n">
        <f aca="false">AL313-AL316</f>
        <v>0</v>
      </c>
      <c r="AM317" s="67" t="n">
        <f aca="false">AM313-AM316</f>
        <v>0</v>
      </c>
      <c r="AN317" s="67" t="n">
        <f aca="false">AN313-AN316</f>
        <v>0</v>
      </c>
      <c r="AO317" s="67" t="n">
        <f aca="false">AO313-AO316</f>
        <v>0</v>
      </c>
      <c r="AP317" s="67" t="n">
        <f aca="false">AP313-AP316</f>
        <v>0</v>
      </c>
      <c r="AQ317" s="67" t="n">
        <f aca="false">AQ313-AQ316</f>
        <v>0</v>
      </c>
      <c r="AR317" s="67" t="n">
        <f aca="false">AR313-AR316</f>
        <v>0</v>
      </c>
      <c r="AS317" s="67" t="n">
        <f aca="false">AS313-AS316</f>
        <v>0</v>
      </c>
      <c r="AT317" s="67" t="n">
        <f aca="false">AT313-AT316</f>
        <v>0</v>
      </c>
      <c r="AU317" s="67" t="n">
        <f aca="false">AU313-AU316</f>
        <v>0</v>
      </c>
      <c r="AV317" s="67" t="n">
        <f aca="false">AV313-AV316</f>
        <v>0</v>
      </c>
      <c r="AW317" s="67" t="n">
        <f aca="false">AW313-AW316</f>
        <v>0</v>
      </c>
      <c r="AX317" s="67" t="n">
        <f aca="false">AX313-AX316</f>
        <v>0</v>
      </c>
      <c r="AY317" s="67" t="n">
        <f aca="false">AY313-AY316</f>
        <v>0</v>
      </c>
      <c r="AZ317" s="67" t="n">
        <f aca="false">AZ313-AZ316</f>
        <v>0</v>
      </c>
      <c r="BA317" s="67" t="n">
        <f aca="false">BA313-BA316</f>
        <v>0</v>
      </c>
      <c r="BB317" s="67" t="n">
        <f aca="false">BB313-BB316</f>
        <v>0</v>
      </c>
      <c r="BC317" s="67" t="n">
        <f aca="false">BC313-BC316</f>
        <v>0</v>
      </c>
      <c r="BD317" s="67" t="n">
        <f aca="false">BD313-BD316</f>
        <v>0</v>
      </c>
      <c r="BE317" s="67" t="n">
        <f aca="false">BE313-BE316</f>
        <v>0</v>
      </c>
      <c r="BF317" s="67" t="n">
        <f aca="false">BF313-BF316</f>
        <v>0</v>
      </c>
      <c r="BG317" s="67" t="n">
        <f aca="false">BG313-BG316</f>
        <v>0</v>
      </c>
      <c r="BH317" s="67" t="n">
        <f aca="false">BH313-BH316</f>
        <v>0</v>
      </c>
      <c r="BI317" s="67" t="n">
        <f aca="false">BI313-BI316</f>
        <v>0</v>
      </c>
      <c r="BJ317" s="67" t="n">
        <f aca="false">BJ313-BJ316</f>
        <v>0</v>
      </c>
    </row>
    <row r="319" customFormat="false" ht="15.75" hidden="false" customHeight="true" outlineLevel="0" collapsed="false">
      <c r="A319" s="7" t="s">
        <v>436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customFormat="false" ht="15" hidden="false" customHeight="false" outlineLevel="0" collapsed="false">
      <c r="A320" s="6" t="s">
        <v>437</v>
      </c>
      <c r="C320" s="116" t="n">
        <f aca="false">Inputs!$D$34*(1+Inputs!$D$36)^(C$227-1)*MAX(0,MIN(1,C$226*1-Inputs!$D$37+1))/1</f>
        <v>4</v>
      </c>
      <c r="D320" s="116" t="n">
        <f aca="false">Inputs!$D$34*(1+Inputs!$D$36)^(D$227-1)*MAX(0,MIN(1,D$226*1-Inputs!$D$37+1))/1</f>
        <v>4</v>
      </c>
      <c r="E320" s="116" t="n">
        <f aca="false">Inputs!$D$34*(1+Inputs!$D$36)^(E$227-1)*MAX(0,MIN(1,E$226*1-Inputs!$D$37+1))/1</f>
        <v>4</v>
      </c>
      <c r="F320" s="116" t="n">
        <f aca="false">Inputs!$D$34*(1+Inputs!$D$36)^(F$227-1)*MAX(0,MIN(1,F$226*1-Inputs!$D$37+1))/1</f>
        <v>4</v>
      </c>
      <c r="G320" s="116" t="n">
        <f aca="false">Inputs!$D$34*(1+Inputs!$D$36)^(G$227-1)*MAX(0,MIN(1,G$226*1-Inputs!$D$37+1))/1</f>
        <v>4</v>
      </c>
      <c r="H320" s="116" t="n">
        <f aca="false">Inputs!$D$34*(1+Inputs!$D$36)^(H$227-1)*MAX(0,MIN(1,H$226*1-Inputs!$D$37+1))/1</f>
        <v>4</v>
      </c>
      <c r="I320" s="116" t="n">
        <f aca="false">Inputs!$D$34*(1+Inputs!$D$36)^(I$227-1)*MAX(0,MIN(1,I$226*1-Inputs!$D$37+1))/1</f>
        <v>4</v>
      </c>
      <c r="J320" s="116" t="n">
        <f aca="false">Inputs!$D$34*(1+Inputs!$D$36)^(J$227-1)*MAX(0,MIN(1,J$226*1-Inputs!$D$37+1))/1</f>
        <v>4</v>
      </c>
      <c r="K320" s="116" t="n">
        <f aca="false">Inputs!$D$34*(1+Inputs!$D$36)^(K$227-1)*MAX(0,MIN(1,K$226*1-Inputs!$D$37+1))/1</f>
        <v>4</v>
      </c>
      <c r="L320" s="116" t="n">
        <f aca="false">Inputs!$D$34*(1+Inputs!$D$36)^(L$227-1)*MAX(0,MIN(1,L$226*1-Inputs!$D$37+1))/1</f>
        <v>4</v>
      </c>
      <c r="M320" s="116" t="n">
        <f aca="false">Inputs!$D$34*(1+Inputs!$D$36)^(M$227-1)*MAX(0,MIN(1,M$226*1-Inputs!$D$37+1))/1</f>
        <v>4</v>
      </c>
      <c r="N320" s="116" t="n">
        <f aca="false">Inputs!$D$34*(1+Inputs!$D$36)^(N$227-1)*MAX(0,MIN(1,N$226*1-Inputs!$D$37+1))/1</f>
        <v>4</v>
      </c>
      <c r="O320" s="116" t="n">
        <f aca="false">Inputs!$D$34*(1+Inputs!$D$36)^(O$227-1)*MAX(0,MIN(1,O$226*1-Inputs!$D$37+1))/1</f>
        <v>4.8</v>
      </c>
      <c r="P320" s="116" t="n">
        <f aca="false">Inputs!$D$34*(1+Inputs!$D$36)^(P$227-1)*MAX(0,MIN(1,P$226*1-Inputs!$D$37+1))/1</f>
        <v>4.8</v>
      </c>
      <c r="Q320" s="116" t="n">
        <f aca="false">Inputs!$D$34*(1+Inputs!$D$36)^(Q$227-1)*MAX(0,MIN(1,Q$226*1-Inputs!$D$37+1))/1</f>
        <v>4.8</v>
      </c>
      <c r="R320" s="116" t="n">
        <f aca="false">Inputs!$D$34*(1+Inputs!$D$36)^(R$227-1)*MAX(0,MIN(1,R$226*1-Inputs!$D$37+1))/1</f>
        <v>4.8</v>
      </c>
      <c r="S320" s="116" t="n">
        <f aca="false">Inputs!$D$34*(1+Inputs!$D$36)^(S$227-1)*MAX(0,MIN(1,S$226*1-Inputs!$D$37+1))/1</f>
        <v>4.8</v>
      </c>
      <c r="T320" s="116" t="n">
        <f aca="false">Inputs!$D$34*(1+Inputs!$D$36)^(T$227-1)*MAX(0,MIN(1,T$226*1-Inputs!$D$37+1))/1</f>
        <v>4.8</v>
      </c>
      <c r="U320" s="116" t="n">
        <f aca="false">Inputs!$D$34*(1+Inputs!$D$36)^(U$227-1)*MAX(0,MIN(1,U$226*1-Inputs!$D$37+1))/1</f>
        <v>4.8</v>
      </c>
      <c r="V320" s="116" t="n">
        <f aca="false">Inputs!$D$34*(1+Inputs!$D$36)^(V$227-1)*MAX(0,MIN(1,V$226*1-Inputs!$D$37+1))/1</f>
        <v>4.8</v>
      </c>
      <c r="W320" s="116" t="n">
        <f aca="false">Inputs!$D$34*(1+Inputs!$D$36)^(W$227-1)*MAX(0,MIN(1,W$226*1-Inputs!$D$37+1))/1</f>
        <v>4.8</v>
      </c>
      <c r="X320" s="116" t="n">
        <f aca="false">Inputs!$D$34*(1+Inputs!$D$36)^(X$227-1)*MAX(0,MIN(1,X$226*1-Inputs!$D$37+1))/1</f>
        <v>4.8</v>
      </c>
      <c r="Y320" s="116" t="n">
        <f aca="false">Inputs!$D$34*(1+Inputs!$D$36)^(Y$227-1)*MAX(0,MIN(1,Y$226*1-Inputs!$D$37+1))/1</f>
        <v>4.8</v>
      </c>
      <c r="Z320" s="116" t="n">
        <f aca="false">Inputs!$D$34*(1+Inputs!$D$36)^(Z$227-1)*MAX(0,MIN(1,Z$226*1-Inputs!$D$37+1))/1</f>
        <v>4.8</v>
      </c>
      <c r="AA320" s="116" t="n">
        <f aca="false">Inputs!$D$34*(1+Inputs!$D$36)^(AA$227-1)*MAX(0,MIN(1,AA$226*1-Inputs!$D$37+1))/1</f>
        <v>5.76</v>
      </c>
      <c r="AB320" s="116" t="n">
        <f aca="false">Inputs!$D$34*(1+Inputs!$D$36)^(AB$227-1)*MAX(0,MIN(1,AB$226*1-Inputs!$D$37+1))/1</f>
        <v>5.76</v>
      </c>
      <c r="AC320" s="116" t="n">
        <f aca="false">Inputs!$D$34*(1+Inputs!$D$36)^(AC$227-1)*MAX(0,MIN(1,AC$226*1-Inputs!$D$37+1))/1</f>
        <v>5.76</v>
      </c>
      <c r="AD320" s="116" t="n">
        <f aca="false">Inputs!$D$34*(1+Inputs!$D$36)^(AD$227-1)*MAX(0,MIN(1,AD$226*1-Inputs!$D$37+1))/1</f>
        <v>5.76</v>
      </c>
      <c r="AE320" s="116" t="n">
        <f aca="false">Inputs!$D$34*(1+Inputs!$D$36)^(AE$227-1)*MAX(0,MIN(1,AE$226*1-Inputs!$D$37+1))/1</f>
        <v>5.76</v>
      </c>
      <c r="AF320" s="116" t="n">
        <f aca="false">Inputs!$D$34*(1+Inputs!$D$36)^(AF$227-1)*MAX(0,MIN(1,AF$226*1-Inputs!$D$37+1))/1</f>
        <v>5.76</v>
      </c>
      <c r="AG320" s="116" t="n">
        <f aca="false">Inputs!$D$34*(1+Inputs!$D$36)^(AG$227-1)*MAX(0,MIN(1,AG$226*1-Inputs!$D$37+1))/1</f>
        <v>5.76</v>
      </c>
      <c r="AH320" s="116" t="n">
        <f aca="false">Inputs!$D$34*(1+Inputs!$D$36)^(AH$227-1)*MAX(0,MIN(1,AH$226*1-Inputs!$D$37+1))/1</f>
        <v>5.76</v>
      </c>
      <c r="AI320" s="116" t="n">
        <f aca="false">Inputs!$D$34*(1+Inputs!$D$36)^(AI$227-1)*MAX(0,MIN(1,AI$226*1-Inputs!$D$37+1))/1</f>
        <v>5.76</v>
      </c>
      <c r="AJ320" s="116" t="n">
        <f aca="false">Inputs!$D$34*(1+Inputs!$D$36)^(AJ$227-1)*MAX(0,MIN(1,AJ$226*1-Inputs!$D$37+1))/1</f>
        <v>5.76</v>
      </c>
      <c r="AK320" s="116" t="n">
        <f aca="false">Inputs!$D$34*(1+Inputs!$D$36)^(AK$227-1)*MAX(0,MIN(1,AK$226*1-Inputs!$D$37+1))/1</f>
        <v>5.76</v>
      </c>
      <c r="AL320" s="116" t="n">
        <f aca="false">Inputs!$D$34*(1+Inputs!$D$36)^(AL$227-1)*MAX(0,MIN(1,AL$226*1-Inputs!$D$37+1))/1</f>
        <v>5.76</v>
      </c>
      <c r="AM320" s="116" t="n">
        <f aca="false">Inputs!$D$34*(1+Inputs!$D$36)^(AM$227-1)*MAX(0,MIN(1,AM$226*1-Inputs!$D$37+1))/1</f>
        <v>6.912</v>
      </c>
      <c r="AN320" s="116" t="n">
        <f aca="false">Inputs!$D$34*(1+Inputs!$D$36)^(AN$227-1)*MAX(0,MIN(1,AN$226*1-Inputs!$D$37+1))/1</f>
        <v>6.912</v>
      </c>
      <c r="AO320" s="116" t="n">
        <f aca="false">Inputs!$D$34*(1+Inputs!$D$36)^(AO$227-1)*MAX(0,MIN(1,AO$226*1-Inputs!$D$37+1))/1</f>
        <v>6.912</v>
      </c>
      <c r="AP320" s="116" t="n">
        <f aca="false">Inputs!$D$34*(1+Inputs!$D$36)^(AP$227-1)*MAX(0,MIN(1,AP$226*1-Inputs!$D$37+1))/1</f>
        <v>6.912</v>
      </c>
      <c r="AQ320" s="116" t="n">
        <f aca="false">Inputs!$D$34*(1+Inputs!$D$36)^(AQ$227-1)*MAX(0,MIN(1,AQ$226*1-Inputs!$D$37+1))/1</f>
        <v>6.912</v>
      </c>
      <c r="AR320" s="116" t="n">
        <f aca="false">Inputs!$D$34*(1+Inputs!$D$36)^(AR$227-1)*MAX(0,MIN(1,AR$226*1-Inputs!$D$37+1))/1</f>
        <v>6.912</v>
      </c>
      <c r="AS320" s="116" t="n">
        <f aca="false">Inputs!$D$34*(1+Inputs!$D$36)^(AS$227-1)*MAX(0,MIN(1,AS$226*1-Inputs!$D$37+1))/1</f>
        <v>6.912</v>
      </c>
      <c r="AT320" s="116" t="n">
        <f aca="false">Inputs!$D$34*(1+Inputs!$D$36)^(AT$227-1)*MAX(0,MIN(1,AT$226*1-Inputs!$D$37+1))/1</f>
        <v>6.912</v>
      </c>
      <c r="AU320" s="116" t="n">
        <f aca="false">Inputs!$D$34*(1+Inputs!$D$36)^(AU$227-1)*MAX(0,MIN(1,AU$226*1-Inputs!$D$37+1))/1</f>
        <v>6.912</v>
      </c>
      <c r="AV320" s="116" t="n">
        <f aca="false">Inputs!$D$34*(1+Inputs!$D$36)^(AV$227-1)*MAX(0,MIN(1,AV$226*1-Inputs!$D$37+1))/1</f>
        <v>6.912</v>
      </c>
      <c r="AW320" s="116" t="n">
        <f aca="false">Inputs!$D$34*(1+Inputs!$D$36)^(AW$227-1)*MAX(0,MIN(1,AW$226*1-Inputs!$D$37+1))/1</f>
        <v>6.912</v>
      </c>
      <c r="AX320" s="116" t="n">
        <f aca="false">Inputs!$D$34*(1+Inputs!$D$36)^(AX$227-1)*MAX(0,MIN(1,AX$226*1-Inputs!$D$37+1))/1</f>
        <v>6.912</v>
      </c>
      <c r="AY320" s="116" t="n">
        <f aca="false">Inputs!$D$34*(1+Inputs!$D$36)^(AY$227-1)*MAX(0,MIN(1,AY$226*1-Inputs!$D$37+1))/1</f>
        <v>8.2944</v>
      </c>
      <c r="AZ320" s="116" t="n">
        <f aca="false">Inputs!$D$34*(1+Inputs!$D$36)^(AZ$227-1)*MAX(0,MIN(1,AZ$226*1-Inputs!$D$37+1))/1</f>
        <v>8.2944</v>
      </c>
      <c r="BA320" s="116" t="n">
        <f aca="false">Inputs!$D$34*(1+Inputs!$D$36)^(BA$227-1)*MAX(0,MIN(1,BA$226*1-Inputs!$D$37+1))/1</f>
        <v>8.2944</v>
      </c>
      <c r="BB320" s="116" t="n">
        <f aca="false">Inputs!$D$34*(1+Inputs!$D$36)^(BB$227-1)*MAX(0,MIN(1,BB$226*1-Inputs!$D$37+1))/1</f>
        <v>8.2944</v>
      </c>
      <c r="BC320" s="116" t="n">
        <f aca="false">Inputs!$D$34*(1+Inputs!$D$36)^(BC$227-1)*MAX(0,MIN(1,BC$226*1-Inputs!$D$37+1))/1</f>
        <v>8.2944</v>
      </c>
      <c r="BD320" s="116" t="n">
        <f aca="false">Inputs!$D$34*(1+Inputs!$D$36)^(BD$227-1)*MAX(0,MIN(1,BD$226*1-Inputs!$D$37+1))/1</f>
        <v>8.2944</v>
      </c>
      <c r="BE320" s="116" t="n">
        <f aca="false">Inputs!$D$34*(1+Inputs!$D$36)^(BE$227-1)*MAX(0,MIN(1,BE$226*1-Inputs!$D$37+1))/1</f>
        <v>8.2944</v>
      </c>
      <c r="BF320" s="116" t="n">
        <f aca="false">Inputs!$D$34*(1+Inputs!$D$36)^(BF$227-1)*MAX(0,MIN(1,BF$226*1-Inputs!$D$37+1))/1</f>
        <v>8.2944</v>
      </c>
      <c r="BG320" s="116" t="n">
        <f aca="false">Inputs!$D$34*(1+Inputs!$D$36)^(BG$227-1)*MAX(0,MIN(1,BG$226*1-Inputs!$D$37+1))/1</f>
        <v>8.2944</v>
      </c>
      <c r="BH320" s="116" t="n">
        <f aca="false">Inputs!$D$34*(1+Inputs!$D$36)^(BH$227-1)*MAX(0,MIN(1,BH$226*1-Inputs!$D$37+1))/1</f>
        <v>8.2944</v>
      </c>
      <c r="BI320" s="116" t="n">
        <f aca="false">Inputs!$D$34*(1+Inputs!$D$36)^(BI$227-1)*MAX(0,MIN(1,BI$226*1-Inputs!$D$37+1))/1</f>
        <v>8.2944</v>
      </c>
      <c r="BJ320" s="116" t="n">
        <f aca="false">Inputs!$D$34*(1+Inputs!$D$36)^(BJ$227-1)*MAX(0,MIN(1,BJ$226*1-Inputs!$D$37+1))/1</f>
        <v>8.2944</v>
      </c>
    </row>
    <row r="321" customFormat="false" ht="15" hidden="false" customHeight="false" outlineLevel="0" collapsed="false">
      <c r="A321" s="6" t="s">
        <v>438</v>
      </c>
      <c r="C321" s="116" t="n">
        <f aca="false">Inputs!$D$38*(1+Inputs!$D$40)^(C$227-1)*MAX(0,MIN(1,C$226*1-Inputs!$D$41+1))/1</f>
        <v>12</v>
      </c>
      <c r="D321" s="116" t="n">
        <f aca="false">Inputs!$D$38*(1+Inputs!$D$40)^(D$227-1)*MAX(0,MIN(1,D$226*1-Inputs!$D$41+1))/1</f>
        <v>12</v>
      </c>
      <c r="E321" s="116" t="n">
        <f aca="false">Inputs!$D$38*(1+Inputs!$D$40)^(E$227-1)*MAX(0,MIN(1,E$226*1-Inputs!$D$41+1))/1</f>
        <v>12</v>
      </c>
      <c r="F321" s="116" t="n">
        <f aca="false">Inputs!$D$38*(1+Inputs!$D$40)^(F$227-1)*MAX(0,MIN(1,F$226*1-Inputs!$D$41+1))/1</f>
        <v>12</v>
      </c>
      <c r="G321" s="116" t="n">
        <f aca="false">Inputs!$D$38*(1+Inputs!$D$40)^(G$227-1)*MAX(0,MIN(1,G$226*1-Inputs!$D$41+1))/1</f>
        <v>12</v>
      </c>
      <c r="H321" s="116" t="n">
        <f aca="false">Inputs!$D$38*(1+Inputs!$D$40)^(H$227-1)*MAX(0,MIN(1,H$226*1-Inputs!$D$41+1))/1</f>
        <v>12</v>
      </c>
      <c r="I321" s="116" t="n">
        <f aca="false">Inputs!$D$38*(1+Inputs!$D$40)^(I$227-1)*MAX(0,MIN(1,I$226*1-Inputs!$D$41+1))/1</f>
        <v>12</v>
      </c>
      <c r="J321" s="116" t="n">
        <f aca="false">Inputs!$D$38*(1+Inputs!$D$40)^(J$227-1)*MAX(0,MIN(1,J$226*1-Inputs!$D$41+1))/1</f>
        <v>12</v>
      </c>
      <c r="K321" s="116" t="n">
        <f aca="false">Inputs!$D$38*(1+Inputs!$D$40)^(K$227-1)*MAX(0,MIN(1,K$226*1-Inputs!$D$41+1))/1</f>
        <v>12</v>
      </c>
      <c r="L321" s="116" t="n">
        <f aca="false">Inputs!$D$38*(1+Inputs!$D$40)^(L$227-1)*MAX(0,MIN(1,L$226*1-Inputs!$D$41+1))/1</f>
        <v>12</v>
      </c>
      <c r="M321" s="116" t="n">
        <f aca="false">Inputs!$D$38*(1+Inputs!$D$40)^(M$227-1)*MAX(0,MIN(1,M$226*1-Inputs!$D$41+1))/1</f>
        <v>12</v>
      </c>
      <c r="N321" s="116" t="n">
        <f aca="false">Inputs!$D$38*(1+Inputs!$D$40)^(N$227-1)*MAX(0,MIN(1,N$226*1-Inputs!$D$41+1))/1</f>
        <v>12</v>
      </c>
      <c r="O321" s="116" t="n">
        <f aca="false">Inputs!$D$38*(1+Inputs!$D$40)^(O$227-1)*MAX(0,MIN(1,O$226*1-Inputs!$D$41+1))/1</f>
        <v>15.6</v>
      </c>
      <c r="P321" s="116" t="n">
        <f aca="false">Inputs!$D$38*(1+Inputs!$D$40)^(P$227-1)*MAX(0,MIN(1,P$226*1-Inputs!$D$41+1))/1</f>
        <v>15.6</v>
      </c>
      <c r="Q321" s="116" t="n">
        <f aca="false">Inputs!$D$38*(1+Inputs!$D$40)^(Q$227-1)*MAX(0,MIN(1,Q$226*1-Inputs!$D$41+1))/1</f>
        <v>15.6</v>
      </c>
      <c r="R321" s="116" t="n">
        <f aca="false">Inputs!$D$38*(1+Inputs!$D$40)^(R$227-1)*MAX(0,MIN(1,R$226*1-Inputs!$D$41+1))/1</f>
        <v>15.6</v>
      </c>
      <c r="S321" s="116" t="n">
        <f aca="false">Inputs!$D$38*(1+Inputs!$D$40)^(S$227-1)*MAX(0,MIN(1,S$226*1-Inputs!$D$41+1))/1</f>
        <v>15.6</v>
      </c>
      <c r="T321" s="116" t="n">
        <f aca="false">Inputs!$D$38*(1+Inputs!$D$40)^(T$227-1)*MAX(0,MIN(1,T$226*1-Inputs!$D$41+1))/1</f>
        <v>15.6</v>
      </c>
      <c r="U321" s="116" t="n">
        <f aca="false">Inputs!$D$38*(1+Inputs!$D$40)^(U$227-1)*MAX(0,MIN(1,U$226*1-Inputs!$D$41+1))/1</f>
        <v>15.6</v>
      </c>
      <c r="V321" s="116" t="n">
        <f aca="false">Inputs!$D$38*(1+Inputs!$D$40)^(V$227-1)*MAX(0,MIN(1,V$226*1-Inputs!$D$41+1))/1</f>
        <v>15.6</v>
      </c>
      <c r="W321" s="116" t="n">
        <f aca="false">Inputs!$D$38*(1+Inputs!$D$40)^(W$227-1)*MAX(0,MIN(1,W$226*1-Inputs!$D$41+1))/1</f>
        <v>15.6</v>
      </c>
      <c r="X321" s="116" t="n">
        <f aca="false">Inputs!$D$38*(1+Inputs!$D$40)^(X$227-1)*MAX(0,MIN(1,X$226*1-Inputs!$D$41+1))/1</f>
        <v>15.6</v>
      </c>
      <c r="Y321" s="116" t="n">
        <f aca="false">Inputs!$D$38*(1+Inputs!$D$40)^(Y$227-1)*MAX(0,MIN(1,Y$226*1-Inputs!$D$41+1))/1</f>
        <v>15.6</v>
      </c>
      <c r="Z321" s="116" t="n">
        <f aca="false">Inputs!$D$38*(1+Inputs!$D$40)^(Z$227-1)*MAX(0,MIN(1,Z$226*1-Inputs!$D$41+1))/1</f>
        <v>15.6</v>
      </c>
      <c r="AA321" s="116" t="n">
        <f aca="false">Inputs!$D$38*(1+Inputs!$D$40)^(AA$227-1)*MAX(0,MIN(1,AA$226*1-Inputs!$D$41+1))/1</f>
        <v>20.28</v>
      </c>
      <c r="AB321" s="116" t="n">
        <f aca="false">Inputs!$D$38*(1+Inputs!$D$40)^(AB$227-1)*MAX(0,MIN(1,AB$226*1-Inputs!$D$41+1))/1</f>
        <v>20.28</v>
      </c>
      <c r="AC321" s="116" t="n">
        <f aca="false">Inputs!$D$38*(1+Inputs!$D$40)^(AC$227-1)*MAX(0,MIN(1,AC$226*1-Inputs!$D$41+1))/1</f>
        <v>20.28</v>
      </c>
      <c r="AD321" s="116" t="n">
        <f aca="false">Inputs!$D$38*(1+Inputs!$D$40)^(AD$227-1)*MAX(0,MIN(1,AD$226*1-Inputs!$D$41+1))/1</f>
        <v>20.28</v>
      </c>
      <c r="AE321" s="116" t="n">
        <f aca="false">Inputs!$D$38*(1+Inputs!$D$40)^(AE$227-1)*MAX(0,MIN(1,AE$226*1-Inputs!$D$41+1))/1</f>
        <v>20.28</v>
      </c>
      <c r="AF321" s="116" t="n">
        <f aca="false">Inputs!$D$38*(1+Inputs!$D$40)^(AF$227-1)*MAX(0,MIN(1,AF$226*1-Inputs!$D$41+1))/1</f>
        <v>20.28</v>
      </c>
      <c r="AG321" s="116" t="n">
        <f aca="false">Inputs!$D$38*(1+Inputs!$D$40)^(AG$227-1)*MAX(0,MIN(1,AG$226*1-Inputs!$D$41+1))/1</f>
        <v>20.28</v>
      </c>
      <c r="AH321" s="116" t="n">
        <f aca="false">Inputs!$D$38*(1+Inputs!$D$40)^(AH$227-1)*MAX(0,MIN(1,AH$226*1-Inputs!$D$41+1))/1</f>
        <v>20.28</v>
      </c>
      <c r="AI321" s="116" t="n">
        <f aca="false">Inputs!$D$38*(1+Inputs!$D$40)^(AI$227-1)*MAX(0,MIN(1,AI$226*1-Inputs!$D$41+1))/1</f>
        <v>20.28</v>
      </c>
      <c r="AJ321" s="116" t="n">
        <f aca="false">Inputs!$D$38*(1+Inputs!$D$40)^(AJ$227-1)*MAX(0,MIN(1,AJ$226*1-Inputs!$D$41+1))/1</f>
        <v>20.28</v>
      </c>
      <c r="AK321" s="116" t="n">
        <f aca="false">Inputs!$D$38*(1+Inputs!$D$40)^(AK$227-1)*MAX(0,MIN(1,AK$226*1-Inputs!$D$41+1))/1</f>
        <v>20.28</v>
      </c>
      <c r="AL321" s="116" t="n">
        <f aca="false">Inputs!$D$38*(1+Inputs!$D$40)^(AL$227-1)*MAX(0,MIN(1,AL$226*1-Inputs!$D$41+1))/1</f>
        <v>20.28</v>
      </c>
      <c r="AM321" s="116" t="n">
        <f aca="false">Inputs!$D$38*(1+Inputs!$D$40)^(AM$227-1)*MAX(0,MIN(1,AM$226*1-Inputs!$D$41+1))/1</f>
        <v>26.364</v>
      </c>
      <c r="AN321" s="116" t="n">
        <f aca="false">Inputs!$D$38*(1+Inputs!$D$40)^(AN$227-1)*MAX(0,MIN(1,AN$226*1-Inputs!$D$41+1))/1</f>
        <v>26.364</v>
      </c>
      <c r="AO321" s="116" t="n">
        <f aca="false">Inputs!$D$38*(1+Inputs!$D$40)^(AO$227-1)*MAX(0,MIN(1,AO$226*1-Inputs!$D$41+1))/1</f>
        <v>26.364</v>
      </c>
      <c r="AP321" s="116" t="n">
        <f aca="false">Inputs!$D$38*(1+Inputs!$D$40)^(AP$227-1)*MAX(0,MIN(1,AP$226*1-Inputs!$D$41+1))/1</f>
        <v>26.364</v>
      </c>
      <c r="AQ321" s="116" t="n">
        <f aca="false">Inputs!$D$38*(1+Inputs!$D$40)^(AQ$227-1)*MAX(0,MIN(1,AQ$226*1-Inputs!$D$41+1))/1</f>
        <v>26.364</v>
      </c>
      <c r="AR321" s="116" t="n">
        <f aca="false">Inputs!$D$38*(1+Inputs!$D$40)^(AR$227-1)*MAX(0,MIN(1,AR$226*1-Inputs!$D$41+1))/1</f>
        <v>26.364</v>
      </c>
      <c r="AS321" s="116" t="n">
        <f aca="false">Inputs!$D$38*(1+Inputs!$D$40)^(AS$227-1)*MAX(0,MIN(1,AS$226*1-Inputs!$D$41+1))/1</f>
        <v>26.364</v>
      </c>
      <c r="AT321" s="116" t="n">
        <f aca="false">Inputs!$D$38*(1+Inputs!$D$40)^(AT$227-1)*MAX(0,MIN(1,AT$226*1-Inputs!$D$41+1))/1</f>
        <v>26.364</v>
      </c>
      <c r="AU321" s="116" t="n">
        <f aca="false">Inputs!$D$38*(1+Inputs!$D$40)^(AU$227-1)*MAX(0,MIN(1,AU$226*1-Inputs!$D$41+1))/1</f>
        <v>26.364</v>
      </c>
      <c r="AV321" s="116" t="n">
        <f aca="false">Inputs!$D$38*(1+Inputs!$D$40)^(AV$227-1)*MAX(0,MIN(1,AV$226*1-Inputs!$D$41+1))/1</f>
        <v>26.364</v>
      </c>
      <c r="AW321" s="116" t="n">
        <f aca="false">Inputs!$D$38*(1+Inputs!$D$40)^(AW$227-1)*MAX(0,MIN(1,AW$226*1-Inputs!$D$41+1))/1</f>
        <v>26.364</v>
      </c>
      <c r="AX321" s="116" t="n">
        <f aca="false">Inputs!$D$38*(1+Inputs!$D$40)^(AX$227-1)*MAX(0,MIN(1,AX$226*1-Inputs!$D$41+1))/1</f>
        <v>26.364</v>
      </c>
      <c r="AY321" s="116" t="n">
        <f aca="false">Inputs!$D$38*(1+Inputs!$D$40)^(AY$227-1)*MAX(0,MIN(1,AY$226*1-Inputs!$D$41+1))/1</f>
        <v>34.2732</v>
      </c>
      <c r="AZ321" s="116" t="n">
        <f aca="false">Inputs!$D$38*(1+Inputs!$D$40)^(AZ$227-1)*MAX(0,MIN(1,AZ$226*1-Inputs!$D$41+1))/1</f>
        <v>34.2732</v>
      </c>
      <c r="BA321" s="116" t="n">
        <f aca="false">Inputs!$D$38*(1+Inputs!$D$40)^(BA$227-1)*MAX(0,MIN(1,BA$226*1-Inputs!$D$41+1))/1</f>
        <v>34.2732</v>
      </c>
      <c r="BB321" s="116" t="n">
        <f aca="false">Inputs!$D$38*(1+Inputs!$D$40)^(BB$227-1)*MAX(0,MIN(1,BB$226*1-Inputs!$D$41+1))/1</f>
        <v>34.2732</v>
      </c>
      <c r="BC321" s="116" t="n">
        <f aca="false">Inputs!$D$38*(1+Inputs!$D$40)^(BC$227-1)*MAX(0,MIN(1,BC$226*1-Inputs!$D$41+1))/1</f>
        <v>34.2732</v>
      </c>
      <c r="BD321" s="116" t="n">
        <f aca="false">Inputs!$D$38*(1+Inputs!$D$40)^(BD$227-1)*MAX(0,MIN(1,BD$226*1-Inputs!$D$41+1))/1</f>
        <v>34.2732</v>
      </c>
      <c r="BE321" s="116" t="n">
        <f aca="false">Inputs!$D$38*(1+Inputs!$D$40)^(BE$227-1)*MAX(0,MIN(1,BE$226*1-Inputs!$D$41+1))/1</f>
        <v>34.2732</v>
      </c>
      <c r="BF321" s="116" t="n">
        <f aca="false">Inputs!$D$38*(1+Inputs!$D$40)^(BF$227-1)*MAX(0,MIN(1,BF$226*1-Inputs!$D$41+1))/1</f>
        <v>34.2732</v>
      </c>
      <c r="BG321" s="116" t="n">
        <f aca="false">Inputs!$D$38*(1+Inputs!$D$40)^(BG$227-1)*MAX(0,MIN(1,BG$226*1-Inputs!$D$41+1))/1</f>
        <v>34.2732</v>
      </c>
      <c r="BH321" s="116" t="n">
        <f aca="false">Inputs!$D$38*(1+Inputs!$D$40)^(BH$227-1)*MAX(0,MIN(1,BH$226*1-Inputs!$D$41+1))/1</f>
        <v>34.2732</v>
      </c>
      <c r="BI321" s="116" t="n">
        <f aca="false">Inputs!$D$38*(1+Inputs!$D$40)^(BI$227-1)*MAX(0,MIN(1,BI$226*1-Inputs!$D$41+1))/1</f>
        <v>34.2732</v>
      </c>
      <c r="BJ321" s="116" t="n">
        <f aca="false">Inputs!$D$38*(1+Inputs!$D$40)^(BJ$227-1)*MAX(0,MIN(1,BJ$226*1-Inputs!$D$41+1))/1</f>
        <v>34.2732</v>
      </c>
    </row>
    <row r="322" customFormat="false" ht="15" hidden="false" customHeight="false" outlineLevel="0" collapsed="false">
      <c r="A322" s="6" t="s">
        <v>439</v>
      </c>
      <c r="C322" s="116" t="n">
        <f aca="false">Inputs!$D$42*(1+Inputs!$D$44)^(C$227-1)*MAX(0,MIN(1,C$226*1-Inputs!$D$45+1))/1</f>
        <v>2</v>
      </c>
      <c r="D322" s="116" t="n">
        <f aca="false">Inputs!$D$42*(1+Inputs!$D$44)^(D$227-1)*MAX(0,MIN(1,D$226*1-Inputs!$D$45+1))/1</f>
        <v>2</v>
      </c>
      <c r="E322" s="116" t="n">
        <f aca="false">Inputs!$D$42*(1+Inputs!$D$44)^(E$227-1)*MAX(0,MIN(1,E$226*1-Inputs!$D$45+1))/1</f>
        <v>2</v>
      </c>
      <c r="F322" s="116" t="n">
        <f aca="false">Inputs!$D$42*(1+Inputs!$D$44)^(F$227-1)*MAX(0,MIN(1,F$226*1-Inputs!$D$45+1))/1</f>
        <v>2</v>
      </c>
      <c r="G322" s="116" t="n">
        <f aca="false">Inputs!$D$42*(1+Inputs!$D$44)^(G$227-1)*MAX(0,MIN(1,G$226*1-Inputs!$D$45+1))/1</f>
        <v>2</v>
      </c>
      <c r="H322" s="116" t="n">
        <f aca="false">Inputs!$D$42*(1+Inputs!$D$44)^(H$227-1)*MAX(0,MIN(1,H$226*1-Inputs!$D$45+1))/1</f>
        <v>2</v>
      </c>
      <c r="I322" s="116" t="n">
        <f aca="false">Inputs!$D$42*(1+Inputs!$D$44)^(I$227-1)*MAX(0,MIN(1,I$226*1-Inputs!$D$45+1))/1</f>
        <v>2</v>
      </c>
      <c r="J322" s="116" t="n">
        <f aca="false">Inputs!$D$42*(1+Inputs!$D$44)^(J$227-1)*MAX(0,MIN(1,J$226*1-Inputs!$D$45+1))/1</f>
        <v>2</v>
      </c>
      <c r="K322" s="116" t="n">
        <f aca="false">Inputs!$D$42*(1+Inputs!$D$44)^(K$227-1)*MAX(0,MIN(1,K$226*1-Inputs!$D$45+1))/1</f>
        <v>2</v>
      </c>
      <c r="L322" s="116" t="n">
        <f aca="false">Inputs!$D$42*(1+Inputs!$D$44)^(L$227-1)*MAX(0,MIN(1,L$226*1-Inputs!$D$45+1))/1</f>
        <v>2</v>
      </c>
      <c r="M322" s="116" t="n">
        <f aca="false">Inputs!$D$42*(1+Inputs!$D$44)^(M$227-1)*MAX(0,MIN(1,M$226*1-Inputs!$D$45+1))/1</f>
        <v>2</v>
      </c>
      <c r="N322" s="116" t="n">
        <f aca="false">Inputs!$D$42*(1+Inputs!$D$44)^(N$227-1)*MAX(0,MIN(1,N$226*1-Inputs!$D$45+1))/1</f>
        <v>2</v>
      </c>
      <c r="O322" s="116" t="n">
        <f aca="false">Inputs!$D$42*(1+Inputs!$D$44)^(O$227-1)*MAX(0,MIN(1,O$226*1-Inputs!$D$45+1))/1</f>
        <v>2.4</v>
      </c>
      <c r="P322" s="116" t="n">
        <f aca="false">Inputs!$D$42*(1+Inputs!$D$44)^(P$227-1)*MAX(0,MIN(1,P$226*1-Inputs!$D$45+1))/1</f>
        <v>2.4</v>
      </c>
      <c r="Q322" s="116" t="n">
        <f aca="false">Inputs!$D$42*(1+Inputs!$D$44)^(Q$227-1)*MAX(0,MIN(1,Q$226*1-Inputs!$D$45+1))/1</f>
        <v>2.4</v>
      </c>
      <c r="R322" s="116" t="n">
        <f aca="false">Inputs!$D$42*(1+Inputs!$D$44)^(R$227-1)*MAX(0,MIN(1,R$226*1-Inputs!$D$45+1))/1</f>
        <v>2.4</v>
      </c>
      <c r="S322" s="116" t="n">
        <f aca="false">Inputs!$D$42*(1+Inputs!$D$44)^(S$227-1)*MAX(0,MIN(1,S$226*1-Inputs!$D$45+1))/1</f>
        <v>2.4</v>
      </c>
      <c r="T322" s="116" t="n">
        <f aca="false">Inputs!$D$42*(1+Inputs!$D$44)^(T$227-1)*MAX(0,MIN(1,T$226*1-Inputs!$D$45+1))/1</f>
        <v>2.4</v>
      </c>
      <c r="U322" s="116" t="n">
        <f aca="false">Inputs!$D$42*(1+Inputs!$D$44)^(U$227-1)*MAX(0,MIN(1,U$226*1-Inputs!$D$45+1))/1</f>
        <v>2.4</v>
      </c>
      <c r="V322" s="116" t="n">
        <f aca="false">Inputs!$D$42*(1+Inputs!$D$44)^(V$227-1)*MAX(0,MIN(1,V$226*1-Inputs!$D$45+1))/1</f>
        <v>2.4</v>
      </c>
      <c r="W322" s="116" t="n">
        <f aca="false">Inputs!$D$42*(1+Inputs!$D$44)^(W$227-1)*MAX(0,MIN(1,W$226*1-Inputs!$D$45+1))/1</f>
        <v>2.4</v>
      </c>
      <c r="X322" s="116" t="n">
        <f aca="false">Inputs!$D$42*(1+Inputs!$D$44)^(X$227-1)*MAX(0,MIN(1,X$226*1-Inputs!$D$45+1))/1</f>
        <v>2.4</v>
      </c>
      <c r="Y322" s="116" t="n">
        <f aca="false">Inputs!$D$42*(1+Inputs!$D$44)^(Y$227-1)*MAX(0,MIN(1,Y$226*1-Inputs!$D$45+1))/1</f>
        <v>2.4</v>
      </c>
      <c r="Z322" s="116" t="n">
        <f aca="false">Inputs!$D$42*(1+Inputs!$D$44)^(Z$227-1)*MAX(0,MIN(1,Z$226*1-Inputs!$D$45+1))/1</f>
        <v>2.4</v>
      </c>
      <c r="AA322" s="116" t="n">
        <f aca="false">Inputs!$D$42*(1+Inputs!$D$44)^(AA$227-1)*MAX(0,MIN(1,AA$226*1-Inputs!$D$45+1))/1</f>
        <v>2.88</v>
      </c>
      <c r="AB322" s="116" t="n">
        <f aca="false">Inputs!$D$42*(1+Inputs!$D$44)^(AB$227-1)*MAX(0,MIN(1,AB$226*1-Inputs!$D$45+1))/1</f>
        <v>2.88</v>
      </c>
      <c r="AC322" s="116" t="n">
        <f aca="false">Inputs!$D$42*(1+Inputs!$D$44)^(AC$227-1)*MAX(0,MIN(1,AC$226*1-Inputs!$D$45+1))/1</f>
        <v>2.88</v>
      </c>
      <c r="AD322" s="116" t="n">
        <f aca="false">Inputs!$D$42*(1+Inputs!$D$44)^(AD$227-1)*MAX(0,MIN(1,AD$226*1-Inputs!$D$45+1))/1</f>
        <v>2.88</v>
      </c>
      <c r="AE322" s="116" t="n">
        <f aca="false">Inputs!$D$42*(1+Inputs!$D$44)^(AE$227-1)*MAX(0,MIN(1,AE$226*1-Inputs!$D$45+1))/1</f>
        <v>2.88</v>
      </c>
      <c r="AF322" s="116" t="n">
        <f aca="false">Inputs!$D$42*(1+Inputs!$D$44)^(AF$227-1)*MAX(0,MIN(1,AF$226*1-Inputs!$D$45+1))/1</f>
        <v>2.88</v>
      </c>
      <c r="AG322" s="116" t="n">
        <f aca="false">Inputs!$D$42*(1+Inputs!$D$44)^(AG$227-1)*MAX(0,MIN(1,AG$226*1-Inputs!$D$45+1))/1</f>
        <v>2.88</v>
      </c>
      <c r="AH322" s="116" t="n">
        <f aca="false">Inputs!$D$42*(1+Inputs!$D$44)^(AH$227-1)*MAX(0,MIN(1,AH$226*1-Inputs!$D$45+1))/1</f>
        <v>2.88</v>
      </c>
      <c r="AI322" s="116" t="n">
        <f aca="false">Inputs!$D$42*(1+Inputs!$D$44)^(AI$227-1)*MAX(0,MIN(1,AI$226*1-Inputs!$D$45+1))/1</f>
        <v>2.88</v>
      </c>
      <c r="AJ322" s="116" t="n">
        <f aca="false">Inputs!$D$42*(1+Inputs!$D$44)^(AJ$227-1)*MAX(0,MIN(1,AJ$226*1-Inputs!$D$45+1))/1</f>
        <v>2.88</v>
      </c>
      <c r="AK322" s="116" t="n">
        <f aca="false">Inputs!$D$42*(1+Inputs!$D$44)^(AK$227-1)*MAX(0,MIN(1,AK$226*1-Inputs!$D$45+1))/1</f>
        <v>2.88</v>
      </c>
      <c r="AL322" s="116" t="n">
        <f aca="false">Inputs!$D$42*(1+Inputs!$D$44)^(AL$227-1)*MAX(0,MIN(1,AL$226*1-Inputs!$D$45+1))/1</f>
        <v>2.88</v>
      </c>
      <c r="AM322" s="116" t="n">
        <f aca="false">Inputs!$D$42*(1+Inputs!$D$44)^(AM$227-1)*MAX(0,MIN(1,AM$226*1-Inputs!$D$45+1))/1</f>
        <v>3.456</v>
      </c>
      <c r="AN322" s="116" t="n">
        <f aca="false">Inputs!$D$42*(1+Inputs!$D$44)^(AN$227-1)*MAX(0,MIN(1,AN$226*1-Inputs!$D$45+1))/1</f>
        <v>3.456</v>
      </c>
      <c r="AO322" s="116" t="n">
        <f aca="false">Inputs!$D$42*(1+Inputs!$D$44)^(AO$227-1)*MAX(0,MIN(1,AO$226*1-Inputs!$D$45+1))/1</f>
        <v>3.456</v>
      </c>
      <c r="AP322" s="116" t="n">
        <f aca="false">Inputs!$D$42*(1+Inputs!$D$44)^(AP$227-1)*MAX(0,MIN(1,AP$226*1-Inputs!$D$45+1))/1</f>
        <v>3.456</v>
      </c>
      <c r="AQ322" s="116" t="n">
        <f aca="false">Inputs!$D$42*(1+Inputs!$D$44)^(AQ$227-1)*MAX(0,MIN(1,AQ$226*1-Inputs!$D$45+1))/1</f>
        <v>3.456</v>
      </c>
      <c r="AR322" s="116" t="n">
        <f aca="false">Inputs!$D$42*(1+Inputs!$D$44)^(AR$227-1)*MAX(0,MIN(1,AR$226*1-Inputs!$D$45+1))/1</f>
        <v>3.456</v>
      </c>
      <c r="AS322" s="116" t="n">
        <f aca="false">Inputs!$D$42*(1+Inputs!$D$44)^(AS$227-1)*MAX(0,MIN(1,AS$226*1-Inputs!$D$45+1))/1</f>
        <v>3.456</v>
      </c>
      <c r="AT322" s="116" t="n">
        <f aca="false">Inputs!$D$42*(1+Inputs!$D$44)^(AT$227-1)*MAX(0,MIN(1,AT$226*1-Inputs!$D$45+1))/1</f>
        <v>3.456</v>
      </c>
      <c r="AU322" s="116" t="n">
        <f aca="false">Inputs!$D$42*(1+Inputs!$D$44)^(AU$227-1)*MAX(0,MIN(1,AU$226*1-Inputs!$D$45+1))/1</f>
        <v>3.456</v>
      </c>
      <c r="AV322" s="116" t="n">
        <f aca="false">Inputs!$D$42*(1+Inputs!$D$44)^(AV$227-1)*MAX(0,MIN(1,AV$226*1-Inputs!$D$45+1))/1</f>
        <v>3.456</v>
      </c>
      <c r="AW322" s="116" t="n">
        <f aca="false">Inputs!$D$42*(1+Inputs!$D$44)^(AW$227-1)*MAX(0,MIN(1,AW$226*1-Inputs!$D$45+1))/1</f>
        <v>3.456</v>
      </c>
      <c r="AX322" s="116" t="n">
        <f aca="false">Inputs!$D$42*(1+Inputs!$D$44)^(AX$227-1)*MAX(0,MIN(1,AX$226*1-Inputs!$D$45+1))/1</f>
        <v>3.456</v>
      </c>
      <c r="AY322" s="116" t="n">
        <f aca="false">Inputs!$D$42*(1+Inputs!$D$44)^(AY$227-1)*MAX(0,MIN(1,AY$226*1-Inputs!$D$45+1))/1</f>
        <v>4.1472</v>
      </c>
      <c r="AZ322" s="116" t="n">
        <f aca="false">Inputs!$D$42*(1+Inputs!$D$44)^(AZ$227-1)*MAX(0,MIN(1,AZ$226*1-Inputs!$D$45+1))/1</f>
        <v>4.1472</v>
      </c>
      <c r="BA322" s="116" t="n">
        <f aca="false">Inputs!$D$42*(1+Inputs!$D$44)^(BA$227-1)*MAX(0,MIN(1,BA$226*1-Inputs!$D$45+1))/1</f>
        <v>4.1472</v>
      </c>
      <c r="BB322" s="116" t="n">
        <f aca="false">Inputs!$D$42*(1+Inputs!$D$44)^(BB$227-1)*MAX(0,MIN(1,BB$226*1-Inputs!$D$45+1))/1</f>
        <v>4.1472</v>
      </c>
      <c r="BC322" s="116" t="n">
        <f aca="false">Inputs!$D$42*(1+Inputs!$D$44)^(BC$227-1)*MAX(0,MIN(1,BC$226*1-Inputs!$D$45+1))/1</f>
        <v>4.1472</v>
      </c>
      <c r="BD322" s="116" t="n">
        <f aca="false">Inputs!$D$42*(1+Inputs!$D$44)^(BD$227-1)*MAX(0,MIN(1,BD$226*1-Inputs!$D$45+1))/1</f>
        <v>4.1472</v>
      </c>
      <c r="BE322" s="116" t="n">
        <f aca="false">Inputs!$D$42*(1+Inputs!$D$44)^(BE$227-1)*MAX(0,MIN(1,BE$226*1-Inputs!$D$45+1))/1</f>
        <v>4.1472</v>
      </c>
      <c r="BF322" s="116" t="n">
        <f aca="false">Inputs!$D$42*(1+Inputs!$D$44)^(BF$227-1)*MAX(0,MIN(1,BF$226*1-Inputs!$D$45+1))/1</f>
        <v>4.1472</v>
      </c>
      <c r="BG322" s="116" t="n">
        <f aca="false">Inputs!$D$42*(1+Inputs!$D$44)^(BG$227-1)*MAX(0,MIN(1,BG$226*1-Inputs!$D$45+1))/1</f>
        <v>4.1472</v>
      </c>
      <c r="BH322" s="116" t="n">
        <f aca="false">Inputs!$D$42*(1+Inputs!$D$44)^(BH$227-1)*MAX(0,MIN(1,BH$226*1-Inputs!$D$45+1))/1</f>
        <v>4.1472</v>
      </c>
      <c r="BI322" s="116" t="n">
        <f aca="false">Inputs!$D$42*(1+Inputs!$D$44)^(BI$227-1)*MAX(0,MIN(1,BI$226*1-Inputs!$D$45+1))/1</f>
        <v>4.1472</v>
      </c>
      <c r="BJ322" s="116" t="n">
        <f aca="false">Inputs!$D$42*(1+Inputs!$D$44)^(BJ$227-1)*MAX(0,MIN(1,BJ$226*1-Inputs!$D$45+1))/1</f>
        <v>4.1472</v>
      </c>
    </row>
    <row r="323" customFormat="false" ht="15" hidden="false" customHeight="false" outlineLevel="0" collapsed="false">
      <c r="A323" s="6" t="s">
        <v>440</v>
      </c>
      <c r="C323" s="116" t="n">
        <f aca="false">Inputs!$D$46*(1+Inputs!$D$48)^(C$227-1)*MAX(0,MIN(1,C$226*1-Inputs!$D$49+1))/1</f>
        <v>3</v>
      </c>
      <c r="D323" s="116" t="n">
        <f aca="false">Inputs!$D$46*(1+Inputs!$D$48)^(D$227-1)*MAX(0,MIN(1,D$226*1-Inputs!$D$49+1))/1</f>
        <v>3</v>
      </c>
      <c r="E323" s="116" t="n">
        <f aca="false">Inputs!$D$46*(1+Inputs!$D$48)^(E$227-1)*MAX(0,MIN(1,E$226*1-Inputs!$D$49+1))/1</f>
        <v>3</v>
      </c>
      <c r="F323" s="116" t="n">
        <f aca="false">Inputs!$D$46*(1+Inputs!$D$48)^(F$227-1)*MAX(0,MIN(1,F$226*1-Inputs!$D$49+1))/1</f>
        <v>3</v>
      </c>
      <c r="G323" s="116" t="n">
        <f aca="false">Inputs!$D$46*(1+Inputs!$D$48)^(G$227-1)*MAX(0,MIN(1,G$226*1-Inputs!$D$49+1))/1</f>
        <v>3</v>
      </c>
      <c r="H323" s="116" t="n">
        <f aca="false">Inputs!$D$46*(1+Inputs!$D$48)^(H$227-1)*MAX(0,MIN(1,H$226*1-Inputs!$D$49+1))/1</f>
        <v>3</v>
      </c>
      <c r="I323" s="116" t="n">
        <f aca="false">Inputs!$D$46*(1+Inputs!$D$48)^(I$227-1)*MAX(0,MIN(1,I$226*1-Inputs!$D$49+1))/1</f>
        <v>3</v>
      </c>
      <c r="J323" s="116" t="n">
        <f aca="false">Inputs!$D$46*(1+Inputs!$D$48)^(J$227-1)*MAX(0,MIN(1,J$226*1-Inputs!$D$49+1))/1</f>
        <v>3</v>
      </c>
      <c r="K323" s="116" t="n">
        <f aca="false">Inputs!$D$46*(1+Inputs!$D$48)^(K$227-1)*MAX(0,MIN(1,K$226*1-Inputs!$D$49+1))/1</f>
        <v>3</v>
      </c>
      <c r="L323" s="116" t="n">
        <f aca="false">Inputs!$D$46*(1+Inputs!$D$48)^(L$227-1)*MAX(0,MIN(1,L$226*1-Inputs!$D$49+1))/1</f>
        <v>3</v>
      </c>
      <c r="M323" s="116" t="n">
        <f aca="false">Inputs!$D$46*(1+Inputs!$D$48)^(M$227-1)*MAX(0,MIN(1,M$226*1-Inputs!$D$49+1))/1</f>
        <v>3</v>
      </c>
      <c r="N323" s="116" t="n">
        <f aca="false">Inputs!$D$46*(1+Inputs!$D$48)^(N$227-1)*MAX(0,MIN(1,N$226*1-Inputs!$D$49+1))/1</f>
        <v>3</v>
      </c>
      <c r="O323" s="116" t="n">
        <f aca="false">Inputs!$D$46*(1+Inputs!$D$48)^(O$227-1)*MAX(0,MIN(1,O$226*1-Inputs!$D$49+1))/1</f>
        <v>3.45</v>
      </c>
      <c r="P323" s="116" t="n">
        <f aca="false">Inputs!$D$46*(1+Inputs!$D$48)^(P$227-1)*MAX(0,MIN(1,P$226*1-Inputs!$D$49+1))/1</f>
        <v>3.45</v>
      </c>
      <c r="Q323" s="116" t="n">
        <f aca="false">Inputs!$D$46*(1+Inputs!$D$48)^(Q$227-1)*MAX(0,MIN(1,Q$226*1-Inputs!$D$49+1))/1</f>
        <v>3.45</v>
      </c>
      <c r="R323" s="116" t="n">
        <f aca="false">Inputs!$D$46*(1+Inputs!$D$48)^(R$227-1)*MAX(0,MIN(1,R$226*1-Inputs!$D$49+1))/1</f>
        <v>3.45</v>
      </c>
      <c r="S323" s="116" t="n">
        <f aca="false">Inputs!$D$46*(1+Inputs!$D$48)^(S$227-1)*MAX(0,MIN(1,S$226*1-Inputs!$D$49+1))/1</f>
        <v>3.45</v>
      </c>
      <c r="T323" s="116" t="n">
        <f aca="false">Inputs!$D$46*(1+Inputs!$D$48)^(T$227-1)*MAX(0,MIN(1,T$226*1-Inputs!$D$49+1))/1</f>
        <v>3.45</v>
      </c>
      <c r="U323" s="116" t="n">
        <f aca="false">Inputs!$D$46*(1+Inputs!$D$48)^(U$227-1)*MAX(0,MIN(1,U$226*1-Inputs!$D$49+1))/1</f>
        <v>3.45</v>
      </c>
      <c r="V323" s="116" t="n">
        <f aca="false">Inputs!$D$46*(1+Inputs!$D$48)^(V$227-1)*MAX(0,MIN(1,V$226*1-Inputs!$D$49+1))/1</f>
        <v>3.45</v>
      </c>
      <c r="W323" s="116" t="n">
        <f aca="false">Inputs!$D$46*(1+Inputs!$D$48)^(W$227-1)*MAX(0,MIN(1,W$226*1-Inputs!$D$49+1))/1</f>
        <v>3.45</v>
      </c>
      <c r="X323" s="116" t="n">
        <f aca="false">Inputs!$D$46*(1+Inputs!$D$48)^(X$227-1)*MAX(0,MIN(1,X$226*1-Inputs!$D$49+1))/1</f>
        <v>3.45</v>
      </c>
      <c r="Y323" s="116" t="n">
        <f aca="false">Inputs!$D$46*(1+Inputs!$D$48)^(Y$227-1)*MAX(0,MIN(1,Y$226*1-Inputs!$D$49+1))/1</f>
        <v>3.45</v>
      </c>
      <c r="Z323" s="116" t="n">
        <f aca="false">Inputs!$D$46*(1+Inputs!$D$48)^(Z$227-1)*MAX(0,MIN(1,Z$226*1-Inputs!$D$49+1))/1</f>
        <v>3.45</v>
      </c>
      <c r="AA323" s="116" t="n">
        <f aca="false">Inputs!$D$46*(1+Inputs!$D$48)^(AA$227-1)*MAX(0,MIN(1,AA$226*1-Inputs!$D$49+1))/1</f>
        <v>3.9675</v>
      </c>
      <c r="AB323" s="116" t="n">
        <f aca="false">Inputs!$D$46*(1+Inputs!$D$48)^(AB$227-1)*MAX(0,MIN(1,AB$226*1-Inputs!$D$49+1))/1</f>
        <v>3.9675</v>
      </c>
      <c r="AC323" s="116" t="n">
        <f aca="false">Inputs!$D$46*(1+Inputs!$D$48)^(AC$227-1)*MAX(0,MIN(1,AC$226*1-Inputs!$D$49+1))/1</f>
        <v>3.9675</v>
      </c>
      <c r="AD323" s="116" t="n">
        <f aca="false">Inputs!$D$46*(1+Inputs!$D$48)^(AD$227-1)*MAX(0,MIN(1,AD$226*1-Inputs!$D$49+1))/1</f>
        <v>3.9675</v>
      </c>
      <c r="AE323" s="116" t="n">
        <f aca="false">Inputs!$D$46*(1+Inputs!$D$48)^(AE$227-1)*MAX(0,MIN(1,AE$226*1-Inputs!$D$49+1))/1</f>
        <v>3.9675</v>
      </c>
      <c r="AF323" s="116" t="n">
        <f aca="false">Inputs!$D$46*(1+Inputs!$D$48)^(AF$227-1)*MAX(0,MIN(1,AF$226*1-Inputs!$D$49+1))/1</f>
        <v>3.9675</v>
      </c>
      <c r="AG323" s="116" t="n">
        <f aca="false">Inputs!$D$46*(1+Inputs!$D$48)^(AG$227-1)*MAX(0,MIN(1,AG$226*1-Inputs!$D$49+1))/1</f>
        <v>3.9675</v>
      </c>
      <c r="AH323" s="116" t="n">
        <f aca="false">Inputs!$D$46*(1+Inputs!$D$48)^(AH$227-1)*MAX(0,MIN(1,AH$226*1-Inputs!$D$49+1))/1</f>
        <v>3.9675</v>
      </c>
      <c r="AI323" s="116" t="n">
        <f aca="false">Inputs!$D$46*(1+Inputs!$D$48)^(AI$227-1)*MAX(0,MIN(1,AI$226*1-Inputs!$D$49+1))/1</f>
        <v>3.9675</v>
      </c>
      <c r="AJ323" s="116" t="n">
        <f aca="false">Inputs!$D$46*(1+Inputs!$D$48)^(AJ$227-1)*MAX(0,MIN(1,AJ$226*1-Inputs!$D$49+1))/1</f>
        <v>3.9675</v>
      </c>
      <c r="AK323" s="116" t="n">
        <f aca="false">Inputs!$D$46*(1+Inputs!$D$48)^(AK$227-1)*MAX(0,MIN(1,AK$226*1-Inputs!$D$49+1))/1</f>
        <v>3.9675</v>
      </c>
      <c r="AL323" s="116" t="n">
        <f aca="false">Inputs!$D$46*(1+Inputs!$D$48)^(AL$227-1)*MAX(0,MIN(1,AL$226*1-Inputs!$D$49+1))/1</f>
        <v>3.9675</v>
      </c>
      <c r="AM323" s="116" t="n">
        <f aca="false">Inputs!$D$46*(1+Inputs!$D$48)^(AM$227-1)*MAX(0,MIN(1,AM$226*1-Inputs!$D$49+1))/1</f>
        <v>4.562625</v>
      </c>
      <c r="AN323" s="116" t="n">
        <f aca="false">Inputs!$D$46*(1+Inputs!$D$48)^(AN$227-1)*MAX(0,MIN(1,AN$226*1-Inputs!$D$49+1))/1</f>
        <v>4.562625</v>
      </c>
      <c r="AO323" s="116" t="n">
        <f aca="false">Inputs!$D$46*(1+Inputs!$D$48)^(AO$227-1)*MAX(0,MIN(1,AO$226*1-Inputs!$D$49+1))/1</f>
        <v>4.562625</v>
      </c>
      <c r="AP323" s="116" t="n">
        <f aca="false">Inputs!$D$46*(1+Inputs!$D$48)^(AP$227-1)*MAX(0,MIN(1,AP$226*1-Inputs!$D$49+1))/1</f>
        <v>4.562625</v>
      </c>
      <c r="AQ323" s="116" t="n">
        <f aca="false">Inputs!$D$46*(1+Inputs!$D$48)^(AQ$227-1)*MAX(0,MIN(1,AQ$226*1-Inputs!$D$49+1))/1</f>
        <v>4.562625</v>
      </c>
      <c r="AR323" s="116" t="n">
        <f aca="false">Inputs!$D$46*(1+Inputs!$D$48)^(AR$227-1)*MAX(0,MIN(1,AR$226*1-Inputs!$D$49+1))/1</f>
        <v>4.562625</v>
      </c>
      <c r="AS323" s="116" t="n">
        <f aca="false">Inputs!$D$46*(1+Inputs!$D$48)^(AS$227-1)*MAX(0,MIN(1,AS$226*1-Inputs!$D$49+1))/1</f>
        <v>4.562625</v>
      </c>
      <c r="AT323" s="116" t="n">
        <f aca="false">Inputs!$D$46*(1+Inputs!$D$48)^(AT$227-1)*MAX(0,MIN(1,AT$226*1-Inputs!$D$49+1))/1</f>
        <v>4.562625</v>
      </c>
      <c r="AU323" s="116" t="n">
        <f aca="false">Inputs!$D$46*(1+Inputs!$D$48)^(AU$227-1)*MAX(0,MIN(1,AU$226*1-Inputs!$D$49+1))/1</f>
        <v>4.562625</v>
      </c>
      <c r="AV323" s="116" t="n">
        <f aca="false">Inputs!$D$46*(1+Inputs!$D$48)^(AV$227-1)*MAX(0,MIN(1,AV$226*1-Inputs!$D$49+1))/1</f>
        <v>4.562625</v>
      </c>
      <c r="AW323" s="116" t="n">
        <f aca="false">Inputs!$D$46*(1+Inputs!$D$48)^(AW$227-1)*MAX(0,MIN(1,AW$226*1-Inputs!$D$49+1))/1</f>
        <v>4.562625</v>
      </c>
      <c r="AX323" s="116" t="n">
        <f aca="false">Inputs!$D$46*(1+Inputs!$D$48)^(AX$227-1)*MAX(0,MIN(1,AX$226*1-Inputs!$D$49+1))/1</f>
        <v>4.562625</v>
      </c>
      <c r="AY323" s="116" t="n">
        <f aca="false">Inputs!$D$46*(1+Inputs!$D$48)^(AY$227-1)*MAX(0,MIN(1,AY$226*1-Inputs!$D$49+1))/1</f>
        <v>5.24701875</v>
      </c>
      <c r="AZ323" s="116" t="n">
        <f aca="false">Inputs!$D$46*(1+Inputs!$D$48)^(AZ$227-1)*MAX(0,MIN(1,AZ$226*1-Inputs!$D$49+1))/1</f>
        <v>5.24701875</v>
      </c>
      <c r="BA323" s="116" t="n">
        <f aca="false">Inputs!$D$46*(1+Inputs!$D$48)^(BA$227-1)*MAX(0,MIN(1,BA$226*1-Inputs!$D$49+1))/1</f>
        <v>5.24701875</v>
      </c>
      <c r="BB323" s="116" t="n">
        <f aca="false">Inputs!$D$46*(1+Inputs!$D$48)^(BB$227-1)*MAX(0,MIN(1,BB$226*1-Inputs!$D$49+1))/1</f>
        <v>5.24701875</v>
      </c>
      <c r="BC323" s="116" t="n">
        <f aca="false">Inputs!$D$46*(1+Inputs!$D$48)^(BC$227-1)*MAX(0,MIN(1,BC$226*1-Inputs!$D$49+1))/1</f>
        <v>5.24701875</v>
      </c>
      <c r="BD323" s="116" t="n">
        <f aca="false">Inputs!$D$46*(1+Inputs!$D$48)^(BD$227-1)*MAX(0,MIN(1,BD$226*1-Inputs!$D$49+1))/1</f>
        <v>5.24701875</v>
      </c>
      <c r="BE323" s="116" t="n">
        <f aca="false">Inputs!$D$46*(1+Inputs!$D$48)^(BE$227-1)*MAX(0,MIN(1,BE$226*1-Inputs!$D$49+1))/1</f>
        <v>5.24701875</v>
      </c>
      <c r="BF323" s="116" t="n">
        <f aca="false">Inputs!$D$46*(1+Inputs!$D$48)^(BF$227-1)*MAX(0,MIN(1,BF$226*1-Inputs!$D$49+1))/1</f>
        <v>5.24701875</v>
      </c>
      <c r="BG323" s="116" t="n">
        <f aca="false">Inputs!$D$46*(1+Inputs!$D$48)^(BG$227-1)*MAX(0,MIN(1,BG$226*1-Inputs!$D$49+1))/1</f>
        <v>5.24701875</v>
      </c>
      <c r="BH323" s="116" t="n">
        <f aca="false">Inputs!$D$46*(1+Inputs!$D$48)^(BH$227-1)*MAX(0,MIN(1,BH$226*1-Inputs!$D$49+1))/1</f>
        <v>5.24701875</v>
      </c>
      <c r="BI323" s="116" t="n">
        <f aca="false">Inputs!$D$46*(1+Inputs!$D$48)^(BI$227-1)*MAX(0,MIN(1,BI$226*1-Inputs!$D$49+1))/1</f>
        <v>5.24701875</v>
      </c>
      <c r="BJ323" s="116" t="n">
        <f aca="false">Inputs!$D$46*(1+Inputs!$D$48)^(BJ$227-1)*MAX(0,MIN(1,BJ$226*1-Inputs!$D$49+1))/1</f>
        <v>5.24701875</v>
      </c>
    </row>
    <row r="324" customFormat="false" ht="15" hidden="false" customHeight="false" outlineLevel="0" collapsed="false">
      <c r="A324" s="113" t="s">
        <v>441</v>
      </c>
      <c r="C324" s="121" t="n">
        <f aca="false">C320+C321+C322+C323</f>
        <v>21</v>
      </c>
      <c r="D324" s="121" t="n">
        <f aca="false">D320+D321+D322+D323</f>
        <v>21</v>
      </c>
      <c r="E324" s="121" t="n">
        <f aca="false">E320+E321+E322+E323</f>
        <v>21</v>
      </c>
      <c r="F324" s="121" t="n">
        <f aca="false">F320+F321+F322+F323</f>
        <v>21</v>
      </c>
      <c r="G324" s="121" t="n">
        <f aca="false">G320+G321+G322+G323</f>
        <v>21</v>
      </c>
      <c r="H324" s="121" t="n">
        <f aca="false">H320+H321+H322+H323</f>
        <v>21</v>
      </c>
      <c r="I324" s="121" t="n">
        <f aca="false">I320+I321+I322+I323</f>
        <v>21</v>
      </c>
      <c r="J324" s="121" t="n">
        <f aca="false">J320+J321+J322+J323</f>
        <v>21</v>
      </c>
      <c r="K324" s="121" t="n">
        <f aca="false">K320+K321+K322+K323</f>
        <v>21</v>
      </c>
      <c r="L324" s="121" t="n">
        <f aca="false">L320+L321+L322+L323</f>
        <v>21</v>
      </c>
      <c r="M324" s="121" t="n">
        <f aca="false">M320+M321+M322+M323</f>
        <v>21</v>
      </c>
      <c r="N324" s="121" t="n">
        <f aca="false">N320+N321+N322+N323</f>
        <v>21</v>
      </c>
      <c r="O324" s="121" t="n">
        <f aca="false">O320+O321+O322+O323</f>
        <v>26.25</v>
      </c>
      <c r="P324" s="121" t="n">
        <f aca="false">P320+P321+P322+P323</f>
        <v>26.25</v>
      </c>
      <c r="Q324" s="121" t="n">
        <f aca="false">Q320+Q321+Q322+Q323</f>
        <v>26.25</v>
      </c>
      <c r="R324" s="121" t="n">
        <f aca="false">R320+R321+R322+R323</f>
        <v>26.25</v>
      </c>
      <c r="S324" s="121" t="n">
        <f aca="false">S320+S321+S322+S323</f>
        <v>26.25</v>
      </c>
      <c r="T324" s="121" t="n">
        <f aca="false">T320+T321+T322+T323</f>
        <v>26.25</v>
      </c>
      <c r="U324" s="121" t="n">
        <f aca="false">U320+U321+U322+U323</f>
        <v>26.25</v>
      </c>
      <c r="V324" s="121" t="n">
        <f aca="false">V320+V321+V322+V323</f>
        <v>26.25</v>
      </c>
      <c r="W324" s="121" t="n">
        <f aca="false">W320+W321+W322+W323</f>
        <v>26.25</v>
      </c>
      <c r="X324" s="121" t="n">
        <f aca="false">X320+X321+X322+X323</f>
        <v>26.25</v>
      </c>
      <c r="Y324" s="121" t="n">
        <f aca="false">Y320+Y321+Y322+Y323</f>
        <v>26.25</v>
      </c>
      <c r="Z324" s="121" t="n">
        <f aca="false">Z320+Z321+Z322+Z323</f>
        <v>26.25</v>
      </c>
      <c r="AA324" s="121" t="n">
        <f aca="false">AA320+AA321+AA322+AA323</f>
        <v>32.8875</v>
      </c>
      <c r="AB324" s="121" t="n">
        <f aca="false">AB320+AB321+AB322+AB323</f>
        <v>32.8875</v>
      </c>
      <c r="AC324" s="121" t="n">
        <f aca="false">AC320+AC321+AC322+AC323</f>
        <v>32.8875</v>
      </c>
      <c r="AD324" s="121" t="n">
        <f aca="false">AD320+AD321+AD322+AD323</f>
        <v>32.8875</v>
      </c>
      <c r="AE324" s="121" t="n">
        <f aca="false">AE320+AE321+AE322+AE323</f>
        <v>32.8875</v>
      </c>
      <c r="AF324" s="121" t="n">
        <f aca="false">AF320+AF321+AF322+AF323</f>
        <v>32.8875</v>
      </c>
      <c r="AG324" s="121" t="n">
        <f aca="false">AG320+AG321+AG322+AG323</f>
        <v>32.8875</v>
      </c>
      <c r="AH324" s="121" t="n">
        <f aca="false">AH320+AH321+AH322+AH323</f>
        <v>32.8875</v>
      </c>
      <c r="AI324" s="121" t="n">
        <f aca="false">AI320+AI321+AI322+AI323</f>
        <v>32.8875</v>
      </c>
      <c r="AJ324" s="121" t="n">
        <f aca="false">AJ320+AJ321+AJ322+AJ323</f>
        <v>32.8875</v>
      </c>
      <c r="AK324" s="121" t="n">
        <f aca="false">AK320+AK321+AK322+AK323</f>
        <v>32.8875</v>
      </c>
      <c r="AL324" s="121" t="n">
        <f aca="false">AL320+AL321+AL322+AL323</f>
        <v>32.8875</v>
      </c>
      <c r="AM324" s="121" t="n">
        <f aca="false">AM320+AM321+AM322+AM323</f>
        <v>41.294625</v>
      </c>
      <c r="AN324" s="121" t="n">
        <f aca="false">AN320+AN321+AN322+AN323</f>
        <v>41.294625</v>
      </c>
      <c r="AO324" s="121" t="n">
        <f aca="false">AO320+AO321+AO322+AO323</f>
        <v>41.294625</v>
      </c>
      <c r="AP324" s="121" t="n">
        <f aca="false">AP320+AP321+AP322+AP323</f>
        <v>41.294625</v>
      </c>
      <c r="AQ324" s="121" t="n">
        <f aca="false">AQ320+AQ321+AQ322+AQ323</f>
        <v>41.294625</v>
      </c>
      <c r="AR324" s="121" t="n">
        <f aca="false">AR320+AR321+AR322+AR323</f>
        <v>41.294625</v>
      </c>
      <c r="AS324" s="121" t="n">
        <f aca="false">AS320+AS321+AS322+AS323</f>
        <v>41.294625</v>
      </c>
      <c r="AT324" s="121" t="n">
        <f aca="false">AT320+AT321+AT322+AT323</f>
        <v>41.294625</v>
      </c>
      <c r="AU324" s="121" t="n">
        <f aca="false">AU320+AU321+AU322+AU323</f>
        <v>41.294625</v>
      </c>
      <c r="AV324" s="121" t="n">
        <f aca="false">AV320+AV321+AV322+AV323</f>
        <v>41.294625</v>
      </c>
      <c r="AW324" s="121" t="n">
        <f aca="false">AW320+AW321+AW322+AW323</f>
        <v>41.294625</v>
      </c>
      <c r="AX324" s="121" t="n">
        <f aca="false">AX320+AX321+AX322+AX323</f>
        <v>41.294625</v>
      </c>
      <c r="AY324" s="121" t="n">
        <f aca="false">AY320+AY321+AY322+AY323</f>
        <v>51.96181875</v>
      </c>
      <c r="AZ324" s="121" t="n">
        <f aca="false">AZ320+AZ321+AZ322+AZ323</f>
        <v>51.96181875</v>
      </c>
      <c r="BA324" s="121" t="n">
        <f aca="false">BA320+BA321+BA322+BA323</f>
        <v>51.96181875</v>
      </c>
      <c r="BB324" s="121" t="n">
        <f aca="false">BB320+BB321+BB322+BB323</f>
        <v>51.96181875</v>
      </c>
      <c r="BC324" s="121" t="n">
        <f aca="false">BC320+BC321+BC322+BC323</f>
        <v>51.96181875</v>
      </c>
      <c r="BD324" s="121" t="n">
        <f aca="false">BD320+BD321+BD322+BD323</f>
        <v>51.96181875</v>
      </c>
      <c r="BE324" s="121" t="n">
        <f aca="false">BE320+BE321+BE322+BE323</f>
        <v>51.96181875</v>
      </c>
      <c r="BF324" s="121" t="n">
        <f aca="false">BF320+BF321+BF322+BF323</f>
        <v>51.96181875</v>
      </c>
      <c r="BG324" s="121" t="n">
        <f aca="false">BG320+BG321+BG322+BG323</f>
        <v>51.96181875</v>
      </c>
      <c r="BH324" s="121" t="n">
        <f aca="false">BH320+BH321+BH322+BH323</f>
        <v>51.96181875</v>
      </c>
      <c r="BI324" s="121" t="n">
        <f aca="false">BI320+BI321+BI322+BI323</f>
        <v>51.96181875</v>
      </c>
      <c r="BJ324" s="121" t="n">
        <f aca="false">BJ320+BJ321+BJ322+BJ323</f>
        <v>51.96181875</v>
      </c>
    </row>
    <row r="326" customFormat="false" ht="15.75" hidden="false" customHeight="true" outlineLevel="0" collapsed="false">
      <c r="A326" s="7" t="s">
        <v>442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customFormat="false" ht="15" hidden="false" customHeight="false" outlineLevel="0" collapsed="false">
      <c r="A327" s="6" t="s">
        <v>443</v>
      </c>
      <c r="C327" s="67" t="n">
        <f aca="false">-C320*Inputs!$D$35/12*1*(1+Inputs!$D$50)*(1+Inputs!$D$51)^(C$227-1)</f>
        <v>-64000</v>
      </c>
      <c r="D327" s="67" t="n">
        <f aca="false">-D320*Inputs!$D$35/12*1*(1+Inputs!$D$50)*(1+Inputs!$D$51)^(D$227-1)</f>
        <v>-64000</v>
      </c>
      <c r="E327" s="67" t="n">
        <f aca="false">-E320*Inputs!$D$35/12*1*(1+Inputs!$D$50)*(1+Inputs!$D$51)^(E$227-1)</f>
        <v>-64000</v>
      </c>
      <c r="F327" s="67" t="n">
        <f aca="false">-F320*Inputs!$D$35/12*1*(1+Inputs!$D$50)*(1+Inputs!$D$51)^(F$227-1)</f>
        <v>-64000</v>
      </c>
      <c r="G327" s="67" t="n">
        <f aca="false">-G320*Inputs!$D$35/12*1*(1+Inputs!$D$50)*(1+Inputs!$D$51)^(G$227-1)</f>
        <v>-64000</v>
      </c>
      <c r="H327" s="67" t="n">
        <f aca="false">-H320*Inputs!$D$35/12*1*(1+Inputs!$D$50)*(1+Inputs!$D$51)^(H$227-1)</f>
        <v>-64000</v>
      </c>
      <c r="I327" s="67" t="n">
        <f aca="false">-I320*Inputs!$D$35/12*1*(1+Inputs!$D$50)*(1+Inputs!$D$51)^(I$227-1)</f>
        <v>-64000</v>
      </c>
      <c r="J327" s="67" t="n">
        <f aca="false">-J320*Inputs!$D$35/12*1*(1+Inputs!$D$50)*(1+Inputs!$D$51)^(J$227-1)</f>
        <v>-64000</v>
      </c>
      <c r="K327" s="67" t="n">
        <f aca="false">-K320*Inputs!$D$35/12*1*(1+Inputs!$D$50)*(1+Inputs!$D$51)^(K$227-1)</f>
        <v>-64000</v>
      </c>
      <c r="L327" s="67" t="n">
        <f aca="false">-L320*Inputs!$D$35/12*1*(1+Inputs!$D$50)*(1+Inputs!$D$51)^(L$227-1)</f>
        <v>-64000</v>
      </c>
      <c r="M327" s="67" t="n">
        <f aca="false">-M320*Inputs!$D$35/12*1*(1+Inputs!$D$50)*(1+Inputs!$D$51)^(M$227-1)</f>
        <v>-64000</v>
      </c>
      <c r="N327" s="67" t="n">
        <f aca="false">-N320*Inputs!$D$35/12*1*(1+Inputs!$D$50)*(1+Inputs!$D$51)^(N$227-1)</f>
        <v>-64000</v>
      </c>
      <c r="O327" s="67" t="n">
        <f aca="false">-O320*Inputs!$D$35/12*1*(1+Inputs!$D$50)*(1+Inputs!$D$51)^(O$227-1)</f>
        <v>-79104</v>
      </c>
      <c r="P327" s="67" t="n">
        <f aca="false">-P320*Inputs!$D$35/12*1*(1+Inputs!$D$50)*(1+Inputs!$D$51)^(P$227-1)</f>
        <v>-79104</v>
      </c>
      <c r="Q327" s="67" t="n">
        <f aca="false">-Q320*Inputs!$D$35/12*1*(1+Inputs!$D$50)*(1+Inputs!$D$51)^(Q$227-1)</f>
        <v>-79104</v>
      </c>
      <c r="R327" s="67" t="n">
        <f aca="false">-R320*Inputs!$D$35/12*1*(1+Inputs!$D$50)*(1+Inputs!$D$51)^(R$227-1)</f>
        <v>-79104</v>
      </c>
      <c r="S327" s="67" t="n">
        <f aca="false">-S320*Inputs!$D$35/12*1*(1+Inputs!$D$50)*(1+Inputs!$D$51)^(S$227-1)</f>
        <v>-79104</v>
      </c>
      <c r="T327" s="67" t="n">
        <f aca="false">-T320*Inputs!$D$35/12*1*(1+Inputs!$D$50)*(1+Inputs!$D$51)^(T$227-1)</f>
        <v>-79104</v>
      </c>
      <c r="U327" s="67" t="n">
        <f aca="false">-U320*Inputs!$D$35/12*1*(1+Inputs!$D$50)*(1+Inputs!$D$51)^(U$227-1)</f>
        <v>-79104</v>
      </c>
      <c r="V327" s="67" t="n">
        <f aca="false">-V320*Inputs!$D$35/12*1*(1+Inputs!$D$50)*(1+Inputs!$D$51)^(V$227-1)</f>
        <v>-79104</v>
      </c>
      <c r="W327" s="67" t="n">
        <f aca="false">-W320*Inputs!$D$35/12*1*(1+Inputs!$D$50)*(1+Inputs!$D$51)^(W$227-1)</f>
        <v>-79104</v>
      </c>
      <c r="X327" s="67" t="n">
        <f aca="false">-X320*Inputs!$D$35/12*1*(1+Inputs!$D$50)*(1+Inputs!$D$51)^(X$227-1)</f>
        <v>-79104</v>
      </c>
      <c r="Y327" s="67" t="n">
        <f aca="false">-Y320*Inputs!$D$35/12*1*(1+Inputs!$D$50)*(1+Inputs!$D$51)^(Y$227-1)</f>
        <v>-79104</v>
      </c>
      <c r="Z327" s="67" t="n">
        <f aca="false">-Z320*Inputs!$D$35/12*1*(1+Inputs!$D$50)*(1+Inputs!$D$51)^(Z$227-1)</f>
        <v>-79104</v>
      </c>
      <c r="AA327" s="67" t="n">
        <f aca="false">-AA320*Inputs!$D$35/12*1*(1+Inputs!$D$50)*(1+Inputs!$D$51)^(AA$227-1)</f>
        <v>-97772.544</v>
      </c>
      <c r="AB327" s="67" t="n">
        <f aca="false">-AB320*Inputs!$D$35/12*1*(1+Inputs!$D$50)*(1+Inputs!$D$51)^(AB$227-1)</f>
        <v>-97772.544</v>
      </c>
      <c r="AC327" s="67" t="n">
        <f aca="false">-AC320*Inputs!$D$35/12*1*(1+Inputs!$D$50)*(1+Inputs!$D$51)^(AC$227-1)</f>
        <v>-97772.544</v>
      </c>
      <c r="AD327" s="67" t="n">
        <f aca="false">-AD320*Inputs!$D$35/12*1*(1+Inputs!$D$50)*(1+Inputs!$D$51)^(AD$227-1)</f>
        <v>-97772.544</v>
      </c>
      <c r="AE327" s="67" t="n">
        <f aca="false">-AE320*Inputs!$D$35/12*1*(1+Inputs!$D$50)*(1+Inputs!$D$51)^(AE$227-1)</f>
        <v>-97772.544</v>
      </c>
      <c r="AF327" s="67" t="n">
        <f aca="false">-AF320*Inputs!$D$35/12*1*(1+Inputs!$D$50)*(1+Inputs!$D$51)^(AF$227-1)</f>
        <v>-97772.544</v>
      </c>
      <c r="AG327" s="67" t="n">
        <f aca="false">-AG320*Inputs!$D$35/12*1*(1+Inputs!$D$50)*(1+Inputs!$D$51)^(AG$227-1)</f>
        <v>-97772.544</v>
      </c>
      <c r="AH327" s="67" t="n">
        <f aca="false">-AH320*Inputs!$D$35/12*1*(1+Inputs!$D$50)*(1+Inputs!$D$51)^(AH$227-1)</f>
        <v>-97772.544</v>
      </c>
      <c r="AI327" s="67" t="n">
        <f aca="false">-AI320*Inputs!$D$35/12*1*(1+Inputs!$D$50)*(1+Inputs!$D$51)^(AI$227-1)</f>
        <v>-97772.544</v>
      </c>
      <c r="AJ327" s="67" t="n">
        <f aca="false">-AJ320*Inputs!$D$35/12*1*(1+Inputs!$D$50)*(1+Inputs!$D$51)^(AJ$227-1)</f>
        <v>-97772.544</v>
      </c>
      <c r="AK327" s="67" t="n">
        <f aca="false">-AK320*Inputs!$D$35/12*1*(1+Inputs!$D$50)*(1+Inputs!$D$51)^(AK$227-1)</f>
        <v>-97772.544</v>
      </c>
      <c r="AL327" s="67" t="n">
        <f aca="false">-AL320*Inputs!$D$35/12*1*(1+Inputs!$D$50)*(1+Inputs!$D$51)^(AL$227-1)</f>
        <v>-97772.544</v>
      </c>
      <c r="AM327" s="67" t="n">
        <f aca="false">-AM320*Inputs!$D$35/12*1*(1+Inputs!$D$50)*(1+Inputs!$D$51)^(AM$227-1)</f>
        <v>-120846.864384</v>
      </c>
      <c r="AN327" s="67" t="n">
        <f aca="false">-AN320*Inputs!$D$35/12*1*(1+Inputs!$D$50)*(1+Inputs!$D$51)^(AN$227-1)</f>
        <v>-120846.864384</v>
      </c>
      <c r="AO327" s="67" t="n">
        <f aca="false">-AO320*Inputs!$D$35/12*1*(1+Inputs!$D$50)*(1+Inputs!$D$51)^(AO$227-1)</f>
        <v>-120846.864384</v>
      </c>
      <c r="AP327" s="67" t="n">
        <f aca="false">-AP320*Inputs!$D$35/12*1*(1+Inputs!$D$50)*(1+Inputs!$D$51)^(AP$227-1)</f>
        <v>-120846.864384</v>
      </c>
      <c r="AQ327" s="67" t="n">
        <f aca="false">-AQ320*Inputs!$D$35/12*1*(1+Inputs!$D$50)*(1+Inputs!$D$51)^(AQ$227-1)</f>
        <v>-120846.864384</v>
      </c>
      <c r="AR327" s="67" t="n">
        <f aca="false">-AR320*Inputs!$D$35/12*1*(1+Inputs!$D$50)*(1+Inputs!$D$51)^(AR$227-1)</f>
        <v>-120846.864384</v>
      </c>
      <c r="AS327" s="67" t="n">
        <f aca="false">-AS320*Inputs!$D$35/12*1*(1+Inputs!$D$50)*(1+Inputs!$D$51)^(AS$227-1)</f>
        <v>-120846.864384</v>
      </c>
      <c r="AT327" s="67" t="n">
        <f aca="false">-AT320*Inputs!$D$35/12*1*(1+Inputs!$D$50)*(1+Inputs!$D$51)^(AT$227-1)</f>
        <v>-120846.864384</v>
      </c>
      <c r="AU327" s="67" t="n">
        <f aca="false">-AU320*Inputs!$D$35/12*1*(1+Inputs!$D$50)*(1+Inputs!$D$51)^(AU$227-1)</f>
        <v>-120846.864384</v>
      </c>
      <c r="AV327" s="67" t="n">
        <f aca="false">-AV320*Inputs!$D$35/12*1*(1+Inputs!$D$50)*(1+Inputs!$D$51)^(AV$227-1)</f>
        <v>-120846.864384</v>
      </c>
      <c r="AW327" s="67" t="n">
        <f aca="false">-AW320*Inputs!$D$35/12*1*(1+Inputs!$D$50)*(1+Inputs!$D$51)^(AW$227-1)</f>
        <v>-120846.864384</v>
      </c>
      <c r="AX327" s="67" t="n">
        <f aca="false">-AX320*Inputs!$D$35/12*1*(1+Inputs!$D$50)*(1+Inputs!$D$51)^(AX$227-1)</f>
        <v>-120846.864384</v>
      </c>
      <c r="AY327" s="67" t="n">
        <f aca="false">-AY320*Inputs!$D$35/12*1*(1+Inputs!$D$50)*(1+Inputs!$D$51)^(AY$227-1)</f>
        <v>-149366.724378624</v>
      </c>
      <c r="AZ327" s="67" t="n">
        <f aca="false">-AZ320*Inputs!$D$35/12*1*(1+Inputs!$D$50)*(1+Inputs!$D$51)^(AZ$227-1)</f>
        <v>-149366.724378624</v>
      </c>
      <c r="BA327" s="67" t="n">
        <f aca="false">-BA320*Inputs!$D$35/12*1*(1+Inputs!$D$50)*(1+Inputs!$D$51)^(BA$227-1)</f>
        <v>-149366.724378624</v>
      </c>
      <c r="BB327" s="67" t="n">
        <f aca="false">-BB320*Inputs!$D$35/12*1*(1+Inputs!$D$50)*(1+Inputs!$D$51)^(BB$227-1)</f>
        <v>-149366.724378624</v>
      </c>
      <c r="BC327" s="67" t="n">
        <f aca="false">-BC320*Inputs!$D$35/12*1*(1+Inputs!$D$50)*(1+Inputs!$D$51)^(BC$227-1)</f>
        <v>-149366.724378624</v>
      </c>
      <c r="BD327" s="67" t="n">
        <f aca="false">-BD320*Inputs!$D$35/12*1*(1+Inputs!$D$50)*(1+Inputs!$D$51)^(BD$227-1)</f>
        <v>-149366.724378624</v>
      </c>
      <c r="BE327" s="67" t="n">
        <f aca="false">-BE320*Inputs!$D$35/12*1*(1+Inputs!$D$50)*(1+Inputs!$D$51)^(BE$227-1)</f>
        <v>-149366.724378624</v>
      </c>
      <c r="BF327" s="67" t="n">
        <f aca="false">-BF320*Inputs!$D$35/12*1*(1+Inputs!$D$50)*(1+Inputs!$D$51)^(BF$227-1)</f>
        <v>-149366.724378624</v>
      </c>
      <c r="BG327" s="67" t="n">
        <f aca="false">-BG320*Inputs!$D$35/12*1*(1+Inputs!$D$50)*(1+Inputs!$D$51)^(BG$227-1)</f>
        <v>-149366.724378624</v>
      </c>
      <c r="BH327" s="67" t="n">
        <f aca="false">-BH320*Inputs!$D$35/12*1*(1+Inputs!$D$50)*(1+Inputs!$D$51)^(BH$227-1)</f>
        <v>-149366.724378624</v>
      </c>
      <c r="BI327" s="67" t="n">
        <f aca="false">-BI320*Inputs!$D$35/12*1*(1+Inputs!$D$50)*(1+Inputs!$D$51)^(BI$227-1)</f>
        <v>-149366.724378624</v>
      </c>
      <c r="BJ327" s="67" t="n">
        <f aca="false">-BJ320*Inputs!$D$35/12*1*(1+Inputs!$D$50)*(1+Inputs!$D$51)^(BJ$227-1)</f>
        <v>-149366.724378624</v>
      </c>
    </row>
    <row r="328" customFormat="false" ht="15" hidden="false" customHeight="false" outlineLevel="0" collapsed="false">
      <c r="A328" s="6" t="s">
        <v>444</v>
      </c>
      <c r="C328" s="67" t="n">
        <f aca="false">-C321*Inputs!$D$39/12*1*(1+Inputs!$D$50)*(1+Inputs!$D$51)^(C$227-1)</f>
        <v>-114000</v>
      </c>
      <c r="D328" s="67" t="n">
        <f aca="false">-D321*Inputs!$D$39/12*1*(1+Inputs!$D$50)*(1+Inputs!$D$51)^(D$227-1)</f>
        <v>-114000</v>
      </c>
      <c r="E328" s="67" t="n">
        <f aca="false">-E321*Inputs!$D$39/12*1*(1+Inputs!$D$50)*(1+Inputs!$D$51)^(E$227-1)</f>
        <v>-114000</v>
      </c>
      <c r="F328" s="67" t="n">
        <f aca="false">-F321*Inputs!$D$39/12*1*(1+Inputs!$D$50)*(1+Inputs!$D$51)^(F$227-1)</f>
        <v>-114000</v>
      </c>
      <c r="G328" s="67" t="n">
        <f aca="false">-G321*Inputs!$D$39/12*1*(1+Inputs!$D$50)*(1+Inputs!$D$51)^(G$227-1)</f>
        <v>-114000</v>
      </c>
      <c r="H328" s="67" t="n">
        <f aca="false">-H321*Inputs!$D$39/12*1*(1+Inputs!$D$50)*(1+Inputs!$D$51)^(H$227-1)</f>
        <v>-114000</v>
      </c>
      <c r="I328" s="67" t="n">
        <f aca="false">-I321*Inputs!$D$39/12*1*(1+Inputs!$D$50)*(1+Inputs!$D$51)^(I$227-1)</f>
        <v>-114000</v>
      </c>
      <c r="J328" s="67" t="n">
        <f aca="false">-J321*Inputs!$D$39/12*1*(1+Inputs!$D$50)*(1+Inputs!$D$51)^(J$227-1)</f>
        <v>-114000</v>
      </c>
      <c r="K328" s="67" t="n">
        <f aca="false">-K321*Inputs!$D$39/12*1*(1+Inputs!$D$50)*(1+Inputs!$D$51)^(K$227-1)</f>
        <v>-114000</v>
      </c>
      <c r="L328" s="67" t="n">
        <f aca="false">-L321*Inputs!$D$39/12*1*(1+Inputs!$D$50)*(1+Inputs!$D$51)^(L$227-1)</f>
        <v>-114000</v>
      </c>
      <c r="M328" s="67" t="n">
        <f aca="false">-M321*Inputs!$D$39/12*1*(1+Inputs!$D$50)*(1+Inputs!$D$51)^(M$227-1)</f>
        <v>-114000</v>
      </c>
      <c r="N328" s="67" t="n">
        <f aca="false">-N321*Inputs!$D$39/12*1*(1+Inputs!$D$50)*(1+Inputs!$D$51)^(N$227-1)</f>
        <v>-114000</v>
      </c>
      <c r="O328" s="67" t="n">
        <f aca="false">-O321*Inputs!$D$39/12*1*(1+Inputs!$D$50)*(1+Inputs!$D$51)^(O$227-1)</f>
        <v>-152646</v>
      </c>
      <c r="P328" s="67" t="n">
        <f aca="false">-P321*Inputs!$D$39/12*1*(1+Inputs!$D$50)*(1+Inputs!$D$51)^(P$227-1)</f>
        <v>-152646</v>
      </c>
      <c r="Q328" s="67" t="n">
        <f aca="false">-Q321*Inputs!$D$39/12*1*(1+Inputs!$D$50)*(1+Inputs!$D$51)^(Q$227-1)</f>
        <v>-152646</v>
      </c>
      <c r="R328" s="67" t="n">
        <f aca="false">-R321*Inputs!$D$39/12*1*(1+Inputs!$D$50)*(1+Inputs!$D$51)^(R$227-1)</f>
        <v>-152646</v>
      </c>
      <c r="S328" s="67" t="n">
        <f aca="false">-S321*Inputs!$D$39/12*1*(1+Inputs!$D$50)*(1+Inputs!$D$51)^(S$227-1)</f>
        <v>-152646</v>
      </c>
      <c r="T328" s="67" t="n">
        <f aca="false">-T321*Inputs!$D$39/12*1*(1+Inputs!$D$50)*(1+Inputs!$D$51)^(T$227-1)</f>
        <v>-152646</v>
      </c>
      <c r="U328" s="67" t="n">
        <f aca="false">-U321*Inputs!$D$39/12*1*(1+Inputs!$D$50)*(1+Inputs!$D$51)^(U$227-1)</f>
        <v>-152646</v>
      </c>
      <c r="V328" s="67" t="n">
        <f aca="false">-V321*Inputs!$D$39/12*1*(1+Inputs!$D$50)*(1+Inputs!$D$51)^(V$227-1)</f>
        <v>-152646</v>
      </c>
      <c r="W328" s="67" t="n">
        <f aca="false">-W321*Inputs!$D$39/12*1*(1+Inputs!$D$50)*(1+Inputs!$D$51)^(W$227-1)</f>
        <v>-152646</v>
      </c>
      <c r="X328" s="67" t="n">
        <f aca="false">-X321*Inputs!$D$39/12*1*(1+Inputs!$D$50)*(1+Inputs!$D$51)^(X$227-1)</f>
        <v>-152646</v>
      </c>
      <c r="Y328" s="67" t="n">
        <f aca="false">-Y321*Inputs!$D$39/12*1*(1+Inputs!$D$50)*(1+Inputs!$D$51)^(Y$227-1)</f>
        <v>-152646</v>
      </c>
      <c r="Z328" s="67" t="n">
        <f aca="false">-Z321*Inputs!$D$39/12*1*(1+Inputs!$D$50)*(1+Inputs!$D$51)^(Z$227-1)</f>
        <v>-152646</v>
      </c>
      <c r="AA328" s="67" t="n">
        <f aca="false">-AA321*Inputs!$D$39/12*1*(1+Inputs!$D$50)*(1+Inputs!$D$51)^(AA$227-1)</f>
        <v>-204392.994</v>
      </c>
      <c r="AB328" s="67" t="n">
        <f aca="false">-AB321*Inputs!$D$39/12*1*(1+Inputs!$D$50)*(1+Inputs!$D$51)^(AB$227-1)</f>
        <v>-204392.994</v>
      </c>
      <c r="AC328" s="67" t="n">
        <f aca="false">-AC321*Inputs!$D$39/12*1*(1+Inputs!$D$50)*(1+Inputs!$D$51)^(AC$227-1)</f>
        <v>-204392.994</v>
      </c>
      <c r="AD328" s="67" t="n">
        <f aca="false">-AD321*Inputs!$D$39/12*1*(1+Inputs!$D$50)*(1+Inputs!$D$51)^(AD$227-1)</f>
        <v>-204392.994</v>
      </c>
      <c r="AE328" s="67" t="n">
        <f aca="false">-AE321*Inputs!$D$39/12*1*(1+Inputs!$D$50)*(1+Inputs!$D$51)^(AE$227-1)</f>
        <v>-204392.994</v>
      </c>
      <c r="AF328" s="67" t="n">
        <f aca="false">-AF321*Inputs!$D$39/12*1*(1+Inputs!$D$50)*(1+Inputs!$D$51)^(AF$227-1)</f>
        <v>-204392.994</v>
      </c>
      <c r="AG328" s="67" t="n">
        <f aca="false">-AG321*Inputs!$D$39/12*1*(1+Inputs!$D$50)*(1+Inputs!$D$51)^(AG$227-1)</f>
        <v>-204392.994</v>
      </c>
      <c r="AH328" s="67" t="n">
        <f aca="false">-AH321*Inputs!$D$39/12*1*(1+Inputs!$D$50)*(1+Inputs!$D$51)^(AH$227-1)</f>
        <v>-204392.994</v>
      </c>
      <c r="AI328" s="67" t="n">
        <f aca="false">-AI321*Inputs!$D$39/12*1*(1+Inputs!$D$50)*(1+Inputs!$D$51)^(AI$227-1)</f>
        <v>-204392.994</v>
      </c>
      <c r="AJ328" s="67" t="n">
        <f aca="false">-AJ321*Inputs!$D$39/12*1*(1+Inputs!$D$50)*(1+Inputs!$D$51)^(AJ$227-1)</f>
        <v>-204392.994</v>
      </c>
      <c r="AK328" s="67" t="n">
        <f aca="false">-AK321*Inputs!$D$39/12*1*(1+Inputs!$D$50)*(1+Inputs!$D$51)^(AK$227-1)</f>
        <v>-204392.994</v>
      </c>
      <c r="AL328" s="67" t="n">
        <f aca="false">-AL321*Inputs!$D$39/12*1*(1+Inputs!$D$50)*(1+Inputs!$D$51)^(AL$227-1)</f>
        <v>-204392.994</v>
      </c>
      <c r="AM328" s="67" t="n">
        <f aca="false">-AM321*Inputs!$D$39/12*1*(1+Inputs!$D$50)*(1+Inputs!$D$51)^(AM$227-1)</f>
        <v>-273682.218966</v>
      </c>
      <c r="AN328" s="67" t="n">
        <f aca="false">-AN321*Inputs!$D$39/12*1*(1+Inputs!$D$50)*(1+Inputs!$D$51)^(AN$227-1)</f>
        <v>-273682.218966</v>
      </c>
      <c r="AO328" s="67" t="n">
        <f aca="false">-AO321*Inputs!$D$39/12*1*(1+Inputs!$D$50)*(1+Inputs!$D$51)^(AO$227-1)</f>
        <v>-273682.218966</v>
      </c>
      <c r="AP328" s="67" t="n">
        <f aca="false">-AP321*Inputs!$D$39/12*1*(1+Inputs!$D$50)*(1+Inputs!$D$51)^(AP$227-1)</f>
        <v>-273682.218966</v>
      </c>
      <c r="AQ328" s="67" t="n">
        <f aca="false">-AQ321*Inputs!$D$39/12*1*(1+Inputs!$D$50)*(1+Inputs!$D$51)^(AQ$227-1)</f>
        <v>-273682.218966</v>
      </c>
      <c r="AR328" s="67" t="n">
        <f aca="false">-AR321*Inputs!$D$39/12*1*(1+Inputs!$D$50)*(1+Inputs!$D$51)^(AR$227-1)</f>
        <v>-273682.218966</v>
      </c>
      <c r="AS328" s="67" t="n">
        <f aca="false">-AS321*Inputs!$D$39/12*1*(1+Inputs!$D$50)*(1+Inputs!$D$51)^(AS$227-1)</f>
        <v>-273682.218966</v>
      </c>
      <c r="AT328" s="67" t="n">
        <f aca="false">-AT321*Inputs!$D$39/12*1*(1+Inputs!$D$50)*(1+Inputs!$D$51)^(AT$227-1)</f>
        <v>-273682.218966</v>
      </c>
      <c r="AU328" s="67" t="n">
        <f aca="false">-AU321*Inputs!$D$39/12*1*(1+Inputs!$D$50)*(1+Inputs!$D$51)^(AU$227-1)</f>
        <v>-273682.218966</v>
      </c>
      <c r="AV328" s="67" t="n">
        <f aca="false">-AV321*Inputs!$D$39/12*1*(1+Inputs!$D$50)*(1+Inputs!$D$51)^(AV$227-1)</f>
        <v>-273682.218966</v>
      </c>
      <c r="AW328" s="67" t="n">
        <f aca="false">-AW321*Inputs!$D$39/12*1*(1+Inputs!$D$50)*(1+Inputs!$D$51)^(AW$227-1)</f>
        <v>-273682.218966</v>
      </c>
      <c r="AX328" s="67" t="n">
        <f aca="false">-AX321*Inputs!$D$39/12*1*(1+Inputs!$D$50)*(1+Inputs!$D$51)^(AX$227-1)</f>
        <v>-273682.218966</v>
      </c>
      <c r="AY328" s="67" t="n">
        <f aca="false">-AY321*Inputs!$D$39/12*1*(1+Inputs!$D$50)*(1+Inputs!$D$51)^(AY$227-1)</f>
        <v>-366460.491195474</v>
      </c>
      <c r="AZ328" s="67" t="n">
        <f aca="false">-AZ321*Inputs!$D$39/12*1*(1+Inputs!$D$50)*(1+Inputs!$D$51)^(AZ$227-1)</f>
        <v>-366460.491195474</v>
      </c>
      <c r="BA328" s="67" t="n">
        <f aca="false">-BA321*Inputs!$D$39/12*1*(1+Inputs!$D$50)*(1+Inputs!$D$51)^(BA$227-1)</f>
        <v>-366460.491195474</v>
      </c>
      <c r="BB328" s="67" t="n">
        <f aca="false">-BB321*Inputs!$D$39/12*1*(1+Inputs!$D$50)*(1+Inputs!$D$51)^(BB$227-1)</f>
        <v>-366460.491195474</v>
      </c>
      <c r="BC328" s="67" t="n">
        <f aca="false">-BC321*Inputs!$D$39/12*1*(1+Inputs!$D$50)*(1+Inputs!$D$51)^(BC$227-1)</f>
        <v>-366460.491195474</v>
      </c>
      <c r="BD328" s="67" t="n">
        <f aca="false">-BD321*Inputs!$D$39/12*1*(1+Inputs!$D$50)*(1+Inputs!$D$51)^(BD$227-1)</f>
        <v>-366460.491195474</v>
      </c>
      <c r="BE328" s="67" t="n">
        <f aca="false">-BE321*Inputs!$D$39/12*1*(1+Inputs!$D$50)*(1+Inputs!$D$51)^(BE$227-1)</f>
        <v>-366460.491195474</v>
      </c>
      <c r="BF328" s="67" t="n">
        <f aca="false">-BF321*Inputs!$D$39/12*1*(1+Inputs!$D$50)*(1+Inputs!$D$51)^(BF$227-1)</f>
        <v>-366460.491195474</v>
      </c>
      <c r="BG328" s="67" t="n">
        <f aca="false">-BG321*Inputs!$D$39/12*1*(1+Inputs!$D$50)*(1+Inputs!$D$51)^(BG$227-1)</f>
        <v>-366460.491195474</v>
      </c>
      <c r="BH328" s="67" t="n">
        <f aca="false">-BH321*Inputs!$D$39/12*1*(1+Inputs!$D$50)*(1+Inputs!$D$51)^(BH$227-1)</f>
        <v>-366460.491195474</v>
      </c>
      <c r="BI328" s="67" t="n">
        <f aca="false">-BI321*Inputs!$D$39/12*1*(1+Inputs!$D$50)*(1+Inputs!$D$51)^(BI$227-1)</f>
        <v>-366460.491195474</v>
      </c>
      <c r="BJ328" s="67" t="n">
        <f aca="false">-BJ321*Inputs!$D$39/12*1*(1+Inputs!$D$50)*(1+Inputs!$D$51)^(BJ$227-1)</f>
        <v>-366460.491195474</v>
      </c>
    </row>
    <row r="329" customFormat="false" ht="15" hidden="false" customHeight="false" outlineLevel="0" collapsed="false">
      <c r="A329" s="6" t="s">
        <v>445</v>
      </c>
      <c r="C329" s="67" t="n">
        <f aca="false">-C322*Inputs!$D$43/12*1*(1+Inputs!$D$50)*(1+Inputs!$D$51)^(C$227-1)</f>
        <v>-17000</v>
      </c>
      <c r="D329" s="67" t="n">
        <f aca="false">-D322*Inputs!$D$43/12*1*(1+Inputs!$D$50)*(1+Inputs!$D$51)^(D$227-1)</f>
        <v>-17000</v>
      </c>
      <c r="E329" s="67" t="n">
        <f aca="false">-E322*Inputs!$D$43/12*1*(1+Inputs!$D$50)*(1+Inputs!$D$51)^(E$227-1)</f>
        <v>-17000</v>
      </c>
      <c r="F329" s="67" t="n">
        <f aca="false">-F322*Inputs!$D$43/12*1*(1+Inputs!$D$50)*(1+Inputs!$D$51)^(F$227-1)</f>
        <v>-17000</v>
      </c>
      <c r="G329" s="67" t="n">
        <f aca="false">-G322*Inputs!$D$43/12*1*(1+Inputs!$D$50)*(1+Inputs!$D$51)^(G$227-1)</f>
        <v>-17000</v>
      </c>
      <c r="H329" s="67" t="n">
        <f aca="false">-H322*Inputs!$D$43/12*1*(1+Inputs!$D$50)*(1+Inputs!$D$51)^(H$227-1)</f>
        <v>-17000</v>
      </c>
      <c r="I329" s="67" t="n">
        <f aca="false">-I322*Inputs!$D$43/12*1*(1+Inputs!$D$50)*(1+Inputs!$D$51)^(I$227-1)</f>
        <v>-17000</v>
      </c>
      <c r="J329" s="67" t="n">
        <f aca="false">-J322*Inputs!$D$43/12*1*(1+Inputs!$D$50)*(1+Inputs!$D$51)^(J$227-1)</f>
        <v>-17000</v>
      </c>
      <c r="K329" s="67" t="n">
        <f aca="false">-K322*Inputs!$D$43/12*1*(1+Inputs!$D$50)*(1+Inputs!$D$51)^(K$227-1)</f>
        <v>-17000</v>
      </c>
      <c r="L329" s="67" t="n">
        <f aca="false">-L322*Inputs!$D$43/12*1*(1+Inputs!$D$50)*(1+Inputs!$D$51)^(L$227-1)</f>
        <v>-17000</v>
      </c>
      <c r="M329" s="67" t="n">
        <f aca="false">-M322*Inputs!$D$43/12*1*(1+Inputs!$D$50)*(1+Inputs!$D$51)^(M$227-1)</f>
        <v>-17000</v>
      </c>
      <c r="N329" s="67" t="n">
        <f aca="false">-N322*Inputs!$D$43/12*1*(1+Inputs!$D$50)*(1+Inputs!$D$51)^(N$227-1)</f>
        <v>-17000</v>
      </c>
      <c r="O329" s="67" t="n">
        <f aca="false">-O322*Inputs!$D$43/12*1*(1+Inputs!$D$50)*(1+Inputs!$D$51)^(O$227-1)</f>
        <v>-21012</v>
      </c>
      <c r="P329" s="67" t="n">
        <f aca="false">-P322*Inputs!$D$43/12*1*(1+Inputs!$D$50)*(1+Inputs!$D$51)^(P$227-1)</f>
        <v>-21012</v>
      </c>
      <c r="Q329" s="67" t="n">
        <f aca="false">-Q322*Inputs!$D$43/12*1*(1+Inputs!$D$50)*(1+Inputs!$D$51)^(Q$227-1)</f>
        <v>-21012</v>
      </c>
      <c r="R329" s="67" t="n">
        <f aca="false">-R322*Inputs!$D$43/12*1*(1+Inputs!$D$50)*(1+Inputs!$D$51)^(R$227-1)</f>
        <v>-21012</v>
      </c>
      <c r="S329" s="67" t="n">
        <f aca="false">-S322*Inputs!$D$43/12*1*(1+Inputs!$D$50)*(1+Inputs!$D$51)^(S$227-1)</f>
        <v>-21012</v>
      </c>
      <c r="T329" s="67" t="n">
        <f aca="false">-T322*Inputs!$D$43/12*1*(1+Inputs!$D$50)*(1+Inputs!$D$51)^(T$227-1)</f>
        <v>-21012</v>
      </c>
      <c r="U329" s="67" t="n">
        <f aca="false">-U322*Inputs!$D$43/12*1*(1+Inputs!$D$50)*(1+Inputs!$D$51)^(U$227-1)</f>
        <v>-21012</v>
      </c>
      <c r="V329" s="67" t="n">
        <f aca="false">-V322*Inputs!$D$43/12*1*(1+Inputs!$D$50)*(1+Inputs!$D$51)^(V$227-1)</f>
        <v>-21012</v>
      </c>
      <c r="W329" s="67" t="n">
        <f aca="false">-W322*Inputs!$D$43/12*1*(1+Inputs!$D$50)*(1+Inputs!$D$51)^(W$227-1)</f>
        <v>-21012</v>
      </c>
      <c r="X329" s="67" t="n">
        <f aca="false">-X322*Inputs!$D$43/12*1*(1+Inputs!$D$50)*(1+Inputs!$D$51)^(X$227-1)</f>
        <v>-21012</v>
      </c>
      <c r="Y329" s="67" t="n">
        <f aca="false">-Y322*Inputs!$D$43/12*1*(1+Inputs!$D$50)*(1+Inputs!$D$51)^(Y$227-1)</f>
        <v>-21012</v>
      </c>
      <c r="Z329" s="67" t="n">
        <f aca="false">-Z322*Inputs!$D$43/12*1*(1+Inputs!$D$50)*(1+Inputs!$D$51)^(Z$227-1)</f>
        <v>-21012</v>
      </c>
      <c r="AA329" s="67" t="n">
        <f aca="false">-AA322*Inputs!$D$43/12*1*(1+Inputs!$D$50)*(1+Inputs!$D$51)^(AA$227-1)</f>
        <v>-25970.832</v>
      </c>
      <c r="AB329" s="67" t="n">
        <f aca="false">-AB322*Inputs!$D$43/12*1*(1+Inputs!$D$50)*(1+Inputs!$D$51)^(AB$227-1)</f>
        <v>-25970.832</v>
      </c>
      <c r="AC329" s="67" t="n">
        <f aca="false">-AC322*Inputs!$D$43/12*1*(1+Inputs!$D$50)*(1+Inputs!$D$51)^(AC$227-1)</f>
        <v>-25970.832</v>
      </c>
      <c r="AD329" s="67" t="n">
        <f aca="false">-AD322*Inputs!$D$43/12*1*(1+Inputs!$D$50)*(1+Inputs!$D$51)^(AD$227-1)</f>
        <v>-25970.832</v>
      </c>
      <c r="AE329" s="67" t="n">
        <f aca="false">-AE322*Inputs!$D$43/12*1*(1+Inputs!$D$50)*(1+Inputs!$D$51)^(AE$227-1)</f>
        <v>-25970.832</v>
      </c>
      <c r="AF329" s="67" t="n">
        <f aca="false">-AF322*Inputs!$D$43/12*1*(1+Inputs!$D$50)*(1+Inputs!$D$51)^(AF$227-1)</f>
        <v>-25970.832</v>
      </c>
      <c r="AG329" s="67" t="n">
        <f aca="false">-AG322*Inputs!$D$43/12*1*(1+Inputs!$D$50)*(1+Inputs!$D$51)^(AG$227-1)</f>
        <v>-25970.832</v>
      </c>
      <c r="AH329" s="67" t="n">
        <f aca="false">-AH322*Inputs!$D$43/12*1*(1+Inputs!$D$50)*(1+Inputs!$D$51)^(AH$227-1)</f>
        <v>-25970.832</v>
      </c>
      <c r="AI329" s="67" t="n">
        <f aca="false">-AI322*Inputs!$D$43/12*1*(1+Inputs!$D$50)*(1+Inputs!$D$51)^(AI$227-1)</f>
        <v>-25970.832</v>
      </c>
      <c r="AJ329" s="67" t="n">
        <f aca="false">-AJ322*Inputs!$D$43/12*1*(1+Inputs!$D$50)*(1+Inputs!$D$51)^(AJ$227-1)</f>
        <v>-25970.832</v>
      </c>
      <c r="AK329" s="67" t="n">
        <f aca="false">-AK322*Inputs!$D$43/12*1*(1+Inputs!$D$50)*(1+Inputs!$D$51)^(AK$227-1)</f>
        <v>-25970.832</v>
      </c>
      <c r="AL329" s="67" t="n">
        <f aca="false">-AL322*Inputs!$D$43/12*1*(1+Inputs!$D$50)*(1+Inputs!$D$51)^(AL$227-1)</f>
        <v>-25970.832</v>
      </c>
      <c r="AM329" s="67" t="n">
        <f aca="false">-AM322*Inputs!$D$43/12*1*(1+Inputs!$D$50)*(1+Inputs!$D$51)^(AM$227-1)</f>
        <v>-32099.948352</v>
      </c>
      <c r="AN329" s="67" t="n">
        <f aca="false">-AN322*Inputs!$D$43/12*1*(1+Inputs!$D$50)*(1+Inputs!$D$51)^(AN$227-1)</f>
        <v>-32099.948352</v>
      </c>
      <c r="AO329" s="67" t="n">
        <f aca="false">-AO322*Inputs!$D$43/12*1*(1+Inputs!$D$50)*(1+Inputs!$D$51)^(AO$227-1)</f>
        <v>-32099.948352</v>
      </c>
      <c r="AP329" s="67" t="n">
        <f aca="false">-AP322*Inputs!$D$43/12*1*(1+Inputs!$D$50)*(1+Inputs!$D$51)^(AP$227-1)</f>
        <v>-32099.948352</v>
      </c>
      <c r="AQ329" s="67" t="n">
        <f aca="false">-AQ322*Inputs!$D$43/12*1*(1+Inputs!$D$50)*(1+Inputs!$D$51)^(AQ$227-1)</f>
        <v>-32099.948352</v>
      </c>
      <c r="AR329" s="67" t="n">
        <f aca="false">-AR322*Inputs!$D$43/12*1*(1+Inputs!$D$50)*(1+Inputs!$D$51)^(AR$227-1)</f>
        <v>-32099.948352</v>
      </c>
      <c r="AS329" s="67" t="n">
        <f aca="false">-AS322*Inputs!$D$43/12*1*(1+Inputs!$D$50)*(1+Inputs!$D$51)^(AS$227-1)</f>
        <v>-32099.948352</v>
      </c>
      <c r="AT329" s="67" t="n">
        <f aca="false">-AT322*Inputs!$D$43/12*1*(1+Inputs!$D$50)*(1+Inputs!$D$51)^(AT$227-1)</f>
        <v>-32099.948352</v>
      </c>
      <c r="AU329" s="67" t="n">
        <f aca="false">-AU322*Inputs!$D$43/12*1*(1+Inputs!$D$50)*(1+Inputs!$D$51)^(AU$227-1)</f>
        <v>-32099.948352</v>
      </c>
      <c r="AV329" s="67" t="n">
        <f aca="false">-AV322*Inputs!$D$43/12*1*(1+Inputs!$D$50)*(1+Inputs!$D$51)^(AV$227-1)</f>
        <v>-32099.948352</v>
      </c>
      <c r="AW329" s="67" t="n">
        <f aca="false">-AW322*Inputs!$D$43/12*1*(1+Inputs!$D$50)*(1+Inputs!$D$51)^(AW$227-1)</f>
        <v>-32099.948352</v>
      </c>
      <c r="AX329" s="67" t="n">
        <f aca="false">-AX322*Inputs!$D$43/12*1*(1+Inputs!$D$50)*(1+Inputs!$D$51)^(AX$227-1)</f>
        <v>-32099.948352</v>
      </c>
      <c r="AY329" s="67" t="n">
        <f aca="false">-AY322*Inputs!$D$43/12*1*(1+Inputs!$D$50)*(1+Inputs!$D$51)^(AY$227-1)</f>
        <v>-39675.536163072</v>
      </c>
      <c r="AZ329" s="67" t="n">
        <f aca="false">-AZ322*Inputs!$D$43/12*1*(1+Inputs!$D$50)*(1+Inputs!$D$51)^(AZ$227-1)</f>
        <v>-39675.536163072</v>
      </c>
      <c r="BA329" s="67" t="n">
        <f aca="false">-BA322*Inputs!$D$43/12*1*(1+Inputs!$D$50)*(1+Inputs!$D$51)^(BA$227-1)</f>
        <v>-39675.536163072</v>
      </c>
      <c r="BB329" s="67" t="n">
        <f aca="false">-BB322*Inputs!$D$43/12*1*(1+Inputs!$D$50)*(1+Inputs!$D$51)^(BB$227-1)</f>
        <v>-39675.536163072</v>
      </c>
      <c r="BC329" s="67" t="n">
        <f aca="false">-BC322*Inputs!$D$43/12*1*(1+Inputs!$D$50)*(1+Inputs!$D$51)^(BC$227-1)</f>
        <v>-39675.536163072</v>
      </c>
      <c r="BD329" s="67" t="n">
        <f aca="false">-BD322*Inputs!$D$43/12*1*(1+Inputs!$D$50)*(1+Inputs!$D$51)^(BD$227-1)</f>
        <v>-39675.536163072</v>
      </c>
      <c r="BE329" s="67" t="n">
        <f aca="false">-BE322*Inputs!$D$43/12*1*(1+Inputs!$D$50)*(1+Inputs!$D$51)^(BE$227-1)</f>
        <v>-39675.536163072</v>
      </c>
      <c r="BF329" s="67" t="n">
        <f aca="false">-BF322*Inputs!$D$43/12*1*(1+Inputs!$D$50)*(1+Inputs!$D$51)^(BF$227-1)</f>
        <v>-39675.536163072</v>
      </c>
      <c r="BG329" s="67" t="n">
        <f aca="false">-BG322*Inputs!$D$43/12*1*(1+Inputs!$D$50)*(1+Inputs!$D$51)^(BG$227-1)</f>
        <v>-39675.536163072</v>
      </c>
      <c r="BH329" s="67" t="n">
        <f aca="false">-BH322*Inputs!$D$43/12*1*(1+Inputs!$D$50)*(1+Inputs!$D$51)^(BH$227-1)</f>
        <v>-39675.536163072</v>
      </c>
      <c r="BI329" s="67" t="n">
        <f aca="false">-BI322*Inputs!$D$43/12*1*(1+Inputs!$D$50)*(1+Inputs!$D$51)^(BI$227-1)</f>
        <v>-39675.536163072</v>
      </c>
      <c r="BJ329" s="67" t="n">
        <f aca="false">-BJ322*Inputs!$D$43/12*1*(1+Inputs!$D$50)*(1+Inputs!$D$51)^(BJ$227-1)</f>
        <v>-39675.536163072</v>
      </c>
    </row>
    <row r="330" customFormat="false" ht="15" hidden="false" customHeight="false" outlineLevel="0" collapsed="false">
      <c r="A330" s="6" t="s">
        <v>446</v>
      </c>
      <c r="C330" s="67" t="n">
        <f aca="false">-C323*Inputs!$D$47/12*1*(1+Inputs!$D$50)*(1+Inputs!$D$51)^(C$227-1)</f>
        <v>-19500</v>
      </c>
      <c r="D330" s="67" t="n">
        <f aca="false">-D323*Inputs!$D$47/12*1*(1+Inputs!$D$50)*(1+Inputs!$D$51)^(D$227-1)</f>
        <v>-19500</v>
      </c>
      <c r="E330" s="67" t="n">
        <f aca="false">-E323*Inputs!$D$47/12*1*(1+Inputs!$D$50)*(1+Inputs!$D$51)^(E$227-1)</f>
        <v>-19500</v>
      </c>
      <c r="F330" s="67" t="n">
        <f aca="false">-F323*Inputs!$D$47/12*1*(1+Inputs!$D$50)*(1+Inputs!$D$51)^(F$227-1)</f>
        <v>-19500</v>
      </c>
      <c r="G330" s="67" t="n">
        <f aca="false">-G323*Inputs!$D$47/12*1*(1+Inputs!$D$50)*(1+Inputs!$D$51)^(G$227-1)</f>
        <v>-19500</v>
      </c>
      <c r="H330" s="67" t="n">
        <f aca="false">-H323*Inputs!$D$47/12*1*(1+Inputs!$D$50)*(1+Inputs!$D$51)^(H$227-1)</f>
        <v>-19500</v>
      </c>
      <c r="I330" s="67" t="n">
        <f aca="false">-I323*Inputs!$D$47/12*1*(1+Inputs!$D$50)*(1+Inputs!$D$51)^(I$227-1)</f>
        <v>-19500</v>
      </c>
      <c r="J330" s="67" t="n">
        <f aca="false">-J323*Inputs!$D$47/12*1*(1+Inputs!$D$50)*(1+Inputs!$D$51)^(J$227-1)</f>
        <v>-19500</v>
      </c>
      <c r="K330" s="67" t="n">
        <f aca="false">-K323*Inputs!$D$47/12*1*(1+Inputs!$D$50)*(1+Inputs!$D$51)^(K$227-1)</f>
        <v>-19500</v>
      </c>
      <c r="L330" s="67" t="n">
        <f aca="false">-L323*Inputs!$D$47/12*1*(1+Inputs!$D$50)*(1+Inputs!$D$51)^(L$227-1)</f>
        <v>-19500</v>
      </c>
      <c r="M330" s="67" t="n">
        <f aca="false">-M323*Inputs!$D$47/12*1*(1+Inputs!$D$50)*(1+Inputs!$D$51)^(M$227-1)</f>
        <v>-19500</v>
      </c>
      <c r="N330" s="67" t="n">
        <f aca="false">-N323*Inputs!$D$47/12*1*(1+Inputs!$D$50)*(1+Inputs!$D$51)^(N$227-1)</f>
        <v>-19500</v>
      </c>
      <c r="O330" s="67" t="n">
        <f aca="false">-O323*Inputs!$D$47/12*1*(1+Inputs!$D$50)*(1+Inputs!$D$51)^(O$227-1)</f>
        <v>-23097.75</v>
      </c>
      <c r="P330" s="67" t="n">
        <f aca="false">-P323*Inputs!$D$47/12*1*(1+Inputs!$D$50)*(1+Inputs!$D$51)^(P$227-1)</f>
        <v>-23097.75</v>
      </c>
      <c r="Q330" s="67" t="n">
        <f aca="false">-Q323*Inputs!$D$47/12*1*(1+Inputs!$D$50)*(1+Inputs!$D$51)^(Q$227-1)</f>
        <v>-23097.75</v>
      </c>
      <c r="R330" s="67" t="n">
        <f aca="false">-R323*Inputs!$D$47/12*1*(1+Inputs!$D$50)*(1+Inputs!$D$51)^(R$227-1)</f>
        <v>-23097.75</v>
      </c>
      <c r="S330" s="67" t="n">
        <f aca="false">-S323*Inputs!$D$47/12*1*(1+Inputs!$D$50)*(1+Inputs!$D$51)^(S$227-1)</f>
        <v>-23097.75</v>
      </c>
      <c r="T330" s="67" t="n">
        <f aca="false">-T323*Inputs!$D$47/12*1*(1+Inputs!$D$50)*(1+Inputs!$D$51)^(T$227-1)</f>
        <v>-23097.75</v>
      </c>
      <c r="U330" s="67" t="n">
        <f aca="false">-U323*Inputs!$D$47/12*1*(1+Inputs!$D$50)*(1+Inputs!$D$51)^(U$227-1)</f>
        <v>-23097.75</v>
      </c>
      <c r="V330" s="67" t="n">
        <f aca="false">-V323*Inputs!$D$47/12*1*(1+Inputs!$D$50)*(1+Inputs!$D$51)^(V$227-1)</f>
        <v>-23097.75</v>
      </c>
      <c r="W330" s="67" t="n">
        <f aca="false">-W323*Inputs!$D$47/12*1*(1+Inputs!$D$50)*(1+Inputs!$D$51)^(W$227-1)</f>
        <v>-23097.75</v>
      </c>
      <c r="X330" s="67" t="n">
        <f aca="false">-X323*Inputs!$D$47/12*1*(1+Inputs!$D$50)*(1+Inputs!$D$51)^(X$227-1)</f>
        <v>-23097.75</v>
      </c>
      <c r="Y330" s="67" t="n">
        <f aca="false">-Y323*Inputs!$D$47/12*1*(1+Inputs!$D$50)*(1+Inputs!$D$51)^(Y$227-1)</f>
        <v>-23097.75</v>
      </c>
      <c r="Z330" s="67" t="n">
        <f aca="false">-Z323*Inputs!$D$47/12*1*(1+Inputs!$D$50)*(1+Inputs!$D$51)^(Z$227-1)</f>
        <v>-23097.75</v>
      </c>
      <c r="AA330" s="67" t="n">
        <f aca="false">-AA323*Inputs!$D$47/12*1*(1+Inputs!$D$50)*(1+Inputs!$D$51)^(AA$227-1)</f>
        <v>-27359.284875</v>
      </c>
      <c r="AB330" s="67" t="n">
        <f aca="false">-AB323*Inputs!$D$47/12*1*(1+Inputs!$D$50)*(1+Inputs!$D$51)^(AB$227-1)</f>
        <v>-27359.284875</v>
      </c>
      <c r="AC330" s="67" t="n">
        <f aca="false">-AC323*Inputs!$D$47/12*1*(1+Inputs!$D$50)*(1+Inputs!$D$51)^(AC$227-1)</f>
        <v>-27359.284875</v>
      </c>
      <c r="AD330" s="67" t="n">
        <f aca="false">-AD323*Inputs!$D$47/12*1*(1+Inputs!$D$50)*(1+Inputs!$D$51)^(AD$227-1)</f>
        <v>-27359.284875</v>
      </c>
      <c r="AE330" s="67" t="n">
        <f aca="false">-AE323*Inputs!$D$47/12*1*(1+Inputs!$D$50)*(1+Inputs!$D$51)^(AE$227-1)</f>
        <v>-27359.284875</v>
      </c>
      <c r="AF330" s="67" t="n">
        <f aca="false">-AF323*Inputs!$D$47/12*1*(1+Inputs!$D$50)*(1+Inputs!$D$51)^(AF$227-1)</f>
        <v>-27359.284875</v>
      </c>
      <c r="AG330" s="67" t="n">
        <f aca="false">-AG323*Inputs!$D$47/12*1*(1+Inputs!$D$50)*(1+Inputs!$D$51)^(AG$227-1)</f>
        <v>-27359.284875</v>
      </c>
      <c r="AH330" s="67" t="n">
        <f aca="false">-AH323*Inputs!$D$47/12*1*(1+Inputs!$D$50)*(1+Inputs!$D$51)^(AH$227-1)</f>
        <v>-27359.284875</v>
      </c>
      <c r="AI330" s="67" t="n">
        <f aca="false">-AI323*Inputs!$D$47/12*1*(1+Inputs!$D$50)*(1+Inputs!$D$51)^(AI$227-1)</f>
        <v>-27359.284875</v>
      </c>
      <c r="AJ330" s="67" t="n">
        <f aca="false">-AJ323*Inputs!$D$47/12*1*(1+Inputs!$D$50)*(1+Inputs!$D$51)^(AJ$227-1)</f>
        <v>-27359.284875</v>
      </c>
      <c r="AK330" s="67" t="n">
        <f aca="false">-AK323*Inputs!$D$47/12*1*(1+Inputs!$D$50)*(1+Inputs!$D$51)^(AK$227-1)</f>
        <v>-27359.284875</v>
      </c>
      <c r="AL330" s="67" t="n">
        <f aca="false">-AL323*Inputs!$D$47/12*1*(1+Inputs!$D$50)*(1+Inputs!$D$51)^(AL$227-1)</f>
        <v>-27359.284875</v>
      </c>
      <c r="AM330" s="67" t="n">
        <f aca="false">-AM323*Inputs!$D$47/12*1*(1+Inputs!$D$50)*(1+Inputs!$D$51)^(AM$227-1)</f>
        <v>-32407.0729344375</v>
      </c>
      <c r="AN330" s="67" t="n">
        <f aca="false">-AN323*Inputs!$D$47/12*1*(1+Inputs!$D$50)*(1+Inputs!$D$51)^(AN$227-1)</f>
        <v>-32407.0729344375</v>
      </c>
      <c r="AO330" s="67" t="n">
        <f aca="false">-AO323*Inputs!$D$47/12*1*(1+Inputs!$D$50)*(1+Inputs!$D$51)^(AO$227-1)</f>
        <v>-32407.0729344375</v>
      </c>
      <c r="AP330" s="67" t="n">
        <f aca="false">-AP323*Inputs!$D$47/12*1*(1+Inputs!$D$50)*(1+Inputs!$D$51)^(AP$227-1)</f>
        <v>-32407.0729344375</v>
      </c>
      <c r="AQ330" s="67" t="n">
        <f aca="false">-AQ323*Inputs!$D$47/12*1*(1+Inputs!$D$50)*(1+Inputs!$D$51)^(AQ$227-1)</f>
        <v>-32407.0729344375</v>
      </c>
      <c r="AR330" s="67" t="n">
        <f aca="false">-AR323*Inputs!$D$47/12*1*(1+Inputs!$D$50)*(1+Inputs!$D$51)^(AR$227-1)</f>
        <v>-32407.0729344375</v>
      </c>
      <c r="AS330" s="67" t="n">
        <f aca="false">-AS323*Inputs!$D$47/12*1*(1+Inputs!$D$50)*(1+Inputs!$D$51)^(AS$227-1)</f>
        <v>-32407.0729344375</v>
      </c>
      <c r="AT330" s="67" t="n">
        <f aca="false">-AT323*Inputs!$D$47/12*1*(1+Inputs!$D$50)*(1+Inputs!$D$51)^(AT$227-1)</f>
        <v>-32407.0729344375</v>
      </c>
      <c r="AU330" s="67" t="n">
        <f aca="false">-AU323*Inputs!$D$47/12*1*(1+Inputs!$D$50)*(1+Inputs!$D$51)^(AU$227-1)</f>
        <v>-32407.0729344375</v>
      </c>
      <c r="AV330" s="67" t="n">
        <f aca="false">-AV323*Inputs!$D$47/12*1*(1+Inputs!$D$50)*(1+Inputs!$D$51)^(AV$227-1)</f>
        <v>-32407.0729344375</v>
      </c>
      <c r="AW330" s="67" t="n">
        <f aca="false">-AW323*Inputs!$D$47/12*1*(1+Inputs!$D$50)*(1+Inputs!$D$51)^(AW$227-1)</f>
        <v>-32407.0729344375</v>
      </c>
      <c r="AX330" s="67" t="n">
        <f aca="false">-AX323*Inputs!$D$47/12*1*(1+Inputs!$D$50)*(1+Inputs!$D$51)^(AX$227-1)</f>
        <v>-32407.0729344375</v>
      </c>
      <c r="AY330" s="67" t="n">
        <f aca="false">-AY323*Inputs!$D$47/12*1*(1+Inputs!$D$50)*(1+Inputs!$D$51)^(AY$227-1)</f>
        <v>-38386.1778908412</v>
      </c>
      <c r="AZ330" s="67" t="n">
        <f aca="false">-AZ323*Inputs!$D$47/12*1*(1+Inputs!$D$50)*(1+Inputs!$D$51)^(AZ$227-1)</f>
        <v>-38386.1778908412</v>
      </c>
      <c r="BA330" s="67" t="n">
        <f aca="false">-BA323*Inputs!$D$47/12*1*(1+Inputs!$D$50)*(1+Inputs!$D$51)^(BA$227-1)</f>
        <v>-38386.1778908412</v>
      </c>
      <c r="BB330" s="67" t="n">
        <f aca="false">-BB323*Inputs!$D$47/12*1*(1+Inputs!$D$50)*(1+Inputs!$D$51)^(BB$227-1)</f>
        <v>-38386.1778908412</v>
      </c>
      <c r="BC330" s="67" t="n">
        <f aca="false">-BC323*Inputs!$D$47/12*1*(1+Inputs!$D$50)*(1+Inputs!$D$51)^(BC$227-1)</f>
        <v>-38386.1778908412</v>
      </c>
      <c r="BD330" s="67" t="n">
        <f aca="false">-BD323*Inputs!$D$47/12*1*(1+Inputs!$D$50)*(1+Inputs!$D$51)^(BD$227-1)</f>
        <v>-38386.1778908412</v>
      </c>
      <c r="BE330" s="67" t="n">
        <f aca="false">-BE323*Inputs!$D$47/12*1*(1+Inputs!$D$50)*(1+Inputs!$D$51)^(BE$227-1)</f>
        <v>-38386.1778908412</v>
      </c>
      <c r="BF330" s="67" t="n">
        <f aca="false">-BF323*Inputs!$D$47/12*1*(1+Inputs!$D$50)*(1+Inputs!$D$51)^(BF$227-1)</f>
        <v>-38386.1778908412</v>
      </c>
      <c r="BG330" s="67" t="n">
        <f aca="false">-BG323*Inputs!$D$47/12*1*(1+Inputs!$D$50)*(1+Inputs!$D$51)^(BG$227-1)</f>
        <v>-38386.1778908412</v>
      </c>
      <c r="BH330" s="67" t="n">
        <f aca="false">-BH323*Inputs!$D$47/12*1*(1+Inputs!$D$50)*(1+Inputs!$D$51)^(BH$227-1)</f>
        <v>-38386.1778908412</v>
      </c>
      <c r="BI330" s="67" t="n">
        <f aca="false">-BI323*Inputs!$D$47/12*1*(1+Inputs!$D$50)*(1+Inputs!$D$51)^(BI$227-1)</f>
        <v>-38386.1778908412</v>
      </c>
      <c r="BJ330" s="67" t="n">
        <f aca="false">-BJ323*Inputs!$D$47/12*1*(1+Inputs!$D$50)*(1+Inputs!$D$51)^(BJ$227-1)</f>
        <v>-38386.1778908412</v>
      </c>
    </row>
    <row r="331" customFormat="false" ht="15" hidden="false" customHeight="false" outlineLevel="0" collapsed="false">
      <c r="A331" s="113" t="s">
        <v>447</v>
      </c>
      <c r="C331" s="68" t="n">
        <f aca="false">C327+C328+C329+C330</f>
        <v>-214500</v>
      </c>
      <c r="D331" s="68" t="n">
        <f aca="false">D327+D328+D329+D330</f>
        <v>-214500</v>
      </c>
      <c r="E331" s="68" t="n">
        <f aca="false">E327+E328+E329+E330</f>
        <v>-214500</v>
      </c>
      <c r="F331" s="68" t="n">
        <f aca="false">F327+F328+F329+F330</f>
        <v>-214500</v>
      </c>
      <c r="G331" s="68" t="n">
        <f aca="false">G327+G328+G329+G330</f>
        <v>-214500</v>
      </c>
      <c r="H331" s="68" t="n">
        <f aca="false">H327+H328+H329+H330</f>
        <v>-214500</v>
      </c>
      <c r="I331" s="68" t="n">
        <f aca="false">I327+I328+I329+I330</f>
        <v>-214500</v>
      </c>
      <c r="J331" s="68" t="n">
        <f aca="false">J327+J328+J329+J330</f>
        <v>-214500</v>
      </c>
      <c r="K331" s="68" t="n">
        <f aca="false">K327+K328+K329+K330</f>
        <v>-214500</v>
      </c>
      <c r="L331" s="68" t="n">
        <f aca="false">L327+L328+L329+L330</f>
        <v>-214500</v>
      </c>
      <c r="M331" s="68" t="n">
        <f aca="false">M327+M328+M329+M330</f>
        <v>-214500</v>
      </c>
      <c r="N331" s="68" t="n">
        <f aca="false">N327+N328+N329+N330</f>
        <v>-214500</v>
      </c>
      <c r="O331" s="68" t="n">
        <f aca="false">O327+O328+O329+O330</f>
        <v>-275859.75</v>
      </c>
      <c r="P331" s="68" t="n">
        <f aca="false">P327+P328+P329+P330</f>
        <v>-275859.75</v>
      </c>
      <c r="Q331" s="68" t="n">
        <f aca="false">Q327+Q328+Q329+Q330</f>
        <v>-275859.75</v>
      </c>
      <c r="R331" s="68" t="n">
        <f aca="false">R327+R328+R329+R330</f>
        <v>-275859.75</v>
      </c>
      <c r="S331" s="68" t="n">
        <f aca="false">S327+S328+S329+S330</f>
        <v>-275859.75</v>
      </c>
      <c r="T331" s="68" t="n">
        <f aca="false">T327+T328+T329+T330</f>
        <v>-275859.75</v>
      </c>
      <c r="U331" s="68" t="n">
        <f aca="false">U327+U328+U329+U330</f>
        <v>-275859.75</v>
      </c>
      <c r="V331" s="68" t="n">
        <f aca="false">V327+V328+V329+V330</f>
        <v>-275859.75</v>
      </c>
      <c r="W331" s="68" t="n">
        <f aca="false">W327+W328+W329+W330</f>
        <v>-275859.75</v>
      </c>
      <c r="X331" s="68" t="n">
        <f aca="false">X327+X328+X329+X330</f>
        <v>-275859.75</v>
      </c>
      <c r="Y331" s="68" t="n">
        <f aca="false">Y327+Y328+Y329+Y330</f>
        <v>-275859.75</v>
      </c>
      <c r="Z331" s="68" t="n">
        <f aca="false">Z327+Z328+Z329+Z330</f>
        <v>-275859.75</v>
      </c>
      <c r="AA331" s="68" t="n">
        <f aca="false">AA327+AA328+AA329+AA330</f>
        <v>-355495.654875</v>
      </c>
      <c r="AB331" s="68" t="n">
        <f aca="false">AB327+AB328+AB329+AB330</f>
        <v>-355495.654875</v>
      </c>
      <c r="AC331" s="68" t="n">
        <f aca="false">AC327+AC328+AC329+AC330</f>
        <v>-355495.654875</v>
      </c>
      <c r="AD331" s="68" t="n">
        <f aca="false">AD327+AD328+AD329+AD330</f>
        <v>-355495.654875</v>
      </c>
      <c r="AE331" s="68" t="n">
        <f aca="false">AE327+AE328+AE329+AE330</f>
        <v>-355495.654875</v>
      </c>
      <c r="AF331" s="68" t="n">
        <f aca="false">AF327+AF328+AF329+AF330</f>
        <v>-355495.654875</v>
      </c>
      <c r="AG331" s="68" t="n">
        <f aca="false">AG327+AG328+AG329+AG330</f>
        <v>-355495.654875</v>
      </c>
      <c r="AH331" s="68" t="n">
        <f aca="false">AH327+AH328+AH329+AH330</f>
        <v>-355495.654875</v>
      </c>
      <c r="AI331" s="68" t="n">
        <f aca="false">AI327+AI328+AI329+AI330</f>
        <v>-355495.654875</v>
      </c>
      <c r="AJ331" s="68" t="n">
        <f aca="false">AJ327+AJ328+AJ329+AJ330</f>
        <v>-355495.654875</v>
      </c>
      <c r="AK331" s="68" t="n">
        <f aca="false">AK327+AK328+AK329+AK330</f>
        <v>-355495.654875</v>
      </c>
      <c r="AL331" s="68" t="n">
        <f aca="false">AL327+AL328+AL329+AL330</f>
        <v>-355495.654875</v>
      </c>
      <c r="AM331" s="68" t="n">
        <f aca="false">AM327+AM328+AM329+AM330</f>
        <v>-459036.104636437</v>
      </c>
      <c r="AN331" s="68" t="n">
        <f aca="false">AN327+AN328+AN329+AN330</f>
        <v>-459036.104636437</v>
      </c>
      <c r="AO331" s="68" t="n">
        <f aca="false">AO327+AO328+AO329+AO330</f>
        <v>-459036.104636437</v>
      </c>
      <c r="AP331" s="68" t="n">
        <f aca="false">AP327+AP328+AP329+AP330</f>
        <v>-459036.104636437</v>
      </c>
      <c r="AQ331" s="68" t="n">
        <f aca="false">AQ327+AQ328+AQ329+AQ330</f>
        <v>-459036.104636437</v>
      </c>
      <c r="AR331" s="68" t="n">
        <f aca="false">AR327+AR328+AR329+AR330</f>
        <v>-459036.104636437</v>
      </c>
      <c r="AS331" s="68" t="n">
        <f aca="false">AS327+AS328+AS329+AS330</f>
        <v>-459036.104636437</v>
      </c>
      <c r="AT331" s="68" t="n">
        <f aca="false">AT327+AT328+AT329+AT330</f>
        <v>-459036.104636437</v>
      </c>
      <c r="AU331" s="68" t="n">
        <f aca="false">AU327+AU328+AU329+AU330</f>
        <v>-459036.104636437</v>
      </c>
      <c r="AV331" s="68" t="n">
        <f aca="false">AV327+AV328+AV329+AV330</f>
        <v>-459036.104636437</v>
      </c>
      <c r="AW331" s="68" t="n">
        <f aca="false">AW327+AW328+AW329+AW330</f>
        <v>-459036.104636437</v>
      </c>
      <c r="AX331" s="68" t="n">
        <f aca="false">AX327+AX328+AX329+AX330</f>
        <v>-459036.104636437</v>
      </c>
      <c r="AY331" s="68" t="n">
        <f aca="false">AY327+AY328+AY329+AY330</f>
        <v>-593888.929628011</v>
      </c>
      <c r="AZ331" s="68" t="n">
        <f aca="false">AZ327+AZ328+AZ329+AZ330</f>
        <v>-593888.929628011</v>
      </c>
      <c r="BA331" s="68" t="n">
        <f aca="false">BA327+BA328+BA329+BA330</f>
        <v>-593888.929628011</v>
      </c>
      <c r="BB331" s="68" t="n">
        <f aca="false">BB327+BB328+BB329+BB330</f>
        <v>-593888.929628011</v>
      </c>
      <c r="BC331" s="68" t="n">
        <f aca="false">BC327+BC328+BC329+BC330</f>
        <v>-593888.929628011</v>
      </c>
      <c r="BD331" s="68" t="n">
        <f aca="false">BD327+BD328+BD329+BD330</f>
        <v>-593888.929628011</v>
      </c>
      <c r="BE331" s="68" t="n">
        <f aca="false">BE327+BE328+BE329+BE330</f>
        <v>-593888.929628011</v>
      </c>
      <c r="BF331" s="68" t="n">
        <f aca="false">BF327+BF328+BF329+BF330</f>
        <v>-593888.929628011</v>
      </c>
      <c r="BG331" s="68" t="n">
        <f aca="false">BG327+BG328+BG329+BG330</f>
        <v>-593888.929628011</v>
      </c>
      <c r="BH331" s="68" t="n">
        <f aca="false">BH327+BH328+BH329+BH330</f>
        <v>-593888.929628011</v>
      </c>
      <c r="BI331" s="68" t="n">
        <f aca="false">BI327+BI328+BI329+BI330</f>
        <v>-593888.929628011</v>
      </c>
      <c r="BJ331" s="68" t="n">
        <f aca="false">BJ327+BJ328+BJ329+BJ330</f>
        <v>-593888.929628011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453</v>
      </c>
    </row>
    <row r="3" customFormat="false" ht="15" hidden="false" customHeight="false" outlineLevel="0" collapsed="false">
      <c r="A3" s="33" t="s">
        <v>454</v>
      </c>
      <c r="B3" s="33" t="s">
        <v>455</v>
      </c>
      <c r="C3" s="33" t="s">
        <v>456</v>
      </c>
    </row>
    <row r="4" customFormat="false" ht="15" hidden="false" customHeight="false" outlineLevel="0" collapsed="false">
      <c r="A4" s="6" t="s">
        <v>457</v>
      </c>
      <c r="B4" s="4" t="str">
        <f aca="false">IF(ABS(SUM('P&amp;L'!$B$5:$F$5)-SUM(Monthly!$C$22:$BJ$22))&lt;0.5,"PASS","FAIL")</f>
        <v>PASS</v>
      </c>
      <c r="C4" s="18" t="s">
        <v>458</v>
      </c>
    </row>
    <row r="5" customFormat="false" ht="15" hidden="false" customHeight="false" outlineLevel="0" collapsed="false">
      <c r="A5" s="6" t="s">
        <v>459</v>
      </c>
      <c r="B5" s="4" t="str">
        <f aca="false">IF(ABS(SUM('P&amp;L'!$B$22:$F$22)-SUM(Monthly!$C$47:$BJ$47))&lt;0.5,"PASS","FAIL")</f>
        <v>PASS</v>
      </c>
      <c r="C5" s="18" t="s">
        <v>460</v>
      </c>
    </row>
    <row r="6" customFormat="false" ht="15" hidden="false" customHeight="false" outlineLevel="0" collapsed="false">
      <c r="A6" s="6" t="s">
        <v>461</v>
      </c>
      <c r="B6" s="4" t="str">
        <f aca="false">IF(ABS(SUM(Monthly!$C$38:$BJ$38)-SUM(Monthly!$C$29:$BJ$29)-SUM(Monthly!$C$37:$BJ$37))&lt;0.5,"PASS","FAIL")</f>
        <v>PASS</v>
      </c>
      <c r="C6" s="18" t="s">
        <v>462</v>
      </c>
    </row>
    <row r="7" customFormat="false" ht="15" hidden="false" customHeight="false" outlineLevel="0" collapsed="false">
      <c r="A7" s="6" t="s">
        <v>463</v>
      </c>
      <c r="B7" s="4" t="str">
        <f aca="false">IF(ABS(INDEX(Monthly!$C$77:$BJ$77,60)-SUM(Monthly!$C$75:$BJ$75))&lt;0.5,"PASS","FAIL")</f>
        <v>PASS</v>
      </c>
      <c r="C7" s="18" t="s">
        <v>464</v>
      </c>
    </row>
    <row r="8" customFormat="false" ht="15" hidden="false" customHeight="false" outlineLevel="0" collapsed="false">
      <c r="A8" s="6" t="s">
        <v>465</v>
      </c>
      <c r="B8" s="4" t="str">
        <f aca="false">IF(AND(ISNUMBER(Dashboard!B4),Dashboard!B4&gt;=1,Dashboard!B4&lt;=3,INT(Dashboard!B4)=Dashboard!B4),"PASS","FAIL")</f>
        <v>PASS</v>
      </c>
      <c r="C8" s="18" t="s">
        <v>466</v>
      </c>
    </row>
    <row r="9" customFormat="false" ht="15" hidden="false" customHeight="false" outlineLevel="0" collapsed="false">
      <c r="A9" s="6" t="s">
        <v>467</v>
      </c>
      <c r="B9" s="4" t="str">
        <f aca="false">IF(AND(Inputs!$B$8&lt;=Inputs!$C$8,Inputs!$C$8&lt;=Inputs!$D$8,Inputs!$B$9&lt;=Inputs!$C$9,Inputs!$C$9&lt;=Inputs!$D$9,Inputs!$B$10&lt;=Inputs!$C$10,Inputs!$C$10&lt;=Inputs!$D$10,Inputs!$B$11&lt;=Inputs!$C$11,Inputs!$C$11&lt;=Inputs!$D$11,Inputs!$B$14&lt;=Inputs!$C$14,Inputs!$C$14&lt;=Inputs!$D$14,Inputs!$B$15&lt;=Inputs!$C$15,Inputs!$C$15&lt;=Inputs!$D$15,Inputs!$B$16&lt;=Inputs!$C$16,Inputs!$C$16&lt;=Inputs!$D$16,Inputs!$B$17&lt;=Inputs!$C$17,Inputs!$C$17&lt;=Inputs!$D$17,Inputs!$B$21&gt;=Inputs!$C$21,Inputs!$C$21&gt;=Inputs!$D$21,Inputs!$B$22&lt;=Inputs!$C$22,Inputs!$C$22&lt;=Inputs!$D$22,Inputs!$B$25&gt;=Inputs!$C$25,Inputs!$C$25&gt;=Inputs!$D$25,Inputs!$B$26&gt;=Inputs!$C$26,Inputs!$C$26&gt;=Inputs!$D$26,Inputs!$B$34&lt;=Inputs!$C$34,Inputs!$C$34&lt;=Inputs!$D$34,Inputs!$B$36&lt;=Inputs!$C$36,Inputs!$C$36&lt;=Inputs!$D$36,Inputs!$B$38&lt;=Inputs!$C$38,Inputs!$C$38&lt;=Inputs!$D$38,Inputs!$B$40&lt;=Inputs!$C$40,Inputs!$C$40&lt;=Inputs!$D$40,Inputs!$B$42&lt;=Inputs!$C$42,Inputs!$C$42&lt;=Inputs!$D$42,Inputs!$B$44&lt;=Inputs!$C$44,Inputs!$C$44&lt;=Inputs!$D$44,Inputs!$B$46&lt;=Inputs!$C$46,Inputs!$C$46&lt;=Inputs!$D$46,Inputs!$B$48&lt;=Inputs!$C$48,Inputs!$C$48&lt;=Inputs!$D$48,Inputs!$B$72&gt;=Inputs!$C$72,Inputs!$C$72&gt;=Inputs!$D$72,Inputs!$B$73&lt;=Inputs!$C$73,Inputs!$C$73&lt;=Inputs!$D$73,Inputs!$B$74&lt;=Inputs!$C$74,Inputs!$C$74&lt;=Inputs!$D$74),"PASS","FAIL")</f>
        <v>PASS</v>
      </c>
      <c r="C9" s="18" t="s">
        <v>468</v>
      </c>
    </row>
    <row r="10" customFormat="false" ht="15" hidden="false" customHeight="false" outlineLevel="0" collapsed="false">
      <c r="A10" s="6" t="s">
        <v>469</v>
      </c>
      <c r="B10" s="4" t="str">
        <f aca="false">IF(AND(MIN('P&amp;L'!$B$8:$F$8)&gt;=0,MAX('P&amp;L'!$B$8:$F$8)&lt;=1),"PASS","FAIL")</f>
        <v>PASS</v>
      </c>
      <c r="C10" s="18" t="s">
        <v>470</v>
      </c>
    </row>
    <row r="11" customFormat="false" ht="15" hidden="false" customHeight="false" outlineLevel="0" collapsed="false">
      <c r="A11" s="6" t="s">
        <v>471</v>
      </c>
      <c r="B11" s="4" t="str">
        <f aca="false">IF(MIN(Monthly!$C$60:$BJ$60)&gt;=-0.5,"PASS","FAIL")</f>
        <v>PASS</v>
      </c>
      <c r="C11" s="18" t="s">
        <v>472</v>
      </c>
    </row>
    <row r="12" customFormat="false" ht="15" hidden="false" customHeight="false" outlineLevel="0" collapsed="false">
      <c r="A12" s="6" t="s">
        <v>473</v>
      </c>
      <c r="B12" s="4" t="str">
        <f aca="false">IF(ABS('Break-even'!B18-('Break-even'!B16-'Break-even'!B10))&lt;0.5,"PASS","FAIL")</f>
        <v>PASS</v>
      </c>
      <c r="C12" s="18" t="s">
        <v>474</v>
      </c>
    </row>
    <row r="13" customFormat="false" ht="15" hidden="false" customHeight="false" outlineLevel="0" collapsed="false">
      <c r="A13" s="6" t="s">
        <v>475</v>
      </c>
      <c r="B13" s="4" t="str">
        <f aca="false">IF(ABS(Valuation!B23-NPV(Valuation!B6,Valuation!$B$17:$F$17))&lt;0.5,"PASS","FAIL")</f>
        <v>PASS</v>
      </c>
      <c r="C13" s="18" t="s">
        <v>476</v>
      </c>
    </row>
    <row r="14" customFormat="false" ht="15" hidden="false" customHeight="false" outlineLevel="0" collapsed="false">
      <c r="A14" s="6" t="s">
        <v>477</v>
      </c>
      <c r="B14" s="4" t="str">
        <f aca="false">IF(Valuation!B6&gt;Valuation!B7,"PASS","FAIL")</f>
        <v>PASS</v>
      </c>
      <c r="C14" s="18" t="s">
        <v>478</v>
      </c>
    </row>
    <row r="15" customFormat="false" ht="15" hidden="false" customHeight="false" outlineLevel="0" collapsed="false">
      <c r="A15" s="6" t="s">
        <v>479</v>
      </c>
      <c r="B15" s="4" t="str">
        <f aca="false">IF(ABS(Valuation!D36-Valuation!B27)&lt;0.5,"PASS","FAIL")</f>
        <v>PASS</v>
      </c>
      <c r="C15" s="18" t="s">
        <v>480</v>
      </c>
    </row>
    <row r="16" customFormat="false" ht="15" hidden="false" customHeight="false" outlineLevel="0" collapsed="false">
      <c r="A16" s="6" t="s">
        <v>481</v>
      </c>
      <c r="B16" s="4" t="str">
        <f aca="false">IF(Valuation!$F$17&gt;0,"PASS","WARN")</f>
        <v>PASS</v>
      </c>
      <c r="C16" s="18" t="s">
        <v>482</v>
      </c>
    </row>
    <row r="17" customFormat="false" ht="15" hidden="false" customHeight="false" outlineLevel="0" collapsed="false">
      <c r="A17" s="6" t="s">
        <v>483</v>
      </c>
      <c r="B17" s="4" t="str">
        <f aca="false">IF(ABS('Sources &amp; Uses'!B21-'Sources &amp; Uses'!B28)&lt;0.5,"PASS","FAIL")</f>
        <v>PASS</v>
      </c>
      <c r="C17" s="18" t="s">
        <v>484</v>
      </c>
    </row>
    <row r="18" customFormat="false" ht="15" hidden="false" customHeight="false" outlineLevel="0" collapsed="false">
      <c r="A18" s="6" t="s">
        <v>485</v>
      </c>
      <c r="B18" s="4" t="str">
        <f aca="false">IF(SUMPRODUCT(--ISERROR(Monthly!$C$4:$BJ$95))+SUMPRODUCT(--ISERROR(Headcount!$C$4:$BJ$19))+SUMPRODUCT(--ISERROR('P&amp;L'!$B$3:$F$23))+SUMPRODUCT(--ISERROR('Cash Flow'!$B$3:$F$18))+SUMPRODUCT(--ISERROR('Balance Sheet'!$B$3:$F$17))+SUMPRODUCT(--ISERROR(KPIs!$B$27:$F$49))+SUMPRODUCT(--ISERROR('Break-even'!$B$26:$F$33))+SUMPRODUCT(--ISERROR(Valuation!$B$14:$F$19))+SUMPRODUCT(--ISERROR('Break-even'!$B$3:$F$35))+SUMPRODUCT(--ISERROR(Valuation!$A$3:$F$40))+SUMPRODUCT(--ISERROR('Sources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Uses'!$B$3:$C$30))+SUMPRODUCT(--ISERROR(Dashboard!$A$6:$W$44))+SUMPRODUCT(--ISERROR(Summary!$A$5:$S$52))+SUMPRODUCT(--ISERROR(KPIs!$A$4:$G$49))+SUMPRODUCT(--ISERROR('Scenario calc'!$C$6:$BJ$111))+SUMPRODUCT(--ISERROR('Scenario calc'!$C$116:$BJ$221))+SUMPRODUCT(--ISERROR('Scenario calc'!$C$226:$BJ$331))+SUMPRODUCT(--ISERROR(Scenarios!$B$5:$F$49))=0,"PASS","FAIL")</f>
        <v>PASS</v>
      </c>
      <c r="C18" s="18" t="s">
        <v>486</v>
      </c>
    </row>
    <row r="19" customFormat="false" ht="15" hidden="false" customHeight="false" outlineLevel="0" collapsed="false">
      <c r="A19" s="6" t="s">
        <v>487</v>
      </c>
      <c r="B19" s="4" t="str">
        <f aca="false">IF(IFERROR(AND(SUMPRODUCT(--(ABS(Summary!$B$7:$F$7-'P&amp;L'!$B$5:$F$5)&gt;0.5))=0,SUMPRODUCT(--(ABS(Summary!$B$19:$F$19-'P&amp;L'!$B$22:$F$22)&gt;0.5))=0,SUMPRODUCT(--(ABS(Summary!$B$31:$F$31-'Cash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488</v>
      </c>
    </row>
    <row r="20" customFormat="false" ht="15" hidden="false" customHeight="false" outlineLevel="0" collapsed="false">
      <c r="A20" s="6" t="s">
        <v>489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490</v>
      </c>
    </row>
    <row r="21" customFormat="false" ht="15" hidden="false" customHeight="false" outlineLevel="0" collapsed="false">
      <c r="A21" s="6" t="s">
        <v>491</v>
      </c>
      <c r="B21" s="4" t="str">
        <f aca="false">IF(IFERROR(AND(ABS(Scenarios!E16-INDEX(Scenarios!B16:D16,1,Dashboard!$B$4))&lt;0.5,ABS(Scenarios!E17-INDEX(Scenarios!B17:D17,1,Dashboard!$B$4))&lt;0.5,ABS(Scenarios!E18-INDEX(Scenarios!B18:D18,1,Dashboard!$B$4))&lt;0.5,ABS(Scenarios!E19-INDEX(Scenarios!B19:D19,1,Dashboard!$B$4))&lt;0.000001,ABS(Scenarios!E20-INDEX(Scenarios!B20:D20,1,Dashboard!$B$4))&lt;0.5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0.5),FALSE()),"PASS","FAIL")</f>
        <v>PASS</v>
      </c>
      <c r="C21" s="18" t="s">
        <v>492</v>
      </c>
    </row>
    <row r="22" customFormat="false" ht="15" hidden="false" customHeight="false" outlineLevel="0" collapsed="false">
      <c r="A22" s="6" t="s">
        <v>493</v>
      </c>
      <c r="B22" s="4" t="str">
        <f aca="false">IF(SUMPRODUCT(--(ABS(Monthly!$C$95:$BJ$95)&gt;0.5))=0,"PASS","FAIL")</f>
        <v>PASS</v>
      </c>
      <c r="C22" s="18" t="s">
        <v>494</v>
      </c>
    </row>
    <row r="23" customFormat="false" ht="15" hidden="false" customHeight="false" outlineLevel="0" collapsed="false">
      <c r="A23" s="6" t="s">
        <v>495</v>
      </c>
      <c r="B23" s="4" t="str">
        <f aca="false">IF(MIN(Monthly!$C$77:$BJ$77)&gt;=0,"PASS","WARN")</f>
        <v>PASS</v>
      </c>
      <c r="C23" s="18" t="s">
        <v>496</v>
      </c>
    </row>
    <row r="25" customFormat="false" ht="15" hidden="false" customHeight="false" outlineLevel="0" collapsed="false">
      <c r="A25" s="70" t="s">
        <v>497</v>
      </c>
      <c r="B25" s="70" t="str">
        <f aca="false">IF(COUNTIF(B4:B23,"FAIL")&gt;0,"FAIL",IF(COUNTIF(B4:B23,"WARN")&gt;0,"PASS WITH WARNINGS","PASS"))</f>
        <v>PASS</v>
      </c>
      <c r="C25" s="122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2026-10-21T14:35:36Z</dcterms:created>
  <dc:creator/>
  <dc:description/>
  <dc:language>en-US</dc:language>
  <cp:lastModifiedBy/>
  <dcterms:modified xsi:type="dcterms:W3CDTF">2026-10-21T14:35:39Z</dcterms:modified>
  <cp:revision>0</cp:revision>
  <dc:subject/>
  <dc:title>Professional services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