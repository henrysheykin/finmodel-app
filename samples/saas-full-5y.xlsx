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7.xml.rels" ContentType="application/vnd.openxmlformats-package.relationships+xml"/>
  <Override PartName="/xl/worksheets/_rels/sheet8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3.xml" ContentType="application/vnd.openxmlformats-officedocument.drawingml.chart+xml"/>
  <Override PartName="/xl/charts/chart8.xml" ContentType="application/vnd.openxmlformats-officedocument.drawingml.chart+xml"/>
  <Override PartName="/xl/charts/chart12.xml" ContentType="application/vnd.openxmlformats-officedocument.drawingml.chart+xml"/>
  <Override PartName="/xl/charts/chart17.xml" ContentType="application/vnd.openxmlformats-officedocument.drawingml.chart+xml"/>
  <Override PartName="/xl/charts/chart16.xml" ContentType="application/vnd.openxmlformats-officedocument.drawingml.chart+xml"/>
  <Override PartName="/xl/charts/chart15.xml" ContentType="application/vnd.openxmlformats-officedocument.drawingml.chart+xml"/>
  <Override PartName="/xl/charts/chart14.xml" ContentType="application/vnd.openxmlformats-officedocument.drawingml.char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Dashboard" sheetId="2" state="visible" r:id="rId4"/>
    <sheet name="Summary" sheetId="3" state="visible" r:id="rId5"/>
    <sheet name="Scenarios" sheetId="4" state="visible" r:id="rId6"/>
    <sheet name="Break-even" sheetId="5" state="visible" r:id="rId7"/>
    <sheet name="Valuation" sheetId="6" state="visible" r:id="rId8"/>
    <sheet name="Sources &amp; Uses" sheetId="7" state="visible" r:id="rId9"/>
    <sheet name="KPIs" sheetId="8" state="visible" r:id="rId10"/>
    <sheet name="Inputs" sheetId="9" state="visible" r:id="rId11"/>
    <sheet name="P&amp;L" sheetId="10" state="visible" r:id="rId12"/>
    <sheet name="Cash Flow" sheetId="11" state="visible" r:id="rId13"/>
    <sheet name="Balance Sheet" sheetId="12" state="visible" r:id="rId14"/>
    <sheet name="Monthly" sheetId="13" state="visible" r:id="rId15"/>
    <sheet name="Headcount" sheetId="14" state="visible" r:id="rId16"/>
    <sheet name="Scenario calc" sheetId="15" state="visible" r:id="rId17"/>
    <sheet name="Checks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<sst xmlns="http://schemas.openxmlformats.org/spreadsheetml/2006/main" count="1273" uniqueCount="498">
  <si>
    <t xml:space="preserve">SaaS financial model (early)</t>
  </si>
  <si>
    <t xml:space="preserve">5-year financial model · monthly detail · Low / Base / High scenarios · US dollars · Full plan</t>
  </si>
  <si>
    <t xml:space="preserve">Purpose</t>
  </si>
  <si>
    <t xml:space="preserve">Revenue and profit plan</t>
  </si>
  <si>
    <t xml:space="preserve">Active scenario</t>
  </si>
  <si>
    <t xml:space="preserve">Model checks</t>
  </si>
  <si>
    <t xml:space="preserve">Prepared</t>
  </si>
  <si>
    <t xml:space="preserve">21 October 2026</t>
  </si>
  <si>
    <t xml:space="preserve">Contents</t>
  </si>
  <si>
    <t xml:space="preserve">PRESENTATION</t>
  </si>
  <si>
    <t xml:space="preserve">Scenario switch, key numbers, core financials</t>
  </si>
  <si>
    <t xml:space="preserve">Income statement, cash flow and balance sheet — every year and any year by month</t>
  </si>
  <si>
    <t xml:space="preserve">Low / Base / High side by side: drivers, outputs, charts</t>
  </si>
  <si>
    <t xml:space="preserve">Startup costs, funding need, break-even timing and revenue</t>
  </si>
  <si>
    <t xml:space="preserve">Free cash flow, DCF (perpetual growth and exit multiple), WACC × growth sensitivity</t>
  </si>
  <si>
    <t xml:space="preserve">Funding structure, sources and uses of cash for the first months</t>
  </si>
  <si>
    <t xml:space="preserve">Financial ratios, DuPont analysis, industry metrics</t>
  </si>
  <si>
    <t xml:space="preserve">INPUTS</t>
  </si>
  <si>
    <t xml:space="preserve">Every assumption, Low / Base / High, with units and comments</t>
  </si>
  <si>
    <t xml:space="preserve">STATEMENTS</t>
  </si>
  <si>
    <t xml:space="preserve">Annual profit &amp; loss</t>
  </si>
  <si>
    <t xml:space="preserve">Annual cash flow statement</t>
  </si>
  <si>
    <t xml:space="preserve">Balance sheet at year end</t>
  </si>
  <si>
    <t xml:space="preserve">CALCULATIONS</t>
  </si>
  <si>
    <t xml:space="preserve">Month-by-month engine of the model</t>
  </si>
  <si>
    <t xml:space="preserve">Team and payroll</t>
  </si>
  <si>
    <t xml:space="preserve">Low, Base and High calculated side by side for the Scenarios sheet</t>
  </si>
  <si>
    <t xml:space="preserve">CONTROL</t>
  </si>
  <si>
    <t xml:space="preserve">Live integrity checks and the overall verdict</t>
  </si>
  <si>
    <t xml:space="preserve">How to read this file</t>
  </si>
  <si>
    <t xml:space="preserve">Input you can change — yellow cell with a blue figure (Inputs sheet and the view switches)</t>
  </si>
  <si>
    <t xml:space="preserve">Formula — calculated, do not overwrite</t>
  </si>
  <si>
    <t xml:space="preserve">Link to another sheet</t>
  </si>
  <si>
    <t xml:space="preserve">Active value the model uses (follows the scenario)</t>
  </si>
  <si>
    <t xml:space="preserve">Dashboard</t>
  </si>
  <si>
    <t xml:space="preserve">1 = Low · 2 = Base · 3 = High — every sheet follows this cell</t>
  </si>
  <si>
    <t xml:space="preserve">REVENUE · YEAR 5</t>
  </si>
  <si>
    <t xml:space="preserve">EBITDA MARGIN · YEAR 5</t>
  </si>
  <si>
    <t xml:space="preserve">NET INCOME · YEAR 5</t>
  </si>
  <si>
    <t xml:space="preserve">LOWEST CASH BALANCE</t>
  </si>
  <si>
    <t xml:space="preserve">FUNDING REQUIRED</t>
  </si>
  <si>
    <t xml:space="preserve">ENTERPRISE VALUE (DCF)</t>
  </si>
  <si>
    <t xml:space="preserve">Average of 2 methods</t>
  </si>
  <si>
    <t xml:space="preserve">Core financials ($'000) — active scenario</t>
  </si>
  <si>
    <t xml:space="preserve">Revenue</t>
  </si>
  <si>
    <t xml:space="preserve">Gross profit</t>
  </si>
  <si>
    <t xml:space="preserve">Gross margin</t>
  </si>
  <si>
    <t xml:space="preserve">Operating expenses</t>
  </si>
  <si>
    <t xml:space="preserve">EBITDA</t>
  </si>
  <si>
    <t xml:space="preserve">EBITDA margin</t>
  </si>
  <si>
    <t xml:space="preserve">Net income</t>
  </si>
  <si>
    <t xml:space="preserve">Net margin</t>
  </si>
  <si>
    <t xml:space="preserve">Operating cash flow</t>
  </si>
  <si>
    <t xml:space="preserve">Investing cash flow</t>
  </si>
  <si>
    <t xml:space="preserve">Financing cash flow</t>
  </si>
  <si>
    <t xml:space="preserve">Net change in cash</t>
  </si>
  <si>
    <t xml:space="preserve">Year-end cash</t>
  </si>
  <si>
    <t xml:space="preserve">SaaS metrics</t>
  </si>
  <si>
    <t xml:space="preserve">Paying customers (year end)</t>
  </si>
  <si>
    <t xml:space="preserve">ARR (year-end MRR × 12)</t>
  </si>
  <si>
    <t xml:space="preserve">LTV ÷ CAC</t>
  </si>
  <si>
    <t xml:space="preserve">Team (FTE, year end)</t>
  </si>
  <si>
    <t xml:space="preserve">Funding &amp; valuation ($'000) — active scenario</t>
  </si>
  <si>
    <t xml:space="preserve">Equity raised</t>
  </si>
  <si>
    <t xml:space="preserve">Loan drawn</t>
  </si>
  <si>
    <t xml:space="preserve">Funding required (incl. cash buffer)</t>
  </si>
  <si>
    <t xml:space="preserve">Funding surplus / (shortfall)</t>
  </si>
  <si>
    <t xml:space="preserve">First month with positive EBITDA</t>
  </si>
  <si>
    <t xml:space="preserve">Cash invested paid back</t>
  </si>
  <si>
    <t xml:space="preserve">Enterprise value — perpetual growth</t>
  </si>
  <si>
    <t xml:space="preserve">Enterprise value — exit multiple</t>
  </si>
  <si>
    <t xml:space="preserve">Enterprise value — average</t>
  </si>
  <si>
    <t xml:space="preserve">Financial statements summary</t>
  </si>
  <si>
    <t xml:space="preserve">Select detailed year:</t>
  </si>
  <si>
    <t xml:space="preserve">Income statement ($'000) — by year</t>
  </si>
  <si>
    <t xml:space="preserve">Hosting, payment fees &amp; support</t>
  </si>
  <si>
    <t xml:space="preserve">Total operating expenses</t>
  </si>
  <si>
    <t xml:space="preserve">Depreciation</t>
  </si>
  <si>
    <t xml:space="preserve">EBIT</t>
  </si>
  <si>
    <t xml:space="preserve">Interest</t>
  </si>
  <si>
    <t xml:space="preserve">Pre-tax income</t>
  </si>
  <si>
    <t xml:space="preserve">Income tax</t>
  </si>
  <si>
    <t xml:space="preserve">Cash flow ($'000) — by year</t>
  </si>
  <si>
    <t xml:space="preserve">Capital spending</t>
  </si>
  <si>
    <t xml:space="preserve">Loan drawdown</t>
  </si>
  <si>
    <t xml:space="preserve">Loan repayment</t>
  </si>
  <si>
    <t xml:space="preserve">Closing cash</t>
  </si>
  <si>
    <t xml:space="preserve">Balance sheet at year end ($'000)</t>
  </si>
  <si>
    <t xml:space="preserve">Cash</t>
  </si>
  <si>
    <t xml:space="preserve">Accounts receivable</t>
  </si>
  <si>
    <t xml:space="preserve">Inventory</t>
  </si>
  <si>
    <t xml:space="preserve">Net fixed assets</t>
  </si>
  <si>
    <t xml:space="preserve">Total assets</t>
  </si>
  <si>
    <t xml:space="preserve">Accounts payable</t>
  </si>
  <si>
    <t xml:space="preserve">Deferred revenue (annual plans, ~6 months unearned)</t>
  </si>
  <si>
    <t xml:space="preserve">Loan</t>
  </si>
  <si>
    <t xml:space="preserve">Total liabilities</t>
  </si>
  <si>
    <t xml:space="preserve">Paid-in capital</t>
  </si>
  <si>
    <t xml:space="preserve">Retained earnings</t>
  </si>
  <si>
    <t xml:space="preserve">Total equity</t>
  </si>
  <si>
    <t xml:space="preserve">Total liabilities &amp; equity</t>
  </si>
  <si>
    <t xml:space="preserve">Scenarios — Low / Base / High</t>
  </si>
  <si>
    <t xml:space="preserve">All three scenarios calculated side by side, live: change any input and every column updates. Active = the scenario chosen on the Dashboard.</t>
  </si>
  <si>
    <t xml:space="preserve">Key drivers</t>
  </si>
  <si>
    <t xml:space="preserve">Driver</t>
  </si>
  <si>
    <t xml:space="preserve">Low</t>
  </si>
  <si>
    <t xml:space="preserve">Base</t>
  </si>
  <si>
    <t xml:space="preserve">High</t>
  </si>
  <si>
    <t xml:space="preserve">Active</t>
  </si>
  <si>
    <t xml:space="preserve">Paying customers at start (#)</t>
  </si>
  <si>
    <t xml:space="preserve">Average MRR per new customer (ARPA) ($ / month)</t>
  </si>
  <si>
    <t xml:space="preserve">Customer churn per month (%)</t>
  </si>
  <si>
    <t xml:space="preserve">Organic / referral new customers per month (year 1) (# / month)</t>
  </si>
  <si>
    <t xml:space="preserve">Paid marketing budget per month (year 1) ($ / month)</t>
  </si>
  <si>
    <t xml:space="preserve">Paid customer acquisition cost (CAC) ($)</t>
  </si>
  <si>
    <t xml:space="preserve">Equity raised at start ($)</t>
  </si>
  <si>
    <t xml:space="preserve">Results by scenario ($'000)</t>
  </si>
  <si>
    <t xml:space="preserve">Output</t>
  </si>
  <si>
    <t xml:space="preserve">Revenue — final year</t>
  </si>
  <si>
    <t xml:space="preserve">Revenue — whole plan</t>
  </si>
  <si>
    <t xml:space="preserve">EBITDA — final year</t>
  </si>
  <si>
    <t xml:space="preserve">EBITDA margin — final year</t>
  </si>
  <si>
    <t xml:space="preserve">Net income — final year</t>
  </si>
  <si>
    <t xml:space="preserve">Net income — whole plan</t>
  </si>
  <si>
    <t xml:space="preserve">Cash at the end of the plan</t>
  </si>
  <si>
    <t xml:space="preserve">Lowest cash balance</t>
  </si>
  <si>
    <t xml:space="preserve">Lowest cash point (month #)</t>
  </si>
  <si>
    <t xml:space="preserve">Revenue by year ($'000)</t>
  </si>
  <si>
    <t xml:space="preserve">Scenario</t>
  </si>
  <si>
    <t xml:space="preserve">EBITDA by year ($'000)</t>
  </si>
  <si>
    <t xml:space="preserve">Net income by year ($'000)</t>
  </si>
  <si>
    <t xml:space="preserve">Cash at year end by year ($'000)</t>
  </si>
  <si>
    <t xml:space="preserve">Startup costs, funding need and break-even</t>
  </si>
  <si>
    <t xml:space="preserve">Live for the selected scenario. Periods are counted in months from the start of the plan.</t>
  </si>
  <si>
    <t xml:space="preserve">Scenario shown</t>
  </si>
  <si>
    <t xml:space="preserve">Startup costs &amp; funding need (up to the lowest cash point)</t>
  </si>
  <si>
    <t xml:space="preserve">Capital spending up to the lowest cash point</t>
  </si>
  <si>
    <t xml:space="preserve">Operating cash burn up to the lowest cash point</t>
  </si>
  <si>
    <t xml:space="preserve">Losses and working capital before the business funds itself</t>
  </si>
  <si>
    <t xml:space="preserve">Loan repayments up to the lowest cash point</t>
  </si>
  <si>
    <t xml:space="preserve">Total uses of funds</t>
  </si>
  <si>
    <t xml:space="preserve">Minimum cash buffer to keep</t>
  </si>
  <si>
    <t xml:space="preserve">Input on the Inputs sheet</t>
  </si>
  <si>
    <t xml:space="preserve">Funding required (uses + buffer)</t>
  </si>
  <si>
    <t xml:space="preserve">Total sources of funds</t>
  </si>
  <si>
    <t xml:space="preserve">Negative = raise at least this much more</t>
  </si>
  <si>
    <t xml:space="preserve">Lowest cash balance in the plan</t>
  </si>
  <si>
    <t xml:space="preserve">Equals sources minus uses</t>
  </si>
  <si>
    <t xml:space="preserve">Break-even timing</t>
  </si>
  <si>
    <t xml:space="preserve">First month with positive EBITDA (month #)</t>
  </si>
  <si>
    <t xml:space="preserve">First month with positive net income (month #)</t>
  </si>
  <si>
    <t xml:space="preserve">Cash invested paid back (month #)</t>
  </si>
  <si>
    <t xml:space="preserve">Cumulative operating + investing cash flow back to zero</t>
  </si>
  <si>
    <t xml:space="preserve">Annual break-even revenue</t>
  </si>
  <si>
    <t xml:space="preserve">Year #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</si>
  <si>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</si>
  <si>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</si>
  <si>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</si>
  <si>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</si>
  <si>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</si>
  <si>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Gross margin (contribution)</t>
  </si>
  <si>
    <t xml:space="preserve">Operating expenses (treated as fixed)</t>
  </si>
  <si>
    <t xml:space="preserve">Break-even revenue (EBITDA = 0)</t>
  </si>
  <si>
    <t xml:space="preserve">Margin of safety (revenue above break-even)</t>
  </si>
  <si>
    <t xml:space="preserve">Simplification: cost of sales is treated as variable and operating expenses as fixed, so break-even revenue = operating expenses ÷ gross margin.</t>
  </si>
  <si>
    <t xml:space="preserve">Discounted cash flow valuation</t>
  </si>
  <si>
    <t xml:space="preserve">Enterprise value at the start of the plan, before the funding raised in period 1. Year-end discounting.</t>
  </si>
  <si>
    <t xml:space="preserve">Assumptions (active scenario, from the Inputs sheet)</t>
  </si>
  <si>
    <t xml:space="preserve">Discount rate (WACC)</t>
  </si>
  <si>
    <t xml:space="preserve">Terminal growth rate</t>
  </si>
  <si>
    <t xml:space="preserve">Exit multiple (EV ÷ final-year EBITDA)</t>
  </si>
  <si>
    <t xml:space="preserve">Tax rate (for the interest tax shield)</t>
  </si>
  <si>
    <t xml:space="preserve">Sensitivity step: WACC</t>
  </si>
  <si>
    <t xml:space="preserve">Sensitivity step: terminal growth</t>
  </si>
  <si>
    <t xml:space="preserve">Free cash flow by year</t>
  </si>
  <si>
    <t xml:space="preserve">Unlevered free cash flow</t>
  </si>
  <si>
    <t xml:space="preserve">Discount factor</t>
  </si>
  <si>
    <t xml:space="preserve">Present value of free cash flow</t>
  </si>
  <si>
    <t xml:space="preserve">Enterprise value</t>
  </si>
  <si>
    <t xml:space="preserve">Perpetual growth</t>
  </si>
  <si>
    <t xml:space="preserve">Exit multiple</t>
  </si>
  <si>
    <t xml:space="preserve">Present value of the plan's free cash flows</t>
  </si>
  <si>
    <t xml:space="preserve">Final-year free cash flow | final-year EBITDA</t>
  </si>
  <si>
    <t xml:space="preserve">Terminal value at the end of year 5</t>
  </si>
  <si>
    <t xml:space="preserve">Present value of the terminal value</t>
  </si>
  <si>
    <t xml:space="preserve">Terminal value share of enterprise value</t>
  </si>
  <si>
    <t xml:space="preserve">Cross-check: implied exit multiple | implied perpetual growth</t>
  </si>
  <si>
    <t xml:space="preserve">Enterprise value — average of the two methods</t>
  </si>
  <si>
    <t xml:space="preserve">Sensitivity: enterprise value (perpetual growth) by WACC and terminal growth</t>
  </si>
  <si>
    <t xml:space="preserve">WACC ↓ · terminal growth →</t>
  </si>
  <si>
    <t xml:space="preserve">Free cash flow = operating cash flow + interest × (1 − tax rate) − capital spending. Cells marked n/a: WACC not above growth.</t>
  </si>
  <si>
    <t xml:space="preserve">Sources and uses of funds</t>
  </si>
  <si>
    <t xml:space="preserve">Live for the selected scenario. Where the money comes from and where it goes in the period set below.</t>
  </si>
  <si>
    <t xml:space="preserve">Funding structure ($'000) — raised at the start of the plan</t>
  </si>
  <si>
    <t xml:space="preserve">Amount</t>
  </si>
  <si>
    <t xml:space="preserve">Share</t>
  </si>
  <si>
    <t xml:space="preserve">Equity</t>
  </si>
  <si>
    <t xml:space="preserve">Debt (loan)</t>
  </si>
  <si>
    <t xml:space="preserve">Total funding</t>
  </si>
  <si>
    <t xml:space="preserve">Gearing (debt ÷ equity)</t>
  </si>
  <si>
    <t xml:space="preserve">n/a: debt without positive equity</t>
  </si>
  <si>
    <t xml:space="preserve">Funding required by the plan (Break-even sheet)</t>
  </si>
  <si>
    <t xml:space="preserve">Period covered (months from the start)</t>
  </si>
  <si>
    <t xml:space="preserve">1 to 60 (capped)</t>
  </si>
  <si>
    <t xml:space="preserve">Months used</t>
  </si>
  <si>
    <t xml:space="preserve">Sources</t>
  </si>
  <si>
    <t xml:space="preserve">Loan drawdowns</t>
  </si>
  <si>
    <t xml:space="preserve">Cash generated by operations</t>
  </si>
  <si>
    <t xml:space="preserve">Total sources</t>
  </si>
  <si>
    <t xml:space="preserve">Uses</t>
  </si>
  <si>
    <t xml:space="preserve">Cash used by operations</t>
  </si>
  <si>
    <t xml:space="preserve">Loan repayments</t>
  </si>
  <si>
    <t xml:space="preserve">Cash at the end of the period</t>
  </si>
  <si>
    <t xml:space="preserve">Total uses</t>
  </si>
  <si>
    <t xml:space="preserve">Sources − uses (must be 0; opening cash is 0)</t>
  </si>
  <si>
    <t xml:space="preserve">KPIs &amp; ratios</t>
  </si>
  <si>
    <t xml:space="preserve">SaaS financial model (early) — industry metrics and financial ratios for the active scenario</t>
  </si>
  <si>
    <t xml:space="preserve">Financial ratios</t>
  </si>
  <si>
    <t xml:space="preserve">Target</t>
  </si>
  <si>
    <t xml:space="preserve">Revenue growth</t>
  </si>
  <si>
    <t xml:space="preserve">Payroll, % of revenue</t>
  </si>
  <si>
    <t xml:space="preserve">Marketing, % of revenue</t>
  </si>
  <si>
    <t xml:space="preserve">Operating expenses, % of revenue</t>
  </si>
  <si>
    <t xml:space="preserve">Current ratio (current assets ÷ current liabilities)</t>
  </si>
  <si>
    <t xml:space="preserve">Debt ÷ equity (loan ÷ total equity)</t>
  </si>
  <si>
    <t xml:space="preserve">Return on assets (net income ÷ year-end assets)</t>
  </si>
  <si>
    <t xml:space="preserve">Return on equity (net income ÷ year-end equity)</t>
  </si>
  <si>
    <t xml:space="preserve">DuPont analysis — return on equity = net margin × asset turnover × equity multiplier</t>
  </si>
  <si>
    <t xml:space="preserve">× Asset turnover (revenue ÷ assets)</t>
  </si>
  <si>
    <t xml:space="preserve">× Equity multiplier (assets ÷ equity)</t>
  </si>
  <si>
    <t xml:space="preserve">Return on equity (product of the three)</t>
  </si>
  <si>
    <t xml:space="preserve">Check: product − return on equity (must be 0)</t>
  </si>
  <si>
    <t xml:space="preserve">SaaS metrics ($'000; per-unit rows in $)</t>
  </si>
  <si>
    <t xml:space="preserve">Customers (year end)</t>
  </si>
  <si>
    <t xml:space="preserve">New customers in the year</t>
  </si>
  <si>
    <t xml:space="preserve">Customers lost in the year</t>
  </si>
  <si>
    <t xml:space="preserve">MRR (year end)</t>
  </si>
  <si>
    <t xml:space="preserve">Average MRR per customer (year end) ($)</t>
  </si>
  <si>
    <t xml:space="preserve">Paid marketing spend</t>
  </si>
  <si>
    <t xml:space="preserve">Blended CAC (paid spend ÷ all new customers) ($)</t>
  </si>
  <si>
    <t xml:space="preserve">Customer churn per month</t>
  </si>
  <si>
    <t xml:space="preserve">Customer lifetime value (MRR × margin ÷ churn) ($)</t>
  </si>
  <si>
    <t xml:space="preserve">CAC payback (months of gross profit)</t>
  </si>
  <si>
    <t xml:space="preserve">Net burn per month (year end)</t>
  </si>
  <si>
    <t xml:space="preserve">Cash (year end)</t>
  </si>
  <si>
    <t xml:space="preserve">Runway at year-end burn (months; - = not burning)</t>
  </si>
  <si>
    <t xml:space="preserve">Inputs — Low / Base / High</t>
  </si>
  <si>
    <t xml:space="preserve">Illustrative assumptions — replace them with your own numbers.</t>
  </si>
  <si>
    <t xml:space="preserve">Unit</t>
  </si>
  <si>
    <t xml:space="preserve">Source / comment</t>
  </si>
  <si>
    <t xml:space="preserve">Business drivers</t>
  </si>
  <si>
    <t xml:space="preserve">Paying customers at start</t>
  </si>
  <si>
    <t xml:space="preserve">#</t>
  </si>
  <si>
    <t xml:space="preserve">Low ≤ Base ≤ High</t>
  </si>
  <si>
    <t xml:space="preserve">Average MRR per new customer (ARPA)</t>
  </si>
  <si>
    <t xml:space="preserve">$ / month</t>
  </si>
  <si>
    <t xml:space="preserve">Price increase per year for new customers</t>
  </si>
  <si>
    <t xml:space="preserve">%</t>
  </si>
  <si>
    <t xml:space="preserve">Low ≥ Base ≥ High (lower is better)</t>
  </si>
  <si>
    <t xml:space="preserve">Expansion MRR per month, % of opening MRR</t>
  </si>
  <si>
    <t xml:space="preserve">Organic / referral new customers per month (year 1)</t>
  </si>
  <si>
    <t xml:space="preserve"># / month</t>
  </si>
  <si>
    <t xml:space="preserve">Growth of organic new customers per year</t>
  </si>
  <si>
    <t xml:space="preserve">Paid marketing budget per month (year 1)</t>
  </si>
  <si>
    <t xml:space="preserve">Paid marketing budget growth per year</t>
  </si>
  <si>
    <t xml:space="preserve">Paid customer acquisition cost (CAC)</t>
  </si>
  <si>
    <t xml:space="preserve">$</t>
  </si>
  <si>
    <t xml:space="preserve">Share of MRR billed annually in advance</t>
  </si>
  <si>
    <t xml:space="preserve">Hosting &amp; payment fees, % of revenue</t>
  </si>
  <si>
    <t xml:space="preserve">Support &amp; onboarding cost per customer per month</t>
  </si>
  <si>
    <t xml:space="preserve">Software &amp; tools per FTE per month</t>
  </si>
  <si>
    <t xml:space="preserve">Office &amp; rent per month</t>
  </si>
  <si>
    <t xml:space="preserve">Other G&amp;A per month (legal, accounting, insurance)</t>
  </si>
  <si>
    <t xml:space="preserve">Start-up capex (equipment)</t>
  </si>
  <si>
    <t xml:space="preserve">Headcount</t>
  </si>
  <si>
    <t xml:space="preserve">Engineering &amp; product: headcount (FTE)</t>
  </si>
  <si>
    <t xml:space="preserve">FTE</t>
  </si>
  <si>
    <t xml:space="preserve">Engineering &amp; product: salary per FTE per year</t>
  </si>
  <si>
    <t xml:space="preserve">Engineering &amp; product: headcount growth per year</t>
  </si>
  <si>
    <t xml:space="preserve">Engineering &amp; product: first month on payroll</t>
  </si>
  <si>
    <t xml:space="preserve">month #</t>
  </si>
  <si>
    <t xml:space="preserve">Sales &amp; marketing: headcount (FTE)</t>
  </si>
  <si>
    <t xml:space="preserve">Sales &amp; marketing: salary per FTE per year</t>
  </si>
  <si>
    <t xml:space="preserve">Sales &amp; marketing: headcount growth per year</t>
  </si>
  <si>
    <t xml:space="preserve">Sales &amp; marketing: first month on payroll</t>
  </si>
  <si>
    <t xml:space="preserve">Customer success: headcount (FTE)</t>
  </si>
  <si>
    <t xml:space="preserve">Customer success: salary per FTE per year</t>
  </si>
  <si>
    <t xml:space="preserve">Customer success: headcount growth per year</t>
  </si>
  <si>
    <t xml:space="preserve">Customer success: first month on payroll</t>
  </si>
  <si>
    <t xml:space="preserve">G&amp;A (finance, ops): headcount (FTE)</t>
  </si>
  <si>
    <t xml:space="preserve">G&amp;A (finance, ops): salary per FTE per year</t>
  </si>
  <si>
    <t xml:space="preserve">G&amp;A (finance, ops): headcount growth per year</t>
  </si>
  <si>
    <t xml:space="preserve">G&amp;A (finance, ops): first month on payroll</t>
  </si>
  <si>
    <t xml:space="preserve">Payroll taxes &amp; benefits, % of salary</t>
  </si>
  <si>
    <t xml:space="preserve">Wage growth per year</t>
  </si>
  <si>
    <t xml:space="preserve">Funding</t>
  </si>
  <si>
    <t xml:space="preserve">Equity raised at start</t>
  </si>
  <si>
    <t xml:space="preserve">Loan drawn at start</t>
  </si>
  <si>
    <t xml:space="preserve">Loan interest rate per year</t>
  </si>
  <si>
    <t xml:space="preserve">Loan repayment term</t>
  </si>
  <si>
    <t xml:space="preserve">years</t>
  </si>
  <si>
    <t xml:space="preserve">Working capital</t>
  </si>
  <si>
    <t xml:space="preserve">Customer payment terms (receivable days)</t>
  </si>
  <si>
    <t xml:space="preserve">days</t>
  </si>
  <si>
    <t xml:space="preserve">Inventory held (days of COGS)</t>
  </si>
  <si>
    <t xml:space="preserve">Supplier payment terms (payable days)</t>
  </si>
  <si>
    <t xml:space="preserve">Tax &amp; depreciation</t>
  </si>
  <si>
    <t xml:space="preserve">Depreciation period for capex</t>
  </si>
  <si>
    <t xml:space="preserve">Income tax rate</t>
  </si>
  <si>
    <t xml:space="preserve">Break-even &amp; funding</t>
  </si>
  <si>
    <t xml:space="preserve">About 3 months of costs</t>
  </si>
  <si>
    <t xml:space="preserve">Valuation</t>
  </si>
  <si>
    <t xml:space="preserve">Terminal growth rate (perpetuity)</t>
  </si>
  <si>
    <t xml:space="preserve">x</t>
  </si>
  <si>
    <t xml:space="preserve">Sensitivity table: WACC step</t>
  </si>
  <si>
    <t xml:space="preserve">Sensitivity table: growth step</t>
  </si>
  <si>
    <t xml:space="preserve">Legend: yellow cell with blue figure = input you can change · black = formula · green = link to another sheet · grey = active value (column E follows the scenario on the Dashboard).</t>
  </si>
  <si>
    <t xml:space="preserve">Rolled up from the period detail (SUMIF on the year row; balances at year end).</t>
  </si>
  <si>
    <t xml:space="preserve">Payroll</t>
  </si>
  <si>
    <t xml:space="preserve">Paid marketing</t>
  </si>
  <si>
    <t xml:space="preserve">Software &amp; tools</t>
  </si>
  <si>
    <t xml:space="preserve">Office &amp; rent</t>
  </si>
  <si>
    <t xml:space="preserve">Other G&amp;A</t>
  </si>
  <si>
    <t xml:space="preserve">Add back depreciation</t>
  </si>
  <si>
    <t xml:space="preserve">(Increase) / decrease in receivables</t>
  </si>
  <si>
    <t xml:space="preserve">(Increase) / decrease in inventory</t>
  </si>
  <si>
    <t xml:space="preserve">Increase / (decrease) in payables</t>
  </si>
  <si>
    <t xml:space="preserve">Increase / (decrease) in deferred revenue (annual plans, ~6 months unearned)</t>
  </si>
  <si>
    <t xml:space="preserve">Opening cash</t>
  </si>
  <si>
    <t xml:space="preserve">Check: assets − liabilities − equity (must be 0)</t>
  </si>
  <si>
    <t xml:space="preserve">Monthly projection</t>
  </si>
  <si>
    <t xml:space="preserve">$ unless stated; costs shown as negatives. Every period uses the same formula.</t>
  </si>
  <si>
    <t xml:space="preserve">Month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</si>
  <si>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</si>
  <si>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</si>
  <si>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</si>
  <si>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</si>
  <si>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</si>
  <si>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</si>
  <si>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</si>
  <si>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</si>
  <si>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</si>
  <si>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</si>
  <si>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</si>
  <si>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</si>
  <si>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</si>
  <si>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</si>
  <si>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</si>
  <si>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</si>
  <si>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</si>
  <si>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</si>
  <si>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</si>
  <si>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</si>
  <si>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</si>
  <si>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</si>
  <si>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</si>
  <si>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</si>
  <si>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M25</t>
  </si>
  <si>
    <t xml:space="preserve">M26</t>
  </si>
  <si>
    <t xml:space="preserve">M27</t>
  </si>
  <si>
    <t xml:space="preserve">M28</t>
  </si>
  <si>
    <t xml:space="preserve">M29</t>
  </si>
  <si>
    <t xml:space="preserve">M30</t>
  </si>
  <si>
    <t xml:space="preserve">M31</t>
  </si>
  <si>
    <t xml:space="preserve">M32</t>
  </si>
  <si>
    <t xml:space="preserve">M33</t>
  </si>
  <si>
    <t xml:space="preserve">M34</t>
  </si>
  <si>
    <t xml:space="preserve">M35</t>
  </si>
  <si>
    <t xml:space="preserve">M36</t>
  </si>
  <si>
    <t xml:space="preserve">M37</t>
  </si>
  <si>
    <t xml:space="preserve">M38</t>
  </si>
  <si>
    <t xml:space="preserve">M39</t>
  </si>
  <si>
    <t xml:space="preserve">M40</t>
  </si>
  <si>
    <t xml:space="preserve">M41</t>
  </si>
  <si>
    <t xml:space="preserve">M42</t>
  </si>
  <si>
    <t xml:space="preserve">M43</t>
  </si>
  <si>
    <t xml:space="preserve">M44</t>
  </si>
  <si>
    <t xml:space="preserve">M45</t>
  </si>
  <si>
    <t xml:space="preserve">M46</t>
  </si>
  <si>
    <t xml:space="preserve">M47</t>
  </si>
  <si>
    <t xml:space="preserve">M48</t>
  </si>
  <si>
    <t xml:space="preserve">M49</t>
  </si>
  <si>
    <t xml:space="preserve">M50</t>
  </si>
  <si>
    <t xml:space="preserve">M51</t>
  </si>
  <si>
    <t xml:space="preserve">M52</t>
  </si>
  <si>
    <t xml:space="preserve">M53</t>
  </si>
  <si>
    <t xml:space="preserve">M54</t>
  </si>
  <si>
    <t xml:space="preserve">M55</t>
  </si>
  <si>
    <t xml:space="preserve">M56</t>
  </si>
  <si>
    <t xml:space="preserve">M57</t>
  </si>
  <si>
    <t xml:space="preserve">M58</t>
  </si>
  <si>
    <t xml:space="preserve">M59</t>
  </si>
  <si>
    <t xml:space="preserve">M60</t>
  </si>
  <si>
    <t xml:space="preserve">Period #</t>
  </si>
  <si>
    <t xml:space="preserve">Customers</t>
  </si>
  <si>
    <t xml:space="preserve">New customers — organic / referral</t>
  </si>
  <si>
    <t xml:space="preserve">New customers — paid marketing</t>
  </si>
  <si>
    <t xml:space="preserve">New customers — total</t>
  </si>
  <si>
    <t xml:space="preserve">Customers — opening</t>
  </si>
  <si>
    <t xml:space="preserve">Customers lost (churn)</t>
  </si>
  <si>
    <t xml:space="preserve">Customers — closing</t>
  </si>
  <si>
    <t xml:space="preserve">MRR per new customer</t>
  </si>
  <si>
    <t xml:space="preserve">MRR waterfall</t>
  </si>
  <si>
    <t xml:space="preserve">Opening MRR</t>
  </si>
  <si>
    <t xml:space="preserve">New MRR</t>
  </si>
  <si>
    <t xml:space="preserve">Expansion MRR</t>
  </si>
  <si>
    <t xml:space="preserve">Churned MRR</t>
  </si>
  <si>
    <t xml:space="preserve">Closing MRR</t>
  </si>
  <si>
    <t xml:space="preserve">Revenue &amp; cost of revenue</t>
  </si>
  <si>
    <t xml:space="preserve">Revenue (average MRR × months)</t>
  </si>
  <si>
    <t xml:space="preserve">Profit after depreciation, interest, tax</t>
  </si>
  <si>
    <t xml:space="preserve">Interest on loan (average balance after drawdown)</t>
  </si>
  <si>
    <t xml:space="preserve">Helper: cumulative pre-tax income</t>
  </si>
  <si>
    <t xml:space="preserve">Helper: cumulative taxable income (losses carried forward)</t>
  </si>
  <si>
    <t xml:space="preserve">Fixed assets &amp; capital spending</t>
  </si>
  <si>
    <t xml:space="preserve">Fixed assets at cost</t>
  </si>
  <si>
    <t xml:space="preserve">Accumulated depreciation</t>
  </si>
  <si>
    <t xml:space="preserve">Debt</t>
  </si>
  <si>
    <t xml:space="preserve">Loan — opening balance</t>
  </si>
  <si>
    <t xml:space="preserve">Loan — closing balance</t>
  </si>
  <si>
    <t xml:space="preserve">Cash flow</t>
  </si>
  <si>
    <t xml:space="preserve">Investing cash flow (capex)</t>
  </si>
  <si>
    <t xml:space="preserve">Net cash flow</t>
  </si>
  <si>
    <t xml:space="preserve">Helper: EBITDA positive (1/0)</t>
  </si>
  <si>
    <t xml:space="preserve">SaaS metric helpers</t>
  </si>
  <si>
    <t xml:space="preserve">Net burn per month (operating + investing; negative = cash generative)</t>
  </si>
  <si>
    <t xml:space="preserve">Goal modules</t>
  </si>
  <si>
    <t xml:space="preserve">Helper: net income positive (1/0)</t>
  </si>
  <si>
    <t xml:space="preserve">Cash flow before financing (operating + investing)</t>
  </si>
  <si>
    <t xml:space="preserve">Cumulative cash flow before financing</t>
  </si>
  <si>
    <t xml:space="preserve">Helper: lowest cumulative cash flow so far</t>
  </si>
  <si>
    <t xml:space="preserve">Helper: investment paid back (1/0)</t>
  </si>
  <si>
    <t xml:space="preserve">Unlevered free cash flow (operating + after-tax interest − capex)</t>
  </si>
  <si>
    <t xml:space="preserve">Balance sheet</t>
  </si>
  <si>
    <t xml:space="preserve">Check: assets − liabilities − equity</t>
  </si>
  <si>
    <t xml:space="preserve">Headcount &amp; payroll</t>
  </si>
  <si>
    <t xml:space="preserve">Headcount (FTE)</t>
  </si>
  <si>
    <t xml:space="preserve">Engineering &amp; product — FTE</t>
  </si>
  <si>
    <t xml:space="preserve">Sales &amp; marketing — FTE</t>
  </si>
  <si>
    <t xml:space="preserve">Customer success — FTE</t>
  </si>
  <si>
    <t xml:space="preserve">G&amp;A (finance, ops) — FTE</t>
  </si>
  <si>
    <t xml:space="preserve">Total FTE</t>
  </si>
  <si>
    <t xml:space="preserve">Payroll cost (salary + taxes &amp; benefits)</t>
  </si>
  <si>
    <t xml:space="preserve">Engineering &amp; product — payroll cost</t>
  </si>
  <si>
    <t xml:space="preserve">Sales &amp; marketing — payroll cost</t>
  </si>
  <si>
    <t xml:space="preserve">Customer success — payroll cost</t>
  </si>
  <si>
    <t xml:space="preserve">G&amp;A (finance, ops) — payroll cost</t>
  </si>
  <si>
    <t xml:space="preserve">Total payroll</t>
  </si>
  <si>
    <t xml:space="preserve">Scenario calculation — Low, Base and High side by side</t>
  </si>
  <si>
    <t xml:space="preserve">The model's period calculation, copied three times; each copy reads its own Inputs column. Feeds the Scenarios sheet only.</t>
  </si>
  <si>
    <t xml:space="preserve">Low scenario — reads Inputs column B</t>
  </si>
  <si>
    <t xml:space="preserve">Base scenario — reads Inputs column C</t>
  </si>
  <si>
    <t xml:space="preserve">High scenario — reads Inputs column D</t>
  </si>
  <si>
    <t xml:space="preserve">Live formulas: they re-run every time an input changes.</t>
  </si>
  <si>
    <t xml:space="preserve">Check</t>
  </si>
  <si>
    <t xml:space="preserve">Result</t>
  </si>
  <si>
    <t xml:space="preserve">What it tests</t>
  </si>
  <si>
    <t xml:space="preserve">Annual revenue ties to period detail</t>
  </si>
  <si>
    <t xml:space="preserve">Sum of annual revenue equals the sum of every period</t>
  </si>
  <si>
    <t xml:space="preserve">Annual net income ties to period detail</t>
  </si>
  <si>
    <t xml:space="preserve">Sum of annual net income equals the sum of every period</t>
  </si>
  <si>
    <t xml:space="preserve">EBITDA reconciliation</t>
  </si>
  <si>
    <t xml:space="preserve">EBITDA = gross profit + operating expenses (costs are negative)</t>
  </si>
  <si>
    <t xml:space="preserve">Cash roll-forward</t>
  </si>
  <si>
    <t xml:space="preserve">Closing cash = all net cash flows since the start (opening cash is zero)</t>
  </si>
  <si>
    <t xml:space="preserve">Scenario selector valid</t>
  </si>
  <si>
    <t xml:space="preserve">Dashboard!B4 is 1, 2 or 3</t>
  </si>
  <si>
    <t xml:space="preserve">Scenario ordering of drivers</t>
  </si>
  <si>
    <t xml:space="preserve">Low / Base / High ordered the right way for every growth and cost driver</t>
  </si>
  <si>
    <t xml:space="preserve">Gross margin within 0–100%</t>
  </si>
  <si>
    <t xml:space="preserve">Gross margin never negative or above 100%</t>
  </si>
  <si>
    <t xml:space="preserve">Loan balance never negative</t>
  </si>
  <si>
    <t xml:space="preserve">Repayments never exceed the loan</t>
  </si>
  <si>
    <t xml:space="preserve">Funding table ties to the cash flow</t>
  </si>
  <si>
    <t xml:space="preserve">Lowest cash balance = sources of funds − uses of funds up to that point</t>
  </si>
  <si>
    <t xml:space="preserve">Valuation: discounting ties to NPV()</t>
  </si>
  <si>
    <t xml:space="preserve">Sum of discounted free cash flows equals Excel's NPV of the same flows</t>
  </si>
  <si>
    <t xml:space="preserve">Valuation: WACC above terminal growth</t>
  </si>
  <si>
    <t xml:space="preserve">The perpetual-growth formula needs WACC &gt; g</t>
  </si>
  <si>
    <t xml:space="preserve">Valuation: sensitivity centre = enterprise value</t>
  </si>
  <si>
    <t xml:space="preserve">The middle of the WACC × growth table reproduces the headline value</t>
  </si>
  <si>
    <t xml:space="preserve">Valuation: final-year cash flow positive</t>
  </si>
  <si>
    <t xml:space="preserve">Business warning: a negative final-year cash flow gives a negative terminal value (often a 1-year plan still carrying start-up spending)</t>
  </si>
  <si>
    <t xml:space="preserve">Sources &amp; uses balance</t>
  </si>
  <si>
    <t xml:space="preserve">Sources of funds = uses of funds (incl. cash at the end) for the Sources &amp; Uses period</t>
  </si>
  <si>
    <t xml:space="preserve">No error values</t>
  </si>
  <si>
    <t xml:space="preserve">No error values (divide-by-zero, broken references) on any calculation sheet</t>
  </si>
  <si>
    <t xml:space="preserve">Summary ties to statements</t>
  </si>
  <si>
    <t xml:space="preserve">Summary revenue, net income and closing cash equal the statements every year; the detailed year adds up to its annual figure</t>
  </si>
  <si>
    <t xml:space="preserve">DuPont ties to return on equity</t>
  </si>
  <si>
    <t xml:space="preserve">Net margin × asset turnover × equity multiplier equals return on equity every year; n/a = no year where both are defined (a one-sided n/a is a FAIL)</t>
  </si>
  <si>
    <t xml:space="preserve">Scenarios: Active = selected scenario</t>
  </si>
  <si>
    <t xml:space="preserve">On the Scenarios sheet the live model (Active) equals the Low / Base / High column chosen on the Dashboard for every output</t>
  </si>
  <si>
    <t xml:space="preserve">Balance sheet balances every period</t>
  </si>
  <si>
    <t xml:space="preserve">Assets = liabilities + equity in every period</t>
  </si>
  <si>
    <t xml:space="preserve">Funding sufficient (cash ≥ 0)</t>
  </si>
  <si>
    <t xml:space="preserve">Business warning, not an error: cash dips below zero in this scenario</t>
  </si>
  <si>
    <t xml:space="preserve">Overall verdict</t>
  </si>
</sst>
</file>

<file path=xl/styles.xml><?xml version="1.0" encoding="utf-8"?>
<styleSheet xmlns="http://schemas.openxmlformats.org/spreadsheetml/2006/main">
  <numFmts count="29">
    <numFmt numFmtId="164" formatCode="General"/>
    <numFmt numFmtId="165" formatCode="#,##0"/>
    <numFmt numFmtId="166" formatCode="\$#,##0.0,,\M;&quot;($&quot;#,##0.0,,&quot;M)&quot;;\-"/>
    <numFmt numFmtId="167" formatCode="0.0%;\(0.0%\);\-"/>
    <numFmt numFmtId="168" formatCode="&quot;CAGR &quot;0%;&quot;CAGR -&quot;0%;&quot;CAGR &quot;0%"/>
    <numFmt numFmtId="169" formatCode="&quot;EBITDA $&quot;#,##0.0,,\M;&quot;EBITDA -$&quot;#,##0.0,,\M;&quot;EBITDA $&quot;0.0\M"/>
    <numFmt numFmtId="170" formatCode="&quot;Net margin &quot;0%;&quot;Net margin -&quot;0%;&quot;Net margin &quot;0%"/>
    <numFmt numFmtId="171" formatCode="&quot;in month &quot;0"/>
    <numFmt numFmtId="172" formatCode="&quot;Shortfall $&quot;#,##0.0,,\M"/>
    <numFmt numFmtId="173" formatCode="&quot;Year &quot;0"/>
    <numFmt numFmtId="174" formatCode="\$#,##0,;&quot;($&quot;#,##0,\);\-"/>
    <numFmt numFmtId="175" formatCode="#,##0;\(#,##0\);\-"/>
    <numFmt numFmtId="176" formatCode="0.0\x;\(0.0&quot;x)&quot;;\-"/>
    <numFmt numFmtId="177" formatCode="#,##0.0;\(#,##0.0\);\-"/>
    <numFmt numFmtId="178" formatCode="&quot;Month &quot;0"/>
    <numFmt numFmtId="179" formatCode="\$#,##0.0,,\M"/>
    <numFmt numFmtId="180" formatCode="0%"/>
    <numFmt numFmtId="181" formatCode="\M0"/>
    <numFmt numFmtId="182" formatCode="\$#,##0,\K"/>
    <numFmt numFmtId="183" formatCode="#,##0;\(#,##0\);\-"/>
    <numFmt numFmtId="184" formatCode="\$#,##0;&quot;($&quot;#,##0\);\-"/>
    <numFmt numFmtId="185" formatCode="0.0%;\(0.0%\);\-"/>
    <numFmt numFmtId="186" formatCode="#,##0.0;\(#,##0.0\);\-"/>
    <numFmt numFmtId="187" formatCode="0"/>
    <numFmt numFmtId="188" formatCode="0.0\x"/>
    <numFmt numFmtId="189" formatCode="0.000"/>
    <numFmt numFmtId="190" formatCode="0.0\x"/>
    <numFmt numFmtId="191" formatCode="#,##0.0"/>
    <numFmt numFmtId="192" formatCode="\$#,##0.00;&quot;($&quot;#,##0.00\);\-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B2A2F"/>
      <name val="Arial"/>
      <family val="0"/>
      <charset val="1"/>
    </font>
    <font>
      <sz val="10"/>
      <color rgb="FF6B7280"/>
      <name val="Arial"/>
      <family val="0"/>
      <charset val="1"/>
    </font>
    <font>
      <b val="true"/>
      <sz val="9"/>
      <color rgb="FF1B2A2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0F6E56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8"/>
      <color rgb="FF0F6E56"/>
      <name val="Arial"/>
      <family val="0"/>
      <charset val="1"/>
    </font>
    <font>
      <sz val="9"/>
      <color rgb="FF6B7280"/>
      <name val="Arial"/>
      <family val="0"/>
      <charset val="1"/>
    </font>
    <font>
      <b val="true"/>
      <u val="single"/>
      <sz val="9"/>
      <color rgb="FF0F6E56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8000"/>
      <name val="Arial"/>
      <family val="0"/>
      <charset val="1"/>
    </font>
    <font>
      <b val="true"/>
      <sz val="14"/>
      <color rgb="FF1B2A2F"/>
      <name val="Arial"/>
      <family val="0"/>
      <charset val="1"/>
    </font>
    <font>
      <u val="single"/>
      <sz val="8"/>
      <color rgb="FF0F6E56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0F6E56"/>
      <name val="Arial"/>
      <family val="0"/>
      <charset val="1"/>
    </font>
    <font>
      <i val="true"/>
      <sz val="8"/>
      <color rgb="FF6B7280"/>
      <name val="Arial"/>
      <family val="0"/>
      <charset val="1"/>
    </font>
    <font>
      <b val="true"/>
      <sz val="7"/>
      <color rgb="FF6B7280"/>
      <name val="Arial"/>
      <family val="0"/>
      <charset val="1"/>
    </font>
    <font>
      <b val="true"/>
      <sz val="18"/>
      <color rgb="FF1B2A2F"/>
      <name val="Arial"/>
      <family val="0"/>
      <charset val="1"/>
    </font>
    <font>
      <sz val="8"/>
      <color rgb="FF0F6E56"/>
      <name val="Arial"/>
      <family val="0"/>
      <charset val="1"/>
    </font>
    <font>
      <sz val="9"/>
      <color rgb="FF1B2A2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1B2A2F"/>
      <name val="Arial"/>
      <family val="2"/>
    </font>
    <font>
      <sz val="8"/>
      <color rgb="FF6B7280"/>
      <name val="Arial"/>
      <family val="2"/>
    </font>
    <font>
      <sz val="8"/>
      <color rgb="FF1B2A2F"/>
      <name val="Arial"/>
      <family val="2"/>
    </font>
    <font>
      <sz val="7"/>
      <color rgb="FFA3ABA8"/>
      <name val="Arial"/>
      <family val="0"/>
      <charset val="1"/>
    </font>
    <font>
      <i val="true"/>
      <sz val="9"/>
      <color rgb="FF008000"/>
      <name val="Arial"/>
      <family val="0"/>
      <charset val="1"/>
    </font>
    <font>
      <b val="true"/>
      <i val="true"/>
      <sz val="9"/>
      <color rgb="FF6B7280"/>
      <name val="Arial"/>
      <family val="0"/>
      <charset val="1"/>
    </font>
    <font>
      <sz val="8"/>
      <color rgb="FFFFFFFF"/>
      <name val="Arial"/>
      <family val="2"/>
    </font>
    <font>
      <sz val="8"/>
      <color rgb="FF6B728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F6E56"/>
        <bgColor rgb="FF008080"/>
      </patternFill>
    </fill>
    <fill>
      <patternFill patternType="solid">
        <fgColor rgb="FFFFF2CC"/>
        <bgColor rgb="FFFBEFCF"/>
      </patternFill>
    </fill>
    <fill>
      <patternFill patternType="solid">
        <fgColor rgb="FFF1F3EE"/>
        <bgColor rgb="FFF7F8F3"/>
      </patternFill>
    </fill>
    <fill>
      <patternFill patternType="solid">
        <fgColor rgb="FFFFE08A"/>
        <bgColor rgb="FFFBEFCF"/>
      </patternFill>
    </fill>
    <fill>
      <patternFill patternType="solid">
        <fgColor rgb="FFF7F8F3"/>
        <bgColor rgb="FFF1F3EE"/>
      </patternFill>
    </fill>
  </fills>
  <borders count="9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9CEC9"/>
      </bottom>
      <diagonal/>
    </border>
    <border diagonalUp="false" diagonalDown="false">
      <left style="thin">
        <color rgb="FFC9CEC9"/>
      </left>
      <right style="thin">
        <color rgb="FFC9CEC9"/>
      </right>
      <top style="thin">
        <color rgb="FFC9CEC9"/>
      </top>
      <bottom style="thin">
        <color rgb="FFC9CEC9"/>
      </bottom>
      <diagonal/>
    </border>
    <border diagonalUp="false" diagonalDown="false">
      <left style="medium">
        <color rgb="FF1B2A2F"/>
      </left>
      <right style="medium">
        <color rgb="FF1B2A2F"/>
      </right>
      <top style="medium">
        <color rgb="FF1B2A2F"/>
      </top>
      <bottom style="medium">
        <color rgb="FF1B2A2F"/>
      </bottom>
      <diagonal/>
    </border>
    <border diagonalUp="false" diagonalDown="false">
      <left style="thin">
        <color rgb="FFFFFFFF"/>
      </left>
      <right style="thin">
        <color rgb="FFFFFFFF"/>
      </right>
      <top style="thick">
        <color rgb="FF0F6E56"/>
      </top>
      <bottom/>
      <diagonal/>
    </border>
    <border diagonalUp="false" diagonalDown="false">
      <left style="thin">
        <color rgb="FFFFFFFF"/>
      </left>
      <right style="thin">
        <color rgb="FFFFFFFF"/>
      </right>
      <top/>
      <bottom/>
      <diagonal/>
    </border>
    <border diagonalUp="false" diagonalDown="false">
      <left/>
      <right/>
      <top/>
      <bottom style="medium">
        <color rgb="FF1B2A2F"/>
      </bottom>
      <diagonal/>
    </border>
    <border diagonalUp="false" diagonalDown="false">
      <left/>
      <right/>
      <top style="thin">
        <color rgb="FF1B2A2F"/>
      </top>
      <bottom/>
      <diagonal/>
    </border>
    <border diagonalUp="false" diagonalDown="false">
      <left/>
      <right/>
      <top style="thin">
        <color rgb="FF1B2A2F"/>
      </top>
      <bottom style="double">
        <color rgb="FF1B2A2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8" fontId="2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3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31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7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6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6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6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4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4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5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5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8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8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3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2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2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1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8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4" fontId="9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B8322A"/>
        <sz val="9"/>
      </font>
      <fill>
        <patternFill>
          <bgColor rgb="FFF6D5D2"/>
        </patternFill>
      </fill>
    </dxf>
    <dxf>
      <font>
        <name val="Arial"/>
        <charset val="1"/>
        <family val="0"/>
        <b val="1"/>
        <color rgb="FF8A6100"/>
        <sz val="9"/>
      </font>
      <fill>
        <patternFill>
          <bgColor rgb="FFFBEFCF"/>
        </patternFill>
      </fill>
    </dxf>
    <dxf>
      <font>
        <name val="Arial"/>
        <charset val="1"/>
        <family val="0"/>
        <b val="1"/>
        <color rgb="FF0F6E56"/>
        <sz val="9"/>
      </font>
      <fill>
        <patternFill>
          <bgColor rgb="FFDCEFE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100"/>
      <rgbColor rgb="FF800080"/>
      <rgbColor rgb="FF0F6E56"/>
      <rgbColor rgb="FFC9CEC9"/>
      <rgbColor rgb="FF4F81BD"/>
      <rgbColor rgb="FFA3ABA8"/>
      <rgbColor rgb="FF993366"/>
      <rgbColor rgb="FFFFF2CC"/>
      <rgbColor rgb="FFDCEFE8"/>
      <rgbColor rgb="FF660066"/>
      <rgbColor rgb="FFFF8080"/>
      <rgbColor rgb="FF0066CC"/>
      <rgbColor rgb="FFF6D5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3EE"/>
      <rgbColor rgb="FFE3E6E1"/>
      <rgbColor rgb="FFFBEFCF"/>
      <rgbColor rgb="FF7FB5A3"/>
      <rgbColor rgb="FFF7F8F3"/>
      <rgbColor rgb="FFCC99FF"/>
      <rgbColor rgb="FFFFE08A"/>
      <rgbColor rgb="FF3366FF"/>
      <rgbColor rgb="FF33CCCC"/>
      <rgbColor rgb="FF99CC00"/>
      <rgbColor rgb="FFE0B43C"/>
      <rgbColor rgb="FFD9A21B"/>
      <rgbColor rgb="FFFF6600"/>
      <rgbColor rgb="FF6B7280"/>
      <rgbColor rgb="FF9AA3A0"/>
      <rgbColor rgb="FF003366"/>
      <rgbColor rgb="FF339966"/>
      <rgbColor rgb="FF003300"/>
      <rgbColor rgb="FF333300"/>
      <rgbColor rgb="FFB8322A"/>
      <rgbColor rgb="FF993366"/>
      <rgbColor rgb="FF333399"/>
      <rgbColor rgb="FF1B2A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Revenue &amp; EBITDA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Dashboard!$A$12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Dashboard!$B$12:$F$12</c:f>
              <c:numCache>
                <c:formatCode>\$#,##0,;"($"#,##0,\);\-</c:formatCode>
                <c:ptCount val="5"/>
                <c:pt idx="0">
                  <c:v>225414.939184555</c:v>
                </c:pt>
                <c:pt idx="1">
                  <c:v>591123.330484019</c:v>
                </c:pt>
                <c:pt idx="2">
                  <c:v>979388.559956597</c:v>
                </c:pt>
                <c:pt idx="3">
                  <c:v>1418382.10030103</c:v>
                </c:pt>
                <c:pt idx="4">
                  <c:v>1939020.94087271</c:v>
                </c:pt>
              </c:numCache>
            </c:numRef>
          </c:val>
        </c:ser>
        <c:ser>
          <c:idx val="1"/>
          <c:order val="1"/>
          <c:tx>
            <c:strRef>
              <c:f>Dashboard!$A$16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Dashboard!$B$16:$F$16</c:f>
              <c:numCache>
                <c:formatCode>\$#,##0,;"($"#,##0,\);\-</c:formatCode>
                <c:ptCount val="5"/>
                <c:pt idx="0">
                  <c:v>-703396.477000165</c:v>
                </c:pt>
                <c:pt idx="1">
                  <c:v>-820672.963572839</c:v>
                </c:pt>
                <c:pt idx="2">
                  <c:v>-1156452.64650262</c:v>
                </c:pt>
                <c:pt idx="3">
                  <c:v>-1818164.55963553</c:v>
                </c:pt>
                <c:pt idx="4">
                  <c:v>-2984436.0341689</c:v>
                </c:pt>
              </c:numCache>
            </c:numRef>
          </c:val>
        </c:ser>
        <c:gapWidth val="60"/>
        <c:overlap val="0"/>
        <c:axId val="91228797"/>
        <c:axId val="41690430"/>
      </c:barChart>
      <c:lineChart>
        <c:grouping val="standard"/>
        <c:varyColors val="0"/>
        <c:ser>
          <c:idx val="2"/>
          <c:order val="2"/>
          <c:tx>
            <c:strRef>
              <c:f>Dashboard!$A$17</c:f>
              <c:strCache>
                <c:ptCount val="1"/>
                <c:pt idx="0">
                  <c:v>EBITDA margin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Dashboard!$B$17:$F$17</c:f>
              <c:numCache>
                <c:formatCode>0.0%;\(0.0%\);\-</c:formatCode>
                <c:ptCount val="5"/>
                <c:pt idx="0">
                  <c:v>-3.12045190768953</c:v>
                </c:pt>
                <c:pt idx="1">
                  <c:v>-1.38832781798827</c:v>
                </c:pt>
                <c:pt idx="2">
                  <c:v>-1.18079043781547</c:v>
                </c:pt>
                <c:pt idx="3">
                  <c:v>-1.2818580827054</c:v>
                </c:pt>
                <c:pt idx="4">
                  <c:v>-1.53914584998018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5800125"/>
        <c:axId val="90626716"/>
      </c:lineChart>
      <c:catAx>
        <c:axId val="91228797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1690430"/>
        <c:crosses val="autoZero"/>
        <c:auto val="1"/>
        <c:lblAlgn val="ctr"/>
        <c:lblOffset val="100"/>
        <c:noMultiLvlLbl val="0"/>
      </c:catAx>
      <c:valAx>
        <c:axId val="41690430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1228797"/>
        <c:crosses val="autoZero"/>
        <c:crossBetween val="between"/>
      </c:valAx>
      <c:catAx>
        <c:axId val="95800125"/>
        <c:scaling>
          <c:orientation val="minMax"/>
        </c:scaling>
        <c:delete val="0"/>
        <c:axPos val="t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0626716"/>
        <c:crosses val="autoZero"/>
        <c:auto val="1"/>
        <c:lblAlgn val="ctr"/>
        <c:lblOffset val="100"/>
        <c:noMultiLvlLbl val="0"/>
      </c:catAx>
      <c:valAx>
        <c:axId val="90626716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5800125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Cash flow by activity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Dashboard!$A$20</c:f>
              <c:strCache>
                <c:ptCount val="1"/>
                <c:pt idx="0">
                  <c:v>Operating cash flow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Dashboard!$B$20:$F$20</c:f>
              <c:numCache>
                <c:formatCode>\$#,##0,;"($"#,##0,\);\-</c:formatCode>
                <c:ptCount val="5"/>
                <c:pt idx="0">
                  <c:v>-665196.514236771</c:v>
                </c:pt>
                <c:pt idx="1">
                  <c:v>-785208.41697933</c:v>
                </c:pt>
                <c:pt idx="2">
                  <c:v>-1117614.51512673</c:v>
                </c:pt>
                <c:pt idx="3">
                  <c:v>-1773179.37985021</c:v>
                </c:pt>
                <c:pt idx="4">
                  <c:v>-2930170.65655082</c:v>
                </c:pt>
              </c:numCache>
            </c:numRef>
          </c:val>
        </c:ser>
        <c:ser>
          <c:idx val="1"/>
          <c:order val="1"/>
          <c:tx>
            <c:strRef>
              <c:f>Dashboard!$A$21</c:f>
              <c:strCache>
                <c:ptCount val="1"/>
                <c:pt idx="0">
                  <c:v>Investing cash flow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Dashboard!$B$21:$F$21</c:f>
              <c:numCache>
                <c:formatCode>\$#,##0,;"($"#,##0,\);\-</c:formatCode>
                <c:ptCount val="5"/>
                <c:pt idx="0">
                  <c:v>-20000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"/>
          <c:order val="2"/>
          <c:tx>
            <c:strRef>
              <c:f>Dashboard!$A$22</c:f>
              <c:strCache>
                <c:ptCount val="1"/>
                <c:pt idx="0">
                  <c:v>Financing cash flow</c:v>
                </c:pt>
              </c:strCache>
            </c:strRef>
          </c:tx>
          <c:spPr>
            <a:solidFill>
              <a:srgbClr val="d9a21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Dashboard!$B$22:$F$22</c:f>
              <c:numCache>
                <c:formatCode>\$#,##0,;"($"#,##0,\);\-</c:formatCode>
                <c:ptCount val="5"/>
                <c:pt idx="0">
                  <c:v>3000000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60"/>
        <c:overlap val="0"/>
        <c:axId val="63751200"/>
        <c:axId val="66484058"/>
      </c:barChart>
      <c:catAx>
        <c:axId val="63751200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6484058"/>
        <c:crosses val="autoZero"/>
        <c:auto val="1"/>
        <c:lblAlgn val="ctr"/>
        <c:lblOffset val="100"/>
        <c:noMultiLvlLbl val="0"/>
      </c:catAx>
      <c:valAx>
        <c:axId val="66484058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375120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Year-end cash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Dashboard!$A$24</c:f>
              <c:strCache>
                <c:ptCount val="1"/>
                <c:pt idx="0">
                  <c:v>Year-end cash</c:v>
                </c:pt>
              </c:strCache>
            </c:strRef>
          </c:tx>
          <c:spPr>
            <a:solidFill>
              <a:srgbClr val="1b2a2f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800" spc="-1" strike="noStrike">
                    <a:solidFill>
                      <a:srgbClr val="1b2a2f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Dashboard!$B$24:$F$24</c:f>
              <c:numCache>
                <c:formatCode>\$#,##0,;"($"#,##0,\);\-</c:formatCode>
                <c:ptCount val="5"/>
                <c:pt idx="0">
                  <c:v>2314803.48576323</c:v>
                </c:pt>
                <c:pt idx="1">
                  <c:v>1529595.0687839</c:v>
                </c:pt>
                <c:pt idx="2">
                  <c:v>411980.553657166</c:v>
                </c:pt>
                <c:pt idx="3">
                  <c:v>-1361198.82619305</c:v>
                </c:pt>
                <c:pt idx="4">
                  <c:v>-4291369.48274386</c:v>
                </c:pt>
              </c:numCache>
            </c:numRef>
          </c:val>
        </c:ser>
        <c:gapWidth val="60"/>
        <c:overlap val="0"/>
        <c:axId val="6965087"/>
        <c:axId val="95199175"/>
      </c:barChart>
      <c:catAx>
        <c:axId val="6965087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5199175"/>
        <c:crosses val="autoZero"/>
        <c:auto val="1"/>
        <c:lblAlgn val="ctr"/>
        <c:lblOffset val="100"/>
        <c:noMultiLvlLbl val="0"/>
      </c:catAx>
      <c:valAx>
        <c:axId val="95199175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96508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ARR &amp; paying customers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Dashboard!$A$29</c:f>
              <c:strCache>
                <c:ptCount val="1"/>
                <c:pt idx="0">
                  <c:v>ARR (year-end MRR × 12)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Dashboard!$B$29:$F$29</c:f>
              <c:numCache>
                <c:formatCode>\$#,##0,;"($"#,##0,\);\-</c:formatCode>
                <c:ptCount val="5"/>
                <c:pt idx="0">
                  <c:v>397045.081766717</c:v>
                </c:pt>
                <c:pt idx="1">
                  <c:v>766645.333771572</c:v>
                </c:pt>
                <c:pt idx="2">
                  <c:v>1171790.94143235</c:v>
                </c:pt>
                <c:pt idx="3">
                  <c:v>1641396.13965726</c:v>
                </c:pt>
                <c:pt idx="4">
                  <c:v>2208189.18452008</c:v>
                </c:pt>
              </c:numCache>
            </c:numRef>
          </c:val>
        </c:ser>
        <c:gapWidth val="60"/>
        <c:overlap val="0"/>
        <c:axId val="55501378"/>
        <c:axId val="78769285"/>
      </c:barChart>
      <c:lineChart>
        <c:grouping val="standard"/>
        <c:varyColors val="0"/>
        <c:ser>
          <c:idx val="1"/>
          <c:order val="1"/>
          <c:tx>
            <c:strRef>
              <c:f>Dashboard!$A$28</c:f>
              <c:strCache>
                <c:ptCount val="1"/>
                <c:pt idx="0">
                  <c:v>Paying customers (year end)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Dashboard!$B$11:$F$11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Dashboard!$B$28:$F$28</c:f>
              <c:numCache>
                <c:formatCode>#,##0;\(#,##0\);\-</c:formatCode>
                <c:ptCount val="5"/>
                <c:pt idx="0">
                  <c:v>324.705075471428</c:v>
                </c:pt>
                <c:pt idx="1">
                  <c:v>602.208207322359</c:v>
                </c:pt>
                <c:pt idx="2">
                  <c:v>886.054646963686</c:v>
                </c:pt>
                <c:pt idx="3">
                  <c:v>1197.33900371814</c:v>
                </c:pt>
                <c:pt idx="4">
                  <c:v>1556.7377611649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4243652"/>
        <c:axId val="5178883"/>
      </c:lineChart>
      <c:catAx>
        <c:axId val="55501378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8769285"/>
        <c:crosses val="autoZero"/>
        <c:auto val="1"/>
        <c:lblAlgn val="ctr"/>
        <c:lblOffset val="100"/>
        <c:noMultiLvlLbl val="0"/>
      </c:catAx>
      <c:valAx>
        <c:axId val="78769285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5501378"/>
        <c:crosses val="autoZero"/>
        <c:crossBetween val="between"/>
      </c:valAx>
      <c:catAx>
        <c:axId val="74243652"/>
        <c:scaling>
          <c:orientation val="minMax"/>
        </c:scaling>
        <c:delete val="0"/>
        <c:axPos val="t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178883"/>
        <c:crosses val="autoZero"/>
        <c:auto val="1"/>
        <c:lblAlgn val="ctr"/>
        <c:lblOffset val="100"/>
        <c:noMultiLvlLbl val="0"/>
      </c:catAx>
      <c:valAx>
        <c:axId val="5178883"/>
        <c:scaling>
          <c:orientation val="minMax"/>
        </c:scaling>
        <c:delete val="0"/>
        <c:axPos val="r"/>
        <c:numFmt formatCode="#,##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4243652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Income statement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Summary!$A$7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Summary!$H$6:$S$6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Summary!$H$7:$S$7</c:f>
              <c:numCache>
                <c:formatCode>\$#,##0,;"($"#,##0,\);\-</c:formatCode>
                <c:ptCount val="12"/>
                <c:pt idx="0">
                  <c:v>4406.875</c:v>
                </c:pt>
                <c:pt idx="1">
                  <c:v>7244.703125</c:v>
                </c:pt>
                <c:pt idx="2">
                  <c:v>10011.585546875</c:v>
                </c:pt>
                <c:pt idx="3">
                  <c:v>12709.2959082031</c:v>
                </c:pt>
                <c:pt idx="4">
                  <c:v>15339.563510498</c:v>
                </c:pt>
                <c:pt idx="5">
                  <c:v>17904.0744227356</c:v>
                </c:pt>
                <c:pt idx="6">
                  <c:v>20404.4725621672</c:v>
                </c:pt>
                <c:pt idx="7">
                  <c:v>22842.360748113</c:v>
                </c:pt>
                <c:pt idx="8">
                  <c:v>25219.3017294102</c:v>
                </c:pt>
                <c:pt idx="9">
                  <c:v>27536.819186175</c:v>
                </c:pt>
                <c:pt idx="10">
                  <c:v>29796.3987065206</c:v>
                </c:pt>
                <c:pt idx="11">
                  <c:v>31999.4887388576</c:v>
                </c:pt>
              </c:numCache>
            </c:numRef>
          </c:val>
        </c:ser>
        <c:gapWidth val="60"/>
        <c:overlap val="0"/>
        <c:axId val="58136656"/>
        <c:axId val="192947"/>
      </c:barChart>
      <c:lineChart>
        <c:grouping val="standard"/>
        <c:varyColors val="0"/>
        <c:ser>
          <c:idx val="1"/>
          <c:order val="1"/>
          <c:tx>
            <c:strRef>
              <c:f>Summary!$A$12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Summary!$H$6:$S$6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Summary!$H$12:$S$12</c:f>
              <c:numCache>
                <c:formatCode>\$#,##0,;"($"#,##0,\);\-</c:formatCode>
                <c:ptCount val="12"/>
                <c:pt idx="0">
                  <c:v>-71272.6902777778</c:v>
                </c:pt>
                <c:pt idx="1">
                  <c:v>-68775.5341875</c:v>
                </c:pt>
                <c:pt idx="2">
                  <c:v>-66340.5225533681</c:v>
                </c:pt>
                <c:pt idx="3">
                  <c:v>-63966.1102973616</c:v>
                </c:pt>
                <c:pt idx="4">
                  <c:v>-61650.7907124094</c:v>
                </c:pt>
                <c:pt idx="5">
                  <c:v>-59393.0945107955</c:v>
                </c:pt>
                <c:pt idx="6">
                  <c:v>-57191.5888961248</c:v>
                </c:pt>
                <c:pt idx="7">
                  <c:v>-55044.8766582669</c:v>
                </c:pt>
                <c:pt idx="8">
                  <c:v>-52951.5952907079</c:v>
                </c:pt>
                <c:pt idx="9">
                  <c:v>-50910.4161297599</c:v>
                </c:pt>
                <c:pt idx="10">
                  <c:v>-48920.0435150849</c:v>
                </c:pt>
                <c:pt idx="11">
                  <c:v>-46979.2139710086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Summary!$A$19</c:f>
              <c:strCache>
                <c:ptCount val="1"/>
                <c:pt idx="0">
                  <c:v>Net income</c:v>
                </c:pt>
              </c:strCache>
            </c:strRef>
          </c:tx>
          <c:spPr>
            <a:solidFill>
              <a:srgbClr val="1b2a2f"/>
            </a:solidFill>
            <a:ln w="28080">
              <a:solidFill>
                <a:srgbClr val="1b2a2f"/>
              </a:solidFill>
              <a:round/>
            </a:ln>
          </c:spPr>
          <c:marker>
            <c:symbol val="circle"/>
            <c:size val="6"/>
            <c:spPr>
              <a:solidFill>
                <a:srgbClr val="1b2a2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Summary!$H$6:$S$6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Summary!$H$19:$S$19</c:f>
              <c:numCache>
                <c:formatCode>\$#,##0,;"($"#,##0,\);\-</c:formatCode>
                <c:ptCount val="12"/>
                <c:pt idx="0">
                  <c:v>-71828.2458333333</c:v>
                </c:pt>
                <c:pt idx="1">
                  <c:v>-69331.0897430556</c:v>
                </c:pt>
                <c:pt idx="2">
                  <c:v>-66896.0781089236</c:v>
                </c:pt>
                <c:pt idx="3">
                  <c:v>-64521.6658529172</c:v>
                </c:pt>
                <c:pt idx="4">
                  <c:v>-62206.346267965</c:v>
                </c:pt>
                <c:pt idx="5">
                  <c:v>-59948.650066351</c:v>
                </c:pt>
                <c:pt idx="6">
                  <c:v>-57747.1444516804</c:v>
                </c:pt>
                <c:pt idx="7">
                  <c:v>-55600.4322138224</c:v>
                </c:pt>
                <c:pt idx="8">
                  <c:v>-53507.1508462635</c:v>
                </c:pt>
                <c:pt idx="9">
                  <c:v>-51465.9716853155</c:v>
                </c:pt>
                <c:pt idx="10">
                  <c:v>-49475.5990706404</c:v>
                </c:pt>
                <c:pt idx="11">
                  <c:v>-47534.7695265641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8136656"/>
        <c:axId val="192947"/>
      </c:lineChart>
      <c:catAx>
        <c:axId val="58136656"/>
        <c:scaling>
          <c:orientation val="minMax"/>
        </c:scaling>
        <c:delete val="0"/>
        <c:axPos val="b"/>
        <c:numFmt formatCode="\M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92947"/>
        <c:crosses val="autoZero"/>
        <c:auto val="1"/>
        <c:lblAlgn val="ctr"/>
        <c:lblOffset val="100"/>
        <c:noMultiLvlLbl val="0"/>
      </c:catAx>
      <c:valAx>
        <c:axId val="192947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813665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Cash flow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Summary!$A$24</c:f>
              <c:strCache>
                <c:ptCount val="1"/>
                <c:pt idx="0">
                  <c:v>Operating cash flow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Summary!$H$23:$S$23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Summary!$H$24:$S$24</c:f>
              <c:numCache>
                <c:formatCode>\$#,##0,;"($"#,##0,\);\-</c:formatCode>
                <c:ptCount val="12"/>
                <c:pt idx="0">
                  <c:v>-64465.1041666667</c:v>
                </c:pt>
                <c:pt idx="1">
                  <c:v>-65545.5460069444</c:v>
                </c:pt>
                <c:pt idx="2">
                  <c:v>-63191.5685234375</c:v>
                </c:pt>
                <c:pt idx="3">
                  <c:v>-60896.1560309071</c:v>
                </c:pt>
                <c:pt idx="4">
                  <c:v>-58657.8529379622</c:v>
                </c:pt>
                <c:pt idx="5">
                  <c:v>-56475.239786995</c:v>
                </c:pt>
                <c:pt idx="6">
                  <c:v>-54346.9323585164</c:v>
                </c:pt>
                <c:pt idx="7">
                  <c:v>-52271.5807976527</c:v>
                </c:pt>
                <c:pt idx="8">
                  <c:v>-50247.8687622566</c:v>
                </c:pt>
                <c:pt idx="9">
                  <c:v>-48274.5125920979</c:v>
                </c:pt>
                <c:pt idx="10">
                  <c:v>-46350.2604986151</c:v>
                </c:pt>
                <c:pt idx="11">
                  <c:v>-44473.8917747187</c:v>
                </c:pt>
              </c:numCache>
            </c:numRef>
          </c:val>
        </c:ser>
        <c:ser>
          <c:idx val="1"/>
          <c:order val="1"/>
          <c:tx>
            <c:strRef>
              <c:f>Summary!$A$25</c:f>
              <c:strCache>
                <c:ptCount val="1"/>
                <c:pt idx="0">
                  <c:v>Capital spending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Summary!$H$23:$S$23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Summary!$H$25:$S$25</c:f>
              <c:numCache>
                <c:formatCode>\$#,##0,;"($"#,##0,\);\-</c:formatCode>
                <c:ptCount val="12"/>
                <c:pt idx="0">
                  <c:v>-20000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</c:numCache>
            </c:numRef>
          </c:val>
        </c:ser>
        <c:ser>
          <c:idx val="2"/>
          <c:order val="2"/>
          <c:tx>
            <c:strRef>
              <c:f>Summary!$A$29</c:f>
              <c:strCache>
                <c:ptCount val="1"/>
                <c:pt idx="0">
                  <c:v>Financing cash flow</c:v>
                </c:pt>
              </c:strCache>
            </c:strRef>
          </c:tx>
          <c:spPr>
            <a:solidFill>
              <a:srgbClr val="d9a21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Summary!$H$23:$S$23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Summary!$H$29:$S$29</c:f>
              <c:numCache>
                <c:formatCode>\$#,##0,;"($"#,##0,\);\-</c:formatCode>
                <c:ptCount val="12"/>
                <c:pt idx="0">
                  <c:v>3000000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60"/>
        <c:overlap val="0"/>
        <c:axId val="18515311"/>
        <c:axId val="85273161"/>
      </c:barChart>
      <c:lineChart>
        <c:grouping val="standard"/>
        <c:varyColors val="0"/>
        <c:ser>
          <c:idx val="3"/>
          <c:order val="3"/>
          <c:tx>
            <c:strRef>
              <c:f>Summary!$A$31</c:f>
              <c:strCache>
                <c:ptCount val="1"/>
                <c:pt idx="0">
                  <c:v>Closing cash</c:v>
                </c:pt>
              </c:strCache>
            </c:strRef>
          </c:tx>
          <c:spPr>
            <a:solidFill>
              <a:srgbClr val="1b2a2f"/>
            </a:solidFill>
            <a:ln w="28080">
              <a:solidFill>
                <a:srgbClr val="1b2a2f"/>
              </a:solidFill>
              <a:round/>
            </a:ln>
          </c:spPr>
          <c:marker>
            <c:symbol val="circle"/>
            <c:size val="6"/>
            <c:spPr>
              <a:solidFill>
                <a:srgbClr val="1b2a2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Summary!$H$23:$S$23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Summary!$H$31:$S$31</c:f>
              <c:numCache>
                <c:formatCode>\$#,##0,;"($"#,##0,\);\-</c:formatCode>
                <c:ptCount val="12"/>
                <c:pt idx="0">
                  <c:v>2915534.89583333</c:v>
                </c:pt>
                <c:pt idx="1">
                  <c:v>2849989.34982639</c:v>
                </c:pt>
                <c:pt idx="2">
                  <c:v>2786797.78130295</c:v>
                </c:pt>
                <c:pt idx="3">
                  <c:v>2725901.62527204</c:v>
                </c:pt>
                <c:pt idx="4">
                  <c:v>2667243.77233408</c:v>
                </c:pt>
                <c:pt idx="5">
                  <c:v>2610768.53254709</c:v>
                </c:pt>
                <c:pt idx="6">
                  <c:v>2556421.60018857</c:v>
                </c:pt>
                <c:pt idx="7">
                  <c:v>2504150.01939092</c:v>
                </c:pt>
                <c:pt idx="8">
                  <c:v>2453902.15062866</c:v>
                </c:pt>
                <c:pt idx="9">
                  <c:v>2405627.63803656</c:v>
                </c:pt>
                <c:pt idx="10">
                  <c:v>2359277.37753795</c:v>
                </c:pt>
                <c:pt idx="11">
                  <c:v>2314803.48576323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8710796"/>
        <c:axId val="24310730"/>
      </c:lineChart>
      <c:catAx>
        <c:axId val="18515311"/>
        <c:scaling>
          <c:orientation val="minMax"/>
        </c:scaling>
        <c:delete val="0"/>
        <c:axPos val="b"/>
        <c:numFmt formatCode="\M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5273161"/>
        <c:crosses val="autoZero"/>
        <c:auto val="1"/>
        <c:lblAlgn val="ctr"/>
        <c:lblOffset val="100"/>
        <c:noMultiLvlLbl val="0"/>
      </c:catAx>
      <c:valAx>
        <c:axId val="85273161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8515311"/>
        <c:crosses val="autoZero"/>
        <c:crossBetween val="between"/>
      </c:valAx>
      <c:catAx>
        <c:axId val="48710796"/>
        <c:scaling>
          <c:orientation val="minMax"/>
        </c:scaling>
        <c:delete val="0"/>
        <c:axPos val="t"/>
        <c:numFmt formatCode="\M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4310730"/>
        <c:crosses val="autoZero"/>
        <c:auto val="1"/>
        <c:lblAlgn val="ctr"/>
        <c:lblOffset val="100"/>
        <c:noMultiLvlLbl val="0"/>
      </c:catAx>
      <c:valAx>
        <c:axId val="24310730"/>
        <c:scaling>
          <c:orientation val="minMax"/>
        </c:scaling>
        <c:delete val="0"/>
        <c:axPos val="r"/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8710796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Assets and equity at month 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Summary!$A$41</c:f>
              <c:strCache>
                <c:ptCount val="1"/>
                <c:pt idx="0">
                  <c:v>Cash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Summary!$H$40:$S$40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Summary!$H$41:$S$41</c:f>
              <c:numCache>
                <c:formatCode>\$#,##0,;"($"#,##0,\);\-</c:formatCode>
                <c:ptCount val="12"/>
                <c:pt idx="0">
                  <c:v>2915534.89583333</c:v>
                </c:pt>
                <c:pt idx="1">
                  <c:v>2849989.34982639</c:v>
                </c:pt>
                <c:pt idx="2">
                  <c:v>2786797.78130295</c:v>
                </c:pt>
                <c:pt idx="3">
                  <c:v>2725901.62527204</c:v>
                </c:pt>
                <c:pt idx="4">
                  <c:v>2667243.77233408</c:v>
                </c:pt>
                <c:pt idx="5">
                  <c:v>2610768.53254709</c:v>
                </c:pt>
                <c:pt idx="6">
                  <c:v>2556421.60018857</c:v>
                </c:pt>
                <c:pt idx="7">
                  <c:v>2504150.01939092</c:v>
                </c:pt>
                <c:pt idx="8">
                  <c:v>2453902.15062866</c:v>
                </c:pt>
                <c:pt idx="9">
                  <c:v>2405627.63803656</c:v>
                </c:pt>
                <c:pt idx="10">
                  <c:v>2359277.37753795</c:v>
                </c:pt>
                <c:pt idx="11">
                  <c:v>2314803.48576323</c:v>
                </c:pt>
              </c:numCache>
            </c:numRef>
          </c:val>
        </c:ser>
        <c:ser>
          <c:idx val="1"/>
          <c:order val="1"/>
          <c:tx>
            <c:strRef>
              <c:f>Summary!$A$42</c:f>
              <c:strCache>
                <c:ptCount val="1"/>
                <c:pt idx="0">
                  <c:v>Accounts receivable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Summary!$H$40:$S$40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Summary!$H$42:$S$42</c:f>
              <c:numCache>
                <c:formatCode>\$#,##0,;"($"#,##0,\);\-</c:formatCode>
                <c:ptCount val="12"/>
                <c:pt idx="0">
                  <c:v>734.479166666667</c:v>
                </c:pt>
                <c:pt idx="1">
                  <c:v>1207.45052083333</c:v>
                </c:pt>
                <c:pt idx="2">
                  <c:v>1668.59759114583</c:v>
                </c:pt>
                <c:pt idx="3">
                  <c:v>2118.21598470052</c:v>
                </c:pt>
                <c:pt idx="4">
                  <c:v>2556.59391841634</c:v>
                </c:pt>
                <c:pt idx="5">
                  <c:v>2984.01240378927</c:v>
                </c:pt>
                <c:pt idx="6">
                  <c:v>3400.74542702787</c:v>
                </c:pt>
                <c:pt idx="7">
                  <c:v>3807.06012468551</c:v>
                </c:pt>
                <c:pt idx="8">
                  <c:v>4203.2169549017</c:v>
                </c:pt>
                <c:pt idx="9">
                  <c:v>4589.46986436249</c:v>
                </c:pt>
                <c:pt idx="10">
                  <c:v>4966.06645108676</c:v>
                </c:pt>
                <c:pt idx="11">
                  <c:v>5333.24812314293</c:v>
                </c:pt>
              </c:numCache>
            </c:numRef>
          </c:val>
        </c:ser>
        <c:ser>
          <c:idx val="2"/>
          <c:order val="2"/>
          <c:tx>
            <c:strRef>
              <c:f>Summary!$A$44</c:f>
              <c:strCache>
                <c:ptCount val="1"/>
                <c:pt idx="0">
                  <c:v>Net fixed assets</c:v>
                </c:pt>
              </c:strCache>
            </c:strRef>
          </c:tx>
          <c:spPr>
            <a:solidFill>
              <a:srgbClr val="d9a21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Summary!$H$40:$S$40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Summary!$H$44:$S$44</c:f>
              <c:numCache>
                <c:formatCode>\$#,##0,;"($"#,##0,\);\-</c:formatCode>
                <c:ptCount val="12"/>
                <c:pt idx="0">
                  <c:v>19444.4444444444</c:v>
                </c:pt>
                <c:pt idx="1">
                  <c:v>18888.8888888889</c:v>
                </c:pt>
                <c:pt idx="2">
                  <c:v>18333.3333333333</c:v>
                </c:pt>
                <c:pt idx="3">
                  <c:v>17777.7777777778</c:v>
                </c:pt>
                <c:pt idx="4">
                  <c:v>17222.2222222222</c:v>
                </c:pt>
                <c:pt idx="5">
                  <c:v>16666.6666666667</c:v>
                </c:pt>
                <c:pt idx="6">
                  <c:v>16111.1111111111</c:v>
                </c:pt>
                <c:pt idx="7">
                  <c:v>15555.5555555556</c:v>
                </c:pt>
                <c:pt idx="8">
                  <c:v>15000</c:v>
                </c:pt>
                <c:pt idx="9">
                  <c:v>14444.4444444444</c:v>
                </c:pt>
                <c:pt idx="10">
                  <c:v>13888.8888888889</c:v>
                </c:pt>
                <c:pt idx="11">
                  <c:v>13333.3333333333</c:v>
                </c:pt>
              </c:numCache>
            </c:numRef>
          </c:val>
        </c:ser>
        <c:gapWidth val="60"/>
        <c:overlap val="100"/>
        <c:axId val="71311988"/>
        <c:axId val="14026791"/>
      </c:barChart>
      <c:lineChart>
        <c:grouping val="stacked"/>
        <c:varyColors val="0"/>
        <c:ser>
          <c:idx val="3"/>
          <c:order val="3"/>
          <c:tx>
            <c:strRef>
              <c:f>Summary!$A$52</c:f>
              <c:strCache>
                <c:ptCount val="1"/>
                <c:pt idx="0">
                  <c:v>Total equity</c:v>
                </c:pt>
              </c:strCache>
            </c:strRef>
          </c:tx>
          <c:spPr>
            <a:solidFill>
              <a:srgbClr val="1b2a2f"/>
            </a:solidFill>
            <a:ln w="28080">
              <a:solidFill>
                <a:srgbClr val="1b2a2f"/>
              </a:solidFill>
              <a:round/>
            </a:ln>
          </c:spPr>
          <c:marker>
            <c:symbol val="circle"/>
            <c:size val="6"/>
            <c:spPr>
              <a:solidFill>
                <a:srgbClr val="1b2a2f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Summary!$H$40:$S$40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Summary!$H$52:$S$52</c:f>
              <c:numCache>
                <c:formatCode>\$#,##0,;"($"#,##0,\);\-</c:formatCode>
                <c:ptCount val="12"/>
                <c:pt idx="0">
                  <c:v>2928171.75416667</c:v>
                </c:pt>
                <c:pt idx="1">
                  <c:v>2858840.66442361</c:v>
                </c:pt>
                <c:pt idx="2">
                  <c:v>2791944.58631469</c:v>
                </c:pt>
                <c:pt idx="3">
                  <c:v>2727422.92046177</c:v>
                </c:pt>
                <c:pt idx="4">
                  <c:v>2665216.57419381</c:v>
                </c:pt>
                <c:pt idx="5">
                  <c:v>2605267.92412745</c:v>
                </c:pt>
                <c:pt idx="6">
                  <c:v>2547520.77967577</c:v>
                </c:pt>
                <c:pt idx="7">
                  <c:v>2491920.34746195</c:v>
                </c:pt>
                <c:pt idx="8">
                  <c:v>2438413.19661569</c:v>
                </c:pt>
                <c:pt idx="9">
                  <c:v>2386947.22493037</c:v>
                </c:pt>
                <c:pt idx="10">
                  <c:v>2337471.62585973</c:v>
                </c:pt>
                <c:pt idx="11">
                  <c:v>2289936.85633317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1311988"/>
        <c:axId val="14026791"/>
      </c:lineChart>
      <c:catAx>
        <c:axId val="71311988"/>
        <c:scaling>
          <c:orientation val="minMax"/>
        </c:scaling>
        <c:delete val="0"/>
        <c:axPos val="b"/>
        <c:numFmt formatCode="\M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4026791"/>
        <c:crosses val="autoZero"/>
        <c:auto val="1"/>
        <c:lblAlgn val="ctr"/>
        <c:lblOffset val="100"/>
        <c:noMultiLvlLbl val="0"/>
      </c:catAx>
      <c:valAx>
        <c:axId val="14026791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131198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Scenarios!$A$30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Scenarios!$B$29:$F$29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Scenarios!$B$30:$F$30</c:f>
              <c:numCache>
                <c:formatCode>\$#,##0,;"($"#,##0,\);\-</c:formatCode>
                <c:ptCount val="5"/>
                <c:pt idx="0">
                  <c:v>125924.626019004</c:v>
                </c:pt>
                <c:pt idx="1">
                  <c:v>280162.870849517</c:v>
                </c:pt>
                <c:pt idx="2">
                  <c:v>402920.185349924</c:v>
                </c:pt>
                <c:pt idx="3">
                  <c:v>513604.80626374</c:v>
                </c:pt>
                <c:pt idx="4">
                  <c:v>624519.478230787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Scenarios!$A$31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Scenarios!$B$29:$F$29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Scenarios!$B$31:$F$31</c:f>
              <c:numCache>
                <c:formatCode>\$#,##0,;"($"#,##0,\);\-</c:formatCode>
                <c:ptCount val="5"/>
                <c:pt idx="0">
                  <c:v>225414.939184555</c:v>
                </c:pt>
                <c:pt idx="1">
                  <c:v>591123.330484019</c:v>
                </c:pt>
                <c:pt idx="2">
                  <c:v>979388.559956597</c:v>
                </c:pt>
                <c:pt idx="3">
                  <c:v>1418382.10030103</c:v>
                </c:pt>
                <c:pt idx="4">
                  <c:v>1939020.94087271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Scenarios!$A$32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Scenarios!$B$29:$F$29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Scenarios!$B$32:$F$32</c:f>
              <c:numCache>
                <c:formatCode>\$#,##0,;"($"#,##0,\);\-</c:formatCode>
                <c:ptCount val="5"/>
                <c:pt idx="0">
                  <c:v>378410.09831737</c:v>
                </c:pt>
                <c:pt idx="1">
                  <c:v>1133100.31075438</c:v>
                </c:pt>
                <c:pt idx="2">
                  <c:v>2128410.73729818</c:v>
                </c:pt>
                <c:pt idx="3">
                  <c:v>3490263.93137749</c:v>
                </c:pt>
                <c:pt idx="4">
                  <c:v>5409456.89835298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754929"/>
        <c:axId val="57234105"/>
      </c:lineChart>
      <c:catAx>
        <c:axId val="7754929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57234105"/>
        <c:crosses val="autoZero"/>
        <c:auto val="1"/>
        <c:lblAlgn val="ctr"/>
        <c:lblOffset val="100"/>
        <c:noMultiLvlLbl val="0"/>
      </c:catAx>
      <c:valAx>
        <c:axId val="57234105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75492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EBITDA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Scenarios!$A$36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Scenarios!$B$35:$F$35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Scenarios!$B$36:$F$36</c:f>
              <c:numCache>
                <c:formatCode>\$#,##0,;"($"#,##0,\);\-</c:formatCode>
                <c:ptCount val="5"/>
                <c:pt idx="0">
                  <c:v>-795768.276926783</c:v>
                </c:pt>
                <c:pt idx="1">
                  <c:v>-1105455.7700138</c:v>
                </c:pt>
                <c:pt idx="2">
                  <c:v>-1680568.60342434</c:v>
                </c:pt>
                <c:pt idx="3">
                  <c:v>-2637014.00647261</c:v>
                </c:pt>
                <c:pt idx="4">
                  <c:v>-4170384.42806998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Scenarios!$A$37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Scenarios!$B$35:$F$35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Scenarios!$B$37:$F$37</c:f>
              <c:numCache>
                <c:formatCode>\$#,##0,;"($"#,##0,\);\-</c:formatCode>
                <c:ptCount val="5"/>
                <c:pt idx="0">
                  <c:v>-703396.477000165</c:v>
                </c:pt>
                <c:pt idx="1">
                  <c:v>-820672.963572839</c:v>
                </c:pt>
                <c:pt idx="2">
                  <c:v>-1156452.64650262</c:v>
                </c:pt>
                <c:pt idx="3">
                  <c:v>-1818164.55963553</c:v>
                </c:pt>
                <c:pt idx="4">
                  <c:v>-2984436.0341689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Scenarios!$A$38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Scenarios!$B$35:$F$35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Scenarios!$B$38:$F$38</c:f>
              <c:numCache>
                <c:formatCode>\$#,##0,;"($"#,##0,\);\-</c:formatCode>
                <c:ptCount val="5"/>
                <c:pt idx="0">
                  <c:v>-558259.052952117</c:v>
                </c:pt>
                <c:pt idx="1">
                  <c:v>-311798.283759322</c:v>
                </c:pt>
                <c:pt idx="2">
                  <c:v>-84273.9887926618</c:v>
                </c:pt>
                <c:pt idx="3">
                  <c:v>106918.073643261</c:v>
                </c:pt>
                <c:pt idx="4">
                  <c:v>229990.22457941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1172885"/>
        <c:axId val="64444967"/>
      </c:lineChart>
      <c:catAx>
        <c:axId val="11172885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64444967"/>
        <c:crosses val="autoZero"/>
        <c:auto val="1"/>
        <c:lblAlgn val="ctr"/>
        <c:lblOffset val="100"/>
        <c:noMultiLvlLbl val="0"/>
      </c:catAx>
      <c:valAx>
        <c:axId val="64444967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117288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Net income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Scenarios!$A$42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Scenarios!$B$41:$F$41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Scenarios!$B$42:$F$42</c:f>
              <c:numCache>
                <c:formatCode>\$#,##0,;"($"#,##0,\);\-</c:formatCode>
                <c:ptCount val="5"/>
                <c:pt idx="0">
                  <c:v>-802434.943593449</c:v>
                </c:pt>
                <c:pt idx="1">
                  <c:v>-1112122.43668047</c:v>
                </c:pt>
                <c:pt idx="2">
                  <c:v>-1687235.27009101</c:v>
                </c:pt>
                <c:pt idx="3">
                  <c:v>-2637014.00647261</c:v>
                </c:pt>
                <c:pt idx="4">
                  <c:v>-4170384.42806998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Scenarios!$A$43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Scenarios!$B$41:$F$41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Scenarios!$B$43:$F$43</c:f>
              <c:numCache>
                <c:formatCode>\$#,##0,;"($"#,##0,\);\-</c:formatCode>
                <c:ptCount val="5"/>
                <c:pt idx="0">
                  <c:v>-710063.143666832</c:v>
                </c:pt>
                <c:pt idx="1">
                  <c:v>-827339.630239505</c:v>
                </c:pt>
                <c:pt idx="2">
                  <c:v>-1163119.31316928</c:v>
                </c:pt>
                <c:pt idx="3">
                  <c:v>-1818164.55963553</c:v>
                </c:pt>
                <c:pt idx="4">
                  <c:v>-2984436.0341689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Scenarios!$A$44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Scenarios!$B$41:$F$41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Scenarios!$B$44:$F$44</c:f>
              <c:numCache>
                <c:formatCode>\$#,##0,;"($"#,##0,\);\-</c:formatCode>
                <c:ptCount val="5"/>
                <c:pt idx="0">
                  <c:v>-564925.719618784</c:v>
                </c:pt>
                <c:pt idx="1">
                  <c:v>-318464.950425989</c:v>
                </c:pt>
                <c:pt idx="2">
                  <c:v>-90940.6554593285</c:v>
                </c:pt>
                <c:pt idx="3">
                  <c:v>106918.073643261</c:v>
                </c:pt>
                <c:pt idx="4">
                  <c:v>229990.22457941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8899470"/>
        <c:axId val="76369865"/>
      </c:lineChart>
      <c:catAx>
        <c:axId val="98899470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6369865"/>
        <c:crosses val="autoZero"/>
        <c:auto val="1"/>
        <c:lblAlgn val="ctr"/>
        <c:lblOffset val="100"/>
        <c:noMultiLvlLbl val="0"/>
      </c:catAx>
      <c:valAx>
        <c:axId val="76369865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889947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Cash at year 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Scenarios!$A$48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Scenarios!$B$47:$F$47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Scenarios!$B$48:$F$48</c:f>
              <c:numCache>
                <c:formatCode>\$#,##0,;"($"#,##0,\);\-</c:formatCode>
                <c:ptCount val="5"/>
                <c:pt idx="0">
                  <c:v>2204800.77938623</c:v>
                </c:pt>
                <c:pt idx="1">
                  <c:v>1112631.86476478</c:v>
                </c:pt>
                <c:pt idx="2">
                  <c:v>-556667.823183717</c:v>
                </c:pt>
                <c:pt idx="3">
                  <c:v>-3182927.87185552</c:v>
                </c:pt>
                <c:pt idx="4">
                  <c:v>-7342086.88541735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Scenarios!$A$49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Scenarios!$B$47:$F$47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Scenarios!$B$49:$F$49</c:f>
              <c:numCache>
                <c:formatCode>\$#,##0,;"($"#,##0,\);\-</c:formatCode>
                <c:ptCount val="5"/>
                <c:pt idx="0">
                  <c:v>2314803.48576323</c:v>
                </c:pt>
                <c:pt idx="1">
                  <c:v>1529595.0687839</c:v>
                </c:pt>
                <c:pt idx="2">
                  <c:v>411980.553657166</c:v>
                </c:pt>
                <c:pt idx="3">
                  <c:v>-1361198.82619305</c:v>
                </c:pt>
                <c:pt idx="4">
                  <c:v>-4291369.48274386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Scenarios!$A$50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Scenarios!$B$47:$F$47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Scenarios!$B$50:$F$50</c:f>
              <c:numCache>
                <c:formatCode>\$#,##0,;"($"#,##0,\);\-</c:formatCode>
                <c:ptCount val="5"/>
                <c:pt idx="0">
                  <c:v>2487622.22037006</c:v>
                </c:pt>
                <c:pt idx="1">
                  <c:v>2255241.49422263</c:v>
                </c:pt>
                <c:pt idx="2">
                  <c:v>2277434.84153472</c:v>
                </c:pt>
                <c:pt idx="3">
                  <c:v>2531964.28753121</c:v>
                </c:pt>
                <c:pt idx="4">
                  <c:v>2972134.87768751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2301341"/>
        <c:axId val="81081032"/>
      </c:lineChart>
      <c:catAx>
        <c:axId val="22301341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1081032"/>
        <c:crosses val="autoZero"/>
        <c:auto val="1"/>
        <c:lblAlgn val="ctr"/>
        <c:lblOffset val="100"/>
        <c:noMultiLvlLbl val="0"/>
      </c:catAx>
      <c:valAx>
        <c:axId val="81081032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2230134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Funding structure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"Funding"</c:f>
              <c:strCache>
                <c:ptCount val="1"/>
                <c:pt idx="0">
                  <c:v>Funding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f6e5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7fb5a3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800" spc="-1" strike="noStrike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800" spc="-1" strike="noStrike">
                      <a:solidFill>
                        <a:srgbClr val="ffffff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800" spc="-1" strike="noStrike">
                    <a:solidFill>
                      <a:srgbClr val="ffffff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eparator>
</c:separator>
            <c:showLeaderLines val="0"/>
          </c:dLbls>
          <c:cat>
            <c:strRef>
              <c:f>'Sources &amp; Uses'!$A$7:$A$8</c:f>
              <c:strCache>
                <c:ptCount val="2"/>
                <c:pt idx="0">
                  <c:v>Equity</c:v>
                </c:pt>
                <c:pt idx="1">
                  <c:v>Debt (loan)</c:v>
                </c:pt>
              </c:strCache>
            </c:strRef>
          </c:cat>
          <c:val>
            <c:numRef>
              <c:f>'Sources &amp; Uses'!$B$7:$B$8</c:f>
              <c:numCache>
                <c:formatCode>\$#,##0,;"($"#,##0,\);\-</c:formatCode>
                <c:ptCount val="2"/>
                <c:pt idx="0">
                  <c:v>3000000</c:v>
                </c:pt>
                <c:pt idx="1">
                  <c:v>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Uses of funds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"Uses"</c:f>
              <c:strCache>
                <c:ptCount val="1"/>
                <c:pt idx="0">
                  <c:v>Uses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800" spc="-1" strike="noStrike">
                    <a:solidFill>
                      <a:srgbClr val="1b2a2f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'Sources &amp; Uses'!$A$24:$A$27</c:f>
              <c:strCache>
                <c:ptCount val="4"/>
                <c:pt idx="0">
                  <c:v>Cash used by operations</c:v>
                </c:pt>
                <c:pt idx="1">
                  <c:v>Capital spending</c:v>
                </c:pt>
                <c:pt idx="2">
                  <c:v>Loan repayments</c:v>
                </c:pt>
                <c:pt idx="3">
                  <c:v>Cash at the end of the period</c:v>
                </c:pt>
              </c:strCache>
            </c:strRef>
          </c:cat>
          <c:val>
            <c:numRef>
              <c:f>'Sources &amp; Uses'!$B$24:$B$27</c:f>
              <c:numCache>
                <c:formatCode>\$#,##0,;"($"#,##0,\);\-</c:formatCode>
                <c:ptCount val="4"/>
                <c:pt idx="0">
                  <c:v>665196.514236771</c:v>
                </c:pt>
                <c:pt idx="1">
                  <c:v>20000</c:v>
                </c:pt>
                <c:pt idx="2">
                  <c:v>-0</c:v>
                </c:pt>
                <c:pt idx="3">
                  <c:v>2314803.48576323</c:v>
                </c:pt>
              </c:numCache>
            </c:numRef>
          </c:val>
        </c:ser>
        <c:gapWidth val="60"/>
        <c:overlap val="0"/>
        <c:axId val="98881310"/>
        <c:axId val="12186220"/>
      </c:barChart>
      <c:catAx>
        <c:axId val="9888131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12186220"/>
        <c:crosses val="autoZero"/>
        <c:auto val="1"/>
        <c:lblAlgn val="ctr"/>
        <c:lblOffset val="100"/>
        <c:noMultiLvlLbl val="0"/>
      </c:catAx>
      <c:valAx>
        <c:axId val="12186220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\$#,##0.0,,\M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8881310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Margins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KPIs!$A$7</c:f>
              <c:strCache>
                <c:ptCount val="1"/>
                <c:pt idx="0">
                  <c:v>Gross margin</c:v>
                </c:pt>
              </c:strCache>
            </c:strRef>
          </c:tx>
          <c:spPr>
            <a:solidFill>
              <a:srgbClr val="0f6e56"/>
            </a:solidFill>
            <a:ln w="28080">
              <a:solidFill>
                <a:srgbClr val="0f6e56"/>
              </a:solidFill>
              <a:round/>
            </a:ln>
          </c:spPr>
          <c:marker>
            <c:symbol val="circle"/>
            <c:size val="6"/>
            <c:spPr>
              <a:solidFill>
                <a:srgbClr val="0f6e5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KPIs!$B$7:$F$7</c:f>
              <c:numCache>
                <c:formatCode>0.0%;\(0.0%\);\-</c:formatCode>
                <c:ptCount val="5"/>
                <c:pt idx="0">
                  <c:v>0.880170248332097</c:v>
                </c:pt>
                <c:pt idx="1">
                  <c:v>0.880843319110441</c:v>
                </c:pt>
                <c:pt idx="2">
                  <c:v>0.881555073030102</c:v>
                </c:pt>
                <c:pt idx="3">
                  <c:v>0.882214810874232</c:v>
                </c:pt>
                <c:pt idx="4">
                  <c:v>0.882821618430104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KPIs!$A$8</c:f>
              <c:strCache>
                <c:ptCount val="1"/>
                <c:pt idx="0">
                  <c:v>EBITDA margin</c:v>
                </c:pt>
              </c:strCache>
            </c:strRef>
          </c:tx>
          <c:spPr>
            <a:solidFill>
              <a:srgbClr val="7fb5a3"/>
            </a:solidFill>
            <a:ln w="28080">
              <a:solidFill>
                <a:srgbClr val="7fb5a3"/>
              </a:solidFill>
              <a:round/>
            </a:ln>
          </c:spPr>
          <c:marker>
            <c:symbol val="circle"/>
            <c:size val="6"/>
            <c:spPr>
              <a:solidFill>
                <a:srgbClr val="7fb5a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KPIs!$B$8:$F$8</c:f>
              <c:numCache>
                <c:formatCode>0.0%;\(0.0%\);\-</c:formatCode>
                <c:ptCount val="5"/>
                <c:pt idx="0">
                  <c:v>-3.12045190768953</c:v>
                </c:pt>
                <c:pt idx="1">
                  <c:v>-1.38832781798827</c:v>
                </c:pt>
                <c:pt idx="2">
                  <c:v>-1.18079043781547</c:v>
                </c:pt>
                <c:pt idx="3">
                  <c:v>-1.2818580827054</c:v>
                </c:pt>
                <c:pt idx="4">
                  <c:v>-1.53914584998018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KPIs!$A$9</c:f>
              <c:strCache>
                <c:ptCount val="1"/>
                <c:pt idx="0">
                  <c:v>Net margin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KPIs!$B$9:$F$9</c:f>
              <c:numCache>
                <c:formatCode>0.0%;\(0.0%\);\-</c:formatCode>
                <c:ptCount val="5"/>
                <c:pt idx="0">
                  <c:v>-3.15002699570625</c:v>
                </c:pt>
                <c:pt idx="1">
                  <c:v>-1.39960578034041</c:v>
                </c:pt>
                <c:pt idx="2">
                  <c:v>-1.18759740589662</c:v>
                </c:pt>
                <c:pt idx="3">
                  <c:v>-1.2818580827054</c:v>
                </c:pt>
                <c:pt idx="4">
                  <c:v>-1.53914584998018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7157134"/>
        <c:axId val="76864333"/>
      </c:lineChart>
      <c:catAx>
        <c:axId val="77157134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6864333"/>
        <c:crosses val="autoZero"/>
        <c:auto val="1"/>
        <c:lblAlgn val="ctr"/>
        <c:lblOffset val="100"/>
        <c:noMultiLvlLbl val="0"/>
      </c:catAx>
      <c:valAx>
        <c:axId val="76864333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715713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Return on assets and return on equity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KPIs!$A$15</c:f>
              <c:strCache>
                <c:ptCount val="1"/>
                <c:pt idx="0">
                  <c:v>Return on assets (net income ÷ year-end assets)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KPIs!$B$15:$F$15</c:f>
              <c:numCache>
                <c:formatCode>0.0%;\(0.0%\);\-</c:formatCode>
                <c:ptCount val="5"/>
                <c:pt idx="0">
                  <c:v>-0.304294944101366</c:v>
                </c:pt>
                <c:pt idx="1">
                  <c:v>-0.53489796363007</c:v>
                </c:pt>
                <c:pt idx="2">
                  <c:v>-2.71723694533087</c:v>
                </c:pt>
              </c:numCache>
            </c:numRef>
          </c:val>
        </c:ser>
        <c:ser>
          <c:idx val="1"/>
          <c:order val="1"/>
          <c:tx>
            <c:strRef>
              <c:f>KPIs!$A$16</c:f>
              <c:strCache>
                <c:ptCount val="1"/>
                <c:pt idx="0">
                  <c:v>Return on equity (net income ÷ year-end equity)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KPIs!$B$16:$F$16</c:f>
              <c:numCache>
                <c:formatCode>0.0%;\(0.0%\);\-</c:formatCode>
                <c:ptCount val="5"/>
                <c:pt idx="0">
                  <c:v>-0.310079791808689</c:v>
                </c:pt>
                <c:pt idx="1">
                  <c:v>-0.565664706235758</c:v>
                </c:pt>
                <c:pt idx="2">
                  <c:v>-3.88382335716016</c:v>
                </c:pt>
              </c:numCache>
            </c:numRef>
          </c:val>
        </c:ser>
        <c:gapWidth val="60"/>
        <c:overlap val="0"/>
        <c:axId val="39862857"/>
        <c:axId val="79056491"/>
      </c:barChart>
      <c:catAx>
        <c:axId val="39862857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9056491"/>
        <c:crosses val="autoZero"/>
        <c:auto val="1"/>
        <c:lblAlgn val="ctr"/>
        <c:lblOffset val="100"/>
        <c:noMultiLvlLbl val="0"/>
      </c:catAx>
      <c:valAx>
        <c:axId val="79056491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986285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LTV ÷ CAC and CAC payback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KPIs!$A$42</c:f>
              <c:strCache>
                <c:ptCount val="1"/>
                <c:pt idx="0">
                  <c:v>LTV ÷ CAC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KPIs!$B$42:$F$42</c:f>
              <c:numCache>
                <c:formatCode>0.0\x</c:formatCode>
                <c:ptCount val="5"/>
                <c:pt idx="0">
                  <c:v>11.1280027628016</c:v>
                </c:pt>
                <c:pt idx="1">
                  <c:v>11.9837092380201</c:v>
                </c:pt>
                <c:pt idx="2">
                  <c:v>12.8975585213057</c:v>
                </c:pt>
                <c:pt idx="3">
                  <c:v>13.8723102719874</c:v>
                </c:pt>
                <c:pt idx="4">
                  <c:v>14.9167109114323</c:v>
                </c:pt>
              </c:numCache>
            </c:numRef>
          </c:val>
        </c:ser>
        <c:gapWidth val="60"/>
        <c:overlap val="0"/>
        <c:axId val="43341289"/>
        <c:axId val="92904956"/>
      </c:barChart>
      <c:lineChart>
        <c:grouping val="standard"/>
        <c:varyColors val="0"/>
        <c:ser>
          <c:idx val="1"/>
          <c:order val="1"/>
          <c:tx>
            <c:strRef>
              <c:f>KPIs!$A$43</c:f>
              <c:strCache>
                <c:ptCount val="1"/>
                <c:pt idx="0">
                  <c:v>CAC payback (months of gross profit)</c:v>
                </c:pt>
              </c:strCache>
            </c:strRef>
          </c:tx>
          <c:spPr>
            <a:solidFill>
              <a:srgbClr val="d9a21b"/>
            </a:solidFill>
            <a:ln w="28080">
              <a:solidFill>
                <a:srgbClr val="d9a21b"/>
              </a:solidFill>
              <a:round/>
            </a:ln>
          </c:spPr>
          <c:marker>
            <c:symbol val="circle"/>
            <c:size val="6"/>
            <c:spPr>
              <a:solidFill>
                <a:srgbClr val="d9a21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KPIs!$B$43:$F$43</c:f>
              <c:numCache>
                <c:formatCode>#,##0.0;\(#,##0.0\);\-</c:formatCode>
                <c:ptCount val="5"/>
                <c:pt idx="0">
                  <c:v>2.99544617698687</c:v>
                </c:pt>
                <c:pt idx="1">
                  <c:v>2.78155391383984</c:v>
                </c:pt>
                <c:pt idx="2">
                  <c:v>2.58446846961536</c:v>
                </c:pt>
                <c:pt idx="3">
                  <c:v>2.40286820866773</c:v>
                </c:pt>
                <c:pt idx="4">
                  <c:v>2.2346302433056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6305502"/>
        <c:axId val="31490653"/>
      </c:lineChart>
      <c:catAx>
        <c:axId val="43341289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92904956"/>
        <c:crosses val="autoZero"/>
        <c:auto val="1"/>
        <c:lblAlgn val="ctr"/>
        <c:lblOffset val="100"/>
        <c:noMultiLvlLbl val="0"/>
      </c:catAx>
      <c:valAx>
        <c:axId val="92904956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0.0\x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43341289"/>
        <c:crosses val="autoZero"/>
        <c:crossBetween val="between"/>
      </c:valAx>
      <c:catAx>
        <c:axId val="36305502"/>
        <c:scaling>
          <c:orientation val="minMax"/>
        </c:scaling>
        <c:delete val="0"/>
        <c:axPos val="t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1490653"/>
        <c:crosses val="autoZero"/>
        <c:auto val="1"/>
        <c:lblAlgn val="ctr"/>
        <c:lblOffset val="100"/>
        <c:noMultiLvlLbl val="0"/>
      </c:catAx>
      <c:valAx>
        <c:axId val="31490653"/>
        <c:scaling>
          <c:orientation val="minMax"/>
        </c:scaling>
        <c:delete val="0"/>
        <c:axPos val="r"/>
        <c:numFmt formatCode="#,##0.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36305502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000" spc="-1" strike="noStrike">
                <a:solidFill>
                  <a:srgbClr val="1b2a2f"/>
                </a:solidFill>
                <a:latin typeface="Arial"/>
              </a:defRPr>
            </a:pPr>
            <a:r>
              <a:rPr b="1" sz="1000" spc="-1" strike="noStrike">
                <a:solidFill>
                  <a:srgbClr val="1b2a2f"/>
                </a:solidFill>
                <a:latin typeface="Arial"/>
              </a:rPr>
              <a:t>New customers and customers lost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KPIs!$A$30</c:f>
              <c:strCache>
                <c:ptCount val="1"/>
                <c:pt idx="0">
                  <c:v>New customers in the year</c:v>
                </c:pt>
              </c:strCache>
            </c:strRef>
          </c:tx>
          <c:spPr>
            <a:solidFill>
              <a:srgbClr val="0f6e5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KPIs!$B$30:$F$30</c:f>
              <c:numCache>
                <c:formatCode>#,##0.0;\(#,##0.0\);\-</c:formatCode>
                <c:ptCount val="5"/>
                <c:pt idx="0">
                  <c:v>357.333333333333</c:v>
                </c:pt>
                <c:pt idx="1">
                  <c:v>443.2</c:v>
                </c:pt>
                <c:pt idx="2">
                  <c:v>550.56</c:v>
                </c:pt>
                <c:pt idx="3">
                  <c:v>685.008</c:v>
                </c:pt>
                <c:pt idx="4">
                  <c:v>853.6464</c:v>
                </c:pt>
              </c:numCache>
            </c:numRef>
          </c:val>
        </c:ser>
        <c:ser>
          <c:idx val="1"/>
          <c:order val="1"/>
          <c:tx>
            <c:strRef>
              <c:f>KPIs!$A$31</c:f>
              <c:strCache>
                <c:ptCount val="1"/>
                <c:pt idx="0">
                  <c:v>Customers lost in the year</c:v>
                </c:pt>
              </c:strCache>
            </c:strRef>
          </c:tx>
          <c:spPr>
            <a:solidFill>
              <a:srgbClr val="7fb5a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KPIs!$B$5:$F$5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KPIs!$B$31:$F$31</c:f>
              <c:numCache>
                <c:formatCode>#,##0.0;\(#,##0.0\);\-</c:formatCode>
                <c:ptCount val="5"/>
                <c:pt idx="0">
                  <c:v>-62.628257861905</c:v>
                </c:pt>
                <c:pt idx="1">
                  <c:v>-165.69686814907</c:v>
                </c:pt>
                <c:pt idx="2">
                  <c:v>-266.713560358673</c:v>
                </c:pt>
                <c:pt idx="3">
                  <c:v>-373.723643245542</c:v>
                </c:pt>
                <c:pt idx="4">
                  <c:v>-494.247642553244</c:v>
                </c:pt>
              </c:numCache>
            </c:numRef>
          </c:val>
        </c:ser>
        <c:gapWidth val="60"/>
        <c:overlap val="0"/>
        <c:axId val="8466796"/>
        <c:axId val="73018150"/>
      </c:barChart>
      <c:catAx>
        <c:axId val="8466796"/>
        <c:scaling>
          <c:orientation val="minMax"/>
        </c:scaling>
        <c:delete val="0"/>
        <c:axPos val="b"/>
        <c:numFmt formatCode="&quot;Year &quot;0" sourceLinked="0"/>
        <c:majorTickMark val="none"/>
        <c:minorTickMark val="none"/>
        <c:tickLblPos val="low"/>
        <c:spPr>
          <a:ln w="9360">
            <a:solidFill>
              <a:srgbClr val="9aa3a0"/>
            </a:solidFill>
            <a:round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73018150"/>
        <c:crosses val="autoZero"/>
        <c:auto val="1"/>
        <c:lblAlgn val="ctr"/>
        <c:lblOffset val="100"/>
        <c:noMultiLvlLbl val="0"/>
      </c:catAx>
      <c:valAx>
        <c:axId val="73018150"/>
        <c:scaling>
          <c:orientation val="minMax"/>
        </c:scaling>
        <c:delete val="0"/>
        <c:axPos val="l"/>
        <c:majorGridlines>
          <c:spPr>
            <a:ln w="9360">
              <a:solidFill>
                <a:srgbClr val="e3e6e1"/>
              </a:solidFill>
              <a:round/>
            </a:ln>
          </c:spPr>
        </c:majorGridlines>
        <c:numFmt formatCode="#,##0.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800" spc="-1" strike="noStrike">
                <a:solidFill>
                  <a:srgbClr val="6b7280"/>
                </a:solidFill>
                <a:latin typeface="Arial"/>
              </a:defRPr>
            </a:pPr>
          </a:p>
        </c:txPr>
        <c:crossAx val="846679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800" spc="-1" strike="noStrike">
              <a:solidFill>
                <a:srgbClr val="6b7280"/>
              </a:solidFill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Relationship Id="rId3" Type="http://schemas.openxmlformats.org/officeDocument/2006/relationships/chart" Target="../charts/chart10.xml"/><Relationship Id="rId4" Type="http://schemas.openxmlformats.org/officeDocument/2006/relationships/chart" Target="../charts/chart11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14.xml"/><Relationship Id="rId2" Type="http://schemas.openxmlformats.org/officeDocument/2006/relationships/chart" Target="../charts/chart15.xml"/><Relationship Id="rId3" Type="http://schemas.openxmlformats.org/officeDocument/2006/relationships/chart" Target="../charts/chart16.xml"/><Relationship Id="rId4" Type="http://schemas.openxmlformats.org/officeDocument/2006/relationships/chart" Target="../charts/chart1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9</xdr:row>
      <xdr:rowOff>0</xdr:rowOff>
    </xdr:from>
    <xdr:to>
      <xdr:col>15</xdr:col>
      <xdr:colOff>36720</xdr:colOff>
      <xdr:row>24</xdr:row>
      <xdr:rowOff>120600</xdr:rowOff>
    </xdr:to>
    <xdr:graphicFrame>
      <xdr:nvGraphicFramePr>
        <xdr:cNvPr id="0" name="Chart 1"/>
        <xdr:cNvGraphicFramePr/>
      </xdr:nvGraphicFramePr>
      <xdr:xfrm>
        <a:off x="5314320" y="20574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9</xdr:row>
      <xdr:rowOff>0</xdr:rowOff>
    </xdr:from>
    <xdr:to>
      <xdr:col>23</xdr:col>
      <xdr:colOff>36720</xdr:colOff>
      <xdr:row>24</xdr:row>
      <xdr:rowOff>120600</xdr:rowOff>
    </xdr:to>
    <xdr:graphicFrame>
      <xdr:nvGraphicFramePr>
        <xdr:cNvPr id="1" name="Chart 2"/>
        <xdr:cNvGraphicFramePr/>
      </xdr:nvGraphicFramePr>
      <xdr:xfrm>
        <a:off x="10389240" y="20574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26</xdr:row>
      <xdr:rowOff>0</xdr:rowOff>
    </xdr:from>
    <xdr:to>
      <xdr:col>15</xdr:col>
      <xdr:colOff>36720</xdr:colOff>
      <xdr:row>41</xdr:row>
      <xdr:rowOff>120600</xdr:rowOff>
    </xdr:to>
    <xdr:graphicFrame>
      <xdr:nvGraphicFramePr>
        <xdr:cNvPr id="2" name="Chart 3"/>
        <xdr:cNvGraphicFramePr/>
      </xdr:nvGraphicFramePr>
      <xdr:xfrm>
        <a:off x="5314320" y="53150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0</xdr:colOff>
      <xdr:row>26</xdr:row>
      <xdr:rowOff>0</xdr:rowOff>
    </xdr:from>
    <xdr:to>
      <xdr:col>23</xdr:col>
      <xdr:colOff>36720</xdr:colOff>
      <xdr:row>41</xdr:row>
      <xdr:rowOff>120600</xdr:rowOff>
    </xdr:to>
    <xdr:graphicFrame>
      <xdr:nvGraphicFramePr>
        <xdr:cNvPr id="3" name="Chart 4"/>
        <xdr:cNvGraphicFramePr/>
      </xdr:nvGraphicFramePr>
      <xdr:xfrm>
        <a:off x="10389240" y="53150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20</xdr:col>
      <xdr:colOff>0</xdr:colOff>
      <xdr:row>4</xdr:row>
      <xdr:rowOff>0</xdr:rowOff>
    </xdr:from>
    <xdr:to>
      <xdr:col>28</xdr:col>
      <xdr:colOff>36720</xdr:colOff>
      <xdr:row>19</xdr:row>
      <xdr:rowOff>120600</xdr:rowOff>
    </xdr:to>
    <xdr:graphicFrame>
      <xdr:nvGraphicFramePr>
        <xdr:cNvPr id="4" name="Chart 1"/>
        <xdr:cNvGraphicFramePr/>
      </xdr:nvGraphicFramePr>
      <xdr:xfrm>
        <a:off x="14231160" y="9050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20</xdr:col>
      <xdr:colOff>0</xdr:colOff>
      <xdr:row>21</xdr:row>
      <xdr:rowOff>0</xdr:rowOff>
    </xdr:from>
    <xdr:to>
      <xdr:col>28</xdr:col>
      <xdr:colOff>36720</xdr:colOff>
      <xdr:row>36</xdr:row>
      <xdr:rowOff>120600</xdr:rowOff>
    </xdr:to>
    <xdr:graphicFrame>
      <xdr:nvGraphicFramePr>
        <xdr:cNvPr id="5" name="Chart 2"/>
        <xdr:cNvGraphicFramePr/>
      </xdr:nvGraphicFramePr>
      <xdr:xfrm>
        <a:off x="14231160" y="415296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20</xdr:col>
      <xdr:colOff>0</xdr:colOff>
      <xdr:row>38</xdr:row>
      <xdr:rowOff>0</xdr:rowOff>
    </xdr:from>
    <xdr:to>
      <xdr:col>28</xdr:col>
      <xdr:colOff>36720</xdr:colOff>
      <xdr:row>53</xdr:row>
      <xdr:rowOff>120600</xdr:rowOff>
    </xdr:to>
    <xdr:graphicFrame>
      <xdr:nvGraphicFramePr>
        <xdr:cNvPr id="6" name="Chart 3"/>
        <xdr:cNvGraphicFramePr/>
      </xdr:nvGraphicFramePr>
      <xdr:xfrm>
        <a:off x="14231160" y="740088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4</xdr:row>
      <xdr:rowOff>0</xdr:rowOff>
    </xdr:from>
    <xdr:to>
      <xdr:col>15</xdr:col>
      <xdr:colOff>219600</xdr:colOff>
      <xdr:row>19</xdr:row>
      <xdr:rowOff>111240</xdr:rowOff>
    </xdr:to>
    <xdr:graphicFrame>
      <xdr:nvGraphicFramePr>
        <xdr:cNvPr id="7" name="Chart 1"/>
        <xdr:cNvGraphicFramePr/>
      </xdr:nvGraphicFramePr>
      <xdr:xfrm>
        <a:off x="7189560" y="8478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4</xdr:row>
      <xdr:rowOff>0</xdr:rowOff>
    </xdr:from>
    <xdr:to>
      <xdr:col>23</xdr:col>
      <xdr:colOff>219600</xdr:colOff>
      <xdr:row>19</xdr:row>
      <xdr:rowOff>111240</xdr:rowOff>
    </xdr:to>
    <xdr:graphicFrame>
      <xdr:nvGraphicFramePr>
        <xdr:cNvPr id="8" name="Chart 2"/>
        <xdr:cNvGraphicFramePr/>
      </xdr:nvGraphicFramePr>
      <xdr:xfrm>
        <a:off x="12081600" y="8478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21</xdr:row>
      <xdr:rowOff>0</xdr:rowOff>
    </xdr:from>
    <xdr:to>
      <xdr:col>15</xdr:col>
      <xdr:colOff>219600</xdr:colOff>
      <xdr:row>36</xdr:row>
      <xdr:rowOff>111240</xdr:rowOff>
    </xdr:to>
    <xdr:graphicFrame>
      <xdr:nvGraphicFramePr>
        <xdr:cNvPr id="9" name="Chart 3"/>
        <xdr:cNvGraphicFramePr/>
      </xdr:nvGraphicFramePr>
      <xdr:xfrm>
        <a:off x="7189560" y="41054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0</xdr:colOff>
      <xdr:row>21</xdr:row>
      <xdr:rowOff>0</xdr:rowOff>
    </xdr:from>
    <xdr:to>
      <xdr:col>23</xdr:col>
      <xdr:colOff>219600</xdr:colOff>
      <xdr:row>36</xdr:row>
      <xdr:rowOff>111240</xdr:rowOff>
    </xdr:to>
    <xdr:graphicFrame>
      <xdr:nvGraphicFramePr>
        <xdr:cNvPr id="10" name="Chart 4"/>
        <xdr:cNvGraphicFramePr/>
      </xdr:nvGraphicFramePr>
      <xdr:xfrm>
        <a:off x="12081600" y="41054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4</xdr:row>
      <xdr:rowOff>0</xdr:rowOff>
    </xdr:from>
    <xdr:to>
      <xdr:col>13</xdr:col>
      <xdr:colOff>219600</xdr:colOff>
      <xdr:row>19</xdr:row>
      <xdr:rowOff>111240</xdr:rowOff>
    </xdr:to>
    <xdr:graphicFrame>
      <xdr:nvGraphicFramePr>
        <xdr:cNvPr id="11" name="Chart 1"/>
        <xdr:cNvGraphicFramePr/>
      </xdr:nvGraphicFramePr>
      <xdr:xfrm>
        <a:off x="7189560" y="8478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4</xdr:row>
      <xdr:rowOff>0</xdr:rowOff>
    </xdr:from>
    <xdr:to>
      <xdr:col>22</xdr:col>
      <xdr:colOff>219600</xdr:colOff>
      <xdr:row>19</xdr:row>
      <xdr:rowOff>111240</xdr:rowOff>
    </xdr:to>
    <xdr:graphicFrame>
      <xdr:nvGraphicFramePr>
        <xdr:cNvPr id="12" name="Chart 2"/>
        <xdr:cNvGraphicFramePr/>
      </xdr:nvGraphicFramePr>
      <xdr:xfrm>
        <a:off x="12692880" y="84780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3</xdr:row>
      <xdr:rowOff>0</xdr:rowOff>
    </xdr:from>
    <xdr:to>
      <xdr:col>16</xdr:col>
      <xdr:colOff>36720</xdr:colOff>
      <xdr:row>18</xdr:row>
      <xdr:rowOff>111240</xdr:rowOff>
    </xdr:to>
    <xdr:graphicFrame>
      <xdr:nvGraphicFramePr>
        <xdr:cNvPr id="13" name="Chart 1"/>
        <xdr:cNvGraphicFramePr/>
      </xdr:nvGraphicFramePr>
      <xdr:xfrm>
        <a:off x="8248680" y="65736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0</xdr:colOff>
      <xdr:row>3</xdr:row>
      <xdr:rowOff>0</xdr:rowOff>
    </xdr:from>
    <xdr:to>
      <xdr:col>24</xdr:col>
      <xdr:colOff>36720</xdr:colOff>
      <xdr:row>18</xdr:row>
      <xdr:rowOff>111240</xdr:rowOff>
    </xdr:to>
    <xdr:graphicFrame>
      <xdr:nvGraphicFramePr>
        <xdr:cNvPr id="14" name="Chart 2"/>
        <xdr:cNvGraphicFramePr/>
      </xdr:nvGraphicFramePr>
      <xdr:xfrm>
        <a:off x="13323600" y="65736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0</xdr:colOff>
      <xdr:row>20</xdr:row>
      <xdr:rowOff>0</xdr:rowOff>
    </xdr:from>
    <xdr:to>
      <xdr:col>16</xdr:col>
      <xdr:colOff>36720</xdr:colOff>
      <xdr:row>35</xdr:row>
      <xdr:rowOff>120600</xdr:rowOff>
    </xdr:to>
    <xdr:graphicFrame>
      <xdr:nvGraphicFramePr>
        <xdr:cNvPr id="15" name="Chart 3"/>
        <xdr:cNvGraphicFramePr/>
      </xdr:nvGraphicFramePr>
      <xdr:xfrm>
        <a:off x="8248680" y="39146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16</xdr:col>
      <xdr:colOff>0</xdr:colOff>
      <xdr:row>20</xdr:row>
      <xdr:rowOff>0</xdr:rowOff>
    </xdr:from>
    <xdr:to>
      <xdr:col>24</xdr:col>
      <xdr:colOff>36720</xdr:colOff>
      <xdr:row>35</xdr:row>
      <xdr:rowOff>120600</xdr:rowOff>
    </xdr:to>
    <xdr:graphicFrame>
      <xdr:nvGraphicFramePr>
        <xdr:cNvPr id="16" name="Chart 4"/>
        <xdr:cNvGraphicFramePr/>
      </xdr:nvGraphicFramePr>
      <xdr:xfrm>
        <a:off x="13323600" y="3914640"/>
        <a:ext cx="5111640" cy="298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B2:D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24"/>
    <col collapsed="false" customWidth="true" hidden="false" outlineLevel="0" max="4" min="4" style="0" width="72"/>
  </cols>
  <sheetData>
    <row r="2" customFormat="false" ht="24.4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D5" s="4" t="s">
        <v>3</v>
      </c>
    </row>
    <row r="6" customFormat="false" ht="15" hidden="false" customHeight="false" outlineLevel="0" collapsed="false">
      <c r="B6" s="3" t="s">
        <v>4</v>
      </c>
      <c r="D6" s="5" t="str">
        <f aca="false">Dashboard!C4&amp;"  (change it on the Dashboard, cell B4)"</f>
        <v>Base  (change it on the Dashboard, cell B4)</v>
      </c>
    </row>
    <row r="7" customFormat="false" ht="15" hidden="false" customHeight="false" outlineLevel="0" collapsed="false">
      <c r="B7" s="3" t="s">
        <v>5</v>
      </c>
      <c r="D7" s="3" t="str">
        <f aca="false">Checks!B25</f>
        <v>PASS WITH WARNINGS</v>
      </c>
    </row>
    <row r="8" customFormat="false" ht="15" hidden="false" customHeight="false" outlineLevel="0" collapsed="false">
      <c r="B8" s="3" t="s">
        <v>6</v>
      </c>
      <c r="D8" s="6" t="s">
        <v>7</v>
      </c>
    </row>
    <row r="10" customFormat="false" ht="15.75" hidden="false" customHeight="true" outlineLevel="0" collapsed="false">
      <c r="B10" s="7" t="s">
        <v>8</v>
      </c>
      <c r="C10" s="7"/>
      <c r="D10" s="7"/>
    </row>
    <row r="11" customFormat="false" ht="15" hidden="false" customHeight="false" outlineLevel="0" collapsed="false">
      <c r="C11" s="8" t="s">
        <v>9</v>
      </c>
    </row>
    <row r="12" customFormat="false" ht="15" hidden="false" customHeight="false" outlineLevel="0" collapsed="false">
      <c r="B12" s="9" t="n">
        <v>1</v>
      </c>
      <c r="C12" s="10" t="str">
        <f aca="false">HYPERLINK("#Dashboard!A1","Dashboard")</f>
        <v>Dashboard</v>
      </c>
      <c r="D12" s="11" t="s">
        <v>10</v>
      </c>
    </row>
    <row r="13" customFormat="false" ht="15" hidden="false" customHeight="false" outlineLevel="0" collapsed="false">
      <c r="B13" s="9" t="n">
        <v>2</v>
      </c>
      <c r="C13" s="10" t="str">
        <f aca="false">HYPERLINK("#Summary!A1","Summary")</f>
        <v>Summary</v>
      </c>
      <c r="D13" s="11" t="s">
        <v>11</v>
      </c>
    </row>
    <row r="14" customFormat="false" ht="15" hidden="false" customHeight="false" outlineLevel="0" collapsed="false">
      <c r="B14" s="9" t="n">
        <v>3</v>
      </c>
      <c r="C14" s="10" t="str">
        <f aca="false">HYPERLINK("#Scenarios!A1","Scenarios")</f>
        <v>Scenarios</v>
      </c>
      <c r="D14" s="11" t="s">
        <v>12</v>
      </c>
    </row>
    <row r="15" customFormat="false" ht="15" hidden="false" customHeight="false" outlineLevel="0" collapsed="false">
      <c r="B15" s="9" t="n">
        <v>4</v>
      </c>
      <c r="C15" s="10" t="str">
        <f aca="false">HYPERLINK("#'Break-even'!A1","Break-even")</f>
        <v>Break-even</v>
      </c>
      <c r="D15" s="11" t="s">
        <v>13</v>
      </c>
    </row>
    <row r="16" customFormat="false" ht="15" hidden="false" customHeight="false" outlineLevel="0" collapsed="false">
      <c r="B16" s="9" t="n">
        <v>5</v>
      </c>
      <c r="C16" s="10" t="str">
        <f aca="false">HYPERLINK("#Valuation!A1","Valuation")</f>
        <v>Valuation</v>
      </c>
      <c r="D16" s="11" t="s">
        <v>14</v>
      </c>
    </row>
    <row r="17" customFormat="false" ht="15" hidden="false" customHeight="false" outlineLevel="0" collapsed="false">
      <c r="B17" s="9" t="n">
        <v>6</v>
      </c>
      <c r="C17" s="10" t="str">
        <f aca="false">HYPERLINK("#'Sources &amp; Uses'!A1","Sources &amp; Uses")</f>
        <v>Sources &amp; Uses</v>
      </c>
      <c r="D17" s="11" t="s">
        <v>15</v>
      </c>
    </row>
    <row r="18" customFormat="false" ht="15" hidden="false" customHeight="false" outlineLevel="0" collapsed="false">
      <c r="B18" s="9" t="n">
        <v>7</v>
      </c>
      <c r="C18" s="10" t="str">
        <f aca="false">HYPERLINK("#KPIs!A1","KPIs")</f>
        <v>KPIs</v>
      </c>
      <c r="D18" s="11" t="s">
        <v>16</v>
      </c>
    </row>
    <row r="19" customFormat="false" ht="15" hidden="false" customHeight="false" outlineLevel="0" collapsed="false">
      <c r="C19" s="8" t="s">
        <v>17</v>
      </c>
    </row>
    <row r="20" customFormat="false" ht="15" hidden="false" customHeight="false" outlineLevel="0" collapsed="false">
      <c r="B20" s="9" t="n">
        <v>8</v>
      </c>
      <c r="C20" s="10" t="str">
        <f aca="false">HYPERLINK("#Inputs!A1","Inputs")</f>
        <v>Inputs</v>
      </c>
      <c r="D20" s="11" t="s">
        <v>18</v>
      </c>
    </row>
    <row r="21" customFormat="false" ht="15" hidden="false" customHeight="false" outlineLevel="0" collapsed="false">
      <c r="C21" s="8" t="s">
        <v>19</v>
      </c>
    </row>
    <row r="22" customFormat="false" ht="15" hidden="false" customHeight="false" outlineLevel="0" collapsed="false">
      <c r="B22" s="9" t="n">
        <v>9</v>
      </c>
      <c r="C22" s="10" t="str">
        <f aca="false">HYPERLINK("#'P&amp;L'!A1","P&amp;L")</f>
        <v>P&amp;L</v>
      </c>
      <c r="D22" s="11" t="s">
        <v>20</v>
      </c>
    </row>
    <row r="23" customFormat="false" ht="15" hidden="false" customHeight="false" outlineLevel="0" collapsed="false">
      <c r="B23" s="9" t="n">
        <v>10</v>
      </c>
      <c r="C23" s="10" t="str">
        <f aca="false">HYPERLINK("#'Cash Flow'!A1","Cash Flow")</f>
        <v>Cash Flow</v>
      </c>
      <c r="D23" s="11" t="s">
        <v>21</v>
      </c>
    </row>
    <row r="24" customFormat="false" ht="15" hidden="false" customHeight="false" outlineLevel="0" collapsed="false">
      <c r="B24" s="9" t="n">
        <v>11</v>
      </c>
      <c r="C24" s="10" t="str">
        <f aca="false">HYPERLINK("#'Balance Sheet'!A1","Balance Sheet")</f>
        <v>Balance Sheet</v>
      </c>
      <c r="D24" s="11" t="s">
        <v>22</v>
      </c>
    </row>
    <row r="25" customFormat="false" ht="15" hidden="false" customHeight="false" outlineLevel="0" collapsed="false">
      <c r="C25" s="8" t="s">
        <v>23</v>
      </c>
    </row>
    <row r="26" customFormat="false" ht="15" hidden="false" customHeight="false" outlineLevel="0" collapsed="false">
      <c r="B26" s="9" t="n">
        <v>12</v>
      </c>
      <c r="C26" s="10" t="str">
        <f aca="false">HYPERLINK("#Monthly!A1","Monthly")</f>
        <v>Monthly</v>
      </c>
      <c r="D26" s="11" t="s">
        <v>24</v>
      </c>
    </row>
    <row r="27" customFormat="false" ht="15" hidden="false" customHeight="false" outlineLevel="0" collapsed="false">
      <c r="B27" s="9" t="n">
        <v>13</v>
      </c>
      <c r="C27" s="10" t="str">
        <f aca="false">HYPERLINK("#Headcount!A1","Headcount")</f>
        <v>Headcount</v>
      </c>
      <c r="D27" s="11" t="s">
        <v>25</v>
      </c>
    </row>
    <row r="28" customFormat="false" ht="15" hidden="false" customHeight="false" outlineLevel="0" collapsed="false">
      <c r="B28" s="9" t="n">
        <v>14</v>
      </c>
      <c r="C28" s="10" t="str">
        <f aca="false">HYPERLINK("#'Scenario calc'!A1","Scenario calc")</f>
        <v>Scenario calc</v>
      </c>
      <c r="D28" s="11" t="s">
        <v>26</v>
      </c>
    </row>
    <row r="29" customFormat="false" ht="15" hidden="false" customHeight="false" outlineLevel="0" collapsed="false">
      <c r="C29" s="8" t="s">
        <v>27</v>
      </c>
    </row>
    <row r="30" customFormat="false" ht="15" hidden="false" customHeight="false" outlineLevel="0" collapsed="false">
      <c r="B30" s="9" t="n">
        <v>15</v>
      </c>
      <c r="C30" s="10" t="str">
        <f aca="false">HYPERLINK("#Checks!A1","Checks")</f>
        <v>Checks</v>
      </c>
      <c r="D30" s="11" t="s">
        <v>28</v>
      </c>
    </row>
    <row r="32" customFormat="false" ht="15" hidden="false" customHeight="false" outlineLevel="0" collapsed="false">
      <c r="B32" s="3" t="s">
        <v>29</v>
      </c>
    </row>
    <row r="33" customFormat="false" ht="15" hidden="false" customHeight="false" outlineLevel="0" collapsed="false">
      <c r="C33" s="12" t="n">
        <v>1000</v>
      </c>
      <c r="D33" s="6" t="s">
        <v>30</v>
      </c>
    </row>
    <row r="34" customFormat="false" ht="15" hidden="false" customHeight="false" outlineLevel="0" collapsed="false">
      <c r="C34" s="13" t="n">
        <v>1000</v>
      </c>
      <c r="D34" s="6" t="s">
        <v>31</v>
      </c>
    </row>
    <row r="35" customFormat="false" ht="15" hidden="false" customHeight="false" outlineLevel="0" collapsed="false">
      <c r="C35" s="14" t="n">
        <v>1000</v>
      </c>
      <c r="D35" s="6" t="s">
        <v>32</v>
      </c>
    </row>
    <row r="36" customFormat="false" ht="15" hidden="false" customHeight="false" outlineLevel="0" collapsed="false">
      <c r="C36" s="15" t="n">
        <v>1000</v>
      </c>
      <c r="D36" s="6" t="s">
        <v>33</v>
      </c>
    </row>
  </sheetData>
  <conditionalFormatting sqref="D7">
    <cfRule type="expression" priority="2" aboveAverage="0" equalAverage="0" bottom="0" percent="0" rank="0" text="" dxfId="0">
      <formula>ISNUMBER(SEARCH("FAIL",D7))</formula>
    </cfRule>
    <cfRule type="expression" priority="3" aboveAverage="0" equalAverage="0" bottom="0" percent="0" rank="0" text="" dxfId="1">
      <formula>ISNUMBER(SEARCH("WARN",D7))</formula>
    </cfRule>
    <cfRule type="expression" priority="4" aboveAverage="0" equalAverage="0" bottom="0" percent="0" rank="0" text="" dxfId="2">
      <formula>D7="PASS"</formula>
    </cfRule>
  </conditionalFormatting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W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.4"/>
    <col collapsed="false" customWidth="true" hidden="false" outlineLevel="0" max="6" min="2" style="0" width="9"/>
    <col collapsed="false" customWidth="true" hidden="false" outlineLevel="0" max="7" min="7" style="0" width="2"/>
    <col collapsed="false" customWidth="true" hidden="false" outlineLevel="0" max="23" min="8" style="0" width="9"/>
  </cols>
  <sheetData>
    <row r="1" customFormat="false" ht="21.75" hidden="false" customHeight="true" outlineLevel="0" collapsed="false">
      <c r="A1" s="16" t="s">
        <v>34</v>
      </c>
      <c r="W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0</v>
      </c>
    </row>
    <row r="4" customFormat="false" ht="19.5" hidden="false" customHeight="true" outlineLevel="0" collapsed="false">
      <c r="A4" s="3" t="s">
        <v>4</v>
      </c>
      <c r="B4" s="19" t="n">
        <v>2</v>
      </c>
      <c r="C4" s="20" t="str">
        <f aca="false">CHOOSE(B4,"Low","Base","High")</f>
        <v>Base</v>
      </c>
      <c r="D4" s="21" t="s">
        <v>35</v>
      </c>
      <c r="S4" s="22" t="s">
        <v>5</v>
      </c>
      <c r="T4" s="23" t="str">
        <f aca="false">Checks!B25</f>
        <v>PASS WITH WARNINGS</v>
      </c>
      <c r="U4" s="23"/>
      <c r="V4" s="23"/>
      <c r="W4" s="23"/>
    </row>
    <row r="6" customFormat="false" ht="15.75" hidden="false" customHeight="true" outlineLevel="0" collapsed="false">
      <c r="A6" s="24" t="s">
        <v>36</v>
      </c>
      <c r="B6" s="24"/>
      <c r="C6" s="24" t="s">
        <v>37</v>
      </c>
      <c r="D6" s="24"/>
      <c r="E6" s="24"/>
      <c r="F6" s="24"/>
      <c r="H6" s="24" t="s">
        <v>38</v>
      </c>
      <c r="I6" s="24"/>
      <c r="J6" s="24"/>
      <c r="K6" s="24"/>
      <c r="L6" s="24" t="s">
        <v>39</v>
      </c>
      <c r="M6" s="24"/>
      <c r="N6" s="24"/>
      <c r="O6" s="24"/>
      <c r="P6" s="24" t="s">
        <v>40</v>
      </c>
      <c r="Q6" s="24"/>
      <c r="R6" s="24"/>
      <c r="S6" s="24"/>
      <c r="T6" s="24" t="s">
        <v>41</v>
      </c>
      <c r="U6" s="24"/>
      <c r="V6" s="24"/>
      <c r="W6" s="24"/>
    </row>
    <row r="7" customFormat="false" ht="30" hidden="false" customHeight="true" outlineLevel="0" collapsed="false">
      <c r="A7" s="25" t="n">
        <f aca="false">F12</f>
        <v>1939020.94087271</v>
      </c>
      <c r="B7" s="25"/>
      <c r="C7" s="26" t="n">
        <f aca="false">F17</f>
        <v>-1.53914584998018</v>
      </c>
      <c r="D7" s="26"/>
      <c r="E7" s="26"/>
      <c r="F7" s="26"/>
      <c r="H7" s="25" t="n">
        <f aca="false">F18</f>
        <v>-2984436.0341689</v>
      </c>
      <c r="I7" s="25"/>
      <c r="J7" s="25"/>
      <c r="K7" s="25"/>
      <c r="L7" s="25" t="n">
        <f aca="false">F38</f>
        <v>-4291369.48274386</v>
      </c>
      <c r="M7" s="25"/>
      <c r="N7" s="25"/>
      <c r="O7" s="25"/>
      <c r="P7" s="25" t="n">
        <f aca="false">F36</f>
        <v>7516369.48274386</v>
      </c>
      <c r="Q7" s="25"/>
      <c r="R7" s="25"/>
      <c r="S7" s="25"/>
      <c r="T7" s="25" t="n">
        <f aca="false">F43</f>
        <v>-9830787.7286908</v>
      </c>
      <c r="U7" s="25"/>
      <c r="V7" s="25"/>
      <c r="W7" s="25"/>
    </row>
    <row r="8" customFormat="false" ht="15" hidden="false" customHeight="true" outlineLevel="0" collapsed="false">
      <c r="A8" s="27" t="n">
        <f aca="false">IF(AND(B12&gt;0,F12&gt;=0),(F12/B12)^(1/4)-1,"CAGR n/a")</f>
        <v>0.712576384530188</v>
      </c>
      <c r="B8" s="27"/>
      <c r="C8" s="28" t="n">
        <f aca="false">F16</f>
        <v>-2984436.0341689</v>
      </c>
      <c r="D8" s="28"/>
      <c r="E8" s="28"/>
      <c r="F8" s="28"/>
      <c r="H8" s="29" t="n">
        <f aca="false">F19</f>
        <v>-1.53914584998018</v>
      </c>
      <c r="I8" s="29"/>
      <c r="J8" s="29"/>
      <c r="K8" s="29"/>
      <c r="L8" s="30" t="n">
        <f aca="false">'Break-even'!B6</f>
        <v>60</v>
      </c>
      <c r="M8" s="30"/>
      <c r="N8" s="30"/>
      <c r="O8" s="30"/>
      <c r="P8" s="31" t="n">
        <f aca="false">IF(F37&gt;=0,"Covered by funding raised",-F37)</f>
        <v>4516369.48274386</v>
      </c>
      <c r="Q8" s="31"/>
      <c r="R8" s="31"/>
      <c r="S8" s="31"/>
      <c r="T8" s="32" t="s">
        <v>42</v>
      </c>
      <c r="U8" s="32"/>
      <c r="V8" s="32"/>
      <c r="W8" s="32"/>
    </row>
    <row r="10" customFormat="false" ht="15.75" hidden="false" customHeight="true" outlineLevel="0" collapsed="false">
      <c r="A10" s="7" t="s">
        <v>43</v>
      </c>
      <c r="B10" s="7"/>
      <c r="C10" s="7"/>
      <c r="D10" s="7"/>
      <c r="E10" s="7"/>
      <c r="F10" s="7"/>
    </row>
    <row r="11" customFormat="false" ht="15" hidden="false" customHeight="false" outlineLevel="0" collapsed="false">
      <c r="A11" s="33"/>
      <c r="B11" s="34" t="n">
        <v>1</v>
      </c>
      <c r="C11" s="34" t="n">
        <v>2</v>
      </c>
      <c r="D11" s="34" t="n">
        <v>3</v>
      </c>
      <c r="E11" s="34" t="n">
        <v>4</v>
      </c>
      <c r="F11" s="34" t="n">
        <v>5</v>
      </c>
    </row>
    <row r="12" customFormat="false" ht="15" hidden="false" customHeight="false" outlineLevel="0" collapsed="false">
      <c r="A12" s="6" t="s">
        <v>44</v>
      </c>
      <c r="B12" s="35" t="n">
        <f aca="false">SUMIF(Monthly!$C$5:$BJ$5,B$11,Monthly!$C$24:$BJ$24)</f>
        <v>225414.939184555</v>
      </c>
      <c r="C12" s="35" t="n">
        <f aca="false">SUMIF(Monthly!$C$5:$BJ$5,C$11,Monthly!$C$24:$BJ$24)</f>
        <v>591123.330484019</v>
      </c>
      <c r="D12" s="35" t="n">
        <f aca="false">SUMIF(Monthly!$C$5:$BJ$5,D$11,Monthly!$C$24:$BJ$24)</f>
        <v>979388.559956597</v>
      </c>
      <c r="E12" s="35" t="n">
        <f aca="false">SUMIF(Monthly!$C$5:$BJ$5,E$11,Monthly!$C$24:$BJ$24)</f>
        <v>1418382.10030103</v>
      </c>
      <c r="F12" s="35" t="n">
        <f aca="false">SUMIF(Monthly!$C$5:$BJ$5,F$11,Monthly!$C$24:$BJ$24)</f>
        <v>1939020.94087271</v>
      </c>
    </row>
    <row r="13" customFormat="false" ht="15" hidden="false" customHeight="false" outlineLevel="0" collapsed="false">
      <c r="A13" s="36" t="s">
        <v>45</v>
      </c>
      <c r="B13" s="37" t="n">
        <f aca="false">SUMIF(Monthly!$C$5:$BJ$5,B$11,Monthly!$C$26:$BJ$26)</f>
        <v>198403.522999835</v>
      </c>
      <c r="C13" s="37" t="n">
        <f aca="false">SUMIF(Monthly!$C$5:$BJ$5,C$11,Monthly!$C$26:$BJ$26)</f>
        <v>520687.036427161</v>
      </c>
      <c r="D13" s="37" t="n">
        <f aca="false">SUMIF(Monthly!$C$5:$BJ$5,D$11,Monthly!$C$26:$BJ$26)</f>
        <v>863384.953497385</v>
      </c>
      <c r="E13" s="37" t="n">
        <f aca="false">SUMIF(Monthly!$C$5:$BJ$5,E$11,Monthly!$C$26:$BJ$26)</f>
        <v>1251317.69636447</v>
      </c>
      <c r="F13" s="37" t="n">
        <f aca="false">SUMIF(Monthly!$C$5:$BJ$5,F$11,Monthly!$C$26:$BJ$26)</f>
        <v>1711809.6051911</v>
      </c>
    </row>
    <row r="14" customFormat="false" ht="15" hidden="false" customHeight="false" outlineLevel="0" collapsed="false">
      <c r="A14" s="38" t="s">
        <v>46</v>
      </c>
      <c r="B14" s="39" t="n">
        <f aca="false">IF(B12=0,0,B13/B12)</f>
        <v>0.880170248332097</v>
      </c>
      <c r="C14" s="39" t="n">
        <f aca="false">IF(C12=0,0,C13/C12)</f>
        <v>0.880843319110441</v>
      </c>
      <c r="D14" s="39" t="n">
        <f aca="false">IF(D12=0,0,D13/D12)</f>
        <v>0.881555073030102</v>
      </c>
      <c r="E14" s="39" t="n">
        <f aca="false">IF(E12=0,0,E13/E12)</f>
        <v>0.882214810874232</v>
      </c>
      <c r="F14" s="39" t="n">
        <f aca="false">IF(F12=0,0,F13/F12)</f>
        <v>0.882821618430104</v>
      </c>
    </row>
    <row r="15" customFormat="false" ht="15" hidden="false" customHeight="false" outlineLevel="0" collapsed="false">
      <c r="A15" s="6" t="s">
        <v>47</v>
      </c>
      <c r="B15" s="35" t="n">
        <f aca="false">SUMIF(Monthly!$C$5:$BJ$5,B$11,Monthly!$C$34:$BJ$34)</f>
        <v>-901800</v>
      </c>
      <c r="C15" s="35" t="n">
        <f aca="false">SUMIF(Monthly!$C$5:$BJ$5,C$11,Monthly!$C$34:$BJ$34)</f>
        <v>-1341360</v>
      </c>
      <c r="D15" s="35" t="n">
        <f aca="false">SUMIF(Monthly!$C$5:$BJ$5,D$11,Monthly!$C$34:$BJ$34)</f>
        <v>-2019837.6</v>
      </c>
      <c r="E15" s="35" t="n">
        <f aca="false">SUMIF(Monthly!$C$5:$BJ$5,E$11,Monthly!$C$34:$BJ$34)</f>
        <v>-3069482.256</v>
      </c>
      <c r="F15" s="35" t="n">
        <f aca="false">SUMIF(Monthly!$C$5:$BJ$5,F$11,Monthly!$C$34:$BJ$34)</f>
        <v>-4696245.63936</v>
      </c>
    </row>
    <row r="16" customFormat="false" ht="15" hidden="false" customHeight="false" outlineLevel="0" collapsed="false">
      <c r="A16" s="36" t="s">
        <v>48</v>
      </c>
      <c r="B16" s="37" t="n">
        <f aca="false">SUMIF(Monthly!$C$5:$BJ$5,B$11,Monthly!$C$35:$BJ$35)</f>
        <v>-703396.477000165</v>
      </c>
      <c r="C16" s="37" t="n">
        <f aca="false">SUMIF(Monthly!$C$5:$BJ$5,C$11,Monthly!$C$35:$BJ$35)</f>
        <v>-820672.963572839</v>
      </c>
      <c r="D16" s="37" t="n">
        <f aca="false">SUMIF(Monthly!$C$5:$BJ$5,D$11,Monthly!$C$35:$BJ$35)</f>
        <v>-1156452.64650262</v>
      </c>
      <c r="E16" s="37" t="n">
        <f aca="false">SUMIF(Monthly!$C$5:$BJ$5,E$11,Monthly!$C$35:$BJ$35)</f>
        <v>-1818164.55963553</v>
      </c>
      <c r="F16" s="37" t="n">
        <f aca="false">SUMIF(Monthly!$C$5:$BJ$5,F$11,Monthly!$C$35:$BJ$35)</f>
        <v>-2984436.0341689</v>
      </c>
    </row>
    <row r="17" customFormat="false" ht="15" hidden="false" customHeight="false" outlineLevel="0" collapsed="false">
      <c r="A17" s="38" t="s">
        <v>49</v>
      </c>
      <c r="B17" s="39" t="n">
        <f aca="false">IF(B12=0,0,B16/B12)</f>
        <v>-3.12045190768953</v>
      </c>
      <c r="C17" s="39" t="n">
        <f aca="false">IF(C12=0,0,C16/C12)</f>
        <v>-1.38832781798827</v>
      </c>
      <c r="D17" s="39" t="n">
        <f aca="false">IF(D12=0,0,D16/D12)</f>
        <v>-1.18079043781547</v>
      </c>
      <c r="E17" s="39" t="n">
        <f aca="false">IF(E12=0,0,E16/E12)</f>
        <v>-1.2818580827054</v>
      </c>
      <c r="F17" s="39" t="n">
        <f aca="false">IF(F12=0,0,F16/F12)</f>
        <v>-1.53914584998018</v>
      </c>
    </row>
    <row r="18" customFormat="false" ht="15" hidden="false" customHeight="false" outlineLevel="0" collapsed="false">
      <c r="A18" s="40" t="s">
        <v>50</v>
      </c>
      <c r="B18" s="41" t="n">
        <f aca="false">SUMIF(Monthly!$C$5:$BJ$5,B$11,Monthly!$C$44:$BJ$44)</f>
        <v>-710063.143666832</v>
      </c>
      <c r="C18" s="41" t="n">
        <f aca="false">SUMIF(Monthly!$C$5:$BJ$5,C$11,Monthly!$C$44:$BJ$44)</f>
        <v>-827339.630239505</v>
      </c>
      <c r="D18" s="41" t="n">
        <f aca="false">SUMIF(Monthly!$C$5:$BJ$5,D$11,Monthly!$C$44:$BJ$44)</f>
        <v>-1163119.31316928</v>
      </c>
      <c r="E18" s="41" t="n">
        <f aca="false">SUMIF(Monthly!$C$5:$BJ$5,E$11,Monthly!$C$44:$BJ$44)</f>
        <v>-1818164.55963553</v>
      </c>
      <c r="F18" s="41" t="n">
        <f aca="false">SUMIF(Monthly!$C$5:$BJ$5,F$11,Monthly!$C$44:$BJ$44)</f>
        <v>-2984436.0341689</v>
      </c>
    </row>
    <row r="19" customFormat="false" ht="15" hidden="false" customHeight="false" outlineLevel="0" collapsed="false">
      <c r="A19" s="38" t="s">
        <v>51</v>
      </c>
      <c r="B19" s="39" t="n">
        <f aca="false">IF(B12=0,0,B18/B12)</f>
        <v>-3.15002699570625</v>
      </c>
      <c r="C19" s="39" t="n">
        <f aca="false">IF(C12=0,0,C18/C12)</f>
        <v>-1.39960578034041</v>
      </c>
      <c r="D19" s="39" t="n">
        <f aca="false">IF(D12=0,0,D18/D12)</f>
        <v>-1.18759740589662</v>
      </c>
      <c r="E19" s="39" t="n">
        <f aca="false">IF(E12=0,0,E18/E12)</f>
        <v>-1.2818580827054</v>
      </c>
      <c r="F19" s="39" t="n">
        <f aca="false">IF(F12=0,0,F18/F12)</f>
        <v>-1.53914584998018</v>
      </c>
    </row>
    <row r="20" customFormat="false" ht="15" hidden="false" customHeight="false" outlineLevel="0" collapsed="false">
      <c r="A20" s="6" t="s">
        <v>52</v>
      </c>
      <c r="B20" s="35" t="n">
        <f aca="false">SUMIF(Monthly!$C$5:$BJ$5,B$11,Monthly!$C$70:$BJ$70)</f>
        <v>-665196.514236771</v>
      </c>
      <c r="C20" s="35" t="n">
        <f aca="false">SUMIF(Monthly!$C$5:$BJ$5,C$11,Monthly!$C$70:$BJ$70)</f>
        <v>-785208.41697933</v>
      </c>
      <c r="D20" s="35" t="n">
        <f aca="false">SUMIF(Monthly!$C$5:$BJ$5,D$11,Monthly!$C$70:$BJ$70)</f>
        <v>-1117614.51512673</v>
      </c>
      <c r="E20" s="35" t="n">
        <f aca="false">SUMIF(Monthly!$C$5:$BJ$5,E$11,Monthly!$C$70:$BJ$70)</f>
        <v>-1773179.37985021</v>
      </c>
      <c r="F20" s="35" t="n">
        <f aca="false">SUMIF(Monthly!$C$5:$BJ$5,F$11,Monthly!$C$70:$BJ$70)</f>
        <v>-2930170.65655082</v>
      </c>
    </row>
    <row r="21" customFormat="false" ht="15" hidden="false" customHeight="false" outlineLevel="0" collapsed="false">
      <c r="A21" s="6" t="s">
        <v>53</v>
      </c>
      <c r="B21" s="35" t="n">
        <f aca="false">SUMIF(Monthly!$C$5:$BJ$5,B$11,Monthly!$C$71:$BJ$71)</f>
        <v>-20000</v>
      </c>
      <c r="C21" s="35" t="n">
        <f aca="false">SUMIF(Monthly!$C$5:$BJ$5,C$11,Monthly!$C$71:$BJ$71)</f>
        <v>0</v>
      </c>
      <c r="D21" s="35" t="n">
        <f aca="false">SUMIF(Monthly!$C$5:$BJ$5,D$11,Monthly!$C$71:$BJ$71)</f>
        <v>0</v>
      </c>
      <c r="E21" s="35" t="n">
        <f aca="false">SUMIF(Monthly!$C$5:$BJ$5,E$11,Monthly!$C$71:$BJ$71)</f>
        <v>0</v>
      </c>
      <c r="F21" s="35" t="n">
        <f aca="false">SUMIF(Monthly!$C$5:$BJ$5,F$11,Monthly!$C$71:$BJ$71)</f>
        <v>0</v>
      </c>
    </row>
    <row r="22" customFormat="false" ht="15" hidden="false" customHeight="false" outlineLevel="0" collapsed="false">
      <c r="A22" s="6" t="s">
        <v>54</v>
      </c>
      <c r="B22" s="35" t="n">
        <f aca="false">SUMIF(Monthly!$C$5:$BJ$5,B$11,Monthly!$C$73:$BJ$73)</f>
        <v>3000000</v>
      </c>
      <c r="C22" s="35" t="n">
        <f aca="false">SUMIF(Monthly!$C$5:$BJ$5,C$11,Monthly!$C$73:$BJ$73)</f>
        <v>0</v>
      </c>
      <c r="D22" s="35" t="n">
        <f aca="false">SUMIF(Monthly!$C$5:$BJ$5,D$11,Monthly!$C$73:$BJ$73)</f>
        <v>0</v>
      </c>
      <c r="E22" s="35" t="n">
        <f aca="false">SUMIF(Monthly!$C$5:$BJ$5,E$11,Monthly!$C$73:$BJ$73)</f>
        <v>0</v>
      </c>
      <c r="F22" s="35" t="n">
        <f aca="false">SUMIF(Monthly!$C$5:$BJ$5,F$11,Monthly!$C$73:$BJ$73)</f>
        <v>0</v>
      </c>
    </row>
    <row r="23" customFormat="false" ht="15" hidden="false" customHeight="false" outlineLevel="0" collapsed="false">
      <c r="A23" s="36" t="s">
        <v>55</v>
      </c>
      <c r="B23" s="37" t="n">
        <f aca="false">SUMIF(Monthly!$C$5:$BJ$5,B$11,Monthly!$C$74:$BJ$74)</f>
        <v>2314803.48576323</v>
      </c>
      <c r="C23" s="37" t="n">
        <f aca="false">SUMIF(Monthly!$C$5:$BJ$5,C$11,Monthly!$C$74:$BJ$74)</f>
        <v>-785208.41697933</v>
      </c>
      <c r="D23" s="37" t="n">
        <f aca="false">SUMIF(Monthly!$C$5:$BJ$5,D$11,Monthly!$C$74:$BJ$74)</f>
        <v>-1117614.51512673</v>
      </c>
      <c r="E23" s="37" t="n">
        <f aca="false">SUMIF(Monthly!$C$5:$BJ$5,E$11,Monthly!$C$74:$BJ$74)</f>
        <v>-1773179.37985021</v>
      </c>
      <c r="F23" s="37" t="n">
        <f aca="false">SUMIF(Monthly!$C$5:$BJ$5,F$11,Monthly!$C$74:$BJ$74)</f>
        <v>-2930170.65655082</v>
      </c>
    </row>
    <row r="24" customFormat="false" ht="15" hidden="false" customHeight="false" outlineLevel="0" collapsed="false">
      <c r="A24" s="40" t="s">
        <v>56</v>
      </c>
      <c r="B24" s="41" t="n">
        <f aca="false">INDEX(Monthly!$C$76:$BJ$76,B$11*12)</f>
        <v>2314803.48576323</v>
      </c>
      <c r="C24" s="41" t="n">
        <f aca="false">INDEX(Monthly!$C$76:$BJ$76,C$11*12)</f>
        <v>1529595.0687839</v>
      </c>
      <c r="D24" s="41" t="n">
        <f aca="false">INDEX(Monthly!$C$76:$BJ$76,D$11*12)</f>
        <v>411980.553657166</v>
      </c>
      <c r="E24" s="41" t="n">
        <f aca="false">INDEX(Monthly!$C$76:$BJ$76,E$11*12)</f>
        <v>-1361198.82619305</v>
      </c>
      <c r="F24" s="41" t="n">
        <f aca="false">INDEX(Monthly!$C$76:$BJ$76,F$11*12)</f>
        <v>-4291369.48274386</v>
      </c>
    </row>
    <row r="26" customFormat="false" ht="15.75" hidden="false" customHeight="true" outlineLevel="0" collapsed="false">
      <c r="A26" s="7" t="s">
        <v>57</v>
      </c>
      <c r="B26" s="7"/>
      <c r="C26" s="7"/>
      <c r="D26" s="7"/>
      <c r="E26" s="7"/>
      <c r="F26" s="7"/>
    </row>
    <row r="27" customFormat="false" ht="15" hidden="false" customHeight="false" outlineLevel="0" collapsed="false">
      <c r="A27" s="33"/>
      <c r="B27" s="34" t="n">
        <v>1</v>
      </c>
      <c r="C27" s="34" t="n">
        <v>2</v>
      </c>
      <c r="D27" s="34" t="n">
        <v>3</v>
      </c>
      <c r="E27" s="34" t="n">
        <v>4</v>
      </c>
      <c r="F27" s="34" t="n">
        <v>5</v>
      </c>
    </row>
    <row r="28" customFormat="false" ht="15" hidden="false" customHeight="false" outlineLevel="0" collapsed="false">
      <c r="A28" s="6" t="s">
        <v>58</v>
      </c>
      <c r="B28" s="42" t="n">
        <f aca="false">KPIs!B29</f>
        <v>324.705075471428</v>
      </c>
      <c r="C28" s="42" t="n">
        <f aca="false">KPIs!C29</f>
        <v>602.208207322359</v>
      </c>
      <c r="D28" s="42" t="n">
        <f aca="false">KPIs!D29</f>
        <v>886.054646963686</v>
      </c>
      <c r="E28" s="42" t="n">
        <f aca="false">KPIs!E29</f>
        <v>1197.33900371814</v>
      </c>
      <c r="F28" s="42" t="n">
        <f aca="false">KPIs!F29</f>
        <v>1556.7377611649</v>
      </c>
    </row>
    <row r="29" customFormat="false" ht="15" hidden="false" customHeight="false" outlineLevel="0" collapsed="false">
      <c r="A29" s="6" t="s">
        <v>59</v>
      </c>
      <c r="B29" s="35" t="n">
        <f aca="false">KPIs!B33</f>
        <v>397045.081766717</v>
      </c>
      <c r="C29" s="35" t="n">
        <f aca="false">KPIs!C33</f>
        <v>766645.333771572</v>
      </c>
      <c r="D29" s="35" t="n">
        <f aca="false">KPIs!D33</f>
        <v>1171790.94143235</v>
      </c>
      <c r="E29" s="35" t="n">
        <f aca="false">KPIs!E33</f>
        <v>1641396.13965726</v>
      </c>
      <c r="F29" s="35" t="n">
        <f aca="false">KPIs!F33</f>
        <v>2208189.18452008</v>
      </c>
    </row>
    <row r="30" customFormat="false" ht="15" hidden="false" customHeight="false" outlineLevel="0" collapsed="false">
      <c r="A30" s="6" t="s">
        <v>60</v>
      </c>
      <c r="B30" s="43" t="n">
        <f aca="false">KPIs!B42</f>
        <v>11.1280027628016</v>
      </c>
      <c r="C30" s="43" t="n">
        <f aca="false">KPIs!C42</f>
        <v>11.9837092380201</v>
      </c>
      <c r="D30" s="43" t="n">
        <f aca="false">KPIs!D42</f>
        <v>12.8975585213057</v>
      </c>
      <c r="E30" s="43" t="n">
        <f aca="false">KPIs!E42</f>
        <v>13.8723102719874</v>
      </c>
      <c r="F30" s="43" t="n">
        <f aca="false">KPIs!F42</f>
        <v>14.9167109114323</v>
      </c>
    </row>
    <row r="31" customFormat="false" ht="15" hidden="false" customHeight="false" outlineLevel="0" collapsed="false">
      <c r="A31" s="6" t="s">
        <v>61</v>
      </c>
      <c r="B31" s="44" t="n">
        <f aca="false">INDEX(Headcount!$C$12:$BJ$12,B$27*12)</f>
        <v>6</v>
      </c>
      <c r="C31" s="44" t="n">
        <f aca="false">INDEX(Headcount!$C$12:$BJ$12,C$27*12)</f>
        <v>9</v>
      </c>
      <c r="D31" s="44" t="n">
        <f aca="false">INDEX(Headcount!$C$12:$BJ$12,D$27*12)</f>
        <v>13.5</v>
      </c>
      <c r="E31" s="44" t="n">
        <f aca="false">INDEX(Headcount!$C$12:$BJ$12,E$27*12)</f>
        <v>20.25</v>
      </c>
      <c r="F31" s="44" t="n">
        <f aca="false">INDEX(Headcount!$C$12:$BJ$12,F$27*12)</f>
        <v>30.375</v>
      </c>
    </row>
    <row r="33" customFormat="false" ht="15.75" hidden="false" customHeight="true" outlineLevel="0" collapsed="false">
      <c r="A33" s="7" t="s">
        <v>62</v>
      </c>
      <c r="B33" s="7"/>
      <c r="C33" s="7"/>
      <c r="D33" s="7"/>
      <c r="E33" s="7"/>
      <c r="F33" s="7"/>
    </row>
    <row r="34" customFormat="false" ht="15" hidden="false" customHeight="false" outlineLevel="0" collapsed="false">
      <c r="A34" s="6" t="s">
        <v>63</v>
      </c>
      <c r="B34" s="45"/>
      <c r="C34" s="45"/>
      <c r="D34" s="45"/>
      <c r="E34" s="45"/>
      <c r="F34" s="46" t="n">
        <f aca="false">Inputs!$E$46</f>
        <v>3000000</v>
      </c>
    </row>
    <row r="35" customFormat="false" ht="15" hidden="false" customHeight="false" outlineLevel="0" collapsed="false">
      <c r="A35" s="6" t="s">
        <v>64</v>
      </c>
      <c r="B35" s="45"/>
      <c r="C35" s="45"/>
      <c r="D35" s="45"/>
      <c r="E35" s="45"/>
      <c r="F35" s="46" t="n">
        <f aca="false">Inputs!$E$47</f>
        <v>0</v>
      </c>
    </row>
    <row r="36" customFormat="false" ht="15" hidden="false" customHeight="false" outlineLevel="0" collapsed="false">
      <c r="A36" s="6" t="s">
        <v>65</v>
      </c>
      <c r="B36" s="45"/>
      <c r="C36" s="45"/>
      <c r="D36" s="45"/>
      <c r="E36" s="45"/>
      <c r="F36" s="46" t="n">
        <f aca="false">'Break-even'!B12</f>
        <v>7516369.48274386</v>
      </c>
    </row>
    <row r="37" customFormat="false" ht="15" hidden="false" customHeight="false" outlineLevel="0" collapsed="false">
      <c r="A37" s="36" t="s">
        <v>66</v>
      </c>
      <c r="B37" s="36"/>
      <c r="C37" s="36"/>
      <c r="D37" s="36"/>
      <c r="E37" s="36"/>
      <c r="F37" s="37" t="n">
        <f aca="false">'Break-even'!B17</f>
        <v>-4516369.48274386</v>
      </c>
    </row>
    <row r="38" customFormat="false" ht="15" hidden="false" customHeight="false" outlineLevel="0" collapsed="false">
      <c r="A38" s="6" t="str">
        <f aca="false">"Lowest cash balance (month "&amp;'Break-even'!B6&amp;")"</f>
        <v>Lowest cash balance (month 60)</v>
      </c>
      <c r="B38" s="45"/>
      <c r="C38" s="45"/>
      <c r="D38" s="45"/>
      <c r="E38" s="45"/>
      <c r="F38" s="46" t="n">
        <f aca="false">'Break-even'!B18</f>
        <v>-4291369.48274386</v>
      </c>
    </row>
    <row r="39" customFormat="false" ht="15" hidden="false" customHeight="false" outlineLevel="0" collapsed="false">
      <c r="A39" s="6" t="s">
        <v>67</v>
      </c>
      <c r="B39" s="45"/>
      <c r="C39" s="45"/>
      <c r="D39" s="45"/>
      <c r="E39" s="45"/>
      <c r="F39" s="47" t="str">
        <f aca="false">'Break-even'!B21</f>
        <v>Not within horizon</v>
      </c>
    </row>
    <row r="40" customFormat="false" ht="15" hidden="false" customHeight="false" outlineLevel="0" collapsed="false">
      <c r="A40" s="6" t="s">
        <v>68</v>
      </c>
      <c r="B40" s="45"/>
      <c r="C40" s="45"/>
      <c r="D40" s="45"/>
      <c r="E40" s="45"/>
      <c r="F40" s="47" t="str">
        <f aca="false">'Break-even'!B23</f>
        <v>Not within horizon</v>
      </c>
    </row>
    <row r="41" customFormat="false" ht="15" hidden="false" customHeight="false" outlineLevel="0" collapsed="false">
      <c r="A41" s="6" t="s">
        <v>69</v>
      </c>
      <c r="B41" s="45"/>
      <c r="C41" s="45"/>
      <c r="D41" s="45"/>
      <c r="E41" s="45"/>
      <c r="F41" s="46" t="n">
        <f aca="false">Valuation!B27</f>
        <v>-10468635.3996819</v>
      </c>
    </row>
    <row r="42" customFormat="false" ht="15" hidden="false" customHeight="false" outlineLevel="0" collapsed="false">
      <c r="A42" s="6" t="s">
        <v>70</v>
      </c>
      <c r="B42" s="45"/>
      <c r="C42" s="45"/>
      <c r="D42" s="45"/>
      <c r="E42" s="45"/>
      <c r="F42" s="46" t="n">
        <f aca="false">Valuation!C27</f>
        <v>-9192940.05769967</v>
      </c>
    </row>
    <row r="43" customFormat="false" ht="15" hidden="false" customHeight="false" outlineLevel="0" collapsed="false">
      <c r="A43" s="40" t="s">
        <v>71</v>
      </c>
      <c r="B43" s="40"/>
      <c r="C43" s="40"/>
      <c r="D43" s="40"/>
      <c r="E43" s="40"/>
      <c r="F43" s="41" t="n">
        <f aca="false">Valuation!B30</f>
        <v>-9830787.7286908</v>
      </c>
    </row>
  </sheetData>
  <mergeCells count="19">
    <mergeCell ref="T4:W4"/>
    <mergeCell ref="A6:B6"/>
    <mergeCell ref="C6:F6"/>
    <mergeCell ref="H6:K6"/>
    <mergeCell ref="L6:O6"/>
    <mergeCell ref="P6:S6"/>
    <mergeCell ref="T6:W6"/>
    <mergeCell ref="A7:B7"/>
    <mergeCell ref="C7:F7"/>
    <mergeCell ref="H7:K7"/>
    <mergeCell ref="L7:O7"/>
    <mergeCell ref="P7:S7"/>
    <mergeCell ref="T7:W7"/>
    <mergeCell ref="A8:B8"/>
    <mergeCell ref="C8:F8"/>
    <mergeCell ref="H8:K8"/>
    <mergeCell ref="L8:O8"/>
    <mergeCell ref="P8:S8"/>
    <mergeCell ref="T8:W8"/>
  </mergeCells>
  <conditionalFormatting sqref="T4:W4">
    <cfRule type="expression" priority="2" aboveAverage="0" equalAverage="0" bottom="0" percent="0" rank="0" text="" dxfId="0">
      <formula>ISNUMBER(SEARCH("FAIL",$T$4))</formula>
    </cfRule>
    <cfRule type="expression" priority="3" aboveAverage="0" equalAverage="0" bottom="0" percent="0" rank="0" text="" dxfId="1">
      <formula>ISNUMBER(SEARCH("WARN",$T$4))</formula>
    </cfRule>
    <cfRule type="expression" priority="4" aboveAverage="0" equalAverage="0" bottom="0" percent="0" rank="0" text="" dxfId="2">
      <formula>$T$4="PASS"</formula>
    </cfRule>
  </conditionalFormatting>
  <dataValidations count="1">
    <dataValidation allowBlank="false" error="Enter 1, 2 or 3" errorStyle="stop" errorTitle="Scenario" operator="between" prompt="1 = Low, 2 = Base, 3 = High. Every sheet recalculates." promptTitle="Scenario" showDropDown="false" showErrorMessage="true" showInputMessage="true" sqref="B4" type="list">
      <formula1>"1,2,3"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U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1.5"/>
    <col collapsed="false" customWidth="true" hidden="false" outlineLevel="0" max="7" min="7" style="0" width="2"/>
    <col collapsed="false" customWidth="true" hidden="false" outlineLevel="0" max="19" min="8" style="0" width="9.2"/>
    <col collapsed="false" customWidth="true" hidden="false" outlineLevel="0" max="20" min="20" style="0" width="2"/>
    <col collapsed="false" customWidth="true" hidden="false" outlineLevel="0" max="36" min="21" style="0" width="9"/>
  </cols>
  <sheetData>
    <row r="1" customFormat="false" ht="21.75" hidden="false" customHeight="true" outlineLevel="0" collapsed="false">
      <c r="A1" s="16" t="s">
        <v>72</v>
      </c>
      <c r="U1" s="17" t="str">
        <f aca="false">HYPERLINK("#'Cover'!A1","◂ Contents")</f>
        <v>◂ Contents</v>
      </c>
    </row>
    <row r="2" customFormat="false" ht="19.5" hidden="false" customHeight="true" outlineLevel="0" collapsed="false">
      <c r="A2" s="18" t="s">
        <v>0</v>
      </c>
      <c r="P2" s="22" t="s">
        <v>73</v>
      </c>
      <c r="R2" s="48" t="n">
        <v>1</v>
      </c>
      <c r="S2" s="48"/>
    </row>
    <row r="5" customFormat="false" ht="15.75" hidden="false" customHeight="true" outlineLevel="0" collapsed="false">
      <c r="A5" s="7" t="s">
        <v>74</v>
      </c>
      <c r="B5" s="7"/>
      <c r="C5" s="7"/>
      <c r="D5" s="7"/>
      <c r="E5" s="7"/>
      <c r="F5" s="7"/>
      <c r="H5" s="7" t="str">
        <f aca="false">"Income statement ($'000) — Year "&amp;$R$2&amp;", by month"</f>
        <v>Income statement ($'000) — Year 1, by month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</row>
    <row r="6" customFormat="false" ht="15" hidden="false" customHeight="false" outlineLevel="0" collapsed="false">
      <c r="A6" s="33"/>
      <c r="B6" s="34" t="n">
        <v>1</v>
      </c>
      <c r="C6" s="34" t="n">
        <v>2</v>
      </c>
      <c r="D6" s="34" t="n">
        <v>3</v>
      </c>
      <c r="E6" s="34" t="n">
        <v>4</v>
      </c>
      <c r="F6" s="34" t="n">
        <v>5</v>
      </c>
      <c r="H6" s="49" t="n">
        <f aca="false">INDEX(Monthly!$C$4:$BJ$4,($R$2-1)*12+1)</f>
        <v>1</v>
      </c>
      <c r="I6" s="49" t="n">
        <f aca="false">INDEX(Monthly!$C$4:$BJ$4,($R$2-1)*12+2)</f>
        <v>2</v>
      </c>
      <c r="J6" s="49" t="n">
        <f aca="false">INDEX(Monthly!$C$4:$BJ$4,($R$2-1)*12+3)</f>
        <v>3</v>
      </c>
      <c r="K6" s="49" t="n">
        <f aca="false">INDEX(Monthly!$C$4:$BJ$4,($R$2-1)*12+4)</f>
        <v>4</v>
      </c>
      <c r="L6" s="49" t="n">
        <f aca="false">INDEX(Monthly!$C$4:$BJ$4,($R$2-1)*12+5)</f>
        <v>5</v>
      </c>
      <c r="M6" s="49" t="n">
        <f aca="false">INDEX(Monthly!$C$4:$BJ$4,($R$2-1)*12+6)</f>
        <v>6</v>
      </c>
      <c r="N6" s="49" t="n">
        <f aca="false">INDEX(Monthly!$C$4:$BJ$4,($R$2-1)*12+7)</f>
        <v>7</v>
      </c>
      <c r="O6" s="49" t="n">
        <f aca="false">INDEX(Monthly!$C$4:$BJ$4,($R$2-1)*12+8)</f>
        <v>8</v>
      </c>
      <c r="P6" s="49" t="n">
        <f aca="false">INDEX(Monthly!$C$4:$BJ$4,($R$2-1)*12+9)</f>
        <v>9</v>
      </c>
      <c r="Q6" s="49" t="n">
        <f aca="false">INDEX(Monthly!$C$4:$BJ$4,($R$2-1)*12+10)</f>
        <v>10</v>
      </c>
      <c r="R6" s="49" t="n">
        <f aca="false">INDEX(Monthly!$C$4:$BJ$4,($R$2-1)*12+11)</f>
        <v>11</v>
      </c>
      <c r="S6" s="49" t="n">
        <f aca="false">INDEX(Monthly!$C$4:$BJ$4,($R$2-1)*12+12)</f>
        <v>12</v>
      </c>
    </row>
    <row r="7" customFormat="false" ht="15" hidden="false" customHeight="false" outlineLevel="0" collapsed="false">
      <c r="A7" s="50" t="s">
        <v>44</v>
      </c>
      <c r="B7" s="35" t="n">
        <f aca="false">'P&amp;L'!B5</f>
        <v>225414.939184555</v>
      </c>
      <c r="C7" s="35" t="n">
        <f aca="false">'P&amp;L'!C5</f>
        <v>591123.330484019</v>
      </c>
      <c r="D7" s="35" t="n">
        <f aca="false">'P&amp;L'!D5</f>
        <v>979388.559956597</v>
      </c>
      <c r="E7" s="35" t="n">
        <f aca="false">'P&amp;L'!E5</f>
        <v>1418382.10030103</v>
      </c>
      <c r="F7" s="35" t="n">
        <f aca="false">'P&amp;L'!F5</f>
        <v>1939020.94087271</v>
      </c>
      <c r="H7" s="35" t="n">
        <f aca="false">INDEX(Monthly!$C$24:$BJ$24,($R$2-1)*12+1)</f>
        <v>4406.875</v>
      </c>
      <c r="I7" s="35" t="n">
        <f aca="false">INDEX(Monthly!$C$24:$BJ$24,($R$2-1)*12+2)</f>
        <v>7244.703125</v>
      </c>
      <c r="J7" s="35" t="n">
        <f aca="false">INDEX(Monthly!$C$24:$BJ$24,($R$2-1)*12+3)</f>
        <v>10011.585546875</v>
      </c>
      <c r="K7" s="35" t="n">
        <f aca="false">INDEX(Monthly!$C$24:$BJ$24,($R$2-1)*12+4)</f>
        <v>12709.2959082031</v>
      </c>
      <c r="L7" s="35" t="n">
        <f aca="false">INDEX(Monthly!$C$24:$BJ$24,($R$2-1)*12+5)</f>
        <v>15339.563510498</v>
      </c>
      <c r="M7" s="35" t="n">
        <f aca="false">INDEX(Monthly!$C$24:$BJ$24,($R$2-1)*12+6)</f>
        <v>17904.0744227356</v>
      </c>
      <c r="N7" s="35" t="n">
        <f aca="false">INDEX(Monthly!$C$24:$BJ$24,($R$2-1)*12+7)</f>
        <v>20404.4725621672</v>
      </c>
      <c r="O7" s="35" t="n">
        <f aca="false">INDEX(Monthly!$C$24:$BJ$24,($R$2-1)*12+8)</f>
        <v>22842.360748113</v>
      </c>
      <c r="P7" s="35" t="n">
        <f aca="false">INDEX(Monthly!$C$24:$BJ$24,($R$2-1)*12+9)</f>
        <v>25219.3017294102</v>
      </c>
      <c r="Q7" s="35" t="n">
        <f aca="false">INDEX(Monthly!$C$24:$BJ$24,($R$2-1)*12+10)</f>
        <v>27536.819186175</v>
      </c>
      <c r="R7" s="35" t="n">
        <f aca="false">INDEX(Monthly!$C$24:$BJ$24,($R$2-1)*12+11)</f>
        <v>29796.3987065206</v>
      </c>
      <c r="S7" s="35" t="n">
        <f aca="false">INDEX(Monthly!$C$24:$BJ$24,($R$2-1)*12+12)</f>
        <v>31999.4887388576</v>
      </c>
    </row>
    <row r="8" customFormat="false" ht="15" hidden="false" customHeight="false" outlineLevel="0" collapsed="false">
      <c r="A8" s="50" t="s">
        <v>75</v>
      </c>
      <c r="B8" s="35" t="n">
        <f aca="false">'P&amp;L'!B6</f>
        <v>-27011.4161847206</v>
      </c>
      <c r="C8" s="35" t="n">
        <f aca="false">'P&amp;L'!C6</f>
        <v>-70436.2940568575</v>
      </c>
      <c r="D8" s="35" t="n">
        <f aca="false">'P&amp;L'!D6</f>
        <v>-116003.606459213</v>
      </c>
      <c r="E8" s="35" t="n">
        <f aca="false">'P&amp;L'!E6</f>
        <v>-167064.40393656</v>
      </c>
      <c r="F8" s="35" t="n">
        <f aca="false">'P&amp;L'!F6</f>
        <v>-227211.3356816</v>
      </c>
      <c r="H8" s="35" t="n">
        <f aca="false">INDEX(Monthly!$C$25:$BJ$25,($R$2-1)*12+1)</f>
        <v>-529.565277777778</v>
      </c>
      <c r="I8" s="35" t="n">
        <f aca="false">INDEX(Monthly!$C$25:$BJ$25,($R$2-1)*12+2)</f>
        <v>-870.2373125</v>
      </c>
      <c r="J8" s="35" t="n">
        <f aca="false">INDEX(Monthly!$C$25:$BJ$25,($R$2-1)*12+3)</f>
        <v>-1202.10810024306</v>
      </c>
      <c r="K8" s="35" t="n">
        <f aca="false">INDEX(Monthly!$C$25:$BJ$25,($R$2-1)*12+4)</f>
        <v>-1525.40620556476</v>
      </c>
      <c r="L8" s="35" t="n">
        <f aca="false">INDEX(Monthly!$C$25:$BJ$25,($R$2-1)*12+5)</f>
        <v>-1840.35422290747</v>
      </c>
      <c r="M8" s="35" t="n">
        <f aca="false">INDEX(Monthly!$C$25:$BJ$25,($R$2-1)*12+6)</f>
        <v>-2147.16893353105</v>
      </c>
      <c r="N8" s="35" t="n">
        <f aca="false">INDEX(Monthly!$C$25:$BJ$25,($R$2-1)*12+7)</f>
        <v>-2446.06145829204</v>
      </c>
      <c r="O8" s="35" t="n">
        <f aca="false">INDEX(Monthly!$C$25:$BJ$25,($R$2-1)*12+8)</f>
        <v>-2737.23740637992</v>
      </c>
      <c r="P8" s="35" t="n">
        <f aca="false">INDEX(Monthly!$C$25:$BJ$25,($R$2-1)*12+9)</f>
        <v>-3020.89702011814</v>
      </c>
      <c r="Q8" s="35" t="n">
        <f aca="false">INDEX(Monthly!$C$25:$BJ$25,($R$2-1)*12+10)</f>
        <v>-3297.23531593485</v>
      </c>
      <c r="R8" s="35" t="n">
        <f aca="false">INDEX(Monthly!$C$25:$BJ$25,($R$2-1)*12+11)</f>
        <v>-3566.44222160545</v>
      </c>
      <c r="S8" s="35" t="n">
        <f aca="false">INDEX(Monthly!$C$25:$BJ$25,($R$2-1)*12+12)</f>
        <v>-3828.7027098661</v>
      </c>
    </row>
    <row r="9" customFormat="false" ht="15" hidden="false" customHeight="false" outlineLevel="0" collapsed="false">
      <c r="A9" s="36" t="s">
        <v>45</v>
      </c>
      <c r="B9" s="37" t="n">
        <f aca="false">'P&amp;L'!B7</f>
        <v>198403.522999835</v>
      </c>
      <c r="C9" s="37" t="n">
        <f aca="false">'P&amp;L'!C7</f>
        <v>520687.036427161</v>
      </c>
      <c r="D9" s="37" t="n">
        <f aca="false">'P&amp;L'!D7</f>
        <v>863384.953497385</v>
      </c>
      <c r="E9" s="37" t="n">
        <f aca="false">'P&amp;L'!E7</f>
        <v>1251317.69636447</v>
      </c>
      <c r="F9" s="37" t="n">
        <f aca="false">'P&amp;L'!F7</f>
        <v>1711809.6051911</v>
      </c>
      <c r="H9" s="37" t="n">
        <f aca="false">INDEX(Monthly!$C$26:$BJ$26,($R$2-1)*12+1)</f>
        <v>3877.30972222222</v>
      </c>
      <c r="I9" s="37" t="n">
        <f aca="false">INDEX(Monthly!$C$26:$BJ$26,($R$2-1)*12+2)</f>
        <v>6374.4658125</v>
      </c>
      <c r="J9" s="37" t="n">
        <f aca="false">INDEX(Monthly!$C$26:$BJ$26,($R$2-1)*12+3)</f>
        <v>8809.47744663194</v>
      </c>
      <c r="K9" s="37" t="n">
        <f aca="false">INDEX(Monthly!$C$26:$BJ$26,($R$2-1)*12+4)</f>
        <v>11183.8897026384</v>
      </c>
      <c r="L9" s="37" t="n">
        <f aca="false">INDEX(Monthly!$C$26:$BJ$26,($R$2-1)*12+5)</f>
        <v>13499.2092875906</v>
      </c>
      <c r="M9" s="37" t="n">
        <f aca="false">INDEX(Monthly!$C$26:$BJ$26,($R$2-1)*12+6)</f>
        <v>15756.9054892045</v>
      </c>
      <c r="N9" s="37" t="n">
        <f aca="false">INDEX(Monthly!$C$26:$BJ$26,($R$2-1)*12+7)</f>
        <v>17958.4111038752</v>
      </c>
      <c r="O9" s="37" t="n">
        <f aca="false">INDEX(Monthly!$C$26:$BJ$26,($R$2-1)*12+8)</f>
        <v>20105.1233417331</v>
      </c>
      <c r="P9" s="37" t="n">
        <f aca="false">INDEX(Monthly!$C$26:$BJ$26,($R$2-1)*12+9)</f>
        <v>22198.4047092921</v>
      </c>
      <c r="Q9" s="37" t="n">
        <f aca="false">INDEX(Monthly!$C$26:$BJ$26,($R$2-1)*12+10)</f>
        <v>24239.5838702401</v>
      </c>
      <c r="R9" s="37" t="n">
        <f aca="false">INDEX(Monthly!$C$26:$BJ$26,($R$2-1)*12+11)</f>
        <v>26229.9564849151</v>
      </c>
      <c r="S9" s="37" t="n">
        <f aca="false">INDEX(Monthly!$C$26:$BJ$26,($R$2-1)*12+12)</f>
        <v>28170.7860289915</v>
      </c>
    </row>
    <row r="10" customFormat="false" ht="15" hidden="false" customHeight="false" outlineLevel="0" collapsed="false">
      <c r="A10" s="38" t="s">
        <v>46</v>
      </c>
      <c r="B10" s="39" t="n">
        <f aca="false">'P&amp;L'!B8</f>
        <v>0.880170248332097</v>
      </c>
      <c r="C10" s="39" t="n">
        <f aca="false">'P&amp;L'!C8</f>
        <v>0.880843319110441</v>
      </c>
      <c r="D10" s="39" t="n">
        <f aca="false">'P&amp;L'!D8</f>
        <v>0.881555073030102</v>
      </c>
      <c r="E10" s="39" t="n">
        <f aca="false">'P&amp;L'!E8</f>
        <v>0.882214810874232</v>
      </c>
      <c r="F10" s="39" t="n">
        <f aca="false">'P&amp;L'!F8</f>
        <v>0.882821618430104</v>
      </c>
      <c r="H10" s="39" t="n">
        <f aca="false">IF(H7=0,0,H9/H7)</f>
        <v>0.879832017523125</v>
      </c>
      <c r="I10" s="39" t="n">
        <f aca="false">IF(I7=0,0,I9/I7)</f>
        <v>0.879879506794835</v>
      </c>
      <c r="J10" s="39" t="n">
        <f aca="false">IF(J7=0,0,J9/J7)</f>
        <v>0.879928299607021</v>
      </c>
      <c r="K10" s="39" t="n">
        <f aca="false">IF(K7=0,0,K9/K7)</f>
        <v>0.879977127247451</v>
      </c>
      <c r="L10" s="39" t="n">
        <f aca="false">IF(L7=0,0,L9/L7)</f>
        <v>0.880025645993905</v>
      </c>
      <c r="M10" s="39" t="n">
        <f aca="false">IF(M7=0,0,M9/M7)</f>
        <v>0.880073726078548</v>
      </c>
      <c r="N10" s="39" t="n">
        <f aca="false">IF(N7=0,0,N9/N7)</f>
        <v>0.88012130914732</v>
      </c>
      <c r="O10" s="39" t="n">
        <f aca="false">IF(O7=0,0,O9/O7)</f>
        <v>0.880168366283855</v>
      </c>
      <c r="P10" s="39" t="n">
        <f aca="false">IF(P7=0,0,P9/P7)</f>
        <v>0.880214882532008</v>
      </c>
      <c r="Q10" s="39" t="n">
        <f aca="false">IF(Q7=0,0,Q9/Q7)</f>
        <v>0.880260850258615</v>
      </c>
      <c r="R10" s="39" t="n">
        <f aca="false">IF(R7=0,0,R9/R7)</f>
        <v>0.88030626597754</v>
      </c>
      <c r="S10" s="39" t="n">
        <f aca="false">IF(S7=0,0,S9/S7)</f>
        <v>0.880351128697352</v>
      </c>
    </row>
    <row r="11" customFormat="false" ht="15" hidden="false" customHeight="false" outlineLevel="0" collapsed="false">
      <c r="A11" s="50" t="s">
        <v>76</v>
      </c>
      <c r="B11" s="35" t="n">
        <f aca="false">'P&amp;L'!B14</f>
        <v>-901800</v>
      </c>
      <c r="C11" s="35" t="n">
        <f aca="false">'P&amp;L'!C14</f>
        <v>-1341360</v>
      </c>
      <c r="D11" s="35" t="n">
        <f aca="false">'P&amp;L'!D14</f>
        <v>-2019837.6</v>
      </c>
      <c r="E11" s="35" t="n">
        <f aca="false">'P&amp;L'!E14</f>
        <v>-3069482.256</v>
      </c>
      <c r="F11" s="35" t="n">
        <f aca="false">'P&amp;L'!F14</f>
        <v>-4696245.63936</v>
      </c>
      <c r="H11" s="35" t="n">
        <f aca="false">INDEX(Monthly!$C$34:$BJ$34,($R$2-1)*12+1)</f>
        <v>-75150</v>
      </c>
      <c r="I11" s="35" t="n">
        <f aca="false">INDEX(Monthly!$C$34:$BJ$34,($R$2-1)*12+2)</f>
        <v>-75150</v>
      </c>
      <c r="J11" s="35" t="n">
        <f aca="false">INDEX(Monthly!$C$34:$BJ$34,($R$2-1)*12+3)</f>
        <v>-75150</v>
      </c>
      <c r="K11" s="35" t="n">
        <f aca="false">INDEX(Monthly!$C$34:$BJ$34,($R$2-1)*12+4)</f>
        <v>-75150</v>
      </c>
      <c r="L11" s="35" t="n">
        <f aca="false">INDEX(Monthly!$C$34:$BJ$34,($R$2-1)*12+5)</f>
        <v>-75150</v>
      </c>
      <c r="M11" s="35" t="n">
        <f aca="false">INDEX(Monthly!$C$34:$BJ$34,($R$2-1)*12+6)</f>
        <v>-75150</v>
      </c>
      <c r="N11" s="35" t="n">
        <f aca="false">INDEX(Monthly!$C$34:$BJ$34,($R$2-1)*12+7)</f>
        <v>-75150</v>
      </c>
      <c r="O11" s="35" t="n">
        <f aca="false">INDEX(Monthly!$C$34:$BJ$34,($R$2-1)*12+8)</f>
        <v>-75150</v>
      </c>
      <c r="P11" s="35" t="n">
        <f aca="false">INDEX(Monthly!$C$34:$BJ$34,($R$2-1)*12+9)</f>
        <v>-75150</v>
      </c>
      <c r="Q11" s="35" t="n">
        <f aca="false">INDEX(Monthly!$C$34:$BJ$34,($R$2-1)*12+10)</f>
        <v>-75150</v>
      </c>
      <c r="R11" s="35" t="n">
        <f aca="false">INDEX(Monthly!$C$34:$BJ$34,($R$2-1)*12+11)</f>
        <v>-75150</v>
      </c>
      <c r="S11" s="35" t="n">
        <f aca="false">INDEX(Monthly!$C$34:$BJ$34,($R$2-1)*12+12)</f>
        <v>-75150</v>
      </c>
    </row>
    <row r="12" customFormat="false" ht="15" hidden="false" customHeight="false" outlineLevel="0" collapsed="false">
      <c r="A12" s="36" t="s">
        <v>48</v>
      </c>
      <c r="B12" s="37" t="n">
        <f aca="false">'P&amp;L'!B15</f>
        <v>-703396.477000165</v>
      </c>
      <c r="C12" s="37" t="n">
        <f aca="false">'P&amp;L'!C15</f>
        <v>-820672.963572839</v>
      </c>
      <c r="D12" s="37" t="n">
        <f aca="false">'P&amp;L'!D15</f>
        <v>-1156452.64650262</v>
      </c>
      <c r="E12" s="37" t="n">
        <f aca="false">'P&amp;L'!E15</f>
        <v>-1818164.55963553</v>
      </c>
      <c r="F12" s="37" t="n">
        <f aca="false">'P&amp;L'!F15</f>
        <v>-2984436.0341689</v>
      </c>
      <c r="H12" s="37" t="n">
        <f aca="false">INDEX(Monthly!$C$35:$BJ$35,($R$2-1)*12+1)</f>
        <v>-71272.6902777778</v>
      </c>
      <c r="I12" s="37" t="n">
        <f aca="false">INDEX(Monthly!$C$35:$BJ$35,($R$2-1)*12+2)</f>
        <v>-68775.5341875</v>
      </c>
      <c r="J12" s="37" t="n">
        <f aca="false">INDEX(Monthly!$C$35:$BJ$35,($R$2-1)*12+3)</f>
        <v>-66340.5225533681</v>
      </c>
      <c r="K12" s="37" t="n">
        <f aca="false">INDEX(Monthly!$C$35:$BJ$35,($R$2-1)*12+4)</f>
        <v>-63966.1102973616</v>
      </c>
      <c r="L12" s="37" t="n">
        <f aca="false">INDEX(Monthly!$C$35:$BJ$35,($R$2-1)*12+5)</f>
        <v>-61650.7907124094</v>
      </c>
      <c r="M12" s="37" t="n">
        <f aca="false">INDEX(Monthly!$C$35:$BJ$35,($R$2-1)*12+6)</f>
        <v>-59393.0945107955</v>
      </c>
      <c r="N12" s="37" t="n">
        <f aca="false">INDEX(Monthly!$C$35:$BJ$35,($R$2-1)*12+7)</f>
        <v>-57191.5888961248</v>
      </c>
      <c r="O12" s="37" t="n">
        <f aca="false">INDEX(Monthly!$C$35:$BJ$35,($R$2-1)*12+8)</f>
        <v>-55044.8766582669</v>
      </c>
      <c r="P12" s="37" t="n">
        <f aca="false">INDEX(Monthly!$C$35:$BJ$35,($R$2-1)*12+9)</f>
        <v>-52951.5952907079</v>
      </c>
      <c r="Q12" s="37" t="n">
        <f aca="false">INDEX(Monthly!$C$35:$BJ$35,($R$2-1)*12+10)</f>
        <v>-50910.4161297599</v>
      </c>
      <c r="R12" s="37" t="n">
        <f aca="false">INDEX(Monthly!$C$35:$BJ$35,($R$2-1)*12+11)</f>
        <v>-48920.0435150849</v>
      </c>
      <c r="S12" s="37" t="n">
        <f aca="false">INDEX(Monthly!$C$35:$BJ$35,($R$2-1)*12+12)</f>
        <v>-46979.2139710086</v>
      </c>
    </row>
    <row r="13" customFormat="false" ht="15" hidden="false" customHeight="false" outlineLevel="0" collapsed="false">
      <c r="A13" s="38" t="s">
        <v>49</v>
      </c>
      <c r="B13" s="39" t="n">
        <f aca="false">'P&amp;L'!B16</f>
        <v>-3.12045190768953</v>
      </c>
      <c r="C13" s="39" t="n">
        <f aca="false">'P&amp;L'!C16</f>
        <v>-1.38832781798827</v>
      </c>
      <c r="D13" s="39" t="n">
        <f aca="false">'P&amp;L'!D16</f>
        <v>-1.18079043781547</v>
      </c>
      <c r="E13" s="39" t="n">
        <f aca="false">'P&amp;L'!E16</f>
        <v>-1.2818580827054</v>
      </c>
      <c r="F13" s="39" t="n">
        <f aca="false">'P&amp;L'!F16</f>
        <v>-1.53914584998018</v>
      </c>
      <c r="H13" s="39" t="n">
        <f aca="false">IF(H7=0,0,H12/H7)</f>
        <v>-16.173068280307</v>
      </c>
      <c r="I13" s="39" t="n">
        <f aca="false">IF(I7=0,0,I12/I7)</f>
        <v>-9.49321635418981</v>
      </c>
      <c r="J13" s="39" t="n">
        <f aca="false">IF(J7=0,0,J12/J7)</f>
        <v>-6.62637523724456</v>
      </c>
      <c r="K13" s="39" t="n">
        <f aca="false">IF(K7=0,0,K12/K7)</f>
        <v>-5.03301762421592</v>
      </c>
      <c r="L13" s="39" t="n">
        <f aca="false">IF(L7=0,0,L12/L7)</f>
        <v>-4.0190707297647</v>
      </c>
      <c r="M13" s="39" t="n">
        <f aca="false">IF(M7=0,0,M12/M7)</f>
        <v>-3.31729488542422</v>
      </c>
      <c r="N13" s="39" t="n">
        <f aca="false">IF(N7=0,0,N12/N7)</f>
        <v>-2.80289474387915</v>
      </c>
      <c r="O13" s="39" t="n">
        <f aca="false">IF(O7=0,0,O12/O7)</f>
        <v>-2.40977179483579</v>
      </c>
      <c r="P13" s="39" t="n">
        <f aca="false">IF(P7=0,0,P12/P7)</f>
        <v>-2.09964557539501</v>
      </c>
      <c r="Q13" s="39" t="n">
        <f aca="false">IF(Q7=0,0,Q12/Q7)</f>
        <v>-1.84881252208388</v>
      </c>
      <c r="R13" s="39" t="n">
        <f aca="false">IF(R7=0,0,R12/R7)</f>
        <v>-1.64181060929284</v>
      </c>
      <c r="S13" s="39" t="n">
        <f aca="false">IF(S7=0,0,S12/S7)</f>
        <v>-1.46812389267835</v>
      </c>
    </row>
    <row r="14" customFormat="false" ht="15" hidden="false" customHeight="false" outlineLevel="0" collapsed="false">
      <c r="A14" s="50" t="s">
        <v>77</v>
      </c>
      <c r="B14" s="35" t="n">
        <f aca="false">'P&amp;L'!B17</f>
        <v>-6666.66666666667</v>
      </c>
      <c r="C14" s="35" t="n">
        <f aca="false">'P&amp;L'!C17</f>
        <v>-6666.66666666667</v>
      </c>
      <c r="D14" s="35" t="n">
        <f aca="false">'P&amp;L'!D17</f>
        <v>-6666.66666666667</v>
      </c>
      <c r="E14" s="35" t="n">
        <f aca="false">'P&amp;L'!E17</f>
        <v>0</v>
      </c>
      <c r="F14" s="35" t="n">
        <f aca="false">'P&amp;L'!F17</f>
        <v>0</v>
      </c>
      <c r="H14" s="35" t="n">
        <f aca="false">INDEX(Monthly!$C$49:$BJ$49,($R$2-1)*12+1)</f>
        <v>-555.555555555556</v>
      </c>
      <c r="I14" s="35" t="n">
        <f aca="false">INDEX(Monthly!$C$49:$BJ$49,($R$2-1)*12+2)</f>
        <v>-555.555555555556</v>
      </c>
      <c r="J14" s="35" t="n">
        <f aca="false">INDEX(Monthly!$C$49:$BJ$49,($R$2-1)*12+3)</f>
        <v>-555.555555555556</v>
      </c>
      <c r="K14" s="35" t="n">
        <f aca="false">INDEX(Monthly!$C$49:$BJ$49,($R$2-1)*12+4)</f>
        <v>-555.555555555556</v>
      </c>
      <c r="L14" s="35" t="n">
        <f aca="false">INDEX(Monthly!$C$49:$BJ$49,($R$2-1)*12+5)</f>
        <v>-555.555555555556</v>
      </c>
      <c r="M14" s="35" t="n">
        <f aca="false">INDEX(Monthly!$C$49:$BJ$49,($R$2-1)*12+6)</f>
        <v>-555.555555555556</v>
      </c>
      <c r="N14" s="35" t="n">
        <f aca="false">INDEX(Monthly!$C$49:$BJ$49,($R$2-1)*12+7)</f>
        <v>-555.555555555556</v>
      </c>
      <c r="O14" s="35" t="n">
        <f aca="false">INDEX(Monthly!$C$49:$BJ$49,($R$2-1)*12+8)</f>
        <v>-555.555555555556</v>
      </c>
      <c r="P14" s="35" t="n">
        <f aca="false">INDEX(Monthly!$C$49:$BJ$49,($R$2-1)*12+9)</f>
        <v>-555.555555555556</v>
      </c>
      <c r="Q14" s="35" t="n">
        <f aca="false">INDEX(Monthly!$C$49:$BJ$49,($R$2-1)*12+10)</f>
        <v>-555.555555555556</v>
      </c>
      <c r="R14" s="35" t="n">
        <f aca="false">INDEX(Monthly!$C$49:$BJ$49,($R$2-1)*12+11)</f>
        <v>-555.555555555556</v>
      </c>
      <c r="S14" s="35" t="n">
        <f aca="false">INDEX(Monthly!$C$49:$BJ$49,($R$2-1)*12+12)</f>
        <v>-555.555555555556</v>
      </c>
    </row>
    <row r="15" customFormat="false" ht="15" hidden="false" customHeight="false" outlineLevel="0" collapsed="false">
      <c r="A15" s="36" t="s">
        <v>78</v>
      </c>
      <c r="B15" s="37" t="n">
        <f aca="false">'P&amp;L'!B18</f>
        <v>-710063.143666832</v>
      </c>
      <c r="C15" s="37" t="n">
        <f aca="false">'P&amp;L'!C18</f>
        <v>-827339.630239505</v>
      </c>
      <c r="D15" s="37" t="n">
        <f aca="false">'P&amp;L'!D18</f>
        <v>-1163119.31316928</v>
      </c>
      <c r="E15" s="37" t="n">
        <f aca="false">'P&amp;L'!E18</f>
        <v>-1818164.55963553</v>
      </c>
      <c r="F15" s="37" t="n">
        <f aca="false">'P&amp;L'!F18</f>
        <v>-2984436.0341689</v>
      </c>
      <c r="H15" s="37" t="n">
        <f aca="false">INDEX(Monthly!$C$38:$BJ$38,($R$2-1)*12+1)</f>
        <v>-71828.2458333333</v>
      </c>
      <c r="I15" s="37" t="n">
        <f aca="false">INDEX(Monthly!$C$38:$BJ$38,($R$2-1)*12+2)</f>
        <v>-69331.0897430556</v>
      </c>
      <c r="J15" s="37" t="n">
        <f aca="false">INDEX(Monthly!$C$38:$BJ$38,($R$2-1)*12+3)</f>
        <v>-66896.0781089236</v>
      </c>
      <c r="K15" s="37" t="n">
        <f aca="false">INDEX(Monthly!$C$38:$BJ$38,($R$2-1)*12+4)</f>
        <v>-64521.6658529172</v>
      </c>
      <c r="L15" s="37" t="n">
        <f aca="false">INDEX(Monthly!$C$38:$BJ$38,($R$2-1)*12+5)</f>
        <v>-62206.346267965</v>
      </c>
      <c r="M15" s="37" t="n">
        <f aca="false">INDEX(Monthly!$C$38:$BJ$38,($R$2-1)*12+6)</f>
        <v>-59948.650066351</v>
      </c>
      <c r="N15" s="37" t="n">
        <f aca="false">INDEX(Monthly!$C$38:$BJ$38,($R$2-1)*12+7)</f>
        <v>-57747.1444516804</v>
      </c>
      <c r="O15" s="37" t="n">
        <f aca="false">INDEX(Monthly!$C$38:$BJ$38,($R$2-1)*12+8)</f>
        <v>-55600.4322138224</v>
      </c>
      <c r="P15" s="37" t="n">
        <f aca="false">INDEX(Monthly!$C$38:$BJ$38,($R$2-1)*12+9)</f>
        <v>-53507.1508462635</v>
      </c>
      <c r="Q15" s="37" t="n">
        <f aca="false">INDEX(Monthly!$C$38:$BJ$38,($R$2-1)*12+10)</f>
        <v>-51465.9716853155</v>
      </c>
      <c r="R15" s="37" t="n">
        <f aca="false">INDEX(Monthly!$C$38:$BJ$38,($R$2-1)*12+11)</f>
        <v>-49475.5990706404</v>
      </c>
      <c r="S15" s="37" t="n">
        <f aca="false">INDEX(Monthly!$C$38:$BJ$38,($R$2-1)*12+12)</f>
        <v>-47534.7695265641</v>
      </c>
    </row>
    <row r="16" customFormat="false" ht="15" hidden="false" customHeight="false" outlineLevel="0" collapsed="false">
      <c r="A16" s="50" t="s">
        <v>79</v>
      </c>
      <c r="B16" s="35" t="n">
        <f aca="false">'P&amp;L'!B19</f>
        <v>0</v>
      </c>
      <c r="C16" s="35" t="n">
        <f aca="false">'P&amp;L'!C19</f>
        <v>0</v>
      </c>
      <c r="D16" s="35" t="n">
        <f aca="false">'P&amp;L'!D19</f>
        <v>0</v>
      </c>
      <c r="E16" s="35" t="n">
        <f aca="false">'P&amp;L'!E19</f>
        <v>0</v>
      </c>
      <c r="F16" s="35" t="n">
        <f aca="false">'P&amp;L'!F19</f>
        <v>0</v>
      </c>
      <c r="H16" s="35" t="n">
        <f aca="false">INDEX(Monthly!$C$39:$BJ$39,($R$2-1)*12+1)</f>
        <v>-0</v>
      </c>
      <c r="I16" s="35" t="n">
        <f aca="false">INDEX(Monthly!$C$39:$BJ$39,($R$2-1)*12+2)</f>
        <v>-0</v>
      </c>
      <c r="J16" s="35" t="n">
        <f aca="false">INDEX(Monthly!$C$39:$BJ$39,($R$2-1)*12+3)</f>
        <v>-0</v>
      </c>
      <c r="K16" s="35" t="n">
        <f aca="false">INDEX(Monthly!$C$39:$BJ$39,($R$2-1)*12+4)</f>
        <v>-0</v>
      </c>
      <c r="L16" s="35" t="n">
        <f aca="false">INDEX(Monthly!$C$39:$BJ$39,($R$2-1)*12+5)</f>
        <v>-0</v>
      </c>
      <c r="M16" s="35" t="n">
        <f aca="false">INDEX(Monthly!$C$39:$BJ$39,($R$2-1)*12+6)</f>
        <v>-0</v>
      </c>
      <c r="N16" s="35" t="n">
        <f aca="false">INDEX(Monthly!$C$39:$BJ$39,($R$2-1)*12+7)</f>
        <v>-0</v>
      </c>
      <c r="O16" s="35" t="n">
        <f aca="false">INDEX(Monthly!$C$39:$BJ$39,($R$2-1)*12+8)</f>
        <v>-0</v>
      </c>
      <c r="P16" s="35" t="n">
        <f aca="false">INDEX(Monthly!$C$39:$BJ$39,($R$2-1)*12+9)</f>
        <v>-0</v>
      </c>
      <c r="Q16" s="35" t="n">
        <f aca="false">INDEX(Monthly!$C$39:$BJ$39,($R$2-1)*12+10)</f>
        <v>-0</v>
      </c>
      <c r="R16" s="35" t="n">
        <f aca="false">INDEX(Monthly!$C$39:$BJ$39,($R$2-1)*12+11)</f>
        <v>-0</v>
      </c>
      <c r="S16" s="35" t="n">
        <f aca="false">INDEX(Monthly!$C$39:$BJ$39,($R$2-1)*12+12)</f>
        <v>-0</v>
      </c>
    </row>
    <row r="17" customFormat="false" ht="15" hidden="false" customHeight="false" outlineLevel="0" collapsed="false">
      <c r="A17" s="50" t="s">
        <v>80</v>
      </c>
      <c r="B17" s="35" t="n">
        <f aca="false">'P&amp;L'!B20</f>
        <v>-710063.143666832</v>
      </c>
      <c r="C17" s="35" t="n">
        <f aca="false">'P&amp;L'!C20</f>
        <v>-827339.630239505</v>
      </c>
      <c r="D17" s="35" t="n">
        <f aca="false">'P&amp;L'!D20</f>
        <v>-1163119.31316928</v>
      </c>
      <c r="E17" s="35" t="n">
        <f aca="false">'P&amp;L'!E20</f>
        <v>-1818164.55963553</v>
      </c>
      <c r="F17" s="35" t="n">
        <f aca="false">'P&amp;L'!F20</f>
        <v>-2984436.0341689</v>
      </c>
      <c r="H17" s="35" t="n">
        <f aca="false">INDEX(Monthly!$C$40:$BJ$40,($R$2-1)*12+1)</f>
        <v>-71828.2458333333</v>
      </c>
      <c r="I17" s="35" t="n">
        <f aca="false">INDEX(Monthly!$C$40:$BJ$40,($R$2-1)*12+2)</f>
        <v>-69331.0897430556</v>
      </c>
      <c r="J17" s="35" t="n">
        <f aca="false">INDEX(Monthly!$C$40:$BJ$40,($R$2-1)*12+3)</f>
        <v>-66896.0781089236</v>
      </c>
      <c r="K17" s="35" t="n">
        <f aca="false">INDEX(Monthly!$C$40:$BJ$40,($R$2-1)*12+4)</f>
        <v>-64521.6658529172</v>
      </c>
      <c r="L17" s="35" t="n">
        <f aca="false">INDEX(Monthly!$C$40:$BJ$40,($R$2-1)*12+5)</f>
        <v>-62206.346267965</v>
      </c>
      <c r="M17" s="35" t="n">
        <f aca="false">INDEX(Monthly!$C$40:$BJ$40,($R$2-1)*12+6)</f>
        <v>-59948.650066351</v>
      </c>
      <c r="N17" s="35" t="n">
        <f aca="false">INDEX(Monthly!$C$40:$BJ$40,($R$2-1)*12+7)</f>
        <v>-57747.1444516804</v>
      </c>
      <c r="O17" s="35" t="n">
        <f aca="false">INDEX(Monthly!$C$40:$BJ$40,($R$2-1)*12+8)</f>
        <v>-55600.4322138224</v>
      </c>
      <c r="P17" s="35" t="n">
        <f aca="false">INDEX(Monthly!$C$40:$BJ$40,($R$2-1)*12+9)</f>
        <v>-53507.1508462635</v>
      </c>
      <c r="Q17" s="35" t="n">
        <f aca="false">INDEX(Monthly!$C$40:$BJ$40,($R$2-1)*12+10)</f>
        <v>-51465.9716853155</v>
      </c>
      <c r="R17" s="35" t="n">
        <f aca="false">INDEX(Monthly!$C$40:$BJ$40,($R$2-1)*12+11)</f>
        <v>-49475.5990706404</v>
      </c>
      <c r="S17" s="35" t="n">
        <f aca="false">INDEX(Monthly!$C$40:$BJ$40,($R$2-1)*12+12)</f>
        <v>-47534.7695265641</v>
      </c>
    </row>
    <row r="18" customFormat="false" ht="15" hidden="false" customHeight="false" outlineLevel="0" collapsed="false">
      <c r="A18" s="50" t="s">
        <v>81</v>
      </c>
      <c r="B18" s="35" t="n">
        <f aca="false">'P&amp;L'!B21</f>
        <v>0</v>
      </c>
      <c r="C18" s="35" t="n">
        <f aca="false">'P&amp;L'!C21</f>
        <v>0</v>
      </c>
      <c r="D18" s="35" t="n">
        <f aca="false">'P&amp;L'!D21</f>
        <v>0</v>
      </c>
      <c r="E18" s="35" t="n">
        <f aca="false">'P&amp;L'!E21</f>
        <v>0</v>
      </c>
      <c r="F18" s="35" t="n">
        <f aca="false">'P&amp;L'!F21</f>
        <v>0</v>
      </c>
      <c r="H18" s="35" t="n">
        <f aca="false">INDEX(Monthly!$C$43:$BJ$43,($R$2-1)*12+1)</f>
        <v>-0</v>
      </c>
      <c r="I18" s="35" t="n">
        <f aca="false">INDEX(Monthly!$C$43:$BJ$43,($R$2-1)*12+2)</f>
        <v>-0</v>
      </c>
      <c r="J18" s="35" t="n">
        <f aca="false">INDEX(Monthly!$C$43:$BJ$43,($R$2-1)*12+3)</f>
        <v>-0</v>
      </c>
      <c r="K18" s="35" t="n">
        <f aca="false">INDEX(Monthly!$C$43:$BJ$43,($R$2-1)*12+4)</f>
        <v>-0</v>
      </c>
      <c r="L18" s="35" t="n">
        <f aca="false">INDEX(Monthly!$C$43:$BJ$43,($R$2-1)*12+5)</f>
        <v>-0</v>
      </c>
      <c r="M18" s="35" t="n">
        <f aca="false">INDEX(Monthly!$C$43:$BJ$43,($R$2-1)*12+6)</f>
        <v>-0</v>
      </c>
      <c r="N18" s="35" t="n">
        <f aca="false">INDEX(Monthly!$C$43:$BJ$43,($R$2-1)*12+7)</f>
        <v>-0</v>
      </c>
      <c r="O18" s="35" t="n">
        <f aca="false">INDEX(Monthly!$C$43:$BJ$43,($R$2-1)*12+8)</f>
        <v>-0</v>
      </c>
      <c r="P18" s="35" t="n">
        <f aca="false">INDEX(Monthly!$C$43:$BJ$43,($R$2-1)*12+9)</f>
        <v>-0</v>
      </c>
      <c r="Q18" s="35" t="n">
        <f aca="false">INDEX(Monthly!$C$43:$BJ$43,($R$2-1)*12+10)</f>
        <v>-0</v>
      </c>
      <c r="R18" s="35" t="n">
        <f aca="false">INDEX(Monthly!$C$43:$BJ$43,($R$2-1)*12+11)</f>
        <v>-0</v>
      </c>
      <c r="S18" s="35" t="n">
        <f aca="false">INDEX(Monthly!$C$43:$BJ$43,($R$2-1)*12+12)</f>
        <v>-0</v>
      </c>
    </row>
    <row r="19" customFormat="false" ht="15" hidden="false" customHeight="false" outlineLevel="0" collapsed="false">
      <c r="A19" s="40" t="s">
        <v>50</v>
      </c>
      <c r="B19" s="41" t="n">
        <f aca="false">'P&amp;L'!B22</f>
        <v>-710063.143666832</v>
      </c>
      <c r="C19" s="41" t="n">
        <f aca="false">'P&amp;L'!C22</f>
        <v>-827339.630239505</v>
      </c>
      <c r="D19" s="41" t="n">
        <f aca="false">'P&amp;L'!D22</f>
        <v>-1163119.31316928</v>
      </c>
      <c r="E19" s="41" t="n">
        <f aca="false">'P&amp;L'!E22</f>
        <v>-1818164.55963553</v>
      </c>
      <c r="F19" s="41" t="n">
        <f aca="false">'P&amp;L'!F22</f>
        <v>-2984436.0341689</v>
      </c>
      <c r="H19" s="41" t="n">
        <f aca="false">INDEX(Monthly!$C$44:$BJ$44,($R$2-1)*12+1)</f>
        <v>-71828.2458333333</v>
      </c>
      <c r="I19" s="41" t="n">
        <f aca="false">INDEX(Monthly!$C$44:$BJ$44,($R$2-1)*12+2)</f>
        <v>-69331.0897430556</v>
      </c>
      <c r="J19" s="41" t="n">
        <f aca="false">INDEX(Monthly!$C$44:$BJ$44,($R$2-1)*12+3)</f>
        <v>-66896.0781089236</v>
      </c>
      <c r="K19" s="41" t="n">
        <f aca="false">INDEX(Monthly!$C$44:$BJ$44,($R$2-1)*12+4)</f>
        <v>-64521.6658529172</v>
      </c>
      <c r="L19" s="41" t="n">
        <f aca="false">INDEX(Monthly!$C$44:$BJ$44,($R$2-1)*12+5)</f>
        <v>-62206.346267965</v>
      </c>
      <c r="M19" s="41" t="n">
        <f aca="false">INDEX(Monthly!$C$44:$BJ$44,($R$2-1)*12+6)</f>
        <v>-59948.650066351</v>
      </c>
      <c r="N19" s="41" t="n">
        <f aca="false">INDEX(Monthly!$C$44:$BJ$44,($R$2-1)*12+7)</f>
        <v>-57747.1444516804</v>
      </c>
      <c r="O19" s="41" t="n">
        <f aca="false">INDEX(Monthly!$C$44:$BJ$44,($R$2-1)*12+8)</f>
        <v>-55600.4322138224</v>
      </c>
      <c r="P19" s="41" t="n">
        <f aca="false">INDEX(Monthly!$C$44:$BJ$44,($R$2-1)*12+9)</f>
        <v>-53507.1508462635</v>
      </c>
      <c r="Q19" s="41" t="n">
        <f aca="false">INDEX(Monthly!$C$44:$BJ$44,($R$2-1)*12+10)</f>
        <v>-51465.9716853155</v>
      </c>
      <c r="R19" s="41" t="n">
        <f aca="false">INDEX(Monthly!$C$44:$BJ$44,($R$2-1)*12+11)</f>
        <v>-49475.5990706404</v>
      </c>
      <c r="S19" s="41" t="n">
        <f aca="false">INDEX(Monthly!$C$44:$BJ$44,($R$2-1)*12+12)</f>
        <v>-47534.7695265641</v>
      </c>
    </row>
    <row r="20" customFormat="false" ht="15" hidden="false" customHeight="false" outlineLevel="0" collapsed="false">
      <c r="A20" s="38" t="s">
        <v>51</v>
      </c>
      <c r="B20" s="39" t="n">
        <f aca="false">'P&amp;L'!B23</f>
        <v>-3.15002699570625</v>
      </c>
      <c r="C20" s="39" t="n">
        <f aca="false">'P&amp;L'!C23</f>
        <v>-1.39960578034041</v>
      </c>
      <c r="D20" s="39" t="n">
        <f aca="false">'P&amp;L'!D23</f>
        <v>-1.18759740589662</v>
      </c>
      <c r="E20" s="39" t="n">
        <f aca="false">'P&amp;L'!E23</f>
        <v>-1.2818580827054</v>
      </c>
      <c r="F20" s="39" t="n">
        <f aca="false">'P&amp;L'!F23</f>
        <v>-1.53914584998018</v>
      </c>
      <c r="H20" s="39" t="n">
        <f aca="false">IF(H7=0,0,H19/H7)</f>
        <v>-16.2991339289935</v>
      </c>
      <c r="I20" s="39" t="n">
        <f aca="false">IF(I7=0,0,I19/I7)</f>
        <v>-9.56990073255149</v>
      </c>
      <c r="J20" s="39" t="n">
        <f aca="false">IF(J7=0,0,J19/J7)</f>
        <v>-6.68186650313391</v>
      </c>
      <c r="K20" s="39" t="n">
        <f aca="false">IF(K7=0,0,K19/K7)</f>
        <v>-5.07673016026577</v>
      </c>
      <c r="L20" s="39" t="n">
        <f aca="false">IF(L7=0,0,L19/L7)</f>
        <v>-4.05528789821121</v>
      </c>
      <c r="M20" s="39" t="n">
        <f aca="false">IF(M7=0,0,M19/M7)</f>
        <v>-3.34832444564824</v>
      </c>
      <c r="N20" s="39" t="n">
        <f aca="false">IF(N7=0,0,N19/N7)</f>
        <v>-2.83012188997974</v>
      </c>
      <c r="O20" s="39" t="n">
        <f aca="false">IF(O7=0,0,O19/O7)</f>
        <v>-2.43409307938609</v>
      </c>
      <c r="P20" s="39" t="n">
        <f aca="false">IF(P7=0,0,P19/P7)</f>
        <v>-2.12167455785917</v>
      </c>
      <c r="Q20" s="39" t="n">
        <f aca="false">IF(Q7=0,0,Q19/Q7)</f>
        <v>-1.86898753038093</v>
      </c>
      <c r="R20" s="39" t="n">
        <f aca="false">IF(R7=0,0,R19/R7)</f>
        <v>-1.66045566640284</v>
      </c>
      <c r="S20" s="39" t="n">
        <f aca="false">IF(S7=0,0,S19/S7)</f>
        <v>-1.48548528117081</v>
      </c>
    </row>
    <row r="22" customFormat="false" ht="15.75" hidden="false" customHeight="true" outlineLevel="0" collapsed="false">
      <c r="A22" s="7" t="s">
        <v>82</v>
      </c>
      <c r="B22" s="7"/>
      <c r="C22" s="7"/>
      <c r="D22" s="7"/>
      <c r="E22" s="7"/>
      <c r="F22" s="7"/>
      <c r="H22" s="7" t="str">
        <f aca="false">"Cash flow ($'000) — Year "&amp;$R$2&amp;", by month"</f>
        <v>Cash flow ($'000) — Year 1, by month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</row>
    <row r="23" customFormat="false" ht="15" hidden="false" customHeight="false" outlineLevel="0" collapsed="false">
      <c r="A23" s="33"/>
      <c r="B23" s="34" t="n">
        <v>1</v>
      </c>
      <c r="C23" s="34" t="n">
        <v>2</v>
      </c>
      <c r="D23" s="34" t="n">
        <v>3</v>
      </c>
      <c r="E23" s="34" t="n">
        <v>4</v>
      </c>
      <c r="F23" s="34" t="n">
        <v>5</v>
      </c>
      <c r="H23" s="49" t="n">
        <f aca="false">INDEX(Monthly!$C$4:$BJ$4,($R$2-1)*12+1)</f>
        <v>1</v>
      </c>
      <c r="I23" s="49" t="n">
        <f aca="false">INDEX(Monthly!$C$4:$BJ$4,($R$2-1)*12+2)</f>
        <v>2</v>
      </c>
      <c r="J23" s="49" t="n">
        <f aca="false">INDEX(Monthly!$C$4:$BJ$4,($R$2-1)*12+3)</f>
        <v>3</v>
      </c>
      <c r="K23" s="49" t="n">
        <f aca="false">INDEX(Monthly!$C$4:$BJ$4,($R$2-1)*12+4)</f>
        <v>4</v>
      </c>
      <c r="L23" s="49" t="n">
        <f aca="false">INDEX(Monthly!$C$4:$BJ$4,($R$2-1)*12+5)</f>
        <v>5</v>
      </c>
      <c r="M23" s="49" t="n">
        <f aca="false">INDEX(Monthly!$C$4:$BJ$4,($R$2-1)*12+6)</f>
        <v>6</v>
      </c>
      <c r="N23" s="49" t="n">
        <f aca="false">INDEX(Monthly!$C$4:$BJ$4,($R$2-1)*12+7)</f>
        <v>7</v>
      </c>
      <c r="O23" s="49" t="n">
        <f aca="false">INDEX(Monthly!$C$4:$BJ$4,($R$2-1)*12+8)</f>
        <v>8</v>
      </c>
      <c r="P23" s="49" t="n">
        <f aca="false">INDEX(Monthly!$C$4:$BJ$4,($R$2-1)*12+9)</f>
        <v>9</v>
      </c>
      <c r="Q23" s="49" t="n">
        <f aca="false">INDEX(Monthly!$C$4:$BJ$4,($R$2-1)*12+10)</f>
        <v>10</v>
      </c>
      <c r="R23" s="49" t="n">
        <f aca="false">INDEX(Monthly!$C$4:$BJ$4,($R$2-1)*12+11)</f>
        <v>11</v>
      </c>
      <c r="S23" s="49" t="n">
        <f aca="false">INDEX(Monthly!$C$4:$BJ$4,($R$2-1)*12+12)</f>
        <v>12</v>
      </c>
    </row>
    <row r="24" customFormat="false" ht="15" hidden="false" customHeight="false" outlineLevel="0" collapsed="false">
      <c r="A24" s="36" t="s">
        <v>52</v>
      </c>
      <c r="B24" s="37" t="n">
        <f aca="false">'Cash Flow'!B11</f>
        <v>-665196.514236771</v>
      </c>
      <c r="C24" s="37" t="n">
        <f aca="false">'Cash Flow'!C11</f>
        <v>-785208.41697933</v>
      </c>
      <c r="D24" s="37" t="n">
        <f aca="false">'Cash Flow'!D11</f>
        <v>-1117614.51512673</v>
      </c>
      <c r="E24" s="37" t="n">
        <f aca="false">'Cash Flow'!E11</f>
        <v>-1773179.37985021</v>
      </c>
      <c r="F24" s="37" t="n">
        <f aca="false">'Cash Flow'!F11</f>
        <v>-2930170.65655082</v>
      </c>
      <c r="H24" s="37" t="n">
        <f aca="false">INDEX(Monthly!$C$70:$BJ$70,($R$2-1)*12+1)</f>
        <v>-64465.1041666667</v>
      </c>
      <c r="I24" s="37" t="n">
        <f aca="false">INDEX(Monthly!$C$70:$BJ$70,($R$2-1)*12+2)</f>
        <v>-65545.5460069444</v>
      </c>
      <c r="J24" s="37" t="n">
        <f aca="false">INDEX(Monthly!$C$70:$BJ$70,($R$2-1)*12+3)</f>
        <v>-63191.5685234375</v>
      </c>
      <c r="K24" s="37" t="n">
        <f aca="false">INDEX(Monthly!$C$70:$BJ$70,($R$2-1)*12+4)</f>
        <v>-60896.1560309071</v>
      </c>
      <c r="L24" s="37" t="n">
        <f aca="false">INDEX(Monthly!$C$70:$BJ$70,($R$2-1)*12+5)</f>
        <v>-58657.8529379622</v>
      </c>
      <c r="M24" s="37" t="n">
        <f aca="false">INDEX(Monthly!$C$70:$BJ$70,($R$2-1)*12+6)</f>
        <v>-56475.239786995</v>
      </c>
      <c r="N24" s="37" t="n">
        <f aca="false">INDEX(Monthly!$C$70:$BJ$70,($R$2-1)*12+7)</f>
        <v>-54346.9323585164</v>
      </c>
      <c r="O24" s="37" t="n">
        <f aca="false">INDEX(Monthly!$C$70:$BJ$70,($R$2-1)*12+8)</f>
        <v>-52271.5807976527</v>
      </c>
      <c r="P24" s="37" t="n">
        <f aca="false">INDEX(Monthly!$C$70:$BJ$70,($R$2-1)*12+9)</f>
        <v>-50247.8687622566</v>
      </c>
      <c r="Q24" s="37" t="n">
        <f aca="false">INDEX(Monthly!$C$70:$BJ$70,($R$2-1)*12+10)</f>
        <v>-48274.5125920979</v>
      </c>
      <c r="R24" s="37" t="n">
        <f aca="false">INDEX(Monthly!$C$70:$BJ$70,($R$2-1)*12+11)</f>
        <v>-46350.2604986151</v>
      </c>
      <c r="S24" s="37" t="n">
        <f aca="false">INDEX(Monthly!$C$70:$BJ$70,($R$2-1)*12+12)</f>
        <v>-44473.8917747187</v>
      </c>
    </row>
    <row r="25" customFormat="false" ht="15" hidden="false" customHeight="false" outlineLevel="0" collapsed="false">
      <c r="A25" s="50" t="s">
        <v>83</v>
      </c>
      <c r="B25" s="35" t="n">
        <f aca="false">'Cash Flow'!B12</f>
        <v>-20000</v>
      </c>
      <c r="C25" s="35" t="n">
        <f aca="false">'Cash Flow'!C12</f>
        <v>0</v>
      </c>
      <c r="D25" s="35" t="n">
        <f aca="false">'Cash Flow'!D12</f>
        <v>0</v>
      </c>
      <c r="E25" s="35" t="n">
        <f aca="false">'Cash Flow'!E12</f>
        <v>0</v>
      </c>
      <c r="F25" s="35" t="n">
        <f aca="false">'Cash Flow'!F12</f>
        <v>0</v>
      </c>
      <c r="H25" s="35" t="n">
        <f aca="false">INDEX(Monthly!$C$71:$BJ$71,($R$2-1)*12+1)</f>
        <v>-20000</v>
      </c>
      <c r="I25" s="35" t="n">
        <f aca="false">INDEX(Monthly!$C$71:$BJ$71,($R$2-1)*12+2)</f>
        <v>-0</v>
      </c>
      <c r="J25" s="35" t="n">
        <f aca="false">INDEX(Monthly!$C$71:$BJ$71,($R$2-1)*12+3)</f>
        <v>-0</v>
      </c>
      <c r="K25" s="35" t="n">
        <f aca="false">INDEX(Monthly!$C$71:$BJ$71,($R$2-1)*12+4)</f>
        <v>-0</v>
      </c>
      <c r="L25" s="35" t="n">
        <f aca="false">INDEX(Monthly!$C$71:$BJ$71,($R$2-1)*12+5)</f>
        <v>-0</v>
      </c>
      <c r="M25" s="35" t="n">
        <f aca="false">INDEX(Monthly!$C$71:$BJ$71,($R$2-1)*12+6)</f>
        <v>-0</v>
      </c>
      <c r="N25" s="35" t="n">
        <f aca="false">INDEX(Monthly!$C$71:$BJ$71,($R$2-1)*12+7)</f>
        <v>-0</v>
      </c>
      <c r="O25" s="35" t="n">
        <f aca="false">INDEX(Monthly!$C$71:$BJ$71,($R$2-1)*12+8)</f>
        <v>-0</v>
      </c>
      <c r="P25" s="35" t="n">
        <f aca="false">INDEX(Monthly!$C$71:$BJ$71,($R$2-1)*12+9)</f>
        <v>-0</v>
      </c>
      <c r="Q25" s="35" t="n">
        <f aca="false">INDEX(Monthly!$C$71:$BJ$71,($R$2-1)*12+10)</f>
        <v>-0</v>
      </c>
      <c r="R25" s="35" t="n">
        <f aca="false">INDEX(Monthly!$C$71:$BJ$71,($R$2-1)*12+11)</f>
        <v>-0</v>
      </c>
      <c r="S25" s="35" t="n">
        <f aca="false">INDEX(Monthly!$C$71:$BJ$71,($R$2-1)*12+12)</f>
        <v>-0</v>
      </c>
    </row>
    <row r="26" customFormat="false" ht="15" hidden="false" customHeight="false" outlineLevel="0" collapsed="false">
      <c r="A26" s="50" t="s">
        <v>63</v>
      </c>
      <c r="B26" s="35" t="n">
        <f aca="false">'Cash Flow'!B13</f>
        <v>3000000</v>
      </c>
      <c r="C26" s="35" t="n">
        <f aca="false">'Cash Flow'!C13</f>
        <v>0</v>
      </c>
      <c r="D26" s="35" t="n">
        <f aca="false">'Cash Flow'!D13</f>
        <v>0</v>
      </c>
      <c r="E26" s="35" t="n">
        <f aca="false">'Cash Flow'!E13</f>
        <v>0</v>
      </c>
      <c r="F26" s="35" t="n">
        <f aca="false">'Cash Flow'!F13</f>
        <v>0</v>
      </c>
      <c r="H26" s="35" t="n">
        <f aca="false">INDEX(Monthly!$C$72:$BJ$72,($R$2-1)*12+1)</f>
        <v>3000000</v>
      </c>
      <c r="I26" s="35" t="n">
        <f aca="false">INDEX(Monthly!$C$72:$BJ$72,($R$2-1)*12+2)</f>
        <v>0</v>
      </c>
      <c r="J26" s="35" t="n">
        <f aca="false">INDEX(Monthly!$C$72:$BJ$72,($R$2-1)*12+3)</f>
        <v>0</v>
      </c>
      <c r="K26" s="35" t="n">
        <f aca="false">INDEX(Monthly!$C$72:$BJ$72,($R$2-1)*12+4)</f>
        <v>0</v>
      </c>
      <c r="L26" s="35" t="n">
        <f aca="false">INDEX(Monthly!$C$72:$BJ$72,($R$2-1)*12+5)</f>
        <v>0</v>
      </c>
      <c r="M26" s="35" t="n">
        <f aca="false">INDEX(Monthly!$C$72:$BJ$72,($R$2-1)*12+6)</f>
        <v>0</v>
      </c>
      <c r="N26" s="35" t="n">
        <f aca="false">INDEX(Monthly!$C$72:$BJ$72,($R$2-1)*12+7)</f>
        <v>0</v>
      </c>
      <c r="O26" s="35" t="n">
        <f aca="false">INDEX(Monthly!$C$72:$BJ$72,($R$2-1)*12+8)</f>
        <v>0</v>
      </c>
      <c r="P26" s="35" t="n">
        <f aca="false">INDEX(Monthly!$C$72:$BJ$72,($R$2-1)*12+9)</f>
        <v>0</v>
      </c>
      <c r="Q26" s="35" t="n">
        <f aca="false">INDEX(Monthly!$C$72:$BJ$72,($R$2-1)*12+10)</f>
        <v>0</v>
      </c>
      <c r="R26" s="35" t="n">
        <f aca="false">INDEX(Monthly!$C$72:$BJ$72,($R$2-1)*12+11)</f>
        <v>0</v>
      </c>
      <c r="S26" s="35" t="n">
        <f aca="false">INDEX(Monthly!$C$72:$BJ$72,($R$2-1)*12+12)</f>
        <v>0</v>
      </c>
    </row>
    <row r="27" customFormat="false" ht="15" hidden="false" customHeight="false" outlineLevel="0" collapsed="false">
      <c r="A27" s="50" t="s">
        <v>84</v>
      </c>
      <c r="B27" s="35" t="n">
        <f aca="false">'Cash Flow'!B14</f>
        <v>0</v>
      </c>
      <c r="C27" s="35" t="n">
        <f aca="false">'Cash Flow'!C14</f>
        <v>0</v>
      </c>
      <c r="D27" s="35" t="n">
        <f aca="false">'Cash Flow'!D14</f>
        <v>0</v>
      </c>
      <c r="E27" s="35" t="n">
        <f aca="false">'Cash Flow'!E14</f>
        <v>0</v>
      </c>
      <c r="F27" s="35" t="n">
        <f aca="false">'Cash Flow'!F14</f>
        <v>0</v>
      </c>
      <c r="H27" s="35" t="n">
        <f aca="false">INDEX(Monthly!$C$55:$BJ$55,($R$2-1)*12+1)</f>
        <v>0</v>
      </c>
      <c r="I27" s="35" t="n">
        <f aca="false">INDEX(Monthly!$C$55:$BJ$55,($R$2-1)*12+2)</f>
        <v>0</v>
      </c>
      <c r="J27" s="35" t="n">
        <f aca="false">INDEX(Monthly!$C$55:$BJ$55,($R$2-1)*12+3)</f>
        <v>0</v>
      </c>
      <c r="K27" s="35" t="n">
        <f aca="false">INDEX(Monthly!$C$55:$BJ$55,($R$2-1)*12+4)</f>
        <v>0</v>
      </c>
      <c r="L27" s="35" t="n">
        <f aca="false">INDEX(Monthly!$C$55:$BJ$55,($R$2-1)*12+5)</f>
        <v>0</v>
      </c>
      <c r="M27" s="35" t="n">
        <f aca="false">INDEX(Monthly!$C$55:$BJ$55,($R$2-1)*12+6)</f>
        <v>0</v>
      </c>
      <c r="N27" s="35" t="n">
        <f aca="false">INDEX(Monthly!$C$55:$BJ$55,($R$2-1)*12+7)</f>
        <v>0</v>
      </c>
      <c r="O27" s="35" t="n">
        <f aca="false">INDEX(Monthly!$C$55:$BJ$55,($R$2-1)*12+8)</f>
        <v>0</v>
      </c>
      <c r="P27" s="35" t="n">
        <f aca="false">INDEX(Monthly!$C$55:$BJ$55,($R$2-1)*12+9)</f>
        <v>0</v>
      </c>
      <c r="Q27" s="35" t="n">
        <f aca="false">INDEX(Monthly!$C$55:$BJ$55,($R$2-1)*12+10)</f>
        <v>0</v>
      </c>
      <c r="R27" s="35" t="n">
        <f aca="false">INDEX(Monthly!$C$55:$BJ$55,($R$2-1)*12+11)</f>
        <v>0</v>
      </c>
      <c r="S27" s="35" t="n">
        <f aca="false">INDEX(Monthly!$C$55:$BJ$55,($R$2-1)*12+12)</f>
        <v>0</v>
      </c>
    </row>
    <row r="28" customFormat="false" ht="15" hidden="false" customHeight="false" outlineLevel="0" collapsed="false">
      <c r="A28" s="50" t="s">
        <v>85</v>
      </c>
      <c r="B28" s="35" t="n">
        <f aca="false">'Cash Flow'!B15</f>
        <v>0</v>
      </c>
      <c r="C28" s="35" t="n">
        <f aca="false">'Cash Flow'!C15</f>
        <v>0</v>
      </c>
      <c r="D28" s="35" t="n">
        <f aca="false">'Cash Flow'!D15</f>
        <v>0</v>
      </c>
      <c r="E28" s="35" t="n">
        <f aca="false">'Cash Flow'!E15</f>
        <v>0</v>
      </c>
      <c r="F28" s="35" t="n">
        <f aca="false">'Cash Flow'!F15</f>
        <v>0</v>
      </c>
      <c r="H28" s="35" t="n">
        <f aca="false">INDEX(Monthly!$C$56:$BJ$56,($R$2-1)*12+1)</f>
        <v>-0</v>
      </c>
      <c r="I28" s="35" t="n">
        <f aca="false">INDEX(Monthly!$C$56:$BJ$56,($R$2-1)*12+2)</f>
        <v>-0</v>
      </c>
      <c r="J28" s="35" t="n">
        <f aca="false">INDEX(Monthly!$C$56:$BJ$56,($R$2-1)*12+3)</f>
        <v>-0</v>
      </c>
      <c r="K28" s="35" t="n">
        <f aca="false">INDEX(Monthly!$C$56:$BJ$56,($R$2-1)*12+4)</f>
        <v>-0</v>
      </c>
      <c r="L28" s="35" t="n">
        <f aca="false">INDEX(Monthly!$C$56:$BJ$56,($R$2-1)*12+5)</f>
        <v>-0</v>
      </c>
      <c r="M28" s="35" t="n">
        <f aca="false">INDEX(Monthly!$C$56:$BJ$56,($R$2-1)*12+6)</f>
        <v>-0</v>
      </c>
      <c r="N28" s="35" t="n">
        <f aca="false">INDEX(Monthly!$C$56:$BJ$56,($R$2-1)*12+7)</f>
        <v>-0</v>
      </c>
      <c r="O28" s="35" t="n">
        <f aca="false">INDEX(Monthly!$C$56:$BJ$56,($R$2-1)*12+8)</f>
        <v>-0</v>
      </c>
      <c r="P28" s="35" t="n">
        <f aca="false">INDEX(Monthly!$C$56:$BJ$56,($R$2-1)*12+9)</f>
        <v>-0</v>
      </c>
      <c r="Q28" s="35" t="n">
        <f aca="false">INDEX(Monthly!$C$56:$BJ$56,($R$2-1)*12+10)</f>
        <v>-0</v>
      </c>
      <c r="R28" s="35" t="n">
        <f aca="false">INDEX(Monthly!$C$56:$BJ$56,($R$2-1)*12+11)</f>
        <v>-0</v>
      </c>
      <c r="S28" s="35" t="n">
        <f aca="false">INDEX(Monthly!$C$56:$BJ$56,($R$2-1)*12+12)</f>
        <v>-0</v>
      </c>
    </row>
    <row r="29" customFormat="false" ht="15" hidden="false" customHeight="false" outlineLevel="0" collapsed="false">
      <c r="A29" s="36" t="s">
        <v>54</v>
      </c>
      <c r="B29" s="37" t="n">
        <f aca="false">'Cash Flow'!B16</f>
        <v>3000000</v>
      </c>
      <c r="C29" s="37" t="n">
        <f aca="false">'Cash Flow'!C16</f>
        <v>0</v>
      </c>
      <c r="D29" s="37" t="n">
        <f aca="false">'Cash Flow'!D16</f>
        <v>0</v>
      </c>
      <c r="E29" s="37" t="n">
        <f aca="false">'Cash Flow'!E16</f>
        <v>0</v>
      </c>
      <c r="F29" s="37" t="n">
        <f aca="false">'Cash Flow'!F16</f>
        <v>0</v>
      </c>
      <c r="H29" s="37" t="n">
        <f aca="false">INDEX(Monthly!$C$73:$BJ$73,($R$2-1)*12+1)</f>
        <v>3000000</v>
      </c>
      <c r="I29" s="37" t="n">
        <f aca="false">INDEX(Monthly!$C$73:$BJ$73,($R$2-1)*12+2)</f>
        <v>0</v>
      </c>
      <c r="J29" s="37" t="n">
        <f aca="false">INDEX(Monthly!$C$73:$BJ$73,($R$2-1)*12+3)</f>
        <v>0</v>
      </c>
      <c r="K29" s="37" t="n">
        <f aca="false">INDEX(Monthly!$C$73:$BJ$73,($R$2-1)*12+4)</f>
        <v>0</v>
      </c>
      <c r="L29" s="37" t="n">
        <f aca="false">INDEX(Monthly!$C$73:$BJ$73,($R$2-1)*12+5)</f>
        <v>0</v>
      </c>
      <c r="M29" s="37" t="n">
        <f aca="false">INDEX(Monthly!$C$73:$BJ$73,($R$2-1)*12+6)</f>
        <v>0</v>
      </c>
      <c r="N29" s="37" t="n">
        <f aca="false">INDEX(Monthly!$C$73:$BJ$73,($R$2-1)*12+7)</f>
        <v>0</v>
      </c>
      <c r="O29" s="37" t="n">
        <f aca="false">INDEX(Monthly!$C$73:$BJ$73,($R$2-1)*12+8)</f>
        <v>0</v>
      </c>
      <c r="P29" s="37" t="n">
        <f aca="false">INDEX(Monthly!$C$73:$BJ$73,($R$2-1)*12+9)</f>
        <v>0</v>
      </c>
      <c r="Q29" s="37" t="n">
        <f aca="false">INDEX(Monthly!$C$73:$BJ$73,($R$2-1)*12+10)</f>
        <v>0</v>
      </c>
      <c r="R29" s="37" t="n">
        <f aca="false">INDEX(Monthly!$C$73:$BJ$73,($R$2-1)*12+11)</f>
        <v>0</v>
      </c>
      <c r="S29" s="37" t="n">
        <f aca="false">INDEX(Monthly!$C$73:$BJ$73,($R$2-1)*12+12)</f>
        <v>0</v>
      </c>
    </row>
    <row r="30" customFormat="false" ht="15" hidden="false" customHeight="false" outlineLevel="0" collapsed="false">
      <c r="A30" s="36" t="s">
        <v>55</v>
      </c>
      <c r="B30" s="37" t="n">
        <f aca="false">'Cash Flow'!B17</f>
        <v>2314803.48576323</v>
      </c>
      <c r="C30" s="37" t="n">
        <f aca="false">'Cash Flow'!C17</f>
        <v>-785208.41697933</v>
      </c>
      <c r="D30" s="37" t="n">
        <f aca="false">'Cash Flow'!D17</f>
        <v>-1117614.51512673</v>
      </c>
      <c r="E30" s="37" t="n">
        <f aca="false">'Cash Flow'!E17</f>
        <v>-1773179.37985021</v>
      </c>
      <c r="F30" s="37" t="n">
        <f aca="false">'Cash Flow'!F17</f>
        <v>-2930170.65655082</v>
      </c>
      <c r="H30" s="37" t="n">
        <f aca="false">INDEX(Monthly!$C$74:$BJ$74,($R$2-1)*12+1)</f>
        <v>2915534.89583333</v>
      </c>
      <c r="I30" s="37" t="n">
        <f aca="false">INDEX(Monthly!$C$74:$BJ$74,($R$2-1)*12+2)</f>
        <v>-65545.5460069444</v>
      </c>
      <c r="J30" s="37" t="n">
        <f aca="false">INDEX(Monthly!$C$74:$BJ$74,($R$2-1)*12+3)</f>
        <v>-63191.5685234375</v>
      </c>
      <c r="K30" s="37" t="n">
        <f aca="false">INDEX(Monthly!$C$74:$BJ$74,($R$2-1)*12+4)</f>
        <v>-60896.1560309071</v>
      </c>
      <c r="L30" s="37" t="n">
        <f aca="false">INDEX(Monthly!$C$74:$BJ$74,($R$2-1)*12+5)</f>
        <v>-58657.8529379622</v>
      </c>
      <c r="M30" s="37" t="n">
        <f aca="false">INDEX(Monthly!$C$74:$BJ$74,($R$2-1)*12+6)</f>
        <v>-56475.239786995</v>
      </c>
      <c r="N30" s="37" t="n">
        <f aca="false">INDEX(Monthly!$C$74:$BJ$74,($R$2-1)*12+7)</f>
        <v>-54346.9323585164</v>
      </c>
      <c r="O30" s="37" t="n">
        <f aca="false">INDEX(Monthly!$C$74:$BJ$74,($R$2-1)*12+8)</f>
        <v>-52271.5807976527</v>
      </c>
      <c r="P30" s="37" t="n">
        <f aca="false">INDEX(Monthly!$C$74:$BJ$74,($R$2-1)*12+9)</f>
        <v>-50247.8687622566</v>
      </c>
      <c r="Q30" s="37" t="n">
        <f aca="false">INDEX(Monthly!$C$74:$BJ$74,($R$2-1)*12+10)</f>
        <v>-48274.5125920979</v>
      </c>
      <c r="R30" s="37" t="n">
        <f aca="false">INDEX(Monthly!$C$74:$BJ$74,($R$2-1)*12+11)</f>
        <v>-46350.2604986151</v>
      </c>
      <c r="S30" s="37" t="n">
        <f aca="false">INDEX(Monthly!$C$74:$BJ$74,($R$2-1)*12+12)</f>
        <v>-44473.8917747187</v>
      </c>
    </row>
    <row r="31" customFormat="false" ht="15" hidden="false" customHeight="false" outlineLevel="0" collapsed="false">
      <c r="A31" s="40" t="s">
        <v>86</v>
      </c>
      <c r="B31" s="41" t="n">
        <f aca="false">'Cash Flow'!B19</f>
        <v>2314803.48576323</v>
      </c>
      <c r="C31" s="41" t="n">
        <f aca="false">'Cash Flow'!C19</f>
        <v>1529595.0687839</v>
      </c>
      <c r="D31" s="41" t="n">
        <f aca="false">'Cash Flow'!D19</f>
        <v>411980.553657166</v>
      </c>
      <c r="E31" s="41" t="n">
        <f aca="false">'Cash Flow'!E19</f>
        <v>-1361198.82619305</v>
      </c>
      <c r="F31" s="41" t="n">
        <f aca="false">'Cash Flow'!F19</f>
        <v>-4291369.48274386</v>
      </c>
      <c r="H31" s="41" t="n">
        <f aca="false">INDEX(Monthly!$C$76:$BJ$76,($R$2-1)*12+1)</f>
        <v>2915534.89583333</v>
      </c>
      <c r="I31" s="41" t="n">
        <f aca="false">INDEX(Monthly!$C$76:$BJ$76,($R$2-1)*12+2)</f>
        <v>2849989.34982639</v>
      </c>
      <c r="J31" s="41" t="n">
        <f aca="false">INDEX(Monthly!$C$76:$BJ$76,($R$2-1)*12+3)</f>
        <v>2786797.78130295</v>
      </c>
      <c r="K31" s="41" t="n">
        <f aca="false">INDEX(Monthly!$C$76:$BJ$76,($R$2-1)*12+4)</f>
        <v>2725901.62527204</v>
      </c>
      <c r="L31" s="41" t="n">
        <f aca="false">INDEX(Monthly!$C$76:$BJ$76,($R$2-1)*12+5)</f>
        <v>2667243.77233408</v>
      </c>
      <c r="M31" s="41" t="n">
        <f aca="false">INDEX(Monthly!$C$76:$BJ$76,($R$2-1)*12+6)</f>
        <v>2610768.53254709</v>
      </c>
      <c r="N31" s="41" t="n">
        <f aca="false">INDEX(Monthly!$C$76:$BJ$76,($R$2-1)*12+7)</f>
        <v>2556421.60018857</v>
      </c>
      <c r="O31" s="41" t="n">
        <f aca="false">INDEX(Monthly!$C$76:$BJ$76,($R$2-1)*12+8)</f>
        <v>2504150.01939092</v>
      </c>
      <c r="P31" s="41" t="n">
        <f aca="false">INDEX(Monthly!$C$76:$BJ$76,($R$2-1)*12+9)</f>
        <v>2453902.15062866</v>
      </c>
      <c r="Q31" s="41" t="n">
        <f aca="false">INDEX(Monthly!$C$76:$BJ$76,($R$2-1)*12+10)</f>
        <v>2405627.63803656</v>
      </c>
      <c r="R31" s="41" t="n">
        <f aca="false">INDEX(Monthly!$C$76:$BJ$76,($R$2-1)*12+11)</f>
        <v>2359277.37753795</v>
      </c>
      <c r="S31" s="41" t="n">
        <f aca="false">INDEX(Monthly!$C$76:$BJ$76,($R$2-1)*12+12)</f>
        <v>2314803.48576323</v>
      </c>
    </row>
    <row r="39" customFormat="false" ht="15.75" hidden="false" customHeight="true" outlineLevel="0" collapsed="false">
      <c r="A39" s="7" t="s">
        <v>87</v>
      </c>
      <c r="B39" s="7"/>
      <c r="C39" s="7"/>
      <c r="D39" s="7"/>
      <c r="E39" s="7"/>
      <c r="F39" s="7"/>
      <c r="H39" s="7" t="str">
        <f aca="false">"Balance sheet at month end ($'000) — Year "&amp;$R$2</f>
        <v>Balance sheet at month end ($'000) — Year 1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</row>
    <row r="40" customFormat="false" ht="15" hidden="false" customHeight="false" outlineLevel="0" collapsed="false">
      <c r="A40" s="33"/>
      <c r="B40" s="34" t="n">
        <v>1</v>
      </c>
      <c r="C40" s="34" t="n">
        <v>2</v>
      </c>
      <c r="D40" s="34" t="n">
        <v>3</v>
      </c>
      <c r="E40" s="34" t="n">
        <v>4</v>
      </c>
      <c r="F40" s="34" t="n">
        <v>5</v>
      </c>
      <c r="H40" s="49" t="n">
        <f aca="false">INDEX(Monthly!$C$4:$BJ$4,($R$2-1)*12+1)</f>
        <v>1</v>
      </c>
      <c r="I40" s="49" t="n">
        <f aca="false">INDEX(Monthly!$C$4:$BJ$4,($R$2-1)*12+2)</f>
        <v>2</v>
      </c>
      <c r="J40" s="49" t="n">
        <f aca="false">INDEX(Monthly!$C$4:$BJ$4,($R$2-1)*12+3)</f>
        <v>3</v>
      </c>
      <c r="K40" s="49" t="n">
        <f aca="false">INDEX(Monthly!$C$4:$BJ$4,($R$2-1)*12+4)</f>
        <v>4</v>
      </c>
      <c r="L40" s="49" t="n">
        <f aca="false">INDEX(Monthly!$C$4:$BJ$4,($R$2-1)*12+5)</f>
        <v>5</v>
      </c>
      <c r="M40" s="49" t="n">
        <f aca="false">INDEX(Monthly!$C$4:$BJ$4,($R$2-1)*12+6)</f>
        <v>6</v>
      </c>
      <c r="N40" s="49" t="n">
        <f aca="false">INDEX(Monthly!$C$4:$BJ$4,($R$2-1)*12+7)</f>
        <v>7</v>
      </c>
      <c r="O40" s="49" t="n">
        <f aca="false">INDEX(Monthly!$C$4:$BJ$4,($R$2-1)*12+8)</f>
        <v>8</v>
      </c>
      <c r="P40" s="49" t="n">
        <f aca="false">INDEX(Monthly!$C$4:$BJ$4,($R$2-1)*12+9)</f>
        <v>9</v>
      </c>
      <c r="Q40" s="49" t="n">
        <f aca="false">INDEX(Monthly!$C$4:$BJ$4,($R$2-1)*12+10)</f>
        <v>10</v>
      </c>
      <c r="R40" s="49" t="n">
        <f aca="false">INDEX(Monthly!$C$4:$BJ$4,($R$2-1)*12+11)</f>
        <v>11</v>
      </c>
      <c r="S40" s="49" t="n">
        <f aca="false">INDEX(Monthly!$C$4:$BJ$4,($R$2-1)*12+12)</f>
        <v>12</v>
      </c>
    </row>
    <row r="41" customFormat="false" ht="15" hidden="false" customHeight="false" outlineLevel="0" collapsed="false">
      <c r="A41" s="50" t="s">
        <v>88</v>
      </c>
      <c r="B41" s="35" t="n">
        <f aca="false">'Balance Sheet'!B5</f>
        <v>2314803.48576323</v>
      </c>
      <c r="C41" s="35" t="n">
        <f aca="false">'Balance Sheet'!C5</f>
        <v>1529595.0687839</v>
      </c>
      <c r="D41" s="35" t="n">
        <f aca="false">'Balance Sheet'!D5</f>
        <v>411980.553657166</v>
      </c>
      <c r="E41" s="35" t="n">
        <f aca="false">'Balance Sheet'!E5</f>
        <v>-1361198.82619305</v>
      </c>
      <c r="F41" s="35" t="n">
        <f aca="false">'Balance Sheet'!F5</f>
        <v>-4291369.48274386</v>
      </c>
      <c r="H41" s="35" t="n">
        <f aca="false">INDEX(Monthly!$C$76:$BJ$76,($R$2-1)*12+1)</f>
        <v>2915534.89583333</v>
      </c>
      <c r="I41" s="35" t="n">
        <f aca="false">INDEX(Monthly!$C$76:$BJ$76,($R$2-1)*12+2)</f>
        <v>2849989.34982639</v>
      </c>
      <c r="J41" s="35" t="n">
        <f aca="false">INDEX(Monthly!$C$76:$BJ$76,($R$2-1)*12+3)</f>
        <v>2786797.78130295</v>
      </c>
      <c r="K41" s="35" t="n">
        <f aca="false">INDEX(Monthly!$C$76:$BJ$76,($R$2-1)*12+4)</f>
        <v>2725901.62527204</v>
      </c>
      <c r="L41" s="35" t="n">
        <f aca="false">INDEX(Monthly!$C$76:$BJ$76,($R$2-1)*12+5)</f>
        <v>2667243.77233408</v>
      </c>
      <c r="M41" s="35" t="n">
        <f aca="false">INDEX(Monthly!$C$76:$BJ$76,($R$2-1)*12+6)</f>
        <v>2610768.53254709</v>
      </c>
      <c r="N41" s="35" t="n">
        <f aca="false">INDEX(Monthly!$C$76:$BJ$76,($R$2-1)*12+7)</f>
        <v>2556421.60018857</v>
      </c>
      <c r="O41" s="35" t="n">
        <f aca="false">INDEX(Monthly!$C$76:$BJ$76,($R$2-1)*12+8)</f>
        <v>2504150.01939092</v>
      </c>
      <c r="P41" s="35" t="n">
        <f aca="false">INDEX(Monthly!$C$76:$BJ$76,($R$2-1)*12+9)</f>
        <v>2453902.15062866</v>
      </c>
      <c r="Q41" s="35" t="n">
        <f aca="false">INDEX(Monthly!$C$76:$BJ$76,($R$2-1)*12+10)</f>
        <v>2405627.63803656</v>
      </c>
      <c r="R41" s="35" t="n">
        <f aca="false">INDEX(Monthly!$C$76:$BJ$76,($R$2-1)*12+11)</f>
        <v>2359277.37753795</v>
      </c>
      <c r="S41" s="35" t="n">
        <f aca="false">INDEX(Monthly!$C$76:$BJ$76,($R$2-1)*12+12)</f>
        <v>2314803.48576323</v>
      </c>
    </row>
    <row r="42" customFormat="false" ht="15" hidden="false" customHeight="false" outlineLevel="0" collapsed="false">
      <c r="A42" s="50" t="s">
        <v>89</v>
      </c>
      <c r="B42" s="35" t="n">
        <f aca="false">'Balance Sheet'!B6</f>
        <v>5333.24812314293</v>
      </c>
      <c r="C42" s="35" t="n">
        <f aca="false">'Balance Sheet'!C6</f>
        <v>10462.4745740659</v>
      </c>
      <c r="D42" s="35" t="n">
        <f aca="false">'Balance Sheet'!D6</f>
        <v>16071.668718183</v>
      </c>
      <c r="E42" s="35" t="n">
        <f aca="false">'Balance Sheet'!E6</f>
        <v>22561.6326843184</v>
      </c>
      <c r="F42" s="35" t="n">
        <f aca="false">'Balance Sheet'!F6</f>
        <v>30385.0126181517</v>
      </c>
      <c r="H42" s="35" t="n">
        <f aca="false">INDEX(Monthly!$C$60:$BJ$60,($R$2-1)*12+1)</f>
        <v>734.479166666667</v>
      </c>
      <c r="I42" s="35" t="n">
        <f aca="false">INDEX(Monthly!$C$60:$BJ$60,($R$2-1)*12+2)</f>
        <v>1207.45052083333</v>
      </c>
      <c r="J42" s="35" t="n">
        <f aca="false">INDEX(Monthly!$C$60:$BJ$60,($R$2-1)*12+3)</f>
        <v>1668.59759114583</v>
      </c>
      <c r="K42" s="35" t="n">
        <f aca="false">INDEX(Monthly!$C$60:$BJ$60,($R$2-1)*12+4)</f>
        <v>2118.21598470052</v>
      </c>
      <c r="L42" s="35" t="n">
        <f aca="false">INDEX(Monthly!$C$60:$BJ$60,($R$2-1)*12+5)</f>
        <v>2556.59391841634</v>
      </c>
      <c r="M42" s="35" t="n">
        <f aca="false">INDEX(Monthly!$C$60:$BJ$60,($R$2-1)*12+6)</f>
        <v>2984.01240378927</v>
      </c>
      <c r="N42" s="35" t="n">
        <f aca="false">INDEX(Monthly!$C$60:$BJ$60,($R$2-1)*12+7)</f>
        <v>3400.74542702787</v>
      </c>
      <c r="O42" s="35" t="n">
        <f aca="false">INDEX(Monthly!$C$60:$BJ$60,($R$2-1)*12+8)</f>
        <v>3807.06012468551</v>
      </c>
      <c r="P42" s="35" t="n">
        <f aca="false">INDEX(Monthly!$C$60:$BJ$60,($R$2-1)*12+9)</f>
        <v>4203.2169549017</v>
      </c>
      <c r="Q42" s="35" t="n">
        <f aca="false">INDEX(Monthly!$C$60:$BJ$60,($R$2-1)*12+10)</f>
        <v>4589.46986436249</v>
      </c>
      <c r="R42" s="35" t="n">
        <f aca="false">INDEX(Monthly!$C$60:$BJ$60,($R$2-1)*12+11)</f>
        <v>4966.06645108676</v>
      </c>
      <c r="S42" s="35" t="n">
        <f aca="false">INDEX(Monthly!$C$60:$BJ$60,($R$2-1)*12+12)</f>
        <v>5333.24812314293</v>
      </c>
    </row>
    <row r="43" customFormat="false" ht="15" hidden="false" customHeight="false" outlineLevel="0" collapsed="false">
      <c r="A43" s="50" t="s">
        <v>90</v>
      </c>
      <c r="B43" s="35" t="n">
        <f aca="false">'Balance Sheet'!B7</f>
        <v>0</v>
      </c>
      <c r="C43" s="35" t="n">
        <f aca="false">'Balance Sheet'!C7</f>
        <v>0</v>
      </c>
      <c r="D43" s="35" t="n">
        <f aca="false">'Balance Sheet'!D7</f>
        <v>0</v>
      </c>
      <c r="E43" s="35" t="n">
        <f aca="false">'Balance Sheet'!E7</f>
        <v>0</v>
      </c>
      <c r="F43" s="35" t="n">
        <f aca="false">'Balance Sheet'!F7</f>
        <v>0</v>
      </c>
      <c r="H43" s="35" t="n">
        <f aca="false">INDEX(Monthly!$C$61:$BJ$61,($R$2-1)*12+1)</f>
        <v>0</v>
      </c>
      <c r="I43" s="35" t="n">
        <f aca="false">INDEX(Monthly!$C$61:$BJ$61,($R$2-1)*12+2)</f>
        <v>0</v>
      </c>
      <c r="J43" s="35" t="n">
        <f aca="false">INDEX(Monthly!$C$61:$BJ$61,($R$2-1)*12+3)</f>
        <v>0</v>
      </c>
      <c r="K43" s="35" t="n">
        <f aca="false">INDEX(Monthly!$C$61:$BJ$61,($R$2-1)*12+4)</f>
        <v>0</v>
      </c>
      <c r="L43" s="35" t="n">
        <f aca="false">INDEX(Monthly!$C$61:$BJ$61,($R$2-1)*12+5)</f>
        <v>0</v>
      </c>
      <c r="M43" s="35" t="n">
        <f aca="false">INDEX(Monthly!$C$61:$BJ$61,($R$2-1)*12+6)</f>
        <v>0</v>
      </c>
      <c r="N43" s="35" t="n">
        <f aca="false">INDEX(Monthly!$C$61:$BJ$61,($R$2-1)*12+7)</f>
        <v>0</v>
      </c>
      <c r="O43" s="35" t="n">
        <f aca="false">INDEX(Monthly!$C$61:$BJ$61,($R$2-1)*12+8)</f>
        <v>0</v>
      </c>
      <c r="P43" s="35" t="n">
        <f aca="false">INDEX(Monthly!$C$61:$BJ$61,($R$2-1)*12+9)</f>
        <v>0</v>
      </c>
      <c r="Q43" s="35" t="n">
        <f aca="false">INDEX(Monthly!$C$61:$BJ$61,($R$2-1)*12+10)</f>
        <v>0</v>
      </c>
      <c r="R43" s="35" t="n">
        <f aca="false">INDEX(Monthly!$C$61:$BJ$61,($R$2-1)*12+11)</f>
        <v>0</v>
      </c>
      <c r="S43" s="35" t="n">
        <f aca="false">INDEX(Monthly!$C$61:$BJ$61,($R$2-1)*12+12)</f>
        <v>0</v>
      </c>
    </row>
    <row r="44" customFormat="false" ht="15" hidden="false" customHeight="false" outlineLevel="0" collapsed="false">
      <c r="A44" s="50" t="s">
        <v>91</v>
      </c>
      <c r="B44" s="35" t="n">
        <f aca="false">'Balance Sheet'!B8</f>
        <v>13333.3333333333</v>
      </c>
      <c r="C44" s="35" t="n">
        <f aca="false">'Balance Sheet'!C8</f>
        <v>6666.66666666667</v>
      </c>
      <c r="D44" s="35" t="n">
        <f aca="false">'Balance Sheet'!D8</f>
        <v>0</v>
      </c>
      <c r="E44" s="35" t="n">
        <f aca="false">'Balance Sheet'!E8</f>
        <v>0</v>
      </c>
      <c r="F44" s="35" t="n">
        <f aca="false">'Balance Sheet'!F8</f>
        <v>0</v>
      </c>
      <c r="H44" s="35" t="n">
        <f aca="false">INDEX(Monthly!$C$51:$BJ$51,($R$2-1)*12+1)</f>
        <v>19444.4444444444</v>
      </c>
      <c r="I44" s="35" t="n">
        <f aca="false">INDEX(Monthly!$C$51:$BJ$51,($R$2-1)*12+2)</f>
        <v>18888.8888888889</v>
      </c>
      <c r="J44" s="35" t="n">
        <f aca="false">INDEX(Monthly!$C$51:$BJ$51,($R$2-1)*12+3)</f>
        <v>18333.3333333333</v>
      </c>
      <c r="K44" s="35" t="n">
        <f aca="false">INDEX(Monthly!$C$51:$BJ$51,($R$2-1)*12+4)</f>
        <v>17777.7777777778</v>
      </c>
      <c r="L44" s="35" t="n">
        <f aca="false">INDEX(Monthly!$C$51:$BJ$51,($R$2-1)*12+5)</f>
        <v>17222.2222222222</v>
      </c>
      <c r="M44" s="35" t="n">
        <f aca="false">INDEX(Monthly!$C$51:$BJ$51,($R$2-1)*12+6)</f>
        <v>16666.6666666667</v>
      </c>
      <c r="N44" s="35" t="n">
        <f aca="false">INDEX(Monthly!$C$51:$BJ$51,($R$2-1)*12+7)</f>
        <v>16111.1111111111</v>
      </c>
      <c r="O44" s="35" t="n">
        <f aca="false">INDEX(Monthly!$C$51:$BJ$51,($R$2-1)*12+8)</f>
        <v>15555.5555555556</v>
      </c>
      <c r="P44" s="35" t="n">
        <f aca="false">INDEX(Monthly!$C$51:$BJ$51,($R$2-1)*12+9)</f>
        <v>15000</v>
      </c>
      <c r="Q44" s="35" t="n">
        <f aca="false">INDEX(Monthly!$C$51:$BJ$51,($R$2-1)*12+10)</f>
        <v>14444.4444444444</v>
      </c>
      <c r="R44" s="35" t="n">
        <f aca="false">INDEX(Monthly!$C$51:$BJ$51,($R$2-1)*12+11)</f>
        <v>13888.8888888889</v>
      </c>
      <c r="S44" s="35" t="n">
        <f aca="false">INDEX(Monthly!$C$51:$BJ$51,($R$2-1)*12+12)</f>
        <v>13333.3333333333</v>
      </c>
    </row>
    <row r="45" customFormat="false" ht="15" hidden="false" customHeight="false" outlineLevel="0" collapsed="false">
      <c r="A45" s="36" t="s">
        <v>92</v>
      </c>
      <c r="B45" s="37" t="n">
        <f aca="false">'Balance Sheet'!B9</f>
        <v>2333470.06721971</v>
      </c>
      <c r="C45" s="37" t="n">
        <f aca="false">'Balance Sheet'!C9</f>
        <v>1546724.21002463</v>
      </c>
      <c r="D45" s="37" t="n">
        <f aca="false">'Balance Sheet'!D9</f>
        <v>428052.222375349</v>
      </c>
      <c r="E45" s="37" t="n">
        <f aca="false">'Balance Sheet'!E9</f>
        <v>-1338637.19350873</v>
      </c>
      <c r="F45" s="37" t="n">
        <f aca="false">'Balance Sheet'!F9</f>
        <v>-4260984.47012571</v>
      </c>
      <c r="H45" s="37" t="n">
        <f aca="false">INDEX(Monthly!$C$94:$BJ$94,($R$2-1)*12+1)</f>
        <v>2935713.81944444</v>
      </c>
      <c r="I45" s="37" t="n">
        <f aca="false">INDEX(Monthly!$C$94:$BJ$94,($R$2-1)*12+2)</f>
        <v>2870085.68923611</v>
      </c>
      <c r="J45" s="37" t="n">
        <f aca="false">INDEX(Monthly!$C$94:$BJ$94,($R$2-1)*12+3)</f>
        <v>2806799.71222743</v>
      </c>
      <c r="K45" s="37" t="n">
        <f aca="false">INDEX(Monthly!$C$94:$BJ$94,($R$2-1)*12+4)</f>
        <v>2745797.61903452</v>
      </c>
      <c r="L45" s="37" t="n">
        <f aca="false">INDEX(Monthly!$C$94:$BJ$94,($R$2-1)*12+5)</f>
        <v>2687022.58847472</v>
      </c>
      <c r="M45" s="37" t="n">
        <f aca="false">INDEX(Monthly!$C$94:$BJ$94,($R$2-1)*12+6)</f>
        <v>2630419.21161754</v>
      </c>
      <c r="N45" s="37" t="n">
        <f aca="false">INDEX(Monthly!$C$94:$BJ$94,($R$2-1)*12+7)</f>
        <v>2575933.45672671</v>
      </c>
      <c r="O45" s="37" t="n">
        <f aca="false">INDEX(Monthly!$C$94:$BJ$94,($R$2-1)*12+8)</f>
        <v>2523512.63507116</v>
      </c>
      <c r="P45" s="37" t="n">
        <f aca="false">INDEX(Monthly!$C$94:$BJ$94,($R$2-1)*12+9)</f>
        <v>2473105.36758356</v>
      </c>
      <c r="Q45" s="37" t="n">
        <f aca="false">INDEX(Monthly!$C$94:$BJ$94,($R$2-1)*12+10)</f>
        <v>2424661.55234537</v>
      </c>
      <c r="R45" s="37" t="n">
        <f aca="false">INDEX(Monthly!$C$94:$BJ$94,($R$2-1)*12+11)</f>
        <v>2378132.33287792</v>
      </c>
      <c r="S45" s="37" t="n">
        <f aca="false">INDEX(Monthly!$C$94:$BJ$94,($R$2-1)*12+12)</f>
        <v>2333470.06721971</v>
      </c>
    </row>
    <row r="46" customFormat="false" ht="15" hidden="false" customHeight="false" outlineLevel="0" collapsed="false">
      <c r="A46" s="50" t="s">
        <v>93</v>
      </c>
      <c r="B46" s="35" t="n">
        <f aca="false">'Balance Sheet'!B10</f>
        <v>3828.7027098661</v>
      </c>
      <c r="C46" s="35" t="n">
        <f aca="false">'Balance Sheet'!C10</f>
        <v>7462.45055381245</v>
      </c>
      <c r="D46" s="35" t="n">
        <f aca="false">'Balance Sheet'!D10</f>
        <v>11395.215307733</v>
      </c>
      <c r="E46" s="35" t="n">
        <f aca="false">'Balance Sheet'!E10</f>
        <v>15909.8392366991</v>
      </c>
      <c r="F46" s="35" t="n">
        <f aca="false">'Balance Sheet'!F10</f>
        <v>21319.292302329</v>
      </c>
      <c r="H46" s="35" t="n">
        <f aca="false">INDEX(Monthly!$C$62:$BJ$62,($R$2-1)*12+1)</f>
        <v>529.565277777778</v>
      </c>
      <c r="I46" s="35" t="n">
        <f aca="false">INDEX(Monthly!$C$62:$BJ$62,($R$2-1)*12+2)</f>
        <v>870.2373125</v>
      </c>
      <c r="J46" s="35" t="n">
        <f aca="false">INDEX(Monthly!$C$62:$BJ$62,($R$2-1)*12+3)</f>
        <v>1202.10810024306</v>
      </c>
      <c r="K46" s="35" t="n">
        <f aca="false">INDEX(Monthly!$C$62:$BJ$62,($R$2-1)*12+4)</f>
        <v>1525.40620556476</v>
      </c>
      <c r="L46" s="35" t="n">
        <f aca="false">INDEX(Monthly!$C$62:$BJ$62,($R$2-1)*12+5)</f>
        <v>1840.35422290747</v>
      </c>
      <c r="M46" s="35" t="n">
        <f aca="false">INDEX(Monthly!$C$62:$BJ$62,($R$2-1)*12+6)</f>
        <v>2147.16893353105</v>
      </c>
      <c r="N46" s="35" t="n">
        <f aca="false">INDEX(Monthly!$C$62:$BJ$62,($R$2-1)*12+7)</f>
        <v>2446.06145829204</v>
      </c>
      <c r="O46" s="35" t="n">
        <f aca="false">INDEX(Monthly!$C$62:$BJ$62,($R$2-1)*12+8)</f>
        <v>2737.23740637992</v>
      </c>
      <c r="P46" s="35" t="n">
        <f aca="false">INDEX(Monthly!$C$62:$BJ$62,($R$2-1)*12+9)</f>
        <v>3020.89702011814</v>
      </c>
      <c r="Q46" s="35" t="n">
        <f aca="false">INDEX(Monthly!$C$62:$BJ$62,($R$2-1)*12+10)</f>
        <v>3297.23531593485</v>
      </c>
      <c r="R46" s="35" t="n">
        <f aca="false">INDEX(Monthly!$C$62:$BJ$62,($R$2-1)*12+11)</f>
        <v>3566.44222160545</v>
      </c>
      <c r="S46" s="35" t="n">
        <f aca="false">INDEX(Monthly!$C$62:$BJ$62,($R$2-1)*12+12)</f>
        <v>3828.7027098661</v>
      </c>
    </row>
    <row r="47" customFormat="false" ht="15" hidden="false" customHeight="false" outlineLevel="0" collapsed="false">
      <c r="A47" s="50" t="s">
        <v>94</v>
      </c>
      <c r="B47" s="35" t="n">
        <f aca="false">'Balance Sheet'!B11</f>
        <v>39704.5081766718</v>
      </c>
      <c r="C47" s="35" t="n">
        <f aca="false">'Balance Sheet'!C11</f>
        <v>76664.5333771572</v>
      </c>
      <c r="D47" s="35" t="n">
        <f aca="false">'Balance Sheet'!D11</f>
        <v>117179.094143235</v>
      </c>
      <c r="E47" s="35" t="n">
        <f aca="false">'Balance Sheet'!E11</f>
        <v>164139.613965726</v>
      </c>
      <c r="F47" s="35" t="n">
        <f aca="false">'Balance Sheet'!F11</f>
        <v>220818.918452008</v>
      </c>
      <c r="H47" s="35" t="n">
        <f aca="false">INDEX(Monthly!$C$66:$BJ$66,($R$2-1)*12+1)</f>
        <v>7012.5</v>
      </c>
      <c r="I47" s="35" t="n">
        <f aca="false">INDEX(Monthly!$C$66:$BJ$66,($R$2-1)*12+2)</f>
        <v>10374.7875</v>
      </c>
      <c r="J47" s="35" t="n">
        <f aca="false">INDEX(Monthly!$C$66:$BJ$66,($R$2-1)*12+3)</f>
        <v>13653.0178125</v>
      </c>
      <c r="K47" s="35" t="n">
        <f aca="false">INDEX(Monthly!$C$66:$BJ$66,($R$2-1)*12+4)</f>
        <v>16849.2923671875</v>
      </c>
      <c r="L47" s="35" t="n">
        <f aca="false">INDEX(Monthly!$C$66:$BJ$66,($R$2-1)*12+5)</f>
        <v>19965.6600580078</v>
      </c>
      <c r="M47" s="35" t="n">
        <f aca="false">INDEX(Monthly!$C$66:$BJ$66,($R$2-1)*12+6)</f>
        <v>23004.1185565576</v>
      </c>
      <c r="N47" s="35" t="n">
        <f aca="false">INDEX(Monthly!$C$66:$BJ$66,($R$2-1)*12+7)</f>
        <v>25966.6155926437</v>
      </c>
      <c r="O47" s="35" t="n">
        <f aca="false">INDEX(Monthly!$C$66:$BJ$66,($R$2-1)*12+8)</f>
        <v>28855.0502028276</v>
      </c>
      <c r="P47" s="35" t="n">
        <f aca="false">INDEX(Monthly!$C$66:$BJ$66,($R$2-1)*12+9)</f>
        <v>31671.2739477569</v>
      </c>
      <c r="Q47" s="35" t="n">
        <f aca="false">INDEX(Monthly!$C$66:$BJ$66,($R$2-1)*12+10)</f>
        <v>34417.092099063</v>
      </c>
      <c r="R47" s="35" t="n">
        <f aca="false">INDEX(Monthly!$C$66:$BJ$66,($R$2-1)*12+11)</f>
        <v>37094.2647965864</v>
      </c>
      <c r="S47" s="35" t="n">
        <f aca="false">INDEX(Monthly!$C$66:$BJ$66,($R$2-1)*12+12)</f>
        <v>39704.5081766718</v>
      </c>
    </row>
    <row r="48" customFormat="false" ht="15" hidden="false" customHeight="false" outlineLevel="0" collapsed="false">
      <c r="A48" s="50" t="s">
        <v>95</v>
      </c>
      <c r="B48" s="35" t="n">
        <f aca="false">'Balance Sheet'!B12</f>
        <v>0</v>
      </c>
      <c r="C48" s="35" t="n">
        <f aca="false">'Balance Sheet'!C12</f>
        <v>0</v>
      </c>
      <c r="D48" s="35" t="n">
        <f aca="false">'Balance Sheet'!D12</f>
        <v>0</v>
      </c>
      <c r="E48" s="35" t="n">
        <f aca="false">'Balance Sheet'!E12</f>
        <v>0</v>
      </c>
      <c r="F48" s="35" t="n">
        <f aca="false">'Balance Sheet'!F12</f>
        <v>0</v>
      </c>
      <c r="H48" s="35" t="n">
        <f aca="false">INDEX(Monthly!$C$57:$BJ$57,($R$2-1)*12+1)</f>
        <v>0</v>
      </c>
      <c r="I48" s="35" t="n">
        <f aca="false">INDEX(Monthly!$C$57:$BJ$57,($R$2-1)*12+2)</f>
        <v>0</v>
      </c>
      <c r="J48" s="35" t="n">
        <f aca="false">INDEX(Monthly!$C$57:$BJ$57,($R$2-1)*12+3)</f>
        <v>0</v>
      </c>
      <c r="K48" s="35" t="n">
        <f aca="false">INDEX(Monthly!$C$57:$BJ$57,($R$2-1)*12+4)</f>
        <v>0</v>
      </c>
      <c r="L48" s="35" t="n">
        <f aca="false">INDEX(Monthly!$C$57:$BJ$57,($R$2-1)*12+5)</f>
        <v>0</v>
      </c>
      <c r="M48" s="35" t="n">
        <f aca="false">INDEX(Monthly!$C$57:$BJ$57,($R$2-1)*12+6)</f>
        <v>0</v>
      </c>
      <c r="N48" s="35" t="n">
        <f aca="false">INDEX(Monthly!$C$57:$BJ$57,($R$2-1)*12+7)</f>
        <v>0</v>
      </c>
      <c r="O48" s="35" t="n">
        <f aca="false">INDEX(Monthly!$C$57:$BJ$57,($R$2-1)*12+8)</f>
        <v>0</v>
      </c>
      <c r="P48" s="35" t="n">
        <f aca="false">INDEX(Monthly!$C$57:$BJ$57,($R$2-1)*12+9)</f>
        <v>0</v>
      </c>
      <c r="Q48" s="35" t="n">
        <f aca="false">INDEX(Monthly!$C$57:$BJ$57,($R$2-1)*12+10)</f>
        <v>0</v>
      </c>
      <c r="R48" s="35" t="n">
        <f aca="false">INDEX(Monthly!$C$57:$BJ$57,($R$2-1)*12+11)</f>
        <v>0</v>
      </c>
      <c r="S48" s="35" t="n">
        <f aca="false">INDEX(Monthly!$C$57:$BJ$57,($R$2-1)*12+12)</f>
        <v>0</v>
      </c>
    </row>
    <row r="49" customFormat="false" ht="15" hidden="false" customHeight="false" outlineLevel="0" collapsed="false">
      <c r="A49" s="36" t="s">
        <v>96</v>
      </c>
      <c r="B49" s="37" t="n">
        <f aca="false">'Balance Sheet'!B13</f>
        <v>43533.2108865379</v>
      </c>
      <c r="C49" s="37" t="n">
        <f aca="false">'Balance Sheet'!C13</f>
        <v>84126.9839309697</v>
      </c>
      <c r="D49" s="37" t="n">
        <f aca="false">'Balance Sheet'!D13</f>
        <v>128574.309450968</v>
      </c>
      <c r="E49" s="37" t="n">
        <f aca="false">'Balance Sheet'!E13</f>
        <v>180049.453202425</v>
      </c>
      <c r="F49" s="37" t="n">
        <f aca="false">'Balance Sheet'!F13</f>
        <v>242138.210754337</v>
      </c>
      <c r="H49" s="37" t="n">
        <f aca="false">INDEX(Monthly!$C$95:$BJ$95,($R$2-1)*12+1)</f>
        <v>7542.06527777778</v>
      </c>
      <c r="I49" s="37" t="n">
        <f aca="false">INDEX(Monthly!$C$95:$BJ$95,($R$2-1)*12+2)</f>
        <v>11245.0248125</v>
      </c>
      <c r="J49" s="37" t="n">
        <f aca="false">INDEX(Monthly!$C$95:$BJ$95,($R$2-1)*12+3)</f>
        <v>14855.1259127431</v>
      </c>
      <c r="K49" s="37" t="n">
        <f aca="false">INDEX(Monthly!$C$95:$BJ$95,($R$2-1)*12+4)</f>
        <v>18374.6985727523</v>
      </c>
      <c r="L49" s="37" t="n">
        <f aca="false">INDEX(Monthly!$C$95:$BJ$95,($R$2-1)*12+5)</f>
        <v>21806.0142809153</v>
      </c>
      <c r="M49" s="37" t="n">
        <f aca="false">INDEX(Monthly!$C$95:$BJ$95,($R$2-1)*12+6)</f>
        <v>25151.2874900887</v>
      </c>
      <c r="N49" s="37" t="n">
        <f aca="false">INDEX(Monthly!$C$95:$BJ$95,($R$2-1)*12+7)</f>
        <v>28412.6770509357</v>
      </c>
      <c r="O49" s="37" t="n">
        <f aca="false">INDEX(Monthly!$C$95:$BJ$95,($R$2-1)*12+8)</f>
        <v>31592.2876092075</v>
      </c>
      <c r="P49" s="37" t="n">
        <f aca="false">INDEX(Monthly!$C$95:$BJ$95,($R$2-1)*12+9)</f>
        <v>34692.170967875</v>
      </c>
      <c r="Q49" s="37" t="n">
        <f aca="false">INDEX(Monthly!$C$95:$BJ$95,($R$2-1)*12+10)</f>
        <v>37714.3274149978</v>
      </c>
      <c r="R49" s="37" t="n">
        <f aca="false">INDEX(Monthly!$C$95:$BJ$95,($R$2-1)*12+11)</f>
        <v>40660.7070181919</v>
      </c>
      <c r="S49" s="37" t="n">
        <f aca="false">INDEX(Monthly!$C$95:$BJ$95,($R$2-1)*12+12)</f>
        <v>43533.2108865379</v>
      </c>
    </row>
    <row r="50" customFormat="false" ht="15" hidden="false" customHeight="false" outlineLevel="0" collapsed="false">
      <c r="A50" s="50" t="s">
        <v>97</v>
      </c>
      <c r="B50" s="35" t="n">
        <f aca="false">'Balance Sheet'!B14</f>
        <v>3000000</v>
      </c>
      <c r="C50" s="35" t="n">
        <f aca="false">'Balance Sheet'!C14</f>
        <v>3000000</v>
      </c>
      <c r="D50" s="35" t="n">
        <f aca="false">'Balance Sheet'!D14</f>
        <v>3000000</v>
      </c>
      <c r="E50" s="35" t="n">
        <f aca="false">'Balance Sheet'!E14</f>
        <v>3000000</v>
      </c>
      <c r="F50" s="35" t="n">
        <f aca="false">'Balance Sheet'!F14</f>
        <v>3000000</v>
      </c>
      <c r="H50" s="35" t="n">
        <f aca="false">INDEX(Monthly!$C$92:$BJ$92,($R$2-1)*12+1)</f>
        <v>3000000</v>
      </c>
      <c r="I50" s="35" t="n">
        <f aca="false">INDEX(Monthly!$C$92:$BJ$92,($R$2-1)*12+2)</f>
        <v>3000000</v>
      </c>
      <c r="J50" s="35" t="n">
        <f aca="false">INDEX(Monthly!$C$92:$BJ$92,($R$2-1)*12+3)</f>
        <v>3000000</v>
      </c>
      <c r="K50" s="35" t="n">
        <f aca="false">INDEX(Monthly!$C$92:$BJ$92,($R$2-1)*12+4)</f>
        <v>3000000</v>
      </c>
      <c r="L50" s="35" t="n">
        <f aca="false">INDEX(Monthly!$C$92:$BJ$92,($R$2-1)*12+5)</f>
        <v>3000000</v>
      </c>
      <c r="M50" s="35" t="n">
        <f aca="false">INDEX(Monthly!$C$92:$BJ$92,($R$2-1)*12+6)</f>
        <v>3000000</v>
      </c>
      <c r="N50" s="35" t="n">
        <f aca="false">INDEX(Monthly!$C$92:$BJ$92,($R$2-1)*12+7)</f>
        <v>3000000</v>
      </c>
      <c r="O50" s="35" t="n">
        <f aca="false">INDEX(Monthly!$C$92:$BJ$92,($R$2-1)*12+8)</f>
        <v>3000000</v>
      </c>
      <c r="P50" s="35" t="n">
        <f aca="false">INDEX(Monthly!$C$92:$BJ$92,($R$2-1)*12+9)</f>
        <v>3000000</v>
      </c>
      <c r="Q50" s="35" t="n">
        <f aca="false">INDEX(Monthly!$C$92:$BJ$92,($R$2-1)*12+10)</f>
        <v>3000000</v>
      </c>
      <c r="R50" s="35" t="n">
        <f aca="false">INDEX(Monthly!$C$92:$BJ$92,($R$2-1)*12+11)</f>
        <v>3000000</v>
      </c>
      <c r="S50" s="35" t="n">
        <f aca="false">INDEX(Monthly!$C$92:$BJ$92,($R$2-1)*12+12)</f>
        <v>3000000</v>
      </c>
    </row>
    <row r="51" customFormat="false" ht="15" hidden="false" customHeight="false" outlineLevel="0" collapsed="false">
      <c r="A51" s="50" t="s">
        <v>98</v>
      </c>
      <c r="B51" s="35" t="n">
        <f aca="false">'Balance Sheet'!B15</f>
        <v>-710063.143666832</v>
      </c>
      <c r="C51" s="35" t="n">
        <f aca="false">'Balance Sheet'!C15</f>
        <v>-1537402.77390634</v>
      </c>
      <c r="D51" s="35" t="n">
        <f aca="false">'Balance Sheet'!D15</f>
        <v>-2700522.08707562</v>
      </c>
      <c r="E51" s="35" t="n">
        <f aca="false">'Balance Sheet'!E15</f>
        <v>-4518686.64671115</v>
      </c>
      <c r="F51" s="35" t="n">
        <f aca="false">'Balance Sheet'!F15</f>
        <v>-7503122.68088005</v>
      </c>
      <c r="H51" s="35" t="n">
        <f aca="false">INDEX(Monthly!$C$93:$BJ$93,($R$2-1)*12+1)</f>
        <v>-71828.2458333333</v>
      </c>
      <c r="I51" s="35" t="n">
        <f aca="false">INDEX(Monthly!$C$93:$BJ$93,($R$2-1)*12+2)</f>
        <v>-141159.335576389</v>
      </c>
      <c r="J51" s="35" t="n">
        <f aca="false">INDEX(Monthly!$C$93:$BJ$93,($R$2-1)*12+3)</f>
        <v>-208055.413685313</v>
      </c>
      <c r="K51" s="35" t="n">
        <f aca="false">INDEX(Monthly!$C$93:$BJ$93,($R$2-1)*12+4)</f>
        <v>-272577.07953823</v>
      </c>
      <c r="L51" s="35" t="n">
        <f aca="false">INDEX(Monthly!$C$93:$BJ$93,($R$2-1)*12+5)</f>
        <v>-334783.425806195</v>
      </c>
      <c r="M51" s="35" t="n">
        <f aca="false">INDEX(Monthly!$C$93:$BJ$93,($R$2-1)*12+6)</f>
        <v>-394732.075872546</v>
      </c>
      <c r="N51" s="35" t="n">
        <f aca="false">INDEX(Monthly!$C$93:$BJ$93,($R$2-1)*12+7)</f>
        <v>-452479.220324226</v>
      </c>
      <c r="O51" s="35" t="n">
        <f aca="false">INDEX(Monthly!$C$93:$BJ$93,($R$2-1)*12+8)</f>
        <v>-508079.652538049</v>
      </c>
      <c r="P51" s="35" t="n">
        <f aca="false">INDEX(Monthly!$C$93:$BJ$93,($R$2-1)*12+9)</f>
        <v>-561586.803384312</v>
      </c>
      <c r="Q51" s="35" t="n">
        <f aca="false">INDEX(Monthly!$C$93:$BJ$93,($R$2-1)*12+10)</f>
        <v>-613052.775069627</v>
      </c>
      <c r="R51" s="35" t="n">
        <f aca="false">INDEX(Monthly!$C$93:$BJ$93,($R$2-1)*12+11)</f>
        <v>-662528.374140268</v>
      </c>
      <c r="S51" s="35" t="n">
        <f aca="false">INDEX(Monthly!$C$93:$BJ$93,($R$2-1)*12+12)</f>
        <v>-710063.143666832</v>
      </c>
    </row>
    <row r="52" customFormat="false" ht="15" hidden="false" customHeight="false" outlineLevel="0" collapsed="false">
      <c r="A52" s="36" t="s">
        <v>99</v>
      </c>
      <c r="B52" s="37" t="n">
        <f aca="false">'Balance Sheet'!B16</f>
        <v>2289936.85633317</v>
      </c>
      <c r="C52" s="37" t="n">
        <f aca="false">'Balance Sheet'!C16</f>
        <v>1462597.22609366</v>
      </c>
      <c r="D52" s="37" t="n">
        <f aca="false">'Balance Sheet'!D16</f>
        <v>299477.91292438</v>
      </c>
      <c r="E52" s="37" t="n">
        <f aca="false">'Balance Sheet'!E16</f>
        <v>-1518686.64671115</v>
      </c>
      <c r="F52" s="37" t="n">
        <f aca="false">'Balance Sheet'!F16</f>
        <v>-4503122.68088005</v>
      </c>
      <c r="H52" s="37" t="n">
        <f aca="false">INDEX(Monthly!$C$96:$BJ$96,($R$2-1)*12+1)</f>
        <v>2928171.75416667</v>
      </c>
      <c r="I52" s="37" t="n">
        <f aca="false">INDEX(Monthly!$C$96:$BJ$96,($R$2-1)*12+2)</f>
        <v>2858840.66442361</v>
      </c>
      <c r="J52" s="37" t="n">
        <f aca="false">INDEX(Monthly!$C$96:$BJ$96,($R$2-1)*12+3)</f>
        <v>2791944.58631469</v>
      </c>
      <c r="K52" s="37" t="n">
        <f aca="false">INDEX(Monthly!$C$96:$BJ$96,($R$2-1)*12+4)</f>
        <v>2727422.92046177</v>
      </c>
      <c r="L52" s="37" t="n">
        <f aca="false">INDEX(Monthly!$C$96:$BJ$96,($R$2-1)*12+5)</f>
        <v>2665216.57419381</v>
      </c>
      <c r="M52" s="37" t="n">
        <f aca="false">INDEX(Monthly!$C$96:$BJ$96,($R$2-1)*12+6)</f>
        <v>2605267.92412745</v>
      </c>
      <c r="N52" s="37" t="n">
        <f aca="false">INDEX(Monthly!$C$96:$BJ$96,($R$2-1)*12+7)</f>
        <v>2547520.77967577</v>
      </c>
      <c r="O52" s="37" t="n">
        <f aca="false">INDEX(Monthly!$C$96:$BJ$96,($R$2-1)*12+8)</f>
        <v>2491920.34746195</v>
      </c>
      <c r="P52" s="37" t="n">
        <f aca="false">INDEX(Monthly!$C$96:$BJ$96,($R$2-1)*12+9)</f>
        <v>2438413.19661569</v>
      </c>
      <c r="Q52" s="37" t="n">
        <f aca="false">INDEX(Monthly!$C$96:$BJ$96,($R$2-1)*12+10)</f>
        <v>2386947.22493037</v>
      </c>
      <c r="R52" s="37" t="n">
        <f aca="false">INDEX(Monthly!$C$96:$BJ$96,($R$2-1)*12+11)</f>
        <v>2337471.62585973</v>
      </c>
      <c r="S52" s="37" t="n">
        <f aca="false">INDEX(Monthly!$C$96:$BJ$96,($R$2-1)*12+12)</f>
        <v>2289936.85633317</v>
      </c>
    </row>
    <row r="53" customFormat="false" ht="15" hidden="false" customHeight="false" outlineLevel="0" collapsed="false">
      <c r="A53" s="40" t="s">
        <v>100</v>
      </c>
      <c r="B53" s="41" t="n">
        <f aca="false">'Balance Sheet'!B17</f>
        <v>2333470.06721971</v>
      </c>
      <c r="C53" s="41" t="n">
        <f aca="false">'Balance Sheet'!C17</f>
        <v>1546724.21002463</v>
      </c>
      <c r="D53" s="41" t="n">
        <f aca="false">'Balance Sheet'!D17</f>
        <v>428052.222375348</v>
      </c>
      <c r="E53" s="41" t="n">
        <f aca="false">'Balance Sheet'!E17</f>
        <v>-1338637.19350873</v>
      </c>
      <c r="F53" s="41" t="n">
        <f aca="false">'Balance Sheet'!F17</f>
        <v>-4260984.47012571</v>
      </c>
      <c r="H53" s="41" t="n">
        <f aca="false">INDEX(Monthly!$C$97:$BJ$97,($R$2-1)*12+1)</f>
        <v>2935713.81944444</v>
      </c>
      <c r="I53" s="41" t="n">
        <f aca="false">INDEX(Monthly!$C$97:$BJ$97,($R$2-1)*12+2)</f>
        <v>2870085.68923611</v>
      </c>
      <c r="J53" s="41" t="n">
        <f aca="false">INDEX(Monthly!$C$97:$BJ$97,($R$2-1)*12+3)</f>
        <v>2806799.71222743</v>
      </c>
      <c r="K53" s="41" t="n">
        <f aca="false">INDEX(Monthly!$C$97:$BJ$97,($R$2-1)*12+4)</f>
        <v>2745797.61903452</v>
      </c>
      <c r="L53" s="41" t="n">
        <f aca="false">INDEX(Monthly!$C$97:$BJ$97,($R$2-1)*12+5)</f>
        <v>2687022.58847472</v>
      </c>
      <c r="M53" s="41" t="n">
        <f aca="false">INDEX(Monthly!$C$97:$BJ$97,($R$2-1)*12+6)</f>
        <v>2630419.21161754</v>
      </c>
      <c r="N53" s="41" t="n">
        <f aca="false">INDEX(Monthly!$C$97:$BJ$97,($R$2-1)*12+7)</f>
        <v>2575933.45672671</v>
      </c>
      <c r="O53" s="41" t="n">
        <f aca="false">INDEX(Monthly!$C$97:$BJ$97,($R$2-1)*12+8)</f>
        <v>2523512.63507116</v>
      </c>
      <c r="P53" s="41" t="n">
        <f aca="false">INDEX(Monthly!$C$97:$BJ$97,($R$2-1)*12+9)</f>
        <v>2473105.36758356</v>
      </c>
      <c r="Q53" s="41" t="n">
        <f aca="false">INDEX(Monthly!$C$97:$BJ$97,($R$2-1)*12+10)</f>
        <v>2424661.55234537</v>
      </c>
      <c r="R53" s="41" t="n">
        <f aca="false">INDEX(Monthly!$C$97:$BJ$97,($R$2-1)*12+11)</f>
        <v>2378132.33287792</v>
      </c>
      <c r="S53" s="41" t="n">
        <f aca="false">INDEX(Monthly!$C$97:$BJ$97,($R$2-1)*12+12)</f>
        <v>2333470.06721971</v>
      </c>
    </row>
  </sheetData>
  <mergeCells count="1">
    <mergeCell ref="R2:S2"/>
  </mergeCells>
  <dataValidations count="1">
    <dataValidation allowBlank="false" error="Enter a year from 1 to 5" errorStyle="stop" errorTitle="Detailed year" operator="between" prompt="Pick the year shown month by month on the right" promptTitle="Detailed year" showDropDown="false" showErrorMessage="true" showInputMessage="true" sqref="R2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H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6" min="2" style="0" width="12"/>
    <col collapsed="false" customWidth="true" hidden="false" outlineLevel="0" max="7" min="7" style="0" width="2"/>
  </cols>
  <sheetData>
    <row r="1" customFormat="false" ht="21.75" hidden="false" customHeight="true" outlineLevel="0" collapsed="false">
      <c r="A1" s="16" t="s">
        <v>101</v>
      </c>
      <c r="H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102</v>
      </c>
    </row>
    <row r="5" customFormat="false" ht="15.75" hidden="false" customHeight="true" outlineLevel="0" collapsed="false">
      <c r="A5" s="7" t="s">
        <v>103</v>
      </c>
      <c r="B5" s="7"/>
      <c r="C5" s="7"/>
      <c r="D5" s="7"/>
      <c r="E5" s="7"/>
      <c r="F5" s="7"/>
    </row>
    <row r="6" customFormat="false" ht="15" hidden="false" customHeight="false" outlineLevel="0" collapsed="false">
      <c r="A6" s="33" t="s">
        <v>104</v>
      </c>
      <c r="B6" s="51" t="s">
        <v>105</v>
      </c>
      <c r="C6" s="51" t="s">
        <v>106</v>
      </c>
      <c r="D6" s="51" t="s">
        <v>107</v>
      </c>
      <c r="E6" s="51" t="s">
        <v>108</v>
      </c>
    </row>
    <row r="7" customFormat="false" ht="15" hidden="false" customHeight="false" outlineLevel="0" collapsed="false">
      <c r="A7" s="6" t="s">
        <v>109</v>
      </c>
      <c r="B7" s="52" t="n">
        <f aca="false">Inputs!$B$7</f>
        <v>30</v>
      </c>
      <c r="C7" s="52" t="n">
        <f aca="false">Inputs!$C$7</f>
        <v>30</v>
      </c>
      <c r="D7" s="52" t="n">
        <f aca="false">Inputs!$D$7</f>
        <v>30</v>
      </c>
      <c r="E7" s="53" t="n">
        <f aca="false">Inputs!$E$7</f>
        <v>30</v>
      </c>
    </row>
    <row r="8" customFormat="false" ht="15" hidden="false" customHeight="false" outlineLevel="0" collapsed="false">
      <c r="A8" s="6" t="s">
        <v>110</v>
      </c>
      <c r="B8" s="54" t="n">
        <f aca="false">Inputs!$B$8</f>
        <v>79</v>
      </c>
      <c r="C8" s="54" t="n">
        <f aca="false">Inputs!$C$8</f>
        <v>99</v>
      </c>
      <c r="D8" s="54" t="n">
        <f aca="false">Inputs!$D$8</f>
        <v>119</v>
      </c>
      <c r="E8" s="55" t="n">
        <f aca="false">Inputs!$E$8</f>
        <v>99</v>
      </c>
    </row>
    <row r="9" customFormat="false" ht="15" hidden="false" customHeight="false" outlineLevel="0" collapsed="false">
      <c r="A9" s="6" t="s">
        <v>111</v>
      </c>
      <c r="B9" s="56" t="n">
        <f aca="false">Inputs!$B$10</f>
        <v>0.045</v>
      </c>
      <c r="C9" s="56" t="n">
        <f aca="false">Inputs!$C$10</f>
        <v>0.03</v>
      </c>
      <c r="D9" s="56" t="n">
        <f aca="false">Inputs!$D$10</f>
        <v>0.02</v>
      </c>
      <c r="E9" s="57" t="n">
        <f aca="false">Inputs!$E$10</f>
        <v>0.03</v>
      </c>
    </row>
    <row r="10" customFormat="false" ht="15" hidden="false" customHeight="false" outlineLevel="0" collapsed="false">
      <c r="A10" s="6" t="s">
        <v>112</v>
      </c>
      <c r="B10" s="58" t="n">
        <f aca="false">Inputs!$B$12</f>
        <v>8</v>
      </c>
      <c r="C10" s="58" t="n">
        <f aca="false">Inputs!$C$12</f>
        <v>12</v>
      </c>
      <c r="D10" s="58" t="n">
        <f aca="false">Inputs!$D$12</f>
        <v>18</v>
      </c>
      <c r="E10" s="59" t="n">
        <f aca="false">Inputs!$E$12</f>
        <v>12</v>
      </c>
    </row>
    <row r="11" customFormat="false" ht="15" hidden="false" customHeight="false" outlineLevel="0" collapsed="false">
      <c r="A11" s="6" t="s">
        <v>113</v>
      </c>
      <c r="B11" s="54" t="n">
        <f aca="false">Inputs!$B$14</f>
        <v>8000</v>
      </c>
      <c r="C11" s="54" t="n">
        <f aca="false">Inputs!$C$14</f>
        <v>8000</v>
      </c>
      <c r="D11" s="54" t="n">
        <f aca="false">Inputs!$D$14</f>
        <v>8000</v>
      </c>
      <c r="E11" s="55" t="n">
        <f aca="false">Inputs!$E$14</f>
        <v>8000</v>
      </c>
    </row>
    <row r="12" customFormat="false" ht="15" hidden="false" customHeight="false" outlineLevel="0" collapsed="false">
      <c r="A12" s="6" t="s">
        <v>114</v>
      </c>
      <c r="B12" s="54" t="n">
        <f aca="false">Inputs!$B$16</f>
        <v>600</v>
      </c>
      <c r="C12" s="54" t="n">
        <f aca="false">Inputs!$C$16</f>
        <v>450</v>
      </c>
      <c r="D12" s="54" t="n">
        <f aca="false">Inputs!$D$16</f>
        <v>350</v>
      </c>
      <c r="E12" s="55" t="n">
        <f aca="false">Inputs!$E$16</f>
        <v>450</v>
      </c>
    </row>
    <row r="13" customFormat="false" ht="15" hidden="false" customHeight="false" outlineLevel="0" collapsed="false">
      <c r="A13" s="6" t="s">
        <v>115</v>
      </c>
      <c r="B13" s="54" t="n">
        <f aca="false">Inputs!$B$46</f>
        <v>3000000</v>
      </c>
      <c r="C13" s="54" t="n">
        <f aca="false">Inputs!$C$46</f>
        <v>3000000</v>
      </c>
      <c r="D13" s="54" t="n">
        <f aca="false">Inputs!$D$46</f>
        <v>3000000</v>
      </c>
      <c r="E13" s="55" t="n">
        <f aca="false">Inputs!$E$46</f>
        <v>3000000</v>
      </c>
    </row>
    <row r="15" customFormat="false" ht="15.75" hidden="false" customHeight="true" outlineLevel="0" collapsed="false">
      <c r="A15" s="7" t="s">
        <v>116</v>
      </c>
      <c r="B15" s="7"/>
      <c r="C15" s="7"/>
      <c r="D15" s="7"/>
      <c r="E15" s="7"/>
      <c r="F15" s="7"/>
    </row>
    <row r="16" customFormat="false" ht="15" hidden="false" customHeight="false" outlineLevel="0" collapsed="false">
      <c r="A16" s="33" t="s">
        <v>117</v>
      </c>
      <c r="B16" s="51" t="s">
        <v>105</v>
      </c>
      <c r="C16" s="51" t="s">
        <v>106</v>
      </c>
      <c r="D16" s="51" t="s">
        <v>107</v>
      </c>
      <c r="E16" s="51" t="s">
        <v>108</v>
      </c>
    </row>
    <row r="17" customFormat="false" ht="15" hidden="false" customHeight="false" outlineLevel="0" collapsed="false">
      <c r="A17" s="6" t="s">
        <v>118</v>
      </c>
      <c r="B17" s="60" t="n">
        <f aca="false">F30</f>
        <v>624519.478230787</v>
      </c>
      <c r="C17" s="60" t="n">
        <f aca="false">F31</f>
        <v>1939020.94087271</v>
      </c>
      <c r="D17" s="60" t="n">
        <f aca="false">F32</f>
        <v>5409456.89835298</v>
      </c>
      <c r="E17" s="61" t="n">
        <f aca="false">'P&amp;L'!F5</f>
        <v>1939020.94087271</v>
      </c>
    </row>
    <row r="18" customFormat="false" ht="15" hidden="false" customHeight="false" outlineLevel="0" collapsed="false">
      <c r="A18" s="6" t="s">
        <v>119</v>
      </c>
      <c r="B18" s="60" t="n">
        <f aca="false">SUM(B30:F30)</f>
        <v>1947131.96671297</v>
      </c>
      <c r="C18" s="60" t="n">
        <f aca="false">SUM(B31:F31)</f>
        <v>5153329.8707989</v>
      </c>
      <c r="D18" s="60" t="n">
        <f aca="false">SUM(B32:F32)</f>
        <v>12539641.9761004</v>
      </c>
      <c r="E18" s="61" t="n">
        <f aca="false">SUM('P&amp;L'!$B$5:$F$5)</f>
        <v>5153329.8707989</v>
      </c>
    </row>
    <row r="19" customFormat="false" ht="15" hidden="false" customHeight="false" outlineLevel="0" collapsed="false">
      <c r="A19" s="6" t="s">
        <v>120</v>
      </c>
      <c r="B19" s="60" t="n">
        <f aca="false">F36</f>
        <v>-4170384.42806998</v>
      </c>
      <c r="C19" s="60" t="n">
        <f aca="false">F37</f>
        <v>-2984436.0341689</v>
      </c>
      <c r="D19" s="60" t="n">
        <f aca="false">F38</f>
        <v>229990.22457941</v>
      </c>
      <c r="E19" s="61" t="n">
        <f aca="false">'P&amp;L'!F15</f>
        <v>-2984436.0341689</v>
      </c>
    </row>
    <row r="20" customFormat="false" ht="15" hidden="false" customHeight="false" outlineLevel="0" collapsed="false">
      <c r="A20" s="6" t="s">
        <v>121</v>
      </c>
      <c r="B20" s="62" t="n">
        <f aca="false">IF(B17=0,0,B19/B17)</f>
        <v>-6.67774917106563</v>
      </c>
      <c r="C20" s="62" t="n">
        <f aca="false">IF(C17=0,0,C19/C17)</f>
        <v>-1.53914584998018</v>
      </c>
      <c r="D20" s="62" t="n">
        <f aca="false">IF(D17=0,0,D19/D17)</f>
        <v>0.042516324448289</v>
      </c>
      <c r="E20" s="63" t="n">
        <f aca="false">IF(E17=0,0,E19/E17)</f>
        <v>-1.53914584998018</v>
      </c>
    </row>
    <row r="21" customFormat="false" ht="15" hidden="false" customHeight="false" outlineLevel="0" collapsed="false">
      <c r="A21" s="6" t="s">
        <v>122</v>
      </c>
      <c r="B21" s="60" t="n">
        <f aca="false">F42</f>
        <v>-4170384.42806998</v>
      </c>
      <c r="C21" s="60" t="n">
        <f aca="false">F43</f>
        <v>-2984436.0341689</v>
      </c>
      <c r="D21" s="60" t="n">
        <f aca="false">F44</f>
        <v>229990.22457941</v>
      </c>
      <c r="E21" s="61" t="n">
        <f aca="false">'P&amp;L'!F22</f>
        <v>-2984436.0341689</v>
      </c>
    </row>
    <row r="22" customFormat="false" ht="15" hidden="false" customHeight="false" outlineLevel="0" collapsed="false">
      <c r="A22" s="6" t="s">
        <v>123</v>
      </c>
      <c r="B22" s="60" t="n">
        <f aca="false">SUM(B42:F42)</f>
        <v>-10409191.0849075</v>
      </c>
      <c r="C22" s="60" t="n">
        <f aca="false">SUM(B43:F43)</f>
        <v>-7503122.68088005</v>
      </c>
      <c r="D22" s="60" t="n">
        <f aca="false">SUM(B44:F44)</f>
        <v>-637423.02728143</v>
      </c>
      <c r="E22" s="61" t="n">
        <f aca="false">SUM('P&amp;L'!$B$22:$F$22)</f>
        <v>-7503122.68088005</v>
      </c>
    </row>
    <row r="23" customFormat="false" ht="15" hidden="false" customHeight="false" outlineLevel="0" collapsed="false">
      <c r="A23" s="6" t="s">
        <v>124</v>
      </c>
      <c r="B23" s="60" t="n">
        <f aca="false">F48</f>
        <v>-7342086.88541735</v>
      </c>
      <c r="C23" s="60" t="n">
        <f aca="false">F49</f>
        <v>-4291369.48274386</v>
      </c>
      <c r="D23" s="60" t="n">
        <f aca="false">F50</f>
        <v>2972134.87768751</v>
      </c>
      <c r="E23" s="61" t="n">
        <f aca="false">'Balance Sheet'!F5</f>
        <v>-4291369.48274386</v>
      </c>
    </row>
    <row r="24" customFormat="false" ht="15" hidden="false" customHeight="false" outlineLevel="0" collapsed="false">
      <c r="A24" s="6" t="s">
        <v>125</v>
      </c>
      <c r="B24" s="60" t="n">
        <f aca="false">MIN('Scenario calc'!$C$78:$BJ$78)</f>
        <v>-7342086.88541735</v>
      </c>
      <c r="C24" s="60" t="n">
        <f aca="false">MIN('Scenario calc'!$C$191:$BJ$191)</f>
        <v>-4291369.48274386</v>
      </c>
      <c r="D24" s="60" t="n">
        <f aca="false">MIN('Scenario calc'!$C$304:$BJ$304)</f>
        <v>2138580.37626337</v>
      </c>
      <c r="E24" s="61" t="n">
        <f aca="false">'Break-even'!B18</f>
        <v>-4291369.48274386</v>
      </c>
    </row>
    <row r="25" customFormat="false" ht="15" hidden="false" customHeight="false" outlineLevel="0" collapsed="false">
      <c r="A25" s="6" t="s">
        <v>126</v>
      </c>
      <c r="B25" s="64" t="n">
        <f aca="false">MATCH(MIN('Scenario calc'!$C$78:$BJ$78),'Scenario calc'!$C$78:$BJ$78,0)</f>
        <v>60</v>
      </c>
      <c r="C25" s="64" t="n">
        <f aca="false">MATCH(MIN('Scenario calc'!$C$191:$BJ$191),'Scenario calc'!$C$191:$BJ$191,0)</f>
        <v>60</v>
      </c>
      <c r="D25" s="64" t="n">
        <f aca="false">MATCH(MIN('Scenario calc'!$C$304:$BJ$304),'Scenario calc'!$C$304:$BJ$304,0)</f>
        <v>30</v>
      </c>
      <c r="E25" s="65" t="n">
        <f aca="false">'Break-even'!B6</f>
        <v>60</v>
      </c>
    </row>
    <row r="26" customFormat="false" ht="15" hidden="false" customHeight="false" outlineLevel="0" collapsed="false">
      <c r="A26" s="4" t="s">
        <v>65</v>
      </c>
      <c r="B26" s="60" t="n">
        <f aca="false">SUMPRODUCT(--('Scenario calc'!$C$6:$BJ$6&lt;=B25),'Scenario calc'!$C$49:$BJ$49)-SUMPRODUCT(--('Scenario calc'!$C$6:$BJ$6&lt;=B25),'Scenario calc'!$C$72:$BJ$72)-SUMPRODUCT(--('Scenario calc'!$C$6:$BJ$6&lt;=B25),'Scenario calc'!$C$58:$BJ$58)+Inputs!$B$61</f>
        <v>10567086.8854174</v>
      </c>
      <c r="C26" s="60" t="n">
        <f aca="false">SUMPRODUCT(--('Scenario calc'!$C$119:$BJ$119&lt;=C25),'Scenario calc'!$C$162:$BJ$162)-SUMPRODUCT(--('Scenario calc'!$C$119:$BJ$119&lt;=C25),'Scenario calc'!$C$185:$BJ$185)-SUMPRODUCT(--('Scenario calc'!$C$119:$BJ$119&lt;=C25),'Scenario calc'!$C$171:$BJ$171)+Inputs!$C$61</f>
        <v>7516369.48274386</v>
      </c>
      <c r="D26" s="60" t="n">
        <f aca="false">SUMPRODUCT(--('Scenario calc'!$C$232:$BJ$232&lt;=D25),'Scenario calc'!$C$275:$BJ$275)-SUMPRODUCT(--('Scenario calc'!$C$232:$BJ$232&lt;=D25),'Scenario calc'!$C$298:$BJ$298)-SUMPRODUCT(--('Scenario calc'!$C$232:$BJ$232&lt;=D25),'Scenario calc'!$C$284:$BJ$284)+Inputs!$D$61</f>
        <v>1086419.62373663</v>
      </c>
      <c r="E26" s="61" t="n">
        <f aca="false">'Break-even'!B12</f>
        <v>7516369.48274386</v>
      </c>
    </row>
    <row r="28" customFormat="false" ht="15.75" hidden="false" customHeight="true" outlineLevel="0" collapsed="false">
      <c r="A28" s="7" t="s">
        <v>127</v>
      </c>
      <c r="B28" s="7"/>
      <c r="C28" s="7"/>
      <c r="D28" s="7"/>
      <c r="E28" s="7"/>
      <c r="F28" s="7"/>
    </row>
    <row r="29" customFormat="false" ht="15" hidden="false" customHeight="false" outlineLevel="0" collapsed="false">
      <c r="A29" s="33" t="s">
        <v>128</v>
      </c>
      <c r="B29" s="34" t="n">
        <v>1</v>
      </c>
      <c r="C29" s="34" t="n">
        <v>2</v>
      </c>
      <c r="D29" s="34" t="n">
        <v>3</v>
      </c>
      <c r="E29" s="34" t="n">
        <v>4</v>
      </c>
      <c r="F29" s="34" t="n">
        <v>5</v>
      </c>
    </row>
    <row r="30" customFormat="false" ht="15" hidden="false" customHeight="false" outlineLevel="0" collapsed="false">
      <c r="A30" s="6" t="s">
        <v>105</v>
      </c>
      <c r="B30" s="60" t="n">
        <f aca="false">SUMIF('Scenario calc'!$C$7:$BJ$7,B$29,'Scenario calc'!$C$26:$BJ$26)</f>
        <v>125924.626019004</v>
      </c>
      <c r="C30" s="60" t="n">
        <f aca="false">SUMIF('Scenario calc'!$C$7:$BJ$7,C$29,'Scenario calc'!$C$26:$BJ$26)</f>
        <v>280162.870849517</v>
      </c>
      <c r="D30" s="60" t="n">
        <f aca="false">SUMIF('Scenario calc'!$C$7:$BJ$7,D$29,'Scenario calc'!$C$26:$BJ$26)</f>
        <v>402920.185349924</v>
      </c>
      <c r="E30" s="60" t="n">
        <f aca="false">SUMIF('Scenario calc'!$C$7:$BJ$7,E$29,'Scenario calc'!$C$26:$BJ$26)</f>
        <v>513604.80626374</v>
      </c>
      <c r="F30" s="60" t="n">
        <f aca="false">SUMIF('Scenario calc'!$C$7:$BJ$7,F$29,'Scenario calc'!$C$26:$BJ$26)</f>
        <v>624519.478230787</v>
      </c>
    </row>
    <row r="31" customFormat="false" ht="15" hidden="false" customHeight="false" outlineLevel="0" collapsed="false">
      <c r="A31" s="6" t="s">
        <v>106</v>
      </c>
      <c r="B31" s="60" t="n">
        <f aca="false">SUMIF('Scenario calc'!$C$120:$BJ$120,B$29,'Scenario calc'!$C$139:$BJ$139)</f>
        <v>225414.939184555</v>
      </c>
      <c r="C31" s="60" t="n">
        <f aca="false">SUMIF('Scenario calc'!$C$120:$BJ$120,C$29,'Scenario calc'!$C$139:$BJ$139)</f>
        <v>591123.330484019</v>
      </c>
      <c r="D31" s="60" t="n">
        <f aca="false">SUMIF('Scenario calc'!$C$120:$BJ$120,D$29,'Scenario calc'!$C$139:$BJ$139)</f>
        <v>979388.559956597</v>
      </c>
      <c r="E31" s="60" t="n">
        <f aca="false">SUMIF('Scenario calc'!$C$120:$BJ$120,E$29,'Scenario calc'!$C$139:$BJ$139)</f>
        <v>1418382.10030103</v>
      </c>
      <c r="F31" s="60" t="n">
        <f aca="false">SUMIF('Scenario calc'!$C$120:$BJ$120,F$29,'Scenario calc'!$C$139:$BJ$139)</f>
        <v>1939020.94087271</v>
      </c>
    </row>
    <row r="32" customFormat="false" ht="15" hidden="false" customHeight="false" outlineLevel="0" collapsed="false">
      <c r="A32" s="6" t="s">
        <v>107</v>
      </c>
      <c r="B32" s="60" t="n">
        <f aca="false">SUMIF('Scenario calc'!$C$233:$BJ$233,B$29,'Scenario calc'!$C$252:$BJ$252)</f>
        <v>378410.09831737</v>
      </c>
      <c r="C32" s="60" t="n">
        <f aca="false">SUMIF('Scenario calc'!$C$233:$BJ$233,C$29,'Scenario calc'!$C$252:$BJ$252)</f>
        <v>1133100.31075438</v>
      </c>
      <c r="D32" s="60" t="n">
        <f aca="false">SUMIF('Scenario calc'!$C$233:$BJ$233,D$29,'Scenario calc'!$C$252:$BJ$252)</f>
        <v>2128410.73729818</v>
      </c>
      <c r="E32" s="60" t="n">
        <f aca="false">SUMIF('Scenario calc'!$C$233:$BJ$233,E$29,'Scenario calc'!$C$252:$BJ$252)</f>
        <v>3490263.93137749</v>
      </c>
      <c r="F32" s="60" t="n">
        <f aca="false">SUMIF('Scenario calc'!$C$233:$BJ$233,F$29,'Scenario calc'!$C$252:$BJ$252)</f>
        <v>5409456.89835298</v>
      </c>
    </row>
    <row r="34" customFormat="false" ht="15.75" hidden="false" customHeight="true" outlineLevel="0" collapsed="false">
      <c r="A34" s="7" t="s">
        <v>129</v>
      </c>
      <c r="B34" s="7"/>
      <c r="C34" s="7"/>
      <c r="D34" s="7"/>
      <c r="E34" s="7"/>
      <c r="F34" s="7"/>
    </row>
    <row r="35" customFormat="false" ht="15" hidden="false" customHeight="false" outlineLevel="0" collapsed="false">
      <c r="A35" s="33" t="s">
        <v>128</v>
      </c>
      <c r="B35" s="34" t="n">
        <v>1</v>
      </c>
      <c r="C35" s="34" t="n">
        <v>2</v>
      </c>
      <c r="D35" s="34" t="n">
        <v>3</v>
      </c>
      <c r="E35" s="34" t="n">
        <v>4</v>
      </c>
      <c r="F35" s="34" t="n">
        <v>5</v>
      </c>
    </row>
    <row r="36" customFormat="false" ht="15" hidden="false" customHeight="false" outlineLevel="0" collapsed="false">
      <c r="A36" s="6" t="s">
        <v>105</v>
      </c>
      <c r="B36" s="60" t="n">
        <f aca="false">SUMIF('Scenario calc'!$C$7:$BJ$7,B$35,'Scenario calc'!$C$37:$BJ$37)</f>
        <v>-795768.276926783</v>
      </c>
      <c r="C36" s="60" t="n">
        <f aca="false">SUMIF('Scenario calc'!$C$7:$BJ$7,C$35,'Scenario calc'!$C$37:$BJ$37)</f>
        <v>-1105455.7700138</v>
      </c>
      <c r="D36" s="60" t="n">
        <f aca="false">SUMIF('Scenario calc'!$C$7:$BJ$7,D$35,'Scenario calc'!$C$37:$BJ$37)</f>
        <v>-1680568.60342434</v>
      </c>
      <c r="E36" s="60" t="n">
        <f aca="false">SUMIF('Scenario calc'!$C$7:$BJ$7,E$35,'Scenario calc'!$C$37:$BJ$37)</f>
        <v>-2637014.00647261</v>
      </c>
      <c r="F36" s="60" t="n">
        <f aca="false">SUMIF('Scenario calc'!$C$7:$BJ$7,F$35,'Scenario calc'!$C$37:$BJ$37)</f>
        <v>-4170384.42806998</v>
      </c>
    </row>
    <row r="37" customFormat="false" ht="15" hidden="false" customHeight="false" outlineLevel="0" collapsed="false">
      <c r="A37" s="6" t="s">
        <v>106</v>
      </c>
      <c r="B37" s="60" t="n">
        <f aca="false">SUMIF('Scenario calc'!$C$120:$BJ$120,B$35,'Scenario calc'!$C$150:$BJ$150)</f>
        <v>-703396.477000165</v>
      </c>
      <c r="C37" s="60" t="n">
        <f aca="false">SUMIF('Scenario calc'!$C$120:$BJ$120,C$35,'Scenario calc'!$C$150:$BJ$150)</f>
        <v>-820672.963572839</v>
      </c>
      <c r="D37" s="60" t="n">
        <f aca="false">SUMIF('Scenario calc'!$C$120:$BJ$120,D$35,'Scenario calc'!$C$150:$BJ$150)</f>
        <v>-1156452.64650262</v>
      </c>
      <c r="E37" s="60" t="n">
        <f aca="false">SUMIF('Scenario calc'!$C$120:$BJ$120,E$35,'Scenario calc'!$C$150:$BJ$150)</f>
        <v>-1818164.55963553</v>
      </c>
      <c r="F37" s="60" t="n">
        <f aca="false">SUMIF('Scenario calc'!$C$120:$BJ$120,F$35,'Scenario calc'!$C$150:$BJ$150)</f>
        <v>-2984436.0341689</v>
      </c>
    </row>
    <row r="38" customFormat="false" ht="15" hidden="false" customHeight="false" outlineLevel="0" collapsed="false">
      <c r="A38" s="6" t="s">
        <v>107</v>
      </c>
      <c r="B38" s="60" t="n">
        <f aca="false">SUMIF('Scenario calc'!$C$233:$BJ$233,B$35,'Scenario calc'!$C$263:$BJ$263)</f>
        <v>-558259.052952117</v>
      </c>
      <c r="C38" s="60" t="n">
        <f aca="false">SUMIF('Scenario calc'!$C$233:$BJ$233,C$35,'Scenario calc'!$C$263:$BJ$263)</f>
        <v>-311798.283759322</v>
      </c>
      <c r="D38" s="60" t="n">
        <f aca="false">SUMIF('Scenario calc'!$C$233:$BJ$233,D$35,'Scenario calc'!$C$263:$BJ$263)</f>
        <v>-84273.9887926618</v>
      </c>
      <c r="E38" s="60" t="n">
        <f aca="false">SUMIF('Scenario calc'!$C$233:$BJ$233,E$35,'Scenario calc'!$C$263:$BJ$263)</f>
        <v>106918.073643261</v>
      </c>
      <c r="F38" s="60" t="n">
        <f aca="false">SUMIF('Scenario calc'!$C$233:$BJ$233,F$35,'Scenario calc'!$C$263:$BJ$263)</f>
        <v>229990.22457941</v>
      </c>
    </row>
    <row r="40" customFormat="false" ht="15.75" hidden="false" customHeight="true" outlineLevel="0" collapsed="false">
      <c r="A40" s="7" t="s">
        <v>130</v>
      </c>
      <c r="B40" s="7"/>
      <c r="C40" s="7"/>
      <c r="D40" s="7"/>
      <c r="E40" s="7"/>
      <c r="F40" s="7"/>
    </row>
    <row r="41" customFormat="false" ht="15" hidden="false" customHeight="false" outlineLevel="0" collapsed="false">
      <c r="A41" s="33" t="s">
        <v>128</v>
      </c>
      <c r="B41" s="34" t="n">
        <v>1</v>
      </c>
      <c r="C41" s="34" t="n">
        <v>2</v>
      </c>
      <c r="D41" s="34" t="n">
        <v>3</v>
      </c>
      <c r="E41" s="34" t="n">
        <v>4</v>
      </c>
      <c r="F41" s="34" t="n">
        <v>5</v>
      </c>
    </row>
    <row r="42" customFormat="false" ht="15" hidden="false" customHeight="false" outlineLevel="0" collapsed="false">
      <c r="A42" s="6" t="s">
        <v>105</v>
      </c>
      <c r="B42" s="60" t="n">
        <f aca="false">SUMIF('Scenario calc'!$C$7:$BJ$7,B$41,'Scenario calc'!$C$46:$BJ$46)</f>
        <v>-802434.943593449</v>
      </c>
      <c r="C42" s="60" t="n">
        <f aca="false">SUMIF('Scenario calc'!$C$7:$BJ$7,C$41,'Scenario calc'!$C$46:$BJ$46)</f>
        <v>-1112122.43668047</v>
      </c>
      <c r="D42" s="60" t="n">
        <f aca="false">SUMIF('Scenario calc'!$C$7:$BJ$7,D$41,'Scenario calc'!$C$46:$BJ$46)</f>
        <v>-1687235.27009101</v>
      </c>
      <c r="E42" s="60" t="n">
        <f aca="false">SUMIF('Scenario calc'!$C$7:$BJ$7,E$41,'Scenario calc'!$C$46:$BJ$46)</f>
        <v>-2637014.00647261</v>
      </c>
      <c r="F42" s="60" t="n">
        <f aca="false">SUMIF('Scenario calc'!$C$7:$BJ$7,F$41,'Scenario calc'!$C$46:$BJ$46)</f>
        <v>-4170384.42806998</v>
      </c>
    </row>
    <row r="43" customFormat="false" ht="15" hidden="false" customHeight="false" outlineLevel="0" collapsed="false">
      <c r="A43" s="6" t="s">
        <v>106</v>
      </c>
      <c r="B43" s="60" t="n">
        <f aca="false">SUMIF('Scenario calc'!$C$120:$BJ$120,B$41,'Scenario calc'!$C$159:$BJ$159)</f>
        <v>-710063.143666832</v>
      </c>
      <c r="C43" s="60" t="n">
        <f aca="false">SUMIF('Scenario calc'!$C$120:$BJ$120,C$41,'Scenario calc'!$C$159:$BJ$159)</f>
        <v>-827339.630239505</v>
      </c>
      <c r="D43" s="60" t="n">
        <f aca="false">SUMIF('Scenario calc'!$C$120:$BJ$120,D$41,'Scenario calc'!$C$159:$BJ$159)</f>
        <v>-1163119.31316928</v>
      </c>
      <c r="E43" s="60" t="n">
        <f aca="false">SUMIF('Scenario calc'!$C$120:$BJ$120,E$41,'Scenario calc'!$C$159:$BJ$159)</f>
        <v>-1818164.55963553</v>
      </c>
      <c r="F43" s="60" t="n">
        <f aca="false">SUMIF('Scenario calc'!$C$120:$BJ$120,F$41,'Scenario calc'!$C$159:$BJ$159)</f>
        <v>-2984436.0341689</v>
      </c>
    </row>
    <row r="44" customFormat="false" ht="15" hidden="false" customHeight="false" outlineLevel="0" collapsed="false">
      <c r="A44" s="6" t="s">
        <v>107</v>
      </c>
      <c r="B44" s="60" t="n">
        <f aca="false">SUMIF('Scenario calc'!$C$233:$BJ$233,B$41,'Scenario calc'!$C$272:$BJ$272)</f>
        <v>-564925.719618784</v>
      </c>
      <c r="C44" s="60" t="n">
        <f aca="false">SUMIF('Scenario calc'!$C$233:$BJ$233,C$41,'Scenario calc'!$C$272:$BJ$272)</f>
        <v>-318464.950425989</v>
      </c>
      <c r="D44" s="60" t="n">
        <f aca="false">SUMIF('Scenario calc'!$C$233:$BJ$233,D$41,'Scenario calc'!$C$272:$BJ$272)</f>
        <v>-90940.6554593285</v>
      </c>
      <c r="E44" s="60" t="n">
        <f aca="false">SUMIF('Scenario calc'!$C$233:$BJ$233,E$41,'Scenario calc'!$C$272:$BJ$272)</f>
        <v>106918.073643261</v>
      </c>
      <c r="F44" s="60" t="n">
        <f aca="false">SUMIF('Scenario calc'!$C$233:$BJ$233,F$41,'Scenario calc'!$C$272:$BJ$272)</f>
        <v>229990.22457941</v>
      </c>
    </row>
    <row r="46" customFormat="false" ht="15.75" hidden="false" customHeight="true" outlineLevel="0" collapsed="false">
      <c r="A46" s="7" t="s">
        <v>131</v>
      </c>
      <c r="B46" s="7"/>
      <c r="C46" s="7"/>
      <c r="D46" s="7"/>
      <c r="E46" s="7"/>
      <c r="F46" s="7"/>
    </row>
    <row r="47" customFormat="false" ht="15" hidden="false" customHeight="false" outlineLevel="0" collapsed="false">
      <c r="A47" s="33" t="s">
        <v>128</v>
      </c>
      <c r="B47" s="34" t="n">
        <v>1</v>
      </c>
      <c r="C47" s="34" t="n">
        <v>2</v>
      </c>
      <c r="D47" s="34" t="n">
        <v>3</v>
      </c>
      <c r="E47" s="34" t="n">
        <v>4</v>
      </c>
      <c r="F47" s="34" t="n">
        <v>5</v>
      </c>
    </row>
    <row r="48" customFormat="false" ht="15" hidden="false" customHeight="false" outlineLevel="0" collapsed="false">
      <c r="A48" s="6" t="s">
        <v>105</v>
      </c>
      <c r="B48" s="60" t="n">
        <f aca="false">INDEX('Scenario calc'!$C$78:$BJ$78,B$47*12)</f>
        <v>2204800.77938623</v>
      </c>
      <c r="C48" s="60" t="n">
        <f aca="false">INDEX('Scenario calc'!$C$78:$BJ$78,C$47*12)</f>
        <v>1112631.86476478</v>
      </c>
      <c r="D48" s="60" t="n">
        <f aca="false">INDEX('Scenario calc'!$C$78:$BJ$78,D$47*12)</f>
        <v>-556667.823183717</v>
      </c>
      <c r="E48" s="60" t="n">
        <f aca="false">INDEX('Scenario calc'!$C$78:$BJ$78,E$47*12)</f>
        <v>-3182927.87185552</v>
      </c>
      <c r="F48" s="60" t="n">
        <f aca="false">INDEX('Scenario calc'!$C$78:$BJ$78,F$47*12)</f>
        <v>-7342086.88541735</v>
      </c>
    </row>
    <row r="49" customFormat="false" ht="15" hidden="false" customHeight="false" outlineLevel="0" collapsed="false">
      <c r="A49" s="6" t="s">
        <v>106</v>
      </c>
      <c r="B49" s="60" t="n">
        <f aca="false">INDEX('Scenario calc'!$C$191:$BJ$191,B$47*12)</f>
        <v>2314803.48576323</v>
      </c>
      <c r="C49" s="60" t="n">
        <f aca="false">INDEX('Scenario calc'!$C$191:$BJ$191,C$47*12)</f>
        <v>1529595.0687839</v>
      </c>
      <c r="D49" s="60" t="n">
        <f aca="false">INDEX('Scenario calc'!$C$191:$BJ$191,D$47*12)</f>
        <v>411980.553657166</v>
      </c>
      <c r="E49" s="60" t="n">
        <f aca="false">INDEX('Scenario calc'!$C$191:$BJ$191,E$47*12)</f>
        <v>-1361198.82619305</v>
      </c>
      <c r="F49" s="60" t="n">
        <f aca="false">INDEX('Scenario calc'!$C$191:$BJ$191,F$47*12)</f>
        <v>-4291369.48274386</v>
      </c>
    </row>
    <row r="50" customFormat="false" ht="15" hidden="false" customHeight="false" outlineLevel="0" collapsed="false">
      <c r="A50" s="6" t="s">
        <v>107</v>
      </c>
      <c r="B50" s="60" t="n">
        <f aca="false">INDEX('Scenario calc'!$C$304:$BJ$304,B$47*12)</f>
        <v>2487622.22037006</v>
      </c>
      <c r="C50" s="60" t="n">
        <f aca="false">INDEX('Scenario calc'!$C$304:$BJ$304,C$47*12)</f>
        <v>2255241.49422263</v>
      </c>
      <c r="D50" s="60" t="n">
        <f aca="false">INDEX('Scenario calc'!$C$304:$BJ$304,D$47*12)</f>
        <v>2277434.84153472</v>
      </c>
      <c r="E50" s="60" t="n">
        <f aca="false">INDEX('Scenario calc'!$C$304:$BJ$304,E$47*12)</f>
        <v>2531964.28753121</v>
      </c>
      <c r="F50" s="60" t="n">
        <f aca="false">INDEX('Scenario calc'!$C$304:$BJ$304,F$47*12)</f>
        <v>2972134.87768751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6"/>
  </cols>
  <sheetData>
    <row r="1" customFormat="false" ht="21.75" hidden="false" customHeight="true" outlineLevel="0" collapsed="false">
      <c r="A1" s="16" t="s">
        <v>132</v>
      </c>
      <c r="H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133</v>
      </c>
    </row>
    <row r="3" customFormat="false" ht="15" hidden="false" customHeight="false" outlineLevel="0" collapsed="false">
      <c r="A3" s="4" t="s">
        <v>134</v>
      </c>
      <c r="B3" s="5" t="str">
        <f aca="false">CHOOSE(Dashboard!$B$4,"Low","Base","High")</f>
        <v>Base</v>
      </c>
    </row>
    <row r="5" customFormat="false" ht="15.75" hidden="false" customHeight="true" outlineLevel="0" collapsed="false">
      <c r="A5" s="7" t="s">
        <v>135</v>
      </c>
      <c r="B5" s="7"/>
      <c r="C5" s="7"/>
      <c r="D5" s="7"/>
      <c r="E5" s="7"/>
      <c r="F5" s="7"/>
    </row>
    <row r="6" customFormat="false" ht="15" hidden="false" customHeight="false" outlineLevel="0" collapsed="false">
      <c r="A6" s="6" t="s">
        <v>126</v>
      </c>
      <c r="B6" s="64" t="n">
        <f aca="false">MATCH(MIN(Monthly!$C$76:$BJ$76),Monthly!$C$76:$BJ$76,0)</f>
        <v>60</v>
      </c>
    </row>
    <row r="7" customFormat="false" ht="15" hidden="false" customHeight="false" outlineLevel="0" collapsed="false">
      <c r="A7" s="6" t="s">
        <v>136</v>
      </c>
      <c r="B7" s="66" t="n">
        <f aca="false">SUMPRODUCT(--(Monthly!$C$4:$BJ$4&lt;=$B$6),Monthly!$C$47:$BJ$47)</f>
        <v>20000</v>
      </c>
    </row>
    <row r="8" customFormat="false" ht="15" hidden="false" customHeight="false" outlineLevel="0" collapsed="false">
      <c r="A8" s="6" t="s">
        <v>137</v>
      </c>
      <c r="B8" s="66" t="n">
        <f aca="false">-SUMPRODUCT(--(Monthly!$C$4:$BJ$4&lt;=$B$6),Monthly!$C$70:$BJ$70)</f>
        <v>7271369.48274386</v>
      </c>
      <c r="D8" s="18" t="s">
        <v>138</v>
      </c>
    </row>
    <row r="9" customFormat="false" ht="15" hidden="false" customHeight="false" outlineLevel="0" collapsed="false">
      <c r="A9" s="6" t="s">
        <v>139</v>
      </c>
      <c r="B9" s="66" t="n">
        <f aca="false">-SUMPRODUCT(--(Monthly!$C$4:$BJ$4&lt;=$B$6),Monthly!$C$56:$BJ$56)</f>
        <v>-0</v>
      </c>
    </row>
    <row r="10" customFormat="false" ht="15" hidden="false" customHeight="false" outlineLevel="0" collapsed="false">
      <c r="A10" s="4" t="s">
        <v>140</v>
      </c>
      <c r="B10" s="67" t="n">
        <f aca="false">B7+B8+B9</f>
        <v>7291369.48274386</v>
      </c>
    </row>
    <row r="11" customFormat="false" ht="15" hidden="false" customHeight="false" outlineLevel="0" collapsed="false">
      <c r="A11" s="6" t="s">
        <v>141</v>
      </c>
      <c r="B11" s="68" t="n">
        <f aca="false">Inputs!$E$61</f>
        <v>225000</v>
      </c>
      <c r="D11" s="18" t="s">
        <v>142</v>
      </c>
    </row>
    <row r="12" customFormat="false" ht="15" hidden="false" customHeight="false" outlineLevel="0" collapsed="false">
      <c r="A12" s="4" t="s">
        <v>143</v>
      </c>
      <c r="B12" s="67" t="n">
        <f aca="false">B10+B11</f>
        <v>7516369.48274386</v>
      </c>
    </row>
    <row r="14" customFormat="false" ht="15" hidden="false" customHeight="false" outlineLevel="0" collapsed="false">
      <c r="A14" s="6" t="s">
        <v>63</v>
      </c>
      <c r="B14" s="68" t="n">
        <f aca="false">Inputs!$E$46</f>
        <v>3000000</v>
      </c>
    </row>
    <row r="15" customFormat="false" ht="15" hidden="false" customHeight="false" outlineLevel="0" collapsed="false">
      <c r="A15" s="6" t="s">
        <v>64</v>
      </c>
      <c r="B15" s="68" t="n">
        <f aca="false">Inputs!$E$47</f>
        <v>0</v>
      </c>
    </row>
    <row r="16" customFormat="false" ht="15" hidden="false" customHeight="false" outlineLevel="0" collapsed="false">
      <c r="A16" s="4" t="s">
        <v>144</v>
      </c>
      <c r="B16" s="67" t="n">
        <f aca="false">B14+B15</f>
        <v>3000000</v>
      </c>
    </row>
    <row r="17" customFormat="false" ht="15" hidden="false" customHeight="false" outlineLevel="0" collapsed="false">
      <c r="A17" s="69" t="s">
        <v>66</v>
      </c>
      <c r="B17" s="70" t="n">
        <f aca="false">B16-B12</f>
        <v>-4516369.48274386</v>
      </c>
      <c r="D17" s="18" t="s">
        <v>145</v>
      </c>
    </row>
    <row r="18" customFormat="false" ht="15" hidden="false" customHeight="false" outlineLevel="0" collapsed="false">
      <c r="A18" s="6" t="s">
        <v>146</v>
      </c>
      <c r="B18" s="66" t="n">
        <f aca="false">MIN(Monthly!$C$76:$BJ$76)</f>
        <v>-4291369.48274386</v>
      </c>
      <c r="D18" s="18" t="s">
        <v>147</v>
      </c>
    </row>
    <row r="20" customFormat="false" ht="15.75" hidden="false" customHeight="true" outlineLevel="0" collapsed="false">
      <c r="A20" s="7" t="s">
        <v>148</v>
      </c>
      <c r="B20" s="7"/>
      <c r="C20" s="7"/>
      <c r="D20" s="7"/>
      <c r="E20" s="7"/>
      <c r="F20" s="7"/>
    </row>
    <row r="21" customFormat="false" ht="15" hidden="false" customHeight="false" outlineLevel="0" collapsed="false">
      <c r="A21" s="6" t="s">
        <v>149</v>
      </c>
      <c r="B21" s="64" t="str">
        <f aca="false">IFERROR(MATCH(1,Monthly!$C$77:$BJ$77,0),"Not within horizon")</f>
        <v>Not within horizon</v>
      </c>
    </row>
    <row r="22" customFormat="false" ht="15" hidden="false" customHeight="false" outlineLevel="0" collapsed="false">
      <c r="A22" s="6" t="s">
        <v>150</v>
      </c>
      <c r="B22" s="64" t="str">
        <f aca="false">IFERROR(MATCH(1,Monthly!$C$84:$BJ$84,0),"Not within horizon")</f>
        <v>Not within horizon</v>
      </c>
    </row>
    <row r="23" customFormat="false" ht="15" hidden="false" customHeight="false" outlineLevel="0" collapsed="false">
      <c r="A23" s="6" t="s">
        <v>151</v>
      </c>
      <c r="B23" s="64" t="str">
        <f aca="false">IF(MIN(Monthly!$C$86:$BJ$86)&gt;=0,"No investment to pay back",IFERROR(MATCH(1,Monthly!$C$88:$BJ$88,0),"Not within horizon"))</f>
        <v>Not within horizon</v>
      </c>
      <c r="D23" s="18" t="s">
        <v>152</v>
      </c>
    </row>
    <row r="25" customFormat="false" ht="15.75" hidden="false" customHeight="true" outlineLevel="0" collapsed="false">
      <c r="A25" s="7" t="s">
        <v>153</v>
      </c>
      <c r="B25" s="7"/>
      <c r="C25" s="7"/>
      <c r="D25" s="7"/>
      <c r="E25" s="7"/>
      <c r="F25" s="7"/>
    </row>
    <row r="26" customFormat="false" ht="15" hidden="false" customHeight="false" outlineLevel="0" collapsed="false">
      <c r="A26" s="71" t="s">
        <v>154</v>
      </c>
      <c r="B26" s="71" t="n">
        <v>1</v>
      </c>
      <c r="C26" s="71" t="n">
        <v>2</v>
      </c>
      <c r="D26" s="71" t="n">
        <v>3</v>
      </c>
      <c r="E26" s="71" t="n">
        <v>4</v>
      </c>
      <c r="F26" s="71" t="n">
        <v>5</v>
      </c>
    </row>
    <row r="27" customFormat="false" ht="15" hidden="false" customHeight="false" outlineLevel="0" collapsed="false">
      <c r="A27" s="33"/>
      <c r="B27" s="51" t="s">
        <v>155</v>
      </c>
      <c r="C27" s="51" t="s">
        <v>156</v>
      </c>
      <c r="D27" s="51" t="s">
        <v>157</v>
      </c>
      <c r="E27" s="51" t="s">
        <v>158</v>
      </c>
      <c r="F27" s="51" t="s">
        <v>159</v>
      </c>
    </row>
    <row r="28" customFormat="false" ht="15" hidden="false" customHeight="false" outlineLevel="0" collapsed="false">
      <c r="A28" s="4" t="s">
        <v>44</v>
      </c>
      <c r="B28" s="72" t="n">
        <f aca="false">SUMIF(Monthly!$C$5:$BJ$5,B$26,Monthly!$C$24:$BJ$24)</f>
        <v>225414.939184555</v>
      </c>
      <c r="C28" s="72" t="n">
        <f aca="false">SUMIF(Monthly!$C$5:$BJ$5,C$26,Monthly!$C$24:$BJ$24)</f>
        <v>591123.330484019</v>
      </c>
      <c r="D28" s="72" t="n">
        <f aca="false">SUMIF(Monthly!$C$5:$BJ$5,D$26,Monthly!$C$24:$BJ$24)</f>
        <v>979388.559956597</v>
      </c>
      <c r="E28" s="72" t="n">
        <f aca="false">SUMIF(Monthly!$C$5:$BJ$5,E$26,Monthly!$C$24:$BJ$24)</f>
        <v>1418382.10030103</v>
      </c>
      <c r="F28" s="72" t="n">
        <f aca="false">SUMIF(Monthly!$C$5:$BJ$5,F$26,Monthly!$C$24:$BJ$24)</f>
        <v>1939020.94087271</v>
      </c>
    </row>
    <row r="29" customFormat="false" ht="15" hidden="false" customHeight="false" outlineLevel="0" collapsed="false">
      <c r="A29" s="6" t="s">
        <v>45</v>
      </c>
      <c r="B29" s="66" t="n">
        <f aca="false">SUMIF(Monthly!$C$5:$BJ$5,B$26,Monthly!$C$26:$BJ$26)</f>
        <v>198403.522999835</v>
      </c>
      <c r="C29" s="66" t="n">
        <f aca="false">SUMIF(Monthly!$C$5:$BJ$5,C$26,Monthly!$C$26:$BJ$26)</f>
        <v>520687.036427161</v>
      </c>
      <c r="D29" s="66" t="n">
        <f aca="false">SUMIF(Monthly!$C$5:$BJ$5,D$26,Monthly!$C$26:$BJ$26)</f>
        <v>863384.953497385</v>
      </c>
      <c r="E29" s="66" t="n">
        <f aca="false">SUMIF(Monthly!$C$5:$BJ$5,E$26,Monthly!$C$26:$BJ$26)</f>
        <v>1251317.69636447</v>
      </c>
      <c r="F29" s="66" t="n">
        <f aca="false">SUMIF(Monthly!$C$5:$BJ$5,F$26,Monthly!$C$26:$BJ$26)</f>
        <v>1711809.6051911</v>
      </c>
    </row>
    <row r="30" customFormat="false" ht="15" hidden="false" customHeight="false" outlineLevel="0" collapsed="false">
      <c r="A30" s="38" t="s">
        <v>160</v>
      </c>
      <c r="B30" s="73" t="n">
        <f aca="false">IF(B28=0,0,B29/B28)</f>
        <v>0.880170248332097</v>
      </c>
      <c r="C30" s="73" t="n">
        <f aca="false">IF(C28=0,0,C29/C28)</f>
        <v>0.880843319110441</v>
      </c>
      <c r="D30" s="73" t="n">
        <f aca="false">IF(D28=0,0,D29/D28)</f>
        <v>0.881555073030102</v>
      </c>
      <c r="E30" s="73" t="n">
        <f aca="false">IF(E28=0,0,E29/E28)</f>
        <v>0.882214810874232</v>
      </c>
      <c r="F30" s="73" t="n">
        <f aca="false">IF(F28=0,0,F29/F28)</f>
        <v>0.882821618430104</v>
      </c>
    </row>
    <row r="31" customFormat="false" ht="15" hidden="false" customHeight="false" outlineLevel="0" collapsed="false">
      <c r="A31" s="6" t="s">
        <v>161</v>
      </c>
      <c r="B31" s="66" t="n">
        <f aca="false">-SUMIF(Monthly!$C$5:$BJ$5,B$26,Monthly!$C$34:$BJ$34)</f>
        <v>901800</v>
      </c>
      <c r="C31" s="66" t="n">
        <f aca="false">-SUMIF(Monthly!$C$5:$BJ$5,C$26,Monthly!$C$34:$BJ$34)</f>
        <v>1341360</v>
      </c>
      <c r="D31" s="66" t="n">
        <f aca="false">-SUMIF(Monthly!$C$5:$BJ$5,D$26,Monthly!$C$34:$BJ$34)</f>
        <v>2019837.6</v>
      </c>
      <c r="E31" s="66" t="n">
        <f aca="false">-SUMIF(Monthly!$C$5:$BJ$5,E$26,Monthly!$C$34:$BJ$34)</f>
        <v>3069482.256</v>
      </c>
      <c r="F31" s="66" t="n">
        <f aca="false">-SUMIF(Monthly!$C$5:$BJ$5,F$26,Monthly!$C$34:$BJ$34)</f>
        <v>4696245.63936</v>
      </c>
    </row>
    <row r="32" customFormat="false" ht="15" hidden="false" customHeight="false" outlineLevel="0" collapsed="false">
      <c r="A32" s="4" t="s">
        <v>162</v>
      </c>
      <c r="B32" s="72" t="n">
        <f aca="false">IF(B30&gt;0,B31/B30,"n/a")</f>
        <v>1024574.50897584</v>
      </c>
      <c r="C32" s="72" t="n">
        <f aca="false">IF(C30&gt;0,C31/C30,"n/a")</f>
        <v>1522813.38905384</v>
      </c>
      <c r="D32" s="72" t="n">
        <f aca="false">IF(D30&gt;0,D31/D30,"n/a")</f>
        <v>2291221.11799251</v>
      </c>
      <c r="E32" s="72" t="n">
        <f aca="false">IF(E30&gt;0,E31/E30,"n/a")</f>
        <v>3479291.23175601</v>
      </c>
      <c r="F32" s="72" t="n">
        <f aca="false">IF(F30&gt;0,F31/F30,"n/a")</f>
        <v>5319586.13305279</v>
      </c>
    </row>
    <row r="33" customFormat="false" ht="15" hidden="false" customHeight="false" outlineLevel="0" collapsed="false">
      <c r="A33" s="38" t="s">
        <v>163</v>
      </c>
      <c r="B33" s="73" t="n">
        <f aca="false">IF(AND(ISNUMBER(B32),B28&gt;0),(B28-B32)/B28,"n/a")</f>
        <v>-3.54528219239712</v>
      </c>
      <c r="C33" s="73" t="n">
        <f aca="false">IF(AND(ISNUMBER(C32),C28&gt;0),(C28-C32)/C28,"n/a")</f>
        <v>-1.57613481066115</v>
      </c>
      <c r="D33" s="73" t="n">
        <f aca="false">IF(AND(ISNUMBER(D32),D28&gt;0),(D28-D32)/D28,"n/a")</f>
        <v>-1.3394403525543</v>
      </c>
      <c r="E33" s="73" t="n">
        <f aca="false">IF(AND(ISNUMBER(E32),E28&gt;0),(E28-E32)/E28,"n/a")</f>
        <v>-1.45299995749917</v>
      </c>
      <c r="F33" s="73" t="n">
        <f aca="false">IF(AND(ISNUMBER(F32),F28&gt;0),(F28-F32)/F28,"n/a")</f>
        <v>-1.74343923828825</v>
      </c>
    </row>
    <row r="35" customFormat="false" ht="15" hidden="false" customHeight="false" outlineLevel="0" collapsed="false">
      <c r="A35" s="38" t="s">
        <v>164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H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6"/>
  </cols>
  <sheetData>
    <row r="1" customFormat="false" ht="21.75" hidden="false" customHeight="true" outlineLevel="0" collapsed="false">
      <c r="A1" s="16" t="s">
        <v>165</v>
      </c>
      <c r="H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166</v>
      </c>
    </row>
    <row r="3" customFormat="false" ht="15" hidden="false" customHeight="false" outlineLevel="0" collapsed="false">
      <c r="A3" s="4" t="s">
        <v>134</v>
      </c>
      <c r="B3" s="5" t="str">
        <f aca="false">CHOOSE(Dashboard!$B$4,"Low","Base","High")</f>
        <v>Base</v>
      </c>
    </row>
    <row r="5" customFormat="false" ht="15.75" hidden="false" customHeight="true" outlineLevel="0" collapsed="false">
      <c r="A5" s="7" t="s">
        <v>167</v>
      </c>
      <c r="B5" s="7"/>
      <c r="C5" s="7"/>
      <c r="D5" s="7"/>
      <c r="E5" s="7"/>
      <c r="F5" s="7"/>
    </row>
    <row r="6" customFormat="false" ht="15" hidden="false" customHeight="false" outlineLevel="0" collapsed="false">
      <c r="A6" s="38" t="s">
        <v>168</v>
      </c>
      <c r="B6" s="74" t="n">
        <f aca="false">Inputs!$E$64</f>
        <v>0.2</v>
      </c>
    </row>
    <row r="7" customFormat="false" ht="15" hidden="false" customHeight="false" outlineLevel="0" collapsed="false">
      <c r="A7" s="38" t="s">
        <v>169</v>
      </c>
      <c r="B7" s="74" t="n">
        <f aca="false">Inputs!$E$65</f>
        <v>0.02</v>
      </c>
    </row>
    <row r="8" customFormat="false" ht="15" hidden="false" customHeight="false" outlineLevel="0" collapsed="false">
      <c r="A8" s="6" t="s">
        <v>170</v>
      </c>
      <c r="B8" s="75" t="n">
        <f aca="false">Inputs!$E$66</f>
        <v>4.5</v>
      </c>
    </row>
    <row r="9" customFormat="false" ht="15" hidden="false" customHeight="false" outlineLevel="0" collapsed="false">
      <c r="A9" s="38" t="s">
        <v>171</v>
      </c>
      <c r="B9" s="74" t="n">
        <f aca="false">Inputs!$E$58</f>
        <v>0.21</v>
      </c>
    </row>
    <row r="10" customFormat="false" ht="15" hidden="false" customHeight="false" outlineLevel="0" collapsed="false">
      <c r="A10" s="38" t="s">
        <v>172</v>
      </c>
      <c r="B10" s="74" t="n">
        <f aca="false">Inputs!$E$67</f>
        <v>0.01</v>
      </c>
    </row>
    <row r="11" customFormat="false" ht="15" hidden="false" customHeight="false" outlineLevel="0" collapsed="false">
      <c r="A11" s="38" t="s">
        <v>173</v>
      </c>
      <c r="B11" s="74" t="n">
        <f aca="false">Inputs!$E$68</f>
        <v>0.005</v>
      </c>
    </row>
    <row r="13" customFormat="false" ht="15.75" hidden="false" customHeight="true" outlineLevel="0" collapsed="false">
      <c r="A13" s="7" t="s">
        <v>174</v>
      </c>
      <c r="B13" s="7"/>
      <c r="C13" s="7"/>
      <c r="D13" s="7"/>
      <c r="E13" s="7"/>
      <c r="F13" s="7"/>
    </row>
    <row r="14" customFormat="false" ht="15" hidden="false" customHeight="false" outlineLevel="0" collapsed="false">
      <c r="A14" s="71" t="s">
        <v>154</v>
      </c>
      <c r="B14" s="71" t="n">
        <v>1</v>
      </c>
      <c r="C14" s="71" t="n">
        <v>2</v>
      </c>
      <c r="D14" s="71" t="n">
        <v>3</v>
      </c>
      <c r="E14" s="71" t="n">
        <v>4</v>
      </c>
      <c r="F14" s="71" t="n">
        <v>5</v>
      </c>
    </row>
    <row r="15" customFormat="false" ht="15" hidden="false" customHeight="false" outlineLevel="0" collapsed="false">
      <c r="A15" s="33"/>
      <c r="B15" s="51" t="s">
        <v>155</v>
      </c>
      <c r="C15" s="51" t="s">
        <v>156</v>
      </c>
      <c r="D15" s="51" t="s">
        <v>157</v>
      </c>
      <c r="E15" s="51" t="s">
        <v>158</v>
      </c>
      <c r="F15" s="51" t="s">
        <v>159</v>
      </c>
    </row>
    <row r="16" customFormat="false" ht="15" hidden="false" customHeight="false" outlineLevel="0" collapsed="false">
      <c r="A16" s="6" t="s">
        <v>48</v>
      </c>
      <c r="B16" s="66" t="n">
        <f aca="false">SUMIF(Monthly!$C$5:$BJ$5,B$14,Monthly!$C$35:$BJ$35)</f>
        <v>-703396.477000165</v>
      </c>
      <c r="C16" s="66" t="n">
        <f aca="false">SUMIF(Monthly!$C$5:$BJ$5,C$14,Monthly!$C$35:$BJ$35)</f>
        <v>-820672.963572839</v>
      </c>
      <c r="D16" s="66" t="n">
        <f aca="false">SUMIF(Monthly!$C$5:$BJ$5,D$14,Monthly!$C$35:$BJ$35)</f>
        <v>-1156452.64650262</v>
      </c>
      <c r="E16" s="66" t="n">
        <f aca="false">SUMIF(Monthly!$C$5:$BJ$5,E$14,Monthly!$C$35:$BJ$35)</f>
        <v>-1818164.55963553</v>
      </c>
      <c r="F16" s="66" t="n">
        <f aca="false">SUMIF(Monthly!$C$5:$BJ$5,F$14,Monthly!$C$35:$BJ$35)</f>
        <v>-2984436.0341689</v>
      </c>
    </row>
    <row r="17" customFormat="false" ht="15" hidden="false" customHeight="false" outlineLevel="0" collapsed="false">
      <c r="A17" s="4" t="s">
        <v>175</v>
      </c>
      <c r="B17" s="72" t="n">
        <f aca="false">SUMIF(Monthly!$C$5:$BJ$5,B$14,Monthly!$C$89:$BJ$89)</f>
        <v>-685196.514236771</v>
      </c>
      <c r="C17" s="72" t="n">
        <f aca="false">SUMIF(Monthly!$C$5:$BJ$5,C$14,Monthly!$C$89:$BJ$89)</f>
        <v>-785208.41697933</v>
      </c>
      <c r="D17" s="72" t="n">
        <f aca="false">SUMIF(Monthly!$C$5:$BJ$5,D$14,Monthly!$C$89:$BJ$89)</f>
        <v>-1117614.51512673</v>
      </c>
      <c r="E17" s="72" t="n">
        <f aca="false">SUMIF(Monthly!$C$5:$BJ$5,E$14,Monthly!$C$89:$BJ$89)</f>
        <v>-1773179.37985021</v>
      </c>
      <c r="F17" s="72" t="n">
        <f aca="false">SUMIF(Monthly!$C$5:$BJ$5,F$14,Monthly!$C$89:$BJ$89)</f>
        <v>-2930170.65655082</v>
      </c>
    </row>
    <row r="18" customFormat="false" ht="15" hidden="false" customHeight="false" outlineLevel="0" collapsed="false">
      <c r="A18" s="6" t="s">
        <v>176</v>
      </c>
      <c r="B18" s="76" t="n">
        <f aca="false">1/(1+Inputs!$E$64)^B$14</f>
        <v>0.833333333333333</v>
      </c>
      <c r="C18" s="76" t="n">
        <f aca="false">1/(1+Inputs!$E$64)^C$14</f>
        <v>0.694444444444444</v>
      </c>
      <c r="D18" s="76" t="n">
        <f aca="false">1/(1+Inputs!$E$64)^D$14</f>
        <v>0.578703703703704</v>
      </c>
      <c r="E18" s="76" t="n">
        <f aca="false">1/(1+Inputs!$E$64)^E$14</f>
        <v>0.482253086419753</v>
      </c>
      <c r="F18" s="76" t="n">
        <f aca="false">1/(1+Inputs!$E$64)^F$14</f>
        <v>0.401877572016461</v>
      </c>
    </row>
    <row r="19" customFormat="false" ht="15" hidden="false" customHeight="false" outlineLevel="0" collapsed="false">
      <c r="A19" s="6" t="s">
        <v>177</v>
      </c>
      <c r="B19" s="66" t="n">
        <f aca="false">B17*B18</f>
        <v>-570997.095197309</v>
      </c>
      <c r="C19" s="66" t="n">
        <f aca="false">C17*C18</f>
        <v>-545283.622902312</v>
      </c>
      <c r="D19" s="66" t="n">
        <f aca="false">D17*D18</f>
        <v>-646767.65921686</v>
      </c>
      <c r="E19" s="66" t="n">
        <f aca="false">E17*E18</f>
        <v>-855121.228708628</v>
      </c>
      <c r="F19" s="66" t="n">
        <f aca="false">F17*F18</f>
        <v>-1177569.86904852</v>
      </c>
    </row>
    <row r="21" customFormat="false" ht="15.75" hidden="false" customHeight="true" outlineLevel="0" collapsed="false">
      <c r="A21" s="7" t="s">
        <v>178</v>
      </c>
      <c r="B21" s="7"/>
      <c r="C21" s="7"/>
      <c r="D21" s="7"/>
      <c r="E21" s="7"/>
      <c r="F21" s="7"/>
    </row>
    <row r="22" customFormat="false" ht="15" hidden="false" customHeight="false" outlineLevel="0" collapsed="false">
      <c r="B22" s="51" t="s">
        <v>179</v>
      </c>
      <c r="C22" s="51" t="s">
        <v>180</v>
      </c>
    </row>
    <row r="23" customFormat="false" ht="15" hidden="false" customHeight="false" outlineLevel="0" collapsed="false">
      <c r="A23" s="6" t="s">
        <v>181</v>
      </c>
      <c r="B23" s="66" t="n">
        <f aca="false">SUM($B$19:$F$19)</f>
        <v>-3795739.47507363</v>
      </c>
      <c r="C23" s="66" t="n">
        <f aca="false">B23</f>
        <v>-3795739.47507363</v>
      </c>
    </row>
    <row r="24" customFormat="false" ht="15" hidden="false" customHeight="false" outlineLevel="0" collapsed="false">
      <c r="A24" s="6" t="s">
        <v>182</v>
      </c>
      <c r="B24" s="66" t="n">
        <f aca="false">$F$17</f>
        <v>-2930170.65655082</v>
      </c>
      <c r="C24" s="66" t="n">
        <f aca="false">$F$16</f>
        <v>-2984436.0341689</v>
      </c>
    </row>
    <row r="25" customFormat="false" ht="15" hidden="false" customHeight="false" outlineLevel="0" collapsed="false">
      <c r="A25" s="6" t="s">
        <v>183</v>
      </c>
      <c r="B25" s="66" t="n">
        <f aca="false">IF($B$6&gt;$B$7,B24*(1+$B$7)/($B$6-$B$7),0)</f>
        <v>-16604300.3871213</v>
      </c>
      <c r="C25" s="66" t="n">
        <f aca="false">C24*$B$8</f>
        <v>-13429962.15376</v>
      </c>
    </row>
    <row r="26" customFormat="false" ht="15" hidden="false" customHeight="false" outlineLevel="0" collapsed="false">
      <c r="A26" s="6" t="s">
        <v>184</v>
      </c>
      <c r="B26" s="66" t="n">
        <f aca="false">B25/(1+$B$6)^$F$14</f>
        <v>-6672895.92460829</v>
      </c>
      <c r="C26" s="66" t="n">
        <f aca="false">C25/(1+$B$6)^$F$14</f>
        <v>-5397200.58262604</v>
      </c>
    </row>
    <row r="27" customFormat="false" ht="15" hidden="false" customHeight="false" outlineLevel="0" collapsed="false">
      <c r="A27" s="4" t="s">
        <v>178</v>
      </c>
      <c r="B27" s="67" t="n">
        <f aca="false">B23+B26</f>
        <v>-10468635.3996819</v>
      </c>
      <c r="C27" s="67" t="n">
        <f aca="false">C23+C26</f>
        <v>-9192940.05769967</v>
      </c>
    </row>
    <row r="28" customFormat="false" ht="15" hidden="false" customHeight="false" outlineLevel="0" collapsed="false">
      <c r="A28" s="38" t="s">
        <v>185</v>
      </c>
      <c r="B28" s="73" t="n">
        <f aca="false">IF(B27&lt;&gt;0,B26/B27,0)</f>
        <v>0.637417931740276</v>
      </c>
      <c r="C28" s="73" t="n">
        <f aca="false">IF(C27&lt;&gt;0,C26/C27,0)</f>
        <v>0.587102771121144</v>
      </c>
    </row>
    <row r="29" customFormat="false" ht="15" hidden="false" customHeight="false" outlineLevel="0" collapsed="false">
      <c r="A29" s="6" t="s">
        <v>186</v>
      </c>
      <c r="B29" s="77" t="str">
        <f aca="false">IF(C24&gt;0,B25/C24,"n/a")</f>
        <v>n/a</v>
      </c>
      <c r="C29" s="73" t="n">
        <f aca="false">IF(C25+B24&lt;&gt;0,(C25*$B$6-B24)/(C25+B24),"n/a")</f>
        <v>-0.01492519826275</v>
      </c>
    </row>
    <row r="30" customFormat="false" ht="15" hidden="false" customHeight="false" outlineLevel="0" collapsed="false">
      <c r="A30" s="69" t="s">
        <v>187</v>
      </c>
      <c r="B30" s="70" t="n">
        <f aca="false">AVERAGE(B27,C27)</f>
        <v>-9830787.7286908</v>
      </c>
    </row>
    <row r="32" customFormat="false" ht="15.75" hidden="false" customHeight="true" outlineLevel="0" collapsed="false">
      <c r="A32" s="7" t="s">
        <v>188</v>
      </c>
      <c r="B32" s="7"/>
      <c r="C32" s="7"/>
      <c r="D32" s="7"/>
      <c r="E32" s="7"/>
      <c r="F32" s="7"/>
    </row>
    <row r="33" customFormat="false" ht="15" hidden="false" customHeight="false" outlineLevel="0" collapsed="false">
      <c r="A33" s="33" t="s">
        <v>189</v>
      </c>
      <c r="B33" s="78" t="n">
        <f aca="false">$B$7+(-2)*$B$11</f>
        <v>0.01</v>
      </c>
      <c r="C33" s="78" t="n">
        <f aca="false">$B$7+(-1)*$B$11</f>
        <v>0.015</v>
      </c>
      <c r="D33" s="78" t="n">
        <f aca="false">$B$7+(0)*$B$11</f>
        <v>0.02</v>
      </c>
      <c r="E33" s="78" t="n">
        <f aca="false">$B$7+(1)*$B$11</f>
        <v>0.025</v>
      </c>
      <c r="F33" s="78" t="n">
        <f aca="false">$B$7+(2)*$B$11</f>
        <v>0.03</v>
      </c>
    </row>
    <row r="34" customFormat="false" ht="15" hidden="false" customHeight="false" outlineLevel="0" collapsed="false">
      <c r="A34" s="73" t="n">
        <f aca="false">$B$6+(-2)*$B$10</f>
        <v>0.18</v>
      </c>
      <c r="B34" s="66" t="n">
        <f aca="false">IF($A34&gt;B$33,SUMPRODUCT($B$17:$F$17/(1+$A34)^$B$14:$F$14)+$F$17*(1+B$33)/($A34-B$33)/(1+$A34)^$F$14,"n/a")</f>
        <v>-11629691.1134322</v>
      </c>
      <c r="C34" s="66" t="n">
        <f aca="false">IF($A34&gt;C$33,SUMPRODUCT($B$17:$F$17/(1+$A34)^$B$14:$F$14)+$F$17*(1+C$33)/($A34-C$33)/(1+$A34)^$F$14,"n/a")</f>
        <v>-11899093.8633333</v>
      </c>
      <c r="D34" s="66" t="n">
        <f aca="false">IF($A34&gt;D$33,SUMPRODUCT($B$17:$F$17/(1+$A34)^$B$14:$F$14)+$F$17*(1+D$33)/($A34-D$33)/(1+$A34)^$F$14,"n/a")</f>
        <v>-12185334.2851033</v>
      </c>
      <c r="E34" s="66" t="n">
        <f aca="false">IF($A34&gt;E$33,SUMPRODUCT($B$17:$F$17/(1+$A34)^$B$14:$F$14)+$F$17*(1+E$33)/($A34-E$33)/(1+$A34)^$F$14,"n/a")</f>
        <v>-12490041.8308585</v>
      </c>
      <c r="F34" s="66" t="n">
        <f aca="false">IF($A34&gt;F$33,SUMPRODUCT($B$17:$F$17/(1+$A34)^$B$14:$F$14)+$F$17*(1+F$33)/($A34-F$33)/(1+$A34)^$F$14,"n/a")</f>
        <v>-12815063.2129973</v>
      </c>
    </row>
    <row r="35" customFormat="false" ht="15" hidden="false" customHeight="false" outlineLevel="0" collapsed="false">
      <c r="A35" s="73" t="n">
        <f aca="false">$B$6+(-1)*$B$10</f>
        <v>0.19</v>
      </c>
      <c r="B35" s="66" t="n">
        <f aca="false">IF($A35&gt;B$33,SUMPRODUCT($B$17:$F$17/(1+$A35)^$B$14:$F$14)+$F$17*(1+B$33)/($A35-B$33)/(1+$A35)^$F$14,"n/a")</f>
        <v>-10795413.1284337</v>
      </c>
      <c r="C35" s="66" t="n">
        <f aca="false">IF($A35&gt;C$33,SUMPRODUCT($B$17:$F$17/(1+$A35)^$B$14:$F$14)+$F$17*(1+C$33)/($A35-C$33)/(1+$A35)^$F$14,"n/a")</f>
        <v>-11027347.1828328</v>
      </c>
      <c r="D35" s="66" t="n">
        <f aca="false">IF($A35&gt;D$33,SUMPRODUCT($B$17:$F$17/(1+$A35)^$B$14:$F$14)+$F$17*(1+D$33)/($A35-D$33)/(1+$A35)^$F$14,"n/a")</f>
        <v>-11272924.4169025</v>
      </c>
      <c r="E35" s="66" t="n">
        <f aca="false">IF($A35&gt;E$33,SUMPRODUCT($B$17:$F$17/(1+$A35)^$B$14:$F$14)+$F$17*(1+E$33)/($A35-E$33)/(1+$A35)^$F$14,"n/a")</f>
        <v>-11533385.1197036</v>
      </c>
      <c r="F35" s="66" t="n">
        <f aca="false">IF($A35&gt;F$33,SUMPRODUCT($B$17:$F$17/(1+$A35)^$B$14:$F$14)+$F$17*(1+F$33)/($A35-F$33)/(1+$A35)^$F$14,"n/a")</f>
        <v>-11810124.6164298</v>
      </c>
    </row>
    <row r="36" customFormat="false" ht="15" hidden="false" customHeight="false" outlineLevel="0" collapsed="false">
      <c r="A36" s="73" t="n">
        <f aca="false">$B$6+(0)*$B$10</f>
        <v>0.2</v>
      </c>
      <c r="B36" s="66" t="n">
        <f aca="false">IF($A36&gt;B$33,SUMPRODUCT($B$17:$F$17/(1+$A36)^$B$14:$F$14)+$F$17*(1+B$33)/($A36-B$33)/(1+$A36)^$F$14,"n/a")</f>
        <v>-10055452.9894895</v>
      </c>
      <c r="C36" s="66" t="n">
        <f aca="false">IF($A36&gt;C$33,SUMPRODUCT($B$17:$F$17/(1+$A36)^$B$14:$F$14)+$F$17*(1+C$33)/($A36-C$33)/(1+$A36)^$F$14,"n/a")</f>
        <v>-10256460.648502</v>
      </c>
      <c r="D36" s="66" t="n">
        <f aca="false">IF($A36&gt;D$33,SUMPRODUCT($B$17:$F$17/(1+$A36)^$B$14:$F$14)+$F$17*(1+D$33)/($A36-D$33)/(1+$A36)^$F$14,"n/a")</f>
        <v>-10468635.3996819</v>
      </c>
      <c r="E36" s="66" t="n">
        <f aca="false">IF($A36&gt;E$33,SUMPRODUCT($B$17:$F$17/(1+$A36)^$B$14:$F$14)+$F$17*(1+E$33)/($A36-E$33)/(1+$A36)^$F$14,"n/a")</f>
        <v>-10692934.4223578</v>
      </c>
      <c r="F36" s="66" t="n">
        <f aca="false">IF($A36&gt;F$33,SUMPRODUCT($B$17:$F$17/(1+$A36)^$B$14:$F$14)+$F$17*(1+F$33)/($A36-F$33)/(1+$A36)^$F$14,"n/a")</f>
        <v>-10930427.5051911</v>
      </c>
    </row>
    <row r="37" customFormat="false" ht="15" hidden="false" customHeight="false" outlineLevel="0" collapsed="false">
      <c r="A37" s="73" t="n">
        <f aca="false">$B$6+(1)*$B$10</f>
        <v>0.21</v>
      </c>
      <c r="B37" s="66" t="n">
        <f aca="false">IF($A37&gt;B$33,SUMPRODUCT($B$17:$F$17/(1+$A37)^$B$14:$F$14)+$F$17*(1+B$33)/($A37-B$33)/(1+$A37)^$F$14,"n/a")</f>
        <v>-9395382.73255163</v>
      </c>
      <c r="C37" s="66" t="n">
        <f aca="false">IF($A37&gt;C$33,SUMPRODUCT($B$17:$F$17/(1+$A37)^$B$14:$F$14)+$F$17*(1+C$33)/($A37-C$33)/(1+$A37)^$F$14,"n/a")</f>
        <v>-9570632.25005867</v>
      </c>
      <c r="D37" s="66" t="n">
        <f aca="false">IF($A37&gt;D$33,SUMPRODUCT($B$17:$F$17/(1+$A37)^$B$14:$F$14)+$F$17*(1+D$33)/($A37-D$33)/(1+$A37)^$F$14,"n/a")</f>
        <v>-9755105.42638188</v>
      </c>
      <c r="E37" s="66" t="n">
        <f aca="false">IF($A37&gt;E$33,SUMPRODUCT($B$17:$F$17/(1+$A37)^$B$14:$F$14)+$F$17*(1+E$33)/($A37-E$33)/(1+$A37)^$F$14,"n/a")</f>
        <v>-9949550.12574958</v>
      </c>
      <c r="F37" s="66" t="n">
        <f aca="false">IF($A37&gt;F$33,SUMPRODUCT($B$17:$F$17/(1+$A37)^$B$14:$F$14)+$F$17*(1+F$33)/($A37-F$33)/(1+$A37)^$F$14,"n/a")</f>
        <v>-10154797.3084155</v>
      </c>
    </row>
    <row r="38" customFormat="false" ht="15" hidden="false" customHeight="false" outlineLevel="0" collapsed="false">
      <c r="A38" s="73" t="n">
        <f aca="false">$B$6+(2)*$B$10</f>
        <v>0.22</v>
      </c>
      <c r="B38" s="66" t="n">
        <f aca="false">IF($A38&gt;B$33,SUMPRODUCT($B$17:$F$17/(1+$A38)^$B$14:$F$14)+$F$17*(1+B$33)/($A38-B$33)/(1+$A38)^$F$14,"n/a")</f>
        <v>-8803536.93337571</v>
      </c>
      <c r="C38" s="66" t="n">
        <f aca="false">IF($A38&gt;C$33,SUMPRODUCT($B$17:$F$17/(1+$A38)^$B$14:$F$14)+$F$17*(1+C$33)/($A38-C$33)/(1+$A38)^$F$14,"n/a")</f>
        <v>-8957157.88134933</v>
      </c>
      <c r="D38" s="66" t="n">
        <f aca="false">IF($A38&gt;D$33,SUMPRODUCT($B$17:$F$17/(1+$A38)^$B$14:$F$14)+$F$17*(1+D$33)/($A38-D$33)/(1+$A38)^$F$14,"n/a")</f>
        <v>-9118459.87672163</v>
      </c>
      <c r="E38" s="66" t="n">
        <f aca="false">IF($A38&gt;E$33,SUMPRODUCT($B$17:$F$17/(1+$A38)^$B$14:$F$14)+$F$17*(1+E$33)/($A38-E$33)/(1+$A38)^$F$14,"n/a")</f>
        <v>-9288033.76929251</v>
      </c>
      <c r="F38" s="66" t="n">
        <f aca="false">IF($A38&gt;F$33,SUMPRODUCT($B$17:$F$17/(1+$A38)^$B$14:$F$14)+$F$17*(1+F$33)/($A38-F$33)/(1+$A38)^$F$14,"n/a")</f>
        <v>-9466532.60357765</v>
      </c>
    </row>
    <row r="40" customFormat="false" ht="15" hidden="false" customHeight="false" outlineLevel="0" collapsed="false">
      <c r="A40" s="38" t="s">
        <v>190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E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6"/>
    <col collapsed="false" customWidth="true" hidden="false" outlineLevel="0" max="5" min="5" style="0" width="2"/>
  </cols>
  <sheetData>
    <row r="1" customFormat="false" ht="21.75" hidden="false" customHeight="true" outlineLevel="0" collapsed="false">
      <c r="A1" s="16" t="s">
        <v>191</v>
      </c>
      <c r="E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192</v>
      </c>
    </row>
    <row r="3" customFormat="false" ht="15" hidden="false" customHeight="false" outlineLevel="0" collapsed="false">
      <c r="A3" s="4" t="s">
        <v>134</v>
      </c>
      <c r="B3" s="5" t="str">
        <f aca="false">CHOOSE(Dashboard!$B$4,"Low","Base","High")</f>
        <v>Base</v>
      </c>
    </row>
    <row r="5" customFormat="false" ht="15.75" hidden="false" customHeight="true" outlineLevel="0" collapsed="false">
      <c r="A5" s="7" t="s">
        <v>193</v>
      </c>
      <c r="B5" s="7"/>
      <c r="C5" s="7"/>
    </row>
    <row r="6" customFormat="false" ht="15" hidden="false" customHeight="false" outlineLevel="0" collapsed="false">
      <c r="B6" s="51" t="s">
        <v>194</v>
      </c>
      <c r="C6" s="51" t="s">
        <v>195</v>
      </c>
    </row>
    <row r="7" customFormat="false" ht="15" hidden="false" customHeight="false" outlineLevel="0" collapsed="false">
      <c r="A7" s="6" t="s">
        <v>196</v>
      </c>
      <c r="B7" s="79" t="n">
        <f aca="false">Inputs!$E$46</f>
        <v>3000000</v>
      </c>
      <c r="C7" s="73" t="n">
        <f aca="false">IF($B$9=0,0,B7/$B$9)</f>
        <v>1</v>
      </c>
    </row>
    <row r="8" customFormat="false" ht="15" hidden="false" customHeight="false" outlineLevel="0" collapsed="false">
      <c r="A8" s="6" t="s">
        <v>197</v>
      </c>
      <c r="B8" s="79" t="n">
        <f aca="false">Inputs!$E$47</f>
        <v>0</v>
      </c>
      <c r="C8" s="73" t="n">
        <f aca="false">IF($B$9=0,0,B8/$B$9)</f>
        <v>0</v>
      </c>
    </row>
    <row r="9" customFormat="false" ht="15" hidden="false" customHeight="false" outlineLevel="0" collapsed="false">
      <c r="A9" s="4" t="s">
        <v>198</v>
      </c>
      <c r="B9" s="80" t="n">
        <f aca="false">B7+B8</f>
        <v>3000000</v>
      </c>
      <c r="C9" s="81" t="n">
        <f aca="false">IF(B9=0,0,1)</f>
        <v>1</v>
      </c>
    </row>
    <row r="10" customFormat="false" ht="15" hidden="false" customHeight="false" outlineLevel="0" collapsed="false">
      <c r="A10" s="6" t="s">
        <v>199</v>
      </c>
      <c r="B10" s="77" t="n">
        <f aca="false">IF(B7&lt;=0,IF(B8&gt;0,"n/a",0),B8/B7)</f>
        <v>0</v>
      </c>
      <c r="D10" s="18" t="s">
        <v>200</v>
      </c>
    </row>
    <row r="11" customFormat="false" ht="15" hidden="false" customHeight="false" outlineLevel="0" collapsed="false">
      <c r="A11" s="6" t="s">
        <v>201</v>
      </c>
      <c r="B11" s="79" t="n">
        <f aca="false">'Break-even'!B12</f>
        <v>7516369.48274386</v>
      </c>
    </row>
    <row r="12" customFormat="false" ht="15" hidden="false" customHeight="false" outlineLevel="0" collapsed="false">
      <c r="A12" s="69" t="s">
        <v>66</v>
      </c>
      <c r="B12" s="82" t="n">
        <f aca="false">'Break-even'!B17</f>
        <v>-4516369.48274386</v>
      </c>
    </row>
    <row r="14" customFormat="false" ht="15.75" hidden="false" customHeight="true" outlineLevel="0" collapsed="false">
      <c r="A14" s="7" t="str">
        <f aca="false">"Sources and uses of cash in the first "&amp;$B$16&amp;IF($B$16=1," month"," months")&amp;" ($'000)"</f>
        <v>Sources and uses of cash in the first 12 months ($'000)</v>
      </c>
      <c r="B14" s="7"/>
      <c r="C14" s="7"/>
    </row>
    <row r="15" customFormat="false" ht="15" hidden="false" customHeight="false" outlineLevel="0" collapsed="false">
      <c r="A15" s="6" t="s">
        <v>202</v>
      </c>
      <c r="B15" s="83" t="n">
        <v>12</v>
      </c>
      <c r="D15" s="18" t="s">
        <v>203</v>
      </c>
    </row>
    <row r="16" customFormat="false" ht="15" hidden="false" customHeight="false" outlineLevel="0" collapsed="false">
      <c r="A16" s="6" t="s">
        <v>204</v>
      </c>
      <c r="B16" s="64" t="n">
        <f aca="false">MIN(60,MAX(1,ROUND(B15,0)))</f>
        <v>12</v>
      </c>
    </row>
    <row r="17" customFormat="false" ht="15" hidden="false" customHeight="false" outlineLevel="0" collapsed="false">
      <c r="A17" s="33" t="s">
        <v>205</v>
      </c>
      <c r="B17" s="51" t="s">
        <v>194</v>
      </c>
      <c r="C17" s="51" t="s">
        <v>195</v>
      </c>
    </row>
    <row r="18" customFormat="false" ht="15" hidden="false" customHeight="false" outlineLevel="0" collapsed="false">
      <c r="A18" s="6" t="s">
        <v>63</v>
      </c>
      <c r="B18" s="60" t="n">
        <f aca="false">SUMPRODUCT(--(Monthly!$C$4:$BJ$4&lt;=$B$16),Monthly!$C$72:$BJ$72)</f>
        <v>3000000</v>
      </c>
      <c r="C18" s="73" t="n">
        <f aca="false">IF($B$21=0,0,B18/$B$21)</f>
        <v>1</v>
      </c>
    </row>
    <row r="19" customFormat="false" ht="15" hidden="false" customHeight="false" outlineLevel="0" collapsed="false">
      <c r="A19" s="6" t="s">
        <v>206</v>
      </c>
      <c r="B19" s="60" t="n">
        <f aca="false">SUMPRODUCT(--(Monthly!$C$4:$BJ$4&lt;=$B$16),Monthly!$C$55:$BJ$55)</f>
        <v>0</v>
      </c>
      <c r="C19" s="73" t="n">
        <f aca="false">IF($B$21=0,0,B19/$B$21)</f>
        <v>0</v>
      </c>
    </row>
    <row r="20" customFormat="false" ht="15" hidden="false" customHeight="false" outlineLevel="0" collapsed="false">
      <c r="A20" s="6" t="s">
        <v>207</v>
      </c>
      <c r="B20" s="60" t="n">
        <f aca="false">MAX(0,SUMPRODUCT(--(Monthly!$C$4:$BJ$4&lt;=$B$16),Monthly!$C$70:$BJ$70))</f>
        <v>0</v>
      </c>
      <c r="C20" s="73" t="n">
        <f aca="false">IF($B$21=0,0,B20/$B$21)</f>
        <v>0</v>
      </c>
    </row>
    <row r="21" customFormat="false" ht="15" hidden="false" customHeight="false" outlineLevel="0" collapsed="false">
      <c r="A21" s="4" t="s">
        <v>208</v>
      </c>
      <c r="B21" s="80" t="n">
        <f aca="false">SUM(B18:B20)</f>
        <v>3000000</v>
      </c>
      <c r="C21" s="81" t="n">
        <f aca="false">IF(B21=0,0,1)</f>
        <v>1</v>
      </c>
    </row>
    <row r="23" customFormat="false" ht="15" hidden="false" customHeight="false" outlineLevel="0" collapsed="false">
      <c r="A23" s="33" t="s">
        <v>209</v>
      </c>
      <c r="B23" s="51" t="s">
        <v>194</v>
      </c>
      <c r="C23" s="51" t="s">
        <v>195</v>
      </c>
    </row>
    <row r="24" customFormat="false" ht="15" hidden="false" customHeight="false" outlineLevel="0" collapsed="false">
      <c r="A24" s="6" t="s">
        <v>210</v>
      </c>
      <c r="B24" s="60" t="n">
        <f aca="false">MAX(0,-SUMPRODUCT(--(Monthly!$C$4:$BJ$4&lt;=$B$16),Monthly!$C$70:$BJ$70))</f>
        <v>665196.514236771</v>
      </c>
      <c r="C24" s="73" t="n">
        <f aca="false">IF($B$28=0,0,B24/$B$28)</f>
        <v>0.221732171412257</v>
      </c>
    </row>
    <row r="25" customFormat="false" ht="15" hidden="false" customHeight="false" outlineLevel="0" collapsed="false">
      <c r="A25" s="6" t="s">
        <v>83</v>
      </c>
      <c r="B25" s="60" t="n">
        <f aca="false">-SUMPRODUCT(--(Monthly!$C$4:$BJ$4&lt;=$B$16),Monthly!$C$71:$BJ$71)</f>
        <v>20000</v>
      </c>
      <c r="C25" s="73" t="n">
        <f aca="false">IF($B$28=0,0,B25/$B$28)</f>
        <v>0.00666666666666667</v>
      </c>
    </row>
    <row r="26" customFormat="false" ht="15" hidden="false" customHeight="false" outlineLevel="0" collapsed="false">
      <c r="A26" s="6" t="s">
        <v>211</v>
      </c>
      <c r="B26" s="60" t="n">
        <f aca="false">-SUMPRODUCT(--(Monthly!$C$4:$BJ$4&lt;=$B$16),Monthly!$C$56:$BJ$56)</f>
        <v>-0</v>
      </c>
      <c r="C26" s="73" t="n">
        <f aca="false">IF($B$28=0,0,B26/$B$28)</f>
        <v>-0</v>
      </c>
    </row>
    <row r="27" customFormat="false" ht="15" hidden="false" customHeight="false" outlineLevel="0" collapsed="false">
      <c r="A27" s="6" t="s">
        <v>212</v>
      </c>
      <c r="B27" s="60" t="n">
        <f aca="false">INDEX(Monthly!$C$76:$BJ$76,$B$16)</f>
        <v>2314803.48576323</v>
      </c>
      <c r="C27" s="73" t="n">
        <f aca="false">IF($B$28=0,0,B27/$B$28)</f>
        <v>0.771601161921077</v>
      </c>
    </row>
    <row r="28" customFormat="false" ht="15" hidden="false" customHeight="false" outlineLevel="0" collapsed="false">
      <c r="A28" s="4" t="s">
        <v>213</v>
      </c>
      <c r="B28" s="80" t="n">
        <f aca="false">SUM(B24:B27)</f>
        <v>3000000</v>
      </c>
      <c r="C28" s="81" t="n">
        <f aca="false">IF(B28=0,0,1)</f>
        <v>1</v>
      </c>
    </row>
    <row r="29" customFormat="false" ht="15" hidden="false" customHeight="false" outlineLevel="0" collapsed="false">
      <c r="A29" s="6" t="s">
        <v>214</v>
      </c>
      <c r="B29" s="60" t="n">
        <f aca="false">B21-B28</f>
        <v>0</v>
      </c>
    </row>
  </sheetData>
  <dataValidations count="1">
    <dataValidation allowBlank="false" errorStyle="stop" operator="between" prompt="A whole number from 1 to 60" promptTitle="Period" showDropDown="false" showErrorMessage="false" showInputMessage="true" sqref="B15" type="whole">
      <formula1>1</formula1>
      <formula2>60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true"/>
  </sheetPr>
  <dimension ref="A1:I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7" min="2" style="0" width="11.5"/>
    <col collapsed="false" customWidth="true" hidden="false" outlineLevel="0" max="8" min="8" style="0" width="2"/>
    <col collapsed="false" customWidth="true" hidden="false" outlineLevel="0" max="24" min="9" style="0" width="9"/>
  </cols>
  <sheetData>
    <row r="1" customFormat="false" ht="21.75" hidden="false" customHeight="true" outlineLevel="0" collapsed="false">
      <c r="A1" s="16" t="s">
        <v>215</v>
      </c>
      <c r="I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216</v>
      </c>
    </row>
    <row r="4" customFormat="false" ht="15.75" hidden="false" customHeight="true" outlineLevel="0" collapsed="false">
      <c r="A4" s="7" t="s">
        <v>217</v>
      </c>
      <c r="B4" s="7"/>
      <c r="C4" s="7"/>
      <c r="D4" s="7"/>
      <c r="E4" s="7"/>
      <c r="F4" s="7"/>
      <c r="G4" s="7"/>
    </row>
    <row r="5" customFormat="false" ht="15" hidden="false" customHeight="false" outlineLevel="0" collapsed="false">
      <c r="A5" s="33"/>
      <c r="B5" s="34" t="n">
        <v>1</v>
      </c>
      <c r="C5" s="34" t="n">
        <v>2</v>
      </c>
      <c r="D5" s="34" t="n">
        <v>3</v>
      </c>
      <c r="E5" s="34" t="n">
        <v>4</v>
      </c>
      <c r="F5" s="34" t="n">
        <v>5</v>
      </c>
      <c r="G5" s="51" t="s">
        <v>218</v>
      </c>
    </row>
    <row r="6" customFormat="false" ht="15" hidden="false" customHeight="false" outlineLevel="0" collapsed="false">
      <c r="A6" s="38" t="s">
        <v>219</v>
      </c>
      <c r="B6" s="39" t="str">
        <f aca="false">IF(N('P&amp;L'!A5)&lt;=0,"n/a",'P&amp;L'!B5/'P&amp;L'!A5-1)</f>
        <v>n/a</v>
      </c>
      <c r="C6" s="39" t="n">
        <f aca="false">IF(N('P&amp;L'!B5)&lt;=0,"n/a",'P&amp;L'!C5/'P&amp;L'!B5-1)</f>
        <v>1.62237867917017</v>
      </c>
      <c r="D6" s="39" t="n">
        <f aca="false">IF(N('P&amp;L'!C5)&lt;=0,"n/a",'P&amp;L'!D5/'P&amp;L'!C5-1)</f>
        <v>0.656826096095145</v>
      </c>
      <c r="E6" s="39" t="n">
        <f aca="false">IF(N('P&amp;L'!D5)&lt;=0,"n/a",'P&amp;L'!E5/'P&amp;L'!D5-1)</f>
        <v>0.448232252543246</v>
      </c>
      <c r="F6" s="39" t="n">
        <f aca="false">IF(N('P&amp;L'!E5)&lt;=0,"n/a",'P&amp;L'!F5/'P&amp;L'!E5-1)</f>
        <v>0.367065292533782</v>
      </c>
      <c r="G6" s="84"/>
    </row>
    <row r="7" customFormat="false" ht="15" hidden="false" customHeight="false" outlineLevel="0" collapsed="false">
      <c r="A7" s="38" t="s">
        <v>46</v>
      </c>
      <c r="B7" s="39" t="n">
        <f aca="false">IF('P&amp;L'!B5&lt;=0,"n/a",'P&amp;L'!B7/'P&amp;L'!B5)</f>
        <v>0.880170248332097</v>
      </c>
      <c r="C7" s="39" t="n">
        <f aca="false">IF('P&amp;L'!C5&lt;=0,"n/a",'P&amp;L'!C7/'P&amp;L'!C5)</f>
        <v>0.880843319110441</v>
      </c>
      <c r="D7" s="39" t="n">
        <f aca="false">IF('P&amp;L'!D5&lt;=0,"n/a",'P&amp;L'!D7/'P&amp;L'!D5)</f>
        <v>0.881555073030102</v>
      </c>
      <c r="E7" s="39" t="n">
        <f aca="false">IF('P&amp;L'!E5&lt;=0,"n/a",'P&amp;L'!E7/'P&amp;L'!E5)</f>
        <v>0.882214810874232</v>
      </c>
      <c r="F7" s="39" t="n">
        <f aca="false">IF('P&amp;L'!F5&lt;=0,"n/a",'P&amp;L'!F7/'P&amp;L'!F5)</f>
        <v>0.882821618430104</v>
      </c>
      <c r="G7" s="84"/>
    </row>
    <row r="8" customFormat="false" ht="15" hidden="false" customHeight="false" outlineLevel="0" collapsed="false">
      <c r="A8" s="38" t="s">
        <v>49</v>
      </c>
      <c r="B8" s="39" t="n">
        <f aca="false">IF('P&amp;L'!B5&lt;=0,"n/a",'P&amp;L'!B15/'P&amp;L'!B5)</f>
        <v>-3.12045190768953</v>
      </c>
      <c r="C8" s="39" t="n">
        <f aca="false">IF('P&amp;L'!C5&lt;=0,"n/a",'P&amp;L'!C15/'P&amp;L'!C5)</f>
        <v>-1.38832781798827</v>
      </c>
      <c r="D8" s="39" t="n">
        <f aca="false">IF('P&amp;L'!D5&lt;=0,"n/a",'P&amp;L'!D15/'P&amp;L'!D5)</f>
        <v>-1.18079043781547</v>
      </c>
      <c r="E8" s="39" t="n">
        <f aca="false">IF('P&amp;L'!E5&lt;=0,"n/a",'P&amp;L'!E15/'P&amp;L'!E5)</f>
        <v>-1.2818580827054</v>
      </c>
      <c r="F8" s="39" t="n">
        <f aca="false">IF('P&amp;L'!F5&lt;=0,"n/a",'P&amp;L'!F15/'P&amp;L'!F5)</f>
        <v>-1.53914584998018</v>
      </c>
      <c r="G8" s="84"/>
    </row>
    <row r="9" customFormat="false" ht="15" hidden="false" customHeight="false" outlineLevel="0" collapsed="false">
      <c r="A9" s="38" t="s">
        <v>51</v>
      </c>
      <c r="B9" s="39" t="n">
        <f aca="false">IF('P&amp;L'!B5&lt;=0,"n/a",'P&amp;L'!B22/'P&amp;L'!B5)</f>
        <v>-3.15002699570625</v>
      </c>
      <c r="C9" s="39" t="n">
        <f aca="false">IF('P&amp;L'!C5&lt;=0,"n/a",'P&amp;L'!C22/'P&amp;L'!C5)</f>
        <v>-1.39960578034041</v>
      </c>
      <c r="D9" s="39" t="n">
        <f aca="false">IF('P&amp;L'!D5&lt;=0,"n/a",'P&amp;L'!D22/'P&amp;L'!D5)</f>
        <v>-1.18759740589662</v>
      </c>
      <c r="E9" s="39" t="n">
        <f aca="false">IF('P&amp;L'!E5&lt;=0,"n/a",'P&amp;L'!E22/'P&amp;L'!E5)</f>
        <v>-1.2818580827054</v>
      </c>
      <c r="F9" s="39" t="n">
        <f aca="false">IF('P&amp;L'!F5&lt;=0,"n/a",'P&amp;L'!F22/'P&amp;L'!F5)</f>
        <v>-1.53914584998018</v>
      </c>
      <c r="G9" s="84"/>
    </row>
    <row r="10" customFormat="false" ht="15" hidden="false" customHeight="false" outlineLevel="0" collapsed="false">
      <c r="A10" s="38" t="s">
        <v>220</v>
      </c>
      <c r="B10" s="39" t="n">
        <f aca="false">IF('P&amp;L'!B5&lt;=0,"n/a",-SUMIF(Headcount!$C$5:$BJ$5,B$5,Headcount!$C$19:$BJ$19)/'P&amp;L'!B5)</f>
        <v>3.28727103305836</v>
      </c>
      <c r="C10" s="39" t="n">
        <f aca="false">IF('P&amp;L'!C5&lt;=0,"n/a",-SUMIF(Headcount!$C$5:$BJ$5,C$5,Headcount!$C$19:$BJ$19)/'P&amp;L'!C5)</f>
        <v>1.95553100408588</v>
      </c>
      <c r="D10" s="39" t="n">
        <f aca="false">IF('P&amp;L'!D5&lt;=0,"n/a",-SUMIF(Headcount!$C$5:$BJ$5,D$5,Headcount!$C$19:$BJ$19)/'P&amp;L'!D5)</f>
        <v>1.84124838060179</v>
      </c>
      <c r="E10" s="39" t="n">
        <f aca="false">IF('P&amp;L'!E5&lt;=0,"n/a",-SUMIF(Headcount!$C$5:$BJ$5,E$5,Headcount!$C$19:$BJ$19)/'P&amp;L'!E5)</f>
        <v>1.98334726263322</v>
      </c>
      <c r="F10" s="39" t="n">
        <f aca="false">IF('P&amp;L'!F5&lt;=0,"n/a",-SUMIF(Headcount!$C$5:$BJ$5,F$5,Headcount!$C$19:$BJ$19)/'P&amp;L'!F5)</f>
        <v>2.26325819739979</v>
      </c>
      <c r="G10" s="84"/>
    </row>
    <row r="11" customFormat="false" ht="15" hidden="false" customHeight="false" outlineLevel="0" collapsed="false">
      <c r="A11" s="38" t="s">
        <v>221</v>
      </c>
      <c r="B11" s="39" t="n">
        <f aca="false">IF('P&amp;L'!B5&lt;=0,"n/a",-'P&amp;L'!B10/'P&amp;L'!B5)</f>
        <v>0.425881267440759</v>
      </c>
      <c r="C11" s="39" t="n">
        <f aca="false">IF('P&amp;L'!C5&lt;=0,"n/a",-'P&amp;L'!C10/'P&amp;L'!C5)</f>
        <v>0.194883189444871</v>
      </c>
      <c r="D11" s="39" t="n">
        <f aca="false">IF('P&amp;L'!D5&lt;=0,"n/a",-'P&amp;L'!D10/'P&amp;L'!D5)</f>
        <v>0.141149290130698</v>
      </c>
      <c r="E11" s="39" t="n">
        <f aca="false">IF('P&amp;L'!E5&lt;=0,"n/a",-'P&amp;L'!E10/'P&amp;L'!E5)</f>
        <v>0.116955790660918</v>
      </c>
      <c r="F11" s="39" t="n">
        <f aca="false">IF('P&amp;L'!F5&lt;=0,"n/a",-'P&amp;L'!F10/'P&amp;L'!F5)</f>
        <v>0.102662944893419</v>
      </c>
      <c r="G11" s="84"/>
    </row>
    <row r="12" customFormat="false" ht="15" hidden="false" customHeight="false" outlineLevel="0" collapsed="false">
      <c r="A12" s="38" t="s">
        <v>222</v>
      </c>
      <c r="B12" s="39" t="n">
        <f aca="false">IF('P&amp;L'!B5&lt;=0,"n/a",-'P&amp;L'!B14/'P&amp;L'!B5)</f>
        <v>4.00062215602163</v>
      </c>
      <c r="C12" s="39" t="n">
        <f aca="false">IF('P&amp;L'!C5&lt;=0,"n/a",-'P&amp;L'!C14/'P&amp;L'!C5)</f>
        <v>2.26917113709871</v>
      </c>
      <c r="D12" s="39" t="n">
        <f aca="false">IF('P&amp;L'!D5&lt;=0,"n/a",-'P&amp;L'!D14/'P&amp;L'!D5)</f>
        <v>2.06234551084558</v>
      </c>
      <c r="E12" s="39" t="n">
        <f aca="false">IF('P&amp;L'!E5&lt;=0,"n/a",-'P&amp;L'!E14/'P&amp;L'!E5)</f>
        <v>2.16407289357963</v>
      </c>
      <c r="F12" s="39" t="n">
        <f aca="false">IF('P&amp;L'!F5&lt;=0,"n/a",-'P&amp;L'!F14/'P&amp;L'!F5)</f>
        <v>2.42196746841029</v>
      </c>
      <c r="G12" s="84"/>
    </row>
    <row r="13" customFormat="false" ht="15" hidden="false" customHeight="false" outlineLevel="0" collapsed="false">
      <c r="A13" s="6" t="s">
        <v>223</v>
      </c>
      <c r="B13" s="43" t="n">
        <f aca="false">IF(('Balance Sheet'!B13-'Balance Sheet'!B12)&lt;=0,"n/a",('Balance Sheet'!B5+'Balance Sheet'!B6+'Balance Sheet'!B7)/('Balance Sheet'!B13-'Balance Sheet'!B12))</f>
        <v>53.295786978209</v>
      </c>
      <c r="C13" s="43" t="n">
        <f aca="false">IF(('Balance Sheet'!C13-'Balance Sheet'!C12)&lt;=0,"n/a",('Balance Sheet'!C5+'Balance Sheet'!C6+'Balance Sheet'!C7)/('Balance Sheet'!C13-'Balance Sheet'!C12))</f>
        <v>18.3063444259651</v>
      </c>
      <c r="D13" s="43" t="n">
        <f aca="false">IF(('Balance Sheet'!D13-'Balance Sheet'!D12)&lt;=0,"n/a",('Balance Sheet'!D5+'Balance Sheet'!D6+'Balance Sheet'!D7)/('Balance Sheet'!D13-'Balance Sheet'!D12))</f>
        <v>3.32922046560621</v>
      </c>
      <c r="E13" s="43" t="n">
        <f aca="false">IF(('Balance Sheet'!E13-'Balance Sheet'!E12)&lt;=0,"n/a",('Balance Sheet'!E5+'Balance Sheet'!E6+'Balance Sheet'!E7)/('Balance Sheet'!E13-'Balance Sheet'!E12))</f>
        <v>-7.43483065179725</v>
      </c>
      <c r="F13" s="43" t="n">
        <f aca="false">IF(('Balance Sheet'!F13-'Balance Sheet'!F12)&lt;=0,"n/a",('Balance Sheet'!F5+'Balance Sheet'!F6+'Balance Sheet'!F7)/('Balance Sheet'!F13-'Balance Sheet'!F12))</f>
        <v>-17.5973236807664</v>
      </c>
      <c r="G13" s="85"/>
    </row>
    <row r="14" customFormat="false" ht="15" hidden="false" customHeight="false" outlineLevel="0" collapsed="false">
      <c r="A14" s="6" t="s">
        <v>224</v>
      </c>
      <c r="B14" s="43" t="n">
        <f aca="false">IF('Balance Sheet'!B16&lt;=0,"n/a",'Balance Sheet'!B12/'Balance Sheet'!B16)</f>
        <v>0</v>
      </c>
      <c r="C14" s="43" t="n">
        <f aca="false">IF('Balance Sheet'!C16&lt;=0,"n/a",'Balance Sheet'!C12/'Balance Sheet'!C16)</f>
        <v>0</v>
      </c>
      <c r="D14" s="43" t="n">
        <f aca="false">IF('Balance Sheet'!D16&lt;=0,"n/a",'Balance Sheet'!D12/'Balance Sheet'!D16)</f>
        <v>0</v>
      </c>
      <c r="E14" s="43" t="str">
        <f aca="false">IF('Balance Sheet'!E16&lt;=0,"n/a",'Balance Sheet'!E12/'Balance Sheet'!E16)</f>
        <v>n/a</v>
      </c>
      <c r="F14" s="43" t="str">
        <f aca="false">IF('Balance Sheet'!F16&lt;=0,"n/a",'Balance Sheet'!F12/'Balance Sheet'!F16)</f>
        <v>n/a</v>
      </c>
      <c r="G14" s="85"/>
    </row>
    <row r="15" customFormat="false" ht="15" hidden="false" customHeight="false" outlineLevel="0" collapsed="false">
      <c r="A15" s="38" t="s">
        <v>225</v>
      </c>
      <c r="B15" s="39" t="n">
        <f aca="false">IF('Balance Sheet'!B9&lt;=0,"n/a",'P&amp;L'!B22/'Balance Sheet'!B9)</f>
        <v>-0.304294944101366</v>
      </c>
      <c r="C15" s="39" t="n">
        <f aca="false">IF('Balance Sheet'!C9&lt;=0,"n/a",'P&amp;L'!C22/'Balance Sheet'!C9)</f>
        <v>-0.53489796363007</v>
      </c>
      <c r="D15" s="39" t="n">
        <f aca="false">IF('Balance Sheet'!D9&lt;=0,"n/a",'P&amp;L'!D22/'Balance Sheet'!D9)</f>
        <v>-2.71723694533087</v>
      </c>
      <c r="E15" s="39" t="str">
        <f aca="false">IF('Balance Sheet'!E9&lt;=0,"n/a",'P&amp;L'!E22/'Balance Sheet'!E9)</f>
        <v>n/a</v>
      </c>
      <c r="F15" s="39" t="str">
        <f aca="false">IF('Balance Sheet'!F9&lt;=0,"n/a",'P&amp;L'!F22/'Balance Sheet'!F9)</f>
        <v>n/a</v>
      </c>
      <c r="G15" s="84"/>
    </row>
    <row r="16" customFormat="false" ht="15" hidden="false" customHeight="false" outlineLevel="0" collapsed="false">
      <c r="A16" s="38" t="s">
        <v>226</v>
      </c>
      <c r="B16" s="39" t="n">
        <f aca="false">IF('Balance Sheet'!B16&lt;=0,"n/a",'P&amp;L'!B22/'Balance Sheet'!B16)</f>
        <v>-0.310079791808689</v>
      </c>
      <c r="C16" s="39" t="n">
        <f aca="false">IF('Balance Sheet'!C16&lt;=0,"n/a",'P&amp;L'!C22/'Balance Sheet'!C16)</f>
        <v>-0.565664706235758</v>
      </c>
      <c r="D16" s="39" t="n">
        <f aca="false">IF('Balance Sheet'!D16&lt;=0,"n/a",'P&amp;L'!D22/'Balance Sheet'!D16)</f>
        <v>-3.88382335716016</v>
      </c>
      <c r="E16" s="39" t="str">
        <f aca="false">IF('Balance Sheet'!E16&lt;=0,"n/a",'P&amp;L'!E22/'Balance Sheet'!E16)</f>
        <v>n/a</v>
      </c>
      <c r="F16" s="39" t="str">
        <f aca="false">IF('Balance Sheet'!F16&lt;=0,"n/a",'P&amp;L'!F22/'Balance Sheet'!F16)</f>
        <v>n/a</v>
      </c>
      <c r="G16" s="84"/>
    </row>
    <row r="18" customFormat="false" ht="15.75" hidden="false" customHeight="true" outlineLevel="0" collapsed="false">
      <c r="A18" s="7" t="s">
        <v>227</v>
      </c>
      <c r="B18" s="7"/>
      <c r="C18" s="7"/>
      <c r="D18" s="7"/>
      <c r="E18" s="7"/>
      <c r="F18" s="7"/>
    </row>
    <row r="19" customFormat="false" ht="15" hidden="false" customHeight="false" outlineLevel="0" collapsed="false">
      <c r="A19" s="33"/>
      <c r="B19" s="34" t="n">
        <v>1</v>
      </c>
      <c r="C19" s="34" t="n">
        <v>2</v>
      </c>
      <c r="D19" s="34" t="n">
        <v>3</v>
      </c>
      <c r="E19" s="34" t="n">
        <v>4</v>
      </c>
      <c r="F19" s="34" t="n">
        <v>5</v>
      </c>
    </row>
    <row r="20" customFormat="false" ht="15" hidden="false" customHeight="false" outlineLevel="0" collapsed="false">
      <c r="A20" s="50" t="s">
        <v>51</v>
      </c>
      <c r="B20" s="39" t="n">
        <f aca="false">IF('P&amp;L'!B5&lt;=0,"n/a",'P&amp;L'!B22/'P&amp;L'!B5)</f>
        <v>-3.15002699570625</v>
      </c>
      <c r="C20" s="39" t="n">
        <f aca="false">IF('P&amp;L'!C5&lt;=0,"n/a",'P&amp;L'!C22/'P&amp;L'!C5)</f>
        <v>-1.39960578034041</v>
      </c>
      <c r="D20" s="39" t="n">
        <f aca="false">IF('P&amp;L'!D5&lt;=0,"n/a",'P&amp;L'!D22/'P&amp;L'!D5)</f>
        <v>-1.18759740589662</v>
      </c>
      <c r="E20" s="39" t="n">
        <f aca="false">IF('P&amp;L'!E5&lt;=0,"n/a",'P&amp;L'!E22/'P&amp;L'!E5)</f>
        <v>-1.2818580827054</v>
      </c>
      <c r="F20" s="39" t="n">
        <f aca="false">IF('P&amp;L'!F5&lt;=0,"n/a",'P&amp;L'!F22/'P&amp;L'!F5)</f>
        <v>-1.53914584998018</v>
      </c>
    </row>
    <row r="21" customFormat="false" ht="15" hidden="false" customHeight="false" outlineLevel="0" collapsed="false">
      <c r="A21" s="50" t="s">
        <v>228</v>
      </c>
      <c r="B21" s="43" t="n">
        <f aca="false">IF('Balance Sheet'!B9&lt;=0,"n/a",'P&amp;L'!B5/'Balance Sheet'!B9)</f>
        <v>0.096600741681308</v>
      </c>
      <c r="C21" s="43" t="n">
        <f aca="false">IF('Balance Sheet'!C9&lt;=0,"n/a",'P&amp;L'!C5/'Balance Sheet'!C9)</f>
        <v>0.382177589678127</v>
      </c>
      <c r="D21" s="43" t="n">
        <f aca="false">IF('Balance Sheet'!D9&lt;=0,"n/a",'P&amp;L'!D5/'Balance Sheet'!D9)</f>
        <v>2.28801185640801</v>
      </c>
      <c r="E21" s="43" t="str">
        <f aca="false">IF('Balance Sheet'!E9&lt;=0,"n/a",'P&amp;L'!E5/'Balance Sheet'!E9)</f>
        <v>n/a</v>
      </c>
      <c r="F21" s="43" t="str">
        <f aca="false">IF('Balance Sheet'!F9&lt;=0,"n/a",'P&amp;L'!F5/'Balance Sheet'!F9)</f>
        <v>n/a</v>
      </c>
    </row>
    <row r="22" customFormat="false" ht="15" hidden="false" customHeight="false" outlineLevel="0" collapsed="false">
      <c r="A22" s="50" t="s">
        <v>229</v>
      </c>
      <c r="B22" s="43" t="n">
        <f aca="false">IF('Balance Sheet'!B16&lt;=0,"n/a",'Balance Sheet'!B9/'Balance Sheet'!B16)</f>
        <v>1.01901065995167</v>
      </c>
      <c r="C22" s="43" t="n">
        <f aca="false">IF('Balance Sheet'!C16&lt;=0,"n/a",'Balance Sheet'!C9/'Balance Sheet'!C16)</f>
        <v>1.05751890023452</v>
      </c>
      <c r="D22" s="43" t="n">
        <f aca="false">IF('Balance Sheet'!D16&lt;=0,"n/a",'Balance Sheet'!D9/'Balance Sheet'!D16)</f>
        <v>1.42932818716228</v>
      </c>
      <c r="E22" s="43" t="str">
        <f aca="false">IF('Balance Sheet'!E16&lt;=0,"n/a",'Balance Sheet'!E9/'Balance Sheet'!E16)</f>
        <v>n/a</v>
      </c>
      <c r="F22" s="43" t="str">
        <f aca="false">IF('Balance Sheet'!F16&lt;=0,"n/a",'Balance Sheet'!F9/'Balance Sheet'!F16)</f>
        <v>n/a</v>
      </c>
    </row>
    <row r="23" customFormat="false" ht="15" hidden="false" customHeight="false" outlineLevel="0" collapsed="false">
      <c r="A23" s="40" t="s">
        <v>230</v>
      </c>
      <c r="B23" s="86" t="n">
        <f aca="false">IF(AND(ISNUMBER(B20),ISNUMBER(B21),ISNUMBER(B22)),B20*B21*B22,"n/a")</f>
        <v>-0.310079791808689</v>
      </c>
      <c r="C23" s="86" t="n">
        <f aca="false">IF(AND(ISNUMBER(C20),ISNUMBER(C21),ISNUMBER(C22)),C20*C21*C22,"n/a")</f>
        <v>-0.565664706235757</v>
      </c>
      <c r="D23" s="86" t="n">
        <f aca="false">IF(AND(ISNUMBER(D20),ISNUMBER(D21),ISNUMBER(D22)),D20*D21*D22,"n/a")</f>
        <v>-3.88382335716016</v>
      </c>
      <c r="E23" s="86" t="str">
        <f aca="false">IF(AND(ISNUMBER(E20),ISNUMBER(E21),ISNUMBER(E22)),E20*E21*E22,"n/a")</f>
        <v>n/a</v>
      </c>
      <c r="F23" s="86" t="str">
        <f aca="false">IF(AND(ISNUMBER(F20),ISNUMBER(F21),ISNUMBER(F22)),F20*F21*F22,"n/a")</f>
        <v>n/a</v>
      </c>
    </row>
    <row r="24" customFormat="false" ht="15" hidden="false" customHeight="false" outlineLevel="0" collapsed="false">
      <c r="A24" s="21" t="s">
        <v>231</v>
      </c>
      <c r="B24" s="39" t="n">
        <f aca="false">IF(AND(ISNUMBER(B23),ISNUMBER(B16)),B23-B16,IF(ISNUMBER(B23),1,IF(AND(ISNUMBER(B16),ISNUMBER(B20),ISNUMBER(B21)),1,0)))</f>
        <v>0</v>
      </c>
      <c r="C24" s="39" t="n">
        <f aca="false">IF(AND(ISNUMBER(C23),ISNUMBER(C16)),C23-C16,IF(ISNUMBER(C23),1,IF(AND(ISNUMBER(C16),ISNUMBER(C20),ISNUMBER(C21)),1,0)))</f>
        <v>0</v>
      </c>
      <c r="D24" s="39" t="n">
        <f aca="false">IF(AND(ISNUMBER(D23),ISNUMBER(D16)),D23-D16,IF(ISNUMBER(D23),1,IF(AND(ISNUMBER(D16),ISNUMBER(D20),ISNUMBER(D21)),1,0)))</f>
        <v>0</v>
      </c>
      <c r="E24" s="39" t="n">
        <f aca="false">IF(AND(ISNUMBER(E23),ISNUMBER(E16)),E23-E16,IF(ISNUMBER(E23),1,IF(AND(ISNUMBER(E16),ISNUMBER(E20),ISNUMBER(E21)),1,0)))</f>
        <v>0</v>
      </c>
      <c r="F24" s="39" t="n">
        <f aca="false">IF(AND(ISNUMBER(F23),ISNUMBER(F16)),F23-F16,IF(ISNUMBER(F23),1,IF(AND(ISNUMBER(F16),ISNUMBER(F20),ISNUMBER(F21)),1,0)))</f>
        <v>0</v>
      </c>
    </row>
    <row r="26" customFormat="false" ht="15.75" hidden="false" customHeight="true" outlineLevel="0" collapsed="false">
      <c r="A26" s="7" t="s">
        <v>232</v>
      </c>
      <c r="B26" s="7"/>
      <c r="C26" s="7"/>
      <c r="D26" s="7"/>
      <c r="E26" s="7"/>
      <c r="F26" s="7"/>
      <c r="G26" s="7"/>
    </row>
    <row r="27" customFormat="false" ht="15" hidden="false" customHeight="false" outlineLevel="0" collapsed="false">
      <c r="A27" s="71" t="s">
        <v>154</v>
      </c>
      <c r="B27" s="71" t="n">
        <v>1</v>
      </c>
      <c r="C27" s="71" t="n">
        <v>2</v>
      </c>
      <c r="D27" s="71" t="n">
        <v>3</v>
      </c>
      <c r="E27" s="71" t="n">
        <v>4</v>
      </c>
      <c r="F27" s="71" t="n">
        <v>5</v>
      </c>
    </row>
    <row r="28" customFormat="false" ht="15" hidden="false" customHeight="false" outlineLevel="0" collapsed="false">
      <c r="A28" s="33"/>
      <c r="B28" s="51" t="s">
        <v>155</v>
      </c>
      <c r="C28" s="51" t="s">
        <v>156</v>
      </c>
      <c r="D28" s="51" t="s">
        <v>157</v>
      </c>
      <c r="E28" s="51" t="s">
        <v>158</v>
      </c>
      <c r="F28" s="51" t="s">
        <v>159</v>
      </c>
      <c r="G28" s="51" t="s">
        <v>218</v>
      </c>
    </row>
    <row r="29" customFormat="false" ht="15" hidden="false" customHeight="false" outlineLevel="0" collapsed="false">
      <c r="A29" s="4" t="s">
        <v>233</v>
      </c>
      <c r="B29" s="87" t="n">
        <f aca="false">INDEX(Monthly!$C$13:$BJ$13,B$27*12)</f>
        <v>324.705075471428</v>
      </c>
      <c r="C29" s="87" t="n">
        <f aca="false">INDEX(Monthly!$C$13:$BJ$13,C$27*12)</f>
        <v>602.208207322359</v>
      </c>
      <c r="D29" s="87" t="n">
        <f aca="false">INDEX(Monthly!$C$13:$BJ$13,D$27*12)</f>
        <v>886.054646963686</v>
      </c>
      <c r="E29" s="87" t="n">
        <f aca="false">INDEX(Monthly!$C$13:$BJ$13,E$27*12)</f>
        <v>1197.33900371814</v>
      </c>
      <c r="F29" s="87" t="n">
        <f aca="false">INDEX(Monthly!$C$13:$BJ$13,F$27*12)</f>
        <v>1556.7377611649</v>
      </c>
      <c r="G29" s="88"/>
    </row>
    <row r="30" customFormat="false" ht="15" hidden="false" customHeight="false" outlineLevel="0" collapsed="false">
      <c r="A30" s="6" t="s">
        <v>234</v>
      </c>
      <c r="B30" s="89" t="n">
        <f aca="false">SUMIF(Monthly!$C$5:$BJ$5,B$27,Monthly!$C$10:$BJ$10)</f>
        <v>357.333333333333</v>
      </c>
      <c r="C30" s="89" t="n">
        <f aca="false">SUMIF(Monthly!$C$5:$BJ$5,C$27,Monthly!$C$10:$BJ$10)</f>
        <v>443.2</v>
      </c>
      <c r="D30" s="89" t="n">
        <f aca="false">SUMIF(Monthly!$C$5:$BJ$5,D$27,Monthly!$C$10:$BJ$10)</f>
        <v>550.56</v>
      </c>
      <c r="E30" s="89" t="n">
        <f aca="false">SUMIF(Monthly!$C$5:$BJ$5,E$27,Monthly!$C$10:$BJ$10)</f>
        <v>685.008</v>
      </c>
      <c r="F30" s="89" t="n">
        <f aca="false">SUMIF(Monthly!$C$5:$BJ$5,F$27,Monthly!$C$10:$BJ$10)</f>
        <v>853.6464</v>
      </c>
      <c r="G30" s="88"/>
    </row>
    <row r="31" customFormat="false" ht="15" hidden="false" customHeight="false" outlineLevel="0" collapsed="false">
      <c r="A31" s="6" t="s">
        <v>235</v>
      </c>
      <c r="B31" s="89" t="n">
        <f aca="false">SUMIF(Monthly!$C$5:$BJ$5,B$27,Monthly!$C$12:$BJ$12)</f>
        <v>-62.628257861905</v>
      </c>
      <c r="C31" s="89" t="n">
        <f aca="false">SUMIF(Monthly!$C$5:$BJ$5,C$27,Monthly!$C$12:$BJ$12)</f>
        <v>-165.69686814907</v>
      </c>
      <c r="D31" s="89" t="n">
        <f aca="false">SUMIF(Monthly!$C$5:$BJ$5,D$27,Monthly!$C$12:$BJ$12)</f>
        <v>-266.713560358673</v>
      </c>
      <c r="E31" s="89" t="n">
        <f aca="false">SUMIF(Monthly!$C$5:$BJ$5,E$27,Monthly!$C$12:$BJ$12)</f>
        <v>-373.723643245542</v>
      </c>
      <c r="F31" s="89" t="n">
        <f aca="false">SUMIF(Monthly!$C$5:$BJ$5,F$27,Monthly!$C$12:$BJ$12)</f>
        <v>-494.247642553244</v>
      </c>
      <c r="G31" s="88"/>
    </row>
    <row r="32" customFormat="false" ht="15" hidden="false" customHeight="false" outlineLevel="0" collapsed="false">
      <c r="A32" s="4" t="s">
        <v>236</v>
      </c>
      <c r="B32" s="90" t="n">
        <f aca="false">INDEX(Monthly!$C$21:$BJ$21,B$27*12)</f>
        <v>33087.0901472265</v>
      </c>
      <c r="C32" s="90" t="n">
        <f aca="false">INDEX(Monthly!$C$21:$BJ$21,C$27*12)</f>
        <v>63887.111147631</v>
      </c>
      <c r="D32" s="90" t="n">
        <f aca="false">INDEX(Monthly!$C$21:$BJ$21,D$27*12)</f>
        <v>97649.2451193627</v>
      </c>
      <c r="E32" s="90" t="n">
        <f aca="false">INDEX(Monthly!$C$21:$BJ$21,E$27*12)</f>
        <v>136783.011638105</v>
      </c>
      <c r="F32" s="90" t="n">
        <f aca="false">INDEX(Monthly!$C$21:$BJ$21,F$27*12)</f>
        <v>184015.765376673</v>
      </c>
      <c r="G32" s="91"/>
    </row>
    <row r="33" customFormat="false" ht="15" hidden="false" customHeight="false" outlineLevel="0" collapsed="false">
      <c r="A33" s="4" t="s">
        <v>59</v>
      </c>
      <c r="B33" s="90" t="n">
        <f aca="false">B32*12</f>
        <v>397045.081766717</v>
      </c>
      <c r="C33" s="90" t="n">
        <f aca="false">C32*12</f>
        <v>766645.333771572</v>
      </c>
      <c r="D33" s="90" t="n">
        <f aca="false">D32*12</f>
        <v>1171790.94143235</v>
      </c>
      <c r="E33" s="90" t="n">
        <f aca="false">E32*12</f>
        <v>1641396.13965726</v>
      </c>
      <c r="F33" s="90" t="n">
        <f aca="false">F32*12</f>
        <v>2208189.18452008</v>
      </c>
      <c r="G33" s="91"/>
    </row>
    <row r="34" customFormat="false" ht="15" hidden="false" customHeight="false" outlineLevel="0" collapsed="false">
      <c r="A34" s="6" t="s">
        <v>237</v>
      </c>
      <c r="B34" s="92" t="n">
        <f aca="false">IF(B29=0,0,B32/B29)</f>
        <v>101.898900407357</v>
      </c>
      <c r="C34" s="92" t="n">
        <f aca="false">IF(C29=0,0,C32/C29)</f>
        <v>106.088077795713</v>
      </c>
      <c r="D34" s="92" t="n">
        <f aca="false">IF(D29=0,0,D32/D29)</f>
        <v>110.206797576182</v>
      </c>
      <c r="E34" s="92" t="n">
        <f aca="false">IF(E29=0,0,E32/E29)</f>
        <v>114.239168032903</v>
      </c>
      <c r="F34" s="92" t="n">
        <f aca="false">IF(F29=0,0,F32/F29)</f>
        <v>118.206013862589</v>
      </c>
      <c r="G34" s="93"/>
    </row>
    <row r="35" customFormat="false" ht="15" hidden="false" customHeight="false" outlineLevel="0" collapsed="false">
      <c r="A35" s="6" t="s">
        <v>44</v>
      </c>
      <c r="B35" s="35" t="n">
        <f aca="false">SUMIF(Monthly!$C$5:$BJ$5,B$27,Monthly!$C$24:$BJ$24)</f>
        <v>225414.939184555</v>
      </c>
      <c r="C35" s="35" t="n">
        <f aca="false">SUMIF(Monthly!$C$5:$BJ$5,C$27,Monthly!$C$24:$BJ$24)</f>
        <v>591123.330484019</v>
      </c>
      <c r="D35" s="35" t="n">
        <f aca="false">SUMIF(Monthly!$C$5:$BJ$5,D$27,Monthly!$C$24:$BJ$24)</f>
        <v>979388.559956597</v>
      </c>
      <c r="E35" s="35" t="n">
        <f aca="false">SUMIF(Monthly!$C$5:$BJ$5,E$27,Monthly!$C$24:$BJ$24)</f>
        <v>1418382.10030103</v>
      </c>
      <c r="F35" s="35" t="n">
        <f aca="false">SUMIF(Monthly!$C$5:$BJ$5,F$27,Monthly!$C$24:$BJ$24)</f>
        <v>1939020.94087271</v>
      </c>
      <c r="G35" s="91"/>
    </row>
    <row r="36" customFormat="false" ht="15" hidden="false" customHeight="false" outlineLevel="0" collapsed="false">
      <c r="A36" s="6" t="s">
        <v>45</v>
      </c>
      <c r="B36" s="35" t="n">
        <f aca="false">SUMIF(Monthly!$C$5:$BJ$5,B$27,Monthly!$C$26:$BJ$26)</f>
        <v>198403.522999835</v>
      </c>
      <c r="C36" s="35" t="n">
        <f aca="false">SUMIF(Monthly!$C$5:$BJ$5,C$27,Monthly!$C$26:$BJ$26)</f>
        <v>520687.036427161</v>
      </c>
      <c r="D36" s="35" t="n">
        <f aca="false">SUMIF(Monthly!$C$5:$BJ$5,D$27,Monthly!$C$26:$BJ$26)</f>
        <v>863384.953497385</v>
      </c>
      <c r="E36" s="35" t="n">
        <f aca="false">SUMIF(Monthly!$C$5:$BJ$5,E$27,Monthly!$C$26:$BJ$26)</f>
        <v>1251317.69636447</v>
      </c>
      <c r="F36" s="35" t="n">
        <f aca="false">SUMIF(Monthly!$C$5:$BJ$5,F$27,Monthly!$C$26:$BJ$26)</f>
        <v>1711809.6051911</v>
      </c>
      <c r="G36" s="91"/>
    </row>
    <row r="37" customFormat="false" ht="15" hidden="false" customHeight="false" outlineLevel="0" collapsed="false">
      <c r="A37" s="38" t="s">
        <v>46</v>
      </c>
      <c r="B37" s="94" t="n">
        <f aca="false">IF(B35=0,0,B36/B35)</f>
        <v>0.880170248332097</v>
      </c>
      <c r="C37" s="94" t="n">
        <f aca="false">IF(C35=0,0,C36/C35)</f>
        <v>0.880843319110441</v>
      </c>
      <c r="D37" s="94" t="n">
        <f aca="false">IF(D35=0,0,D36/D35)</f>
        <v>0.881555073030102</v>
      </c>
      <c r="E37" s="94" t="n">
        <f aca="false">IF(E35=0,0,E36/E35)</f>
        <v>0.882214810874232</v>
      </c>
      <c r="F37" s="94" t="n">
        <f aca="false">IF(F35=0,0,F36/F35)</f>
        <v>0.882821618430104</v>
      </c>
      <c r="G37" s="95"/>
    </row>
    <row r="38" customFormat="false" ht="15" hidden="false" customHeight="false" outlineLevel="0" collapsed="false">
      <c r="A38" s="6" t="s">
        <v>238</v>
      </c>
      <c r="B38" s="35" t="n">
        <f aca="false">-SUMIF(Monthly!$C$5:$BJ$5,B$27,Monthly!$C$30:$BJ$30)</f>
        <v>96000</v>
      </c>
      <c r="C38" s="35" t="n">
        <f aca="false">-SUMIF(Monthly!$C$5:$BJ$5,C$27,Monthly!$C$30:$BJ$30)</f>
        <v>115200</v>
      </c>
      <c r="D38" s="35" t="n">
        <f aca="false">-SUMIF(Monthly!$C$5:$BJ$5,D$27,Monthly!$C$30:$BJ$30)</f>
        <v>138240</v>
      </c>
      <c r="E38" s="35" t="n">
        <f aca="false">-SUMIF(Monthly!$C$5:$BJ$5,E$27,Monthly!$C$30:$BJ$30)</f>
        <v>165888</v>
      </c>
      <c r="F38" s="35" t="n">
        <f aca="false">-SUMIF(Monthly!$C$5:$BJ$5,F$27,Monthly!$C$30:$BJ$30)</f>
        <v>199065.6</v>
      </c>
      <c r="G38" s="91"/>
    </row>
    <row r="39" customFormat="false" ht="15" hidden="false" customHeight="false" outlineLevel="0" collapsed="false">
      <c r="A39" s="6" t="s">
        <v>239</v>
      </c>
      <c r="B39" s="92" t="n">
        <f aca="false">IF(B30=0,0,B38/B30)</f>
        <v>268.65671641791</v>
      </c>
      <c r="C39" s="92" t="n">
        <f aca="false">IF(C30=0,0,C38/C30)</f>
        <v>259.927797833935</v>
      </c>
      <c r="D39" s="92" t="n">
        <f aca="false">IF(D30=0,0,D38/D30)</f>
        <v>251.089799476896</v>
      </c>
      <c r="E39" s="92" t="n">
        <f aca="false">IF(E30=0,0,E38/E30)</f>
        <v>242.169434517553</v>
      </c>
      <c r="F39" s="92" t="n">
        <f aca="false">IF(F30=0,0,F38/F30)</f>
        <v>233.194446787335</v>
      </c>
      <c r="G39" s="93"/>
    </row>
    <row r="40" customFormat="false" ht="15" hidden="false" customHeight="false" outlineLevel="0" collapsed="false">
      <c r="A40" s="38" t="s">
        <v>240</v>
      </c>
      <c r="B40" s="94" t="n">
        <f aca="false">INDEX(Monthly!$C$81:$BJ$81,B$27*12)</f>
        <v>0.03</v>
      </c>
      <c r="C40" s="94" t="n">
        <f aca="false">INDEX(Monthly!$C$81:$BJ$81,C$27*12)</f>
        <v>0.03</v>
      </c>
      <c r="D40" s="94" t="n">
        <f aca="false">INDEX(Monthly!$C$81:$BJ$81,D$27*12)</f>
        <v>0.03</v>
      </c>
      <c r="E40" s="94" t="n">
        <f aca="false">INDEX(Monthly!$C$81:$BJ$81,E$27*12)</f>
        <v>0.03</v>
      </c>
      <c r="F40" s="94" t="n">
        <f aca="false">INDEX(Monthly!$C$81:$BJ$81,F$27*12)</f>
        <v>0.03</v>
      </c>
      <c r="G40" s="95"/>
    </row>
    <row r="41" customFormat="false" ht="15" hidden="false" customHeight="false" outlineLevel="0" collapsed="false">
      <c r="A41" s="6" t="s">
        <v>241</v>
      </c>
      <c r="B41" s="92" t="n">
        <f aca="false">IF(B40=0,0,B34*B37/B40)</f>
        <v>2989.61268254371</v>
      </c>
      <c r="C41" s="92" t="n">
        <f aca="false">IF(C40=0,0,C34*C37/C40)</f>
        <v>3114.89915212074</v>
      </c>
      <c r="D41" s="92" t="n">
        <f aca="false">IF(D40=0,0,D34*D37/D40)</f>
        <v>3238.44538285617</v>
      </c>
      <c r="E41" s="92" t="n">
        <f aca="false">IF(E40=0,0,E34*E37/E40)</f>
        <v>3359.44953401923</v>
      </c>
      <c r="F41" s="92" t="n">
        <f aca="false">IF(F40=0,0,F34*F37/F40)</f>
        <v>3478.49414887806</v>
      </c>
      <c r="G41" s="93"/>
    </row>
    <row r="42" customFormat="false" ht="15" hidden="false" customHeight="false" outlineLevel="0" collapsed="false">
      <c r="A42" s="6" t="s">
        <v>60</v>
      </c>
      <c r="B42" s="96" t="n">
        <f aca="false">IF(B39=0,0,B41/B39)</f>
        <v>11.1280027628016</v>
      </c>
      <c r="C42" s="96" t="n">
        <f aca="false">IF(C39=0,0,C41/C39)</f>
        <v>11.9837092380201</v>
      </c>
      <c r="D42" s="96" t="n">
        <f aca="false">IF(D39=0,0,D41/D39)</f>
        <v>12.8975585213057</v>
      </c>
      <c r="E42" s="96" t="n">
        <f aca="false">IF(E39=0,0,E41/E39)</f>
        <v>13.8723102719874</v>
      </c>
      <c r="F42" s="96" t="n">
        <f aca="false">IF(F39=0,0,F41/F39)</f>
        <v>14.9167109114323</v>
      </c>
      <c r="G42" s="97"/>
    </row>
    <row r="43" customFormat="false" ht="15" hidden="false" customHeight="false" outlineLevel="0" collapsed="false">
      <c r="A43" s="6" t="s">
        <v>242</v>
      </c>
      <c r="B43" s="89" t="n">
        <f aca="false">IF(B34*B37&lt;=0,0,B39/(B34*B37))</f>
        <v>2.99544617698687</v>
      </c>
      <c r="C43" s="89" t="n">
        <f aca="false">IF(C34*C37&lt;=0,0,C39/(C34*C37))</f>
        <v>2.78155391383984</v>
      </c>
      <c r="D43" s="89" t="n">
        <f aca="false">IF(D34*D37&lt;=0,0,D39/(D34*D37))</f>
        <v>2.58446846961536</v>
      </c>
      <c r="E43" s="89" t="n">
        <f aca="false">IF(E34*E37&lt;=0,0,E39/(E34*E37))</f>
        <v>2.40286820866773</v>
      </c>
      <c r="F43" s="89" t="n">
        <f aca="false">IF(F34*F37&lt;=0,0,F39/(F34*F37))</f>
        <v>2.2346302433056</v>
      </c>
      <c r="G43" s="88"/>
    </row>
    <row r="44" customFormat="false" ht="15" hidden="false" customHeight="false" outlineLevel="0" collapsed="false">
      <c r="A44" s="6" t="s">
        <v>243</v>
      </c>
      <c r="B44" s="35" t="n">
        <f aca="false">INDEX(Monthly!$C$80:$BJ$80,B$27*12)</f>
        <v>44473.8917747187</v>
      </c>
      <c r="C44" s="35" t="n">
        <f aca="false">INDEX(Monthly!$C$80:$BJ$80,C$27*12)</f>
        <v>53908.8705785703</v>
      </c>
      <c r="D44" s="35" t="n">
        <f aca="false">INDEX(Monthly!$C$80:$BJ$80,D$27*12)</f>
        <v>80483.0870371505</v>
      </c>
      <c r="E44" s="35" t="n">
        <f aca="false">INDEX(Monthly!$C$80:$BJ$80,E$27*12)</f>
        <v>133085.046786239</v>
      </c>
      <c r="F44" s="35" t="n">
        <f aca="false">INDEX(Monthly!$C$80:$BJ$80,F$27*12)</f>
        <v>226448.544990247</v>
      </c>
      <c r="G44" s="91"/>
    </row>
    <row r="45" customFormat="false" ht="15" hidden="false" customHeight="false" outlineLevel="0" collapsed="false">
      <c r="A45" s="6" t="s">
        <v>244</v>
      </c>
      <c r="B45" s="35" t="n">
        <f aca="false">INDEX(Monthly!$C$76:$BJ$76,B$27*12)</f>
        <v>2314803.48576323</v>
      </c>
      <c r="C45" s="35" t="n">
        <f aca="false">INDEX(Monthly!$C$76:$BJ$76,C$27*12)</f>
        <v>1529595.0687839</v>
      </c>
      <c r="D45" s="35" t="n">
        <f aca="false">INDEX(Monthly!$C$76:$BJ$76,D$27*12)</f>
        <v>411980.553657166</v>
      </c>
      <c r="E45" s="35" t="n">
        <f aca="false">INDEX(Monthly!$C$76:$BJ$76,E$27*12)</f>
        <v>-1361198.82619305</v>
      </c>
      <c r="F45" s="35" t="n">
        <f aca="false">INDEX(Monthly!$C$76:$BJ$76,F$27*12)</f>
        <v>-4291369.48274386</v>
      </c>
      <c r="G45" s="91"/>
    </row>
    <row r="46" customFormat="false" ht="15" hidden="false" customHeight="false" outlineLevel="0" collapsed="false">
      <c r="A46" s="6" t="s">
        <v>245</v>
      </c>
      <c r="B46" s="89" t="n">
        <f aca="false">IF(B44&lt;=0,0,MAX(0,B45)/B44)</f>
        <v>52.0485928573286</v>
      </c>
      <c r="C46" s="89" t="n">
        <f aca="false">IF(C44&lt;=0,0,MAX(0,C45)/C44)</f>
        <v>28.3737175787159</v>
      </c>
      <c r="D46" s="89" t="n">
        <f aca="false">IF(D44&lt;=0,0,MAX(0,D45)/D44)</f>
        <v>5.1188463169535</v>
      </c>
      <c r="E46" s="89" t="n">
        <f aca="false">IF(E44&lt;=0,0,MAX(0,E45)/E44)</f>
        <v>0</v>
      </c>
      <c r="F46" s="89" t="n">
        <f aca="false">IF(F44&lt;=0,0,MAX(0,F45)/F44)</f>
        <v>0</v>
      </c>
      <c r="G46" s="88"/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0B43C"/>
    <pageSetUpPr fitToPage="true"/>
  </sheetPr>
  <dimension ref="A1:I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6" min="2" style="0" width="12"/>
    <col collapsed="false" customWidth="true" hidden="false" outlineLevel="0" max="7" min="7" style="0" width="34"/>
  </cols>
  <sheetData>
    <row r="1" customFormat="false" ht="21.75" hidden="false" customHeight="true" outlineLevel="0" collapsed="false">
      <c r="A1" s="16" t="s">
        <v>246</v>
      </c>
      <c r="I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247</v>
      </c>
    </row>
    <row r="5" customFormat="false" ht="15" hidden="false" customHeight="false" outlineLevel="0" collapsed="false">
      <c r="A5" s="33" t="s">
        <v>104</v>
      </c>
      <c r="B5" s="51" t="s">
        <v>105</v>
      </c>
      <c r="C5" s="51" t="s">
        <v>106</v>
      </c>
      <c r="D5" s="51" t="s">
        <v>107</v>
      </c>
      <c r="E5" s="51" t="s">
        <v>108</v>
      </c>
      <c r="F5" s="33" t="s">
        <v>248</v>
      </c>
      <c r="G5" s="33" t="s">
        <v>249</v>
      </c>
    </row>
    <row r="6" customFormat="false" ht="15.75" hidden="false" customHeight="true" outlineLevel="0" collapsed="false">
      <c r="A6" s="7" t="s">
        <v>250</v>
      </c>
      <c r="B6" s="7"/>
      <c r="C6" s="7"/>
      <c r="D6" s="7"/>
      <c r="E6" s="7"/>
      <c r="F6" s="7"/>
      <c r="G6" s="7"/>
    </row>
    <row r="7" customFormat="false" ht="15" hidden="false" customHeight="false" outlineLevel="0" collapsed="false">
      <c r="A7" s="6" t="s">
        <v>251</v>
      </c>
      <c r="B7" s="98" t="n">
        <v>30</v>
      </c>
      <c r="C7" s="98" t="n">
        <v>30</v>
      </c>
      <c r="D7" s="98" t="n">
        <v>30</v>
      </c>
      <c r="E7" s="99" t="n">
        <f aca="false">CHOOSE(Dashboard!$B$4,B7,C7,D7)</f>
        <v>30</v>
      </c>
      <c r="F7" s="38" t="s">
        <v>252</v>
      </c>
      <c r="G7" s="100" t="s">
        <v>253</v>
      </c>
    </row>
    <row r="8" customFormat="false" ht="15" hidden="false" customHeight="false" outlineLevel="0" collapsed="false">
      <c r="A8" s="6" t="s">
        <v>254</v>
      </c>
      <c r="B8" s="101" t="n">
        <v>79</v>
      </c>
      <c r="C8" s="101" t="n">
        <v>99</v>
      </c>
      <c r="D8" s="101" t="n">
        <v>119</v>
      </c>
      <c r="E8" s="102" t="n">
        <f aca="false">CHOOSE(Dashboard!$B$4,B8,C8,D8)</f>
        <v>99</v>
      </c>
      <c r="F8" s="38" t="s">
        <v>255</v>
      </c>
      <c r="G8" s="100" t="s">
        <v>253</v>
      </c>
    </row>
    <row r="9" customFormat="false" ht="15" hidden="false" customHeight="false" outlineLevel="0" collapsed="false">
      <c r="A9" s="6" t="s">
        <v>256</v>
      </c>
      <c r="B9" s="103" t="n">
        <v>0</v>
      </c>
      <c r="C9" s="103" t="n">
        <v>0.03</v>
      </c>
      <c r="D9" s="103" t="n">
        <v>0.05</v>
      </c>
      <c r="E9" s="104" t="n">
        <f aca="false">CHOOSE(Dashboard!$B$4,B9,C9,D9)</f>
        <v>0.03</v>
      </c>
      <c r="F9" s="38" t="s">
        <v>257</v>
      </c>
      <c r="G9" s="100" t="s">
        <v>253</v>
      </c>
    </row>
    <row r="10" customFormat="false" ht="15" hidden="false" customHeight="false" outlineLevel="0" collapsed="false">
      <c r="A10" s="6" t="s">
        <v>240</v>
      </c>
      <c r="B10" s="103" t="n">
        <v>0.045</v>
      </c>
      <c r="C10" s="103" t="n">
        <v>0.03</v>
      </c>
      <c r="D10" s="103" t="n">
        <v>0.02</v>
      </c>
      <c r="E10" s="104" t="n">
        <f aca="false">CHOOSE(Dashboard!$B$4,B10,C10,D10)</f>
        <v>0.03</v>
      </c>
      <c r="F10" s="38" t="s">
        <v>257</v>
      </c>
      <c r="G10" s="100" t="s">
        <v>258</v>
      </c>
    </row>
    <row r="11" customFormat="false" ht="15" hidden="false" customHeight="false" outlineLevel="0" collapsed="false">
      <c r="A11" s="6" t="s">
        <v>259</v>
      </c>
      <c r="B11" s="103" t="n">
        <v>0</v>
      </c>
      <c r="C11" s="103" t="n">
        <v>0.005</v>
      </c>
      <c r="D11" s="103" t="n">
        <v>0.01</v>
      </c>
      <c r="E11" s="104" t="n">
        <f aca="false">CHOOSE(Dashboard!$B$4,B11,C11,D11)</f>
        <v>0.005</v>
      </c>
      <c r="F11" s="38" t="s">
        <v>257</v>
      </c>
      <c r="G11" s="100" t="s">
        <v>253</v>
      </c>
    </row>
    <row r="12" customFormat="false" ht="15" hidden="false" customHeight="false" outlineLevel="0" collapsed="false">
      <c r="A12" s="6" t="s">
        <v>260</v>
      </c>
      <c r="B12" s="105" t="n">
        <v>8</v>
      </c>
      <c r="C12" s="105" t="n">
        <v>12</v>
      </c>
      <c r="D12" s="105" t="n">
        <v>18</v>
      </c>
      <c r="E12" s="106" t="n">
        <f aca="false">CHOOSE(Dashboard!$B$4,B12,C12,D12)</f>
        <v>12</v>
      </c>
      <c r="F12" s="38" t="s">
        <v>261</v>
      </c>
      <c r="G12" s="100" t="s">
        <v>253</v>
      </c>
    </row>
    <row r="13" customFormat="false" ht="15" hidden="false" customHeight="false" outlineLevel="0" collapsed="false">
      <c r="A13" s="6" t="s">
        <v>262</v>
      </c>
      <c r="B13" s="103" t="n">
        <v>0.1</v>
      </c>
      <c r="C13" s="103" t="n">
        <v>0.3</v>
      </c>
      <c r="D13" s="103" t="n">
        <v>0.5</v>
      </c>
      <c r="E13" s="104" t="n">
        <f aca="false">CHOOSE(Dashboard!$B$4,B13,C13,D13)</f>
        <v>0.3</v>
      </c>
      <c r="F13" s="38" t="s">
        <v>257</v>
      </c>
      <c r="G13" s="100" t="s">
        <v>253</v>
      </c>
    </row>
    <row r="14" customFormat="false" ht="15" hidden="false" customHeight="false" outlineLevel="0" collapsed="false">
      <c r="A14" s="6" t="s">
        <v>263</v>
      </c>
      <c r="B14" s="101" t="n">
        <v>8000</v>
      </c>
      <c r="C14" s="101" t="n">
        <v>8000</v>
      </c>
      <c r="D14" s="101" t="n">
        <v>8000</v>
      </c>
      <c r="E14" s="102" t="n">
        <f aca="false">CHOOSE(Dashboard!$B$4,B14,C14,D14)</f>
        <v>8000</v>
      </c>
      <c r="F14" s="38" t="s">
        <v>255</v>
      </c>
      <c r="G14" s="100"/>
    </row>
    <row r="15" customFormat="false" ht="15" hidden="false" customHeight="false" outlineLevel="0" collapsed="false">
      <c r="A15" s="6" t="s">
        <v>264</v>
      </c>
      <c r="B15" s="103" t="n">
        <v>0.2</v>
      </c>
      <c r="C15" s="103" t="n">
        <v>0.2</v>
      </c>
      <c r="D15" s="103" t="n">
        <v>0.2</v>
      </c>
      <c r="E15" s="104" t="n">
        <f aca="false">CHOOSE(Dashboard!$B$4,B15,C15,D15)</f>
        <v>0.2</v>
      </c>
      <c r="F15" s="38" t="s">
        <v>257</v>
      </c>
      <c r="G15" s="100"/>
    </row>
    <row r="16" customFormat="false" ht="15" hidden="false" customHeight="false" outlineLevel="0" collapsed="false">
      <c r="A16" s="6" t="s">
        <v>265</v>
      </c>
      <c r="B16" s="101" t="n">
        <v>600</v>
      </c>
      <c r="C16" s="101" t="n">
        <v>450</v>
      </c>
      <c r="D16" s="101" t="n">
        <v>350</v>
      </c>
      <c r="E16" s="102" t="n">
        <f aca="false">CHOOSE(Dashboard!$B$4,B16,C16,D16)</f>
        <v>450</v>
      </c>
      <c r="F16" s="38" t="s">
        <v>266</v>
      </c>
      <c r="G16" s="100" t="s">
        <v>258</v>
      </c>
    </row>
    <row r="17" customFormat="false" ht="15" hidden="false" customHeight="false" outlineLevel="0" collapsed="false">
      <c r="A17" s="6" t="s">
        <v>267</v>
      </c>
      <c r="B17" s="103" t="n">
        <v>0.2</v>
      </c>
      <c r="C17" s="103" t="n">
        <v>0.2</v>
      </c>
      <c r="D17" s="103" t="n">
        <v>0.2</v>
      </c>
      <c r="E17" s="104" t="n">
        <f aca="false">CHOOSE(Dashboard!$B$4,B17,C17,D17)</f>
        <v>0.2</v>
      </c>
      <c r="F17" s="38" t="s">
        <v>257</v>
      </c>
      <c r="G17" s="100"/>
    </row>
    <row r="18" customFormat="false" ht="15" hidden="false" customHeight="false" outlineLevel="0" collapsed="false">
      <c r="A18" s="6" t="s">
        <v>268</v>
      </c>
      <c r="B18" s="103" t="n">
        <v>0.12</v>
      </c>
      <c r="C18" s="103" t="n">
        <v>0.1</v>
      </c>
      <c r="D18" s="103" t="n">
        <v>0.08</v>
      </c>
      <c r="E18" s="104" t="n">
        <f aca="false">CHOOSE(Dashboard!$B$4,B18,C18,D18)</f>
        <v>0.1</v>
      </c>
      <c r="F18" s="38" t="s">
        <v>257</v>
      </c>
      <c r="G18" s="100" t="s">
        <v>258</v>
      </c>
    </row>
    <row r="19" customFormat="false" ht="15" hidden="false" customHeight="false" outlineLevel="0" collapsed="false">
      <c r="A19" s="6" t="s">
        <v>269</v>
      </c>
      <c r="B19" s="107" t="n">
        <v>3</v>
      </c>
      <c r="C19" s="107" t="n">
        <v>2</v>
      </c>
      <c r="D19" s="107" t="n">
        <v>1.5</v>
      </c>
      <c r="E19" s="108" t="n">
        <f aca="false">CHOOSE(Dashboard!$B$4,B19,C19,D19)</f>
        <v>2</v>
      </c>
      <c r="F19" s="38" t="s">
        <v>266</v>
      </c>
      <c r="G19" s="100" t="s">
        <v>258</v>
      </c>
    </row>
    <row r="20" customFormat="false" ht="15" hidden="false" customHeight="false" outlineLevel="0" collapsed="false">
      <c r="A20" s="6" t="s">
        <v>270</v>
      </c>
      <c r="B20" s="101" t="n">
        <v>150</v>
      </c>
      <c r="C20" s="101" t="n">
        <v>150</v>
      </c>
      <c r="D20" s="101" t="n">
        <v>150</v>
      </c>
      <c r="E20" s="102" t="n">
        <f aca="false">CHOOSE(Dashboard!$B$4,B20,C20,D20)</f>
        <v>150</v>
      </c>
      <c r="F20" s="38" t="s">
        <v>266</v>
      </c>
      <c r="G20" s="100"/>
    </row>
    <row r="21" customFormat="false" ht="15" hidden="false" customHeight="false" outlineLevel="0" collapsed="false">
      <c r="A21" s="6" t="s">
        <v>271</v>
      </c>
      <c r="B21" s="101" t="n">
        <v>1500</v>
      </c>
      <c r="C21" s="101" t="n">
        <v>1500</v>
      </c>
      <c r="D21" s="101" t="n">
        <v>1500</v>
      </c>
      <c r="E21" s="102" t="n">
        <f aca="false">CHOOSE(Dashboard!$B$4,B21,C21,D21)</f>
        <v>1500</v>
      </c>
      <c r="F21" s="38" t="s">
        <v>266</v>
      </c>
      <c r="G21" s="100"/>
    </row>
    <row r="22" customFormat="false" ht="15" hidden="false" customHeight="false" outlineLevel="0" collapsed="false">
      <c r="A22" s="6" t="s">
        <v>272</v>
      </c>
      <c r="B22" s="101" t="n">
        <v>3000</v>
      </c>
      <c r="C22" s="101" t="n">
        <v>3000</v>
      </c>
      <c r="D22" s="101" t="n">
        <v>3000</v>
      </c>
      <c r="E22" s="102" t="n">
        <f aca="false">CHOOSE(Dashboard!$B$4,B22,C22,D22)</f>
        <v>3000</v>
      </c>
      <c r="F22" s="38" t="s">
        <v>266</v>
      </c>
      <c r="G22" s="100"/>
    </row>
    <row r="23" customFormat="false" ht="15" hidden="false" customHeight="false" outlineLevel="0" collapsed="false">
      <c r="A23" s="6" t="s">
        <v>273</v>
      </c>
      <c r="B23" s="101" t="n">
        <v>20000</v>
      </c>
      <c r="C23" s="101" t="n">
        <v>20000</v>
      </c>
      <c r="D23" s="101" t="n">
        <v>20000</v>
      </c>
      <c r="E23" s="102" t="n">
        <f aca="false">CHOOSE(Dashboard!$B$4,B23,C23,D23)</f>
        <v>20000</v>
      </c>
      <c r="F23" s="38" t="s">
        <v>266</v>
      </c>
      <c r="G23" s="100"/>
    </row>
    <row r="25" customFormat="false" ht="15.75" hidden="false" customHeight="true" outlineLevel="0" collapsed="false">
      <c r="A25" s="7" t="s">
        <v>274</v>
      </c>
      <c r="B25" s="7"/>
      <c r="C25" s="7"/>
      <c r="D25" s="7"/>
      <c r="E25" s="7"/>
      <c r="F25" s="7"/>
      <c r="G25" s="7"/>
    </row>
    <row r="26" customFormat="false" ht="15" hidden="false" customHeight="false" outlineLevel="0" collapsed="false">
      <c r="A26" s="6" t="s">
        <v>275</v>
      </c>
      <c r="B26" s="105" t="n">
        <v>3</v>
      </c>
      <c r="C26" s="105" t="n">
        <v>3</v>
      </c>
      <c r="D26" s="105" t="n">
        <v>3</v>
      </c>
      <c r="E26" s="106" t="n">
        <f aca="false">CHOOSE(Dashboard!$B$4,B26,C26,D26)</f>
        <v>3</v>
      </c>
      <c r="F26" s="38" t="s">
        <v>276</v>
      </c>
      <c r="G26" s="100" t="s">
        <v>253</v>
      </c>
    </row>
    <row r="27" customFormat="false" ht="15" hidden="false" customHeight="false" outlineLevel="0" collapsed="false">
      <c r="A27" s="6" t="s">
        <v>277</v>
      </c>
      <c r="B27" s="101" t="n">
        <v>125000</v>
      </c>
      <c r="C27" s="101" t="n">
        <v>125000</v>
      </c>
      <c r="D27" s="101" t="n">
        <v>125000</v>
      </c>
      <c r="E27" s="102" t="n">
        <f aca="false">CHOOSE(Dashboard!$B$4,B27,C27,D27)</f>
        <v>125000</v>
      </c>
      <c r="F27" s="38" t="s">
        <v>266</v>
      </c>
      <c r="G27" s="100"/>
    </row>
    <row r="28" customFormat="false" ht="15" hidden="false" customHeight="false" outlineLevel="0" collapsed="false">
      <c r="A28" s="6" t="s">
        <v>278</v>
      </c>
      <c r="B28" s="103" t="n">
        <v>0.5</v>
      </c>
      <c r="C28" s="103" t="n">
        <v>0.5</v>
      </c>
      <c r="D28" s="103" t="n">
        <v>0.5</v>
      </c>
      <c r="E28" s="104" t="n">
        <f aca="false">CHOOSE(Dashboard!$B$4,B28,C28,D28)</f>
        <v>0.5</v>
      </c>
      <c r="F28" s="38" t="s">
        <v>257</v>
      </c>
      <c r="G28" s="100" t="s">
        <v>253</v>
      </c>
    </row>
    <row r="29" customFormat="false" ht="15" hidden="false" customHeight="false" outlineLevel="0" collapsed="false">
      <c r="A29" s="6" t="s">
        <v>279</v>
      </c>
      <c r="B29" s="98" t="n">
        <v>1</v>
      </c>
      <c r="C29" s="98" t="n">
        <v>1</v>
      </c>
      <c r="D29" s="98" t="n">
        <v>1</v>
      </c>
      <c r="E29" s="99" t="n">
        <f aca="false">CHOOSE(Dashboard!$B$4,B29,C29,D29)</f>
        <v>1</v>
      </c>
      <c r="F29" s="38" t="s">
        <v>280</v>
      </c>
      <c r="G29" s="100"/>
    </row>
    <row r="30" customFormat="false" ht="15" hidden="false" customHeight="false" outlineLevel="0" collapsed="false">
      <c r="A30" s="6" t="s">
        <v>281</v>
      </c>
      <c r="B30" s="105" t="n">
        <v>1.5</v>
      </c>
      <c r="C30" s="105" t="n">
        <v>1.5</v>
      </c>
      <c r="D30" s="105" t="n">
        <v>1.5</v>
      </c>
      <c r="E30" s="106" t="n">
        <f aca="false">CHOOSE(Dashboard!$B$4,B30,C30,D30)</f>
        <v>1.5</v>
      </c>
      <c r="F30" s="38" t="s">
        <v>276</v>
      </c>
      <c r="G30" s="100" t="s">
        <v>253</v>
      </c>
    </row>
    <row r="31" customFormat="false" ht="15" hidden="false" customHeight="false" outlineLevel="0" collapsed="false">
      <c r="A31" s="6" t="s">
        <v>282</v>
      </c>
      <c r="B31" s="101" t="n">
        <v>95000</v>
      </c>
      <c r="C31" s="101" t="n">
        <v>95000</v>
      </c>
      <c r="D31" s="101" t="n">
        <v>95000</v>
      </c>
      <c r="E31" s="102" t="n">
        <f aca="false">CHOOSE(Dashboard!$B$4,B31,C31,D31)</f>
        <v>95000</v>
      </c>
      <c r="F31" s="38" t="s">
        <v>266</v>
      </c>
      <c r="G31" s="100"/>
    </row>
    <row r="32" customFormat="false" ht="15" hidden="false" customHeight="false" outlineLevel="0" collapsed="false">
      <c r="A32" s="6" t="s">
        <v>283</v>
      </c>
      <c r="B32" s="103" t="n">
        <v>0.5</v>
      </c>
      <c r="C32" s="103" t="n">
        <v>0.5</v>
      </c>
      <c r="D32" s="103" t="n">
        <v>0.5</v>
      </c>
      <c r="E32" s="104" t="n">
        <f aca="false">CHOOSE(Dashboard!$B$4,B32,C32,D32)</f>
        <v>0.5</v>
      </c>
      <c r="F32" s="38" t="s">
        <v>257</v>
      </c>
      <c r="G32" s="100" t="s">
        <v>253</v>
      </c>
    </row>
    <row r="33" customFormat="false" ht="15" hidden="false" customHeight="false" outlineLevel="0" collapsed="false">
      <c r="A33" s="6" t="s">
        <v>284</v>
      </c>
      <c r="B33" s="98" t="n">
        <v>1</v>
      </c>
      <c r="C33" s="98" t="n">
        <v>1</v>
      </c>
      <c r="D33" s="98" t="n">
        <v>1</v>
      </c>
      <c r="E33" s="99" t="n">
        <f aca="false">CHOOSE(Dashboard!$B$4,B33,C33,D33)</f>
        <v>1</v>
      </c>
      <c r="F33" s="38" t="s">
        <v>280</v>
      </c>
      <c r="G33" s="100"/>
    </row>
    <row r="34" customFormat="false" ht="15" hidden="false" customHeight="false" outlineLevel="0" collapsed="false">
      <c r="A34" s="6" t="s">
        <v>285</v>
      </c>
      <c r="B34" s="105" t="n">
        <v>1</v>
      </c>
      <c r="C34" s="105" t="n">
        <v>1</v>
      </c>
      <c r="D34" s="105" t="n">
        <v>1</v>
      </c>
      <c r="E34" s="106" t="n">
        <f aca="false">CHOOSE(Dashboard!$B$4,B34,C34,D34)</f>
        <v>1</v>
      </c>
      <c r="F34" s="38" t="s">
        <v>276</v>
      </c>
      <c r="G34" s="100" t="s">
        <v>253</v>
      </c>
    </row>
    <row r="35" customFormat="false" ht="15" hidden="false" customHeight="false" outlineLevel="0" collapsed="false">
      <c r="A35" s="6" t="s">
        <v>286</v>
      </c>
      <c r="B35" s="101" t="n">
        <v>60000</v>
      </c>
      <c r="C35" s="101" t="n">
        <v>60000</v>
      </c>
      <c r="D35" s="101" t="n">
        <v>60000</v>
      </c>
      <c r="E35" s="102" t="n">
        <f aca="false">CHOOSE(Dashboard!$B$4,B35,C35,D35)</f>
        <v>60000</v>
      </c>
      <c r="F35" s="38" t="s">
        <v>266</v>
      </c>
      <c r="G35" s="100"/>
    </row>
    <row r="36" customFormat="false" ht="15" hidden="false" customHeight="false" outlineLevel="0" collapsed="false">
      <c r="A36" s="6" t="s">
        <v>287</v>
      </c>
      <c r="B36" s="103" t="n">
        <v>0.5</v>
      </c>
      <c r="C36" s="103" t="n">
        <v>0.5</v>
      </c>
      <c r="D36" s="103" t="n">
        <v>0.5</v>
      </c>
      <c r="E36" s="104" t="n">
        <f aca="false">CHOOSE(Dashboard!$B$4,B36,C36,D36)</f>
        <v>0.5</v>
      </c>
      <c r="F36" s="38" t="s">
        <v>257</v>
      </c>
      <c r="G36" s="100" t="s">
        <v>253</v>
      </c>
    </row>
    <row r="37" customFormat="false" ht="15" hidden="false" customHeight="false" outlineLevel="0" collapsed="false">
      <c r="A37" s="6" t="s">
        <v>288</v>
      </c>
      <c r="B37" s="98" t="n">
        <v>1</v>
      </c>
      <c r="C37" s="98" t="n">
        <v>1</v>
      </c>
      <c r="D37" s="98" t="n">
        <v>1</v>
      </c>
      <c r="E37" s="99" t="n">
        <f aca="false">CHOOSE(Dashboard!$B$4,B37,C37,D37)</f>
        <v>1</v>
      </c>
      <c r="F37" s="38" t="s">
        <v>280</v>
      </c>
      <c r="G37" s="100"/>
    </row>
    <row r="38" customFormat="false" ht="15" hidden="false" customHeight="false" outlineLevel="0" collapsed="false">
      <c r="A38" s="6" t="s">
        <v>289</v>
      </c>
      <c r="B38" s="105" t="n">
        <v>0.5</v>
      </c>
      <c r="C38" s="105" t="n">
        <v>0.5</v>
      </c>
      <c r="D38" s="105" t="n">
        <v>0.5</v>
      </c>
      <c r="E38" s="106" t="n">
        <f aca="false">CHOOSE(Dashboard!$B$4,B38,C38,D38)</f>
        <v>0.5</v>
      </c>
      <c r="F38" s="38" t="s">
        <v>276</v>
      </c>
      <c r="G38" s="100" t="s">
        <v>253</v>
      </c>
    </row>
    <row r="39" customFormat="false" ht="15" hidden="false" customHeight="false" outlineLevel="0" collapsed="false">
      <c r="A39" s="6" t="s">
        <v>290</v>
      </c>
      <c r="B39" s="101" t="n">
        <v>80000</v>
      </c>
      <c r="C39" s="101" t="n">
        <v>80000</v>
      </c>
      <c r="D39" s="101" t="n">
        <v>80000</v>
      </c>
      <c r="E39" s="102" t="n">
        <f aca="false">CHOOSE(Dashboard!$B$4,B39,C39,D39)</f>
        <v>80000</v>
      </c>
      <c r="F39" s="38" t="s">
        <v>266</v>
      </c>
      <c r="G39" s="100"/>
    </row>
    <row r="40" customFormat="false" ht="15" hidden="false" customHeight="false" outlineLevel="0" collapsed="false">
      <c r="A40" s="6" t="s">
        <v>291</v>
      </c>
      <c r="B40" s="103" t="n">
        <v>0.5</v>
      </c>
      <c r="C40" s="103" t="n">
        <v>0.5</v>
      </c>
      <c r="D40" s="103" t="n">
        <v>0.5</v>
      </c>
      <c r="E40" s="104" t="n">
        <f aca="false">CHOOSE(Dashboard!$B$4,B40,C40,D40)</f>
        <v>0.5</v>
      </c>
      <c r="F40" s="38" t="s">
        <v>257</v>
      </c>
      <c r="G40" s="100" t="s">
        <v>253</v>
      </c>
    </row>
    <row r="41" customFormat="false" ht="15" hidden="false" customHeight="false" outlineLevel="0" collapsed="false">
      <c r="A41" s="6" t="s">
        <v>292</v>
      </c>
      <c r="B41" s="98" t="n">
        <v>1</v>
      </c>
      <c r="C41" s="98" t="n">
        <v>1</v>
      </c>
      <c r="D41" s="98" t="n">
        <v>1</v>
      </c>
      <c r="E41" s="99" t="n">
        <f aca="false">CHOOSE(Dashboard!$B$4,B41,C41,D41)</f>
        <v>1</v>
      </c>
      <c r="F41" s="38" t="s">
        <v>280</v>
      </c>
      <c r="G41" s="100"/>
    </row>
    <row r="42" customFormat="false" ht="15" hidden="false" customHeight="false" outlineLevel="0" collapsed="false">
      <c r="A42" s="6" t="s">
        <v>293</v>
      </c>
      <c r="B42" s="103" t="n">
        <v>0.2</v>
      </c>
      <c r="C42" s="103" t="n">
        <v>0.2</v>
      </c>
      <c r="D42" s="103" t="n">
        <v>0.2</v>
      </c>
      <c r="E42" s="104" t="n">
        <f aca="false">CHOOSE(Dashboard!$B$4,B42,C42,D42)</f>
        <v>0.2</v>
      </c>
      <c r="F42" s="38" t="s">
        <v>257</v>
      </c>
      <c r="G42" s="100"/>
    </row>
    <row r="43" customFormat="false" ht="15" hidden="false" customHeight="false" outlineLevel="0" collapsed="false">
      <c r="A43" s="6" t="s">
        <v>294</v>
      </c>
      <c r="B43" s="103" t="n">
        <v>0.04</v>
      </c>
      <c r="C43" s="103" t="n">
        <v>0.04</v>
      </c>
      <c r="D43" s="103" t="n">
        <v>0.04</v>
      </c>
      <c r="E43" s="104" t="n">
        <f aca="false">CHOOSE(Dashboard!$B$4,B43,C43,D43)</f>
        <v>0.04</v>
      </c>
      <c r="F43" s="38" t="s">
        <v>257</v>
      </c>
      <c r="G43" s="100"/>
    </row>
    <row r="45" customFormat="false" ht="15.75" hidden="false" customHeight="true" outlineLevel="0" collapsed="false">
      <c r="A45" s="7" t="s">
        <v>295</v>
      </c>
      <c r="B45" s="7"/>
      <c r="C45" s="7"/>
      <c r="D45" s="7"/>
      <c r="E45" s="7"/>
      <c r="F45" s="7"/>
      <c r="G45" s="7"/>
    </row>
    <row r="46" customFormat="false" ht="15" hidden="false" customHeight="false" outlineLevel="0" collapsed="false">
      <c r="A46" s="6" t="s">
        <v>296</v>
      </c>
      <c r="B46" s="101" t="n">
        <v>3000000</v>
      </c>
      <c r="C46" s="101" t="n">
        <v>3000000</v>
      </c>
      <c r="D46" s="101" t="n">
        <v>3000000</v>
      </c>
      <c r="E46" s="102" t="n">
        <f aca="false">CHOOSE(Dashboard!$B$4,B46,C46,D46)</f>
        <v>3000000</v>
      </c>
      <c r="F46" s="38" t="s">
        <v>266</v>
      </c>
      <c r="G46" s="100"/>
    </row>
    <row r="47" customFormat="false" ht="15" hidden="false" customHeight="false" outlineLevel="0" collapsed="false">
      <c r="A47" s="6" t="s">
        <v>297</v>
      </c>
      <c r="B47" s="101" t="n">
        <v>0</v>
      </c>
      <c r="C47" s="101" t="n">
        <v>0</v>
      </c>
      <c r="D47" s="101" t="n">
        <v>0</v>
      </c>
      <c r="E47" s="102" t="n">
        <f aca="false">CHOOSE(Dashboard!$B$4,B47,C47,D47)</f>
        <v>0</v>
      </c>
      <c r="F47" s="38" t="s">
        <v>266</v>
      </c>
      <c r="G47" s="100"/>
    </row>
    <row r="48" customFormat="false" ht="15" hidden="false" customHeight="false" outlineLevel="0" collapsed="false">
      <c r="A48" s="6" t="s">
        <v>298</v>
      </c>
      <c r="B48" s="103" t="n">
        <v>0</v>
      </c>
      <c r="C48" s="103" t="n">
        <v>0</v>
      </c>
      <c r="D48" s="103" t="n">
        <v>0</v>
      </c>
      <c r="E48" s="104" t="n">
        <f aca="false">CHOOSE(Dashboard!$B$4,B48,C48,D48)</f>
        <v>0</v>
      </c>
      <c r="F48" s="38" t="s">
        <v>257</v>
      </c>
      <c r="G48" s="100"/>
    </row>
    <row r="49" customFormat="false" ht="15" hidden="false" customHeight="false" outlineLevel="0" collapsed="false">
      <c r="A49" s="6" t="s">
        <v>299</v>
      </c>
      <c r="B49" s="98" t="n">
        <v>1</v>
      </c>
      <c r="C49" s="98" t="n">
        <v>1</v>
      </c>
      <c r="D49" s="98" t="n">
        <v>1</v>
      </c>
      <c r="E49" s="99" t="n">
        <f aca="false">CHOOSE(Dashboard!$B$4,B49,C49,D49)</f>
        <v>1</v>
      </c>
      <c r="F49" s="38" t="s">
        <v>300</v>
      </c>
      <c r="G49" s="100"/>
    </row>
    <row r="51" customFormat="false" ht="15.75" hidden="false" customHeight="true" outlineLevel="0" collapsed="false">
      <c r="A51" s="7" t="s">
        <v>301</v>
      </c>
      <c r="B51" s="7"/>
      <c r="C51" s="7"/>
      <c r="D51" s="7"/>
      <c r="E51" s="7"/>
      <c r="F51" s="7"/>
      <c r="G51" s="7"/>
    </row>
    <row r="52" customFormat="false" ht="15" hidden="false" customHeight="false" outlineLevel="0" collapsed="false">
      <c r="A52" s="6" t="s">
        <v>302</v>
      </c>
      <c r="B52" s="98" t="n">
        <v>5</v>
      </c>
      <c r="C52" s="98" t="n">
        <v>5</v>
      </c>
      <c r="D52" s="98" t="n">
        <v>5</v>
      </c>
      <c r="E52" s="99" t="n">
        <f aca="false">CHOOSE(Dashboard!$B$4,B52,C52,D52)</f>
        <v>5</v>
      </c>
      <c r="F52" s="38" t="s">
        <v>303</v>
      </c>
      <c r="G52" s="100"/>
    </row>
    <row r="53" customFormat="false" ht="15" hidden="false" customHeight="false" outlineLevel="0" collapsed="false">
      <c r="A53" s="6" t="s">
        <v>304</v>
      </c>
      <c r="B53" s="98" t="n">
        <v>0</v>
      </c>
      <c r="C53" s="98" t="n">
        <v>0</v>
      </c>
      <c r="D53" s="98" t="n">
        <v>0</v>
      </c>
      <c r="E53" s="99" t="n">
        <f aca="false">CHOOSE(Dashboard!$B$4,B53,C53,D53)</f>
        <v>0</v>
      </c>
      <c r="F53" s="38" t="s">
        <v>303</v>
      </c>
      <c r="G53" s="100"/>
    </row>
    <row r="54" customFormat="false" ht="15" hidden="false" customHeight="false" outlineLevel="0" collapsed="false">
      <c r="A54" s="6" t="s">
        <v>305</v>
      </c>
      <c r="B54" s="98" t="n">
        <v>30</v>
      </c>
      <c r="C54" s="98" t="n">
        <v>30</v>
      </c>
      <c r="D54" s="98" t="n">
        <v>30</v>
      </c>
      <c r="E54" s="99" t="n">
        <f aca="false">CHOOSE(Dashboard!$B$4,B54,C54,D54)</f>
        <v>30</v>
      </c>
      <c r="F54" s="38" t="s">
        <v>303</v>
      </c>
      <c r="G54" s="100"/>
    </row>
    <row r="56" customFormat="false" ht="15.75" hidden="false" customHeight="true" outlineLevel="0" collapsed="false">
      <c r="A56" s="7" t="s">
        <v>306</v>
      </c>
      <c r="B56" s="7"/>
      <c r="C56" s="7"/>
      <c r="D56" s="7"/>
      <c r="E56" s="7"/>
      <c r="F56" s="7"/>
      <c r="G56" s="7"/>
    </row>
    <row r="57" customFormat="false" ht="15" hidden="false" customHeight="false" outlineLevel="0" collapsed="false">
      <c r="A57" s="6" t="s">
        <v>307</v>
      </c>
      <c r="B57" s="98" t="n">
        <v>3</v>
      </c>
      <c r="C57" s="98" t="n">
        <v>3</v>
      </c>
      <c r="D57" s="98" t="n">
        <v>3</v>
      </c>
      <c r="E57" s="99" t="n">
        <f aca="false">CHOOSE(Dashboard!$B$4,B57,C57,D57)</f>
        <v>3</v>
      </c>
      <c r="F57" s="38" t="s">
        <v>300</v>
      </c>
      <c r="G57" s="100"/>
    </row>
    <row r="58" customFormat="false" ht="15" hidden="false" customHeight="false" outlineLevel="0" collapsed="false">
      <c r="A58" s="6" t="s">
        <v>308</v>
      </c>
      <c r="B58" s="103" t="n">
        <v>0.21</v>
      </c>
      <c r="C58" s="103" t="n">
        <v>0.21</v>
      </c>
      <c r="D58" s="103" t="n">
        <v>0.21</v>
      </c>
      <c r="E58" s="104" t="n">
        <f aca="false">CHOOSE(Dashboard!$B$4,B58,C58,D58)</f>
        <v>0.21</v>
      </c>
      <c r="F58" s="38" t="s">
        <v>257</v>
      </c>
      <c r="G58" s="100"/>
    </row>
    <row r="60" customFormat="false" ht="15.75" hidden="false" customHeight="true" outlineLevel="0" collapsed="false">
      <c r="A60" s="7" t="s">
        <v>309</v>
      </c>
      <c r="B60" s="7"/>
      <c r="C60" s="7"/>
      <c r="D60" s="7"/>
      <c r="E60" s="7"/>
      <c r="F60" s="7"/>
      <c r="G60" s="7"/>
    </row>
    <row r="61" customFormat="false" ht="15" hidden="false" customHeight="false" outlineLevel="0" collapsed="false">
      <c r="A61" s="6" t="s">
        <v>141</v>
      </c>
      <c r="B61" s="101" t="n">
        <v>225000</v>
      </c>
      <c r="C61" s="101" t="n">
        <v>225000</v>
      </c>
      <c r="D61" s="101" t="n">
        <v>225000</v>
      </c>
      <c r="E61" s="102" t="n">
        <f aca="false">CHOOSE(Dashboard!$B$4,B61,C61,D61)</f>
        <v>225000</v>
      </c>
      <c r="F61" s="38" t="s">
        <v>266</v>
      </c>
      <c r="G61" s="100" t="s">
        <v>310</v>
      </c>
    </row>
    <row r="63" customFormat="false" ht="15.75" hidden="false" customHeight="true" outlineLevel="0" collapsed="false">
      <c r="A63" s="7" t="s">
        <v>311</v>
      </c>
      <c r="B63" s="7"/>
      <c r="C63" s="7"/>
      <c r="D63" s="7"/>
      <c r="E63" s="7"/>
      <c r="F63" s="7"/>
      <c r="G63" s="7"/>
    </row>
    <row r="64" customFormat="false" ht="15" hidden="false" customHeight="false" outlineLevel="0" collapsed="false">
      <c r="A64" s="6" t="s">
        <v>168</v>
      </c>
      <c r="B64" s="103" t="n">
        <v>0.25</v>
      </c>
      <c r="C64" s="103" t="n">
        <v>0.2</v>
      </c>
      <c r="D64" s="103" t="n">
        <v>0.17</v>
      </c>
      <c r="E64" s="104" t="n">
        <f aca="false">CHOOSE(Dashboard!$B$4,B64,C64,D64)</f>
        <v>0.2</v>
      </c>
      <c r="F64" s="38" t="s">
        <v>257</v>
      </c>
      <c r="G64" s="100" t="s">
        <v>258</v>
      </c>
    </row>
    <row r="65" customFormat="false" ht="15" hidden="false" customHeight="false" outlineLevel="0" collapsed="false">
      <c r="A65" s="6" t="s">
        <v>312</v>
      </c>
      <c r="B65" s="103" t="n">
        <v>0.01</v>
      </c>
      <c r="C65" s="103" t="n">
        <v>0.02</v>
      </c>
      <c r="D65" s="103" t="n">
        <v>0.03</v>
      </c>
      <c r="E65" s="104" t="n">
        <f aca="false">CHOOSE(Dashboard!$B$4,B65,C65,D65)</f>
        <v>0.02</v>
      </c>
      <c r="F65" s="38" t="s">
        <v>257</v>
      </c>
      <c r="G65" s="100" t="s">
        <v>253</v>
      </c>
    </row>
    <row r="66" customFormat="false" ht="15" hidden="false" customHeight="false" outlineLevel="0" collapsed="false">
      <c r="A66" s="6" t="s">
        <v>170</v>
      </c>
      <c r="B66" s="109" t="n">
        <v>3.5</v>
      </c>
      <c r="C66" s="109" t="n">
        <v>4.5</v>
      </c>
      <c r="D66" s="109" t="n">
        <v>6</v>
      </c>
      <c r="E66" s="110" t="n">
        <f aca="false">CHOOSE(Dashboard!$B$4,B66,C66,D66)</f>
        <v>4.5</v>
      </c>
      <c r="F66" s="38" t="s">
        <v>313</v>
      </c>
      <c r="G66" s="100" t="s">
        <v>253</v>
      </c>
    </row>
    <row r="67" customFormat="false" ht="15" hidden="false" customHeight="false" outlineLevel="0" collapsed="false">
      <c r="A67" s="6" t="s">
        <v>314</v>
      </c>
      <c r="B67" s="103" t="n">
        <v>0.01</v>
      </c>
      <c r="C67" s="103" t="n">
        <v>0.01</v>
      </c>
      <c r="D67" s="103" t="n">
        <v>0.01</v>
      </c>
      <c r="E67" s="104" t="n">
        <f aca="false">CHOOSE(Dashboard!$B$4,B67,C67,D67)</f>
        <v>0.01</v>
      </c>
      <c r="F67" s="38" t="s">
        <v>257</v>
      </c>
      <c r="G67" s="100"/>
    </row>
    <row r="68" customFormat="false" ht="15" hidden="false" customHeight="false" outlineLevel="0" collapsed="false">
      <c r="A68" s="6" t="s">
        <v>315</v>
      </c>
      <c r="B68" s="103" t="n">
        <v>0.005</v>
      </c>
      <c r="C68" s="103" t="n">
        <v>0.005</v>
      </c>
      <c r="D68" s="103" t="n">
        <v>0.005</v>
      </c>
      <c r="E68" s="104" t="n">
        <f aca="false">CHOOSE(Dashboard!$B$4,B68,C68,D68)</f>
        <v>0.005</v>
      </c>
      <c r="F68" s="38" t="s">
        <v>257</v>
      </c>
      <c r="G68" s="100"/>
    </row>
    <row r="70" customFormat="false" ht="15" hidden="false" customHeight="false" outlineLevel="0" collapsed="false">
      <c r="A70" s="21" t="s">
        <v>316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2F"/>
    <pageSetUpPr fitToPage="true"/>
  </sheetPr>
  <dimension ref="A1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4"/>
  </cols>
  <sheetData>
    <row r="1" customFormat="false" ht="21.75" hidden="false" customHeight="true" outlineLevel="0" collapsed="false">
      <c r="A1" s="16" t="s">
        <v>20</v>
      </c>
      <c r="H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317</v>
      </c>
    </row>
    <row r="3" customFormat="false" ht="15" hidden="false" customHeight="false" outlineLevel="0" collapsed="false">
      <c r="A3" s="71" t="s">
        <v>154</v>
      </c>
      <c r="B3" s="71" t="n">
        <v>1</v>
      </c>
      <c r="C3" s="71" t="n">
        <v>2</v>
      </c>
      <c r="D3" s="71" t="n">
        <v>3</v>
      </c>
      <c r="E3" s="71" t="n">
        <v>4</v>
      </c>
      <c r="F3" s="71" t="n">
        <v>5</v>
      </c>
    </row>
    <row r="4" customFormat="false" ht="15" hidden="false" customHeight="false" outlineLevel="0" collapsed="false">
      <c r="A4" s="33"/>
      <c r="B4" s="51" t="s">
        <v>155</v>
      </c>
      <c r="C4" s="51" t="s">
        <v>156</v>
      </c>
      <c r="D4" s="51" t="s">
        <v>157</v>
      </c>
      <c r="E4" s="51" t="s">
        <v>158</v>
      </c>
      <c r="F4" s="51" t="s">
        <v>159</v>
      </c>
    </row>
    <row r="5" customFormat="false" ht="15" hidden="false" customHeight="false" outlineLevel="0" collapsed="false">
      <c r="A5" s="4" t="s">
        <v>44</v>
      </c>
      <c r="B5" s="72" t="n">
        <f aca="false">SUMIF(Monthly!$C$5:$BJ$5,B$3,Monthly!$C$24:$BJ$24)</f>
        <v>225414.939184555</v>
      </c>
      <c r="C5" s="72" t="n">
        <f aca="false">SUMIF(Monthly!$C$5:$BJ$5,C$3,Monthly!$C$24:$BJ$24)</f>
        <v>591123.330484019</v>
      </c>
      <c r="D5" s="72" t="n">
        <f aca="false">SUMIF(Monthly!$C$5:$BJ$5,D$3,Monthly!$C$24:$BJ$24)</f>
        <v>979388.559956597</v>
      </c>
      <c r="E5" s="72" t="n">
        <f aca="false">SUMIF(Monthly!$C$5:$BJ$5,E$3,Monthly!$C$24:$BJ$24)</f>
        <v>1418382.10030103</v>
      </c>
      <c r="F5" s="72" t="n">
        <f aca="false">SUMIF(Monthly!$C$5:$BJ$5,F$3,Monthly!$C$24:$BJ$24)</f>
        <v>1939020.94087271</v>
      </c>
    </row>
    <row r="6" customFormat="false" ht="15" hidden="false" customHeight="false" outlineLevel="0" collapsed="false">
      <c r="A6" s="6" t="s">
        <v>75</v>
      </c>
      <c r="B6" s="66" t="n">
        <f aca="false">SUMIF(Monthly!$C$5:$BJ$5,B$3,Monthly!$C$25:$BJ$25)</f>
        <v>-27011.4161847206</v>
      </c>
      <c r="C6" s="66" t="n">
        <f aca="false">SUMIF(Monthly!$C$5:$BJ$5,C$3,Monthly!$C$25:$BJ$25)</f>
        <v>-70436.2940568575</v>
      </c>
      <c r="D6" s="66" t="n">
        <f aca="false">SUMIF(Monthly!$C$5:$BJ$5,D$3,Monthly!$C$25:$BJ$25)</f>
        <v>-116003.606459213</v>
      </c>
      <c r="E6" s="66" t="n">
        <f aca="false">SUMIF(Monthly!$C$5:$BJ$5,E$3,Monthly!$C$25:$BJ$25)</f>
        <v>-167064.40393656</v>
      </c>
      <c r="F6" s="66" t="n">
        <f aca="false">SUMIF(Monthly!$C$5:$BJ$5,F$3,Monthly!$C$25:$BJ$25)</f>
        <v>-227211.3356816</v>
      </c>
    </row>
    <row r="7" customFormat="false" ht="15" hidden="false" customHeight="false" outlineLevel="0" collapsed="false">
      <c r="A7" s="111" t="s">
        <v>45</v>
      </c>
      <c r="B7" s="67" t="n">
        <f aca="false">SUMIF(Monthly!$C$5:$BJ$5,B$3,Monthly!$C$26:$BJ$26)</f>
        <v>198403.522999835</v>
      </c>
      <c r="C7" s="67" t="n">
        <f aca="false">SUMIF(Monthly!$C$5:$BJ$5,C$3,Monthly!$C$26:$BJ$26)</f>
        <v>520687.036427161</v>
      </c>
      <c r="D7" s="67" t="n">
        <f aca="false">SUMIF(Monthly!$C$5:$BJ$5,D$3,Monthly!$C$26:$BJ$26)</f>
        <v>863384.953497385</v>
      </c>
      <c r="E7" s="67" t="n">
        <f aca="false">SUMIF(Monthly!$C$5:$BJ$5,E$3,Monthly!$C$26:$BJ$26)</f>
        <v>1251317.69636447</v>
      </c>
      <c r="F7" s="67" t="n">
        <f aca="false">SUMIF(Monthly!$C$5:$BJ$5,F$3,Monthly!$C$26:$BJ$26)</f>
        <v>1711809.6051911</v>
      </c>
    </row>
    <row r="8" customFormat="false" ht="15" hidden="false" customHeight="false" outlineLevel="0" collapsed="false">
      <c r="A8" s="38" t="s">
        <v>46</v>
      </c>
      <c r="B8" s="73" t="n">
        <f aca="false">IF(B5=0,0,B7/B5)</f>
        <v>0.880170248332097</v>
      </c>
      <c r="C8" s="73" t="n">
        <f aca="false">IF(C5=0,0,C7/C5)</f>
        <v>0.880843319110441</v>
      </c>
      <c r="D8" s="73" t="n">
        <f aca="false">IF(D5=0,0,D7/D5)</f>
        <v>0.881555073030102</v>
      </c>
      <c r="E8" s="73" t="n">
        <f aca="false">IF(E5=0,0,E7/E5)</f>
        <v>0.882214810874232</v>
      </c>
      <c r="F8" s="73" t="n">
        <f aca="false">IF(F5=0,0,F7/F5)</f>
        <v>0.882821618430104</v>
      </c>
    </row>
    <row r="9" customFormat="false" ht="15" hidden="false" customHeight="false" outlineLevel="0" collapsed="false">
      <c r="A9" s="6" t="s">
        <v>318</v>
      </c>
      <c r="B9" s="66" t="n">
        <f aca="false">SUMIF(Monthly!$C$5:$BJ$5,B$3,Monthly!$C$29:$BJ$29)</f>
        <v>-741000</v>
      </c>
      <c r="C9" s="66" t="n">
        <f aca="false">SUMIF(Monthly!$C$5:$BJ$5,C$3,Monthly!$C$29:$BJ$29)</f>
        <v>-1155960</v>
      </c>
      <c r="D9" s="66" t="n">
        <f aca="false">SUMIF(Monthly!$C$5:$BJ$5,D$3,Monthly!$C$29:$BJ$29)</f>
        <v>-1803297.6</v>
      </c>
      <c r="E9" s="66" t="n">
        <f aca="false">SUMIF(Monthly!$C$5:$BJ$5,E$3,Monthly!$C$29:$BJ$29)</f>
        <v>-2813144.256</v>
      </c>
      <c r="F9" s="66" t="n">
        <f aca="false">SUMIF(Monthly!$C$5:$BJ$5,F$3,Monthly!$C$29:$BJ$29)</f>
        <v>-4388505.03936</v>
      </c>
    </row>
    <row r="10" customFormat="false" ht="15" hidden="false" customHeight="false" outlineLevel="0" collapsed="false">
      <c r="A10" s="6" t="s">
        <v>319</v>
      </c>
      <c r="B10" s="66" t="n">
        <f aca="false">SUMIF(Monthly!$C$5:$BJ$5,B$3,Monthly!$C$30:$BJ$30)</f>
        <v>-96000</v>
      </c>
      <c r="C10" s="66" t="n">
        <f aca="false">SUMIF(Monthly!$C$5:$BJ$5,C$3,Monthly!$C$30:$BJ$30)</f>
        <v>-115200</v>
      </c>
      <c r="D10" s="66" t="n">
        <f aca="false">SUMIF(Monthly!$C$5:$BJ$5,D$3,Monthly!$C$30:$BJ$30)</f>
        <v>-138240</v>
      </c>
      <c r="E10" s="66" t="n">
        <f aca="false">SUMIF(Monthly!$C$5:$BJ$5,E$3,Monthly!$C$30:$BJ$30)</f>
        <v>-165888</v>
      </c>
      <c r="F10" s="66" t="n">
        <f aca="false">SUMIF(Monthly!$C$5:$BJ$5,F$3,Monthly!$C$30:$BJ$30)</f>
        <v>-199065.6</v>
      </c>
    </row>
    <row r="11" customFormat="false" ht="15" hidden="false" customHeight="false" outlineLevel="0" collapsed="false">
      <c r="A11" s="6" t="s">
        <v>320</v>
      </c>
      <c r="B11" s="66" t="n">
        <f aca="false">SUMIF(Monthly!$C$5:$BJ$5,B$3,Monthly!$C$31:$BJ$31)</f>
        <v>-10800</v>
      </c>
      <c r="C11" s="66" t="n">
        <f aca="false">SUMIF(Monthly!$C$5:$BJ$5,C$3,Monthly!$C$31:$BJ$31)</f>
        <v>-16200</v>
      </c>
      <c r="D11" s="66" t="n">
        <f aca="false">SUMIF(Monthly!$C$5:$BJ$5,D$3,Monthly!$C$31:$BJ$31)</f>
        <v>-24300</v>
      </c>
      <c r="E11" s="66" t="n">
        <f aca="false">SUMIF(Monthly!$C$5:$BJ$5,E$3,Monthly!$C$31:$BJ$31)</f>
        <v>-36450</v>
      </c>
      <c r="F11" s="66" t="n">
        <f aca="false">SUMIF(Monthly!$C$5:$BJ$5,F$3,Monthly!$C$31:$BJ$31)</f>
        <v>-54675</v>
      </c>
    </row>
    <row r="12" customFormat="false" ht="15" hidden="false" customHeight="false" outlineLevel="0" collapsed="false">
      <c r="A12" s="6" t="s">
        <v>321</v>
      </c>
      <c r="B12" s="66" t="n">
        <f aca="false">SUMIF(Monthly!$C$5:$BJ$5,B$3,Monthly!$C$32:$BJ$32)</f>
        <v>-18000</v>
      </c>
      <c r="C12" s="66" t="n">
        <f aca="false">SUMIF(Monthly!$C$5:$BJ$5,C$3,Monthly!$C$32:$BJ$32)</f>
        <v>-18000</v>
      </c>
      <c r="D12" s="66" t="n">
        <f aca="false">SUMIF(Monthly!$C$5:$BJ$5,D$3,Monthly!$C$32:$BJ$32)</f>
        <v>-18000</v>
      </c>
      <c r="E12" s="66" t="n">
        <f aca="false">SUMIF(Monthly!$C$5:$BJ$5,E$3,Monthly!$C$32:$BJ$32)</f>
        <v>-18000</v>
      </c>
      <c r="F12" s="66" t="n">
        <f aca="false">SUMIF(Monthly!$C$5:$BJ$5,F$3,Monthly!$C$32:$BJ$32)</f>
        <v>-18000</v>
      </c>
    </row>
    <row r="13" customFormat="false" ht="15" hidden="false" customHeight="false" outlineLevel="0" collapsed="false">
      <c r="A13" s="6" t="s">
        <v>322</v>
      </c>
      <c r="B13" s="66" t="n">
        <f aca="false">SUMIF(Monthly!$C$5:$BJ$5,B$3,Monthly!$C$33:$BJ$33)</f>
        <v>-36000</v>
      </c>
      <c r="C13" s="66" t="n">
        <f aca="false">SUMIF(Monthly!$C$5:$BJ$5,C$3,Monthly!$C$33:$BJ$33)</f>
        <v>-36000</v>
      </c>
      <c r="D13" s="66" t="n">
        <f aca="false">SUMIF(Monthly!$C$5:$BJ$5,D$3,Monthly!$C$33:$BJ$33)</f>
        <v>-36000</v>
      </c>
      <c r="E13" s="66" t="n">
        <f aca="false">SUMIF(Monthly!$C$5:$BJ$5,E$3,Monthly!$C$33:$BJ$33)</f>
        <v>-36000</v>
      </c>
      <c r="F13" s="66" t="n">
        <f aca="false">SUMIF(Monthly!$C$5:$BJ$5,F$3,Monthly!$C$33:$BJ$33)</f>
        <v>-36000</v>
      </c>
    </row>
    <row r="14" customFormat="false" ht="15" hidden="false" customHeight="false" outlineLevel="0" collapsed="false">
      <c r="A14" s="111" t="s">
        <v>76</v>
      </c>
      <c r="B14" s="67" t="n">
        <f aca="false">SUMIF(Monthly!$C$5:$BJ$5,B$3,Monthly!$C$34:$BJ$34)</f>
        <v>-901800</v>
      </c>
      <c r="C14" s="67" t="n">
        <f aca="false">SUMIF(Monthly!$C$5:$BJ$5,C$3,Monthly!$C$34:$BJ$34)</f>
        <v>-1341360</v>
      </c>
      <c r="D14" s="67" t="n">
        <f aca="false">SUMIF(Monthly!$C$5:$BJ$5,D$3,Monthly!$C$34:$BJ$34)</f>
        <v>-2019837.6</v>
      </c>
      <c r="E14" s="67" t="n">
        <f aca="false">SUMIF(Monthly!$C$5:$BJ$5,E$3,Monthly!$C$34:$BJ$34)</f>
        <v>-3069482.256</v>
      </c>
      <c r="F14" s="67" t="n">
        <f aca="false">SUMIF(Monthly!$C$5:$BJ$5,F$3,Monthly!$C$34:$BJ$34)</f>
        <v>-4696245.63936</v>
      </c>
    </row>
    <row r="15" customFormat="false" ht="15" hidden="false" customHeight="false" outlineLevel="0" collapsed="false">
      <c r="A15" s="111" t="s">
        <v>48</v>
      </c>
      <c r="B15" s="67" t="n">
        <f aca="false">SUMIF(Monthly!$C$5:$BJ$5,B$3,Monthly!$C$35:$BJ$35)</f>
        <v>-703396.477000165</v>
      </c>
      <c r="C15" s="67" t="n">
        <f aca="false">SUMIF(Monthly!$C$5:$BJ$5,C$3,Monthly!$C$35:$BJ$35)</f>
        <v>-820672.963572839</v>
      </c>
      <c r="D15" s="67" t="n">
        <f aca="false">SUMIF(Monthly!$C$5:$BJ$5,D$3,Monthly!$C$35:$BJ$35)</f>
        <v>-1156452.64650262</v>
      </c>
      <c r="E15" s="67" t="n">
        <f aca="false">SUMIF(Monthly!$C$5:$BJ$5,E$3,Monthly!$C$35:$BJ$35)</f>
        <v>-1818164.55963553</v>
      </c>
      <c r="F15" s="67" t="n">
        <f aca="false">SUMIF(Monthly!$C$5:$BJ$5,F$3,Monthly!$C$35:$BJ$35)</f>
        <v>-2984436.0341689</v>
      </c>
    </row>
    <row r="16" customFormat="false" ht="15" hidden="false" customHeight="false" outlineLevel="0" collapsed="false">
      <c r="A16" s="38" t="s">
        <v>49</v>
      </c>
      <c r="B16" s="73" t="n">
        <f aca="false">IF(B5=0,0,B15/B5)</f>
        <v>-3.12045190768953</v>
      </c>
      <c r="C16" s="73" t="n">
        <f aca="false">IF(C5=0,0,C15/C5)</f>
        <v>-1.38832781798827</v>
      </c>
      <c r="D16" s="73" t="n">
        <f aca="false">IF(D5=0,0,D15/D5)</f>
        <v>-1.18079043781547</v>
      </c>
      <c r="E16" s="73" t="n">
        <f aca="false">IF(E5=0,0,E15/E5)</f>
        <v>-1.2818580827054</v>
      </c>
      <c r="F16" s="73" t="n">
        <f aca="false">IF(F5=0,0,F15/F5)</f>
        <v>-1.53914584998018</v>
      </c>
    </row>
    <row r="17" customFormat="false" ht="15" hidden="false" customHeight="false" outlineLevel="0" collapsed="false">
      <c r="A17" s="6" t="s">
        <v>77</v>
      </c>
      <c r="B17" s="66" t="n">
        <f aca="false">SUMIF(Monthly!$C$5:$BJ$5,B$3,Monthly!$C$49:$BJ$49)</f>
        <v>-6666.66666666667</v>
      </c>
      <c r="C17" s="66" t="n">
        <f aca="false">SUMIF(Monthly!$C$5:$BJ$5,C$3,Monthly!$C$49:$BJ$49)</f>
        <v>-6666.66666666667</v>
      </c>
      <c r="D17" s="66" t="n">
        <f aca="false">SUMIF(Monthly!$C$5:$BJ$5,D$3,Monthly!$C$49:$BJ$49)</f>
        <v>-6666.66666666667</v>
      </c>
      <c r="E17" s="66" t="n">
        <f aca="false">SUMIF(Monthly!$C$5:$BJ$5,E$3,Monthly!$C$49:$BJ$49)</f>
        <v>0</v>
      </c>
      <c r="F17" s="66" t="n">
        <f aca="false">SUMIF(Monthly!$C$5:$BJ$5,F$3,Monthly!$C$49:$BJ$49)</f>
        <v>0</v>
      </c>
    </row>
    <row r="18" customFormat="false" ht="15" hidden="false" customHeight="false" outlineLevel="0" collapsed="false">
      <c r="A18" s="4" t="s">
        <v>78</v>
      </c>
      <c r="B18" s="72" t="n">
        <f aca="false">SUMIF(Monthly!$C$5:$BJ$5,B$3,Monthly!$C$38:$BJ$38)</f>
        <v>-710063.143666832</v>
      </c>
      <c r="C18" s="72" t="n">
        <f aca="false">SUMIF(Monthly!$C$5:$BJ$5,C$3,Monthly!$C$38:$BJ$38)</f>
        <v>-827339.630239505</v>
      </c>
      <c r="D18" s="72" t="n">
        <f aca="false">SUMIF(Monthly!$C$5:$BJ$5,D$3,Monthly!$C$38:$BJ$38)</f>
        <v>-1163119.31316928</v>
      </c>
      <c r="E18" s="72" t="n">
        <f aca="false">SUMIF(Monthly!$C$5:$BJ$5,E$3,Monthly!$C$38:$BJ$38)</f>
        <v>-1818164.55963553</v>
      </c>
      <c r="F18" s="72" t="n">
        <f aca="false">SUMIF(Monthly!$C$5:$BJ$5,F$3,Monthly!$C$38:$BJ$38)</f>
        <v>-2984436.0341689</v>
      </c>
    </row>
    <row r="19" customFormat="false" ht="15" hidden="false" customHeight="false" outlineLevel="0" collapsed="false">
      <c r="A19" s="6" t="s">
        <v>79</v>
      </c>
      <c r="B19" s="66" t="n">
        <f aca="false">SUMIF(Monthly!$C$5:$BJ$5,B$3,Monthly!$C$39:$BJ$39)</f>
        <v>0</v>
      </c>
      <c r="C19" s="66" t="n">
        <f aca="false">SUMIF(Monthly!$C$5:$BJ$5,C$3,Monthly!$C$39:$BJ$39)</f>
        <v>0</v>
      </c>
      <c r="D19" s="66" t="n">
        <f aca="false">SUMIF(Monthly!$C$5:$BJ$5,D$3,Monthly!$C$39:$BJ$39)</f>
        <v>0</v>
      </c>
      <c r="E19" s="66" t="n">
        <f aca="false">SUMIF(Monthly!$C$5:$BJ$5,E$3,Monthly!$C$39:$BJ$39)</f>
        <v>0</v>
      </c>
      <c r="F19" s="66" t="n">
        <f aca="false">SUMIF(Monthly!$C$5:$BJ$5,F$3,Monthly!$C$39:$BJ$39)</f>
        <v>0</v>
      </c>
    </row>
    <row r="20" customFormat="false" ht="15" hidden="false" customHeight="false" outlineLevel="0" collapsed="false">
      <c r="A20" s="112" t="s">
        <v>80</v>
      </c>
      <c r="B20" s="113" t="n">
        <f aca="false">SUMIF(Monthly!$C$5:$BJ$5,B$3,Monthly!$C$40:$BJ$40)</f>
        <v>-710063.143666832</v>
      </c>
      <c r="C20" s="113" t="n">
        <f aca="false">SUMIF(Monthly!$C$5:$BJ$5,C$3,Monthly!$C$40:$BJ$40)</f>
        <v>-827339.630239505</v>
      </c>
      <c r="D20" s="113" t="n">
        <f aca="false">SUMIF(Monthly!$C$5:$BJ$5,D$3,Monthly!$C$40:$BJ$40)</f>
        <v>-1163119.31316928</v>
      </c>
      <c r="E20" s="113" t="n">
        <f aca="false">SUMIF(Monthly!$C$5:$BJ$5,E$3,Monthly!$C$40:$BJ$40)</f>
        <v>-1818164.55963553</v>
      </c>
      <c r="F20" s="113" t="n">
        <f aca="false">SUMIF(Monthly!$C$5:$BJ$5,F$3,Monthly!$C$40:$BJ$40)</f>
        <v>-2984436.0341689</v>
      </c>
    </row>
    <row r="21" customFormat="false" ht="15" hidden="false" customHeight="false" outlineLevel="0" collapsed="false">
      <c r="A21" s="6" t="s">
        <v>81</v>
      </c>
      <c r="B21" s="66" t="n">
        <f aca="false">SUMIF(Monthly!$C$5:$BJ$5,B$3,Monthly!$C$43:$BJ$43)</f>
        <v>0</v>
      </c>
      <c r="C21" s="66" t="n">
        <f aca="false">SUMIF(Monthly!$C$5:$BJ$5,C$3,Monthly!$C$43:$BJ$43)</f>
        <v>0</v>
      </c>
      <c r="D21" s="66" t="n">
        <f aca="false">SUMIF(Monthly!$C$5:$BJ$5,D$3,Monthly!$C$43:$BJ$43)</f>
        <v>0</v>
      </c>
      <c r="E21" s="66" t="n">
        <f aca="false">SUMIF(Monthly!$C$5:$BJ$5,E$3,Monthly!$C$43:$BJ$43)</f>
        <v>0</v>
      </c>
      <c r="F21" s="66" t="n">
        <f aca="false">SUMIF(Monthly!$C$5:$BJ$5,F$3,Monthly!$C$43:$BJ$43)</f>
        <v>0</v>
      </c>
    </row>
    <row r="22" customFormat="false" ht="15" hidden="false" customHeight="false" outlineLevel="0" collapsed="false">
      <c r="A22" s="69" t="s">
        <v>50</v>
      </c>
      <c r="B22" s="70" t="n">
        <f aca="false">SUMIF(Monthly!$C$5:$BJ$5,B$3,Monthly!$C$44:$BJ$44)</f>
        <v>-710063.143666832</v>
      </c>
      <c r="C22" s="70" t="n">
        <f aca="false">SUMIF(Monthly!$C$5:$BJ$5,C$3,Monthly!$C$44:$BJ$44)</f>
        <v>-827339.630239505</v>
      </c>
      <c r="D22" s="70" t="n">
        <f aca="false">SUMIF(Monthly!$C$5:$BJ$5,D$3,Monthly!$C$44:$BJ$44)</f>
        <v>-1163119.31316928</v>
      </c>
      <c r="E22" s="70" t="n">
        <f aca="false">SUMIF(Monthly!$C$5:$BJ$5,E$3,Monthly!$C$44:$BJ$44)</f>
        <v>-1818164.55963553</v>
      </c>
      <c r="F22" s="70" t="n">
        <f aca="false">SUMIF(Monthly!$C$5:$BJ$5,F$3,Monthly!$C$44:$BJ$44)</f>
        <v>-2984436.0341689</v>
      </c>
    </row>
    <row r="23" customFormat="false" ht="15" hidden="false" customHeight="false" outlineLevel="0" collapsed="false">
      <c r="A23" s="38" t="s">
        <v>51</v>
      </c>
      <c r="B23" s="73" t="n">
        <f aca="false">IF(B5=0,0,B22/B5)</f>
        <v>-3.15002699570625</v>
      </c>
      <c r="C23" s="73" t="n">
        <f aca="false">IF(C5=0,0,C22/C5)</f>
        <v>-1.39960578034041</v>
      </c>
      <c r="D23" s="73" t="n">
        <f aca="false">IF(D5=0,0,D22/D5)</f>
        <v>-1.18759740589662</v>
      </c>
      <c r="E23" s="73" t="n">
        <f aca="false">IF(E5=0,0,E22/E5)</f>
        <v>-1.2818580827054</v>
      </c>
      <c r="F23" s="73" t="n">
        <f aca="false">IF(F5=0,0,F22/F5)</f>
        <v>-1.53914584998018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2F"/>
    <pageSetUpPr fitToPage="true"/>
  </sheetPr>
  <dimension ref="A1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4"/>
  </cols>
  <sheetData>
    <row r="1" customFormat="false" ht="21.75" hidden="false" customHeight="true" outlineLevel="0" collapsed="false">
      <c r="A1" s="16" t="s">
        <v>21</v>
      </c>
      <c r="H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317</v>
      </c>
    </row>
    <row r="3" customFormat="false" ht="15" hidden="false" customHeight="false" outlineLevel="0" collapsed="false">
      <c r="A3" s="71" t="s">
        <v>154</v>
      </c>
      <c r="B3" s="71" t="n">
        <v>1</v>
      </c>
      <c r="C3" s="71" t="n">
        <v>2</v>
      </c>
      <c r="D3" s="71" t="n">
        <v>3</v>
      </c>
      <c r="E3" s="71" t="n">
        <v>4</v>
      </c>
      <c r="F3" s="71" t="n">
        <v>5</v>
      </c>
    </row>
    <row r="4" customFormat="false" ht="15" hidden="false" customHeight="false" outlineLevel="0" collapsed="false">
      <c r="A4" s="33"/>
      <c r="B4" s="51" t="s">
        <v>155</v>
      </c>
      <c r="C4" s="51" t="s">
        <v>156</v>
      </c>
      <c r="D4" s="51" t="s">
        <v>157</v>
      </c>
      <c r="E4" s="51" t="s">
        <v>158</v>
      </c>
      <c r="F4" s="51" t="s">
        <v>159</v>
      </c>
    </row>
    <row r="5" customFormat="false" ht="15" hidden="false" customHeight="false" outlineLevel="0" collapsed="false">
      <c r="A5" s="6" t="s">
        <v>50</v>
      </c>
      <c r="B5" s="66" t="n">
        <f aca="false">SUMIF(Monthly!$C$5:$BJ$5,B$3,Monthly!$C$44:$BJ$44)</f>
        <v>-710063.143666832</v>
      </c>
      <c r="C5" s="66" t="n">
        <f aca="false">SUMIF(Monthly!$C$5:$BJ$5,C$3,Monthly!$C$44:$BJ$44)</f>
        <v>-827339.630239505</v>
      </c>
      <c r="D5" s="66" t="n">
        <f aca="false">SUMIF(Monthly!$C$5:$BJ$5,D$3,Monthly!$C$44:$BJ$44)</f>
        <v>-1163119.31316928</v>
      </c>
      <c r="E5" s="66" t="n">
        <f aca="false">SUMIF(Monthly!$C$5:$BJ$5,E$3,Monthly!$C$44:$BJ$44)</f>
        <v>-1818164.55963553</v>
      </c>
      <c r="F5" s="66" t="n">
        <f aca="false">SUMIF(Monthly!$C$5:$BJ$5,F$3,Monthly!$C$44:$BJ$44)</f>
        <v>-2984436.0341689</v>
      </c>
    </row>
    <row r="6" customFormat="false" ht="15" hidden="false" customHeight="false" outlineLevel="0" collapsed="false">
      <c r="A6" s="6" t="s">
        <v>323</v>
      </c>
      <c r="B6" s="66" t="n">
        <f aca="false">-SUMIF(Monthly!$C$5:$BJ$5,B$3,Monthly!$C$49:$BJ$49)</f>
        <v>6666.66666666667</v>
      </c>
      <c r="C6" s="66" t="n">
        <f aca="false">-SUMIF(Monthly!$C$5:$BJ$5,C$3,Monthly!$C$49:$BJ$49)</f>
        <v>6666.66666666667</v>
      </c>
      <c r="D6" s="66" t="n">
        <f aca="false">-SUMIF(Monthly!$C$5:$BJ$5,D$3,Monthly!$C$49:$BJ$49)</f>
        <v>6666.66666666667</v>
      </c>
      <c r="E6" s="66" t="n">
        <f aca="false">-SUMIF(Monthly!$C$5:$BJ$5,E$3,Monthly!$C$49:$BJ$49)</f>
        <v>-0</v>
      </c>
      <c r="F6" s="66" t="n">
        <f aca="false">-SUMIF(Monthly!$C$5:$BJ$5,F$3,Monthly!$C$49:$BJ$49)</f>
        <v>-0</v>
      </c>
    </row>
    <row r="7" customFormat="false" ht="15" hidden="false" customHeight="false" outlineLevel="0" collapsed="false">
      <c r="A7" s="6" t="s">
        <v>324</v>
      </c>
      <c r="B7" s="66" t="n">
        <f aca="false">SUMIF(Monthly!$C$5:$BJ$5,B$3,Monthly!$C$63:$BJ$63)</f>
        <v>-5333.24812314293</v>
      </c>
      <c r="C7" s="66" t="n">
        <f aca="false">SUMIF(Monthly!$C$5:$BJ$5,C$3,Monthly!$C$63:$BJ$63)</f>
        <v>-5129.22645092299</v>
      </c>
      <c r="D7" s="66" t="n">
        <f aca="false">SUMIF(Monthly!$C$5:$BJ$5,D$3,Monthly!$C$63:$BJ$63)</f>
        <v>-5609.19414411709</v>
      </c>
      <c r="E7" s="66" t="n">
        <f aca="false">SUMIF(Monthly!$C$5:$BJ$5,E$3,Monthly!$C$63:$BJ$63)</f>
        <v>-6489.96396613543</v>
      </c>
      <c r="F7" s="66" t="n">
        <f aca="false">SUMIF(Monthly!$C$5:$BJ$5,F$3,Monthly!$C$63:$BJ$63)</f>
        <v>-7823.37993383328</v>
      </c>
    </row>
    <row r="8" customFormat="false" ht="15" hidden="false" customHeight="false" outlineLevel="0" collapsed="false">
      <c r="A8" s="6" t="s">
        <v>325</v>
      </c>
      <c r="B8" s="66" t="n">
        <f aca="false">SUMIF(Monthly!$C$5:$BJ$5,B$3,Monthly!$C$64:$BJ$64)</f>
        <v>0</v>
      </c>
      <c r="C8" s="66" t="n">
        <f aca="false">SUMIF(Monthly!$C$5:$BJ$5,C$3,Monthly!$C$64:$BJ$64)</f>
        <v>0</v>
      </c>
      <c r="D8" s="66" t="n">
        <f aca="false">SUMIF(Monthly!$C$5:$BJ$5,D$3,Monthly!$C$64:$BJ$64)</f>
        <v>0</v>
      </c>
      <c r="E8" s="66" t="n">
        <f aca="false">SUMIF(Monthly!$C$5:$BJ$5,E$3,Monthly!$C$64:$BJ$64)</f>
        <v>0</v>
      </c>
      <c r="F8" s="66" t="n">
        <f aca="false">SUMIF(Monthly!$C$5:$BJ$5,F$3,Monthly!$C$64:$BJ$64)</f>
        <v>0</v>
      </c>
    </row>
    <row r="9" customFormat="false" ht="15" hidden="false" customHeight="false" outlineLevel="0" collapsed="false">
      <c r="A9" s="6" t="s">
        <v>326</v>
      </c>
      <c r="B9" s="66" t="n">
        <f aca="false">SUMIF(Monthly!$C$5:$BJ$5,B$3,Monthly!$C$65:$BJ$65)</f>
        <v>3828.7027098661</v>
      </c>
      <c r="C9" s="66" t="n">
        <f aca="false">SUMIF(Monthly!$C$5:$BJ$5,C$3,Monthly!$C$65:$BJ$65)</f>
        <v>3633.74784394635</v>
      </c>
      <c r="D9" s="66" t="n">
        <f aca="false">SUMIF(Monthly!$C$5:$BJ$5,D$3,Monthly!$C$65:$BJ$65)</f>
        <v>3932.76475392051</v>
      </c>
      <c r="E9" s="66" t="n">
        <f aca="false">SUMIF(Monthly!$C$5:$BJ$5,E$3,Monthly!$C$65:$BJ$65)</f>
        <v>4514.62392896609</v>
      </c>
      <c r="F9" s="66" t="n">
        <f aca="false">SUMIF(Monthly!$C$5:$BJ$5,F$3,Monthly!$C$65:$BJ$65)</f>
        <v>5409.45306562998</v>
      </c>
    </row>
    <row r="10" customFormat="false" ht="15" hidden="false" customHeight="false" outlineLevel="0" collapsed="false">
      <c r="A10" s="6" t="s">
        <v>327</v>
      </c>
      <c r="B10" s="66" t="n">
        <f aca="false">SUMIF(Monthly!$C$5:$BJ$5,B$3,Monthly!$C$67:$BJ$67)</f>
        <v>39704.5081766718</v>
      </c>
      <c r="C10" s="66" t="n">
        <f aca="false">SUMIF(Monthly!$C$5:$BJ$5,C$3,Monthly!$C$67:$BJ$67)</f>
        <v>36960.0252004855</v>
      </c>
      <c r="D10" s="66" t="n">
        <f aca="false">SUMIF(Monthly!$C$5:$BJ$5,D$3,Monthly!$C$67:$BJ$67)</f>
        <v>40514.560766078</v>
      </c>
      <c r="E10" s="66" t="n">
        <f aca="false">SUMIF(Monthly!$C$5:$BJ$5,E$3,Monthly!$C$67:$BJ$67)</f>
        <v>46960.5198224911</v>
      </c>
      <c r="F10" s="66" t="n">
        <f aca="false">SUMIF(Monthly!$C$5:$BJ$5,F$3,Monthly!$C$67:$BJ$67)</f>
        <v>56679.3044862816</v>
      </c>
    </row>
    <row r="11" customFormat="false" ht="15" hidden="false" customHeight="false" outlineLevel="0" collapsed="false">
      <c r="A11" s="111" t="s">
        <v>52</v>
      </c>
      <c r="B11" s="67" t="n">
        <f aca="false">SUMIF(Monthly!$C$5:$BJ$5,B$3,Monthly!$C$70:$BJ$70)</f>
        <v>-665196.514236771</v>
      </c>
      <c r="C11" s="67" t="n">
        <f aca="false">SUMIF(Monthly!$C$5:$BJ$5,C$3,Monthly!$C$70:$BJ$70)</f>
        <v>-785208.41697933</v>
      </c>
      <c r="D11" s="67" t="n">
        <f aca="false">SUMIF(Monthly!$C$5:$BJ$5,D$3,Monthly!$C$70:$BJ$70)</f>
        <v>-1117614.51512673</v>
      </c>
      <c r="E11" s="67" t="n">
        <f aca="false">SUMIF(Monthly!$C$5:$BJ$5,E$3,Monthly!$C$70:$BJ$70)</f>
        <v>-1773179.37985021</v>
      </c>
      <c r="F11" s="67" t="n">
        <f aca="false">SUMIF(Monthly!$C$5:$BJ$5,F$3,Monthly!$C$70:$BJ$70)</f>
        <v>-2930170.65655082</v>
      </c>
    </row>
    <row r="12" customFormat="false" ht="15" hidden="false" customHeight="false" outlineLevel="0" collapsed="false">
      <c r="A12" s="6" t="s">
        <v>83</v>
      </c>
      <c r="B12" s="66" t="n">
        <f aca="false">SUMIF(Monthly!$C$5:$BJ$5,B$3,Monthly!$C$71:$BJ$71)</f>
        <v>-20000</v>
      </c>
      <c r="C12" s="66" t="n">
        <f aca="false">SUMIF(Monthly!$C$5:$BJ$5,C$3,Monthly!$C$71:$BJ$71)</f>
        <v>0</v>
      </c>
      <c r="D12" s="66" t="n">
        <f aca="false">SUMIF(Monthly!$C$5:$BJ$5,D$3,Monthly!$C$71:$BJ$71)</f>
        <v>0</v>
      </c>
      <c r="E12" s="66" t="n">
        <f aca="false">SUMIF(Monthly!$C$5:$BJ$5,E$3,Monthly!$C$71:$BJ$71)</f>
        <v>0</v>
      </c>
      <c r="F12" s="66" t="n">
        <f aca="false">SUMIF(Monthly!$C$5:$BJ$5,F$3,Monthly!$C$71:$BJ$71)</f>
        <v>0</v>
      </c>
    </row>
    <row r="13" customFormat="false" ht="15" hidden="false" customHeight="false" outlineLevel="0" collapsed="false">
      <c r="A13" s="6" t="s">
        <v>63</v>
      </c>
      <c r="B13" s="66" t="n">
        <f aca="false">SUMIF(Monthly!$C$5:$BJ$5,B$3,Monthly!$C$72:$BJ$72)</f>
        <v>3000000</v>
      </c>
      <c r="C13" s="66" t="n">
        <f aca="false">SUMIF(Monthly!$C$5:$BJ$5,C$3,Monthly!$C$72:$BJ$72)</f>
        <v>0</v>
      </c>
      <c r="D13" s="66" t="n">
        <f aca="false">SUMIF(Monthly!$C$5:$BJ$5,D$3,Monthly!$C$72:$BJ$72)</f>
        <v>0</v>
      </c>
      <c r="E13" s="66" t="n">
        <f aca="false">SUMIF(Monthly!$C$5:$BJ$5,E$3,Monthly!$C$72:$BJ$72)</f>
        <v>0</v>
      </c>
      <c r="F13" s="66" t="n">
        <f aca="false">SUMIF(Monthly!$C$5:$BJ$5,F$3,Monthly!$C$72:$BJ$72)</f>
        <v>0</v>
      </c>
    </row>
    <row r="14" customFormat="false" ht="15" hidden="false" customHeight="false" outlineLevel="0" collapsed="false">
      <c r="A14" s="6" t="s">
        <v>84</v>
      </c>
      <c r="B14" s="66" t="n">
        <f aca="false">SUMIF(Monthly!$C$5:$BJ$5,B$3,Monthly!$C$55:$BJ$55)</f>
        <v>0</v>
      </c>
      <c r="C14" s="66" t="n">
        <f aca="false">SUMIF(Monthly!$C$5:$BJ$5,C$3,Monthly!$C$55:$BJ$55)</f>
        <v>0</v>
      </c>
      <c r="D14" s="66" t="n">
        <f aca="false">SUMIF(Monthly!$C$5:$BJ$5,D$3,Monthly!$C$55:$BJ$55)</f>
        <v>0</v>
      </c>
      <c r="E14" s="66" t="n">
        <f aca="false">SUMIF(Monthly!$C$5:$BJ$5,E$3,Monthly!$C$55:$BJ$55)</f>
        <v>0</v>
      </c>
      <c r="F14" s="66" t="n">
        <f aca="false">SUMIF(Monthly!$C$5:$BJ$5,F$3,Monthly!$C$55:$BJ$55)</f>
        <v>0</v>
      </c>
    </row>
    <row r="15" customFormat="false" ht="15" hidden="false" customHeight="false" outlineLevel="0" collapsed="false">
      <c r="A15" s="6" t="s">
        <v>85</v>
      </c>
      <c r="B15" s="66" t="n">
        <f aca="false">SUMIF(Monthly!$C$5:$BJ$5,B$3,Monthly!$C$56:$BJ$56)</f>
        <v>0</v>
      </c>
      <c r="C15" s="66" t="n">
        <f aca="false">SUMIF(Monthly!$C$5:$BJ$5,C$3,Monthly!$C$56:$BJ$56)</f>
        <v>0</v>
      </c>
      <c r="D15" s="66" t="n">
        <f aca="false">SUMIF(Monthly!$C$5:$BJ$5,D$3,Monthly!$C$56:$BJ$56)</f>
        <v>0</v>
      </c>
      <c r="E15" s="66" t="n">
        <f aca="false">SUMIF(Monthly!$C$5:$BJ$5,E$3,Monthly!$C$56:$BJ$56)</f>
        <v>0</v>
      </c>
      <c r="F15" s="66" t="n">
        <f aca="false">SUMIF(Monthly!$C$5:$BJ$5,F$3,Monthly!$C$56:$BJ$56)</f>
        <v>0</v>
      </c>
    </row>
    <row r="16" customFormat="false" ht="15" hidden="false" customHeight="false" outlineLevel="0" collapsed="false">
      <c r="A16" s="111" t="s">
        <v>54</v>
      </c>
      <c r="B16" s="67" t="n">
        <f aca="false">SUMIF(Monthly!$C$5:$BJ$5,B$3,Monthly!$C$73:$BJ$73)</f>
        <v>3000000</v>
      </c>
      <c r="C16" s="67" t="n">
        <f aca="false">SUMIF(Monthly!$C$5:$BJ$5,C$3,Monthly!$C$73:$BJ$73)</f>
        <v>0</v>
      </c>
      <c r="D16" s="67" t="n">
        <f aca="false">SUMIF(Monthly!$C$5:$BJ$5,D$3,Monthly!$C$73:$BJ$73)</f>
        <v>0</v>
      </c>
      <c r="E16" s="67" t="n">
        <f aca="false">SUMIF(Monthly!$C$5:$BJ$5,E$3,Monthly!$C$73:$BJ$73)</f>
        <v>0</v>
      </c>
      <c r="F16" s="67" t="n">
        <f aca="false">SUMIF(Monthly!$C$5:$BJ$5,F$3,Monthly!$C$73:$BJ$73)</f>
        <v>0</v>
      </c>
    </row>
    <row r="17" customFormat="false" ht="15" hidden="false" customHeight="false" outlineLevel="0" collapsed="false">
      <c r="A17" s="4" t="s">
        <v>55</v>
      </c>
      <c r="B17" s="72" t="n">
        <f aca="false">SUMIF(Monthly!$C$5:$BJ$5,B$3,Monthly!$C$74:$BJ$74)</f>
        <v>2314803.48576323</v>
      </c>
      <c r="C17" s="72" t="n">
        <f aca="false">SUMIF(Monthly!$C$5:$BJ$5,C$3,Monthly!$C$74:$BJ$74)</f>
        <v>-785208.41697933</v>
      </c>
      <c r="D17" s="72" t="n">
        <f aca="false">SUMIF(Monthly!$C$5:$BJ$5,D$3,Monthly!$C$74:$BJ$74)</f>
        <v>-1117614.51512673</v>
      </c>
      <c r="E17" s="72" t="n">
        <f aca="false">SUMIF(Monthly!$C$5:$BJ$5,E$3,Monthly!$C$74:$BJ$74)</f>
        <v>-1773179.37985021</v>
      </c>
      <c r="F17" s="72" t="n">
        <f aca="false">SUMIF(Monthly!$C$5:$BJ$5,F$3,Monthly!$C$74:$BJ$74)</f>
        <v>-2930170.65655082</v>
      </c>
    </row>
    <row r="18" customFormat="false" ht="15" hidden="false" customHeight="false" outlineLevel="0" collapsed="false">
      <c r="A18" s="6" t="s">
        <v>328</v>
      </c>
      <c r="B18" s="66" t="n">
        <f aca="false">INDEX(Monthly!$C$75:$BJ$75,(B$3-1)*12+1)</f>
        <v>0</v>
      </c>
      <c r="C18" s="66" t="n">
        <f aca="false">INDEX(Monthly!$C$75:$BJ$75,(C$3-1)*12+1)</f>
        <v>2314803.48576323</v>
      </c>
      <c r="D18" s="66" t="n">
        <f aca="false">INDEX(Monthly!$C$75:$BJ$75,(D$3-1)*12+1)</f>
        <v>1529595.0687839</v>
      </c>
      <c r="E18" s="66" t="n">
        <f aca="false">INDEX(Monthly!$C$75:$BJ$75,(E$3-1)*12+1)</f>
        <v>411980.553657166</v>
      </c>
      <c r="F18" s="66" t="n">
        <f aca="false">INDEX(Monthly!$C$75:$BJ$75,(F$3-1)*12+1)</f>
        <v>-1361198.82619305</v>
      </c>
    </row>
    <row r="19" customFormat="false" ht="15" hidden="false" customHeight="false" outlineLevel="0" collapsed="false">
      <c r="A19" s="69" t="s">
        <v>86</v>
      </c>
      <c r="B19" s="70" t="n">
        <f aca="false">INDEX(Monthly!$C$76:$BJ$76,B$3*12)</f>
        <v>2314803.48576323</v>
      </c>
      <c r="C19" s="70" t="n">
        <f aca="false">INDEX(Monthly!$C$76:$BJ$76,C$3*12)</f>
        <v>1529595.0687839</v>
      </c>
      <c r="D19" s="70" t="n">
        <f aca="false">INDEX(Monthly!$C$76:$BJ$76,D$3*12)</f>
        <v>411980.553657166</v>
      </c>
      <c r="E19" s="70" t="n">
        <f aca="false">INDEX(Monthly!$C$76:$BJ$76,E$3*12)</f>
        <v>-1361198.82619305</v>
      </c>
      <c r="F19" s="70" t="n">
        <f aca="false">INDEX(Monthly!$C$76:$BJ$76,F$3*12)</f>
        <v>-4291369.48274386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2F"/>
    <pageSetUpPr fitToPage="true"/>
  </sheetPr>
  <dimension ref="A1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4"/>
  </cols>
  <sheetData>
    <row r="1" customFormat="false" ht="21.75" hidden="false" customHeight="true" outlineLevel="0" collapsed="false">
      <c r="A1" s="16" t="s">
        <v>22</v>
      </c>
      <c r="H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317</v>
      </c>
    </row>
    <row r="3" customFormat="false" ht="15" hidden="false" customHeight="false" outlineLevel="0" collapsed="false">
      <c r="A3" s="71" t="s">
        <v>154</v>
      </c>
      <c r="B3" s="71" t="n">
        <v>1</v>
      </c>
      <c r="C3" s="71" t="n">
        <v>2</v>
      </c>
      <c r="D3" s="71" t="n">
        <v>3</v>
      </c>
      <c r="E3" s="71" t="n">
        <v>4</v>
      </c>
      <c r="F3" s="71" t="n">
        <v>5</v>
      </c>
    </row>
    <row r="4" customFormat="false" ht="15" hidden="false" customHeight="false" outlineLevel="0" collapsed="false">
      <c r="A4" s="33"/>
      <c r="B4" s="51" t="s">
        <v>155</v>
      </c>
      <c r="C4" s="51" t="s">
        <v>156</v>
      </c>
      <c r="D4" s="51" t="s">
        <v>157</v>
      </c>
      <c r="E4" s="51" t="s">
        <v>158</v>
      </c>
      <c r="F4" s="51" t="s">
        <v>159</v>
      </c>
    </row>
    <row r="5" customFormat="false" ht="15" hidden="false" customHeight="false" outlineLevel="0" collapsed="false">
      <c r="A5" s="6" t="s">
        <v>88</v>
      </c>
      <c r="B5" s="66" t="n">
        <f aca="false">INDEX(Monthly!$C$76:$BJ$76,B$3*12)</f>
        <v>2314803.48576323</v>
      </c>
      <c r="C5" s="66" t="n">
        <f aca="false">INDEX(Monthly!$C$76:$BJ$76,C$3*12)</f>
        <v>1529595.0687839</v>
      </c>
      <c r="D5" s="66" t="n">
        <f aca="false">INDEX(Monthly!$C$76:$BJ$76,D$3*12)</f>
        <v>411980.553657166</v>
      </c>
      <c r="E5" s="66" t="n">
        <f aca="false">INDEX(Monthly!$C$76:$BJ$76,E$3*12)</f>
        <v>-1361198.82619305</v>
      </c>
      <c r="F5" s="66" t="n">
        <f aca="false">INDEX(Monthly!$C$76:$BJ$76,F$3*12)</f>
        <v>-4291369.48274386</v>
      </c>
    </row>
    <row r="6" customFormat="false" ht="15" hidden="false" customHeight="false" outlineLevel="0" collapsed="false">
      <c r="A6" s="6" t="s">
        <v>89</v>
      </c>
      <c r="B6" s="66" t="n">
        <f aca="false">INDEX(Monthly!$C$60:$BJ$60,B$3*12)</f>
        <v>5333.24812314293</v>
      </c>
      <c r="C6" s="66" t="n">
        <f aca="false">INDEX(Monthly!$C$60:$BJ$60,C$3*12)</f>
        <v>10462.4745740659</v>
      </c>
      <c r="D6" s="66" t="n">
        <f aca="false">INDEX(Monthly!$C$60:$BJ$60,D$3*12)</f>
        <v>16071.668718183</v>
      </c>
      <c r="E6" s="66" t="n">
        <f aca="false">INDEX(Monthly!$C$60:$BJ$60,E$3*12)</f>
        <v>22561.6326843184</v>
      </c>
      <c r="F6" s="66" t="n">
        <f aca="false">INDEX(Monthly!$C$60:$BJ$60,F$3*12)</f>
        <v>30385.0126181517</v>
      </c>
    </row>
    <row r="7" customFormat="false" ht="15" hidden="false" customHeight="false" outlineLevel="0" collapsed="false">
      <c r="A7" s="6" t="s">
        <v>90</v>
      </c>
      <c r="B7" s="66" t="n">
        <f aca="false">INDEX(Monthly!$C$61:$BJ$61,B$3*12)</f>
        <v>0</v>
      </c>
      <c r="C7" s="66" t="n">
        <f aca="false">INDEX(Monthly!$C$61:$BJ$61,C$3*12)</f>
        <v>0</v>
      </c>
      <c r="D7" s="66" t="n">
        <f aca="false">INDEX(Monthly!$C$61:$BJ$61,D$3*12)</f>
        <v>0</v>
      </c>
      <c r="E7" s="66" t="n">
        <f aca="false">INDEX(Monthly!$C$61:$BJ$61,E$3*12)</f>
        <v>0</v>
      </c>
      <c r="F7" s="66" t="n">
        <f aca="false">INDEX(Monthly!$C$61:$BJ$61,F$3*12)</f>
        <v>0</v>
      </c>
    </row>
    <row r="8" customFormat="false" ht="15" hidden="false" customHeight="false" outlineLevel="0" collapsed="false">
      <c r="A8" s="6" t="s">
        <v>91</v>
      </c>
      <c r="B8" s="66" t="n">
        <f aca="false">INDEX(Monthly!$C$51:$BJ$51,B$3*12)</f>
        <v>13333.3333333333</v>
      </c>
      <c r="C8" s="66" t="n">
        <f aca="false">INDEX(Monthly!$C$51:$BJ$51,C$3*12)</f>
        <v>6666.66666666667</v>
      </c>
      <c r="D8" s="66" t="n">
        <f aca="false">INDEX(Monthly!$C$51:$BJ$51,D$3*12)</f>
        <v>0</v>
      </c>
      <c r="E8" s="66" t="n">
        <f aca="false">INDEX(Monthly!$C$51:$BJ$51,E$3*12)</f>
        <v>0</v>
      </c>
      <c r="F8" s="66" t="n">
        <f aca="false">INDEX(Monthly!$C$51:$BJ$51,F$3*12)</f>
        <v>0</v>
      </c>
    </row>
    <row r="9" customFormat="false" ht="15" hidden="false" customHeight="false" outlineLevel="0" collapsed="false">
      <c r="A9" s="111" t="s">
        <v>92</v>
      </c>
      <c r="B9" s="67" t="n">
        <f aca="false">INDEX(Monthly!$C$94:$BJ$94,B$3*12)</f>
        <v>2333470.06721971</v>
      </c>
      <c r="C9" s="67" t="n">
        <f aca="false">INDEX(Monthly!$C$94:$BJ$94,C$3*12)</f>
        <v>1546724.21002463</v>
      </c>
      <c r="D9" s="67" t="n">
        <f aca="false">INDEX(Monthly!$C$94:$BJ$94,D$3*12)</f>
        <v>428052.222375349</v>
      </c>
      <c r="E9" s="67" t="n">
        <f aca="false">INDEX(Monthly!$C$94:$BJ$94,E$3*12)</f>
        <v>-1338637.19350873</v>
      </c>
      <c r="F9" s="67" t="n">
        <f aca="false">INDEX(Monthly!$C$94:$BJ$94,F$3*12)</f>
        <v>-4260984.47012571</v>
      </c>
    </row>
    <row r="10" customFormat="false" ht="15" hidden="false" customHeight="false" outlineLevel="0" collapsed="false">
      <c r="A10" s="6" t="s">
        <v>93</v>
      </c>
      <c r="B10" s="66" t="n">
        <f aca="false">INDEX(Monthly!$C$62:$BJ$62,B$3*12)</f>
        <v>3828.7027098661</v>
      </c>
      <c r="C10" s="66" t="n">
        <f aca="false">INDEX(Monthly!$C$62:$BJ$62,C$3*12)</f>
        <v>7462.45055381245</v>
      </c>
      <c r="D10" s="66" t="n">
        <f aca="false">INDEX(Monthly!$C$62:$BJ$62,D$3*12)</f>
        <v>11395.215307733</v>
      </c>
      <c r="E10" s="66" t="n">
        <f aca="false">INDEX(Monthly!$C$62:$BJ$62,E$3*12)</f>
        <v>15909.8392366991</v>
      </c>
      <c r="F10" s="66" t="n">
        <f aca="false">INDEX(Monthly!$C$62:$BJ$62,F$3*12)</f>
        <v>21319.292302329</v>
      </c>
    </row>
    <row r="11" customFormat="false" ht="15" hidden="false" customHeight="false" outlineLevel="0" collapsed="false">
      <c r="A11" s="6" t="s">
        <v>94</v>
      </c>
      <c r="B11" s="66" t="n">
        <f aca="false">INDEX(Monthly!$C$66:$BJ$66,B$3*12)</f>
        <v>39704.5081766718</v>
      </c>
      <c r="C11" s="66" t="n">
        <f aca="false">INDEX(Monthly!$C$66:$BJ$66,C$3*12)</f>
        <v>76664.5333771572</v>
      </c>
      <c r="D11" s="66" t="n">
        <f aca="false">INDEX(Monthly!$C$66:$BJ$66,D$3*12)</f>
        <v>117179.094143235</v>
      </c>
      <c r="E11" s="66" t="n">
        <f aca="false">INDEX(Monthly!$C$66:$BJ$66,E$3*12)</f>
        <v>164139.613965726</v>
      </c>
      <c r="F11" s="66" t="n">
        <f aca="false">INDEX(Monthly!$C$66:$BJ$66,F$3*12)</f>
        <v>220818.918452008</v>
      </c>
    </row>
    <row r="12" customFormat="false" ht="15" hidden="false" customHeight="false" outlineLevel="0" collapsed="false">
      <c r="A12" s="6" t="s">
        <v>95</v>
      </c>
      <c r="B12" s="66" t="n">
        <f aca="false">INDEX(Monthly!$C$57:$BJ$57,B$3*12)</f>
        <v>0</v>
      </c>
      <c r="C12" s="66" t="n">
        <f aca="false">INDEX(Monthly!$C$57:$BJ$57,C$3*12)</f>
        <v>0</v>
      </c>
      <c r="D12" s="66" t="n">
        <f aca="false">INDEX(Monthly!$C$57:$BJ$57,D$3*12)</f>
        <v>0</v>
      </c>
      <c r="E12" s="66" t="n">
        <f aca="false">INDEX(Monthly!$C$57:$BJ$57,E$3*12)</f>
        <v>0</v>
      </c>
      <c r="F12" s="66" t="n">
        <f aca="false">INDEX(Monthly!$C$57:$BJ$57,F$3*12)</f>
        <v>0</v>
      </c>
    </row>
    <row r="13" customFormat="false" ht="15" hidden="false" customHeight="false" outlineLevel="0" collapsed="false">
      <c r="A13" s="112" t="s">
        <v>96</v>
      </c>
      <c r="B13" s="113" t="n">
        <f aca="false">INDEX(Monthly!$C$95:$BJ$95,B$3*12)</f>
        <v>43533.2108865379</v>
      </c>
      <c r="C13" s="113" t="n">
        <f aca="false">INDEX(Monthly!$C$95:$BJ$95,C$3*12)</f>
        <v>84126.9839309697</v>
      </c>
      <c r="D13" s="113" t="n">
        <f aca="false">INDEX(Monthly!$C$95:$BJ$95,D$3*12)</f>
        <v>128574.309450968</v>
      </c>
      <c r="E13" s="113" t="n">
        <f aca="false">INDEX(Monthly!$C$95:$BJ$95,E$3*12)</f>
        <v>180049.453202425</v>
      </c>
      <c r="F13" s="113" t="n">
        <f aca="false">INDEX(Monthly!$C$95:$BJ$95,F$3*12)</f>
        <v>242138.210754337</v>
      </c>
    </row>
    <row r="14" customFormat="false" ht="15" hidden="false" customHeight="false" outlineLevel="0" collapsed="false">
      <c r="A14" s="6" t="s">
        <v>97</v>
      </c>
      <c r="B14" s="66" t="n">
        <f aca="false">INDEX(Monthly!$C$92:$BJ$92,B$3*12)</f>
        <v>3000000</v>
      </c>
      <c r="C14" s="66" t="n">
        <f aca="false">INDEX(Monthly!$C$92:$BJ$92,C$3*12)</f>
        <v>3000000</v>
      </c>
      <c r="D14" s="66" t="n">
        <f aca="false">INDEX(Monthly!$C$92:$BJ$92,D$3*12)</f>
        <v>3000000</v>
      </c>
      <c r="E14" s="66" t="n">
        <f aca="false">INDEX(Monthly!$C$92:$BJ$92,E$3*12)</f>
        <v>3000000</v>
      </c>
      <c r="F14" s="66" t="n">
        <f aca="false">INDEX(Monthly!$C$92:$BJ$92,F$3*12)</f>
        <v>3000000</v>
      </c>
    </row>
    <row r="15" customFormat="false" ht="15" hidden="false" customHeight="false" outlineLevel="0" collapsed="false">
      <c r="A15" s="6" t="s">
        <v>98</v>
      </c>
      <c r="B15" s="66" t="n">
        <f aca="false">INDEX(Monthly!$C$93:$BJ$93,B$3*12)</f>
        <v>-710063.143666832</v>
      </c>
      <c r="C15" s="66" t="n">
        <f aca="false">INDEX(Monthly!$C$93:$BJ$93,C$3*12)</f>
        <v>-1537402.77390634</v>
      </c>
      <c r="D15" s="66" t="n">
        <f aca="false">INDEX(Monthly!$C$93:$BJ$93,D$3*12)</f>
        <v>-2700522.08707562</v>
      </c>
      <c r="E15" s="66" t="n">
        <f aca="false">INDEX(Monthly!$C$93:$BJ$93,E$3*12)</f>
        <v>-4518686.64671115</v>
      </c>
      <c r="F15" s="66" t="n">
        <f aca="false">INDEX(Monthly!$C$93:$BJ$93,F$3*12)</f>
        <v>-7503122.68088005</v>
      </c>
    </row>
    <row r="16" customFormat="false" ht="15" hidden="false" customHeight="false" outlineLevel="0" collapsed="false">
      <c r="A16" s="112" t="s">
        <v>99</v>
      </c>
      <c r="B16" s="113" t="n">
        <f aca="false">INDEX(Monthly!$C$96:$BJ$96,B$3*12)</f>
        <v>2289936.85633317</v>
      </c>
      <c r="C16" s="113" t="n">
        <f aca="false">INDEX(Monthly!$C$96:$BJ$96,C$3*12)</f>
        <v>1462597.22609366</v>
      </c>
      <c r="D16" s="113" t="n">
        <f aca="false">INDEX(Monthly!$C$96:$BJ$96,D$3*12)</f>
        <v>299477.91292438</v>
      </c>
      <c r="E16" s="113" t="n">
        <f aca="false">INDEX(Monthly!$C$96:$BJ$96,E$3*12)</f>
        <v>-1518686.64671115</v>
      </c>
      <c r="F16" s="113" t="n">
        <f aca="false">INDEX(Monthly!$C$96:$BJ$96,F$3*12)</f>
        <v>-4503122.68088005</v>
      </c>
    </row>
    <row r="17" customFormat="false" ht="15" hidden="false" customHeight="false" outlineLevel="0" collapsed="false">
      <c r="A17" s="69" t="s">
        <v>100</v>
      </c>
      <c r="B17" s="70" t="n">
        <f aca="false">INDEX(Monthly!$C$97:$BJ$97,B$3*12)</f>
        <v>2333470.06721971</v>
      </c>
      <c r="C17" s="70" t="n">
        <f aca="false">INDEX(Monthly!$C$97:$BJ$97,C$3*12)</f>
        <v>1546724.21002463</v>
      </c>
      <c r="D17" s="70" t="n">
        <f aca="false">INDEX(Monthly!$C$97:$BJ$97,D$3*12)</f>
        <v>428052.222375348</v>
      </c>
      <c r="E17" s="70" t="n">
        <f aca="false">INDEX(Monthly!$C$97:$BJ$97,E$3*12)</f>
        <v>-1338637.19350873</v>
      </c>
      <c r="F17" s="70" t="n">
        <f aca="false">INDEX(Monthly!$C$97:$BJ$97,F$3*12)</f>
        <v>-4260984.47012571</v>
      </c>
    </row>
    <row r="18" customFormat="false" ht="15" hidden="false" customHeight="false" outlineLevel="0" collapsed="false">
      <c r="A18" s="6" t="s">
        <v>329</v>
      </c>
      <c r="B18" s="66" t="n">
        <f aca="false">INDEX(Monthly!$C$98:$BJ$98,B$3*12)</f>
        <v>0</v>
      </c>
      <c r="C18" s="66" t="n">
        <f aca="false">INDEX(Monthly!$C$98:$BJ$98,C$3*12)</f>
        <v>0</v>
      </c>
      <c r="D18" s="66" t="n">
        <f aca="false">INDEX(Monthly!$C$98:$BJ$98,D$3*12)</f>
        <v>0</v>
      </c>
      <c r="E18" s="66" t="n">
        <f aca="false">INDEX(Monthly!$C$98:$BJ$98,E$3*12)</f>
        <v>0</v>
      </c>
      <c r="F18" s="66" t="n">
        <f aca="false">INDEX(Monthly!$C$98:$BJ$98,F$3*12)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3ABA8"/>
    <pageSetUpPr fitToPage="true"/>
  </sheetPr>
  <dimension ref="A1:BJ98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"/>
    <col collapsed="false" customWidth="true" hidden="false" outlineLevel="0" max="62" min="3" style="0" width="11"/>
  </cols>
  <sheetData>
    <row r="1" customFormat="false" ht="21.75" hidden="false" customHeight="true" outlineLevel="0" collapsed="false">
      <c r="A1" s="16" t="s">
        <v>330</v>
      </c>
      <c r="D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331</v>
      </c>
    </row>
    <row r="3" customFormat="false" ht="15" hidden="false" customHeight="false" outlineLevel="0" collapsed="false">
      <c r="A3" s="33" t="s">
        <v>332</v>
      </c>
      <c r="C3" s="51" t="s">
        <v>333</v>
      </c>
      <c r="D3" s="51" t="s">
        <v>334</v>
      </c>
      <c r="E3" s="51" t="s">
        <v>335</v>
      </c>
      <c r="F3" s="51" t="s">
        <v>336</v>
      </c>
      <c r="G3" s="51" t="s">
        <v>337</v>
      </c>
      <c r="H3" s="51" t="s">
        <v>338</v>
      </c>
      <c r="I3" s="51" t="s">
        <v>339</v>
      </c>
      <c r="J3" s="51" t="s">
        <v>340</v>
      </c>
      <c r="K3" s="51" t="s">
        <v>341</v>
      </c>
      <c r="L3" s="51" t="s">
        <v>342</v>
      </c>
      <c r="M3" s="51" t="s">
        <v>343</v>
      </c>
      <c r="N3" s="51" t="s">
        <v>344</v>
      </c>
      <c r="O3" s="51" t="s">
        <v>345</v>
      </c>
      <c r="P3" s="51" t="s">
        <v>346</v>
      </c>
      <c r="Q3" s="51" t="s">
        <v>347</v>
      </c>
      <c r="R3" s="51" t="s">
        <v>348</v>
      </c>
      <c r="S3" s="51" t="s">
        <v>349</v>
      </c>
      <c r="T3" s="51" t="s">
        <v>350</v>
      </c>
      <c r="U3" s="51" t="s">
        <v>351</v>
      </c>
      <c r="V3" s="51" t="s">
        <v>352</v>
      </c>
      <c r="W3" s="51" t="s">
        <v>353</v>
      </c>
      <c r="X3" s="51" t="s">
        <v>354</v>
      </c>
      <c r="Y3" s="51" t="s">
        <v>355</v>
      </c>
      <c r="Z3" s="51" t="s">
        <v>356</v>
      </c>
      <c r="AA3" s="51" t="s">
        <v>357</v>
      </c>
      <c r="AB3" s="51" t="s">
        <v>358</v>
      </c>
      <c r="AC3" s="51" t="s">
        <v>359</v>
      </c>
      <c r="AD3" s="51" t="s">
        <v>360</v>
      </c>
      <c r="AE3" s="51" t="s">
        <v>361</v>
      </c>
      <c r="AF3" s="51" t="s">
        <v>362</v>
      </c>
      <c r="AG3" s="51" t="s">
        <v>363</v>
      </c>
      <c r="AH3" s="51" t="s">
        <v>364</v>
      </c>
      <c r="AI3" s="51" t="s">
        <v>365</v>
      </c>
      <c r="AJ3" s="51" t="s">
        <v>366</v>
      </c>
      <c r="AK3" s="51" t="s">
        <v>367</v>
      </c>
      <c r="AL3" s="51" t="s">
        <v>368</v>
      </c>
      <c r="AM3" s="51" t="s">
        <v>369</v>
      </c>
      <c r="AN3" s="51" t="s">
        <v>370</v>
      </c>
      <c r="AO3" s="51" t="s">
        <v>371</v>
      </c>
      <c r="AP3" s="51" t="s">
        <v>372</v>
      </c>
      <c r="AQ3" s="51" t="s">
        <v>373</v>
      </c>
      <c r="AR3" s="51" t="s">
        <v>374</v>
      </c>
      <c r="AS3" s="51" t="s">
        <v>375</v>
      </c>
      <c r="AT3" s="51" t="s">
        <v>376</v>
      </c>
      <c r="AU3" s="51" t="s">
        <v>377</v>
      </c>
      <c r="AV3" s="51" t="s">
        <v>378</v>
      </c>
      <c r="AW3" s="51" t="s">
        <v>379</v>
      </c>
      <c r="AX3" s="51" t="s">
        <v>380</v>
      </c>
      <c r="AY3" s="51" t="s">
        <v>381</v>
      </c>
      <c r="AZ3" s="51" t="s">
        <v>382</v>
      </c>
      <c r="BA3" s="51" t="s">
        <v>383</v>
      </c>
      <c r="BB3" s="51" t="s">
        <v>384</v>
      </c>
      <c r="BC3" s="51" t="s">
        <v>385</v>
      </c>
      <c r="BD3" s="51" t="s">
        <v>386</v>
      </c>
      <c r="BE3" s="51" t="s">
        <v>387</v>
      </c>
      <c r="BF3" s="51" t="s">
        <v>388</v>
      </c>
      <c r="BG3" s="51" t="s">
        <v>389</v>
      </c>
      <c r="BH3" s="51" t="s">
        <v>390</v>
      </c>
      <c r="BI3" s="51" t="s">
        <v>391</v>
      </c>
      <c r="BJ3" s="51" t="s">
        <v>392</v>
      </c>
    </row>
    <row r="4" customFormat="false" ht="15" hidden="false" customHeight="false" outlineLevel="0" collapsed="false">
      <c r="A4" s="71" t="s">
        <v>393</v>
      </c>
      <c r="C4" s="71" t="n">
        <v>1</v>
      </c>
      <c r="D4" s="71" t="n">
        <v>2</v>
      </c>
      <c r="E4" s="71" t="n">
        <v>3</v>
      </c>
      <c r="F4" s="71" t="n">
        <v>4</v>
      </c>
      <c r="G4" s="71" t="n">
        <v>5</v>
      </c>
      <c r="H4" s="71" t="n">
        <v>6</v>
      </c>
      <c r="I4" s="71" t="n">
        <v>7</v>
      </c>
      <c r="J4" s="71" t="n">
        <v>8</v>
      </c>
      <c r="K4" s="71" t="n">
        <v>9</v>
      </c>
      <c r="L4" s="71" t="n">
        <v>10</v>
      </c>
      <c r="M4" s="71" t="n">
        <v>11</v>
      </c>
      <c r="N4" s="71" t="n">
        <v>12</v>
      </c>
      <c r="O4" s="71" t="n">
        <v>13</v>
      </c>
      <c r="P4" s="71" t="n">
        <v>14</v>
      </c>
      <c r="Q4" s="71" t="n">
        <v>15</v>
      </c>
      <c r="R4" s="71" t="n">
        <v>16</v>
      </c>
      <c r="S4" s="71" t="n">
        <v>17</v>
      </c>
      <c r="T4" s="71" t="n">
        <v>18</v>
      </c>
      <c r="U4" s="71" t="n">
        <v>19</v>
      </c>
      <c r="V4" s="71" t="n">
        <v>20</v>
      </c>
      <c r="W4" s="71" t="n">
        <v>21</v>
      </c>
      <c r="X4" s="71" t="n">
        <v>22</v>
      </c>
      <c r="Y4" s="71" t="n">
        <v>23</v>
      </c>
      <c r="Z4" s="71" t="n">
        <v>24</v>
      </c>
      <c r="AA4" s="71" t="n">
        <v>25</v>
      </c>
      <c r="AB4" s="71" t="n">
        <v>26</v>
      </c>
      <c r="AC4" s="71" t="n">
        <v>27</v>
      </c>
      <c r="AD4" s="71" t="n">
        <v>28</v>
      </c>
      <c r="AE4" s="71" t="n">
        <v>29</v>
      </c>
      <c r="AF4" s="71" t="n">
        <v>30</v>
      </c>
      <c r="AG4" s="71" t="n">
        <v>31</v>
      </c>
      <c r="AH4" s="71" t="n">
        <v>32</v>
      </c>
      <c r="AI4" s="71" t="n">
        <v>33</v>
      </c>
      <c r="AJ4" s="71" t="n">
        <v>34</v>
      </c>
      <c r="AK4" s="71" t="n">
        <v>35</v>
      </c>
      <c r="AL4" s="71" t="n">
        <v>36</v>
      </c>
      <c r="AM4" s="71" t="n">
        <v>37</v>
      </c>
      <c r="AN4" s="71" t="n">
        <v>38</v>
      </c>
      <c r="AO4" s="71" t="n">
        <v>39</v>
      </c>
      <c r="AP4" s="71" t="n">
        <v>40</v>
      </c>
      <c r="AQ4" s="71" t="n">
        <v>41</v>
      </c>
      <c r="AR4" s="71" t="n">
        <v>42</v>
      </c>
      <c r="AS4" s="71" t="n">
        <v>43</v>
      </c>
      <c r="AT4" s="71" t="n">
        <v>44</v>
      </c>
      <c r="AU4" s="71" t="n">
        <v>45</v>
      </c>
      <c r="AV4" s="71" t="n">
        <v>46</v>
      </c>
      <c r="AW4" s="71" t="n">
        <v>47</v>
      </c>
      <c r="AX4" s="71" t="n">
        <v>48</v>
      </c>
      <c r="AY4" s="71" t="n">
        <v>49</v>
      </c>
      <c r="AZ4" s="71" t="n">
        <v>50</v>
      </c>
      <c r="BA4" s="71" t="n">
        <v>51</v>
      </c>
      <c r="BB4" s="71" t="n">
        <v>52</v>
      </c>
      <c r="BC4" s="71" t="n">
        <v>53</v>
      </c>
      <c r="BD4" s="71" t="n">
        <v>54</v>
      </c>
      <c r="BE4" s="71" t="n">
        <v>55</v>
      </c>
      <c r="BF4" s="71" t="n">
        <v>56</v>
      </c>
      <c r="BG4" s="71" t="n">
        <v>57</v>
      </c>
      <c r="BH4" s="71" t="n">
        <v>58</v>
      </c>
      <c r="BI4" s="71" t="n">
        <v>59</v>
      </c>
      <c r="BJ4" s="71" t="n">
        <v>60</v>
      </c>
    </row>
    <row r="5" customFormat="false" ht="15" hidden="false" customHeight="false" outlineLevel="0" collapsed="false">
      <c r="A5" s="71" t="s">
        <v>154</v>
      </c>
      <c r="C5" s="71" t="n">
        <f aca="false">ROUNDUP(C4*1/12,0)</f>
        <v>1</v>
      </c>
      <c r="D5" s="71" t="n">
        <f aca="false">ROUNDUP(D4*1/12,0)</f>
        <v>1</v>
      </c>
      <c r="E5" s="71" t="n">
        <f aca="false">ROUNDUP(E4*1/12,0)</f>
        <v>1</v>
      </c>
      <c r="F5" s="71" t="n">
        <f aca="false">ROUNDUP(F4*1/12,0)</f>
        <v>1</v>
      </c>
      <c r="G5" s="71" t="n">
        <f aca="false">ROUNDUP(G4*1/12,0)</f>
        <v>1</v>
      </c>
      <c r="H5" s="71" t="n">
        <f aca="false">ROUNDUP(H4*1/12,0)</f>
        <v>1</v>
      </c>
      <c r="I5" s="71" t="n">
        <f aca="false">ROUNDUP(I4*1/12,0)</f>
        <v>1</v>
      </c>
      <c r="J5" s="71" t="n">
        <f aca="false">ROUNDUP(J4*1/12,0)</f>
        <v>1</v>
      </c>
      <c r="K5" s="71" t="n">
        <f aca="false">ROUNDUP(K4*1/12,0)</f>
        <v>1</v>
      </c>
      <c r="L5" s="71" t="n">
        <f aca="false">ROUNDUP(L4*1/12,0)</f>
        <v>1</v>
      </c>
      <c r="M5" s="71" t="n">
        <f aca="false">ROUNDUP(M4*1/12,0)</f>
        <v>1</v>
      </c>
      <c r="N5" s="71" t="n">
        <f aca="false">ROUNDUP(N4*1/12,0)</f>
        <v>1</v>
      </c>
      <c r="O5" s="71" t="n">
        <f aca="false">ROUNDUP(O4*1/12,0)</f>
        <v>2</v>
      </c>
      <c r="P5" s="71" t="n">
        <f aca="false">ROUNDUP(P4*1/12,0)</f>
        <v>2</v>
      </c>
      <c r="Q5" s="71" t="n">
        <f aca="false">ROUNDUP(Q4*1/12,0)</f>
        <v>2</v>
      </c>
      <c r="R5" s="71" t="n">
        <f aca="false">ROUNDUP(R4*1/12,0)</f>
        <v>2</v>
      </c>
      <c r="S5" s="71" t="n">
        <f aca="false">ROUNDUP(S4*1/12,0)</f>
        <v>2</v>
      </c>
      <c r="T5" s="71" t="n">
        <f aca="false">ROUNDUP(T4*1/12,0)</f>
        <v>2</v>
      </c>
      <c r="U5" s="71" t="n">
        <f aca="false">ROUNDUP(U4*1/12,0)</f>
        <v>2</v>
      </c>
      <c r="V5" s="71" t="n">
        <f aca="false">ROUNDUP(V4*1/12,0)</f>
        <v>2</v>
      </c>
      <c r="W5" s="71" t="n">
        <f aca="false">ROUNDUP(W4*1/12,0)</f>
        <v>2</v>
      </c>
      <c r="X5" s="71" t="n">
        <f aca="false">ROUNDUP(X4*1/12,0)</f>
        <v>2</v>
      </c>
      <c r="Y5" s="71" t="n">
        <f aca="false">ROUNDUP(Y4*1/12,0)</f>
        <v>2</v>
      </c>
      <c r="Z5" s="71" t="n">
        <f aca="false">ROUNDUP(Z4*1/12,0)</f>
        <v>2</v>
      </c>
      <c r="AA5" s="71" t="n">
        <f aca="false">ROUNDUP(AA4*1/12,0)</f>
        <v>3</v>
      </c>
      <c r="AB5" s="71" t="n">
        <f aca="false">ROUNDUP(AB4*1/12,0)</f>
        <v>3</v>
      </c>
      <c r="AC5" s="71" t="n">
        <f aca="false">ROUNDUP(AC4*1/12,0)</f>
        <v>3</v>
      </c>
      <c r="AD5" s="71" t="n">
        <f aca="false">ROUNDUP(AD4*1/12,0)</f>
        <v>3</v>
      </c>
      <c r="AE5" s="71" t="n">
        <f aca="false">ROUNDUP(AE4*1/12,0)</f>
        <v>3</v>
      </c>
      <c r="AF5" s="71" t="n">
        <f aca="false">ROUNDUP(AF4*1/12,0)</f>
        <v>3</v>
      </c>
      <c r="AG5" s="71" t="n">
        <f aca="false">ROUNDUP(AG4*1/12,0)</f>
        <v>3</v>
      </c>
      <c r="AH5" s="71" t="n">
        <f aca="false">ROUNDUP(AH4*1/12,0)</f>
        <v>3</v>
      </c>
      <c r="AI5" s="71" t="n">
        <f aca="false">ROUNDUP(AI4*1/12,0)</f>
        <v>3</v>
      </c>
      <c r="AJ5" s="71" t="n">
        <f aca="false">ROUNDUP(AJ4*1/12,0)</f>
        <v>3</v>
      </c>
      <c r="AK5" s="71" t="n">
        <f aca="false">ROUNDUP(AK4*1/12,0)</f>
        <v>3</v>
      </c>
      <c r="AL5" s="71" t="n">
        <f aca="false">ROUNDUP(AL4*1/12,0)</f>
        <v>3</v>
      </c>
      <c r="AM5" s="71" t="n">
        <f aca="false">ROUNDUP(AM4*1/12,0)</f>
        <v>4</v>
      </c>
      <c r="AN5" s="71" t="n">
        <f aca="false">ROUNDUP(AN4*1/12,0)</f>
        <v>4</v>
      </c>
      <c r="AO5" s="71" t="n">
        <f aca="false">ROUNDUP(AO4*1/12,0)</f>
        <v>4</v>
      </c>
      <c r="AP5" s="71" t="n">
        <f aca="false">ROUNDUP(AP4*1/12,0)</f>
        <v>4</v>
      </c>
      <c r="AQ5" s="71" t="n">
        <f aca="false">ROUNDUP(AQ4*1/12,0)</f>
        <v>4</v>
      </c>
      <c r="AR5" s="71" t="n">
        <f aca="false">ROUNDUP(AR4*1/12,0)</f>
        <v>4</v>
      </c>
      <c r="AS5" s="71" t="n">
        <f aca="false">ROUNDUP(AS4*1/12,0)</f>
        <v>4</v>
      </c>
      <c r="AT5" s="71" t="n">
        <f aca="false">ROUNDUP(AT4*1/12,0)</f>
        <v>4</v>
      </c>
      <c r="AU5" s="71" t="n">
        <f aca="false">ROUNDUP(AU4*1/12,0)</f>
        <v>4</v>
      </c>
      <c r="AV5" s="71" t="n">
        <f aca="false">ROUNDUP(AV4*1/12,0)</f>
        <v>4</v>
      </c>
      <c r="AW5" s="71" t="n">
        <f aca="false">ROUNDUP(AW4*1/12,0)</f>
        <v>4</v>
      </c>
      <c r="AX5" s="71" t="n">
        <f aca="false">ROUNDUP(AX4*1/12,0)</f>
        <v>4</v>
      </c>
      <c r="AY5" s="71" t="n">
        <f aca="false">ROUNDUP(AY4*1/12,0)</f>
        <v>5</v>
      </c>
      <c r="AZ5" s="71" t="n">
        <f aca="false">ROUNDUP(AZ4*1/12,0)</f>
        <v>5</v>
      </c>
      <c r="BA5" s="71" t="n">
        <f aca="false">ROUNDUP(BA4*1/12,0)</f>
        <v>5</v>
      </c>
      <c r="BB5" s="71" t="n">
        <f aca="false">ROUNDUP(BB4*1/12,0)</f>
        <v>5</v>
      </c>
      <c r="BC5" s="71" t="n">
        <f aca="false">ROUNDUP(BC4*1/12,0)</f>
        <v>5</v>
      </c>
      <c r="BD5" s="71" t="n">
        <f aca="false">ROUNDUP(BD4*1/12,0)</f>
        <v>5</v>
      </c>
      <c r="BE5" s="71" t="n">
        <f aca="false">ROUNDUP(BE4*1/12,0)</f>
        <v>5</v>
      </c>
      <c r="BF5" s="71" t="n">
        <f aca="false">ROUNDUP(BF4*1/12,0)</f>
        <v>5</v>
      </c>
      <c r="BG5" s="71" t="n">
        <f aca="false">ROUNDUP(BG4*1/12,0)</f>
        <v>5</v>
      </c>
      <c r="BH5" s="71" t="n">
        <f aca="false">ROUNDUP(BH4*1/12,0)</f>
        <v>5</v>
      </c>
      <c r="BI5" s="71" t="n">
        <f aca="false">ROUNDUP(BI4*1/12,0)</f>
        <v>5</v>
      </c>
      <c r="BJ5" s="71" t="n">
        <f aca="false">ROUNDUP(BJ4*1/12,0)</f>
        <v>5</v>
      </c>
    </row>
    <row r="7" customFormat="false" ht="15.75" hidden="false" customHeight="true" outlineLevel="0" collapsed="false">
      <c r="A7" s="7" t="s">
        <v>394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customFormat="false" ht="15" hidden="false" customHeight="false" outlineLevel="0" collapsed="false">
      <c r="A8" s="6" t="s">
        <v>395</v>
      </c>
      <c r="C8" s="114" t="n">
        <f aca="false">Inputs!$E$12*(1+Inputs!$E$13)^(C$5-1)*1</f>
        <v>12</v>
      </c>
      <c r="D8" s="114" t="n">
        <f aca="false">Inputs!$E$12*(1+Inputs!$E$13)^(D$5-1)*1</f>
        <v>12</v>
      </c>
      <c r="E8" s="114" t="n">
        <f aca="false">Inputs!$E$12*(1+Inputs!$E$13)^(E$5-1)*1</f>
        <v>12</v>
      </c>
      <c r="F8" s="114" t="n">
        <f aca="false">Inputs!$E$12*(1+Inputs!$E$13)^(F$5-1)*1</f>
        <v>12</v>
      </c>
      <c r="G8" s="114" t="n">
        <f aca="false">Inputs!$E$12*(1+Inputs!$E$13)^(G$5-1)*1</f>
        <v>12</v>
      </c>
      <c r="H8" s="114" t="n">
        <f aca="false">Inputs!$E$12*(1+Inputs!$E$13)^(H$5-1)*1</f>
        <v>12</v>
      </c>
      <c r="I8" s="114" t="n">
        <f aca="false">Inputs!$E$12*(1+Inputs!$E$13)^(I$5-1)*1</f>
        <v>12</v>
      </c>
      <c r="J8" s="114" t="n">
        <f aca="false">Inputs!$E$12*(1+Inputs!$E$13)^(J$5-1)*1</f>
        <v>12</v>
      </c>
      <c r="K8" s="114" t="n">
        <f aca="false">Inputs!$E$12*(1+Inputs!$E$13)^(K$5-1)*1</f>
        <v>12</v>
      </c>
      <c r="L8" s="114" t="n">
        <f aca="false">Inputs!$E$12*(1+Inputs!$E$13)^(L$5-1)*1</f>
        <v>12</v>
      </c>
      <c r="M8" s="114" t="n">
        <f aca="false">Inputs!$E$12*(1+Inputs!$E$13)^(M$5-1)*1</f>
        <v>12</v>
      </c>
      <c r="N8" s="114" t="n">
        <f aca="false">Inputs!$E$12*(1+Inputs!$E$13)^(N$5-1)*1</f>
        <v>12</v>
      </c>
      <c r="O8" s="114" t="n">
        <f aca="false">Inputs!$E$12*(1+Inputs!$E$13)^(O$5-1)*1</f>
        <v>15.6</v>
      </c>
      <c r="P8" s="114" t="n">
        <f aca="false">Inputs!$E$12*(1+Inputs!$E$13)^(P$5-1)*1</f>
        <v>15.6</v>
      </c>
      <c r="Q8" s="114" t="n">
        <f aca="false">Inputs!$E$12*(1+Inputs!$E$13)^(Q$5-1)*1</f>
        <v>15.6</v>
      </c>
      <c r="R8" s="114" t="n">
        <f aca="false">Inputs!$E$12*(1+Inputs!$E$13)^(R$5-1)*1</f>
        <v>15.6</v>
      </c>
      <c r="S8" s="114" t="n">
        <f aca="false">Inputs!$E$12*(1+Inputs!$E$13)^(S$5-1)*1</f>
        <v>15.6</v>
      </c>
      <c r="T8" s="114" t="n">
        <f aca="false">Inputs!$E$12*(1+Inputs!$E$13)^(T$5-1)*1</f>
        <v>15.6</v>
      </c>
      <c r="U8" s="114" t="n">
        <f aca="false">Inputs!$E$12*(1+Inputs!$E$13)^(U$5-1)*1</f>
        <v>15.6</v>
      </c>
      <c r="V8" s="114" t="n">
        <f aca="false">Inputs!$E$12*(1+Inputs!$E$13)^(V$5-1)*1</f>
        <v>15.6</v>
      </c>
      <c r="W8" s="114" t="n">
        <f aca="false">Inputs!$E$12*(1+Inputs!$E$13)^(W$5-1)*1</f>
        <v>15.6</v>
      </c>
      <c r="X8" s="114" t="n">
        <f aca="false">Inputs!$E$12*(1+Inputs!$E$13)^(X$5-1)*1</f>
        <v>15.6</v>
      </c>
      <c r="Y8" s="114" t="n">
        <f aca="false">Inputs!$E$12*(1+Inputs!$E$13)^(Y$5-1)*1</f>
        <v>15.6</v>
      </c>
      <c r="Z8" s="114" t="n">
        <f aca="false">Inputs!$E$12*(1+Inputs!$E$13)^(Z$5-1)*1</f>
        <v>15.6</v>
      </c>
      <c r="AA8" s="114" t="n">
        <f aca="false">Inputs!$E$12*(1+Inputs!$E$13)^(AA$5-1)*1</f>
        <v>20.28</v>
      </c>
      <c r="AB8" s="114" t="n">
        <f aca="false">Inputs!$E$12*(1+Inputs!$E$13)^(AB$5-1)*1</f>
        <v>20.28</v>
      </c>
      <c r="AC8" s="114" t="n">
        <f aca="false">Inputs!$E$12*(1+Inputs!$E$13)^(AC$5-1)*1</f>
        <v>20.28</v>
      </c>
      <c r="AD8" s="114" t="n">
        <f aca="false">Inputs!$E$12*(1+Inputs!$E$13)^(AD$5-1)*1</f>
        <v>20.28</v>
      </c>
      <c r="AE8" s="114" t="n">
        <f aca="false">Inputs!$E$12*(1+Inputs!$E$13)^(AE$5-1)*1</f>
        <v>20.28</v>
      </c>
      <c r="AF8" s="114" t="n">
        <f aca="false">Inputs!$E$12*(1+Inputs!$E$13)^(AF$5-1)*1</f>
        <v>20.28</v>
      </c>
      <c r="AG8" s="114" t="n">
        <f aca="false">Inputs!$E$12*(1+Inputs!$E$13)^(AG$5-1)*1</f>
        <v>20.28</v>
      </c>
      <c r="AH8" s="114" t="n">
        <f aca="false">Inputs!$E$12*(1+Inputs!$E$13)^(AH$5-1)*1</f>
        <v>20.28</v>
      </c>
      <c r="AI8" s="114" t="n">
        <f aca="false">Inputs!$E$12*(1+Inputs!$E$13)^(AI$5-1)*1</f>
        <v>20.28</v>
      </c>
      <c r="AJ8" s="114" t="n">
        <f aca="false">Inputs!$E$12*(1+Inputs!$E$13)^(AJ$5-1)*1</f>
        <v>20.28</v>
      </c>
      <c r="AK8" s="114" t="n">
        <f aca="false">Inputs!$E$12*(1+Inputs!$E$13)^(AK$5-1)*1</f>
        <v>20.28</v>
      </c>
      <c r="AL8" s="114" t="n">
        <f aca="false">Inputs!$E$12*(1+Inputs!$E$13)^(AL$5-1)*1</f>
        <v>20.28</v>
      </c>
      <c r="AM8" s="114" t="n">
        <f aca="false">Inputs!$E$12*(1+Inputs!$E$13)^(AM$5-1)*1</f>
        <v>26.364</v>
      </c>
      <c r="AN8" s="114" t="n">
        <f aca="false">Inputs!$E$12*(1+Inputs!$E$13)^(AN$5-1)*1</f>
        <v>26.364</v>
      </c>
      <c r="AO8" s="114" t="n">
        <f aca="false">Inputs!$E$12*(1+Inputs!$E$13)^(AO$5-1)*1</f>
        <v>26.364</v>
      </c>
      <c r="AP8" s="114" t="n">
        <f aca="false">Inputs!$E$12*(1+Inputs!$E$13)^(AP$5-1)*1</f>
        <v>26.364</v>
      </c>
      <c r="AQ8" s="114" t="n">
        <f aca="false">Inputs!$E$12*(1+Inputs!$E$13)^(AQ$5-1)*1</f>
        <v>26.364</v>
      </c>
      <c r="AR8" s="114" t="n">
        <f aca="false">Inputs!$E$12*(1+Inputs!$E$13)^(AR$5-1)*1</f>
        <v>26.364</v>
      </c>
      <c r="AS8" s="114" t="n">
        <f aca="false">Inputs!$E$12*(1+Inputs!$E$13)^(AS$5-1)*1</f>
        <v>26.364</v>
      </c>
      <c r="AT8" s="114" t="n">
        <f aca="false">Inputs!$E$12*(1+Inputs!$E$13)^(AT$5-1)*1</f>
        <v>26.364</v>
      </c>
      <c r="AU8" s="114" t="n">
        <f aca="false">Inputs!$E$12*(1+Inputs!$E$13)^(AU$5-1)*1</f>
        <v>26.364</v>
      </c>
      <c r="AV8" s="114" t="n">
        <f aca="false">Inputs!$E$12*(1+Inputs!$E$13)^(AV$5-1)*1</f>
        <v>26.364</v>
      </c>
      <c r="AW8" s="114" t="n">
        <f aca="false">Inputs!$E$12*(1+Inputs!$E$13)^(AW$5-1)*1</f>
        <v>26.364</v>
      </c>
      <c r="AX8" s="114" t="n">
        <f aca="false">Inputs!$E$12*(1+Inputs!$E$13)^(AX$5-1)*1</f>
        <v>26.364</v>
      </c>
      <c r="AY8" s="114" t="n">
        <f aca="false">Inputs!$E$12*(1+Inputs!$E$13)^(AY$5-1)*1</f>
        <v>34.2732</v>
      </c>
      <c r="AZ8" s="114" t="n">
        <f aca="false">Inputs!$E$12*(1+Inputs!$E$13)^(AZ$5-1)*1</f>
        <v>34.2732</v>
      </c>
      <c r="BA8" s="114" t="n">
        <f aca="false">Inputs!$E$12*(1+Inputs!$E$13)^(BA$5-1)*1</f>
        <v>34.2732</v>
      </c>
      <c r="BB8" s="114" t="n">
        <f aca="false">Inputs!$E$12*(1+Inputs!$E$13)^(BB$5-1)*1</f>
        <v>34.2732</v>
      </c>
      <c r="BC8" s="114" t="n">
        <f aca="false">Inputs!$E$12*(1+Inputs!$E$13)^(BC$5-1)*1</f>
        <v>34.2732</v>
      </c>
      <c r="BD8" s="114" t="n">
        <f aca="false">Inputs!$E$12*(1+Inputs!$E$13)^(BD$5-1)*1</f>
        <v>34.2732</v>
      </c>
      <c r="BE8" s="114" t="n">
        <f aca="false">Inputs!$E$12*(1+Inputs!$E$13)^(BE$5-1)*1</f>
        <v>34.2732</v>
      </c>
      <c r="BF8" s="114" t="n">
        <f aca="false">Inputs!$E$12*(1+Inputs!$E$13)^(BF$5-1)*1</f>
        <v>34.2732</v>
      </c>
      <c r="BG8" s="114" t="n">
        <f aca="false">Inputs!$E$12*(1+Inputs!$E$13)^(BG$5-1)*1</f>
        <v>34.2732</v>
      </c>
      <c r="BH8" s="114" t="n">
        <f aca="false">Inputs!$E$12*(1+Inputs!$E$13)^(BH$5-1)*1</f>
        <v>34.2732</v>
      </c>
      <c r="BI8" s="114" t="n">
        <f aca="false">Inputs!$E$12*(1+Inputs!$E$13)^(BI$5-1)*1</f>
        <v>34.2732</v>
      </c>
      <c r="BJ8" s="114" t="n">
        <f aca="false">Inputs!$E$12*(1+Inputs!$E$13)^(BJ$5-1)*1</f>
        <v>34.2732</v>
      </c>
    </row>
    <row r="9" customFormat="false" ht="15" hidden="false" customHeight="false" outlineLevel="0" collapsed="false">
      <c r="A9" s="6" t="s">
        <v>396</v>
      </c>
      <c r="C9" s="114" t="n">
        <f aca="false">-C30/MAX(1,Inputs!$E$16)</f>
        <v>17.7777777777778</v>
      </c>
      <c r="D9" s="114" t="n">
        <f aca="false">-D30/MAX(1,Inputs!$E$16)</f>
        <v>17.7777777777778</v>
      </c>
      <c r="E9" s="114" t="n">
        <f aca="false">-E30/MAX(1,Inputs!$E$16)</f>
        <v>17.7777777777778</v>
      </c>
      <c r="F9" s="114" t="n">
        <f aca="false">-F30/MAX(1,Inputs!$E$16)</f>
        <v>17.7777777777778</v>
      </c>
      <c r="G9" s="114" t="n">
        <f aca="false">-G30/MAX(1,Inputs!$E$16)</f>
        <v>17.7777777777778</v>
      </c>
      <c r="H9" s="114" t="n">
        <f aca="false">-H30/MAX(1,Inputs!$E$16)</f>
        <v>17.7777777777778</v>
      </c>
      <c r="I9" s="114" t="n">
        <f aca="false">-I30/MAX(1,Inputs!$E$16)</f>
        <v>17.7777777777778</v>
      </c>
      <c r="J9" s="114" t="n">
        <f aca="false">-J30/MAX(1,Inputs!$E$16)</f>
        <v>17.7777777777778</v>
      </c>
      <c r="K9" s="114" t="n">
        <f aca="false">-K30/MAX(1,Inputs!$E$16)</f>
        <v>17.7777777777778</v>
      </c>
      <c r="L9" s="114" t="n">
        <f aca="false">-L30/MAX(1,Inputs!$E$16)</f>
        <v>17.7777777777778</v>
      </c>
      <c r="M9" s="114" t="n">
        <f aca="false">-M30/MAX(1,Inputs!$E$16)</f>
        <v>17.7777777777778</v>
      </c>
      <c r="N9" s="114" t="n">
        <f aca="false">-N30/MAX(1,Inputs!$E$16)</f>
        <v>17.7777777777778</v>
      </c>
      <c r="O9" s="114" t="n">
        <f aca="false">-O30/MAX(1,Inputs!$E$16)</f>
        <v>21.3333333333333</v>
      </c>
      <c r="P9" s="114" t="n">
        <f aca="false">-P30/MAX(1,Inputs!$E$16)</f>
        <v>21.3333333333333</v>
      </c>
      <c r="Q9" s="114" t="n">
        <f aca="false">-Q30/MAX(1,Inputs!$E$16)</f>
        <v>21.3333333333333</v>
      </c>
      <c r="R9" s="114" t="n">
        <f aca="false">-R30/MAX(1,Inputs!$E$16)</f>
        <v>21.3333333333333</v>
      </c>
      <c r="S9" s="114" t="n">
        <f aca="false">-S30/MAX(1,Inputs!$E$16)</f>
        <v>21.3333333333333</v>
      </c>
      <c r="T9" s="114" t="n">
        <f aca="false">-T30/MAX(1,Inputs!$E$16)</f>
        <v>21.3333333333333</v>
      </c>
      <c r="U9" s="114" t="n">
        <f aca="false">-U30/MAX(1,Inputs!$E$16)</f>
        <v>21.3333333333333</v>
      </c>
      <c r="V9" s="114" t="n">
        <f aca="false">-V30/MAX(1,Inputs!$E$16)</f>
        <v>21.3333333333333</v>
      </c>
      <c r="W9" s="114" t="n">
        <f aca="false">-W30/MAX(1,Inputs!$E$16)</f>
        <v>21.3333333333333</v>
      </c>
      <c r="X9" s="114" t="n">
        <f aca="false">-X30/MAX(1,Inputs!$E$16)</f>
        <v>21.3333333333333</v>
      </c>
      <c r="Y9" s="114" t="n">
        <f aca="false">-Y30/MAX(1,Inputs!$E$16)</f>
        <v>21.3333333333333</v>
      </c>
      <c r="Z9" s="114" t="n">
        <f aca="false">-Z30/MAX(1,Inputs!$E$16)</f>
        <v>21.3333333333333</v>
      </c>
      <c r="AA9" s="114" t="n">
        <f aca="false">-AA30/MAX(1,Inputs!$E$16)</f>
        <v>25.6</v>
      </c>
      <c r="AB9" s="114" t="n">
        <f aca="false">-AB30/MAX(1,Inputs!$E$16)</f>
        <v>25.6</v>
      </c>
      <c r="AC9" s="114" t="n">
        <f aca="false">-AC30/MAX(1,Inputs!$E$16)</f>
        <v>25.6</v>
      </c>
      <c r="AD9" s="114" t="n">
        <f aca="false">-AD30/MAX(1,Inputs!$E$16)</f>
        <v>25.6</v>
      </c>
      <c r="AE9" s="114" t="n">
        <f aca="false">-AE30/MAX(1,Inputs!$E$16)</f>
        <v>25.6</v>
      </c>
      <c r="AF9" s="114" t="n">
        <f aca="false">-AF30/MAX(1,Inputs!$E$16)</f>
        <v>25.6</v>
      </c>
      <c r="AG9" s="114" t="n">
        <f aca="false">-AG30/MAX(1,Inputs!$E$16)</f>
        <v>25.6</v>
      </c>
      <c r="AH9" s="114" t="n">
        <f aca="false">-AH30/MAX(1,Inputs!$E$16)</f>
        <v>25.6</v>
      </c>
      <c r="AI9" s="114" t="n">
        <f aca="false">-AI30/MAX(1,Inputs!$E$16)</f>
        <v>25.6</v>
      </c>
      <c r="AJ9" s="114" t="n">
        <f aca="false">-AJ30/MAX(1,Inputs!$E$16)</f>
        <v>25.6</v>
      </c>
      <c r="AK9" s="114" t="n">
        <f aca="false">-AK30/MAX(1,Inputs!$E$16)</f>
        <v>25.6</v>
      </c>
      <c r="AL9" s="114" t="n">
        <f aca="false">-AL30/MAX(1,Inputs!$E$16)</f>
        <v>25.6</v>
      </c>
      <c r="AM9" s="114" t="n">
        <f aca="false">-AM30/MAX(1,Inputs!$E$16)</f>
        <v>30.72</v>
      </c>
      <c r="AN9" s="114" t="n">
        <f aca="false">-AN30/MAX(1,Inputs!$E$16)</f>
        <v>30.72</v>
      </c>
      <c r="AO9" s="114" t="n">
        <f aca="false">-AO30/MAX(1,Inputs!$E$16)</f>
        <v>30.72</v>
      </c>
      <c r="AP9" s="114" t="n">
        <f aca="false">-AP30/MAX(1,Inputs!$E$16)</f>
        <v>30.72</v>
      </c>
      <c r="AQ9" s="114" t="n">
        <f aca="false">-AQ30/MAX(1,Inputs!$E$16)</f>
        <v>30.72</v>
      </c>
      <c r="AR9" s="114" t="n">
        <f aca="false">-AR30/MAX(1,Inputs!$E$16)</f>
        <v>30.72</v>
      </c>
      <c r="AS9" s="114" t="n">
        <f aca="false">-AS30/MAX(1,Inputs!$E$16)</f>
        <v>30.72</v>
      </c>
      <c r="AT9" s="114" t="n">
        <f aca="false">-AT30/MAX(1,Inputs!$E$16)</f>
        <v>30.72</v>
      </c>
      <c r="AU9" s="114" t="n">
        <f aca="false">-AU30/MAX(1,Inputs!$E$16)</f>
        <v>30.72</v>
      </c>
      <c r="AV9" s="114" t="n">
        <f aca="false">-AV30/MAX(1,Inputs!$E$16)</f>
        <v>30.72</v>
      </c>
      <c r="AW9" s="114" t="n">
        <f aca="false">-AW30/MAX(1,Inputs!$E$16)</f>
        <v>30.72</v>
      </c>
      <c r="AX9" s="114" t="n">
        <f aca="false">-AX30/MAX(1,Inputs!$E$16)</f>
        <v>30.72</v>
      </c>
      <c r="AY9" s="114" t="n">
        <f aca="false">-AY30/MAX(1,Inputs!$E$16)</f>
        <v>36.864</v>
      </c>
      <c r="AZ9" s="114" t="n">
        <f aca="false">-AZ30/MAX(1,Inputs!$E$16)</f>
        <v>36.864</v>
      </c>
      <c r="BA9" s="114" t="n">
        <f aca="false">-BA30/MAX(1,Inputs!$E$16)</f>
        <v>36.864</v>
      </c>
      <c r="BB9" s="114" t="n">
        <f aca="false">-BB30/MAX(1,Inputs!$E$16)</f>
        <v>36.864</v>
      </c>
      <c r="BC9" s="114" t="n">
        <f aca="false">-BC30/MAX(1,Inputs!$E$16)</f>
        <v>36.864</v>
      </c>
      <c r="BD9" s="114" t="n">
        <f aca="false">-BD30/MAX(1,Inputs!$E$16)</f>
        <v>36.864</v>
      </c>
      <c r="BE9" s="114" t="n">
        <f aca="false">-BE30/MAX(1,Inputs!$E$16)</f>
        <v>36.864</v>
      </c>
      <c r="BF9" s="114" t="n">
        <f aca="false">-BF30/MAX(1,Inputs!$E$16)</f>
        <v>36.864</v>
      </c>
      <c r="BG9" s="114" t="n">
        <f aca="false">-BG30/MAX(1,Inputs!$E$16)</f>
        <v>36.864</v>
      </c>
      <c r="BH9" s="114" t="n">
        <f aca="false">-BH30/MAX(1,Inputs!$E$16)</f>
        <v>36.864</v>
      </c>
      <c r="BI9" s="114" t="n">
        <f aca="false">-BI30/MAX(1,Inputs!$E$16)</f>
        <v>36.864</v>
      </c>
      <c r="BJ9" s="114" t="n">
        <f aca="false">-BJ30/MAX(1,Inputs!$E$16)</f>
        <v>36.864</v>
      </c>
    </row>
    <row r="10" customFormat="false" ht="15" hidden="false" customHeight="false" outlineLevel="0" collapsed="false">
      <c r="A10" s="4" t="s">
        <v>397</v>
      </c>
      <c r="C10" s="115" t="n">
        <f aca="false">C8+C9</f>
        <v>29.7777777777778</v>
      </c>
      <c r="D10" s="115" t="n">
        <f aca="false">D8+D9</f>
        <v>29.7777777777778</v>
      </c>
      <c r="E10" s="115" t="n">
        <f aca="false">E8+E9</f>
        <v>29.7777777777778</v>
      </c>
      <c r="F10" s="115" t="n">
        <f aca="false">F8+F9</f>
        <v>29.7777777777778</v>
      </c>
      <c r="G10" s="115" t="n">
        <f aca="false">G8+G9</f>
        <v>29.7777777777778</v>
      </c>
      <c r="H10" s="115" t="n">
        <f aca="false">H8+H9</f>
        <v>29.7777777777778</v>
      </c>
      <c r="I10" s="115" t="n">
        <f aca="false">I8+I9</f>
        <v>29.7777777777778</v>
      </c>
      <c r="J10" s="115" t="n">
        <f aca="false">J8+J9</f>
        <v>29.7777777777778</v>
      </c>
      <c r="K10" s="115" t="n">
        <f aca="false">K8+K9</f>
        <v>29.7777777777778</v>
      </c>
      <c r="L10" s="115" t="n">
        <f aca="false">L8+L9</f>
        <v>29.7777777777778</v>
      </c>
      <c r="M10" s="115" t="n">
        <f aca="false">M8+M9</f>
        <v>29.7777777777778</v>
      </c>
      <c r="N10" s="115" t="n">
        <f aca="false">N8+N9</f>
        <v>29.7777777777778</v>
      </c>
      <c r="O10" s="115" t="n">
        <f aca="false">O8+O9</f>
        <v>36.9333333333333</v>
      </c>
      <c r="P10" s="115" t="n">
        <f aca="false">P8+P9</f>
        <v>36.9333333333333</v>
      </c>
      <c r="Q10" s="115" t="n">
        <f aca="false">Q8+Q9</f>
        <v>36.9333333333333</v>
      </c>
      <c r="R10" s="115" t="n">
        <f aca="false">R8+R9</f>
        <v>36.9333333333333</v>
      </c>
      <c r="S10" s="115" t="n">
        <f aca="false">S8+S9</f>
        <v>36.9333333333333</v>
      </c>
      <c r="T10" s="115" t="n">
        <f aca="false">T8+T9</f>
        <v>36.9333333333333</v>
      </c>
      <c r="U10" s="115" t="n">
        <f aca="false">U8+U9</f>
        <v>36.9333333333333</v>
      </c>
      <c r="V10" s="115" t="n">
        <f aca="false">V8+V9</f>
        <v>36.9333333333333</v>
      </c>
      <c r="W10" s="115" t="n">
        <f aca="false">W8+W9</f>
        <v>36.9333333333333</v>
      </c>
      <c r="X10" s="115" t="n">
        <f aca="false">X8+X9</f>
        <v>36.9333333333333</v>
      </c>
      <c r="Y10" s="115" t="n">
        <f aca="false">Y8+Y9</f>
        <v>36.9333333333333</v>
      </c>
      <c r="Z10" s="115" t="n">
        <f aca="false">Z8+Z9</f>
        <v>36.9333333333333</v>
      </c>
      <c r="AA10" s="115" t="n">
        <f aca="false">AA8+AA9</f>
        <v>45.88</v>
      </c>
      <c r="AB10" s="115" t="n">
        <f aca="false">AB8+AB9</f>
        <v>45.88</v>
      </c>
      <c r="AC10" s="115" t="n">
        <f aca="false">AC8+AC9</f>
        <v>45.88</v>
      </c>
      <c r="AD10" s="115" t="n">
        <f aca="false">AD8+AD9</f>
        <v>45.88</v>
      </c>
      <c r="AE10" s="115" t="n">
        <f aca="false">AE8+AE9</f>
        <v>45.88</v>
      </c>
      <c r="AF10" s="115" t="n">
        <f aca="false">AF8+AF9</f>
        <v>45.88</v>
      </c>
      <c r="AG10" s="115" t="n">
        <f aca="false">AG8+AG9</f>
        <v>45.88</v>
      </c>
      <c r="AH10" s="115" t="n">
        <f aca="false">AH8+AH9</f>
        <v>45.88</v>
      </c>
      <c r="AI10" s="115" t="n">
        <f aca="false">AI8+AI9</f>
        <v>45.88</v>
      </c>
      <c r="AJ10" s="115" t="n">
        <f aca="false">AJ8+AJ9</f>
        <v>45.88</v>
      </c>
      <c r="AK10" s="115" t="n">
        <f aca="false">AK8+AK9</f>
        <v>45.88</v>
      </c>
      <c r="AL10" s="115" t="n">
        <f aca="false">AL8+AL9</f>
        <v>45.88</v>
      </c>
      <c r="AM10" s="115" t="n">
        <f aca="false">AM8+AM9</f>
        <v>57.084</v>
      </c>
      <c r="AN10" s="115" t="n">
        <f aca="false">AN8+AN9</f>
        <v>57.084</v>
      </c>
      <c r="AO10" s="115" t="n">
        <f aca="false">AO8+AO9</f>
        <v>57.084</v>
      </c>
      <c r="AP10" s="115" t="n">
        <f aca="false">AP8+AP9</f>
        <v>57.084</v>
      </c>
      <c r="AQ10" s="115" t="n">
        <f aca="false">AQ8+AQ9</f>
        <v>57.084</v>
      </c>
      <c r="AR10" s="115" t="n">
        <f aca="false">AR8+AR9</f>
        <v>57.084</v>
      </c>
      <c r="AS10" s="115" t="n">
        <f aca="false">AS8+AS9</f>
        <v>57.084</v>
      </c>
      <c r="AT10" s="115" t="n">
        <f aca="false">AT8+AT9</f>
        <v>57.084</v>
      </c>
      <c r="AU10" s="115" t="n">
        <f aca="false">AU8+AU9</f>
        <v>57.084</v>
      </c>
      <c r="AV10" s="115" t="n">
        <f aca="false">AV8+AV9</f>
        <v>57.084</v>
      </c>
      <c r="AW10" s="115" t="n">
        <f aca="false">AW8+AW9</f>
        <v>57.084</v>
      </c>
      <c r="AX10" s="115" t="n">
        <f aca="false">AX8+AX9</f>
        <v>57.084</v>
      </c>
      <c r="AY10" s="115" t="n">
        <f aca="false">AY8+AY9</f>
        <v>71.1372</v>
      </c>
      <c r="AZ10" s="115" t="n">
        <f aca="false">AZ8+AZ9</f>
        <v>71.1372</v>
      </c>
      <c r="BA10" s="115" t="n">
        <f aca="false">BA8+BA9</f>
        <v>71.1372</v>
      </c>
      <c r="BB10" s="115" t="n">
        <f aca="false">BB8+BB9</f>
        <v>71.1372</v>
      </c>
      <c r="BC10" s="115" t="n">
        <f aca="false">BC8+BC9</f>
        <v>71.1372</v>
      </c>
      <c r="BD10" s="115" t="n">
        <f aca="false">BD8+BD9</f>
        <v>71.1372</v>
      </c>
      <c r="BE10" s="115" t="n">
        <f aca="false">BE8+BE9</f>
        <v>71.1372</v>
      </c>
      <c r="BF10" s="115" t="n">
        <f aca="false">BF8+BF9</f>
        <v>71.1372</v>
      </c>
      <c r="BG10" s="115" t="n">
        <f aca="false">BG8+BG9</f>
        <v>71.1372</v>
      </c>
      <c r="BH10" s="115" t="n">
        <f aca="false">BH8+BH9</f>
        <v>71.1372</v>
      </c>
      <c r="BI10" s="115" t="n">
        <f aca="false">BI8+BI9</f>
        <v>71.1372</v>
      </c>
      <c r="BJ10" s="115" t="n">
        <f aca="false">BJ8+BJ9</f>
        <v>71.1372</v>
      </c>
    </row>
    <row r="11" customFormat="false" ht="15" hidden="false" customHeight="false" outlineLevel="0" collapsed="false">
      <c r="A11" s="6" t="s">
        <v>398</v>
      </c>
      <c r="C11" s="116" t="n">
        <f aca="false">Inputs!$E$7</f>
        <v>30</v>
      </c>
      <c r="D11" s="114" t="n">
        <f aca="false">C13</f>
        <v>58.8777777777778</v>
      </c>
      <c r="E11" s="114" t="n">
        <f aca="false">D13</f>
        <v>86.8892222222222</v>
      </c>
      <c r="F11" s="114" t="n">
        <f aca="false">E13</f>
        <v>114.060323333333</v>
      </c>
      <c r="G11" s="114" t="n">
        <f aca="false">F13</f>
        <v>140.416291411111</v>
      </c>
      <c r="H11" s="114" t="n">
        <f aca="false">G13</f>
        <v>165.981580446556</v>
      </c>
      <c r="I11" s="114" t="n">
        <f aca="false">H13</f>
        <v>190.779910810937</v>
      </c>
      <c r="J11" s="114" t="n">
        <f aca="false">I13</f>
        <v>214.834291264386</v>
      </c>
      <c r="K11" s="114" t="n">
        <f aca="false">J13</f>
        <v>238.167040304233</v>
      </c>
      <c r="L11" s="114" t="n">
        <f aca="false">K13</f>
        <v>260.799806872883</v>
      </c>
      <c r="M11" s="114" t="n">
        <f aca="false">L13</f>
        <v>282.753590444475</v>
      </c>
      <c r="N11" s="114" t="n">
        <f aca="false">M13</f>
        <v>304.048760508918</v>
      </c>
      <c r="O11" s="114" t="n">
        <f aca="false">N13</f>
        <v>324.705075471428</v>
      </c>
      <c r="P11" s="114" t="n">
        <f aca="false">O13</f>
        <v>351.897256540619</v>
      </c>
      <c r="Q11" s="114" t="n">
        <f aca="false">P13</f>
        <v>378.273672177734</v>
      </c>
      <c r="R11" s="114" t="n">
        <f aca="false">Q13</f>
        <v>403.858795345735</v>
      </c>
      <c r="S11" s="114" t="n">
        <f aca="false">R13</f>
        <v>428.676364818696</v>
      </c>
      <c r="T11" s="114" t="n">
        <f aca="false">S13</f>
        <v>452.749407207469</v>
      </c>
      <c r="U11" s="114" t="n">
        <f aca="false">T13</f>
        <v>476.100258324578</v>
      </c>
      <c r="V11" s="114" t="n">
        <f aca="false">U13</f>
        <v>498.750583908174</v>
      </c>
      <c r="W11" s="114" t="n">
        <f aca="false">V13</f>
        <v>520.721399724262</v>
      </c>
      <c r="X11" s="114" t="n">
        <f aca="false">W13</f>
        <v>542.033091065868</v>
      </c>
      <c r="Y11" s="114" t="n">
        <f aca="false">X13</f>
        <v>562.705431667225</v>
      </c>
      <c r="Z11" s="114" t="n">
        <f aca="false">Y13</f>
        <v>582.757602050541</v>
      </c>
      <c r="AA11" s="114" t="n">
        <f aca="false">Z13</f>
        <v>602.208207322359</v>
      </c>
      <c r="AB11" s="114" t="n">
        <f aca="false">AA13</f>
        <v>630.021961102688</v>
      </c>
      <c r="AC11" s="114" t="n">
        <f aca="false">AB13</f>
        <v>657.001302269607</v>
      </c>
      <c r="AD11" s="114" t="n">
        <f aca="false">AC13</f>
        <v>683.171263201519</v>
      </c>
      <c r="AE11" s="114" t="n">
        <f aca="false">AD13</f>
        <v>708.556125305473</v>
      </c>
      <c r="AF11" s="114" t="n">
        <f aca="false">AE13</f>
        <v>733.179441546309</v>
      </c>
      <c r="AG11" s="114" t="n">
        <f aca="false">AF13</f>
        <v>757.06405829992</v>
      </c>
      <c r="AH11" s="114" t="n">
        <f aca="false">AG13</f>
        <v>780.232136550922</v>
      </c>
      <c r="AI11" s="114" t="n">
        <f aca="false">AH13</f>
        <v>802.705172454395</v>
      </c>
      <c r="AJ11" s="114" t="n">
        <f aca="false">AI13</f>
        <v>824.504017280763</v>
      </c>
      <c r="AK11" s="114" t="n">
        <f aca="false">AJ13</f>
        <v>845.64889676234</v>
      </c>
      <c r="AL11" s="114" t="n">
        <f aca="false">AK13</f>
        <v>866.15942985947</v>
      </c>
      <c r="AM11" s="114" t="n">
        <f aca="false">AL13</f>
        <v>886.054646963686</v>
      </c>
      <c r="AN11" s="114" t="n">
        <f aca="false">AM13</f>
        <v>916.557007554775</v>
      </c>
      <c r="AO11" s="114" t="n">
        <f aca="false">AN13</f>
        <v>946.144297328132</v>
      </c>
      <c r="AP11" s="114" t="n">
        <f aca="false">AO13</f>
        <v>974.843968408288</v>
      </c>
      <c r="AQ11" s="114" t="n">
        <f aca="false">AP13</f>
        <v>1002.68264935604</v>
      </c>
      <c r="AR11" s="114" t="n">
        <f aca="false">AQ13</f>
        <v>1029.68616987536</v>
      </c>
      <c r="AS11" s="114" t="n">
        <f aca="false">AR13</f>
        <v>1055.8795847791</v>
      </c>
      <c r="AT11" s="114" t="n">
        <f aca="false">AS13</f>
        <v>1081.28719723572</v>
      </c>
      <c r="AU11" s="114" t="n">
        <f aca="false">AT13</f>
        <v>1105.93258131865</v>
      </c>
      <c r="AV11" s="114" t="n">
        <f aca="false">AU13</f>
        <v>1129.83860387909</v>
      </c>
      <c r="AW11" s="114" t="n">
        <f aca="false">AV13</f>
        <v>1153.02744576272</v>
      </c>
      <c r="AX11" s="114" t="n">
        <f aca="false">AW13</f>
        <v>1175.52062238984</v>
      </c>
      <c r="AY11" s="114" t="n">
        <f aca="false">AX13</f>
        <v>1197.33900371814</v>
      </c>
      <c r="AZ11" s="114" t="n">
        <f aca="false">AY13</f>
        <v>1232.5560336066</v>
      </c>
      <c r="BA11" s="114" t="n">
        <f aca="false">AZ13</f>
        <v>1266.7165525984</v>
      </c>
      <c r="BB11" s="114" t="n">
        <f aca="false">BA13</f>
        <v>1299.85225602045</v>
      </c>
      <c r="BC11" s="114" t="n">
        <f aca="false">BB13</f>
        <v>1331.99388833984</v>
      </c>
      <c r="BD11" s="114" t="n">
        <f aca="false">BC13</f>
        <v>1363.17127168964</v>
      </c>
      <c r="BE11" s="114" t="n">
        <f aca="false">BD13</f>
        <v>1393.41333353895</v>
      </c>
      <c r="BF11" s="114" t="n">
        <f aca="false">BE13</f>
        <v>1422.74813353278</v>
      </c>
      <c r="BG11" s="114" t="n">
        <f aca="false">BF13</f>
        <v>1451.2028895268</v>
      </c>
      <c r="BH11" s="114" t="n">
        <f aca="false">BG13</f>
        <v>1478.804002841</v>
      </c>
      <c r="BI11" s="114" t="n">
        <f aca="false">BH13</f>
        <v>1505.57708275577</v>
      </c>
      <c r="BJ11" s="114" t="n">
        <f aca="false">BI13</f>
        <v>1531.54697027309</v>
      </c>
    </row>
    <row r="12" customFormat="false" ht="15" hidden="false" customHeight="false" outlineLevel="0" collapsed="false">
      <c r="A12" s="6" t="s">
        <v>399</v>
      </c>
      <c r="C12" s="114" t="n">
        <f aca="false">-C11*Inputs!$E$10</f>
        <v>-0.9</v>
      </c>
      <c r="D12" s="114" t="n">
        <f aca="false">-D11*Inputs!$E$10</f>
        <v>-1.76633333333333</v>
      </c>
      <c r="E12" s="114" t="n">
        <f aca="false">-E11*Inputs!$E$10</f>
        <v>-2.60667666666667</v>
      </c>
      <c r="F12" s="114" t="n">
        <f aca="false">-F11*Inputs!$E$10</f>
        <v>-3.4218097</v>
      </c>
      <c r="G12" s="114" t="n">
        <f aca="false">-G11*Inputs!$E$10</f>
        <v>-4.21248874233333</v>
      </c>
      <c r="H12" s="114" t="n">
        <f aca="false">-H11*Inputs!$E$10</f>
        <v>-4.97944741339667</v>
      </c>
      <c r="I12" s="114" t="n">
        <f aca="false">-I11*Inputs!$E$10</f>
        <v>-5.7233973243281</v>
      </c>
      <c r="J12" s="114" t="n">
        <f aca="false">-J11*Inputs!$E$10</f>
        <v>-6.44502873793159</v>
      </c>
      <c r="K12" s="114" t="n">
        <f aca="false">-K11*Inputs!$E$10</f>
        <v>-7.14501120912698</v>
      </c>
      <c r="L12" s="114" t="n">
        <f aca="false">-L11*Inputs!$E$10</f>
        <v>-7.8239942061865</v>
      </c>
      <c r="M12" s="114" t="n">
        <f aca="false">-M11*Inputs!$E$10</f>
        <v>-8.48260771333424</v>
      </c>
      <c r="N12" s="114" t="n">
        <f aca="false">-N11*Inputs!$E$10</f>
        <v>-9.12146281526755</v>
      </c>
      <c r="O12" s="114" t="n">
        <f aca="false">-O11*Inputs!$E$10</f>
        <v>-9.74115226414285</v>
      </c>
      <c r="P12" s="114" t="n">
        <f aca="false">-P11*Inputs!$E$10</f>
        <v>-10.5569176962186</v>
      </c>
      <c r="Q12" s="114" t="n">
        <f aca="false">-Q11*Inputs!$E$10</f>
        <v>-11.348210165332</v>
      </c>
      <c r="R12" s="114" t="n">
        <f aca="false">-R11*Inputs!$E$10</f>
        <v>-12.115763860372</v>
      </c>
      <c r="S12" s="114" t="n">
        <f aca="false">-S11*Inputs!$E$10</f>
        <v>-12.8602909445609</v>
      </c>
      <c r="T12" s="114" t="n">
        <f aca="false">-T11*Inputs!$E$10</f>
        <v>-13.5824822162241</v>
      </c>
      <c r="U12" s="114" t="n">
        <f aca="false">-U11*Inputs!$E$10</f>
        <v>-14.2830077497373</v>
      </c>
      <c r="V12" s="114" t="n">
        <f aca="false">-V11*Inputs!$E$10</f>
        <v>-14.9625175172452</v>
      </c>
      <c r="W12" s="114" t="n">
        <f aca="false">-W11*Inputs!$E$10</f>
        <v>-15.6216419917279</v>
      </c>
      <c r="X12" s="114" t="n">
        <f aca="false">-X11*Inputs!$E$10</f>
        <v>-16.260992731976</v>
      </c>
      <c r="Y12" s="114" t="n">
        <f aca="false">-Y11*Inputs!$E$10</f>
        <v>-16.8811629500167</v>
      </c>
      <c r="Z12" s="114" t="n">
        <f aca="false">-Z11*Inputs!$E$10</f>
        <v>-17.4827280615162</v>
      </c>
      <c r="AA12" s="114" t="n">
        <f aca="false">-AA11*Inputs!$E$10</f>
        <v>-18.0662462196708</v>
      </c>
      <c r="AB12" s="114" t="n">
        <f aca="false">-AB11*Inputs!$E$10</f>
        <v>-18.9006588330806</v>
      </c>
      <c r="AC12" s="114" t="n">
        <f aca="false">-AC11*Inputs!$E$10</f>
        <v>-19.7100390680882</v>
      </c>
      <c r="AD12" s="114" t="n">
        <f aca="false">-AD11*Inputs!$E$10</f>
        <v>-20.4951378960456</v>
      </c>
      <c r="AE12" s="114" t="n">
        <f aca="false">-AE11*Inputs!$E$10</f>
        <v>-21.2566837591642</v>
      </c>
      <c r="AF12" s="114" t="n">
        <f aca="false">-AF11*Inputs!$E$10</f>
        <v>-21.9953832463893</v>
      </c>
      <c r="AG12" s="114" t="n">
        <f aca="false">-AG11*Inputs!$E$10</f>
        <v>-22.7119217489976</v>
      </c>
      <c r="AH12" s="114" t="n">
        <f aca="false">-AH11*Inputs!$E$10</f>
        <v>-23.4069640965277</v>
      </c>
      <c r="AI12" s="114" t="n">
        <f aca="false">-AI11*Inputs!$E$10</f>
        <v>-24.0811551736318</v>
      </c>
      <c r="AJ12" s="114" t="n">
        <f aca="false">-AJ11*Inputs!$E$10</f>
        <v>-24.7351205184229</v>
      </c>
      <c r="AK12" s="114" t="n">
        <f aca="false">-AK11*Inputs!$E$10</f>
        <v>-25.3694669028702</v>
      </c>
      <c r="AL12" s="114" t="n">
        <f aca="false">-AL11*Inputs!$E$10</f>
        <v>-25.9847828957841</v>
      </c>
      <c r="AM12" s="114" t="n">
        <f aca="false">-AM11*Inputs!$E$10</f>
        <v>-26.5816394089106</v>
      </c>
      <c r="AN12" s="114" t="n">
        <f aca="false">-AN11*Inputs!$E$10</f>
        <v>-27.4967102266433</v>
      </c>
      <c r="AO12" s="114" t="n">
        <f aca="false">-AO11*Inputs!$E$10</f>
        <v>-28.384328919844</v>
      </c>
      <c r="AP12" s="114" t="n">
        <f aca="false">-AP11*Inputs!$E$10</f>
        <v>-29.2453190522486</v>
      </c>
      <c r="AQ12" s="114" t="n">
        <f aca="false">-AQ11*Inputs!$E$10</f>
        <v>-30.0804794806812</v>
      </c>
      <c r="AR12" s="114" t="n">
        <f aca="false">-AR11*Inputs!$E$10</f>
        <v>-30.8905850962607</v>
      </c>
      <c r="AS12" s="114" t="n">
        <f aca="false">-AS11*Inputs!$E$10</f>
        <v>-31.6763875433729</v>
      </c>
      <c r="AT12" s="114" t="n">
        <f aca="false">-AT11*Inputs!$E$10</f>
        <v>-32.4386159170717</v>
      </c>
      <c r="AU12" s="114" t="n">
        <f aca="false">-AU11*Inputs!$E$10</f>
        <v>-33.1779774395596</v>
      </c>
      <c r="AV12" s="114" t="n">
        <f aca="false">-AV11*Inputs!$E$10</f>
        <v>-33.8951581163728</v>
      </c>
      <c r="AW12" s="114" t="n">
        <f aca="false">-AW11*Inputs!$E$10</f>
        <v>-34.5908233728816</v>
      </c>
      <c r="AX12" s="114" t="n">
        <f aca="false">-AX11*Inputs!$E$10</f>
        <v>-35.2656186716952</v>
      </c>
      <c r="AY12" s="114" t="n">
        <f aca="false">-AY11*Inputs!$E$10</f>
        <v>-35.9201701115443</v>
      </c>
      <c r="AZ12" s="114" t="n">
        <f aca="false">-AZ11*Inputs!$E$10</f>
        <v>-36.976681008198</v>
      </c>
      <c r="BA12" s="114" t="n">
        <f aca="false">-BA11*Inputs!$E$10</f>
        <v>-38.0014965779521</v>
      </c>
      <c r="BB12" s="114" t="n">
        <f aca="false">-BB11*Inputs!$E$10</f>
        <v>-38.9955676806135</v>
      </c>
      <c r="BC12" s="114" t="n">
        <f aca="false">-BC11*Inputs!$E$10</f>
        <v>-39.9598166501951</v>
      </c>
      <c r="BD12" s="114" t="n">
        <f aca="false">-BD11*Inputs!$E$10</f>
        <v>-40.8951381506892</v>
      </c>
      <c r="BE12" s="114" t="n">
        <f aca="false">-BE11*Inputs!$E$10</f>
        <v>-41.8024000061686</v>
      </c>
      <c r="BF12" s="114" t="n">
        <f aca="false">-BF11*Inputs!$E$10</f>
        <v>-42.6824440059835</v>
      </c>
      <c r="BG12" s="114" t="n">
        <f aca="false">-BG11*Inputs!$E$10</f>
        <v>-43.536086685804</v>
      </c>
      <c r="BH12" s="114" t="n">
        <f aca="false">-BH11*Inputs!$E$10</f>
        <v>-44.3641200852299</v>
      </c>
      <c r="BI12" s="114" t="n">
        <f aca="false">-BI11*Inputs!$E$10</f>
        <v>-45.167312482673</v>
      </c>
      <c r="BJ12" s="114" t="n">
        <f aca="false">-BJ11*Inputs!$E$10</f>
        <v>-45.9464091081928</v>
      </c>
    </row>
    <row r="13" customFormat="false" ht="15" hidden="false" customHeight="false" outlineLevel="0" collapsed="false">
      <c r="A13" s="111" t="s">
        <v>400</v>
      </c>
      <c r="C13" s="117" t="n">
        <f aca="false">C11+C10+C12</f>
        <v>58.8777777777778</v>
      </c>
      <c r="D13" s="117" t="n">
        <f aca="false">D11+D10+D12</f>
        <v>86.8892222222222</v>
      </c>
      <c r="E13" s="117" t="n">
        <f aca="false">E11+E10+E12</f>
        <v>114.060323333333</v>
      </c>
      <c r="F13" s="117" t="n">
        <f aca="false">F11+F10+F12</f>
        <v>140.416291411111</v>
      </c>
      <c r="G13" s="117" t="n">
        <f aca="false">G11+G10+G12</f>
        <v>165.981580446556</v>
      </c>
      <c r="H13" s="117" t="n">
        <f aca="false">H11+H10+H12</f>
        <v>190.779910810937</v>
      </c>
      <c r="I13" s="117" t="n">
        <f aca="false">I11+I10+I12</f>
        <v>214.834291264386</v>
      </c>
      <c r="J13" s="117" t="n">
        <f aca="false">J11+J10+J12</f>
        <v>238.167040304233</v>
      </c>
      <c r="K13" s="117" t="n">
        <f aca="false">K11+K10+K12</f>
        <v>260.799806872883</v>
      </c>
      <c r="L13" s="117" t="n">
        <f aca="false">L11+L10+L12</f>
        <v>282.753590444475</v>
      </c>
      <c r="M13" s="117" t="n">
        <f aca="false">M11+M10+M12</f>
        <v>304.048760508918</v>
      </c>
      <c r="N13" s="117" t="n">
        <f aca="false">N11+N10+N12</f>
        <v>324.705075471428</v>
      </c>
      <c r="O13" s="117" t="n">
        <f aca="false">O11+O10+O12</f>
        <v>351.897256540619</v>
      </c>
      <c r="P13" s="117" t="n">
        <f aca="false">P11+P10+P12</f>
        <v>378.273672177734</v>
      </c>
      <c r="Q13" s="117" t="n">
        <f aca="false">Q11+Q10+Q12</f>
        <v>403.858795345735</v>
      </c>
      <c r="R13" s="117" t="n">
        <f aca="false">R11+R10+R12</f>
        <v>428.676364818696</v>
      </c>
      <c r="S13" s="117" t="n">
        <f aca="false">S11+S10+S12</f>
        <v>452.749407207469</v>
      </c>
      <c r="T13" s="117" t="n">
        <f aca="false">T11+T10+T12</f>
        <v>476.100258324578</v>
      </c>
      <c r="U13" s="117" t="n">
        <f aca="false">U11+U10+U12</f>
        <v>498.750583908174</v>
      </c>
      <c r="V13" s="117" t="n">
        <f aca="false">V11+V10+V12</f>
        <v>520.721399724262</v>
      </c>
      <c r="W13" s="117" t="n">
        <f aca="false">W11+W10+W12</f>
        <v>542.033091065868</v>
      </c>
      <c r="X13" s="117" t="n">
        <f aca="false">X11+X10+X12</f>
        <v>562.705431667225</v>
      </c>
      <c r="Y13" s="117" t="n">
        <f aca="false">Y11+Y10+Y12</f>
        <v>582.757602050541</v>
      </c>
      <c r="Z13" s="117" t="n">
        <f aca="false">Z11+Z10+Z12</f>
        <v>602.208207322359</v>
      </c>
      <c r="AA13" s="117" t="n">
        <f aca="false">AA11+AA10+AA12</f>
        <v>630.021961102688</v>
      </c>
      <c r="AB13" s="117" t="n">
        <f aca="false">AB11+AB10+AB12</f>
        <v>657.001302269607</v>
      </c>
      <c r="AC13" s="117" t="n">
        <f aca="false">AC11+AC10+AC12</f>
        <v>683.171263201519</v>
      </c>
      <c r="AD13" s="117" t="n">
        <f aca="false">AD11+AD10+AD12</f>
        <v>708.556125305473</v>
      </c>
      <c r="AE13" s="117" t="n">
        <f aca="false">AE11+AE10+AE12</f>
        <v>733.179441546309</v>
      </c>
      <c r="AF13" s="117" t="n">
        <f aca="false">AF11+AF10+AF12</f>
        <v>757.06405829992</v>
      </c>
      <c r="AG13" s="117" t="n">
        <f aca="false">AG11+AG10+AG12</f>
        <v>780.232136550922</v>
      </c>
      <c r="AH13" s="117" t="n">
        <f aca="false">AH11+AH10+AH12</f>
        <v>802.705172454395</v>
      </c>
      <c r="AI13" s="117" t="n">
        <f aca="false">AI11+AI10+AI12</f>
        <v>824.504017280763</v>
      </c>
      <c r="AJ13" s="117" t="n">
        <f aca="false">AJ11+AJ10+AJ12</f>
        <v>845.64889676234</v>
      </c>
      <c r="AK13" s="117" t="n">
        <f aca="false">AK11+AK10+AK12</f>
        <v>866.15942985947</v>
      </c>
      <c r="AL13" s="117" t="n">
        <f aca="false">AL11+AL10+AL12</f>
        <v>886.054646963686</v>
      </c>
      <c r="AM13" s="117" t="n">
        <f aca="false">AM11+AM10+AM12</f>
        <v>916.557007554775</v>
      </c>
      <c r="AN13" s="117" t="n">
        <f aca="false">AN11+AN10+AN12</f>
        <v>946.144297328132</v>
      </c>
      <c r="AO13" s="117" t="n">
        <f aca="false">AO11+AO10+AO12</f>
        <v>974.843968408288</v>
      </c>
      <c r="AP13" s="117" t="n">
        <f aca="false">AP11+AP10+AP12</f>
        <v>1002.68264935604</v>
      </c>
      <c r="AQ13" s="117" t="n">
        <f aca="false">AQ11+AQ10+AQ12</f>
        <v>1029.68616987536</v>
      </c>
      <c r="AR13" s="117" t="n">
        <f aca="false">AR11+AR10+AR12</f>
        <v>1055.8795847791</v>
      </c>
      <c r="AS13" s="117" t="n">
        <f aca="false">AS11+AS10+AS12</f>
        <v>1081.28719723572</v>
      </c>
      <c r="AT13" s="117" t="n">
        <f aca="false">AT11+AT10+AT12</f>
        <v>1105.93258131865</v>
      </c>
      <c r="AU13" s="117" t="n">
        <f aca="false">AU11+AU10+AU12</f>
        <v>1129.83860387909</v>
      </c>
      <c r="AV13" s="117" t="n">
        <f aca="false">AV11+AV10+AV12</f>
        <v>1153.02744576272</v>
      </c>
      <c r="AW13" s="117" t="n">
        <f aca="false">AW11+AW10+AW12</f>
        <v>1175.52062238984</v>
      </c>
      <c r="AX13" s="117" t="n">
        <f aca="false">AX11+AX10+AX12</f>
        <v>1197.33900371814</v>
      </c>
      <c r="AY13" s="117" t="n">
        <f aca="false">AY11+AY10+AY12</f>
        <v>1232.5560336066</v>
      </c>
      <c r="AZ13" s="117" t="n">
        <f aca="false">AZ11+AZ10+AZ12</f>
        <v>1266.7165525984</v>
      </c>
      <c r="BA13" s="117" t="n">
        <f aca="false">BA11+BA10+BA12</f>
        <v>1299.85225602045</v>
      </c>
      <c r="BB13" s="117" t="n">
        <f aca="false">BB11+BB10+BB12</f>
        <v>1331.99388833984</v>
      </c>
      <c r="BC13" s="117" t="n">
        <f aca="false">BC11+BC10+BC12</f>
        <v>1363.17127168964</v>
      </c>
      <c r="BD13" s="117" t="n">
        <f aca="false">BD11+BD10+BD12</f>
        <v>1393.41333353895</v>
      </c>
      <c r="BE13" s="117" t="n">
        <f aca="false">BE11+BE10+BE12</f>
        <v>1422.74813353278</v>
      </c>
      <c r="BF13" s="117" t="n">
        <f aca="false">BF11+BF10+BF12</f>
        <v>1451.2028895268</v>
      </c>
      <c r="BG13" s="117" t="n">
        <f aca="false">BG11+BG10+BG12</f>
        <v>1478.804002841</v>
      </c>
      <c r="BH13" s="117" t="n">
        <f aca="false">BH11+BH10+BH12</f>
        <v>1505.57708275577</v>
      </c>
      <c r="BI13" s="117" t="n">
        <f aca="false">BI11+BI10+BI12</f>
        <v>1531.54697027309</v>
      </c>
      <c r="BJ13" s="117" t="n">
        <f aca="false">BJ11+BJ10+BJ12</f>
        <v>1556.7377611649</v>
      </c>
    </row>
    <row r="14" customFormat="false" ht="15" hidden="false" customHeight="false" outlineLevel="0" collapsed="false">
      <c r="A14" s="6" t="s">
        <v>401</v>
      </c>
      <c r="C14" s="118" t="n">
        <f aca="false">Inputs!$E$8*(1+Inputs!$E$9)^(C$5-1)</f>
        <v>99</v>
      </c>
      <c r="D14" s="118" t="n">
        <f aca="false">Inputs!$E$8*(1+Inputs!$E$9)^(D$5-1)</f>
        <v>99</v>
      </c>
      <c r="E14" s="118" t="n">
        <f aca="false">Inputs!$E$8*(1+Inputs!$E$9)^(E$5-1)</f>
        <v>99</v>
      </c>
      <c r="F14" s="118" t="n">
        <f aca="false">Inputs!$E$8*(1+Inputs!$E$9)^(F$5-1)</f>
        <v>99</v>
      </c>
      <c r="G14" s="118" t="n">
        <f aca="false">Inputs!$E$8*(1+Inputs!$E$9)^(G$5-1)</f>
        <v>99</v>
      </c>
      <c r="H14" s="118" t="n">
        <f aca="false">Inputs!$E$8*(1+Inputs!$E$9)^(H$5-1)</f>
        <v>99</v>
      </c>
      <c r="I14" s="118" t="n">
        <f aca="false">Inputs!$E$8*(1+Inputs!$E$9)^(I$5-1)</f>
        <v>99</v>
      </c>
      <c r="J14" s="118" t="n">
        <f aca="false">Inputs!$E$8*(1+Inputs!$E$9)^(J$5-1)</f>
        <v>99</v>
      </c>
      <c r="K14" s="118" t="n">
        <f aca="false">Inputs!$E$8*(1+Inputs!$E$9)^(K$5-1)</f>
        <v>99</v>
      </c>
      <c r="L14" s="118" t="n">
        <f aca="false">Inputs!$E$8*(1+Inputs!$E$9)^(L$5-1)</f>
        <v>99</v>
      </c>
      <c r="M14" s="118" t="n">
        <f aca="false">Inputs!$E$8*(1+Inputs!$E$9)^(M$5-1)</f>
        <v>99</v>
      </c>
      <c r="N14" s="118" t="n">
        <f aca="false">Inputs!$E$8*(1+Inputs!$E$9)^(N$5-1)</f>
        <v>99</v>
      </c>
      <c r="O14" s="118" t="n">
        <f aca="false">Inputs!$E$8*(1+Inputs!$E$9)^(O$5-1)</f>
        <v>101.97</v>
      </c>
      <c r="P14" s="118" t="n">
        <f aca="false">Inputs!$E$8*(1+Inputs!$E$9)^(P$5-1)</f>
        <v>101.97</v>
      </c>
      <c r="Q14" s="118" t="n">
        <f aca="false">Inputs!$E$8*(1+Inputs!$E$9)^(Q$5-1)</f>
        <v>101.97</v>
      </c>
      <c r="R14" s="118" t="n">
        <f aca="false">Inputs!$E$8*(1+Inputs!$E$9)^(R$5-1)</f>
        <v>101.97</v>
      </c>
      <c r="S14" s="118" t="n">
        <f aca="false">Inputs!$E$8*(1+Inputs!$E$9)^(S$5-1)</f>
        <v>101.97</v>
      </c>
      <c r="T14" s="118" t="n">
        <f aca="false">Inputs!$E$8*(1+Inputs!$E$9)^(T$5-1)</f>
        <v>101.97</v>
      </c>
      <c r="U14" s="118" t="n">
        <f aca="false">Inputs!$E$8*(1+Inputs!$E$9)^(U$5-1)</f>
        <v>101.97</v>
      </c>
      <c r="V14" s="118" t="n">
        <f aca="false">Inputs!$E$8*(1+Inputs!$E$9)^(V$5-1)</f>
        <v>101.97</v>
      </c>
      <c r="W14" s="118" t="n">
        <f aca="false">Inputs!$E$8*(1+Inputs!$E$9)^(W$5-1)</f>
        <v>101.97</v>
      </c>
      <c r="X14" s="118" t="n">
        <f aca="false">Inputs!$E$8*(1+Inputs!$E$9)^(X$5-1)</f>
        <v>101.97</v>
      </c>
      <c r="Y14" s="118" t="n">
        <f aca="false">Inputs!$E$8*(1+Inputs!$E$9)^(Y$5-1)</f>
        <v>101.97</v>
      </c>
      <c r="Z14" s="118" t="n">
        <f aca="false">Inputs!$E$8*(1+Inputs!$E$9)^(Z$5-1)</f>
        <v>101.97</v>
      </c>
      <c r="AA14" s="118" t="n">
        <f aca="false">Inputs!$E$8*(1+Inputs!$E$9)^(AA$5-1)</f>
        <v>105.0291</v>
      </c>
      <c r="AB14" s="118" t="n">
        <f aca="false">Inputs!$E$8*(1+Inputs!$E$9)^(AB$5-1)</f>
        <v>105.0291</v>
      </c>
      <c r="AC14" s="118" t="n">
        <f aca="false">Inputs!$E$8*(1+Inputs!$E$9)^(AC$5-1)</f>
        <v>105.0291</v>
      </c>
      <c r="AD14" s="118" t="n">
        <f aca="false">Inputs!$E$8*(1+Inputs!$E$9)^(AD$5-1)</f>
        <v>105.0291</v>
      </c>
      <c r="AE14" s="118" t="n">
        <f aca="false">Inputs!$E$8*(1+Inputs!$E$9)^(AE$5-1)</f>
        <v>105.0291</v>
      </c>
      <c r="AF14" s="118" t="n">
        <f aca="false">Inputs!$E$8*(1+Inputs!$E$9)^(AF$5-1)</f>
        <v>105.0291</v>
      </c>
      <c r="AG14" s="118" t="n">
        <f aca="false">Inputs!$E$8*(1+Inputs!$E$9)^(AG$5-1)</f>
        <v>105.0291</v>
      </c>
      <c r="AH14" s="118" t="n">
        <f aca="false">Inputs!$E$8*(1+Inputs!$E$9)^(AH$5-1)</f>
        <v>105.0291</v>
      </c>
      <c r="AI14" s="118" t="n">
        <f aca="false">Inputs!$E$8*(1+Inputs!$E$9)^(AI$5-1)</f>
        <v>105.0291</v>
      </c>
      <c r="AJ14" s="118" t="n">
        <f aca="false">Inputs!$E$8*(1+Inputs!$E$9)^(AJ$5-1)</f>
        <v>105.0291</v>
      </c>
      <c r="AK14" s="118" t="n">
        <f aca="false">Inputs!$E$8*(1+Inputs!$E$9)^(AK$5-1)</f>
        <v>105.0291</v>
      </c>
      <c r="AL14" s="118" t="n">
        <f aca="false">Inputs!$E$8*(1+Inputs!$E$9)^(AL$5-1)</f>
        <v>105.0291</v>
      </c>
      <c r="AM14" s="118" t="n">
        <f aca="false">Inputs!$E$8*(1+Inputs!$E$9)^(AM$5-1)</f>
        <v>108.179973</v>
      </c>
      <c r="AN14" s="118" t="n">
        <f aca="false">Inputs!$E$8*(1+Inputs!$E$9)^(AN$5-1)</f>
        <v>108.179973</v>
      </c>
      <c r="AO14" s="118" t="n">
        <f aca="false">Inputs!$E$8*(1+Inputs!$E$9)^(AO$5-1)</f>
        <v>108.179973</v>
      </c>
      <c r="AP14" s="118" t="n">
        <f aca="false">Inputs!$E$8*(1+Inputs!$E$9)^(AP$5-1)</f>
        <v>108.179973</v>
      </c>
      <c r="AQ14" s="118" t="n">
        <f aca="false">Inputs!$E$8*(1+Inputs!$E$9)^(AQ$5-1)</f>
        <v>108.179973</v>
      </c>
      <c r="AR14" s="118" t="n">
        <f aca="false">Inputs!$E$8*(1+Inputs!$E$9)^(AR$5-1)</f>
        <v>108.179973</v>
      </c>
      <c r="AS14" s="118" t="n">
        <f aca="false">Inputs!$E$8*(1+Inputs!$E$9)^(AS$5-1)</f>
        <v>108.179973</v>
      </c>
      <c r="AT14" s="118" t="n">
        <f aca="false">Inputs!$E$8*(1+Inputs!$E$9)^(AT$5-1)</f>
        <v>108.179973</v>
      </c>
      <c r="AU14" s="118" t="n">
        <f aca="false">Inputs!$E$8*(1+Inputs!$E$9)^(AU$5-1)</f>
        <v>108.179973</v>
      </c>
      <c r="AV14" s="118" t="n">
        <f aca="false">Inputs!$E$8*(1+Inputs!$E$9)^(AV$5-1)</f>
        <v>108.179973</v>
      </c>
      <c r="AW14" s="118" t="n">
        <f aca="false">Inputs!$E$8*(1+Inputs!$E$9)^(AW$5-1)</f>
        <v>108.179973</v>
      </c>
      <c r="AX14" s="118" t="n">
        <f aca="false">Inputs!$E$8*(1+Inputs!$E$9)^(AX$5-1)</f>
        <v>108.179973</v>
      </c>
      <c r="AY14" s="118" t="n">
        <f aca="false">Inputs!$E$8*(1+Inputs!$E$9)^(AY$5-1)</f>
        <v>111.42537219</v>
      </c>
      <c r="AZ14" s="118" t="n">
        <f aca="false">Inputs!$E$8*(1+Inputs!$E$9)^(AZ$5-1)</f>
        <v>111.42537219</v>
      </c>
      <c r="BA14" s="118" t="n">
        <f aca="false">Inputs!$E$8*(1+Inputs!$E$9)^(BA$5-1)</f>
        <v>111.42537219</v>
      </c>
      <c r="BB14" s="118" t="n">
        <f aca="false">Inputs!$E$8*(1+Inputs!$E$9)^(BB$5-1)</f>
        <v>111.42537219</v>
      </c>
      <c r="BC14" s="118" t="n">
        <f aca="false">Inputs!$E$8*(1+Inputs!$E$9)^(BC$5-1)</f>
        <v>111.42537219</v>
      </c>
      <c r="BD14" s="118" t="n">
        <f aca="false">Inputs!$E$8*(1+Inputs!$E$9)^(BD$5-1)</f>
        <v>111.42537219</v>
      </c>
      <c r="BE14" s="118" t="n">
        <f aca="false">Inputs!$E$8*(1+Inputs!$E$9)^(BE$5-1)</f>
        <v>111.42537219</v>
      </c>
      <c r="BF14" s="118" t="n">
        <f aca="false">Inputs!$E$8*(1+Inputs!$E$9)^(BF$5-1)</f>
        <v>111.42537219</v>
      </c>
      <c r="BG14" s="118" t="n">
        <f aca="false">Inputs!$E$8*(1+Inputs!$E$9)^(BG$5-1)</f>
        <v>111.42537219</v>
      </c>
      <c r="BH14" s="118" t="n">
        <f aca="false">Inputs!$E$8*(1+Inputs!$E$9)^(BH$5-1)</f>
        <v>111.42537219</v>
      </c>
      <c r="BI14" s="118" t="n">
        <f aca="false">Inputs!$E$8*(1+Inputs!$E$9)^(BI$5-1)</f>
        <v>111.42537219</v>
      </c>
      <c r="BJ14" s="118" t="n">
        <f aca="false">Inputs!$E$8*(1+Inputs!$E$9)^(BJ$5-1)</f>
        <v>111.42537219</v>
      </c>
    </row>
    <row r="16" customFormat="false" ht="15.75" hidden="false" customHeight="true" outlineLevel="0" collapsed="false">
      <c r="A16" s="7" t="s">
        <v>402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customFormat="false" ht="15" hidden="false" customHeight="false" outlineLevel="0" collapsed="false">
      <c r="A17" s="6" t="s">
        <v>403</v>
      </c>
      <c r="C17" s="66" t="n">
        <f aca="false">Inputs!$E$7*Inputs!$E$8</f>
        <v>2970</v>
      </c>
      <c r="D17" s="66" t="n">
        <f aca="false">C21</f>
        <v>5843.75</v>
      </c>
      <c r="E17" s="66" t="n">
        <f aca="false">D21</f>
        <v>8645.65625</v>
      </c>
      <c r="F17" s="66" t="n">
        <f aca="false">E21</f>
        <v>11377.51484375</v>
      </c>
      <c r="G17" s="66" t="n">
        <f aca="false">F21</f>
        <v>14041.0769726563</v>
      </c>
      <c r="H17" s="66" t="n">
        <f aca="false">G21</f>
        <v>16638.0500483398</v>
      </c>
      <c r="I17" s="66" t="n">
        <f aca="false">H21</f>
        <v>19170.0987971314</v>
      </c>
      <c r="J17" s="66" t="n">
        <f aca="false">I21</f>
        <v>21638.8463272031</v>
      </c>
      <c r="K17" s="66" t="n">
        <f aca="false">J21</f>
        <v>24045.875169023</v>
      </c>
      <c r="L17" s="66" t="n">
        <f aca="false">K21</f>
        <v>26392.7282897974</v>
      </c>
      <c r="M17" s="66" t="n">
        <f aca="false">L21</f>
        <v>28680.9100825525</v>
      </c>
      <c r="N17" s="66" t="n">
        <f aca="false">M21</f>
        <v>30911.8873304887</v>
      </c>
      <c r="O17" s="66" t="n">
        <f aca="false">N21</f>
        <v>33087.0901472265</v>
      </c>
      <c r="P17" s="66" t="n">
        <f aca="false">O21</f>
        <v>36026.0048935458</v>
      </c>
      <c r="Q17" s="66" t="n">
        <f aca="false">P21</f>
        <v>38891.4467712071</v>
      </c>
      <c r="R17" s="66" t="n">
        <f aca="false">Q21</f>
        <v>41685.252601927</v>
      </c>
      <c r="S17" s="66" t="n">
        <f aca="false">R21</f>
        <v>44409.2132868788</v>
      </c>
      <c r="T17" s="66" t="n">
        <f aca="false">S21</f>
        <v>47065.0749547068</v>
      </c>
      <c r="U17" s="66" t="n">
        <f aca="false">T21</f>
        <v>49654.5400808392</v>
      </c>
      <c r="V17" s="66" t="n">
        <f aca="false">U21</f>
        <v>52179.2685788182</v>
      </c>
      <c r="W17" s="66" t="n">
        <f aca="false">V21</f>
        <v>54640.8788643477</v>
      </c>
      <c r="X17" s="66" t="n">
        <f aca="false">W21</f>
        <v>57040.948892739</v>
      </c>
      <c r="Y17" s="66" t="n">
        <f aca="false">X21</f>
        <v>59381.0171704205</v>
      </c>
      <c r="Z17" s="66" t="n">
        <f aca="false">Y21</f>
        <v>61662.58374116</v>
      </c>
      <c r="AA17" s="66" t="n">
        <f aca="false">Z21</f>
        <v>63887.111147631</v>
      </c>
      <c r="AB17" s="66" t="n">
        <f aca="false">AA21</f>
        <v>67108.6684769402</v>
      </c>
      <c r="AC17" s="66" t="n">
        <f aca="false">AB21</f>
        <v>70249.6868730167</v>
      </c>
      <c r="AD17" s="66" t="n">
        <f aca="false">AC21</f>
        <v>73312.1798091913</v>
      </c>
      <c r="AE17" s="66" t="n">
        <f aca="false">AD21</f>
        <v>76298.1104219615</v>
      </c>
      <c r="AF17" s="66" t="n">
        <f aca="false">AE21</f>
        <v>79209.3927694125</v>
      </c>
      <c r="AG17" s="66" t="n">
        <f aca="false">AF21</f>
        <v>82047.8930581772</v>
      </c>
      <c r="AH17" s="66" t="n">
        <f aca="false">AG21</f>
        <v>84815.4308397227</v>
      </c>
      <c r="AI17" s="66" t="n">
        <f aca="false">AH21</f>
        <v>87513.7801767297</v>
      </c>
      <c r="AJ17" s="66" t="n">
        <f aca="false">AI21</f>
        <v>90144.6707803114</v>
      </c>
      <c r="AK17" s="66" t="n">
        <f aca="false">AJ21</f>
        <v>92709.7891188036</v>
      </c>
      <c r="AL17" s="66" t="n">
        <f aca="false">AK21</f>
        <v>95210.7794988335</v>
      </c>
      <c r="AM17" s="66" t="n">
        <f aca="false">AL21</f>
        <v>97649.2451193627</v>
      </c>
      <c r="AN17" s="66" t="n">
        <f aca="false">AM21</f>
        <v>101383.359570111</v>
      </c>
      <c r="AO17" s="66" t="n">
        <f aca="false">AN21</f>
        <v>105024.12115959</v>
      </c>
      <c r="AP17" s="66" t="n">
        <f aca="false">AO21</f>
        <v>108573.863709332</v>
      </c>
      <c r="AQ17" s="66" t="n">
        <f aca="false">AP21</f>
        <v>112034.862695331</v>
      </c>
      <c r="AR17" s="66" t="n">
        <f aca="false">AQ21</f>
        <v>115409.33670668</v>
      </c>
      <c r="AS17" s="66" t="n">
        <f aca="false">AR21</f>
        <v>118699.448867745</v>
      </c>
      <c r="AT17" s="66" t="n">
        <f aca="false">AS21</f>
        <v>121907.308224783</v>
      </c>
      <c r="AU17" s="66" t="n">
        <f aca="false">AT21</f>
        <v>125034.971097895</v>
      </c>
      <c r="AV17" s="66" t="n">
        <f aca="false">AU21</f>
        <v>128084.44239918</v>
      </c>
      <c r="AW17" s="66" t="n">
        <f aca="false">AV21</f>
        <v>131057.676917932</v>
      </c>
      <c r="AX17" s="66" t="n">
        <f aca="false">AW21</f>
        <v>133956.580573716</v>
      </c>
      <c r="AY17" s="66" t="n">
        <f aca="false">AX21</f>
        <v>136783.011638105</v>
      </c>
      <c r="AZ17" s="66" t="n">
        <f aca="false">AY21</f>
        <v>141289.925333707</v>
      </c>
      <c r="BA17" s="66" t="n">
        <f aca="false">AZ21</f>
        <v>145684.166186919</v>
      </c>
      <c r="BB17" s="66" t="n">
        <f aca="false">BA21</f>
        <v>149968.5510188</v>
      </c>
      <c r="BC17" s="66" t="n">
        <f aca="false">BB21</f>
        <v>154145.826229885</v>
      </c>
      <c r="BD17" s="66" t="n">
        <f aca="false">BC21</f>
        <v>158218.669560692</v>
      </c>
      <c r="BE17" s="66" t="n">
        <f aca="false">BD21</f>
        <v>162189.691808229</v>
      </c>
      <c r="BF17" s="66" t="n">
        <f aca="false">BE21</f>
        <v>166061.438499578</v>
      </c>
      <c r="BG17" s="66" t="n">
        <f aca="false">BF21</f>
        <v>169836.391523643</v>
      </c>
      <c r="BH17" s="66" t="n">
        <f aca="false">BG21</f>
        <v>173516.970722106</v>
      </c>
      <c r="BI17" s="66" t="n">
        <f aca="false">BH21</f>
        <v>177105.535440608</v>
      </c>
      <c r="BJ17" s="66" t="n">
        <f aca="false">BI21</f>
        <v>180604.386041148</v>
      </c>
    </row>
    <row r="18" customFormat="false" ht="15" hidden="false" customHeight="false" outlineLevel="0" collapsed="false">
      <c r="A18" s="6" t="s">
        <v>404</v>
      </c>
      <c r="C18" s="66" t="n">
        <f aca="false">C10*C14</f>
        <v>2948</v>
      </c>
      <c r="D18" s="66" t="n">
        <f aca="false">D10*D14</f>
        <v>2948</v>
      </c>
      <c r="E18" s="66" t="n">
        <f aca="false">E10*E14</f>
        <v>2948</v>
      </c>
      <c r="F18" s="66" t="n">
        <f aca="false">F10*F14</f>
        <v>2948</v>
      </c>
      <c r="G18" s="66" t="n">
        <f aca="false">G10*G14</f>
        <v>2948</v>
      </c>
      <c r="H18" s="66" t="n">
        <f aca="false">H10*H14</f>
        <v>2948</v>
      </c>
      <c r="I18" s="66" t="n">
        <f aca="false">I10*I14</f>
        <v>2948</v>
      </c>
      <c r="J18" s="66" t="n">
        <f aca="false">J10*J14</f>
        <v>2948</v>
      </c>
      <c r="K18" s="66" t="n">
        <f aca="false">K10*K14</f>
        <v>2948</v>
      </c>
      <c r="L18" s="66" t="n">
        <f aca="false">L10*L14</f>
        <v>2948</v>
      </c>
      <c r="M18" s="66" t="n">
        <f aca="false">M10*M14</f>
        <v>2948</v>
      </c>
      <c r="N18" s="66" t="n">
        <f aca="false">N10*N14</f>
        <v>2948</v>
      </c>
      <c r="O18" s="66" t="n">
        <f aca="false">O10*O14</f>
        <v>3766.092</v>
      </c>
      <c r="P18" s="66" t="n">
        <f aca="false">P10*P14</f>
        <v>3766.092</v>
      </c>
      <c r="Q18" s="66" t="n">
        <f aca="false">Q10*Q14</f>
        <v>3766.092</v>
      </c>
      <c r="R18" s="66" t="n">
        <f aca="false">R10*R14</f>
        <v>3766.092</v>
      </c>
      <c r="S18" s="66" t="n">
        <f aca="false">S10*S14</f>
        <v>3766.092</v>
      </c>
      <c r="T18" s="66" t="n">
        <f aca="false">T10*T14</f>
        <v>3766.092</v>
      </c>
      <c r="U18" s="66" t="n">
        <f aca="false">U10*U14</f>
        <v>3766.092</v>
      </c>
      <c r="V18" s="66" t="n">
        <f aca="false">V10*V14</f>
        <v>3766.092</v>
      </c>
      <c r="W18" s="66" t="n">
        <f aca="false">W10*W14</f>
        <v>3766.092</v>
      </c>
      <c r="X18" s="66" t="n">
        <f aca="false">X10*X14</f>
        <v>3766.092</v>
      </c>
      <c r="Y18" s="66" t="n">
        <f aca="false">Y10*Y14</f>
        <v>3766.092</v>
      </c>
      <c r="Z18" s="66" t="n">
        <f aca="false">Z10*Z14</f>
        <v>3766.092</v>
      </c>
      <c r="AA18" s="66" t="n">
        <f aca="false">AA10*AA14</f>
        <v>4818.735108</v>
      </c>
      <c r="AB18" s="66" t="n">
        <f aca="false">AB10*AB14</f>
        <v>4818.735108</v>
      </c>
      <c r="AC18" s="66" t="n">
        <f aca="false">AC10*AC14</f>
        <v>4818.735108</v>
      </c>
      <c r="AD18" s="66" t="n">
        <f aca="false">AD10*AD14</f>
        <v>4818.735108</v>
      </c>
      <c r="AE18" s="66" t="n">
        <f aca="false">AE10*AE14</f>
        <v>4818.735108</v>
      </c>
      <c r="AF18" s="66" t="n">
        <f aca="false">AF10*AF14</f>
        <v>4818.735108</v>
      </c>
      <c r="AG18" s="66" t="n">
        <f aca="false">AG10*AG14</f>
        <v>4818.735108</v>
      </c>
      <c r="AH18" s="66" t="n">
        <f aca="false">AH10*AH14</f>
        <v>4818.735108</v>
      </c>
      <c r="AI18" s="66" t="n">
        <f aca="false">AI10*AI14</f>
        <v>4818.735108</v>
      </c>
      <c r="AJ18" s="66" t="n">
        <f aca="false">AJ10*AJ14</f>
        <v>4818.735108</v>
      </c>
      <c r="AK18" s="66" t="n">
        <f aca="false">AK10*AK14</f>
        <v>4818.735108</v>
      </c>
      <c r="AL18" s="66" t="n">
        <f aca="false">AL10*AL14</f>
        <v>4818.735108</v>
      </c>
      <c r="AM18" s="66" t="n">
        <f aca="false">AM10*AM14</f>
        <v>6175.345578732</v>
      </c>
      <c r="AN18" s="66" t="n">
        <f aca="false">AN10*AN14</f>
        <v>6175.345578732</v>
      </c>
      <c r="AO18" s="66" t="n">
        <f aca="false">AO10*AO14</f>
        <v>6175.345578732</v>
      </c>
      <c r="AP18" s="66" t="n">
        <f aca="false">AP10*AP14</f>
        <v>6175.345578732</v>
      </c>
      <c r="AQ18" s="66" t="n">
        <f aca="false">AQ10*AQ14</f>
        <v>6175.345578732</v>
      </c>
      <c r="AR18" s="66" t="n">
        <f aca="false">AR10*AR14</f>
        <v>6175.345578732</v>
      </c>
      <c r="AS18" s="66" t="n">
        <f aca="false">AS10*AS14</f>
        <v>6175.345578732</v>
      </c>
      <c r="AT18" s="66" t="n">
        <f aca="false">AT10*AT14</f>
        <v>6175.345578732</v>
      </c>
      <c r="AU18" s="66" t="n">
        <f aca="false">AU10*AU14</f>
        <v>6175.345578732</v>
      </c>
      <c r="AV18" s="66" t="n">
        <f aca="false">AV10*AV14</f>
        <v>6175.345578732</v>
      </c>
      <c r="AW18" s="66" t="n">
        <f aca="false">AW10*AW14</f>
        <v>6175.345578732</v>
      </c>
      <c r="AX18" s="66" t="n">
        <f aca="false">AX10*AX14</f>
        <v>6175.345578732</v>
      </c>
      <c r="AY18" s="66" t="n">
        <f aca="false">AY10*AY14</f>
        <v>7926.48898655447</v>
      </c>
      <c r="AZ18" s="66" t="n">
        <f aca="false">AZ10*AZ14</f>
        <v>7926.48898655447</v>
      </c>
      <c r="BA18" s="66" t="n">
        <f aca="false">BA10*BA14</f>
        <v>7926.48898655447</v>
      </c>
      <c r="BB18" s="66" t="n">
        <f aca="false">BB10*BB14</f>
        <v>7926.48898655447</v>
      </c>
      <c r="BC18" s="66" t="n">
        <f aca="false">BC10*BC14</f>
        <v>7926.48898655447</v>
      </c>
      <c r="BD18" s="66" t="n">
        <f aca="false">BD10*BD14</f>
        <v>7926.48898655447</v>
      </c>
      <c r="BE18" s="66" t="n">
        <f aca="false">BE10*BE14</f>
        <v>7926.48898655447</v>
      </c>
      <c r="BF18" s="66" t="n">
        <f aca="false">BF10*BF14</f>
        <v>7926.48898655447</v>
      </c>
      <c r="BG18" s="66" t="n">
        <f aca="false">BG10*BG14</f>
        <v>7926.48898655447</v>
      </c>
      <c r="BH18" s="66" t="n">
        <f aca="false">BH10*BH14</f>
        <v>7926.48898655447</v>
      </c>
      <c r="BI18" s="66" t="n">
        <f aca="false">BI10*BI14</f>
        <v>7926.48898655447</v>
      </c>
      <c r="BJ18" s="66" t="n">
        <f aca="false">BJ10*BJ14</f>
        <v>7926.48898655447</v>
      </c>
    </row>
    <row r="19" customFormat="false" ht="15" hidden="false" customHeight="false" outlineLevel="0" collapsed="false">
      <c r="A19" s="6" t="s">
        <v>405</v>
      </c>
      <c r="C19" s="66" t="n">
        <f aca="false">C17*Inputs!$E$11</f>
        <v>14.85</v>
      </c>
      <c r="D19" s="66" t="n">
        <f aca="false">D17*Inputs!$E$11</f>
        <v>29.21875</v>
      </c>
      <c r="E19" s="66" t="n">
        <f aca="false">E17*Inputs!$E$11</f>
        <v>43.22828125</v>
      </c>
      <c r="F19" s="66" t="n">
        <f aca="false">F17*Inputs!$E$11</f>
        <v>56.88757421875</v>
      </c>
      <c r="G19" s="66" t="n">
        <f aca="false">G17*Inputs!$E$11</f>
        <v>70.2053848632813</v>
      </c>
      <c r="H19" s="66" t="n">
        <f aca="false">H17*Inputs!$E$11</f>
        <v>83.1902502416992</v>
      </c>
      <c r="I19" s="66" t="n">
        <f aca="false">I17*Inputs!$E$11</f>
        <v>95.8504939856568</v>
      </c>
      <c r="J19" s="66" t="n">
        <f aca="false">J17*Inputs!$E$11</f>
        <v>108.194231636015</v>
      </c>
      <c r="K19" s="66" t="n">
        <f aca="false">K17*Inputs!$E$11</f>
        <v>120.229375845115</v>
      </c>
      <c r="L19" s="66" t="n">
        <f aca="false">L17*Inputs!$E$11</f>
        <v>131.963641448987</v>
      </c>
      <c r="M19" s="66" t="n">
        <f aca="false">M17*Inputs!$E$11</f>
        <v>143.404550412762</v>
      </c>
      <c r="N19" s="66" t="n">
        <f aca="false">N17*Inputs!$E$11</f>
        <v>154.559436652443</v>
      </c>
      <c r="O19" s="66" t="n">
        <f aca="false">O17*Inputs!$E$11</f>
        <v>165.435450736132</v>
      </c>
      <c r="P19" s="66" t="n">
        <f aca="false">P17*Inputs!$E$11</f>
        <v>180.130024467729</v>
      </c>
      <c r="Q19" s="66" t="n">
        <f aca="false">Q17*Inputs!$E$11</f>
        <v>194.457233856036</v>
      </c>
      <c r="R19" s="66" t="n">
        <f aca="false">R17*Inputs!$E$11</f>
        <v>208.426263009635</v>
      </c>
      <c r="S19" s="66" t="n">
        <f aca="false">S17*Inputs!$E$11</f>
        <v>222.046066434394</v>
      </c>
      <c r="T19" s="66" t="n">
        <f aca="false">T17*Inputs!$E$11</f>
        <v>235.325374773534</v>
      </c>
      <c r="U19" s="66" t="n">
        <f aca="false">U17*Inputs!$E$11</f>
        <v>248.272700404196</v>
      </c>
      <c r="V19" s="66" t="n">
        <f aca="false">V17*Inputs!$E$11</f>
        <v>260.896342894091</v>
      </c>
      <c r="W19" s="66" t="n">
        <f aca="false">W17*Inputs!$E$11</f>
        <v>273.204394321739</v>
      </c>
      <c r="X19" s="66" t="n">
        <f aca="false">X17*Inputs!$E$11</f>
        <v>285.204744463695</v>
      </c>
      <c r="Y19" s="66" t="n">
        <f aca="false">Y17*Inputs!$E$11</f>
        <v>296.905085852103</v>
      </c>
      <c r="Z19" s="66" t="n">
        <f aca="false">Z17*Inputs!$E$11</f>
        <v>308.3129187058</v>
      </c>
      <c r="AA19" s="66" t="n">
        <f aca="false">AA17*Inputs!$E$11</f>
        <v>319.435555738155</v>
      </c>
      <c r="AB19" s="66" t="n">
        <f aca="false">AB17*Inputs!$E$11</f>
        <v>335.543342384701</v>
      </c>
      <c r="AC19" s="66" t="n">
        <f aca="false">AC17*Inputs!$E$11</f>
        <v>351.248434365084</v>
      </c>
      <c r="AD19" s="66" t="n">
        <f aca="false">AD17*Inputs!$E$11</f>
        <v>366.560899045957</v>
      </c>
      <c r="AE19" s="66" t="n">
        <f aca="false">AE17*Inputs!$E$11</f>
        <v>381.490552109808</v>
      </c>
      <c r="AF19" s="66" t="n">
        <f aca="false">AF17*Inputs!$E$11</f>
        <v>396.046963847062</v>
      </c>
      <c r="AG19" s="66" t="n">
        <f aca="false">AG17*Inputs!$E$11</f>
        <v>410.239465290886</v>
      </c>
      <c r="AH19" s="66" t="n">
        <f aca="false">AH17*Inputs!$E$11</f>
        <v>424.077154198614</v>
      </c>
      <c r="AI19" s="66" t="n">
        <f aca="false">AI17*Inputs!$E$11</f>
        <v>437.568900883648</v>
      </c>
      <c r="AJ19" s="66" t="n">
        <f aca="false">AJ17*Inputs!$E$11</f>
        <v>450.723353901557</v>
      </c>
      <c r="AK19" s="66" t="n">
        <f aca="false">AK17*Inputs!$E$11</f>
        <v>463.548945594018</v>
      </c>
      <c r="AL19" s="66" t="n">
        <f aca="false">AL17*Inputs!$E$11</f>
        <v>476.053897494168</v>
      </c>
      <c r="AM19" s="66" t="n">
        <f aca="false">AM17*Inputs!$E$11</f>
        <v>488.246225596813</v>
      </c>
      <c r="AN19" s="66" t="n">
        <f aca="false">AN17*Inputs!$E$11</f>
        <v>506.916797850553</v>
      </c>
      <c r="AO19" s="66" t="n">
        <f aca="false">AO17*Inputs!$E$11</f>
        <v>525.120605797949</v>
      </c>
      <c r="AP19" s="66" t="n">
        <f aca="false">AP17*Inputs!$E$11</f>
        <v>542.869318546661</v>
      </c>
      <c r="AQ19" s="66" t="n">
        <f aca="false">AQ17*Inputs!$E$11</f>
        <v>560.174313476654</v>
      </c>
      <c r="AR19" s="66" t="n">
        <f aca="false">AR17*Inputs!$E$11</f>
        <v>577.046683533398</v>
      </c>
      <c r="AS19" s="66" t="n">
        <f aca="false">AS17*Inputs!$E$11</f>
        <v>593.497244338723</v>
      </c>
      <c r="AT19" s="66" t="n">
        <f aca="false">AT17*Inputs!$E$11</f>
        <v>609.536541123915</v>
      </c>
      <c r="AU19" s="66" t="n">
        <f aca="false">AU17*Inputs!$E$11</f>
        <v>625.174855489477</v>
      </c>
      <c r="AV19" s="66" t="n">
        <f aca="false">AV17*Inputs!$E$11</f>
        <v>640.4222119959</v>
      </c>
      <c r="AW19" s="66" t="n">
        <f aca="false">AW17*Inputs!$E$11</f>
        <v>655.288384589662</v>
      </c>
      <c r="AX19" s="66" t="n">
        <f aca="false">AX17*Inputs!$E$11</f>
        <v>669.782902868581</v>
      </c>
      <c r="AY19" s="66" t="n">
        <f aca="false">AY17*Inputs!$E$11</f>
        <v>683.915058190526</v>
      </c>
      <c r="AZ19" s="66" t="n">
        <f aca="false">AZ17*Inputs!$E$11</f>
        <v>706.449626668535</v>
      </c>
      <c r="BA19" s="66" t="n">
        <f aca="false">BA17*Inputs!$E$11</f>
        <v>728.420830934594</v>
      </c>
      <c r="BB19" s="66" t="n">
        <f aca="false">BB17*Inputs!$E$11</f>
        <v>749.842755094002</v>
      </c>
      <c r="BC19" s="66" t="n">
        <f aca="false">BC17*Inputs!$E$11</f>
        <v>770.729131149424</v>
      </c>
      <c r="BD19" s="66" t="n">
        <f aca="false">BD17*Inputs!$E$11</f>
        <v>791.093347803461</v>
      </c>
      <c r="BE19" s="66" t="n">
        <f aca="false">BE17*Inputs!$E$11</f>
        <v>810.948459041147</v>
      </c>
      <c r="BF19" s="66" t="n">
        <f aca="false">BF17*Inputs!$E$11</f>
        <v>830.30719249789</v>
      </c>
      <c r="BG19" s="66" t="n">
        <f aca="false">BG17*Inputs!$E$11</f>
        <v>849.181957618215</v>
      </c>
      <c r="BH19" s="66" t="n">
        <f aca="false">BH17*Inputs!$E$11</f>
        <v>867.584853610532</v>
      </c>
      <c r="BI19" s="66" t="n">
        <f aca="false">BI17*Inputs!$E$11</f>
        <v>885.527677203041</v>
      </c>
      <c r="BJ19" s="66" t="n">
        <f aca="false">BJ17*Inputs!$E$11</f>
        <v>903.021930205738</v>
      </c>
    </row>
    <row r="20" customFormat="false" ht="15" hidden="false" customHeight="false" outlineLevel="0" collapsed="false">
      <c r="A20" s="6" t="s">
        <v>406</v>
      </c>
      <c r="C20" s="66" t="n">
        <f aca="false">-C17*Inputs!$E$10</f>
        <v>-89.1</v>
      </c>
      <c r="D20" s="66" t="n">
        <f aca="false">-D17*Inputs!$E$10</f>
        <v>-175.3125</v>
      </c>
      <c r="E20" s="66" t="n">
        <f aca="false">-E17*Inputs!$E$10</f>
        <v>-259.3696875</v>
      </c>
      <c r="F20" s="66" t="n">
        <f aca="false">-F17*Inputs!$E$10</f>
        <v>-341.3254453125</v>
      </c>
      <c r="G20" s="66" t="n">
        <f aca="false">-G17*Inputs!$E$10</f>
        <v>-421.232309179688</v>
      </c>
      <c r="H20" s="66" t="n">
        <f aca="false">-H17*Inputs!$E$10</f>
        <v>-499.141501450195</v>
      </c>
      <c r="I20" s="66" t="n">
        <f aca="false">-I17*Inputs!$E$10</f>
        <v>-575.102963913941</v>
      </c>
      <c r="J20" s="66" t="n">
        <f aca="false">-J17*Inputs!$E$10</f>
        <v>-649.165389816092</v>
      </c>
      <c r="K20" s="66" t="n">
        <f aca="false">-K17*Inputs!$E$10</f>
        <v>-721.37625507069</v>
      </c>
      <c r="L20" s="66" t="n">
        <f aca="false">-L17*Inputs!$E$10</f>
        <v>-791.781848693923</v>
      </c>
      <c r="M20" s="66" t="n">
        <f aca="false">-M17*Inputs!$E$10</f>
        <v>-860.427302476575</v>
      </c>
      <c r="N20" s="66" t="n">
        <f aca="false">-N17*Inputs!$E$10</f>
        <v>-927.35661991466</v>
      </c>
      <c r="O20" s="66" t="n">
        <f aca="false">-O17*Inputs!$E$10</f>
        <v>-992.612704416794</v>
      </c>
      <c r="P20" s="66" t="n">
        <f aca="false">-P17*Inputs!$E$10</f>
        <v>-1080.78014680637</v>
      </c>
      <c r="Q20" s="66" t="n">
        <f aca="false">-Q17*Inputs!$E$10</f>
        <v>-1166.74340313621</v>
      </c>
      <c r="R20" s="66" t="n">
        <f aca="false">-R17*Inputs!$E$10</f>
        <v>-1250.55757805781</v>
      </c>
      <c r="S20" s="66" t="n">
        <f aca="false">-S17*Inputs!$E$10</f>
        <v>-1332.27639860636</v>
      </c>
      <c r="T20" s="66" t="n">
        <f aca="false">-T17*Inputs!$E$10</f>
        <v>-1411.9522486412</v>
      </c>
      <c r="U20" s="66" t="n">
        <f aca="false">-U17*Inputs!$E$10</f>
        <v>-1489.63620242517</v>
      </c>
      <c r="V20" s="66" t="n">
        <f aca="false">-V17*Inputs!$E$10</f>
        <v>-1565.37805736455</v>
      </c>
      <c r="W20" s="66" t="n">
        <f aca="false">-W17*Inputs!$E$10</f>
        <v>-1639.22636593043</v>
      </c>
      <c r="X20" s="66" t="n">
        <f aca="false">-X17*Inputs!$E$10</f>
        <v>-1711.22846678217</v>
      </c>
      <c r="Y20" s="66" t="n">
        <f aca="false">-Y17*Inputs!$E$10</f>
        <v>-1781.43051511262</v>
      </c>
      <c r="Z20" s="66" t="n">
        <f aca="false">-Z17*Inputs!$E$10</f>
        <v>-1849.8775122348</v>
      </c>
      <c r="AA20" s="66" t="n">
        <f aca="false">-AA17*Inputs!$E$10</f>
        <v>-1916.61333442893</v>
      </c>
      <c r="AB20" s="66" t="n">
        <f aca="false">-AB17*Inputs!$E$10</f>
        <v>-2013.26005430821</v>
      </c>
      <c r="AC20" s="66" t="n">
        <f aca="false">-AC17*Inputs!$E$10</f>
        <v>-2107.4906061905</v>
      </c>
      <c r="AD20" s="66" t="n">
        <f aca="false">-AD17*Inputs!$E$10</f>
        <v>-2199.36539427574</v>
      </c>
      <c r="AE20" s="66" t="n">
        <f aca="false">-AE17*Inputs!$E$10</f>
        <v>-2288.94331265885</v>
      </c>
      <c r="AF20" s="66" t="n">
        <f aca="false">-AF17*Inputs!$E$10</f>
        <v>-2376.28178308237</v>
      </c>
      <c r="AG20" s="66" t="n">
        <f aca="false">-AG17*Inputs!$E$10</f>
        <v>-2461.43679174531</v>
      </c>
      <c r="AH20" s="66" t="n">
        <f aca="false">-AH17*Inputs!$E$10</f>
        <v>-2544.46292519168</v>
      </c>
      <c r="AI20" s="66" t="n">
        <f aca="false">-AI17*Inputs!$E$10</f>
        <v>-2625.41340530189</v>
      </c>
      <c r="AJ20" s="66" t="n">
        <f aca="false">-AJ17*Inputs!$E$10</f>
        <v>-2704.34012340934</v>
      </c>
      <c r="AK20" s="66" t="n">
        <f aca="false">-AK17*Inputs!$E$10</f>
        <v>-2781.29367356411</v>
      </c>
      <c r="AL20" s="66" t="n">
        <f aca="false">-AL17*Inputs!$E$10</f>
        <v>-2856.323384965</v>
      </c>
      <c r="AM20" s="66" t="n">
        <f aca="false">-AM17*Inputs!$E$10</f>
        <v>-2929.47735358088</v>
      </c>
      <c r="AN20" s="66" t="n">
        <f aca="false">-AN17*Inputs!$E$10</f>
        <v>-3041.50078710332</v>
      </c>
      <c r="AO20" s="66" t="n">
        <f aca="false">-AO17*Inputs!$E$10</f>
        <v>-3150.7236347877</v>
      </c>
      <c r="AP20" s="66" t="n">
        <f aca="false">-AP17*Inputs!$E$10</f>
        <v>-3257.21591127996</v>
      </c>
      <c r="AQ20" s="66" t="n">
        <f aca="false">-AQ17*Inputs!$E$10</f>
        <v>-3361.04588085992</v>
      </c>
      <c r="AR20" s="66" t="n">
        <f aca="false">-AR17*Inputs!$E$10</f>
        <v>-3462.28010120039</v>
      </c>
      <c r="AS20" s="66" t="n">
        <f aca="false">-AS17*Inputs!$E$10</f>
        <v>-3560.98346603234</v>
      </c>
      <c r="AT20" s="66" t="n">
        <f aca="false">-AT17*Inputs!$E$10</f>
        <v>-3657.21924674349</v>
      </c>
      <c r="AU20" s="66" t="n">
        <f aca="false">-AU17*Inputs!$E$10</f>
        <v>-3751.04913293686</v>
      </c>
      <c r="AV20" s="66" t="n">
        <f aca="false">-AV17*Inputs!$E$10</f>
        <v>-3842.5332719754</v>
      </c>
      <c r="AW20" s="66" t="n">
        <f aca="false">-AW17*Inputs!$E$10</f>
        <v>-3931.73030753797</v>
      </c>
      <c r="AX20" s="66" t="n">
        <f aca="false">-AX17*Inputs!$E$10</f>
        <v>-4018.69741721148</v>
      </c>
      <c r="AY20" s="66" t="n">
        <f aca="false">-AY17*Inputs!$E$10</f>
        <v>-4103.49034914316</v>
      </c>
      <c r="AZ20" s="66" t="n">
        <f aca="false">-AZ17*Inputs!$E$10</f>
        <v>-4238.69776001121</v>
      </c>
      <c r="BA20" s="66" t="n">
        <f aca="false">-BA17*Inputs!$E$10</f>
        <v>-4370.52498560757</v>
      </c>
      <c r="BB20" s="66" t="n">
        <f aca="false">-BB17*Inputs!$E$10</f>
        <v>-4499.05653056401</v>
      </c>
      <c r="BC20" s="66" t="n">
        <f aca="false">-BC17*Inputs!$E$10</f>
        <v>-4624.37478689654</v>
      </c>
      <c r="BD20" s="66" t="n">
        <f aca="false">-BD17*Inputs!$E$10</f>
        <v>-4746.56008682077</v>
      </c>
      <c r="BE20" s="66" t="n">
        <f aca="false">-BE17*Inputs!$E$10</f>
        <v>-4865.69075424688</v>
      </c>
      <c r="BF20" s="66" t="n">
        <f aca="false">-BF17*Inputs!$E$10</f>
        <v>-4981.84315498734</v>
      </c>
      <c r="BG20" s="66" t="n">
        <f aca="false">-BG17*Inputs!$E$10</f>
        <v>-5095.09174570929</v>
      </c>
      <c r="BH20" s="66" t="n">
        <f aca="false">-BH17*Inputs!$E$10</f>
        <v>-5205.50912166319</v>
      </c>
      <c r="BI20" s="66" t="n">
        <f aca="false">-BI17*Inputs!$E$10</f>
        <v>-5313.16606321825</v>
      </c>
      <c r="BJ20" s="66" t="n">
        <f aca="false">-BJ17*Inputs!$E$10</f>
        <v>-5418.13158123443</v>
      </c>
    </row>
    <row r="21" customFormat="false" ht="15" hidden="false" customHeight="false" outlineLevel="0" collapsed="false">
      <c r="A21" s="111" t="s">
        <v>407</v>
      </c>
      <c r="C21" s="67" t="n">
        <f aca="false">C17+C18+C19+C20</f>
        <v>5843.75</v>
      </c>
      <c r="D21" s="67" t="n">
        <f aca="false">D17+D18+D19+D20</f>
        <v>8645.65625</v>
      </c>
      <c r="E21" s="67" t="n">
        <f aca="false">E17+E18+E19+E20</f>
        <v>11377.51484375</v>
      </c>
      <c r="F21" s="67" t="n">
        <f aca="false">F17+F18+F19+F20</f>
        <v>14041.0769726563</v>
      </c>
      <c r="G21" s="67" t="n">
        <f aca="false">G17+G18+G19+G20</f>
        <v>16638.0500483398</v>
      </c>
      <c r="H21" s="67" t="n">
        <f aca="false">H17+H18+H19+H20</f>
        <v>19170.0987971314</v>
      </c>
      <c r="I21" s="67" t="n">
        <f aca="false">I17+I18+I19+I20</f>
        <v>21638.8463272031</v>
      </c>
      <c r="J21" s="67" t="n">
        <f aca="false">J17+J18+J19+J20</f>
        <v>24045.875169023</v>
      </c>
      <c r="K21" s="67" t="n">
        <f aca="false">K17+K18+K19+K20</f>
        <v>26392.7282897974</v>
      </c>
      <c r="L21" s="67" t="n">
        <f aca="false">L17+L18+L19+L20</f>
        <v>28680.9100825525</v>
      </c>
      <c r="M21" s="67" t="n">
        <f aca="false">M17+M18+M19+M20</f>
        <v>30911.8873304887</v>
      </c>
      <c r="N21" s="67" t="n">
        <f aca="false">N17+N18+N19+N20</f>
        <v>33087.0901472265</v>
      </c>
      <c r="O21" s="67" t="n">
        <f aca="false">O17+O18+O19+O20</f>
        <v>36026.0048935458</v>
      </c>
      <c r="P21" s="67" t="n">
        <f aca="false">P17+P18+P19+P20</f>
        <v>38891.4467712071</v>
      </c>
      <c r="Q21" s="67" t="n">
        <f aca="false">Q17+Q18+Q19+Q20</f>
        <v>41685.252601927</v>
      </c>
      <c r="R21" s="67" t="n">
        <f aca="false">R17+R18+R19+R20</f>
        <v>44409.2132868788</v>
      </c>
      <c r="S21" s="67" t="n">
        <f aca="false">S17+S18+S19+S20</f>
        <v>47065.0749547068</v>
      </c>
      <c r="T21" s="67" t="n">
        <f aca="false">T17+T18+T19+T20</f>
        <v>49654.5400808392</v>
      </c>
      <c r="U21" s="67" t="n">
        <f aca="false">U17+U18+U19+U20</f>
        <v>52179.2685788182</v>
      </c>
      <c r="V21" s="67" t="n">
        <f aca="false">V17+V18+V19+V20</f>
        <v>54640.8788643477</v>
      </c>
      <c r="W21" s="67" t="n">
        <f aca="false">W17+W18+W19+W20</f>
        <v>57040.948892739</v>
      </c>
      <c r="X21" s="67" t="n">
        <f aca="false">X17+X18+X19+X20</f>
        <v>59381.0171704205</v>
      </c>
      <c r="Y21" s="67" t="n">
        <f aca="false">Y17+Y18+Y19+Y20</f>
        <v>61662.58374116</v>
      </c>
      <c r="Z21" s="67" t="n">
        <f aca="false">Z17+Z18+Z19+Z20</f>
        <v>63887.111147631</v>
      </c>
      <c r="AA21" s="67" t="n">
        <f aca="false">AA17+AA18+AA19+AA20</f>
        <v>67108.6684769402</v>
      </c>
      <c r="AB21" s="67" t="n">
        <f aca="false">AB17+AB18+AB19+AB20</f>
        <v>70249.6868730167</v>
      </c>
      <c r="AC21" s="67" t="n">
        <f aca="false">AC17+AC18+AC19+AC20</f>
        <v>73312.1798091913</v>
      </c>
      <c r="AD21" s="67" t="n">
        <f aca="false">AD17+AD18+AD19+AD20</f>
        <v>76298.1104219615</v>
      </c>
      <c r="AE21" s="67" t="n">
        <f aca="false">AE17+AE18+AE19+AE20</f>
        <v>79209.3927694125</v>
      </c>
      <c r="AF21" s="67" t="n">
        <f aca="false">AF17+AF18+AF19+AF20</f>
        <v>82047.8930581772</v>
      </c>
      <c r="AG21" s="67" t="n">
        <f aca="false">AG17+AG18+AG19+AG20</f>
        <v>84815.4308397227</v>
      </c>
      <c r="AH21" s="67" t="n">
        <f aca="false">AH17+AH18+AH19+AH20</f>
        <v>87513.7801767297</v>
      </c>
      <c r="AI21" s="67" t="n">
        <f aca="false">AI17+AI18+AI19+AI20</f>
        <v>90144.6707803114</v>
      </c>
      <c r="AJ21" s="67" t="n">
        <f aca="false">AJ17+AJ18+AJ19+AJ20</f>
        <v>92709.7891188036</v>
      </c>
      <c r="AK21" s="67" t="n">
        <f aca="false">AK17+AK18+AK19+AK20</f>
        <v>95210.7794988335</v>
      </c>
      <c r="AL21" s="67" t="n">
        <f aca="false">AL17+AL18+AL19+AL20</f>
        <v>97649.2451193627</v>
      </c>
      <c r="AM21" s="67" t="n">
        <f aca="false">AM17+AM18+AM19+AM20</f>
        <v>101383.359570111</v>
      </c>
      <c r="AN21" s="67" t="n">
        <f aca="false">AN17+AN18+AN19+AN20</f>
        <v>105024.12115959</v>
      </c>
      <c r="AO21" s="67" t="n">
        <f aca="false">AO17+AO18+AO19+AO20</f>
        <v>108573.863709332</v>
      </c>
      <c r="AP21" s="67" t="n">
        <f aca="false">AP17+AP18+AP19+AP20</f>
        <v>112034.862695331</v>
      </c>
      <c r="AQ21" s="67" t="n">
        <f aca="false">AQ17+AQ18+AQ19+AQ20</f>
        <v>115409.33670668</v>
      </c>
      <c r="AR21" s="67" t="n">
        <f aca="false">AR17+AR18+AR19+AR20</f>
        <v>118699.448867745</v>
      </c>
      <c r="AS21" s="67" t="n">
        <f aca="false">AS17+AS18+AS19+AS20</f>
        <v>121907.308224783</v>
      </c>
      <c r="AT21" s="67" t="n">
        <f aca="false">AT17+AT18+AT19+AT20</f>
        <v>125034.971097895</v>
      </c>
      <c r="AU21" s="67" t="n">
        <f aca="false">AU17+AU18+AU19+AU20</f>
        <v>128084.44239918</v>
      </c>
      <c r="AV21" s="67" t="n">
        <f aca="false">AV17+AV18+AV19+AV20</f>
        <v>131057.676917932</v>
      </c>
      <c r="AW21" s="67" t="n">
        <f aca="false">AW17+AW18+AW19+AW20</f>
        <v>133956.580573716</v>
      </c>
      <c r="AX21" s="67" t="n">
        <f aca="false">AX17+AX18+AX19+AX20</f>
        <v>136783.011638105</v>
      </c>
      <c r="AY21" s="67" t="n">
        <f aca="false">AY17+AY18+AY19+AY20</f>
        <v>141289.925333707</v>
      </c>
      <c r="AZ21" s="67" t="n">
        <f aca="false">AZ17+AZ18+AZ19+AZ20</f>
        <v>145684.166186919</v>
      </c>
      <c r="BA21" s="67" t="n">
        <f aca="false">BA17+BA18+BA19+BA20</f>
        <v>149968.5510188</v>
      </c>
      <c r="BB21" s="67" t="n">
        <f aca="false">BB17+BB18+BB19+BB20</f>
        <v>154145.826229885</v>
      </c>
      <c r="BC21" s="67" t="n">
        <f aca="false">BC17+BC18+BC19+BC20</f>
        <v>158218.669560692</v>
      </c>
      <c r="BD21" s="67" t="n">
        <f aca="false">BD17+BD18+BD19+BD20</f>
        <v>162189.691808229</v>
      </c>
      <c r="BE21" s="67" t="n">
        <f aca="false">BE17+BE18+BE19+BE20</f>
        <v>166061.438499578</v>
      </c>
      <c r="BF21" s="67" t="n">
        <f aca="false">BF17+BF18+BF19+BF20</f>
        <v>169836.391523643</v>
      </c>
      <c r="BG21" s="67" t="n">
        <f aca="false">BG17+BG18+BG19+BG20</f>
        <v>173516.970722106</v>
      </c>
      <c r="BH21" s="67" t="n">
        <f aca="false">BH17+BH18+BH19+BH20</f>
        <v>177105.535440608</v>
      </c>
      <c r="BI21" s="67" t="n">
        <f aca="false">BI17+BI18+BI19+BI20</f>
        <v>180604.386041148</v>
      </c>
      <c r="BJ21" s="67" t="n">
        <f aca="false">BJ17+BJ18+BJ19+BJ20</f>
        <v>184015.765376673</v>
      </c>
    </row>
    <row r="23" customFormat="false" ht="15.75" hidden="false" customHeight="true" outlineLevel="0" collapsed="false">
      <c r="A23" s="7" t="s">
        <v>408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</row>
    <row r="24" customFormat="false" ht="15" hidden="false" customHeight="false" outlineLevel="0" collapsed="false">
      <c r="A24" s="111" t="s">
        <v>409</v>
      </c>
      <c r="C24" s="67" t="n">
        <f aca="false">(C17+C21)/2*1</f>
        <v>4406.875</v>
      </c>
      <c r="D24" s="67" t="n">
        <f aca="false">(D17+D21)/2*1</f>
        <v>7244.703125</v>
      </c>
      <c r="E24" s="67" t="n">
        <f aca="false">(E17+E21)/2*1</f>
        <v>10011.585546875</v>
      </c>
      <c r="F24" s="67" t="n">
        <f aca="false">(F17+F21)/2*1</f>
        <v>12709.2959082031</v>
      </c>
      <c r="G24" s="67" t="n">
        <f aca="false">(G17+G21)/2*1</f>
        <v>15339.563510498</v>
      </c>
      <c r="H24" s="67" t="n">
        <f aca="false">(H17+H21)/2*1</f>
        <v>17904.0744227356</v>
      </c>
      <c r="I24" s="67" t="n">
        <f aca="false">(I17+I21)/2*1</f>
        <v>20404.4725621672</v>
      </c>
      <c r="J24" s="67" t="n">
        <f aca="false">(J17+J21)/2*1</f>
        <v>22842.360748113</v>
      </c>
      <c r="K24" s="67" t="n">
        <f aca="false">(K17+K21)/2*1</f>
        <v>25219.3017294102</v>
      </c>
      <c r="L24" s="67" t="n">
        <f aca="false">(L17+L21)/2*1</f>
        <v>27536.819186175</v>
      </c>
      <c r="M24" s="67" t="n">
        <f aca="false">(M17+M21)/2*1</f>
        <v>29796.3987065206</v>
      </c>
      <c r="N24" s="67" t="n">
        <f aca="false">(N17+N21)/2*1</f>
        <v>31999.4887388576</v>
      </c>
      <c r="O24" s="67" t="n">
        <f aca="false">(O17+O21)/2*1</f>
        <v>34556.5475203861</v>
      </c>
      <c r="P24" s="67" t="n">
        <f aca="false">(P17+P21)/2*1</f>
        <v>37458.7258323765</v>
      </c>
      <c r="Q24" s="67" t="n">
        <f aca="false">(Q17+Q21)/2*1</f>
        <v>40288.3496865671</v>
      </c>
      <c r="R24" s="67" t="n">
        <f aca="false">(R17+R21)/2*1</f>
        <v>43047.2329444029</v>
      </c>
      <c r="S24" s="67" t="n">
        <f aca="false">(S17+S21)/2*1</f>
        <v>45737.1441207928</v>
      </c>
      <c r="T24" s="67" t="n">
        <f aca="false">(T17+T21)/2*1</f>
        <v>48359.807517773</v>
      </c>
      <c r="U24" s="67" t="n">
        <f aca="false">(U17+U21)/2*1</f>
        <v>50916.9043298287</v>
      </c>
      <c r="V24" s="67" t="n">
        <f aca="false">(V17+V21)/2*1</f>
        <v>53410.0737215829</v>
      </c>
      <c r="W24" s="67" t="n">
        <f aca="false">(W17+W21)/2*1</f>
        <v>55840.9138785434</v>
      </c>
      <c r="X24" s="67" t="n">
        <f aca="false">(X17+X21)/2*1</f>
        <v>58210.9830315798</v>
      </c>
      <c r="Y24" s="67" t="n">
        <f aca="false">(Y17+Y21)/2*1</f>
        <v>60521.8004557903</v>
      </c>
      <c r="Z24" s="67" t="n">
        <f aca="false">(Z17+Z21)/2*1</f>
        <v>62774.8474443955</v>
      </c>
      <c r="AA24" s="67" t="n">
        <f aca="false">(AA17+AA21)/2*1</f>
        <v>65497.8898122856</v>
      </c>
      <c r="AB24" s="67" t="n">
        <f aca="false">(AB17+AB21)/2*1</f>
        <v>68679.1776749785</v>
      </c>
      <c r="AC24" s="67" t="n">
        <f aca="false">(AC17+AC21)/2*1</f>
        <v>71780.933341104</v>
      </c>
      <c r="AD24" s="67" t="n">
        <f aca="false">(AD17+AD21)/2*1</f>
        <v>74805.1451155764</v>
      </c>
      <c r="AE24" s="67" t="n">
        <f aca="false">(AE17+AE21)/2*1</f>
        <v>77753.751595687</v>
      </c>
      <c r="AF24" s="67" t="n">
        <f aca="false">(AF17+AF21)/2*1</f>
        <v>80628.6429137948</v>
      </c>
      <c r="AG24" s="67" t="n">
        <f aca="false">(AG17+AG21)/2*1</f>
        <v>83431.6619489499</v>
      </c>
      <c r="AH24" s="67" t="n">
        <f aca="false">(AH17+AH21)/2*1</f>
        <v>86164.6055082262</v>
      </c>
      <c r="AI24" s="67" t="n">
        <f aca="false">(AI17+AI21)/2*1</f>
        <v>88829.2254785205</v>
      </c>
      <c r="AJ24" s="67" t="n">
        <f aca="false">(AJ17+AJ21)/2*1</f>
        <v>91427.2299495575</v>
      </c>
      <c r="AK24" s="67" t="n">
        <f aca="false">(AK17+AK21)/2*1</f>
        <v>93960.2843088186</v>
      </c>
      <c r="AL24" s="67" t="n">
        <f aca="false">(AL17+AL21)/2*1</f>
        <v>96430.0123090981</v>
      </c>
      <c r="AM24" s="67" t="n">
        <f aca="false">(AM17+AM21)/2*1</f>
        <v>99516.3023447366</v>
      </c>
      <c r="AN24" s="67" t="n">
        <f aca="false">(AN17+AN21)/2*1</f>
        <v>103203.74036485</v>
      </c>
      <c r="AO24" s="67" t="n">
        <f aca="false">(AO17+AO21)/2*1</f>
        <v>106798.992434461</v>
      </c>
      <c r="AP24" s="67" t="n">
        <f aca="false">(AP17+AP21)/2*1</f>
        <v>110304.363202331</v>
      </c>
      <c r="AQ24" s="67" t="n">
        <f aca="false">(AQ17+AQ21)/2*1</f>
        <v>113722.099701005</v>
      </c>
      <c r="AR24" s="67" t="n">
        <f aca="false">(AR17+AR21)/2*1</f>
        <v>117054.392787212</v>
      </c>
      <c r="AS24" s="67" t="n">
        <f aca="false">(AS17+AS21)/2*1</f>
        <v>120303.378546264</v>
      </c>
      <c r="AT24" s="67" t="n">
        <f aca="false">(AT17+AT21)/2*1</f>
        <v>123471.139661339</v>
      </c>
      <c r="AU24" s="67" t="n">
        <f aca="false">(AU17+AU21)/2*1</f>
        <v>126559.706748538</v>
      </c>
      <c r="AV24" s="67" t="n">
        <f aca="false">(AV17+AV21)/2*1</f>
        <v>129571.059658556</v>
      </c>
      <c r="AW24" s="67" t="n">
        <f aca="false">(AW17+AW21)/2*1</f>
        <v>132507.128745824</v>
      </c>
      <c r="AX24" s="67" t="n">
        <f aca="false">(AX17+AX21)/2*1</f>
        <v>135369.796105911</v>
      </c>
      <c r="AY24" s="67" t="n">
        <f aca="false">(AY17+AY21)/2*1</f>
        <v>139036.468485906</v>
      </c>
      <c r="AZ24" s="67" t="n">
        <f aca="false">(AZ17+AZ21)/2*1</f>
        <v>143487.045760313</v>
      </c>
      <c r="BA24" s="67" t="n">
        <f aca="false">(BA17+BA21)/2*1</f>
        <v>147826.35860286</v>
      </c>
      <c r="BB24" s="67" t="n">
        <f aca="false">(BB17+BB21)/2*1</f>
        <v>152057.188624343</v>
      </c>
      <c r="BC24" s="67" t="n">
        <f aca="false">(BC17+BC21)/2*1</f>
        <v>156182.247895288</v>
      </c>
      <c r="BD24" s="67" t="n">
        <f aca="false">(BD17+BD21)/2*1</f>
        <v>160204.180684461</v>
      </c>
      <c r="BE24" s="67" t="n">
        <f aca="false">(BE17+BE21)/2*1</f>
        <v>164125.565153904</v>
      </c>
      <c r="BF24" s="67" t="n">
        <f aca="false">(BF17+BF21)/2*1</f>
        <v>167948.915011611</v>
      </c>
      <c r="BG24" s="67" t="n">
        <f aca="false">(BG17+BG21)/2*1</f>
        <v>171676.681122875</v>
      </c>
      <c r="BH24" s="67" t="n">
        <f aca="false">(BH17+BH21)/2*1</f>
        <v>175311.253081357</v>
      </c>
      <c r="BI24" s="67" t="n">
        <f aca="false">(BI17+BI21)/2*1</f>
        <v>178854.960740878</v>
      </c>
      <c r="BJ24" s="67" t="n">
        <f aca="false">(BJ17+BJ21)/2*1</f>
        <v>182310.07570891</v>
      </c>
    </row>
    <row r="25" customFormat="false" ht="15" hidden="false" customHeight="false" outlineLevel="0" collapsed="false">
      <c r="A25" s="6" t="s">
        <v>75</v>
      </c>
      <c r="C25" s="66" t="n">
        <f aca="false">-(C24*Inputs!$E$18+(C11+C13)/2*Inputs!$E$19*1)</f>
        <v>-529.565277777778</v>
      </c>
      <c r="D25" s="66" t="n">
        <f aca="false">-(D24*Inputs!$E$18+(D11+D13)/2*Inputs!$E$19*1)</f>
        <v>-870.2373125</v>
      </c>
      <c r="E25" s="66" t="n">
        <f aca="false">-(E24*Inputs!$E$18+(E11+E13)/2*Inputs!$E$19*1)</f>
        <v>-1202.10810024306</v>
      </c>
      <c r="F25" s="66" t="n">
        <f aca="false">-(F24*Inputs!$E$18+(F11+F13)/2*Inputs!$E$19*1)</f>
        <v>-1525.40620556476</v>
      </c>
      <c r="G25" s="66" t="n">
        <f aca="false">-(G24*Inputs!$E$18+(G11+G13)/2*Inputs!$E$19*1)</f>
        <v>-1840.35422290747</v>
      </c>
      <c r="H25" s="66" t="n">
        <f aca="false">-(H24*Inputs!$E$18+(H11+H13)/2*Inputs!$E$19*1)</f>
        <v>-2147.16893353105</v>
      </c>
      <c r="I25" s="66" t="n">
        <f aca="false">-(I24*Inputs!$E$18+(I11+I13)/2*Inputs!$E$19*1)</f>
        <v>-2446.06145829204</v>
      </c>
      <c r="J25" s="66" t="n">
        <f aca="false">-(J24*Inputs!$E$18+(J11+J13)/2*Inputs!$E$19*1)</f>
        <v>-2737.23740637992</v>
      </c>
      <c r="K25" s="66" t="n">
        <f aca="false">-(K24*Inputs!$E$18+(K11+K13)/2*Inputs!$E$19*1)</f>
        <v>-3020.89702011814</v>
      </c>
      <c r="L25" s="66" t="n">
        <f aca="false">-(L24*Inputs!$E$18+(L11+L13)/2*Inputs!$E$19*1)</f>
        <v>-3297.23531593485</v>
      </c>
      <c r="M25" s="66" t="n">
        <f aca="false">-(M24*Inputs!$E$18+(M11+M13)/2*Inputs!$E$19*1)</f>
        <v>-3566.44222160545</v>
      </c>
      <c r="N25" s="66" t="n">
        <f aca="false">-(N24*Inputs!$E$18+(N11+N13)/2*Inputs!$E$19*1)</f>
        <v>-3828.7027098661</v>
      </c>
      <c r="O25" s="66" t="n">
        <f aca="false">-(O24*Inputs!$E$18+(O11+O13)/2*Inputs!$E$19*1)</f>
        <v>-4132.25708405066</v>
      </c>
      <c r="P25" s="66" t="n">
        <f aca="false">-(P24*Inputs!$E$18+(P11+P13)/2*Inputs!$E$19*1)</f>
        <v>-4476.043511956</v>
      </c>
      <c r="Q25" s="66" t="n">
        <f aca="false">-(Q24*Inputs!$E$18+(Q11+Q13)/2*Inputs!$E$19*1)</f>
        <v>-4810.96743618017</v>
      </c>
      <c r="R25" s="66" t="n">
        <f aca="false">-(R24*Inputs!$E$18+(R11+R13)/2*Inputs!$E$19*1)</f>
        <v>-5137.25845460472</v>
      </c>
      <c r="S25" s="66" t="n">
        <f aca="false">-(S24*Inputs!$E$18+(S11+S13)/2*Inputs!$E$19*1)</f>
        <v>-5455.14018410545</v>
      </c>
      <c r="T25" s="66" t="n">
        <f aca="false">-(T24*Inputs!$E$18+(T11+T13)/2*Inputs!$E$19*1)</f>
        <v>-5764.83041730935</v>
      </c>
      <c r="U25" s="66" t="n">
        <f aca="false">-(U24*Inputs!$E$18+(U11+U13)/2*Inputs!$E$19*1)</f>
        <v>-6066.54127521562</v>
      </c>
      <c r="V25" s="66" t="n">
        <f aca="false">-(V24*Inputs!$E$18+(V11+V13)/2*Inputs!$E$19*1)</f>
        <v>-6360.47935579073</v>
      </c>
      <c r="W25" s="66" t="n">
        <f aca="false">-(W24*Inputs!$E$18+(W11+W13)/2*Inputs!$E$19*1)</f>
        <v>-6646.84587864447</v>
      </c>
      <c r="X25" s="66" t="n">
        <f aca="false">-(X24*Inputs!$E$18+(X11+X13)/2*Inputs!$E$19*1)</f>
        <v>-6925.83682589107</v>
      </c>
      <c r="Y25" s="66" t="n">
        <f aca="false">-(Y24*Inputs!$E$18+(Y11+Y13)/2*Inputs!$E$19*1)</f>
        <v>-7197.6430792968</v>
      </c>
      <c r="Z25" s="66" t="n">
        <f aca="false">-(Z24*Inputs!$E$18+(Z11+Z13)/2*Inputs!$E$19*1)</f>
        <v>-7462.45055381245</v>
      </c>
      <c r="AA25" s="66" t="n">
        <f aca="false">-(AA24*Inputs!$E$18+(AA11+AA13)/2*Inputs!$E$19*1)</f>
        <v>-7782.01914965361</v>
      </c>
      <c r="AB25" s="66" t="n">
        <f aca="false">-(AB24*Inputs!$E$18+(AB11+AB13)/2*Inputs!$E$19*1)</f>
        <v>-8154.94103087014</v>
      </c>
      <c r="AC25" s="66" t="n">
        <f aca="false">-(AC24*Inputs!$E$18+(AC11+AC13)/2*Inputs!$E$19*1)</f>
        <v>-8518.26589958153</v>
      </c>
      <c r="AD25" s="66" t="n">
        <f aca="false">-(AD24*Inputs!$E$18+(AD11+AD13)/2*Inputs!$E$19*1)</f>
        <v>-8872.24190006463</v>
      </c>
      <c r="AE25" s="66" t="n">
        <f aca="false">-(AE24*Inputs!$E$18+(AE11+AE13)/2*Inputs!$E$19*1)</f>
        <v>-9217.11072642048</v>
      </c>
      <c r="AF25" s="66" t="n">
        <f aca="false">-(AF24*Inputs!$E$18+(AF11+AF13)/2*Inputs!$E$19*1)</f>
        <v>-9553.10779122571</v>
      </c>
      <c r="AG25" s="66" t="n">
        <f aca="false">-(AG24*Inputs!$E$18+(AG11+AG13)/2*Inputs!$E$19*1)</f>
        <v>-9880.46238974584</v>
      </c>
      <c r="AH25" s="66" t="n">
        <f aca="false">-(AH24*Inputs!$E$18+(AH11+AH13)/2*Inputs!$E$19*1)</f>
        <v>-10199.3978598279</v>
      </c>
      <c r="AI25" s="66" t="n">
        <f aca="false">-(AI24*Inputs!$E$18+(AI11+AI13)/2*Inputs!$E$19*1)</f>
        <v>-10510.1317375872</v>
      </c>
      <c r="AJ25" s="66" t="n">
        <f aca="false">-(AJ24*Inputs!$E$18+(AJ11+AJ13)/2*Inputs!$E$19*1)</f>
        <v>-10812.8759089989</v>
      </c>
      <c r="AK25" s="66" t="n">
        <f aca="false">-(AK24*Inputs!$E$18+(AK11+AK13)/2*Inputs!$E$19*1)</f>
        <v>-11107.8367575037</v>
      </c>
      <c r="AL25" s="66" t="n">
        <f aca="false">-(AL24*Inputs!$E$18+(AL11+AL13)/2*Inputs!$E$19*1)</f>
        <v>-11395.215307733</v>
      </c>
      <c r="AM25" s="66" t="n">
        <f aca="false">-(AM24*Inputs!$E$18+(AM11+AM13)/2*Inputs!$E$19*1)</f>
        <v>-11754.2418889921</v>
      </c>
      <c r="AN25" s="66" t="n">
        <f aca="false">-(AN24*Inputs!$E$18+(AN11+AN13)/2*Inputs!$E$19*1)</f>
        <v>-12183.0753413679</v>
      </c>
      <c r="AO25" s="66" t="n">
        <f aca="false">-(AO24*Inputs!$E$18+(AO11+AO13)/2*Inputs!$E$19*1)</f>
        <v>-12600.8875091825</v>
      </c>
      <c r="AP25" s="66" t="n">
        <f aca="false">-(AP24*Inputs!$E$18+(AP11+AP13)/2*Inputs!$E$19*1)</f>
        <v>-13007.9629379975</v>
      </c>
      <c r="AQ25" s="66" t="n">
        <f aca="false">-(AQ24*Inputs!$E$18+(AQ11+AQ13)/2*Inputs!$E$19*1)</f>
        <v>-13404.5787893319</v>
      </c>
      <c r="AR25" s="66" t="n">
        <f aca="false">-(AR24*Inputs!$E$18+(AR11+AR13)/2*Inputs!$E$19*1)</f>
        <v>-13791.0050333757</v>
      </c>
      <c r="AS25" s="66" t="n">
        <f aca="false">-(AS24*Inputs!$E$18+(AS11+AS13)/2*Inputs!$E$19*1)</f>
        <v>-14167.5046366412</v>
      </c>
      <c r="AT25" s="66" t="n">
        <f aca="false">-(AT24*Inputs!$E$18+(AT11+AT13)/2*Inputs!$E$19*1)</f>
        <v>-14534.3337446883</v>
      </c>
      <c r="AU25" s="66" t="n">
        <f aca="false">-(AU24*Inputs!$E$18+(AU11+AU13)/2*Inputs!$E$19*1)</f>
        <v>-14891.7418600515</v>
      </c>
      <c r="AV25" s="66" t="n">
        <f aca="false">-(AV24*Inputs!$E$18+(AV11+AV13)/2*Inputs!$E$19*1)</f>
        <v>-15239.9720154974</v>
      </c>
      <c r="AW25" s="66" t="n">
        <f aca="false">-(AW24*Inputs!$E$18+(AW11+AW13)/2*Inputs!$E$19*1)</f>
        <v>-15579.260942735</v>
      </c>
      <c r="AX25" s="66" t="n">
        <f aca="false">-(AX24*Inputs!$E$18+(AX11+AX13)/2*Inputs!$E$19*1)</f>
        <v>-15909.8392366991</v>
      </c>
      <c r="AY25" s="66" t="n">
        <f aca="false">-(AY24*Inputs!$E$18+(AY11+AY13)/2*Inputs!$E$19*1)</f>
        <v>-16333.5418859154</v>
      </c>
      <c r="AZ25" s="66" t="n">
        <f aca="false">-(AZ24*Inputs!$E$18+(AZ11+AZ13)/2*Inputs!$E$19*1)</f>
        <v>-16847.9771622363</v>
      </c>
      <c r="BA25" s="66" t="n">
        <f aca="false">-(BA24*Inputs!$E$18+(BA11+BA13)/2*Inputs!$E$19*1)</f>
        <v>-17349.2046689048</v>
      </c>
      <c r="BB25" s="66" t="n">
        <f aca="false">-(BB24*Inputs!$E$18+(BB11+BB13)/2*Inputs!$E$19*1)</f>
        <v>-17837.5650067945</v>
      </c>
      <c r="BC25" s="66" t="n">
        <f aca="false">-(BC24*Inputs!$E$18+(BC11+BC13)/2*Inputs!$E$19*1)</f>
        <v>-18313.3899495583</v>
      </c>
      <c r="BD25" s="66" t="n">
        <f aca="false">-(BD24*Inputs!$E$18+(BD11+BD13)/2*Inputs!$E$19*1)</f>
        <v>-18777.0026736747</v>
      </c>
      <c r="BE25" s="66" t="n">
        <f aca="false">-(BE24*Inputs!$E$18+(BE11+BE13)/2*Inputs!$E$19*1)</f>
        <v>-19228.7179824621</v>
      </c>
      <c r="BF25" s="66" t="n">
        <f aca="false">-(BF24*Inputs!$E$18+(BF11+BF13)/2*Inputs!$E$19*1)</f>
        <v>-19668.8425242206</v>
      </c>
      <c r="BG25" s="66" t="n">
        <f aca="false">-(BG24*Inputs!$E$18+(BG11+BG13)/2*Inputs!$E$19*1)</f>
        <v>-20097.6750046553</v>
      </c>
      <c r="BH25" s="66" t="n">
        <f aca="false">-(BH24*Inputs!$E$18+(BH11+BH13)/2*Inputs!$E$19*1)</f>
        <v>-20515.5063937325</v>
      </c>
      <c r="BI25" s="66" t="n">
        <f aca="false">-(BI24*Inputs!$E$18+(BI11+BI13)/2*Inputs!$E$19*1)</f>
        <v>-20922.6201271166</v>
      </c>
      <c r="BJ25" s="66" t="n">
        <f aca="false">-(BJ24*Inputs!$E$18+(BJ11+BJ13)/2*Inputs!$E$19*1)</f>
        <v>-21319.292302329</v>
      </c>
    </row>
    <row r="26" customFormat="false" ht="15" hidden="false" customHeight="false" outlineLevel="0" collapsed="false">
      <c r="A26" s="111" t="s">
        <v>45</v>
      </c>
      <c r="C26" s="67" t="n">
        <f aca="false">C24+C25</f>
        <v>3877.30972222222</v>
      </c>
      <c r="D26" s="67" t="n">
        <f aca="false">D24+D25</f>
        <v>6374.4658125</v>
      </c>
      <c r="E26" s="67" t="n">
        <f aca="false">E24+E25</f>
        <v>8809.47744663194</v>
      </c>
      <c r="F26" s="67" t="n">
        <f aca="false">F24+F25</f>
        <v>11183.8897026384</v>
      </c>
      <c r="G26" s="67" t="n">
        <f aca="false">G24+G25</f>
        <v>13499.2092875906</v>
      </c>
      <c r="H26" s="67" t="n">
        <f aca="false">H24+H25</f>
        <v>15756.9054892045</v>
      </c>
      <c r="I26" s="67" t="n">
        <f aca="false">I24+I25</f>
        <v>17958.4111038752</v>
      </c>
      <c r="J26" s="67" t="n">
        <f aca="false">J24+J25</f>
        <v>20105.1233417331</v>
      </c>
      <c r="K26" s="67" t="n">
        <f aca="false">K24+K25</f>
        <v>22198.4047092921</v>
      </c>
      <c r="L26" s="67" t="n">
        <f aca="false">L24+L25</f>
        <v>24239.5838702401</v>
      </c>
      <c r="M26" s="67" t="n">
        <f aca="false">M24+M25</f>
        <v>26229.9564849151</v>
      </c>
      <c r="N26" s="67" t="n">
        <f aca="false">N24+N25</f>
        <v>28170.7860289915</v>
      </c>
      <c r="O26" s="67" t="n">
        <f aca="false">O24+O25</f>
        <v>30424.2904363355</v>
      </c>
      <c r="P26" s="67" t="n">
        <f aca="false">P24+P25</f>
        <v>32982.6823204205</v>
      </c>
      <c r="Q26" s="67" t="n">
        <f aca="false">Q24+Q25</f>
        <v>35477.3822503869</v>
      </c>
      <c r="R26" s="67" t="n">
        <f aca="false">R24+R25</f>
        <v>37909.9744897982</v>
      </c>
      <c r="S26" s="67" t="n">
        <f aca="false">S24+S25</f>
        <v>40282.0039366874</v>
      </c>
      <c r="T26" s="67" t="n">
        <f aca="false">T24+T25</f>
        <v>42594.9771004636</v>
      </c>
      <c r="U26" s="67" t="n">
        <f aca="false">U24+U25</f>
        <v>44850.363054613</v>
      </c>
      <c r="V26" s="67" t="n">
        <f aca="false">V24+V25</f>
        <v>47049.5943657922</v>
      </c>
      <c r="W26" s="67" t="n">
        <f aca="false">W24+W25</f>
        <v>49194.0679998989</v>
      </c>
      <c r="X26" s="67" t="n">
        <f aca="false">X24+X25</f>
        <v>51285.1462056887</v>
      </c>
      <c r="Y26" s="67" t="n">
        <f aca="false">Y24+Y25</f>
        <v>53324.1573764935</v>
      </c>
      <c r="Z26" s="67" t="n">
        <f aca="false">Z24+Z25</f>
        <v>55312.3968905831</v>
      </c>
      <c r="AA26" s="67" t="n">
        <f aca="false">AA24+AA25</f>
        <v>57715.870662632</v>
      </c>
      <c r="AB26" s="67" t="n">
        <f aca="false">AB24+AB25</f>
        <v>60524.2366441083</v>
      </c>
      <c r="AC26" s="67" t="n">
        <f aca="false">AC24+AC25</f>
        <v>63262.6674415225</v>
      </c>
      <c r="AD26" s="67" t="n">
        <f aca="false">AD24+AD25</f>
        <v>65932.9032155118</v>
      </c>
      <c r="AE26" s="67" t="n">
        <f aca="false">AE24+AE25</f>
        <v>68536.6408692665</v>
      </c>
      <c r="AF26" s="67" t="n">
        <f aca="false">AF24+AF25</f>
        <v>71075.5351225691</v>
      </c>
      <c r="AG26" s="67" t="n">
        <f aca="false">AG24+AG25</f>
        <v>73551.1995592041</v>
      </c>
      <c r="AH26" s="67" t="n">
        <f aca="false">AH24+AH25</f>
        <v>75965.2076483982</v>
      </c>
      <c r="AI26" s="67" t="n">
        <f aca="false">AI24+AI25</f>
        <v>78319.0937409333</v>
      </c>
      <c r="AJ26" s="67" t="n">
        <f aca="false">AJ24+AJ25</f>
        <v>80614.3540405587</v>
      </c>
      <c r="AK26" s="67" t="n">
        <f aca="false">AK24+AK25</f>
        <v>82852.4475513149</v>
      </c>
      <c r="AL26" s="67" t="n">
        <f aca="false">AL24+AL25</f>
        <v>85034.7970013651</v>
      </c>
      <c r="AM26" s="67" t="n">
        <f aca="false">AM24+AM25</f>
        <v>87762.0604557445</v>
      </c>
      <c r="AN26" s="67" t="n">
        <f aca="false">AN24+AN25</f>
        <v>91020.6650234823</v>
      </c>
      <c r="AO26" s="67" t="n">
        <f aca="false">AO24+AO25</f>
        <v>94198.1049252784</v>
      </c>
      <c r="AP26" s="67" t="n">
        <f aca="false">AP24+AP25</f>
        <v>97296.400264334</v>
      </c>
      <c r="AQ26" s="67" t="n">
        <f aca="false">AQ24+AQ25</f>
        <v>100317.520911673</v>
      </c>
      <c r="AR26" s="67" t="n">
        <f aca="false">AR24+AR25</f>
        <v>103263.387753836</v>
      </c>
      <c r="AS26" s="67" t="n">
        <f aca="false">AS24+AS25</f>
        <v>106135.873909623</v>
      </c>
      <c r="AT26" s="67" t="n">
        <f aca="false">AT24+AT25</f>
        <v>108936.805916651</v>
      </c>
      <c r="AU26" s="67" t="n">
        <f aca="false">AU24+AU25</f>
        <v>111667.964888486</v>
      </c>
      <c r="AV26" s="67" t="n">
        <f aca="false">AV24+AV25</f>
        <v>114331.087643059</v>
      </c>
      <c r="AW26" s="67" t="n">
        <f aca="false">AW24+AW25</f>
        <v>116927.867803089</v>
      </c>
      <c r="AX26" s="67" t="n">
        <f aca="false">AX24+AX25</f>
        <v>119459.956869212</v>
      </c>
      <c r="AY26" s="67" t="n">
        <f aca="false">AY24+AY25</f>
        <v>122702.926599991</v>
      </c>
      <c r="AZ26" s="67" t="n">
        <f aca="false">AZ24+AZ25</f>
        <v>126639.068598077</v>
      </c>
      <c r="BA26" s="67" t="n">
        <f aca="false">BA24+BA25</f>
        <v>130477.153933955</v>
      </c>
      <c r="BB26" s="67" t="n">
        <f aca="false">BB24+BB25</f>
        <v>134219.623617548</v>
      </c>
      <c r="BC26" s="67" t="n">
        <f aca="false">BC24+BC25</f>
        <v>137868.85794573</v>
      </c>
      <c r="BD26" s="67" t="n">
        <f aca="false">BD24+BD25</f>
        <v>141427.178010786</v>
      </c>
      <c r="BE26" s="67" t="n">
        <f aca="false">BE24+BE25</f>
        <v>144896.847171442</v>
      </c>
      <c r="BF26" s="67" t="n">
        <f aca="false">BF24+BF25</f>
        <v>148280.07248739</v>
      </c>
      <c r="BG26" s="67" t="n">
        <f aca="false">BG24+BG25</f>
        <v>151579.00611822</v>
      </c>
      <c r="BH26" s="67" t="n">
        <f aca="false">BH24+BH25</f>
        <v>154795.746687625</v>
      </c>
      <c r="BI26" s="67" t="n">
        <f aca="false">BI24+BI25</f>
        <v>157932.340613761</v>
      </c>
      <c r="BJ26" s="67" t="n">
        <f aca="false">BJ24+BJ25</f>
        <v>160990.783406581</v>
      </c>
    </row>
    <row r="28" customFormat="false" ht="15.75" hidden="false" customHeight="true" outlineLevel="0" collapsed="false">
      <c r="A28" s="7" t="s">
        <v>47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</row>
    <row r="29" customFormat="false" ht="15" hidden="false" customHeight="false" outlineLevel="0" collapsed="false">
      <c r="A29" s="6" t="s">
        <v>318</v>
      </c>
      <c r="C29" s="68" t="n">
        <f aca="false">Headcount!C19</f>
        <v>-61750</v>
      </c>
      <c r="D29" s="68" t="n">
        <f aca="false">Headcount!D19</f>
        <v>-61750</v>
      </c>
      <c r="E29" s="68" t="n">
        <f aca="false">Headcount!E19</f>
        <v>-61750</v>
      </c>
      <c r="F29" s="68" t="n">
        <f aca="false">Headcount!F19</f>
        <v>-61750</v>
      </c>
      <c r="G29" s="68" t="n">
        <f aca="false">Headcount!G19</f>
        <v>-61750</v>
      </c>
      <c r="H29" s="68" t="n">
        <f aca="false">Headcount!H19</f>
        <v>-61750</v>
      </c>
      <c r="I29" s="68" t="n">
        <f aca="false">Headcount!I19</f>
        <v>-61750</v>
      </c>
      <c r="J29" s="68" t="n">
        <f aca="false">Headcount!J19</f>
        <v>-61750</v>
      </c>
      <c r="K29" s="68" t="n">
        <f aca="false">Headcount!K19</f>
        <v>-61750</v>
      </c>
      <c r="L29" s="68" t="n">
        <f aca="false">Headcount!L19</f>
        <v>-61750</v>
      </c>
      <c r="M29" s="68" t="n">
        <f aca="false">Headcount!M19</f>
        <v>-61750</v>
      </c>
      <c r="N29" s="68" t="n">
        <f aca="false">Headcount!N19</f>
        <v>-61750</v>
      </c>
      <c r="O29" s="68" t="n">
        <f aca="false">Headcount!O19</f>
        <v>-96330</v>
      </c>
      <c r="P29" s="68" t="n">
        <f aca="false">Headcount!P19</f>
        <v>-96330</v>
      </c>
      <c r="Q29" s="68" t="n">
        <f aca="false">Headcount!Q19</f>
        <v>-96330</v>
      </c>
      <c r="R29" s="68" t="n">
        <f aca="false">Headcount!R19</f>
        <v>-96330</v>
      </c>
      <c r="S29" s="68" t="n">
        <f aca="false">Headcount!S19</f>
        <v>-96330</v>
      </c>
      <c r="T29" s="68" t="n">
        <f aca="false">Headcount!T19</f>
        <v>-96330</v>
      </c>
      <c r="U29" s="68" t="n">
        <f aca="false">Headcount!U19</f>
        <v>-96330</v>
      </c>
      <c r="V29" s="68" t="n">
        <f aca="false">Headcount!V19</f>
        <v>-96330</v>
      </c>
      <c r="W29" s="68" t="n">
        <f aca="false">Headcount!W19</f>
        <v>-96330</v>
      </c>
      <c r="X29" s="68" t="n">
        <f aca="false">Headcount!X19</f>
        <v>-96330</v>
      </c>
      <c r="Y29" s="68" t="n">
        <f aca="false">Headcount!Y19</f>
        <v>-96330</v>
      </c>
      <c r="Z29" s="68" t="n">
        <f aca="false">Headcount!Z19</f>
        <v>-96330</v>
      </c>
      <c r="AA29" s="68" t="n">
        <f aca="false">Headcount!AA19</f>
        <v>-150274.8</v>
      </c>
      <c r="AB29" s="68" t="n">
        <f aca="false">Headcount!AB19</f>
        <v>-150274.8</v>
      </c>
      <c r="AC29" s="68" t="n">
        <f aca="false">Headcount!AC19</f>
        <v>-150274.8</v>
      </c>
      <c r="AD29" s="68" t="n">
        <f aca="false">Headcount!AD19</f>
        <v>-150274.8</v>
      </c>
      <c r="AE29" s="68" t="n">
        <f aca="false">Headcount!AE19</f>
        <v>-150274.8</v>
      </c>
      <c r="AF29" s="68" t="n">
        <f aca="false">Headcount!AF19</f>
        <v>-150274.8</v>
      </c>
      <c r="AG29" s="68" t="n">
        <f aca="false">Headcount!AG19</f>
        <v>-150274.8</v>
      </c>
      <c r="AH29" s="68" t="n">
        <f aca="false">Headcount!AH19</f>
        <v>-150274.8</v>
      </c>
      <c r="AI29" s="68" t="n">
        <f aca="false">Headcount!AI19</f>
        <v>-150274.8</v>
      </c>
      <c r="AJ29" s="68" t="n">
        <f aca="false">Headcount!AJ19</f>
        <v>-150274.8</v>
      </c>
      <c r="AK29" s="68" t="n">
        <f aca="false">Headcount!AK19</f>
        <v>-150274.8</v>
      </c>
      <c r="AL29" s="68" t="n">
        <f aca="false">Headcount!AL19</f>
        <v>-150274.8</v>
      </c>
      <c r="AM29" s="68" t="n">
        <f aca="false">Headcount!AM19</f>
        <v>-234428.688</v>
      </c>
      <c r="AN29" s="68" t="n">
        <f aca="false">Headcount!AN19</f>
        <v>-234428.688</v>
      </c>
      <c r="AO29" s="68" t="n">
        <f aca="false">Headcount!AO19</f>
        <v>-234428.688</v>
      </c>
      <c r="AP29" s="68" t="n">
        <f aca="false">Headcount!AP19</f>
        <v>-234428.688</v>
      </c>
      <c r="AQ29" s="68" t="n">
        <f aca="false">Headcount!AQ19</f>
        <v>-234428.688</v>
      </c>
      <c r="AR29" s="68" t="n">
        <f aca="false">Headcount!AR19</f>
        <v>-234428.688</v>
      </c>
      <c r="AS29" s="68" t="n">
        <f aca="false">Headcount!AS19</f>
        <v>-234428.688</v>
      </c>
      <c r="AT29" s="68" t="n">
        <f aca="false">Headcount!AT19</f>
        <v>-234428.688</v>
      </c>
      <c r="AU29" s="68" t="n">
        <f aca="false">Headcount!AU19</f>
        <v>-234428.688</v>
      </c>
      <c r="AV29" s="68" t="n">
        <f aca="false">Headcount!AV19</f>
        <v>-234428.688</v>
      </c>
      <c r="AW29" s="68" t="n">
        <f aca="false">Headcount!AW19</f>
        <v>-234428.688</v>
      </c>
      <c r="AX29" s="68" t="n">
        <f aca="false">Headcount!AX19</f>
        <v>-234428.688</v>
      </c>
      <c r="AY29" s="68" t="n">
        <f aca="false">Headcount!AY19</f>
        <v>-365708.75328</v>
      </c>
      <c r="AZ29" s="68" t="n">
        <f aca="false">Headcount!AZ19</f>
        <v>-365708.75328</v>
      </c>
      <c r="BA29" s="68" t="n">
        <f aca="false">Headcount!BA19</f>
        <v>-365708.75328</v>
      </c>
      <c r="BB29" s="68" t="n">
        <f aca="false">Headcount!BB19</f>
        <v>-365708.75328</v>
      </c>
      <c r="BC29" s="68" t="n">
        <f aca="false">Headcount!BC19</f>
        <v>-365708.75328</v>
      </c>
      <c r="BD29" s="68" t="n">
        <f aca="false">Headcount!BD19</f>
        <v>-365708.75328</v>
      </c>
      <c r="BE29" s="68" t="n">
        <f aca="false">Headcount!BE19</f>
        <v>-365708.75328</v>
      </c>
      <c r="BF29" s="68" t="n">
        <f aca="false">Headcount!BF19</f>
        <v>-365708.75328</v>
      </c>
      <c r="BG29" s="68" t="n">
        <f aca="false">Headcount!BG19</f>
        <v>-365708.75328</v>
      </c>
      <c r="BH29" s="68" t="n">
        <f aca="false">Headcount!BH19</f>
        <v>-365708.75328</v>
      </c>
      <c r="BI29" s="68" t="n">
        <f aca="false">Headcount!BI19</f>
        <v>-365708.75328</v>
      </c>
      <c r="BJ29" s="68" t="n">
        <f aca="false">Headcount!BJ19</f>
        <v>-365708.75328</v>
      </c>
    </row>
    <row r="30" customFormat="false" ht="15" hidden="false" customHeight="false" outlineLevel="0" collapsed="false">
      <c r="A30" s="6" t="s">
        <v>319</v>
      </c>
      <c r="C30" s="66" t="n">
        <f aca="false">-Inputs!$E$14*(1+Inputs!$E$15)^(C$5-1)*1</f>
        <v>-8000</v>
      </c>
      <c r="D30" s="66" t="n">
        <f aca="false">-Inputs!$E$14*(1+Inputs!$E$15)^(D$5-1)*1</f>
        <v>-8000</v>
      </c>
      <c r="E30" s="66" t="n">
        <f aca="false">-Inputs!$E$14*(1+Inputs!$E$15)^(E$5-1)*1</f>
        <v>-8000</v>
      </c>
      <c r="F30" s="66" t="n">
        <f aca="false">-Inputs!$E$14*(1+Inputs!$E$15)^(F$5-1)*1</f>
        <v>-8000</v>
      </c>
      <c r="G30" s="66" t="n">
        <f aca="false">-Inputs!$E$14*(1+Inputs!$E$15)^(G$5-1)*1</f>
        <v>-8000</v>
      </c>
      <c r="H30" s="66" t="n">
        <f aca="false">-Inputs!$E$14*(1+Inputs!$E$15)^(H$5-1)*1</f>
        <v>-8000</v>
      </c>
      <c r="I30" s="66" t="n">
        <f aca="false">-Inputs!$E$14*(1+Inputs!$E$15)^(I$5-1)*1</f>
        <v>-8000</v>
      </c>
      <c r="J30" s="66" t="n">
        <f aca="false">-Inputs!$E$14*(1+Inputs!$E$15)^(J$5-1)*1</f>
        <v>-8000</v>
      </c>
      <c r="K30" s="66" t="n">
        <f aca="false">-Inputs!$E$14*(1+Inputs!$E$15)^(K$5-1)*1</f>
        <v>-8000</v>
      </c>
      <c r="L30" s="66" t="n">
        <f aca="false">-Inputs!$E$14*(1+Inputs!$E$15)^(L$5-1)*1</f>
        <v>-8000</v>
      </c>
      <c r="M30" s="66" t="n">
        <f aca="false">-Inputs!$E$14*(1+Inputs!$E$15)^(M$5-1)*1</f>
        <v>-8000</v>
      </c>
      <c r="N30" s="66" t="n">
        <f aca="false">-Inputs!$E$14*(1+Inputs!$E$15)^(N$5-1)*1</f>
        <v>-8000</v>
      </c>
      <c r="O30" s="66" t="n">
        <f aca="false">-Inputs!$E$14*(1+Inputs!$E$15)^(O$5-1)*1</f>
        <v>-9600</v>
      </c>
      <c r="P30" s="66" t="n">
        <f aca="false">-Inputs!$E$14*(1+Inputs!$E$15)^(P$5-1)*1</f>
        <v>-9600</v>
      </c>
      <c r="Q30" s="66" t="n">
        <f aca="false">-Inputs!$E$14*(1+Inputs!$E$15)^(Q$5-1)*1</f>
        <v>-9600</v>
      </c>
      <c r="R30" s="66" t="n">
        <f aca="false">-Inputs!$E$14*(1+Inputs!$E$15)^(R$5-1)*1</f>
        <v>-9600</v>
      </c>
      <c r="S30" s="66" t="n">
        <f aca="false">-Inputs!$E$14*(1+Inputs!$E$15)^(S$5-1)*1</f>
        <v>-9600</v>
      </c>
      <c r="T30" s="66" t="n">
        <f aca="false">-Inputs!$E$14*(1+Inputs!$E$15)^(T$5-1)*1</f>
        <v>-9600</v>
      </c>
      <c r="U30" s="66" t="n">
        <f aca="false">-Inputs!$E$14*(1+Inputs!$E$15)^(U$5-1)*1</f>
        <v>-9600</v>
      </c>
      <c r="V30" s="66" t="n">
        <f aca="false">-Inputs!$E$14*(1+Inputs!$E$15)^(V$5-1)*1</f>
        <v>-9600</v>
      </c>
      <c r="W30" s="66" t="n">
        <f aca="false">-Inputs!$E$14*(1+Inputs!$E$15)^(W$5-1)*1</f>
        <v>-9600</v>
      </c>
      <c r="X30" s="66" t="n">
        <f aca="false">-Inputs!$E$14*(1+Inputs!$E$15)^(X$5-1)*1</f>
        <v>-9600</v>
      </c>
      <c r="Y30" s="66" t="n">
        <f aca="false">-Inputs!$E$14*(1+Inputs!$E$15)^(Y$5-1)*1</f>
        <v>-9600</v>
      </c>
      <c r="Z30" s="66" t="n">
        <f aca="false">-Inputs!$E$14*(1+Inputs!$E$15)^(Z$5-1)*1</f>
        <v>-9600</v>
      </c>
      <c r="AA30" s="66" t="n">
        <f aca="false">-Inputs!$E$14*(1+Inputs!$E$15)^(AA$5-1)*1</f>
        <v>-11520</v>
      </c>
      <c r="AB30" s="66" t="n">
        <f aca="false">-Inputs!$E$14*(1+Inputs!$E$15)^(AB$5-1)*1</f>
        <v>-11520</v>
      </c>
      <c r="AC30" s="66" t="n">
        <f aca="false">-Inputs!$E$14*(1+Inputs!$E$15)^(AC$5-1)*1</f>
        <v>-11520</v>
      </c>
      <c r="AD30" s="66" t="n">
        <f aca="false">-Inputs!$E$14*(1+Inputs!$E$15)^(AD$5-1)*1</f>
        <v>-11520</v>
      </c>
      <c r="AE30" s="66" t="n">
        <f aca="false">-Inputs!$E$14*(1+Inputs!$E$15)^(AE$5-1)*1</f>
        <v>-11520</v>
      </c>
      <c r="AF30" s="66" t="n">
        <f aca="false">-Inputs!$E$14*(1+Inputs!$E$15)^(AF$5-1)*1</f>
        <v>-11520</v>
      </c>
      <c r="AG30" s="66" t="n">
        <f aca="false">-Inputs!$E$14*(1+Inputs!$E$15)^(AG$5-1)*1</f>
        <v>-11520</v>
      </c>
      <c r="AH30" s="66" t="n">
        <f aca="false">-Inputs!$E$14*(1+Inputs!$E$15)^(AH$5-1)*1</f>
        <v>-11520</v>
      </c>
      <c r="AI30" s="66" t="n">
        <f aca="false">-Inputs!$E$14*(1+Inputs!$E$15)^(AI$5-1)*1</f>
        <v>-11520</v>
      </c>
      <c r="AJ30" s="66" t="n">
        <f aca="false">-Inputs!$E$14*(1+Inputs!$E$15)^(AJ$5-1)*1</f>
        <v>-11520</v>
      </c>
      <c r="AK30" s="66" t="n">
        <f aca="false">-Inputs!$E$14*(1+Inputs!$E$15)^(AK$5-1)*1</f>
        <v>-11520</v>
      </c>
      <c r="AL30" s="66" t="n">
        <f aca="false">-Inputs!$E$14*(1+Inputs!$E$15)^(AL$5-1)*1</f>
        <v>-11520</v>
      </c>
      <c r="AM30" s="66" t="n">
        <f aca="false">-Inputs!$E$14*(1+Inputs!$E$15)^(AM$5-1)*1</f>
        <v>-13824</v>
      </c>
      <c r="AN30" s="66" t="n">
        <f aca="false">-Inputs!$E$14*(1+Inputs!$E$15)^(AN$5-1)*1</f>
        <v>-13824</v>
      </c>
      <c r="AO30" s="66" t="n">
        <f aca="false">-Inputs!$E$14*(1+Inputs!$E$15)^(AO$5-1)*1</f>
        <v>-13824</v>
      </c>
      <c r="AP30" s="66" t="n">
        <f aca="false">-Inputs!$E$14*(1+Inputs!$E$15)^(AP$5-1)*1</f>
        <v>-13824</v>
      </c>
      <c r="AQ30" s="66" t="n">
        <f aca="false">-Inputs!$E$14*(1+Inputs!$E$15)^(AQ$5-1)*1</f>
        <v>-13824</v>
      </c>
      <c r="AR30" s="66" t="n">
        <f aca="false">-Inputs!$E$14*(1+Inputs!$E$15)^(AR$5-1)*1</f>
        <v>-13824</v>
      </c>
      <c r="AS30" s="66" t="n">
        <f aca="false">-Inputs!$E$14*(1+Inputs!$E$15)^(AS$5-1)*1</f>
        <v>-13824</v>
      </c>
      <c r="AT30" s="66" t="n">
        <f aca="false">-Inputs!$E$14*(1+Inputs!$E$15)^(AT$5-1)*1</f>
        <v>-13824</v>
      </c>
      <c r="AU30" s="66" t="n">
        <f aca="false">-Inputs!$E$14*(1+Inputs!$E$15)^(AU$5-1)*1</f>
        <v>-13824</v>
      </c>
      <c r="AV30" s="66" t="n">
        <f aca="false">-Inputs!$E$14*(1+Inputs!$E$15)^(AV$5-1)*1</f>
        <v>-13824</v>
      </c>
      <c r="AW30" s="66" t="n">
        <f aca="false">-Inputs!$E$14*(1+Inputs!$E$15)^(AW$5-1)*1</f>
        <v>-13824</v>
      </c>
      <c r="AX30" s="66" t="n">
        <f aca="false">-Inputs!$E$14*(1+Inputs!$E$15)^(AX$5-1)*1</f>
        <v>-13824</v>
      </c>
      <c r="AY30" s="66" t="n">
        <f aca="false">-Inputs!$E$14*(1+Inputs!$E$15)^(AY$5-1)*1</f>
        <v>-16588.8</v>
      </c>
      <c r="AZ30" s="66" t="n">
        <f aca="false">-Inputs!$E$14*(1+Inputs!$E$15)^(AZ$5-1)*1</f>
        <v>-16588.8</v>
      </c>
      <c r="BA30" s="66" t="n">
        <f aca="false">-Inputs!$E$14*(1+Inputs!$E$15)^(BA$5-1)*1</f>
        <v>-16588.8</v>
      </c>
      <c r="BB30" s="66" t="n">
        <f aca="false">-Inputs!$E$14*(1+Inputs!$E$15)^(BB$5-1)*1</f>
        <v>-16588.8</v>
      </c>
      <c r="BC30" s="66" t="n">
        <f aca="false">-Inputs!$E$14*(1+Inputs!$E$15)^(BC$5-1)*1</f>
        <v>-16588.8</v>
      </c>
      <c r="BD30" s="66" t="n">
        <f aca="false">-Inputs!$E$14*(1+Inputs!$E$15)^(BD$5-1)*1</f>
        <v>-16588.8</v>
      </c>
      <c r="BE30" s="66" t="n">
        <f aca="false">-Inputs!$E$14*(1+Inputs!$E$15)^(BE$5-1)*1</f>
        <v>-16588.8</v>
      </c>
      <c r="BF30" s="66" t="n">
        <f aca="false">-Inputs!$E$14*(1+Inputs!$E$15)^(BF$5-1)*1</f>
        <v>-16588.8</v>
      </c>
      <c r="BG30" s="66" t="n">
        <f aca="false">-Inputs!$E$14*(1+Inputs!$E$15)^(BG$5-1)*1</f>
        <v>-16588.8</v>
      </c>
      <c r="BH30" s="66" t="n">
        <f aca="false">-Inputs!$E$14*(1+Inputs!$E$15)^(BH$5-1)*1</f>
        <v>-16588.8</v>
      </c>
      <c r="BI30" s="66" t="n">
        <f aca="false">-Inputs!$E$14*(1+Inputs!$E$15)^(BI$5-1)*1</f>
        <v>-16588.8</v>
      </c>
      <c r="BJ30" s="66" t="n">
        <f aca="false">-Inputs!$E$14*(1+Inputs!$E$15)^(BJ$5-1)*1</f>
        <v>-16588.8</v>
      </c>
    </row>
    <row r="31" customFormat="false" ht="15" hidden="false" customHeight="false" outlineLevel="0" collapsed="false">
      <c r="A31" s="6" t="s">
        <v>320</v>
      </c>
      <c r="C31" s="66" t="n">
        <f aca="false">-Headcount!C12*Inputs!$E$20*1</f>
        <v>-900</v>
      </c>
      <c r="D31" s="66" t="n">
        <f aca="false">-Headcount!D12*Inputs!$E$20*1</f>
        <v>-900</v>
      </c>
      <c r="E31" s="66" t="n">
        <f aca="false">-Headcount!E12*Inputs!$E$20*1</f>
        <v>-900</v>
      </c>
      <c r="F31" s="66" t="n">
        <f aca="false">-Headcount!F12*Inputs!$E$20*1</f>
        <v>-900</v>
      </c>
      <c r="G31" s="66" t="n">
        <f aca="false">-Headcount!G12*Inputs!$E$20*1</f>
        <v>-900</v>
      </c>
      <c r="H31" s="66" t="n">
        <f aca="false">-Headcount!H12*Inputs!$E$20*1</f>
        <v>-900</v>
      </c>
      <c r="I31" s="66" t="n">
        <f aca="false">-Headcount!I12*Inputs!$E$20*1</f>
        <v>-900</v>
      </c>
      <c r="J31" s="66" t="n">
        <f aca="false">-Headcount!J12*Inputs!$E$20*1</f>
        <v>-900</v>
      </c>
      <c r="K31" s="66" t="n">
        <f aca="false">-Headcount!K12*Inputs!$E$20*1</f>
        <v>-900</v>
      </c>
      <c r="L31" s="66" t="n">
        <f aca="false">-Headcount!L12*Inputs!$E$20*1</f>
        <v>-900</v>
      </c>
      <c r="M31" s="66" t="n">
        <f aca="false">-Headcount!M12*Inputs!$E$20*1</f>
        <v>-900</v>
      </c>
      <c r="N31" s="66" t="n">
        <f aca="false">-Headcount!N12*Inputs!$E$20*1</f>
        <v>-900</v>
      </c>
      <c r="O31" s="66" t="n">
        <f aca="false">-Headcount!O12*Inputs!$E$20*1</f>
        <v>-1350</v>
      </c>
      <c r="P31" s="66" t="n">
        <f aca="false">-Headcount!P12*Inputs!$E$20*1</f>
        <v>-1350</v>
      </c>
      <c r="Q31" s="66" t="n">
        <f aca="false">-Headcount!Q12*Inputs!$E$20*1</f>
        <v>-1350</v>
      </c>
      <c r="R31" s="66" t="n">
        <f aca="false">-Headcount!R12*Inputs!$E$20*1</f>
        <v>-1350</v>
      </c>
      <c r="S31" s="66" t="n">
        <f aca="false">-Headcount!S12*Inputs!$E$20*1</f>
        <v>-1350</v>
      </c>
      <c r="T31" s="66" t="n">
        <f aca="false">-Headcount!T12*Inputs!$E$20*1</f>
        <v>-1350</v>
      </c>
      <c r="U31" s="66" t="n">
        <f aca="false">-Headcount!U12*Inputs!$E$20*1</f>
        <v>-1350</v>
      </c>
      <c r="V31" s="66" t="n">
        <f aca="false">-Headcount!V12*Inputs!$E$20*1</f>
        <v>-1350</v>
      </c>
      <c r="W31" s="66" t="n">
        <f aca="false">-Headcount!W12*Inputs!$E$20*1</f>
        <v>-1350</v>
      </c>
      <c r="X31" s="66" t="n">
        <f aca="false">-Headcount!X12*Inputs!$E$20*1</f>
        <v>-1350</v>
      </c>
      <c r="Y31" s="66" t="n">
        <f aca="false">-Headcount!Y12*Inputs!$E$20*1</f>
        <v>-1350</v>
      </c>
      <c r="Z31" s="66" t="n">
        <f aca="false">-Headcount!Z12*Inputs!$E$20*1</f>
        <v>-1350</v>
      </c>
      <c r="AA31" s="66" t="n">
        <f aca="false">-Headcount!AA12*Inputs!$E$20*1</f>
        <v>-2025</v>
      </c>
      <c r="AB31" s="66" t="n">
        <f aca="false">-Headcount!AB12*Inputs!$E$20*1</f>
        <v>-2025</v>
      </c>
      <c r="AC31" s="66" t="n">
        <f aca="false">-Headcount!AC12*Inputs!$E$20*1</f>
        <v>-2025</v>
      </c>
      <c r="AD31" s="66" t="n">
        <f aca="false">-Headcount!AD12*Inputs!$E$20*1</f>
        <v>-2025</v>
      </c>
      <c r="AE31" s="66" t="n">
        <f aca="false">-Headcount!AE12*Inputs!$E$20*1</f>
        <v>-2025</v>
      </c>
      <c r="AF31" s="66" t="n">
        <f aca="false">-Headcount!AF12*Inputs!$E$20*1</f>
        <v>-2025</v>
      </c>
      <c r="AG31" s="66" t="n">
        <f aca="false">-Headcount!AG12*Inputs!$E$20*1</f>
        <v>-2025</v>
      </c>
      <c r="AH31" s="66" t="n">
        <f aca="false">-Headcount!AH12*Inputs!$E$20*1</f>
        <v>-2025</v>
      </c>
      <c r="AI31" s="66" t="n">
        <f aca="false">-Headcount!AI12*Inputs!$E$20*1</f>
        <v>-2025</v>
      </c>
      <c r="AJ31" s="66" t="n">
        <f aca="false">-Headcount!AJ12*Inputs!$E$20*1</f>
        <v>-2025</v>
      </c>
      <c r="AK31" s="66" t="n">
        <f aca="false">-Headcount!AK12*Inputs!$E$20*1</f>
        <v>-2025</v>
      </c>
      <c r="AL31" s="66" t="n">
        <f aca="false">-Headcount!AL12*Inputs!$E$20*1</f>
        <v>-2025</v>
      </c>
      <c r="AM31" s="66" t="n">
        <f aca="false">-Headcount!AM12*Inputs!$E$20*1</f>
        <v>-3037.5</v>
      </c>
      <c r="AN31" s="66" t="n">
        <f aca="false">-Headcount!AN12*Inputs!$E$20*1</f>
        <v>-3037.5</v>
      </c>
      <c r="AO31" s="66" t="n">
        <f aca="false">-Headcount!AO12*Inputs!$E$20*1</f>
        <v>-3037.5</v>
      </c>
      <c r="AP31" s="66" t="n">
        <f aca="false">-Headcount!AP12*Inputs!$E$20*1</f>
        <v>-3037.5</v>
      </c>
      <c r="AQ31" s="66" t="n">
        <f aca="false">-Headcount!AQ12*Inputs!$E$20*1</f>
        <v>-3037.5</v>
      </c>
      <c r="AR31" s="66" t="n">
        <f aca="false">-Headcount!AR12*Inputs!$E$20*1</f>
        <v>-3037.5</v>
      </c>
      <c r="AS31" s="66" t="n">
        <f aca="false">-Headcount!AS12*Inputs!$E$20*1</f>
        <v>-3037.5</v>
      </c>
      <c r="AT31" s="66" t="n">
        <f aca="false">-Headcount!AT12*Inputs!$E$20*1</f>
        <v>-3037.5</v>
      </c>
      <c r="AU31" s="66" t="n">
        <f aca="false">-Headcount!AU12*Inputs!$E$20*1</f>
        <v>-3037.5</v>
      </c>
      <c r="AV31" s="66" t="n">
        <f aca="false">-Headcount!AV12*Inputs!$E$20*1</f>
        <v>-3037.5</v>
      </c>
      <c r="AW31" s="66" t="n">
        <f aca="false">-Headcount!AW12*Inputs!$E$20*1</f>
        <v>-3037.5</v>
      </c>
      <c r="AX31" s="66" t="n">
        <f aca="false">-Headcount!AX12*Inputs!$E$20*1</f>
        <v>-3037.5</v>
      </c>
      <c r="AY31" s="66" t="n">
        <f aca="false">-Headcount!AY12*Inputs!$E$20*1</f>
        <v>-4556.25</v>
      </c>
      <c r="AZ31" s="66" t="n">
        <f aca="false">-Headcount!AZ12*Inputs!$E$20*1</f>
        <v>-4556.25</v>
      </c>
      <c r="BA31" s="66" t="n">
        <f aca="false">-Headcount!BA12*Inputs!$E$20*1</f>
        <v>-4556.25</v>
      </c>
      <c r="BB31" s="66" t="n">
        <f aca="false">-Headcount!BB12*Inputs!$E$20*1</f>
        <v>-4556.25</v>
      </c>
      <c r="BC31" s="66" t="n">
        <f aca="false">-Headcount!BC12*Inputs!$E$20*1</f>
        <v>-4556.25</v>
      </c>
      <c r="BD31" s="66" t="n">
        <f aca="false">-Headcount!BD12*Inputs!$E$20*1</f>
        <v>-4556.25</v>
      </c>
      <c r="BE31" s="66" t="n">
        <f aca="false">-Headcount!BE12*Inputs!$E$20*1</f>
        <v>-4556.25</v>
      </c>
      <c r="BF31" s="66" t="n">
        <f aca="false">-Headcount!BF12*Inputs!$E$20*1</f>
        <v>-4556.25</v>
      </c>
      <c r="BG31" s="66" t="n">
        <f aca="false">-Headcount!BG12*Inputs!$E$20*1</f>
        <v>-4556.25</v>
      </c>
      <c r="BH31" s="66" t="n">
        <f aca="false">-Headcount!BH12*Inputs!$E$20*1</f>
        <v>-4556.25</v>
      </c>
      <c r="BI31" s="66" t="n">
        <f aca="false">-Headcount!BI12*Inputs!$E$20*1</f>
        <v>-4556.25</v>
      </c>
      <c r="BJ31" s="66" t="n">
        <f aca="false">-Headcount!BJ12*Inputs!$E$20*1</f>
        <v>-4556.25</v>
      </c>
    </row>
    <row r="32" customFormat="false" ht="15" hidden="false" customHeight="false" outlineLevel="0" collapsed="false">
      <c r="A32" s="6" t="s">
        <v>321</v>
      </c>
      <c r="C32" s="66" t="n">
        <f aca="false">-Inputs!$E$21*1</f>
        <v>-1500</v>
      </c>
      <c r="D32" s="66" t="n">
        <f aca="false">-Inputs!$E$21*1</f>
        <v>-1500</v>
      </c>
      <c r="E32" s="66" t="n">
        <f aca="false">-Inputs!$E$21*1</f>
        <v>-1500</v>
      </c>
      <c r="F32" s="66" t="n">
        <f aca="false">-Inputs!$E$21*1</f>
        <v>-1500</v>
      </c>
      <c r="G32" s="66" t="n">
        <f aca="false">-Inputs!$E$21*1</f>
        <v>-1500</v>
      </c>
      <c r="H32" s="66" t="n">
        <f aca="false">-Inputs!$E$21*1</f>
        <v>-1500</v>
      </c>
      <c r="I32" s="66" t="n">
        <f aca="false">-Inputs!$E$21*1</f>
        <v>-1500</v>
      </c>
      <c r="J32" s="66" t="n">
        <f aca="false">-Inputs!$E$21*1</f>
        <v>-1500</v>
      </c>
      <c r="K32" s="66" t="n">
        <f aca="false">-Inputs!$E$21*1</f>
        <v>-1500</v>
      </c>
      <c r="L32" s="66" t="n">
        <f aca="false">-Inputs!$E$21*1</f>
        <v>-1500</v>
      </c>
      <c r="M32" s="66" t="n">
        <f aca="false">-Inputs!$E$21*1</f>
        <v>-1500</v>
      </c>
      <c r="N32" s="66" t="n">
        <f aca="false">-Inputs!$E$21*1</f>
        <v>-1500</v>
      </c>
      <c r="O32" s="66" t="n">
        <f aca="false">-Inputs!$E$21*1</f>
        <v>-1500</v>
      </c>
      <c r="P32" s="66" t="n">
        <f aca="false">-Inputs!$E$21*1</f>
        <v>-1500</v>
      </c>
      <c r="Q32" s="66" t="n">
        <f aca="false">-Inputs!$E$21*1</f>
        <v>-1500</v>
      </c>
      <c r="R32" s="66" t="n">
        <f aca="false">-Inputs!$E$21*1</f>
        <v>-1500</v>
      </c>
      <c r="S32" s="66" t="n">
        <f aca="false">-Inputs!$E$21*1</f>
        <v>-1500</v>
      </c>
      <c r="T32" s="66" t="n">
        <f aca="false">-Inputs!$E$21*1</f>
        <v>-1500</v>
      </c>
      <c r="U32" s="66" t="n">
        <f aca="false">-Inputs!$E$21*1</f>
        <v>-1500</v>
      </c>
      <c r="V32" s="66" t="n">
        <f aca="false">-Inputs!$E$21*1</f>
        <v>-1500</v>
      </c>
      <c r="W32" s="66" t="n">
        <f aca="false">-Inputs!$E$21*1</f>
        <v>-1500</v>
      </c>
      <c r="X32" s="66" t="n">
        <f aca="false">-Inputs!$E$21*1</f>
        <v>-1500</v>
      </c>
      <c r="Y32" s="66" t="n">
        <f aca="false">-Inputs!$E$21*1</f>
        <v>-1500</v>
      </c>
      <c r="Z32" s="66" t="n">
        <f aca="false">-Inputs!$E$21*1</f>
        <v>-1500</v>
      </c>
      <c r="AA32" s="66" t="n">
        <f aca="false">-Inputs!$E$21*1</f>
        <v>-1500</v>
      </c>
      <c r="AB32" s="66" t="n">
        <f aca="false">-Inputs!$E$21*1</f>
        <v>-1500</v>
      </c>
      <c r="AC32" s="66" t="n">
        <f aca="false">-Inputs!$E$21*1</f>
        <v>-1500</v>
      </c>
      <c r="AD32" s="66" t="n">
        <f aca="false">-Inputs!$E$21*1</f>
        <v>-1500</v>
      </c>
      <c r="AE32" s="66" t="n">
        <f aca="false">-Inputs!$E$21*1</f>
        <v>-1500</v>
      </c>
      <c r="AF32" s="66" t="n">
        <f aca="false">-Inputs!$E$21*1</f>
        <v>-1500</v>
      </c>
      <c r="AG32" s="66" t="n">
        <f aca="false">-Inputs!$E$21*1</f>
        <v>-1500</v>
      </c>
      <c r="AH32" s="66" t="n">
        <f aca="false">-Inputs!$E$21*1</f>
        <v>-1500</v>
      </c>
      <c r="AI32" s="66" t="n">
        <f aca="false">-Inputs!$E$21*1</f>
        <v>-1500</v>
      </c>
      <c r="AJ32" s="66" t="n">
        <f aca="false">-Inputs!$E$21*1</f>
        <v>-1500</v>
      </c>
      <c r="AK32" s="66" t="n">
        <f aca="false">-Inputs!$E$21*1</f>
        <v>-1500</v>
      </c>
      <c r="AL32" s="66" t="n">
        <f aca="false">-Inputs!$E$21*1</f>
        <v>-1500</v>
      </c>
      <c r="AM32" s="66" t="n">
        <f aca="false">-Inputs!$E$21*1</f>
        <v>-1500</v>
      </c>
      <c r="AN32" s="66" t="n">
        <f aca="false">-Inputs!$E$21*1</f>
        <v>-1500</v>
      </c>
      <c r="AO32" s="66" t="n">
        <f aca="false">-Inputs!$E$21*1</f>
        <v>-1500</v>
      </c>
      <c r="AP32" s="66" t="n">
        <f aca="false">-Inputs!$E$21*1</f>
        <v>-1500</v>
      </c>
      <c r="AQ32" s="66" t="n">
        <f aca="false">-Inputs!$E$21*1</f>
        <v>-1500</v>
      </c>
      <c r="AR32" s="66" t="n">
        <f aca="false">-Inputs!$E$21*1</f>
        <v>-1500</v>
      </c>
      <c r="AS32" s="66" t="n">
        <f aca="false">-Inputs!$E$21*1</f>
        <v>-1500</v>
      </c>
      <c r="AT32" s="66" t="n">
        <f aca="false">-Inputs!$E$21*1</f>
        <v>-1500</v>
      </c>
      <c r="AU32" s="66" t="n">
        <f aca="false">-Inputs!$E$21*1</f>
        <v>-1500</v>
      </c>
      <c r="AV32" s="66" t="n">
        <f aca="false">-Inputs!$E$21*1</f>
        <v>-1500</v>
      </c>
      <c r="AW32" s="66" t="n">
        <f aca="false">-Inputs!$E$21*1</f>
        <v>-1500</v>
      </c>
      <c r="AX32" s="66" t="n">
        <f aca="false">-Inputs!$E$21*1</f>
        <v>-1500</v>
      </c>
      <c r="AY32" s="66" t="n">
        <f aca="false">-Inputs!$E$21*1</f>
        <v>-1500</v>
      </c>
      <c r="AZ32" s="66" t="n">
        <f aca="false">-Inputs!$E$21*1</f>
        <v>-1500</v>
      </c>
      <c r="BA32" s="66" t="n">
        <f aca="false">-Inputs!$E$21*1</f>
        <v>-1500</v>
      </c>
      <c r="BB32" s="66" t="n">
        <f aca="false">-Inputs!$E$21*1</f>
        <v>-1500</v>
      </c>
      <c r="BC32" s="66" t="n">
        <f aca="false">-Inputs!$E$21*1</f>
        <v>-1500</v>
      </c>
      <c r="BD32" s="66" t="n">
        <f aca="false">-Inputs!$E$21*1</f>
        <v>-1500</v>
      </c>
      <c r="BE32" s="66" t="n">
        <f aca="false">-Inputs!$E$21*1</f>
        <v>-1500</v>
      </c>
      <c r="BF32" s="66" t="n">
        <f aca="false">-Inputs!$E$21*1</f>
        <v>-1500</v>
      </c>
      <c r="BG32" s="66" t="n">
        <f aca="false">-Inputs!$E$21*1</f>
        <v>-1500</v>
      </c>
      <c r="BH32" s="66" t="n">
        <f aca="false">-Inputs!$E$21*1</f>
        <v>-1500</v>
      </c>
      <c r="BI32" s="66" t="n">
        <f aca="false">-Inputs!$E$21*1</f>
        <v>-1500</v>
      </c>
      <c r="BJ32" s="66" t="n">
        <f aca="false">-Inputs!$E$21*1</f>
        <v>-1500</v>
      </c>
    </row>
    <row r="33" customFormat="false" ht="15" hidden="false" customHeight="false" outlineLevel="0" collapsed="false">
      <c r="A33" s="6" t="s">
        <v>322</v>
      </c>
      <c r="C33" s="66" t="n">
        <f aca="false">-Inputs!$E$22*1</f>
        <v>-3000</v>
      </c>
      <c r="D33" s="66" t="n">
        <f aca="false">-Inputs!$E$22*1</f>
        <v>-3000</v>
      </c>
      <c r="E33" s="66" t="n">
        <f aca="false">-Inputs!$E$22*1</f>
        <v>-3000</v>
      </c>
      <c r="F33" s="66" t="n">
        <f aca="false">-Inputs!$E$22*1</f>
        <v>-3000</v>
      </c>
      <c r="G33" s="66" t="n">
        <f aca="false">-Inputs!$E$22*1</f>
        <v>-3000</v>
      </c>
      <c r="H33" s="66" t="n">
        <f aca="false">-Inputs!$E$22*1</f>
        <v>-3000</v>
      </c>
      <c r="I33" s="66" t="n">
        <f aca="false">-Inputs!$E$22*1</f>
        <v>-3000</v>
      </c>
      <c r="J33" s="66" t="n">
        <f aca="false">-Inputs!$E$22*1</f>
        <v>-3000</v>
      </c>
      <c r="K33" s="66" t="n">
        <f aca="false">-Inputs!$E$22*1</f>
        <v>-3000</v>
      </c>
      <c r="L33" s="66" t="n">
        <f aca="false">-Inputs!$E$22*1</f>
        <v>-3000</v>
      </c>
      <c r="M33" s="66" t="n">
        <f aca="false">-Inputs!$E$22*1</f>
        <v>-3000</v>
      </c>
      <c r="N33" s="66" t="n">
        <f aca="false">-Inputs!$E$22*1</f>
        <v>-3000</v>
      </c>
      <c r="O33" s="66" t="n">
        <f aca="false">-Inputs!$E$22*1</f>
        <v>-3000</v>
      </c>
      <c r="P33" s="66" t="n">
        <f aca="false">-Inputs!$E$22*1</f>
        <v>-3000</v>
      </c>
      <c r="Q33" s="66" t="n">
        <f aca="false">-Inputs!$E$22*1</f>
        <v>-3000</v>
      </c>
      <c r="R33" s="66" t="n">
        <f aca="false">-Inputs!$E$22*1</f>
        <v>-3000</v>
      </c>
      <c r="S33" s="66" t="n">
        <f aca="false">-Inputs!$E$22*1</f>
        <v>-3000</v>
      </c>
      <c r="T33" s="66" t="n">
        <f aca="false">-Inputs!$E$22*1</f>
        <v>-3000</v>
      </c>
      <c r="U33" s="66" t="n">
        <f aca="false">-Inputs!$E$22*1</f>
        <v>-3000</v>
      </c>
      <c r="V33" s="66" t="n">
        <f aca="false">-Inputs!$E$22*1</f>
        <v>-3000</v>
      </c>
      <c r="W33" s="66" t="n">
        <f aca="false">-Inputs!$E$22*1</f>
        <v>-3000</v>
      </c>
      <c r="X33" s="66" t="n">
        <f aca="false">-Inputs!$E$22*1</f>
        <v>-3000</v>
      </c>
      <c r="Y33" s="66" t="n">
        <f aca="false">-Inputs!$E$22*1</f>
        <v>-3000</v>
      </c>
      <c r="Z33" s="66" t="n">
        <f aca="false">-Inputs!$E$22*1</f>
        <v>-3000</v>
      </c>
      <c r="AA33" s="66" t="n">
        <f aca="false">-Inputs!$E$22*1</f>
        <v>-3000</v>
      </c>
      <c r="AB33" s="66" t="n">
        <f aca="false">-Inputs!$E$22*1</f>
        <v>-3000</v>
      </c>
      <c r="AC33" s="66" t="n">
        <f aca="false">-Inputs!$E$22*1</f>
        <v>-3000</v>
      </c>
      <c r="AD33" s="66" t="n">
        <f aca="false">-Inputs!$E$22*1</f>
        <v>-3000</v>
      </c>
      <c r="AE33" s="66" t="n">
        <f aca="false">-Inputs!$E$22*1</f>
        <v>-3000</v>
      </c>
      <c r="AF33" s="66" t="n">
        <f aca="false">-Inputs!$E$22*1</f>
        <v>-3000</v>
      </c>
      <c r="AG33" s="66" t="n">
        <f aca="false">-Inputs!$E$22*1</f>
        <v>-3000</v>
      </c>
      <c r="AH33" s="66" t="n">
        <f aca="false">-Inputs!$E$22*1</f>
        <v>-3000</v>
      </c>
      <c r="AI33" s="66" t="n">
        <f aca="false">-Inputs!$E$22*1</f>
        <v>-3000</v>
      </c>
      <c r="AJ33" s="66" t="n">
        <f aca="false">-Inputs!$E$22*1</f>
        <v>-3000</v>
      </c>
      <c r="AK33" s="66" t="n">
        <f aca="false">-Inputs!$E$22*1</f>
        <v>-3000</v>
      </c>
      <c r="AL33" s="66" t="n">
        <f aca="false">-Inputs!$E$22*1</f>
        <v>-3000</v>
      </c>
      <c r="AM33" s="66" t="n">
        <f aca="false">-Inputs!$E$22*1</f>
        <v>-3000</v>
      </c>
      <c r="AN33" s="66" t="n">
        <f aca="false">-Inputs!$E$22*1</f>
        <v>-3000</v>
      </c>
      <c r="AO33" s="66" t="n">
        <f aca="false">-Inputs!$E$22*1</f>
        <v>-3000</v>
      </c>
      <c r="AP33" s="66" t="n">
        <f aca="false">-Inputs!$E$22*1</f>
        <v>-3000</v>
      </c>
      <c r="AQ33" s="66" t="n">
        <f aca="false">-Inputs!$E$22*1</f>
        <v>-3000</v>
      </c>
      <c r="AR33" s="66" t="n">
        <f aca="false">-Inputs!$E$22*1</f>
        <v>-3000</v>
      </c>
      <c r="AS33" s="66" t="n">
        <f aca="false">-Inputs!$E$22*1</f>
        <v>-3000</v>
      </c>
      <c r="AT33" s="66" t="n">
        <f aca="false">-Inputs!$E$22*1</f>
        <v>-3000</v>
      </c>
      <c r="AU33" s="66" t="n">
        <f aca="false">-Inputs!$E$22*1</f>
        <v>-3000</v>
      </c>
      <c r="AV33" s="66" t="n">
        <f aca="false">-Inputs!$E$22*1</f>
        <v>-3000</v>
      </c>
      <c r="AW33" s="66" t="n">
        <f aca="false">-Inputs!$E$22*1</f>
        <v>-3000</v>
      </c>
      <c r="AX33" s="66" t="n">
        <f aca="false">-Inputs!$E$22*1</f>
        <v>-3000</v>
      </c>
      <c r="AY33" s="66" t="n">
        <f aca="false">-Inputs!$E$22*1</f>
        <v>-3000</v>
      </c>
      <c r="AZ33" s="66" t="n">
        <f aca="false">-Inputs!$E$22*1</f>
        <v>-3000</v>
      </c>
      <c r="BA33" s="66" t="n">
        <f aca="false">-Inputs!$E$22*1</f>
        <v>-3000</v>
      </c>
      <c r="BB33" s="66" t="n">
        <f aca="false">-Inputs!$E$22*1</f>
        <v>-3000</v>
      </c>
      <c r="BC33" s="66" t="n">
        <f aca="false">-Inputs!$E$22*1</f>
        <v>-3000</v>
      </c>
      <c r="BD33" s="66" t="n">
        <f aca="false">-Inputs!$E$22*1</f>
        <v>-3000</v>
      </c>
      <c r="BE33" s="66" t="n">
        <f aca="false">-Inputs!$E$22*1</f>
        <v>-3000</v>
      </c>
      <c r="BF33" s="66" t="n">
        <f aca="false">-Inputs!$E$22*1</f>
        <v>-3000</v>
      </c>
      <c r="BG33" s="66" t="n">
        <f aca="false">-Inputs!$E$22*1</f>
        <v>-3000</v>
      </c>
      <c r="BH33" s="66" t="n">
        <f aca="false">-Inputs!$E$22*1</f>
        <v>-3000</v>
      </c>
      <c r="BI33" s="66" t="n">
        <f aca="false">-Inputs!$E$22*1</f>
        <v>-3000</v>
      </c>
      <c r="BJ33" s="66" t="n">
        <f aca="false">-Inputs!$E$22*1</f>
        <v>-3000</v>
      </c>
    </row>
    <row r="34" customFormat="false" ht="15" hidden="false" customHeight="false" outlineLevel="0" collapsed="false">
      <c r="A34" s="111" t="s">
        <v>76</v>
      </c>
      <c r="C34" s="67" t="n">
        <f aca="false">C29+C30+C31+C32+C33</f>
        <v>-75150</v>
      </c>
      <c r="D34" s="67" t="n">
        <f aca="false">D29+D30+D31+D32+D33</f>
        <v>-75150</v>
      </c>
      <c r="E34" s="67" t="n">
        <f aca="false">E29+E30+E31+E32+E33</f>
        <v>-75150</v>
      </c>
      <c r="F34" s="67" t="n">
        <f aca="false">F29+F30+F31+F32+F33</f>
        <v>-75150</v>
      </c>
      <c r="G34" s="67" t="n">
        <f aca="false">G29+G30+G31+G32+G33</f>
        <v>-75150</v>
      </c>
      <c r="H34" s="67" t="n">
        <f aca="false">H29+H30+H31+H32+H33</f>
        <v>-75150</v>
      </c>
      <c r="I34" s="67" t="n">
        <f aca="false">I29+I30+I31+I32+I33</f>
        <v>-75150</v>
      </c>
      <c r="J34" s="67" t="n">
        <f aca="false">J29+J30+J31+J32+J33</f>
        <v>-75150</v>
      </c>
      <c r="K34" s="67" t="n">
        <f aca="false">K29+K30+K31+K32+K33</f>
        <v>-75150</v>
      </c>
      <c r="L34" s="67" t="n">
        <f aca="false">L29+L30+L31+L32+L33</f>
        <v>-75150</v>
      </c>
      <c r="M34" s="67" t="n">
        <f aca="false">M29+M30+M31+M32+M33</f>
        <v>-75150</v>
      </c>
      <c r="N34" s="67" t="n">
        <f aca="false">N29+N30+N31+N32+N33</f>
        <v>-75150</v>
      </c>
      <c r="O34" s="67" t="n">
        <f aca="false">O29+O30+O31+O32+O33</f>
        <v>-111780</v>
      </c>
      <c r="P34" s="67" t="n">
        <f aca="false">P29+P30+P31+P32+P33</f>
        <v>-111780</v>
      </c>
      <c r="Q34" s="67" t="n">
        <f aca="false">Q29+Q30+Q31+Q32+Q33</f>
        <v>-111780</v>
      </c>
      <c r="R34" s="67" t="n">
        <f aca="false">R29+R30+R31+R32+R33</f>
        <v>-111780</v>
      </c>
      <c r="S34" s="67" t="n">
        <f aca="false">S29+S30+S31+S32+S33</f>
        <v>-111780</v>
      </c>
      <c r="T34" s="67" t="n">
        <f aca="false">T29+T30+T31+T32+T33</f>
        <v>-111780</v>
      </c>
      <c r="U34" s="67" t="n">
        <f aca="false">U29+U30+U31+U32+U33</f>
        <v>-111780</v>
      </c>
      <c r="V34" s="67" t="n">
        <f aca="false">V29+V30+V31+V32+V33</f>
        <v>-111780</v>
      </c>
      <c r="W34" s="67" t="n">
        <f aca="false">W29+W30+W31+W32+W33</f>
        <v>-111780</v>
      </c>
      <c r="X34" s="67" t="n">
        <f aca="false">X29+X30+X31+X32+X33</f>
        <v>-111780</v>
      </c>
      <c r="Y34" s="67" t="n">
        <f aca="false">Y29+Y30+Y31+Y32+Y33</f>
        <v>-111780</v>
      </c>
      <c r="Z34" s="67" t="n">
        <f aca="false">Z29+Z30+Z31+Z32+Z33</f>
        <v>-111780</v>
      </c>
      <c r="AA34" s="67" t="n">
        <f aca="false">AA29+AA30+AA31+AA32+AA33</f>
        <v>-168319.8</v>
      </c>
      <c r="AB34" s="67" t="n">
        <f aca="false">AB29+AB30+AB31+AB32+AB33</f>
        <v>-168319.8</v>
      </c>
      <c r="AC34" s="67" t="n">
        <f aca="false">AC29+AC30+AC31+AC32+AC33</f>
        <v>-168319.8</v>
      </c>
      <c r="AD34" s="67" t="n">
        <f aca="false">AD29+AD30+AD31+AD32+AD33</f>
        <v>-168319.8</v>
      </c>
      <c r="AE34" s="67" t="n">
        <f aca="false">AE29+AE30+AE31+AE32+AE33</f>
        <v>-168319.8</v>
      </c>
      <c r="AF34" s="67" t="n">
        <f aca="false">AF29+AF30+AF31+AF32+AF33</f>
        <v>-168319.8</v>
      </c>
      <c r="AG34" s="67" t="n">
        <f aca="false">AG29+AG30+AG31+AG32+AG33</f>
        <v>-168319.8</v>
      </c>
      <c r="AH34" s="67" t="n">
        <f aca="false">AH29+AH30+AH31+AH32+AH33</f>
        <v>-168319.8</v>
      </c>
      <c r="AI34" s="67" t="n">
        <f aca="false">AI29+AI30+AI31+AI32+AI33</f>
        <v>-168319.8</v>
      </c>
      <c r="AJ34" s="67" t="n">
        <f aca="false">AJ29+AJ30+AJ31+AJ32+AJ33</f>
        <v>-168319.8</v>
      </c>
      <c r="AK34" s="67" t="n">
        <f aca="false">AK29+AK30+AK31+AK32+AK33</f>
        <v>-168319.8</v>
      </c>
      <c r="AL34" s="67" t="n">
        <f aca="false">AL29+AL30+AL31+AL32+AL33</f>
        <v>-168319.8</v>
      </c>
      <c r="AM34" s="67" t="n">
        <f aca="false">AM29+AM30+AM31+AM32+AM33</f>
        <v>-255790.188</v>
      </c>
      <c r="AN34" s="67" t="n">
        <f aca="false">AN29+AN30+AN31+AN32+AN33</f>
        <v>-255790.188</v>
      </c>
      <c r="AO34" s="67" t="n">
        <f aca="false">AO29+AO30+AO31+AO32+AO33</f>
        <v>-255790.188</v>
      </c>
      <c r="AP34" s="67" t="n">
        <f aca="false">AP29+AP30+AP31+AP32+AP33</f>
        <v>-255790.188</v>
      </c>
      <c r="AQ34" s="67" t="n">
        <f aca="false">AQ29+AQ30+AQ31+AQ32+AQ33</f>
        <v>-255790.188</v>
      </c>
      <c r="AR34" s="67" t="n">
        <f aca="false">AR29+AR30+AR31+AR32+AR33</f>
        <v>-255790.188</v>
      </c>
      <c r="AS34" s="67" t="n">
        <f aca="false">AS29+AS30+AS31+AS32+AS33</f>
        <v>-255790.188</v>
      </c>
      <c r="AT34" s="67" t="n">
        <f aca="false">AT29+AT30+AT31+AT32+AT33</f>
        <v>-255790.188</v>
      </c>
      <c r="AU34" s="67" t="n">
        <f aca="false">AU29+AU30+AU31+AU32+AU33</f>
        <v>-255790.188</v>
      </c>
      <c r="AV34" s="67" t="n">
        <f aca="false">AV29+AV30+AV31+AV32+AV33</f>
        <v>-255790.188</v>
      </c>
      <c r="AW34" s="67" t="n">
        <f aca="false">AW29+AW30+AW31+AW32+AW33</f>
        <v>-255790.188</v>
      </c>
      <c r="AX34" s="67" t="n">
        <f aca="false">AX29+AX30+AX31+AX32+AX33</f>
        <v>-255790.188</v>
      </c>
      <c r="AY34" s="67" t="n">
        <f aca="false">AY29+AY30+AY31+AY32+AY33</f>
        <v>-391353.80328</v>
      </c>
      <c r="AZ34" s="67" t="n">
        <f aca="false">AZ29+AZ30+AZ31+AZ32+AZ33</f>
        <v>-391353.80328</v>
      </c>
      <c r="BA34" s="67" t="n">
        <f aca="false">BA29+BA30+BA31+BA32+BA33</f>
        <v>-391353.80328</v>
      </c>
      <c r="BB34" s="67" t="n">
        <f aca="false">BB29+BB30+BB31+BB32+BB33</f>
        <v>-391353.80328</v>
      </c>
      <c r="BC34" s="67" t="n">
        <f aca="false">BC29+BC30+BC31+BC32+BC33</f>
        <v>-391353.80328</v>
      </c>
      <c r="BD34" s="67" t="n">
        <f aca="false">BD29+BD30+BD31+BD32+BD33</f>
        <v>-391353.80328</v>
      </c>
      <c r="BE34" s="67" t="n">
        <f aca="false">BE29+BE30+BE31+BE32+BE33</f>
        <v>-391353.80328</v>
      </c>
      <c r="BF34" s="67" t="n">
        <f aca="false">BF29+BF30+BF31+BF32+BF33</f>
        <v>-391353.80328</v>
      </c>
      <c r="BG34" s="67" t="n">
        <f aca="false">BG29+BG30+BG31+BG32+BG33</f>
        <v>-391353.80328</v>
      </c>
      <c r="BH34" s="67" t="n">
        <f aca="false">BH29+BH30+BH31+BH32+BH33</f>
        <v>-391353.80328</v>
      </c>
      <c r="BI34" s="67" t="n">
        <f aca="false">BI29+BI30+BI31+BI32+BI33</f>
        <v>-391353.80328</v>
      </c>
      <c r="BJ34" s="67" t="n">
        <f aca="false">BJ29+BJ30+BJ31+BJ32+BJ33</f>
        <v>-391353.80328</v>
      </c>
    </row>
    <row r="35" customFormat="false" ht="15" hidden="false" customHeight="false" outlineLevel="0" collapsed="false">
      <c r="A35" s="111" t="s">
        <v>48</v>
      </c>
      <c r="C35" s="67" t="n">
        <f aca="false">C26+C34</f>
        <v>-71272.6902777778</v>
      </c>
      <c r="D35" s="67" t="n">
        <f aca="false">D26+D34</f>
        <v>-68775.5341875</v>
      </c>
      <c r="E35" s="67" t="n">
        <f aca="false">E26+E34</f>
        <v>-66340.5225533681</v>
      </c>
      <c r="F35" s="67" t="n">
        <f aca="false">F26+F34</f>
        <v>-63966.1102973616</v>
      </c>
      <c r="G35" s="67" t="n">
        <f aca="false">G26+G34</f>
        <v>-61650.7907124094</v>
      </c>
      <c r="H35" s="67" t="n">
        <f aca="false">H26+H34</f>
        <v>-59393.0945107955</v>
      </c>
      <c r="I35" s="67" t="n">
        <f aca="false">I26+I34</f>
        <v>-57191.5888961248</v>
      </c>
      <c r="J35" s="67" t="n">
        <f aca="false">J26+J34</f>
        <v>-55044.8766582669</v>
      </c>
      <c r="K35" s="67" t="n">
        <f aca="false">K26+K34</f>
        <v>-52951.5952907079</v>
      </c>
      <c r="L35" s="67" t="n">
        <f aca="false">L26+L34</f>
        <v>-50910.4161297599</v>
      </c>
      <c r="M35" s="67" t="n">
        <f aca="false">M26+M34</f>
        <v>-48920.0435150849</v>
      </c>
      <c r="N35" s="67" t="n">
        <f aca="false">N26+N34</f>
        <v>-46979.2139710086</v>
      </c>
      <c r="O35" s="67" t="n">
        <f aca="false">O26+O34</f>
        <v>-81355.7095636645</v>
      </c>
      <c r="P35" s="67" t="n">
        <f aca="false">P26+P34</f>
        <v>-78797.3176795795</v>
      </c>
      <c r="Q35" s="67" t="n">
        <f aca="false">Q26+Q34</f>
        <v>-76302.6177496131</v>
      </c>
      <c r="R35" s="67" t="n">
        <f aca="false">R26+R34</f>
        <v>-73870.0255102018</v>
      </c>
      <c r="S35" s="67" t="n">
        <f aca="false">S26+S34</f>
        <v>-71497.9960633127</v>
      </c>
      <c r="T35" s="67" t="n">
        <f aca="false">T26+T34</f>
        <v>-69185.0228995364</v>
      </c>
      <c r="U35" s="67" t="n">
        <f aca="false">U26+U34</f>
        <v>-66929.636945387</v>
      </c>
      <c r="V35" s="67" t="n">
        <f aca="false">V26+V34</f>
        <v>-64730.4056342078</v>
      </c>
      <c r="W35" s="67" t="n">
        <f aca="false">W26+W34</f>
        <v>-62585.9320001011</v>
      </c>
      <c r="X35" s="67" t="n">
        <f aca="false">X26+X34</f>
        <v>-60494.8537943113</v>
      </c>
      <c r="Y35" s="67" t="n">
        <f aca="false">Y26+Y34</f>
        <v>-58455.8426235065</v>
      </c>
      <c r="Z35" s="67" t="n">
        <f aca="false">Z26+Z34</f>
        <v>-56467.6031094169</v>
      </c>
      <c r="AA35" s="67" t="n">
        <f aca="false">AA26+AA34</f>
        <v>-110603.929337368</v>
      </c>
      <c r="AB35" s="67" t="n">
        <f aca="false">AB26+AB34</f>
        <v>-107795.563355892</v>
      </c>
      <c r="AC35" s="67" t="n">
        <f aca="false">AC26+AC34</f>
        <v>-105057.132558478</v>
      </c>
      <c r="AD35" s="67" t="n">
        <f aca="false">AD26+AD34</f>
        <v>-102386.896784488</v>
      </c>
      <c r="AE35" s="67" t="n">
        <f aca="false">AE26+AE34</f>
        <v>-99783.1591307335</v>
      </c>
      <c r="AF35" s="67" t="n">
        <f aca="false">AF26+AF34</f>
        <v>-97244.2648774309</v>
      </c>
      <c r="AG35" s="67" t="n">
        <f aca="false">AG26+AG34</f>
        <v>-94768.6004407959</v>
      </c>
      <c r="AH35" s="67" t="n">
        <f aca="false">AH26+AH34</f>
        <v>-92354.5923516018</v>
      </c>
      <c r="AI35" s="67" t="n">
        <f aca="false">AI26+AI34</f>
        <v>-90000.7062590667</v>
      </c>
      <c r="AJ35" s="67" t="n">
        <f aca="false">AJ26+AJ34</f>
        <v>-87705.4459594414</v>
      </c>
      <c r="AK35" s="67" t="n">
        <f aca="false">AK26+AK34</f>
        <v>-85467.3524486851</v>
      </c>
      <c r="AL35" s="67" t="n">
        <f aca="false">AL26+AL34</f>
        <v>-83285.0029986349</v>
      </c>
      <c r="AM35" s="67" t="n">
        <f aca="false">AM26+AM34</f>
        <v>-168028.127544256</v>
      </c>
      <c r="AN35" s="67" t="n">
        <f aca="false">AN26+AN34</f>
        <v>-164769.522976518</v>
      </c>
      <c r="AO35" s="67" t="n">
        <f aca="false">AO26+AO34</f>
        <v>-161592.083074722</v>
      </c>
      <c r="AP35" s="67" t="n">
        <f aca="false">AP26+AP34</f>
        <v>-158493.787735666</v>
      </c>
      <c r="AQ35" s="67" t="n">
        <f aca="false">AQ26+AQ34</f>
        <v>-155472.667088327</v>
      </c>
      <c r="AR35" s="67" t="n">
        <f aca="false">AR26+AR34</f>
        <v>-152526.800246164</v>
      </c>
      <c r="AS35" s="67" t="n">
        <f aca="false">AS26+AS34</f>
        <v>-149654.314090378</v>
      </c>
      <c r="AT35" s="67" t="n">
        <f aca="false">AT26+AT34</f>
        <v>-146853.382083349</v>
      </c>
      <c r="AU35" s="67" t="n">
        <f aca="false">AU26+AU34</f>
        <v>-144122.223111514</v>
      </c>
      <c r="AV35" s="67" t="n">
        <f aca="false">AV26+AV34</f>
        <v>-141459.100356941</v>
      </c>
      <c r="AW35" s="67" t="n">
        <f aca="false">AW26+AW34</f>
        <v>-138862.320196911</v>
      </c>
      <c r="AX35" s="67" t="n">
        <f aca="false">AX26+AX34</f>
        <v>-136330.231130788</v>
      </c>
      <c r="AY35" s="67" t="n">
        <f aca="false">AY26+AY34</f>
        <v>-268650.876680009</v>
      </c>
      <c r="AZ35" s="67" t="n">
        <f aca="false">AZ26+AZ34</f>
        <v>-264714.734681923</v>
      </c>
      <c r="BA35" s="67" t="n">
        <f aca="false">BA26+BA34</f>
        <v>-260876.649346045</v>
      </c>
      <c r="BB35" s="67" t="n">
        <f aca="false">BB26+BB34</f>
        <v>-257134.179662452</v>
      </c>
      <c r="BC35" s="67" t="n">
        <f aca="false">BC26+BC34</f>
        <v>-253484.94533427</v>
      </c>
      <c r="BD35" s="67" t="n">
        <f aca="false">BD26+BD34</f>
        <v>-249926.625269214</v>
      </c>
      <c r="BE35" s="67" t="n">
        <f aca="false">BE26+BE34</f>
        <v>-246456.956108559</v>
      </c>
      <c r="BF35" s="67" t="n">
        <f aca="false">BF26+BF34</f>
        <v>-243073.73079261</v>
      </c>
      <c r="BG35" s="67" t="n">
        <f aca="false">BG26+BG34</f>
        <v>-239774.797161781</v>
      </c>
      <c r="BH35" s="67" t="n">
        <f aca="false">BH26+BH34</f>
        <v>-236558.056592375</v>
      </c>
      <c r="BI35" s="67" t="n">
        <f aca="false">BI26+BI34</f>
        <v>-233421.462666239</v>
      </c>
      <c r="BJ35" s="67" t="n">
        <f aca="false">BJ26+BJ34</f>
        <v>-230363.019873419</v>
      </c>
    </row>
    <row r="37" customFormat="false" ht="15.75" hidden="false" customHeight="true" outlineLevel="0" collapsed="false">
      <c r="A37" s="7" t="s">
        <v>410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</row>
    <row r="38" customFormat="false" ht="15" hidden="false" customHeight="false" outlineLevel="0" collapsed="false">
      <c r="A38" s="4" t="s">
        <v>78</v>
      </c>
      <c r="C38" s="72" t="n">
        <f aca="false">C35+C49</f>
        <v>-71828.2458333333</v>
      </c>
      <c r="D38" s="72" t="n">
        <f aca="false">D35+D49</f>
        <v>-69331.0897430556</v>
      </c>
      <c r="E38" s="72" t="n">
        <f aca="false">E35+E49</f>
        <v>-66896.0781089236</v>
      </c>
      <c r="F38" s="72" t="n">
        <f aca="false">F35+F49</f>
        <v>-64521.6658529172</v>
      </c>
      <c r="G38" s="72" t="n">
        <f aca="false">G35+G49</f>
        <v>-62206.346267965</v>
      </c>
      <c r="H38" s="72" t="n">
        <f aca="false">H35+H49</f>
        <v>-59948.650066351</v>
      </c>
      <c r="I38" s="72" t="n">
        <f aca="false">I35+I49</f>
        <v>-57747.1444516804</v>
      </c>
      <c r="J38" s="72" t="n">
        <f aca="false">J35+J49</f>
        <v>-55600.4322138224</v>
      </c>
      <c r="K38" s="72" t="n">
        <f aca="false">K35+K49</f>
        <v>-53507.1508462635</v>
      </c>
      <c r="L38" s="72" t="n">
        <f aca="false">L35+L49</f>
        <v>-51465.9716853155</v>
      </c>
      <c r="M38" s="72" t="n">
        <f aca="false">M35+M49</f>
        <v>-49475.5990706404</v>
      </c>
      <c r="N38" s="72" t="n">
        <f aca="false">N35+N49</f>
        <v>-47534.7695265641</v>
      </c>
      <c r="O38" s="72" t="n">
        <f aca="false">O35+O49</f>
        <v>-81911.2651192201</v>
      </c>
      <c r="P38" s="72" t="n">
        <f aca="false">P35+P49</f>
        <v>-79352.8732351351</v>
      </c>
      <c r="Q38" s="72" t="n">
        <f aca="false">Q35+Q49</f>
        <v>-76858.1733051687</v>
      </c>
      <c r="R38" s="72" t="n">
        <f aca="false">R35+R49</f>
        <v>-74425.5810657574</v>
      </c>
      <c r="S38" s="72" t="n">
        <f aca="false">S35+S49</f>
        <v>-72053.5516188682</v>
      </c>
      <c r="T38" s="72" t="n">
        <f aca="false">T35+T49</f>
        <v>-69740.5784550919</v>
      </c>
      <c r="U38" s="72" t="n">
        <f aca="false">U35+U49</f>
        <v>-67485.1925009425</v>
      </c>
      <c r="V38" s="72" t="n">
        <f aca="false">V35+V49</f>
        <v>-65285.9611897633</v>
      </c>
      <c r="W38" s="72" t="n">
        <f aca="false">W35+W49</f>
        <v>-63141.4875556567</v>
      </c>
      <c r="X38" s="72" t="n">
        <f aca="false">X35+X49</f>
        <v>-61050.4093498668</v>
      </c>
      <c r="Y38" s="72" t="n">
        <f aca="false">Y35+Y49</f>
        <v>-59011.3981790621</v>
      </c>
      <c r="Z38" s="72" t="n">
        <f aca="false">Z35+Z49</f>
        <v>-57023.1586649725</v>
      </c>
      <c r="AA38" s="72" t="n">
        <f aca="false">AA35+AA49</f>
        <v>-111159.484892924</v>
      </c>
      <c r="AB38" s="72" t="n">
        <f aca="false">AB35+AB49</f>
        <v>-108351.118911447</v>
      </c>
      <c r="AC38" s="72" t="n">
        <f aca="false">AC35+AC49</f>
        <v>-105612.688114033</v>
      </c>
      <c r="AD38" s="72" t="n">
        <f aca="false">AD35+AD49</f>
        <v>-102942.452340044</v>
      </c>
      <c r="AE38" s="72" t="n">
        <f aca="false">AE35+AE49</f>
        <v>-100338.714686289</v>
      </c>
      <c r="AF38" s="72" t="n">
        <f aca="false">AF35+AF49</f>
        <v>-97799.8204329865</v>
      </c>
      <c r="AG38" s="72" t="n">
        <f aca="false">AG35+AG49</f>
        <v>-95324.1559963515</v>
      </c>
      <c r="AH38" s="72" t="n">
        <f aca="false">AH35+AH49</f>
        <v>-92910.1479071573</v>
      </c>
      <c r="AI38" s="72" t="n">
        <f aca="false">AI35+AI49</f>
        <v>-90556.2618146223</v>
      </c>
      <c r="AJ38" s="72" t="n">
        <f aca="false">AJ35+AJ49</f>
        <v>-88261.0015149969</v>
      </c>
      <c r="AK38" s="72" t="n">
        <f aca="false">AK35+AK49</f>
        <v>-86022.9080042407</v>
      </c>
      <c r="AL38" s="72" t="n">
        <f aca="false">AL35+AL49</f>
        <v>-83840.5585541905</v>
      </c>
      <c r="AM38" s="72" t="n">
        <f aca="false">AM35+AM49</f>
        <v>-168028.127544256</v>
      </c>
      <c r="AN38" s="72" t="n">
        <f aca="false">AN35+AN49</f>
        <v>-164769.522976518</v>
      </c>
      <c r="AO38" s="72" t="n">
        <f aca="false">AO35+AO49</f>
        <v>-161592.083074722</v>
      </c>
      <c r="AP38" s="72" t="n">
        <f aca="false">AP35+AP49</f>
        <v>-158493.787735666</v>
      </c>
      <c r="AQ38" s="72" t="n">
        <f aca="false">AQ35+AQ49</f>
        <v>-155472.667088327</v>
      </c>
      <c r="AR38" s="72" t="n">
        <f aca="false">AR35+AR49</f>
        <v>-152526.800246164</v>
      </c>
      <c r="AS38" s="72" t="n">
        <f aca="false">AS35+AS49</f>
        <v>-149654.314090378</v>
      </c>
      <c r="AT38" s="72" t="n">
        <f aca="false">AT35+AT49</f>
        <v>-146853.382083349</v>
      </c>
      <c r="AU38" s="72" t="n">
        <f aca="false">AU35+AU49</f>
        <v>-144122.223111514</v>
      </c>
      <c r="AV38" s="72" t="n">
        <f aca="false">AV35+AV49</f>
        <v>-141459.100356941</v>
      </c>
      <c r="AW38" s="72" t="n">
        <f aca="false">AW35+AW49</f>
        <v>-138862.320196911</v>
      </c>
      <c r="AX38" s="72" t="n">
        <f aca="false">AX35+AX49</f>
        <v>-136330.231130788</v>
      </c>
      <c r="AY38" s="72" t="n">
        <f aca="false">AY35+AY49</f>
        <v>-268650.876680009</v>
      </c>
      <c r="AZ38" s="72" t="n">
        <f aca="false">AZ35+AZ49</f>
        <v>-264714.734681923</v>
      </c>
      <c r="BA38" s="72" t="n">
        <f aca="false">BA35+BA49</f>
        <v>-260876.649346045</v>
      </c>
      <c r="BB38" s="72" t="n">
        <f aca="false">BB35+BB49</f>
        <v>-257134.179662452</v>
      </c>
      <c r="BC38" s="72" t="n">
        <f aca="false">BC35+BC49</f>
        <v>-253484.94533427</v>
      </c>
      <c r="BD38" s="72" t="n">
        <f aca="false">BD35+BD49</f>
        <v>-249926.625269214</v>
      </c>
      <c r="BE38" s="72" t="n">
        <f aca="false">BE35+BE49</f>
        <v>-246456.956108559</v>
      </c>
      <c r="BF38" s="72" t="n">
        <f aca="false">BF35+BF49</f>
        <v>-243073.73079261</v>
      </c>
      <c r="BG38" s="72" t="n">
        <f aca="false">BG35+BG49</f>
        <v>-239774.797161781</v>
      </c>
      <c r="BH38" s="72" t="n">
        <f aca="false">BH35+BH49</f>
        <v>-236558.056592375</v>
      </c>
      <c r="BI38" s="72" t="n">
        <f aca="false">BI35+BI49</f>
        <v>-233421.462666239</v>
      </c>
      <c r="BJ38" s="72" t="n">
        <f aca="false">BJ35+BJ49</f>
        <v>-230363.019873419</v>
      </c>
    </row>
    <row r="39" customFormat="false" ht="15" hidden="false" customHeight="false" outlineLevel="0" collapsed="false">
      <c r="A39" s="6" t="s">
        <v>411</v>
      </c>
      <c r="C39" s="66" t="n">
        <f aca="false">-(C54+C55+C57)/2*Inputs!$E$48/12</f>
        <v>-0</v>
      </c>
      <c r="D39" s="66" t="n">
        <f aca="false">-(D54+D55+D57)/2*Inputs!$E$48/12</f>
        <v>-0</v>
      </c>
      <c r="E39" s="66" t="n">
        <f aca="false">-(E54+E55+E57)/2*Inputs!$E$48/12</f>
        <v>-0</v>
      </c>
      <c r="F39" s="66" t="n">
        <f aca="false">-(F54+F55+F57)/2*Inputs!$E$48/12</f>
        <v>-0</v>
      </c>
      <c r="G39" s="66" t="n">
        <f aca="false">-(G54+G55+G57)/2*Inputs!$E$48/12</f>
        <v>-0</v>
      </c>
      <c r="H39" s="66" t="n">
        <f aca="false">-(H54+H55+H57)/2*Inputs!$E$48/12</f>
        <v>-0</v>
      </c>
      <c r="I39" s="66" t="n">
        <f aca="false">-(I54+I55+I57)/2*Inputs!$E$48/12</f>
        <v>-0</v>
      </c>
      <c r="J39" s="66" t="n">
        <f aca="false">-(J54+J55+J57)/2*Inputs!$E$48/12</f>
        <v>-0</v>
      </c>
      <c r="K39" s="66" t="n">
        <f aca="false">-(K54+K55+K57)/2*Inputs!$E$48/12</f>
        <v>-0</v>
      </c>
      <c r="L39" s="66" t="n">
        <f aca="false">-(L54+L55+L57)/2*Inputs!$E$48/12</f>
        <v>-0</v>
      </c>
      <c r="M39" s="66" t="n">
        <f aca="false">-(M54+M55+M57)/2*Inputs!$E$48/12</f>
        <v>-0</v>
      </c>
      <c r="N39" s="66" t="n">
        <f aca="false">-(N54+N55+N57)/2*Inputs!$E$48/12</f>
        <v>-0</v>
      </c>
      <c r="O39" s="66" t="n">
        <f aca="false">-(O54+O55+O57)/2*Inputs!$E$48/12</f>
        <v>-0</v>
      </c>
      <c r="P39" s="66" t="n">
        <f aca="false">-(P54+P55+P57)/2*Inputs!$E$48/12</f>
        <v>-0</v>
      </c>
      <c r="Q39" s="66" t="n">
        <f aca="false">-(Q54+Q55+Q57)/2*Inputs!$E$48/12</f>
        <v>-0</v>
      </c>
      <c r="R39" s="66" t="n">
        <f aca="false">-(R54+R55+R57)/2*Inputs!$E$48/12</f>
        <v>-0</v>
      </c>
      <c r="S39" s="66" t="n">
        <f aca="false">-(S54+S55+S57)/2*Inputs!$E$48/12</f>
        <v>-0</v>
      </c>
      <c r="T39" s="66" t="n">
        <f aca="false">-(T54+T55+T57)/2*Inputs!$E$48/12</f>
        <v>-0</v>
      </c>
      <c r="U39" s="66" t="n">
        <f aca="false">-(U54+U55+U57)/2*Inputs!$E$48/12</f>
        <v>-0</v>
      </c>
      <c r="V39" s="66" t="n">
        <f aca="false">-(V54+V55+V57)/2*Inputs!$E$48/12</f>
        <v>-0</v>
      </c>
      <c r="W39" s="66" t="n">
        <f aca="false">-(W54+W55+W57)/2*Inputs!$E$48/12</f>
        <v>-0</v>
      </c>
      <c r="X39" s="66" t="n">
        <f aca="false">-(X54+X55+X57)/2*Inputs!$E$48/12</f>
        <v>-0</v>
      </c>
      <c r="Y39" s="66" t="n">
        <f aca="false">-(Y54+Y55+Y57)/2*Inputs!$E$48/12</f>
        <v>-0</v>
      </c>
      <c r="Z39" s="66" t="n">
        <f aca="false">-(Z54+Z55+Z57)/2*Inputs!$E$48/12</f>
        <v>-0</v>
      </c>
      <c r="AA39" s="66" t="n">
        <f aca="false">-(AA54+AA55+AA57)/2*Inputs!$E$48/12</f>
        <v>-0</v>
      </c>
      <c r="AB39" s="66" t="n">
        <f aca="false">-(AB54+AB55+AB57)/2*Inputs!$E$48/12</f>
        <v>-0</v>
      </c>
      <c r="AC39" s="66" t="n">
        <f aca="false">-(AC54+AC55+AC57)/2*Inputs!$E$48/12</f>
        <v>-0</v>
      </c>
      <c r="AD39" s="66" t="n">
        <f aca="false">-(AD54+AD55+AD57)/2*Inputs!$E$48/12</f>
        <v>-0</v>
      </c>
      <c r="AE39" s="66" t="n">
        <f aca="false">-(AE54+AE55+AE57)/2*Inputs!$E$48/12</f>
        <v>-0</v>
      </c>
      <c r="AF39" s="66" t="n">
        <f aca="false">-(AF54+AF55+AF57)/2*Inputs!$E$48/12</f>
        <v>-0</v>
      </c>
      <c r="AG39" s="66" t="n">
        <f aca="false">-(AG54+AG55+AG57)/2*Inputs!$E$48/12</f>
        <v>-0</v>
      </c>
      <c r="AH39" s="66" t="n">
        <f aca="false">-(AH54+AH55+AH57)/2*Inputs!$E$48/12</f>
        <v>-0</v>
      </c>
      <c r="AI39" s="66" t="n">
        <f aca="false">-(AI54+AI55+AI57)/2*Inputs!$E$48/12</f>
        <v>-0</v>
      </c>
      <c r="AJ39" s="66" t="n">
        <f aca="false">-(AJ54+AJ55+AJ57)/2*Inputs!$E$48/12</f>
        <v>-0</v>
      </c>
      <c r="AK39" s="66" t="n">
        <f aca="false">-(AK54+AK55+AK57)/2*Inputs!$E$48/12</f>
        <v>-0</v>
      </c>
      <c r="AL39" s="66" t="n">
        <f aca="false">-(AL54+AL55+AL57)/2*Inputs!$E$48/12</f>
        <v>-0</v>
      </c>
      <c r="AM39" s="66" t="n">
        <f aca="false">-(AM54+AM55+AM57)/2*Inputs!$E$48/12</f>
        <v>-0</v>
      </c>
      <c r="AN39" s="66" t="n">
        <f aca="false">-(AN54+AN55+AN57)/2*Inputs!$E$48/12</f>
        <v>-0</v>
      </c>
      <c r="AO39" s="66" t="n">
        <f aca="false">-(AO54+AO55+AO57)/2*Inputs!$E$48/12</f>
        <v>-0</v>
      </c>
      <c r="AP39" s="66" t="n">
        <f aca="false">-(AP54+AP55+AP57)/2*Inputs!$E$48/12</f>
        <v>-0</v>
      </c>
      <c r="AQ39" s="66" t="n">
        <f aca="false">-(AQ54+AQ55+AQ57)/2*Inputs!$E$48/12</f>
        <v>-0</v>
      </c>
      <c r="AR39" s="66" t="n">
        <f aca="false">-(AR54+AR55+AR57)/2*Inputs!$E$48/12</f>
        <v>-0</v>
      </c>
      <c r="AS39" s="66" t="n">
        <f aca="false">-(AS54+AS55+AS57)/2*Inputs!$E$48/12</f>
        <v>-0</v>
      </c>
      <c r="AT39" s="66" t="n">
        <f aca="false">-(AT54+AT55+AT57)/2*Inputs!$E$48/12</f>
        <v>-0</v>
      </c>
      <c r="AU39" s="66" t="n">
        <f aca="false">-(AU54+AU55+AU57)/2*Inputs!$E$48/12</f>
        <v>-0</v>
      </c>
      <c r="AV39" s="66" t="n">
        <f aca="false">-(AV54+AV55+AV57)/2*Inputs!$E$48/12</f>
        <v>-0</v>
      </c>
      <c r="AW39" s="66" t="n">
        <f aca="false">-(AW54+AW55+AW57)/2*Inputs!$E$48/12</f>
        <v>-0</v>
      </c>
      <c r="AX39" s="66" t="n">
        <f aca="false">-(AX54+AX55+AX57)/2*Inputs!$E$48/12</f>
        <v>-0</v>
      </c>
      <c r="AY39" s="66" t="n">
        <f aca="false">-(AY54+AY55+AY57)/2*Inputs!$E$48/12</f>
        <v>-0</v>
      </c>
      <c r="AZ39" s="66" t="n">
        <f aca="false">-(AZ54+AZ55+AZ57)/2*Inputs!$E$48/12</f>
        <v>-0</v>
      </c>
      <c r="BA39" s="66" t="n">
        <f aca="false">-(BA54+BA55+BA57)/2*Inputs!$E$48/12</f>
        <v>-0</v>
      </c>
      <c r="BB39" s="66" t="n">
        <f aca="false">-(BB54+BB55+BB57)/2*Inputs!$E$48/12</f>
        <v>-0</v>
      </c>
      <c r="BC39" s="66" t="n">
        <f aca="false">-(BC54+BC55+BC57)/2*Inputs!$E$48/12</f>
        <v>-0</v>
      </c>
      <c r="BD39" s="66" t="n">
        <f aca="false">-(BD54+BD55+BD57)/2*Inputs!$E$48/12</f>
        <v>-0</v>
      </c>
      <c r="BE39" s="66" t="n">
        <f aca="false">-(BE54+BE55+BE57)/2*Inputs!$E$48/12</f>
        <v>-0</v>
      </c>
      <c r="BF39" s="66" t="n">
        <f aca="false">-(BF54+BF55+BF57)/2*Inputs!$E$48/12</f>
        <v>-0</v>
      </c>
      <c r="BG39" s="66" t="n">
        <f aca="false">-(BG54+BG55+BG57)/2*Inputs!$E$48/12</f>
        <v>-0</v>
      </c>
      <c r="BH39" s="66" t="n">
        <f aca="false">-(BH54+BH55+BH57)/2*Inputs!$E$48/12</f>
        <v>-0</v>
      </c>
      <c r="BI39" s="66" t="n">
        <f aca="false">-(BI54+BI55+BI57)/2*Inputs!$E$48/12</f>
        <v>-0</v>
      </c>
      <c r="BJ39" s="66" t="n">
        <f aca="false">-(BJ54+BJ55+BJ57)/2*Inputs!$E$48/12</f>
        <v>-0</v>
      </c>
    </row>
    <row r="40" customFormat="false" ht="15" hidden="false" customHeight="false" outlineLevel="0" collapsed="false">
      <c r="A40" s="111" t="s">
        <v>80</v>
      </c>
      <c r="C40" s="67" t="n">
        <f aca="false">C38+C39</f>
        <v>-71828.2458333333</v>
      </c>
      <c r="D40" s="67" t="n">
        <f aca="false">D38+D39</f>
        <v>-69331.0897430556</v>
      </c>
      <c r="E40" s="67" t="n">
        <f aca="false">E38+E39</f>
        <v>-66896.0781089236</v>
      </c>
      <c r="F40" s="67" t="n">
        <f aca="false">F38+F39</f>
        <v>-64521.6658529172</v>
      </c>
      <c r="G40" s="67" t="n">
        <f aca="false">G38+G39</f>
        <v>-62206.346267965</v>
      </c>
      <c r="H40" s="67" t="n">
        <f aca="false">H38+H39</f>
        <v>-59948.650066351</v>
      </c>
      <c r="I40" s="67" t="n">
        <f aca="false">I38+I39</f>
        <v>-57747.1444516804</v>
      </c>
      <c r="J40" s="67" t="n">
        <f aca="false">J38+J39</f>
        <v>-55600.4322138224</v>
      </c>
      <c r="K40" s="67" t="n">
        <f aca="false">K38+K39</f>
        <v>-53507.1508462635</v>
      </c>
      <c r="L40" s="67" t="n">
        <f aca="false">L38+L39</f>
        <v>-51465.9716853155</v>
      </c>
      <c r="M40" s="67" t="n">
        <f aca="false">M38+M39</f>
        <v>-49475.5990706404</v>
      </c>
      <c r="N40" s="67" t="n">
        <f aca="false">N38+N39</f>
        <v>-47534.7695265641</v>
      </c>
      <c r="O40" s="67" t="n">
        <f aca="false">O38+O39</f>
        <v>-81911.2651192201</v>
      </c>
      <c r="P40" s="67" t="n">
        <f aca="false">P38+P39</f>
        <v>-79352.8732351351</v>
      </c>
      <c r="Q40" s="67" t="n">
        <f aca="false">Q38+Q39</f>
        <v>-76858.1733051687</v>
      </c>
      <c r="R40" s="67" t="n">
        <f aca="false">R38+R39</f>
        <v>-74425.5810657574</v>
      </c>
      <c r="S40" s="67" t="n">
        <f aca="false">S38+S39</f>
        <v>-72053.5516188682</v>
      </c>
      <c r="T40" s="67" t="n">
        <f aca="false">T38+T39</f>
        <v>-69740.5784550919</v>
      </c>
      <c r="U40" s="67" t="n">
        <f aca="false">U38+U39</f>
        <v>-67485.1925009425</v>
      </c>
      <c r="V40" s="67" t="n">
        <f aca="false">V38+V39</f>
        <v>-65285.9611897633</v>
      </c>
      <c r="W40" s="67" t="n">
        <f aca="false">W38+W39</f>
        <v>-63141.4875556567</v>
      </c>
      <c r="X40" s="67" t="n">
        <f aca="false">X38+X39</f>
        <v>-61050.4093498668</v>
      </c>
      <c r="Y40" s="67" t="n">
        <f aca="false">Y38+Y39</f>
        <v>-59011.3981790621</v>
      </c>
      <c r="Z40" s="67" t="n">
        <f aca="false">Z38+Z39</f>
        <v>-57023.1586649725</v>
      </c>
      <c r="AA40" s="67" t="n">
        <f aca="false">AA38+AA39</f>
        <v>-111159.484892924</v>
      </c>
      <c r="AB40" s="67" t="n">
        <f aca="false">AB38+AB39</f>
        <v>-108351.118911447</v>
      </c>
      <c r="AC40" s="67" t="n">
        <f aca="false">AC38+AC39</f>
        <v>-105612.688114033</v>
      </c>
      <c r="AD40" s="67" t="n">
        <f aca="false">AD38+AD39</f>
        <v>-102942.452340044</v>
      </c>
      <c r="AE40" s="67" t="n">
        <f aca="false">AE38+AE39</f>
        <v>-100338.714686289</v>
      </c>
      <c r="AF40" s="67" t="n">
        <f aca="false">AF38+AF39</f>
        <v>-97799.8204329865</v>
      </c>
      <c r="AG40" s="67" t="n">
        <f aca="false">AG38+AG39</f>
        <v>-95324.1559963515</v>
      </c>
      <c r="AH40" s="67" t="n">
        <f aca="false">AH38+AH39</f>
        <v>-92910.1479071573</v>
      </c>
      <c r="AI40" s="67" t="n">
        <f aca="false">AI38+AI39</f>
        <v>-90556.2618146223</v>
      </c>
      <c r="AJ40" s="67" t="n">
        <f aca="false">AJ38+AJ39</f>
        <v>-88261.0015149969</v>
      </c>
      <c r="AK40" s="67" t="n">
        <f aca="false">AK38+AK39</f>
        <v>-86022.9080042407</v>
      </c>
      <c r="AL40" s="67" t="n">
        <f aca="false">AL38+AL39</f>
        <v>-83840.5585541905</v>
      </c>
      <c r="AM40" s="67" t="n">
        <f aca="false">AM38+AM39</f>
        <v>-168028.127544256</v>
      </c>
      <c r="AN40" s="67" t="n">
        <f aca="false">AN38+AN39</f>
        <v>-164769.522976518</v>
      </c>
      <c r="AO40" s="67" t="n">
        <f aca="false">AO38+AO39</f>
        <v>-161592.083074722</v>
      </c>
      <c r="AP40" s="67" t="n">
        <f aca="false">AP38+AP39</f>
        <v>-158493.787735666</v>
      </c>
      <c r="AQ40" s="67" t="n">
        <f aca="false">AQ38+AQ39</f>
        <v>-155472.667088327</v>
      </c>
      <c r="AR40" s="67" t="n">
        <f aca="false">AR38+AR39</f>
        <v>-152526.800246164</v>
      </c>
      <c r="AS40" s="67" t="n">
        <f aca="false">AS38+AS39</f>
        <v>-149654.314090378</v>
      </c>
      <c r="AT40" s="67" t="n">
        <f aca="false">AT38+AT39</f>
        <v>-146853.382083349</v>
      </c>
      <c r="AU40" s="67" t="n">
        <f aca="false">AU38+AU39</f>
        <v>-144122.223111514</v>
      </c>
      <c r="AV40" s="67" t="n">
        <f aca="false">AV38+AV39</f>
        <v>-141459.100356941</v>
      </c>
      <c r="AW40" s="67" t="n">
        <f aca="false">AW38+AW39</f>
        <v>-138862.320196911</v>
      </c>
      <c r="AX40" s="67" t="n">
        <f aca="false">AX38+AX39</f>
        <v>-136330.231130788</v>
      </c>
      <c r="AY40" s="67" t="n">
        <f aca="false">AY38+AY39</f>
        <v>-268650.876680009</v>
      </c>
      <c r="AZ40" s="67" t="n">
        <f aca="false">AZ38+AZ39</f>
        <v>-264714.734681923</v>
      </c>
      <c r="BA40" s="67" t="n">
        <f aca="false">BA38+BA39</f>
        <v>-260876.649346045</v>
      </c>
      <c r="BB40" s="67" t="n">
        <f aca="false">BB38+BB39</f>
        <v>-257134.179662452</v>
      </c>
      <c r="BC40" s="67" t="n">
        <f aca="false">BC38+BC39</f>
        <v>-253484.94533427</v>
      </c>
      <c r="BD40" s="67" t="n">
        <f aca="false">BD38+BD39</f>
        <v>-249926.625269214</v>
      </c>
      <c r="BE40" s="67" t="n">
        <f aca="false">BE38+BE39</f>
        <v>-246456.956108559</v>
      </c>
      <c r="BF40" s="67" t="n">
        <f aca="false">BF38+BF39</f>
        <v>-243073.73079261</v>
      </c>
      <c r="BG40" s="67" t="n">
        <f aca="false">BG38+BG39</f>
        <v>-239774.797161781</v>
      </c>
      <c r="BH40" s="67" t="n">
        <f aca="false">BH38+BH39</f>
        <v>-236558.056592375</v>
      </c>
      <c r="BI40" s="67" t="n">
        <f aca="false">BI38+BI39</f>
        <v>-233421.462666239</v>
      </c>
      <c r="BJ40" s="67" t="n">
        <f aca="false">BJ38+BJ39</f>
        <v>-230363.019873419</v>
      </c>
    </row>
    <row r="41" customFormat="false" ht="15" hidden="false" customHeight="false" outlineLevel="0" collapsed="false">
      <c r="A41" s="119" t="s">
        <v>412</v>
      </c>
      <c r="C41" s="66" t="n">
        <f aca="false">C40</f>
        <v>-71828.2458333333</v>
      </c>
      <c r="D41" s="66" t="n">
        <f aca="false">C41+D40</f>
        <v>-141159.335576389</v>
      </c>
      <c r="E41" s="66" t="n">
        <f aca="false">D41+E40</f>
        <v>-208055.413685313</v>
      </c>
      <c r="F41" s="66" t="n">
        <f aca="false">E41+F40</f>
        <v>-272577.07953823</v>
      </c>
      <c r="G41" s="66" t="n">
        <f aca="false">F41+G40</f>
        <v>-334783.425806195</v>
      </c>
      <c r="H41" s="66" t="n">
        <f aca="false">G41+H40</f>
        <v>-394732.075872546</v>
      </c>
      <c r="I41" s="66" t="n">
        <f aca="false">H41+I40</f>
        <v>-452479.220324226</v>
      </c>
      <c r="J41" s="66" t="n">
        <f aca="false">I41+J40</f>
        <v>-508079.652538049</v>
      </c>
      <c r="K41" s="66" t="n">
        <f aca="false">J41+K40</f>
        <v>-561586.803384312</v>
      </c>
      <c r="L41" s="66" t="n">
        <f aca="false">K41+L40</f>
        <v>-613052.775069627</v>
      </c>
      <c r="M41" s="66" t="n">
        <f aca="false">L41+M40</f>
        <v>-662528.374140268</v>
      </c>
      <c r="N41" s="66" t="n">
        <f aca="false">M41+N40</f>
        <v>-710063.143666832</v>
      </c>
      <c r="O41" s="66" t="n">
        <f aca="false">N41+O40</f>
        <v>-791974.408786052</v>
      </c>
      <c r="P41" s="66" t="n">
        <f aca="false">O41+P40</f>
        <v>-871327.282021187</v>
      </c>
      <c r="Q41" s="66" t="n">
        <f aca="false">P41+Q40</f>
        <v>-948185.455326356</v>
      </c>
      <c r="R41" s="66" t="n">
        <f aca="false">Q41+R40</f>
        <v>-1022611.03639211</v>
      </c>
      <c r="S41" s="66" t="n">
        <f aca="false">R41+S40</f>
        <v>-1094664.58801098</v>
      </c>
      <c r="T41" s="66" t="n">
        <f aca="false">S41+T40</f>
        <v>-1164405.16646607</v>
      </c>
      <c r="U41" s="66" t="n">
        <f aca="false">T41+U40</f>
        <v>-1231890.35896702</v>
      </c>
      <c r="V41" s="66" t="n">
        <f aca="false">U41+V40</f>
        <v>-1297176.32015678</v>
      </c>
      <c r="W41" s="66" t="n">
        <f aca="false">V41+W40</f>
        <v>-1360317.80771244</v>
      </c>
      <c r="X41" s="66" t="n">
        <f aca="false">W41+X40</f>
        <v>-1421368.2170623</v>
      </c>
      <c r="Y41" s="66" t="n">
        <f aca="false">X41+Y40</f>
        <v>-1480379.61524137</v>
      </c>
      <c r="Z41" s="66" t="n">
        <f aca="false">Y41+Z40</f>
        <v>-1537402.77390634</v>
      </c>
      <c r="AA41" s="66" t="n">
        <f aca="false">Z41+AA40</f>
        <v>-1648562.25879926</v>
      </c>
      <c r="AB41" s="66" t="n">
        <f aca="false">AA41+AB40</f>
        <v>-1756913.37771071</v>
      </c>
      <c r="AC41" s="66" t="n">
        <f aca="false">AB41+AC40</f>
        <v>-1862526.06582474</v>
      </c>
      <c r="AD41" s="66" t="n">
        <f aca="false">AC41+AD40</f>
        <v>-1965468.51816479</v>
      </c>
      <c r="AE41" s="66" t="n">
        <f aca="false">AD41+AE40</f>
        <v>-2065807.23285107</v>
      </c>
      <c r="AF41" s="66" t="n">
        <f aca="false">AE41+AF40</f>
        <v>-2163607.05328406</v>
      </c>
      <c r="AG41" s="66" t="n">
        <f aca="false">AF41+AG40</f>
        <v>-2258931.20928041</v>
      </c>
      <c r="AH41" s="66" t="n">
        <f aca="false">AG41+AH40</f>
        <v>-2351841.35718757</v>
      </c>
      <c r="AI41" s="66" t="n">
        <f aca="false">AH41+AI40</f>
        <v>-2442397.61900219</v>
      </c>
      <c r="AJ41" s="66" t="n">
        <f aca="false">AI41+AJ40</f>
        <v>-2530658.62051719</v>
      </c>
      <c r="AK41" s="66" t="n">
        <f aca="false">AJ41+AK40</f>
        <v>-2616681.52852143</v>
      </c>
      <c r="AL41" s="66" t="n">
        <f aca="false">AK41+AL40</f>
        <v>-2700522.08707562</v>
      </c>
      <c r="AM41" s="66" t="n">
        <f aca="false">AL41+AM40</f>
        <v>-2868550.21461988</v>
      </c>
      <c r="AN41" s="66" t="n">
        <f aca="false">AM41+AN40</f>
        <v>-3033319.73759639</v>
      </c>
      <c r="AO41" s="66" t="n">
        <f aca="false">AN41+AO40</f>
        <v>-3194911.82067111</v>
      </c>
      <c r="AP41" s="66" t="n">
        <f aca="false">AO41+AP40</f>
        <v>-3353405.60840678</v>
      </c>
      <c r="AQ41" s="66" t="n">
        <f aca="false">AP41+AQ40</f>
        <v>-3508878.27549511</v>
      </c>
      <c r="AR41" s="66" t="n">
        <f aca="false">AQ41+AR40</f>
        <v>-3661405.07574127</v>
      </c>
      <c r="AS41" s="66" t="n">
        <f aca="false">AR41+AS40</f>
        <v>-3811059.38983165</v>
      </c>
      <c r="AT41" s="66" t="n">
        <f aca="false">AS41+AT40</f>
        <v>-3957912.771915</v>
      </c>
      <c r="AU41" s="66" t="n">
        <f aca="false">AT41+AU40</f>
        <v>-4102034.99502651</v>
      </c>
      <c r="AV41" s="66" t="n">
        <f aca="false">AU41+AV40</f>
        <v>-4243494.09538345</v>
      </c>
      <c r="AW41" s="66" t="n">
        <f aca="false">AV41+AW40</f>
        <v>-4382356.41558036</v>
      </c>
      <c r="AX41" s="66" t="n">
        <f aca="false">AW41+AX40</f>
        <v>-4518686.64671115</v>
      </c>
      <c r="AY41" s="66" t="n">
        <f aca="false">AX41+AY40</f>
        <v>-4787337.52339116</v>
      </c>
      <c r="AZ41" s="66" t="n">
        <f aca="false">AY41+AZ40</f>
        <v>-5052052.25807308</v>
      </c>
      <c r="BA41" s="66" t="n">
        <f aca="false">AZ41+BA40</f>
        <v>-5312928.90741913</v>
      </c>
      <c r="BB41" s="66" t="n">
        <f aca="false">BA41+BB40</f>
        <v>-5570063.08708158</v>
      </c>
      <c r="BC41" s="66" t="n">
        <f aca="false">BB41+BC40</f>
        <v>-5823548.03241585</v>
      </c>
      <c r="BD41" s="66" t="n">
        <f aca="false">BC41+BD40</f>
        <v>-6073474.65768507</v>
      </c>
      <c r="BE41" s="66" t="n">
        <f aca="false">BD41+BE40</f>
        <v>-6319931.61379362</v>
      </c>
      <c r="BF41" s="66" t="n">
        <f aca="false">BE41+BF40</f>
        <v>-6563005.34458623</v>
      </c>
      <c r="BG41" s="66" t="n">
        <f aca="false">BF41+BG40</f>
        <v>-6802780.14174801</v>
      </c>
      <c r="BH41" s="66" t="n">
        <f aca="false">BG41+BH40</f>
        <v>-7039338.19834039</v>
      </c>
      <c r="BI41" s="66" t="n">
        <f aca="false">BH41+BI40</f>
        <v>-7272759.66100663</v>
      </c>
      <c r="BJ41" s="66" t="n">
        <f aca="false">BI41+BJ40</f>
        <v>-7503122.68088005</v>
      </c>
    </row>
    <row r="42" customFormat="false" ht="15" hidden="false" customHeight="false" outlineLevel="0" collapsed="false">
      <c r="A42" s="119" t="s">
        <v>413</v>
      </c>
      <c r="C42" s="66" t="n">
        <f aca="false">MAX(0,C41)</f>
        <v>0</v>
      </c>
      <c r="D42" s="66" t="n">
        <f aca="false">MAX(C42,D41)</f>
        <v>0</v>
      </c>
      <c r="E42" s="66" t="n">
        <f aca="false">MAX(D42,E41)</f>
        <v>0</v>
      </c>
      <c r="F42" s="66" t="n">
        <f aca="false">MAX(E42,F41)</f>
        <v>0</v>
      </c>
      <c r="G42" s="66" t="n">
        <f aca="false">MAX(F42,G41)</f>
        <v>0</v>
      </c>
      <c r="H42" s="66" t="n">
        <f aca="false">MAX(G42,H41)</f>
        <v>0</v>
      </c>
      <c r="I42" s="66" t="n">
        <f aca="false">MAX(H42,I41)</f>
        <v>0</v>
      </c>
      <c r="J42" s="66" t="n">
        <f aca="false">MAX(I42,J41)</f>
        <v>0</v>
      </c>
      <c r="K42" s="66" t="n">
        <f aca="false">MAX(J42,K41)</f>
        <v>0</v>
      </c>
      <c r="L42" s="66" t="n">
        <f aca="false">MAX(K42,L41)</f>
        <v>0</v>
      </c>
      <c r="M42" s="66" t="n">
        <f aca="false">MAX(L42,M41)</f>
        <v>0</v>
      </c>
      <c r="N42" s="66" t="n">
        <f aca="false">MAX(M42,N41)</f>
        <v>0</v>
      </c>
      <c r="O42" s="66" t="n">
        <f aca="false">MAX(N42,O41)</f>
        <v>0</v>
      </c>
      <c r="P42" s="66" t="n">
        <f aca="false">MAX(O42,P41)</f>
        <v>0</v>
      </c>
      <c r="Q42" s="66" t="n">
        <f aca="false">MAX(P42,Q41)</f>
        <v>0</v>
      </c>
      <c r="R42" s="66" t="n">
        <f aca="false">MAX(Q42,R41)</f>
        <v>0</v>
      </c>
      <c r="S42" s="66" t="n">
        <f aca="false">MAX(R42,S41)</f>
        <v>0</v>
      </c>
      <c r="T42" s="66" t="n">
        <f aca="false">MAX(S42,T41)</f>
        <v>0</v>
      </c>
      <c r="U42" s="66" t="n">
        <f aca="false">MAX(T42,U41)</f>
        <v>0</v>
      </c>
      <c r="V42" s="66" t="n">
        <f aca="false">MAX(U42,V41)</f>
        <v>0</v>
      </c>
      <c r="W42" s="66" t="n">
        <f aca="false">MAX(V42,W41)</f>
        <v>0</v>
      </c>
      <c r="X42" s="66" t="n">
        <f aca="false">MAX(W42,X41)</f>
        <v>0</v>
      </c>
      <c r="Y42" s="66" t="n">
        <f aca="false">MAX(X42,Y41)</f>
        <v>0</v>
      </c>
      <c r="Z42" s="66" t="n">
        <f aca="false">MAX(Y42,Z41)</f>
        <v>0</v>
      </c>
      <c r="AA42" s="66" t="n">
        <f aca="false">MAX(Z42,AA41)</f>
        <v>0</v>
      </c>
      <c r="AB42" s="66" t="n">
        <f aca="false">MAX(AA42,AB41)</f>
        <v>0</v>
      </c>
      <c r="AC42" s="66" t="n">
        <f aca="false">MAX(AB42,AC41)</f>
        <v>0</v>
      </c>
      <c r="AD42" s="66" t="n">
        <f aca="false">MAX(AC42,AD41)</f>
        <v>0</v>
      </c>
      <c r="AE42" s="66" t="n">
        <f aca="false">MAX(AD42,AE41)</f>
        <v>0</v>
      </c>
      <c r="AF42" s="66" t="n">
        <f aca="false">MAX(AE42,AF41)</f>
        <v>0</v>
      </c>
      <c r="AG42" s="66" t="n">
        <f aca="false">MAX(AF42,AG41)</f>
        <v>0</v>
      </c>
      <c r="AH42" s="66" t="n">
        <f aca="false">MAX(AG42,AH41)</f>
        <v>0</v>
      </c>
      <c r="AI42" s="66" t="n">
        <f aca="false">MAX(AH42,AI41)</f>
        <v>0</v>
      </c>
      <c r="AJ42" s="66" t="n">
        <f aca="false">MAX(AI42,AJ41)</f>
        <v>0</v>
      </c>
      <c r="AK42" s="66" t="n">
        <f aca="false">MAX(AJ42,AK41)</f>
        <v>0</v>
      </c>
      <c r="AL42" s="66" t="n">
        <f aca="false">MAX(AK42,AL41)</f>
        <v>0</v>
      </c>
      <c r="AM42" s="66" t="n">
        <f aca="false">MAX(AL42,AM41)</f>
        <v>0</v>
      </c>
      <c r="AN42" s="66" t="n">
        <f aca="false">MAX(AM42,AN41)</f>
        <v>0</v>
      </c>
      <c r="AO42" s="66" t="n">
        <f aca="false">MAX(AN42,AO41)</f>
        <v>0</v>
      </c>
      <c r="AP42" s="66" t="n">
        <f aca="false">MAX(AO42,AP41)</f>
        <v>0</v>
      </c>
      <c r="AQ42" s="66" t="n">
        <f aca="false">MAX(AP42,AQ41)</f>
        <v>0</v>
      </c>
      <c r="AR42" s="66" t="n">
        <f aca="false">MAX(AQ42,AR41)</f>
        <v>0</v>
      </c>
      <c r="AS42" s="66" t="n">
        <f aca="false">MAX(AR42,AS41)</f>
        <v>0</v>
      </c>
      <c r="AT42" s="66" t="n">
        <f aca="false">MAX(AS42,AT41)</f>
        <v>0</v>
      </c>
      <c r="AU42" s="66" t="n">
        <f aca="false">MAX(AT42,AU41)</f>
        <v>0</v>
      </c>
      <c r="AV42" s="66" t="n">
        <f aca="false">MAX(AU42,AV41)</f>
        <v>0</v>
      </c>
      <c r="AW42" s="66" t="n">
        <f aca="false">MAX(AV42,AW41)</f>
        <v>0</v>
      </c>
      <c r="AX42" s="66" t="n">
        <f aca="false">MAX(AW42,AX41)</f>
        <v>0</v>
      </c>
      <c r="AY42" s="66" t="n">
        <f aca="false">MAX(AX42,AY41)</f>
        <v>0</v>
      </c>
      <c r="AZ42" s="66" t="n">
        <f aca="false">MAX(AY42,AZ41)</f>
        <v>0</v>
      </c>
      <c r="BA42" s="66" t="n">
        <f aca="false">MAX(AZ42,BA41)</f>
        <v>0</v>
      </c>
      <c r="BB42" s="66" t="n">
        <f aca="false">MAX(BA42,BB41)</f>
        <v>0</v>
      </c>
      <c r="BC42" s="66" t="n">
        <f aca="false">MAX(BB42,BC41)</f>
        <v>0</v>
      </c>
      <c r="BD42" s="66" t="n">
        <f aca="false">MAX(BC42,BD41)</f>
        <v>0</v>
      </c>
      <c r="BE42" s="66" t="n">
        <f aca="false">MAX(BD42,BE41)</f>
        <v>0</v>
      </c>
      <c r="BF42" s="66" t="n">
        <f aca="false">MAX(BE42,BF41)</f>
        <v>0</v>
      </c>
      <c r="BG42" s="66" t="n">
        <f aca="false">MAX(BF42,BG41)</f>
        <v>0</v>
      </c>
      <c r="BH42" s="66" t="n">
        <f aca="false">MAX(BG42,BH41)</f>
        <v>0</v>
      </c>
      <c r="BI42" s="66" t="n">
        <f aca="false">MAX(BH42,BI41)</f>
        <v>0</v>
      </c>
      <c r="BJ42" s="66" t="n">
        <f aca="false">MAX(BI42,BJ41)</f>
        <v>0</v>
      </c>
    </row>
    <row r="43" customFormat="false" ht="15" hidden="false" customHeight="false" outlineLevel="0" collapsed="false">
      <c r="A43" s="6" t="s">
        <v>81</v>
      </c>
      <c r="C43" s="66" t="n">
        <f aca="false">-C42*Inputs!$E$58</f>
        <v>-0</v>
      </c>
      <c r="D43" s="66" t="n">
        <f aca="false">-(D42-C42)*Inputs!$E$58</f>
        <v>-0</v>
      </c>
      <c r="E43" s="66" t="n">
        <f aca="false">-(E42-D42)*Inputs!$E$58</f>
        <v>-0</v>
      </c>
      <c r="F43" s="66" t="n">
        <f aca="false">-(F42-E42)*Inputs!$E$58</f>
        <v>-0</v>
      </c>
      <c r="G43" s="66" t="n">
        <f aca="false">-(G42-F42)*Inputs!$E$58</f>
        <v>-0</v>
      </c>
      <c r="H43" s="66" t="n">
        <f aca="false">-(H42-G42)*Inputs!$E$58</f>
        <v>-0</v>
      </c>
      <c r="I43" s="66" t="n">
        <f aca="false">-(I42-H42)*Inputs!$E$58</f>
        <v>-0</v>
      </c>
      <c r="J43" s="66" t="n">
        <f aca="false">-(J42-I42)*Inputs!$E$58</f>
        <v>-0</v>
      </c>
      <c r="K43" s="66" t="n">
        <f aca="false">-(K42-J42)*Inputs!$E$58</f>
        <v>-0</v>
      </c>
      <c r="L43" s="66" t="n">
        <f aca="false">-(L42-K42)*Inputs!$E$58</f>
        <v>-0</v>
      </c>
      <c r="M43" s="66" t="n">
        <f aca="false">-(M42-L42)*Inputs!$E$58</f>
        <v>-0</v>
      </c>
      <c r="N43" s="66" t="n">
        <f aca="false">-(N42-M42)*Inputs!$E$58</f>
        <v>-0</v>
      </c>
      <c r="O43" s="66" t="n">
        <f aca="false">-(O42-N42)*Inputs!$E$58</f>
        <v>-0</v>
      </c>
      <c r="P43" s="66" t="n">
        <f aca="false">-(P42-O42)*Inputs!$E$58</f>
        <v>-0</v>
      </c>
      <c r="Q43" s="66" t="n">
        <f aca="false">-(Q42-P42)*Inputs!$E$58</f>
        <v>-0</v>
      </c>
      <c r="R43" s="66" t="n">
        <f aca="false">-(R42-Q42)*Inputs!$E$58</f>
        <v>-0</v>
      </c>
      <c r="S43" s="66" t="n">
        <f aca="false">-(S42-R42)*Inputs!$E$58</f>
        <v>-0</v>
      </c>
      <c r="T43" s="66" t="n">
        <f aca="false">-(T42-S42)*Inputs!$E$58</f>
        <v>-0</v>
      </c>
      <c r="U43" s="66" t="n">
        <f aca="false">-(U42-T42)*Inputs!$E$58</f>
        <v>-0</v>
      </c>
      <c r="V43" s="66" t="n">
        <f aca="false">-(V42-U42)*Inputs!$E$58</f>
        <v>-0</v>
      </c>
      <c r="W43" s="66" t="n">
        <f aca="false">-(W42-V42)*Inputs!$E$58</f>
        <v>-0</v>
      </c>
      <c r="X43" s="66" t="n">
        <f aca="false">-(X42-W42)*Inputs!$E$58</f>
        <v>-0</v>
      </c>
      <c r="Y43" s="66" t="n">
        <f aca="false">-(Y42-X42)*Inputs!$E$58</f>
        <v>-0</v>
      </c>
      <c r="Z43" s="66" t="n">
        <f aca="false">-(Z42-Y42)*Inputs!$E$58</f>
        <v>-0</v>
      </c>
      <c r="AA43" s="66" t="n">
        <f aca="false">-(AA42-Z42)*Inputs!$E$58</f>
        <v>-0</v>
      </c>
      <c r="AB43" s="66" t="n">
        <f aca="false">-(AB42-AA42)*Inputs!$E$58</f>
        <v>-0</v>
      </c>
      <c r="AC43" s="66" t="n">
        <f aca="false">-(AC42-AB42)*Inputs!$E$58</f>
        <v>-0</v>
      </c>
      <c r="AD43" s="66" t="n">
        <f aca="false">-(AD42-AC42)*Inputs!$E$58</f>
        <v>-0</v>
      </c>
      <c r="AE43" s="66" t="n">
        <f aca="false">-(AE42-AD42)*Inputs!$E$58</f>
        <v>-0</v>
      </c>
      <c r="AF43" s="66" t="n">
        <f aca="false">-(AF42-AE42)*Inputs!$E$58</f>
        <v>-0</v>
      </c>
      <c r="AG43" s="66" t="n">
        <f aca="false">-(AG42-AF42)*Inputs!$E$58</f>
        <v>-0</v>
      </c>
      <c r="AH43" s="66" t="n">
        <f aca="false">-(AH42-AG42)*Inputs!$E$58</f>
        <v>-0</v>
      </c>
      <c r="AI43" s="66" t="n">
        <f aca="false">-(AI42-AH42)*Inputs!$E$58</f>
        <v>-0</v>
      </c>
      <c r="AJ43" s="66" t="n">
        <f aca="false">-(AJ42-AI42)*Inputs!$E$58</f>
        <v>-0</v>
      </c>
      <c r="AK43" s="66" t="n">
        <f aca="false">-(AK42-AJ42)*Inputs!$E$58</f>
        <v>-0</v>
      </c>
      <c r="AL43" s="66" t="n">
        <f aca="false">-(AL42-AK42)*Inputs!$E$58</f>
        <v>-0</v>
      </c>
      <c r="AM43" s="66" t="n">
        <f aca="false">-(AM42-AL42)*Inputs!$E$58</f>
        <v>-0</v>
      </c>
      <c r="AN43" s="66" t="n">
        <f aca="false">-(AN42-AM42)*Inputs!$E$58</f>
        <v>-0</v>
      </c>
      <c r="AO43" s="66" t="n">
        <f aca="false">-(AO42-AN42)*Inputs!$E$58</f>
        <v>-0</v>
      </c>
      <c r="AP43" s="66" t="n">
        <f aca="false">-(AP42-AO42)*Inputs!$E$58</f>
        <v>-0</v>
      </c>
      <c r="AQ43" s="66" t="n">
        <f aca="false">-(AQ42-AP42)*Inputs!$E$58</f>
        <v>-0</v>
      </c>
      <c r="AR43" s="66" t="n">
        <f aca="false">-(AR42-AQ42)*Inputs!$E$58</f>
        <v>-0</v>
      </c>
      <c r="AS43" s="66" t="n">
        <f aca="false">-(AS42-AR42)*Inputs!$E$58</f>
        <v>-0</v>
      </c>
      <c r="AT43" s="66" t="n">
        <f aca="false">-(AT42-AS42)*Inputs!$E$58</f>
        <v>-0</v>
      </c>
      <c r="AU43" s="66" t="n">
        <f aca="false">-(AU42-AT42)*Inputs!$E$58</f>
        <v>-0</v>
      </c>
      <c r="AV43" s="66" t="n">
        <f aca="false">-(AV42-AU42)*Inputs!$E$58</f>
        <v>-0</v>
      </c>
      <c r="AW43" s="66" t="n">
        <f aca="false">-(AW42-AV42)*Inputs!$E$58</f>
        <v>-0</v>
      </c>
      <c r="AX43" s="66" t="n">
        <f aca="false">-(AX42-AW42)*Inputs!$E$58</f>
        <v>-0</v>
      </c>
      <c r="AY43" s="66" t="n">
        <f aca="false">-(AY42-AX42)*Inputs!$E$58</f>
        <v>-0</v>
      </c>
      <c r="AZ43" s="66" t="n">
        <f aca="false">-(AZ42-AY42)*Inputs!$E$58</f>
        <v>-0</v>
      </c>
      <c r="BA43" s="66" t="n">
        <f aca="false">-(BA42-AZ42)*Inputs!$E$58</f>
        <v>-0</v>
      </c>
      <c r="BB43" s="66" t="n">
        <f aca="false">-(BB42-BA42)*Inputs!$E$58</f>
        <v>-0</v>
      </c>
      <c r="BC43" s="66" t="n">
        <f aca="false">-(BC42-BB42)*Inputs!$E$58</f>
        <v>-0</v>
      </c>
      <c r="BD43" s="66" t="n">
        <f aca="false">-(BD42-BC42)*Inputs!$E$58</f>
        <v>-0</v>
      </c>
      <c r="BE43" s="66" t="n">
        <f aca="false">-(BE42-BD42)*Inputs!$E$58</f>
        <v>-0</v>
      </c>
      <c r="BF43" s="66" t="n">
        <f aca="false">-(BF42-BE42)*Inputs!$E$58</f>
        <v>-0</v>
      </c>
      <c r="BG43" s="66" t="n">
        <f aca="false">-(BG42-BF42)*Inputs!$E$58</f>
        <v>-0</v>
      </c>
      <c r="BH43" s="66" t="n">
        <f aca="false">-(BH42-BG42)*Inputs!$E$58</f>
        <v>-0</v>
      </c>
      <c r="BI43" s="66" t="n">
        <f aca="false">-(BI42-BH42)*Inputs!$E$58</f>
        <v>-0</v>
      </c>
      <c r="BJ43" s="66" t="n">
        <f aca="false">-(BJ42-BI42)*Inputs!$E$58</f>
        <v>-0</v>
      </c>
    </row>
    <row r="44" customFormat="false" ht="15" hidden="false" customHeight="false" outlineLevel="0" collapsed="false">
      <c r="A44" s="111" t="s">
        <v>50</v>
      </c>
      <c r="C44" s="67" t="n">
        <f aca="false">C40+C43</f>
        <v>-71828.2458333333</v>
      </c>
      <c r="D44" s="67" t="n">
        <f aca="false">D40+D43</f>
        <v>-69331.0897430556</v>
      </c>
      <c r="E44" s="67" t="n">
        <f aca="false">E40+E43</f>
        <v>-66896.0781089236</v>
      </c>
      <c r="F44" s="67" t="n">
        <f aca="false">F40+F43</f>
        <v>-64521.6658529172</v>
      </c>
      <c r="G44" s="67" t="n">
        <f aca="false">G40+G43</f>
        <v>-62206.346267965</v>
      </c>
      <c r="H44" s="67" t="n">
        <f aca="false">H40+H43</f>
        <v>-59948.650066351</v>
      </c>
      <c r="I44" s="67" t="n">
        <f aca="false">I40+I43</f>
        <v>-57747.1444516804</v>
      </c>
      <c r="J44" s="67" t="n">
        <f aca="false">J40+J43</f>
        <v>-55600.4322138224</v>
      </c>
      <c r="K44" s="67" t="n">
        <f aca="false">K40+K43</f>
        <v>-53507.1508462635</v>
      </c>
      <c r="L44" s="67" t="n">
        <f aca="false">L40+L43</f>
        <v>-51465.9716853155</v>
      </c>
      <c r="M44" s="67" t="n">
        <f aca="false">M40+M43</f>
        <v>-49475.5990706404</v>
      </c>
      <c r="N44" s="67" t="n">
        <f aca="false">N40+N43</f>
        <v>-47534.7695265641</v>
      </c>
      <c r="O44" s="67" t="n">
        <f aca="false">O40+O43</f>
        <v>-81911.2651192201</v>
      </c>
      <c r="P44" s="67" t="n">
        <f aca="false">P40+P43</f>
        <v>-79352.8732351351</v>
      </c>
      <c r="Q44" s="67" t="n">
        <f aca="false">Q40+Q43</f>
        <v>-76858.1733051687</v>
      </c>
      <c r="R44" s="67" t="n">
        <f aca="false">R40+R43</f>
        <v>-74425.5810657574</v>
      </c>
      <c r="S44" s="67" t="n">
        <f aca="false">S40+S43</f>
        <v>-72053.5516188682</v>
      </c>
      <c r="T44" s="67" t="n">
        <f aca="false">T40+T43</f>
        <v>-69740.5784550919</v>
      </c>
      <c r="U44" s="67" t="n">
        <f aca="false">U40+U43</f>
        <v>-67485.1925009425</v>
      </c>
      <c r="V44" s="67" t="n">
        <f aca="false">V40+V43</f>
        <v>-65285.9611897633</v>
      </c>
      <c r="W44" s="67" t="n">
        <f aca="false">W40+W43</f>
        <v>-63141.4875556567</v>
      </c>
      <c r="X44" s="67" t="n">
        <f aca="false">X40+X43</f>
        <v>-61050.4093498668</v>
      </c>
      <c r="Y44" s="67" t="n">
        <f aca="false">Y40+Y43</f>
        <v>-59011.3981790621</v>
      </c>
      <c r="Z44" s="67" t="n">
        <f aca="false">Z40+Z43</f>
        <v>-57023.1586649725</v>
      </c>
      <c r="AA44" s="67" t="n">
        <f aca="false">AA40+AA43</f>
        <v>-111159.484892924</v>
      </c>
      <c r="AB44" s="67" t="n">
        <f aca="false">AB40+AB43</f>
        <v>-108351.118911447</v>
      </c>
      <c r="AC44" s="67" t="n">
        <f aca="false">AC40+AC43</f>
        <v>-105612.688114033</v>
      </c>
      <c r="AD44" s="67" t="n">
        <f aca="false">AD40+AD43</f>
        <v>-102942.452340044</v>
      </c>
      <c r="AE44" s="67" t="n">
        <f aca="false">AE40+AE43</f>
        <v>-100338.714686289</v>
      </c>
      <c r="AF44" s="67" t="n">
        <f aca="false">AF40+AF43</f>
        <v>-97799.8204329865</v>
      </c>
      <c r="AG44" s="67" t="n">
        <f aca="false">AG40+AG43</f>
        <v>-95324.1559963515</v>
      </c>
      <c r="AH44" s="67" t="n">
        <f aca="false">AH40+AH43</f>
        <v>-92910.1479071573</v>
      </c>
      <c r="AI44" s="67" t="n">
        <f aca="false">AI40+AI43</f>
        <v>-90556.2618146223</v>
      </c>
      <c r="AJ44" s="67" t="n">
        <f aca="false">AJ40+AJ43</f>
        <v>-88261.0015149969</v>
      </c>
      <c r="AK44" s="67" t="n">
        <f aca="false">AK40+AK43</f>
        <v>-86022.9080042407</v>
      </c>
      <c r="AL44" s="67" t="n">
        <f aca="false">AL40+AL43</f>
        <v>-83840.5585541905</v>
      </c>
      <c r="AM44" s="67" t="n">
        <f aca="false">AM40+AM43</f>
        <v>-168028.127544256</v>
      </c>
      <c r="AN44" s="67" t="n">
        <f aca="false">AN40+AN43</f>
        <v>-164769.522976518</v>
      </c>
      <c r="AO44" s="67" t="n">
        <f aca="false">AO40+AO43</f>
        <v>-161592.083074722</v>
      </c>
      <c r="AP44" s="67" t="n">
        <f aca="false">AP40+AP43</f>
        <v>-158493.787735666</v>
      </c>
      <c r="AQ44" s="67" t="n">
        <f aca="false">AQ40+AQ43</f>
        <v>-155472.667088327</v>
      </c>
      <c r="AR44" s="67" t="n">
        <f aca="false">AR40+AR43</f>
        <v>-152526.800246164</v>
      </c>
      <c r="AS44" s="67" t="n">
        <f aca="false">AS40+AS43</f>
        <v>-149654.314090378</v>
      </c>
      <c r="AT44" s="67" t="n">
        <f aca="false">AT40+AT43</f>
        <v>-146853.382083349</v>
      </c>
      <c r="AU44" s="67" t="n">
        <f aca="false">AU40+AU43</f>
        <v>-144122.223111514</v>
      </c>
      <c r="AV44" s="67" t="n">
        <f aca="false">AV40+AV43</f>
        <v>-141459.100356941</v>
      </c>
      <c r="AW44" s="67" t="n">
        <f aca="false">AW40+AW43</f>
        <v>-138862.320196911</v>
      </c>
      <c r="AX44" s="67" t="n">
        <f aca="false">AX40+AX43</f>
        <v>-136330.231130788</v>
      </c>
      <c r="AY44" s="67" t="n">
        <f aca="false">AY40+AY43</f>
        <v>-268650.876680009</v>
      </c>
      <c r="AZ44" s="67" t="n">
        <f aca="false">AZ40+AZ43</f>
        <v>-264714.734681923</v>
      </c>
      <c r="BA44" s="67" t="n">
        <f aca="false">BA40+BA43</f>
        <v>-260876.649346045</v>
      </c>
      <c r="BB44" s="67" t="n">
        <f aca="false">BB40+BB43</f>
        <v>-257134.179662452</v>
      </c>
      <c r="BC44" s="67" t="n">
        <f aca="false">BC40+BC43</f>
        <v>-253484.94533427</v>
      </c>
      <c r="BD44" s="67" t="n">
        <f aca="false">BD40+BD43</f>
        <v>-249926.625269214</v>
      </c>
      <c r="BE44" s="67" t="n">
        <f aca="false">BE40+BE43</f>
        <v>-246456.956108559</v>
      </c>
      <c r="BF44" s="67" t="n">
        <f aca="false">BF40+BF43</f>
        <v>-243073.73079261</v>
      </c>
      <c r="BG44" s="67" t="n">
        <f aca="false">BG40+BG43</f>
        <v>-239774.797161781</v>
      </c>
      <c r="BH44" s="67" t="n">
        <f aca="false">BH40+BH43</f>
        <v>-236558.056592375</v>
      </c>
      <c r="BI44" s="67" t="n">
        <f aca="false">BI40+BI43</f>
        <v>-233421.462666239</v>
      </c>
      <c r="BJ44" s="67" t="n">
        <f aca="false">BJ40+BJ43</f>
        <v>-230363.019873419</v>
      </c>
    </row>
    <row r="46" customFormat="false" ht="15.75" hidden="false" customHeight="true" outlineLevel="0" collapsed="false">
      <c r="A46" s="7" t="s">
        <v>414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</row>
    <row r="47" customFormat="false" ht="15" hidden="false" customHeight="false" outlineLevel="0" collapsed="false">
      <c r="A47" s="6" t="s">
        <v>83</v>
      </c>
      <c r="C47" s="66" t="n">
        <f aca="false">IF(C$4=1,Inputs!$E$23,0)</f>
        <v>20000</v>
      </c>
      <c r="D47" s="66" t="n">
        <f aca="false">IF(D$4=1,Inputs!$E$23,0)</f>
        <v>0</v>
      </c>
      <c r="E47" s="66" t="n">
        <f aca="false">IF(E$4=1,Inputs!$E$23,0)</f>
        <v>0</v>
      </c>
      <c r="F47" s="66" t="n">
        <f aca="false">IF(F$4=1,Inputs!$E$23,0)</f>
        <v>0</v>
      </c>
      <c r="G47" s="66" t="n">
        <f aca="false">IF(G$4=1,Inputs!$E$23,0)</f>
        <v>0</v>
      </c>
      <c r="H47" s="66" t="n">
        <f aca="false">IF(H$4=1,Inputs!$E$23,0)</f>
        <v>0</v>
      </c>
      <c r="I47" s="66" t="n">
        <f aca="false">IF(I$4=1,Inputs!$E$23,0)</f>
        <v>0</v>
      </c>
      <c r="J47" s="66" t="n">
        <f aca="false">IF(J$4=1,Inputs!$E$23,0)</f>
        <v>0</v>
      </c>
      <c r="K47" s="66" t="n">
        <f aca="false">IF(K$4=1,Inputs!$E$23,0)</f>
        <v>0</v>
      </c>
      <c r="L47" s="66" t="n">
        <f aca="false">IF(L$4=1,Inputs!$E$23,0)</f>
        <v>0</v>
      </c>
      <c r="M47" s="66" t="n">
        <f aca="false">IF(M$4=1,Inputs!$E$23,0)</f>
        <v>0</v>
      </c>
      <c r="N47" s="66" t="n">
        <f aca="false">IF(N$4=1,Inputs!$E$23,0)</f>
        <v>0</v>
      </c>
      <c r="O47" s="66" t="n">
        <f aca="false">IF(O$4=1,Inputs!$E$23,0)</f>
        <v>0</v>
      </c>
      <c r="P47" s="66" t="n">
        <f aca="false">IF(P$4=1,Inputs!$E$23,0)</f>
        <v>0</v>
      </c>
      <c r="Q47" s="66" t="n">
        <f aca="false">IF(Q$4=1,Inputs!$E$23,0)</f>
        <v>0</v>
      </c>
      <c r="R47" s="66" t="n">
        <f aca="false">IF(R$4=1,Inputs!$E$23,0)</f>
        <v>0</v>
      </c>
      <c r="S47" s="66" t="n">
        <f aca="false">IF(S$4=1,Inputs!$E$23,0)</f>
        <v>0</v>
      </c>
      <c r="T47" s="66" t="n">
        <f aca="false">IF(T$4=1,Inputs!$E$23,0)</f>
        <v>0</v>
      </c>
      <c r="U47" s="66" t="n">
        <f aca="false">IF(U$4=1,Inputs!$E$23,0)</f>
        <v>0</v>
      </c>
      <c r="V47" s="66" t="n">
        <f aca="false">IF(V$4=1,Inputs!$E$23,0)</f>
        <v>0</v>
      </c>
      <c r="W47" s="66" t="n">
        <f aca="false">IF(W$4=1,Inputs!$E$23,0)</f>
        <v>0</v>
      </c>
      <c r="X47" s="66" t="n">
        <f aca="false">IF(X$4=1,Inputs!$E$23,0)</f>
        <v>0</v>
      </c>
      <c r="Y47" s="66" t="n">
        <f aca="false">IF(Y$4=1,Inputs!$E$23,0)</f>
        <v>0</v>
      </c>
      <c r="Z47" s="66" t="n">
        <f aca="false">IF(Z$4=1,Inputs!$E$23,0)</f>
        <v>0</v>
      </c>
      <c r="AA47" s="66" t="n">
        <f aca="false">IF(AA$4=1,Inputs!$E$23,0)</f>
        <v>0</v>
      </c>
      <c r="AB47" s="66" t="n">
        <f aca="false">IF(AB$4=1,Inputs!$E$23,0)</f>
        <v>0</v>
      </c>
      <c r="AC47" s="66" t="n">
        <f aca="false">IF(AC$4=1,Inputs!$E$23,0)</f>
        <v>0</v>
      </c>
      <c r="AD47" s="66" t="n">
        <f aca="false">IF(AD$4=1,Inputs!$E$23,0)</f>
        <v>0</v>
      </c>
      <c r="AE47" s="66" t="n">
        <f aca="false">IF(AE$4=1,Inputs!$E$23,0)</f>
        <v>0</v>
      </c>
      <c r="AF47" s="66" t="n">
        <f aca="false">IF(AF$4=1,Inputs!$E$23,0)</f>
        <v>0</v>
      </c>
      <c r="AG47" s="66" t="n">
        <f aca="false">IF(AG$4=1,Inputs!$E$23,0)</f>
        <v>0</v>
      </c>
      <c r="AH47" s="66" t="n">
        <f aca="false">IF(AH$4=1,Inputs!$E$23,0)</f>
        <v>0</v>
      </c>
      <c r="AI47" s="66" t="n">
        <f aca="false">IF(AI$4=1,Inputs!$E$23,0)</f>
        <v>0</v>
      </c>
      <c r="AJ47" s="66" t="n">
        <f aca="false">IF(AJ$4=1,Inputs!$E$23,0)</f>
        <v>0</v>
      </c>
      <c r="AK47" s="66" t="n">
        <f aca="false">IF(AK$4=1,Inputs!$E$23,0)</f>
        <v>0</v>
      </c>
      <c r="AL47" s="66" t="n">
        <f aca="false">IF(AL$4=1,Inputs!$E$23,0)</f>
        <v>0</v>
      </c>
      <c r="AM47" s="66" t="n">
        <f aca="false">IF(AM$4=1,Inputs!$E$23,0)</f>
        <v>0</v>
      </c>
      <c r="AN47" s="66" t="n">
        <f aca="false">IF(AN$4=1,Inputs!$E$23,0)</f>
        <v>0</v>
      </c>
      <c r="AO47" s="66" t="n">
        <f aca="false">IF(AO$4=1,Inputs!$E$23,0)</f>
        <v>0</v>
      </c>
      <c r="AP47" s="66" t="n">
        <f aca="false">IF(AP$4=1,Inputs!$E$23,0)</f>
        <v>0</v>
      </c>
      <c r="AQ47" s="66" t="n">
        <f aca="false">IF(AQ$4=1,Inputs!$E$23,0)</f>
        <v>0</v>
      </c>
      <c r="AR47" s="66" t="n">
        <f aca="false">IF(AR$4=1,Inputs!$E$23,0)</f>
        <v>0</v>
      </c>
      <c r="AS47" s="66" t="n">
        <f aca="false">IF(AS$4=1,Inputs!$E$23,0)</f>
        <v>0</v>
      </c>
      <c r="AT47" s="66" t="n">
        <f aca="false">IF(AT$4=1,Inputs!$E$23,0)</f>
        <v>0</v>
      </c>
      <c r="AU47" s="66" t="n">
        <f aca="false">IF(AU$4=1,Inputs!$E$23,0)</f>
        <v>0</v>
      </c>
      <c r="AV47" s="66" t="n">
        <f aca="false">IF(AV$4=1,Inputs!$E$23,0)</f>
        <v>0</v>
      </c>
      <c r="AW47" s="66" t="n">
        <f aca="false">IF(AW$4=1,Inputs!$E$23,0)</f>
        <v>0</v>
      </c>
      <c r="AX47" s="66" t="n">
        <f aca="false">IF(AX$4=1,Inputs!$E$23,0)</f>
        <v>0</v>
      </c>
      <c r="AY47" s="66" t="n">
        <f aca="false">IF(AY$4=1,Inputs!$E$23,0)</f>
        <v>0</v>
      </c>
      <c r="AZ47" s="66" t="n">
        <f aca="false">IF(AZ$4=1,Inputs!$E$23,0)</f>
        <v>0</v>
      </c>
      <c r="BA47" s="66" t="n">
        <f aca="false">IF(BA$4=1,Inputs!$E$23,0)</f>
        <v>0</v>
      </c>
      <c r="BB47" s="66" t="n">
        <f aca="false">IF(BB$4=1,Inputs!$E$23,0)</f>
        <v>0</v>
      </c>
      <c r="BC47" s="66" t="n">
        <f aca="false">IF(BC$4=1,Inputs!$E$23,0)</f>
        <v>0</v>
      </c>
      <c r="BD47" s="66" t="n">
        <f aca="false">IF(BD$4=1,Inputs!$E$23,0)</f>
        <v>0</v>
      </c>
      <c r="BE47" s="66" t="n">
        <f aca="false">IF(BE$4=1,Inputs!$E$23,0)</f>
        <v>0</v>
      </c>
      <c r="BF47" s="66" t="n">
        <f aca="false">IF(BF$4=1,Inputs!$E$23,0)</f>
        <v>0</v>
      </c>
      <c r="BG47" s="66" t="n">
        <f aca="false">IF(BG$4=1,Inputs!$E$23,0)</f>
        <v>0</v>
      </c>
      <c r="BH47" s="66" t="n">
        <f aca="false">IF(BH$4=1,Inputs!$E$23,0)</f>
        <v>0</v>
      </c>
      <c r="BI47" s="66" t="n">
        <f aca="false">IF(BI$4=1,Inputs!$E$23,0)</f>
        <v>0</v>
      </c>
      <c r="BJ47" s="66" t="n">
        <f aca="false">IF(BJ$4=1,Inputs!$E$23,0)</f>
        <v>0</v>
      </c>
    </row>
    <row r="48" customFormat="false" ht="15" hidden="false" customHeight="false" outlineLevel="0" collapsed="false">
      <c r="A48" s="6" t="s">
        <v>415</v>
      </c>
      <c r="C48" s="66" t="n">
        <f aca="false">C47</f>
        <v>20000</v>
      </c>
      <c r="D48" s="66" t="n">
        <f aca="false">C48+D47</f>
        <v>20000</v>
      </c>
      <c r="E48" s="66" t="n">
        <f aca="false">D48+E47</f>
        <v>20000</v>
      </c>
      <c r="F48" s="66" t="n">
        <f aca="false">E48+F47</f>
        <v>20000</v>
      </c>
      <c r="G48" s="66" t="n">
        <f aca="false">F48+G47</f>
        <v>20000</v>
      </c>
      <c r="H48" s="66" t="n">
        <f aca="false">G48+H47</f>
        <v>20000</v>
      </c>
      <c r="I48" s="66" t="n">
        <f aca="false">H48+I47</f>
        <v>20000</v>
      </c>
      <c r="J48" s="66" t="n">
        <f aca="false">I48+J47</f>
        <v>20000</v>
      </c>
      <c r="K48" s="66" t="n">
        <f aca="false">J48+K47</f>
        <v>20000</v>
      </c>
      <c r="L48" s="66" t="n">
        <f aca="false">K48+L47</f>
        <v>20000</v>
      </c>
      <c r="M48" s="66" t="n">
        <f aca="false">L48+M47</f>
        <v>20000</v>
      </c>
      <c r="N48" s="66" t="n">
        <f aca="false">M48+N47</f>
        <v>20000</v>
      </c>
      <c r="O48" s="66" t="n">
        <f aca="false">N48+O47</f>
        <v>20000</v>
      </c>
      <c r="P48" s="66" t="n">
        <f aca="false">O48+P47</f>
        <v>20000</v>
      </c>
      <c r="Q48" s="66" t="n">
        <f aca="false">P48+Q47</f>
        <v>20000</v>
      </c>
      <c r="R48" s="66" t="n">
        <f aca="false">Q48+R47</f>
        <v>20000</v>
      </c>
      <c r="S48" s="66" t="n">
        <f aca="false">R48+S47</f>
        <v>20000</v>
      </c>
      <c r="T48" s="66" t="n">
        <f aca="false">S48+T47</f>
        <v>20000</v>
      </c>
      <c r="U48" s="66" t="n">
        <f aca="false">T48+U47</f>
        <v>20000</v>
      </c>
      <c r="V48" s="66" t="n">
        <f aca="false">U48+V47</f>
        <v>20000</v>
      </c>
      <c r="W48" s="66" t="n">
        <f aca="false">V48+W47</f>
        <v>20000</v>
      </c>
      <c r="X48" s="66" t="n">
        <f aca="false">W48+X47</f>
        <v>20000</v>
      </c>
      <c r="Y48" s="66" t="n">
        <f aca="false">X48+Y47</f>
        <v>20000</v>
      </c>
      <c r="Z48" s="66" t="n">
        <f aca="false">Y48+Z47</f>
        <v>20000</v>
      </c>
      <c r="AA48" s="66" t="n">
        <f aca="false">Z48+AA47</f>
        <v>20000</v>
      </c>
      <c r="AB48" s="66" t="n">
        <f aca="false">AA48+AB47</f>
        <v>20000</v>
      </c>
      <c r="AC48" s="66" t="n">
        <f aca="false">AB48+AC47</f>
        <v>20000</v>
      </c>
      <c r="AD48" s="66" t="n">
        <f aca="false">AC48+AD47</f>
        <v>20000</v>
      </c>
      <c r="AE48" s="66" t="n">
        <f aca="false">AD48+AE47</f>
        <v>20000</v>
      </c>
      <c r="AF48" s="66" t="n">
        <f aca="false">AE48+AF47</f>
        <v>20000</v>
      </c>
      <c r="AG48" s="66" t="n">
        <f aca="false">AF48+AG47</f>
        <v>20000</v>
      </c>
      <c r="AH48" s="66" t="n">
        <f aca="false">AG48+AH47</f>
        <v>20000</v>
      </c>
      <c r="AI48" s="66" t="n">
        <f aca="false">AH48+AI47</f>
        <v>20000</v>
      </c>
      <c r="AJ48" s="66" t="n">
        <f aca="false">AI48+AJ47</f>
        <v>20000</v>
      </c>
      <c r="AK48" s="66" t="n">
        <f aca="false">AJ48+AK47</f>
        <v>20000</v>
      </c>
      <c r="AL48" s="66" t="n">
        <f aca="false">AK48+AL47</f>
        <v>20000</v>
      </c>
      <c r="AM48" s="66" t="n">
        <f aca="false">AL48+AM47</f>
        <v>20000</v>
      </c>
      <c r="AN48" s="66" t="n">
        <f aca="false">AM48+AN47</f>
        <v>20000</v>
      </c>
      <c r="AO48" s="66" t="n">
        <f aca="false">AN48+AO47</f>
        <v>20000</v>
      </c>
      <c r="AP48" s="66" t="n">
        <f aca="false">AO48+AP47</f>
        <v>20000</v>
      </c>
      <c r="AQ48" s="66" t="n">
        <f aca="false">AP48+AQ47</f>
        <v>20000</v>
      </c>
      <c r="AR48" s="66" t="n">
        <f aca="false">AQ48+AR47</f>
        <v>20000</v>
      </c>
      <c r="AS48" s="66" t="n">
        <f aca="false">AR48+AS47</f>
        <v>20000</v>
      </c>
      <c r="AT48" s="66" t="n">
        <f aca="false">AS48+AT47</f>
        <v>20000</v>
      </c>
      <c r="AU48" s="66" t="n">
        <f aca="false">AT48+AU47</f>
        <v>20000</v>
      </c>
      <c r="AV48" s="66" t="n">
        <f aca="false">AU48+AV47</f>
        <v>20000</v>
      </c>
      <c r="AW48" s="66" t="n">
        <f aca="false">AV48+AW47</f>
        <v>20000</v>
      </c>
      <c r="AX48" s="66" t="n">
        <f aca="false">AW48+AX47</f>
        <v>20000</v>
      </c>
      <c r="AY48" s="66" t="n">
        <f aca="false">AX48+AY47</f>
        <v>20000</v>
      </c>
      <c r="AZ48" s="66" t="n">
        <f aca="false">AY48+AZ47</f>
        <v>20000</v>
      </c>
      <c r="BA48" s="66" t="n">
        <f aca="false">AZ48+BA47</f>
        <v>20000</v>
      </c>
      <c r="BB48" s="66" t="n">
        <f aca="false">BA48+BB47</f>
        <v>20000</v>
      </c>
      <c r="BC48" s="66" t="n">
        <f aca="false">BB48+BC47</f>
        <v>20000</v>
      </c>
      <c r="BD48" s="66" t="n">
        <f aca="false">BC48+BD47</f>
        <v>20000</v>
      </c>
      <c r="BE48" s="66" t="n">
        <f aca="false">BD48+BE47</f>
        <v>20000</v>
      </c>
      <c r="BF48" s="66" t="n">
        <f aca="false">BE48+BF47</f>
        <v>20000</v>
      </c>
      <c r="BG48" s="66" t="n">
        <f aca="false">BF48+BG47</f>
        <v>20000</v>
      </c>
      <c r="BH48" s="66" t="n">
        <f aca="false">BG48+BH47</f>
        <v>20000</v>
      </c>
      <c r="BI48" s="66" t="n">
        <f aca="false">BH48+BI47</f>
        <v>20000</v>
      </c>
      <c r="BJ48" s="66" t="n">
        <f aca="false">BI48+BJ47</f>
        <v>20000</v>
      </c>
    </row>
    <row r="49" customFormat="false" ht="15" hidden="false" customHeight="false" outlineLevel="0" collapsed="false">
      <c r="A49" s="6" t="s">
        <v>77</v>
      </c>
      <c r="C49" s="66" t="n">
        <f aca="false">-MIN(C48/MAX(1,Inputs!$E$57*12),C47)</f>
        <v>-555.555555555556</v>
      </c>
      <c r="D49" s="66" t="n">
        <f aca="false">-MIN(D48/MAX(1,Inputs!$E$57*12),C51+D47)</f>
        <v>-555.555555555556</v>
      </c>
      <c r="E49" s="66" t="n">
        <f aca="false">-MIN(E48/MAX(1,Inputs!$E$57*12),D51+E47)</f>
        <v>-555.555555555556</v>
      </c>
      <c r="F49" s="66" t="n">
        <f aca="false">-MIN(F48/MAX(1,Inputs!$E$57*12),E51+F47)</f>
        <v>-555.555555555556</v>
      </c>
      <c r="G49" s="66" t="n">
        <f aca="false">-MIN(G48/MAX(1,Inputs!$E$57*12),F51+G47)</f>
        <v>-555.555555555556</v>
      </c>
      <c r="H49" s="66" t="n">
        <f aca="false">-MIN(H48/MAX(1,Inputs!$E$57*12),G51+H47)</f>
        <v>-555.555555555556</v>
      </c>
      <c r="I49" s="66" t="n">
        <f aca="false">-MIN(I48/MAX(1,Inputs!$E$57*12),H51+I47)</f>
        <v>-555.555555555556</v>
      </c>
      <c r="J49" s="66" t="n">
        <f aca="false">-MIN(J48/MAX(1,Inputs!$E$57*12),I51+J47)</f>
        <v>-555.555555555556</v>
      </c>
      <c r="K49" s="66" t="n">
        <f aca="false">-MIN(K48/MAX(1,Inputs!$E$57*12),J51+K47)</f>
        <v>-555.555555555556</v>
      </c>
      <c r="L49" s="66" t="n">
        <f aca="false">-MIN(L48/MAX(1,Inputs!$E$57*12),K51+L47)</f>
        <v>-555.555555555556</v>
      </c>
      <c r="M49" s="66" t="n">
        <f aca="false">-MIN(M48/MAX(1,Inputs!$E$57*12),L51+M47)</f>
        <v>-555.555555555556</v>
      </c>
      <c r="N49" s="66" t="n">
        <f aca="false">-MIN(N48/MAX(1,Inputs!$E$57*12),M51+N47)</f>
        <v>-555.555555555556</v>
      </c>
      <c r="O49" s="66" t="n">
        <f aca="false">-MIN(O48/MAX(1,Inputs!$E$57*12),N51+O47)</f>
        <v>-555.555555555556</v>
      </c>
      <c r="P49" s="66" t="n">
        <f aca="false">-MIN(P48/MAX(1,Inputs!$E$57*12),O51+P47)</f>
        <v>-555.555555555556</v>
      </c>
      <c r="Q49" s="66" t="n">
        <f aca="false">-MIN(Q48/MAX(1,Inputs!$E$57*12),P51+Q47)</f>
        <v>-555.555555555556</v>
      </c>
      <c r="R49" s="66" t="n">
        <f aca="false">-MIN(R48/MAX(1,Inputs!$E$57*12),Q51+R47)</f>
        <v>-555.555555555556</v>
      </c>
      <c r="S49" s="66" t="n">
        <f aca="false">-MIN(S48/MAX(1,Inputs!$E$57*12),R51+S47)</f>
        <v>-555.555555555556</v>
      </c>
      <c r="T49" s="66" t="n">
        <f aca="false">-MIN(T48/MAX(1,Inputs!$E$57*12),S51+T47)</f>
        <v>-555.555555555556</v>
      </c>
      <c r="U49" s="66" t="n">
        <f aca="false">-MIN(U48/MAX(1,Inputs!$E$57*12),T51+U47)</f>
        <v>-555.555555555556</v>
      </c>
      <c r="V49" s="66" t="n">
        <f aca="false">-MIN(V48/MAX(1,Inputs!$E$57*12),U51+V47)</f>
        <v>-555.555555555556</v>
      </c>
      <c r="W49" s="66" t="n">
        <f aca="false">-MIN(W48/MAX(1,Inputs!$E$57*12),V51+W47)</f>
        <v>-555.555555555556</v>
      </c>
      <c r="X49" s="66" t="n">
        <f aca="false">-MIN(X48/MAX(1,Inputs!$E$57*12),W51+X47)</f>
        <v>-555.555555555556</v>
      </c>
      <c r="Y49" s="66" t="n">
        <f aca="false">-MIN(Y48/MAX(1,Inputs!$E$57*12),X51+Y47)</f>
        <v>-555.555555555556</v>
      </c>
      <c r="Z49" s="66" t="n">
        <f aca="false">-MIN(Z48/MAX(1,Inputs!$E$57*12),Y51+Z47)</f>
        <v>-555.555555555556</v>
      </c>
      <c r="AA49" s="66" t="n">
        <f aca="false">-MIN(AA48/MAX(1,Inputs!$E$57*12),Z51+AA47)</f>
        <v>-555.555555555556</v>
      </c>
      <c r="AB49" s="66" t="n">
        <f aca="false">-MIN(AB48/MAX(1,Inputs!$E$57*12),AA51+AB47)</f>
        <v>-555.555555555556</v>
      </c>
      <c r="AC49" s="66" t="n">
        <f aca="false">-MIN(AC48/MAX(1,Inputs!$E$57*12),AB51+AC47)</f>
        <v>-555.555555555556</v>
      </c>
      <c r="AD49" s="66" t="n">
        <f aca="false">-MIN(AD48/MAX(1,Inputs!$E$57*12),AC51+AD47)</f>
        <v>-555.555555555556</v>
      </c>
      <c r="AE49" s="66" t="n">
        <f aca="false">-MIN(AE48/MAX(1,Inputs!$E$57*12),AD51+AE47)</f>
        <v>-555.555555555556</v>
      </c>
      <c r="AF49" s="66" t="n">
        <f aca="false">-MIN(AF48/MAX(1,Inputs!$E$57*12),AE51+AF47)</f>
        <v>-555.555555555556</v>
      </c>
      <c r="AG49" s="66" t="n">
        <f aca="false">-MIN(AG48/MAX(1,Inputs!$E$57*12),AF51+AG47)</f>
        <v>-555.555555555556</v>
      </c>
      <c r="AH49" s="66" t="n">
        <f aca="false">-MIN(AH48/MAX(1,Inputs!$E$57*12),AG51+AH47)</f>
        <v>-555.555555555556</v>
      </c>
      <c r="AI49" s="66" t="n">
        <f aca="false">-MIN(AI48/MAX(1,Inputs!$E$57*12),AH51+AI47)</f>
        <v>-555.555555555556</v>
      </c>
      <c r="AJ49" s="66" t="n">
        <f aca="false">-MIN(AJ48/MAX(1,Inputs!$E$57*12),AI51+AJ47)</f>
        <v>-555.555555555556</v>
      </c>
      <c r="AK49" s="66" t="n">
        <f aca="false">-MIN(AK48/MAX(1,Inputs!$E$57*12),AJ51+AK47)</f>
        <v>-555.555555555556</v>
      </c>
      <c r="AL49" s="66" t="n">
        <f aca="false">-MIN(AL48/MAX(1,Inputs!$E$57*12),AK51+AL47)</f>
        <v>-555.555555555556</v>
      </c>
      <c r="AM49" s="66" t="n">
        <f aca="false">-MIN(AM48/MAX(1,Inputs!$E$57*12),AL51+AM47)</f>
        <v>-0</v>
      </c>
      <c r="AN49" s="66" t="n">
        <f aca="false">-MIN(AN48/MAX(1,Inputs!$E$57*12),AM51+AN47)</f>
        <v>-0</v>
      </c>
      <c r="AO49" s="66" t="n">
        <f aca="false">-MIN(AO48/MAX(1,Inputs!$E$57*12),AN51+AO47)</f>
        <v>-0</v>
      </c>
      <c r="AP49" s="66" t="n">
        <f aca="false">-MIN(AP48/MAX(1,Inputs!$E$57*12),AO51+AP47)</f>
        <v>-0</v>
      </c>
      <c r="AQ49" s="66" t="n">
        <f aca="false">-MIN(AQ48/MAX(1,Inputs!$E$57*12),AP51+AQ47)</f>
        <v>-0</v>
      </c>
      <c r="AR49" s="66" t="n">
        <f aca="false">-MIN(AR48/MAX(1,Inputs!$E$57*12),AQ51+AR47)</f>
        <v>-0</v>
      </c>
      <c r="AS49" s="66" t="n">
        <f aca="false">-MIN(AS48/MAX(1,Inputs!$E$57*12),AR51+AS47)</f>
        <v>-0</v>
      </c>
      <c r="AT49" s="66" t="n">
        <f aca="false">-MIN(AT48/MAX(1,Inputs!$E$57*12),AS51+AT47)</f>
        <v>-0</v>
      </c>
      <c r="AU49" s="66" t="n">
        <f aca="false">-MIN(AU48/MAX(1,Inputs!$E$57*12),AT51+AU47)</f>
        <v>-0</v>
      </c>
      <c r="AV49" s="66" t="n">
        <f aca="false">-MIN(AV48/MAX(1,Inputs!$E$57*12),AU51+AV47)</f>
        <v>-0</v>
      </c>
      <c r="AW49" s="66" t="n">
        <f aca="false">-MIN(AW48/MAX(1,Inputs!$E$57*12),AV51+AW47)</f>
        <v>-0</v>
      </c>
      <c r="AX49" s="66" t="n">
        <f aca="false">-MIN(AX48/MAX(1,Inputs!$E$57*12),AW51+AX47)</f>
        <v>-0</v>
      </c>
      <c r="AY49" s="66" t="n">
        <f aca="false">-MIN(AY48/MAX(1,Inputs!$E$57*12),AX51+AY47)</f>
        <v>-0</v>
      </c>
      <c r="AZ49" s="66" t="n">
        <f aca="false">-MIN(AZ48/MAX(1,Inputs!$E$57*12),AY51+AZ47)</f>
        <v>-0</v>
      </c>
      <c r="BA49" s="66" t="n">
        <f aca="false">-MIN(BA48/MAX(1,Inputs!$E$57*12),AZ51+BA47)</f>
        <v>-0</v>
      </c>
      <c r="BB49" s="66" t="n">
        <f aca="false">-MIN(BB48/MAX(1,Inputs!$E$57*12),BA51+BB47)</f>
        <v>-0</v>
      </c>
      <c r="BC49" s="66" t="n">
        <f aca="false">-MIN(BC48/MAX(1,Inputs!$E$57*12),BB51+BC47)</f>
        <v>-0</v>
      </c>
      <c r="BD49" s="66" t="n">
        <f aca="false">-MIN(BD48/MAX(1,Inputs!$E$57*12),BC51+BD47)</f>
        <v>-0</v>
      </c>
      <c r="BE49" s="66" t="n">
        <f aca="false">-MIN(BE48/MAX(1,Inputs!$E$57*12),BD51+BE47)</f>
        <v>-0</v>
      </c>
      <c r="BF49" s="66" t="n">
        <f aca="false">-MIN(BF48/MAX(1,Inputs!$E$57*12),BE51+BF47)</f>
        <v>-0</v>
      </c>
      <c r="BG49" s="66" t="n">
        <f aca="false">-MIN(BG48/MAX(1,Inputs!$E$57*12),BF51+BG47)</f>
        <v>-0</v>
      </c>
      <c r="BH49" s="66" t="n">
        <f aca="false">-MIN(BH48/MAX(1,Inputs!$E$57*12),BG51+BH47)</f>
        <v>-0</v>
      </c>
      <c r="BI49" s="66" t="n">
        <f aca="false">-MIN(BI48/MAX(1,Inputs!$E$57*12),BH51+BI47)</f>
        <v>-0</v>
      </c>
      <c r="BJ49" s="66" t="n">
        <f aca="false">-MIN(BJ48/MAX(1,Inputs!$E$57*12),BI51+BJ47)</f>
        <v>-0</v>
      </c>
    </row>
    <row r="50" customFormat="false" ht="15" hidden="false" customHeight="false" outlineLevel="0" collapsed="false">
      <c r="A50" s="6" t="s">
        <v>416</v>
      </c>
      <c r="C50" s="66" t="n">
        <f aca="false">C49</f>
        <v>-555.555555555556</v>
      </c>
      <c r="D50" s="66" t="n">
        <f aca="false">C50+D49</f>
        <v>-1111.11111111111</v>
      </c>
      <c r="E50" s="66" t="n">
        <f aca="false">D50+E49</f>
        <v>-1666.66666666667</v>
      </c>
      <c r="F50" s="66" t="n">
        <f aca="false">E50+F49</f>
        <v>-2222.22222222222</v>
      </c>
      <c r="G50" s="66" t="n">
        <f aca="false">F50+G49</f>
        <v>-2777.77777777778</v>
      </c>
      <c r="H50" s="66" t="n">
        <f aca="false">G50+H49</f>
        <v>-3333.33333333333</v>
      </c>
      <c r="I50" s="66" t="n">
        <f aca="false">H50+I49</f>
        <v>-3888.88888888889</v>
      </c>
      <c r="J50" s="66" t="n">
        <f aca="false">I50+J49</f>
        <v>-4444.44444444444</v>
      </c>
      <c r="K50" s="66" t="n">
        <f aca="false">J50+K49</f>
        <v>-5000</v>
      </c>
      <c r="L50" s="66" t="n">
        <f aca="false">K50+L49</f>
        <v>-5555.55555555556</v>
      </c>
      <c r="M50" s="66" t="n">
        <f aca="false">L50+M49</f>
        <v>-6111.11111111111</v>
      </c>
      <c r="N50" s="66" t="n">
        <f aca="false">M50+N49</f>
        <v>-6666.66666666667</v>
      </c>
      <c r="O50" s="66" t="n">
        <f aca="false">N50+O49</f>
        <v>-7222.22222222222</v>
      </c>
      <c r="P50" s="66" t="n">
        <f aca="false">O50+P49</f>
        <v>-7777.77777777778</v>
      </c>
      <c r="Q50" s="66" t="n">
        <f aca="false">P50+Q49</f>
        <v>-8333.33333333333</v>
      </c>
      <c r="R50" s="66" t="n">
        <f aca="false">Q50+R49</f>
        <v>-8888.88888888889</v>
      </c>
      <c r="S50" s="66" t="n">
        <f aca="false">R50+S49</f>
        <v>-9444.44444444444</v>
      </c>
      <c r="T50" s="66" t="n">
        <f aca="false">S50+T49</f>
        <v>-10000</v>
      </c>
      <c r="U50" s="66" t="n">
        <f aca="false">T50+U49</f>
        <v>-10555.5555555556</v>
      </c>
      <c r="V50" s="66" t="n">
        <f aca="false">U50+V49</f>
        <v>-11111.1111111111</v>
      </c>
      <c r="W50" s="66" t="n">
        <f aca="false">V50+W49</f>
        <v>-11666.6666666667</v>
      </c>
      <c r="X50" s="66" t="n">
        <f aca="false">W50+X49</f>
        <v>-12222.2222222222</v>
      </c>
      <c r="Y50" s="66" t="n">
        <f aca="false">X50+Y49</f>
        <v>-12777.7777777778</v>
      </c>
      <c r="Z50" s="66" t="n">
        <f aca="false">Y50+Z49</f>
        <v>-13333.3333333333</v>
      </c>
      <c r="AA50" s="66" t="n">
        <f aca="false">Z50+AA49</f>
        <v>-13888.8888888889</v>
      </c>
      <c r="AB50" s="66" t="n">
        <f aca="false">AA50+AB49</f>
        <v>-14444.4444444444</v>
      </c>
      <c r="AC50" s="66" t="n">
        <f aca="false">AB50+AC49</f>
        <v>-15000</v>
      </c>
      <c r="AD50" s="66" t="n">
        <f aca="false">AC50+AD49</f>
        <v>-15555.5555555555</v>
      </c>
      <c r="AE50" s="66" t="n">
        <f aca="false">AD50+AE49</f>
        <v>-16111.1111111111</v>
      </c>
      <c r="AF50" s="66" t="n">
        <f aca="false">AE50+AF49</f>
        <v>-16666.6666666667</v>
      </c>
      <c r="AG50" s="66" t="n">
        <f aca="false">AF50+AG49</f>
        <v>-17222.2222222222</v>
      </c>
      <c r="AH50" s="66" t="n">
        <f aca="false">AG50+AH49</f>
        <v>-17777.7777777778</v>
      </c>
      <c r="AI50" s="66" t="n">
        <f aca="false">AH50+AI49</f>
        <v>-18333.3333333333</v>
      </c>
      <c r="AJ50" s="66" t="n">
        <f aca="false">AI50+AJ49</f>
        <v>-18888.8888888889</v>
      </c>
      <c r="AK50" s="66" t="n">
        <f aca="false">AJ50+AK49</f>
        <v>-19444.4444444444</v>
      </c>
      <c r="AL50" s="66" t="n">
        <f aca="false">AK50+AL49</f>
        <v>-20000</v>
      </c>
      <c r="AM50" s="66" t="n">
        <f aca="false">AL50+AM49</f>
        <v>-20000</v>
      </c>
      <c r="AN50" s="66" t="n">
        <f aca="false">AM50+AN49</f>
        <v>-20000</v>
      </c>
      <c r="AO50" s="66" t="n">
        <f aca="false">AN50+AO49</f>
        <v>-20000</v>
      </c>
      <c r="AP50" s="66" t="n">
        <f aca="false">AO50+AP49</f>
        <v>-20000</v>
      </c>
      <c r="AQ50" s="66" t="n">
        <f aca="false">AP50+AQ49</f>
        <v>-20000</v>
      </c>
      <c r="AR50" s="66" t="n">
        <f aca="false">AQ50+AR49</f>
        <v>-20000</v>
      </c>
      <c r="AS50" s="66" t="n">
        <f aca="false">AR50+AS49</f>
        <v>-20000</v>
      </c>
      <c r="AT50" s="66" t="n">
        <f aca="false">AS50+AT49</f>
        <v>-20000</v>
      </c>
      <c r="AU50" s="66" t="n">
        <f aca="false">AT50+AU49</f>
        <v>-20000</v>
      </c>
      <c r="AV50" s="66" t="n">
        <f aca="false">AU50+AV49</f>
        <v>-20000</v>
      </c>
      <c r="AW50" s="66" t="n">
        <f aca="false">AV50+AW49</f>
        <v>-20000</v>
      </c>
      <c r="AX50" s="66" t="n">
        <f aca="false">AW50+AX49</f>
        <v>-20000</v>
      </c>
      <c r="AY50" s="66" t="n">
        <f aca="false">AX50+AY49</f>
        <v>-20000</v>
      </c>
      <c r="AZ50" s="66" t="n">
        <f aca="false">AY50+AZ49</f>
        <v>-20000</v>
      </c>
      <c r="BA50" s="66" t="n">
        <f aca="false">AZ50+BA49</f>
        <v>-20000</v>
      </c>
      <c r="BB50" s="66" t="n">
        <f aca="false">BA50+BB49</f>
        <v>-20000</v>
      </c>
      <c r="BC50" s="66" t="n">
        <f aca="false">BB50+BC49</f>
        <v>-20000</v>
      </c>
      <c r="BD50" s="66" t="n">
        <f aca="false">BC50+BD49</f>
        <v>-20000</v>
      </c>
      <c r="BE50" s="66" t="n">
        <f aca="false">BD50+BE49</f>
        <v>-20000</v>
      </c>
      <c r="BF50" s="66" t="n">
        <f aca="false">BE50+BF49</f>
        <v>-20000</v>
      </c>
      <c r="BG50" s="66" t="n">
        <f aca="false">BF50+BG49</f>
        <v>-20000</v>
      </c>
      <c r="BH50" s="66" t="n">
        <f aca="false">BG50+BH49</f>
        <v>-20000</v>
      </c>
      <c r="BI50" s="66" t="n">
        <f aca="false">BH50+BI49</f>
        <v>-20000</v>
      </c>
      <c r="BJ50" s="66" t="n">
        <f aca="false">BI50+BJ49</f>
        <v>-20000</v>
      </c>
    </row>
    <row r="51" customFormat="false" ht="15" hidden="false" customHeight="false" outlineLevel="0" collapsed="false">
      <c r="A51" s="4" t="s">
        <v>91</v>
      </c>
      <c r="C51" s="72" t="n">
        <f aca="false">C48+C50</f>
        <v>19444.4444444444</v>
      </c>
      <c r="D51" s="72" t="n">
        <f aca="false">D48+D50</f>
        <v>18888.8888888889</v>
      </c>
      <c r="E51" s="72" t="n">
        <f aca="false">E48+E50</f>
        <v>18333.3333333333</v>
      </c>
      <c r="F51" s="72" t="n">
        <f aca="false">F48+F50</f>
        <v>17777.7777777778</v>
      </c>
      <c r="G51" s="72" t="n">
        <f aca="false">G48+G50</f>
        <v>17222.2222222222</v>
      </c>
      <c r="H51" s="72" t="n">
        <f aca="false">H48+H50</f>
        <v>16666.6666666667</v>
      </c>
      <c r="I51" s="72" t="n">
        <f aca="false">I48+I50</f>
        <v>16111.1111111111</v>
      </c>
      <c r="J51" s="72" t="n">
        <f aca="false">J48+J50</f>
        <v>15555.5555555556</v>
      </c>
      <c r="K51" s="72" t="n">
        <f aca="false">K48+K50</f>
        <v>15000</v>
      </c>
      <c r="L51" s="72" t="n">
        <f aca="false">L48+L50</f>
        <v>14444.4444444444</v>
      </c>
      <c r="M51" s="72" t="n">
        <f aca="false">M48+M50</f>
        <v>13888.8888888889</v>
      </c>
      <c r="N51" s="72" t="n">
        <f aca="false">N48+N50</f>
        <v>13333.3333333333</v>
      </c>
      <c r="O51" s="72" t="n">
        <f aca="false">O48+O50</f>
        <v>12777.7777777778</v>
      </c>
      <c r="P51" s="72" t="n">
        <f aca="false">P48+P50</f>
        <v>12222.2222222222</v>
      </c>
      <c r="Q51" s="72" t="n">
        <f aca="false">Q48+Q50</f>
        <v>11666.6666666667</v>
      </c>
      <c r="R51" s="72" t="n">
        <f aca="false">R48+R50</f>
        <v>11111.1111111111</v>
      </c>
      <c r="S51" s="72" t="n">
        <f aca="false">S48+S50</f>
        <v>10555.5555555556</v>
      </c>
      <c r="T51" s="72" t="n">
        <f aca="false">T48+T50</f>
        <v>10000</v>
      </c>
      <c r="U51" s="72" t="n">
        <f aca="false">U48+U50</f>
        <v>9444.44444444445</v>
      </c>
      <c r="V51" s="72" t="n">
        <f aca="false">V48+V50</f>
        <v>8888.88888888889</v>
      </c>
      <c r="W51" s="72" t="n">
        <f aca="false">W48+W50</f>
        <v>8333.33333333334</v>
      </c>
      <c r="X51" s="72" t="n">
        <f aca="false">X48+X50</f>
        <v>7777.77777777778</v>
      </c>
      <c r="Y51" s="72" t="n">
        <f aca="false">Y48+Y50</f>
        <v>7222.22222222223</v>
      </c>
      <c r="Z51" s="72" t="n">
        <f aca="false">Z48+Z50</f>
        <v>6666.66666666667</v>
      </c>
      <c r="AA51" s="72" t="n">
        <f aca="false">AA48+AA50</f>
        <v>6111.11111111112</v>
      </c>
      <c r="AB51" s="72" t="n">
        <f aca="false">AB48+AB50</f>
        <v>5555.55555555556</v>
      </c>
      <c r="AC51" s="72" t="n">
        <f aca="false">AC48+AC50</f>
        <v>5000.00000000001</v>
      </c>
      <c r="AD51" s="72" t="n">
        <f aca="false">AD48+AD50</f>
        <v>4444.44444444445</v>
      </c>
      <c r="AE51" s="72" t="n">
        <f aca="false">AE48+AE50</f>
        <v>3888.8888888889</v>
      </c>
      <c r="AF51" s="72" t="n">
        <f aca="false">AF48+AF50</f>
        <v>3333.33333333334</v>
      </c>
      <c r="AG51" s="72" t="n">
        <f aca="false">AG48+AG50</f>
        <v>2777.77777777779</v>
      </c>
      <c r="AH51" s="72" t="n">
        <f aca="false">AH48+AH50</f>
        <v>2222.22222222223</v>
      </c>
      <c r="AI51" s="72" t="n">
        <f aca="false">AI48+AI50</f>
        <v>1666.66666666668</v>
      </c>
      <c r="AJ51" s="72" t="n">
        <f aca="false">AJ48+AJ50</f>
        <v>1111.11111111112</v>
      </c>
      <c r="AK51" s="72" t="n">
        <f aca="false">AK48+AK50</f>
        <v>555.555555555569</v>
      </c>
      <c r="AL51" s="72" t="n">
        <f aca="false">AL48+AL50</f>
        <v>0</v>
      </c>
      <c r="AM51" s="72" t="n">
        <f aca="false">AM48+AM50</f>
        <v>0</v>
      </c>
      <c r="AN51" s="72" t="n">
        <f aca="false">AN48+AN50</f>
        <v>0</v>
      </c>
      <c r="AO51" s="72" t="n">
        <f aca="false">AO48+AO50</f>
        <v>0</v>
      </c>
      <c r="AP51" s="72" t="n">
        <f aca="false">AP48+AP50</f>
        <v>0</v>
      </c>
      <c r="AQ51" s="72" t="n">
        <f aca="false">AQ48+AQ50</f>
        <v>0</v>
      </c>
      <c r="AR51" s="72" t="n">
        <f aca="false">AR48+AR50</f>
        <v>0</v>
      </c>
      <c r="AS51" s="72" t="n">
        <f aca="false">AS48+AS50</f>
        <v>0</v>
      </c>
      <c r="AT51" s="72" t="n">
        <f aca="false">AT48+AT50</f>
        <v>0</v>
      </c>
      <c r="AU51" s="72" t="n">
        <f aca="false">AU48+AU50</f>
        <v>0</v>
      </c>
      <c r="AV51" s="72" t="n">
        <f aca="false">AV48+AV50</f>
        <v>0</v>
      </c>
      <c r="AW51" s="72" t="n">
        <f aca="false">AW48+AW50</f>
        <v>0</v>
      </c>
      <c r="AX51" s="72" t="n">
        <f aca="false">AX48+AX50</f>
        <v>0</v>
      </c>
      <c r="AY51" s="72" t="n">
        <f aca="false">AY48+AY50</f>
        <v>0</v>
      </c>
      <c r="AZ51" s="72" t="n">
        <f aca="false">AZ48+AZ50</f>
        <v>0</v>
      </c>
      <c r="BA51" s="72" t="n">
        <f aca="false">BA48+BA50</f>
        <v>0</v>
      </c>
      <c r="BB51" s="72" t="n">
        <f aca="false">BB48+BB50</f>
        <v>0</v>
      </c>
      <c r="BC51" s="72" t="n">
        <f aca="false">BC48+BC50</f>
        <v>0</v>
      </c>
      <c r="BD51" s="72" t="n">
        <f aca="false">BD48+BD50</f>
        <v>0</v>
      </c>
      <c r="BE51" s="72" t="n">
        <f aca="false">BE48+BE50</f>
        <v>0</v>
      </c>
      <c r="BF51" s="72" t="n">
        <f aca="false">BF48+BF50</f>
        <v>0</v>
      </c>
      <c r="BG51" s="72" t="n">
        <f aca="false">BG48+BG50</f>
        <v>0</v>
      </c>
      <c r="BH51" s="72" t="n">
        <f aca="false">BH48+BH50</f>
        <v>0</v>
      </c>
      <c r="BI51" s="72" t="n">
        <f aca="false">BI48+BI50</f>
        <v>0</v>
      </c>
      <c r="BJ51" s="72" t="n">
        <f aca="false">BJ48+BJ50</f>
        <v>0</v>
      </c>
    </row>
    <row r="53" customFormat="false" ht="15.75" hidden="false" customHeight="true" outlineLevel="0" collapsed="false">
      <c r="A53" s="7" t="s">
        <v>417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</row>
    <row r="54" customFormat="false" ht="15" hidden="false" customHeight="false" outlineLevel="0" collapsed="false">
      <c r="A54" s="6" t="s">
        <v>418</v>
      </c>
      <c r="C54" s="66" t="n">
        <f aca="false">0</f>
        <v>0</v>
      </c>
      <c r="D54" s="66" t="n">
        <f aca="false">C57</f>
        <v>0</v>
      </c>
      <c r="E54" s="66" t="n">
        <f aca="false">D57</f>
        <v>0</v>
      </c>
      <c r="F54" s="66" t="n">
        <f aca="false">E57</f>
        <v>0</v>
      </c>
      <c r="G54" s="66" t="n">
        <f aca="false">F57</f>
        <v>0</v>
      </c>
      <c r="H54" s="66" t="n">
        <f aca="false">G57</f>
        <v>0</v>
      </c>
      <c r="I54" s="66" t="n">
        <f aca="false">H57</f>
        <v>0</v>
      </c>
      <c r="J54" s="66" t="n">
        <f aca="false">I57</f>
        <v>0</v>
      </c>
      <c r="K54" s="66" t="n">
        <f aca="false">J57</f>
        <v>0</v>
      </c>
      <c r="L54" s="66" t="n">
        <f aca="false">K57</f>
        <v>0</v>
      </c>
      <c r="M54" s="66" t="n">
        <f aca="false">L57</f>
        <v>0</v>
      </c>
      <c r="N54" s="66" t="n">
        <f aca="false">M57</f>
        <v>0</v>
      </c>
      <c r="O54" s="66" t="n">
        <f aca="false">N57</f>
        <v>0</v>
      </c>
      <c r="P54" s="66" t="n">
        <f aca="false">O57</f>
        <v>0</v>
      </c>
      <c r="Q54" s="66" t="n">
        <f aca="false">P57</f>
        <v>0</v>
      </c>
      <c r="R54" s="66" t="n">
        <f aca="false">Q57</f>
        <v>0</v>
      </c>
      <c r="S54" s="66" t="n">
        <f aca="false">R57</f>
        <v>0</v>
      </c>
      <c r="T54" s="66" t="n">
        <f aca="false">S57</f>
        <v>0</v>
      </c>
      <c r="U54" s="66" t="n">
        <f aca="false">T57</f>
        <v>0</v>
      </c>
      <c r="V54" s="66" t="n">
        <f aca="false">U57</f>
        <v>0</v>
      </c>
      <c r="W54" s="66" t="n">
        <f aca="false">V57</f>
        <v>0</v>
      </c>
      <c r="X54" s="66" t="n">
        <f aca="false">W57</f>
        <v>0</v>
      </c>
      <c r="Y54" s="66" t="n">
        <f aca="false">X57</f>
        <v>0</v>
      </c>
      <c r="Z54" s="66" t="n">
        <f aca="false">Y57</f>
        <v>0</v>
      </c>
      <c r="AA54" s="66" t="n">
        <f aca="false">Z57</f>
        <v>0</v>
      </c>
      <c r="AB54" s="66" t="n">
        <f aca="false">AA57</f>
        <v>0</v>
      </c>
      <c r="AC54" s="66" t="n">
        <f aca="false">AB57</f>
        <v>0</v>
      </c>
      <c r="AD54" s="66" t="n">
        <f aca="false">AC57</f>
        <v>0</v>
      </c>
      <c r="AE54" s="66" t="n">
        <f aca="false">AD57</f>
        <v>0</v>
      </c>
      <c r="AF54" s="66" t="n">
        <f aca="false">AE57</f>
        <v>0</v>
      </c>
      <c r="AG54" s="66" t="n">
        <f aca="false">AF57</f>
        <v>0</v>
      </c>
      <c r="AH54" s="66" t="n">
        <f aca="false">AG57</f>
        <v>0</v>
      </c>
      <c r="AI54" s="66" t="n">
        <f aca="false">AH57</f>
        <v>0</v>
      </c>
      <c r="AJ54" s="66" t="n">
        <f aca="false">AI57</f>
        <v>0</v>
      </c>
      <c r="AK54" s="66" t="n">
        <f aca="false">AJ57</f>
        <v>0</v>
      </c>
      <c r="AL54" s="66" t="n">
        <f aca="false">AK57</f>
        <v>0</v>
      </c>
      <c r="AM54" s="66" t="n">
        <f aca="false">AL57</f>
        <v>0</v>
      </c>
      <c r="AN54" s="66" t="n">
        <f aca="false">AM57</f>
        <v>0</v>
      </c>
      <c r="AO54" s="66" t="n">
        <f aca="false">AN57</f>
        <v>0</v>
      </c>
      <c r="AP54" s="66" t="n">
        <f aca="false">AO57</f>
        <v>0</v>
      </c>
      <c r="AQ54" s="66" t="n">
        <f aca="false">AP57</f>
        <v>0</v>
      </c>
      <c r="AR54" s="66" t="n">
        <f aca="false">AQ57</f>
        <v>0</v>
      </c>
      <c r="AS54" s="66" t="n">
        <f aca="false">AR57</f>
        <v>0</v>
      </c>
      <c r="AT54" s="66" t="n">
        <f aca="false">AS57</f>
        <v>0</v>
      </c>
      <c r="AU54" s="66" t="n">
        <f aca="false">AT57</f>
        <v>0</v>
      </c>
      <c r="AV54" s="66" t="n">
        <f aca="false">AU57</f>
        <v>0</v>
      </c>
      <c r="AW54" s="66" t="n">
        <f aca="false">AV57</f>
        <v>0</v>
      </c>
      <c r="AX54" s="66" t="n">
        <f aca="false">AW57</f>
        <v>0</v>
      </c>
      <c r="AY54" s="66" t="n">
        <f aca="false">AX57</f>
        <v>0</v>
      </c>
      <c r="AZ54" s="66" t="n">
        <f aca="false">AY57</f>
        <v>0</v>
      </c>
      <c r="BA54" s="66" t="n">
        <f aca="false">AZ57</f>
        <v>0</v>
      </c>
      <c r="BB54" s="66" t="n">
        <f aca="false">BA57</f>
        <v>0</v>
      </c>
      <c r="BC54" s="66" t="n">
        <f aca="false">BB57</f>
        <v>0</v>
      </c>
      <c r="BD54" s="66" t="n">
        <f aca="false">BC57</f>
        <v>0</v>
      </c>
      <c r="BE54" s="66" t="n">
        <f aca="false">BD57</f>
        <v>0</v>
      </c>
      <c r="BF54" s="66" t="n">
        <f aca="false">BE57</f>
        <v>0</v>
      </c>
      <c r="BG54" s="66" t="n">
        <f aca="false">BF57</f>
        <v>0</v>
      </c>
      <c r="BH54" s="66" t="n">
        <f aca="false">BG57</f>
        <v>0</v>
      </c>
      <c r="BI54" s="66" t="n">
        <f aca="false">BH57</f>
        <v>0</v>
      </c>
      <c r="BJ54" s="66" t="n">
        <f aca="false">BI57</f>
        <v>0</v>
      </c>
    </row>
    <row r="55" customFormat="false" ht="15" hidden="false" customHeight="false" outlineLevel="0" collapsed="false">
      <c r="A55" s="6" t="s">
        <v>84</v>
      </c>
      <c r="C55" s="66" t="n">
        <f aca="false">IF(C$4=1,Inputs!$E$47,0)</f>
        <v>0</v>
      </c>
      <c r="D55" s="66" t="n">
        <f aca="false">IF(D$4=1,Inputs!$E$47,0)</f>
        <v>0</v>
      </c>
      <c r="E55" s="66" t="n">
        <f aca="false">IF(E$4=1,Inputs!$E$47,0)</f>
        <v>0</v>
      </c>
      <c r="F55" s="66" t="n">
        <f aca="false">IF(F$4=1,Inputs!$E$47,0)</f>
        <v>0</v>
      </c>
      <c r="G55" s="66" t="n">
        <f aca="false">IF(G$4=1,Inputs!$E$47,0)</f>
        <v>0</v>
      </c>
      <c r="H55" s="66" t="n">
        <f aca="false">IF(H$4=1,Inputs!$E$47,0)</f>
        <v>0</v>
      </c>
      <c r="I55" s="66" t="n">
        <f aca="false">IF(I$4=1,Inputs!$E$47,0)</f>
        <v>0</v>
      </c>
      <c r="J55" s="66" t="n">
        <f aca="false">IF(J$4=1,Inputs!$E$47,0)</f>
        <v>0</v>
      </c>
      <c r="K55" s="66" t="n">
        <f aca="false">IF(K$4=1,Inputs!$E$47,0)</f>
        <v>0</v>
      </c>
      <c r="L55" s="66" t="n">
        <f aca="false">IF(L$4=1,Inputs!$E$47,0)</f>
        <v>0</v>
      </c>
      <c r="M55" s="66" t="n">
        <f aca="false">IF(M$4=1,Inputs!$E$47,0)</f>
        <v>0</v>
      </c>
      <c r="N55" s="66" t="n">
        <f aca="false">IF(N$4=1,Inputs!$E$47,0)</f>
        <v>0</v>
      </c>
      <c r="O55" s="66" t="n">
        <f aca="false">IF(O$4=1,Inputs!$E$47,0)</f>
        <v>0</v>
      </c>
      <c r="P55" s="66" t="n">
        <f aca="false">IF(P$4=1,Inputs!$E$47,0)</f>
        <v>0</v>
      </c>
      <c r="Q55" s="66" t="n">
        <f aca="false">IF(Q$4=1,Inputs!$E$47,0)</f>
        <v>0</v>
      </c>
      <c r="R55" s="66" t="n">
        <f aca="false">IF(R$4=1,Inputs!$E$47,0)</f>
        <v>0</v>
      </c>
      <c r="S55" s="66" t="n">
        <f aca="false">IF(S$4=1,Inputs!$E$47,0)</f>
        <v>0</v>
      </c>
      <c r="T55" s="66" t="n">
        <f aca="false">IF(T$4=1,Inputs!$E$47,0)</f>
        <v>0</v>
      </c>
      <c r="U55" s="66" t="n">
        <f aca="false">IF(U$4=1,Inputs!$E$47,0)</f>
        <v>0</v>
      </c>
      <c r="V55" s="66" t="n">
        <f aca="false">IF(V$4=1,Inputs!$E$47,0)</f>
        <v>0</v>
      </c>
      <c r="W55" s="66" t="n">
        <f aca="false">IF(W$4=1,Inputs!$E$47,0)</f>
        <v>0</v>
      </c>
      <c r="X55" s="66" t="n">
        <f aca="false">IF(X$4=1,Inputs!$E$47,0)</f>
        <v>0</v>
      </c>
      <c r="Y55" s="66" t="n">
        <f aca="false">IF(Y$4=1,Inputs!$E$47,0)</f>
        <v>0</v>
      </c>
      <c r="Z55" s="66" t="n">
        <f aca="false">IF(Z$4=1,Inputs!$E$47,0)</f>
        <v>0</v>
      </c>
      <c r="AA55" s="66" t="n">
        <f aca="false">IF(AA$4=1,Inputs!$E$47,0)</f>
        <v>0</v>
      </c>
      <c r="AB55" s="66" t="n">
        <f aca="false">IF(AB$4=1,Inputs!$E$47,0)</f>
        <v>0</v>
      </c>
      <c r="AC55" s="66" t="n">
        <f aca="false">IF(AC$4=1,Inputs!$E$47,0)</f>
        <v>0</v>
      </c>
      <c r="AD55" s="66" t="n">
        <f aca="false">IF(AD$4=1,Inputs!$E$47,0)</f>
        <v>0</v>
      </c>
      <c r="AE55" s="66" t="n">
        <f aca="false">IF(AE$4=1,Inputs!$E$47,0)</f>
        <v>0</v>
      </c>
      <c r="AF55" s="66" t="n">
        <f aca="false">IF(AF$4=1,Inputs!$E$47,0)</f>
        <v>0</v>
      </c>
      <c r="AG55" s="66" t="n">
        <f aca="false">IF(AG$4=1,Inputs!$E$47,0)</f>
        <v>0</v>
      </c>
      <c r="AH55" s="66" t="n">
        <f aca="false">IF(AH$4=1,Inputs!$E$47,0)</f>
        <v>0</v>
      </c>
      <c r="AI55" s="66" t="n">
        <f aca="false">IF(AI$4=1,Inputs!$E$47,0)</f>
        <v>0</v>
      </c>
      <c r="AJ55" s="66" t="n">
        <f aca="false">IF(AJ$4=1,Inputs!$E$47,0)</f>
        <v>0</v>
      </c>
      <c r="AK55" s="66" t="n">
        <f aca="false">IF(AK$4=1,Inputs!$E$47,0)</f>
        <v>0</v>
      </c>
      <c r="AL55" s="66" t="n">
        <f aca="false">IF(AL$4=1,Inputs!$E$47,0)</f>
        <v>0</v>
      </c>
      <c r="AM55" s="66" t="n">
        <f aca="false">IF(AM$4=1,Inputs!$E$47,0)</f>
        <v>0</v>
      </c>
      <c r="AN55" s="66" t="n">
        <f aca="false">IF(AN$4=1,Inputs!$E$47,0)</f>
        <v>0</v>
      </c>
      <c r="AO55" s="66" t="n">
        <f aca="false">IF(AO$4=1,Inputs!$E$47,0)</f>
        <v>0</v>
      </c>
      <c r="AP55" s="66" t="n">
        <f aca="false">IF(AP$4=1,Inputs!$E$47,0)</f>
        <v>0</v>
      </c>
      <c r="AQ55" s="66" t="n">
        <f aca="false">IF(AQ$4=1,Inputs!$E$47,0)</f>
        <v>0</v>
      </c>
      <c r="AR55" s="66" t="n">
        <f aca="false">IF(AR$4=1,Inputs!$E$47,0)</f>
        <v>0</v>
      </c>
      <c r="AS55" s="66" t="n">
        <f aca="false">IF(AS$4=1,Inputs!$E$47,0)</f>
        <v>0</v>
      </c>
      <c r="AT55" s="66" t="n">
        <f aca="false">IF(AT$4=1,Inputs!$E$47,0)</f>
        <v>0</v>
      </c>
      <c r="AU55" s="66" t="n">
        <f aca="false">IF(AU$4=1,Inputs!$E$47,0)</f>
        <v>0</v>
      </c>
      <c r="AV55" s="66" t="n">
        <f aca="false">IF(AV$4=1,Inputs!$E$47,0)</f>
        <v>0</v>
      </c>
      <c r="AW55" s="66" t="n">
        <f aca="false">IF(AW$4=1,Inputs!$E$47,0)</f>
        <v>0</v>
      </c>
      <c r="AX55" s="66" t="n">
        <f aca="false">IF(AX$4=1,Inputs!$E$47,0)</f>
        <v>0</v>
      </c>
      <c r="AY55" s="66" t="n">
        <f aca="false">IF(AY$4=1,Inputs!$E$47,0)</f>
        <v>0</v>
      </c>
      <c r="AZ55" s="66" t="n">
        <f aca="false">IF(AZ$4=1,Inputs!$E$47,0)</f>
        <v>0</v>
      </c>
      <c r="BA55" s="66" t="n">
        <f aca="false">IF(BA$4=1,Inputs!$E$47,0)</f>
        <v>0</v>
      </c>
      <c r="BB55" s="66" t="n">
        <f aca="false">IF(BB$4=1,Inputs!$E$47,0)</f>
        <v>0</v>
      </c>
      <c r="BC55" s="66" t="n">
        <f aca="false">IF(BC$4=1,Inputs!$E$47,0)</f>
        <v>0</v>
      </c>
      <c r="BD55" s="66" t="n">
        <f aca="false">IF(BD$4=1,Inputs!$E$47,0)</f>
        <v>0</v>
      </c>
      <c r="BE55" s="66" t="n">
        <f aca="false">IF(BE$4=1,Inputs!$E$47,0)</f>
        <v>0</v>
      </c>
      <c r="BF55" s="66" t="n">
        <f aca="false">IF(BF$4=1,Inputs!$E$47,0)</f>
        <v>0</v>
      </c>
      <c r="BG55" s="66" t="n">
        <f aca="false">IF(BG$4=1,Inputs!$E$47,0)</f>
        <v>0</v>
      </c>
      <c r="BH55" s="66" t="n">
        <f aca="false">IF(BH$4=1,Inputs!$E$47,0)</f>
        <v>0</v>
      </c>
      <c r="BI55" s="66" t="n">
        <f aca="false">IF(BI$4=1,Inputs!$E$47,0)</f>
        <v>0</v>
      </c>
      <c r="BJ55" s="66" t="n">
        <f aca="false">IF(BJ$4=1,Inputs!$E$47,0)</f>
        <v>0</v>
      </c>
    </row>
    <row r="56" customFormat="false" ht="15" hidden="false" customHeight="false" outlineLevel="0" collapsed="false">
      <c r="A56" s="6" t="s">
        <v>85</v>
      </c>
      <c r="C56" s="66" t="n">
        <f aca="false">-MIN(C54,Inputs!$E$47/MAX(1,Inputs!$E$49*12))</f>
        <v>-0</v>
      </c>
      <c r="D56" s="66" t="n">
        <f aca="false">-MIN(D54,Inputs!$E$47/MAX(1,Inputs!$E$49*12))</f>
        <v>-0</v>
      </c>
      <c r="E56" s="66" t="n">
        <f aca="false">-MIN(E54,Inputs!$E$47/MAX(1,Inputs!$E$49*12))</f>
        <v>-0</v>
      </c>
      <c r="F56" s="66" t="n">
        <f aca="false">-MIN(F54,Inputs!$E$47/MAX(1,Inputs!$E$49*12))</f>
        <v>-0</v>
      </c>
      <c r="G56" s="66" t="n">
        <f aca="false">-MIN(G54,Inputs!$E$47/MAX(1,Inputs!$E$49*12))</f>
        <v>-0</v>
      </c>
      <c r="H56" s="66" t="n">
        <f aca="false">-MIN(H54,Inputs!$E$47/MAX(1,Inputs!$E$49*12))</f>
        <v>-0</v>
      </c>
      <c r="I56" s="66" t="n">
        <f aca="false">-MIN(I54,Inputs!$E$47/MAX(1,Inputs!$E$49*12))</f>
        <v>-0</v>
      </c>
      <c r="J56" s="66" t="n">
        <f aca="false">-MIN(J54,Inputs!$E$47/MAX(1,Inputs!$E$49*12))</f>
        <v>-0</v>
      </c>
      <c r="K56" s="66" t="n">
        <f aca="false">-MIN(K54,Inputs!$E$47/MAX(1,Inputs!$E$49*12))</f>
        <v>-0</v>
      </c>
      <c r="L56" s="66" t="n">
        <f aca="false">-MIN(L54,Inputs!$E$47/MAX(1,Inputs!$E$49*12))</f>
        <v>-0</v>
      </c>
      <c r="M56" s="66" t="n">
        <f aca="false">-MIN(M54,Inputs!$E$47/MAX(1,Inputs!$E$49*12))</f>
        <v>-0</v>
      </c>
      <c r="N56" s="66" t="n">
        <f aca="false">-MIN(N54,Inputs!$E$47/MAX(1,Inputs!$E$49*12))</f>
        <v>-0</v>
      </c>
      <c r="O56" s="66" t="n">
        <f aca="false">-MIN(O54,Inputs!$E$47/MAX(1,Inputs!$E$49*12))</f>
        <v>-0</v>
      </c>
      <c r="P56" s="66" t="n">
        <f aca="false">-MIN(P54,Inputs!$E$47/MAX(1,Inputs!$E$49*12))</f>
        <v>-0</v>
      </c>
      <c r="Q56" s="66" t="n">
        <f aca="false">-MIN(Q54,Inputs!$E$47/MAX(1,Inputs!$E$49*12))</f>
        <v>-0</v>
      </c>
      <c r="R56" s="66" t="n">
        <f aca="false">-MIN(R54,Inputs!$E$47/MAX(1,Inputs!$E$49*12))</f>
        <v>-0</v>
      </c>
      <c r="S56" s="66" t="n">
        <f aca="false">-MIN(S54,Inputs!$E$47/MAX(1,Inputs!$E$49*12))</f>
        <v>-0</v>
      </c>
      <c r="T56" s="66" t="n">
        <f aca="false">-MIN(T54,Inputs!$E$47/MAX(1,Inputs!$E$49*12))</f>
        <v>-0</v>
      </c>
      <c r="U56" s="66" t="n">
        <f aca="false">-MIN(U54,Inputs!$E$47/MAX(1,Inputs!$E$49*12))</f>
        <v>-0</v>
      </c>
      <c r="V56" s="66" t="n">
        <f aca="false">-MIN(V54,Inputs!$E$47/MAX(1,Inputs!$E$49*12))</f>
        <v>-0</v>
      </c>
      <c r="W56" s="66" t="n">
        <f aca="false">-MIN(W54,Inputs!$E$47/MAX(1,Inputs!$E$49*12))</f>
        <v>-0</v>
      </c>
      <c r="X56" s="66" t="n">
        <f aca="false">-MIN(X54,Inputs!$E$47/MAX(1,Inputs!$E$49*12))</f>
        <v>-0</v>
      </c>
      <c r="Y56" s="66" t="n">
        <f aca="false">-MIN(Y54,Inputs!$E$47/MAX(1,Inputs!$E$49*12))</f>
        <v>-0</v>
      </c>
      <c r="Z56" s="66" t="n">
        <f aca="false">-MIN(Z54,Inputs!$E$47/MAX(1,Inputs!$E$49*12))</f>
        <v>-0</v>
      </c>
      <c r="AA56" s="66" t="n">
        <f aca="false">-MIN(AA54,Inputs!$E$47/MAX(1,Inputs!$E$49*12))</f>
        <v>-0</v>
      </c>
      <c r="AB56" s="66" t="n">
        <f aca="false">-MIN(AB54,Inputs!$E$47/MAX(1,Inputs!$E$49*12))</f>
        <v>-0</v>
      </c>
      <c r="AC56" s="66" t="n">
        <f aca="false">-MIN(AC54,Inputs!$E$47/MAX(1,Inputs!$E$49*12))</f>
        <v>-0</v>
      </c>
      <c r="AD56" s="66" t="n">
        <f aca="false">-MIN(AD54,Inputs!$E$47/MAX(1,Inputs!$E$49*12))</f>
        <v>-0</v>
      </c>
      <c r="AE56" s="66" t="n">
        <f aca="false">-MIN(AE54,Inputs!$E$47/MAX(1,Inputs!$E$49*12))</f>
        <v>-0</v>
      </c>
      <c r="AF56" s="66" t="n">
        <f aca="false">-MIN(AF54,Inputs!$E$47/MAX(1,Inputs!$E$49*12))</f>
        <v>-0</v>
      </c>
      <c r="AG56" s="66" t="n">
        <f aca="false">-MIN(AG54,Inputs!$E$47/MAX(1,Inputs!$E$49*12))</f>
        <v>-0</v>
      </c>
      <c r="AH56" s="66" t="n">
        <f aca="false">-MIN(AH54,Inputs!$E$47/MAX(1,Inputs!$E$49*12))</f>
        <v>-0</v>
      </c>
      <c r="AI56" s="66" t="n">
        <f aca="false">-MIN(AI54,Inputs!$E$47/MAX(1,Inputs!$E$49*12))</f>
        <v>-0</v>
      </c>
      <c r="AJ56" s="66" t="n">
        <f aca="false">-MIN(AJ54,Inputs!$E$47/MAX(1,Inputs!$E$49*12))</f>
        <v>-0</v>
      </c>
      <c r="AK56" s="66" t="n">
        <f aca="false">-MIN(AK54,Inputs!$E$47/MAX(1,Inputs!$E$49*12))</f>
        <v>-0</v>
      </c>
      <c r="AL56" s="66" t="n">
        <f aca="false">-MIN(AL54,Inputs!$E$47/MAX(1,Inputs!$E$49*12))</f>
        <v>-0</v>
      </c>
      <c r="AM56" s="66" t="n">
        <f aca="false">-MIN(AM54,Inputs!$E$47/MAX(1,Inputs!$E$49*12))</f>
        <v>-0</v>
      </c>
      <c r="AN56" s="66" t="n">
        <f aca="false">-MIN(AN54,Inputs!$E$47/MAX(1,Inputs!$E$49*12))</f>
        <v>-0</v>
      </c>
      <c r="AO56" s="66" t="n">
        <f aca="false">-MIN(AO54,Inputs!$E$47/MAX(1,Inputs!$E$49*12))</f>
        <v>-0</v>
      </c>
      <c r="AP56" s="66" t="n">
        <f aca="false">-MIN(AP54,Inputs!$E$47/MAX(1,Inputs!$E$49*12))</f>
        <v>-0</v>
      </c>
      <c r="AQ56" s="66" t="n">
        <f aca="false">-MIN(AQ54,Inputs!$E$47/MAX(1,Inputs!$E$49*12))</f>
        <v>-0</v>
      </c>
      <c r="AR56" s="66" t="n">
        <f aca="false">-MIN(AR54,Inputs!$E$47/MAX(1,Inputs!$E$49*12))</f>
        <v>-0</v>
      </c>
      <c r="AS56" s="66" t="n">
        <f aca="false">-MIN(AS54,Inputs!$E$47/MAX(1,Inputs!$E$49*12))</f>
        <v>-0</v>
      </c>
      <c r="AT56" s="66" t="n">
        <f aca="false">-MIN(AT54,Inputs!$E$47/MAX(1,Inputs!$E$49*12))</f>
        <v>-0</v>
      </c>
      <c r="AU56" s="66" t="n">
        <f aca="false">-MIN(AU54,Inputs!$E$47/MAX(1,Inputs!$E$49*12))</f>
        <v>-0</v>
      </c>
      <c r="AV56" s="66" t="n">
        <f aca="false">-MIN(AV54,Inputs!$E$47/MAX(1,Inputs!$E$49*12))</f>
        <v>-0</v>
      </c>
      <c r="AW56" s="66" t="n">
        <f aca="false">-MIN(AW54,Inputs!$E$47/MAX(1,Inputs!$E$49*12))</f>
        <v>-0</v>
      </c>
      <c r="AX56" s="66" t="n">
        <f aca="false">-MIN(AX54,Inputs!$E$47/MAX(1,Inputs!$E$49*12))</f>
        <v>-0</v>
      </c>
      <c r="AY56" s="66" t="n">
        <f aca="false">-MIN(AY54,Inputs!$E$47/MAX(1,Inputs!$E$49*12))</f>
        <v>-0</v>
      </c>
      <c r="AZ56" s="66" t="n">
        <f aca="false">-MIN(AZ54,Inputs!$E$47/MAX(1,Inputs!$E$49*12))</f>
        <v>-0</v>
      </c>
      <c r="BA56" s="66" t="n">
        <f aca="false">-MIN(BA54,Inputs!$E$47/MAX(1,Inputs!$E$49*12))</f>
        <v>-0</v>
      </c>
      <c r="BB56" s="66" t="n">
        <f aca="false">-MIN(BB54,Inputs!$E$47/MAX(1,Inputs!$E$49*12))</f>
        <v>-0</v>
      </c>
      <c r="BC56" s="66" t="n">
        <f aca="false">-MIN(BC54,Inputs!$E$47/MAX(1,Inputs!$E$49*12))</f>
        <v>-0</v>
      </c>
      <c r="BD56" s="66" t="n">
        <f aca="false">-MIN(BD54,Inputs!$E$47/MAX(1,Inputs!$E$49*12))</f>
        <v>-0</v>
      </c>
      <c r="BE56" s="66" t="n">
        <f aca="false">-MIN(BE54,Inputs!$E$47/MAX(1,Inputs!$E$49*12))</f>
        <v>-0</v>
      </c>
      <c r="BF56" s="66" t="n">
        <f aca="false">-MIN(BF54,Inputs!$E$47/MAX(1,Inputs!$E$49*12))</f>
        <v>-0</v>
      </c>
      <c r="BG56" s="66" t="n">
        <f aca="false">-MIN(BG54,Inputs!$E$47/MAX(1,Inputs!$E$49*12))</f>
        <v>-0</v>
      </c>
      <c r="BH56" s="66" t="n">
        <f aca="false">-MIN(BH54,Inputs!$E$47/MAX(1,Inputs!$E$49*12))</f>
        <v>-0</v>
      </c>
      <c r="BI56" s="66" t="n">
        <f aca="false">-MIN(BI54,Inputs!$E$47/MAX(1,Inputs!$E$49*12))</f>
        <v>-0</v>
      </c>
      <c r="BJ56" s="66" t="n">
        <f aca="false">-MIN(BJ54,Inputs!$E$47/MAX(1,Inputs!$E$49*12))</f>
        <v>-0</v>
      </c>
    </row>
    <row r="57" customFormat="false" ht="15" hidden="false" customHeight="false" outlineLevel="0" collapsed="false">
      <c r="A57" s="4" t="s">
        <v>419</v>
      </c>
      <c r="C57" s="72" t="n">
        <f aca="false">C54+C55+C56</f>
        <v>0</v>
      </c>
      <c r="D57" s="72" t="n">
        <f aca="false">D54+D55+D56</f>
        <v>0</v>
      </c>
      <c r="E57" s="72" t="n">
        <f aca="false">E54+E55+E56</f>
        <v>0</v>
      </c>
      <c r="F57" s="72" t="n">
        <f aca="false">F54+F55+F56</f>
        <v>0</v>
      </c>
      <c r="G57" s="72" t="n">
        <f aca="false">G54+G55+G56</f>
        <v>0</v>
      </c>
      <c r="H57" s="72" t="n">
        <f aca="false">H54+H55+H56</f>
        <v>0</v>
      </c>
      <c r="I57" s="72" t="n">
        <f aca="false">I54+I55+I56</f>
        <v>0</v>
      </c>
      <c r="J57" s="72" t="n">
        <f aca="false">J54+J55+J56</f>
        <v>0</v>
      </c>
      <c r="K57" s="72" t="n">
        <f aca="false">K54+K55+K56</f>
        <v>0</v>
      </c>
      <c r="L57" s="72" t="n">
        <f aca="false">L54+L55+L56</f>
        <v>0</v>
      </c>
      <c r="M57" s="72" t="n">
        <f aca="false">M54+M55+M56</f>
        <v>0</v>
      </c>
      <c r="N57" s="72" t="n">
        <f aca="false">N54+N55+N56</f>
        <v>0</v>
      </c>
      <c r="O57" s="72" t="n">
        <f aca="false">O54+O55+O56</f>
        <v>0</v>
      </c>
      <c r="P57" s="72" t="n">
        <f aca="false">P54+P55+P56</f>
        <v>0</v>
      </c>
      <c r="Q57" s="72" t="n">
        <f aca="false">Q54+Q55+Q56</f>
        <v>0</v>
      </c>
      <c r="R57" s="72" t="n">
        <f aca="false">R54+R55+R56</f>
        <v>0</v>
      </c>
      <c r="S57" s="72" t="n">
        <f aca="false">S54+S55+S56</f>
        <v>0</v>
      </c>
      <c r="T57" s="72" t="n">
        <f aca="false">T54+T55+T56</f>
        <v>0</v>
      </c>
      <c r="U57" s="72" t="n">
        <f aca="false">U54+U55+U56</f>
        <v>0</v>
      </c>
      <c r="V57" s="72" t="n">
        <f aca="false">V54+V55+V56</f>
        <v>0</v>
      </c>
      <c r="W57" s="72" t="n">
        <f aca="false">W54+W55+W56</f>
        <v>0</v>
      </c>
      <c r="X57" s="72" t="n">
        <f aca="false">X54+X55+X56</f>
        <v>0</v>
      </c>
      <c r="Y57" s="72" t="n">
        <f aca="false">Y54+Y55+Y56</f>
        <v>0</v>
      </c>
      <c r="Z57" s="72" t="n">
        <f aca="false">Z54+Z55+Z56</f>
        <v>0</v>
      </c>
      <c r="AA57" s="72" t="n">
        <f aca="false">AA54+AA55+AA56</f>
        <v>0</v>
      </c>
      <c r="AB57" s="72" t="n">
        <f aca="false">AB54+AB55+AB56</f>
        <v>0</v>
      </c>
      <c r="AC57" s="72" t="n">
        <f aca="false">AC54+AC55+AC56</f>
        <v>0</v>
      </c>
      <c r="AD57" s="72" t="n">
        <f aca="false">AD54+AD55+AD56</f>
        <v>0</v>
      </c>
      <c r="AE57" s="72" t="n">
        <f aca="false">AE54+AE55+AE56</f>
        <v>0</v>
      </c>
      <c r="AF57" s="72" t="n">
        <f aca="false">AF54+AF55+AF56</f>
        <v>0</v>
      </c>
      <c r="AG57" s="72" t="n">
        <f aca="false">AG54+AG55+AG56</f>
        <v>0</v>
      </c>
      <c r="AH57" s="72" t="n">
        <f aca="false">AH54+AH55+AH56</f>
        <v>0</v>
      </c>
      <c r="AI57" s="72" t="n">
        <f aca="false">AI54+AI55+AI56</f>
        <v>0</v>
      </c>
      <c r="AJ57" s="72" t="n">
        <f aca="false">AJ54+AJ55+AJ56</f>
        <v>0</v>
      </c>
      <c r="AK57" s="72" t="n">
        <f aca="false">AK54+AK55+AK56</f>
        <v>0</v>
      </c>
      <c r="AL57" s="72" t="n">
        <f aca="false">AL54+AL55+AL56</f>
        <v>0</v>
      </c>
      <c r="AM57" s="72" t="n">
        <f aca="false">AM54+AM55+AM56</f>
        <v>0</v>
      </c>
      <c r="AN57" s="72" t="n">
        <f aca="false">AN54+AN55+AN56</f>
        <v>0</v>
      </c>
      <c r="AO57" s="72" t="n">
        <f aca="false">AO54+AO55+AO56</f>
        <v>0</v>
      </c>
      <c r="AP57" s="72" t="n">
        <f aca="false">AP54+AP55+AP56</f>
        <v>0</v>
      </c>
      <c r="AQ57" s="72" t="n">
        <f aca="false">AQ54+AQ55+AQ56</f>
        <v>0</v>
      </c>
      <c r="AR57" s="72" t="n">
        <f aca="false">AR54+AR55+AR56</f>
        <v>0</v>
      </c>
      <c r="AS57" s="72" t="n">
        <f aca="false">AS54+AS55+AS56</f>
        <v>0</v>
      </c>
      <c r="AT57" s="72" t="n">
        <f aca="false">AT54+AT55+AT56</f>
        <v>0</v>
      </c>
      <c r="AU57" s="72" t="n">
        <f aca="false">AU54+AU55+AU56</f>
        <v>0</v>
      </c>
      <c r="AV57" s="72" t="n">
        <f aca="false">AV54+AV55+AV56</f>
        <v>0</v>
      </c>
      <c r="AW57" s="72" t="n">
        <f aca="false">AW54+AW55+AW56</f>
        <v>0</v>
      </c>
      <c r="AX57" s="72" t="n">
        <f aca="false">AX54+AX55+AX56</f>
        <v>0</v>
      </c>
      <c r="AY57" s="72" t="n">
        <f aca="false">AY54+AY55+AY56</f>
        <v>0</v>
      </c>
      <c r="AZ57" s="72" t="n">
        <f aca="false">AZ54+AZ55+AZ56</f>
        <v>0</v>
      </c>
      <c r="BA57" s="72" t="n">
        <f aca="false">BA54+BA55+BA56</f>
        <v>0</v>
      </c>
      <c r="BB57" s="72" t="n">
        <f aca="false">BB54+BB55+BB56</f>
        <v>0</v>
      </c>
      <c r="BC57" s="72" t="n">
        <f aca="false">BC54+BC55+BC56</f>
        <v>0</v>
      </c>
      <c r="BD57" s="72" t="n">
        <f aca="false">BD54+BD55+BD56</f>
        <v>0</v>
      </c>
      <c r="BE57" s="72" t="n">
        <f aca="false">BE54+BE55+BE56</f>
        <v>0</v>
      </c>
      <c r="BF57" s="72" t="n">
        <f aca="false">BF54+BF55+BF56</f>
        <v>0</v>
      </c>
      <c r="BG57" s="72" t="n">
        <f aca="false">BG54+BG55+BG56</f>
        <v>0</v>
      </c>
      <c r="BH57" s="72" t="n">
        <f aca="false">BH54+BH55+BH56</f>
        <v>0</v>
      </c>
      <c r="BI57" s="72" t="n">
        <f aca="false">BI54+BI55+BI56</f>
        <v>0</v>
      </c>
      <c r="BJ57" s="72" t="n">
        <f aca="false">BJ54+BJ55+BJ56</f>
        <v>0</v>
      </c>
    </row>
    <row r="59" customFormat="false" ht="15.75" hidden="false" customHeight="true" outlineLevel="0" collapsed="false">
      <c r="A59" s="7" t="s">
        <v>301</v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</row>
    <row r="60" customFormat="false" ht="15" hidden="false" customHeight="false" outlineLevel="0" collapsed="false">
      <c r="A60" s="6" t="s">
        <v>89</v>
      </c>
      <c r="C60" s="66" t="n">
        <f aca="false">C24*Inputs!$E$52/30</f>
        <v>734.479166666667</v>
      </c>
      <c r="D60" s="66" t="n">
        <f aca="false">D24*Inputs!$E$52/30</f>
        <v>1207.45052083333</v>
      </c>
      <c r="E60" s="66" t="n">
        <f aca="false">E24*Inputs!$E$52/30</f>
        <v>1668.59759114583</v>
      </c>
      <c r="F60" s="66" t="n">
        <f aca="false">F24*Inputs!$E$52/30</f>
        <v>2118.21598470052</v>
      </c>
      <c r="G60" s="66" t="n">
        <f aca="false">G24*Inputs!$E$52/30</f>
        <v>2556.59391841634</v>
      </c>
      <c r="H60" s="66" t="n">
        <f aca="false">H24*Inputs!$E$52/30</f>
        <v>2984.01240378927</v>
      </c>
      <c r="I60" s="66" t="n">
        <f aca="false">I24*Inputs!$E$52/30</f>
        <v>3400.74542702787</v>
      </c>
      <c r="J60" s="66" t="n">
        <f aca="false">J24*Inputs!$E$52/30</f>
        <v>3807.06012468551</v>
      </c>
      <c r="K60" s="66" t="n">
        <f aca="false">K24*Inputs!$E$52/30</f>
        <v>4203.2169549017</v>
      </c>
      <c r="L60" s="66" t="n">
        <f aca="false">L24*Inputs!$E$52/30</f>
        <v>4589.46986436249</v>
      </c>
      <c r="M60" s="66" t="n">
        <f aca="false">M24*Inputs!$E$52/30</f>
        <v>4966.06645108676</v>
      </c>
      <c r="N60" s="66" t="n">
        <f aca="false">N24*Inputs!$E$52/30</f>
        <v>5333.24812314293</v>
      </c>
      <c r="O60" s="66" t="n">
        <f aca="false">O24*Inputs!$E$52/30</f>
        <v>5759.42458673102</v>
      </c>
      <c r="P60" s="66" t="n">
        <f aca="false">P24*Inputs!$E$52/30</f>
        <v>6243.12097206274</v>
      </c>
      <c r="Q60" s="66" t="n">
        <f aca="false">Q24*Inputs!$E$52/30</f>
        <v>6714.72494776118</v>
      </c>
      <c r="R60" s="66" t="n">
        <f aca="false">R24*Inputs!$E$52/30</f>
        <v>7174.53882406715</v>
      </c>
      <c r="S60" s="66" t="n">
        <f aca="false">S24*Inputs!$E$52/30</f>
        <v>7622.85735346547</v>
      </c>
      <c r="T60" s="66" t="n">
        <f aca="false">T24*Inputs!$E$52/30</f>
        <v>8059.96791962883</v>
      </c>
      <c r="U60" s="66" t="n">
        <f aca="false">U24*Inputs!$E$52/30</f>
        <v>8486.15072163811</v>
      </c>
      <c r="V60" s="66" t="n">
        <f aca="false">V24*Inputs!$E$52/30</f>
        <v>8901.67895359716</v>
      </c>
      <c r="W60" s="66" t="n">
        <f aca="false">W24*Inputs!$E$52/30</f>
        <v>9306.81897975723</v>
      </c>
      <c r="X60" s="66" t="n">
        <f aca="false">X24*Inputs!$E$52/30</f>
        <v>9701.8305052633</v>
      </c>
      <c r="Y60" s="66" t="n">
        <f aca="false">Y24*Inputs!$E$52/30</f>
        <v>10086.9667426317</v>
      </c>
      <c r="Z60" s="66" t="n">
        <f aca="false">Z24*Inputs!$E$52/30</f>
        <v>10462.4745740659</v>
      </c>
      <c r="AA60" s="66" t="n">
        <f aca="false">AA24*Inputs!$E$52/30</f>
        <v>10916.3149687143</v>
      </c>
      <c r="AB60" s="66" t="n">
        <f aca="false">AB24*Inputs!$E$52/30</f>
        <v>11446.5296124964</v>
      </c>
      <c r="AC60" s="66" t="n">
        <f aca="false">AC24*Inputs!$E$52/30</f>
        <v>11963.488890184</v>
      </c>
      <c r="AD60" s="66" t="n">
        <f aca="false">AD24*Inputs!$E$52/30</f>
        <v>12467.5241859294</v>
      </c>
      <c r="AE60" s="66" t="n">
        <f aca="false">AE24*Inputs!$E$52/30</f>
        <v>12958.9585992812</v>
      </c>
      <c r="AF60" s="66" t="n">
        <f aca="false">AF24*Inputs!$E$52/30</f>
        <v>13438.1071522991</v>
      </c>
      <c r="AG60" s="66" t="n">
        <f aca="false">AG24*Inputs!$E$52/30</f>
        <v>13905.2769914917</v>
      </c>
      <c r="AH60" s="66" t="n">
        <f aca="false">AH24*Inputs!$E$52/30</f>
        <v>14360.7675847044</v>
      </c>
      <c r="AI60" s="66" t="n">
        <f aca="false">AI24*Inputs!$E$52/30</f>
        <v>14804.8709130868</v>
      </c>
      <c r="AJ60" s="66" t="n">
        <f aca="false">AJ24*Inputs!$E$52/30</f>
        <v>15237.8716582596</v>
      </c>
      <c r="AK60" s="66" t="n">
        <f aca="false">AK24*Inputs!$E$52/30</f>
        <v>15660.0473848031</v>
      </c>
      <c r="AL60" s="66" t="n">
        <f aca="false">AL24*Inputs!$E$52/30</f>
        <v>16071.668718183</v>
      </c>
      <c r="AM60" s="66" t="n">
        <f aca="false">AM24*Inputs!$E$52/30</f>
        <v>16586.0503907894</v>
      </c>
      <c r="AN60" s="66" t="n">
        <f aca="false">AN24*Inputs!$E$52/30</f>
        <v>17200.6233941417</v>
      </c>
      <c r="AO60" s="66" t="n">
        <f aca="false">AO24*Inputs!$E$52/30</f>
        <v>17799.8320724102</v>
      </c>
      <c r="AP60" s="66" t="n">
        <f aca="false">AP24*Inputs!$E$52/30</f>
        <v>18384.0605337219</v>
      </c>
      <c r="AQ60" s="66" t="n">
        <f aca="false">AQ24*Inputs!$E$52/30</f>
        <v>18953.6832835009</v>
      </c>
      <c r="AR60" s="66" t="n">
        <f aca="false">AR24*Inputs!$E$52/30</f>
        <v>19509.0654645353</v>
      </c>
      <c r="AS60" s="66" t="n">
        <f aca="false">AS24*Inputs!$E$52/30</f>
        <v>20050.563091044</v>
      </c>
      <c r="AT60" s="66" t="n">
        <f aca="false">AT24*Inputs!$E$52/30</f>
        <v>20578.5232768899</v>
      </c>
      <c r="AU60" s="66" t="n">
        <f aca="false">AU24*Inputs!$E$52/30</f>
        <v>21093.2844580896</v>
      </c>
      <c r="AV60" s="66" t="n">
        <f aca="false">AV24*Inputs!$E$52/30</f>
        <v>21595.1766097594</v>
      </c>
      <c r="AW60" s="66" t="n">
        <f aca="false">AW24*Inputs!$E$52/30</f>
        <v>22084.5214576374</v>
      </c>
      <c r="AX60" s="66" t="n">
        <f aca="false">AX24*Inputs!$E$52/30</f>
        <v>22561.6326843184</v>
      </c>
      <c r="AY60" s="66" t="n">
        <f aca="false">AY24*Inputs!$E$52/30</f>
        <v>23172.744747651</v>
      </c>
      <c r="AZ60" s="66" t="n">
        <f aca="false">AZ24*Inputs!$E$52/30</f>
        <v>23914.5076267188</v>
      </c>
      <c r="BA60" s="66" t="n">
        <f aca="false">BA24*Inputs!$E$52/30</f>
        <v>24637.7264338099</v>
      </c>
      <c r="BB60" s="66" t="n">
        <f aca="false">BB24*Inputs!$E$52/30</f>
        <v>25342.8647707238</v>
      </c>
      <c r="BC60" s="66" t="n">
        <f aca="false">BC24*Inputs!$E$52/30</f>
        <v>26030.3746492147</v>
      </c>
      <c r="BD60" s="66" t="n">
        <f aca="false">BD24*Inputs!$E$52/30</f>
        <v>26700.6967807435</v>
      </c>
      <c r="BE60" s="66" t="n">
        <f aca="false">BE24*Inputs!$E$52/30</f>
        <v>27354.2608589839</v>
      </c>
      <c r="BF60" s="66" t="n">
        <f aca="false">BF24*Inputs!$E$52/30</f>
        <v>27991.4858352684</v>
      </c>
      <c r="BG60" s="66" t="n">
        <f aca="false">BG24*Inputs!$E$52/30</f>
        <v>28612.7801871458</v>
      </c>
      <c r="BH60" s="66" t="n">
        <f aca="false">BH24*Inputs!$E$52/30</f>
        <v>29218.5421802262</v>
      </c>
      <c r="BI60" s="66" t="n">
        <f aca="false">BI24*Inputs!$E$52/30</f>
        <v>29809.1601234796</v>
      </c>
      <c r="BJ60" s="66" t="n">
        <f aca="false">BJ24*Inputs!$E$52/30</f>
        <v>30385.0126181517</v>
      </c>
    </row>
    <row r="61" customFormat="false" ht="15" hidden="false" customHeight="false" outlineLevel="0" collapsed="false">
      <c r="A61" s="6" t="s">
        <v>90</v>
      </c>
      <c r="C61" s="66" t="n">
        <f aca="false">-C25*Inputs!$E$53/30</f>
        <v>0</v>
      </c>
      <c r="D61" s="66" t="n">
        <f aca="false">-D25*Inputs!$E$53/30</f>
        <v>0</v>
      </c>
      <c r="E61" s="66" t="n">
        <f aca="false">-E25*Inputs!$E$53/30</f>
        <v>0</v>
      </c>
      <c r="F61" s="66" t="n">
        <f aca="false">-F25*Inputs!$E$53/30</f>
        <v>0</v>
      </c>
      <c r="G61" s="66" t="n">
        <f aca="false">-G25*Inputs!$E$53/30</f>
        <v>0</v>
      </c>
      <c r="H61" s="66" t="n">
        <f aca="false">-H25*Inputs!$E$53/30</f>
        <v>0</v>
      </c>
      <c r="I61" s="66" t="n">
        <f aca="false">-I25*Inputs!$E$53/30</f>
        <v>0</v>
      </c>
      <c r="J61" s="66" t="n">
        <f aca="false">-J25*Inputs!$E$53/30</f>
        <v>0</v>
      </c>
      <c r="K61" s="66" t="n">
        <f aca="false">-K25*Inputs!$E$53/30</f>
        <v>0</v>
      </c>
      <c r="L61" s="66" t="n">
        <f aca="false">-L25*Inputs!$E$53/30</f>
        <v>0</v>
      </c>
      <c r="M61" s="66" t="n">
        <f aca="false">-M25*Inputs!$E$53/30</f>
        <v>0</v>
      </c>
      <c r="N61" s="66" t="n">
        <f aca="false">-N25*Inputs!$E$53/30</f>
        <v>0</v>
      </c>
      <c r="O61" s="66" t="n">
        <f aca="false">-O25*Inputs!$E$53/30</f>
        <v>0</v>
      </c>
      <c r="P61" s="66" t="n">
        <f aca="false">-P25*Inputs!$E$53/30</f>
        <v>0</v>
      </c>
      <c r="Q61" s="66" t="n">
        <f aca="false">-Q25*Inputs!$E$53/30</f>
        <v>0</v>
      </c>
      <c r="R61" s="66" t="n">
        <f aca="false">-R25*Inputs!$E$53/30</f>
        <v>0</v>
      </c>
      <c r="S61" s="66" t="n">
        <f aca="false">-S25*Inputs!$E$53/30</f>
        <v>0</v>
      </c>
      <c r="T61" s="66" t="n">
        <f aca="false">-T25*Inputs!$E$53/30</f>
        <v>0</v>
      </c>
      <c r="U61" s="66" t="n">
        <f aca="false">-U25*Inputs!$E$53/30</f>
        <v>0</v>
      </c>
      <c r="V61" s="66" t="n">
        <f aca="false">-V25*Inputs!$E$53/30</f>
        <v>0</v>
      </c>
      <c r="W61" s="66" t="n">
        <f aca="false">-W25*Inputs!$E$53/30</f>
        <v>0</v>
      </c>
      <c r="X61" s="66" t="n">
        <f aca="false">-X25*Inputs!$E$53/30</f>
        <v>0</v>
      </c>
      <c r="Y61" s="66" t="n">
        <f aca="false">-Y25*Inputs!$E$53/30</f>
        <v>0</v>
      </c>
      <c r="Z61" s="66" t="n">
        <f aca="false">-Z25*Inputs!$E$53/30</f>
        <v>0</v>
      </c>
      <c r="AA61" s="66" t="n">
        <f aca="false">-AA25*Inputs!$E$53/30</f>
        <v>0</v>
      </c>
      <c r="AB61" s="66" t="n">
        <f aca="false">-AB25*Inputs!$E$53/30</f>
        <v>0</v>
      </c>
      <c r="AC61" s="66" t="n">
        <f aca="false">-AC25*Inputs!$E$53/30</f>
        <v>0</v>
      </c>
      <c r="AD61" s="66" t="n">
        <f aca="false">-AD25*Inputs!$E$53/30</f>
        <v>0</v>
      </c>
      <c r="AE61" s="66" t="n">
        <f aca="false">-AE25*Inputs!$E$53/30</f>
        <v>0</v>
      </c>
      <c r="AF61" s="66" t="n">
        <f aca="false">-AF25*Inputs!$E$53/30</f>
        <v>0</v>
      </c>
      <c r="AG61" s="66" t="n">
        <f aca="false">-AG25*Inputs!$E$53/30</f>
        <v>0</v>
      </c>
      <c r="AH61" s="66" t="n">
        <f aca="false">-AH25*Inputs!$E$53/30</f>
        <v>0</v>
      </c>
      <c r="AI61" s="66" t="n">
        <f aca="false">-AI25*Inputs!$E$53/30</f>
        <v>0</v>
      </c>
      <c r="AJ61" s="66" t="n">
        <f aca="false">-AJ25*Inputs!$E$53/30</f>
        <v>0</v>
      </c>
      <c r="AK61" s="66" t="n">
        <f aca="false">-AK25*Inputs!$E$53/30</f>
        <v>0</v>
      </c>
      <c r="AL61" s="66" t="n">
        <f aca="false">-AL25*Inputs!$E$53/30</f>
        <v>0</v>
      </c>
      <c r="AM61" s="66" t="n">
        <f aca="false">-AM25*Inputs!$E$53/30</f>
        <v>0</v>
      </c>
      <c r="AN61" s="66" t="n">
        <f aca="false">-AN25*Inputs!$E$53/30</f>
        <v>0</v>
      </c>
      <c r="AO61" s="66" t="n">
        <f aca="false">-AO25*Inputs!$E$53/30</f>
        <v>0</v>
      </c>
      <c r="AP61" s="66" t="n">
        <f aca="false">-AP25*Inputs!$E$53/30</f>
        <v>0</v>
      </c>
      <c r="AQ61" s="66" t="n">
        <f aca="false">-AQ25*Inputs!$E$53/30</f>
        <v>0</v>
      </c>
      <c r="AR61" s="66" t="n">
        <f aca="false">-AR25*Inputs!$E$53/30</f>
        <v>0</v>
      </c>
      <c r="AS61" s="66" t="n">
        <f aca="false">-AS25*Inputs!$E$53/30</f>
        <v>0</v>
      </c>
      <c r="AT61" s="66" t="n">
        <f aca="false">-AT25*Inputs!$E$53/30</f>
        <v>0</v>
      </c>
      <c r="AU61" s="66" t="n">
        <f aca="false">-AU25*Inputs!$E$53/30</f>
        <v>0</v>
      </c>
      <c r="AV61" s="66" t="n">
        <f aca="false">-AV25*Inputs!$E$53/30</f>
        <v>0</v>
      </c>
      <c r="AW61" s="66" t="n">
        <f aca="false">-AW25*Inputs!$E$53/30</f>
        <v>0</v>
      </c>
      <c r="AX61" s="66" t="n">
        <f aca="false">-AX25*Inputs!$E$53/30</f>
        <v>0</v>
      </c>
      <c r="AY61" s="66" t="n">
        <f aca="false">-AY25*Inputs!$E$53/30</f>
        <v>0</v>
      </c>
      <c r="AZ61" s="66" t="n">
        <f aca="false">-AZ25*Inputs!$E$53/30</f>
        <v>0</v>
      </c>
      <c r="BA61" s="66" t="n">
        <f aca="false">-BA25*Inputs!$E$53/30</f>
        <v>0</v>
      </c>
      <c r="BB61" s="66" t="n">
        <f aca="false">-BB25*Inputs!$E$53/30</f>
        <v>0</v>
      </c>
      <c r="BC61" s="66" t="n">
        <f aca="false">-BC25*Inputs!$E$53/30</f>
        <v>0</v>
      </c>
      <c r="BD61" s="66" t="n">
        <f aca="false">-BD25*Inputs!$E$53/30</f>
        <v>0</v>
      </c>
      <c r="BE61" s="66" t="n">
        <f aca="false">-BE25*Inputs!$E$53/30</f>
        <v>0</v>
      </c>
      <c r="BF61" s="66" t="n">
        <f aca="false">-BF25*Inputs!$E$53/30</f>
        <v>0</v>
      </c>
      <c r="BG61" s="66" t="n">
        <f aca="false">-BG25*Inputs!$E$53/30</f>
        <v>0</v>
      </c>
      <c r="BH61" s="66" t="n">
        <f aca="false">-BH25*Inputs!$E$53/30</f>
        <v>0</v>
      </c>
      <c r="BI61" s="66" t="n">
        <f aca="false">-BI25*Inputs!$E$53/30</f>
        <v>0</v>
      </c>
      <c r="BJ61" s="66" t="n">
        <f aca="false">-BJ25*Inputs!$E$53/30</f>
        <v>0</v>
      </c>
    </row>
    <row r="62" customFormat="false" ht="15" hidden="false" customHeight="false" outlineLevel="0" collapsed="false">
      <c r="A62" s="6" t="s">
        <v>93</v>
      </c>
      <c r="C62" s="66" t="n">
        <f aca="false">-C25*Inputs!$E$54/30</f>
        <v>529.565277777778</v>
      </c>
      <c r="D62" s="66" t="n">
        <f aca="false">-D25*Inputs!$E$54/30</f>
        <v>870.2373125</v>
      </c>
      <c r="E62" s="66" t="n">
        <f aca="false">-E25*Inputs!$E$54/30</f>
        <v>1202.10810024306</v>
      </c>
      <c r="F62" s="66" t="n">
        <f aca="false">-F25*Inputs!$E$54/30</f>
        <v>1525.40620556476</v>
      </c>
      <c r="G62" s="66" t="n">
        <f aca="false">-G25*Inputs!$E$54/30</f>
        <v>1840.35422290747</v>
      </c>
      <c r="H62" s="66" t="n">
        <f aca="false">-H25*Inputs!$E$54/30</f>
        <v>2147.16893353105</v>
      </c>
      <c r="I62" s="66" t="n">
        <f aca="false">-I25*Inputs!$E$54/30</f>
        <v>2446.06145829204</v>
      </c>
      <c r="J62" s="66" t="n">
        <f aca="false">-J25*Inputs!$E$54/30</f>
        <v>2737.23740637992</v>
      </c>
      <c r="K62" s="66" t="n">
        <f aca="false">-K25*Inputs!$E$54/30</f>
        <v>3020.89702011814</v>
      </c>
      <c r="L62" s="66" t="n">
        <f aca="false">-L25*Inputs!$E$54/30</f>
        <v>3297.23531593485</v>
      </c>
      <c r="M62" s="66" t="n">
        <f aca="false">-M25*Inputs!$E$54/30</f>
        <v>3566.44222160545</v>
      </c>
      <c r="N62" s="66" t="n">
        <f aca="false">-N25*Inputs!$E$54/30</f>
        <v>3828.7027098661</v>
      </c>
      <c r="O62" s="66" t="n">
        <f aca="false">-O25*Inputs!$E$54/30</f>
        <v>4132.25708405066</v>
      </c>
      <c r="P62" s="66" t="n">
        <f aca="false">-P25*Inputs!$E$54/30</f>
        <v>4476.043511956</v>
      </c>
      <c r="Q62" s="66" t="n">
        <f aca="false">-Q25*Inputs!$E$54/30</f>
        <v>4810.96743618017</v>
      </c>
      <c r="R62" s="66" t="n">
        <f aca="false">-R25*Inputs!$E$54/30</f>
        <v>5137.25845460472</v>
      </c>
      <c r="S62" s="66" t="n">
        <f aca="false">-S25*Inputs!$E$54/30</f>
        <v>5455.14018410545</v>
      </c>
      <c r="T62" s="66" t="n">
        <f aca="false">-T25*Inputs!$E$54/30</f>
        <v>5764.83041730935</v>
      </c>
      <c r="U62" s="66" t="n">
        <f aca="false">-U25*Inputs!$E$54/30</f>
        <v>6066.54127521562</v>
      </c>
      <c r="V62" s="66" t="n">
        <f aca="false">-V25*Inputs!$E$54/30</f>
        <v>6360.47935579073</v>
      </c>
      <c r="W62" s="66" t="n">
        <f aca="false">-W25*Inputs!$E$54/30</f>
        <v>6646.84587864447</v>
      </c>
      <c r="X62" s="66" t="n">
        <f aca="false">-X25*Inputs!$E$54/30</f>
        <v>6925.83682589107</v>
      </c>
      <c r="Y62" s="66" t="n">
        <f aca="false">-Y25*Inputs!$E$54/30</f>
        <v>7197.64307929679</v>
      </c>
      <c r="Z62" s="66" t="n">
        <f aca="false">-Z25*Inputs!$E$54/30</f>
        <v>7462.45055381245</v>
      </c>
      <c r="AA62" s="66" t="n">
        <f aca="false">-AA25*Inputs!$E$54/30</f>
        <v>7782.01914965361</v>
      </c>
      <c r="AB62" s="66" t="n">
        <f aca="false">-AB25*Inputs!$E$54/30</f>
        <v>8154.94103087014</v>
      </c>
      <c r="AC62" s="66" t="n">
        <f aca="false">-AC25*Inputs!$E$54/30</f>
        <v>8518.26589958153</v>
      </c>
      <c r="AD62" s="66" t="n">
        <f aca="false">-AD25*Inputs!$E$54/30</f>
        <v>8872.24190006463</v>
      </c>
      <c r="AE62" s="66" t="n">
        <f aca="false">-AE25*Inputs!$E$54/30</f>
        <v>9217.11072642048</v>
      </c>
      <c r="AF62" s="66" t="n">
        <f aca="false">-AF25*Inputs!$E$54/30</f>
        <v>9553.10779122571</v>
      </c>
      <c r="AG62" s="66" t="n">
        <f aca="false">-AG25*Inputs!$E$54/30</f>
        <v>9880.46238974584</v>
      </c>
      <c r="AH62" s="66" t="n">
        <f aca="false">-AH25*Inputs!$E$54/30</f>
        <v>10199.3978598279</v>
      </c>
      <c r="AI62" s="66" t="n">
        <f aca="false">-AI25*Inputs!$E$54/30</f>
        <v>10510.1317375872</v>
      </c>
      <c r="AJ62" s="66" t="n">
        <f aca="false">-AJ25*Inputs!$E$54/30</f>
        <v>10812.8759089989</v>
      </c>
      <c r="AK62" s="66" t="n">
        <f aca="false">-AK25*Inputs!$E$54/30</f>
        <v>11107.8367575037</v>
      </c>
      <c r="AL62" s="66" t="n">
        <f aca="false">-AL25*Inputs!$E$54/30</f>
        <v>11395.215307733</v>
      </c>
      <c r="AM62" s="66" t="n">
        <f aca="false">-AM25*Inputs!$E$54/30</f>
        <v>11754.2418889921</v>
      </c>
      <c r="AN62" s="66" t="n">
        <f aca="false">-AN25*Inputs!$E$54/30</f>
        <v>12183.0753413679</v>
      </c>
      <c r="AO62" s="66" t="n">
        <f aca="false">-AO25*Inputs!$E$54/30</f>
        <v>12600.8875091825</v>
      </c>
      <c r="AP62" s="66" t="n">
        <f aca="false">-AP25*Inputs!$E$54/30</f>
        <v>13007.9629379975</v>
      </c>
      <c r="AQ62" s="66" t="n">
        <f aca="false">-AQ25*Inputs!$E$54/30</f>
        <v>13404.5787893319</v>
      </c>
      <c r="AR62" s="66" t="n">
        <f aca="false">-AR25*Inputs!$E$54/30</f>
        <v>13791.0050333757</v>
      </c>
      <c r="AS62" s="66" t="n">
        <f aca="false">-AS25*Inputs!$E$54/30</f>
        <v>14167.5046366412</v>
      </c>
      <c r="AT62" s="66" t="n">
        <f aca="false">-AT25*Inputs!$E$54/30</f>
        <v>14534.3337446883</v>
      </c>
      <c r="AU62" s="66" t="n">
        <f aca="false">-AU25*Inputs!$E$54/30</f>
        <v>14891.7418600515</v>
      </c>
      <c r="AV62" s="66" t="n">
        <f aca="false">-AV25*Inputs!$E$54/30</f>
        <v>15239.9720154974</v>
      </c>
      <c r="AW62" s="66" t="n">
        <f aca="false">-AW25*Inputs!$E$54/30</f>
        <v>15579.260942735</v>
      </c>
      <c r="AX62" s="66" t="n">
        <f aca="false">-AX25*Inputs!$E$54/30</f>
        <v>15909.8392366991</v>
      </c>
      <c r="AY62" s="66" t="n">
        <f aca="false">-AY25*Inputs!$E$54/30</f>
        <v>16333.5418859154</v>
      </c>
      <c r="AZ62" s="66" t="n">
        <f aca="false">-AZ25*Inputs!$E$54/30</f>
        <v>16847.9771622363</v>
      </c>
      <c r="BA62" s="66" t="n">
        <f aca="false">-BA25*Inputs!$E$54/30</f>
        <v>17349.2046689048</v>
      </c>
      <c r="BB62" s="66" t="n">
        <f aca="false">-BB25*Inputs!$E$54/30</f>
        <v>17837.5650067945</v>
      </c>
      <c r="BC62" s="66" t="n">
        <f aca="false">-BC25*Inputs!$E$54/30</f>
        <v>18313.3899495583</v>
      </c>
      <c r="BD62" s="66" t="n">
        <f aca="false">-BD25*Inputs!$E$54/30</f>
        <v>18777.0026736747</v>
      </c>
      <c r="BE62" s="66" t="n">
        <f aca="false">-BE25*Inputs!$E$54/30</f>
        <v>19228.7179824621</v>
      </c>
      <c r="BF62" s="66" t="n">
        <f aca="false">-BF25*Inputs!$E$54/30</f>
        <v>19668.8425242206</v>
      </c>
      <c r="BG62" s="66" t="n">
        <f aca="false">-BG25*Inputs!$E$54/30</f>
        <v>20097.6750046553</v>
      </c>
      <c r="BH62" s="66" t="n">
        <f aca="false">-BH25*Inputs!$E$54/30</f>
        <v>20515.5063937325</v>
      </c>
      <c r="BI62" s="66" t="n">
        <f aca="false">-BI25*Inputs!$E$54/30</f>
        <v>20922.6201271166</v>
      </c>
      <c r="BJ62" s="66" t="n">
        <f aca="false">-BJ25*Inputs!$E$54/30</f>
        <v>21319.292302329</v>
      </c>
    </row>
    <row r="63" customFormat="false" ht="15" hidden="false" customHeight="false" outlineLevel="0" collapsed="false">
      <c r="A63" s="6" t="s">
        <v>324</v>
      </c>
      <c r="C63" s="66" t="n">
        <f aca="false">-C60</f>
        <v>-734.479166666667</v>
      </c>
      <c r="D63" s="66" t="n">
        <f aca="false">C60-D60</f>
        <v>-472.971354166667</v>
      </c>
      <c r="E63" s="66" t="n">
        <f aca="false">D60-E60</f>
        <v>-461.1470703125</v>
      </c>
      <c r="F63" s="66" t="n">
        <f aca="false">E60-F60</f>
        <v>-449.618393554688</v>
      </c>
      <c r="G63" s="66" t="n">
        <f aca="false">F60-G60</f>
        <v>-438.377933715821</v>
      </c>
      <c r="H63" s="66" t="n">
        <f aca="false">G60-H60</f>
        <v>-427.418485372925</v>
      </c>
      <c r="I63" s="66" t="n">
        <f aca="false">H60-I60</f>
        <v>-416.733023238602</v>
      </c>
      <c r="J63" s="66" t="n">
        <f aca="false">I60-J60</f>
        <v>-406.314697657637</v>
      </c>
      <c r="K63" s="66" t="n">
        <f aca="false">J60-K60</f>
        <v>-396.156830216195</v>
      </c>
      <c r="L63" s="66" t="n">
        <f aca="false">K60-L60</f>
        <v>-386.252909460791</v>
      </c>
      <c r="M63" s="66" t="n">
        <f aca="false">L60-M60</f>
        <v>-376.596586724271</v>
      </c>
      <c r="N63" s="66" t="n">
        <f aca="false">M60-N60</f>
        <v>-367.181672056164</v>
      </c>
      <c r="O63" s="66" t="n">
        <f aca="false">N60-O60</f>
        <v>-426.176463588095</v>
      </c>
      <c r="P63" s="66" t="n">
        <f aca="false">O60-P60</f>
        <v>-483.696385331723</v>
      </c>
      <c r="Q63" s="66" t="n">
        <f aca="false">P60-Q60</f>
        <v>-471.603975698432</v>
      </c>
      <c r="R63" s="66" t="n">
        <f aca="false">Q60-R60</f>
        <v>-459.81387630597</v>
      </c>
      <c r="S63" s="66" t="n">
        <f aca="false">R60-S60</f>
        <v>-448.318529398322</v>
      </c>
      <c r="T63" s="66" t="n">
        <f aca="false">S60-T60</f>
        <v>-437.110566163364</v>
      </c>
      <c r="U63" s="66" t="n">
        <f aca="false">T60-U60</f>
        <v>-426.182802009278</v>
      </c>
      <c r="V63" s="66" t="n">
        <f aca="false">U60-V60</f>
        <v>-415.528231959048</v>
      </c>
      <c r="W63" s="66" t="n">
        <f aca="false">V60-W60</f>
        <v>-405.140026160072</v>
      </c>
      <c r="X63" s="66" t="n">
        <f aca="false">W60-X60</f>
        <v>-395.011525506068</v>
      </c>
      <c r="Y63" s="66" t="n">
        <f aca="false">X60-Y60</f>
        <v>-385.136237368419</v>
      </c>
      <c r="Z63" s="66" t="n">
        <f aca="false">Y60-Z60</f>
        <v>-375.507831434205</v>
      </c>
      <c r="AA63" s="66" t="n">
        <f aca="false">Z60-AA60</f>
        <v>-453.84039464835</v>
      </c>
      <c r="AB63" s="66" t="n">
        <f aca="false">AA60-AB60</f>
        <v>-530.214643782143</v>
      </c>
      <c r="AC63" s="66" t="n">
        <f aca="false">AB60-AC60</f>
        <v>-516.959277687589</v>
      </c>
      <c r="AD63" s="66" t="n">
        <f aca="false">AC60-AD60</f>
        <v>-504.035295745396</v>
      </c>
      <c r="AE63" s="66" t="n">
        <f aca="false">AD60-AE60</f>
        <v>-491.434413351768</v>
      </c>
      <c r="AF63" s="66" t="n">
        <f aca="false">AE60-AF60</f>
        <v>-479.148553017971</v>
      </c>
      <c r="AG63" s="66" t="n">
        <f aca="false">AF60-AG60</f>
        <v>-467.169839192518</v>
      </c>
      <c r="AH63" s="66" t="n">
        <f aca="false">AG60-AH60</f>
        <v>-455.490593212708</v>
      </c>
      <c r="AI63" s="66" t="n">
        <f aca="false">AH60-AI60</f>
        <v>-444.103328382391</v>
      </c>
      <c r="AJ63" s="66" t="n">
        <f aca="false">AI60-AJ60</f>
        <v>-433.000745172831</v>
      </c>
      <c r="AK63" s="66" t="n">
        <f aca="false">AJ60-AK60</f>
        <v>-422.175726543506</v>
      </c>
      <c r="AL63" s="66" t="n">
        <f aca="false">AK60-AL60</f>
        <v>-411.621333379922</v>
      </c>
      <c r="AM63" s="66" t="n">
        <f aca="false">AL60-AM60</f>
        <v>-514.381672606425</v>
      </c>
      <c r="AN63" s="66" t="n">
        <f aca="false">AM60-AN60</f>
        <v>-614.573003352263</v>
      </c>
      <c r="AO63" s="66" t="n">
        <f aca="false">AN60-AO60</f>
        <v>-599.208678268456</v>
      </c>
      <c r="AP63" s="66" t="n">
        <f aca="false">AO60-AP60</f>
        <v>-584.228461311752</v>
      </c>
      <c r="AQ63" s="66" t="n">
        <f aca="false">AP60-AQ60</f>
        <v>-569.622749778948</v>
      </c>
      <c r="AR63" s="66" t="n">
        <f aca="false">AQ60-AR60</f>
        <v>-555.382181034478</v>
      </c>
      <c r="AS63" s="66" t="n">
        <f aca="false">AR60-AS60</f>
        <v>-541.497626508615</v>
      </c>
      <c r="AT63" s="66" t="n">
        <f aca="false">AS60-AT60</f>
        <v>-527.960185845903</v>
      </c>
      <c r="AU63" s="66" t="n">
        <f aca="false">AT60-AU60</f>
        <v>-514.761181199752</v>
      </c>
      <c r="AV63" s="66" t="n">
        <f aca="false">AU60-AV60</f>
        <v>-501.892151669763</v>
      </c>
      <c r="AW63" s="66" t="n">
        <f aca="false">AV60-AW60</f>
        <v>-489.344847878016</v>
      </c>
      <c r="AX63" s="66" t="n">
        <f aca="false">AW60-AX60</f>
        <v>-477.111226681063</v>
      </c>
      <c r="AY63" s="66" t="n">
        <f aca="false">AX60-AY60</f>
        <v>-611.112063332577</v>
      </c>
      <c r="AZ63" s="66" t="n">
        <f aca="false">AY60-AZ60</f>
        <v>-741.762879067803</v>
      </c>
      <c r="BA63" s="66" t="n">
        <f aca="false">AZ60-BA60</f>
        <v>-723.218807091103</v>
      </c>
      <c r="BB63" s="66" t="n">
        <f aca="false">BA60-BB60</f>
        <v>-705.138336913831</v>
      </c>
      <c r="BC63" s="66" t="n">
        <f aca="false">BB60-BC60</f>
        <v>-687.509878490986</v>
      </c>
      <c r="BD63" s="66" t="n">
        <f aca="false">BC60-BD60</f>
        <v>-670.322131528712</v>
      </c>
      <c r="BE63" s="66" t="n">
        <f aca="false">BD60-BE60</f>
        <v>-653.564078240488</v>
      </c>
      <c r="BF63" s="66" t="n">
        <f aca="false">BE60-BF60</f>
        <v>-637.224976284484</v>
      </c>
      <c r="BG63" s="66" t="n">
        <f aca="false">BF60-BG60</f>
        <v>-621.294351877368</v>
      </c>
      <c r="BH63" s="66" t="n">
        <f aca="false">BG60-BH60</f>
        <v>-605.761993080425</v>
      </c>
      <c r="BI63" s="66" t="n">
        <f aca="false">BH60-BI60</f>
        <v>-590.617943253423</v>
      </c>
      <c r="BJ63" s="66" t="n">
        <f aca="false">BI60-BJ60</f>
        <v>-575.852494672079</v>
      </c>
    </row>
    <row r="64" customFormat="false" ht="15" hidden="false" customHeight="false" outlineLevel="0" collapsed="false">
      <c r="A64" s="6" t="s">
        <v>325</v>
      </c>
      <c r="C64" s="66" t="n">
        <f aca="false">-C61</f>
        <v>-0</v>
      </c>
      <c r="D64" s="66" t="n">
        <f aca="false">C61-D61</f>
        <v>0</v>
      </c>
      <c r="E64" s="66" t="n">
        <f aca="false">D61-E61</f>
        <v>0</v>
      </c>
      <c r="F64" s="66" t="n">
        <f aca="false">E61-F61</f>
        <v>0</v>
      </c>
      <c r="G64" s="66" t="n">
        <f aca="false">F61-G61</f>
        <v>0</v>
      </c>
      <c r="H64" s="66" t="n">
        <f aca="false">G61-H61</f>
        <v>0</v>
      </c>
      <c r="I64" s="66" t="n">
        <f aca="false">H61-I61</f>
        <v>0</v>
      </c>
      <c r="J64" s="66" t="n">
        <f aca="false">I61-J61</f>
        <v>0</v>
      </c>
      <c r="K64" s="66" t="n">
        <f aca="false">J61-K61</f>
        <v>0</v>
      </c>
      <c r="L64" s="66" t="n">
        <f aca="false">K61-L61</f>
        <v>0</v>
      </c>
      <c r="M64" s="66" t="n">
        <f aca="false">L61-M61</f>
        <v>0</v>
      </c>
      <c r="N64" s="66" t="n">
        <f aca="false">M61-N61</f>
        <v>0</v>
      </c>
      <c r="O64" s="66" t="n">
        <f aca="false">N61-O61</f>
        <v>0</v>
      </c>
      <c r="P64" s="66" t="n">
        <f aca="false">O61-P61</f>
        <v>0</v>
      </c>
      <c r="Q64" s="66" t="n">
        <f aca="false">P61-Q61</f>
        <v>0</v>
      </c>
      <c r="R64" s="66" t="n">
        <f aca="false">Q61-R61</f>
        <v>0</v>
      </c>
      <c r="S64" s="66" t="n">
        <f aca="false">R61-S61</f>
        <v>0</v>
      </c>
      <c r="T64" s="66" t="n">
        <f aca="false">S61-T61</f>
        <v>0</v>
      </c>
      <c r="U64" s="66" t="n">
        <f aca="false">T61-U61</f>
        <v>0</v>
      </c>
      <c r="V64" s="66" t="n">
        <f aca="false">U61-V61</f>
        <v>0</v>
      </c>
      <c r="W64" s="66" t="n">
        <f aca="false">V61-W61</f>
        <v>0</v>
      </c>
      <c r="X64" s="66" t="n">
        <f aca="false">W61-X61</f>
        <v>0</v>
      </c>
      <c r="Y64" s="66" t="n">
        <f aca="false">X61-Y61</f>
        <v>0</v>
      </c>
      <c r="Z64" s="66" t="n">
        <f aca="false">Y61-Z61</f>
        <v>0</v>
      </c>
      <c r="AA64" s="66" t="n">
        <f aca="false">Z61-AA61</f>
        <v>0</v>
      </c>
      <c r="AB64" s="66" t="n">
        <f aca="false">AA61-AB61</f>
        <v>0</v>
      </c>
      <c r="AC64" s="66" t="n">
        <f aca="false">AB61-AC61</f>
        <v>0</v>
      </c>
      <c r="AD64" s="66" t="n">
        <f aca="false">AC61-AD61</f>
        <v>0</v>
      </c>
      <c r="AE64" s="66" t="n">
        <f aca="false">AD61-AE61</f>
        <v>0</v>
      </c>
      <c r="AF64" s="66" t="n">
        <f aca="false">AE61-AF61</f>
        <v>0</v>
      </c>
      <c r="AG64" s="66" t="n">
        <f aca="false">AF61-AG61</f>
        <v>0</v>
      </c>
      <c r="AH64" s="66" t="n">
        <f aca="false">AG61-AH61</f>
        <v>0</v>
      </c>
      <c r="AI64" s="66" t="n">
        <f aca="false">AH61-AI61</f>
        <v>0</v>
      </c>
      <c r="AJ64" s="66" t="n">
        <f aca="false">AI61-AJ61</f>
        <v>0</v>
      </c>
      <c r="AK64" s="66" t="n">
        <f aca="false">AJ61-AK61</f>
        <v>0</v>
      </c>
      <c r="AL64" s="66" t="n">
        <f aca="false">AK61-AL61</f>
        <v>0</v>
      </c>
      <c r="AM64" s="66" t="n">
        <f aca="false">AL61-AM61</f>
        <v>0</v>
      </c>
      <c r="AN64" s="66" t="n">
        <f aca="false">AM61-AN61</f>
        <v>0</v>
      </c>
      <c r="AO64" s="66" t="n">
        <f aca="false">AN61-AO61</f>
        <v>0</v>
      </c>
      <c r="AP64" s="66" t="n">
        <f aca="false">AO61-AP61</f>
        <v>0</v>
      </c>
      <c r="AQ64" s="66" t="n">
        <f aca="false">AP61-AQ61</f>
        <v>0</v>
      </c>
      <c r="AR64" s="66" t="n">
        <f aca="false">AQ61-AR61</f>
        <v>0</v>
      </c>
      <c r="AS64" s="66" t="n">
        <f aca="false">AR61-AS61</f>
        <v>0</v>
      </c>
      <c r="AT64" s="66" t="n">
        <f aca="false">AS61-AT61</f>
        <v>0</v>
      </c>
      <c r="AU64" s="66" t="n">
        <f aca="false">AT61-AU61</f>
        <v>0</v>
      </c>
      <c r="AV64" s="66" t="n">
        <f aca="false">AU61-AV61</f>
        <v>0</v>
      </c>
      <c r="AW64" s="66" t="n">
        <f aca="false">AV61-AW61</f>
        <v>0</v>
      </c>
      <c r="AX64" s="66" t="n">
        <f aca="false">AW61-AX61</f>
        <v>0</v>
      </c>
      <c r="AY64" s="66" t="n">
        <f aca="false">AX61-AY61</f>
        <v>0</v>
      </c>
      <c r="AZ64" s="66" t="n">
        <f aca="false">AY61-AZ61</f>
        <v>0</v>
      </c>
      <c r="BA64" s="66" t="n">
        <f aca="false">AZ61-BA61</f>
        <v>0</v>
      </c>
      <c r="BB64" s="66" t="n">
        <f aca="false">BA61-BB61</f>
        <v>0</v>
      </c>
      <c r="BC64" s="66" t="n">
        <f aca="false">BB61-BC61</f>
        <v>0</v>
      </c>
      <c r="BD64" s="66" t="n">
        <f aca="false">BC61-BD61</f>
        <v>0</v>
      </c>
      <c r="BE64" s="66" t="n">
        <f aca="false">BD61-BE61</f>
        <v>0</v>
      </c>
      <c r="BF64" s="66" t="n">
        <f aca="false">BE61-BF61</f>
        <v>0</v>
      </c>
      <c r="BG64" s="66" t="n">
        <f aca="false">BF61-BG61</f>
        <v>0</v>
      </c>
      <c r="BH64" s="66" t="n">
        <f aca="false">BG61-BH61</f>
        <v>0</v>
      </c>
      <c r="BI64" s="66" t="n">
        <f aca="false">BH61-BI61</f>
        <v>0</v>
      </c>
      <c r="BJ64" s="66" t="n">
        <f aca="false">BI61-BJ61</f>
        <v>0</v>
      </c>
    </row>
    <row r="65" customFormat="false" ht="15" hidden="false" customHeight="false" outlineLevel="0" collapsed="false">
      <c r="A65" s="6" t="s">
        <v>326</v>
      </c>
      <c r="C65" s="66" t="n">
        <f aca="false">C62</f>
        <v>529.565277777778</v>
      </c>
      <c r="D65" s="66" t="n">
        <f aca="false">D62-C62</f>
        <v>340.672034722222</v>
      </c>
      <c r="E65" s="66" t="n">
        <f aca="false">E62-D62</f>
        <v>331.870787743055</v>
      </c>
      <c r="F65" s="66" t="n">
        <f aca="false">F62-E62</f>
        <v>323.298105321701</v>
      </c>
      <c r="G65" s="66" t="n">
        <f aca="false">G62-F62</f>
        <v>314.948017342715</v>
      </c>
      <c r="H65" s="66" t="n">
        <f aca="false">H62-G62</f>
        <v>306.814710623581</v>
      </c>
      <c r="I65" s="66" t="n">
        <f aca="false">I62-H62</f>
        <v>298.892524760992</v>
      </c>
      <c r="J65" s="66" t="n">
        <f aca="false">J62-I62</f>
        <v>291.175948087878</v>
      </c>
      <c r="K65" s="66" t="n">
        <f aca="false">K62-J62</f>
        <v>283.659613738214</v>
      </c>
      <c r="L65" s="66" t="n">
        <f aca="false">L62-K62</f>
        <v>276.338295816716</v>
      </c>
      <c r="M65" s="66" t="n">
        <f aca="false">M62-L62</f>
        <v>269.206905670598</v>
      </c>
      <c r="N65" s="66" t="n">
        <f aca="false">N62-M62</f>
        <v>262.260488260652</v>
      </c>
      <c r="O65" s="66" t="n">
        <f aca="false">O62-N62</f>
        <v>303.554374184558</v>
      </c>
      <c r="P65" s="66" t="n">
        <f aca="false">P62-O62</f>
        <v>343.786427905339</v>
      </c>
      <c r="Q65" s="66" t="n">
        <f aca="false">Q62-P62</f>
        <v>334.923924224174</v>
      </c>
      <c r="R65" s="66" t="n">
        <f aca="false">R62-Q62</f>
        <v>326.291018424546</v>
      </c>
      <c r="S65" s="66" t="n">
        <f aca="false">S62-R62</f>
        <v>317.881729500726</v>
      </c>
      <c r="T65" s="66" t="n">
        <f aca="false">T62-S62</f>
        <v>309.690233203901</v>
      </c>
      <c r="U65" s="66" t="n">
        <f aca="false">U62-T62</f>
        <v>301.710857906272</v>
      </c>
      <c r="V65" s="66" t="n">
        <f aca="false">V62-U62</f>
        <v>293.938080575113</v>
      </c>
      <c r="W65" s="66" t="n">
        <f aca="false">W62-V62</f>
        <v>286.366522853738</v>
      </c>
      <c r="X65" s="66" t="n">
        <f aca="false">X62-W62</f>
        <v>278.990947246603</v>
      </c>
      <c r="Y65" s="66" t="n">
        <f aca="false">Y62-X62</f>
        <v>271.806253405723</v>
      </c>
      <c r="Z65" s="66" t="n">
        <f aca="false">Z62-Y62</f>
        <v>264.807474515658</v>
      </c>
      <c r="AA65" s="66" t="n">
        <f aca="false">AA62-Z62</f>
        <v>319.568595841158</v>
      </c>
      <c r="AB65" s="66" t="n">
        <f aca="false">AB62-AA62</f>
        <v>372.921881216533</v>
      </c>
      <c r="AC65" s="66" t="n">
        <f aca="false">AC62-AB62</f>
        <v>363.324868711385</v>
      </c>
      <c r="AD65" s="66" t="n">
        <f aca="false">AD62-AC62</f>
        <v>353.976000483104</v>
      </c>
      <c r="AE65" s="66" t="n">
        <f aca="false">AE62-AD62</f>
        <v>344.868826355851</v>
      </c>
      <c r="AF65" s="66" t="n">
        <f aca="false">AF62-AE62</f>
        <v>335.997064805229</v>
      </c>
      <c r="AG65" s="66" t="n">
        <f aca="false">AG62-AF62</f>
        <v>327.354598520125</v>
      </c>
      <c r="AH65" s="66" t="n">
        <f aca="false">AH62-AG62</f>
        <v>318.935470082099</v>
      </c>
      <c r="AI65" s="66" t="n">
        <f aca="false">AI62-AH62</f>
        <v>310.733877759274</v>
      </c>
      <c r="AJ65" s="66" t="n">
        <f aca="false">AJ62-AI62</f>
        <v>302.744171411643</v>
      </c>
      <c r="AK65" s="66" t="n">
        <f aca="false">AK62-AJ62</f>
        <v>294.960848504812</v>
      </c>
      <c r="AL65" s="66" t="n">
        <f aca="false">AL62-AK62</f>
        <v>287.378550229299</v>
      </c>
      <c r="AM65" s="66" t="n">
        <f aca="false">AM62-AL62</f>
        <v>359.026581259159</v>
      </c>
      <c r="AN65" s="66" t="n">
        <f aca="false">AN62-AM62</f>
        <v>428.833452375806</v>
      </c>
      <c r="AO65" s="66" t="n">
        <f aca="false">AO62-AN62</f>
        <v>417.812167814587</v>
      </c>
      <c r="AP65" s="66" t="n">
        <f aca="false">AP62-AO62</f>
        <v>407.075428814956</v>
      </c>
      <c r="AQ65" s="66" t="n">
        <f aca="false">AQ62-AP62</f>
        <v>396.61585133444</v>
      </c>
      <c r="AR65" s="66" t="n">
        <f aca="false">AR62-AQ62</f>
        <v>386.426244043745</v>
      </c>
      <c r="AS65" s="66" t="n">
        <f aca="false">AS62-AR62</f>
        <v>376.499603265534</v>
      </c>
      <c r="AT65" s="66" t="n">
        <f aca="false">AT62-AS62</f>
        <v>366.829108047097</v>
      </c>
      <c r="AU65" s="66" t="n">
        <f aca="false">AU62-AT62</f>
        <v>357.408115363223</v>
      </c>
      <c r="AV65" s="66" t="n">
        <f aca="false">AV62-AU62</f>
        <v>348.230155445921</v>
      </c>
      <c r="AW65" s="66" t="n">
        <f aca="false">AW62-AV62</f>
        <v>339.288927237556</v>
      </c>
      <c r="AX65" s="66" t="n">
        <f aca="false">AX62-AW62</f>
        <v>330.578293964063</v>
      </c>
      <c r="AY65" s="66" t="n">
        <f aca="false">AY62-AX62</f>
        <v>423.702649216306</v>
      </c>
      <c r="AZ65" s="66" t="n">
        <f aca="false">AZ62-AY62</f>
        <v>514.435276320939</v>
      </c>
      <c r="BA65" s="66" t="n">
        <f aca="false">BA62-AZ62</f>
        <v>501.227506668518</v>
      </c>
      <c r="BB65" s="66" t="n">
        <f aca="false">BB62-BA62</f>
        <v>488.360337889731</v>
      </c>
      <c r="BC65" s="66" t="n">
        <f aca="false">BC62-BB62</f>
        <v>475.824942763778</v>
      </c>
      <c r="BD65" s="66" t="n">
        <f aca="false">BD62-BC62</f>
        <v>463.612724116341</v>
      </c>
      <c r="BE65" s="66" t="n">
        <f aca="false">BE62-BD62</f>
        <v>451.715308787439</v>
      </c>
      <c r="BF65" s="66" t="n">
        <f aca="false">BF62-BE62</f>
        <v>440.124541758538</v>
      </c>
      <c r="BG65" s="66" t="n">
        <f aca="false">BG62-BF62</f>
        <v>428.83248043463</v>
      </c>
      <c r="BH65" s="66" t="n">
        <f aca="false">BH62-BG62</f>
        <v>417.831389077222</v>
      </c>
      <c r="BI65" s="66" t="n">
        <f aca="false">BI62-BH62</f>
        <v>407.113733384151</v>
      </c>
      <c r="BJ65" s="66" t="n">
        <f aca="false">BJ62-BI62</f>
        <v>396.672175212385</v>
      </c>
    </row>
    <row r="66" customFormat="false" ht="15" hidden="false" customHeight="false" outlineLevel="0" collapsed="false">
      <c r="A66" s="6" t="s">
        <v>94</v>
      </c>
      <c r="C66" s="66" t="n">
        <f aca="false">C21*Inputs!$E$17*6</f>
        <v>7012.5</v>
      </c>
      <c r="D66" s="66" t="n">
        <f aca="false">D21*Inputs!$E$17*6</f>
        <v>10374.7875</v>
      </c>
      <c r="E66" s="66" t="n">
        <f aca="false">E21*Inputs!$E$17*6</f>
        <v>13653.0178125</v>
      </c>
      <c r="F66" s="66" t="n">
        <f aca="false">F21*Inputs!$E$17*6</f>
        <v>16849.2923671875</v>
      </c>
      <c r="G66" s="66" t="n">
        <f aca="false">G21*Inputs!$E$17*6</f>
        <v>19965.6600580078</v>
      </c>
      <c r="H66" s="66" t="n">
        <f aca="false">H21*Inputs!$E$17*6</f>
        <v>23004.1185565576</v>
      </c>
      <c r="I66" s="66" t="n">
        <f aca="false">I21*Inputs!$E$17*6</f>
        <v>25966.6155926437</v>
      </c>
      <c r="J66" s="66" t="n">
        <f aca="false">J21*Inputs!$E$17*6</f>
        <v>28855.0502028276</v>
      </c>
      <c r="K66" s="66" t="n">
        <f aca="false">K21*Inputs!$E$17*6</f>
        <v>31671.2739477569</v>
      </c>
      <c r="L66" s="66" t="n">
        <f aca="false">L21*Inputs!$E$17*6</f>
        <v>34417.092099063</v>
      </c>
      <c r="M66" s="66" t="n">
        <f aca="false">M21*Inputs!$E$17*6</f>
        <v>37094.2647965864</v>
      </c>
      <c r="N66" s="66" t="n">
        <f aca="false">N21*Inputs!$E$17*6</f>
        <v>39704.5081766718</v>
      </c>
      <c r="O66" s="66" t="n">
        <f aca="false">O21*Inputs!$E$17*6</f>
        <v>43231.205872255</v>
      </c>
      <c r="P66" s="66" t="n">
        <f aca="false">P21*Inputs!$E$17*6</f>
        <v>46669.7361254486</v>
      </c>
      <c r="Q66" s="66" t="n">
        <f aca="false">Q21*Inputs!$E$17*6</f>
        <v>50022.3031223124</v>
      </c>
      <c r="R66" s="66" t="n">
        <f aca="false">R21*Inputs!$E$17*6</f>
        <v>53291.0559442546</v>
      </c>
      <c r="S66" s="66" t="n">
        <f aca="false">S21*Inputs!$E$17*6</f>
        <v>56478.0899456482</v>
      </c>
      <c r="T66" s="66" t="n">
        <f aca="false">T21*Inputs!$E$17*6</f>
        <v>59585.448097007</v>
      </c>
      <c r="U66" s="66" t="n">
        <f aca="false">U21*Inputs!$E$17*6</f>
        <v>62615.1222945818</v>
      </c>
      <c r="V66" s="66" t="n">
        <f aca="false">V21*Inputs!$E$17*6</f>
        <v>65569.0546372173</v>
      </c>
      <c r="W66" s="66" t="n">
        <f aca="false">W21*Inputs!$E$17*6</f>
        <v>68449.1386712868</v>
      </c>
      <c r="X66" s="66" t="n">
        <f aca="false">X21*Inputs!$E$17*6</f>
        <v>71257.2206045047</v>
      </c>
      <c r="Y66" s="66" t="n">
        <f aca="false">Y21*Inputs!$E$17*6</f>
        <v>73995.100489392</v>
      </c>
      <c r="Z66" s="66" t="n">
        <f aca="false">Z21*Inputs!$E$17*6</f>
        <v>76664.5333771572</v>
      </c>
      <c r="AA66" s="66" t="n">
        <f aca="false">AA21*Inputs!$E$17*6</f>
        <v>80530.4021723283</v>
      </c>
      <c r="AB66" s="66" t="n">
        <f aca="false">AB21*Inputs!$E$17*6</f>
        <v>84299.6242476201</v>
      </c>
      <c r="AC66" s="66" t="n">
        <f aca="false">AC21*Inputs!$E$17*6</f>
        <v>87974.6157710296</v>
      </c>
      <c r="AD66" s="66" t="n">
        <f aca="false">AD21*Inputs!$E$17*6</f>
        <v>91557.7325063538</v>
      </c>
      <c r="AE66" s="66" t="n">
        <f aca="false">AE21*Inputs!$E$17*6</f>
        <v>95051.271323295</v>
      </c>
      <c r="AF66" s="66" t="n">
        <f aca="false">AF21*Inputs!$E$17*6</f>
        <v>98457.4716698126</v>
      </c>
      <c r="AG66" s="66" t="n">
        <f aca="false">AG21*Inputs!$E$17*6</f>
        <v>101778.517007667</v>
      </c>
      <c r="AH66" s="66" t="n">
        <f aca="false">AH21*Inputs!$E$17*6</f>
        <v>105016.536212076</v>
      </c>
      <c r="AI66" s="66" t="n">
        <f aca="false">AI21*Inputs!$E$17*6</f>
        <v>108173.604936374</v>
      </c>
      <c r="AJ66" s="66" t="n">
        <f aca="false">AJ21*Inputs!$E$17*6</f>
        <v>111251.746942564</v>
      </c>
      <c r="AK66" s="66" t="n">
        <f aca="false">AK21*Inputs!$E$17*6</f>
        <v>114252.9353986</v>
      </c>
      <c r="AL66" s="66" t="n">
        <f aca="false">AL21*Inputs!$E$17*6</f>
        <v>117179.094143235</v>
      </c>
      <c r="AM66" s="66" t="n">
        <f aca="false">AM21*Inputs!$E$17*6</f>
        <v>121660.031484133</v>
      </c>
      <c r="AN66" s="66" t="n">
        <f aca="false">AN21*Inputs!$E$17*6</f>
        <v>126028.945391508</v>
      </c>
      <c r="AO66" s="66" t="n">
        <f aca="false">AO21*Inputs!$E$17*6</f>
        <v>130288.636451199</v>
      </c>
      <c r="AP66" s="66" t="n">
        <f aca="false">AP21*Inputs!$E$17*6</f>
        <v>134441.835234397</v>
      </c>
      <c r="AQ66" s="66" t="n">
        <f aca="false">AQ21*Inputs!$E$17*6</f>
        <v>138491.204048015</v>
      </c>
      <c r="AR66" s="66" t="n">
        <f aca="false">AR21*Inputs!$E$17*6</f>
        <v>142439.338641293</v>
      </c>
      <c r="AS66" s="66" t="n">
        <f aca="false">AS21*Inputs!$E$17*6</f>
        <v>146288.769869739</v>
      </c>
      <c r="AT66" s="66" t="n">
        <f aca="false">AT21*Inputs!$E$17*6</f>
        <v>150041.965317474</v>
      </c>
      <c r="AU66" s="66" t="n">
        <f aca="false">AU21*Inputs!$E$17*6</f>
        <v>153701.330879016</v>
      </c>
      <c r="AV66" s="66" t="n">
        <f aca="false">AV21*Inputs!$E$17*6</f>
        <v>157269.212301519</v>
      </c>
      <c r="AW66" s="66" t="n">
        <f aca="false">AW21*Inputs!$E$17*6</f>
        <v>160747.896688459</v>
      </c>
      <c r="AX66" s="66" t="n">
        <f aca="false">AX21*Inputs!$E$17*6</f>
        <v>164139.613965726</v>
      </c>
      <c r="AY66" s="66" t="n">
        <f aca="false">AY21*Inputs!$E$17*6</f>
        <v>169547.910400448</v>
      </c>
      <c r="AZ66" s="66" t="n">
        <f aca="false">AZ21*Inputs!$E$17*6</f>
        <v>174820.999424303</v>
      </c>
      <c r="BA66" s="66" t="n">
        <f aca="false">BA21*Inputs!$E$17*6</f>
        <v>179962.26122256</v>
      </c>
      <c r="BB66" s="66" t="n">
        <f aca="false">BB21*Inputs!$E$17*6</f>
        <v>184974.991475862</v>
      </c>
      <c r="BC66" s="66" t="n">
        <f aca="false">BC21*Inputs!$E$17*6</f>
        <v>189862.403472831</v>
      </c>
      <c r="BD66" s="66" t="n">
        <f aca="false">BD21*Inputs!$E$17*6</f>
        <v>194627.630169875</v>
      </c>
      <c r="BE66" s="66" t="n">
        <f aca="false">BE21*Inputs!$E$17*6</f>
        <v>199273.726199494</v>
      </c>
      <c r="BF66" s="66" t="n">
        <f aca="false">BF21*Inputs!$E$17*6</f>
        <v>203803.669828372</v>
      </c>
      <c r="BG66" s="66" t="n">
        <f aca="false">BG21*Inputs!$E$17*6</f>
        <v>208220.364866528</v>
      </c>
      <c r="BH66" s="66" t="n">
        <f aca="false">BH21*Inputs!$E$17*6</f>
        <v>212526.64252873</v>
      </c>
      <c r="BI66" s="66" t="n">
        <f aca="false">BI21*Inputs!$E$17*6</f>
        <v>216725.263249377</v>
      </c>
      <c r="BJ66" s="66" t="n">
        <f aca="false">BJ21*Inputs!$E$17*6</f>
        <v>220818.918452008</v>
      </c>
    </row>
    <row r="67" customFormat="false" ht="15" hidden="false" customHeight="false" outlineLevel="0" collapsed="false">
      <c r="A67" s="6" t="s">
        <v>327</v>
      </c>
      <c r="C67" s="66" t="n">
        <f aca="false">C66</f>
        <v>7012.5</v>
      </c>
      <c r="D67" s="66" t="n">
        <f aca="false">D66-C66</f>
        <v>3362.2875</v>
      </c>
      <c r="E67" s="66" t="n">
        <f aca="false">E66-D66</f>
        <v>3278.2303125</v>
      </c>
      <c r="F67" s="66" t="n">
        <f aca="false">F66-E66</f>
        <v>3196.2745546875</v>
      </c>
      <c r="G67" s="66" t="n">
        <f aca="false">G66-F66</f>
        <v>3116.36769082031</v>
      </c>
      <c r="H67" s="66" t="n">
        <f aca="false">H66-G66</f>
        <v>3038.45849854981</v>
      </c>
      <c r="I67" s="66" t="n">
        <f aca="false">I66-H66</f>
        <v>2962.49703608606</v>
      </c>
      <c r="J67" s="66" t="n">
        <f aca="false">J66-I66</f>
        <v>2888.43461018391</v>
      </c>
      <c r="K67" s="66" t="n">
        <f aca="false">K66-J66</f>
        <v>2816.22374492931</v>
      </c>
      <c r="L67" s="66" t="n">
        <f aca="false">L66-K66</f>
        <v>2745.81815130608</v>
      </c>
      <c r="M67" s="66" t="n">
        <f aca="false">M66-L66</f>
        <v>2677.17269752342</v>
      </c>
      <c r="N67" s="66" t="n">
        <f aca="false">N66-M66</f>
        <v>2610.24338008535</v>
      </c>
      <c r="O67" s="66" t="n">
        <f aca="false">O66-N66</f>
        <v>3526.69769558321</v>
      </c>
      <c r="P67" s="66" t="n">
        <f aca="false">P66-O66</f>
        <v>3438.53025319362</v>
      </c>
      <c r="Q67" s="66" t="n">
        <f aca="false">Q66-P66</f>
        <v>3352.56699686379</v>
      </c>
      <c r="R67" s="66" t="n">
        <f aca="false">R66-Q66</f>
        <v>3268.75282194219</v>
      </c>
      <c r="S67" s="66" t="n">
        <f aca="false">S66-R66</f>
        <v>3187.03400139364</v>
      </c>
      <c r="T67" s="66" t="n">
        <f aca="false">T66-S66</f>
        <v>3107.3581513588</v>
      </c>
      <c r="U67" s="66" t="n">
        <f aca="false">U66-T66</f>
        <v>3029.67419757482</v>
      </c>
      <c r="V67" s="66" t="n">
        <f aca="false">V66-U66</f>
        <v>2953.93234263546</v>
      </c>
      <c r="W67" s="66" t="n">
        <f aca="false">W66-V66</f>
        <v>2880.08403406957</v>
      </c>
      <c r="X67" s="66" t="n">
        <f aca="false">X66-W66</f>
        <v>2808.08193321782</v>
      </c>
      <c r="Y67" s="66" t="n">
        <f aca="false">Y66-X66</f>
        <v>2737.87988488737</v>
      </c>
      <c r="Z67" s="66" t="n">
        <f aca="false">Z66-Y66</f>
        <v>2669.4328877652</v>
      </c>
      <c r="AA67" s="66" t="n">
        <f aca="false">AA66-Z66</f>
        <v>3865.86879517106</v>
      </c>
      <c r="AB67" s="66" t="n">
        <f aca="false">AB66-AA66</f>
        <v>3769.22207529178</v>
      </c>
      <c r="AC67" s="66" t="n">
        <f aca="false">AC66-AB66</f>
        <v>3674.99152340948</v>
      </c>
      <c r="AD67" s="66" t="n">
        <f aca="false">AD66-AC66</f>
        <v>3583.11673532426</v>
      </c>
      <c r="AE67" s="66" t="n">
        <f aca="false">AE66-AD66</f>
        <v>3493.53881694116</v>
      </c>
      <c r="AF67" s="66" t="n">
        <f aca="false">AF66-AE66</f>
        <v>3406.20034651762</v>
      </c>
      <c r="AG67" s="66" t="n">
        <f aca="false">AG66-AF66</f>
        <v>3321.04533785467</v>
      </c>
      <c r="AH67" s="66" t="n">
        <f aca="false">AH66-AG66</f>
        <v>3238.01920440832</v>
      </c>
      <c r="AI67" s="66" t="n">
        <f aca="false">AI66-AH66</f>
        <v>3157.06872429809</v>
      </c>
      <c r="AJ67" s="66" t="n">
        <f aca="false">AJ66-AI66</f>
        <v>3078.14200619064</v>
      </c>
      <c r="AK67" s="66" t="n">
        <f aca="false">AK66-AJ66</f>
        <v>3001.18845603586</v>
      </c>
      <c r="AL67" s="66" t="n">
        <f aca="false">AL66-AK66</f>
        <v>2926.158744635</v>
      </c>
      <c r="AM67" s="66" t="n">
        <f aca="false">AM66-AL66</f>
        <v>4480.93734089754</v>
      </c>
      <c r="AN67" s="66" t="n">
        <f aca="false">AN66-AM66</f>
        <v>4368.9139073751</v>
      </c>
      <c r="AO67" s="66" t="n">
        <f aca="false">AO66-AN66</f>
        <v>4259.6910596907</v>
      </c>
      <c r="AP67" s="66" t="n">
        <f aca="false">AP66-AO66</f>
        <v>4153.19878319843</v>
      </c>
      <c r="AQ67" s="66" t="n">
        <f aca="false">AQ66-AP66</f>
        <v>4049.36881361849</v>
      </c>
      <c r="AR67" s="66" t="n">
        <f aca="false">AR66-AQ66</f>
        <v>3948.134593278</v>
      </c>
      <c r="AS67" s="66" t="n">
        <f aca="false">AS66-AR66</f>
        <v>3849.43122844605</v>
      </c>
      <c r="AT67" s="66" t="n">
        <f aca="false">AT66-AS66</f>
        <v>3753.19544773491</v>
      </c>
      <c r="AU67" s="66" t="n">
        <f aca="false">AU66-AT66</f>
        <v>3659.36556154155</v>
      </c>
      <c r="AV67" s="66" t="n">
        <f aca="false">AV66-AU66</f>
        <v>3567.88142250301</v>
      </c>
      <c r="AW67" s="66" t="n">
        <f aca="false">AW66-AV66</f>
        <v>3478.68438694044</v>
      </c>
      <c r="AX67" s="66" t="n">
        <f aca="false">AX66-AW66</f>
        <v>3391.7172772669</v>
      </c>
      <c r="AY67" s="66" t="n">
        <f aca="false">AY66-AX66</f>
        <v>5408.2964347222</v>
      </c>
      <c r="AZ67" s="66" t="n">
        <f aca="false">AZ66-AY66</f>
        <v>5273.08902385415</v>
      </c>
      <c r="BA67" s="66" t="n">
        <f aca="false">BA66-AZ66</f>
        <v>5141.26179825779</v>
      </c>
      <c r="BB67" s="66" t="n">
        <f aca="false">BB66-BA66</f>
        <v>5012.73025330136</v>
      </c>
      <c r="BC67" s="66" t="n">
        <f aca="false">BC66-BB66</f>
        <v>4887.41199696882</v>
      </c>
      <c r="BD67" s="66" t="n">
        <f aca="false">BD66-BC66</f>
        <v>4765.22669704459</v>
      </c>
      <c r="BE67" s="66" t="n">
        <f aca="false">BE66-BD66</f>
        <v>4646.09602961849</v>
      </c>
      <c r="BF67" s="66" t="n">
        <f aca="false">BF66-BE66</f>
        <v>4529.94362887798</v>
      </c>
      <c r="BG67" s="66" t="n">
        <f aca="false">BG66-BF66</f>
        <v>4416.69503815606</v>
      </c>
      <c r="BH67" s="66" t="n">
        <f aca="false">BH66-BG66</f>
        <v>4306.27766220219</v>
      </c>
      <c r="BI67" s="66" t="n">
        <f aca="false">BI66-BH66</f>
        <v>4198.62072064704</v>
      </c>
      <c r="BJ67" s="66" t="n">
        <f aca="false">BJ66-BI66</f>
        <v>4093.65520263097</v>
      </c>
    </row>
    <row r="69" customFormat="false" ht="15.75" hidden="false" customHeight="true" outlineLevel="0" collapsed="false">
      <c r="A69" s="7" t="s">
        <v>420</v>
      </c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</row>
    <row r="70" customFormat="false" ht="15" hidden="false" customHeight="false" outlineLevel="0" collapsed="false">
      <c r="A70" s="4" t="s">
        <v>52</v>
      </c>
      <c r="C70" s="72" t="n">
        <f aca="false">C44-C49+C63+C64+C65+C67</f>
        <v>-64465.1041666667</v>
      </c>
      <c r="D70" s="72" t="n">
        <f aca="false">D44-D49+D63+D64+D65+D67</f>
        <v>-65545.5460069444</v>
      </c>
      <c r="E70" s="72" t="n">
        <f aca="false">E44-E49+E63+E64+E65+E67</f>
        <v>-63191.5685234375</v>
      </c>
      <c r="F70" s="72" t="n">
        <f aca="false">F44-F49+F63+F64+F65+F67</f>
        <v>-60896.1560309071</v>
      </c>
      <c r="G70" s="72" t="n">
        <f aca="false">G44-G49+G63+G64+G65+G67</f>
        <v>-58657.8529379622</v>
      </c>
      <c r="H70" s="72" t="n">
        <f aca="false">H44-H49+H63+H64+H65+H67</f>
        <v>-56475.239786995</v>
      </c>
      <c r="I70" s="72" t="n">
        <f aca="false">I44-I49+I63+I64+I65+I67</f>
        <v>-54346.9323585164</v>
      </c>
      <c r="J70" s="72" t="n">
        <f aca="false">J44-J49+J63+J64+J65+J67</f>
        <v>-52271.5807976527</v>
      </c>
      <c r="K70" s="72" t="n">
        <f aca="false">K44-K49+K63+K64+K65+K67</f>
        <v>-50247.8687622566</v>
      </c>
      <c r="L70" s="72" t="n">
        <f aca="false">L44-L49+L63+L64+L65+L67</f>
        <v>-48274.5125920979</v>
      </c>
      <c r="M70" s="72" t="n">
        <f aca="false">M44-M49+M63+M64+M65+M67</f>
        <v>-46350.2604986151</v>
      </c>
      <c r="N70" s="72" t="n">
        <f aca="false">N44-N49+N63+N64+N65+N67</f>
        <v>-44473.8917747187</v>
      </c>
      <c r="O70" s="72" t="n">
        <f aca="false">O44-O49+O63+O64+O65+O67</f>
        <v>-77951.6339574849</v>
      </c>
      <c r="P70" s="72" t="n">
        <f aca="false">P44-P49+P63+P64+P65+P67</f>
        <v>-75498.6973838123</v>
      </c>
      <c r="Q70" s="72" t="n">
        <f aca="false">Q44-Q49+Q63+Q64+Q65+Q67</f>
        <v>-73086.7308042236</v>
      </c>
      <c r="R70" s="72" t="n">
        <f aca="false">R44-R49+R63+R64+R65+R67</f>
        <v>-70734.7955461411</v>
      </c>
      <c r="S70" s="72" t="n">
        <f aca="false">S44-S49+S63+S64+S65+S67</f>
        <v>-68441.3988618166</v>
      </c>
      <c r="T70" s="72" t="n">
        <f aca="false">T44-T49+T63+T64+T65+T67</f>
        <v>-66205.085081137</v>
      </c>
      <c r="U70" s="72" t="n">
        <f aca="false">U44-U49+U63+U64+U65+U67</f>
        <v>-64024.4346919152</v>
      </c>
      <c r="V70" s="72" t="n">
        <f aca="false">V44-V49+V63+V64+V65+V67</f>
        <v>-61898.0634429563</v>
      </c>
      <c r="W70" s="72" t="n">
        <f aca="false">W44-W49+W63+W64+W65+W67</f>
        <v>-59824.6214693379</v>
      </c>
      <c r="X70" s="72" t="n">
        <f aca="false">X44-X49+X63+X64+X65+X67</f>
        <v>-57802.7924393529</v>
      </c>
      <c r="Y70" s="72" t="n">
        <f aca="false">Y44-Y49+Y63+Y64+Y65+Y67</f>
        <v>-55831.2927225818</v>
      </c>
      <c r="Z70" s="72" t="n">
        <f aca="false">Z44-Z49+Z63+Z64+Z65+Z67</f>
        <v>-53908.8705785703</v>
      </c>
      <c r="AA70" s="72" t="n">
        <f aca="false">AA44-AA49+AA63+AA64+AA65+AA67</f>
        <v>-106872.332341004</v>
      </c>
      <c r="AB70" s="72" t="n">
        <f aca="false">AB44-AB49+AB63+AB64+AB65+AB67</f>
        <v>-104183.634043166</v>
      </c>
      <c r="AC70" s="72" t="n">
        <f aca="false">AC44-AC49+AC63+AC64+AC65+AC67</f>
        <v>-101535.775444044</v>
      </c>
      <c r="AD70" s="72" t="n">
        <f aca="false">AD44-AD49+AD63+AD64+AD65+AD67</f>
        <v>-98953.8393444263</v>
      </c>
      <c r="AE70" s="72" t="n">
        <f aca="false">AE44-AE49+AE63+AE64+AE65+AE67</f>
        <v>-96436.1859007883</v>
      </c>
      <c r="AF70" s="72" t="n">
        <f aca="false">AF44-AF49+AF63+AF64+AF65+AF67</f>
        <v>-93981.216019126</v>
      </c>
      <c r="AG70" s="72" t="n">
        <f aca="false">AG44-AG49+AG63+AG64+AG65+AG67</f>
        <v>-91587.3703436136</v>
      </c>
      <c r="AH70" s="72" t="n">
        <f aca="false">AH44-AH49+AH63+AH64+AH65+AH67</f>
        <v>-89253.1282703241</v>
      </c>
      <c r="AI70" s="72" t="n">
        <f aca="false">AI44-AI49+AI63+AI64+AI65+AI67</f>
        <v>-86977.0069853917</v>
      </c>
      <c r="AJ70" s="72" t="n">
        <f aca="false">AJ44-AJ49+AJ63+AJ64+AJ65+AJ67</f>
        <v>-84757.5605270119</v>
      </c>
      <c r="AK70" s="72" t="n">
        <f aca="false">AK44-AK49+AK63+AK64+AK65+AK67</f>
        <v>-82593.378870688</v>
      </c>
      <c r="AL70" s="72" t="n">
        <f aca="false">AL44-AL49+AL63+AL64+AL65+AL67</f>
        <v>-80483.0870371505</v>
      </c>
      <c r="AM70" s="72" t="n">
        <f aca="false">AM44-AM49+AM63+AM64+AM65+AM67</f>
        <v>-163702.545294705</v>
      </c>
      <c r="AN70" s="72" t="n">
        <f aca="false">AN44-AN49+AN63+AN64+AN65+AN67</f>
        <v>-160586.348620119</v>
      </c>
      <c r="AO70" s="72" t="n">
        <f aca="false">AO44-AO49+AO63+AO64+AO65+AO67</f>
        <v>-157513.788525485</v>
      </c>
      <c r="AP70" s="72" t="n">
        <f aca="false">AP44-AP49+AP63+AP64+AP65+AP67</f>
        <v>-154517.741984964</v>
      </c>
      <c r="AQ70" s="72" t="n">
        <f aca="false">AQ44-AQ49+AQ63+AQ64+AQ65+AQ67</f>
        <v>-151596.305173153</v>
      </c>
      <c r="AR70" s="72" t="n">
        <f aca="false">AR44-AR49+AR63+AR64+AR65+AR67</f>
        <v>-148747.621589876</v>
      </c>
      <c r="AS70" s="72" t="n">
        <f aca="false">AS44-AS49+AS63+AS64+AS65+AS67</f>
        <v>-145969.880885175</v>
      </c>
      <c r="AT70" s="72" t="n">
        <f aca="false">AT44-AT49+AT63+AT64+AT65+AT67</f>
        <v>-143261.317713413</v>
      </c>
      <c r="AU70" s="72" t="n">
        <f aca="false">AU44-AU49+AU63+AU64+AU65+AU67</f>
        <v>-140620.210615809</v>
      </c>
      <c r="AV70" s="72" t="n">
        <f aca="false">AV44-AV49+AV63+AV64+AV65+AV67</f>
        <v>-138044.880930662</v>
      </c>
      <c r="AW70" s="72" t="n">
        <f aca="false">AW44-AW49+AW63+AW64+AW65+AW67</f>
        <v>-135533.691730611</v>
      </c>
      <c r="AX70" s="72" t="n">
        <f aca="false">AX44-AX49+AX63+AX64+AX65+AX67</f>
        <v>-133085.046786239</v>
      </c>
      <c r="AY70" s="72" t="n">
        <f aca="false">AY44-AY49+AY63+AY64+AY65+AY67</f>
        <v>-263429.989659403</v>
      </c>
      <c r="AZ70" s="72" t="n">
        <f aca="false">AZ44-AZ49+AZ63+AZ64+AZ65+AZ67</f>
        <v>-259668.973260816</v>
      </c>
      <c r="BA70" s="72" t="n">
        <f aca="false">BA44-BA49+BA63+BA64+BA65+BA67</f>
        <v>-255957.37884821</v>
      </c>
      <c r="BB70" s="72" t="n">
        <f aca="false">BB44-BB49+BB63+BB64+BB65+BB67</f>
        <v>-252338.227408175</v>
      </c>
      <c r="BC70" s="72" t="n">
        <f aca="false">BC44-BC49+BC63+BC64+BC65+BC67</f>
        <v>-248809.218273028</v>
      </c>
      <c r="BD70" s="72" t="n">
        <f aca="false">BD44-BD49+BD63+BD64+BD65+BD67</f>
        <v>-245368.107979582</v>
      </c>
      <c r="BE70" s="72" t="n">
        <f aca="false">BE44-BE49+BE63+BE64+BE65+BE67</f>
        <v>-242012.708848393</v>
      </c>
      <c r="BF70" s="72" t="n">
        <f aca="false">BF44-BF49+BF63+BF64+BF65+BF67</f>
        <v>-238740.887598258</v>
      </c>
      <c r="BG70" s="72" t="n">
        <f aca="false">BG44-BG49+BG63+BG64+BG65+BG67</f>
        <v>-235550.563995067</v>
      </c>
      <c r="BH70" s="72" t="n">
        <f aca="false">BH44-BH49+BH63+BH64+BH65+BH67</f>
        <v>-232439.709534176</v>
      </c>
      <c r="BI70" s="72" t="n">
        <f aca="false">BI44-BI49+BI63+BI64+BI65+BI67</f>
        <v>-229406.346155461</v>
      </c>
      <c r="BJ70" s="72" t="n">
        <f aca="false">BJ44-BJ49+BJ63+BJ64+BJ65+BJ67</f>
        <v>-226448.544990247</v>
      </c>
    </row>
    <row r="71" customFormat="false" ht="15" hidden="false" customHeight="false" outlineLevel="0" collapsed="false">
      <c r="A71" s="6" t="s">
        <v>421</v>
      </c>
      <c r="C71" s="66" t="n">
        <f aca="false">-C47</f>
        <v>-20000</v>
      </c>
      <c r="D71" s="66" t="n">
        <f aca="false">-D47</f>
        <v>-0</v>
      </c>
      <c r="E71" s="66" t="n">
        <f aca="false">-E47</f>
        <v>-0</v>
      </c>
      <c r="F71" s="66" t="n">
        <f aca="false">-F47</f>
        <v>-0</v>
      </c>
      <c r="G71" s="66" t="n">
        <f aca="false">-G47</f>
        <v>-0</v>
      </c>
      <c r="H71" s="66" t="n">
        <f aca="false">-H47</f>
        <v>-0</v>
      </c>
      <c r="I71" s="66" t="n">
        <f aca="false">-I47</f>
        <v>-0</v>
      </c>
      <c r="J71" s="66" t="n">
        <f aca="false">-J47</f>
        <v>-0</v>
      </c>
      <c r="K71" s="66" t="n">
        <f aca="false">-K47</f>
        <v>-0</v>
      </c>
      <c r="L71" s="66" t="n">
        <f aca="false">-L47</f>
        <v>-0</v>
      </c>
      <c r="M71" s="66" t="n">
        <f aca="false">-M47</f>
        <v>-0</v>
      </c>
      <c r="N71" s="66" t="n">
        <f aca="false">-N47</f>
        <v>-0</v>
      </c>
      <c r="O71" s="66" t="n">
        <f aca="false">-O47</f>
        <v>-0</v>
      </c>
      <c r="P71" s="66" t="n">
        <f aca="false">-P47</f>
        <v>-0</v>
      </c>
      <c r="Q71" s="66" t="n">
        <f aca="false">-Q47</f>
        <v>-0</v>
      </c>
      <c r="R71" s="66" t="n">
        <f aca="false">-R47</f>
        <v>-0</v>
      </c>
      <c r="S71" s="66" t="n">
        <f aca="false">-S47</f>
        <v>-0</v>
      </c>
      <c r="T71" s="66" t="n">
        <f aca="false">-T47</f>
        <v>-0</v>
      </c>
      <c r="U71" s="66" t="n">
        <f aca="false">-U47</f>
        <v>-0</v>
      </c>
      <c r="V71" s="66" t="n">
        <f aca="false">-V47</f>
        <v>-0</v>
      </c>
      <c r="W71" s="66" t="n">
        <f aca="false">-W47</f>
        <v>-0</v>
      </c>
      <c r="X71" s="66" t="n">
        <f aca="false">-X47</f>
        <v>-0</v>
      </c>
      <c r="Y71" s="66" t="n">
        <f aca="false">-Y47</f>
        <v>-0</v>
      </c>
      <c r="Z71" s="66" t="n">
        <f aca="false">-Z47</f>
        <v>-0</v>
      </c>
      <c r="AA71" s="66" t="n">
        <f aca="false">-AA47</f>
        <v>-0</v>
      </c>
      <c r="AB71" s="66" t="n">
        <f aca="false">-AB47</f>
        <v>-0</v>
      </c>
      <c r="AC71" s="66" t="n">
        <f aca="false">-AC47</f>
        <v>-0</v>
      </c>
      <c r="AD71" s="66" t="n">
        <f aca="false">-AD47</f>
        <v>-0</v>
      </c>
      <c r="AE71" s="66" t="n">
        <f aca="false">-AE47</f>
        <v>-0</v>
      </c>
      <c r="AF71" s="66" t="n">
        <f aca="false">-AF47</f>
        <v>-0</v>
      </c>
      <c r="AG71" s="66" t="n">
        <f aca="false">-AG47</f>
        <v>-0</v>
      </c>
      <c r="AH71" s="66" t="n">
        <f aca="false">-AH47</f>
        <v>-0</v>
      </c>
      <c r="AI71" s="66" t="n">
        <f aca="false">-AI47</f>
        <v>-0</v>
      </c>
      <c r="AJ71" s="66" t="n">
        <f aca="false">-AJ47</f>
        <v>-0</v>
      </c>
      <c r="AK71" s="66" t="n">
        <f aca="false">-AK47</f>
        <v>-0</v>
      </c>
      <c r="AL71" s="66" t="n">
        <f aca="false">-AL47</f>
        <v>-0</v>
      </c>
      <c r="AM71" s="66" t="n">
        <f aca="false">-AM47</f>
        <v>-0</v>
      </c>
      <c r="AN71" s="66" t="n">
        <f aca="false">-AN47</f>
        <v>-0</v>
      </c>
      <c r="AO71" s="66" t="n">
        <f aca="false">-AO47</f>
        <v>-0</v>
      </c>
      <c r="AP71" s="66" t="n">
        <f aca="false">-AP47</f>
        <v>-0</v>
      </c>
      <c r="AQ71" s="66" t="n">
        <f aca="false">-AQ47</f>
        <v>-0</v>
      </c>
      <c r="AR71" s="66" t="n">
        <f aca="false">-AR47</f>
        <v>-0</v>
      </c>
      <c r="AS71" s="66" t="n">
        <f aca="false">-AS47</f>
        <v>-0</v>
      </c>
      <c r="AT71" s="66" t="n">
        <f aca="false">-AT47</f>
        <v>-0</v>
      </c>
      <c r="AU71" s="66" t="n">
        <f aca="false">-AU47</f>
        <v>-0</v>
      </c>
      <c r="AV71" s="66" t="n">
        <f aca="false">-AV47</f>
        <v>-0</v>
      </c>
      <c r="AW71" s="66" t="n">
        <f aca="false">-AW47</f>
        <v>-0</v>
      </c>
      <c r="AX71" s="66" t="n">
        <f aca="false">-AX47</f>
        <v>-0</v>
      </c>
      <c r="AY71" s="66" t="n">
        <f aca="false">-AY47</f>
        <v>-0</v>
      </c>
      <c r="AZ71" s="66" t="n">
        <f aca="false">-AZ47</f>
        <v>-0</v>
      </c>
      <c r="BA71" s="66" t="n">
        <f aca="false">-BA47</f>
        <v>-0</v>
      </c>
      <c r="BB71" s="66" t="n">
        <f aca="false">-BB47</f>
        <v>-0</v>
      </c>
      <c r="BC71" s="66" t="n">
        <f aca="false">-BC47</f>
        <v>-0</v>
      </c>
      <c r="BD71" s="66" t="n">
        <f aca="false">-BD47</f>
        <v>-0</v>
      </c>
      <c r="BE71" s="66" t="n">
        <f aca="false">-BE47</f>
        <v>-0</v>
      </c>
      <c r="BF71" s="66" t="n">
        <f aca="false">-BF47</f>
        <v>-0</v>
      </c>
      <c r="BG71" s="66" t="n">
        <f aca="false">-BG47</f>
        <v>-0</v>
      </c>
      <c r="BH71" s="66" t="n">
        <f aca="false">-BH47</f>
        <v>-0</v>
      </c>
      <c r="BI71" s="66" t="n">
        <f aca="false">-BI47</f>
        <v>-0</v>
      </c>
      <c r="BJ71" s="66" t="n">
        <f aca="false">-BJ47</f>
        <v>-0</v>
      </c>
    </row>
    <row r="72" customFormat="false" ht="15" hidden="false" customHeight="false" outlineLevel="0" collapsed="false">
      <c r="A72" s="6" t="s">
        <v>63</v>
      </c>
      <c r="C72" s="66" t="n">
        <f aca="false">IF(C$4=1,Inputs!$E$46,0)</f>
        <v>3000000</v>
      </c>
      <c r="D72" s="66" t="n">
        <f aca="false">IF(D$4=1,Inputs!$E$46,0)</f>
        <v>0</v>
      </c>
      <c r="E72" s="66" t="n">
        <f aca="false">IF(E$4=1,Inputs!$E$46,0)</f>
        <v>0</v>
      </c>
      <c r="F72" s="66" t="n">
        <f aca="false">IF(F$4=1,Inputs!$E$46,0)</f>
        <v>0</v>
      </c>
      <c r="G72" s="66" t="n">
        <f aca="false">IF(G$4=1,Inputs!$E$46,0)</f>
        <v>0</v>
      </c>
      <c r="H72" s="66" t="n">
        <f aca="false">IF(H$4=1,Inputs!$E$46,0)</f>
        <v>0</v>
      </c>
      <c r="I72" s="66" t="n">
        <f aca="false">IF(I$4=1,Inputs!$E$46,0)</f>
        <v>0</v>
      </c>
      <c r="J72" s="66" t="n">
        <f aca="false">IF(J$4=1,Inputs!$E$46,0)</f>
        <v>0</v>
      </c>
      <c r="K72" s="66" t="n">
        <f aca="false">IF(K$4=1,Inputs!$E$46,0)</f>
        <v>0</v>
      </c>
      <c r="L72" s="66" t="n">
        <f aca="false">IF(L$4=1,Inputs!$E$46,0)</f>
        <v>0</v>
      </c>
      <c r="M72" s="66" t="n">
        <f aca="false">IF(M$4=1,Inputs!$E$46,0)</f>
        <v>0</v>
      </c>
      <c r="N72" s="66" t="n">
        <f aca="false">IF(N$4=1,Inputs!$E$46,0)</f>
        <v>0</v>
      </c>
      <c r="O72" s="66" t="n">
        <f aca="false">IF(O$4=1,Inputs!$E$46,0)</f>
        <v>0</v>
      </c>
      <c r="P72" s="66" t="n">
        <f aca="false">IF(P$4=1,Inputs!$E$46,0)</f>
        <v>0</v>
      </c>
      <c r="Q72" s="66" t="n">
        <f aca="false">IF(Q$4=1,Inputs!$E$46,0)</f>
        <v>0</v>
      </c>
      <c r="R72" s="66" t="n">
        <f aca="false">IF(R$4=1,Inputs!$E$46,0)</f>
        <v>0</v>
      </c>
      <c r="S72" s="66" t="n">
        <f aca="false">IF(S$4=1,Inputs!$E$46,0)</f>
        <v>0</v>
      </c>
      <c r="T72" s="66" t="n">
        <f aca="false">IF(T$4=1,Inputs!$E$46,0)</f>
        <v>0</v>
      </c>
      <c r="U72" s="66" t="n">
        <f aca="false">IF(U$4=1,Inputs!$E$46,0)</f>
        <v>0</v>
      </c>
      <c r="V72" s="66" t="n">
        <f aca="false">IF(V$4=1,Inputs!$E$46,0)</f>
        <v>0</v>
      </c>
      <c r="W72" s="66" t="n">
        <f aca="false">IF(W$4=1,Inputs!$E$46,0)</f>
        <v>0</v>
      </c>
      <c r="X72" s="66" t="n">
        <f aca="false">IF(X$4=1,Inputs!$E$46,0)</f>
        <v>0</v>
      </c>
      <c r="Y72" s="66" t="n">
        <f aca="false">IF(Y$4=1,Inputs!$E$46,0)</f>
        <v>0</v>
      </c>
      <c r="Z72" s="66" t="n">
        <f aca="false">IF(Z$4=1,Inputs!$E$46,0)</f>
        <v>0</v>
      </c>
      <c r="AA72" s="66" t="n">
        <f aca="false">IF(AA$4=1,Inputs!$E$46,0)</f>
        <v>0</v>
      </c>
      <c r="AB72" s="66" t="n">
        <f aca="false">IF(AB$4=1,Inputs!$E$46,0)</f>
        <v>0</v>
      </c>
      <c r="AC72" s="66" t="n">
        <f aca="false">IF(AC$4=1,Inputs!$E$46,0)</f>
        <v>0</v>
      </c>
      <c r="AD72" s="66" t="n">
        <f aca="false">IF(AD$4=1,Inputs!$E$46,0)</f>
        <v>0</v>
      </c>
      <c r="AE72" s="66" t="n">
        <f aca="false">IF(AE$4=1,Inputs!$E$46,0)</f>
        <v>0</v>
      </c>
      <c r="AF72" s="66" t="n">
        <f aca="false">IF(AF$4=1,Inputs!$E$46,0)</f>
        <v>0</v>
      </c>
      <c r="AG72" s="66" t="n">
        <f aca="false">IF(AG$4=1,Inputs!$E$46,0)</f>
        <v>0</v>
      </c>
      <c r="AH72" s="66" t="n">
        <f aca="false">IF(AH$4=1,Inputs!$E$46,0)</f>
        <v>0</v>
      </c>
      <c r="AI72" s="66" t="n">
        <f aca="false">IF(AI$4=1,Inputs!$E$46,0)</f>
        <v>0</v>
      </c>
      <c r="AJ72" s="66" t="n">
        <f aca="false">IF(AJ$4=1,Inputs!$E$46,0)</f>
        <v>0</v>
      </c>
      <c r="AK72" s="66" t="n">
        <f aca="false">IF(AK$4=1,Inputs!$E$46,0)</f>
        <v>0</v>
      </c>
      <c r="AL72" s="66" t="n">
        <f aca="false">IF(AL$4=1,Inputs!$E$46,0)</f>
        <v>0</v>
      </c>
      <c r="AM72" s="66" t="n">
        <f aca="false">IF(AM$4=1,Inputs!$E$46,0)</f>
        <v>0</v>
      </c>
      <c r="AN72" s="66" t="n">
        <f aca="false">IF(AN$4=1,Inputs!$E$46,0)</f>
        <v>0</v>
      </c>
      <c r="AO72" s="66" t="n">
        <f aca="false">IF(AO$4=1,Inputs!$E$46,0)</f>
        <v>0</v>
      </c>
      <c r="AP72" s="66" t="n">
        <f aca="false">IF(AP$4=1,Inputs!$E$46,0)</f>
        <v>0</v>
      </c>
      <c r="AQ72" s="66" t="n">
        <f aca="false">IF(AQ$4=1,Inputs!$E$46,0)</f>
        <v>0</v>
      </c>
      <c r="AR72" s="66" t="n">
        <f aca="false">IF(AR$4=1,Inputs!$E$46,0)</f>
        <v>0</v>
      </c>
      <c r="AS72" s="66" t="n">
        <f aca="false">IF(AS$4=1,Inputs!$E$46,0)</f>
        <v>0</v>
      </c>
      <c r="AT72" s="66" t="n">
        <f aca="false">IF(AT$4=1,Inputs!$E$46,0)</f>
        <v>0</v>
      </c>
      <c r="AU72" s="66" t="n">
        <f aca="false">IF(AU$4=1,Inputs!$E$46,0)</f>
        <v>0</v>
      </c>
      <c r="AV72" s="66" t="n">
        <f aca="false">IF(AV$4=1,Inputs!$E$46,0)</f>
        <v>0</v>
      </c>
      <c r="AW72" s="66" t="n">
        <f aca="false">IF(AW$4=1,Inputs!$E$46,0)</f>
        <v>0</v>
      </c>
      <c r="AX72" s="66" t="n">
        <f aca="false">IF(AX$4=1,Inputs!$E$46,0)</f>
        <v>0</v>
      </c>
      <c r="AY72" s="66" t="n">
        <f aca="false">IF(AY$4=1,Inputs!$E$46,0)</f>
        <v>0</v>
      </c>
      <c r="AZ72" s="66" t="n">
        <f aca="false">IF(AZ$4=1,Inputs!$E$46,0)</f>
        <v>0</v>
      </c>
      <c r="BA72" s="66" t="n">
        <f aca="false">IF(BA$4=1,Inputs!$E$46,0)</f>
        <v>0</v>
      </c>
      <c r="BB72" s="66" t="n">
        <f aca="false">IF(BB$4=1,Inputs!$E$46,0)</f>
        <v>0</v>
      </c>
      <c r="BC72" s="66" t="n">
        <f aca="false">IF(BC$4=1,Inputs!$E$46,0)</f>
        <v>0</v>
      </c>
      <c r="BD72" s="66" t="n">
        <f aca="false">IF(BD$4=1,Inputs!$E$46,0)</f>
        <v>0</v>
      </c>
      <c r="BE72" s="66" t="n">
        <f aca="false">IF(BE$4=1,Inputs!$E$46,0)</f>
        <v>0</v>
      </c>
      <c r="BF72" s="66" t="n">
        <f aca="false">IF(BF$4=1,Inputs!$E$46,0)</f>
        <v>0</v>
      </c>
      <c r="BG72" s="66" t="n">
        <f aca="false">IF(BG$4=1,Inputs!$E$46,0)</f>
        <v>0</v>
      </c>
      <c r="BH72" s="66" t="n">
        <f aca="false">IF(BH$4=1,Inputs!$E$46,0)</f>
        <v>0</v>
      </c>
      <c r="BI72" s="66" t="n">
        <f aca="false">IF(BI$4=1,Inputs!$E$46,0)</f>
        <v>0</v>
      </c>
      <c r="BJ72" s="66" t="n">
        <f aca="false">IF(BJ$4=1,Inputs!$E$46,0)</f>
        <v>0</v>
      </c>
    </row>
    <row r="73" customFormat="false" ht="15" hidden="false" customHeight="false" outlineLevel="0" collapsed="false">
      <c r="A73" s="6" t="s">
        <v>54</v>
      </c>
      <c r="C73" s="66" t="n">
        <f aca="false">C72+C55+C56</f>
        <v>3000000</v>
      </c>
      <c r="D73" s="66" t="n">
        <f aca="false">D72+D55+D56</f>
        <v>0</v>
      </c>
      <c r="E73" s="66" t="n">
        <f aca="false">E72+E55+E56</f>
        <v>0</v>
      </c>
      <c r="F73" s="66" t="n">
        <f aca="false">F72+F55+F56</f>
        <v>0</v>
      </c>
      <c r="G73" s="66" t="n">
        <f aca="false">G72+G55+G56</f>
        <v>0</v>
      </c>
      <c r="H73" s="66" t="n">
        <f aca="false">H72+H55+H56</f>
        <v>0</v>
      </c>
      <c r="I73" s="66" t="n">
        <f aca="false">I72+I55+I56</f>
        <v>0</v>
      </c>
      <c r="J73" s="66" t="n">
        <f aca="false">J72+J55+J56</f>
        <v>0</v>
      </c>
      <c r="K73" s="66" t="n">
        <f aca="false">K72+K55+K56</f>
        <v>0</v>
      </c>
      <c r="L73" s="66" t="n">
        <f aca="false">L72+L55+L56</f>
        <v>0</v>
      </c>
      <c r="M73" s="66" t="n">
        <f aca="false">M72+M55+M56</f>
        <v>0</v>
      </c>
      <c r="N73" s="66" t="n">
        <f aca="false">N72+N55+N56</f>
        <v>0</v>
      </c>
      <c r="O73" s="66" t="n">
        <f aca="false">O72+O55+O56</f>
        <v>0</v>
      </c>
      <c r="P73" s="66" t="n">
        <f aca="false">P72+P55+P56</f>
        <v>0</v>
      </c>
      <c r="Q73" s="66" t="n">
        <f aca="false">Q72+Q55+Q56</f>
        <v>0</v>
      </c>
      <c r="R73" s="66" t="n">
        <f aca="false">R72+R55+R56</f>
        <v>0</v>
      </c>
      <c r="S73" s="66" t="n">
        <f aca="false">S72+S55+S56</f>
        <v>0</v>
      </c>
      <c r="T73" s="66" t="n">
        <f aca="false">T72+T55+T56</f>
        <v>0</v>
      </c>
      <c r="U73" s="66" t="n">
        <f aca="false">U72+U55+U56</f>
        <v>0</v>
      </c>
      <c r="V73" s="66" t="n">
        <f aca="false">V72+V55+V56</f>
        <v>0</v>
      </c>
      <c r="W73" s="66" t="n">
        <f aca="false">W72+W55+W56</f>
        <v>0</v>
      </c>
      <c r="X73" s="66" t="n">
        <f aca="false">X72+X55+X56</f>
        <v>0</v>
      </c>
      <c r="Y73" s="66" t="n">
        <f aca="false">Y72+Y55+Y56</f>
        <v>0</v>
      </c>
      <c r="Z73" s="66" t="n">
        <f aca="false">Z72+Z55+Z56</f>
        <v>0</v>
      </c>
      <c r="AA73" s="66" t="n">
        <f aca="false">AA72+AA55+AA56</f>
        <v>0</v>
      </c>
      <c r="AB73" s="66" t="n">
        <f aca="false">AB72+AB55+AB56</f>
        <v>0</v>
      </c>
      <c r="AC73" s="66" t="n">
        <f aca="false">AC72+AC55+AC56</f>
        <v>0</v>
      </c>
      <c r="AD73" s="66" t="n">
        <f aca="false">AD72+AD55+AD56</f>
        <v>0</v>
      </c>
      <c r="AE73" s="66" t="n">
        <f aca="false">AE72+AE55+AE56</f>
        <v>0</v>
      </c>
      <c r="AF73" s="66" t="n">
        <f aca="false">AF72+AF55+AF56</f>
        <v>0</v>
      </c>
      <c r="AG73" s="66" t="n">
        <f aca="false">AG72+AG55+AG56</f>
        <v>0</v>
      </c>
      <c r="AH73" s="66" t="n">
        <f aca="false">AH72+AH55+AH56</f>
        <v>0</v>
      </c>
      <c r="AI73" s="66" t="n">
        <f aca="false">AI72+AI55+AI56</f>
        <v>0</v>
      </c>
      <c r="AJ73" s="66" t="n">
        <f aca="false">AJ72+AJ55+AJ56</f>
        <v>0</v>
      </c>
      <c r="AK73" s="66" t="n">
        <f aca="false">AK72+AK55+AK56</f>
        <v>0</v>
      </c>
      <c r="AL73" s="66" t="n">
        <f aca="false">AL72+AL55+AL56</f>
        <v>0</v>
      </c>
      <c r="AM73" s="66" t="n">
        <f aca="false">AM72+AM55+AM56</f>
        <v>0</v>
      </c>
      <c r="AN73" s="66" t="n">
        <f aca="false">AN72+AN55+AN56</f>
        <v>0</v>
      </c>
      <c r="AO73" s="66" t="n">
        <f aca="false">AO72+AO55+AO56</f>
        <v>0</v>
      </c>
      <c r="AP73" s="66" t="n">
        <f aca="false">AP72+AP55+AP56</f>
        <v>0</v>
      </c>
      <c r="AQ73" s="66" t="n">
        <f aca="false">AQ72+AQ55+AQ56</f>
        <v>0</v>
      </c>
      <c r="AR73" s="66" t="n">
        <f aca="false">AR72+AR55+AR56</f>
        <v>0</v>
      </c>
      <c r="AS73" s="66" t="n">
        <f aca="false">AS72+AS55+AS56</f>
        <v>0</v>
      </c>
      <c r="AT73" s="66" t="n">
        <f aca="false">AT72+AT55+AT56</f>
        <v>0</v>
      </c>
      <c r="AU73" s="66" t="n">
        <f aca="false">AU72+AU55+AU56</f>
        <v>0</v>
      </c>
      <c r="AV73" s="66" t="n">
        <f aca="false">AV72+AV55+AV56</f>
        <v>0</v>
      </c>
      <c r="AW73" s="66" t="n">
        <f aca="false">AW72+AW55+AW56</f>
        <v>0</v>
      </c>
      <c r="AX73" s="66" t="n">
        <f aca="false">AX72+AX55+AX56</f>
        <v>0</v>
      </c>
      <c r="AY73" s="66" t="n">
        <f aca="false">AY72+AY55+AY56</f>
        <v>0</v>
      </c>
      <c r="AZ73" s="66" t="n">
        <f aca="false">AZ72+AZ55+AZ56</f>
        <v>0</v>
      </c>
      <c r="BA73" s="66" t="n">
        <f aca="false">BA72+BA55+BA56</f>
        <v>0</v>
      </c>
      <c r="BB73" s="66" t="n">
        <f aca="false">BB72+BB55+BB56</f>
        <v>0</v>
      </c>
      <c r="BC73" s="66" t="n">
        <f aca="false">BC72+BC55+BC56</f>
        <v>0</v>
      </c>
      <c r="BD73" s="66" t="n">
        <f aca="false">BD72+BD55+BD56</f>
        <v>0</v>
      </c>
      <c r="BE73" s="66" t="n">
        <f aca="false">BE72+BE55+BE56</f>
        <v>0</v>
      </c>
      <c r="BF73" s="66" t="n">
        <f aca="false">BF72+BF55+BF56</f>
        <v>0</v>
      </c>
      <c r="BG73" s="66" t="n">
        <f aca="false">BG72+BG55+BG56</f>
        <v>0</v>
      </c>
      <c r="BH73" s="66" t="n">
        <f aca="false">BH72+BH55+BH56</f>
        <v>0</v>
      </c>
      <c r="BI73" s="66" t="n">
        <f aca="false">BI72+BI55+BI56</f>
        <v>0</v>
      </c>
      <c r="BJ73" s="66" t="n">
        <f aca="false">BJ72+BJ55+BJ56</f>
        <v>0</v>
      </c>
    </row>
    <row r="74" customFormat="false" ht="15" hidden="false" customHeight="false" outlineLevel="0" collapsed="false">
      <c r="A74" s="111" t="s">
        <v>422</v>
      </c>
      <c r="C74" s="67" t="n">
        <f aca="false">C70+C71+C73</f>
        <v>2915534.89583333</v>
      </c>
      <c r="D74" s="67" t="n">
        <f aca="false">D70+D71+D73</f>
        <v>-65545.5460069444</v>
      </c>
      <c r="E74" s="67" t="n">
        <f aca="false">E70+E71+E73</f>
        <v>-63191.5685234375</v>
      </c>
      <c r="F74" s="67" t="n">
        <f aca="false">F70+F71+F73</f>
        <v>-60896.1560309071</v>
      </c>
      <c r="G74" s="67" t="n">
        <f aca="false">G70+G71+G73</f>
        <v>-58657.8529379622</v>
      </c>
      <c r="H74" s="67" t="n">
        <f aca="false">H70+H71+H73</f>
        <v>-56475.239786995</v>
      </c>
      <c r="I74" s="67" t="n">
        <f aca="false">I70+I71+I73</f>
        <v>-54346.9323585164</v>
      </c>
      <c r="J74" s="67" t="n">
        <f aca="false">J70+J71+J73</f>
        <v>-52271.5807976527</v>
      </c>
      <c r="K74" s="67" t="n">
        <f aca="false">K70+K71+K73</f>
        <v>-50247.8687622566</v>
      </c>
      <c r="L74" s="67" t="n">
        <f aca="false">L70+L71+L73</f>
        <v>-48274.5125920979</v>
      </c>
      <c r="M74" s="67" t="n">
        <f aca="false">M70+M71+M73</f>
        <v>-46350.2604986151</v>
      </c>
      <c r="N74" s="67" t="n">
        <f aca="false">N70+N71+N73</f>
        <v>-44473.8917747187</v>
      </c>
      <c r="O74" s="67" t="n">
        <f aca="false">O70+O71+O73</f>
        <v>-77951.6339574849</v>
      </c>
      <c r="P74" s="67" t="n">
        <f aca="false">P70+P71+P73</f>
        <v>-75498.6973838123</v>
      </c>
      <c r="Q74" s="67" t="n">
        <f aca="false">Q70+Q71+Q73</f>
        <v>-73086.7308042236</v>
      </c>
      <c r="R74" s="67" t="n">
        <f aca="false">R70+R71+R73</f>
        <v>-70734.7955461411</v>
      </c>
      <c r="S74" s="67" t="n">
        <f aca="false">S70+S71+S73</f>
        <v>-68441.3988618166</v>
      </c>
      <c r="T74" s="67" t="n">
        <f aca="false">T70+T71+T73</f>
        <v>-66205.085081137</v>
      </c>
      <c r="U74" s="67" t="n">
        <f aca="false">U70+U71+U73</f>
        <v>-64024.4346919152</v>
      </c>
      <c r="V74" s="67" t="n">
        <f aca="false">V70+V71+V73</f>
        <v>-61898.0634429563</v>
      </c>
      <c r="W74" s="67" t="n">
        <f aca="false">W70+W71+W73</f>
        <v>-59824.6214693379</v>
      </c>
      <c r="X74" s="67" t="n">
        <f aca="false">X70+X71+X73</f>
        <v>-57802.7924393529</v>
      </c>
      <c r="Y74" s="67" t="n">
        <f aca="false">Y70+Y71+Y73</f>
        <v>-55831.2927225818</v>
      </c>
      <c r="Z74" s="67" t="n">
        <f aca="false">Z70+Z71+Z73</f>
        <v>-53908.8705785703</v>
      </c>
      <c r="AA74" s="67" t="n">
        <f aca="false">AA70+AA71+AA73</f>
        <v>-106872.332341004</v>
      </c>
      <c r="AB74" s="67" t="n">
        <f aca="false">AB70+AB71+AB73</f>
        <v>-104183.634043166</v>
      </c>
      <c r="AC74" s="67" t="n">
        <f aca="false">AC70+AC71+AC73</f>
        <v>-101535.775444044</v>
      </c>
      <c r="AD74" s="67" t="n">
        <f aca="false">AD70+AD71+AD73</f>
        <v>-98953.8393444263</v>
      </c>
      <c r="AE74" s="67" t="n">
        <f aca="false">AE70+AE71+AE73</f>
        <v>-96436.1859007883</v>
      </c>
      <c r="AF74" s="67" t="n">
        <f aca="false">AF70+AF71+AF73</f>
        <v>-93981.216019126</v>
      </c>
      <c r="AG74" s="67" t="n">
        <f aca="false">AG70+AG71+AG73</f>
        <v>-91587.3703436136</v>
      </c>
      <c r="AH74" s="67" t="n">
        <f aca="false">AH70+AH71+AH73</f>
        <v>-89253.1282703241</v>
      </c>
      <c r="AI74" s="67" t="n">
        <f aca="false">AI70+AI71+AI73</f>
        <v>-86977.0069853917</v>
      </c>
      <c r="AJ74" s="67" t="n">
        <f aca="false">AJ70+AJ71+AJ73</f>
        <v>-84757.5605270119</v>
      </c>
      <c r="AK74" s="67" t="n">
        <f aca="false">AK70+AK71+AK73</f>
        <v>-82593.378870688</v>
      </c>
      <c r="AL74" s="67" t="n">
        <f aca="false">AL70+AL71+AL73</f>
        <v>-80483.0870371505</v>
      </c>
      <c r="AM74" s="67" t="n">
        <f aca="false">AM70+AM71+AM73</f>
        <v>-163702.545294705</v>
      </c>
      <c r="AN74" s="67" t="n">
        <f aca="false">AN70+AN71+AN73</f>
        <v>-160586.348620119</v>
      </c>
      <c r="AO74" s="67" t="n">
        <f aca="false">AO70+AO71+AO73</f>
        <v>-157513.788525485</v>
      </c>
      <c r="AP74" s="67" t="n">
        <f aca="false">AP70+AP71+AP73</f>
        <v>-154517.741984964</v>
      </c>
      <c r="AQ74" s="67" t="n">
        <f aca="false">AQ70+AQ71+AQ73</f>
        <v>-151596.305173153</v>
      </c>
      <c r="AR74" s="67" t="n">
        <f aca="false">AR70+AR71+AR73</f>
        <v>-148747.621589876</v>
      </c>
      <c r="AS74" s="67" t="n">
        <f aca="false">AS70+AS71+AS73</f>
        <v>-145969.880885175</v>
      </c>
      <c r="AT74" s="67" t="n">
        <f aca="false">AT70+AT71+AT73</f>
        <v>-143261.317713413</v>
      </c>
      <c r="AU74" s="67" t="n">
        <f aca="false">AU70+AU71+AU73</f>
        <v>-140620.210615809</v>
      </c>
      <c r="AV74" s="67" t="n">
        <f aca="false">AV70+AV71+AV73</f>
        <v>-138044.880930662</v>
      </c>
      <c r="AW74" s="67" t="n">
        <f aca="false">AW70+AW71+AW73</f>
        <v>-135533.691730611</v>
      </c>
      <c r="AX74" s="67" t="n">
        <f aca="false">AX70+AX71+AX73</f>
        <v>-133085.046786239</v>
      </c>
      <c r="AY74" s="67" t="n">
        <f aca="false">AY70+AY71+AY73</f>
        <v>-263429.989659403</v>
      </c>
      <c r="AZ74" s="67" t="n">
        <f aca="false">AZ70+AZ71+AZ73</f>
        <v>-259668.973260816</v>
      </c>
      <c r="BA74" s="67" t="n">
        <f aca="false">BA70+BA71+BA73</f>
        <v>-255957.37884821</v>
      </c>
      <c r="BB74" s="67" t="n">
        <f aca="false">BB70+BB71+BB73</f>
        <v>-252338.227408175</v>
      </c>
      <c r="BC74" s="67" t="n">
        <f aca="false">BC70+BC71+BC73</f>
        <v>-248809.218273028</v>
      </c>
      <c r="BD74" s="67" t="n">
        <f aca="false">BD70+BD71+BD73</f>
        <v>-245368.107979582</v>
      </c>
      <c r="BE74" s="67" t="n">
        <f aca="false">BE70+BE71+BE73</f>
        <v>-242012.708848393</v>
      </c>
      <c r="BF74" s="67" t="n">
        <f aca="false">BF70+BF71+BF73</f>
        <v>-238740.887598258</v>
      </c>
      <c r="BG74" s="67" t="n">
        <f aca="false">BG70+BG71+BG73</f>
        <v>-235550.563995067</v>
      </c>
      <c r="BH74" s="67" t="n">
        <f aca="false">BH70+BH71+BH73</f>
        <v>-232439.709534176</v>
      </c>
      <c r="BI74" s="67" t="n">
        <f aca="false">BI70+BI71+BI73</f>
        <v>-229406.346155461</v>
      </c>
      <c r="BJ74" s="67" t="n">
        <f aca="false">BJ70+BJ71+BJ73</f>
        <v>-226448.544990247</v>
      </c>
    </row>
    <row r="75" customFormat="false" ht="15" hidden="false" customHeight="false" outlineLevel="0" collapsed="false">
      <c r="A75" s="6" t="s">
        <v>328</v>
      </c>
      <c r="C75" s="66" t="n">
        <f aca="false">0</f>
        <v>0</v>
      </c>
      <c r="D75" s="66" t="n">
        <f aca="false">C76</f>
        <v>2915534.89583333</v>
      </c>
      <c r="E75" s="66" t="n">
        <f aca="false">D76</f>
        <v>2849989.34982639</v>
      </c>
      <c r="F75" s="66" t="n">
        <f aca="false">E76</f>
        <v>2786797.78130295</v>
      </c>
      <c r="G75" s="66" t="n">
        <f aca="false">F76</f>
        <v>2725901.62527204</v>
      </c>
      <c r="H75" s="66" t="n">
        <f aca="false">G76</f>
        <v>2667243.77233408</v>
      </c>
      <c r="I75" s="66" t="n">
        <f aca="false">H76</f>
        <v>2610768.53254709</v>
      </c>
      <c r="J75" s="66" t="n">
        <f aca="false">I76</f>
        <v>2556421.60018857</v>
      </c>
      <c r="K75" s="66" t="n">
        <f aca="false">J76</f>
        <v>2504150.01939092</v>
      </c>
      <c r="L75" s="66" t="n">
        <f aca="false">K76</f>
        <v>2453902.15062866</v>
      </c>
      <c r="M75" s="66" t="n">
        <f aca="false">L76</f>
        <v>2405627.63803656</v>
      </c>
      <c r="N75" s="66" t="n">
        <f aca="false">M76</f>
        <v>2359277.37753795</v>
      </c>
      <c r="O75" s="66" t="n">
        <f aca="false">N76</f>
        <v>2314803.48576323</v>
      </c>
      <c r="P75" s="66" t="n">
        <f aca="false">O76</f>
        <v>2236851.85180574</v>
      </c>
      <c r="Q75" s="66" t="n">
        <f aca="false">P76</f>
        <v>2161353.15442193</v>
      </c>
      <c r="R75" s="66" t="n">
        <f aca="false">Q76</f>
        <v>2088266.42361771</v>
      </c>
      <c r="S75" s="66" t="n">
        <f aca="false">R76</f>
        <v>2017531.62807157</v>
      </c>
      <c r="T75" s="66" t="n">
        <f aca="false">S76</f>
        <v>1949090.22920975</v>
      </c>
      <c r="U75" s="66" t="n">
        <f aca="false">T76</f>
        <v>1882885.14412861</v>
      </c>
      <c r="V75" s="66" t="n">
        <f aca="false">U76</f>
        <v>1818860.7094367</v>
      </c>
      <c r="W75" s="66" t="n">
        <f aca="false">V76</f>
        <v>1756962.64599374</v>
      </c>
      <c r="X75" s="66" t="n">
        <f aca="false">W76</f>
        <v>1697138.02452441</v>
      </c>
      <c r="Y75" s="66" t="n">
        <f aca="false">X76</f>
        <v>1639335.23208505</v>
      </c>
      <c r="Z75" s="66" t="n">
        <f aca="false">Y76</f>
        <v>1583503.93936247</v>
      </c>
      <c r="AA75" s="66" t="n">
        <f aca="false">Z76</f>
        <v>1529595.0687839</v>
      </c>
      <c r="AB75" s="66" t="n">
        <f aca="false">AA76</f>
        <v>1422722.7364429</v>
      </c>
      <c r="AC75" s="66" t="n">
        <f aca="false">AB76</f>
        <v>1318539.10239973</v>
      </c>
      <c r="AD75" s="66" t="n">
        <f aca="false">AC76</f>
        <v>1217003.32695569</v>
      </c>
      <c r="AE75" s="66" t="n">
        <f aca="false">AD76</f>
        <v>1118049.48761126</v>
      </c>
      <c r="AF75" s="66" t="n">
        <f aca="false">AE76</f>
        <v>1021613.30171047</v>
      </c>
      <c r="AG75" s="66" t="n">
        <f aca="false">AF76</f>
        <v>927632.085691346</v>
      </c>
      <c r="AH75" s="66" t="n">
        <f aca="false">AG76</f>
        <v>836044.715347732</v>
      </c>
      <c r="AI75" s="66" t="n">
        <f aca="false">AH76</f>
        <v>746791.587077408</v>
      </c>
      <c r="AJ75" s="66" t="n">
        <f aca="false">AI76</f>
        <v>659814.580092016</v>
      </c>
      <c r="AK75" s="66" t="n">
        <f aca="false">AJ76</f>
        <v>575057.019565004</v>
      </c>
      <c r="AL75" s="66" t="n">
        <f aca="false">AK76</f>
        <v>492463.640694316</v>
      </c>
      <c r="AM75" s="66" t="n">
        <f aca="false">AL76</f>
        <v>411980.553657166</v>
      </c>
      <c r="AN75" s="66" t="n">
        <f aca="false">AM76</f>
        <v>248278.00836246</v>
      </c>
      <c r="AO75" s="66" t="n">
        <f aca="false">AN76</f>
        <v>87691.6597423413</v>
      </c>
      <c r="AP75" s="66" t="n">
        <f aca="false">AO76</f>
        <v>-69822.1287831434</v>
      </c>
      <c r="AQ75" s="66" t="n">
        <f aca="false">AP76</f>
        <v>-224339.870768108</v>
      </c>
      <c r="AR75" s="66" t="n">
        <f aca="false">AQ76</f>
        <v>-375936.175941261</v>
      </c>
      <c r="AS75" s="66" t="n">
        <f aca="false">AR76</f>
        <v>-524683.797531137</v>
      </c>
      <c r="AT75" s="66" t="n">
        <f aca="false">AS76</f>
        <v>-670653.678416312</v>
      </c>
      <c r="AU75" s="66" t="n">
        <f aca="false">AT76</f>
        <v>-813914.996129725</v>
      </c>
      <c r="AV75" s="66" t="n">
        <f aca="false">AU76</f>
        <v>-954535.206745534</v>
      </c>
      <c r="AW75" s="66" t="n">
        <f aca="false">AV76</f>
        <v>-1092580.0876762</v>
      </c>
      <c r="AX75" s="66" t="n">
        <f aca="false">AW76</f>
        <v>-1228113.77940681</v>
      </c>
      <c r="AY75" s="66" t="n">
        <f aca="false">AX76</f>
        <v>-1361198.82619305</v>
      </c>
      <c r="AZ75" s="66" t="n">
        <f aca="false">AY76</f>
        <v>-1624628.81585245</v>
      </c>
      <c r="BA75" s="66" t="n">
        <f aca="false">AZ76</f>
        <v>-1884297.78911326</v>
      </c>
      <c r="BB75" s="66" t="n">
        <f aca="false">BA76</f>
        <v>-2140255.16796147</v>
      </c>
      <c r="BC75" s="66" t="n">
        <f aca="false">BB76</f>
        <v>-2392593.39536965</v>
      </c>
      <c r="BD75" s="66" t="n">
        <f aca="false">BC76</f>
        <v>-2641402.61364268</v>
      </c>
      <c r="BE75" s="66" t="n">
        <f aca="false">BD76</f>
        <v>-2886770.72162226</v>
      </c>
      <c r="BF75" s="66" t="n">
        <f aca="false">BE76</f>
        <v>-3128783.43047065</v>
      </c>
      <c r="BG75" s="66" t="n">
        <f aca="false">BF76</f>
        <v>-3367524.31806891</v>
      </c>
      <c r="BH75" s="66" t="n">
        <f aca="false">BG76</f>
        <v>-3603074.88206398</v>
      </c>
      <c r="BI75" s="66" t="n">
        <f aca="false">BH76</f>
        <v>-3835514.59159815</v>
      </c>
      <c r="BJ75" s="66" t="n">
        <f aca="false">BI76</f>
        <v>-4064920.93775361</v>
      </c>
    </row>
    <row r="76" customFormat="false" ht="15" hidden="false" customHeight="false" outlineLevel="0" collapsed="false">
      <c r="A76" s="111" t="s">
        <v>86</v>
      </c>
      <c r="C76" s="67" t="n">
        <f aca="false">C75+C74</f>
        <v>2915534.89583333</v>
      </c>
      <c r="D76" s="67" t="n">
        <f aca="false">D75+D74</f>
        <v>2849989.34982639</v>
      </c>
      <c r="E76" s="67" t="n">
        <f aca="false">E75+E74</f>
        <v>2786797.78130295</v>
      </c>
      <c r="F76" s="67" t="n">
        <f aca="false">F75+F74</f>
        <v>2725901.62527204</v>
      </c>
      <c r="G76" s="67" t="n">
        <f aca="false">G75+G74</f>
        <v>2667243.77233408</v>
      </c>
      <c r="H76" s="67" t="n">
        <f aca="false">H75+H74</f>
        <v>2610768.53254709</v>
      </c>
      <c r="I76" s="67" t="n">
        <f aca="false">I75+I74</f>
        <v>2556421.60018857</v>
      </c>
      <c r="J76" s="67" t="n">
        <f aca="false">J75+J74</f>
        <v>2504150.01939092</v>
      </c>
      <c r="K76" s="67" t="n">
        <f aca="false">K75+K74</f>
        <v>2453902.15062866</v>
      </c>
      <c r="L76" s="67" t="n">
        <f aca="false">L75+L74</f>
        <v>2405627.63803656</v>
      </c>
      <c r="M76" s="67" t="n">
        <f aca="false">M75+M74</f>
        <v>2359277.37753795</v>
      </c>
      <c r="N76" s="67" t="n">
        <f aca="false">N75+N74</f>
        <v>2314803.48576323</v>
      </c>
      <c r="O76" s="67" t="n">
        <f aca="false">O75+O74</f>
        <v>2236851.85180574</v>
      </c>
      <c r="P76" s="67" t="n">
        <f aca="false">P75+P74</f>
        <v>2161353.15442193</v>
      </c>
      <c r="Q76" s="67" t="n">
        <f aca="false">Q75+Q74</f>
        <v>2088266.42361771</v>
      </c>
      <c r="R76" s="67" t="n">
        <f aca="false">R75+R74</f>
        <v>2017531.62807157</v>
      </c>
      <c r="S76" s="67" t="n">
        <f aca="false">S75+S74</f>
        <v>1949090.22920975</v>
      </c>
      <c r="T76" s="67" t="n">
        <f aca="false">T75+T74</f>
        <v>1882885.14412861</v>
      </c>
      <c r="U76" s="67" t="n">
        <f aca="false">U75+U74</f>
        <v>1818860.7094367</v>
      </c>
      <c r="V76" s="67" t="n">
        <f aca="false">V75+V74</f>
        <v>1756962.64599374</v>
      </c>
      <c r="W76" s="67" t="n">
        <f aca="false">W75+W74</f>
        <v>1697138.02452441</v>
      </c>
      <c r="X76" s="67" t="n">
        <f aca="false">X75+X74</f>
        <v>1639335.23208505</v>
      </c>
      <c r="Y76" s="67" t="n">
        <f aca="false">Y75+Y74</f>
        <v>1583503.93936247</v>
      </c>
      <c r="Z76" s="67" t="n">
        <f aca="false">Z75+Z74</f>
        <v>1529595.0687839</v>
      </c>
      <c r="AA76" s="67" t="n">
        <f aca="false">AA75+AA74</f>
        <v>1422722.7364429</v>
      </c>
      <c r="AB76" s="67" t="n">
        <f aca="false">AB75+AB74</f>
        <v>1318539.10239973</v>
      </c>
      <c r="AC76" s="67" t="n">
        <f aca="false">AC75+AC74</f>
        <v>1217003.32695569</v>
      </c>
      <c r="AD76" s="67" t="n">
        <f aca="false">AD75+AD74</f>
        <v>1118049.48761126</v>
      </c>
      <c r="AE76" s="67" t="n">
        <f aca="false">AE75+AE74</f>
        <v>1021613.30171047</v>
      </c>
      <c r="AF76" s="67" t="n">
        <f aca="false">AF75+AF74</f>
        <v>927632.085691346</v>
      </c>
      <c r="AG76" s="67" t="n">
        <f aca="false">AG75+AG74</f>
        <v>836044.715347732</v>
      </c>
      <c r="AH76" s="67" t="n">
        <f aca="false">AH75+AH74</f>
        <v>746791.587077408</v>
      </c>
      <c r="AI76" s="67" t="n">
        <f aca="false">AI75+AI74</f>
        <v>659814.580092016</v>
      </c>
      <c r="AJ76" s="67" t="n">
        <f aca="false">AJ75+AJ74</f>
        <v>575057.019565004</v>
      </c>
      <c r="AK76" s="67" t="n">
        <f aca="false">AK75+AK74</f>
        <v>492463.640694316</v>
      </c>
      <c r="AL76" s="67" t="n">
        <f aca="false">AL75+AL74</f>
        <v>411980.553657166</v>
      </c>
      <c r="AM76" s="67" t="n">
        <f aca="false">AM75+AM74</f>
        <v>248278.00836246</v>
      </c>
      <c r="AN76" s="67" t="n">
        <f aca="false">AN75+AN74</f>
        <v>87691.6597423413</v>
      </c>
      <c r="AO76" s="67" t="n">
        <f aca="false">AO75+AO74</f>
        <v>-69822.1287831434</v>
      </c>
      <c r="AP76" s="67" t="n">
        <f aca="false">AP75+AP74</f>
        <v>-224339.870768108</v>
      </c>
      <c r="AQ76" s="67" t="n">
        <f aca="false">AQ75+AQ74</f>
        <v>-375936.175941261</v>
      </c>
      <c r="AR76" s="67" t="n">
        <f aca="false">AR75+AR74</f>
        <v>-524683.797531137</v>
      </c>
      <c r="AS76" s="67" t="n">
        <f aca="false">AS75+AS74</f>
        <v>-670653.678416312</v>
      </c>
      <c r="AT76" s="67" t="n">
        <f aca="false">AT75+AT74</f>
        <v>-813914.996129725</v>
      </c>
      <c r="AU76" s="67" t="n">
        <f aca="false">AU75+AU74</f>
        <v>-954535.206745534</v>
      </c>
      <c r="AV76" s="67" t="n">
        <f aca="false">AV75+AV74</f>
        <v>-1092580.0876762</v>
      </c>
      <c r="AW76" s="67" t="n">
        <f aca="false">AW75+AW74</f>
        <v>-1228113.77940681</v>
      </c>
      <c r="AX76" s="67" t="n">
        <f aca="false">AX75+AX74</f>
        <v>-1361198.82619305</v>
      </c>
      <c r="AY76" s="67" t="n">
        <f aca="false">AY75+AY74</f>
        <v>-1624628.81585245</v>
      </c>
      <c r="AZ76" s="67" t="n">
        <f aca="false">AZ75+AZ74</f>
        <v>-1884297.78911326</v>
      </c>
      <c r="BA76" s="67" t="n">
        <f aca="false">BA75+BA74</f>
        <v>-2140255.16796147</v>
      </c>
      <c r="BB76" s="67" t="n">
        <f aca="false">BB75+BB74</f>
        <v>-2392593.39536965</v>
      </c>
      <c r="BC76" s="67" t="n">
        <f aca="false">BC75+BC74</f>
        <v>-2641402.61364268</v>
      </c>
      <c r="BD76" s="67" t="n">
        <f aca="false">BD75+BD74</f>
        <v>-2886770.72162226</v>
      </c>
      <c r="BE76" s="67" t="n">
        <f aca="false">BE75+BE74</f>
        <v>-3128783.43047065</v>
      </c>
      <c r="BF76" s="67" t="n">
        <f aca="false">BF75+BF74</f>
        <v>-3367524.31806891</v>
      </c>
      <c r="BG76" s="67" t="n">
        <f aca="false">BG75+BG74</f>
        <v>-3603074.88206398</v>
      </c>
      <c r="BH76" s="67" t="n">
        <f aca="false">BH75+BH74</f>
        <v>-3835514.59159815</v>
      </c>
      <c r="BI76" s="67" t="n">
        <f aca="false">BI75+BI74</f>
        <v>-4064920.93775361</v>
      </c>
      <c r="BJ76" s="67" t="n">
        <f aca="false">BJ75+BJ74</f>
        <v>-4291369.48274386</v>
      </c>
    </row>
    <row r="77" customFormat="false" ht="15" hidden="false" customHeight="false" outlineLevel="0" collapsed="false">
      <c r="A77" s="119" t="s">
        <v>423</v>
      </c>
      <c r="C77" s="120" t="n">
        <f aca="false">IF(C35&gt;0,1,0)</f>
        <v>0</v>
      </c>
      <c r="D77" s="120" t="n">
        <f aca="false">IF(D35&gt;0,1,0)</f>
        <v>0</v>
      </c>
      <c r="E77" s="120" t="n">
        <f aca="false">IF(E35&gt;0,1,0)</f>
        <v>0</v>
      </c>
      <c r="F77" s="120" t="n">
        <f aca="false">IF(F35&gt;0,1,0)</f>
        <v>0</v>
      </c>
      <c r="G77" s="120" t="n">
        <f aca="false">IF(G35&gt;0,1,0)</f>
        <v>0</v>
      </c>
      <c r="H77" s="120" t="n">
        <f aca="false">IF(H35&gt;0,1,0)</f>
        <v>0</v>
      </c>
      <c r="I77" s="120" t="n">
        <f aca="false">IF(I35&gt;0,1,0)</f>
        <v>0</v>
      </c>
      <c r="J77" s="120" t="n">
        <f aca="false">IF(J35&gt;0,1,0)</f>
        <v>0</v>
      </c>
      <c r="K77" s="120" t="n">
        <f aca="false">IF(K35&gt;0,1,0)</f>
        <v>0</v>
      </c>
      <c r="L77" s="120" t="n">
        <f aca="false">IF(L35&gt;0,1,0)</f>
        <v>0</v>
      </c>
      <c r="M77" s="120" t="n">
        <f aca="false">IF(M35&gt;0,1,0)</f>
        <v>0</v>
      </c>
      <c r="N77" s="120" t="n">
        <f aca="false">IF(N35&gt;0,1,0)</f>
        <v>0</v>
      </c>
      <c r="O77" s="120" t="n">
        <f aca="false">IF(O35&gt;0,1,0)</f>
        <v>0</v>
      </c>
      <c r="P77" s="120" t="n">
        <f aca="false">IF(P35&gt;0,1,0)</f>
        <v>0</v>
      </c>
      <c r="Q77" s="120" t="n">
        <f aca="false">IF(Q35&gt;0,1,0)</f>
        <v>0</v>
      </c>
      <c r="R77" s="120" t="n">
        <f aca="false">IF(R35&gt;0,1,0)</f>
        <v>0</v>
      </c>
      <c r="S77" s="120" t="n">
        <f aca="false">IF(S35&gt;0,1,0)</f>
        <v>0</v>
      </c>
      <c r="T77" s="120" t="n">
        <f aca="false">IF(T35&gt;0,1,0)</f>
        <v>0</v>
      </c>
      <c r="U77" s="120" t="n">
        <f aca="false">IF(U35&gt;0,1,0)</f>
        <v>0</v>
      </c>
      <c r="V77" s="120" t="n">
        <f aca="false">IF(V35&gt;0,1,0)</f>
        <v>0</v>
      </c>
      <c r="W77" s="120" t="n">
        <f aca="false">IF(W35&gt;0,1,0)</f>
        <v>0</v>
      </c>
      <c r="X77" s="120" t="n">
        <f aca="false">IF(X35&gt;0,1,0)</f>
        <v>0</v>
      </c>
      <c r="Y77" s="120" t="n">
        <f aca="false">IF(Y35&gt;0,1,0)</f>
        <v>0</v>
      </c>
      <c r="Z77" s="120" t="n">
        <f aca="false">IF(Z35&gt;0,1,0)</f>
        <v>0</v>
      </c>
      <c r="AA77" s="120" t="n">
        <f aca="false">IF(AA35&gt;0,1,0)</f>
        <v>0</v>
      </c>
      <c r="AB77" s="120" t="n">
        <f aca="false">IF(AB35&gt;0,1,0)</f>
        <v>0</v>
      </c>
      <c r="AC77" s="120" t="n">
        <f aca="false">IF(AC35&gt;0,1,0)</f>
        <v>0</v>
      </c>
      <c r="AD77" s="120" t="n">
        <f aca="false">IF(AD35&gt;0,1,0)</f>
        <v>0</v>
      </c>
      <c r="AE77" s="120" t="n">
        <f aca="false">IF(AE35&gt;0,1,0)</f>
        <v>0</v>
      </c>
      <c r="AF77" s="120" t="n">
        <f aca="false">IF(AF35&gt;0,1,0)</f>
        <v>0</v>
      </c>
      <c r="AG77" s="120" t="n">
        <f aca="false">IF(AG35&gt;0,1,0)</f>
        <v>0</v>
      </c>
      <c r="AH77" s="120" t="n">
        <f aca="false">IF(AH35&gt;0,1,0)</f>
        <v>0</v>
      </c>
      <c r="AI77" s="120" t="n">
        <f aca="false">IF(AI35&gt;0,1,0)</f>
        <v>0</v>
      </c>
      <c r="AJ77" s="120" t="n">
        <f aca="false">IF(AJ35&gt;0,1,0)</f>
        <v>0</v>
      </c>
      <c r="AK77" s="120" t="n">
        <f aca="false">IF(AK35&gt;0,1,0)</f>
        <v>0</v>
      </c>
      <c r="AL77" s="120" t="n">
        <f aca="false">IF(AL35&gt;0,1,0)</f>
        <v>0</v>
      </c>
      <c r="AM77" s="120" t="n">
        <f aca="false">IF(AM35&gt;0,1,0)</f>
        <v>0</v>
      </c>
      <c r="AN77" s="120" t="n">
        <f aca="false">IF(AN35&gt;0,1,0)</f>
        <v>0</v>
      </c>
      <c r="AO77" s="120" t="n">
        <f aca="false">IF(AO35&gt;0,1,0)</f>
        <v>0</v>
      </c>
      <c r="AP77" s="120" t="n">
        <f aca="false">IF(AP35&gt;0,1,0)</f>
        <v>0</v>
      </c>
      <c r="AQ77" s="120" t="n">
        <f aca="false">IF(AQ35&gt;0,1,0)</f>
        <v>0</v>
      </c>
      <c r="AR77" s="120" t="n">
        <f aca="false">IF(AR35&gt;0,1,0)</f>
        <v>0</v>
      </c>
      <c r="AS77" s="120" t="n">
        <f aca="false">IF(AS35&gt;0,1,0)</f>
        <v>0</v>
      </c>
      <c r="AT77" s="120" t="n">
        <f aca="false">IF(AT35&gt;0,1,0)</f>
        <v>0</v>
      </c>
      <c r="AU77" s="120" t="n">
        <f aca="false">IF(AU35&gt;0,1,0)</f>
        <v>0</v>
      </c>
      <c r="AV77" s="120" t="n">
        <f aca="false">IF(AV35&gt;0,1,0)</f>
        <v>0</v>
      </c>
      <c r="AW77" s="120" t="n">
        <f aca="false">IF(AW35&gt;0,1,0)</f>
        <v>0</v>
      </c>
      <c r="AX77" s="120" t="n">
        <f aca="false">IF(AX35&gt;0,1,0)</f>
        <v>0</v>
      </c>
      <c r="AY77" s="120" t="n">
        <f aca="false">IF(AY35&gt;0,1,0)</f>
        <v>0</v>
      </c>
      <c r="AZ77" s="120" t="n">
        <f aca="false">IF(AZ35&gt;0,1,0)</f>
        <v>0</v>
      </c>
      <c r="BA77" s="120" t="n">
        <f aca="false">IF(BA35&gt;0,1,0)</f>
        <v>0</v>
      </c>
      <c r="BB77" s="120" t="n">
        <f aca="false">IF(BB35&gt;0,1,0)</f>
        <v>0</v>
      </c>
      <c r="BC77" s="120" t="n">
        <f aca="false">IF(BC35&gt;0,1,0)</f>
        <v>0</v>
      </c>
      <c r="BD77" s="120" t="n">
        <f aca="false">IF(BD35&gt;0,1,0)</f>
        <v>0</v>
      </c>
      <c r="BE77" s="120" t="n">
        <f aca="false">IF(BE35&gt;0,1,0)</f>
        <v>0</v>
      </c>
      <c r="BF77" s="120" t="n">
        <f aca="false">IF(BF35&gt;0,1,0)</f>
        <v>0</v>
      </c>
      <c r="BG77" s="120" t="n">
        <f aca="false">IF(BG35&gt;0,1,0)</f>
        <v>0</v>
      </c>
      <c r="BH77" s="120" t="n">
        <f aca="false">IF(BH35&gt;0,1,0)</f>
        <v>0</v>
      </c>
      <c r="BI77" s="120" t="n">
        <f aca="false">IF(BI35&gt;0,1,0)</f>
        <v>0</v>
      </c>
      <c r="BJ77" s="120" t="n">
        <f aca="false">IF(BJ35&gt;0,1,0)</f>
        <v>0</v>
      </c>
    </row>
    <row r="79" customFormat="false" ht="15.75" hidden="false" customHeight="true" outlineLevel="0" collapsed="false">
      <c r="A79" s="7" t="s">
        <v>424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</row>
    <row r="80" customFormat="false" ht="15" hidden="false" customHeight="false" outlineLevel="0" collapsed="false">
      <c r="A80" s="6" t="s">
        <v>425</v>
      </c>
      <c r="C80" s="66" t="n">
        <f aca="false">-(C70+C71)/1</f>
        <v>84465.1041666667</v>
      </c>
      <c r="D80" s="66" t="n">
        <f aca="false">-(D70+D71)/1</f>
        <v>65545.5460069444</v>
      </c>
      <c r="E80" s="66" t="n">
        <f aca="false">-(E70+E71)/1</f>
        <v>63191.5685234375</v>
      </c>
      <c r="F80" s="66" t="n">
        <f aca="false">-(F70+F71)/1</f>
        <v>60896.1560309071</v>
      </c>
      <c r="G80" s="66" t="n">
        <f aca="false">-(G70+G71)/1</f>
        <v>58657.8529379622</v>
      </c>
      <c r="H80" s="66" t="n">
        <f aca="false">-(H70+H71)/1</f>
        <v>56475.239786995</v>
      </c>
      <c r="I80" s="66" t="n">
        <f aca="false">-(I70+I71)/1</f>
        <v>54346.9323585164</v>
      </c>
      <c r="J80" s="66" t="n">
        <f aca="false">-(J70+J71)/1</f>
        <v>52271.5807976527</v>
      </c>
      <c r="K80" s="66" t="n">
        <f aca="false">-(K70+K71)/1</f>
        <v>50247.8687622566</v>
      </c>
      <c r="L80" s="66" t="n">
        <f aca="false">-(L70+L71)/1</f>
        <v>48274.5125920979</v>
      </c>
      <c r="M80" s="66" t="n">
        <f aca="false">-(M70+M71)/1</f>
        <v>46350.2604986151</v>
      </c>
      <c r="N80" s="66" t="n">
        <f aca="false">-(N70+N71)/1</f>
        <v>44473.8917747187</v>
      </c>
      <c r="O80" s="66" t="n">
        <f aca="false">-(O70+O71)/1</f>
        <v>77951.6339574849</v>
      </c>
      <c r="P80" s="66" t="n">
        <f aca="false">-(P70+P71)/1</f>
        <v>75498.6973838123</v>
      </c>
      <c r="Q80" s="66" t="n">
        <f aca="false">-(Q70+Q71)/1</f>
        <v>73086.7308042236</v>
      </c>
      <c r="R80" s="66" t="n">
        <f aca="false">-(R70+R71)/1</f>
        <v>70734.7955461411</v>
      </c>
      <c r="S80" s="66" t="n">
        <f aca="false">-(S70+S71)/1</f>
        <v>68441.3988618166</v>
      </c>
      <c r="T80" s="66" t="n">
        <f aca="false">-(T70+T71)/1</f>
        <v>66205.085081137</v>
      </c>
      <c r="U80" s="66" t="n">
        <f aca="false">-(U70+U71)/1</f>
        <v>64024.4346919152</v>
      </c>
      <c r="V80" s="66" t="n">
        <f aca="false">-(V70+V71)/1</f>
        <v>61898.0634429563</v>
      </c>
      <c r="W80" s="66" t="n">
        <f aca="false">-(W70+W71)/1</f>
        <v>59824.6214693379</v>
      </c>
      <c r="X80" s="66" t="n">
        <f aca="false">-(X70+X71)/1</f>
        <v>57802.7924393529</v>
      </c>
      <c r="Y80" s="66" t="n">
        <f aca="false">-(Y70+Y71)/1</f>
        <v>55831.2927225818</v>
      </c>
      <c r="Z80" s="66" t="n">
        <f aca="false">-(Z70+Z71)/1</f>
        <v>53908.8705785703</v>
      </c>
      <c r="AA80" s="66" t="n">
        <f aca="false">-(AA70+AA71)/1</f>
        <v>106872.332341004</v>
      </c>
      <c r="AB80" s="66" t="n">
        <f aca="false">-(AB70+AB71)/1</f>
        <v>104183.634043166</v>
      </c>
      <c r="AC80" s="66" t="n">
        <f aca="false">-(AC70+AC71)/1</f>
        <v>101535.775444044</v>
      </c>
      <c r="AD80" s="66" t="n">
        <f aca="false">-(AD70+AD71)/1</f>
        <v>98953.8393444263</v>
      </c>
      <c r="AE80" s="66" t="n">
        <f aca="false">-(AE70+AE71)/1</f>
        <v>96436.1859007883</v>
      </c>
      <c r="AF80" s="66" t="n">
        <f aca="false">-(AF70+AF71)/1</f>
        <v>93981.216019126</v>
      </c>
      <c r="AG80" s="66" t="n">
        <f aca="false">-(AG70+AG71)/1</f>
        <v>91587.3703436136</v>
      </c>
      <c r="AH80" s="66" t="n">
        <f aca="false">-(AH70+AH71)/1</f>
        <v>89253.1282703241</v>
      </c>
      <c r="AI80" s="66" t="n">
        <f aca="false">-(AI70+AI71)/1</f>
        <v>86977.0069853917</v>
      </c>
      <c r="AJ80" s="66" t="n">
        <f aca="false">-(AJ70+AJ71)/1</f>
        <v>84757.5605270119</v>
      </c>
      <c r="AK80" s="66" t="n">
        <f aca="false">-(AK70+AK71)/1</f>
        <v>82593.378870688</v>
      </c>
      <c r="AL80" s="66" t="n">
        <f aca="false">-(AL70+AL71)/1</f>
        <v>80483.0870371505</v>
      </c>
      <c r="AM80" s="66" t="n">
        <f aca="false">-(AM70+AM71)/1</f>
        <v>163702.545294705</v>
      </c>
      <c r="AN80" s="66" t="n">
        <f aca="false">-(AN70+AN71)/1</f>
        <v>160586.348620119</v>
      </c>
      <c r="AO80" s="66" t="n">
        <f aca="false">-(AO70+AO71)/1</f>
        <v>157513.788525485</v>
      </c>
      <c r="AP80" s="66" t="n">
        <f aca="false">-(AP70+AP71)/1</f>
        <v>154517.741984964</v>
      </c>
      <c r="AQ80" s="66" t="n">
        <f aca="false">-(AQ70+AQ71)/1</f>
        <v>151596.305173153</v>
      </c>
      <c r="AR80" s="66" t="n">
        <f aca="false">-(AR70+AR71)/1</f>
        <v>148747.621589876</v>
      </c>
      <c r="AS80" s="66" t="n">
        <f aca="false">-(AS70+AS71)/1</f>
        <v>145969.880885175</v>
      </c>
      <c r="AT80" s="66" t="n">
        <f aca="false">-(AT70+AT71)/1</f>
        <v>143261.317713413</v>
      </c>
      <c r="AU80" s="66" t="n">
        <f aca="false">-(AU70+AU71)/1</f>
        <v>140620.210615809</v>
      </c>
      <c r="AV80" s="66" t="n">
        <f aca="false">-(AV70+AV71)/1</f>
        <v>138044.880930662</v>
      </c>
      <c r="AW80" s="66" t="n">
        <f aca="false">-(AW70+AW71)/1</f>
        <v>135533.691730611</v>
      </c>
      <c r="AX80" s="66" t="n">
        <f aca="false">-(AX70+AX71)/1</f>
        <v>133085.046786239</v>
      </c>
      <c r="AY80" s="66" t="n">
        <f aca="false">-(AY70+AY71)/1</f>
        <v>263429.989659403</v>
      </c>
      <c r="AZ80" s="66" t="n">
        <f aca="false">-(AZ70+AZ71)/1</f>
        <v>259668.973260816</v>
      </c>
      <c r="BA80" s="66" t="n">
        <f aca="false">-(BA70+BA71)/1</f>
        <v>255957.37884821</v>
      </c>
      <c r="BB80" s="66" t="n">
        <f aca="false">-(BB70+BB71)/1</f>
        <v>252338.227408175</v>
      </c>
      <c r="BC80" s="66" t="n">
        <f aca="false">-(BC70+BC71)/1</f>
        <v>248809.218273028</v>
      </c>
      <c r="BD80" s="66" t="n">
        <f aca="false">-(BD70+BD71)/1</f>
        <v>245368.107979582</v>
      </c>
      <c r="BE80" s="66" t="n">
        <f aca="false">-(BE70+BE71)/1</f>
        <v>242012.708848393</v>
      </c>
      <c r="BF80" s="66" t="n">
        <f aca="false">-(BF70+BF71)/1</f>
        <v>238740.887598258</v>
      </c>
      <c r="BG80" s="66" t="n">
        <f aca="false">-(BG70+BG71)/1</f>
        <v>235550.563995067</v>
      </c>
      <c r="BH80" s="66" t="n">
        <f aca="false">-(BH70+BH71)/1</f>
        <v>232439.709534176</v>
      </c>
      <c r="BI80" s="66" t="n">
        <f aca="false">-(BI70+BI71)/1</f>
        <v>229406.346155461</v>
      </c>
      <c r="BJ80" s="66" t="n">
        <f aca="false">-(BJ70+BJ71)/1</f>
        <v>226448.544990247</v>
      </c>
    </row>
    <row r="81" customFormat="false" ht="15" hidden="false" customHeight="false" outlineLevel="0" collapsed="false">
      <c r="A81" s="38" t="s">
        <v>240</v>
      </c>
      <c r="C81" s="74" t="n">
        <f aca="false">Inputs!$E$10</f>
        <v>0.03</v>
      </c>
      <c r="D81" s="74" t="n">
        <f aca="false">Inputs!$E$10</f>
        <v>0.03</v>
      </c>
      <c r="E81" s="74" t="n">
        <f aca="false">Inputs!$E$10</f>
        <v>0.03</v>
      </c>
      <c r="F81" s="74" t="n">
        <f aca="false">Inputs!$E$10</f>
        <v>0.03</v>
      </c>
      <c r="G81" s="74" t="n">
        <f aca="false">Inputs!$E$10</f>
        <v>0.03</v>
      </c>
      <c r="H81" s="74" t="n">
        <f aca="false">Inputs!$E$10</f>
        <v>0.03</v>
      </c>
      <c r="I81" s="74" t="n">
        <f aca="false">Inputs!$E$10</f>
        <v>0.03</v>
      </c>
      <c r="J81" s="74" t="n">
        <f aca="false">Inputs!$E$10</f>
        <v>0.03</v>
      </c>
      <c r="K81" s="74" t="n">
        <f aca="false">Inputs!$E$10</f>
        <v>0.03</v>
      </c>
      <c r="L81" s="74" t="n">
        <f aca="false">Inputs!$E$10</f>
        <v>0.03</v>
      </c>
      <c r="M81" s="74" t="n">
        <f aca="false">Inputs!$E$10</f>
        <v>0.03</v>
      </c>
      <c r="N81" s="74" t="n">
        <f aca="false">Inputs!$E$10</f>
        <v>0.03</v>
      </c>
      <c r="O81" s="74" t="n">
        <f aca="false">Inputs!$E$10</f>
        <v>0.03</v>
      </c>
      <c r="P81" s="74" t="n">
        <f aca="false">Inputs!$E$10</f>
        <v>0.03</v>
      </c>
      <c r="Q81" s="74" t="n">
        <f aca="false">Inputs!$E$10</f>
        <v>0.03</v>
      </c>
      <c r="R81" s="74" t="n">
        <f aca="false">Inputs!$E$10</f>
        <v>0.03</v>
      </c>
      <c r="S81" s="74" t="n">
        <f aca="false">Inputs!$E$10</f>
        <v>0.03</v>
      </c>
      <c r="T81" s="74" t="n">
        <f aca="false">Inputs!$E$10</f>
        <v>0.03</v>
      </c>
      <c r="U81" s="74" t="n">
        <f aca="false">Inputs!$E$10</f>
        <v>0.03</v>
      </c>
      <c r="V81" s="74" t="n">
        <f aca="false">Inputs!$E$10</f>
        <v>0.03</v>
      </c>
      <c r="W81" s="74" t="n">
        <f aca="false">Inputs!$E$10</f>
        <v>0.03</v>
      </c>
      <c r="X81" s="74" t="n">
        <f aca="false">Inputs!$E$10</f>
        <v>0.03</v>
      </c>
      <c r="Y81" s="74" t="n">
        <f aca="false">Inputs!$E$10</f>
        <v>0.03</v>
      </c>
      <c r="Z81" s="74" t="n">
        <f aca="false">Inputs!$E$10</f>
        <v>0.03</v>
      </c>
      <c r="AA81" s="74" t="n">
        <f aca="false">Inputs!$E$10</f>
        <v>0.03</v>
      </c>
      <c r="AB81" s="74" t="n">
        <f aca="false">Inputs!$E$10</f>
        <v>0.03</v>
      </c>
      <c r="AC81" s="74" t="n">
        <f aca="false">Inputs!$E$10</f>
        <v>0.03</v>
      </c>
      <c r="AD81" s="74" t="n">
        <f aca="false">Inputs!$E$10</f>
        <v>0.03</v>
      </c>
      <c r="AE81" s="74" t="n">
        <f aca="false">Inputs!$E$10</f>
        <v>0.03</v>
      </c>
      <c r="AF81" s="74" t="n">
        <f aca="false">Inputs!$E$10</f>
        <v>0.03</v>
      </c>
      <c r="AG81" s="74" t="n">
        <f aca="false">Inputs!$E$10</f>
        <v>0.03</v>
      </c>
      <c r="AH81" s="74" t="n">
        <f aca="false">Inputs!$E$10</f>
        <v>0.03</v>
      </c>
      <c r="AI81" s="74" t="n">
        <f aca="false">Inputs!$E$10</f>
        <v>0.03</v>
      </c>
      <c r="AJ81" s="74" t="n">
        <f aca="false">Inputs!$E$10</f>
        <v>0.03</v>
      </c>
      <c r="AK81" s="74" t="n">
        <f aca="false">Inputs!$E$10</f>
        <v>0.03</v>
      </c>
      <c r="AL81" s="74" t="n">
        <f aca="false">Inputs!$E$10</f>
        <v>0.03</v>
      </c>
      <c r="AM81" s="74" t="n">
        <f aca="false">Inputs!$E$10</f>
        <v>0.03</v>
      </c>
      <c r="AN81" s="74" t="n">
        <f aca="false">Inputs!$E$10</f>
        <v>0.03</v>
      </c>
      <c r="AO81" s="74" t="n">
        <f aca="false">Inputs!$E$10</f>
        <v>0.03</v>
      </c>
      <c r="AP81" s="74" t="n">
        <f aca="false">Inputs!$E$10</f>
        <v>0.03</v>
      </c>
      <c r="AQ81" s="74" t="n">
        <f aca="false">Inputs!$E$10</f>
        <v>0.03</v>
      </c>
      <c r="AR81" s="74" t="n">
        <f aca="false">Inputs!$E$10</f>
        <v>0.03</v>
      </c>
      <c r="AS81" s="74" t="n">
        <f aca="false">Inputs!$E$10</f>
        <v>0.03</v>
      </c>
      <c r="AT81" s="74" t="n">
        <f aca="false">Inputs!$E$10</f>
        <v>0.03</v>
      </c>
      <c r="AU81" s="74" t="n">
        <f aca="false">Inputs!$E$10</f>
        <v>0.03</v>
      </c>
      <c r="AV81" s="74" t="n">
        <f aca="false">Inputs!$E$10</f>
        <v>0.03</v>
      </c>
      <c r="AW81" s="74" t="n">
        <f aca="false">Inputs!$E$10</f>
        <v>0.03</v>
      </c>
      <c r="AX81" s="74" t="n">
        <f aca="false">Inputs!$E$10</f>
        <v>0.03</v>
      </c>
      <c r="AY81" s="74" t="n">
        <f aca="false">Inputs!$E$10</f>
        <v>0.03</v>
      </c>
      <c r="AZ81" s="74" t="n">
        <f aca="false">Inputs!$E$10</f>
        <v>0.03</v>
      </c>
      <c r="BA81" s="74" t="n">
        <f aca="false">Inputs!$E$10</f>
        <v>0.03</v>
      </c>
      <c r="BB81" s="74" t="n">
        <f aca="false">Inputs!$E$10</f>
        <v>0.03</v>
      </c>
      <c r="BC81" s="74" t="n">
        <f aca="false">Inputs!$E$10</f>
        <v>0.03</v>
      </c>
      <c r="BD81" s="74" t="n">
        <f aca="false">Inputs!$E$10</f>
        <v>0.03</v>
      </c>
      <c r="BE81" s="74" t="n">
        <f aca="false">Inputs!$E$10</f>
        <v>0.03</v>
      </c>
      <c r="BF81" s="74" t="n">
        <f aca="false">Inputs!$E$10</f>
        <v>0.03</v>
      </c>
      <c r="BG81" s="74" t="n">
        <f aca="false">Inputs!$E$10</f>
        <v>0.03</v>
      </c>
      <c r="BH81" s="74" t="n">
        <f aca="false">Inputs!$E$10</f>
        <v>0.03</v>
      </c>
      <c r="BI81" s="74" t="n">
        <f aca="false">Inputs!$E$10</f>
        <v>0.03</v>
      </c>
      <c r="BJ81" s="74" t="n">
        <f aca="false">Inputs!$E$10</f>
        <v>0.03</v>
      </c>
    </row>
    <row r="83" customFormat="false" ht="15.75" hidden="false" customHeight="true" outlineLevel="0" collapsed="false">
      <c r="A83" s="7" t="s">
        <v>426</v>
      </c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</row>
    <row r="84" customFormat="false" ht="15" hidden="false" customHeight="false" outlineLevel="0" collapsed="false">
      <c r="A84" s="119" t="s">
        <v>427</v>
      </c>
      <c r="C84" s="120" t="n">
        <f aca="false">IF(C44&gt;0,1,0)</f>
        <v>0</v>
      </c>
      <c r="D84" s="120" t="n">
        <f aca="false">IF(D44&gt;0,1,0)</f>
        <v>0</v>
      </c>
      <c r="E84" s="120" t="n">
        <f aca="false">IF(E44&gt;0,1,0)</f>
        <v>0</v>
      </c>
      <c r="F84" s="120" t="n">
        <f aca="false">IF(F44&gt;0,1,0)</f>
        <v>0</v>
      </c>
      <c r="G84" s="120" t="n">
        <f aca="false">IF(G44&gt;0,1,0)</f>
        <v>0</v>
      </c>
      <c r="H84" s="120" t="n">
        <f aca="false">IF(H44&gt;0,1,0)</f>
        <v>0</v>
      </c>
      <c r="I84" s="120" t="n">
        <f aca="false">IF(I44&gt;0,1,0)</f>
        <v>0</v>
      </c>
      <c r="J84" s="120" t="n">
        <f aca="false">IF(J44&gt;0,1,0)</f>
        <v>0</v>
      </c>
      <c r="K84" s="120" t="n">
        <f aca="false">IF(K44&gt;0,1,0)</f>
        <v>0</v>
      </c>
      <c r="L84" s="120" t="n">
        <f aca="false">IF(L44&gt;0,1,0)</f>
        <v>0</v>
      </c>
      <c r="M84" s="120" t="n">
        <f aca="false">IF(M44&gt;0,1,0)</f>
        <v>0</v>
      </c>
      <c r="N84" s="120" t="n">
        <f aca="false">IF(N44&gt;0,1,0)</f>
        <v>0</v>
      </c>
      <c r="O84" s="120" t="n">
        <f aca="false">IF(O44&gt;0,1,0)</f>
        <v>0</v>
      </c>
      <c r="P84" s="120" t="n">
        <f aca="false">IF(P44&gt;0,1,0)</f>
        <v>0</v>
      </c>
      <c r="Q84" s="120" t="n">
        <f aca="false">IF(Q44&gt;0,1,0)</f>
        <v>0</v>
      </c>
      <c r="R84" s="120" t="n">
        <f aca="false">IF(R44&gt;0,1,0)</f>
        <v>0</v>
      </c>
      <c r="S84" s="120" t="n">
        <f aca="false">IF(S44&gt;0,1,0)</f>
        <v>0</v>
      </c>
      <c r="T84" s="120" t="n">
        <f aca="false">IF(T44&gt;0,1,0)</f>
        <v>0</v>
      </c>
      <c r="U84" s="120" t="n">
        <f aca="false">IF(U44&gt;0,1,0)</f>
        <v>0</v>
      </c>
      <c r="V84" s="120" t="n">
        <f aca="false">IF(V44&gt;0,1,0)</f>
        <v>0</v>
      </c>
      <c r="W84" s="120" t="n">
        <f aca="false">IF(W44&gt;0,1,0)</f>
        <v>0</v>
      </c>
      <c r="X84" s="120" t="n">
        <f aca="false">IF(X44&gt;0,1,0)</f>
        <v>0</v>
      </c>
      <c r="Y84" s="120" t="n">
        <f aca="false">IF(Y44&gt;0,1,0)</f>
        <v>0</v>
      </c>
      <c r="Z84" s="120" t="n">
        <f aca="false">IF(Z44&gt;0,1,0)</f>
        <v>0</v>
      </c>
      <c r="AA84" s="120" t="n">
        <f aca="false">IF(AA44&gt;0,1,0)</f>
        <v>0</v>
      </c>
      <c r="AB84" s="120" t="n">
        <f aca="false">IF(AB44&gt;0,1,0)</f>
        <v>0</v>
      </c>
      <c r="AC84" s="120" t="n">
        <f aca="false">IF(AC44&gt;0,1,0)</f>
        <v>0</v>
      </c>
      <c r="AD84" s="120" t="n">
        <f aca="false">IF(AD44&gt;0,1,0)</f>
        <v>0</v>
      </c>
      <c r="AE84" s="120" t="n">
        <f aca="false">IF(AE44&gt;0,1,0)</f>
        <v>0</v>
      </c>
      <c r="AF84" s="120" t="n">
        <f aca="false">IF(AF44&gt;0,1,0)</f>
        <v>0</v>
      </c>
      <c r="AG84" s="120" t="n">
        <f aca="false">IF(AG44&gt;0,1,0)</f>
        <v>0</v>
      </c>
      <c r="AH84" s="120" t="n">
        <f aca="false">IF(AH44&gt;0,1,0)</f>
        <v>0</v>
      </c>
      <c r="AI84" s="120" t="n">
        <f aca="false">IF(AI44&gt;0,1,0)</f>
        <v>0</v>
      </c>
      <c r="AJ84" s="120" t="n">
        <f aca="false">IF(AJ44&gt;0,1,0)</f>
        <v>0</v>
      </c>
      <c r="AK84" s="120" t="n">
        <f aca="false">IF(AK44&gt;0,1,0)</f>
        <v>0</v>
      </c>
      <c r="AL84" s="120" t="n">
        <f aca="false">IF(AL44&gt;0,1,0)</f>
        <v>0</v>
      </c>
      <c r="AM84" s="120" t="n">
        <f aca="false">IF(AM44&gt;0,1,0)</f>
        <v>0</v>
      </c>
      <c r="AN84" s="120" t="n">
        <f aca="false">IF(AN44&gt;0,1,0)</f>
        <v>0</v>
      </c>
      <c r="AO84" s="120" t="n">
        <f aca="false">IF(AO44&gt;0,1,0)</f>
        <v>0</v>
      </c>
      <c r="AP84" s="120" t="n">
        <f aca="false">IF(AP44&gt;0,1,0)</f>
        <v>0</v>
      </c>
      <c r="AQ84" s="120" t="n">
        <f aca="false">IF(AQ44&gt;0,1,0)</f>
        <v>0</v>
      </c>
      <c r="AR84" s="120" t="n">
        <f aca="false">IF(AR44&gt;0,1,0)</f>
        <v>0</v>
      </c>
      <c r="AS84" s="120" t="n">
        <f aca="false">IF(AS44&gt;0,1,0)</f>
        <v>0</v>
      </c>
      <c r="AT84" s="120" t="n">
        <f aca="false">IF(AT44&gt;0,1,0)</f>
        <v>0</v>
      </c>
      <c r="AU84" s="120" t="n">
        <f aca="false">IF(AU44&gt;0,1,0)</f>
        <v>0</v>
      </c>
      <c r="AV84" s="120" t="n">
        <f aca="false">IF(AV44&gt;0,1,0)</f>
        <v>0</v>
      </c>
      <c r="AW84" s="120" t="n">
        <f aca="false">IF(AW44&gt;0,1,0)</f>
        <v>0</v>
      </c>
      <c r="AX84" s="120" t="n">
        <f aca="false">IF(AX44&gt;0,1,0)</f>
        <v>0</v>
      </c>
      <c r="AY84" s="120" t="n">
        <f aca="false">IF(AY44&gt;0,1,0)</f>
        <v>0</v>
      </c>
      <c r="AZ84" s="120" t="n">
        <f aca="false">IF(AZ44&gt;0,1,0)</f>
        <v>0</v>
      </c>
      <c r="BA84" s="120" t="n">
        <f aca="false">IF(BA44&gt;0,1,0)</f>
        <v>0</v>
      </c>
      <c r="BB84" s="120" t="n">
        <f aca="false">IF(BB44&gt;0,1,0)</f>
        <v>0</v>
      </c>
      <c r="BC84" s="120" t="n">
        <f aca="false">IF(BC44&gt;0,1,0)</f>
        <v>0</v>
      </c>
      <c r="BD84" s="120" t="n">
        <f aca="false">IF(BD44&gt;0,1,0)</f>
        <v>0</v>
      </c>
      <c r="BE84" s="120" t="n">
        <f aca="false">IF(BE44&gt;0,1,0)</f>
        <v>0</v>
      </c>
      <c r="BF84" s="120" t="n">
        <f aca="false">IF(BF44&gt;0,1,0)</f>
        <v>0</v>
      </c>
      <c r="BG84" s="120" t="n">
        <f aca="false">IF(BG44&gt;0,1,0)</f>
        <v>0</v>
      </c>
      <c r="BH84" s="120" t="n">
        <f aca="false">IF(BH44&gt;0,1,0)</f>
        <v>0</v>
      </c>
      <c r="BI84" s="120" t="n">
        <f aca="false">IF(BI44&gt;0,1,0)</f>
        <v>0</v>
      </c>
      <c r="BJ84" s="120" t="n">
        <f aca="false">IF(BJ44&gt;0,1,0)</f>
        <v>0</v>
      </c>
    </row>
    <row r="85" customFormat="false" ht="15" hidden="false" customHeight="false" outlineLevel="0" collapsed="false">
      <c r="A85" s="6" t="s">
        <v>428</v>
      </c>
      <c r="C85" s="66" t="n">
        <f aca="false">C70+C71</f>
        <v>-84465.1041666667</v>
      </c>
      <c r="D85" s="66" t="n">
        <f aca="false">D70+D71</f>
        <v>-65545.5460069444</v>
      </c>
      <c r="E85" s="66" t="n">
        <f aca="false">E70+E71</f>
        <v>-63191.5685234375</v>
      </c>
      <c r="F85" s="66" t="n">
        <f aca="false">F70+F71</f>
        <v>-60896.1560309071</v>
      </c>
      <c r="G85" s="66" t="n">
        <f aca="false">G70+G71</f>
        <v>-58657.8529379622</v>
      </c>
      <c r="H85" s="66" t="n">
        <f aca="false">H70+H71</f>
        <v>-56475.239786995</v>
      </c>
      <c r="I85" s="66" t="n">
        <f aca="false">I70+I71</f>
        <v>-54346.9323585164</v>
      </c>
      <c r="J85" s="66" t="n">
        <f aca="false">J70+J71</f>
        <v>-52271.5807976527</v>
      </c>
      <c r="K85" s="66" t="n">
        <f aca="false">K70+K71</f>
        <v>-50247.8687622566</v>
      </c>
      <c r="L85" s="66" t="n">
        <f aca="false">L70+L71</f>
        <v>-48274.5125920979</v>
      </c>
      <c r="M85" s="66" t="n">
        <f aca="false">M70+M71</f>
        <v>-46350.2604986151</v>
      </c>
      <c r="N85" s="66" t="n">
        <f aca="false">N70+N71</f>
        <v>-44473.8917747187</v>
      </c>
      <c r="O85" s="66" t="n">
        <f aca="false">O70+O71</f>
        <v>-77951.6339574849</v>
      </c>
      <c r="P85" s="66" t="n">
        <f aca="false">P70+P71</f>
        <v>-75498.6973838123</v>
      </c>
      <c r="Q85" s="66" t="n">
        <f aca="false">Q70+Q71</f>
        <v>-73086.7308042236</v>
      </c>
      <c r="R85" s="66" t="n">
        <f aca="false">R70+R71</f>
        <v>-70734.7955461411</v>
      </c>
      <c r="S85" s="66" t="n">
        <f aca="false">S70+S71</f>
        <v>-68441.3988618166</v>
      </c>
      <c r="T85" s="66" t="n">
        <f aca="false">T70+T71</f>
        <v>-66205.085081137</v>
      </c>
      <c r="U85" s="66" t="n">
        <f aca="false">U70+U71</f>
        <v>-64024.4346919152</v>
      </c>
      <c r="V85" s="66" t="n">
        <f aca="false">V70+V71</f>
        <v>-61898.0634429563</v>
      </c>
      <c r="W85" s="66" t="n">
        <f aca="false">W70+W71</f>
        <v>-59824.6214693379</v>
      </c>
      <c r="X85" s="66" t="n">
        <f aca="false">X70+X71</f>
        <v>-57802.7924393529</v>
      </c>
      <c r="Y85" s="66" t="n">
        <f aca="false">Y70+Y71</f>
        <v>-55831.2927225818</v>
      </c>
      <c r="Z85" s="66" t="n">
        <f aca="false">Z70+Z71</f>
        <v>-53908.8705785703</v>
      </c>
      <c r="AA85" s="66" t="n">
        <f aca="false">AA70+AA71</f>
        <v>-106872.332341004</v>
      </c>
      <c r="AB85" s="66" t="n">
        <f aca="false">AB70+AB71</f>
        <v>-104183.634043166</v>
      </c>
      <c r="AC85" s="66" t="n">
        <f aca="false">AC70+AC71</f>
        <v>-101535.775444044</v>
      </c>
      <c r="AD85" s="66" t="n">
        <f aca="false">AD70+AD71</f>
        <v>-98953.8393444263</v>
      </c>
      <c r="AE85" s="66" t="n">
        <f aca="false">AE70+AE71</f>
        <v>-96436.1859007883</v>
      </c>
      <c r="AF85" s="66" t="n">
        <f aca="false">AF70+AF71</f>
        <v>-93981.216019126</v>
      </c>
      <c r="AG85" s="66" t="n">
        <f aca="false">AG70+AG71</f>
        <v>-91587.3703436136</v>
      </c>
      <c r="AH85" s="66" t="n">
        <f aca="false">AH70+AH71</f>
        <v>-89253.1282703241</v>
      </c>
      <c r="AI85" s="66" t="n">
        <f aca="false">AI70+AI71</f>
        <v>-86977.0069853917</v>
      </c>
      <c r="AJ85" s="66" t="n">
        <f aca="false">AJ70+AJ71</f>
        <v>-84757.5605270119</v>
      </c>
      <c r="AK85" s="66" t="n">
        <f aca="false">AK70+AK71</f>
        <v>-82593.378870688</v>
      </c>
      <c r="AL85" s="66" t="n">
        <f aca="false">AL70+AL71</f>
        <v>-80483.0870371505</v>
      </c>
      <c r="AM85" s="66" t="n">
        <f aca="false">AM70+AM71</f>
        <v>-163702.545294705</v>
      </c>
      <c r="AN85" s="66" t="n">
        <f aca="false">AN70+AN71</f>
        <v>-160586.348620119</v>
      </c>
      <c r="AO85" s="66" t="n">
        <f aca="false">AO70+AO71</f>
        <v>-157513.788525485</v>
      </c>
      <c r="AP85" s="66" t="n">
        <f aca="false">AP70+AP71</f>
        <v>-154517.741984964</v>
      </c>
      <c r="AQ85" s="66" t="n">
        <f aca="false">AQ70+AQ71</f>
        <v>-151596.305173153</v>
      </c>
      <c r="AR85" s="66" t="n">
        <f aca="false">AR70+AR71</f>
        <v>-148747.621589876</v>
      </c>
      <c r="AS85" s="66" t="n">
        <f aca="false">AS70+AS71</f>
        <v>-145969.880885175</v>
      </c>
      <c r="AT85" s="66" t="n">
        <f aca="false">AT70+AT71</f>
        <v>-143261.317713413</v>
      </c>
      <c r="AU85" s="66" t="n">
        <f aca="false">AU70+AU71</f>
        <v>-140620.210615809</v>
      </c>
      <c r="AV85" s="66" t="n">
        <f aca="false">AV70+AV71</f>
        <v>-138044.880930662</v>
      </c>
      <c r="AW85" s="66" t="n">
        <f aca="false">AW70+AW71</f>
        <v>-135533.691730611</v>
      </c>
      <c r="AX85" s="66" t="n">
        <f aca="false">AX70+AX71</f>
        <v>-133085.046786239</v>
      </c>
      <c r="AY85" s="66" t="n">
        <f aca="false">AY70+AY71</f>
        <v>-263429.989659403</v>
      </c>
      <c r="AZ85" s="66" t="n">
        <f aca="false">AZ70+AZ71</f>
        <v>-259668.973260816</v>
      </c>
      <c r="BA85" s="66" t="n">
        <f aca="false">BA70+BA71</f>
        <v>-255957.37884821</v>
      </c>
      <c r="BB85" s="66" t="n">
        <f aca="false">BB70+BB71</f>
        <v>-252338.227408175</v>
      </c>
      <c r="BC85" s="66" t="n">
        <f aca="false">BC70+BC71</f>
        <v>-248809.218273028</v>
      </c>
      <c r="BD85" s="66" t="n">
        <f aca="false">BD70+BD71</f>
        <v>-245368.107979582</v>
      </c>
      <c r="BE85" s="66" t="n">
        <f aca="false">BE70+BE71</f>
        <v>-242012.708848393</v>
      </c>
      <c r="BF85" s="66" t="n">
        <f aca="false">BF70+BF71</f>
        <v>-238740.887598258</v>
      </c>
      <c r="BG85" s="66" t="n">
        <f aca="false">BG70+BG71</f>
        <v>-235550.563995067</v>
      </c>
      <c r="BH85" s="66" t="n">
        <f aca="false">BH70+BH71</f>
        <v>-232439.709534176</v>
      </c>
      <c r="BI85" s="66" t="n">
        <f aca="false">BI70+BI71</f>
        <v>-229406.346155461</v>
      </c>
      <c r="BJ85" s="66" t="n">
        <f aca="false">BJ70+BJ71</f>
        <v>-226448.544990247</v>
      </c>
    </row>
    <row r="86" customFormat="false" ht="15" hidden="false" customHeight="false" outlineLevel="0" collapsed="false">
      <c r="A86" s="6" t="s">
        <v>429</v>
      </c>
      <c r="C86" s="66" t="n">
        <f aca="false">C85</f>
        <v>-84465.1041666667</v>
      </c>
      <c r="D86" s="66" t="n">
        <f aca="false">C86+D85</f>
        <v>-150010.650173611</v>
      </c>
      <c r="E86" s="66" t="n">
        <f aca="false">D86+E85</f>
        <v>-213202.218697049</v>
      </c>
      <c r="F86" s="66" t="n">
        <f aca="false">E86+F85</f>
        <v>-274098.374727956</v>
      </c>
      <c r="G86" s="66" t="n">
        <f aca="false">F86+G85</f>
        <v>-332756.227665918</v>
      </c>
      <c r="H86" s="66" t="n">
        <f aca="false">G86+H85</f>
        <v>-389231.467452913</v>
      </c>
      <c r="I86" s="66" t="n">
        <f aca="false">H86+I85</f>
        <v>-443578.399811429</v>
      </c>
      <c r="J86" s="66" t="n">
        <f aca="false">I86+J85</f>
        <v>-495849.980609082</v>
      </c>
      <c r="K86" s="66" t="n">
        <f aca="false">J86+K85</f>
        <v>-546097.849371339</v>
      </c>
      <c r="L86" s="66" t="n">
        <f aca="false">K86+L85</f>
        <v>-594372.361963437</v>
      </c>
      <c r="M86" s="66" t="n">
        <f aca="false">L86+M85</f>
        <v>-640722.622462052</v>
      </c>
      <c r="N86" s="66" t="n">
        <f aca="false">M86+N85</f>
        <v>-685196.51423677</v>
      </c>
      <c r="O86" s="66" t="n">
        <f aca="false">N86+O85</f>
        <v>-763148.148194255</v>
      </c>
      <c r="P86" s="66" t="n">
        <f aca="false">O86+P85</f>
        <v>-838646.845578068</v>
      </c>
      <c r="Q86" s="66" t="n">
        <f aca="false">P86+Q85</f>
        <v>-911733.576382291</v>
      </c>
      <c r="R86" s="66" t="n">
        <f aca="false">Q86+R85</f>
        <v>-982468.371928432</v>
      </c>
      <c r="S86" s="66" t="n">
        <f aca="false">R86+S85</f>
        <v>-1050909.77079025</v>
      </c>
      <c r="T86" s="66" t="n">
        <f aca="false">S86+T85</f>
        <v>-1117114.85587139</v>
      </c>
      <c r="U86" s="66" t="n">
        <f aca="false">T86+U85</f>
        <v>-1181139.2905633</v>
      </c>
      <c r="V86" s="66" t="n">
        <f aca="false">U86+V85</f>
        <v>-1243037.35400626</v>
      </c>
      <c r="W86" s="66" t="n">
        <f aca="false">V86+W85</f>
        <v>-1302861.97547559</v>
      </c>
      <c r="X86" s="66" t="n">
        <f aca="false">W86+X85</f>
        <v>-1360664.76791495</v>
      </c>
      <c r="Y86" s="66" t="n">
        <f aca="false">X86+Y85</f>
        <v>-1416496.06063753</v>
      </c>
      <c r="Z86" s="66" t="n">
        <f aca="false">Y86+Z85</f>
        <v>-1470404.9312161</v>
      </c>
      <c r="AA86" s="66" t="n">
        <f aca="false">Z86+AA85</f>
        <v>-1577277.2635571</v>
      </c>
      <c r="AB86" s="66" t="n">
        <f aca="false">AA86+AB85</f>
        <v>-1681460.89760027</v>
      </c>
      <c r="AC86" s="66" t="n">
        <f aca="false">AB86+AC85</f>
        <v>-1782996.67304431</v>
      </c>
      <c r="AD86" s="66" t="n">
        <f aca="false">AC86+AD85</f>
        <v>-1881950.51238874</v>
      </c>
      <c r="AE86" s="66" t="n">
        <f aca="false">AD86+AE85</f>
        <v>-1978386.69828953</v>
      </c>
      <c r="AF86" s="66" t="n">
        <f aca="false">AE86+AF85</f>
        <v>-2072367.91430865</v>
      </c>
      <c r="AG86" s="66" t="n">
        <f aca="false">AF86+AG85</f>
        <v>-2163955.28465227</v>
      </c>
      <c r="AH86" s="66" t="n">
        <f aca="false">AG86+AH85</f>
        <v>-2253208.41292259</v>
      </c>
      <c r="AI86" s="66" t="n">
        <f aca="false">AH86+AI85</f>
        <v>-2340185.41990798</v>
      </c>
      <c r="AJ86" s="66" t="n">
        <f aca="false">AI86+AJ85</f>
        <v>-2424942.980435</v>
      </c>
      <c r="AK86" s="66" t="n">
        <f aca="false">AJ86+AK85</f>
        <v>-2507536.35930568</v>
      </c>
      <c r="AL86" s="66" t="n">
        <f aca="false">AK86+AL85</f>
        <v>-2588019.44634283</v>
      </c>
      <c r="AM86" s="66" t="n">
        <f aca="false">AL86+AM85</f>
        <v>-2751721.99163754</v>
      </c>
      <c r="AN86" s="66" t="n">
        <f aca="false">AM86+AN85</f>
        <v>-2912308.34025766</v>
      </c>
      <c r="AO86" s="66" t="n">
        <f aca="false">AN86+AO85</f>
        <v>-3069822.12878314</v>
      </c>
      <c r="AP86" s="66" t="n">
        <f aca="false">AO86+AP85</f>
        <v>-3224339.87076811</v>
      </c>
      <c r="AQ86" s="66" t="n">
        <f aca="false">AP86+AQ85</f>
        <v>-3375936.17594126</v>
      </c>
      <c r="AR86" s="66" t="n">
        <f aca="false">AQ86+AR85</f>
        <v>-3524683.79753114</v>
      </c>
      <c r="AS86" s="66" t="n">
        <f aca="false">AR86+AS85</f>
        <v>-3670653.67841631</v>
      </c>
      <c r="AT86" s="66" t="n">
        <f aca="false">AS86+AT85</f>
        <v>-3813914.99612972</v>
      </c>
      <c r="AU86" s="66" t="n">
        <f aca="false">AT86+AU85</f>
        <v>-3954535.20674553</v>
      </c>
      <c r="AV86" s="66" t="n">
        <f aca="false">AU86+AV85</f>
        <v>-4092580.0876762</v>
      </c>
      <c r="AW86" s="66" t="n">
        <f aca="false">AV86+AW85</f>
        <v>-4228113.77940681</v>
      </c>
      <c r="AX86" s="66" t="n">
        <f aca="false">AW86+AX85</f>
        <v>-4361198.82619304</v>
      </c>
      <c r="AY86" s="66" t="n">
        <f aca="false">AX86+AY85</f>
        <v>-4624628.81585245</v>
      </c>
      <c r="AZ86" s="66" t="n">
        <f aca="false">AY86+AZ85</f>
        <v>-4884297.78911326</v>
      </c>
      <c r="BA86" s="66" t="n">
        <f aca="false">AZ86+BA85</f>
        <v>-5140255.16796147</v>
      </c>
      <c r="BB86" s="66" t="n">
        <f aca="false">BA86+BB85</f>
        <v>-5392593.39536965</v>
      </c>
      <c r="BC86" s="66" t="n">
        <f aca="false">BB86+BC85</f>
        <v>-5641402.61364268</v>
      </c>
      <c r="BD86" s="66" t="n">
        <f aca="false">BC86+BD85</f>
        <v>-5886770.72162226</v>
      </c>
      <c r="BE86" s="66" t="n">
        <f aca="false">BD86+BE85</f>
        <v>-6128783.43047065</v>
      </c>
      <c r="BF86" s="66" t="n">
        <f aca="false">BE86+BF85</f>
        <v>-6367524.31806891</v>
      </c>
      <c r="BG86" s="66" t="n">
        <f aca="false">BF86+BG85</f>
        <v>-6603074.88206398</v>
      </c>
      <c r="BH86" s="66" t="n">
        <f aca="false">BG86+BH85</f>
        <v>-6835514.59159815</v>
      </c>
      <c r="BI86" s="66" t="n">
        <f aca="false">BH86+BI85</f>
        <v>-7064920.93775361</v>
      </c>
      <c r="BJ86" s="66" t="n">
        <f aca="false">BI86+BJ85</f>
        <v>-7291369.48274386</v>
      </c>
    </row>
    <row r="87" customFormat="false" ht="15" hidden="false" customHeight="false" outlineLevel="0" collapsed="false">
      <c r="A87" s="119" t="s">
        <v>430</v>
      </c>
      <c r="C87" s="66" t="n">
        <f aca="false">C86</f>
        <v>-84465.1041666667</v>
      </c>
      <c r="D87" s="66" t="n">
        <f aca="false">MIN(C87,D86)</f>
        <v>-150010.650173611</v>
      </c>
      <c r="E87" s="66" t="n">
        <f aca="false">MIN(D87,E86)</f>
        <v>-213202.218697049</v>
      </c>
      <c r="F87" s="66" t="n">
        <f aca="false">MIN(E87,F86)</f>
        <v>-274098.374727956</v>
      </c>
      <c r="G87" s="66" t="n">
        <f aca="false">MIN(F87,G86)</f>
        <v>-332756.227665918</v>
      </c>
      <c r="H87" s="66" t="n">
        <f aca="false">MIN(G87,H86)</f>
        <v>-389231.467452913</v>
      </c>
      <c r="I87" s="66" t="n">
        <f aca="false">MIN(H87,I86)</f>
        <v>-443578.399811429</v>
      </c>
      <c r="J87" s="66" t="n">
        <f aca="false">MIN(I87,J86)</f>
        <v>-495849.980609082</v>
      </c>
      <c r="K87" s="66" t="n">
        <f aca="false">MIN(J87,K86)</f>
        <v>-546097.849371339</v>
      </c>
      <c r="L87" s="66" t="n">
        <f aca="false">MIN(K87,L86)</f>
        <v>-594372.361963437</v>
      </c>
      <c r="M87" s="66" t="n">
        <f aca="false">MIN(L87,M86)</f>
        <v>-640722.622462052</v>
      </c>
      <c r="N87" s="66" t="n">
        <f aca="false">MIN(M87,N86)</f>
        <v>-685196.51423677</v>
      </c>
      <c r="O87" s="66" t="n">
        <f aca="false">MIN(N87,O86)</f>
        <v>-763148.148194255</v>
      </c>
      <c r="P87" s="66" t="n">
        <f aca="false">MIN(O87,P86)</f>
        <v>-838646.845578068</v>
      </c>
      <c r="Q87" s="66" t="n">
        <f aca="false">MIN(P87,Q86)</f>
        <v>-911733.576382291</v>
      </c>
      <c r="R87" s="66" t="n">
        <f aca="false">MIN(Q87,R86)</f>
        <v>-982468.371928432</v>
      </c>
      <c r="S87" s="66" t="n">
        <f aca="false">MIN(R87,S86)</f>
        <v>-1050909.77079025</v>
      </c>
      <c r="T87" s="66" t="n">
        <f aca="false">MIN(S87,T86)</f>
        <v>-1117114.85587139</v>
      </c>
      <c r="U87" s="66" t="n">
        <f aca="false">MIN(T87,U86)</f>
        <v>-1181139.2905633</v>
      </c>
      <c r="V87" s="66" t="n">
        <f aca="false">MIN(U87,V86)</f>
        <v>-1243037.35400626</v>
      </c>
      <c r="W87" s="66" t="n">
        <f aca="false">MIN(V87,W86)</f>
        <v>-1302861.97547559</v>
      </c>
      <c r="X87" s="66" t="n">
        <f aca="false">MIN(W87,X86)</f>
        <v>-1360664.76791495</v>
      </c>
      <c r="Y87" s="66" t="n">
        <f aca="false">MIN(X87,Y86)</f>
        <v>-1416496.06063753</v>
      </c>
      <c r="Z87" s="66" t="n">
        <f aca="false">MIN(Y87,Z86)</f>
        <v>-1470404.9312161</v>
      </c>
      <c r="AA87" s="66" t="n">
        <f aca="false">MIN(Z87,AA86)</f>
        <v>-1577277.2635571</v>
      </c>
      <c r="AB87" s="66" t="n">
        <f aca="false">MIN(AA87,AB86)</f>
        <v>-1681460.89760027</v>
      </c>
      <c r="AC87" s="66" t="n">
        <f aca="false">MIN(AB87,AC86)</f>
        <v>-1782996.67304431</v>
      </c>
      <c r="AD87" s="66" t="n">
        <f aca="false">MIN(AC87,AD86)</f>
        <v>-1881950.51238874</v>
      </c>
      <c r="AE87" s="66" t="n">
        <f aca="false">MIN(AD87,AE86)</f>
        <v>-1978386.69828953</v>
      </c>
      <c r="AF87" s="66" t="n">
        <f aca="false">MIN(AE87,AF86)</f>
        <v>-2072367.91430865</v>
      </c>
      <c r="AG87" s="66" t="n">
        <f aca="false">MIN(AF87,AG86)</f>
        <v>-2163955.28465227</v>
      </c>
      <c r="AH87" s="66" t="n">
        <f aca="false">MIN(AG87,AH86)</f>
        <v>-2253208.41292259</v>
      </c>
      <c r="AI87" s="66" t="n">
        <f aca="false">MIN(AH87,AI86)</f>
        <v>-2340185.41990798</v>
      </c>
      <c r="AJ87" s="66" t="n">
        <f aca="false">MIN(AI87,AJ86)</f>
        <v>-2424942.980435</v>
      </c>
      <c r="AK87" s="66" t="n">
        <f aca="false">MIN(AJ87,AK86)</f>
        <v>-2507536.35930568</v>
      </c>
      <c r="AL87" s="66" t="n">
        <f aca="false">MIN(AK87,AL86)</f>
        <v>-2588019.44634283</v>
      </c>
      <c r="AM87" s="66" t="n">
        <f aca="false">MIN(AL87,AM86)</f>
        <v>-2751721.99163754</v>
      </c>
      <c r="AN87" s="66" t="n">
        <f aca="false">MIN(AM87,AN86)</f>
        <v>-2912308.34025766</v>
      </c>
      <c r="AO87" s="66" t="n">
        <f aca="false">MIN(AN87,AO86)</f>
        <v>-3069822.12878314</v>
      </c>
      <c r="AP87" s="66" t="n">
        <f aca="false">MIN(AO87,AP86)</f>
        <v>-3224339.87076811</v>
      </c>
      <c r="AQ87" s="66" t="n">
        <f aca="false">MIN(AP87,AQ86)</f>
        <v>-3375936.17594126</v>
      </c>
      <c r="AR87" s="66" t="n">
        <f aca="false">MIN(AQ87,AR86)</f>
        <v>-3524683.79753114</v>
      </c>
      <c r="AS87" s="66" t="n">
        <f aca="false">MIN(AR87,AS86)</f>
        <v>-3670653.67841631</v>
      </c>
      <c r="AT87" s="66" t="n">
        <f aca="false">MIN(AS87,AT86)</f>
        <v>-3813914.99612972</v>
      </c>
      <c r="AU87" s="66" t="n">
        <f aca="false">MIN(AT87,AU86)</f>
        <v>-3954535.20674553</v>
      </c>
      <c r="AV87" s="66" t="n">
        <f aca="false">MIN(AU87,AV86)</f>
        <v>-4092580.0876762</v>
      </c>
      <c r="AW87" s="66" t="n">
        <f aca="false">MIN(AV87,AW86)</f>
        <v>-4228113.77940681</v>
      </c>
      <c r="AX87" s="66" t="n">
        <f aca="false">MIN(AW87,AX86)</f>
        <v>-4361198.82619304</v>
      </c>
      <c r="AY87" s="66" t="n">
        <f aca="false">MIN(AX87,AY86)</f>
        <v>-4624628.81585245</v>
      </c>
      <c r="AZ87" s="66" t="n">
        <f aca="false">MIN(AY87,AZ86)</f>
        <v>-4884297.78911326</v>
      </c>
      <c r="BA87" s="66" t="n">
        <f aca="false">MIN(AZ87,BA86)</f>
        <v>-5140255.16796147</v>
      </c>
      <c r="BB87" s="66" t="n">
        <f aca="false">MIN(BA87,BB86)</f>
        <v>-5392593.39536965</v>
      </c>
      <c r="BC87" s="66" t="n">
        <f aca="false">MIN(BB87,BC86)</f>
        <v>-5641402.61364268</v>
      </c>
      <c r="BD87" s="66" t="n">
        <f aca="false">MIN(BC87,BD86)</f>
        <v>-5886770.72162226</v>
      </c>
      <c r="BE87" s="66" t="n">
        <f aca="false">MIN(BD87,BE86)</f>
        <v>-6128783.43047065</v>
      </c>
      <c r="BF87" s="66" t="n">
        <f aca="false">MIN(BE87,BF86)</f>
        <v>-6367524.31806891</v>
      </c>
      <c r="BG87" s="66" t="n">
        <f aca="false">MIN(BF87,BG86)</f>
        <v>-6603074.88206398</v>
      </c>
      <c r="BH87" s="66" t="n">
        <f aca="false">MIN(BG87,BH86)</f>
        <v>-6835514.59159815</v>
      </c>
      <c r="BI87" s="66" t="n">
        <f aca="false">MIN(BH87,BI86)</f>
        <v>-7064920.93775361</v>
      </c>
      <c r="BJ87" s="66" t="n">
        <f aca="false">MIN(BI87,BJ86)</f>
        <v>-7291369.48274386</v>
      </c>
    </row>
    <row r="88" customFormat="false" ht="15" hidden="false" customHeight="false" outlineLevel="0" collapsed="false">
      <c r="A88" s="119" t="s">
        <v>431</v>
      </c>
      <c r="C88" s="120" t="n">
        <f aca="false">IF(AND(C86&gt;=0,C87&lt;0),1,0)</f>
        <v>0</v>
      </c>
      <c r="D88" s="120" t="n">
        <f aca="false">IF(AND(D86&gt;=0,D87&lt;0),1,0)</f>
        <v>0</v>
      </c>
      <c r="E88" s="120" t="n">
        <f aca="false">IF(AND(E86&gt;=0,E87&lt;0),1,0)</f>
        <v>0</v>
      </c>
      <c r="F88" s="120" t="n">
        <f aca="false">IF(AND(F86&gt;=0,F87&lt;0),1,0)</f>
        <v>0</v>
      </c>
      <c r="G88" s="120" t="n">
        <f aca="false">IF(AND(G86&gt;=0,G87&lt;0),1,0)</f>
        <v>0</v>
      </c>
      <c r="H88" s="120" t="n">
        <f aca="false">IF(AND(H86&gt;=0,H87&lt;0),1,0)</f>
        <v>0</v>
      </c>
      <c r="I88" s="120" t="n">
        <f aca="false">IF(AND(I86&gt;=0,I87&lt;0),1,0)</f>
        <v>0</v>
      </c>
      <c r="J88" s="120" t="n">
        <f aca="false">IF(AND(J86&gt;=0,J87&lt;0),1,0)</f>
        <v>0</v>
      </c>
      <c r="K88" s="120" t="n">
        <f aca="false">IF(AND(K86&gt;=0,K87&lt;0),1,0)</f>
        <v>0</v>
      </c>
      <c r="L88" s="120" t="n">
        <f aca="false">IF(AND(L86&gt;=0,L87&lt;0),1,0)</f>
        <v>0</v>
      </c>
      <c r="M88" s="120" t="n">
        <f aca="false">IF(AND(M86&gt;=0,M87&lt;0),1,0)</f>
        <v>0</v>
      </c>
      <c r="N88" s="120" t="n">
        <f aca="false">IF(AND(N86&gt;=0,N87&lt;0),1,0)</f>
        <v>0</v>
      </c>
      <c r="O88" s="120" t="n">
        <f aca="false">IF(AND(O86&gt;=0,O87&lt;0),1,0)</f>
        <v>0</v>
      </c>
      <c r="P88" s="120" t="n">
        <f aca="false">IF(AND(P86&gt;=0,P87&lt;0),1,0)</f>
        <v>0</v>
      </c>
      <c r="Q88" s="120" t="n">
        <f aca="false">IF(AND(Q86&gt;=0,Q87&lt;0),1,0)</f>
        <v>0</v>
      </c>
      <c r="R88" s="120" t="n">
        <f aca="false">IF(AND(R86&gt;=0,R87&lt;0),1,0)</f>
        <v>0</v>
      </c>
      <c r="S88" s="120" t="n">
        <f aca="false">IF(AND(S86&gt;=0,S87&lt;0),1,0)</f>
        <v>0</v>
      </c>
      <c r="T88" s="120" t="n">
        <f aca="false">IF(AND(T86&gt;=0,T87&lt;0),1,0)</f>
        <v>0</v>
      </c>
      <c r="U88" s="120" t="n">
        <f aca="false">IF(AND(U86&gt;=0,U87&lt;0),1,0)</f>
        <v>0</v>
      </c>
      <c r="V88" s="120" t="n">
        <f aca="false">IF(AND(V86&gt;=0,V87&lt;0),1,0)</f>
        <v>0</v>
      </c>
      <c r="W88" s="120" t="n">
        <f aca="false">IF(AND(W86&gt;=0,W87&lt;0),1,0)</f>
        <v>0</v>
      </c>
      <c r="X88" s="120" t="n">
        <f aca="false">IF(AND(X86&gt;=0,X87&lt;0),1,0)</f>
        <v>0</v>
      </c>
      <c r="Y88" s="120" t="n">
        <f aca="false">IF(AND(Y86&gt;=0,Y87&lt;0),1,0)</f>
        <v>0</v>
      </c>
      <c r="Z88" s="120" t="n">
        <f aca="false">IF(AND(Z86&gt;=0,Z87&lt;0),1,0)</f>
        <v>0</v>
      </c>
      <c r="AA88" s="120" t="n">
        <f aca="false">IF(AND(AA86&gt;=0,AA87&lt;0),1,0)</f>
        <v>0</v>
      </c>
      <c r="AB88" s="120" t="n">
        <f aca="false">IF(AND(AB86&gt;=0,AB87&lt;0),1,0)</f>
        <v>0</v>
      </c>
      <c r="AC88" s="120" t="n">
        <f aca="false">IF(AND(AC86&gt;=0,AC87&lt;0),1,0)</f>
        <v>0</v>
      </c>
      <c r="AD88" s="120" t="n">
        <f aca="false">IF(AND(AD86&gt;=0,AD87&lt;0),1,0)</f>
        <v>0</v>
      </c>
      <c r="AE88" s="120" t="n">
        <f aca="false">IF(AND(AE86&gt;=0,AE87&lt;0),1,0)</f>
        <v>0</v>
      </c>
      <c r="AF88" s="120" t="n">
        <f aca="false">IF(AND(AF86&gt;=0,AF87&lt;0),1,0)</f>
        <v>0</v>
      </c>
      <c r="AG88" s="120" t="n">
        <f aca="false">IF(AND(AG86&gt;=0,AG87&lt;0),1,0)</f>
        <v>0</v>
      </c>
      <c r="AH88" s="120" t="n">
        <f aca="false">IF(AND(AH86&gt;=0,AH87&lt;0),1,0)</f>
        <v>0</v>
      </c>
      <c r="AI88" s="120" t="n">
        <f aca="false">IF(AND(AI86&gt;=0,AI87&lt;0),1,0)</f>
        <v>0</v>
      </c>
      <c r="AJ88" s="120" t="n">
        <f aca="false">IF(AND(AJ86&gt;=0,AJ87&lt;0),1,0)</f>
        <v>0</v>
      </c>
      <c r="AK88" s="120" t="n">
        <f aca="false">IF(AND(AK86&gt;=0,AK87&lt;0),1,0)</f>
        <v>0</v>
      </c>
      <c r="AL88" s="120" t="n">
        <f aca="false">IF(AND(AL86&gt;=0,AL87&lt;0),1,0)</f>
        <v>0</v>
      </c>
      <c r="AM88" s="120" t="n">
        <f aca="false">IF(AND(AM86&gt;=0,AM87&lt;0),1,0)</f>
        <v>0</v>
      </c>
      <c r="AN88" s="120" t="n">
        <f aca="false">IF(AND(AN86&gt;=0,AN87&lt;0),1,0)</f>
        <v>0</v>
      </c>
      <c r="AO88" s="120" t="n">
        <f aca="false">IF(AND(AO86&gt;=0,AO87&lt;0),1,0)</f>
        <v>0</v>
      </c>
      <c r="AP88" s="120" t="n">
        <f aca="false">IF(AND(AP86&gt;=0,AP87&lt;0),1,0)</f>
        <v>0</v>
      </c>
      <c r="AQ88" s="120" t="n">
        <f aca="false">IF(AND(AQ86&gt;=0,AQ87&lt;0),1,0)</f>
        <v>0</v>
      </c>
      <c r="AR88" s="120" t="n">
        <f aca="false">IF(AND(AR86&gt;=0,AR87&lt;0),1,0)</f>
        <v>0</v>
      </c>
      <c r="AS88" s="120" t="n">
        <f aca="false">IF(AND(AS86&gt;=0,AS87&lt;0),1,0)</f>
        <v>0</v>
      </c>
      <c r="AT88" s="120" t="n">
        <f aca="false">IF(AND(AT86&gt;=0,AT87&lt;0),1,0)</f>
        <v>0</v>
      </c>
      <c r="AU88" s="120" t="n">
        <f aca="false">IF(AND(AU86&gt;=0,AU87&lt;0),1,0)</f>
        <v>0</v>
      </c>
      <c r="AV88" s="120" t="n">
        <f aca="false">IF(AND(AV86&gt;=0,AV87&lt;0),1,0)</f>
        <v>0</v>
      </c>
      <c r="AW88" s="120" t="n">
        <f aca="false">IF(AND(AW86&gt;=0,AW87&lt;0),1,0)</f>
        <v>0</v>
      </c>
      <c r="AX88" s="120" t="n">
        <f aca="false">IF(AND(AX86&gt;=0,AX87&lt;0),1,0)</f>
        <v>0</v>
      </c>
      <c r="AY88" s="120" t="n">
        <f aca="false">IF(AND(AY86&gt;=0,AY87&lt;0),1,0)</f>
        <v>0</v>
      </c>
      <c r="AZ88" s="120" t="n">
        <f aca="false">IF(AND(AZ86&gt;=0,AZ87&lt;0),1,0)</f>
        <v>0</v>
      </c>
      <c r="BA88" s="120" t="n">
        <f aca="false">IF(AND(BA86&gt;=0,BA87&lt;0),1,0)</f>
        <v>0</v>
      </c>
      <c r="BB88" s="120" t="n">
        <f aca="false">IF(AND(BB86&gt;=0,BB87&lt;0),1,0)</f>
        <v>0</v>
      </c>
      <c r="BC88" s="120" t="n">
        <f aca="false">IF(AND(BC86&gt;=0,BC87&lt;0),1,0)</f>
        <v>0</v>
      </c>
      <c r="BD88" s="120" t="n">
        <f aca="false">IF(AND(BD86&gt;=0,BD87&lt;0),1,0)</f>
        <v>0</v>
      </c>
      <c r="BE88" s="120" t="n">
        <f aca="false">IF(AND(BE86&gt;=0,BE87&lt;0),1,0)</f>
        <v>0</v>
      </c>
      <c r="BF88" s="120" t="n">
        <f aca="false">IF(AND(BF86&gt;=0,BF87&lt;0),1,0)</f>
        <v>0</v>
      </c>
      <c r="BG88" s="120" t="n">
        <f aca="false">IF(AND(BG86&gt;=0,BG87&lt;0),1,0)</f>
        <v>0</v>
      </c>
      <c r="BH88" s="120" t="n">
        <f aca="false">IF(AND(BH86&gt;=0,BH87&lt;0),1,0)</f>
        <v>0</v>
      </c>
      <c r="BI88" s="120" t="n">
        <f aca="false">IF(AND(BI86&gt;=0,BI87&lt;0),1,0)</f>
        <v>0</v>
      </c>
      <c r="BJ88" s="120" t="n">
        <f aca="false">IF(AND(BJ86&gt;=0,BJ87&lt;0),1,0)</f>
        <v>0</v>
      </c>
    </row>
    <row r="89" customFormat="false" ht="15" hidden="false" customHeight="false" outlineLevel="0" collapsed="false">
      <c r="A89" s="6" t="s">
        <v>432</v>
      </c>
      <c r="C89" s="66" t="n">
        <f aca="false">C70-C39*(1-Inputs!$E$58)+C71</f>
        <v>-84465.1041666667</v>
      </c>
      <c r="D89" s="66" t="n">
        <f aca="false">D70-D39*(1-Inputs!$E$58)+D71</f>
        <v>-65545.5460069444</v>
      </c>
      <c r="E89" s="66" t="n">
        <f aca="false">E70-E39*(1-Inputs!$E$58)+E71</f>
        <v>-63191.5685234375</v>
      </c>
      <c r="F89" s="66" t="n">
        <f aca="false">F70-F39*(1-Inputs!$E$58)+F71</f>
        <v>-60896.1560309071</v>
      </c>
      <c r="G89" s="66" t="n">
        <f aca="false">G70-G39*(1-Inputs!$E$58)+G71</f>
        <v>-58657.8529379622</v>
      </c>
      <c r="H89" s="66" t="n">
        <f aca="false">H70-H39*(1-Inputs!$E$58)+H71</f>
        <v>-56475.239786995</v>
      </c>
      <c r="I89" s="66" t="n">
        <f aca="false">I70-I39*(1-Inputs!$E$58)+I71</f>
        <v>-54346.9323585164</v>
      </c>
      <c r="J89" s="66" t="n">
        <f aca="false">J70-J39*(1-Inputs!$E$58)+J71</f>
        <v>-52271.5807976527</v>
      </c>
      <c r="K89" s="66" t="n">
        <f aca="false">K70-K39*(1-Inputs!$E$58)+K71</f>
        <v>-50247.8687622566</v>
      </c>
      <c r="L89" s="66" t="n">
        <f aca="false">L70-L39*(1-Inputs!$E$58)+L71</f>
        <v>-48274.5125920979</v>
      </c>
      <c r="M89" s="66" t="n">
        <f aca="false">M70-M39*(1-Inputs!$E$58)+M71</f>
        <v>-46350.2604986151</v>
      </c>
      <c r="N89" s="66" t="n">
        <f aca="false">N70-N39*(1-Inputs!$E$58)+N71</f>
        <v>-44473.8917747187</v>
      </c>
      <c r="O89" s="66" t="n">
        <f aca="false">O70-O39*(1-Inputs!$E$58)+O71</f>
        <v>-77951.6339574849</v>
      </c>
      <c r="P89" s="66" t="n">
        <f aca="false">P70-P39*(1-Inputs!$E$58)+P71</f>
        <v>-75498.6973838123</v>
      </c>
      <c r="Q89" s="66" t="n">
        <f aca="false">Q70-Q39*(1-Inputs!$E$58)+Q71</f>
        <v>-73086.7308042236</v>
      </c>
      <c r="R89" s="66" t="n">
        <f aca="false">R70-R39*(1-Inputs!$E$58)+R71</f>
        <v>-70734.7955461411</v>
      </c>
      <c r="S89" s="66" t="n">
        <f aca="false">S70-S39*(1-Inputs!$E$58)+S71</f>
        <v>-68441.3988618166</v>
      </c>
      <c r="T89" s="66" t="n">
        <f aca="false">T70-T39*(1-Inputs!$E$58)+T71</f>
        <v>-66205.085081137</v>
      </c>
      <c r="U89" s="66" t="n">
        <f aca="false">U70-U39*(1-Inputs!$E$58)+U71</f>
        <v>-64024.4346919152</v>
      </c>
      <c r="V89" s="66" t="n">
        <f aca="false">V70-V39*(1-Inputs!$E$58)+V71</f>
        <v>-61898.0634429563</v>
      </c>
      <c r="W89" s="66" t="n">
        <f aca="false">W70-W39*(1-Inputs!$E$58)+W71</f>
        <v>-59824.6214693379</v>
      </c>
      <c r="X89" s="66" t="n">
        <f aca="false">X70-X39*(1-Inputs!$E$58)+X71</f>
        <v>-57802.7924393529</v>
      </c>
      <c r="Y89" s="66" t="n">
        <f aca="false">Y70-Y39*(1-Inputs!$E$58)+Y71</f>
        <v>-55831.2927225818</v>
      </c>
      <c r="Z89" s="66" t="n">
        <f aca="false">Z70-Z39*(1-Inputs!$E$58)+Z71</f>
        <v>-53908.8705785703</v>
      </c>
      <c r="AA89" s="66" t="n">
        <f aca="false">AA70-AA39*(1-Inputs!$E$58)+AA71</f>
        <v>-106872.332341004</v>
      </c>
      <c r="AB89" s="66" t="n">
        <f aca="false">AB70-AB39*(1-Inputs!$E$58)+AB71</f>
        <v>-104183.634043166</v>
      </c>
      <c r="AC89" s="66" t="n">
        <f aca="false">AC70-AC39*(1-Inputs!$E$58)+AC71</f>
        <v>-101535.775444044</v>
      </c>
      <c r="AD89" s="66" t="n">
        <f aca="false">AD70-AD39*(1-Inputs!$E$58)+AD71</f>
        <v>-98953.8393444263</v>
      </c>
      <c r="AE89" s="66" t="n">
        <f aca="false">AE70-AE39*(1-Inputs!$E$58)+AE71</f>
        <v>-96436.1859007883</v>
      </c>
      <c r="AF89" s="66" t="n">
        <f aca="false">AF70-AF39*(1-Inputs!$E$58)+AF71</f>
        <v>-93981.216019126</v>
      </c>
      <c r="AG89" s="66" t="n">
        <f aca="false">AG70-AG39*(1-Inputs!$E$58)+AG71</f>
        <v>-91587.3703436136</v>
      </c>
      <c r="AH89" s="66" t="n">
        <f aca="false">AH70-AH39*(1-Inputs!$E$58)+AH71</f>
        <v>-89253.1282703241</v>
      </c>
      <c r="AI89" s="66" t="n">
        <f aca="false">AI70-AI39*(1-Inputs!$E$58)+AI71</f>
        <v>-86977.0069853917</v>
      </c>
      <c r="AJ89" s="66" t="n">
        <f aca="false">AJ70-AJ39*(1-Inputs!$E$58)+AJ71</f>
        <v>-84757.5605270119</v>
      </c>
      <c r="AK89" s="66" t="n">
        <f aca="false">AK70-AK39*(1-Inputs!$E$58)+AK71</f>
        <v>-82593.378870688</v>
      </c>
      <c r="AL89" s="66" t="n">
        <f aca="false">AL70-AL39*(1-Inputs!$E$58)+AL71</f>
        <v>-80483.0870371505</v>
      </c>
      <c r="AM89" s="66" t="n">
        <f aca="false">AM70-AM39*(1-Inputs!$E$58)+AM71</f>
        <v>-163702.545294705</v>
      </c>
      <c r="AN89" s="66" t="n">
        <f aca="false">AN70-AN39*(1-Inputs!$E$58)+AN71</f>
        <v>-160586.348620119</v>
      </c>
      <c r="AO89" s="66" t="n">
        <f aca="false">AO70-AO39*(1-Inputs!$E$58)+AO71</f>
        <v>-157513.788525485</v>
      </c>
      <c r="AP89" s="66" t="n">
        <f aca="false">AP70-AP39*(1-Inputs!$E$58)+AP71</f>
        <v>-154517.741984964</v>
      </c>
      <c r="AQ89" s="66" t="n">
        <f aca="false">AQ70-AQ39*(1-Inputs!$E$58)+AQ71</f>
        <v>-151596.305173153</v>
      </c>
      <c r="AR89" s="66" t="n">
        <f aca="false">AR70-AR39*(1-Inputs!$E$58)+AR71</f>
        <v>-148747.621589876</v>
      </c>
      <c r="AS89" s="66" t="n">
        <f aca="false">AS70-AS39*(1-Inputs!$E$58)+AS71</f>
        <v>-145969.880885175</v>
      </c>
      <c r="AT89" s="66" t="n">
        <f aca="false">AT70-AT39*(1-Inputs!$E$58)+AT71</f>
        <v>-143261.317713413</v>
      </c>
      <c r="AU89" s="66" t="n">
        <f aca="false">AU70-AU39*(1-Inputs!$E$58)+AU71</f>
        <v>-140620.210615809</v>
      </c>
      <c r="AV89" s="66" t="n">
        <f aca="false">AV70-AV39*(1-Inputs!$E$58)+AV71</f>
        <v>-138044.880930662</v>
      </c>
      <c r="AW89" s="66" t="n">
        <f aca="false">AW70-AW39*(1-Inputs!$E$58)+AW71</f>
        <v>-135533.691730611</v>
      </c>
      <c r="AX89" s="66" t="n">
        <f aca="false">AX70-AX39*(1-Inputs!$E$58)+AX71</f>
        <v>-133085.046786239</v>
      </c>
      <c r="AY89" s="66" t="n">
        <f aca="false">AY70-AY39*(1-Inputs!$E$58)+AY71</f>
        <v>-263429.989659403</v>
      </c>
      <c r="AZ89" s="66" t="n">
        <f aca="false">AZ70-AZ39*(1-Inputs!$E$58)+AZ71</f>
        <v>-259668.973260816</v>
      </c>
      <c r="BA89" s="66" t="n">
        <f aca="false">BA70-BA39*(1-Inputs!$E$58)+BA71</f>
        <v>-255957.37884821</v>
      </c>
      <c r="BB89" s="66" t="n">
        <f aca="false">BB70-BB39*(1-Inputs!$E$58)+BB71</f>
        <v>-252338.227408175</v>
      </c>
      <c r="BC89" s="66" t="n">
        <f aca="false">BC70-BC39*(1-Inputs!$E$58)+BC71</f>
        <v>-248809.218273028</v>
      </c>
      <c r="BD89" s="66" t="n">
        <f aca="false">BD70-BD39*(1-Inputs!$E$58)+BD71</f>
        <v>-245368.107979582</v>
      </c>
      <c r="BE89" s="66" t="n">
        <f aca="false">BE70-BE39*(1-Inputs!$E$58)+BE71</f>
        <v>-242012.708848393</v>
      </c>
      <c r="BF89" s="66" t="n">
        <f aca="false">BF70-BF39*(1-Inputs!$E$58)+BF71</f>
        <v>-238740.887598258</v>
      </c>
      <c r="BG89" s="66" t="n">
        <f aca="false">BG70-BG39*(1-Inputs!$E$58)+BG71</f>
        <v>-235550.563995067</v>
      </c>
      <c r="BH89" s="66" t="n">
        <f aca="false">BH70-BH39*(1-Inputs!$E$58)+BH71</f>
        <v>-232439.709534176</v>
      </c>
      <c r="BI89" s="66" t="n">
        <f aca="false">BI70-BI39*(1-Inputs!$E$58)+BI71</f>
        <v>-229406.346155461</v>
      </c>
      <c r="BJ89" s="66" t="n">
        <f aca="false">BJ70-BJ39*(1-Inputs!$E$58)+BJ71</f>
        <v>-226448.544990247</v>
      </c>
    </row>
    <row r="91" customFormat="false" ht="15.75" hidden="false" customHeight="true" outlineLevel="0" collapsed="false">
      <c r="A91" s="7" t="s">
        <v>433</v>
      </c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</row>
    <row r="92" customFormat="false" ht="15" hidden="false" customHeight="false" outlineLevel="0" collapsed="false">
      <c r="A92" s="6" t="s">
        <v>97</v>
      </c>
      <c r="C92" s="66" t="n">
        <f aca="false">C72</f>
        <v>3000000</v>
      </c>
      <c r="D92" s="66" t="n">
        <f aca="false">C92+D72</f>
        <v>3000000</v>
      </c>
      <c r="E92" s="66" t="n">
        <f aca="false">D92+E72</f>
        <v>3000000</v>
      </c>
      <c r="F92" s="66" t="n">
        <f aca="false">E92+F72</f>
        <v>3000000</v>
      </c>
      <c r="G92" s="66" t="n">
        <f aca="false">F92+G72</f>
        <v>3000000</v>
      </c>
      <c r="H92" s="66" t="n">
        <f aca="false">G92+H72</f>
        <v>3000000</v>
      </c>
      <c r="I92" s="66" t="n">
        <f aca="false">H92+I72</f>
        <v>3000000</v>
      </c>
      <c r="J92" s="66" t="n">
        <f aca="false">I92+J72</f>
        <v>3000000</v>
      </c>
      <c r="K92" s="66" t="n">
        <f aca="false">J92+K72</f>
        <v>3000000</v>
      </c>
      <c r="L92" s="66" t="n">
        <f aca="false">K92+L72</f>
        <v>3000000</v>
      </c>
      <c r="M92" s="66" t="n">
        <f aca="false">L92+M72</f>
        <v>3000000</v>
      </c>
      <c r="N92" s="66" t="n">
        <f aca="false">M92+N72</f>
        <v>3000000</v>
      </c>
      <c r="O92" s="66" t="n">
        <f aca="false">N92+O72</f>
        <v>3000000</v>
      </c>
      <c r="P92" s="66" t="n">
        <f aca="false">O92+P72</f>
        <v>3000000</v>
      </c>
      <c r="Q92" s="66" t="n">
        <f aca="false">P92+Q72</f>
        <v>3000000</v>
      </c>
      <c r="R92" s="66" t="n">
        <f aca="false">Q92+R72</f>
        <v>3000000</v>
      </c>
      <c r="S92" s="66" t="n">
        <f aca="false">R92+S72</f>
        <v>3000000</v>
      </c>
      <c r="T92" s="66" t="n">
        <f aca="false">S92+T72</f>
        <v>3000000</v>
      </c>
      <c r="U92" s="66" t="n">
        <f aca="false">T92+U72</f>
        <v>3000000</v>
      </c>
      <c r="V92" s="66" t="n">
        <f aca="false">U92+V72</f>
        <v>3000000</v>
      </c>
      <c r="W92" s="66" t="n">
        <f aca="false">V92+W72</f>
        <v>3000000</v>
      </c>
      <c r="X92" s="66" t="n">
        <f aca="false">W92+X72</f>
        <v>3000000</v>
      </c>
      <c r="Y92" s="66" t="n">
        <f aca="false">X92+Y72</f>
        <v>3000000</v>
      </c>
      <c r="Z92" s="66" t="n">
        <f aca="false">Y92+Z72</f>
        <v>3000000</v>
      </c>
      <c r="AA92" s="66" t="n">
        <f aca="false">Z92+AA72</f>
        <v>3000000</v>
      </c>
      <c r="AB92" s="66" t="n">
        <f aca="false">AA92+AB72</f>
        <v>3000000</v>
      </c>
      <c r="AC92" s="66" t="n">
        <f aca="false">AB92+AC72</f>
        <v>3000000</v>
      </c>
      <c r="AD92" s="66" t="n">
        <f aca="false">AC92+AD72</f>
        <v>3000000</v>
      </c>
      <c r="AE92" s="66" t="n">
        <f aca="false">AD92+AE72</f>
        <v>3000000</v>
      </c>
      <c r="AF92" s="66" t="n">
        <f aca="false">AE92+AF72</f>
        <v>3000000</v>
      </c>
      <c r="AG92" s="66" t="n">
        <f aca="false">AF92+AG72</f>
        <v>3000000</v>
      </c>
      <c r="AH92" s="66" t="n">
        <f aca="false">AG92+AH72</f>
        <v>3000000</v>
      </c>
      <c r="AI92" s="66" t="n">
        <f aca="false">AH92+AI72</f>
        <v>3000000</v>
      </c>
      <c r="AJ92" s="66" t="n">
        <f aca="false">AI92+AJ72</f>
        <v>3000000</v>
      </c>
      <c r="AK92" s="66" t="n">
        <f aca="false">AJ92+AK72</f>
        <v>3000000</v>
      </c>
      <c r="AL92" s="66" t="n">
        <f aca="false">AK92+AL72</f>
        <v>3000000</v>
      </c>
      <c r="AM92" s="66" t="n">
        <f aca="false">AL92+AM72</f>
        <v>3000000</v>
      </c>
      <c r="AN92" s="66" t="n">
        <f aca="false">AM92+AN72</f>
        <v>3000000</v>
      </c>
      <c r="AO92" s="66" t="n">
        <f aca="false">AN92+AO72</f>
        <v>3000000</v>
      </c>
      <c r="AP92" s="66" t="n">
        <f aca="false">AO92+AP72</f>
        <v>3000000</v>
      </c>
      <c r="AQ92" s="66" t="n">
        <f aca="false">AP92+AQ72</f>
        <v>3000000</v>
      </c>
      <c r="AR92" s="66" t="n">
        <f aca="false">AQ92+AR72</f>
        <v>3000000</v>
      </c>
      <c r="AS92" s="66" t="n">
        <f aca="false">AR92+AS72</f>
        <v>3000000</v>
      </c>
      <c r="AT92" s="66" t="n">
        <f aca="false">AS92+AT72</f>
        <v>3000000</v>
      </c>
      <c r="AU92" s="66" t="n">
        <f aca="false">AT92+AU72</f>
        <v>3000000</v>
      </c>
      <c r="AV92" s="66" t="n">
        <f aca="false">AU92+AV72</f>
        <v>3000000</v>
      </c>
      <c r="AW92" s="66" t="n">
        <f aca="false">AV92+AW72</f>
        <v>3000000</v>
      </c>
      <c r="AX92" s="66" t="n">
        <f aca="false">AW92+AX72</f>
        <v>3000000</v>
      </c>
      <c r="AY92" s="66" t="n">
        <f aca="false">AX92+AY72</f>
        <v>3000000</v>
      </c>
      <c r="AZ92" s="66" t="n">
        <f aca="false">AY92+AZ72</f>
        <v>3000000</v>
      </c>
      <c r="BA92" s="66" t="n">
        <f aca="false">AZ92+BA72</f>
        <v>3000000</v>
      </c>
      <c r="BB92" s="66" t="n">
        <f aca="false">BA92+BB72</f>
        <v>3000000</v>
      </c>
      <c r="BC92" s="66" t="n">
        <f aca="false">BB92+BC72</f>
        <v>3000000</v>
      </c>
      <c r="BD92" s="66" t="n">
        <f aca="false">BC92+BD72</f>
        <v>3000000</v>
      </c>
      <c r="BE92" s="66" t="n">
        <f aca="false">BD92+BE72</f>
        <v>3000000</v>
      </c>
      <c r="BF92" s="66" t="n">
        <f aca="false">BE92+BF72</f>
        <v>3000000</v>
      </c>
      <c r="BG92" s="66" t="n">
        <f aca="false">BF92+BG72</f>
        <v>3000000</v>
      </c>
      <c r="BH92" s="66" t="n">
        <f aca="false">BG92+BH72</f>
        <v>3000000</v>
      </c>
      <c r="BI92" s="66" t="n">
        <f aca="false">BH92+BI72</f>
        <v>3000000</v>
      </c>
      <c r="BJ92" s="66" t="n">
        <f aca="false">BI92+BJ72</f>
        <v>3000000</v>
      </c>
    </row>
    <row r="93" customFormat="false" ht="15" hidden="false" customHeight="false" outlineLevel="0" collapsed="false">
      <c r="A93" s="6" t="s">
        <v>98</v>
      </c>
      <c r="C93" s="66" t="n">
        <f aca="false">C44</f>
        <v>-71828.2458333333</v>
      </c>
      <c r="D93" s="66" t="n">
        <f aca="false">C93+D44</f>
        <v>-141159.335576389</v>
      </c>
      <c r="E93" s="66" t="n">
        <f aca="false">D93+E44</f>
        <v>-208055.413685313</v>
      </c>
      <c r="F93" s="66" t="n">
        <f aca="false">E93+F44</f>
        <v>-272577.07953823</v>
      </c>
      <c r="G93" s="66" t="n">
        <f aca="false">F93+G44</f>
        <v>-334783.425806195</v>
      </c>
      <c r="H93" s="66" t="n">
        <f aca="false">G93+H44</f>
        <v>-394732.075872546</v>
      </c>
      <c r="I93" s="66" t="n">
        <f aca="false">H93+I44</f>
        <v>-452479.220324226</v>
      </c>
      <c r="J93" s="66" t="n">
        <f aca="false">I93+J44</f>
        <v>-508079.652538049</v>
      </c>
      <c r="K93" s="66" t="n">
        <f aca="false">J93+K44</f>
        <v>-561586.803384312</v>
      </c>
      <c r="L93" s="66" t="n">
        <f aca="false">K93+L44</f>
        <v>-613052.775069627</v>
      </c>
      <c r="M93" s="66" t="n">
        <f aca="false">L93+M44</f>
        <v>-662528.374140268</v>
      </c>
      <c r="N93" s="66" t="n">
        <f aca="false">M93+N44</f>
        <v>-710063.143666832</v>
      </c>
      <c r="O93" s="66" t="n">
        <f aca="false">N93+O44</f>
        <v>-791974.408786052</v>
      </c>
      <c r="P93" s="66" t="n">
        <f aca="false">O93+P44</f>
        <v>-871327.282021187</v>
      </c>
      <c r="Q93" s="66" t="n">
        <f aca="false">P93+Q44</f>
        <v>-948185.455326356</v>
      </c>
      <c r="R93" s="66" t="n">
        <f aca="false">Q93+R44</f>
        <v>-1022611.03639211</v>
      </c>
      <c r="S93" s="66" t="n">
        <f aca="false">R93+S44</f>
        <v>-1094664.58801098</v>
      </c>
      <c r="T93" s="66" t="n">
        <f aca="false">S93+T44</f>
        <v>-1164405.16646607</v>
      </c>
      <c r="U93" s="66" t="n">
        <f aca="false">T93+U44</f>
        <v>-1231890.35896702</v>
      </c>
      <c r="V93" s="66" t="n">
        <f aca="false">U93+V44</f>
        <v>-1297176.32015678</v>
      </c>
      <c r="W93" s="66" t="n">
        <f aca="false">V93+W44</f>
        <v>-1360317.80771244</v>
      </c>
      <c r="X93" s="66" t="n">
        <f aca="false">W93+X44</f>
        <v>-1421368.2170623</v>
      </c>
      <c r="Y93" s="66" t="n">
        <f aca="false">X93+Y44</f>
        <v>-1480379.61524137</v>
      </c>
      <c r="Z93" s="66" t="n">
        <f aca="false">Y93+Z44</f>
        <v>-1537402.77390634</v>
      </c>
      <c r="AA93" s="66" t="n">
        <f aca="false">Z93+AA44</f>
        <v>-1648562.25879926</v>
      </c>
      <c r="AB93" s="66" t="n">
        <f aca="false">AA93+AB44</f>
        <v>-1756913.37771071</v>
      </c>
      <c r="AC93" s="66" t="n">
        <f aca="false">AB93+AC44</f>
        <v>-1862526.06582474</v>
      </c>
      <c r="AD93" s="66" t="n">
        <f aca="false">AC93+AD44</f>
        <v>-1965468.51816479</v>
      </c>
      <c r="AE93" s="66" t="n">
        <f aca="false">AD93+AE44</f>
        <v>-2065807.23285107</v>
      </c>
      <c r="AF93" s="66" t="n">
        <f aca="false">AE93+AF44</f>
        <v>-2163607.05328406</v>
      </c>
      <c r="AG93" s="66" t="n">
        <f aca="false">AF93+AG44</f>
        <v>-2258931.20928041</v>
      </c>
      <c r="AH93" s="66" t="n">
        <f aca="false">AG93+AH44</f>
        <v>-2351841.35718757</v>
      </c>
      <c r="AI93" s="66" t="n">
        <f aca="false">AH93+AI44</f>
        <v>-2442397.61900219</v>
      </c>
      <c r="AJ93" s="66" t="n">
        <f aca="false">AI93+AJ44</f>
        <v>-2530658.62051719</v>
      </c>
      <c r="AK93" s="66" t="n">
        <f aca="false">AJ93+AK44</f>
        <v>-2616681.52852143</v>
      </c>
      <c r="AL93" s="66" t="n">
        <f aca="false">AK93+AL44</f>
        <v>-2700522.08707562</v>
      </c>
      <c r="AM93" s="66" t="n">
        <f aca="false">AL93+AM44</f>
        <v>-2868550.21461988</v>
      </c>
      <c r="AN93" s="66" t="n">
        <f aca="false">AM93+AN44</f>
        <v>-3033319.73759639</v>
      </c>
      <c r="AO93" s="66" t="n">
        <f aca="false">AN93+AO44</f>
        <v>-3194911.82067111</v>
      </c>
      <c r="AP93" s="66" t="n">
        <f aca="false">AO93+AP44</f>
        <v>-3353405.60840678</v>
      </c>
      <c r="AQ93" s="66" t="n">
        <f aca="false">AP93+AQ44</f>
        <v>-3508878.27549511</v>
      </c>
      <c r="AR93" s="66" t="n">
        <f aca="false">AQ93+AR44</f>
        <v>-3661405.07574127</v>
      </c>
      <c r="AS93" s="66" t="n">
        <f aca="false">AR93+AS44</f>
        <v>-3811059.38983165</v>
      </c>
      <c r="AT93" s="66" t="n">
        <f aca="false">AS93+AT44</f>
        <v>-3957912.771915</v>
      </c>
      <c r="AU93" s="66" t="n">
        <f aca="false">AT93+AU44</f>
        <v>-4102034.99502651</v>
      </c>
      <c r="AV93" s="66" t="n">
        <f aca="false">AU93+AV44</f>
        <v>-4243494.09538345</v>
      </c>
      <c r="AW93" s="66" t="n">
        <f aca="false">AV93+AW44</f>
        <v>-4382356.41558036</v>
      </c>
      <c r="AX93" s="66" t="n">
        <f aca="false">AW93+AX44</f>
        <v>-4518686.64671115</v>
      </c>
      <c r="AY93" s="66" t="n">
        <f aca="false">AX93+AY44</f>
        <v>-4787337.52339116</v>
      </c>
      <c r="AZ93" s="66" t="n">
        <f aca="false">AY93+AZ44</f>
        <v>-5052052.25807308</v>
      </c>
      <c r="BA93" s="66" t="n">
        <f aca="false">AZ93+BA44</f>
        <v>-5312928.90741913</v>
      </c>
      <c r="BB93" s="66" t="n">
        <f aca="false">BA93+BB44</f>
        <v>-5570063.08708158</v>
      </c>
      <c r="BC93" s="66" t="n">
        <f aca="false">BB93+BC44</f>
        <v>-5823548.03241585</v>
      </c>
      <c r="BD93" s="66" t="n">
        <f aca="false">BC93+BD44</f>
        <v>-6073474.65768507</v>
      </c>
      <c r="BE93" s="66" t="n">
        <f aca="false">BD93+BE44</f>
        <v>-6319931.61379362</v>
      </c>
      <c r="BF93" s="66" t="n">
        <f aca="false">BE93+BF44</f>
        <v>-6563005.34458623</v>
      </c>
      <c r="BG93" s="66" t="n">
        <f aca="false">BF93+BG44</f>
        <v>-6802780.14174801</v>
      </c>
      <c r="BH93" s="66" t="n">
        <f aca="false">BG93+BH44</f>
        <v>-7039338.19834039</v>
      </c>
      <c r="BI93" s="66" t="n">
        <f aca="false">BH93+BI44</f>
        <v>-7272759.66100663</v>
      </c>
      <c r="BJ93" s="66" t="n">
        <f aca="false">BI93+BJ44</f>
        <v>-7503122.68088005</v>
      </c>
    </row>
    <row r="94" customFormat="false" ht="15" hidden="false" customHeight="false" outlineLevel="0" collapsed="false">
      <c r="A94" s="4" t="s">
        <v>92</v>
      </c>
      <c r="C94" s="72" t="n">
        <f aca="false">C76+C60+C61+C51</f>
        <v>2935713.81944444</v>
      </c>
      <c r="D94" s="72" t="n">
        <f aca="false">D76+D60+D61+D51</f>
        <v>2870085.68923611</v>
      </c>
      <c r="E94" s="72" t="n">
        <f aca="false">E76+E60+E61+E51</f>
        <v>2806799.71222743</v>
      </c>
      <c r="F94" s="72" t="n">
        <f aca="false">F76+F60+F61+F51</f>
        <v>2745797.61903452</v>
      </c>
      <c r="G94" s="72" t="n">
        <f aca="false">G76+G60+G61+G51</f>
        <v>2687022.58847472</v>
      </c>
      <c r="H94" s="72" t="n">
        <f aca="false">H76+H60+H61+H51</f>
        <v>2630419.21161754</v>
      </c>
      <c r="I94" s="72" t="n">
        <f aca="false">I76+I60+I61+I51</f>
        <v>2575933.45672671</v>
      </c>
      <c r="J94" s="72" t="n">
        <f aca="false">J76+J60+J61+J51</f>
        <v>2523512.63507116</v>
      </c>
      <c r="K94" s="72" t="n">
        <f aca="false">K76+K60+K61+K51</f>
        <v>2473105.36758356</v>
      </c>
      <c r="L94" s="72" t="n">
        <f aca="false">L76+L60+L61+L51</f>
        <v>2424661.55234537</v>
      </c>
      <c r="M94" s="72" t="n">
        <f aca="false">M76+M60+M61+M51</f>
        <v>2378132.33287792</v>
      </c>
      <c r="N94" s="72" t="n">
        <f aca="false">N76+N60+N61+N51</f>
        <v>2333470.06721971</v>
      </c>
      <c r="O94" s="72" t="n">
        <f aca="false">O76+O60+O61+O51</f>
        <v>2255389.05417025</v>
      </c>
      <c r="P94" s="72" t="n">
        <f aca="false">P76+P60+P61+P51</f>
        <v>2179818.49761622</v>
      </c>
      <c r="Q94" s="72" t="n">
        <f aca="false">Q76+Q60+Q61+Q51</f>
        <v>2106647.81523214</v>
      </c>
      <c r="R94" s="72" t="n">
        <f aca="false">R76+R60+R61+R51</f>
        <v>2035817.27800675</v>
      </c>
      <c r="S94" s="72" t="n">
        <f aca="false">S76+S60+S61+S51</f>
        <v>1967268.64211877</v>
      </c>
      <c r="T94" s="72" t="n">
        <f aca="false">T76+T60+T61+T51</f>
        <v>1900945.11204824</v>
      </c>
      <c r="U94" s="72" t="n">
        <f aca="false">U76+U60+U61+U51</f>
        <v>1836791.30460278</v>
      </c>
      <c r="V94" s="72" t="n">
        <f aca="false">V76+V60+V61+V51</f>
        <v>1774753.21383623</v>
      </c>
      <c r="W94" s="72" t="n">
        <f aca="false">W76+W60+W61+W51</f>
        <v>1714778.1768375</v>
      </c>
      <c r="X94" s="72" t="n">
        <f aca="false">X76+X60+X61+X51</f>
        <v>1656814.84036809</v>
      </c>
      <c r="Y94" s="72" t="n">
        <f aca="false">Y76+Y60+Y61+Y51</f>
        <v>1600813.12832732</v>
      </c>
      <c r="Z94" s="72" t="n">
        <f aca="false">Z76+Z60+Z61+Z51</f>
        <v>1546724.21002463</v>
      </c>
      <c r="AA94" s="72" t="n">
        <f aca="false">AA76+AA60+AA61+AA51</f>
        <v>1439750.16252272</v>
      </c>
      <c r="AB94" s="72" t="n">
        <f aca="false">AB76+AB60+AB61+AB51</f>
        <v>1335541.18756778</v>
      </c>
      <c r="AC94" s="72" t="n">
        <f aca="false">AC76+AC60+AC61+AC51</f>
        <v>1233966.81584587</v>
      </c>
      <c r="AD94" s="72" t="n">
        <f aca="false">AD76+AD60+AD61+AD51</f>
        <v>1134961.45624163</v>
      </c>
      <c r="AE94" s="72" t="n">
        <f aca="false">AE76+AE60+AE61+AE51</f>
        <v>1038461.14919864</v>
      </c>
      <c r="AF94" s="72" t="n">
        <f aca="false">AF76+AF60+AF61+AF51</f>
        <v>944403.526176978</v>
      </c>
      <c r="AG94" s="72" t="n">
        <f aca="false">AG76+AG60+AG61+AG51</f>
        <v>852727.770117001</v>
      </c>
      <c r="AH94" s="72" t="n">
        <f aca="false">AH76+AH60+AH61+AH51</f>
        <v>763374.576884334</v>
      </c>
      <c r="AI94" s="72" t="n">
        <f aca="false">AI76+AI60+AI61+AI51</f>
        <v>676286.11767177</v>
      </c>
      <c r="AJ94" s="72" t="n">
        <f aca="false">AJ76+AJ60+AJ61+AJ51</f>
        <v>591406.002334375</v>
      </c>
      <c r="AK94" s="72" t="n">
        <f aca="false">AK76+AK60+AK61+AK51</f>
        <v>508679.243634675</v>
      </c>
      <c r="AL94" s="72" t="n">
        <f aca="false">AL76+AL60+AL61+AL51</f>
        <v>428052.222375349</v>
      </c>
      <c r="AM94" s="72" t="n">
        <f aca="false">AM76+AM60+AM61+AM51</f>
        <v>264864.05875325</v>
      </c>
      <c r="AN94" s="72" t="n">
        <f aca="false">AN76+AN60+AN61+AN51</f>
        <v>104892.283136483</v>
      </c>
      <c r="AO94" s="72" t="n">
        <f aca="false">AO76+AO60+AO61+AO51</f>
        <v>-52022.2967107333</v>
      </c>
      <c r="AP94" s="72" t="n">
        <f aca="false">AP76+AP60+AP61+AP51</f>
        <v>-205955.810234386</v>
      </c>
      <c r="AQ94" s="72" t="n">
        <f aca="false">AQ76+AQ60+AQ61+AQ51</f>
        <v>-356982.49265776</v>
      </c>
      <c r="AR94" s="72" t="n">
        <f aca="false">AR76+AR60+AR61+AR51</f>
        <v>-505174.732066602</v>
      </c>
      <c r="AS94" s="72" t="n">
        <f aca="false">AS76+AS60+AS61+AS51</f>
        <v>-650603.115325268</v>
      </c>
      <c r="AT94" s="72" t="n">
        <f aca="false">AT76+AT60+AT61+AT51</f>
        <v>-793336.472852835</v>
      </c>
      <c r="AU94" s="72" t="n">
        <f aca="false">AU76+AU60+AU61+AU51</f>
        <v>-933441.922287444</v>
      </c>
      <c r="AV94" s="72" t="n">
        <f aca="false">AV76+AV60+AV61+AV51</f>
        <v>-1070984.91106644</v>
      </c>
      <c r="AW94" s="72" t="n">
        <f aca="false">AW76+AW60+AW61+AW51</f>
        <v>-1206029.25794917</v>
      </c>
      <c r="AX94" s="72" t="n">
        <f aca="false">AX76+AX60+AX61+AX51</f>
        <v>-1338637.19350873</v>
      </c>
      <c r="AY94" s="72" t="n">
        <f aca="false">AY76+AY60+AY61+AY51</f>
        <v>-1601456.0711048</v>
      </c>
      <c r="AZ94" s="72" t="n">
        <f aca="false">AZ76+AZ60+AZ61+AZ51</f>
        <v>-1860383.28148655</v>
      </c>
      <c r="BA94" s="72" t="n">
        <f aca="false">BA76+BA60+BA61+BA51</f>
        <v>-2115617.44152766</v>
      </c>
      <c r="BB94" s="72" t="n">
        <f aca="false">BB76+BB60+BB61+BB51</f>
        <v>-2367250.53059893</v>
      </c>
      <c r="BC94" s="72" t="n">
        <f aca="false">BC76+BC60+BC61+BC51</f>
        <v>-2615372.23899346</v>
      </c>
      <c r="BD94" s="72" t="n">
        <f aca="false">BD76+BD60+BD61+BD51</f>
        <v>-2860070.02484152</v>
      </c>
      <c r="BE94" s="72" t="n">
        <f aca="false">BE76+BE60+BE61+BE51</f>
        <v>-3101429.16961167</v>
      </c>
      <c r="BF94" s="72" t="n">
        <f aca="false">BF76+BF60+BF61+BF51</f>
        <v>-3339532.83223364</v>
      </c>
      <c r="BG94" s="72" t="n">
        <f aca="false">BG76+BG60+BG61+BG51</f>
        <v>-3574462.10187683</v>
      </c>
      <c r="BH94" s="72" t="n">
        <f aca="false">BH76+BH60+BH61+BH51</f>
        <v>-3806296.04941793</v>
      </c>
      <c r="BI94" s="72" t="n">
        <f aca="false">BI76+BI60+BI61+BI51</f>
        <v>-4035111.77763014</v>
      </c>
      <c r="BJ94" s="72" t="n">
        <f aca="false">BJ76+BJ60+BJ61+BJ51</f>
        <v>-4260984.47012571</v>
      </c>
    </row>
    <row r="95" customFormat="false" ht="15" hidden="false" customHeight="false" outlineLevel="0" collapsed="false">
      <c r="A95" s="6" t="s">
        <v>96</v>
      </c>
      <c r="C95" s="66" t="n">
        <f aca="false">C62+C57+C66</f>
        <v>7542.06527777778</v>
      </c>
      <c r="D95" s="66" t="n">
        <f aca="false">D62+D57+D66</f>
        <v>11245.0248125</v>
      </c>
      <c r="E95" s="66" t="n">
        <f aca="false">E62+E57+E66</f>
        <v>14855.1259127431</v>
      </c>
      <c r="F95" s="66" t="n">
        <f aca="false">F62+F57+F66</f>
        <v>18374.6985727523</v>
      </c>
      <c r="G95" s="66" t="n">
        <f aca="false">G62+G57+G66</f>
        <v>21806.0142809153</v>
      </c>
      <c r="H95" s="66" t="n">
        <f aca="false">H62+H57+H66</f>
        <v>25151.2874900887</v>
      </c>
      <c r="I95" s="66" t="n">
        <f aca="false">I62+I57+I66</f>
        <v>28412.6770509357</v>
      </c>
      <c r="J95" s="66" t="n">
        <f aca="false">J62+J57+J66</f>
        <v>31592.2876092075</v>
      </c>
      <c r="K95" s="66" t="n">
        <f aca="false">K62+K57+K66</f>
        <v>34692.170967875</v>
      </c>
      <c r="L95" s="66" t="n">
        <f aca="false">L62+L57+L66</f>
        <v>37714.3274149978</v>
      </c>
      <c r="M95" s="66" t="n">
        <f aca="false">M62+M57+M66</f>
        <v>40660.7070181919</v>
      </c>
      <c r="N95" s="66" t="n">
        <f aca="false">N62+N57+N66</f>
        <v>43533.2108865379</v>
      </c>
      <c r="O95" s="66" t="n">
        <f aca="false">O62+O57+O66</f>
        <v>47363.4629563056</v>
      </c>
      <c r="P95" s="66" t="n">
        <f aca="false">P62+P57+P66</f>
        <v>51145.7796374046</v>
      </c>
      <c r="Q95" s="66" t="n">
        <f aca="false">Q62+Q57+Q66</f>
        <v>54833.2705584925</v>
      </c>
      <c r="R95" s="66" t="n">
        <f aca="false">R62+R57+R66</f>
        <v>58428.3143988593</v>
      </c>
      <c r="S95" s="66" t="n">
        <f aca="false">S62+S57+S66</f>
        <v>61933.2301297536</v>
      </c>
      <c r="T95" s="66" t="n">
        <f aca="false">T62+T57+T66</f>
        <v>65350.2785143163</v>
      </c>
      <c r="U95" s="66" t="n">
        <f aca="false">U62+U57+U66</f>
        <v>68681.6635697974</v>
      </c>
      <c r="V95" s="66" t="n">
        <f aca="false">V62+V57+V66</f>
        <v>71929.533993008</v>
      </c>
      <c r="W95" s="66" t="n">
        <f aca="false">W62+W57+W66</f>
        <v>75095.9845499313</v>
      </c>
      <c r="X95" s="66" t="n">
        <f aca="false">X62+X57+X66</f>
        <v>78183.0574303957</v>
      </c>
      <c r="Y95" s="66" t="n">
        <f aca="false">Y62+Y57+Y66</f>
        <v>81192.7435686888</v>
      </c>
      <c r="Z95" s="66" t="n">
        <f aca="false">Z62+Z57+Z66</f>
        <v>84126.9839309697</v>
      </c>
      <c r="AA95" s="66" t="n">
        <f aca="false">AA62+AA57+AA66</f>
        <v>88312.4213219819</v>
      </c>
      <c r="AB95" s="66" t="n">
        <f aca="false">AB62+AB57+AB66</f>
        <v>92454.5652784902</v>
      </c>
      <c r="AC95" s="66" t="n">
        <f aca="false">AC62+AC57+AC66</f>
        <v>96492.8816706111</v>
      </c>
      <c r="AD95" s="66" t="n">
        <f aca="false">AD62+AD57+AD66</f>
        <v>100429.974406418</v>
      </c>
      <c r="AE95" s="66" t="n">
        <f aca="false">AE62+AE57+AE66</f>
        <v>104268.382049715</v>
      </c>
      <c r="AF95" s="66" t="n">
        <f aca="false">AF62+AF57+AF66</f>
        <v>108010.579461038</v>
      </c>
      <c r="AG95" s="66" t="n">
        <f aca="false">AG62+AG57+AG66</f>
        <v>111658.979397413</v>
      </c>
      <c r="AH95" s="66" t="n">
        <f aca="false">AH62+AH57+AH66</f>
        <v>115215.934071904</v>
      </c>
      <c r="AI95" s="66" t="n">
        <f aca="false">AI62+AI57+AI66</f>
        <v>118683.736673961</v>
      </c>
      <c r="AJ95" s="66" t="n">
        <f aca="false">AJ62+AJ57+AJ66</f>
        <v>122064.622851563</v>
      </c>
      <c r="AK95" s="66" t="n">
        <f aca="false">AK62+AK57+AK66</f>
        <v>125360.772156104</v>
      </c>
      <c r="AL95" s="66" t="n">
        <f aca="false">AL62+AL57+AL66</f>
        <v>128574.309450968</v>
      </c>
      <c r="AM95" s="66" t="n">
        <f aca="false">AM62+AM57+AM66</f>
        <v>133414.273373125</v>
      </c>
      <c r="AN95" s="66" t="n">
        <f aca="false">AN62+AN57+AN66</f>
        <v>138212.020732876</v>
      </c>
      <c r="AO95" s="66" t="n">
        <f aca="false">AO62+AO57+AO66</f>
        <v>142889.523960381</v>
      </c>
      <c r="AP95" s="66" t="n">
        <f aca="false">AP62+AP57+AP66</f>
        <v>147449.798172394</v>
      </c>
      <c r="AQ95" s="66" t="n">
        <f aca="false">AQ62+AQ57+AQ66</f>
        <v>151895.782837347</v>
      </c>
      <c r="AR95" s="66" t="n">
        <f aca="false">AR62+AR57+AR66</f>
        <v>156230.343674669</v>
      </c>
      <c r="AS95" s="66" t="n">
        <f aca="false">AS62+AS57+AS66</f>
        <v>160456.274506381</v>
      </c>
      <c r="AT95" s="66" t="n">
        <f aca="false">AT62+AT57+AT66</f>
        <v>164576.299062163</v>
      </c>
      <c r="AU95" s="66" t="n">
        <f aca="false">AU62+AU57+AU66</f>
        <v>168593.072739067</v>
      </c>
      <c r="AV95" s="66" t="n">
        <f aca="false">AV62+AV57+AV66</f>
        <v>172509.184317016</v>
      </c>
      <c r="AW95" s="66" t="n">
        <f aca="false">AW62+AW57+AW66</f>
        <v>176327.157631194</v>
      </c>
      <c r="AX95" s="66" t="n">
        <f aca="false">AX62+AX57+AX66</f>
        <v>180049.453202425</v>
      </c>
      <c r="AY95" s="66" t="n">
        <f aca="false">AY62+AY57+AY66</f>
        <v>185881.452286364</v>
      </c>
      <c r="AZ95" s="66" t="n">
        <f aca="false">AZ62+AZ57+AZ66</f>
        <v>191668.976586539</v>
      </c>
      <c r="BA95" s="66" t="n">
        <f aca="false">BA62+BA57+BA66</f>
        <v>197311.465891465</v>
      </c>
      <c r="BB95" s="66" t="n">
        <f aca="false">BB62+BB57+BB66</f>
        <v>202812.556482656</v>
      </c>
      <c r="BC95" s="66" t="n">
        <f aca="false">BC62+BC57+BC66</f>
        <v>208175.793422389</v>
      </c>
      <c r="BD95" s="66" t="n">
        <f aca="false">BD62+BD57+BD66</f>
        <v>213404.63284355</v>
      </c>
      <c r="BE95" s="66" t="n">
        <f aca="false">BE62+BE57+BE66</f>
        <v>218502.444181956</v>
      </c>
      <c r="BF95" s="66" t="n">
        <f aca="false">BF62+BF57+BF66</f>
        <v>223472.512352592</v>
      </c>
      <c r="BG95" s="66" t="n">
        <f aca="false">BG62+BG57+BG66</f>
        <v>228318.039871183</v>
      </c>
      <c r="BH95" s="66" t="n">
        <f aca="false">BH62+BH57+BH66</f>
        <v>233042.148922462</v>
      </c>
      <c r="BI95" s="66" t="n">
        <f aca="false">BI62+BI57+BI66</f>
        <v>237647.883376494</v>
      </c>
      <c r="BJ95" s="66" t="n">
        <f aca="false">BJ62+BJ57+BJ66</f>
        <v>242138.210754337</v>
      </c>
    </row>
    <row r="96" customFormat="false" ht="15" hidden="false" customHeight="false" outlineLevel="0" collapsed="false">
      <c r="A96" s="6" t="s">
        <v>99</v>
      </c>
      <c r="C96" s="66" t="n">
        <f aca="false">C92+C93</f>
        <v>2928171.75416667</v>
      </c>
      <c r="D96" s="66" t="n">
        <f aca="false">D92+D93</f>
        <v>2858840.66442361</v>
      </c>
      <c r="E96" s="66" t="n">
        <f aca="false">E92+E93</f>
        <v>2791944.58631469</v>
      </c>
      <c r="F96" s="66" t="n">
        <f aca="false">F92+F93</f>
        <v>2727422.92046177</v>
      </c>
      <c r="G96" s="66" t="n">
        <f aca="false">G92+G93</f>
        <v>2665216.57419381</v>
      </c>
      <c r="H96" s="66" t="n">
        <f aca="false">H92+H93</f>
        <v>2605267.92412745</v>
      </c>
      <c r="I96" s="66" t="n">
        <f aca="false">I92+I93</f>
        <v>2547520.77967577</v>
      </c>
      <c r="J96" s="66" t="n">
        <f aca="false">J92+J93</f>
        <v>2491920.34746195</v>
      </c>
      <c r="K96" s="66" t="n">
        <f aca="false">K92+K93</f>
        <v>2438413.19661569</v>
      </c>
      <c r="L96" s="66" t="n">
        <f aca="false">L92+L93</f>
        <v>2386947.22493037</v>
      </c>
      <c r="M96" s="66" t="n">
        <f aca="false">M92+M93</f>
        <v>2337471.62585973</v>
      </c>
      <c r="N96" s="66" t="n">
        <f aca="false">N92+N93</f>
        <v>2289936.85633317</v>
      </c>
      <c r="O96" s="66" t="n">
        <f aca="false">O92+O93</f>
        <v>2208025.59121395</v>
      </c>
      <c r="P96" s="66" t="n">
        <f aca="false">P92+P93</f>
        <v>2128672.71797881</v>
      </c>
      <c r="Q96" s="66" t="n">
        <f aca="false">Q92+Q93</f>
        <v>2051814.54467364</v>
      </c>
      <c r="R96" s="66" t="n">
        <f aca="false">R92+R93</f>
        <v>1977388.96360789</v>
      </c>
      <c r="S96" s="66" t="n">
        <f aca="false">S92+S93</f>
        <v>1905335.41198902</v>
      </c>
      <c r="T96" s="66" t="n">
        <f aca="false">T92+T93</f>
        <v>1835594.83353393</v>
      </c>
      <c r="U96" s="66" t="n">
        <f aca="false">U92+U93</f>
        <v>1768109.64103298</v>
      </c>
      <c r="V96" s="66" t="n">
        <f aca="false">V92+V93</f>
        <v>1702823.67984322</v>
      </c>
      <c r="W96" s="66" t="n">
        <f aca="false">W92+W93</f>
        <v>1639682.19228756</v>
      </c>
      <c r="X96" s="66" t="n">
        <f aca="false">X92+X93</f>
        <v>1578631.7829377</v>
      </c>
      <c r="Y96" s="66" t="n">
        <f aca="false">Y92+Y93</f>
        <v>1519620.38475864</v>
      </c>
      <c r="Z96" s="66" t="n">
        <f aca="false">Z92+Z93</f>
        <v>1462597.22609366</v>
      </c>
      <c r="AA96" s="66" t="n">
        <f aca="false">AA92+AA93</f>
        <v>1351437.74120074</v>
      </c>
      <c r="AB96" s="66" t="n">
        <f aca="false">AB92+AB93</f>
        <v>1243086.62228929</v>
      </c>
      <c r="AC96" s="66" t="n">
        <f aca="false">AC92+AC93</f>
        <v>1137473.93417526</v>
      </c>
      <c r="AD96" s="66" t="n">
        <f aca="false">AD92+AD93</f>
        <v>1034531.48183521</v>
      </c>
      <c r="AE96" s="66" t="n">
        <f aca="false">AE92+AE93</f>
        <v>934192.767148926</v>
      </c>
      <c r="AF96" s="66" t="n">
        <f aca="false">AF92+AF93</f>
        <v>836392.946715939</v>
      </c>
      <c r="AG96" s="66" t="n">
        <f aca="false">AG92+AG93</f>
        <v>741068.790719588</v>
      </c>
      <c r="AH96" s="66" t="n">
        <f aca="false">AH92+AH93</f>
        <v>648158.64281243</v>
      </c>
      <c r="AI96" s="66" t="n">
        <f aca="false">AI92+AI93</f>
        <v>557602.380997808</v>
      </c>
      <c r="AJ96" s="66" t="n">
        <f aca="false">AJ92+AJ93</f>
        <v>469341.379482811</v>
      </c>
      <c r="AK96" s="66" t="n">
        <f aca="false">AK92+AK93</f>
        <v>383318.471478571</v>
      </c>
      <c r="AL96" s="66" t="n">
        <f aca="false">AL92+AL93</f>
        <v>299477.91292438</v>
      </c>
      <c r="AM96" s="66" t="n">
        <f aca="false">AM92+AM93</f>
        <v>131449.785380125</v>
      </c>
      <c r="AN96" s="66" t="n">
        <f aca="false">AN92+AN93</f>
        <v>-33319.7375963931</v>
      </c>
      <c r="AO96" s="66" t="n">
        <f aca="false">AO92+AO93</f>
        <v>-194911.820671115</v>
      </c>
      <c r="AP96" s="66" t="n">
        <f aca="false">AP92+AP93</f>
        <v>-353405.608406781</v>
      </c>
      <c r="AQ96" s="66" t="n">
        <f aca="false">AQ92+AQ93</f>
        <v>-508878.275495107</v>
      </c>
      <c r="AR96" s="66" t="n">
        <f aca="false">AR92+AR93</f>
        <v>-661405.075741271</v>
      </c>
      <c r="AS96" s="66" t="n">
        <f aca="false">AS92+AS93</f>
        <v>-811059.389831649</v>
      </c>
      <c r="AT96" s="66" t="n">
        <f aca="false">AT92+AT93</f>
        <v>-957912.771914998</v>
      </c>
      <c r="AU96" s="66" t="n">
        <f aca="false">AU92+AU93</f>
        <v>-1102034.99502651</v>
      </c>
      <c r="AV96" s="66" t="n">
        <f aca="false">AV92+AV93</f>
        <v>-1243494.09538345</v>
      </c>
      <c r="AW96" s="66" t="n">
        <f aca="false">AW92+AW93</f>
        <v>-1382356.41558036</v>
      </c>
      <c r="AX96" s="66" t="n">
        <f aca="false">AX92+AX93</f>
        <v>-1518686.64671115</v>
      </c>
      <c r="AY96" s="66" t="n">
        <f aca="false">AY92+AY93</f>
        <v>-1787337.52339116</v>
      </c>
      <c r="AZ96" s="66" t="n">
        <f aca="false">AZ92+AZ93</f>
        <v>-2052052.25807308</v>
      </c>
      <c r="BA96" s="66" t="n">
        <f aca="false">BA92+BA93</f>
        <v>-2312928.90741913</v>
      </c>
      <c r="BB96" s="66" t="n">
        <f aca="false">BB92+BB93</f>
        <v>-2570063.08708158</v>
      </c>
      <c r="BC96" s="66" t="n">
        <f aca="false">BC92+BC93</f>
        <v>-2823548.03241585</v>
      </c>
      <c r="BD96" s="66" t="n">
        <f aca="false">BD92+BD93</f>
        <v>-3073474.65768506</v>
      </c>
      <c r="BE96" s="66" t="n">
        <f aca="false">BE92+BE93</f>
        <v>-3319931.61379362</v>
      </c>
      <c r="BF96" s="66" t="n">
        <f aca="false">BF92+BF93</f>
        <v>-3563005.34458623</v>
      </c>
      <c r="BG96" s="66" t="n">
        <f aca="false">BG92+BG93</f>
        <v>-3802780.14174801</v>
      </c>
      <c r="BH96" s="66" t="n">
        <f aca="false">BH92+BH93</f>
        <v>-4039338.19834039</v>
      </c>
      <c r="BI96" s="66" t="n">
        <f aca="false">BI92+BI93</f>
        <v>-4272759.66100663</v>
      </c>
      <c r="BJ96" s="66" t="n">
        <f aca="false">BJ92+BJ93</f>
        <v>-4503122.68088005</v>
      </c>
    </row>
    <row r="97" customFormat="false" ht="15" hidden="false" customHeight="false" outlineLevel="0" collapsed="false">
      <c r="A97" s="4" t="s">
        <v>100</v>
      </c>
      <c r="C97" s="72" t="n">
        <f aca="false">C95+C96</f>
        <v>2935713.81944444</v>
      </c>
      <c r="D97" s="72" t="n">
        <f aca="false">D95+D96</f>
        <v>2870085.68923611</v>
      </c>
      <c r="E97" s="72" t="n">
        <f aca="false">E95+E96</f>
        <v>2806799.71222743</v>
      </c>
      <c r="F97" s="72" t="n">
        <f aca="false">F95+F96</f>
        <v>2745797.61903452</v>
      </c>
      <c r="G97" s="72" t="n">
        <f aca="false">G95+G96</f>
        <v>2687022.58847472</v>
      </c>
      <c r="H97" s="72" t="n">
        <f aca="false">H95+H96</f>
        <v>2630419.21161754</v>
      </c>
      <c r="I97" s="72" t="n">
        <f aca="false">I95+I96</f>
        <v>2575933.45672671</v>
      </c>
      <c r="J97" s="72" t="n">
        <f aca="false">J95+J96</f>
        <v>2523512.63507116</v>
      </c>
      <c r="K97" s="72" t="n">
        <f aca="false">K95+K96</f>
        <v>2473105.36758356</v>
      </c>
      <c r="L97" s="72" t="n">
        <f aca="false">L95+L96</f>
        <v>2424661.55234537</v>
      </c>
      <c r="M97" s="72" t="n">
        <f aca="false">M95+M96</f>
        <v>2378132.33287792</v>
      </c>
      <c r="N97" s="72" t="n">
        <f aca="false">N95+N96</f>
        <v>2333470.06721971</v>
      </c>
      <c r="O97" s="72" t="n">
        <f aca="false">O95+O96</f>
        <v>2255389.05417025</v>
      </c>
      <c r="P97" s="72" t="n">
        <f aca="false">P95+P96</f>
        <v>2179818.49761622</v>
      </c>
      <c r="Q97" s="72" t="n">
        <f aca="false">Q95+Q96</f>
        <v>2106647.81523214</v>
      </c>
      <c r="R97" s="72" t="n">
        <f aca="false">R95+R96</f>
        <v>2035817.27800675</v>
      </c>
      <c r="S97" s="72" t="n">
        <f aca="false">S95+S96</f>
        <v>1967268.64211877</v>
      </c>
      <c r="T97" s="72" t="n">
        <f aca="false">T95+T96</f>
        <v>1900945.11204824</v>
      </c>
      <c r="U97" s="72" t="n">
        <f aca="false">U95+U96</f>
        <v>1836791.30460278</v>
      </c>
      <c r="V97" s="72" t="n">
        <f aca="false">V95+V96</f>
        <v>1774753.21383623</v>
      </c>
      <c r="W97" s="72" t="n">
        <f aca="false">W95+W96</f>
        <v>1714778.1768375</v>
      </c>
      <c r="X97" s="72" t="n">
        <f aca="false">X95+X96</f>
        <v>1656814.84036809</v>
      </c>
      <c r="Y97" s="72" t="n">
        <f aca="false">Y95+Y96</f>
        <v>1600813.12832732</v>
      </c>
      <c r="Z97" s="72" t="n">
        <f aca="false">Z95+Z96</f>
        <v>1546724.21002463</v>
      </c>
      <c r="AA97" s="72" t="n">
        <f aca="false">AA95+AA96</f>
        <v>1439750.16252272</v>
      </c>
      <c r="AB97" s="72" t="n">
        <f aca="false">AB95+AB96</f>
        <v>1335541.18756778</v>
      </c>
      <c r="AC97" s="72" t="n">
        <f aca="false">AC95+AC96</f>
        <v>1233966.81584587</v>
      </c>
      <c r="AD97" s="72" t="n">
        <f aca="false">AD95+AD96</f>
        <v>1134961.45624163</v>
      </c>
      <c r="AE97" s="72" t="n">
        <f aca="false">AE95+AE96</f>
        <v>1038461.14919864</v>
      </c>
      <c r="AF97" s="72" t="n">
        <f aca="false">AF95+AF96</f>
        <v>944403.526176978</v>
      </c>
      <c r="AG97" s="72" t="n">
        <f aca="false">AG95+AG96</f>
        <v>852727.770117001</v>
      </c>
      <c r="AH97" s="72" t="n">
        <f aca="false">AH95+AH96</f>
        <v>763374.576884334</v>
      </c>
      <c r="AI97" s="72" t="n">
        <f aca="false">AI95+AI96</f>
        <v>676286.117671769</v>
      </c>
      <c r="AJ97" s="72" t="n">
        <f aca="false">AJ95+AJ96</f>
        <v>591406.002334375</v>
      </c>
      <c r="AK97" s="72" t="n">
        <f aca="false">AK95+AK96</f>
        <v>508679.243634675</v>
      </c>
      <c r="AL97" s="72" t="n">
        <f aca="false">AL95+AL96</f>
        <v>428052.222375348</v>
      </c>
      <c r="AM97" s="72" t="n">
        <f aca="false">AM95+AM96</f>
        <v>264864.058753249</v>
      </c>
      <c r="AN97" s="72" t="n">
        <f aca="false">AN95+AN96</f>
        <v>104892.283136483</v>
      </c>
      <c r="AO97" s="72" t="n">
        <f aca="false">AO95+AO96</f>
        <v>-52022.2967107336</v>
      </c>
      <c r="AP97" s="72" t="n">
        <f aca="false">AP95+AP96</f>
        <v>-205955.810234386</v>
      </c>
      <c r="AQ97" s="72" t="n">
        <f aca="false">AQ95+AQ96</f>
        <v>-356982.49265776</v>
      </c>
      <c r="AR97" s="72" t="n">
        <f aca="false">AR95+AR96</f>
        <v>-505174.732066602</v>
      </c>
      <c r="AS97" s="72" t="n">
        <f aca="false">AS95+AS96</f>
        <v>-650603.115325268</v>
      </c>
      <c r="AT97" s="72" t="n">
        <f aca="false">AT95+AT96</f>
        <v>-793336.472852835</v>
      </c>
      <c r="AU97" s="72" t="n">
        <f aca="false">AU95+AU96</f>
        <v>-933441.922287445</v>
      </c>
      <c r="AV97" s="72" t="n">
        <f aca="false">AV95+AV96</f>
        <v>-1070984.91106644</v>
      </c>
      <c r="AW97" s="72" t="n">
        <f aca="false">AW95+AW96</f>
        <v>-1206029.25794917</v>
      </c>
      <c r="AX97" s="72" t="n">
        <f aca="false">AX95+AX96</f>
        <v>-1338637.19350873</v>
      </c>
      <c r="AY97" s="72" t="n">
        <f aca="false">AY95+AY96</f>
        <v>-1601456.0711048</v>
      </c>
      <c r="AZ97" s="72" t="n">
        <f aca="false">AZ95+AZ96</f>
        <v>-1860383.28148655</v>
      </c>
      <c r="BA97" s="72" t="n">
        <f aca="false">BA95+BA96</f>
        <v>-2115617.44152766</v>
      </c>
      <c r="BB97" s="72" t="n">
        <f aca="false">BB95+BB96</f>
        <v>-2367250.53059893</v>
      </c>
      <c r="BC97" s="72" t="n">
        <f aca="false">BC95+BC96</f>
        <v>-2615372.23899346</v>
      </c>
      <c r="BD97" s="72" t="n">
        <f aca="false">BD95+BD96</f>
        <v>-2860070.02484152</v>
      </c>
      <c r="BE97" s="72" t="n">
        <f aca="false">BE95+BE96</f>
        <v>-3101429.16961167</v>
      </c>
      <c r="BF97" s="72" t="n">
        <f aca="false">BF95+BF96</f>
        <v>-3339532.83223364</v>
      </c>
      <c r="BG97" s="72" t="n">
        <f aca="false">BG95+BG96</f>
        <v>-3574462.10187683</v>
      </c>
      <c r="BH97" s="72" t="n">
        <f aca="false">BH95+BH96</f>
        <v>-3806296.04941793</v>
      </c>
      <c r="BI97" s="72" t="n">
        <f aca="false">BI95+BI96</f>
        <v>-4035111.77763013</v>
      </c>
      <c r="BJ97" s="72" t="n">
        <f aca="false">BJ95+BJ96</f>
        <v>-4260984.47012571</v>
      </c>
    </row>
    <row r="98" customFormat="false" ht="15" hidden="false" customHeight="false" outlineLevel="0" collapsed="false">
      <c r="A98" s="6" t="s">
        <v>434</v>
      </c>
      <c r="C98" s="66" t="n">
        <f aca="false">C94-C97</f>
        <v>0</v>
      </c>
      <c r="D98" s="66" t="n">
        <f aca="false">D94-D97</f>
        <v>0</v>
      </c>
      <c r="E98" s="66" t="n">
        <f aca="false">E94-E97</f>
        <v>0</v>
      </c>
      <c r="F98" s="66" t="n">
        <f aca="false">F94-F97</f>
        <v>0</v>
      </c>
      <c r="G98" s="66" t="n">
        <f aca="false">G94-G97</f>
        <v>0</v>
      </c>
      <c r="H98" s="66" t="n">
        <f aca="false">H94-H97</f>
        <v>0</v>
      </c>
      <c r="I98" s="66" t="n">
        <f aca="false">I94-I97</f>
        <v>0</v>
      </c>
      <c r="J98" s="66" t="n">
        <f aca="false">J94-J97</f>
        <v>0</v>
      </c>
      <c r="K98" s="66" t="n">
        <f aca="false">K94-K97</f>
        <v>0</v>
      </c>
      <c r="L98" s="66" t="n">
        <f aca="false">L94-L97</f>
        <v>0</v>
      </c>
      <c r="M98" s="66" t="n">
        <f aca="false">M94-M97</f>
        <v>0</v>
      </c>
      <c r="N98" s="66" t="n">
        <f aca="false">N94-N97</f>
        <v>0</v>
      </c>
      <c r="O98" s="66" t="n">
        <f aca="false">O94-O97</f>
        <v>0</v>
      </c>
      <c r="P98" s="66" t="n">
        <f aca="false">P94-P97</f>
        <v>0</v>
      </c>
      <c r="Q98" s="66" t="n">
        <f aca="false">Q94-Q97</f>
        <v>0</v>
      </c>
      <c r="R98" s="66" t="n">
        <f aca="false">R94-R97</f>
        <v>0</v>
      </c>
      <c r="S98" s="66" t="n">
        <f aca="false">S94-S97</f>
        <v>0</v>
      </c>
      <c r="T98" s="66" t="n">
        <f aca="false">T94-T97</f>
        <v>0</v>
      </c>
      <c r="U98" s="66" t="n">
        <f aca="false">U94-U97</f>
        <v>0</v>
      </c>
      <c r="V98" s="66" t="n">
        <f aca="false">V94-V97</f>
        <v>0</v>
      </c>
      <c r="W98" s="66" t="n">
        <f aca="false">W94-W97</f>
        <v>0</v>
      </c>
      <c r="X98" s="66" t="n">
        <f aca="false">X94-X97</f>
        <v>0</v>
      </c>
      <c r="Y98" s="66" t="n">
        <f aca="false">Y94-Y97</f>
        <v>0</v>
      </c>
      <c r="Z98" s="66" t="n">
        <f aca="false">Z94-Z97</f>
        <v>0</v>
      </c>
      <c r="AA98" s="66" t="n">
        <f aca="false">AA94-AA97</f>
        <v>0</v>
      </c>
      <c r="AB98" s="66" t="n">
        <f aca="false">AB94-AB97</f>
        <v>0</v>
      </c>
      <c r="AC98" s="66" t="n">
        <f aca="false">AC94-AC97</f>
        <v>0</v>
      </c>
      <c r="AD98" s="66" t="n">
        <f aca="false">AD94-AD97</f>
        <v>0</v>
      </c>
      <c r="AE98" s="66" t="n">
        <f aca="false">AE94-AE97</f>
        <v>0</v>
      </c>
      <c r="AF98" s="66" t="n">
        <f aca="false">AF94-AF97</f>
        <v>0</v>
      </c>
      <c r="AG98" s="66" t="n">
        <f aca="false">AG94-AG97</f>
        <v>0</v>
      </c>
      <c r="AH98" s="66" t="n">
        <f aca="false">AH94-AH97</f>
        <v>0</v>
      </c>
      <c r="AI98" s="66" t="n">
        <f aca="false">AI94-AI97</f>
        <v>0</v>
      </c>
      <c r="AJ98" s="66" t="n">
        <f aca="false">AJ94-AJ97</f>
        <v>0</v>
      </c>
      <c r="AK98" s="66" t="n">
        <f aca="false">AK94-AK97</f>
        <v>0</v>
      </c>
      <c r="AL98" s="66" t="n">
        <f aca="false">AL94-AL97</f>
        <v>0</v>
      </c>
      <c r="AM98" s="66" t="n">
        <f aca="false">AM94-AM97</f>
        <v>0</v>
      </c>
      <c r="AN98" s="66" t="n">
        <f aca="false">AN94-AN97</f>
        <v>3.78349795937538E-010</v>
      </c>
      <c r="AO98" s="66" t="n">
        <f aca="false">AO94-AO97</f>
        <v>3.27418092638254E-010</v>
      </c>
      <c r="AP98" s="66" t="n">
        <f aca="false">AP94-AP97</f>
        <v>0</v>
      </c>
      <c r="AQ98" s="66" t="n">
        <f aca="false">AQ94-AQ97</f>
        <v>0</v>
      </c>
      <c r="AR98" s="66" t="n">
        <f aca="false">AR94-AR97</f>
        <v>0</v>
      </c>
      <c r="AS98" s="66" t="n">
        <f aca="false">AS94-AS97</f>
        <v>0</v>
      </c>
      <c r="AT98" s="66" t="n">
        <f aca="false">AT94-AT97</f>
        <v>0</v>
      </c>
      <c r="AU98" s="66" t="n">
        <f aca="false">AU94-AU97</f>
        <v>0</v>
      </c>
      <c r="AV98" s="66" t="n">
        <f aca="false">AV94-AV97</f>
        <v>0</v>
      </c>
      <c r="AW98" s="66" t="n">
        <f aca="false">AW94-AW97</f>
        <v>0</v>
      </c>
      <c r="AX98" s="66" t="n">
        <f aca="false">AX94-AX97</f>
        <v>0</v>
      </c>
      <c r="AY98" s="66" t="n">
        <f aca="false">AY94-AY97</f>
        <v>0</v>
      </c>
      <c r="AZ98" s="66" t="n">
        <f aca="false">AZ94-AZ97</f>
        <v>0</v>
      </c>
      <c r="BA98" s="66" t="n">
        <f aca="false">BA94-BA97</f>
        <v>0</v>
      </c>
      <c r="BB98" s="66" t="n">
        <f aca="false">BB94-BB97</f>
        <v>0</v>
      </c>
      <c r="BC98" s="66" t="n">
        <f aca="false">BC94-BC97</f>
        <v>0</v>
      </c>
      <c r="BD98" s="66" t="n">
        <f aca="false">BD94-BD97</f>
        <v>0</v>
      </c>
      <c r="BE98" s="66" t="n">
        <f aca="false">BE94-BE97</f>
        <v>0</v>
      </c>
      <c r="BF98" s="66" t="n">
        <f aca="false">BF94-BF97</f>
        <v>0</v>
      </c>
      <c r="BG98" s="66" t="n">
        <f aca="false">BG94-BG97</f>
        <v>0</v>
      </c>
      <c r="BH98" s="66" t="n">
        <f aca="false">BH94-BH97</f>
        <v>0</v>
      </c>
      <c r="BI98" s="66" t="n">
        <f aca="false">BI94-BI97</f>
        <v>0</v>
      </c>
      <c r="BJ98" s="66" t="n">
        <f aca="false">BJ94-BJ97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3ABA8"/>
    <pageSetUpPr fitToPage="true"/>
  </sheetPr>
  <dimension ref="A1:BJ1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"/>
    <col collapsed="false" customWidth="true" hidden="false" outlineLevel="0" max="62" min="3" style="0" width="11"/>
  </cols>
  <sheetData>
    <row r="1" customFormat="false" ht="21.75" hidden="false" customHeight="true" outlineLevel="0" collapsed="false">
      <c r="A1" s="16" t="s">
        <v>435</v>
      </c>
      <c r="D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331</v>
      </c>
    </row>
    <row r="3" customFormat="false" ht="15" hidden="false" customHeight="false" outlineLevel="0" collapsed="false">
      <c r="A3" s="33" t="s">
        <v>332</v>
      </c>
      <c r="C3" s="51" t="s">
        <v>333</v>
      </c>
      <c r="D3" s="51" t="s">
        <v>334</v>
      </c>
      <c r="E3" s="51" t="s">
        <v>335</v>
      </c>
      <c r="F3" s="51" t="s">
        <v>336</v>
      </c>
      <c r="G3" s="51" t="s">
        <v>337</v>
      </c>
      <c r="H3" s="51" t="s">
        <v>338</v>
      </c>
      <c r="I3" s="51" t="s">
        <v>339</v>
      </c>
      <c r="J3" s="51" t="s">
        <v>340</v>
      </c>
      <c r="K3" s="51" t="s">
        <v>341</v>
      </c>
      <c r="L3" s="51" t="s">
        <v>342</v>
      </c>
      <c r="M3" s="51" t="s">
        <v>343</v>
      </c>
      <c r="N3" s="51" t="s">
        <v>344</v>
      </c>
      <c r="O3" s="51" t="s">
        <v>345</v>
      </c>
      <c r="P3" s="51" t="s">
        <v>346</v>
      </c>
      <c r="Q3" s="51" t="s">
        <v>347</v>
      </c>
      <c r="R3" s="51" t="s">
        <v>348</v>
      </c>
      <c r="S3" s="51" t="s">
        <v>349</v>
      </c>
      <c r="T3" s="51" t="s">
        <v>350</v>
      </c>
      <c r="U3" s="51" t="s">
        <v>351</v>
      </c>
      <c r="V3" s="51" t="s">
        <v>352</v>
      </c>
      <c r="W3" s="51" t="s">
        <v>353</v>
      </c>
      <c r="X3" s="51" t="s">
        <v>354</v>
      </c>
      <c r="Y3" s="51" t="s">
        <v>355</v>
      </c>
      <c r="Z3" s="51" t="s">
        <v>356</v>
      </c>
      <c r="AA3" s="51" t="s">
        <v>357</v>
      </c>
      <c r="AB3" s="51" t="s">
        <v>358</v>
      </c>
      <c r="AC3" s="51" t="s">
        <v>359</v>
      </c>
      <c r="AD3" s="51" t="s">
        <v>360</v>
      </c>
      <c r="AE3" s="51" t="s">
        <v>361</v>
      </c>
      <c r="AF3" s="51" t="s">
        <v>362</v>
      </c>
      <c r="AG3" s="51" t="s">
        <v>363</v>
      </c>
      <c r="AH3" s="51" t="s">
        <v>364</v>
      </c>
      <c r="AI3" s="51" t="s">
        <v>365</v>
      </c>
      <c r="AJ3" s="51" t="s">
        <v>366</v>
      </c>
      <c r="AK3" s="51" t="s">
        <v>367</v>
      </c>
      <c r="AL3" s="51" t="s">
        <v>368</v>
      </c>
      <c r="AM3" s="51" t="s">
        <v>369</v>
      </c>
      <c r="AN3" s="51" t="s">
        <v>370</v>
      </c>
      <c r="AO3" s="51" t="s">
        <v>371</v>
      </c>
      <c r="AP3" s="51" t="s">
        <v>372</v>
      </c>
      <c r="AQ3" s="51" t="s">
        <v>373</v>
      </c>
      <c r="AR3" s="51" t="s">
        <v>374</v>
      </c>
      <c r="AS3" s="51" t="s">
        <v>375</v>
      </c>
      <c r="AT3" s="51" t="s">
        <v>376</v>
      </c>
      <c r="AU3" s="51" t="s">
        <v>377</v>
      </c>
      <c r="AV3" s="51" t="s">
        <v>378</v>
      </c>
      <c r="AW3" s="51" t="s">
        <v>379</v>
      </c>
      <c r="AX3" s="51" t="s">
        <v>380</v>
      </c>
      <c r="AY3" s="51" t="s">
        <v>381</v>
      </c>
      <c r="AZ3" s="51" t="s">
        <v>382</v>
      </c>
      <c r="BA3" s="51" t="s">
        <v>383</v>
      </c>
      <c r="BB3" s="51" t="s">
        <v>384</v>
      </c>
      <c r="BC3" s="51" t="s">
        <v>385</v>
      </c>
      <c r="BD3" s="51" t="s">
        <v>386</v>
      </c>
      <c r="BE3" s="51" t="s">
        <v>387</v>
      </c>
      <c r="BF3" s="51" t="s">
        <v>388</v>
      </c>
      <c r="BG3" s="51" t="s">
        <v>389</v>
      </c>
      <c r="BH3" s="51" t="s">
        <v>390</v>
      </c>
      <c r="BI3" s="51" t="s">
        <v>391</v>
      </c>
      <c r="BJ3" s="51" t="s">
        <v>392</v>
      </c>
    </row>
    <row r="4" customFormat="false" ht="15" hidden="false" customHeight="false" outlineLevel="0" collapsed="false">
      <c r="A4" s="71" t="s">
        <v>393</v>
      </c>
      <c r="C4" s="71" t="n">
        <v>1</v>
      </c>
      <c r="D4" s="71" t="n">
        <v>2</v>
      </c>
      <c r="E4" s="71" t="n">
        <v>3</v>
      </c>
      <c r="F4" s="71" t="n">
        <v>4</v>
      </c>
      <c r="G4" s="71" t="n">
        <v>5</v>
      </c>
      <c r="H4" s="71" t="n">
        <v>6</v>
      </c>
      <c r="I4" s="71" t="n">
        <v>7</v>
      </c>
      <c r="J4" s="71" t="n">
        <v>8</v>
      </c>
      <c r="K4" s="71" t="n">
        <v>9</v>
      </c>
      <c r="L4" s="71" t="n">
        <v>10</v>
      </c>
      <c r="M4" s="71" t="n">
        <v>11</v>
      </c>
      <c r="N4" s="71" t="n">
        <v>12</v>
      </c>
      <c r="O4" s="71" t="n">
        <v>13</v>
      </c>
      <c r="P4" s="71" t="n">
        <v>14</v>
      </c>
      <c r="Q4" s="71" t="n">
        <v>15</v>
      </c>
      <c r="R4" s="71" t="n">
        <v>16</v>
      </c>
      <c r="S4" s="71" t="n">
        <v>17</v>
      </c>
      <c r="T4" s="71" t="n">
        <v>18</v>
      </c>
      <c r="U4" s="71" t="n">
        <v>19</v>
      </c>
      <c r="V4" s="71" t="n">
        <v>20</v>
      </c>
      <c r="W4" s="71" t="n">
        <v>21</v>
      </c>
      <c r="X4" s="71" t="n">
        <v>22</v>
      </c>
      <c r="Y4" s="71" t="n">
        <v>23</v>
      </c>
      <c r="Z4" s="71" t="n">
        <v>24</v>
      </c>
      <c r="AA4" s="71" t="n">
        <v>25</v>
      </c>
      <c r="AB4" s="71" t="n">
        <v>26</v>
      </c>
      <c r="AC4" s="71" t="n">
        <v>27</v>
      </c>
      <c r="AD4" s="71" t="n">
        <v>28</v>
      </c>
      <c r="AE4" s="71" t="n">
        <v>29</v>
      </c>
      <c r="AF4" s="71" t="n">
        <v>30</v>
      </c>
      <c r="AG4" s="71" t="n">
        <v>31</v>
      </c>
      <c r="AH4" s="71" t="n">
        <v>32</v>
      </c>
      <c r="AI4" s="71" t="n">
        <v>33</v>
      </c>
      <c r="AJ4" s="71" t="n">
        <v>34</v>
      </c>
      <c r="AK4" s="71" t="n">
        <v>35</v>
      </c>
      <c r="AL4" s="71" t="n">
        <v>36</v>
      </c>
      <c r="AM4" s="71" t="n">
        <v>37</v>
      </c>
      <c r="AN4" s="71" t="n">
        <v>38</v>
      </c>
      <c r="AO4" s="71" t="n">
        <v>39</v>
      </c>
      <c r="AP4" s="71" t="n">
        <v>40</v>
      </c>
      <c r="AQ4" s="71" t="n">
        <v>41</v>
      </c>
      <c r="AR4" s="71" t="n">
        <v>42</v>
      </c>
      <c r="AS4" s="71" t="n">
        <v>43</v>
      </c>
      <c r="AT4" s="71" t="n">
        <v>44</v>
      </c>
      <c r="AU4" s="71" t="n">
        <v>45</v>
      </c>
      <c r="AV4" s="71" t="n">
        <v>46</v>
      </c>
      <c r="AW4" s="71" t="n">
        <v>47</v>
      </c>
      <c r="AX4" s="71" t="n">
        <v>48</v>
      </c>
      <c r="AY4" s="71" t="n">
        <v>49</v>
      </c>
      <c r="AZ4" s="71" t="n">
        <v>50</v>
      </c>
      <c r="BA4" s="71" t="n">
        <v>51</v>
      </c>
      <c r="BB4" s="71" t="n">
        <v>52</v>
      </c>
      <c r="BC4" s="71" t="n">
        <v>53</v>
      </c>
      <c r="BD4" s="71" t="n">
        <v>54</v>
      </c>
      <c r="BE4" s="71" t="n">
        <v>55</v>
      </c>
      <c r="BF4" s="71" t="n">
        <v>56</v>
      </c>
      <c r="BG4" s="71" t="n">
        <v>57</v>
      </c>
      <c r="BH4" s="71" t="n">
        <v>58</v>
      </c>
      <c r="BI4" s="71" t="n">
        <v>59</v>
      </c>
      <c r="BJ4" s="71" t="n">
        <v>60</v>
      </c>
    </row>
    <row r="5" customFormat="false" ht="15" hidden="false" customHeight="false" outlineLevel="0" collapsed="false">
      <c r="A5" s="71" t="s">
        <v>154</v>
      </c>
      <c r="C5" s="71" t="n">
        <f aca="false">ROUNDUP(C4*1/12,0)</f>
        <v>1</v>
      </c>
      <c r="D5" s="71" t="n">
        <f aca="false">ROUNDUP(D4*1/12,0)</f>
        <v>1</v>
      </c>
      <c r="E5" s="71" t="n">
        <f aca="false">ROUNDUP(E4*1/12,0)</f>
        <v>1</v>
      </c>
      <c r="F5" s="71" t="n">
        <f aca="false">ROUNDUP(F4*1/12,0)</f>
        <v>1</v>
      </c>
      <c r="G5" s="71" t="n">
        <f aca="false">ROUNDUP(G4*1/12,0)</f>
        <v>1</v>
      </c>
      <c r="H5" s="71" t="n">
        <f aca="false">ROUNDUP(H4*1/12,0)</f>
        <v>1</v>
      </c>
      <c r="I5" s="71" t="n">
        <f aca="false">ROUNDUP(I4*1/12,0)</f>
        <v>1</v>
      </c>
      <c r="J5" s="71" t="n">
        <f aca="false">ROUNDUP(J4*1/12,0)</f>
        <v>1</v>
      </c>
      <c r="K5" s="71" t="n">
        <f aca="false">ROUNDUP(K4*1/12,0)</f>
        <v>1</v>
      </c>
      <c r="L5" s="71" t="n">
        <f aca="false">ROUNDUP(L4*1/12,0)</f>
        <v>1</v>
      </c>
      <c r="M5" s="71" t="n">
        <f aca="false">ROUNDUP(M4*1/12,0)</f>
        <v>1</v>
      </c>
      <c r="N5" s="71" t="n">
        <f aca="false">ROUNDUP(N4*1/12,0)</f>
        <v>1</v>
      </c>
      <c r="O5" s="71" t="n">
        <f aca="false">ROUNDUP(O4*1/12,0)</f>
        <v>2</v>
      </c>
      <c r="P5" s="71" t="n">
        <f aca="false">ROUNDUP(P4*1/12,0)</f>
        <v>2</v>
      </c>
      <c r="Q5" s="71" t="n">
        <f aca="false">ROUNDUP(Q4*1/12,0)</f>
        <v>2</v>
      </c>
      <c r="R5" s="71" t="n">
        <f aca="false">ROUNDUP(R4*1/12,0)</f>
        <v>2</v>
      </c>
      <c r="S5" s="71" t="n">
        <f aca="false">ROUNDUP(S4*1/12,0)</f>
        <v>2</v>
      </c>
      <c r="T5" s="71" t="n">
        <f aca="false">ROUNDUP(T4*1/12,0)</f>
        <v>2</v>
      </c>
      <c r="U5" s="71" t="n">
        <f aca="false">ROUNDUP(U4*1/12,0)</f>
        <v>2</v>
      </c>
      <c r="V5" s="71" t="n">
        <f aca="false">ROUNDUP(V4*1/12,0)</f>
        <v>2</v>
      </c>
      <c r="W5" s="71" t="n">
        <f aca="false">ROUNDUP(W4*1/12,0)</f>
        <v>2</v>
      </c>
      <c r="X5" s="71" t="n">
        <f aca="false">ROUNDUP(X4*1/12,0)</f>
        <v>2</v>
      </c>
      <c r="Y5" s="71" t="n">
        <f aca="false">ROUNDUP(Y4*1/12,0)</f>
        <v>2</v>
      </c>
      <c r="Z5" s="71" t="n">
        <f aca="false">ROUNDUP(Z4*1/12,0)</f>
        <v>2</v>
      </c>
      <c r="AA5" s="71" t="n">
        <f aca="false">ROUNDUP(AA4*1/12,0)</f>
        <v>3</v>
      </c>
      <c r="AB5" s="71" t="n">
        <f aca="false">ROUNDUP(AB4*1/12,0)</f>
        <v>3</v>
      </c>
      <c r="AC5" s="71" t="n">
        <f aca="false">ROUNDUP(AC4*1/12,0)</f>
        <v>3</v>
      </c>
      <c r="AD5" s="71" t="n">
        <f aca="false">ROUNDUP(AD4*1/12,0)</f>
        <v>3</v>
      </c>
      <c r="AE5" s="71" t="n">
        <f aca="false">ROUNDUP(AE4*1/12,0)</f>
        <v>3</v>
      </c>
      <c r="AF5" s="71" t="n">
        <f aca="false">ROUNDUP(AF4*1/12,0)</f>
        <v>3</v>
      </c>
      <c r="AG5" s="71" t="n">
        <f aca="false">ROUNDUP(AG4*1/12,0)</f>
        <v>3</v>
      </c>
      <c r="AH5" s="71" t="n">
        <f aca="false">ROUNDUP(AH4*1/12,0)</f>
        <v>3</v>
      </c>
      <c r="AI5" s="71" t="n">
        <f aca="false">ROUNDUP(AI4*1/12,0)</f>
        <v>3</v>
      </c>
      <c r="AJ5" s="71" t="n">
        <f aca="false">ROUNDUP(AJ4*1/12,0)</f>
        <v>3</v>
      </c>
      <c r="AK5" s="71" t="n">
        <f aca="false">ROUNDUP(AK4*1/12,0)</f>
        <v>3</v>
      </c>
      <c r="AL5" s="71" t="n">
        <f aca="false">ROUNDUP(AL4*1/12,0)</f>
        <v>3</v>
      </c>
      <c r="AM5" s="71" t="n">
        <f aca="false">ROUNDUP(AM4*1/12,0)</f>
        <v>4</v>
      </c>
      <c r="AN5" s="71" t="n">
        <f aca="false">ROUNDUP(AN4*1/12,0)</f>
        <v>4</v>
      </c>
      <c r="AO5" s="71" t="n">
        <f aca="false">ROUNDUP(AO4*1/12,0)</f>
        <v>4</v>
      </c>
      <c r="AP5" s="71" t="n">
        <f aca="false">ROUNDUP(AP4*1/12,0)</f>
        <v>4</v>
      </c>
      <c r="AQ5" s="71" t="n">
        <f aca="false">ROUNDUP(AQ4*1/12,0)</f>
        <v>4</v>
      </c>
      <c r="AR5" s="71" t="n">
        <f aca="false">ROUNDUP(AR4*1/12,0)</f>
        <v>4</v>
      </c>
      <c r="AS5" s="71" t="n">
        <f aca="false">ROUNDUP(AS4*1/12,0)</f>
        <v>4</v>
      </c>
      <c r="AT5" s="71" t="n">
        <f aca="false">ROUNDUP(AT4*1/12,0)</f>
        <v>4</v>
      </c>
      <c r="AU5" s="71" t="n">
        <f aca="false">ROUNDUP(AU4*1/12,0)</f>
        <v>4</v>
      </c>
      <c r="AV5" s="71" t="n">
        <f aca="false">ROUNDUP(AV4*1/12,0)</f>
        <v>4</v>
      </c>
      <c r="AW5" s="71" t="n">
        <f aca="false">ROUNDUP(AW4*1/12,0)</f>
        <v>4</v>
      </c>
      <c r="AX5" s="71" t="n">
        <f aca="false">ROUNDUP(AX4*1/12,0)</f>
        <v>4</v>
      </c>
      <c r="AY5" s="71" t="n">
        <f aca="false">ROUNDUP(AY4*1/12,0)</f>
        <v>5</v>
      </c>
      <c r="AZ5" s="71" t="n">
        <f aca="false">ROUNDUP(AZ4*1/12,0)</f>
        <v>5</v>
      </c>
      <c r="BA5" s="71" t="n">
        <f aca="false">ROUNDUP(BA4*1/12,0)</f>
        <v>5</v>
      </c>
      <c r="BB5" s="71" t="n">
        <f aca="false">ROUNDUP(BB4*1/12,0)</f>
        <v>5</v>
      </c>
      <c r="BC5" s="71" t="n">
        <f aca="false">ROUNDUP(BC4*1/12,0)</f>
        <v>5</v>
      </c>
      <c r="BD5" s="71" t="n">
        <f aca="false">ROUNDUP(BD4*1/12,0)</f>
        <v>5</v>
      </c>
      <c r="BE5" s="71" t="n">
        <f aca="false">ROUNDUP(BE4*1/12,0)</f>
        <v>5</v>
      </c>
      <c r="BF5" s="71" t="n">
        <f aca="false">ROUNDUP(BF4*1/12,0)</f>
        <v>5</v>
      </c>
      <c r="BG5" s="71" t="n">
        <f aca="false">ROUNDUP(BG4*1/12,0)</f>
        <v>5</v>
      </c>
      <c r="BH5" s="71" t="n">
        <f aca="false">ROUNDUP(BH4*1/12,0)</f>
        <v>5</v>
      </c>
      <c r="BI5" s="71" t="n">
        <f aca="false">ROUNDUP(BI4*1/12,0)</f>
        <v>5</v>
      </c>
      <c r="BJ5" s="71" t="n">
        <f aca="false">ROUNDUP(BJ4*1/12,0)</f>
        <v>5</v>
      </c>
    </row>
    <row r="7" customFormat="false" ht="15.75" hidden="false" customHeight="true" outlineLevel="0" collapsed="false">
      <c r="A7" s="7" t="s">
        <v>436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customFormat="false" ht="15" hidden="false" customHeight="false" outlineLevel="0" collapsed="false">
      <c r="A8" s="6" t="s">
        <v>437</v>
      </c>
      <c r="C8" s="114" t="n">
        <f aca="false">Inputs!$E$26*(1+Inputs!$E$28)^(C$5-1)*MAX(0,MIN(1,C$4*1-Inputs!$E$29+1))/1</f>
        <v>3</v>
      </c>
      <c r="D8" s="114" t="n">
        <f aca="false">Inputs!$E$26*(1+Inputs!$E$28)^(D$5-1)*MAX(0,MIN(1,D$4*1-Inputs!$E$29+1))/1</f>
        <v>3</v>
      </c>
      <c r="E8" s="114" t="n">
        <f aca="false">Inputs!$E$26*(1+Inputs!$E$28)^(E$5-1)*MAX(0,MIN(1,E$4*1-Inputs!$E$29+1))/1</f>
        <v>3</v>
      </c>
      <c r="F8" s="114" t="n">
        <f aca="false">Inputs!$E$26*(1+Inputs!$E$28)^(F$5-1)*MAX(0,MIN(1,F$4*1-Inputs!$E$29+1))/1</f>
        <v>3</v>
      </c>
      <c r="G8" s="114" t="n">
        <f aca="false">Inputs!$E$26*(1+Inputs!$E$28)^(G$5-1)*MAX(0,MIN(1,G$4*1-Inputs!$E$29+1))/1</f>
        <v>3</v>
      </c>
      <c r="H8" s="114" t="n">
        <f aca="false">Inputs!$E$26*(1+Inputs!$E$28)^(H$5-1)*MAX(0,MIN(1,H$4*1-Inputs!$E$29+1))/1</f>
        <v>3</v>
      </c>
      <c r="I8" s="114" t="n">
        <f aca="false">Inputs!$E$26*(1+Inputs!$E$28)^(I$5-1)*MAX(0,MIN(1,I$4*1-Inputs!$E$29+1))/1</f>
        <v>3</v>
      </c>
      <c r="J8" s="114" t="n">
        <f aca="false">Inputs!$E$26*(1+Inputs!$E$28)^(J$5-1)*MAX(0,MIN(1,J$4*1-Inputs!$E$29+1))/1</f>
        <v>3</v>
      </c>
      <c r="K8" s="114" t="n">
        <f aca="false">Inputs!$E$26*(1+Inputs!$E$28)^(K$5-1)*MAX(0,MIN(1,K$4*1-Inputs!$E$29+1))/1</f>
        <v>3</v>
      </c>
      <c r="L8" s="114" t="n">
        <f aca="false">Inputs!$E$26*(1+Inputs!$E$28)^(L$5-1)*MAX(0,MIN(1,L$4*1-Inputs!$E$29+1))/1</f>
        <v>3</v>
      </c>
      <c r="M8" s="114" t="n">
        <f aca="false">Inputs!$E$26*(1+Inputs!$E$28)^(M$5-1)*MAX(0,MIN(1,M$4*1-Inputs!$E$29+1))/1</f>
        <v>3</v>
      </c>
      <c r="N8" s="114" t="n">
        <f aca="false">Inputs!$E$26*(1+Inputs!$E$28)^(N$5-1)*MAX(0,MIN(1,N$4*1-Inputs!$E$29+1))/1</f>
        <v>3</v>
      </c>
      <c r="O8" s="114" t="n">
        <f aca="false">Inputs!$E$26*(1+Inputs!$E$28)^(O$5-1)*MAX(0,MIN(1,O$4*1-Inputs!$E$29+1))/1</f>
        <v>4.5</v>
      </c>
      <c r="P8" s="114" t="n">
        <f aca="false">Inputs!$E$26*(1+Inputs!$E$28)^(P$5-1)*MAX(0,MIN(1,P$4*1-Inputs!$E$29+1))/1</f>
        <v>4.5</v>
      </c>
      <c r="Q8" s="114" t="n">
        <f aca="false">Inputs!$E$26*(1+Inputs!$E$28)^(Q$5-1)*MAX(0,MIN(1,Q$4*1-Inputs!$E$29+1))/1</f>
        <v>4.5</v>
      </c>
      <c r="R8" s="114" t="n">
        <f aca="false">Inputs!$E$26*(1+Inputs!$E$28)^(R$5-1)*MAX(0,MIN(1,R$4*1-Inputs!$E$29+1))/1</f>
        <v>4.5</v>
      </c>
      <c r="S8" s="114" t="n">
        <f aca="false">Inputs!$E$26*(1+Inputs!$E$28)^(S$5-1)*MAX(0,MIN(1,S$4*1-Inputs!$E$29+1))/1</f>
        <v>4.5</v>
      </c>
      <c r="T8" s="114" t="n">
        <f aca="false">Inputs!$E$26*(1+Inputs!$E$28)^(T$5-1)*MAX(0,MIN(1,T$4*1-Inputs!$E$29+1))/1</f>
        <v>4.5</v>
      </c>
      <c r="U8" s="114" t="n">
        <f aca="false">Inputs!$E$26*(1+Inputs!$E$28)^(U$5-1)*MAX(0,MIN(1,U$4*1-Inputs!$E$29+1))/1</f>
        <v>4.5</v>
      </c>
      <c r="V8" s="114" t="n">
        <f aca="false">Inputs!$E$26*(1+Inputs!$E$28)^(V$5-1)*MAX(0,MIN(1,V$4*1-Inputs!$E$29+1))/1</f>
        <v>4.5</v>
      </c>
      <c r="W8" s="114" t="n">
        <f aca="false">Inputs!$E$26*(1+Inputs!$E$28)^(W$5-1)*MAX(0,MIN(1,W$4*1-Inputs!$E$29+1))/1</f>
        <v>4.5</v>
      </c>
      <c r="X8" s="114" t="n">
        <f aca="false">Inputs!$E$26*(1+Inputs!$E$28)^(X$5-1)*MAX(0,MIN(1,X$4*1-Inputs!$E$29+1))/1</f>
        <v>4.5</v>
      </c>
      <c r="Y8" s="114" t="n">
        <f aca="false">Inputs!$E$26*(1+Inputs!$E$28)^(Y$5-1)*MAX(0,MIN(1,Y$4*1-Inputs!$E$29+1))/1</f>
        <v>4.5</v>
      </c>
      <c r="Z8" s="114" t="n">
        <f aca="false">Inputs!$E$26*(1+Inputs!$E$28)^(Z$5-1)*MAX(0,MIN(1,Z$4*1-Inputs!$E$29+1))/1</f>
        <v>4.5</v>
      </c>
      <c r="AA8" s="114" t="n">
        <f aca="false">Inputs!$E$26*(1+Inputs!$E$28)^(AA$5-1)*MAX(0,MIN(1,AA$4*1-Inputs!$E$29+1))/1</f>
        <v>6.75</v>
      </c>
      <c r="AB8" s="114" t="n">
        <f aca="false">Inputs!$E$26*(1+Inputs!$E$28)^(AB$5-1)*MAX(0,MIN(1,AB$4*1-Inputs!$E$29+1))/1</f>
        <v>6.75</v>
      </c>
      <c r="AC8" s="114" t="n">
        <f aca="false">Inputs!$E$26*(1+Inputs!$E$28)^(AC$5-1)*MAX(0,MIN(1,AC$4*1-Inputs!$E$29+1))/1</f>
        <v>6.75</v>
      </c>
      <c r="AD8" s="114" t="n">
        <f aca="false">Inputs!$E$26*(1+Inputs!$E$28)^(AD$5-1)*MAX(0,MIN(1,AD$4*1-Inputs!$E$29+1))/1</f>
        <v>6.75</v>
      </c>
      <c r="AE8" s="114" t="n">
        <f aca="false">Inputs!$E$26*(1+Inputs!$E$28)^(AE$5-1)*MAX(0,MIN(1,AE$4*1-Inputs!$E$29+1))/1</f>
        <v>6.75</v>
      </c>
      <c r="AF8" s="114" t="n">
        <f aca="false">Inputs!$E$26*(1+Inputs!$E$28)^(AF$5-1)*MAX(0,MIN(1,AF$4*1-Inputs!$E$29+1))/1</f>
        <v>6.75</v>
      </c>
      <c r="AG8" s="114" t="n">
        <f aca="false">Inputs!$E$26*(1+Inputs!$E$28)^(AG$5-1)*MAX(0,MIN(1,AG$4*1-Inputs!$E$29+1))/1</f>
        <v>6.75</v>
      </c>
      <c r="AH8" s="114" t="n">
        <f aca="false">Inputs!$E$26*(1+Inputs!$E$28)^(AH$5-1)*MAX(0,MIN(1,AH$4*1-Inputs!$E$29+1))/1</f>
        <v>6.75</v>
      </c>
      <c r="AI8" s="114" t="n">
        <f aca="false">Inputs!$E$26*(1+Inputs!$E$28)^(AI$5-1)*MAX(0,MIN(1,AI$4*1-Inputs!$E$29+1))/1</f>
        <v>6.75</v>
      </c>
      <c r="AJ8" s="114" t="n">
        <f aca="false">Inputs!$E$26*(1+Inputs!$E$28)^(AJ$5-1)*MAX(0,MIN(1,AJ$4*1-Inputs!$E$29+1))/1</f>
        <v>6.75</v>
      </c>
      <c r="AK8" s="114" t="n">
        <f aca="false">Inputs!$E$26*(1+Inputs!$E$28)^(AK$5-1)*MAX(0,MIN(1,AK$4*1-Inputs!$E$29+1))/1</f>
        <v>6.75</v>
      </c>
      <c r="AL8" s="114" t="n">
        <f aca="false">Inputs!$E$26*(1+Inputs!$E$28)^(AL$5-1)*MAX(0,MIN(1,AL$4*1-Inputs!$E$29+1))/1</f>
        <v>6.75</v>
      </c>
      <c r="AM8" s="114" t="n">
        <f aca="false">Inputs!$E$26*(1+Inputs!$E$28)^(AM$5-1)*MAX(0,MIN(1,AM$4*1-Inputs!$E$29+1))/1</f>
        <v>10.125</v>
      </c>
      <c r="AN8" s="114" t="n">
        <f aca="false">Inputs!$E$26*(1+Inputs!$E$28)^(AN$5-1)*MAX(0,MIN(1,AN$4*1-Inputs!$E$29+1))/1</f>
        <v>10.125</v>
      </c>
      <c r="AO8" s="114" t="n">
        <f aca="false">Inputs!$E$26*(1+Inputs!$E$28)^(AO$5-1)*MAX(0,MIN(1,AO$4*1-Inputs!$E$29+1))/1</f>
        <v>10.125</v>
      </c>
      <c r="AP8" s="114" t="n">
        <f aca="false">Inputs!$E$26*(1+Inputs!$E$28)^(AP$5-1)*MAX(0,MIN(1,AP$4*1-Inputs!$E$29+1))/1</f>
        <v>10.125</v>
      </c>
      <c r="AQ8" s="114" t="n">
        <f aca="false">Inputs!$E$26*(1+Inputs!$E$28)^(AQ$5-1)*MAX(0,MIN(1,AQ$4*1-Inputs!$E$29+1))/1</f>
        <v>10.125</v>
      </c>
      <c r="AR8" s="114" t="n">
        <f aca="false">Inputs!$E$26*(1+Inputs!$E$28)^(AR$5-1)*MAX(0,MIN(1,AR$4*1-Inputs!$E$29+1))/1</f>
        <v>10.125</v>
      </c>
      <c r="AS8" s="114" t="n">
        <f aca="false">Inputs!$E$26*(1+Inputs!$E$28)^(AS$5-1)*MAX(0,MIN(1,AS$4*1-Inputs!$E$29+1))/1</f>
        <v>10.125</v>
      </c>
      <c r="AT8" s="114" t="n">
        <f aca="false">Inputs!$E$26*(1+Inputs!$E$28)^(AT$5-1)*MAX(0,MIN(1,AT$4*1-Inputs!$E$29+1))/1</f>
        <v>10.125</v>
      </c>
      <c r="AU8" s="114" t="n">
        <f aca="false">Inputs!$E$26*(1+Inputs!$E$28)^(AU$5-1)*MAX(0,MIN(1,AU$4*1-Inputs!$E$29+1))/1</f>
        <v>10.125</v>
      </c>
      <c r="AV8" s="114" t="n">
        <f aca="false">Inputs!$E$26*(1+Inputs!$E$28)^(AV$5-1)*MAX(0,MIN(1,AV$4*1-Inputs!$E$29+1))/1</f>
        <v>10.125</v>
      </c>
      <c r="AW8" s="114" t="n">
        <f aca="false">Inputs!$E$26*(1+Inputs!$E$28)^(AW$5-1)*MAX(0,MIN(1,AW$4*1-Inputs!$E$29+1))/1</f>
        <v>10.125</v>
      </c>
      <c r="AX8" s="114" t="n">
        <f aca="false">Inputs!$E$26*(1+Inputs!$E$28)^(AX$5-1)*MAX(0,MIN(1,AX$4*1-Inputs!$E$29+1))/1</f>
        <v>10.125</v>
      </c>
      <c r="AY8" s="114" t="n">
        <f aca="false">Inputs!$E$26*(1+Inputs!$E$28)^(AY$5-1)*MAX(0,MIN(1,AY$4*1-Inputs!$E$29+1))/1</f>
        <v>15.1875</v>
      </c>
      <c r="AZ8" s="114" t="n">
        <f aca="false">Inputs!$E$26*(1+Inputs!$E$28)^(AZ$5-1)*MAX(0,MIN(1,AZ$4*1-Inputs!$E$29+1))/1</f>
        <v>15.1875</v>
      </c>
      <c r="BA8" s="114" t="n">
        <f aca="false">Inputs!$E$26*(1+Inputs!$E$28)^(BA$5-1)*MAX(0,MIN(1,BA$4*1-Inputs!$E$29+1))/1</f>
        <v>15.1875</v>
      </c>
      <c r="BB8" s="114" t="n">
        <f aca="false">Inputs!$E$26*(1+Inputs!$E$28)^(BB$5-1)*MAX(0,MIN(1,BB$4*1-Inputs!$E$29+1))/1</f>
        <v>15.1875</v>
      </c>
      <c r="BC8" s="114" t="n">
        <f aca="false">Inputs!$E$26*(1+Inputs!$E$28)^(BC$5-1)*MAX(0,MIN(1,BC$4*1-Inputs!$E$29+1))/1</f>
        <v>15.1875</v>
      </c>
      <c r="BD8" s="114" t="n">
        <f aca="false">Inputs!$E$26*(1+Inputs!$E$28)^(BD$5-1)*MAX(0,MIN(1,BD$4*1-Inputs!$E$29+1))/1</f>
        <v>15.1875</v>
      </c>
      <c r="BE8" s="114" t="n">
        <f aca="false">Inputs!$E$26*(1+Inputs!$E$28)^(BE$5-1)*MAX(0,MIN(1,BE$4*1-Inputs!$E$29+1))/1</f>
        <v>15.1875</v>
      </c>
      <c r="BF8" s="114" t="n">
        <f aca="false">Inputs!$E$26*(1+Inputs!$E$28)^(BF$5-1)*MAX(0,MIN(1,BF$4*1-Inputs!$E$29+1))/1</f>
        <v>15.1875</v>
      </c>
      <c r="BG8" s="114" t="n">
        <f aca="false">Inputs!$E$26*(1+Inputs!$E$28)^(BG$5-1)*MAX(0,MIN(1,BG$4*1-Inputs!$E$29+1))/1</f>
        <v>15.1875</v>
      </c>
      <c r="BH8" s="114" t="n">
        <f aca="false">Inputs!$E$26*(1+Inputs!$E$28)^(BH$5-1)*MAX(0,MIN(1,BH$4*1-Inputs!$E$29+1))/1</f>
        <v>15.1875</v>
      </c>
      <c r="BI8" s="114" t="n">
        <f aca="false">Inputs!$E$26*(1+Inputs!$E$28)^(BI$5-1)*MAX(0,MIN(1,BI$4*1-Inputs!$E$29+1))/1</f>
        <v>15.1875</v>
      </c>
      <c r="BJ8" s="114" t="n">
        <f aca="false">Inputs!$E$26*(1+Inputs!$E$28)^(BJ$5-1)*MAX(0,MIN(1,BJ$4*1-Inputs!$E$29+1))/1</f>
        <v>15.1875</v>
      </c>
    </row>
    <row r="9" customFormat="false" ht="15" hidden="false" customHeight="false" outlineLevel="0" collapsed="false">
      <c r="A9" s="6" t="s">
        <v>438</v>
      </c>
      <c r="C9" s="114" t="n">
        <f aca="false">Inputs!$E$30*(1+Inputs!$E$32)^(C$5-1)*MAX(0,MIN(1,C$4*1-Inputs!$E$33+1))/1</f>
        <v>1.5</v>
      </c>
      <c r="D9" s="114" t="n">
        <f aca="false">Inputs!$E$30*(1+Inputs!$E$32)^(D$5-1)*MAX(0,MIN(1,D$4*1-Inputs!$E$33+1))/1</f>
        <v>1.5</v>
      </c>
      <c r="E9" s="114" t="n">
        <f aca="false">Inputs!$E$30*(1+Inputs!$E$32)^(E$5-1)*MAX(0,MIN(1,E$4*1-Inputs!$E$33+1))/1</f>
        <v>1.5</v>
      </c>
      <c r="F9" s="114" t="n">
        <f aca="false">Inputs!$E$30*(1+Inputs!$E$32)^(F$5-1)*MAX(0,MIN(1,F$4*1-Inputs!$E$33+1))/1</f>
        <v>1.5</v>
      </c>
      <c r="G9" s="114" t="n">
        <f aca="false">Inputs!$E$30*(1+Inputs!$E$32)^(G$5-1)*MAX(0,MIN(1,G$4*1-Inputs!$E$33+1))/1</f>
        <v>1.5</v>
      </c>
      <c r="H9" s="114" t="n">
        <f aca="false">Inputs!$E$30*(1+Inputs!$E$32)^(H$5-1)*MAX(0,MIN(1,H$4*1-Inputs!$E$33+1))/1</f>
        <v>1.5</v>
      </c>
      <c r="I9" s="114" t="n">
        <f aca="false">Inputs!$E$30*(1+Inputs!$E$32)^(I$5-1)*MAX(0,MIN(1,I$4*1-Inputs!$E$33+1))/1</f>
        <v>1.5</v>
      </c>
      <c r="J9" s="114" t="n">
        <f aca="false">Inputs!$E$30*(1+Inputs!$E$32)^(J$5-1)*MAX(0,MIN(1,J$4*1-Inputs!$E$33+1))/1</f>
        <v>1.5</v>
      </c>
      <c r="K9" s="114" t="n">
        <f aca="false">Inputs!$E$30*(1+Inputs!$E$32)^(K$5-1)*MAX(0,MIN(1,K$4*1-Inputs!$E$33+1))/1</f>
        <v>1.5</v>
      </c>
      <c r="L9" s="114" t="n">
        <f aca="false">Inputs!$E$30*(1+Inputs!$E$32)^(L$5-1)*MAX(0,MIN(1,L$4*1-Inputs!$E$33+1))/1</f>
        <v>1.5</v>
      </c>
      <c r="M9" s="114" t="n">
        <f aca="false">Inputs!$E$30*(1+Inputs!$E$32)^(M$5-1)*MAX(0,MIN(1,M$4*1-Inputs!$E$33+1))/1</f>
        <v>1.5</v>
      </c>
      <c r="N9" s="114" t="n">
        <f aca="false">Inputs!$E$30*(1+Inputs!$E$32)^(N$5-1)*MAX(0,MIN(1,N$4*1-Inputs!$E$33+1))/1</f>
        <v>1.5</v>
      </c>
      <c r="O9" s="114" t="n">
        <f aca="false">Inputs!$E$30*(1+Inputs!$E$32)^(O$5-1)*MAX(0,MIN(1,O$4*1-Inputs!$E$33+1))/1</f>
        <v>2.25</v>
      </c>
      <c r="P9" s="114" t="n">
        <f aca="false">Inputs!$E$30*(1+Inputs!$E$32)^(P$5-1)*MAX(0,MIN(1,P$4*1-Inputs!$E$33+1))/1</f>
        <v>2.25</v>
      </c>
      <c r="Q9" s="114" t="n">
        <f aca="false">Inputs!$E$30*(1+Inputs!$E$32)^(Q$5-1)*MAX(0,MIN(1,Q$4*1-Inputs!$E$33+1))/1</f>
        <v>2.25</v>
      </c>
      <c r="R9" s="114" t="n">
        <f aca="false">Inputs!$E$30*(1+Inputs!$E$32)^(R$5-1)*MAX(0,MIN(1,R$4*1-Inputs!$E$33+1))/1</f>
        <v>2.25</v>
      </c>
      <c r="S9" s="114" t="n">
        <f aca="false">Inputs!$E$30*(1+Inputs!$E$32)^(S$5-1)*MAX(0,MIN(1,S$4*1-Inputs!$E$33+1))/1</f>
        <v>2.25</v>
      </c>
      <c r="T9" s="114" t="n">
        <f aca="false">Inputs!$E$30*(1+Inputs!$E$32)^(T$5-1)*MAX(0,MIN(1,T$4*1-Inputs!$E$33+1))/1</f>
        <v>2.25</v>
      </c>
      <c r="U9" s="114" t="n">
        <f aca="false">Inputs!$E$30*(1+Inputs!$E$32)^(U$5-1)*MAX(0,MIN(1,U$4*1-Inputs!$E$33+1))/1</f>
        <v>2.25</v>
      </c>
      <c r="V9" s="114" t="n">
        <f aca="false">Inputs!$E$30*(1+Inputs!$E$32)^(V$5-1)*MAX(0,MIN(1,V$4*1-Inputs!$E$33+1))/1</f>
        <v>2.25</v>
      </c>
      <c r="W9" s="114" t="n">
        <f aca="false">Inputs!$E$30*(1+Inputs!$E$32)^(W$5-1)*MAX(0,MIN(1,W$4*1-Inputs!$E$33+1))/1</f>
        <v>2.25</v>
      </c>
      <c r="X9" s="114" t="n">
        <f aca="false">Inputs!$E$30*(1+Inputs!$E$32)^(X$5-1)*MAX(0,MIN(1,X$4*1-Inputs!$E$33+1))/1</f>
        <v>2.25</v>
      </c>
      <c r="Y9" s="114" t="n">
        <f aca="false">Inputs!$E$30*(1+Inputs!$E$32)^(Y$5-1)*MAX(0,MIN(1,Y$4*1-Inputs!$E$33+1))/1</f>
        <v>2.25</v>
      </c>
      <c r="Z9" s="114" t="n">
        <f aca="false">Inputs!$E$30*(1+Inputs!$E$32)^(Z$5-1)*MAX(0,MIN(1,Z$4*1-Inputs!$E$33+1))/1</f>
        <v>2.25</v>
      </c>
      <c r="AA9" s="114" t="n">
        <f aca="false">Inputs!$E$30*(1+Inputs!$E$32)^(AA$5-1)*MAX(0,MIN(1,AA$4*1-Inputs!$E$33+1))/1</f>
        <v>3.375</v>
      </c>
      <c r="AB9" s="114" t="n">
        <f aca="false">Inputs!$E$30*(1+Inputs!$E$32)^(AB$5-1)*MAX(0,MIN(1,AB$4*1-Inputs!$E$33+1))/1</f>
        <v>3.375</v>
      </c>
      <c r="AC9" s="114" t="n">
        <f aca="false">Inputs!$E$30*(1+Inputs!$E$32)^(AC$5-1)*MAX(0,MIN(1,AC$4*1-Inputs!$E$33+1))/1</f>
        <v>3.375</v>
      </c>
      <c r="AD9" s="114" t="n">
        <f aca="false">Inputs!$E$30*(1+Inputs!$E$32)^(AD$5-1)*MAX(0,MIN(1,AD$4*1-Inputs!$E$33+1))/1</f>
        <v>3.375</v>
      </c>
      <c r="AE9" s="114" t="n">
        <f aca="false">Inputs!$E$30*(1+Inputs!$E$32)^(AE$5-1)*MAX(0,MIN(1,AE$4*1-Inputs!$E$33+1))/1</f>
        <v>3.375</v>
      </c>
      <c r="AF9" s="114" t="n">
        <f aca="false">Inputs!$E$30*(1+Inputs!$E$32)^(AF$5-1)*MAX(0,MIN(1,AF$4*1-Inputs!$E$33+1))/1</f>
        <v>3.375</v>
      </c>
      <c r="AG9" s="114" t="n">
        <f aca="false">Inputs!$E$30*(1+Inputs!$E$32)^(AG$5-1)*MAX(0,MIN(1,AG$4*1-Inputs!$E$33+1))/1</f>
        <v>3.375</v>
      </c>
      <c r="AH9" s="114" t="n">
        <f aca="false">Inputs!$E$30*(1+Inputs!$E$32)^(AH$5-1)*MAX(0,MIN(1,AH$4*1-Inputs!$E$33+1))/1</f>
        <v>3.375</v>
      </c>
      <c r="AI9" s="114" t="n">
        <f aca="false">Inputs!$E$30*(1+Inputs!$E$32)^(AI$5-1)*MAX(0,MIN(1,AI$4*1-Inputs!$E$33+1))/1</f>
        <v>3.375</v>
      </c>
      <c r="AJ9" s="114" t="n">
        <f aca="false">Inputs!$E$30*(1+Inputs!$E$32)^(AJ$5-1)*MAX(0,MIN(1,AJ$4*1-Inputs!$E$33+1))/1</f>
        <v>3.375</v>
      </c>
      <c r="AK9" s="114" t="n">
        <f aca="false">Inputs!$E$30*(1+Inputs!$E$32)^(AK$5-1)*MAX(0,MIN(1,AK$4*1-Inputs!$E$33+1))/1</f>
        <v>3.375</v>
      </c>
      <c r="AL9" s="114" t="n">
        <f aca="false">Inputs!$E$30*(1+Inputs!$E$32)^(AL$5-1)*MAX(0,MIN(1,AL$4*1-Inputs!$E$33+1))/1</f>
        <v>3.375</v>
      </c>
      <c r="AM9" s="114" t="n">
        <f aca="false">Inputs!$E$30*(1+Inputs!$E$32)^(AM$5-1)*MAX(0,MIN(1,AM$4*1-Inputs!$E$33+1))/1</f>
        <v>5.0625</v>
      </c>
      <c r="AN9" s="114" t="n">
        <f aca="false">Inputs!$E$30*(1+Inputs!$E$32)^(AN$5-1)*MAX(0,MIN(1,AN$4*1-Inputs!$E$33+1))/1</f>
        <v>5.0625</v>
      </c>
      <c r="AO9" s="114" t="n">
        <f aca="false">Inputs!$E$30*(1+Inputs!$E$32)^(AO$5-1)*MAX(0,MIN(1,AO$4*1-Inputs!$E$33+1))/1</f>
        <v>5.0625</v>
      </c>
      <c r="AP9" s="114" t="n">
        <f aca="false">Inputs!$E$30*(1+Inputs!$E$32)^(AP$5-1)*MAX(0,MIN(1,AP$4*1-Inputs!$E$33+1))/1</f>
        <v>5.0625</v>
      </c>
      <c r="AQ9" s="114" t="n">
        <f aca="false">Inputs!$E$30*(1+Inputs!$E$32)^(AQ$5-1)*MAX(0,MIN(1,AQ$4*1-Inputs!$E$33+1))/1</f>
        <v>5.0625</v>
      </c>
      <c r="AR9" s="114" t="n">
        <f aca="false">Inputs!$E$30*(1+Inputs!$E$32)^(AR$5-1)*MAX(0,MIN(1,AR$4*1-Inputs!$E$33+1))/1</f>
        <v>5.0625</v>
      </c>
      <c r="AS9" s="114" t="n">
        <f aca="false">Inputs!$E$30*(1+Inputs!$E$32)^(AS$5-1)*MAX(0,MIN(1,AS$4*1-Inputs!$E$33+1))/1</f>
        <v>5.0625</v>
      </c>
      <c r="AT9" s="114" t="n">
        <f aca="false">Inputs!$E$30*(1+Inputs!$E$32)^(AT$5-1)*MAX(0,MIN(1,AT$4*1-Inputs!$E$33+1))/1</f>
        <v>5.0625</v>
      </c>
      <c r="AU9" s="114" t="n">
        <f aca="false">Inputs!$E$30*(1+Inputs!$E$32)^(AU$5-1)*MAX(0,MIN(1,AU$4*1-Inputs!$E$33+1))/1</f>
        <v>5.0625</v>
      </c>
      <c r="AV9" s="114" t="n">
        <f aca="false">Inputs!$E$30*(1+Inputs!$E$32)^(AV$5-1)*MAX(0,MIN(1,AV$4*1-Inputs!$E$33+1))/1</f>
        <v>5.0625</v>
      </c>
      <c r="AW9" s="114" t="n">
        <f aca="false">Inputs!$E$30*(1+Inputs!$E$32)^(AW$5-1)*MAX(0,MIN(1,AW$4*1-Inputs!$E$33+1))/1</f>
        <v>5.0625</v>
      </c>
      <c r="AX9" s="114" t="n">
        <f aca="false">Inputs!$E$30*(1+Inputs!$E$32)^(AX$5-1)*MAX(0,MIN(1,AX$4*1-Inputs!$E$33+1))/1</f>
        <v>5.0625</v>
      </c>
      <c r="AY9" s="114" t="n">
        <f aca="false">Inputs!$E$30*(1+Inputs!$E$32)^(AY$5-1)*MAX(0,MIN(1,AY$4*1-Inputs!$E$33+1))/1</f>
        <v>7.59375</v>
      </c>
      <c r="AZ9" s="114" t="n">
        <f aca="false">Inputs!$E$30*(1+Inputs!$E$32)^(AZ$5-1)*MAX(0,MIN(1,AZ$4*1-Inputs!$E$33+1))/1</f>
        <v>7.59375</v>
      </c>
      <c r="BA9" s="114" t="n">
        <f aca="false">Inputs!$E$30*(1+Inputs!$E$32)^(BA$5-1)*MAX(0,MIN(1,BA$4*1-Inputs!$E$33+1))/1</f>
        <v>7.59375</v>
      </c>
      <c r="BB9" s="114" t="n">
        <f aca="false">Inputs!$E$30*(1+Inputs!$E$32)^(BB$5-1)*MAX(0,MIN(1,BB$4*1-Inputs!$E$33+1))/1</f>
        <v>7.59375</v>
      </c>
      <c r="BC9" s="114" t="n">
        <f aca="false">Inputs!$E$30*(1+Inputs!$E$32)^(BC$5-1)*MAX(0,MIN(1,BC$4*1-Inputs!$E$33+1))/1</f>
        <v>7.59375</v>
      </c>
      <c r="BD9" s="114" t="n">
        <f aca="false">Inputs!$E$30*(1+Inputs!$E$32)^(BD$5-1)*MAX(0,MIN(1,BD$4*1-Inputs!$E$33+1))/1</f>
        <v>7.59375</v>
      </c>
      <c r="BE9" s="114" t="n">
        <f aca="false">Inputs!$E$30*(1+Inputs!$E$32)^(BE$5-1)*MAX(0,MIN(1,BE$4*1-Inputs!$E$33+1))/1</f>
        <v>7.59375</v>
      </c>
      <c r="BF9" s="114" t="n">
        <f aca="false">Inputs!$E$30*(1+Inputs!$E$32)^(BF$5-1)*MAX(0,MIN(1,BF$4*1-Inputs!$E$33+1))/1</f>
        <v>7.59375</v>
      </c>
      <c r="BG9" s="114" t="n">
        <f aca="false">Inputs!$E$30*(1+Inputs!$E$32)^(BG$5-1)*MAX(0,MIN(1,BG$4*1-Inputs!$E$33+1))/1</f>
        <v>7.59375</v>
      </c>
      <c r="BH9" s="114" t="n">
        <f aca="false">Inputs!$E$30*(1+Inputs!$E$32)^(BH$5-1)*MAX(0,MIN(1,BH$4*1-Inputs!$E$33+1))/1</f>
        <v>7.59375</v>
      </c>
      <c r="BI9" s="114" t="n">
        <f aca="false">Inputs!$E$30*(1+Inputs!$E$32)^(BI$5-1)*MAX(0,MIN(1,BI$4*1-Inputs!$E$33+1))/1</f>
        <v>7.59375</v>
      </c>
      <c r="BJ9" s="114" t="n">
        <f aca="false">Inputs!$E$30*(1+Inputs!$E$32)^(BJ$5-1)*MAX(0,MIN(1,BJ$4*1-Inputs!$E$33+1))/1</f>
        <v>7.59375</v>
      </c>
    </row>
    <row r="10" customFormat="false" ht="15" hidden="false" customHeight="false" outlineLevel="0" collapsed="false">
      <c r="A10" s="6" t="s">
        <v>439</v>
      </c>
      <c r="C10" s="114" t="n">
        <f aca="false">Inputs!$E$34*(1+Inputs!$E$36)^(C$5-1)*MAX(0,MIN(1,C$4*1-Inputs!$E$37+1))/1</f>
        <v>1</v>
      </c>
      <c r="D10" s="114" t="n">
        <f aca="false">Inputs!$E$34*(1+Inputs!$E$36)^(D$5-1)*MAX(0,MIN(1,D$4*1-Inputs!$E$37+1))/1</f>
        <v>1</v>
      </c>
      <c r="E10" s="114" t="n">
        <f aca="false">Inputs!$E$34*(1+Inputs!$E$36)^(E$5-1)*MAX(0,MIN(1,E$4*1-Inputs!$E$37+1))/1</f>
        <v>1</v>
      </c>
      <c r="F10" s="114" t="n">
        <f aca="false">Inputs!$E$34*(1+Inputs!$E$36)^(F$5-1)*MAX(0,MIN(1,F$4*1-Inputs!$E$37+1))/1</f>
        <v>1</v>
      </c>
      <c r="G10" s="114" t="n">
        <f aca="false">Inputs!$E$34*(1+Inputs!$E$36)^(G$5-1)*MAX(0,MIN(1,G$4*1-Inputs!$E$37+1))/1</f>
        <v>1</v>
      </c>
      <c r="H10" s="114" t="n">
        <f aca="false">Inputs!$E$34*(1+Inputs!$E$36)^(H$5-1)*MAX(0,MIN(1,H$4*1-Inputs!$E$37+1))/1</f>
        <v>1</v>
      </c>
      <c r="I10" s="114" t="n">
        <f aca="false">Inputs!$E$34*(1+Inputs!$E$36)^(I$5-1)*MAX(0,MIN(1,I$4*1-Inputs!$E$37+1))/1</f>
        <v>1</v>
      </c>
      <c r="J10" s="114" t="n">
        <f aca="false">Inputs!$E$34*(1+Inputs!$E$36)^(J$5-1)*MAX(0,MIN(1,J$4*1-Inputs!$E$37+1))/1</f>
        <v>1</v>
      </c>
      <c r="K10" s="114" t="n">
        <f aca="false">Inputs!$E$34*(1+Inputs!$E$36)^(K$5-1)*MAX(0,MIN(1,K$4*1-Inputs!$E$37+1))/1</f>
        <v>1</v>
      </c>
      <c r="L10" s="114" t="n">
        <f aca="false">Inputs!$E$34*(1+Inputs!$E$36)^(L$5-1)*MAX(0,MIN(1,L$4*1-Inputs!$E$37+1))/1</f>
        <v>1</v>
      </c>
      <c r="M10" s="114" t="n">
        <f aca="false">Inputs!$E$34*(1+Inputs!$E$36)^(M$5-1)*MAX(0,MIN(1,M$4*1-Inputs!$E$37+1))/1</f>
        <v>1</v>
      </c>
      <c r="N10" s="114" t="n">
        <f aca="false">Inputs!$E$34*(1+Inputs!$E$36)^(N$5-1)*MAX(0,MIN(1,N$4*1-Inputs!$E$37+1))/1</f>
        <v>1</v>
      </c>
      <c r="O10" s="114" t="n">
        <f aca="false">Inputs!$E$34*(1+Inputs!$E$36)^(O$5-1)*MAX(0,MIN(1,O$4*1-Inputs!$E$37+1))/1</f>
        <v>1.5</v>
      </c>
      <c r="P10" s="114" t="n">
        <f aca="false">Inputs!$E$34*(1+Inputs!$E$36)^(P$5-1)*MAX(0,MIN(1,P$4*1-Inputs!$E$37+1))/1</f>
        <v>1.5</v>
      </c>
      <c r="Q10" s="114" t="n">
        <f aca="false">Inputs!$E$34*(1+Inputs!$E$36)^(Q$5-1)*MAX(0,MIN(1,Q$4*1-Inputs!$E$37+1))/1</f>
        <v>1.5</v>
      </c>
      <c r="R10" s="114" t="n">
        <f aca="false">Inputs!$E$34*(1+Inputs!$E$36)^(R$5-1)*MAX(0,MIN(1,R$4*1-Inputs!$E$37+1))/1</f>
        <v>1.5</v>
      </c>
      <c r="S10" s="114" t="n">
        <f aca="false">Inputs!$E$34*(1+Inputs!$E$36)^(S$5-1)*MAX(0,MIN(1,S$4*1-Inputs!$E$37+1))/1</f>
        <v>1.5</v>
      </c>
      <c r="T10" s="114" t="n">
        <f aca="false">Inputs!$E$34*(1+Inputs!$E$36)^(T$5-1)*MAX(0,MIN(1,T$4*1-Inputs!$E$37+1))/1</f>
        <v>1.5</v>
      </c>
      <c r="U10" s="114" t="n">
        <f aca="false">Inputs!$E$34*(1+Inputs!$E$36)^(U$5-1)*MAX(0,MIN(1,U$4*1-Inputs!$E$37+1))/1</f>
        <v>1.5</v>
      </c>
      <c r="V10" s="114" t="n">
        <f aca="false">Inputs!$E$34*(1+Inputs!$E$36)^(V$5-1)*MAX(0,MIN(1,V$4*1-Inputs!$E$37+1))/1</f>
        <v>1.5</v>
      </c>
      <c r="W10" s="114" t="n">
        <f aca="false">Inputs!$E$34*(1+Inputs!$E$36)^(W$5-1)*MAX(0,MIN(1,W$4*1-Inputs!$E$37+1))/1</f>
        <v>1.5</v>
      </c>
      <c r="X10" s="114" t="n">
        <f aca="false">Inputs!$E$34*(1+Inputs!$E$36)^(X$5-1)*MAX(0,MIN(1,X$4*1-Inputs!$E$37+1))/1</f>
        <v>1.5</v>
      </c>
      <c r="Y10" s="114" t="n">
        <f aca="false">Inputs!$E$34*(1+Inputs!$E$36)^(Y$5-1)*MAX(0,MIN(1,Y$4*1-Inputs!$E$37+1))/1</f>
        <v>1.5</v>
      </c>
      <c r="Z10" s="114" t="n">
        <f aca="false">Inputs!$E$34*(1+Inputs!$E$36)^(Z$5-1)*MAX(0,MIN(1,Z$4*1-Inputs!$E$37+1))/1</f>
        <v>1.5</v>
      </c>
      <c r="AA10" s="114" t="n">
        <f aca="false">Inputs!$E$34*(1+Inputs!$E$36)^(AA$5-1)*MAX(0,MIN(1,AA$4*1-Inputs!$E$37+1))/1</f>
        <v>2.25</v>
      </c>
      <c r="AB10" s="114" t="n">
        <f aca="false">Inputs!$E$34*(1+Inputs!$E$36)^(AB$5-1)*MAX(0,MIN(1,AB$4*1-Inputs!$E$37+1))/1</f>
        <v>2.25</v>
      </c>
      <c r="AC10" s="114" t="n">
        <f aca="false">Inputs!$E$34*(1+Inputs!$E$36)^(AC$5-1)*MAX(0,MIN(1,AC$4*1-Inputs!$E$37+1))/1</f>
        <v>2.25</v>
      </c>
      <c r="AD10" s="114" t="n">
        <f aca="false">Inputs!$E$34*(1+Inputs!$E$36)^(AD$5-1)*MAX(0,MIN(1,AD$4*1-Inputs!$E$37+1))/1</f>
        <v>2.25</v>
      </c>
      <c r="AE10" s="114" t="n">
        <f aca="false">Inputs!$E$34*(1+Inputs!$E$36)^(AE$5-1)*MAX(0,MIN(1,AE$4*1-Inputs!$E$37+1))/1</f>
        <v>2.25</v>
      </c>
      <c r="AF10" s="114" t="n">
        <f aca="false">Inputs!$E$34*(1+Inputs!$E$36)^(AF$5-1)*MAX(0,MIN(1,AF$4*1-Inputs!$E$37+1))/1</f>
        <v>2.25</v>
      </c>
      <c r="AG10" s="114" t="n">
        <f aca="false">Inputs!$E$34*(1+Inputs!$E$36)^(AG$5-1)*MAX(0,MIN(1,AG$4*1-Inputs!$E$37+1))/1</f>
        <v>2.25</v>
      </c>
      <c r="AH10" s="114" t="n">
        <f aca="false">Inputs!$E$34*(1+Inputs!$E$36)^(AH$5-1)*MAX(0,MIN(1,AH$4*1-Inputs!$E$37+1))/1</f>
        <v>2.25</v>
      </c>
      <c r="AI10" s="114" t="n">
        <f aca="false">Inputs!$E$34*(1+Inputs!$E$36)^(AI$5-1)*MAX(0,MIN(1,AI$4*1-Inputs!$E$37+1))/1</f>
        <v>2.25</v>
      </c>
      <c r="AJ10" s="114" t="n">
        <f aca="false">Inputs!$E$34*(1+Inputs!$E$36)^(AJ$5-1)*MAX(0,MIN(1,AJ$4*1-Inputs!$E$37+1))/1</f>
        <v>2.25</v>
      </c>
      <c r="AK10" s="114" t="n">
        <f aca="false">Inputs!$E$34*(1+Inputs!$E$36)^(AK$5-1)*MAX(0,MIN(1,AK$4*1-Inputs!$E$37+1))/1</f>
        <v>2.25</v>
      </c>
      <c r="AL10" s="114" t="n">
        <f aca="false">Inputs!$E$34*(1+Inputs!$E$36)^(AL$5-1)*MAX(0,MIN(1,AL$4*1-Inputs!$E$37+1))/1</f>
        <v>2.25</v>
      </c>
      <c r="AM10" s="114" t="n">
        <f aca="false">Inputs!$E$34*(1+Inputs!$E$36)^(AM$5-1)*MAX(0,MIN(1,AM$4*1-Inputs!$E$37+1))/1</f>
        <v>3.375</v>
      </c>
      <c r="AN10" s="114" t="n">
        <f aca="false">Inputs!$E$34*(1+Inputs!$E$36)^(AN$5-1)*MAX(0,MIN(1,AN$4*1-Inputs!$E$37+1))/1</f>
        <v>3.375</v>
      </c>
      <c r="AO10" s="114" t="n">
        <f aca="false">Inputs!$E$34*(1+Inputs!$E$36)^(AO$5-1)*MAX(0,MIN(1,AO$4*1-Inputs!$E$37+1))/1</f>
        <v>3.375</v>
      </c>
      <c r="AP10" s="114" t="n">
        <f aca="false">Inputs!$E$34*(1+Inputs!$E$36)^(AP$5-1)*MAX(0,MIN(1,AP$4*1-Inputs!$E$37+1))/1</f>
        <v>3.375</v>
      </c>
      <c r="AQ10" s="114" t="n">
        <f aca="false">Inputs!$E$34*(1+Inputs!$E$36)^(AQ$5-1)*MAX(0,MIN(1,AQ$4*1-Inputs!$E$37+1))/1</f>
        <v>3.375</v>
      </c>
      <c r="AR10" s="114" t="n">
        <f aca="false">Inputs!$E$34*(1+Inputs!$E$36)^(AR$5-1)*MAX(0,MIN(1,AR$4*1-Inputs!$E$37+1))/1</f>
        <v>3.375</v>
      </c>
      <c r="AS10" s="114" t="n">
        <f aca="false">Inputs!$E$34*(1+Inputs!$E$36)^(AS$5-1)*MAX(0,MIN(1,AS$4*1-Inputs!$E$37+1))/1</f>
        <v>3.375</v>
      </c>
      <c r="AT10" s="114" t="n">
        <f aca="false">Inputs!$E$34*(1+Inputs!$E$36)^(AT$5-1)*MAX(0,MIN(1,AT$4*1-Inputs!$E$37+1))/1</f>
        <v>3.375</v>
      </c>
      <c r="AU10" s="114" t="n">
        <f aca="false">Inputs!$E$34*(1+Inputs!$E$36)^(AU$5-1)*MAX(0,MIN(1,AU$4*1-Inputs!$E$37+1))/1</f>
        <v>3.375</v>
      </c>
      <c r="AV10" s="114" t="n">
        <f aca="false">Inputs!$E$34*(1+Inputs!$E$36)^(AV$5-1)*MAX(0,MIN(1,AV$4*1-Inputs!$E$37+1))/1</f>
        <v>3.375</v>
      </c>
      <c r="AW10" s="114" t="n">
        <f aca="false">Inputs!$E$34*(1+Inputs!$E$36)^(AW$5-1)*MAX(0,MIN(1,AW$4*1-Inputs!$E$37+1))/1</f>
        <v>3.375</v>
      </c>
      <c r="AX10" s="114" t="n">
        <f aca="false">Inputs!$E$34*(1+Inputs!$E$36)^(AX$5-1)*MAX(0,MIN(1,AX$4*1-Inputs!$E$37+1))/1</f>
        <v>3.375</v>
      </c>
      <c r="AY10" s="114" t="n">
        <f aca="false">Inputs!$E$34*(1+Inputs!$E$36)^(AY$5-1)*MAX(0,MIN(1,AY$4*1-Inputs!$E$37+1))/1</f>
        <v>5.0625</v>
      </c>
      <c r="AZ10" s="114" t="n">
        <f aca="false">Inputs!$E$34*(1+Inputs!$E$36)^(AZ$5-1)*MAX(0,MIN(1,AZ$4*1-Inputs!$E$37+1))/1</f>
        <v>5.0625</v>
      </c>
      <c r="BA10" s="114" t="n">
        <f aca="false">Inputs!$E$34*(1+Inputs!$E$36)^(BA$5-1)*MAX(0,MIN(1,BA$4*1-Inputs!$E$37+1))/1</f>
        <v>5.0625</v>
      </c>
      <c r="BB10" s="114" t="n">
        <f aca="false">Inputs!$E$34*(1+Inputs!$E$36)^(BB$5-1)*MAX(0,MIN(1,BB$4*1-Inputs!$E$37+1))/1</f>
        <v>5.0625</v>
      </c>
      <c r="BC10" s="114" t="n">
        <f aca="false">Inputs!$E$34*(1+Inputs!$E$36)^(BC$5-1)*MAX(0,MIN(1,BC$4*1-Inputs!$E$37+1))/1</f>
        <v>5.0625</v>
      </c>
      <c r="BD10" s="114" t="n">
        <f aca="false">Inputs!$E$34*(1+Inputs!$E$36)^(BD$5-1)*MAX(0,MIN(1,BD$4*1-Inputs!$E$37+1))/1</f>
        <v>5.0625</v>
      </c>
      <c r="BE10" s="114" t="n">
        <f aca="false">Inputs!$E$34*(1+Inputs!$E$36)^(BE$5-1)*MAX(0,MIN(1,BE$4*1-Inputs!$E$37+1))/1</f>
        <v>5.0625</v>
      </c>
      <c r="BF10" s="114" t="n">
        <f aca="false">Inputs!$E$34*(1+Inputs!$E$36)^(BF$5-1)*MAX(0,MIN(1,BF$4*1-Inputs!$E$37+1))/1</f>
        <v>5.0625</v>
      </c>
      <c r="BG10" s="114" t="n">
        <f aca="false">Inputs!$E$34*(1+Inputs!$E$36)^(BG$5-1)*MAX(0,MIN(1,BG$4*1-Inputs!$E$37+1))/1</f>
        <v>5.0625</v>
      </c>
      <c r="BH10" s="114" t="n">
        <f aca="false">Inputs!$E$34*(1+Inputs!$E$36)^(BH$5-1)*MAX(0,MIN(1,BH$4*1-Inputs!$E$37+1))/1</f>
        <v>5.0625</v>
      </c>
      <c r="BI10" s="114" t="n">
        <f aca="false">Inputs!$E$34*(1+Inputs!$E$36)^(BI$5-1)*MAX(0,MIN(1,BI$4*1-Inputs!$E$37+1))/1</f>
        <v>5.0625</v>
      </c>
      <c r="BJ10" s="114" t="n">
        <f aca="false">Inputs!$E$34*(1+Inputs!$E$36)^(BJ$5-1)*MAX(0,MIN(1,BJ$4*1-Inputs!$E$37+1))/1</f>
        <v>5.0625</v>
      </c>
    </row>
    <row r="11" customFormat="false" ht="15" hidden="false" customHeight="false" outlineLevel="0" collapsed="false">
      <c r="A11" s="6" t="s">
        <v>440</v>
      </c>
      <c r="C11" s="114" t="n">
        <f aca="false">Inputs!$E$38*(1+Inputs!$E$40)^(C$5-1)*MAX(0,MIN(1,C$4*1-Inputs!$E$41+1))/1</f>
        <v>0.5</v>
      </c>
      <c r="D11" s="114" t="n">
        <f aca="false">Inputs!$E$38*(1+Inputs!$E$40)^(D$5-1)*MAX(0,MIN(1,D$4*1-Inputs!$E$41+1))/1</f>
        <v>0.5</v>
      </c>
      <c r="E11" s="114" t="n">
        <f aca="false">Inputs!$E$38*(1+Inputs!$E$40)^(E$5-1)*MAX(0,MIN(1,E$4*1-Inputs!$E$41+1))/1</f>
        <v>0.5</v>
      </c>
      <c r="F11" s="114" t="n">
        <f aca="false">Inputs!$E$38*(1+Inputs!$E$40)^(F$5-1)*MAX(0,MIN(1,F$4*1-Inputs!$E$41+1))/1</f>
        <v>0.5</v>
      </c>
      <c r="G11" s="114" t="n">
        <f aca="false">Inputs!$E$38*(1+Inputs!$E$40)^(G$5-1)*MAX(0,MIN(1,G$4*1-Inputs!$E$41+1))/1</f>
        <v>0.5</v>
      </c>
      <c r="H11" s="114" t="n">
        <f aca="false">Inputs!$E$38*(1+Inputs!$E$40)^(H$5-1)*MAX(0,MIN(1,H$4*1-Inputs!$E$41+1))/1</f>
        <v>0.5</v>
      </c>
      <c r="I11" s="114" t="n">
        <f aca="false">Inputs!$E$38*(1+Inputs!$E$40)^(I$5-1)*MAX(0,MIN(1,I$4*1-Inputs!$E$41+1))/1</f>
        <v>0.5</v>
      </c>
      <c r="J11" s="114" t="n">
        <f aca="false">Inputs!$E$38*(1+Inputs!$E$40)^(J$5-1)*MAX(0,MIN(1,J$4*1-Inputs!$E$41+1))/1</f>
        <v>0.5</v>
      </c>
      <c r="K11" s="114" t="n">
        <f aca="false">Inputs!$E$38*(1+Inputs!$E$40)^(K$5-1)*MAX(0,MIN(1,K$4*1-Inputs!$E$41+1))/1</f>
        <v>0.5</v>
      </c>
      <c r="L11" s="114" t="n">
        <f aca="false">Inputs!$E$38*(1+Inputs!$E$40)^(L$5-1)*MAX(0,MIN(1,L$4*1-Inputs!$E$41+1))/1</f>
        <v>0.5</v>
      </c>
      <c r="M11" s="114" t="n">
        <f aca="false">Inputs!$E$38*(1+Inputs!$E$40)^(M$5-1)*MAX(0,MIN(1,M$4*1-Inputs!$E$41+1))/1</f>
        <v>0.5</v>
      </c>
      <c r="N11" s="114" t="n">
        <f aca="false">Inputs!$E$38*(1+Inputs!$E$40)^(N$5-1)*MAX(0,MIN(1,N$4*1-Inputs!$E$41+1))/1</f>
        <v>0.5</v>
      </c>
      <c r="O11" s="114" t="n">
        <f aca="false">Inputs!$E$38*(1+Inputs!$E$40)^(O$5-1)*MAX(0,MIN(1,O$4*1-Inputs!$E$41+1))/1</f>
        <v>0.75</v>
      </c>
      <c r="P11" s="114" t="n">
        <f aca="false">Inputs!$E$38*(1+Inputs!$E$40)^(P$5-1)*MAX(0,MIN(1,P$4*1-Inputs!$E$41+1))/1</f>
        <v>0.75</v>
      </c>
      <c r="Q11" s="114" t="n">
        <f aca="false">Inputs!$E$38*(1+Inputs!$E$40)^(Q$5-1)*MAX(0,MIN(1,Q$4*1-Inputs!$E$41+1))/1</f>
        <v>0.75</v>
      </c>
      <c r="R11" s="114" t="n">
        <f aca="false">Inputs!$E$38*(1+Inputs!$E$40)^(R$5-1)*MAX(0,MIN(1,R$4*1-Inputs!$E$41+1))/1</f>
        <v>0.75</v>
      </c>
      <c r="S11" s="114" t="n">
        <f aca="false">Inputs!$E$38*(1+Inputs!$E$40)^(S$5-1)*MAX(0,MIN(1,S$4*1-Inputs!$E$41+1))/1</f>
        <v>0.75</v>
      </c>
      <c r="T11" s="114" t="n">
        <f aca="false">Inputs!$E$38*(1+Inputs!$E$40)^(T$5-1)*MAX(0,MIN(1,T$4*1-Inputs!$E$41+1))/1</f>
        <v>0.75</v>
      </c>
      <c r="U11" s="114" t="n">
        <f aca="false">Inputs!$E$38*(1+Inputs!$E$40)^(U$5-1)*MAX(0,MIN(1,U$4*1-Inputs!$E$41+1))/1</f>
        <v>0.75</v>
      </c>
      <c r="V11" s="114" t="n">
        <f aca="false">Inputs!$E$38*(1+Inputs!$E$40)^(V$5-1)*MAX(0,MIN(1,V$4*1-Inputs!$E$41+1))/1</f>
        <v>0.75</v>
      </c>
      <c r="W11" s="114" t="n">
        <f aca="false">Inputs!$E$38*(1+Inputs!$E$40)^(W$5-1)*MAX(0,MIN(1,W$4*1-Inputs!$E$41+1))/1</f>
        <v>0.75</v>
      </c>
      <c r="X11" s="114" t="n">
        <f aca="false">Inputs!$E$38*(1+Inputs!$E$40)^(X$5-1)*MAX(0,MIN(1,X$4*1-Inputs!$E$41+1))/1</f>
        <v>0.75</v>
      </c>
      <c r="Y11" s="114" t="n">
        <f aca="false">Inputs!$E$38*(1+Inputs!$E$40)^(Y$5-1)*MAX(0,MIN(1,Y$4*1-Inputs!$E$41+1))/1</f>
        <v>0.75</v>
      </c>
      <c r="Z11" s="114" t="n">
        <f aca="false">Inputs!$E$38*(1+Inputs!$E$40)^(Z$5-1)*MAX(0,MIN(1,Z$4*1-Inputs!$E$41+1))/1</f>
        <v>0.75</v>
      </c>
      <c r="AA11" s="114" t="n">
        <f aca="false">Inputs!$E$38*(1+Inputs!$E$40)^(AA$5-1)*MAX(0,MIN(1,AA$4*1-Inputs!$E$41+1))/1</f>
        <v>1.125</v>
      </c>
      <c r="AB11" s="114" t="n">
        <f aca="false">Inputs!$E$38*(1+Inputs!$E$40)^(AB$5-1)*MAX(0,MIN(1,AB$4*1-Inputs!$E$41+1))/1</f>
        <v>1.125</v>
      </c>
      <c r="AC11" s="114" t="n">
        <f aca="false">Inputs!$E$38*(1+Inputs!$E$40)^(AC$5-1)*MAX(0,MIN(1,AC$4*1-Inputs!$E$41+1))/1</f>
        <v>1.125</v>
      </c>
      <c r="AD11" s="114" t="n">
        <f aca="false">Inputs!$E$38*(1+Inputs!$E$40)^(AD$5-1)*MAX(0,MIN(1,AD$4*1-Inputs!$E$41+1))/1</f>
        <v>1.125</v>
      </c>
      <c r="AE11" s="114" t="n">
        <f aca="false">Inputs!$E$38*(1+Inputs!$E$40)^(AE$5-1)*MAX(0,MIN(1,AE$4*1-Inputs!$E$41+1))/1</f>
        <v>1.125</v>
      </c>
      <c r="AF11" s="114" t="n">
        <f aca="false">Inputs!$E$38*(1+Inputs!$E$40)^(AF$5-1)*MAX(0,MIN(1,AF$4*1-Inputs!$E$41+1))/1</f>
        <v>1.125</v>
      </c>
      <c r="AG11" s="114" t="n">
        <f aca="false">Inputs!$E$38*(1+Inputs!$E$40)^(AG$5-1)*MAX(0,MIN(1,AG$4*1-Inputs!$E$41+1))/1</f>
        <v>1.125</v>
      </c>
      <c r="AH11" s="114" t="n">
        <f aca="false">Inputs!$E$38*(1+Inputs!$E$40)^(AH$5-1)*MAX(0,MIN(1,AH$4*1-Inputs!$E$41+1))/1</f>
        <v>1.125</v>
      </c>
      <c r="AI11" s="114" t="n">
        <f aca="false">Inputs!$E$38*(1+Inputs!$E$40)^(AI$5-1)*MAX(0,MIN(1,AI$4*1-Inputs!$E$41+1))/1</f>
        <v>1.125</v>
      </c>
      <c r="AJ11" s="114" t="n">
        <f aca="false">Inputs!$E$38*(1+Inputs!$E$40)^(AJ$5-1)*MAX(0,MIN(1,AJ$4*1-Inputs!$E$41+1))/1</f>
        <v>1.125</v>
      </c>
      <c r="AK11" s="114" t="n">
        <f aca="false">Inputs!$E$38*(1+Inputs!$E$40)^(AK$5-1)*MAX(0,MIN(1,AK$4*1-Inputs!$E$41+1))/1</f>
        <v>1.125</v>
      </c>
      <c r="AL11" s="114" t="n">
        <f aca="false">Inputs!$E$38*(1+Inputs!$E$40)^(AL$5-1)*MAX(0,MIN(1,AL$4*1-Inputs!$E$41+1))/1</f>
        <v>1.125</v>
      </c>
      <c r="AM11" s="114" t="n">
        <f aca="false">Inputs!$E$38*(1+Inputs!$E$40)^(AM$5-1)*MAX(0,MIN(1,AM$4*1-Inputs!$E$41+1))/1</f>
        <v>1.6875</v>
      </c>
      <c r="AN11" s="114" t="n">
        <f aca="false">Inputs!$E$38*(1+Inputs!$E$40)^(AN$5-1)*MAX(0,MIN(1,AN$4*1-Inputs!$E$41+1))/1</f>
        <v>1.6875</v>
      </c>
      <c r="AO11" s="114" t="n">
        <f aca="false">Inputs!$E$38*(1+Inputs!$E$40)^(AO$5-1)*MAX(0,MIN(1,AO$4*1-Inputs!$E$41+1))/1</f>
        <v>1.6875</v>
      </c>
      <c r="AP11" s="114" t="n">
        <f aca="false">Inputs!$E$38*(1+Inputs!$E$40)^(AP$5-1)*MAX(0,MIN(1,AP$4*1-Inputs!$E$41+1))/1</f>
        <v>1.6875</v>
      </c>
      <c r="AQ11" s="114" t="n">
        <f aca="false">Inputs!$E$38*(1+Inputs!$E$40)^(AQ$5-1)*MAX(0,MIN(1,AQ$4*1-Inputs!$E$41+1))/1</f>
        <v>1.6875</v>
      </c>
      <c r="AR11" s="114" t="n">
        <f aca="false">Inputs!$E$38*(1+Inputs!$E$40)^(AR$5-1)*MAX(0,MIN(1,AR$4*1-Inputs!$E$41+1))/1</f>
        <v>1.6875</v>
      </c>
      <c r="AS11" s="114" t="n">
        <f aca="false">Inputs!$E$38*(1+Inputs!$E$40)^(AS$5-1)*MAX(0,MIN(1,AS$4*1-Inputs!$E$41+1))/1</f>
        <v>1.6875</v>
      </c>
      <c r="AT11" s="114" t="n">
        <f aca="false">Inputs!$E$38*(1+Inputs!$E$40)^(AT$5-1)*MAX(0,MIN(1,AT$4*1-Inputs!$E$41+1))/1</f>
        <v>1.6875</v>
      </c>
      <c r="AU11" s="114" t="n">
        <f aca="false">Inputs!$E$38*(1+Inputs!$E$40)^(AU$5-1)*MAX(0,MIN(1,AU$4*1-Inputs!$E$41+1))/1</f>
        <v>1.6875</v>
      </c>
      <c r="AV11" s="114" t="n">
        <f aca="false">Inputs!$E$38*(1+Inputs!$E$40)^(AV$5-1)*MAX(0,MIN(1,AV$4*1-Inputs!$E$41+1))/1</f>
        <v>1.6875</v>
      </c>
      <c r="AW11" s="114" t="n">
        <f aca="false">Inputs!$E$38*(1+Inputs!$E$40)^(AW$5-1)*MAX(0,MIN(1,AW$4*1-Inputs!$E$41+1))/1</f>
        <v>1.6875</v>
      </c>
      <c r="AX11" s="114" t="n">
        <f aca="false">Inputs!$E$38*(1+Inputs!$E$40)^(AX$5-1)*MAX(0,MIN(1,AX$4*1-Inputs!$E$41+1))/1</f>
        <v>1.6875</v>
      </c>
      <c r="AY11" s="114" t="n">
        <f aca="false">Inputs!$E$38*(1+Inputs!$E$40)^(AY$5-1)*MAX(0,MIN(1,AY$4*1-Inputs!$E$41+1))/1</f>
        <v>2.53125</v>
      </c>
      <c r="AZ11" s="114" t="n">
        <f aca="false">Inputs!$E$38*(1+Inputs!$E$40)^(AZ$5-1)*MAX(0,MIN(1,AZ$4*1-Inputs!$E$41+1))/1</f>
        <v>2.53125</v>
      </c>
      <c r="BA11" s="114" t="n">
        <f aca="false">Inputs!$E$38*(1+Inputs!$E$40)^(BA$5-1)*MAX(0,MIN(1,BA$4*1-Inputs!$E$41+1))/1</f>
        <v>2.53125</v>
      </c>
      <c r="BB11" s="114" t="n">
        <f aca="false">Inputs!$E$38*(1+Inputs!$E$40)^(BB$5-1)*MAX(0,MIN(1,BB$4*1-Inputs!$E$41+1))/1</f>
        <v>2.53125</v>
      </c>
      <c r="BC11" s="114" t="n">
        <f aca="false">Inputs!$E$38*(1+Inputs!$E$40)^(BC$5-1)*MAX(0,MIN(1,BC$4*1-Inputs!$E$41+1))/1</f>
        <v>2.53125</v>
      </c>
      <c r="BD11" s="114" t="n">
        <f aca="false">Inputs!$E$38*(1+Inputs!$E$40)^(BD$5-1)*MAX(0,MIN(1,BD$4*1-Inputs!$E$41+1))/1</f>
        <v>2.53125</v>
      </c>
      <c r="BE11" s="114" t="n">
        <f aca="false">Inputs!$E$38*(1+Inputs!$E$40)^(BE$5-1)*MAX(0,MIN(1,BE$4*1-Inputs!$E$41+1))/1</f>
        <v>2.53125</v>
      </c>
      <c r="BF11" s="114" t="n">
        <f aca="false">Inputs!$E$38*(1+Inputs!$E$40)^(BF$5-1)*MAX(0,MIN(1,BF$4*1-Inputs!$E$41+1))/1</f>
        <v>2.53125</v>
      </c>
      <c r="BG11" s="114" t="n">
        <f aca="false">Inputs!$E$38*(1+Inputs!$E$40)^(BG$5-1)*MAX(0,MIN(1,BG$4*1-Inputs!$E$41+1))/1</f>
        <v>2.53125</v>
      </c>
      <c r="BH11" s="114" t="n">
        <f aca="false">Inputs!$E$38*(1+Inputs!$E$40)^(BH$5-1)*MAX(0,MIN(1,BH$4*1-Inputs!$E$41+1))/1</f>
        <v>2.53125</v>
      </c>
      <c r="BI11" s="114" t="n">
        <f aca="false">Inputs!$E$38*(1+Inputs!$E$40)^(BI$5-1)*MAX(0,MIN(1,BI$4*1-Inputs!$E$41+1))/1</f>
        <v>2.53125</v>
      </c>
      <c r="BJ11" s="114" t="n">
        <f aca="false">Inputs!$E$38*(1+Inputs!$E$40)^(BJ$5-1)*MAX(0,MIN(1,BJ$4*1-Inputs!$E$41+1))/1</f>
        <v>2.53125</v>
      </c>
    </row>
    <row r="12" customFormat="false" ht="15" hidden="false" customHeight="false" outlineLevel="0" collapsed="false">
      <c r="A12" s="111" t="s">
        <v>441</v>
      </c>
      <c r="C12" s="117" t="n">
        <f aca="false">C8+C9+C10+C11</f>
        <v>6</v>
      </c>
      <c r="D12" s="117" t="n">
        <f aca="false">D8+D9+D10+D11</f>
        <v>6</v>
      </c>
      <c r="E12" s="117" t="n">
        <f aca="false">E8+E9+E10+E11</f>
        <v>6</v>
      </c>
      <c r="F12" s="117" t="n">
        <f aca="false">F8+F9+F10+F11</f>
        <v>6</v>
      </c>
      <c r="G12" s="117" t="n">
        <f aca="false">G8+G9+G10+G11</f>
        <v>6</v>
      </c>
      <c r="H12" s="117" t="n">
        <f aca="false">H8+H9+H10+H11</f>
        <v>6</v>
      </c>
      <c r="I12" s="117" t="n">
        <f aca="false">I8+I9+I10+I11</f>
        <v>6</v>
      </c>
      <c r="J12" s="117" t="n">
        <f aca="false">J8+J9+J10+J11</f>
        <v>6</v>
      </c>
      <c r="K12" s="117" t="n">
        <f aca="false">K8+K9+K10+K11</f>
        <v>6</v>
      </c>
      <c r="L12" s="117" t="n">
        <f aca="false">L8+L9+L10+L11</f>
        <v>6</v>
      </c>
      <c r="M12" s="117" t="n">
        <f aca="false">M8+M9+M10+M11</f>
        <v>6</v>
      </c>
      <c r="N12" s="117" t="n">
        <f aca="false">N8+N9+N10+N11</f>
        <v>6</v>
      </c>
      <c r="O12" s="117" t="n">
        <f aca="false">O8+O9+O10+O11</f>
        <v>9</v>
      </c>
      <c r="P12" s="117" t="n">
        <f aca="false">P8+P9+P10+P11</f>
        <v>9</v>
      </c>
      <c r="Q12" s="117" t="n">
        <f aca="false">Q8+Q9+Q10+Q11</f>
        <v>9</v>
      </c>
      <c r="R12" s="117" t="n">
        <f aca="false">R8+R9+R10+R11</f>
        <v>9</v>
      </c>
      <c r="S12" s="117" t="n">
        <f aca="false">S8+S9+S10+S11</f>
        <v>9</v>
      </c>
      <c r="T12" s="117" t="n">
        <f aca="false">T8+T9+T10+T11</f>
        <v>9</v>
      </c>
      <c r="U12" s="117" t="n">
        <f aca="false">U8+U9+U10+U11</f>
        <v>9</v>
      </c>
      <c r="V12" s="117" t="n">
        <f aca="false">V8+V9+V10+V11</f>
        <v>9</v>
      </c>
      <c r="W12" s="117" t="n">
        <f aca="false">W8+W9+W10+W11</f>
        <v>9</v>
      </c>
      <c r="X12" s="117" t="n">
        <f aca="false">X8+X9+X10+X11</f>
        <v>9</v>
      </c>
      <c r="Y12" s="117" t="n">
        <f aca="false">Y8+Y9+Y10+Y11</f>
        <v>9</v>
      </c>
      <c r="Z12" s="117" t="n">
        <f aca="false">Z8+Z9+Z10+Z11</f>
        <v>9</v>
      </c>
      <c r="AA12" s="117" t="n">
        <f aca="false">AA8+AA9+AA10+AA11</f>
        <v>13.5</v>
      </c>
      <c r="AB12" s="117" t="n">
        <f aca="false">AB8+AB9+AB10+AB11</f>
        <v>13.5</v>
      </c>
      <c r="AC12" s="117" t="n">
        <f aca="false">AC8+AC9+AC10+AC11</f>
        <v>13.5</v>
      </c>
      <c r="AD12" s="117" t="n">
        <f aca="false">AD8+AD9+AD10+AD11</f>
        <v>13.5</v>
      </c>
      <c r="AE12" s="117" t="n">
        <f aca="false">AE8+AE9+AE10+AE11</f>
        <v>13.5</v>
      </c>
      <c r="AF12" s="117" t="n">
        <f aca="false">AF8+AF9+AF10+AF11</f>
        <v>13.5</v>
      </c>
      <c r="AG12" s="117" t="n">
        <f aca="false">AG8+AG9+AG10+AG11</f>
        <v>13.5</v>
      </c>
      <c r="AH12" s="117" t="n">
        <f aca="false">AH8+AH9+AH10+AH11</f>
        <v>13.5</v>
      </c>
      <c r="AI12" s="117" t="n">
        <f aca="false">AI8+AI9+AI10+AI11</f>
        <v>13.5</v>
      </c>
      <c r="AJ12" s="117" t="n">
        <f aca="false">AJ8+AJ9+AJ10+AJ11</f>
        <v>13.5</v>
      </c>
      <c r="AK12" s="117" t="n">
        <f aca="false">AK8+AK9+AK10+AK11</f>
        <v>13.5</v>
      </c>
      <c r="AL12" s="117" t="n">
        <f aca="false">AL8+AL9+AL10+AL11</f>
        <v>13.5</v>
      </c>
      <c r="AM12" s="117" t="n">
        <f aca="false">AM8+AM9+AM10+AM11</f>
        <v>20.25</v>
      </c>
      <c r="AN12" s="117" t="n">
        <f aca="false">AN8+AN9+AN10+AN11</f>
        <v>20.25</v>
      </c>
      <c r="AO12" s="117" t="n">
        <f aca="false">AO8+AO9+AO10+AO11</f>
        <v>20.25</v>
      </c>
      <c r="AP12" s="117" t="n">
        <f aca="false">AP8+AP9+AP10+AP11</f>
        <v>20.25</v>
      </c>
      <c r="AQ12" s="117" t="n">
        <f aca="false">AQ8+AQ9+AQ10+AQ11</f>
        <v>20.25</v>
      </c>
      <c r="AR12" s="117" t="n">
        <f aca="false">AR8+AR9+AR10+AR11</f>
        <v>20.25</v>
      </c>
      <c r="AS12" s="117" t="n">
        <f aca="false">AS8+AS9+AS10+AS11</f>
        <v>20.25</v>
      </c>
      <c r="AT12" s="117" t="n">
        <f aca="false">AT8+AT9+AT10+AT11</f>
        <v>20.25</v>
      </c>
      <c r="AU12" s="117" t="n">
        <f aca="false">AU8+AU9+AU10+AU11</f>
        <v>20.25</v>
      </c>
      <c r="AV12" s="117" t="n">
        <f aca="false">AV8+AV9+AV10+AV11</f>
        <v>20.25</v>
      </c>
      <c r="AW12" s="117" t="n">
        <f aca="false">AW8+AW9+AW10+AW11</f>
        <v>20.25</v>
      </c>
      <c r="AX12" s="117" t="n">
        <f aca="false">AX8+AX9+AX10+AX11</f>
        <v>20.25</v>
      </c>
      <c r="AY12" s="117" t="n">
        <f aca="false">AY8+AY9+AY10+AY11</f>
        <v>30.375</v>
      </c>
      <c r="AZ12" s="117" t="n">
        <f aca="false">AZ8+AZ9+AZ10+AZ11</f>
        <v>30.375</v>
      </c>
      <c r="BA12" s="117" t="n">
        <f aca="false">BA8+BA9+BA10+BA11</f>
        <v>30.375</v>
      </c>
      <c r="BB12" s="117" t="n">
        <f aca="false">BB8+BB9+BB10+BB11</f>
        <v>30.375</v>
      </c>
      <c r="BC12" s="117" t="n">
        <f aca="false">BC8+BC9+BC10+BC11</f>
        <v>30.375</v>
      </c>
      <c r="BD12" s="117" t="n">
        <f aca="false">BD8+BD9+BD10+BD11</f>
        <v>30.375</v>
      </c>
      <c r="BE12" s="117" t="n">
        <f aca="false">BE8+BE9+BE10+BE11</f>
        <v>30.375</v>
      </c>
      <c r="BF12" s="117" t="n">
        <f aca="false">BF8+BF9+BF10+BF11</f>
        <v>30.375</v>
      </c>
      <c r="BG12" s="117" t="n">
        <f aca="false">BG8+BG9+BG10+BG11</f>
        <v>30.375</v>
      </c>
      <c r="BH12" s="117" t="n">
        <f aca="false">BH8+BH9+BH10+BH11</f>
        <v>30.375</v>
      </c>
      <c r="BI12" s="117" t="n">
        <f aca="false">BI8+BI9+BI10+BI11</f>
        <v>30.375</v>
      </c>
      <c r="BJ12" s="117" t="n">
        <f aca="false">BJ8+BJ9+BJ10+BJ11</f>
        <v>30.375</v>
      </c>
    </row>
    <row r="14" customFormat="false" ht="15.75" hidden="false" customHeight="true" outlineLevel="0" collapsed="false">
      <c r="A14" s="7" t="s">
        <v>442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customFormat="false" ht="15" hidden="false" customHeight="false" outlineLevel="0" collapsed="false">
      <c r="A15" s="6" t="s">
        <v>443</v>
      </c>
      <c r="C15" s="66" t="n">
        <f aca="false">-C8*Inputs!$E$27/12*1*(1+Inputs!$E$42)*(1+Inputs!$E$43)^(C$5-1)</f>
        <v>-37500</v>
      </c>
      <c r="D15" s="66" t="n">
        <f aca="false">-D8*Inputs!$E$27/12*1*(1+Inputs!$E$42)*(1+Inputs!$E$43)^(D$5-1)</f>
        <v>-37500</v>
      </c>
      <c r="E15" s="66" t="n">
        <f aca="false">-E8*Inputs!$E$27/12*1*(1+Inputs!$E$42)*(1+Inputs!$E$43)^(E$5-1)</f>
        <v>-37500</v>
      </c>
      <c r="F15" s="66" t="n">
        <f aca="false">-F8*Inputs!$E$27/12*1*(1+Inputs!$E$42)*(1+Inputs!$E$43)^(F$5-1)</f>
        <v>-37500</v>
      </c>
      <c r="G15" s="66" t="n">
        <f aca="false">-G8*Inputs!$E$27/12*1*(1+Inputs!$E$42)*(1+Inputs!$E$43)^(G$5-1)</f>
        <v>-37500</v>
      </c>
      <c r="H15" s="66" t="n">
        <f aca="false">-H8*Inputs!$E$27/12*1*(1+Inputs!$E$42)*(1+Inputs!$E$43)^(H$5-1)</f>
        <v>-37500</v>
      </c>
      <c r="I15" s="66" t="n">
        <f aca="false">-I8*Inputs!$E$27/12*1*(1+Inputs!$E$42)*(1+Inputs!$E$43)^(I$5-1)</f>
        <v>-37500</v>
      </c>
      <c r="J15" s="66" t="n">
        <f aca="false">-J8*Inputs!$E$27/12*1*(1+Inputs!$E$42)*(1+Inputs!$E$43)^(J$5-1)</f>
        <v>-37500</v>
      </c>
      <c r="K15" s="66" t="n">
        <f aca="false">-K8*Inputs!$E$27/12*1*(1+Inputs!$E$42)*(1+Inputs!$E$43)^(K$5-1)</f>
        <v>-37500</v>
      </c>
      <c r="L15" s="66" t="n">
        <f aca="false">-L8*Inputs!$E$27/12*1*(1+Inputs!$E$42)*(1+Inputs!$E$43)^(L$5-1)</f>
        <v>-37500</v>
      </c>
      <c r="M15" s="66" t="n">
        <f aca="false">-M8*Inputs!$E$27/12*1*(1+Inputs!$E$42)*(1+Inputs!$E$43)^(M$5-1)</f>
        <v>-37500</v>
      </c>
      <c r="N15" s="66" t="n">
        <f aca="false">-N8*Inputs!$E$27/12*1*(1+Inputs!$E$42)*(1+Inputs!$E$43)^(N$5-1)</f>
        <v>-37500</v>
      </c>
      <c r="O15" s="66" t="n">
        <f aca="false">-O8*Inputs!$E$27/12*1*(1+Inputs!$E$42)*(1+Inputs!$E$43)^(O$5-1)</f>
        <v>-58500</v>
      </c>
      <c r="P15" s="66" t="n">
        <f aca="false">-P8*Inputs!$E$27/12*1*(1+Inputs!$E$42)*(1+Inputs!$E$43)^(P$5-1)</f>
        <v>-58500</v>
      </c>
      <c r="Q15" s="66" t="n">
        <f aca="false">-Q8*Inputs!$E$27/12*1*(1+Inputs!$E$42)*(1+Inputs!$E$43)^(Q$5-1)</f>
        <v>-58500</v>
      </c>
      <c r="R15" s="66" t="n">
        <f aca="false">-R8*Inputs!$E$27/12*1*(1+Inputs!$E$42)*(1+Inputs!$E$43)^(R$5-1)</f>
        <v>-58500</v>
      </c>
      <c r="S15" s="66" t="n">
        <f aca="false">-S8*Inputs!$E$27/12*1*(1+Inputs!$E$42)*(1+Inputs!$E$43)^(S$5-1)</f>
        <v>-58500</v>
      </c>
      <c r="T15" s="66" t="n">
        <f aca="false">-T8*Inputs!$E$27/12*1*(1+Inputs!$E$42)*(1+Inputs!$E$43)^(T$5-1)</f>
        <v>-58500</v>
      </c>
      <c r="U15" s="66" t="n">
        <f aca="false">-U8*Inputs!$E$27/12*1*(1+Inputs!$E$42)*(1+Inputs!$E$43)^(U$5-1)</f>
        <v>-58500</v>
      </c>
      <c r="V15" s="66" t="n">
        <f aca="false">-V8*Inputs!$E$27/12*1*(1+Inputs!$E$42)*(1+Inputs!$E$43)^(V$5-1)</f>
        <v>-58500</v>
      </c>
      <c r="W15" s="66" t="n">
        <f aca="false">-W8*Inputs!$E$27/12*1*(1+Inputs!$E$42)*(1+Inputs!$E$43)^(W$5-1)</f>
        <v>-58500</v>
      </c>
      <c r="X15" s="66" t="n">
        <f aca="false">-X8*Inputs!$E$27/12*1*(1+Inputs!$E$42)*(1+Inputs!$E$43)^(X$5-1)</f>
        <v>-58500</v>
      </c>
      <c r="Y15" s="66" t="n">
        <f aca="false">-Y8*Inputs!$E$27/12*1*(1+Inputs!$E$42)*(1+Inputs!$E$43)^(Y$5-1)</f>
        <v>-58500</v>
      </c>
      <c r="Z15" s="66" t="n">
        <f aca="false">-Z8*Inputs!$E$27/12*1*(1+Inputs!$E$42)*(1+Inputs!$E$43)^(Z$5-1)</f>
        <v>-58500</v>
      </c>
      <c r="AA15" s="66" t="n">
        <f aca="false">-AA8*Inputs!$E$27/12*1*(1+Inputs!$E$42)*(1+Inputs!$E$43)^(AA$5-1)</f>
        <v>-91260</v>
      </c>
      <c r="AB15" s="66" t="n">
        <f aca="false">-AB8*Inputs!$E$27/12*1*(1+Inputs!$E$42)*(1+Inputs!$E$43)^(AB$5-1)</f>
        <v>-91260</v>
      </c>
      <c r="AC15" s="66" t="n">
        <f aca="false">-AC8*Inputs!$E$27/12*1*(1+Inputs!$E$42)*(1+Inputs!$E$43)^(AC$5-1)</f>
        <v>-91260</v>
      </c>
      <c r="AD15" s="66" t="n">
        <f aca="false">-AD8*Inputs!$E$27/12*1*(1+Inputs!$E$42)*(1+Inputs!$E$43)^(AD$5-1)</f>
        <v>-91260</v>
      </c>
      <c r="AE15" s="66" t="n">
        <f aca="false">-AE8*Inputs!$E$27/12*1*(1+Inputs!$E$42)*(1+Inputs!$E$43)^(AE$5-1)</f>
        <v>-91260</v>
      </c>
      <c r="AF15" s="66" t="n">
        <f aca="false">-AF8*Inputs!$E$27/12*1*(1+Inputs!$E$42)*(1+Inputs!$E$43)^(AF$5-1)</f>
        <v>-91260</v>
      </c>
      <c r="AG15" s="66" t="n">
        <f aca="false">-AG8*Inputs!$E$27/12*1*(1+Inputs!$E$42)*(1+Inputs!$E$43)^(AG$5-1)</f>
        <v>-91260</v>
      </c>
      <c r="AH15" s="66" t="n">
        <f aca="false">-AH8*Inputs!$E$27/12*1*(1+Inputs!$E$42)*(1+Inputs!$E$43)^(AH$5-1)</f>
        <v>-91260</v>
      </c>
      <c r="AI15" s="66" t="n">
        <f aca="false">-AI8*Inputs!$E$27/12*1*(1+Inputs!$E$42)*(1+Inputs!$E$43)^(AI$5-1)</f>
        <v>-91260</v>
      </c>
      <c r="AJ15" s="66" t="n">
        <f aca="false">-AJ8*Inputs!$E$27/12*1*(1+Inputs!$E$42)*(1+Inputs!$E$43)^(AJ$5-1)</f>
        <v>-91260</v>
      </c>
      <c r="AK15" s="66" t="n">
        <f aca="false">-AK8*Inputs!$E$27/12*1*(1+Inputs!$E$42)*(1+Inputs!$E$43)^(AK$5-1)</f>
        <v>-91260</v>
      </c>
      <c r="AL15" s="66" t="n">
        <f aca="false">-AL8*Inputs!$E$27/12*1*(1+Inputs!$E$42)*(1+Inputs!$E$43)^(AL$5-1)</f>
        <v>-91260</v>
      </c>
      <c r="AM15" s="66" t="n">
        <f aca="false">-AM8*Inputs!$E$27/12*1*(1+Inputs!$E$42)*(1+Inputs!$E$43)^(AM$5-1)</f>
        <v>-142365.6</v>
      </c>
      <c r="AN15" s="66" t="n">
        <f aca="false">-AN8*Inputs!$E$27/12*1*(1+Inputs!$E$42)*(1+Inputs!$E$43)^(AN$5-1)</f>
        <v>-142365.6</v>
      </c>
      <c r="AO15" s="66" t="n">
        <f aca="false">-AO8*Inputs!$E$27/12*1*(1+Inputs!$E$42)*(1+Inputs!$E$43)^(AO$5-1)</f>
        <v>-142365.6</v>
      </c>
      <c r="AP15" s="66" t="n">
        <f aca="false">-AP8*Inputs!$E$27/12*1*(1+Inputs!$E$42)*(1+Inputs!$E$43)^(AP$5-1)</f>
        <v>-142365.6</v>
      </c>
      <c r="AQ15" s="66" t="n">
        <f aca="false">-AQ8*Inputs!$E$27/12*1*(1+Inputs!$E$42)*(1+Inputs!$E$43)^(AQ$5-1)</f>
        <v>-142365.6</v>
      </c>
      <c r="AR15" s="66" t="n">
        <f aca="false">-AR8*Inputs!$E$27/12*1*(1+Inputs!$E$42)*(1+Inputs!$E$43)^(AR$5-1)</f>
        <v>-142365.6</v>
      </c>
      <c r="AS15" s="66" t="n">
        <f aca="false">-AS8*Inputs!$E$27/12*1*(1+Inputs!$E$42)*(1+Inputs!$E$43)^(AS$5-1)</f>
        <v>-142365.6</v>
      </c>
      <c r="AT15" s="66" t="n">
        <f aca="false">-AT8*Inputs!$E$27/12*1*(1+Inputs!$E$42)*(1+Inputs!$E$43)^(AT$5-1)</f>
        <v>-142365.6</v>
      </c>
      <c r="AU15" s="66" t="n">
        <f aca="false">-AU8*Inputs!$E$27/12*1*(1+Inputs!$E$42)*(1+Inputs!$E$43)^(AU$5-1)</f>
        <v>-142365.6</v>
      </c>
      <c r="AV15" s="66" t="n">
        <f aca="false">-AV8*Inputs!$E$27/12*1*(1+Inputs!$E$42)*(1+Inputs!$E$43)^(AV$5-1)</f>
        <v>-142365.6</v>
      </c>
      <c r="AW15" s="66" t="n">
        <f aca="false">-AW8*Inputs!$E$27/12*1*(1+Inputs!$E$42)*(1+Inputs!$E$43)^(AW$5-1)</f>
        <v>-142365.6</v>
      </c>
      <c r="AX15" s="66" t="n">
        <f aca="false">-AX8*Inputs!$E$27/12*1*(1+Inputs!$E$42)*(1+Inputs!$E$43)^(AX$5-1)</f>
        <v>-142365.6</v>
      </c>
      <c r="AY15" s="66" t="n">
        <f aca="false">-AY8*Inputs!$E$27/12*1*(1+Inputs!$E$42)*(1+Inputs!$E$43)^(AY$5-1)</f>
        <v>-222090.336</v>
      </c>
      <c r="AZ15" s="66" t="n">
        <f aca="false">-AZ8*Inputs!$E$27/12*1*(1+Inputs!$E$42)*(1+Inputs!$E$43)^(AZ$5-1)</f>
        <v>-222090.336</v>
      </c>
      <c r="BA15" s="66" t="n">
        <f aca="false">-BA8*Inputs!$E$27/12*1*(1+Inputs!$E$42)*(1+Inputs!$E$43)^(BA$5-1)</f>
        <v>-222090.336</v>
      </c>
      <c r="BB15" s="66" t="n">
        <f aca="false">-BB8*Inputs!$E$27/12*1*(1+Inputs!$E$42)*(1+Inputs!$E$43)^(BB$5-1)</f>
        <v>-222090.336</v>
      </c>
      <c r="BC15" s="66" t="n">
        <f aca="false">-BC8*Inputs!$E$27/12*1*(1+Inputs!$E$42)*(1+Inputs!$E$43)^(BC$5-1)</f>
        <v>-222090.336</v>
      </c>
      <c r="BD15" s="66" t="n">
        <f aca="false">-BD8*Inputs!$E$27/12*1*(1+Inputs!$E$42)*(1+Inputs!$E$43)^(BD$5-1)</f>
        <v>-222090.336</v>
      </c>
      <c r="BE15" s="66" t="n">
        <f aca="false">-BE8*Inputs!$E$27/12*1*(1+Inputs!$E$42)*(1+Inputs!$E$43)^(BE$5-1)</f>
        <v>-222090.336</v>
      </c>
      <c r="BF15" s="66" t="n">
        <f aca="false">-BF8*Inputs!$E$27/12*1*(1+Inputs!$E$42)*(1+Inputs!$E$43)^(BF$5-1)</f>
        <v>-222090.336</v>
      </c>
      <c r="BG15" s="66" t="n">
        <f aca="false">-BG8*Inputs!$E$27/12*1*(1+Inputs!$E$42)*(1+Inputs!$E$43)^(BG$5-1)</f>
        <v>-222090.336</v>
      </c>
      <c r="BH15" s="66" t="n">
        <f aca="false">-BH8*Inputs!$E$27/12*1*(1+Inputs!$E$42)*(1+Inputs!$E$43)^(BH$5-1)</f>
        <v>-222090.336</v>
      </c>
      <c r="BI15" s="66" t="n">
        <f aca="false">-BI8*Inputs!$E$27/12*1*(1+Inputs!$E$42)*(1+Inputs!$E$43)^(BI$5-1)</f>
        <v>-222090.336</v>
      </c>
      <c r="BJ15" s="66" t="n">
        <f aca="false">-BJ8*Inputs!$E$27/12*1*(1+Inputs!$E$42)*(1+Inputs!$E$43)^(BJ$5-1)</f>
        <v>-222090.336</v>
      </c>
    </row>
    <row r="16" customFormat="false" ht="15" hidden="false" customHeight="false" outlineLevel="0" collapsed="false">
      <c r="A16" s="6" t="s">
        <v>444</v>
      </c>
      <c r="C16" s="66" t="n">
        <f aca="false">-C9*Inputs!$E$31/12*1*(1+Inputs!$E$42)*(1+Inputs!$E$43)^(C$5-1)</f>
        <v>-14250</v>
      </c>
      <c r="D16" s="66" t="n">
        <f aca="false">-D9*Inputs!$E$31/12*1*(1+Inputs!$E$42)*(1+Inputs!$E$43)^(D$5-1)</f>
        <v>-14250</v>
      </c>
      <c r="E16" s="66" t="n">
        <f aca="false">-E9*Inputs!$E$31/12*1*(1+Inputs!$E$42)*(1+Inputs!$E$43)^(E$5-1)</f>
        <v>-14250</v>
      </c>
      <c r="F16" s="66" t="n">
        <f aca="false">-F9*Inputs!$E$31/12*1*(1+Inputs!$E$42)*(1+Inputs!$E$43)^(F$5-1)</f>
        <v>-14250</v>
      </c>
      <c r="G16" s="66" t="n">
        <f aca="false">-G9*Inputs!$E$31/12*1*(1+Inputs!$E$42)*(1+Inputs!$E$43)^(G$5-1)</f>
        <v>-14250</v>
      </c>
      <c r="H16" s="66" t="n">
        <f aca="false">-H9*Inputs!$E$31/12*1*(1+Inputs!$E$42)*(1+Inputs!$E$43)^(H$5-1)</f>
        <v>-14250</v>
      </c>
      <c r="I16" s="66" t="n">
        <f aca="false">-I9*Inputs!$E$31/12*1*(1+Inputs!$E$42)*(1+Inputs!$E$43)^(I$5-1)</f>
        <v>-14250</v>
      </c>
      <c r="J16" s="66" t="n">
        <f aca="false">-J9*Inputs!$E$31/12*1*(1+Inputs!$E$42)*(1+Inputs!$E$43)^(J$5-1)</f>
        <v>-14250</v>
      </c>
      <c r="K16" s="66" t="n">
        <f aca="false">-K9*Inputs!$E$31/12*1*(1+Inputs!$E$42)*(1+Inputs!$E$43)^(K$5-1)</f>
        <v>-14250</v>
      </c>
      <c r="L16" s="66" t="n">
        <f aca="false">-L9*Inputs!$E$31/12*1*(1+Inputs!$E$42)*(1+Inputs!$E$43)^(L$5-1)</f>
        <v>-14250</v>
      </c>
      <c r="M16" s="66" t="n">
        <f aca="false">-M9*Inputs!$E$31/12*1*(1+Inputs!$E$42)*(1+Inputs!$E$43)^(M$5-1)</f>
        <v>-14250</v>
      </c>
      <c r="N16" s="66" t="n">
        <f aca="false">-N9*Inputs!$E$31/12*1*(1+Inputs!$E$42)*(1+Inputs!$E$43)^(N$5-1)</f>
        <v>-14250</v>
      </c>
      <c r="O16" s="66" t="n">
        <f aca="false">-O9*Inputs!$E$31/12*1*(1+Inputs!$E$42)*(1+Inputs!$E$43)^(O$5-1)</f>
        <v>-22230</v>
      </c>
      <c r="P16" s="66" t="n">
        <f aca="false">-P9*Inputs!$E$31/12*1*(1+Inputs!$E$42)*(1+Inputs!$E$43)^(P$5-1)</f>
        <v>-22230</v>
      </c>
      <c r="Q16" s="66" t="n">
        <f aca="false">-Q9*Inputs!$E$31/12*1*(1+Inputs!$E$42)*(1+Inputs!$E$43)^(Q$5-1)</f>
        <v>-22230</v>
      </c>
      <c r="R16" s="66" t="n">
        <f aca="false">-R9*Inputs!$E$31/12*1*(1+Inputs!$E$42)*(1+Inputs!$E$43)^(R$5-1)</f>
        <v>-22230</v>
      </c>
      <c r="S16" s="66" t="n">
        <f aca="false">-S9*Inputs!$E$31/12*1*(1+Inputs!$E$42)*(1+Inputs!$E$43)^(S$5-1)</f>
        <v>-22230</v>
      </c>
      <c r="T16" s="66" t="n">
        <f aca="false">-T9*Inputs!$E$31/12*1*(1+Inputs!$E$42)*(1+Inputs!$E$43)^(T$5-1)</f>
        <v>-22230</v>
      </c>
      <c r="U16" s="66" t="n">
        <f aca="false">-U9*Inputs!$E$31/12*1*(1+Inputs!$E$42)*(1+Inputs!$E$43)^(U$5-1)</f>
        <v>-22230</v>
      </c>
      <c r="V16" s="66" t="n">
        <f aca="false">-V9*Inputs!$E$31/12*1*(1+Inputs!$E$42)*(1+Inputs!$E$43)^(V$5-1)</f>
        <v>-22230</v>
      </c>
      <c r="W16" s="66" t="n">
        <f aca="false">-W9*Inputs!$E$31/12*1*(1+Inputs!$E$42)*(1+Inputs!$E$43)^(W$5-1)</f>
        <v>-22230</v>
      </c>
      <c r="X16" s="66" t="n">
        <f aca="false">-X9*Inputs!$E$31/12*1*(1+Inputs!$E$42)*(1+Inputs!$E$43)^(X$5-1)</f>
        <v>-22230</v>
      </c>
      <c r="Y16" s="66" t="n">
        <f aca="false">-Y9*Inputs!$E$31/12*1*(1+Inputs!$E$42)*(1+Inputs!$E$43)^(Y$5-1)</f>
        <v>-22230</v>
      </c>
      <c r="Z16" s="66" t="n">
        <f aca="false">-Z9*Inputs!$E$31/12*1*(1+Inputs!$E$42)*(1+Inputs!$E$43)^(Z$5-1)</f>
        <v>-22230</v>
      </c>
      <c r="AA16" s="66" t="n">
        <f aca="false">-AA9*Inputs!$E$31/12*1*(1+Inputs!$E$42)*(1+Inputs!$E$43)^(AA$5-1)</f>
        <v>-34678.8</v>
      </c>
      <c r="AB16" s="66" t="n">
        <f aca="false">-AB9*Inputs!$E$31/12*1*(1+Inputs!$E$42)*(1+Inputs!$E$43)^(AB$5-1)</f>
        <v>-34678.8</v>
      </c>
      <c r="AC16" s="66" t="n">
        <f aca="false">-AC9*Inputs!$E$31/12*1*(1+Inputs!$E$42)*(1+Inputs!$E$43)^(AC$5-1)</f>
        <v>-34678.8</v>
      </c>
      <c r="AD16" s="66" t="n">
        <f aca="false">-AD9*Inputs!$E$31/12*1*(1+Inputs!$E$42)*(1+Inputs!$E$43)^(AD$5-1)</f>
        <v>-34678.8</v>
      </c>
      <c r="AE16" s="66" t="n">
        <f aca="false">-AE9*Inputs!$E$31/12*1*(1+Inputs!$E$42)*(1+Inputs!$E$43)^(AE$5-1)</f>
        <v>-34678.8</v>
      </c>
      <c r="AF16" s="66" t="n">
        <f aca="false">-AF9*Inputs!$E$31/12*1*(1+Inputs!$E$42)*(1+Inputs!$E$43)^(AF$5-1)</f>
        <v>-34678.8</v>
      </c>
      <c r="AG16" s="66" t="n">
        <f aca="false">-AG9*Inputs!$E$31/12*1*(1+Inputs!$E$42)*(1+Inputs!$E$43)^(AG$5-1)</f>
        <v>-34678.8</v>
      </c>
      <c r="AH16" s="66" t="n">
        <f aca="false">-AH9*Inputs!$E$31/12*1*(1+Inputs!$E$42)*(1+Inputs!$E$43)^(AH$5-1)</f>
        <v>-34678.8</v>
      </c>
      <c r="AI16" s="66" t="n">
        <f aca="false">-AI9*Inputs!$E$31/12*1*(1+Inputs!$E$42)*(1+Inputs!$E$43)^(AI$5-1)</f>
        <v>-34678.8</v>
      </c>
      <c r="AJ16" s="66" t="n">
        <f aca="false">-AJ9*Inputs!$E$31/12*1*(1+Inputs!$E$42)*(1+Inputs!$E$43)^(AJ$5-1)</f>
        <v>-34678.8</v>
      </c>
      <c r="AK16" s="66" t="n">
        <f aca="false">-AK9*Inputs!$E$31/12*1*(1+Inputs!$E$42)*(1+Inputs!$E$43)^(AK$5-1)</f>
        <v>-34678.8</v>
      </c>
      <c r="AL16" s="66" t="n">
        <f aca="false">-AL9*Inputs!$E$31/12*1*(1+Inputs!$E$42)*(1+Inputs!$E$43)^(AL$5-1)</f>
        <v>-34678.8</v>
      </c>
      <c r="AM16" s="66" t="n">
        <f aca="false">-AM9*Inputs!$E$31/12*1*(1+Inputs!$E$42)*(1+Inputs!$E$43)^(AM$5-1)</f>
        <v>-54098.928</v>
      </c>
      <c r="AN16" s="66" t="n">
        <f aca="false">-AN9*Inputs!$E$31/12*1*(1+Inputs!$E$42)*(1+Inputs!$E$43)^(AN$5-1)</f>
        <v>-54098.928</v>
      </c>
      <c r="AO16" s="66" t="n">
        <f aca="false">-AO9*Inputs!$E$31/12*1*(1+Inputs!$E$42)*(1+Inputs!$E$43)^(AO$5-1)</f>
        <v>-54098.928</v>
      </c>
      <c r="AP16" s="66" t="n">
        <f aca="false">-AP9*Inputs!$E$31/12*1*(1+Inputs!$E$42)*(1+Inputs!$E$43)^(AP$5-1)</f>
        <v>-54098.928</v>
      </c>
      <c r="AQ16" s="66" t="n">
        <f aca="false">-AQ9*Inputs!$E$31/12*1*(1+Inputs!$E$42)*(1+Inputs!$E$43)^(AQ$5-1)</f>
        <v>-54098.928</v>
      </c>
      <c r="AR16" s="66" t="n">
        <f aca="false">-AR9*Inputs!$E$31/12*1*(1+Inputs!$E$42)*(1+Inputs!$E$43)^(AR$5-1)</f>
        <v>-54098.928</v>
      </c>
      <c r="AS16" s="66" t="n">
        <f aca="false">-AS9*Inputs!$E$31/12*1*(1+Inputs!$E$42)*(1+Inputs!$E$43)^(AS$5-1)</f>
        <v>-54098.928</v>
      </c>
      <c r="AT16" s="66" t="n">
        <f aca="false">-AT9*Inputs!$E$31/12*1*(1+Inputs!$E$42)*(1+Inputs!$E$43)^(AT$5-1)</f>
        <v>-54098.928</v>
      </c>
      <c r="AU16" s="66" t="n">
        <f aca="false">-AU9*Inputs!$E$31/12*1*(1+Inputs!$E$42)*(1+Inputs!$E$43)^(AU$5-1)</f>
        <v>-54098.928</v>
      </c>
      <c r="AV16" s="66" t="n">
        <f aca="false">-AV9*Inputs!$E$31/12*1*(1+Inputs!$E$42)*(1+Inputs!$E$43)^(AV$5-1)</f>
        <v>-54098.928</v>
      </c>
      <c r="AW16" s="66" t="n">
        <f aca="false">-AW9*Inputs!$E$31/12*1*(1+Inputs!$E$42)*(1+Inputs!$E$43)^(AW$5-1)</f>
        <v>-54098.928</v>
      </c>
      <c r="AX16" s="66" t="n">
        <f aca="false">-AX9*Inputs!$E$31/12*1*(1+Inputs!$E$42)*(1+Inputs!$E$43)^(AX$5-1)</f>
        <v>-54098.928</v>
      </c>
      <c r="AY16" s="66" t="n">
        <f aca="false">-AY9*Inputs!$E$31/12*1*(1+Inputs!$E$42)*(1+Inputs!$E$43)^(AY$5-1)</f>
        <v>-84394.32768</v>
      </c>
      <c r="AZ16" s="66" t="n">
        <f aca="false">-AZ9*Inputs!$E$31/12*1*(1+Inputs!$E$42)*(1+Inputs!$E$43)^(AZ$5-1)</f>
        <v>-84394.32768</v>
      </c>
      <c r="BA16" s="66" t="n">
        <f aca="false">-BA9*Inputs!$E$31/12*1*(1+Inputs!$E$42)*(1+Inputs!$E$43)^(BA$5-1)</f>
        <v>-84394.32768</v>
      </c>
      <c r="BB16" s="66" t="n">
        <f aca="false">-BB9*Inputs!$E$31/12*1*(1+Inputs!$E$42)*(1+Inputs!$E$43)^(BB$5-1)</f>
        <v>-84394.32768</v>
      </c>
      <c r="BC16" s="66" t="n">
        <f aca="false">-BC9*Inputs!$E$31/12*1*(1+Inputs!$E$42)*(1+Inputs!$E$43)^(BC$5-1)</f>
        <v>-84394.32768</v>
      </c>
      <c r="BD16" s="66" t="n">
        <f aca="false">-BD9*Inputs!$E$31/12*1*(1+Inputs!$E$42)*(1+Inputs!$E$43)^(BD$5-1)</f>
        <v>-84394.32768</v>
      </c>
      <c r="BE16" s="66" t="n">
        <f aca="false">-BE9*Inputs!$E$31/12*1*(1+Inputs!$E$42)*(1+Inputs!$E$43)^(BE$5-1)</f>
        <v>-84394.32768</v>
      </c>
      <c r="BF16" s="66" t="n">
        <f aca="false">-BF9*Inputs!$E$31/12*1*(1+Inputs!$E$42)*(1+Inputs!$E$43)^(BF$5-1)</f>
        <v>-84394.32768</v>
      </c>
      <c r="BG16" s="66" t="n">
        <f aca="false">-BG9*Inputs!$E$31/12*1*(1+Inputs!$E$42)*(1+Inputs!$E$43)^(BG$5-1)</f>
        <v>-84394.32768</v>
      </c>
      <c r="BH16" s="66" t="n">
        <f aca="false">-BH9*Inputs!$E$31/12*1*(1+Inputs!$E$42)*(1+Inputs!$E$43)^(BH$5-1)</f>
        <v>-84394.32768</v>
      </c>
      <c r="BI16" s="66" t="n">
        <f aca="false">-BI9*Inputs!$E$31/12*1*(1+Inputs!$E$42)*(1+Inputs!$E$43)^(BI$5-1)</f>
        <v>-84394.32768</v>
      </c>
      <c r="BJ16" s="66" t="n">
        <f aca="false">-BJ9*Inputs!$E$31/12*1*(1+Inputs!$E$42)*(1+Inputs!$E$43)^(BJ$5-1)</f>
        <v>-84394.32768</v>
      </c>
    </row>
    <row r="17" customFormat="false" ht="15" hidden="false" customHeight="false" outlineLevel="0" collapsed="false">
      <c r="A17" s="6" t="s">
        <v>445</v>
      </c>
      <c r="C17" s="66" t="n">
        <f aca="false">-C10*Inputs!$E$35/12*1*(1+Inputs!$E$42)*(1+Inputs!$E$43)^(C$5-1)</f>
        <v>-6000</v>
      </c>
      <c r="D17" s="66" t="n">
        <f aca="false">-D10*Inputs!$E$35/12*1*(1+Inputs!$E$42)*(1+Inputs!$E$43)^(D$5-1)</f>
        <v>-6000</v>
      </c>
      <c r="E17" s="66" t="n">
        <f aca="false">-E10*Inputs!$E$35/12*1*(1+Inputs!$E$42)*(1+Inputs!$E$43)^(E$5-1)</f>
        <v>-6000</v>
      </c>
      <c r="F17" s="66" t="n">
        <f aca="false">-F10*Inputs!$E$35/12*1*(1+Inputs!$E$42)*(1+Inputs!$E$43)^(F$5-1)</f>
        <v>-6000</v>
      </c>
      <c r="G17" s="66" t="n">
        <f aca="false">-G10*Inputs!$E$35/12*1*(1+Inputs!$E$42)*(1+Inputs!$E$43)^(G$5-1)</f>
        <v>-6000</v>
      </c>
      <c r="H17" s="66" t="n">
        <f aca="false">-H10*Inputs!$E$35/12*1*(1+Inputs!$E$42)*(1+Inputs!$E$43)^(H$5-1)</f>
        <v>-6000</v>
      </c>
      <c r="I17" s="66" t="n">
        <f aca="false">-I10*Inputs!$E$35/12*1*(1+Inputs!$E$42)*(1+Inputs!$E$43)^(I$5-1)</f>
        <v>-6000</v>
      </c>
      <c r="J17" s="66" t="n">
        <f aca="false">-J10*Inputs!$E$35/12*1*(1+Inputs!$E$42)*(1+Inputs!$E$43)^(J$5-1)</f>
        <v>-6000</v>
      </c>
      <c r="K17" s="66" t="n">
        <f aca="false">-K10*Inputs!$E$35/12*1*(1+Inputs!$E$42)*(1+Inputs!$E$43)^(K$5-1)</f>
        <v>-6000</v>
      </c>
      <c r="L17" s="66" t="n">
        <f aca="false">-L10*Inputs!$E$35/12*1*(1+Inputs!$E$42)*(1+Inputs!$E$43)^(L$5-1)</f>
        <v>-6000</v>
      </c>
      <c r="M17" s="66" t="n">
        <f aca="false">-M10*Inputs!$E$35/12*1*(1+Inputs!$E$42)*(1+Inputs!$E$43)^(M$5-1)</f>
        <v>-6000</v>
      </c>
      <c r="N17" s="66" t="n">
        <f aca="false">-N10*Inputs!$E$35/12*1*(1+Inputs!$E$42)*(1+Inputs!$E$43)^(N$5-1)</f>
        <v>-6000</v>
      </c>
      <c r="O17" s="66" t="n">
        <f aca="false">-O10*Inputs!$E$35/12*1*(1+Inputs!$E$42)*(1+Inputs!$E$43)^(O$5-1)</f>
        <v>-9360</v>
      </c>
      <c r="P17" s="66" t="n">
        <f aca="false">-P10*Inputs!$E$35/12*1*(1+Inputs!$E$42)*(1+Inputs!$E$43)^(P$5-1)</f>
        <v>-9360</v>
      </c>
      <c r="Q17" s="66" t="n">
        <f aca="false">-Q10*Inputs!$E$35/12*1*(1+Inputs!$E$42)*(1+Inputs!$E$43)^(Q$5-1)</f>
        <v>-9360</v>
      </c>
      <c r="R17" s="66" t="n">
        <f aca="false">-R10*Inputs!$E$35/12*1*(1+Inputs!$E$42)*(1+Inputs!$E$43)^(R$5-1)</f>
        <v>-9360</v>
      </c>
      <c r="S17" s="66" t="n">
        <f aca="false">-S10*Inputs!$E$35/12*1*(1+Inputs!$E$42)*(1+Inputs!$E$43)^(S$5-1)</f>
        <v>-9360</v>
      </c>
      <c r="T17" s="66" t="n">
        <f aca="false">-T10*Inputs!$E$35/12*1*(1+Inputs!$E$42)*(1+Inputs!$E$43)^(T$5-1)</f>
        <v>-9360</v>
      </c>
      <c r="U17" s="66" t="n">
        <f aca="false">-U10*Inputs!$E$35/12*1*(1+Inputs!$E$42)*(1+Inputs!$E$43)^(U$5-1)</f>
        <v>-9360</v>
      </c>
      <c r="V17" s="66" t="n">
        <f aca="false">-V10*Inputs!$E$35/12*1*(1+Inputs!$E$42)*(1+Inputs!$E$43)^(V$5-1)</f>
        <v>-9360</v>
      </c>
      <c r="W17" s="66" t="n">
        <f aca="false">-W10*Inputs!$E$35/12*1*(1+Inputs!$E$42)*(1+Inputs!$E$43)^(W$5-1)</f>
        <v>-9360</v>
      </c>
      <c r="X17" s="66" t="n">
        <f aca="false">-X10*Inputs!$E$35/12*1*(1+Inputs!$E$42)*(1+Inputs!$E$43)^(X$5-1)</f>
        <v>-9360</v>
      </c>
      <c r="Y17" s="66" t="n">
        <f aca="false">-Y10*Inputs!$E$35/12*1*(1+Inputs!$E$42)*(1+Inputs!$E$43)^(Y$5-1)</f>
        <v>-9360</v>
      </c>
      <c r="Z17" s="66" t="n">
        <f aca="false">-Z10*Inputs!$E$35/12*1*(1+Inputs!$E$42)*(1+Inputs!$E$43)^(Z$5-1)</f>
        <v>-9360</v>
      </c>
      <c r="AA17" s="66" t="n">
        <f aca="false">-AA10*Inputs!$E$35/12*1*(1+Inputs!$E$42)*(1+Inputs!$E$43)^(AA$5-1)</f>
        <v>-14601.6</v>
      </c>
      <c r="AB17" s="66" t="n">
        <f aca="false">-AB10*Inputs!$E$35/12*1*(1+Inputs!$E$42)*(1+Inputs!$E$43)^(AB$5-1)</f>
        <v>-14601.6</v>
      </c>
      <c r="AC17" s="66" t="n">
        <f aca="false">-AC10*Inputs!$E$35/12*1*(1+Inputs!$E$42)*(1+Inputs!$E$43)^(AC$5-1)</f>
        <v>-14601.6</v>
      </c>
      <c r="AD17" s="66" t="n">
        <f aca="false">-AD10*Inputs!$E$35/12*1*(1+Inputs!$E$42)*(1+Inputs!$E$43)^(AD$5-1)</f>
        <v>-14601.6</v>
      </c>
      <c r="AE17" s="66" t="n">
        <f aca="false">-AE10*Inputs!$E$35/12*1*(1+Inputs!$E$42)*(1+Inputs!$E$43)^(AE$5-1)</f>
        <v>-14601.6</v>
      </c>
      <c r="AF17" s="66" t="n">
        <f aca="false">-AF10*Inputs!$E$35/12*1*(1+Inputs!$E$42)*(1+Inputs!$E$43)^(AF$5-1)</f>
        <v>-14601.6</v>
      </c>
      <c r="AG17" s="66" t="n">
        <f aca="false">-AG10*Inputs!$E$35/12*1*(1+Inputs!$E$42)*(1+Inputs!$E$43)^(AG$5-1)</f>
        <v>-14601.6</v>
      </c>
      <c r="AH17" s="66" t="n">
        <f aca="false">-AH10*Inputs!$E$35/12*1*(1+Inputs!$E$42)*(1+Inputs!$E$43)^(AH$5-1)</f>
        <v>-14601.6</v>
      </c>
      <c r="AI17" s="66" t="n">
        <f aca="false">-AI10*Inputs!$E$35/12*1*(1+Inputs!$E$42)*(1+Inputs!$E$43)^(AI$5-1)</f>
        <v>-14601.6</v>
      </c>
      <c r="AJ17" s="66" t="n">
        <f aca="false">-AJ10*Inputs!$E$35/12*1*(1+Inputs!$E$42)*(1+Inputs!$E$43)^(AJ$5-1)</f>
        <v>-14601.6</v>
      </c>
      <c r="AK17" s="66" t="n">
        <f aca="false">-AK10*Inputs!$E$35/12*1*(1+Inputs!$E$42)*(1+Inputs!$E$43)^(AK$5-1)</f>
        <v>-14601.6</v>
      </c>
      <c r="AL17" s="66" t="n">
        <f aca="false">-AL10*Inputs!$E$35/12*1*(1+Inputs!$E$42)*(1+Inputs!$E$43)^(AL$5-1)</f>
        <v>-14601.6</v>
      </c>
      <c r="AM17" s="66" t="n">
        <f aca="false">-AM10*Inputs!$E$35/12*1*(1+Inputs!$E$42)*(1+Inputs!$E$43)^(AM$5-1)</f>
        <v>-22778.496</v>
      </c>
      <c r="AN17" s="66" t="n">
        <f aca="false">-AN10*Inputs!$E$35/12*1*(1+Inputs!$E$42)*(1+Inputs!$E$43)^(AN$5-1)</f>
        <v>-22778.496</v>
      </c>
      <c r="AO17" s="66" t="n">
        <f aca="false">-AO10*Inputs!$E$35/12*1*(1+Inputs!$E$42)*(1+Inputs!$E$43)^(AO$5-1)</f>
        <v>-22778.496</v>
      </c>
      <c r="AP17" s="66" t="n">
        <f aca="false">-AP10*Inputs!$E$35/12*1*(1+Inputs!$E$42)*(1+Inputs!$E$43)^(AP$5-1)</f>
        <v>-22778.496</v>
      </c>
      <c r="AQ17" s="66" t="n">
        <f aca="false">-AQ10*Inputs!$E$35/12*1*(1+Inputs!$E$42)*(1+Inputs!$E$43)^(AQ$5-1)</f>
        <v>-22778.496</v>
      </c>
      <c r="AR17" s="66" t="n">
        <f aca="false">-AR10*Inputs!$E$35/12*1*(1+Inputs!$E$42)*(1+Inputs!$E$43)^(AR$5-1)</f>
        <v>-22778.496</v>
      </c>
      <c r="AS17" s="66" t="n">
        <f aca="false">-AS10*Inputs!$E$35/12*1*(1+Inputs!$E$42)*(1+Inputs!$E$43)^(AS$5-1)</f>
        <v>-22778.496</v>
      </c>
      <c r="AT17" s="66" t="n">
        <f aca="false">-AT10*Inputs!$E$35/12*1*(1+Inputs!$E$42)*(1+Inputs!$E$43)^(AT$5-1)</f>
        <v>-22778.496</v>
      </c>
      <c r="AU17" s="66" t="n">
        <f aca="false">-AU10*Inputs!$E$35/12*1*(1+Inputs!$E$42)*(1+Inputs!$E$43)^(AU$5-1)</f>
        <v>-22778.496</v>
      </c>
      <c r="AV17" s="66" t="n">
        <f aca="false">-AV10*Inputs!$E$35/12*1*(1+Inputs!$E$42)*(1+Inputs!$E$43)^(AV$5-1)</f>
        <v>-22778.496</v>
      </c>
      <c r="AW17" s="66" t="n">
        <f aca="false">-AW10*Inputs!$E$35/12*1*(1+Inputs!$E$42)*(1+Inputs!$E$43)^(AW$5-1)</f>
        <v>-22778.496</v>
      </c>
      <c r="AX17" s="66" t="n">
        <f aca="false">-AX10*Inputs!$E$35/12*1*(1+Inputs!$E$42)*(1+Inputs!$E$43)^(AX$5-1)</f>
        <v>-22778.496</v>
      </c>
      <c r="AY17" s="66" t="n">
        <f aca="false">-AY10*Inputs!$E$35/12*1*(1+Inputs!$E$42)*(1+Inputs!$E$43)^(AY$5-1)</f>
        <v>-35534.45376</v>
      </c>
      <c r="AZ17" s="66" t="n">
        <f aca="false">-AZ10*Inputs!$E$35/12*1*(1+Inputs!$E$42)*(1+Inputs!$E$43)^(AZ$5-1)</f>
        <v>-35534.45376</v>
      </c>
      <c r="BA17" s="66" t="n">
        <f aca="false">-BA10*Inputs!$E$35/12*1*(1+Inputs!$E$42)*(1+Inputs!$E$43)^(BA$5-1)</f>
        <v>-35534.45376</v>
      </c>
      <c r="BB17" s="66" t="n">
        <f aca="false">-BB10*Inputs!$E$35/12*1*(1+Inputs!$E$42)*(1+Inputs!$E$43)^(BB$5-1)</f>
        <v>-35534.45376</v>
      </c>
      <c r="BC17" s="66" t="n">
        <f aca="false">-BC10*Inputs!$E$35/12*1*(1+Inputs!$E$42)*(1+Inputs!$E$43)^(BC$5-1)</f>
        <v>-35534.45376</v>
      </c>
      <c r="BD17" s="66" t="n">
        <f aca="false">-BD10*Inputs!$E$35/12*1*(1+Inputs!$E$42)*(1+Inputs!$E$43)^(BD$5-1)</f>
        <v>-35534.45376</v>
      </c>
      <c r="BE17" s="66" t="n">
        <f aca="false">-BE10*Inputs!$E$35/12*1*(1+Inputs!$E$42)*(1+Inputs!$E$43)^(BE$5-1)</f>
        <v>-35534.45376</v>
      </c>
      <c r="BF17" s="66" t="n">
        <f aca="false">-BF10*Inputs!$E$35/12*1*(1+Inputs!$E$42)*(1+Inputs!$E$43)^(BF$5-1)</f>
        <v>-35534.45376</v>
      </c>
      <c r="BG17" s="66" t="n">
        <f aca="false">-BG10*Inputs!$E$35/12*1*(1+Inputs!$E$42)*(1+Inputs!$E$43)^(BG$5-1)</f>
        <v>-35534.45376</v>
      </c>
      <c r="BH17" s="66" t="n">
        <f aca="false">-BH10*Inputs!$E$35/12*1*(1+Inputs!$E$42)*(1+Inputs!$E$43)^(BH$5-1)</f>
        <v>-35534.45376</v>
      </c>
      <c r="BI17" s="66" t="n">
        <f aca="false">-BI10*Inputs!$E$35/12*1*(1+Inputs!$E$42)*(1+Inputs!$E$43)^(BI$5-1)</f>
        <v>-35534.45376</v>
      </c>
      <c r="BJ17" s="66" t="n">
        <f aca="false">-BJ10*Inputs!$E$35/12*1*(1+Inputs!$E$42)*(1+Inputs!$E$43)^(BJ$5-1)</f>
        <v>-35534.45376</v>
      </c>
    </row>
    <row r="18" customFormat="false" ht="15" hidden="false" customHeight="false" outlineLevel="0" collapsed="false">
      <c r="A18" s="6" t="s">
        <v>446</v>
      </c>
      <c r="C18" s="66" t="n">
        <f aca="false">-C11*Inputs!$E$39/12*1*(1+Inputs!$E$42)*(1+Inputs!$E$43)^(C$5-1)</f>
        <v>-4000</v>
      </c>
      <c r="D18" s="66" t="n">
        <f aca="false">-D11*Inputs!$E$39/12*1*(1+Inputs!$E$42)*(1+Inputs!$E$43)^(D$5-1)</f>
        <v>-4000</v>
      </c>
      <c r="E18" s="66" t="n">
        <f aca="false">-E11*Inputs!$E$39/12*1*(1+Inputs!$E$42)*(1+Inputs!$E$43)^(E$5-1)</f>
        <v>-4000</v>
      </c>
      <c r="F18" s="66" t="n">
        <f aca="false">-F11*Inputs!$E$39/12*1*(1+Inputs!$E$42)*(1+Inputs!$E$43)^(F$5-1)</f>
        <v>-4000</v>
      </c>
      <c r="G18" s="66" t="n">
        <f aca="false">-G11*Inputs!$E$39/12*1*(1+Inputs!$E$42)*(1+Inputs!$E$43)^(G$5-1)</f>
        <v>-4000</v>
      </c>
      <c r="H18" s="66" t="n">
        <f aca="false">-H11*Inputs!$E$39/12*1*(1+Inputs!$E$42)*(1+Inputs!$E$43)^(H$5-1)</f>
        <v>-4000</v>
      </c>
      <c r="I18" s="66" t="n">
        <f aca="false">-I11*Inputs!$E$39/12*1*(1+Inputs!$E$42)*(1+Inputs!$E$43)^(I$5-1)</f>
        <v>-4000</v>
      </c>
      <c r="J18" s="66" t="n">
        <f aca="false">-J11*Inputs!$E$39/12*1*(1+Inputs!$E$42)*(1+Inputs!$E$43)^(J$5-1)</f>
        <v>-4000</v>
      </c>
      <c r="K18" s="66" t="n">
        <f aca="false">-K11*Inputs!$E$39/12*1*(1+Inputs!$E$42)*(1+Inputs!$E$43)^(K$5-1)</f>
        <v>-4000</v>
      </c>
      <c r="L18" s="66" t="n">
        <f aca="false">-L11*Inputs!$E$39/12*1*(1+Inputs!$E$42)*(1+Inputs!$E$43)^(L$5-1)</f>
        <v>-4000</v>
      </c>
      <c r="M18" s="66" t="n">
        <f aca="false">-M11*Inputs!$E$39/12*1*(1+Inputs!$E$42)*(1+Inputs!$E$43)^(M$5-1)</f>
        <v>-4000</v>
      </c>
      <c r="N18" s="66" t="n">
        <f aca="false">-N11*Inputs!$E$39/12*1*(1+Inputs!$E$42)*(1+Inputs!$E$43)^(N$5-1)</f>
        <v>-4000</v>
      </c>
      <c r="O18" s="66" t="n">
        <f aca="false">-O11*Inputs!$E$39/12*1*(1+Inputs!$E$42)*(1+Inputs!$E$43)^(O$5-1)</f>
        <v>-6240</v>
      </c>
      <c r="P18" s="66" t="n">
        <f aca="false">-P11*Inputs!$E$39/12*1*(1+Inputs!$E$42)*(1+Inputs!$E$43)^(P$5-1)</f>
        <v>-6240</v>
      </c>
      <c r="Q18" s="66" t="n">
        <f aca="false">-Q11*Inputs!$E$39/12*1*(1+Inputs!$E$42)*(1+Inputs!$E$43)^(Q$5-1)</f>
        <v>-6240</v>
      </c>
      <c r="R18" s="66" t="n">
        <f aca="false">-R11*Inputs!$E$39/12*1*(1+Inputs!$E$42)*(1+Inputs!$E$43)^(R$5-1)</f>
        <v>-6240</v>
      </c>
      <c r="S18" s="66" t="n">
        <f aca="false">-S11*Inputs!$E$39/12*1*(1+Inputs!$E$42)*(1+Inputs!$E$43)^(S$5-1)</f>
        <v>-6240</v>
      </c>
      <c r="T18" s="66" t="n">
        <f aca="false">-T11*Inputs!$E$39/12*1*(1+Inputs!$E$42)*(1+Inputs!$E$43)^(T$5-1)</f>
        <v>-6240</v>
      </c>
      <c r="U18" s="66" t="n">
        <f aca="false">-U11*Inputs!$E$39/12*1*(1+Inputs!$E$42)*(1+Inputs!$E$43)^(U$5-1)</f>
        <v>-6240</v>
      </c>
      <c r="V18" s="66" t="n">
        <f aca="false">-V11*Inputs!$E$39/12*1*(1+Inputs!$E$42)*(1+Inputs!$E$43)^(V$5-1)</f>
        <v>-6240</v>
      </c>
      <c r="W18" s="66" t="n">
        <f aca="false">-W11*Inputs!$E$39/12*1*(1+Inputs!$E$42)*(1+Inputs!$E$43)^(W$5-1)</f>
        <v>-6240</v>
      </c>
      <c r="X18" s="66" t="n">
        <f aca="false">-X11*Inputs!$E$39/12*1*(1+Inputs!$E$42)*(1+Inputs!$E$43)^(X$5-1)</f>
        <v>-6240</v>
      </c>
      <c r="Y18" s="66" t="n">
        <f aca="false">-Y11*Inputs!$E$39/12*1*(1+Inputs!$E$42)*(1+Inputs!$E$43)^(Y$5-1)</f>
        <v>-6240</v>
      </c>
      <c r="Z18" s="66" t="n">
        <f aca="false">-Z11*Inputs!$E$39/12*1*(1+Inputs!$E$42)*(1+Inputs!$E$43)^(Z$5-1)</f>
        <v>-6240</v>
      </c>
      <c r="AA18" s="66" t="n">
        <f aca="false">-AA11*Inputs!$E$39/12*1*(1+Inputs!$E$42)*(1+Inputs!$E$43)^(AA$5-1)</f>
        <v>-9734.4</v>
      </c>
      <c r="AB18" s="66" t="n">
        <f aca="false">-AB11*Inputs!$E$39/12*1*(1+Inputs!$E$42)*(1+Inputs!$E$43)^(AB$5-1)</f>
        <v>-9734.4</v>
      </c>
      <c r="AC18" s="66" t="n">
        <f aca="false">-AC11*Inputs!$E$39/12*1*(1+Inputs!$E$42)*(1+Inputs!$E$43)^(AC$5-1)</f>
        <v>-9734.4</v>
      </c>
      <c r="AD18" s="66" t="n">
        <f aca="false">-AD11*Inputs!$E$39/12*1*(1+Inputs!$E$42)*(1+Inputs!$E$43)^(AD$5-1)</f>
        <v>-9734.4</v>
      </c>
      <c r="AE18" s="66" t="n">
        <f aca="false">-AE11*Inputs!$E$39/12*1*(1+Inputs!$E$42)*(1+Inputs!$E$43)^(AE$5-1)</f>
        <v>-9734.4</v>
      </c>
      <c r="AF18" s="66" t="n">
        <f aca="false">-AF11*Inputs!$E$39/12*1*(1+Inputs!$E$42)*(1+Inputs!$E$43)^(AF$5-1)</f>
        <v>-9734.4</v>
      </c>
      <c r="AG18" s="66" t="n">
        <f aca="false">-AG11*Inputs!$E$39/12*1*(1+Inputs!$E$42)*(1+Inputs!$E$43)^(AG$5-1)</f>
        <v>-9734.4</v>
      </c>
      <c r="AH18" s="66" t="n">
        <f aca="false">-AH11*Inputs!$E$39/12*1*(1+Inputs!$E$42)*(1+Inputs!$E$43)^(AH$5-1)</f>
        <v>-9734.4</v>
      </c>
      <c r="AI18" s="66" t="n">
        <f aca="false">-AI11*Inputs!$E$39/12*1*(1+Inputs!$E$42)*(1+Inputs!$E$43)^(AI$5-1)</f>
        <v>-9734.4</v>
      </c>
      <c r="AJ18" s="66" t="n">
        <f aca="false">-AJ11*Inputs!$E$39/12*1*(1+Inputs!$E$42)*(1+Inputs!$E$43)^(AJ$5-1)</f>
        <v>-9734.4</v>
      </c>
      <c r="AK18" s="66" t="n">
        <f aca="false">-AK11*Inputs!$E$39/12*1*(1+Inputs!$E$42)*(1+Inputs!$E$43)^(AK$5-1)</f>
        <v>-9734.4</v>
      </c>
      <c r="AL18" s="66" t="n">
        <f aca="false">-AL11*Inputs!$E$39/12*1*(1+Inputs!$E$42)*(1+Inputs!$E$43)^(AL$5-1)</f>
        <v>-9734.4</v>
      </c>
      <c r="AM18" s="66" t="n">
        <f aca="false">-AM11*Inputs!$E$39/12*1*(1+Inputs!$E$42)*(1+Inputs!$E$43)^(AM$5-1)</f>
        <v>-15185.664</v>
      </c>
      <c r="AN18" s="66" t="n">
        <f aca="false">-AN11*Inputs!$E$39/12*1*(1+Inputs!$E$42)*(1+Inputs!$E$43)^(AN$5-1)</f>
        <v>-15185.664</v>
      </c>
      <c r="AO18" s="66" t="n">
        <f aca="false">-AO11*Inputs!$E$39/12*1*(1+Inputs!$E$42)*(1+Inputs!$E$43)^(AO$5-1)</f>
        <v>-15185.664</v>
      </c>
      <c r="AP18" s="66" t="n">
        <f aca="false">-AP11*Inputs!$E$39/12*1*(1+Inputs!$E$42)*(1+Inputs!$E$43)^(AP$5-1)</f>
        <v>-15185.664</v>
      </c>
      <c r="AQ18" s="66" t="n">
        <f aca="false">-AQ11*Inputs!$E$39/12*1*(1+Inputs!$E$42)*(1+Inputs!$E$43)^(AQ$5-1)</f>
        <v>-15185.664</v>
      </c>
      <c r="AR18" s="66" t="n">
        <f aca="false">-AR11*Inputs!$E$39/12*1*(1+Inputs!$E$42)*(1+Inputs!$E$43)^(AR$5-1)</f>
        <v>-15185.664</v>
      </c>
      <c r="AS18" s="66" t="n">
        <f aca="false">-AS11*Inputs!$E$39/12*1*(1+Inputs!$E$42)*(1+Inputs!$E$43)^(AS$5-1)</f>
        <v>-15185.664</v>
      </c>
      <c r="AT18" s="66" t="n">
        <f aca="false">-AT11*Inputs!$E$39/12*1*(1+Inputs!$E$42)*(1+Inputs!$E$43)^(AT$5-1)</f>
        <v>-15185.664</v>
      </c>
      <c r="AU18" s="66" t="n">
        <f aca="false">-AU11*Inputs!$E$39/12*1*(1+Inputs!$E$42)*(1+Inputs!$E$43)^(AU$5-1)</f>
        <v>-15185.664</v>
      </c>
      <c r="AV18" s="66" t="n">
        <f aca="false">-AV11*Inputs!$E$39/12*1*(1+Inputs!$E$42)*(1+Inputs!$E$43)^(AV$5-1)</f>
        <v>-15185.664</v>
      </c>
      <c r="AW18" s="66" t="n">
        <f aca="false">-AW11*Inputs!$E$39/12*1*(1+Inputs!$E$42)*(1+Inputs!$E$43)^(AW$5-1)</f>
        <v>-15185.664</v>
      </c>
      <c r="AX18" s="66" t="n">
        <f aca="false">-AX11*Inputs!$E$39/12*1*(1+Inputs!$E$42)*(1+Inputs!$E$43)^(AX$5-1)</f>
        <v>-15185.664</v>
      </c>
      <c r="AY18" s="66" t="n">
        <f aca="false">-AY11*Inputs!$E$39/12*1*(1+Inputs!$E$42)*(1+Inputs!$E$43)^(AY$5-1)</f>
        <v>-23689.63584</v>
      </c>
      <c r="AZ18" s="66" t="n">
        <f aca="false">-AZ11*Inputs!$E$39/12*1*(1+Inputs!$E$42)*(1+Inputs!$E$43)^(AZ$5-1)</f>
        <v>-23689.63584</v>
      </c>
      <c r="BA18" s="66" t="n">
        <f aca="false">-BA11*Inputs!$E$39/12*1*(1+Inputs!$E$42)*(1+Inputs!$E$43)^(BA$5-1)</f>
        <v>-23689.63584</v>
      </c>
      <c r="BB18" s="66" t="n">
        <f aca="false">-BB11*Inputs!$E$39/12*1*(1+Inputs!$E$42)*(1+Inputs!$E$43)^(BB$5-1)</f>
        <v>-23689.63584</v>
      </c>
      <c r="BC18" s="66" t="n">
        <f aca="false">-BC11*Inputs!$E$39/12*1*(1+Inputs!$E$42)*(1+Inputs!$E$43)^(BC$5-1)</f>
        <v>-23689.63584</v>
      </c>
      <c r="BD18" s="66" t="n">
        <f aca="false">-BD11*Inputs!$E$39/12*1*(1+Inputs!$E$42)*(1+Inputs!$E$43)^(BD$5-1)</f>
        <v>-23689.63584</v>
      </c>
      <c r="BE18" s="66" t="n">
        <f aca="false">-BE11*Inputs!$E$39/12*1*(1+Inputs!$E$42)*(1+Inputs!$E$43)^(BE$5-1)</f>
        <v>-23689.63584</v>
      </c>
      <c r="BF18" s="66" t="n">
        <f aca="false">-BF11*Inputs!$E$39/12*1*(1+Inputs!$E$42)*(1+Inputs!$E$43)^(BF$5-1)</f>
        <v>-23689.63584</v>
      </c>
      <c r="BG18" s="66" t="n">
        <f aca="false">-BG11*Inputs!$E$39/12*1*(1+Inputs!$E$42)*(1+Inputs!$E$43)^(BG$5-1)</f>
        <v>-23689.63584</v>
      </c>
      <c r="BH18" s="66" t="n">
        <f aca="false">-BH11*Inputs!$E$39/12*1*(1+Inputs!$E$42)*(1+Inputs!$E$43)^(BH$5-1)</f>
        <v>-23689.63584</v>
      </c>
      <c r="BI18" s="66" t="n">
        <f aca="false">-BI11*Inputs!$E$39/12*1*(1+Inputs!$E$42)*(1+Inputs!$E$43)^(BI$5-1)</f>
        <v>-23689.63584</v>
      </c>
      <c r="BJ18" s="66" t="n">
        <f aca="false">-BJ11*Inputs!$E$39/12*1*(1+Inputs!$E$42)*(1+Inputs!$E$43)^(BJ$5-1)</f>
        <v>-23689.63584</v>
      </c>
    </row>
    <row r="19" customFormat="false" ht="15" hidden="false" customHeight="false" outlineLevel="0" collapsed="false">
      <c r="A19" s="111" t="s">
        <v>447</v>
      </c>
      <c r="C19" s="67" t="n">
        <f aca="false">C15+C16+C17+C18</f>
        <v>-61750</v>
      </c>
      <c r="D19" s="67" t="n">
        <f aca="false">D15+D16+D17+D18</f>
        <v>-61750</v>
      </c>
      <c r="E19" s="67" t="n">
        <f aca="false">E15+E16+E17+E18</f>
        <v>-61750</v>
      </c>
      <c r="F19" s="67" t="n">
        <f aca="false">F15+F16+F17+F18</f>
        <v>-61750</v>
      </c>
      <c r="G19" s="67" t="n">
        <f aca="false">G15+G16+G17+G18</f>
        <v>-61750</v>
      </c>
      <c r="H19" s="67" t="n">
        <f aca="false">H15+H16+H17+H18</f>
        <v>-61750</v>
      </c>
      <c r="I19" s="67" t="n">
        <f aca="false">I15+I16+I17+I18</f>
        <v>-61750</v>
      </c>
      <c r="J19" s="67" t="n">
        <f aca="false">J15+J16+J17+J18</f>
        <v>-61750</v>
      </c>
      <c r="K19" s="67" t="n">
        <f aca="false">K15+K16+K17+K18</f>
        <v>-61750</v>
      </c>
      <c r="L19" s="67" t="n">
        <f aca="false">L15+L16+L17+L18</f>
        <v>-61750</v>
      </c>
      <c r="M19" s="67" t="n">
        <f aca="false">M15+M16+M17+M18</f>
        <v>-61750</v>
      </c>
      <c r="N19" s="67" t="n">
        <f aca="false">N15+N16+N17+N18</f>
        <v>-61750</v>
      </c>
      <c r="O19" s="67" t="n">
        <f aca="false">O15+O16+O17+O18</f>
        <v>-96330</v>
      </c>
      <c r="P19" s="67" t="n">
        <f aca="false">P15+P16+P17+P18</f>
        <v>-96330</v>
      </c>
      <c r="Q19" s="67" t="n">
        <f aca="false">Q15+Q16+Q17+Q18</f>
        <v>-96330</v>
      </c>
      <c r="R19" s="67" t="n">
        <f aca="false">R15+R16+R17+R18</f>
        <v>-96330</v>
      </c>
      <c r="S19" s="67" t="n">
        <f aca="false">S15+S16+S17+S18</f>
        <v>-96330</v>
      </c>
      <c r="T19" s="67" t="n">
        <f aca="false">T15+T16+T17+T18</f>
        <v>-96330</v>
      </c>
      <c r="U19" s="67" t="n">
        <f aca="false">U15+U16+U17+U18</f>
        <v>-96330</v>
      </c>
      <c r="V19" s="67" t="n">
        <f aca="false">V15+V16+V17+V18</f>
        <v>-96330</v>
      </c>
      <c r="W19" s="67" t="n">
        <f aca="false">W15+W16+W17+W18</f>
        <v>-96330</v>
      </c>
      <c r="X19" s="67" t="n">
        <f aca="false">X15+X16+X17+X18</f>
        <v>-96330</v>
      </c>
      <c r="Y19" s="67" t="n">
        <f aca="false">Y15+Y16+Y17+Y18</f>
        <v>-96330</v>
      </c>
      <c r="Z19" s="67" t="n">
        <f aca="false">Z15+Z16+Z17+Z18</f>
        <v>-96330</v>
      </c>
      <c r="AA19" s="67" t="n">
        <f aca="false">AA15+AA16+AA17+AA18</f>
        <v>-150274.8</v>
      </c>
      <c r="AB19" s="67" t="n">
        <f aca="false">AB15+AB16+AB17+AB18</f>
        <v>-150274.8</v>
      </c>
      <c r="AC19" s="67" t="n">
        <f aca="false">AC15+AC16+AC17+AC18</f>
        <v>-150274.8</v>
      </c>
      <c r="AD19" s="67" t="n">
        <f aca="false">AD15+AD16+AD17+AD18</f>
        <v>-150274.8</v>
      </c>
      <c r="AE19" s="67" t="n">
        <f aca="false">AE15+AE16+AE17+AE18</f>
        <v>-150274.8</v>
      </c>
      <c r="AF19" s="67" t="n">
        <f aca="false">AF15+AF16+AF17+AF18</f>
        <v>-150274.8</v>
      </c>
      <c r="AG19" s="67" t="n">
        <f aca="false">AG15+AG16+AG17+AG18</f>
        <v>-150274.8</v>
      </c>
      <c r="AH19" s="67" t="n">
        <f aca="false">AH15+AH16+AH17+AH18</f>
        <v>-150274.8</v>
      </c>
      <c r="AI19" s="67" t="n">
        <f aca="false">AI15+AI16+AI17+AI18</f>
        <v>-150274.8</v>
      </c>
      <c r="AJ19" s="67" t="n">
        <f aca="false">AJ15+AJ16+AJ17+AJ18</f>
        <v>-150274.8</v>
      </c>
      <c r="AK19" s="67" t="n">
        <f aca="false">AK15+AK16+AK17+AK18</f>
        <v>-150274.8</v>
      </c>
      <c r="AL19" s="67" t="n">
        <f aca="false">AL15+AL16+AL17+AL18</f>
        <v>-150274.8</v>
      </c>
      <c r="AM19" s="67" t="n">
        <f aca="false">AM15+AM16+AM17+AM18</f>
        <v>-234428.688</v>
      </c>
      <c r="AN19" s="67" t="n">
        <f aca="false">AN15+AN16+AN17+AN18</f>
        <v>-234428.688</v>
      </c>
      <c r="AO19" s="67" t="n">
        <f aca="false">AO15+AO16+AO17+AO18</f>
        <v>-234428.688</v>
      </c>
      <c r="AP19" s="67" t="n">
        <f aca="false">AP15+AP16+AP17+AP18</f>
        <v>-234428.688</v>
      </c>
      <c r="AQ19" s="67" t="n">
        <f aca="false">AQ15+AQ16+AQ17+AQ18</f>
        <v>-234428.688</v>
      </c>
      <c r="AR19" s="67" t="n">
        <f aca="false">AR15+AR16+AR17+AR18</f>
        <v>-234428.688</v>
      </c>
      <c r="AS19" s="67" t="n">
        <f aca="false">AS15+AS16+AS17+AS18</f>
        <v>-234428.688</v>
      </c>
      <c r="AT19" s="67" t="n">
        <f aca="false">AT15+AT16+AT17+AT18</f>
        <v>-234428.688</v>
      </c>
      <c r="AU19" s="67" t="n">
        <f aca="false">AU15+AU16+AU17+AU18</f>
        <v>-234428.688</v>
      </c>
      <c r="AV19" s="67" t="n">
        <f aca="false">AV15+AV16+AV17+AV18</f>
        <v>-234428.688</v>
      </c>
      <c r="AW19" s="67" t="n">
        <f aca="false">AW15+AW16+AW17+AW18</f>
        <v>-234428.688</v>
      </c>
      <c r="AX19" s="67" t="n">
        <f aca="false">AX15+AX16+AX17+AX18</f>
        <v>-234428.688</v>
      </c>
      <c r="AY19" s="67" t="n">
        <f aca="false">AY15+AY16+AY17+AY18</f>
        <v>-365708.75328</v>
      </c>
      <c r="AZ19" s="67" t="n">
        <f aca="false">AZ15+AZ16+AZ17+AZ18</f>
        <v>-365708.75328</v>
      </c>
      <c r="BA19" s="67" t="n">
        <f aca="false">BA15+BA16+BA17+BA18</f>
        <v>-365708.75328</v>
      </c>
      <c r="BB19" s="67" t="n">
        <f aca="false">BB15+BB16+BB17+BB18</f>
        <v>-365708.75328</v>
      </c>
      <c r="BC19" s="67" t="n">
        <f aca="false">BC15+BC16+BC17+BC18</f>
        <v>-365708.75328</v>
      </c>
      <c r="BD19" s="67" t="n">
        <f aca="false">BD15+BD16+BD17+BD18</f>
        <v>-365708.75328</v>
      </c>
      <c r="BE19" s="67" t="n">
        <f aca="false">BE15+BE16+BE17+BE18</f>
        <v>-365708.75328</v>
      </c>
      <c r="BF19" s="67" t="n">
        <f aca="false">BF15+BF16+BF17+BF18</f>
        <v>-365708.75328</v>
      </c>
      <c r="BG19" s="67" t="n">
        <f aca="false">BG15+BG16+BG17+BG18</f>
        <v>-365708.75328</v>
      </c>
      <c r="BH19" s="67" t="n">
        <f aca="false">BH15+BH16+BH17+BH18</f>
        <v>-365708.75328</v>
      </c>
      <c r="BI19" s="67" t="n">
        <f aca="false">BI15+BI16+BI17+BI18</f>
        <v>-365708.75328</v>
      </c>
      <c r="BJ19" s="67" t="n">
        <f aca="false">BJ15+BJ16+BJ17+BJ18</f>
        <v>-365708.75328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3ABA8"/>
    <pageSetUpPr fitToPage="true"/>
  </sheetPr>
  <dimension ref="A1:BJ340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"/>
    <col collapsed="false" customWidth="true" hidden="false" outlineLevel="0" max="62" min="3" style="0" width="11"/>
  </cols>
  <sheetData>
    <row r="1" customFormat="false" ht="21.75" hidden="false" customHeight="true" outlineLevel="0" collapsed="false">
      <c r="A1" s="16" t="s">
        <v>448</v>
      </c>
      <c r="D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449</v>
      </c>
    </row>
    <row r="4" customFormat="false" ht="15.75" hidden="false" customHeight="true" outlineLevel="0" collapsed="false">
      <c r="A4" s="7" t="s">
        <v>450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customFormat="false" ht="15" hidden="false" customHeight="false" outlineLevel="0" collapsed="false">
      <c r="A5" s="33" t="s">
        <v>332</v>
      </c>
      <c r="C5" s="51" t="s">
        <v>333</v>
      </c>
      <c r="D5" s="51" t="s">
        <v>334</v>
      </c>
      <c r="E5" s="51" t="s">
        <v>335</v>
      </c>
      <c r="F5" s="51" t="s">
        <v>336</v>
      </c>
      <c r="G5" s="51" t="s">
        <v>337</v>
      </c>
      <c r="H5" s="51" t="s">
        <v>338</v>
      </c>
      <c r="I5" s="51" t="s">
        <v>339</v>
      </c>
      <c r="J5" s="51" t="s">
        <v>340</v>
      </c>
      <c r="K5" s="51" t="s">
        <v>341</v>
      </c>
      <c r="L5" s="51" t="s">
        <v>342</v>
      </c>
      <c r="M5" s="51" t="s">
        <v>343</v>
      </c>
      <c r="N5" s="51" t="s">
        <v>344</v>
      </c>
      <c r="O5" s="51" t="s">
        <v>345</v>
      </c>
      <c r="P5" s="51" t="s">
        <v>346</v>
      </c>
      <c r="Q5" s="51" t="s">
        <v>347</v>
      </c>
      <c r="R5" s="51" t="s">
        <v>348</v>
      </c>
      <c r="S5" s="51" t="s">
        <v>349</v>
      </c>
      <c r="T5" s="51" t="s">
        <v>350</v>
      </c>
      <c r="U5" s="51" t="s">
        <v>351</v>
      </c>
      <c r="V5" s="51" t="s">
        <v>352</v>
      </c>
      <c r="W5" s="51" t="s">
        <v>353</v>
      </c>
      <c r="X5" s="51" t="s">
        <v>354</v>
      </c>
      <c r="Y5" s="51" t="s">
        <v>355</v>
      </c>
      <c r="Z5" s="51" t="s">
        <v>356</v>
      </c>
      <c r="AA5" s="51" t="s">
        <v>357</v>
      </c>
      <c r="AB5" s="51" t="s">
        <v>358</v>
      </c>
      <c r="AC5" s="51" t="s">
        <v>359</v>
      </c>
      <c r="AD5" s="51" t="s">
        <v>360</v>
      </c>
      <c r="AE5" s="51" t="s">
        <v>361</v>
      </c>
      <c r="AF5" s="51" t="s">
        <v>362</v>
      </c>
      <c r="AG5" s="51" t="s">
        <v>363</v>
      </c>
      <c r="AH5" s="51" t="s">
        <v>364</v>
      </c>
      <c r="AI5" s="51" t="s">
        <v>365</v>
      </c>
      <c r="AJ5" s="51" t="s">
        <v>366</v>
      </c>
      <c r="AK5" s="51" t="s">
        <v>367</v>
      </c>
      <c r="AL5" s="51" t="s">
        <v>368</v>
      </c>
      <c r="AM5" s="51" t="s">
        <v>369</v>
      </c>
      <c r="AN5" s="51" t="s">
        <v>370</v>
      </c>
      <c r="AO5" s="51" t="s">
        <v>371</v>
      </c>
      <c r="AP5" s="51" t="s">
        <v>372</v>
      </c>
      <c r="AQ5" s="51" t="s">
        <v>373</v>
      </c>
      <c r="AR5" s="51" t="s">
        <v>374</v>
      </c>
      <c r="AS5" s="51" t="s">
        <v>375</v>
      </c>
      <c r="AT5" s="51" t="s">
        <v>376</v>
      </c>
      <c r="AU5" s="51" t="s">
        <v>377</v>
      </c>
      <c r="AV5" s="51" t="s">
        <v>378</v>
      </c>
      <c r="AW5" s="51" t="s">
        <v>379</v>
      </c>
      <c r="AX5" s="51" t="s">
        <v>380</v>
      </c>
      <c r="AY5" s="51" t="s">
        <v>381</v>
      </c>
      <c r="AZ5" s="51" t="s">
        <v>382</v>
      </c>
      <c r="BA5" s="51" t="s">
        <v>383</v>
      </c>
      <c r="BB5" s="51" t="s">
        <v>384</v>
      </c>
      <c r="BC5" s="51" t="s">
        <v>385</v>
      </c>
      <c r="BD5" s="51" t="s">
        <v>386</v>
      </c>
      <c r="BE5" s="51" t="s">
        <v>387</v>
      </c>
      <c r="BF5" s="51" t="s">
        <v>388</v>
      </c>
      <c r="BG5" s="51" t="s">
        <v>389</v>
      </c>
      <c r="BH5" s="51" t="s">
        <v>390</v>
      </c>
      <c r="BI5" s="51" t="s">
        <v>391</v>
      </c>
      <c r="BJ5" s="51" t="s">
        <v>392</v>
      </c>
    </row>
    <row r="6" customFormat="false" ht="15" hidden="false" customHeight="false" outlineLevel="0" collapsed="false">
      <c r="A6" s="71" t="s">
        <v>393</v>
      </c>
      <c r="C6" s="71" t="n">
        <v>1</v>
      </c>
      <c r="D6" s="71" t="n">
        <v>2</v>
      </c>
      <c r="E6" s="71" t="n">
        <v>3</v>
      </c>
      <c r="F6" s="71" t="n">
        <v>4</v>
      </c>
      <c r="G6" s="71" t="n">
        <v>5</v>
      </c>
      <c r="H6" s="71" t="n">
        <v>6</v>
      </c>
      <c r="I6" s="71" t="n">
        <v>7</v>
      </c>
      <c r="J6" s="71" t="n">
        <v>8</v>
      </c>
      <c r="K6" s="71" t="n">
        <v>9</v>
      </c>
      <c r="L6" s="71" t="n">
        <v>10</v>
      </c>
      <c r="M6" s="71" t="n">
        <v>11</v>
      </c>
      <c r="N6" s="71" t="n">
        <v>12</v>
      </c>
      <c r="O6" s="71" t="n">
        <v>13</v>
      </c>
      <c r="P6" s="71" t="n">
        <v>14</v>
      </c>
      <c r="Q6" s="71" t="n">
        <v>15</v>
      </c>
      <c r="R6" s="71" t="n">
        <v>16</v>
      </c>
      <c r="S6" s="71" t="n">
        <v>17</v>
      </c>
      <c r="T6" s="71" t="n">
        <v>18</v>
      </c>
      <c r="U6" s="71" t="n">
        <v>19</v>
      </c>
      <c r="V6" s="71" t="n">
        <v>20</v>
      </c>
      <c r="W6" s="71" t="n">
        <v>21</v>
      </c>
      <c r="X6" s="71" t="n">
        <v>22</v>
      </c>
      <c r="Y6" s="71" t="n">
        <v>23</v>
      </c>
      <c r="Z6" s="71" t="n">
        <v>24</v>
      </c>
      <c r="AA6" s="71" t="n">
        <v>25</v>
      </c>
      <c r="AB6" s="71" t="n">
        <v>26</v>
      </c>
      <c r="AC6" s="71" t="n">
        <v>27</v>
      </c>
      <c r="AD6" s="71" t="n">
        <v>28</v>
      </c>
      <c r="AE6" s="71" t="n">
        <v>29</v>
      </c>
      <c r="AF6" s="71" t="n">
        <v>30</v>
      </c>
      <c r="AG6" s="71" t="n">
        <v>31</v>
      </c>
      <c r="AH6" s="71" t="n">
        <v>32</v>
      </c>
      <c r="AI6" s="71" t="n">
        <v>33</v>
      </c>
      <c r="AJ6" s="71" t="n">
        <v>34</v>
      </c>
      <c r="AK6" s="71" t="n">
        <v>35</v>
      </c>
      <c r="AL6" s="71" t="n">
        <v>36</v>
      </c>
      <c r="AM6" s="71" t="n">
        <v>37</v>
      </c>
      <c r="AN6" s="71" t="n">
        <v>38</v>
      </c>
      <c r="AO6" s="71" t="n">
        <v>39</v>
      </c>
      <c r="AP6" s="71" t="n">
        <v>40</v>
      </c>
      <c r="AQ6" s="71" t="n">
        <v>41</v>
      </c>
      <c r="AR6" s="71" t="n">
        <v>42</v>
      </c>
      <c r="AS6" s="71" t="n">
        <v>43</v>
      </c>
      <c r="AT6" s="71" t="n">
        <v>44</v>
      </c>
      <c r="AU6" s="71" t="n">
        <v>45</v>
      </c>
      <c r="AV6" s="71" t="n">
        <v>46</v>
      </c>
      <c r="AW6" s="71" t="n">
        <v>47</v>
      </c>
      <c r="AX6" s="71" t="n">
        <v>48</v>
      </c>
      <c r="AY6" s="71" t="n">
        <v>49</v>
      </c>
      <c r="AZ6" s="71" t="n">
        <v>50</v>
      </c>
      <c r="BA6" s="71" t="n">
        <v>51</v>
      </c>
      <c r="BB6" s="71" t="n">
        <v>52</v>
      </c>
      <c r="BC6" s="71" t="n">
        <v>53</v>
      </c>
      <c r="BD6" s="71" t="n">
        <v>54</v>
      </c>
      <c r="BE6" s="71" t="n">
        <v>55</v>
      </c>
      <c r="BF6" s="71" t="n">
        <v>56</v>
      </c>
      <c r="BG6" s="71" t="n">
        <v>57</v>
      </c>
      <c r="BH6" s="71" t="n">
        <v>58</v>
      </c>
      <c r="BI6" s="71" t="n">
        <v>59</v>
      </c>
      <c r="BJ6" s="71" t="n">
        <v>60</v>
      </c>
    </row>
    <row r="7" customFormat="false" ht="15" hidden="false" customHeight="false" outlineLevel="0" collapsed="false">
      <c r="A7" s="71" t="s">
        <v>154</v>
      </c>
      <c r="C7" s="71" t="n">
        <f aca="false">ROUNDUP(C6*1/12,0)</f>
        <v>1</v>
      </c>
      <c r="D7" s="71" t="n">
        <f aca="false">ROUNDUP(D6*1/12,0)</f>
        <v>1</v>
      </c>
      <c r="E7" s="71" t="n">
        <f aca="false">ROUNDUP(E6*1/12,0)</f>
        <v>1</v>
      </c>
      <c r="F7" s="71" t="n">
        <f aca="false">ROUNDUP(F6*1/12,0)</f>
        <v>1</v>
      </c>
      <c r="G7" s="71" t="n">
        <f aca="false">ROUNDUP(G6*1/12,0)</f>
        <v>1</v>
      </c>
      <c r="H7" s="71" t="n">
        <f aca="false">ROUNDUP(H6*1/12,0)</f>
        <v>1</v>
      </c>
      <c r="I7" s="71" t="n">
        <f aca="false">ROUNDUP(I6*1/12,0)</f>
        <v>1</v>
      </c>
      <c r="J7" s="71" t="n">
        <f aca="false">ROUNDUP(J6*1/12,0)</f>
        <v>1</v>
      </c>
      <c r="K7" s="71" t="n">
        <f aca="false">ROUNDUP(K6*1/12,0)</f>
        <v>1</v>
      </c>
      <c r="L7" s="71" t="n">
        <f aca="false">ROUNDUP(L6*1/12,0)</f>
        <v>1</v>
      </c>
      <c r="M7" s="71" t="n">
        <f aca="false">ROUNDUP(M6*1/12,0)</f>
        <v>1</v>
      </c>
      <c r="N7" s="71" t="n">
        <f aca="false">ROUNDUP(N6*1/12,0)</f>
        <v>1</v>
      </c>
      <c r="O7" s="71" t="n">
        <f aca="false">ROUNDUP(O6*1/12,0)</f>
        <v>2</v>
      </c>
      <c r="P7" s="71" t="n">
        <f aca="false">ROUNDUP(P6*1/12,0)</f>
        <v>2</v>
      </c>
      <c r="Q7" s="71" t="n">
        <f aca="false">ROUNDUP(Q6*1/12,0)</f>
        <v>2</v>
      </c>
      <c r="R7" s="71" t="n">
        <f aca="false">ROUNDUP(R6*1/12,0)</f>
        <v>2</v>
      </c>
      <c r="S7" s="71" t="n">
        <f aca="false">ROUNDUP(S6*1/12,0)</f>
        <v>2</v>
      </c>
      <c r="T7" s="71" t="n">
        <f aca="false">ROUNDUP(T6*1/12,0)</f>
        <v>2</v>
      </c>
      <c r="U7" s="71" t="n">
        <f aca="false">ROUNDUP(U6*1/12,0)</f>
        <v>2</v>
      </c>
      <c r="V7" s="71" t="n">
        <f aca="false">ROUNDUP(V6*1/12,0)</f>
        <v>2</v>
      </c>
      <c r="W7" s="71" t="n">
        <f aca="false">ROUNDUP(W6*1/12,0)</f>
        <v>2</v>
      </c>
      <c r="X7" s="71" t="n">
        <f aca="false">ROUNDUP(X6*1/12,0)</f>
        <v>2</v>
      </c>
      <c r="Y7" s="71" t="n">
        <f aca="false">ROUNDUP(Y6*1/12,0)</f>
        <v>2</v>
      </c>
      <c r="Z7" s="71" t="n">
        <f aca="false">ROUNDUP(Z6*1/12,0)</f>
        <v>2</v>
      </c>
      <c r="AA7" s="71" t="n">
        <f aca="false">ROUNDUP(AA6*1/12,0)</f>
        <v>3</v>
      </c>
      <c r="AB7" s="71" t="n">
        <f aca="false">ROUNDUP(AB6*1/12,0)</f>
        <v>3</v>
      </c>
      <c r="AC7" s="71" t="n">
        <f aca="false">ROUNDUP(AC6*1/12,0)</f>
        <v>3</v>
      </c>
      <c r="AD7" s="71" t="n">
        <f aca="false">ROUNDUP(AD6*1/12,0)</f>
        <v>3</v>
      </c>
      <c r="AE7" s="71" t="n">
        <f aca="false">ROUNDUP(AE6*1/12,0)</f>
        <v>3</v>
      </c>
      <c r="AF7" s="71" t="n">
        <f aca="false">ROUNDUP(AF6*1/12,0)</f>
        <v>3</v>
      </c>
      <c r="AG7" s="71" t="n">
        <f aca="false">ROUNDUP(AG6*1/12,0)</f>
        <v>3</v>
      </c>
      <c r="AH7" s="71" t="n">
        <f aca="false">ROUNDUP(AH6*1/12,0)</f>
        <v>3</v>
      </c>
      <c r="AI7" s="71" t="n">
        <f aca="false">ROUNDUP(AI6*1/12,0)</f>
        <v>3</v>
      </c>
      <c r="AJ7" s="71" t="n">
        <f aca="false">ROUNDUP(AJ6*1/12,0)</f>
        <v>3</v>
      </c>
      <c r="AK7" s="71" t="n">
        <f aca="false">ROUNDUP(AK6*1/12,0)</f>
        <v>3</v>
      </c>
      <c r="AL7" s="71" t="n">
        <f aca="false">ROUNDUP(AL6*1/12,0)</f>
        <v>3</v>
      </c>
      <c r="AM7" s="71" t="n">
        <f aca="false">ROUNDUP(AM6*1/12,0)</f>
        <v>4</v>
      </c>
      <c r="AN7" s="71" t="n">
        <f aca="false">ROUNDUP(AN6*1/12,0)</f>
        <v>4</v>
      </c>
      <c r="AO7" s="71" t="n">
        <f aca="false">ROUNDUP(AO6*1/12,0)</f>
        <v>4</v>
      </c>
      <c r="AP7" s="71" t="n">
        <f aca="false">ROUNDUP(AP6*1/12,0)</f>
        <v>4</v>
      </c>
      <c r="AQ7" s="71" t="n">
        <f aca="false">ROUNDUP(AQ6*1/12,0)</f>
        <v>4</v>
      </c>
      <c r="AR7" s="71" t="n">
        <f aca="false">ROUNDUP(AR6*1/12,0)</f>
        <v>4</v>
      </c>
      <c r="AS7" s="71" t="n">
        <f aca="false">ROUNDUP(AS6*1/12,0)</f>
        <v>4</v>
      </c>
      <c r="AT7" s="71" t="n">
        <f aca="false">ROUNDUP(AT6*1/12,0)</f>
        <v>4</v>
      </c>
      <c r="AU7" s="71" t="n">
        <f aca="false">ROUNDUP(AU6*1/12,0)</f>
        <v>4</v>
      </c>
      <c r="AV7" s="71" t="n">
        <f aca="false">ROUNDUP(AV6*1/12,0)</f>
        <v>4</v>
      </c>
      <c r="AW7" s="71" t="n">
        <f aca="false">ROUNDUP(AW6*1/12,0)</f>
        <v>4</v>
      </c>
      <c r="AX7" s="71" t="n">
        <f aca="false">ROUNDUP(AX6*1/12,0)</f>
        <v>4</v>
      </c>
      <c r="AY7" s="71" t="n">
        <f aca="false">ROUNDUP(AY6*1/12,0)</f>
        <v>5</v>
      </c>
      <c r="AZ7" s="71" t="n">
        <f aca="false">ROUNDUP(AZ6*1/12,0)</f>
        <v>5</v>
      </c>
      <c r="BA7" s="71" t="n">
        <f aca="false">ROUNDUP(BA6*1/12,0)</f>
        <v>5</v>
      </c>
      <c r="BB7" s="71" t="n">
        <f aca="false">ROUNDUP(BB6*1/12,0)</f>
        <v>5</v>
      </c>
      <c r="BC7" s="71" t="n">
        <f aca="false">ROUNDUP(BC6*1/12,0)</f>
        <v>5</v>
      </c>
      <c r="BD7" s="71" t="n">
        <f aca="false">ROUNDUP(BD6*1/12,0)</f>
        <v>5</v>
      </c>
      <c r="BE7" s="71" t="n">
        <f aca="false">ROUNDUP(BE6*1/12,0)</f>
        <v>5</v>
      </c>
      <c r="BF7" s="71" t="n">
        <f aca="false">ROUNDUP(BF6*1/12,0)</f>
        <v>5</v>
      </c>
      <c r="BG7" s="71" t="n">
        <f aca="false">ROUNDUP(BG6*1/12,0)</f>
        <v>5</v>
      </c>
      <c r="BH7" s="71" t="n">
        <f aca="false">ROUNDUP(BH6*1/12,0)</f>
        <v>5</v>
      </c>
      <c r="BI7" s="71" t="n">
        <f aca="false">ROUNDUP(BI6*1/12,0)</f>
        <v>5</v>
      </c>
      <c r="BJ7" s="71" t="n">
        <f aca="false">ROUNDUP(BJ6*1/12,0)</f>
        <v>5</v>
      </c>
    </row>
    <row r="9" customFormat="false" ht="15.75" hidden="false" customHeight="true" outlineLevel="0" collapsed="false">
      <c r="A9" s="7" t="s">
        <v>394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customFormat="false" ht="15" hidden="false" customHeight="false" outlineLevel="0" collapsed="false">
      <c r="A10" s="6" t="s">
        <v>395</v>
      </c>
      <c r="C10" s="114" t="n">
        <f aca="false">Inputs!$B$12*(1+Inputs!$B$13)^(C$7-1)*1</f>
        <v>8</v>
      </c>
      <c r="D10" s="114" t="n">
        <f aca="false">Inputs!$B$12*(1+Inputs!$B$13)^(D$7-1)*1</f>
        <v>8</v>
      </c>
      <c r="E10" s="114" t="n">
        <f aca="false">Inputs!$B$12*(1+Inputs!$B$13)^(E$7-1)*1</f>
        <v>8</v>
      </c>
      <c r="F10" s="114" t="n">
        <f aca="false">Inputs!$B$12*(1+Inputs!$B$13)^(F$7-1)*1</f>
        <v>8</v>
      </c>
      <c r="G10" s="114" t="n">
        <f aca="false">Inputs!$B$12*(1+Inputs!$B$13)^(G$7-1)*1</f>
        <v>8</v>
      </c>
      <c r="H10" s="114" t="n">
        <f aca="false">Inputs!$B$12*(1+Inputs!$B$13)^(H$7-1)*1</f>
        <v>8</v>
      </c>
      <c r="I10" s="114" t="n">
        <f aca="false">Inputs!$B$12*(1+Inputs!$B$13)^(I$7-1)*1</f>
        <v>8</v>
      </c>
      <c r="J10" s="114" t="n">
        <f aca="false">Inputs!$B$12*(1+Inputs!$B$13)^(J$7-1)*1</f>
        <v>8</v>
      </c>
      <c r="K10" s="114" t="n">
        <f aca="false">Inputs!$B$12*(1+Inputs!$B$13)^(K$7-1)*1</f>
        <v>8</v>
      </c>
      <c r="L10" s="114" t="n">
        <f aca="false">Inputs!$B$12*(1+Inputs!$B$13)^(L$7-1)*1</f>
        <v>8</v>
      </c>
      <c r="M10" s="114" t="n">
        <f aca="false">Inputs!$B$12*(1+Inputs!$B$13)^(M$7-1)*1</f>
        <v>8</v>
      </c>
      <c r="N10" s="114" t="n">
        <f aca="false">Inputs!$B$12*(1+Inputs!$B$13)^(N$7-1)*1</f>
        <v>8</v>
      </c>
      <c r="O10" s="114" t="n">
        <f aca="false">Inputs!$B$12*(1+Inputs!$B$13)^(O$7-1)*1</f>
        <v>8.8</v>
      </c>
      <c r="P10" s="114" t="n">
        <f aca="false">Inputs!$B$12*(1+Inputs!$B$13)^(P$7-1)*1</f>
        <v>8.8</v>
      </c>
      <c r="Q10" s="114" t="n">
        <f aca="false">Inputs!$B$12*(1+Inputs!$B$13)^(Q$7-1)*1</f>
        <v>8.8</v>
      </c>
      <c r="R10" s="114" t="n">
        <f aca="false">Inputs!$B$12*(1+Inputs!$B$13)^(R$7-1)*1</f>
        <v>8.8</v>
      </c>
      <c r="S10" s="114" t="n">
        <f aca="false">Inputs!$B$12*(1+Inputs!$B$13)^(S$7-1)*1</f>
        <v>8.8</v>
      </c>
      <c r="T10" s="114" t="n">
        <f aca="false">Inputs!$B$12*(1+Inputs!$B$13)^(T$7-1)*1</f>
        <v>8.8</v>
      </c>
      <c r="U10" s="114" t="n">
        <f aca="false">Inputs!$B$12*(1+Inputs!$B$13)^(U$7-1)*1</f>
        <v>8.8</v>
      </c>
      <c r="V10" s="114" t="n">
        <f aca="false">Inputs!$B$12*(1+Inputs!$B$13)^(V$7-1)*1</f>
        <v>8.8</v>
      </c>
      <c r="W10" s="114" t="n">
        <f aca="false">Inputs!$B$12*(1+Inputs!$B$13)^(W$7-1)*1</f>
        <v>8.8</v>
      </c>
      <c r="X10" s="114" t="n">
        <f aca="false">Inputs!$B$12*(1+Inputs!$B$13)^(X$7-1)*1</f>
        <v>8.8</v>
      </c>
      <c r="Y10" s="114" t="n">
        <f aca="false">Inputs!$B$12*(1+Inputs!$B$13)^(Y$7-1)*1</f>
        <v>8.8</v>
      </c>
      <c r="Z10" s="114" t="n">
        <f aca="false">Inputs!$B$12*(1+Inputs!$B$13)^(Z$7-1)*1</f>
        <v>8.8</v>
      </c>
      <c r="AA10" s="114" t="n">
        <f aca="false">Inputs!$B$12*(1+Inputs!$B$13)^(AA$7-1)*1</f>
        <v>9.68</v>
      </c>
      <c r="AB10" s="114" t="n">
        <f aca="false">Inputs!$B$12*(1+Inputs!$B$13)^(AB$7-1)*1</f>
        <v>9.68</v>
      </c>
      <c r="AC10" s="114" t="n">
        <f aca="false">Inputs!$B$12*(1+Inputs!$B$13)^(AC$7-1)*1</f>
        <v>9.68</v>
      </c>
      <c r="AD10" s="114" t="n">
        <f aca="false">Inputs!$B$12*(1+Inputs!$B$13)^(AD$7-1)*1</f>
        <v>9.68</v>
      </c>
      <c r="AE10" s="114" t="n">
        <f aca="false">Inputs!$B$12*(1+Inputs!$B$13)^(AE$7-1)*1</f>
        <v>9.68</v>
      </c>
      <c r="AF10" s="114" t="n">
        <f aca="false">Inputs!$B$12*(1+Inputs!$B$13)^(AF$7-1)*1</f>
        <v>9.68</v>
      </c>
      <c r="AG10" s="114" t="n">
        <f aca="false">Inputs!$B$12*(1+Inputs!$B$13)^(AG$7-1)*1</f>
        <v>9.68</v>
      </c>
      <c r="AH10" s="114" t="n">
        <f aca="false">Inputs!$B$12*(1+Inputs!$B$13)^(AH$7-1)*1</f>
        <v>9.68</v>
      </c>
      <c r="AI10" s="114" t="n">
        <f aca="false">Inputs!$B$12*(1+Inputs!$B$13)^(AI$7-1)*1</f>
        <v>9.68</v>
      </c>
      <c r="AJ10" s="114" t="n">
        <f aca="false">Inputs!$B$12*(1+Inputs!$B$13)^(AJ$7-1)*1</f>
        <v>9.68</v>
      </c>
      <c r="AK10" s="114" t="n">
        <f aca="false">Inputs!$B$12*(1+Inputs!$B$13)^(AK$7-1)*1</f>
        <v>9.68</v>
      </c>
      <c r="AL10" s="114" t="n">
        <f aca="false">Inputs!$B$12*(1+Inputs!$B$13)^(AL$7-1)*1</f>
        <v>9.68</v>
      </c>
      <c r="AM10" s="114" t="n">
        <f aca="false">Inputs!$B$12*(1+Inputs!$B$13)^(AM$7-1)*1</f>
        <v>10.648</v>
      </c>
      <c r="AN10" s="114" t="n">
        <f aca="false">Inputs!$B$12*(1+Inputs!$B$13)^(AN$7-1)*1</f>
        <v>10.648</v>
      </c>
      <c r="AO10" s="114" t="n">
        <f aca="false">Inputs!$B$12*(1+Inputs!$B$13)^(AO$7-1)*1</f>
        <v>10.648</v>
      </c>
      <c r="AP10" s="114" t="n">
        <f aca="false">Inputs!$B$12*(1+Inputs!$B$13)^(AP$7-1)*1</f>
        <v>10.648</v>
      </c>
      <c r="AQ10" s="114" t="n">
        <f aca="false">Inputs!$B$12*(1+Inputs!$B$13)^(AQ$7-1)*1</f>
        <v>10.648</v>
      </c>
      <c r="AR10" s="114" t="n">
        <f aca="false">Inputs!$B$12*(1+Inputs!$B$13)^(AR$7-1)*1</f>
        <v>10.648</v>
      </c>
      <c r="AS10" s="114" t="n">
        <f aca="false">Inputs!$B$12*(1+Inputs!$B$13)^(AS$7-1)*1</f>
        <v>10.648</v>
      </c>
      <c r="AT10" s="114" t="n">
        <f aca="false">Inputs!$B$12*(1+Inputs!$B$13)^(AT$7-1)*1</f>
        <v>10.648</v>
      </c>
      <c r="AU10" s="114" t="n">
        <f aca="false">Inputs!$B$12*(1+Inputs!$B$13)^(AU$7-1)*1</f>
        <v>10.648</v>
      </c>
      <c r="AV10" s="114" t="n">
        <f aca="false">Inputs!$B$12*(1+Inputs!$B$13)^(AV$7-1)*1</f>
        <v>10.648</v>
      </c>
      <c r="AW10" s="114" t="n">
        <f aca="false">Inputs!$B$12*(1+Inputs!$B$13)^(AW$7-1)*1</f>
        <v>10.648</v>
      </c>
      <c r="AX10" s="114" t="n">
        <f aca="false">Inputs!$B$12*(1+Inputs!$B$13)^(AX$7-1)*1</f>
        <v>10.648</v>
      </c>
      <c r="AY10" s="114" t="n">
        <f aca="false">Inputs!$B$12*(1+Inputs!$B$13)^(AY$7-1)*1</f>
        <v>11.7128</v>
      </c>
      <c r="AZ10" s="114" t="n">
        <f aca="false">Inputs!$B$12*(1+Inputs!$B$13)^(AZ$7-1)*1</f>
        <v>11.7128</v>
      </c>
      <c r="BA10" s="114" t="n">
        <f aca="false">Inputs!$B$12*(1+Inputs!$B$13)^(BA$7-1)*1</f>
        <v>11.7128</v>
      </c>
      <c r="BB10" s="114" t="n">
        <f aca="false">Inputs!$B$12*(1+Inputs!$B$13)^(BB$7-1)*1</f>
        <v>11.7128</v>
      </c>
      <c r="BC10" s="114" t="n">
        <f aca="false">Inputs!$B$12*(1+Inputs!$B$13)^(BC$7-1)*1</f>
        <v>11.7128</v>
      </c>
      <c r="BD10" s="114" t="n">
        <f aca="false">Inputs!$B$12*(1+Inputs!$B$13)^(BD$7-1)*1</f>
        <v>11.7128</v>
      </c>
      <c r="BE10" s="114" t="n">
        <f aca="false">Inputs!$B$12*(1+Inputs!$B$13)^(BE$7-1)*1</f>
        <v>11.7128</v>
      </c>
      <c r="BF10" s="114" t="n">
        <f aca="false">Inputs!$B$12*(1+Inputs!$B$13)^(BF$7-1)*1</f>
        <v>11.7128</v>
      </c>
      <c r="BG10" s="114" t="n">
        <f aca="false">Inputs!$B$12*(1+Inputs!$B$13)^(BG$7-1)*1</f>
        <v>11.7128</v>
      </c>
      <c r="BH10" s="114" t="n">
        <f aca="false">Inputs!$B$12*(1+Inputs!$B$13)^(BH$7-1)*1</f>
        <v>11.7128</v>
      </c>
      <c r="BI10" s="114" t="n">
        <f aca="false">Inputs!$B$12*(1+Inputs!$B$13)^(BI$7-1)*1</f>
        <v>11.7128</v>
      </c>
      <c r="BJ10" s="114" t="n">
        <f aca="false">Inputs!$B$12*(1+Inputs!$B$13)^(BJ$7-1)*1</f>
        <v>11.7128</v>
      </c>
    </row>
    <row r="11" customFormat="false" ht="15" hidden="false" customHeight="false" outlineLevel="0" collapsed="false">
      <c r="A11" s="6" t="s">
        <v>396</v>
      </c>
      <c r="C11" s="114" t="n">
        <f aca="false">-C32/MAX(1,Inputs!$B$16)</f>
        <v>13.3333333333333</v>
      </c>
      <c r="D11" s="114" t="n">
        <f aca="false">-D32/MAX(1,Inputs!$B$16)</f>
        <v>13.3333333333333</v>
      </c>
      <c r="E11" s="114" t="n">
        <f aca="false">-E32/MAX(1,Inputs!$B$16)</f>
        <v>13.3333333333333</v>
      </c>
      <c r="F11" s="114" t="n">
        <f aca="false">-F32/MAX(1,Inputs!$B$16)</f>
        <v>13.3333333333333</v>
      </c>
      <c r="G11" s="114" t="n">
        <f aca="false">-G32/MAX(1,Inputs!$B$16)</f>
        <v>13.3333333333333</v>
      </c>
      <c r="H11" s="114" t="n">
        <f aca="false">-H32/MAX(1,Inputs!$B$16)</f>
        <v>13.3333333333333</v>
      </c>
      <c r="I11" s="114" t="n">
        <f aca="false">-I32/MAX(1,Inputs!$B$16)</f>
        <v>13.3333333333333</v>
      </c>
      <c r="J11" s="114" t="n">
        <f aca="false">-J32/MAX(1,Inputs!$B$16)</f>
        <v>13.3333333333333</v>
      </c>
      <c r="K11" s="114" t="n">
        <f aca="false">-K32/MAX(1,Inputs!$B$16)</f>
        <v>13.3333333333333</v>
      </c>
      <c r="L11" s="114" t="n">
        <f aca="false">-L32/MAX(1,Inputs!$B$16)</f>
        <v>13.3333333333333</v>
      </c>
      <c r="M11" s="114" t="n">
        <f aca="false">-M32/MAX(1,Inputs!$B$16)</f>
        <v>13.3333333333333</v>
      </c>
      <c r="N11" s="114" t="n">
        <f aca="false">-N32/MAX(1,Inputs!$B$16)</f>
        <v>13.3333333333333</v>
      </c>
      <c r="O11" s="114" t="n">
        <f aca="false">-O32/MAX(1,Inputs!$B$16)</f>
        <v>16</v>
      </c>
      <c r="P11" s="114" t="n">
        <f aca="false">-P32/MAX(1,Inputs!$B$16)</f>
        <v>16</v>
      </c>
      <c r="Q11" s="114" t="n">
        <f aca="false">-Q32/MAX(1,Inputs!$B$16)</f>
        <v>16</v>
      </c>
      <c r="R11" s="114" t="n">
        <f aca="false">-R32/MAX(1,Inputs!$B$16)</f>
        <v>16</v>
      </c>
      <c r="S11" s="114" t="n">
        <f aca="false">-S32/MAX(1,Inputs!$B$16)</f>
        <v>16</v>
      </c>
      <c r="T11" s="114" t="n">
        <f aca="false">-T32/MAX(1,Inputs!$B$16)</f>
        <v>16</v>
      </c>
      <c r="U11" s="114" t="n">
        <f aca="false">-U32/MAX(1,Inputs!$B$16)</f>
        <v>16</v>
      </c>
      <c r="V11" s="114" t="n">
        <f aca="false">-V32/MAX(1,Inputs!$B$16)</f>
        <v>16</v>
      </c>
      <c r="W11" s="114" t="n">
        <f aca="false">-W32/MAX(1,Inputs!$B$16)</f>
        <v>16</v>
      </c>
      <c r="X11" s="114" t="n">
        <f aca="false">-X32/MAX(1,Inputs!$B$16)</f>
        <v>16</v>
      </c>
      <c r="Y11" s="114" t="n">
        <f aca="false">-Y32/MAX(1,Inputs!$B$16)</f>
        <v>16</v>
      </c>
      <c r="Z11" s="114" t="n">
        <f aca="false">-Z32/MAX(1,Inputs!$B$16)</f>
        <v>16</v>
      </c>
      <c r="AA11" s="114" t="n">
        <f aca="false">-AA32/MAX(1,Inputs!$B$16)</f>
        <v>19.2</v>
      </c>
      <c r="AB11" s="114" t="n">
        <f aca="false">-AB32/MAX(1,Inputs!$B$16)</f>
        <v>19.2</v>
      </c>
      <c r="AC11" s="114" t="n">
        <f aca="false">-AC32/MAX(1,Inputs!$B$16)</f>
        <v>19.2</v>
      </c>
      <c r="AD11" s="114" t="n">
        <f aca="false">-AD32/MAX(1,Inputs!$B$16)</f>
        <v>19.2</v>
      </c>
      <c r="AE11" s="114" t="n">
        <f aca="false">-AE32/MAX(1,Inputs!$B$16)</f>
        <v>19.2</v>
      </c>
      <c r="AF11" s="114" t="n">
        <f aca="false">-AF32/MAX(1,Inputs!$B$16)</f>
        <v>19.2</v>
      </c>
      <c r="AG11" s="114" t="n">
        <f aca="false">-AG32/MAX(1,Inputs!$B$16)</f>
        <v>19.2</v>
      </c>
      <c r="AH11" s="114" t="n">
        <f aca="false">-AH32/MAX(1,Inputs!$B$16)</f>
        <v>19.2</v>
      </c>
      <c r="AI11" s="114" t="n">
        <f aca="false">-AI32/MAX(1,Inputs!$B$16)</f>
        <v>19.2</v>
      </c>
      <c r="AJ11" s="114" t="n">
        <f aca="false">-AJ32/MAX(1,Inputs!$B$16)</f>
        <v>19.2</v>
      </c>
      <c r="AK11" s="114" t="n">
        <f aca="false">-AK32/MAX(1,Inputs!$B$16)</f>
        <v>19.2</v>
      </c>
      <c r="AL11" s="114" t="n">
        <f aca="false">-AL32/MAX(1,Inputs!$B$16)</f>
        <v>19.2</v>
      </c>
      <c r="AM11" s="114" t="n">
        <f aca="false">-AM32/MAX(1,Inputs!$B$16)</f>
        <v>23.04</v>
      </c>
      <c r="AN11" s="114" t="n">
        <f aca="false">-AN32/MAX(1,Inputs!$B$16)</f>
        <v>23.04</v>
      </c>
      <c r="AO11" s="114" t="n">
        <f aca="false">-AO32/MAX(1,Inputs!$B$16)</f>
        <v>23.04</v>
      </c>
      <c r="AP11" s="114" t="n">
        <f aca="false">-AP32/MAX(1,Inputs!$B$16)</f>
        <v>23.04</v>
      </c>
      <c r="AQ11" s="114" t="n">
        <f aca="false">-AQ32/MAX(1,Inputs!$B$16)</f>
        <v>23.04</v>
      </c>
      <c r="AR11" s="114" t="n">
        <f aca="false">-AR32/MAX(1,Inputs!$B$16)</f>
        <v>23.04</v>
      </c>
      <c r="AS11" s="114" t="n">
        <f aca="false">-AS32/MAX(1,Inputs!$B$16)</f>
        <v>23.04</v>
      </c>
      <c r="AT11" s="114" t="n">
        <f aca="false">-AT32/MAX(1,Inputs!$B$16)</f>
        <v>23.04</v>
      </c>
      <c r="AU11" s="114" t="n">
        <f aca="false">-AU32/MAX(1,Inputs!$B$16)</f>
        <v>23.04</v>
      </c>
      <c r="AV11" s="114" t="n">
        <f aca="false">-AV32/MAX(1,Inputs!$B$16)</f>
        <v>23.04</v>
      </c>
      <c r="AW11" s="114" t="n">
        <f aca="false">-AW32/MAX(1,Inputs!$B$16)</f>
        <v>23.04</v>
      </c>
      <c r="AX11" s="114" t="n">
        <f aca="false">-AX32/MAX(1,Inputs!$B$16)</f>
        <v>23.04</v>
      </c>
      <c r="AY11" s="114" t="n">
        <f aca="false">-AY32/MAX(1,Inputs!$B$16)</f>
        <v>27.648</v>
      </c>
      <c r="AZ11" s="114" t="n">
        <f aca="false">-AZ32/MAX(1,Inputs!$B$16)</f>
        <v>27.648</v>
      </c>
      <c r="BA11" s="114" t="n">
        <f aca="false">-BA32/MAX(1,Inputs!$B$16)</f>
        <v>27.648</v>
      </c>
      <c r="BB11" s="114" t="n">
        <f aca="false">-BB32/MAX(1,Inputs!$B$16)</f>
        <v>27.648</v>
      </c>
      <c r="BC11" s="114" t="n">
        <f aca="false">-BC32/MAX(1,Inputs!$B$16)</f>
        <v>27.648</v>
      </c>
      <c r="BD11" s="114" t="n">
        <f aca="false">-BD32/MAX(1,Inputs!$B$16)</f>
        <v>27.648</v>
      </c>
      <c r="BE11" s="114" t="n">
        <f aca="false">-BE32/MAX(1,Inputs!$B$16)</f>
        <v>27.648</v>
      </c>
      <c r="BF11" s="114" t="n">
        <f aca="false">-BF32/MAX(1,Inputs!$B$16)</f>
        <v>27.648</v>
      </c>
      <c r="BG11" s="114" t="n">
        <f aca="false">-BG32/MAX(1,Inputs!$B$16)</f>
        <v>27.648</v>
      </c>
      <c r="BH11" s="114" t="n">
        <f aca="false">-BH32/MAX(1,Inputs!$B$16)</f>
        <v>27.648</v>
      </c>
      <c r="BI11" s="114" t="n">
        <f aca="false">-BI32/MAX(1,Inputs!$B$16)</f>
        <v>27.648</v>
      </c>
      <c r="BJ11" s="114" t="n">
        <f aca="false">-BJ32/MAX(1,Inputs!$B$16)</f>
        <v>27.648</v>
      </c>
    </row>
    <row r="12" customFormat="false" ht="15" hidden="false" customHeight="false" outlineLevel="0" collapsed="false">
      <c r="A12" s="4" t="s">
        <v>397</v>
      </c>
      <c r="C12" s="115" t="n">
        <f aca="false">C10+C11</f>
        <v>21.3333333333333</v>
      </c>
      <c r="D12" s="115" t="n">
        <f aca="false">D10+D11</f>
        <v>21.3333333333333</v>
      </c>
      <c r="E12" s="115" t="n">
        <f aca="false">E10+E11</f>
        <v>21.3333333333333</v>
      </c>
      <c r="F12" s="115" t="n">
        <f aca="false">F10+F11</f>
        <v>21.3333333333333</v>
      </c>
      <c r="G12" s="115" t="n">
        <f aca="false">G10+G11</f>
        <v>21.3333333333333</v>
      </c>
      <c r="H12" s="115" t="n">
        <f aca="false">H10+H11</f>
        <v>21.3333333333333</v>
      </c>
      <c r="I12" s="115" t="n">
        <f aca="false">I10+I11</f>
        <v>21.3333333333333</v>
      </c>
      <c r="J12" s="115" t="n">
        <f aca="false">J10+J11</f>
        <v>21.3333333333333</v>
      </c>
      <c r="K12" s="115" t="n">
        <f aca="false">K10+K11</f>
        <v>21.3333333333333</v>
      </c>
      <c r="L12" s="115" t="n">
        <f aca="false">L10+L11</f>
        <v>21.3333333333333</v>
      </c>
      <c r="M12" s="115" t="n">
        <f aca="false">M10+M11</f>
        <v>21.3333333333333</v>
      </c>
      <c r="N12" s="115" t="n">
        <f aca="false">N10+N11</f>
        <v>21.3333333333333</v>
      </c>
      <c r="O12" s="115" t="n">
        <f aca="false">O10+O11</f>
        <v>24.8</v>
      </c>
      <c r="P12" s="115" t="n">
        <f aca="false">P10+P11</f>
        <v>24.8</v>
      </c>
      <c r="Q12" s="115" t="n">
        <f aca="false">Q10+Q11</f>
        <v>24.8</v>
      </c>
      <c r="R12" s="115" t="n">
        <f aca="false">R10+R11</f>
        <v>24.8</v>
      </c>
      <c r="S12" s="115" t="n">
        <f aca="false">S10+S11</f>
        <v>24.8</v>
      </c>
      <c r="T12" s="115" t="n">
        <f aca="false">T10+T11</f>
        <v>24.8</v>
      </c>
      <c r="U12" s="115" t="n">
        <f aca="false">U10+U11</f>
        <v>24.8</v>
      </c>
      <c r="V12" s="115" t="n">
        <f aca="false">V10+V11</f>
        <v>24.8</v>
      </c>
      <c r="W12" s="115" t="n">
        <f aca="false">W10+W11</f>
        <v>24.8</v>
      </c>
      <c r="X12" s="115" t="n">
        <f aca="false">X10+X11</f>
        <v>24.8</v>
      </c>
      <c r="Y12" s="115" t="n">
        <f aca="false">Y10+Y11</f>
        <v>24.8</v>
      </c>
      <c r="Z12" s="115" t="n">
        <f aca="false">Z10+Z11</f>
        <v>24.8</v>
      </c>
      <c r="AA12" s="115" t="n">
        <f aca="false">AA10+AA11</f>
        <v>28.88</v>
      </c>
      <c r="AB12" s="115" t="n">
        <f aca="false">AB10+AB11</f>
        <v>28.88</v>
      </c>
      <c r="AC12" s="115" t="n">
        <f aca="false">AC10+AC11</f>
        <v>28.88</v>
      </c>
      <c r="AD12" s="115" t="n">
        <f aca="false">AD10+AD11</f>
        <v>28.88</v>
      </c>
      <c r="AE12" s="115" t="n">
        <f aca="false">AE10+AE11</f>
        <v>28.88</v>
      </c>
      <c r="AF12" s="115" t="n">
        <f aca="false">AF10+AF11</f>
        <v>28.88</v>
      </c>
      <c r="AG12" s="115" t="n">
        <f aca="false">AG10+AG11</f>
        <v>28.88</v>
      </c>
      <c r="AH12" s="115" t="n">
        <f aca="false">AH10+AH11</f>
        <v>28.88</v>
      </c>
      <c r="AI12" s="115" t="n">
        <f aca="false">AI10+AI11</f>
        <v>28.88</v>
      </c>
      <c r="AJ12" s="115" t="n">
        <f aca="false">AJ10+AJ11</f>
        <v>28.88</v>
      </c>
      <c r="AK12" s="115" t="n">
        <f aca="false">AK10+AK11</f>
        <v>28.88</v>
      </c>
      <c r="AL12" s="115" t="n">
        <f aca="false">AL10+AL11</f>
        <v>28.88</v>
      </c>
      <c r="AM12" s="115" t="n">
        <f aca="false">AM10+AM11</f>
        <v>33.688</v>
      </c>
      <c r="AN12" s="115" t="n">
        <f aca="false">AN10+AN11</f>
        <v>33.688</v>
      </c>
      <c r="AO12" s="115" t="n">
        <f aca="false">AO10+AO11</f>
        <v>33.688</v>
      </c>
      <c r="AP12" s="115" t="n">
        <f aca="false">AP10+AP11</f>
        <v>33.688</v>
      </c>
      <c r="AQ12" s="115" t="n">
        <f aca="false">AQ10+AQ11</f>
        <v>33.688</v>
      </c>
      <c r="AR12" s="115" t="n">
        <f aca="false">AR10+AR11</f>
        <v>33.688</v>
      </c>
      <c r="AS12" s="115" t="n">
        <f aca="false">AS10+AS11</f>
        <v>33.688</v>
      </c>
      <c r="AT12" s="115" t="n">
        <f aca="false">AT10+AT11</f>
        <v>33.688</v>
      </c>
      <c r="AU12" s="115" t="n">
        <f aca="false">AU10+AU11</f>
        <v>33.688</v>
      </c>
      <c r="AV12" s="115" t="n">
        <f aca="false">AV10+AV11</f>
        <v>33.688</v>
      </c>
      <c r="AW12" s="115" t="n">
        <f aca="false">AW10+AW11</f>
        <v>33.688</v>
      </c>
      <c r="AX12" s="115" t="n">
        <f aca="false">AX10+AX11</f>
        <v>33.688</v>
      </c>
      <c r="AY12" s="115" t="n">
        <f aca="false">AY10+AY11</f>
        <v>39.3608</v>
      </c>
      <c r="AZ12" s="115" t="n">
        <f aca="false">AZ10+AZ11</f>
        <v>39.3608</v>
      </c>
      <c r="BA12" s="115" t="n">
        <f aca="false">BA10+BA11</f>
        <v>39.3608</v>
      </c>
      <c r="BB12" s="115" t="n">
        <f aca="false">BB10+BB11</f>
        <v>39.3608</v>
      </c>
      <c r="BC12" s="115" t="n">
        <f aca="false">BC10+BC11</f>
        <v>39.3608</v>
      </c>
      <c r="BD12" s="115" t="n">
        <f aca="false">BD10+BD11</f>
        <v>39.3608</v>
      </c>
      <c r="BE12" s="115" t="n">
        <f aca="false">BE10+BE11</f>
        <v>39.3608</v>
      </c>
      <c r="BF12" s="115" t="n">
        <f aca="false">BF10+BF11</f>
        <v>39.3608</v>
      </c>
      <c r="BG12" s="115" t="n">
        <f aca="false">BG10+BG11</f>
        <v>39.3608</v>
      </c>
      <c r="BH12" s="115" t="n">
        <f aca="false">BH10+BH11</f>
        <v>39.3608</v>
      </c>
      <c r="BI12" s="115" t="n">
        <f aca="false">BI10+BI11</f>
        <v>39.3608</v>
      </c>
      <c r="BJ12" s="115" t="n">
        <f aca="false">BJ10+BJ11</f>
        <v>39.3608</v>
      </c>
    </row>
    <row r="13" customFormat="false" ht="15" hidden="false" customHeight="false" outlineLevel="0" collapsed="false">
      <c r="A13" s="6" t="s">
        <v>398</v>
      </c>
      <c r="C13" s="116" t="n">
        <f aca="false">Inputs!$B$7</f>
        <v>30</v>
      </c>
      <c r="D13" s="114" t="n">
        <f aca="false">C15</f>
        <v>49.9833333333333</v>
      </c>
      <c r="E13" s="114" t="n">
        <f aca="false">D15</f>
        <v>69.0674166666667</v>
      </c>
      <c r="F13" s="114" t="n">
        <f aca="false">E15</f>
        <v>87.29271625</v>
      </c>
      <c r="G13" s="114" t="n">
        <f aca="false">F15</f>
        <v>104.697877352083</v>
      </c>
      <c r="H13" s="114" t="n">
        <f aca="false">G15</f>
        <v>121.319806204573</v>
      </c>
      <c r="I13" s="114" t="n">
        <f aca="false">H15</f>
        <v>137.1937482587</v>
      </c>
      <c r="J13" s="114" t="n">
        <f aca="false">I15</f>
        <v>152.353362920392</v>
      </c>
      <c r="K13" s="114" t="n">
        <f aca="false">J15</f>
        <v>166.830794922308</v>
      </c>
      <c r="L13" s="114" t="n">
        <f aca="false">K15</f>
        <v>180.656742484137</v>
      </c>
      <c r="M13" s="114" t="n">
        <f aca="false">L15</f>
        <v>193.860522405685</v>
      </c>
      <c r="N13" s="114" t="n">
        <f aca="false">M15</f>
        <v>206.470132230762</v>
      </c>
      <c r="O13" s="114" t="n">
        <f aca="false">N15</f>
        <v>218.512309613711</v>
      </c>
      <c r="P13" s="114" t="n">
        <f aca="false">O15</f>
        <v>233.479255681094</v>
      </c>
      <c r="Q13" s="114" t="n">
        <f aca="false">P15</f>
        <v>247.772689175445</v>
      </c>
      <c r="R13" s="114" t="n">
        <f aca="false">Q15</f>
        <v>261.42291816255</v>
      </c>
      <c r="S13" s="114" t="n">
        <f aca="false">R15</f>
        <v>274.458886845235</v>
      </c>
      <c r="T13" s="114" t="n">
        <f aca="false">S15</f>
        <v>286.9082369372</v>
      </c>
      <c r="U13" s="114" t="n">
        <f aca="false">T15</f>
        <v>298.797366275026</v>
      </c>
      <c r="V13" s="114" t="n">
        <f aca="false">U15</f>
        <v>310.15148479265</v>
      </c>
      <c r="W13" s="114" t="n">
        <f aca="false">V15</f>
        <v>320.99466797698</v>
      </c>
      <c r="X13" s="114" t="n">
        <f aca="false">W15</f>
        <v>331.349907918016</v>
      </c>
      <c r="Y13" s="114" t="n">
        <f aca="false">X15</f>
        <v>341.239162061706</v>
      </c>
      <c r="Z13" s="114" t="n">
        <f aca="false">Y15</f>
        <v>350.683399768929</v>
      </c>
      <c r="AA13" s="114" t="n">
        <f aca="false">Z15</f>
        <v>359.702646779327</v>
      </c>
      <c r="AB13" s="114" t="n">
        <f aca="false">AA15</f>
        <v>372.396027674257</v>
      </c>
      <c r="AC13" s="114" t="n">
        <f aca="false">AB15</f>
        <v>384.518206428916</v>
      </c>
      <c r="AD13" s="114" t="n">
        <f aca="false">AC15</f>
        <v>396.094887139614</v>
      </c>
      <c r="AE13" s="114" t="n">
        <f aca="false">AD15</f>
        <v>407.150617218332</v>
      </c>
      <c r="AF13" s="114" t="n">
        <f aca="false">AE15</f>
        <v>417.708839443507</v>
      </c>
      <c r="AG13" s="114" t="n">
        <f aca="false">AF15</f>
        <v>427.791941668549</v>
      </c>
      <c r="AH13" s="114" t="n">
        <f aca="false">AG15</f>
        <v>437.421304293464</v>
      </c>
      <c r="AI13" s="114" t="n">
        <f aca="false">AH15</f>
        <v>446.617345600259</v>
      </c>
      <c r="AJ13" s="114" t="n">
        <f aca="false">AI15</f>
        <v>455.399565048247</v>
      </c>
      <c r="AK13" s="114" t="n">
        <f aca="false">AJ15</f>
        <v>463.786584621076</v>
      </c>
      <c r="AL13" s="114" t="n">
        <f aca="false">AK15</f>
        <v>471.796188313127</v>
      </c>
      <c r="AM13" s="114" t="n">
        <f aca="false">AL15</f>
        <v>479.445359839037</v>
      </c>
      <c r="AN13" s="114" t="n">
        <f aca="false">AM15</f>
        <v>491.55831864628</v>
      </c>
      <c r="AO13" s="114" t="n">
        <f aca="false">AN15</f>
        <v>503.126194307197</v>
      </c>
      <c r="AP13" s="114" t="n">
        <f aca="false">AO15</f>
        <v>514.173515563374</v>
      </c>
      <c r="AQ13" s="114" t="n">
        <f aca="false">AP15</f>
        <v>524.723707363022</v>
      </c>
      <c r="AR13" s="114" t="n">
        <f aca="false">AQ15</f>
        <v>534.799140531686</v>
      </c>
      <c r="AS13" s="114" t="n">
        <f aca="false">AR15</f>
        <v>544.42117920776</v>
      </c>
      <c r="AT13" s="114" t="n">
        <f aca="false">AS15</f>
        <v>553.610226143411</v>
      </c>
      <c r="AU13" s="114" t="n">
        <f aca="false">AT15</f>
        <v>562.385765966957</v>
      </c>
      <c r="AV13" s="114" t="n">
        <f aca="false">AU15</f>
        <v>570.766406498444</v>
      </c>
      <c r="AW13" s="114" t="n">
        <f aca="false">AV15</f>
        <v>578.769918206014</v>
      </c>
      <c r="AX13" s="114" t="n">
        <f aca="false">AW15</f>
        <v>586.413271886744</v>
      </c>
      <c r="AY13" s="114" t="n">
        <f aca="false">AX15</f>
        <v>593.71267465184</v>
      </c>
      <c r="AZ13" s="114" t="n">
        <f aca="false">AY15</f>
        <v>606.356404292507</v>
      </c>
      <c r="BA13" s="114" t="n">
        <f aca="false">AZ15</f>
        <v>618.431166099344</v>
      </c>
      <c r="BB13" s="114" t="n">
        <f aca="false">BA15</f>
        <v>629.962563624874</v>
      </c>
      <c r="BC13" s="114" t="n">
        <f aca="false">BB15</f>
        <v>640.975048261755</v>
      </c>
      <c r="BD13" s="114" t="n">
        <f aca="false">BC15</f>
        <v>651.491971089976</v>
      </c>
      <c r="BE13" s="114" t="n">
        <f aca="false">BD15</f>
        <v>661.535632390927</v>
      </c>
      <c r="BF13" s="114" t="n">
        <f aca="false">BE15</f>
        <v>671.127328933335</v>
      </c>
      <c r="BG13" s="114" t="n">
        <f aca="false">BF15</f>
        <v>680.287399131335</v>
      </c>
      <c r="BH13" s="114" t="n">
        <f aca="false">BG15</f>
        <v>689.035266170425</v>
      </c>
      <c r="BI13" s="114" t="n">
        <f aca="false">BH15</f>
        <v>697.389479192756</v>
      </c>
      <c r="BJ13" s="114" t="n">
        <f aca="false">BI15</f>
        <v>705.367752629082</v>
      </c>
    </row>
    <row r="14" customFormat="false" ht="15" hidden="false" customHeight="false" outlineLevel="0" collapsed="false">
      <c r="A14" s="6" t="s">
        <v>399</v>
      </c>
      <c r="C14" s="114" t="n">
        <f aca="false">-C13*Inputs!$B$10</f>
        <v>-1.35</v>
      </c>
      <c r="D14" s="114" t="n">
        <f aca="false">-D13*Inputs!$B$10</f>
        <v>-2.24925</v>
      </c>
      <c r="E14" s="114" t="n">
        <f aca="false">-E13*Inputs!$B$10</f>
        <v>-3.10803375</v>
      </c>
      <c r="F14" s="114" t="n">
        <f aca="false">-F13*Inputs!$B$10</f>
        <v>-3.92817223125</v>
      </c>
      <c r="G14" s="114" t="n">
        <f aca="false">-G13*Inputs!$B$10</f>
        <v>-4.71140448084375</v>
      </c>
      <c r="H14" s="114" t="n">
        <f aca="false">-H13*Inputs!$B$10</f>
        <v>-5.45939127920578</v>
      </c>
      <c r="I14" s="114" t="n">
        <f aca="false">-I13*Inputs!$B$10</f>
        <v>-6.17371867164152</v>
      </c>
      <c r="J14" s="114" t="n">
        <f aca="false">-J13*Inputs!$B$10</f>
        <v>-6.85590133141765</v>
      </c>
      <c r="K14" s="114" t="n">
        <f aca="false">-K13*Inputs!$B$10</f>
        <v>-7.50738577150386</v>
      </c>
      <c r="L14" s="114" t="n">
        <f aca="false">-L13*Inputs!$B$10</f>
        <v>-8.12955341178619</v>
      </c>
      <c r="M14" s="114" t="n">
        <f aca="false">-M13*Inputs!$B$10</f>
        <v>-8.72372350825581</v>
      </c>
      <c r="N14" s="114" t="n">
        <f aca="false">-N13*Inputs!$B$10</f>
        <v>-9.2911559503843</v>
      </c>
      <c r="O14" s="114" t="n">
        <f aca="false">-O13*Inputs!$B$10</f>
        <v>-9.833053932617</v>
      </c>
      <c r="P14" s="114" t="n">
        <f aca="false">-P13*Inputs!$B$10</f>
        <v>-10.5065665056492</v>
      </c>
      <c r="Q14" s="114" t="n">
        <f aca="false">-Q13*Inputs!$B$10</f>
        <v>-11.149771012895</v>
      </c>
      <c r="R14" s="114" t="n">
        <f aca="false">-R13*Inputs!$B$10</f>
        <v>-11.7640313173147</v>
      </c>
      <c r="S14" s="114" t="n">
        <f aca="false">-S13*Inputs!$B$10</f>
        <v>-12.3506499080356</v>
      </c>
      <c r="T14" s="114" t="n">
        <f aca="false">-T13*Inputs!$B$10</f>
        <v>-12.910870662174</v>
      </c>
      <c r="U14" s="114" t="n">
        <f aca="false">-U13*Inputs!$B$10</f>
        <v>-13.4458814823762</v>
      </c>
      <c r="V14" s="114" t="n">
        <f aca="false">-V13*Inputs!$B$10</f>
        <v>-13.9568168156692</v>
      </c>
      <c r="W14" s="114" t="n">
        <f aca="false">-W13*Inputs!$B$10</f>
        <v>-14.4447600589641</v>
      </c>
      <c r="X14" s="114" t="n">
        <f aca="false">-X13*Inputs!$B$10</f>
        <v>-14.9107458563107</v>
      </c>
      <c r="Y14" s="114" t="n">
        <f aca="false">-Y13*Inputs!$B$10</f>
        <v>-15.3557622927767</v>
      </c>
      <c r="Z14" s="114" t="n">
        <f aca="false">-Z13*Inputs!$B$10</f>
        <v>-15.7807529896018</v>
      </c>
      <c r="AA14" s="114" t="n">
        <f aca="false">-AA13*Inputs!$B$10</f>
        <v>-16.1866191050697</v>
      </c>
      <c r="AB14" s="114" t="n">
        <f aca="false">-AB13*Inputs!$B$10</f>
        <v>-16.7578212453416</v>
      </c>
      <c r="AC14" s="114" t="n">
        <f aca="false">-AC13*Inputs!$B$10</f>
        <v>-17.3033192893012</v>
      </c>
      <c r="AD14" s="114" t="n">
        <f aca="false">-AD13*Inputs!$B$10</f>
        <v>-17.8242699212827</v>
      </c>
      <c r="AE14" s="114" t="n">
        <f aca="false">-AE13*Inputs!$B$10</f>
        <v>-18.3217777748249</v>
      </c>
      <c r="AF14" s="114" t="n">
        <f aca="false">-AF13*Inputs!$B$10</f>
        <v>-18.7968977749578</v>
      </c>
      <c r="AG14" s="114" t="n">
        <f aca="false">-AG13*Inputs!$B$10</f>
        <v>-19.2506373750847</v>
      </c>
      <c r="AH14" s="114" t="n">
        <f aca="false">-AH13*Inputs!$B$10</f>
        <v>-19.6839586932059</v>
      </c>
      <c r="AI14" s="114" t="n">
        <f aca="false">-AI13*Inputs!$B$10</f>
        <v>-20.0977805520116</v>
      </c>
      <c r="AJ14" s="114" t="n">
        <f aca="false">-AJ13*Inputs!$B$10</f>
        <v>-20.4929804271711</v>
      </c>
      <c r="AK14" s="114" t="n">
        <f aca="false">-AK13*Inputs!$B$10</f>
        <v>-20.8703963079484</v>
      </c>
      <c r="AL14" s="114" t="n">
        <f aca="false">-AL13*Inputs!$B$10</f>
        <v>-21.2308284740907</v>
      </c>
      <c r="AM14" s="114" t="n">
        <f aca="false">-AM13*Inputs!$B$10</f>
        <v>-21.5750411927566</v>
      </c>
      <c r="AN14" s="114" t="n">
        <f aca="false">-AN13*Inputs!$B$10</f>
        <v>-22.1201243390826</v>
      </c>
      <c r="AO14" s="114" t="n">
        <f aca="false">-AO13*Inputs!$B$10</f>
        <v>-22.6406787438239</v>
      </c>
      <c r="AP14" s="114" t="n">
        <f aca="false">-AP13*Inputs!$B$10</f>
        <v>-23.1378082003518</v>
      </c>
      <c r="AQ14" s="114" t="n">
        <f aca="false">-AQ13*Inputs!$B$10</f>
        <v>-23.612566831336</v>
      </c>
      <c r="AR14" s="114" t="n">
        <f aca="false">-AR13*Inputs!$B$10</f>
        <v>-24.0659613239259</v>
      </c>
      <c r="AS14" s="114" t="n">
        <f aca="false">-AS13*Inputs!$B$10</f>
        <v>-24.4989530643492</v>
      </c>
      <c r="AT14" s="114" t="n">
        <f aca="false">-AT13*Inputs!$B$10</f>
        <v>-24.9124601764535</v>
      </c>
      <c r="AU14" s="114" t="n">
        <f aca="false">-AU13*Inputs!$B$10</f>
        <v>-25.3073594685131</v>
      </c>
      <c r="AV14" s="114" t="n">
        <f aca="false">-AV13*Inputs!$B$10</f>
        <v>-25.68448829243</v>
      </c>
      <c r="AW14" s="114" t="n">
        <f aca="false">-AW13*Inputs!$B$10</f>
        <v>-26.0446463192706</v>
      </c>
      <c r="AX14" s="114" t="n">
        <f aca="false">-AX13*Inputs!$B$10</f>
        <v>-26.3885972349035</v>
      </c>
      <c r="AY14" s="114" t="n">
        <f aca="false">-AY13*Inputs!$B$10</f>
        <v>-26.7170703593328</v>
      </c>
      <c r="AZ14" s="114" t="n">
        <f aca="false">-AZ13*Inputs!$B$10</f>
        <v>-27.2860381931628</v>
      </c>
      <c r="BA14" s="114" t="n">
        <f aca="false">-BA13*Inputs!$B$10</f>
        <v>-27.8294024744705</v>
      </c>
      <c r="BB14" s="114" t="n">
        <f aca="false">-BB13*Inputs!$B$10</f>
        <v>-28.3483153631193</v>
      </c>
      <c r="BC14" s="114" t="n">
        <f aca="false">-BC13*Inputs!$B$10</f>
        <v>-28.843877171779</v>
      </c>
      <c r="BD14" s="114" t="n">
        <f aca="false">-BD13*Inputs!$B$10</f>
        <v>-29.3171386990489</v>
      </c>
      <c r="BE14" s="114" t="n">
        <f aca="false">-BE13*Inputs!$B$10</f>
        <v>-29.7691034575917</v>
      </c>
      <c r="BF14" s="114" t="n">
        <f aca="false">-BF13*Inputs!$B$10</f>
        <v>-30.2007298020001</v>
      </c>
      <c r="BG14" s="114" t="n">
        <f aca="false">-BG13*Inputs!$B$10</f>
        <v>-30.6129329609101</v>
      </c>
      <c r="BH14" s="114" t="n">
        <f aca="false">-BH13*Inputs!$B$10</f>
        <v>-31.0065869776691</v>
      </c>
      <c r="BI14" s="114" t="n">
        <f aca="false">-BI13*Inputs!$B$10</f>
        <v>-31.382526563674</v>
      </c>
      <c r="BJ14" s="114" t="n">
        <f aca="false">-BJ13*Inputs!$B$10</f>
        <v>-31.7415488683087</v>
      </c>
    </row>
    <row r="15" customFormat="false" ht="15" hidden="false" customHeight="false" outlineLevel="0" collapsed="false">
      <c r="A15" s="111" t="s">
        <v>400</v>
      </c>
      <c r="C15" s="117" t="n">
        <f aca="false">C13+C12+C14</f>
        <v>49.9833333333333</v>
      </c>
      <c r="D15" s="117" t="n">
        <f aca="false">D13+D12+D14</f>
        <v>69.0674166666667</v>
      </c>
      <c r="E15" s="117" t="n">
        <f aca="false">E13+E12+E14</f>
        <v>87.29271625</v>
      </c>
      <c r="F15" s="117" t="n">
        <f aca="false">F13+F12+F14</f>
        <v>104.697877352083</v>
      </c>
      <c r="G15" s="117" t="n">
        <f aca="false">G13+G12+G14</f>
        <v>121.319806204573</v>
      </c>
      <c r="H15" s="117" t="n">
        <f aca="false">H13+H12+H14</f>
        <v>137.1937482587</v>
      </c>
      <c r="I15" s="117" t="n">
        <f aca="false">I13+I12+I14</f>
        <v>152.353362920392</v>
      </c>
      <c r="J15" s="117" t="n">
        <f aca="false">J13+J12+J14</f>
        <v>166.830794922308</v>
      </c>
      <c r="K15" s="117" t="n">
        <f aca="false">K13+K12+K14</f>
        <v>180.656742484137</v>
      </c>
      <c r="L15" s="117" t="n">
        <f aca="false">L13+L12+L14</f>
        <v>193.860522405685</v>
      </c>
      <c r="M15" s="117" t="n">
        <f aca="false">M13+M12+M14</f>
        <v>206.470132230762</v>
      </c>
      <c r="N15" s="117" t="n">
        <f aca="false">N13+N12+N14</f>
        <v>218.512309613711</v>
      </c>
      <c r="O15" s="117" t="n">
        <f aca="false">O13+O12+O14</f>
        <v>233.479255681094</v>
      </c>
      <c r="P15" s="117" t="n">
        <f aca="false">P13+P12+P14</f>
        <v>247.772689175445</v>
      </c>
      <c r="Q15" s="117" t="n">
        <f aca="false">Q13+Q12+Q14</f>
        <v>261.42291816255</v>
      </c>
      <c r="R15" s="117" t="n">
        <f aca="false">R13+R12+R14</f>
        <v>274.458886845235</v>
      </c>
      <c r="S15" s="117" t="n">
        <f aca="false">S13+S12+S14</f>
        <v>286.9082369372</v>
      </c>
      <c r="T15" s="117" t="n">
        <f aca="false">T13+T12+T14</f>
        <v>298.797366275026</v>
      </c>
      <c r="U15" s="117" t="n">
        <f aca="false">U13+U12+U14</f>
        <v>310.15148479265</v>
      </c>
      <c r="V15" s="117" t="n">
        <f aca="false">V13+V12+V14</f>
        <v>320.99466797698</v>
      </c>
      <c r="W15" s="117" t="n">
        <f aca="false">W13+W12+W14</f>
        <v>331.349907918016</v>
      </c>
      <c r="X15" s="117" t="n">
        <f aca="false">X13+X12+X14</f>
        <v>341.239162061706</v>
      </c>
      <c r="Y15" s="117" t="n">
        <f aca="false">Y13+Y12+Y14</f>
        <v>350.683399768929</v>
      </c>
      <c r="Z15" s="117" t="n">
        <f aca="false">Z13+Z12+Z14</f>
        <v>359.702646779327</v>
      </c>
      <c r="AA15" s="117" t="n">
        <f aca="false">AA13+AA12+AA14</f>
        <v>372.396027674257</v>
      </c>
      <c r="AB15" s="117" t="n">
        <f aca="false">AB13+AB12+AB14</f>
        <v>384.518206428916</v>
      </c>
      <c r="AC15" s="117" t="n">
        <f aca="false">AC13+AC12+AC14</f>
        <v>396.094887139614</v>
      </c>
      <c r="AD15" s="117" t="n">
        <f aca="false">AD13+AD12+AD14</f>
        <v>407.150617218332</v>
      </c>
      <c r="AE15" s="117" t="n">
        <f aca="false">AE13+AE12+AE14</f>
        <v>417.708839443507</v>
      </c>
      <c r="AF15" s="117" t="n">
        <f aca="false">AF13+AF12+AF14</f>
        <v>427.791941668549</v>
      </c>
      <c r="AG15" s="117" t="n">
        <f aca="false">AG13+AG12+AG14</f>
        <v>437.421304293464</v>
      </c>
      <c r="AH15" s="117" t="n">
        <f aca="false">AH13+AH12+AH14</f>
        <v>446.617345600259</v>
      </c>
      <c r="AI15" s="117" t="n">
        <f aca="false">AI13+AI12+AI14</f>
        <v>455.399565048247</v>
      </c>
      <c r="AJ15" s="117" t="n">
        <f aca="false">AJ13+AJ12+AJ14</f>
        <v>463.786584621076</v>
      </c>
      <c r="AK15" s="117" t="n">
        <f aca="false">AK13+AK12+AK14</f>
        <v>471.796188313127</v>
      </c>
      <c r="AL15" s="117" t="n">
        <f aca="false">AL13+AL12+AL14</f>
        <v>479.445359839037</v>
      </c>
      <c r="AM15" s="117" t="n">
        <f aca="false">AM13+AM12+AM14</f>
        <v>491.55831864628</v>
      </c>
      <c r="AN15" s="117" t="n">
        <f aca="false">AN13+AN12+AN14</f>
        <v>503.126194307197</v>
      </c>
      <c r="AO15" s="117" t="n">
        <f aca="false">AO13+AO12+AO14</f>
        <v>514.173515563374</v>
      </c>
      <c r="AP15" s="117" t="n">
        <f aca="false">AP13+AP12+AP14</f>
        <v>524.723707363022</v>
      </c>
      <c r="AQ15" s="117" t="n">
        <f aca="false">AQ13+AQ12+AQ14</f>
        <v>534.799140531686</v>
      </c>
      <c r="AR15" s="117" t="n">
        <f aca="false">AR13+AR12+AR14</f>
        <v>544.42117920776</v>
      </c>
      <c r="AS15" s="117" t="n">
        <f aca="false">AS13+AS12+AS14</f>
        <v>553.610226143411</v>
      </c>
      <c r="AT15" s="117" t="n">
        <f aca="false">AT13+AT12+AT14</f>
        <v>562.385765966957</v>
      </c>
      <c r="AU15" s="117" t="n">
        <f aca="false">AU13+AU12+AU14</f>
        <v>570.766406498444</v>
      </c>
      <c r="AV15" s="117" t="n">
        <f aca="false">AV13+AV12+AV14</f>
        <v>578.769918206014</v>
      </c>
      <c r="AW15" s="117" t="n">
        <f aca="false">AW13+AW12+AW14</f>
        <v>586.413271886744</v>
      </c>
      <c r="AX15" s="117" t="n">
        <f aca="false">AX13+AX12+AX14</f>
        <v>593.71267465184</v>
      </c>
      <c r="AY15" s="117" t="n">
        <f aca="false">AY13+AY12+AY14</f>
        <v>606.356404292507</v>
      </c>
      <c r="AZ15" s="117" t="n">
        <f aca="false">AZ13+AZ12+AZ14</f>
        <v>618.431166099344</v>
      </c>
      <c r="BA15" s="117" t="n">
        <f aca="false">BA13+BA12+BA14</f>
        <v>629.962563624874</v>
      </c>
      <c r="BB15" s="117" t="n">
        <f aca="false">BB13+BB12+BB14</f>
        <v>640.975048261755</v>
      </c>
      <c r="BC15" s="117" t="n">
        <f aca="false">BC13+BC12+BC14</f>
        <v>651.491971089976</v>
      </c>
      <c r="BD15" s="117" t="n">
        <f aca="false">BD13+BD12+BD14</f>
        <v>661.535632390927</v>
      </c>
      <c r="BE15" s="117" t="n">
        <f aca="false">BE13+BE12+BE14</f>
        <v>671.127328933335</v>
      </c>
      <c r="BF15" s="117" t="n">
        <f aca="false">BF13+BF12+BF14</f>
        <v>680.287399131335</v>
      </c>
      <c r="BG15" s="117" t="n">
        <f aca="false">BG13+BG12+BG14</f>
        <v>689.035266170425</v>
      </c>
      <c r="BH15" s="117" t="n">
        <f aca="false">BH13+BH12+BH14</f>
        <v>697.389479192756</v>
      </c>
      <c r="BI15" s="117" t="n">
        <f aca="false">BI13+BI12+BI14</f>
        <v>705.367752629082</v>
      </c>
      <c r="BJ15" s="117" t="n">
        <f aca="false">BJ13+BJ12+BJ14</f>
        <v>712.987003760774</v>
      </c>
    </row>
    <row r="16" customFormat="false" ht="15" hidden="false" customHeight="false" outlineLevel="0" collapsed="false">
      <c r="A16" s="6" t="s">
        <v>401</v>
      </c>
      <c r="C16" s="118" t="n">
        <f aca="false">Inputs!$B$8*(1+Inputs!$B$9)^(C$7-1)</f>
        <v>79</v>
      </c>
      <c r="D16" s="118" t="n">
        <f aca="false">Inputs!$B$8*(1+Inputs!$B$9)^(D$7-1)</f>
        <v>79</v>
      </c>
      <c r="E16" s="118" t="n">
        <f aca="false">Inputs!$B$8*(1+Inputs!$B$9)^(E$7-1)</f>
        <v>79</v>
      </c>
      <c r="F16" s="118" t="n">
        <f aca="false">Inputs!$B$8*(1+Inputs!$B$9)^(F$7-1)</f>
        <v>79</v>
      </c>
      <c r="G16" s="118" t="n">
        <f aca="false">Inputs!$B$8*(1+Inputs!$B$9)^(G$7-1)</f>
        <v>79</v>
      </c>
      <c r="H16" s="118" t="n">
        <f aca="false">Inputs!$B$8*(1+Inputs!$B$9)^(H$7-1)</f>
        <v>79</v>
      </c>
      <c r="I16" s="118" t="n">
        <f aca="false">Inputs!$B$8*(1+Inputs!$B$9)^(I$7-1)</f>
        <v>79</v>
      </c>
      <c r="J16" s="118" t="n">
        <f aca="false">Inputs!$B$8*(1+Inputs!$B$9)^(J$7-1)</f>
        <v>79</v>
      </c>
      <c r="K16" s="118" t="n">
        <f aca="false">Inputs!$B$8*(1+Inputs!$B$9)^(K$7-1)</f>
        <v>79</v>
      </c>
      <c r="L16" s="118" t="n">
        <f aca="false">Inputs!$B$8*(1+Inputs!$B$9)^(L$7-1)</f>
        <v>79</v>
      </c>
      <c r="M16" s="118" t="n">
        <f aca="false">Inputs!$B$8*(1+Inputs!$B$9)^(M$7-1)</f>
        <v>79</v>
      </c>
      <c r="N16" s="118" t="n">
        <f aca="false">Inputs!$B$8*(1+Inputs!$B$9)^(N$7-1)</f>
        <v>79</v>
      </c>
      <c r="O16" s="118" t="n">
        <f aca="false">Inputs!$B$8*(1+Inputs!$B$9)^(O$7-1)</f>
        <v>79</v>
      </c>
      <c r="P16" s="118" t="n">
        <f aca="false">Inputs!$B$8*(1+Inputs!$B$9)^(P$7-1)</f>
        <v>79</v>
      </c>
      <c r="Q16" s="118" t="n">
        <f aca="false">Inputs!$B$8*(1+Inputs!$B$9)^(Q$7-1)</f>
        <v>79</v>
      </c>
      <c r="R16" s="118" t="n">
        <f aca="false">Inputs!$B$8*(1+Inputs!$B$9)^(R$7-1)</f>
        <v>79</v>
      </c>
      <c r="S16" s="118" t="n">
        <f aca="false">Inputs!$B$8*(1+Inputs!$B$9)^(S$7-1)</f>
        <v>79</v>
      </c>
      <c r="T16" s="118" t="n">
        <f aca="false">Inputs!$B$8*(1+Inputs!$B$9)^(T$7-1)</f>
        <v>79</v>
      </c>
      <c r="U16" s="118" t="n">
        <f aca="false">Inputs!$B$8*(1+Inputs!$B$9)^(U$7-1)</f>
        <v>79</v>
      </c>
      <c r="V16" s="118" t="n">
        <f aca="false">Inputs!$B$8*(1+Inputs!$B$9)^(V$7-1)</f>
        <v>79</v>
      </c>
      <c r="W16" s="118" t="n">
        <f aca="false">Inputs!$B$8*(1+Inputs!$B$9)^(W$7-1)</f>
        <v>79</v>
      </c>
      <c r="X16" s="118" t="n">
        <f aca="false">Inputs!$B$8*(1+Inputs!$B$9)^(X$7-1)</f>
        <v>79</v>
      </c>
      <c r="Y16" s="118" t="n">
        <f aca="false">Inputs!$B$8*(1+Inputs!$B$9)^(Y$7-1)</f>
        <v>79</v>
      </c>
      <c r="Z16" s="118" t="n">
        <f aca="false">Inputs!$B$8*(1+Inputs!$B$9)^(Z$7-1)</f>
        <v>79</v>
      </c>
      <c r="AA16" s="118" t="n">
        <f aca="false">Inputs!$B$8*(1+Inputs!$B$9)^(AA$7-1)</f>
        <v>79</v>
      </c>
      <c r="AB16" s="118" t="n">
        <f aca="false">Inputs!$B$8*(1+Inputs!$B$9)^(AB$7-1)</f>
        <v>79</v>
      </c>
      <c r="AC16" s="118" t="n">
        <f aca="false">Inputs!$B$8*(1+Inputs!$B$9)^(AC$7-1)</f>
        <v>79</v>
      </c>
      <c r="AD16" s="118" t="n">
        <f aca="false">Inputs!$B$8*(1+Inputs!$B$9)^(AD$7-1)</f>
        <v>79</v>
      </c>
      <c r="AE16" s="118" t="n">
        <f aca="false">Inputs!$B$8*(1+Inputs!$B$9)^(AE$7-1)</f>
        <v>79</v>
      </c>
      <c r="AF16" s="118" t="n">
        <f aca="false">Inputs!$B$8*(1+Inputs!$B$9)^(AF$7-1)</f>
        <v>79</v>
      </c>
      <c r="AG16" s="118" t="n">
        <f aca="false">Inputs!$B$8*(1+Inputs!$B$9)^(AG$7-1)</f>
        <v>79</v>
      </c>
      <c r="AH16" s="118" t="n">
        <f aca="false">Inputs!$B$8*(1+Inputs!$B$9)^(AH$7-1)</f>
        <v>79</v>
      </c>
      <c r="AI16" s="118" t="n">
        <f aca="false">Inputs!$B$8*(1+Inputs!$B$9)^(AI$7-1)</f>
        <v>79</v>
      </c>
      <c r="AJ16" s="118" t="n">
        <f aca="false">Inputs!$B$8*(1+Inputs!$B$9)^(AJ$7-1)</f>
        <v>79</v>
      </c>
      <c r="AK16" s="118" t="n">
        <f aca="false">Inputs!$B$8*(1+Inputs!$B$9)^(AK$7-1)</f>
        <v>79</v>
      </c>
      <c r="AL16" s="118" t="n">
        <f aca="false">Inputs!$B$8*(1+Inputs!$B$9)^(AL$7-1)</f>
        <v>79</v>
      </c>
      <c r="AM16" s="118" t="n">
        <f aca="false">Inputs!$B$8*(1+Inputs!$B$9)^(AM$7-1)</f>
        <v>79</v>
      </c>
      <c r="AN16" s="118" t="n">
        <f aca="false">Inputs!$B$8*(1+Inputs!$B$9)^(AN$7-1)</f>
        <v>79</v>
      </c>
      <c r="AO16" s="118" t="n">
        <f aca="false">Inputs!$B$8*(1+Inputs!$B$9)^(AO$7-1)</f>
        <v>79</v>
      </c>
      <c r="AP16" s="118" t="n">
        <f aca="false">Inputs!$B$8*(1+Inputs!$B$9)^(AP$7-1)</f>
        <v>79</v>
      </c>
      <c r="AQ16" s="118" t="n">
        <f aca="false">Inputs!$B$8*(1+Inputs!$B$9)^(AQ$7-1)</f>
        <v>79</v>
      </c>
      <c r="AR16" s="118" t="n">
        <f aca="false">Inputs!$B$8*(1+Inputs!$B$9)^(AR$7-1)</f>
        <v>79</v>
      </c>
      <c r="AS16" s="118" t="n">
        <f aca="false">Inputs!$B$8*(1+Inputs!$B$9)^(AS$7-1)</f>
        <v>79</v>
      </c>
      <c r="AT16" s="118" t="n">
        <f aca="false">Inputs!$B$8*(1+Inputs!$B$9)^(AT$7-1)</f>
        <v>79</v>
      </c>
      <c r="AU16" s="118" t="n">
        <f aca="false">Inputs!$B$8*(1+Inputs!$B$9)^(AU$7-1)</f>
        <v>79</v>
      </c>
      <c r="AV16" s="118" t="n">
        <f aca="false">Inputs!$B$8*(1+Inputs!$B$9)^(AV$7-1)</f>
        <v>79</v>
      </c>
      <c r="AW16" s="118" t="n">
        <f aca="false">Inputs!$B$8*(1+Inputs!$B$9)^(AW$7-1)</f>
        <v>79</v>
      </c>
      <c r="AX16" s="118" t="n">
        <f aca="false">Inputs!$B$8*(1+Inputs!$B$9)^(AX$7-1)</f>
        <v>79</v>
      </c>
      <c r="AY16" s="118" t="n">
        <f aca="false">Inputs!$B$8*(1+Inputs!$B$9)^(AY$7-1)</f>
        <v>79</v>
      </c>
      <c r="AZ16" s="118" t="n">
        <f aca="false">Inputs!$B$8*(1+Inputs!$B$9)^(AZ$7-1)</f>
        <v>79</v>
      </c>
      <c r="BA16" s="118" t="n">
        <f aca="false">Inputs!$B$8*(1+Inputs!$B$9)^(BA$7-1)</f>
        <v>79</v>
      </c>
      <c r="BB16" s="118" t="n">
        <f aca="false">Inputs!$B$8*(1+Inputs!$B$9)^(BB$7-1)</f>
        <v>79</v>
      </c>
      <c r="BC16" s="118" t="n">
        <f aca="false">Inputs!$B$8*(1+Inputs!$B$9)^(BC$7-1)</f>
        <v>79</v>
      </c>
      <c r="BD16" s="118" t="n">
        <f aca="false">Inputs!$B$8*(1+Inputs!$B$9)^(BD$7-1)</f>
        <v>79</v>
      </c>
      <c r="BE16" s="118" t="n">
        <f aca="false">Inputs!$B$8*(1+Inputs!$B$9)^(BE$7-1)</f>
        <v>79</v>
      </c>
      <c r="BF16" s="118" t="n">
        <f aca="false">Inputs!$B$8*(1+Inputs!$B$9)^(BF$7-1)</f>
        <v>79</v>
      </c>
      <c r="BG16" s="118" t="n">
        <f aca="false">Inputs!$B$8*(1+Inputs!$B$9)^(BG$7-1)</f>
        <v>79</v>
      </c>
      <c r="BH16" s="118" t="n">
        <f aca="false">Inputs!$B$8*(1+Inputs!$B$9)^(BH$7-1)</f>
        <v>79</v>
      </c>
      <c r="BI16" s="118" t="n">
        <f aca="false">Inputs!$B$8*(1+Inputs!$B$9)^(BI$7-1)</f>
        <v>79</v>
      </c>
      <c r="BJ16" s="118" t="n">
        <f aca="false">Inputs!$B$8*(1+Inputs!$B$9)^(BJ$7-1)</f>
        <v>79</v>
      </c>
    </row>
    <row r="18" customFormat="false" ht="15.75" hidden="false" customHeight="true" outlineLevel="0" collapsed="false">
      <c r="A18" s="7" t="s">
        <v>402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customFormat="false" ht="15" hidden="false" customHeight="false" outlineLevel="0" collapsed="false">
      <c r="A19" s="6" t="s">
        <v>403</v>
      </c>
      <c r="C19" s="66" t="n">
        <f aca="false">Inputs!$B$7*Inputs!$B$8</f>
        <v>2370</v>
      </c>
      <c r="D19" s="66" t="n">
        <f aca="false">C23</f>
        <v>3948.68333333333</v>
      </c>
      <c r="E19" s="66" t="n">
        <f aca="false">D23</f>
        <v>5456.32591666667</v>
      </c>
      <c r="F19" s="66" t="n">
        <f aca="false">E23</f>
        <v>6896.12458375</v>
      </c>
      <c r="G19" s="66" t="n">
        <f aca="false">F23</f>
        <v>8271.13231081458</v>
      </c>
      <c r="H19" s="66" t="n">
        <f aca="false">G23</f>
        <v>9584.26469016126</v>
      </c>
      <c r="I19" s="66" t="n">
        <f aca="false">H23</f>
        <v>10838.3061124373</v>
      </c>
      <c r="J19" s="66" t="n">
        <f aca="false">I23</f>
        <v>12035.915670711</v>
      </c>
      <c r="K19" s="66" t="n">
        <f aca="false">J23</f>
        <v>13179.6327988623</v>
      </c>
      <c r="L19" s="66" t="n">
        <f aca="false">K23</f>
        <v>14271.8826562469</v>
      </c>
      <c r="M19" s="66" t="n">
        <f aca="false">L23</f>
        <v>15314.9812700491</v>
      </c>
      <c r="N19" s="66" t="n">
        <f aca="false">M23</f>
        <v>16311.1404462302</v>
      </c>
      <c r="O19" s="66" t="n">
        <f aca="false">N23</f>
        <v>17262.4724594832</v>
      </c>
      <c r="P19" s="66" t="n">
        <f aca="false">O23</f>
        <v>18444.8611988064</v>
      </c>
      <c r="Q19" s="66" t="n">
        <f aca="false">P23</f>
        <v>19574.0424448602</v>
      </c>
      <c r="R19" s="66" t="n">
        <f aca="false">Q23</f>
        <v>20652.4105348415</v>
      </c>
      <c r="S19" s="66" t="n">
        <f aca="false">R23</f>
        <v>21682.2520607736</v>
      </c>
      <c r="T19" s="66" t="n">
        <f aca="false">S23</f>
        <v>22665.7507180388</v>
      </c>
      <c r="U19" s="66" t="n">
        <f aca="false">T23</f>
        <v>23604.991935727</v>
      </c>
      <c r="V19" s="66" t="n">
        <f aca="false">U23</f>
        <v>24501.9672986193</v>
      </c>
      <c r="W19" s="66" t="n">
        <f aca="false">V23</f>
        <v>25358.5787701814</v>
      </c>
      <c r="X19" s="66" t="n">
        <f aca="false">W23</f>
        <v>26176.6427255233</v>
      </c>
      <c r="Y19" s="66" t="n">
        <f aca="false">X23</f>
        <v>26957.8938028747</v>
      </c>
      <c r="Z19" s="66" t="n">
        <f aca="false">Y23</f>
        <v>27703.9885817454</v>
      </c>
      <c r="AA19" s="66" t="n">
        <f aca="false">Z23</f>
        <v>28416.5090955668</v>
      </c>
      <c r="AB19" s="66" t="n">
        <f aca="false">AA23</f>
        <v>29419.2861862663</v>
      </c>
      <c r="AC19" s="66" t="n">
        <f aca="false">AB23</f>
        <v>30376.9383078843</v>
      </c>
      <c r="AD19" s="66" t="n">
        <f aca="false">AC23</f>
        <v>31291.4960840295</v>
      </c>
      <c r="AE19" s="66" t="n">
        <f aca="false">AD23</f>
        <v>32164.8987602482</v>
      </c>
      <c r="AF19" s="66" t="n">
        <f aca="false">AE23</f>
        <v>32998.9983160371</v>
      </c>
      <c r="AG19" s="66" t="n">
        <f aca="false">AF23</f>
        <v>33795.5633918154</v>
      </c>
      <c r="AH19" s="66" t="n">
        <f aca="false">AG23</f>
        <v>34556.2830391837</v>
      </c>
      <c r="AI19" s="66" t="n">
        <f aca="false">AH23</f>
        <v>35282.7703024204</v>
      </c>
      <c r="AJ19" s="66" t="n">
        <f aca="false">AI23</f>
        <v>35976.5656388115</v>
      </c>
      <c r="AK19" s="66" t="n">
        <f aca="false">AJ23</f>
        <v>36639.140185065</v>
      </c>
      <c r="AL19" s="66" t="n">
        <f aca="false">AK23</f>
        <v>37271.8988767371</v>
      </c>
      <c r="AM19" s="66" t="n">
        <f aca="false">AL23</f>
        <v>37876.1834272839</v>
      </c>
      <c r="AN19" s="66" t="n">
        <f aca="false">AM23</f>
        <v>38833.1071730561</v>
      </c>
      <c r="AO19" s="66" t="n">
        <f aca="false">AN23</f>
        <v>39746.9693502686</v>
      </c>
      <c r="AP19" s="66" t="n">
        <f aca="false">AO23</f>
        <v>40619.7077295065</v>
      </c>
      <c r="AQ19" s="66" t="n">
        <f aca="false">AP23</f>
        <v>41453.1728816787</v>
      </c>
      <c r="AR19" s="66" t="n">
        <f aca="false">AQ23</f>
        <v>42249.1321020032</v>
      </c>
      <c r="AS19" s="66" t="n">
        <f aca="false">AR23</f>
        <v>43009.273157413</v>
      </c>
      <c r="AT19" s="66" t="n">
        <f aca="false">AS23</f>
        <v>43735.2078653294</v>
      </c>
      <c r="AU19" s="66" t="n">
        <f aca="false">AT23</f>
        <v>44428.4755113896</v>
      </c>
      <c r="AV19" s="66" t="n">
        <f aca="false">AU23</f>
        <v>45090.5461133771</v>
      </c>
      <c r="AW19" s="66" t="n">
        <f aca="false">AV23</f>
        <v>45722.8235382751</v>
      </c>
      <c r="AX19" s="66" t="n">
        <f aca="false">AW23</f>
        <v>46326.6484790527</v>
      </c>
      <c r="AY19" s="66" t="n">
        <f aca="false">AX23</f>
        <v>46903.3012974953</v>
      </c>
      <c r="AZ19" s="66" t="n">
        <f aca="false">AY23</f>
        <v>47902.155939108</v>
      </c>
      <c r="BA19" s="66" t="n">
        <f aca="false">AZ23</f>
        <v>48856.0621218482</v>
      </c>
      <c r="BB19" s="66" t="n">
        <f aca="false">BA23</f>
        <v>49767.042526365</v>
      </c>
      <c r="BC19" s="66" t="n">
        <f aca="false">BB23</f>
        <v>50637.0288126786</v>
      </c>
      <c r="BD19" s="66" t="n">
        <f aca="false">BC23</f>
        <v>51467.8657161081</v>
      </c>
      <c r="BE19" s="66" t="n">
        <f aca="false">BD23</f>
        <v>52261.3149588832</v>
      </c>
      <c r="BF19" s="66" t="n">
        <f aca="false">BE23</f>
        <v>53019.0589857334</v>
      </c>
      <c r="BG19" s="66" t="n">
        <f aca="false">BF23</f>
        <v>53742.7045313754</v>
      </c>
      <c r="BH19" s="66" t="n">
        <f aca="false">BG23</f>
        <v>54433.7860274635</v>
      </c>
      <c r="BI19" s="66" t="n">
        <f aca="false">BH23</f>
        <v>55093.7688562277</v>
      </c>
      <c r="BJ19" s="66" t="n">
        <f aca="false">BI23</f>
        <v>55724.0524576974</v>
      </c>
    </row>
    <row r="20" customFormat="false" ht="15" hidden="false" customHeight="false" outlineLevel="0" collapsed="false">
      <c r="A20" s="6" t="s">
        <v>404</v>
      </c>
      <c r="C20" s="66" t="n">
        <f aca="false">C12*C16</f>
        <v>1685.33333333333</v>
      </c>
      <c r="D20" s="66" t="n">
        <f aca="false">D12*D16</f>
        <v>1685.33333333333</v>
      </c>
      <c r="E20" s="66" t="n">
        <f aca="false">E12*E16</f>
        <v>1685.33333333333</v>
      </c>
      <c r="F20" s="66" t="n">
        <f aca="false">F12*F16</f>
        <v>1685.33333333333</v>
      </c>
      <c r="G20" s="66" t="n">
        <f aca="false">G12*G16</f>
        <v>1685.33333333333</v>
      </c>
      <c r="H20" s="66" t="n">
        <f aca="false">H12*H16</f>
        <v>1685.33333333333</v>
      </c>
      <c r="I20" s="66" t="n">
        <f aca="false">I12*I16</f>
        <v>1685.33333333333</v>
      </c>
      <c r="J20" s="66" t="n">
        <f aca="false">J12*J16</f>
        <v>1685.33333333333</v>
      </c>
      <c r="K20" s="66" t="n">
        <f aca="false">K12*K16</f>
        <v>1685.33333333333</v>
      </c>
      <c r="L20" s="66" t="n">
        <f aca="false">L12*L16</f>
        <v>1685.33333333333</v>
      </c>
      <c r="M20" s="66" t="n">
        <f aca="false">M12*M16</f>
        <v>1685.33333333333</v>
      </c>
      <c r="N20" s="66" t="n">
        <f aca="false">N12*N16</f>
        <v>1685.33333333333</v>
      </c>
      <c r="O20" s="66" t="n">
        <f aca="false">O12*O16</f>
        <v>1959.2</v>
      </c>
      <c r="P20" s="66" t="n">
        <f aca="false">P12*P16</f>
        <v>1959.2</v>
      </c>
      <c r="Q20" s="66" t="n">
        <f aca="false">Q12*Q16</f>
        <v>1959.2</v>
      </c>
      <c r="R20" s="66" t="n">
        <f aca="false">R12*R16</f>
        <v>1959.2</v>
      </c>
      <c r="S20" s="66" t="n">
        <f aca="false">S12*S16</f>
        <v>1959.2</v>
      </c>
      <c r="T20" s="66" t="n">
        <f aca="false">T12*T16</f>
        <v>1959.2</v>
      </c>
      <c r="U20" s="66" t="n">
        <f aca="false">U12*U16</f>
        <v>1959.2</v>
      </c>
      <c r="V20" s="66" t="n">
        <f aca="false">V12*V16</f>
        <v>1959.2</v>
      </c>
      <c r="W20" s="66" t="n">
        <f aca="false">W12*W16</f>
        <v>1959.2</v>
      </c>
      <c r="X20" s="66" t="n">
        <f aca="false">X12*X16</f>
        <v>1959.2</v>
      </c>
      <c r="Y20" s="66" t="n">
        <f aca="false">Y12*Y16</f>
        <v>1959.2</v>
      </c>
      <c r="Z20" s="66" t="n">
        <f aca="false">Z12*Z16</f>
        <v>1959.2</v>
      </c>
      <c r="AA20" s="66" t="n">
        <f aca="false">AA12*AA16</f>
        <v>2281.52</v>
      </c>
      <c r="AB20" s="66" t="n">
        <f aca="false">AB12*AB16</f>
        <v>2281.52</v>
      </c>
      <c r="AC20" s="66" t="n">
        <f aca="false">AC12*AC16</f>
        <v>2281.52</v>
      </c>
      <c r="AD20" s="66" t="n">
        <f aca="false">AD12*AD16</f>
        <v>2281.52</v>
      </c>
      <c r="AE20" s="66" t="n">
        <f aca="false">AE12*AE16</f>
        <v>2281.52</v>
      </c>
      <c r="AF20" s="66" t="n">
        <f aca="false">AF12*AF16</f>
        <v>2281.52</v>
      </c>
      <c r="AG20" s="66" t="n">
        <f aca="false">AG12*AG16</f>
        <v>2281.52</v>
      </c>
      <c r="AH20" s="66" t="n">
        <f aca="false">AH12*AH16</f>
        <v>2281.52</v>
      </c>
      <c r="AI20" s="66" t="n">
        <f aca="false">AI12*AI16</f>
        <v>2281.52</v>
      </c>
      <c r="AJ20" s="66" t="n">
        <f aca="false">AJ12*AJ16</f>
        <v>2281.52</v>
      </c>
      <c r="AK20" s="66" t="n">
        <f aca="false">AK12*AK16</f>
        <v>2281.52</v>
      </c>
      <c r="AL20" s="66" t="n">
        <f aca="false">AL12*AL16</f>
        <v>2281.52</v>
      </c>
      <c r="AM20" s="66" t="n">
        <f aca="false">AM12*AM16</f>
        <v>2661.352</v>
      </c>
      <c r="AN20" s="66" t="n">
        <f aca="false">AN12*AN16</f>
        <v>2661.352</v>
      </c>
      <c r="AO20" s="66" t="n">
        <f aca="false">AO12*AO16</f>
        <v>2661.352</v>
      </c>
      <c r="AP20" s="66" t="n">
        <f aca="false">AP12*AP16</f>
        <v>2661.352</v>
      </c>
      <c r="AQ20" s="66" t="n">
        <f aca="false">AQ12*AQ16</f>
        <v>2661.352</v>
      </c>
      <c r="AR20" s="66" t="n">
        <f aca="false">AR12*AR16</f>
        <v>2661.352</v>
      </c>
      <c r="AS20" s="66" t="n">
        <f aca="false">AS12*AS16</f>
        <v>2661.352</v>
      </c>
      <c r="AT20" s="66" t="n">
        <f aca="false">AT12*AT16</f>
        <v>2661.352</v>
      </c>
      <c r="AU20" s="66" t="n">
        <f aca="false">AU12*AU16</f>
        <v>2661.352</v>
      </c>
      <c r="AV20" s="66" t="n">
        <f aca="false">AV12*AV16</f>
        <v>2661.352</v>
      </c>
      <c r="AW20" s="66" t="n">
        <f aca="false">AW12*AW16</f>
        <v>2661.352</v>
      </c>
      <c r="AX20" s="66" t="n">
        <f aca="false">AX12*AX16</f>
        <v>2661.352</v>
      </c>
      <c r="AY20" s="66" t="n">
        <f aca="false">AY12*AY16</f>
        <v>3109.5032</v>
      </c>
      <c r="AZ20" s="66" t="n">
        <f aca="false">AZ12*AZ16</f>
        <v>3109.5032</v>
      </c>
      <c r="BA20" s="66" t="n">
        <f aca="false">BA12*BA16</f>
        <v>3109.5032</v>
      </c>
      <c r="BB20" s="66" t="n">
        <f aca="false">BB12*BB16</f>
        <v>3109.5032</v>
      </c>
      <c r="BC20" s="66" t="n">
        <f aca="false">BC12*BC16</f>
        <v>3109.5032</v>
      </c>
      <c r="BD20" s="66" t="n">
        <f aca="false">BD12*BD16</f>
        <v>3109.5032</v>
      </c>
      <c r="BE20" s="66" t="n">
        <f aca="false">BE12*BE16</f>
        <v>3109.5032</v>
      </c>
      <c r="BF20" s="66" t="n">
        <f aca="false">BF12*BF16</f>
        <v>3109.5032</v>
      </c>
      <c r="BG20" s="66" t="n">
        <f aca="false">BG12*BG16</f>
        <v>3109.5032</v>
      </c>
      <c r="BH20" s="66" t="n">
        <f aca="false">BH12*BH16</f>
        <v>3109.5032</v>
      </c>
      <c r="BI20" s="66" t="n">
        <f aca="false">BI12*BI16</f>
        <v>3109.5032</v>
      </c>
      <c r="BJ20" s="66" t="n">
        <f aca="false">BJ12*BJ16</f>
        <v>3109.5032</v>
      </c>
    </row>
    <row r="21" customFormat="false" ht="15" hidden="false" customHeight="false" outlineLevel="0" collapsed="false">
      <c r="A21" s="6" t="s">
        <v>405</v>
      </c>
      <c r="C21" s="66" t="n">
        <f aca="false">C19*Inputs!$B$11</f>
        <v>0</v>
      </c>
      <c r="D21" s="66" t="n">
        <f aca="false">D19*Inputs!$B$11</f>
        <v>0</v>
      </c>
      <c r="E21" s="66" t="n">
        <f aca="false">E19*Inputs!$B$11</f>
        <v>0</v>
      </c>
      <c r="F21" s="66" t="n">
        <f aca="false">F19*Inputs!$B$11</f>
        <v>0</v>
      </c>
      <c r="G21" s="66" t="n">
        <f aca="false">G19*Inputs!$B$11</f>
        <v>0</v>
      </c>
      <c r="H21" s="66" t="n">
        <f aca="false">H19*Inputs!$B$11</f>
        <v>0</v>
      </c>
      <c r="I21" s="66" t="n">
        <f aca="false">I19*Inputs!$B$11</f>
        <v>0</v>
      </c>
      <c r="J21" s="66" t="n">
        <f aca="false">J19*Inputs!$B$11</f>
        <v>0</v>
      </c>
      <c r="K21" s="66" t="n">
        <f aca="false">K19*Inputs!$B$11</f>
        <v>0</v>
      </c>
      <c r="L21" s="66" t="n">
        <f aca="false">L19*Inputs!$B$11</f>
        <v>0</v>
      </c>
      <c r="M21" s="66" t="n">
        <f aca="false">M19*Inputs!$B$11</f>
        <v>0</v>
      </c>
      <c r="N21" s="66" t="n">
        <f aca="false">N19*Inputs!$B$11</f>
        <v>0</v>
      </c>
      <c r="O21" s="66" t="n">
        <f aca="false">O19*Inputs!$B$11</f>
        <v>0</v>
      </c>
      <c r="P21" s="66" t="n">
        <f aca="false">P19*Inputs!$B$11</f>
        <v>0</v>
      </c>
      <c r="Q21" s="66" t="n">
        <f aca="false">Q19*Inputs!$B$11</f>
        <v>0</v>
      </c>
      <c r="R21" s="66" t="n">
        <f aca="false">R19*Inputs!$B$11</f>
        <v>0</v>
      </c>
      <c r="S21" s="66" t="n">
        <f aca="false">S19*Inputs!$B$11</f>
        <v>0</v>
      </c>
      <c r="T21" s="66" t="n">
        <f aca="false">T19*Inputs!$B$11</f>
        <v>0</v>
      </c>
      <c r="U21" s="66" t="n">
        <f aca="false">U19*Inputs!$B$11</f>
        <v>0</v>
      </c>
      <c r="V21" s="66" t="n">
        <f aca="false">V19*Inputs!$B$11</f>
        <v>0</v>
      </c>
      <c r="W21" s="66" t="n">
        <f aca="false">W19*Inputs!$B$11</f>
        <v>0</v>
      </c>
      <c r="X21" s="66" t="n">
        <f aca="false">X19*Inputs!$B$11</f>
        <v>0</v>
      </c>
      <c r="Y21" s="66" t="n">
        <f aca="false">Y19*Inputs!$B$11</f>
        <v>0</v>
      </c>
      <c r="Z21" s="66" t="n">
        <f aca="false">Z19*Inputs!$B$11</f>
        <v>0</v>
      </c>
      <c r="AA21" s="66" t="n">
        <f aca="false">AA19*Inputs!$B$11</f>
        <v>0</v>
      </c>
      <c r="AB21" s="66" t="n">
        <f aca="false">AB19*Inputs!$B$11</f>
        <v>0</v>
      </c>
      <c r="AC21" s="66" t="n">
        <f aca="false">AC19*Inputs!$B$11</f>
        <v>0</v>
      </c>
      <c r="AD21" s="66" t="n">
        <f aca="false">AD19*Inputs!$B$11</f>
        <v>0</v>
      </c>
      <c r="AE21" s="66" t="n">
        <f aca="false">AE19*Inputs!$B$11</f>
        <v>0</v>
      </c>
      <c r="AF21" s="66" t="n">
        <f aca="false">AF19*Inputs!$B$11</f>
        <v>0</v>
      </c>
      <c r="AG21" s="66" t="n">
        <f aca="false">AG19*Inputs!$B$11</f>
        <v>0</v>
      </c>
      <c r="AH21" s="66" t="n">
        <f aca="false">AH19*Inputs!$B$11</f>
        <v>0</v>
      </c>
      <c r="AI21" s="66" t="n">
        <f aca="false">AI19*Inputs!$B$11</f>
        <v>0</v>
      </c>
      <c r="AJ21" s="66" t="n">
        <f aca="false">AJ19*Inputs!$B$11</f>
        <v>0</v>
      </c>
      <c r="AK21" s="66" t="n">
        <f aca="false">AK19*Inputs!$B$11</f>
        <v>0</v>
      </c>
      <c r="AL21" s="66" t="n">
        <f aca="false">AL19*Inputs!$B$11</f>
        <v>0</v>
      </c>
      <c r="AM21" s="66" t="n">
        <f aca="false">AM19*Inputs!$B$11</f>
        <v>0</v>
      </c>
      <c r="AN21" s="66" t="n">
        <f aca="false">AN19*Inputs!$B$11</f>
        <v>0</v>
      </c>
      <c r="AO21" s="66" t="n">
        <f aca="false">AO19*Inputs!$B$11</f>
        <v>0</v>
      </c>
      <c r="AP21" s="66" t="n">
        <f aca="false">AP19*Inputs!$B$11</f>
        <v>0</v>
      </c>
      <c r="AQ21" s="66" t="n">
        <f aca="false">AQ19*Inputs!$B$11</f>
        <v>0</v>
      </c>
      <c r="AR21" s="66" t="n">
        <f aca="false">AR19*Inputs!$B$11</f>
        <v>0</v>
      </c>
      <c r="AS21" s="66" t="n">
        <f aca="false">AS19*Inputs!$B$11</f>
        <v>0</v>
      </c>
      <c r="AT21" s="66" t="n">
        <f aca="false">AT19*Inputs!$B$11</f>
        <v>0</v>
      </c>
      <c r="AU21" s="66" t="n">
        <f aca="false">AU19*Inputs!$B$11</f>
        <v>0</v>
      </c>
      <c r="AV21" s="66" t="n">
        <f aca="false">AV19*Inputs!$B$11</f>
        <v>0</v>
      </c>
      <c r="AW21" s="66" t="n">
        <f aca="false">AW19*Inputs!$B$11</f>
        <v>0</v>
      </c>
      <c r="AX21" s="66" t="n">
        <f aca="false">AX19*Inputs!$B$11</f>
        <v>0</v>
      </c>
      <c r="AY21" s="66" t="n">
        <f aca="false">AY19*Inputs!$B$11</f>
        <v>0</v>
      </c>
      <c r="AZ21" s="66" t="n">
        <f aca="false">AZ19*Inputs!$B$11</f>
        <v>0</v>
      </c>
      <c r="BA21" s="66" t="n">
        <f aca="false">BA19*Inputs!$B$11</f>
        <v>0</v>
      </c>
      <c r="BB21" s="66" t="n">
        <f aca="false">BB19*Inputs!$B$11</f>
        <v>0</v>
      </c>
      <c r="BC21" s="66" t="n">
        <f aca="false">BC19*Inputs!$B$11</f>
        <v>0</v>
      </c>
      <c r="BD21" s="66" t="n">
        <f aca="false">BD19*Inputs!$B$11</f>
        <v>0</v>
      </c>
      <c r="BE21" s="66" t="n">
        <f aca="false">BE19*Inputs!$B$11</f>
        <v>0</v>
      </c>
      <c r="BF21" s="66" t="n">
        <f aca="false">BF19*Inputs!$B$11</f>
        <v>0</v>
      </c>
      <c r="BG21" s="66" t="n">
        <f aca="false">BG19*Inputs!$B$11</f>
        <v>0</v>
      </c>
      <c r="BH21" s="66" t="n">
        <f aca="false">BH19*Inputs!$B$11</f>
        <v>0</v>
      </c>
      <c r="BI21" s="66" t="n">
        <f aca="false">BI19*Inputs!$B$11</f>
        <v>0</v>
      </c>
      <c r="BJ21" s="66" t="n">
        <f aca="false">BJ19*Inputs!$B$11</f>
        <v>0</v>
      </c>
    </row>
    <row r="22" customFormat="false" ht="15" hidden="false" customHeight="false" outlineLevel="0" collapsed="false">
      <c r="A22" s="6" t="s">
        <v>406</v>
      </c>
      <c r="C22" s="66" t="n">
        <f aca="false">-C19*Inputs!$B$10</f>
        <v>-106.65</v>
      </c>
      <c r="D22" s="66" t="n">
        <f aca="false">-D19*Inputs!$B$10</f>
        <v>-177.69075</v>
      </c>
      <c r="E22" s="66" t="n">
        <f aca="false">-E19*Inputs!$B$10</f>
        <v>-245.53466625</v>
      </c>
      <c r="F22" s="66" t="n">
        <f aca="false">-F19*Inputs!$B$10</f>
        <v>-310.32560626875</v>
      </c>
      <c r="G22" s="66" t="n">
        <f aca="false">-G19*Inputs!$B$10</f>
        <v>-372.200953986656</v>
      </c>
      <c r="H22" s="66" t="n">
        <f aca="false">-H19*Inputs!$B$10</f>
        <v>-431.291911057257</v>
      </c>
      <c r="I22" s="66" t="n">
        <f aca="false">-I19*Inputs!$B$10</f>
        <v>-487.72377505968</v>
      </c>
      <c r="J22" s="66" t="n">
        <f aca="false">-J19*Inputs!$B$10</f>
        <v>-541.616205181995</v>
      </c>
      <c r="K22" s="66" t="n">
        <f aca="false">-K19*Inputs!$B$10</f>
        <v>-593.083475948805</v>
      </c>
      <c r="L22" s="66" t="n">
        <f aca="false">-L19*Inputs!$B$10</f>
        <v>-642.234719531109</v>
      </c>
      <c r="M22" s="66" t="n">
        <f aca="false">-M19*Inputs!$B$10</f>
        <v>-689.174157152209</v>
      </c>
      <c r="N22" s="66" t="n">
        <f aca="false">-N19*Inputs!$B$10</f>
        <v>-734.00132008036</v>
      </c>
      <c r="O22" s="66" t="n">
        <f aca="false">-O19*Inputs!$B$10</f>
        <v>-776.811260676744</v>
      </c>
      <c r="P22" s="66" t="n">
        <f aca="false">-P19*Inputs!$B$10</f>
        <v>-830.01875394629</v>
      </c>
      <c r="Q22" s="66" t="n">
        <f aca="false">-Q19*Inputs!$B$10</f>
        <v>-880.831910018707</v>
      </c>
      <c r="R22" s="66" t="n">
        <f aca="false">-R19*Inputs!$B$10</f>
        <v>-929.358474067865</v>
      </c>
      <c r="S22" s="66" t="n">
        <f aca="false">-S19*Inputs!$B$10</f>
        <v>-975.701342734811</v>
      </c>
      <c r="T22" s="66" t="n">
        <f aca="false">-T19*Inputs!$B$10</f>
        <v>-1019.95878231174</v>
      </c>
      <c r="U22" s="66" t="n">
        <f aca="false">-U19*Inputs!$B$10</f>
        <v>-1062.22463710772</v>
      </c>
      <c r="V22" s="66" t="n">
        <f aca="false">-V19*Inputs!$B$10</f>
        <v>-1102.58852843787</v>
      </c>
      <c r="W22" s="66" t="n">
        <f aca="false">-W19*Inputs!$B$10</f>
        <v>-1141.13604465817</v>
      </c>
      <c r="X22" s="66" t="n">
        <f aca="false">-X19*Inputs!$B$10</f>
        <v>-1177.94892264855</v>
      </c>
      <c r="Y22" s="66" t="n">
        <f aca="false">-Y19*Inputs!$B$10</f>
        <v>-1213.10522112936</v>
      </c>
      <c r="Z22" s="66" t="n">
        <f aca="false">-Z19*Inputs!$B$10</f>
        <v>-1246.67948617854</v>
      </c>
      <c r="AA22" s="66" t="n">
        <f aca="false">-AA19*Inputs!$B$10</f>
        <v>-1278.74290930051</v>
      </c>
      <c r="AB22" s="66" t="n">
        <f aca="false">-AB19*Inputs!$B$10</f>
        <v>-1323.86787838198</v>
      </c>
      <c r="AC22" s="66" t="n">
        <f aca="false">-AC19*Inputs!$B$10</f>
        <v>-1366.9622238548</v>
      </c>
      <c r="AD22" s="66" t="n">
        <f aca="false">-AD19*Inputs!$B$10</f>
        <v>-1408.11732378133</v>
      </c>
      <c r="AE22" s="66" t="n">
        <f aca="false">-AE19*Inputs!$B$10</f>
        <v>-1447.42044421117</v>
      </c>
      <c r="AF22" s="66" t="n">
        <f aca="false">-AF19*Inputs!$B$10</f>
        <v>-1484.95492422167</v>
      </c>
      <c r="AG22" s="66" t="n">
        <f aca="false">-AG19*Inputs!$B$10</f>
        <v>-1520.80035263169</v>
      </c>
      <c r="AH22" s="66" t="n">
        <f aca="false">-AH19*Inputs!$B$10</f>
        <v>-1555.03273676327</v>
      </c>
      <c r="AI22" s="66" t="n">
        <f aca="false">-AI19*Inputs!$B$10</f>
        <v>-1587.72466360892</v>
      </c>
      <c r="AJ22" s="66" t="n">
        <f aca="false">-AJ19*Inputs!$B$10</f>
        <v>-1618.94545374652</v>
      </c>
      <c r="AK22" s="66" t="n">
        <f aca="false">-AK19*Inputs!$B$10</f>
        <v>-1648.76130832792</v>
      </c>
      <c r="AL22" s="66" t="n">
        <f aca="false">-AL19*Inputs!$B$10</f>
        <v>-1677.23544945317</v>
      </c>
      <c r="AM22" s="66" t="n">
        <f aca="false">-AM19*Inputs!$B$10</f>
        <v>-1704.42825422777</v>
      </c>
      <c r="AN22" s="66" t="n">
        <f aca="false">-AN19*Inputs!$B$10</f>
        <v>-1747.48982278752</v>
      </c>
      <c r="AO22" s="66" t="n">
        <f aca="false">-AO19*Inputs!$B$10</f>
        <v>-1788.61362076209</v>
      </c>
      <c r="AP22" s="66" t="n">
        <f aca="false">-AP19*Inputs!$B$10</f>
        <v>-1827.88684782779</v>
      </c>
      <c r="AQ22" s="66" t="n">
        <f aca="false">-AQ19*Inputs!$B$10</f>
        <v>-1865.39277967554</v>
      </c>
      <c r="AR22" s="66" t="n">
        <f aca="false">-AR19*Inputs!$B$10</f>
        <v>-1901.21094459014</v>
      </c>
      <c r="AS22" s="66" t="n">
        <f aca="false">-AS19*Inputs!$B$10</f>
        <v>-1935.41729208359</v>
      </c>
      <c r="AT22" s="66" t="n">
        <f aca="false">-AT19*Inputs!$B$10</f>
        <v>-1968.08435393982</v>
      </c>
      <c r="AU22" s="66" t="n">
        <f aca="false">-AU19*Inputs!$B$10</f>
        <v>-1999.28139801253</v>
      </c>
      <c r="AV22" s="66" t="n">
        <f aca="false">-AV19*Inputs!$B$10</f>
        <v>-2029.07457510197</v>
      </c>
      <c r="AW22" s="66" t="n">
        <f aca="false">-AW19*Inputs!$B$10</f>
        <v>-2057.52705922238</v>
      </c>
      <c r="AX22" s="66" t="n">
        <f aca="false">-AX19*Inputs!$B$10</f>
        <v>-2084.69918155737</v>
      </c>
      <c r="AY22" s="66" t="n">
        <f aca="false">-AY19*Inputs!$B$10</f>
        <v>-2110.64855838729</v>
      </c>
      <c r="AZ22" s="66" t="n">
        <f aca="false">-AZ19*Inputs!$B$10</f>
        <v>-2155.59701725986</v>
      </c>
      <c r="BA22" s="66" t="n">
        <f aca="false">-BA19*Inputs!$B$10</f>
        <v>-2198.52279548317</v>
      </c>
      <c r="BB22" s="66" t="n">
        <f aca="false">-BB19*Inputs!$B$10</f>
        <v>-2239.51691368643</v>
      </c>
      <c r="BC22" s="66" t="n">
        <f aca="false">-BC19*Inputs!$B$10</f>
        <v>-2278.66629657054</v>
      </c>
      <c r="BD22" s="66" t="n">
        <f aca="false">-BD19*Inputs!$B$10</f>
        <v>-2316.05395722486</v>
      </c>
      <c r="BE22" s="66" t="n">
        <f aca="false">-BE19*Inputs!$B$10</f>
        <v>-2351.75917314974</v>
      </c>
      <c r="BF22" s="66" t="n">
        <f aca="false">-BF19*Inputs!$B$10</f>
        <v>-2385.857654358</v>
      </c>
      <c r="BG22" s="66" t="n">
        <f aca="false">-BG19*Inputs!$B$10</f>
        <v>-2418.42170391189</v>
      </c>
      <c r="BH22" s="66" t="n">
        <f aca="false">-BH19*Inputs!$B$10</f>
        <v>-2449.52037123586</v>
      </c>
      <c r="BI22" s="66" t="n">
        <f aca="false">-BI19*Inputs!$B$10</f>
        <v>-2479.21959853025</v>
      </c>
      <c r="BJ22" s="66" t="n">
        <f aca="false">-BJ19*Inputs!$B$10</f>
        <v>-2507.58236059638</v>
      </c>
    </row>
    <row r="23" customFormat="false" ht="15" hidden="false" customHeight="false" outlineLevel="0" collapsed="false">
      <c r="A23" s="111" t="s">
        <v>407</v>
      </c>
      <c r="C23" s="67" t="n">
        <f aca="false">C19+C20+C21+C22</f>
        <v>3948.68333333333</v>
      </c>
      <c r="D23" s="67" t="n">
        <f aca="false">D19+D20+D21+D22</f>
        <v>5456.32591666667</v>
      </c>
      <c r="E23" s="67" t="n">
        <f aca="false">E19+E20+E21+E22</f>
        <v>6896.12458375</v>
      </c>
      <c r="F23" s="67" t="n">
        <f aca="false">F19+F20+F21+F22</f>
        <v>8271.13231081458</v>
      </c>
      <c r="G23" s="67" t="n">
        <f aca="false">G19+G20+G21+G22</f>
        <v>9584.26469016126</v>
      </c>
      <c r="H23" s="67" t="n">
        <f aca="false">H19+H20+H21+H22</f>
        <v>10838.3061124373</v>
      </c>
      <c r="I23" s="67" t="n">
        <f aca="false">I19+I20+I21+I22</f>
        <v>12035.915670711</v>
      </c>
      <c r="J23" s="67" t="n">
        <f aca="false">J19+J20+J21+J22</f>
        <v>13179.6327988623</v>
      </c>
      <c r="K23" s="67" t="n">
        <f aca="false">K19+K20+K21+K22</f>
        <v>14271.8826562469</v>
      </c>
      <c r="L23" s="67" t="n">
        <f aca="false">L19+L20+L21+L22</f>
        <v>15314.9812700491</v>
      </c>
      <c r="M23" s="67" t="n">
        <f aca="false">M19+M20+M21+M22</f>
        <v>16311.1404462302</v>
      </c>
      <c r="N23" s="67" t="n">
        <f aca="false">N19+N20+N21+N22</f>
        <v>17262.4724594832</v>
      </c>
      <c r="O23" s="67" t="n">
        <f aca="false">O19+O20+O21+O22</f>
        <v>18444.8611988064</v>
      </c>
      <c r="P23" s="67" t="n">
        <f aca="false">P19+P20+P21+P22</f>
        <v>19574.0424448602</v>
      </c>
      <c r="Q23" s="67" t="n">
        <f aca="false">Q19+Q20+Q21+Q22</f>
        <v>20652.4105348415</v>
      </c>
      <c r="R23" s="67" t="n">
        <f aca="false">R19+R20+R21+R22</f>
        <v>21682.2520607736</v>
      </c>
      <c r="S23" s="67" t="n">
        <f aca="false">S19+S20+S21+S22</f>
        <v>22665.7507180388</v>
      </c>
      <c r="T23" s="67" t="n">
        <f aca="false">T19+T20+T21+T22</f>
        <v>23604.991935727</v>
      </c>
      <c r="U23" s="67" t="n">
        <f aca="false">U19+U20+U21+U22</f>
        <v>24501.9672986193</v>
      </c>
      <c r="V23" s="67" t="n">
        <f aca="false">V19+V20+V21+V22</f>
        <v>25358.5787701814</v>
      </c>
      <c r="W23" s="67" t="n">
        <f aca="false">W19+W20+W21+W22</f>
        <v>26176.6427255233</v>
      </c>
      <c r="X23" s="67" t="n">
        <f aca="false">X19+X20+X21+X22</f>
        <v>26957.8938028747</v>
      </c>
      <c r="Y23" s="67" t="n">
        <f aca="false">Y19+Y20+Y21+Y22</f>
        <v>27703.9885817454</v>
      </c>
      <c r="Z23" s="67" t="n">
        <f aca="false">Z19+Z20+Z21+Z22</f>
        <v>28416.5090955668</v>
      </c>
      <c r="AA23" s="67" t="n">
        <f aca="false">AA19+AA20+AA21+AA22</f>
        <v>29419.2861862663</v>
      </c>
      <c r="AB23" s="67" t="n">
        <f aca="false">AB19+AB20+AB21+AB22</f>
        <v>30376.9383078843</v>
      </c>
      <c r="AC23" s="67" t="n">
        <f aca="false">AC19+AC20+AC21+AC22</f>
        <v>31291.4960840295</v>
      </c>
      <c r="AD23" s="67" t="n">
        <f aca="false">AD19+AD20+AD21+AD22</f>
        <v>32164.8987602482</v>
      </c>
      <c r="AE23" s="67" t="n">
        <f aca="false">AE19+AE20+AE21+AE22</f>
        <v>32998.9983160371</v>
      </c>
      <c r="AF23" s="67" t="n">
        <f aca="false">AF19+AF20+AF21+AF22</f>
        <v>33795.5633918154</v>
      </c>
      <c r="AG23" s="67" t="n">
        <f aca="false">AG19+AG20+AG21+AG22</f>
        <v>34556.2830391837</v>
      </c>
      <c r="AH23" s="67" t="n">
        <f aca="false">AH19+AH20+AH21+AH22</f>
        <v>35282.7703024204</v>
      </c>
      <c r="AI23" s="67" t="n">
        <f aca="false">AI19+AI20+AI21+AI22</f>
        <v>35976.5656388115</v>
      </c>
      <c r="AJ23" s="67" t="n">
        <f aca="false">AJ19+AJ20+AJ21+AJ22</f>
        <v>36639.140185065</v>
      </c>
      <c r="AK23" s="67" t="n">
        <f aca="false">AK19+AK20+AK21+AK22</f>
        <v>37271.8988767371</v>
      </c>
      <c r="AL23" s="67" t="n">
        <f aca="false">AL19+AL20+AL21+AL22</f>
        <v>37876.1834272839</v>
      </c>
      <c r="AM23" s="67" t="n">
        <f aca="false">AM19+AM20+AM21+AM22</f>
        <v>38833.1071730561</v>
      </c>
      <c r="AN23" s="67" t="n">
        <f aca="false">AN19+AN20+AN21+AN22</f>
        <v>39746.9693502686</v>
      </c>
      <c r="AO23" s="67" t="n">
        <f aca="false">AO19+AO20+AO21+AO22</f>
        <v>40619.7077295065</v>
      </c>
      <c r="AP23" s="67" t="n">
        <f aca="false">AP19+AP20+AP21+AP22</f>
        <v>41453.1728816787</v>
      </c>
      <c r="AQ23" s="67" t="n">
        <f aca="false">AQ19+AQ20+AQ21+AQ22</f>
        <v>42249.1321020032</v>
      </c>
      <c r="AR23" s="67" t="n">
        <f aca="false">AR19+AR20+AR21+AR22</f>
        <v>43009.273157413</v>
      </c>
      <c r="AS23" s="67" t="n">
        <f aca="false">AS19+AS20+AS21+AS22</f>
        <v>43735.2078653294</v>
      </c>
      <c r="AT23" s="67" t="n">
        <f aca="false">AT19+AT20+AT21+AT22</f>
        <v>44428.4755113896</v>
      </c>
      <c r="AU23" s="67" t="n">
        <f aca="false">AU19+AU20+AU21+AU22</f>
        <v>45090.5461133771</v>
      </c>
      <c r="AV23" s="67" t="n">
        <f aca="false">AV19+AV20+AV21+AV22</f>
        <v>45722.8235382751</v>
      </c>
      <c r="AW23" s="67" t="n">
        <f aca="false">AW19+AW20+AW21+AW22</f>
        <v>46326.6484790527</v>
      </c>
      <c r="AX23" s="67" t="n">
        <f aca="false">AX19+AX20+AX21+AX22</f>
        <v>46903.3012974953</v>
      </c>
      <c r="AY23" s="67" t="n">
        <f aca="false">AY19+AY20+AY21+AY22</f>
        <v>47902.155939108</v>
      </c>
      <c r="AZ23" s="67" t="n">
        <f aca="false">AZ19+AZ20+AZ21+AZ22</f>
        <v>48856.0621218482</v>
      </c>
      <c r="BA23" s="67" t="n">
        <f aca="false">BA19+BA20+BA21+BA22</f>
        <v>49767.042526365</v>
      </c>
      <c r="BB23" s="67" t="n">
        <f aca="false">BB19+BB20+BB21+BB22</f>
        <v>50637.0288126786</v>
      </c>
      <c r="BC23" s="67" t="n">
        <f aca="false">BC19+BC20+BC21+BC22</f>
        <v>51467.8657161081</v>
      </c>
      <c r="BD23" s="67" t="n">
        <f aca="false">BD19+BD20+BD21+BD22</f>
        <v>52261.3149588832</v>
      </c>
      <c r="BE23" s="67" t="n">
        <f aca="false">BE19+BE20+BE21+BE22</f>
        <v>53019.0589857334</v>
      </c>
      <c r="BF23" s="67" t="n">
        <f aca="false">BF19+BF20+BF21+BF22</f>
        <v>53742.7045313754</v>
      </c>
      <c r="BG23" s="67" t="n">
        <f aca="false">BG19+BG20+BG21+BG22</f>
        <v>54433.7860274635</v>
      </c>
      <c r="BH23" s="67" t="n">
        <f aca="false">BH19+BH20+BH21+BH22</f>
        <v>55093.7688562277</v>
      </c>
      <c r="BI23" s="67" t="n">
        <f aca="false">BI19+BI20+BI21+BI22</f>
        <v>55724.0524576974</v>
      </c>
      <c r="BJ23" s="67" t="n">
        <f aca="false">BJ19+BJ20+BJ21+BJ22</f>
        <v>56325.9732971011</v>
      </c>
    </row>
    <row r="25" customFormat="false" ht="15.75" hidden="false" customHeight="true" outlineLevel="0" collapsed="false">
      <c r="A25" s="7" t="s">
        <v>408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</row>
    <row r="26" customFormat="false" ht="15" hidden="false" customHeight="false" outlineLevel="0" collapsed="false">
      <c r="A26" s="111" t="s">
        <v>409</v>
      </c>
      <c r="C26" s="67" t="n">
        <f aca="false">(C19+C23)/2*1</f>
        <v>3159.34166666667</v>
      </c>
      <c r="D26" s="67" t="n">
        <f aca="false">(D19+D23)/2*1</f>
        <v>4702.504625</v>
      </c>
      <c r="E26" s="67" t="n">
        <f aca="false">(E19+E23)/2*1</f>
        <v>6176.22525020833</v>
      </c>
      <c r="F26" s="67" t="n">
        <f aca="false">(F19+F23)/2*1</f>
        <v>7583.62844728229</v>
      </c>
      <c r="G26" s="67" t="n">
        <f aca="false">(G19+G23)/2*1</f>
        <v>8927.69850048792</v>
      </c>
      <c r="H26" s="67" t="n">
        <f aca="false">(H19+H23)/2*1</f>
        <v>10211.2854012993</v>
      </c>
      <c r="I26" s="67" t="n">
        <f aca="false">(I19+I23)/2*1</f>
        <v>11437.1108915742</v>
      </c>
      <c r="J26" s="67" t="n">
        <f aca="false">(J19+J23)/2*1</f>
        <v>12607.7742347867</v>
      </c>
      <c r="K26" s="67" t="n">
        <f aca="false">(K19+K23)/2*1</f>
        <v>13725.7577275546</v>
      </c>
      <c r="L26" s="67" t="n">
        <f aca="false">(L19+L23)/2*1</f>
        <v>14793.431963148</v>
      </c>
      <c r="M26" s="67" t="n">
        <f aca="false">(M19+M23)/2*1</f>
        <v>15813.0608581397</v>
      </c>
      <c r="N26" s="67" t="n">
        <f aca="false">(N19+N23)/2*1</f>
        <v>16786.8064528567</v>
      </c>
      <c r="O26" s="67" t="n">
        <f aca="false">(O19+O23)/2*1</f>
        <v>17853.6668291448</v>
      </c>
      <c r="P26" s="67" t="n">
        <f aca="false">(P19+P23)/2*1</f>
        <v>19009.4518218333</v>
      </c>
      <c r="Q26" s="67" t="n">
        <f aca="false">(Q19+Q23)/2*1</f>
        <v>20113.2264898508</v>
      </c>
      <c r="R26" s="67" t="n">
        <f aca="false">(R19+R23)/2*1</f>
        <v>21167.3312978075</v>
      </c>
      <c r="S26" s="67" t="n">
        <f aca="false">(S19+S23)/2*1</f>
        <v>22174.0013894062</v>
      </c>
      <c r="T26" s="67" t="n">
        <f aca="false">(T19+T23)/2*1</f>
        <v>23135.3713268829</v>
      </c>
      <c r="U26" s="67" t="n">
        <f aca="false">(U19+U23)/2*1</f>
        <v>24053.4796171732</v>
      </c>
      <c r="V26" s="67" t="n">
        <f aca="false">(V19+V23)/2*1</f>
        <v>24930.2730344004</v>
      </c>
      <c r="W26" s="67" t="n">
        <f aca="false">(W19+W23)/2*1</f>
        <v>25767.6107478524</v>
      </c>
      <c r="X26" s="67" t="n">
        <f aca="false">(X19+X23)/2*1</f>
        <v>26567.268264199</v>
      </c>
      <c r="Y26" s="67" t="n">
        <f aca="false">(Y19+Y23)/2*1</f>
        <v>27330.9411923101</v>
      </c>
      <c r="Z26" s="67" t="n">
        <f aca="false">(Z19+Z23)/2*1</f>
        <v>28060.2488386561</v>
      </c>
      <c r="AA26" s="67" t="n">
        <f aca="false">(AA19+AA23)/2*1</f>
        <v>28917.8976409166</v>
      </c>
      <c r="AB26" s="67" t="n">
        <f aca="false">(AB19+AB23)/2*1</f>
        <v>29898.1122470753</v>
      </c>
      <c r="AC26" s="67" t="n">
        <f aca="false">(AC19+AC23)/2*1</f>
        <v>30834.2171959569</v>
      </c>
      <c r="AD26" s="67" t="n">
        <f aca="false">(AD19+AD23)/2*1</f>
        <v>31728.1974221389</v>
      </c>
      <c r="AE26" s="67" t="n">
        <f aca="false">(AE19+AE23)/2*1</f>
        <v>32581.9485381426</v>
      </c>
      <c r="AF26" s="67" t="n">
        <f aca="false">(AF19+AF23)/2*1</f>
        <v>33397.2808539262</v>
      </c>
      <c r="AG26" s="67" t="n">
        <f aca="false">(AG19+AG23)/2*1</f>
        <v>34175.9232154995</v>
      </c>
      <c r="AH26" s="67" t="n">
        <f aca="false">(AH19+AH23)/2*1</f>
        <v>34919.5266708021</v>
      </c>
      <c r="AI26" s="67" t="n">
        <f aca="false">(AI19+AI23)/2*1</f>
        <v>35629.667970616</v>
      </c>
      <c r="AJ26" s="67" t="n">
        <f aca="false">(AJ19+AJ23)/2*1</f>
        <v>36307.8529119382</v>
      </c>
      <c r="AK26" s="67" t="n">
        <f aca="false">(AK19+AK23)/2*1</f>
        <v>36955.519530901</v>
      </c>
      <c r="AL26" s="67" t="n">
        <f aca="false">(AL19+AL23)/2*1</f>
        <v>37574.0411520105</v>
      </c>
      <c r="AM26" s="67" t="n">
        <f aca="false">(AM19+AM23)/2*1</f>
        <v>38354.64530017</v>
      </c>
      <c r="AN26" s="67" t="n">
        <f aca="false">(AN19+AN23)/2*1</f>
        <v>39290.0382616623</v>
      </c>
      <c r="AO26" s="67" t="n">
        <f aca="false">(AO19+AO23)/2*1</f>
        <v>40183.3385398875</v>
      </c>
      <c r="AP26" s="67" t="n">
        <f aca="false">(AP19+AP23)/2*1</f>
        <v>41036.4403055926</v>
      </c>
      <c r="AQ26" s="67" t="n">
        <f aca="false">(AQ19+AQ23)/2*1</f>
        <v>41851.1524918409</v>
      </c>
      <c r="AR26" s="67" t="n">
        <f aca="false">(AR19+AR23)/2*1</f>
        <v>42629.2026297081</v>
      </c>
      <c r="AS26" s="67" t="n">
        <f aca="false">(AS19+AS23)/2*1</f>
        <v>43372.2405113712</v>
      </c>
      <c r="AT26" s="67" t="n">
        <f aca="false">(AT19+AT23)/2*1</f>
        <v>44081.8416883595</v>
      </c>
      <c r="AU26" s="67" t="n">
        <f aca="false">(AU19+AU23)/2*1</f>
        <v>44759.5108123833</v>
      </c>
      <c r="AV26" s="67" t="n">
        <f aca="false">(AV19+AV23)/2*1</f>
        <v>45406.6848258261</v>
      </c>
      <c r="AW26" s="67" t="n">
        <f aca="false">(AW19+AW23)/2*1</f>
        <v>46024.7360086639</v>
      </c>
      <c r="AX26" s="67" t="n">
        <f aca="false">(AX19+AX23)/2*1</f>
        <v>46614.974888274</v>
      </c>
      <c r="AY26" s="67" t="n">
        <f aca="false">(AY19+AY23)/2*1</f>
        <v>47402.7286183017</v>
      </c>
      <c r="AZ26" s="67" t="n">
        <f aca="false">(AZ19+AZ23)/2*1</f>
        <v>48379.1090304781</v>
      </c>
      <c r="BA26" s="67" t="n">
        <f aca="false">(BA19+BA23)/2*1</f>
        <v>49311.5523241066</v>
      </c>
      <c r="BB26" s="67" t="n">
        <f aca="false">(BB19+BB23)/2*1</f>
        <v>50202.0356695218</v>
      </c>
      <c r="BC26" s="67" t="n">
        <f aca="false">(BC19+BC23)/2*1</f>
        <v>51052.4472643933</v>
      </c>
      <c r="BD26" s="67" t="n">
        <f aca="false">(BD19+BD23)/2*1</f>
        <v>51864.5903374956</v>
      </c>
      <c r="BE26" s="67" t="n">
        <f aca="false">(BE19+BE23)/2*1</f>
        <v>52640.1869723083</v>
      </c>
      <c r="BF26" s="67" t="n">
        <f aca="false">(BF19+BF23)/2*1</f>
        <v>53380.8817585544</v>
      </c>
      <c r="BG26" s="67" t="n">
        <f aca="false">(BG19+BG23)/2*1</f>
        <v>54088.2452794195</v>
      </c>
      <c r="BH26" s="67" t="n">
        <f aca="false">(BH19+BH23)/2*1</f>
        <v>54763.7774418456</v>
      </c>
      <c r="BI26" s="67" t="n">
        <f aca="false">(BI19+BI23)/2*1</f>
        <v>55408.9106569626</v>
      </c>
      <c r="BJ26" s="67" t="n">
        <f aca="false">(BJ19+BJ23)/2*1</f>
        <v>56025.0128773993</v>
      </c>
    </row>
    <row r="27" customFormat="false" ht="15" hidden="false" customHeight="false" outlineLevel="0" collapsed="false">
      <c r="A27" s="6" t="s">
        <v>75</v>
      </c>
      <c r="C27" s="66" t="n">
        <f aca="false">-(C26*Inputs!$B$18+(C13+C15)/2*Inputs!$B$19*1)</f>
        <v>-499.096</v>
      </c>
      <c r="D27" s="66" t="n">
        <f aca="false">-(D26*Inputs!$B$18+(D13+D15)/2*Inputs!$B$19*1)</f>
        <v>-742.87668</v>
      </c>
      <c r="E27" s="66" t="n">
        <f aca="false">-(E26*Inputs!$B$18+(E13+E15)/2*Inputs!$B$19*1)</f>
        <v>-975.6872294</v>
      </c>
      <c r="F27" s="66" t="n">
        <f aca="false">-(F26*Inputs!$B$18+(F13+F15)/2*Inputs!$B$19*1)</f>
        <v>-1198.021304077</v>
      </c>
      <c r="G27" s="66" t="n">
        <f aca="false">-(G26*Inputs!$B$18+(G13+G15)/2*Inputs!$B$19*1)</f>
        <v>-1410.35034539354</v>
      </c>
      <c r="H27" s="66" t="n">
        <f aca="false">-(H26*Inputs!$B$18+(H13+H15)/2*Inputs!$B$19*1)</f>
        <v>-1613.12457985083</v>
      </c>
      <c r="I27" s="66" t="n">
        <f aca="false">-(I26*Inputs!$B$18+(I13+I15)/2*Inputs!$B$19*1)</f>
        <v>-1806.77397375754</v>
      </c>
      <c r="J27" s="66" t="n">
        <f aca="false">-(J26*Inputs!$B$18+(J13+J15)/2*Inputs!$B$19*1)</f>
        <v>-1991.70914493845</v>
      </c>
      <c r="K27" s="66" t="n">
        <f aca="false">-(K26*Inputs!$B$18+(K13+K15)/2*Inputs!$B$19*1)</f>
        <v>-2168.32223341622</v>
      </c>
      <c r="L27" s="66" t="n">
        <f aca="false">-(L26*Inputs!$B$18+(L13+L15)/2*Inputs!$B$19*1)</f>
        <v>-2336.98773291249</v>
      </c>
      <c r="M27" s="66" t="n">
        <f aca="false">-(M26*Inputs!$B$18+(M13+M15)/2*Inputs!$B$19*1)</f>
        <v>-2498.06328493143</v>
      </c>
      <c r="N27" s="66" t="n">
        <f aca="false">-(N26*Inputs!$B$18+(N13+N15)/2*Inputs!$B$19*1)</f>
        <v>-2651.89043710951</v>
      </c>
      <c r="O27" s="66" t="n">
        <f aca="false">-(O26*Inputs!$B$18+(O13+O15)/2*Inputs!$B$19*1)</f>
        <v>-2820.42736743959</v>
      </c>
      <c r="P27" s="66" t="n">
        <f aca="false">-(P26*Inputs!$B$18+(P13+P15)/2*Inputs!$B$19*1)</f>
        <v>-3003.01213590481</v>
      </c>
      <c r="Q27" s="66" t="n">
        <f aca="false">-(Q26*Inputs!$B$18+(Q13+Q15)/2*Inputs!$B$19*1)</f>
        <v>-3177.38058978909</v>
      </c>
      <c r="R27" s="66" t="n">
        <f aca="false">-(R26*Inputs!$B$18+(R13+R15)/2*Inputs!$B$19*1)</f>
        <v>-3343.90246324858</v>
      </c>
      <c r="S27" s="66" t="n">
        <f aca="false">-(S26*Inputs!$B$18+(S13+S15)/2*Inputs!$B$19*1)</f>
        <v>-3502.93085240239</v>
      </c>
      <c r="T27" s="66" t="n">
        <f aca="false">-(T26*Inputs!$B$18+(T13+T15)/2*Inputs!$B$19*1)</f>
        <v>-3654.80296404429</v>
      </c>
      <c r="U27" s="66" t="n">
        <f aca="false">-(U26*Inputs!$B$18+(U13+U15)/2*Inputs!$B$19*1)</f>
        <v>-3799.84083066229</v>
      </c>
      <c r="V27" s="66" t="n">
        <f aca="false">-(V26*Inputs!$B$18+(V13+V15)/2*Inputs!$B$19*1)</f>
        <v>-3938.35199328249</v>
      </c>
      <c r="W27" s="66" t="n">
        <f aca="false">-(W26*Inputs!$B$18+(W13+W15)/2*Inputs!$B$19*1)</f>
        <v>-4070.63015358478</v>
      </c>
      <c r="X27" s="66" t="n">
        <f aca="false">-(X26*Inputs!$B$18+(X13+X15)/2*Inputs!$B$19*1)</f>
        <v>-4196.95579667346</v>
      </c>
      <c r="Y27" s="66" t="n">
        <f aca="false">-(Y26*Inputs!$B$18+(Y13+Y15)/2*Inputs!$B$19*1)</f>
        <v>-4317.59678582316</v>
      </c>
      <c r="Z27" s="66" t="n">
        <f aca="false">-(Z26*Inputs!$B$18+(Z13+Z15)/2*Inputs!$B$19*1)</f>
        <v>-4432.80893046112</v>
      </c>
      <c r="AA27" s="66" t="n">
        <f aca="false">-(AA26*Inputs!$B$18+(AA13+AA15)/2*Inputs!$B$19*1)</f>
        <v>-4568.29572859037</v>
      </c>
      <c r="AB27" s="66" t="n">
        <f aca="false">-(AB26*Inputs!$B$18+(AB13+AB15)/2*Inputs!$B$19*1)</f>
        <v>-4723.1448208038</v>
      </c>
      <c r="AC27" s="66" t="n">
        <f aca="false">-(AC26*Inputs!$B$18+(AC13+AC15)/2*Inputs!$B$19*1)</f>
        <v>-4871.02570386763</v>
      </c>
      <c r="AD27" s="66" t="n">
        <f aca="false">-(AD26*Inputs!$B$18+(AD13+AD15)/2*Inputs!$B$19*1)</f>
        <v>-5012.25194719359</v>
      </c>
      <c r="AE27" s="66" t="n">
        <f aca="false">-(AE26*Inputs!$B$18+(AE13+AE15)/2*Inputs!$B$19*1)</f>
        <v>-5147.12300956987</v>
      </c>
      <c r="AF27" s="66" t="n">
        <f aca="false">-(AF26*Inputs!$B$18+(AF13+AF15)/2*Inputs!$B$19*1)</f>
        <v>-5275.92487413923</v>
      </c>
      <c r="AG27" s="66" t="n">
        <f aca="false">-(AG26*Inputs!$B$18+(AG13+AG15)/2*Inputs!$B$19*1)</f>
        <v>-5398.93065480296</v>
      </c>
      <c r="AH27" s="66" t="n">
        <f aca="false">-(AH26*Inputs!$B$18+(AH13+AH15)/2*Inputs!$B$19*1)</f>
        <v>-5516.40117533683</v>
      </c>
      <c r="AI27" s="66" t="n">
        <f aca="false">-(AI26*Inputs!$B$18+(AI13+AI15)/2*Inputs!$B$19*1)</f>
        <v>-5628.58552244667</v>
      </c>
      <c r="AJ27" s="66" t="n">
        <f aca="false">-(AJ26*Inputs!$B$18+(AJ13+AJ15)/2*Inputs!$B$19*1)</f>
        <v>-5735.72157393657</v>
      </c>
      <c r="AK27" s="66" t="n">
        <f aca="false">-(AK26*Inputs!$B$18+(AK13+AK15)/2*Inputs!$B$19*1)</f>
        <v>-5838.03650310943</v>
      </c>
      <c r="AL27" s="66" t="n">
        <f aca="false">-(AL26*Inputs!$B$18+(AL13+AL15)/2*Inputs!$B$19*1)</f>
        <v>-5935.7472604695</v>
      </c>
      <c r="AM27" s="66" t="n">
        <f aca="false">-(AM26*Inputs!$B$18+(AM13+AM15)/2*Inputs!$B$19*1)</f>
        <v>-6059.06295374837</v>
      </c>
      <c r="AN27" s="66" t="n">
        <f aca="false">-(AN26*Inputs!$B$18+(AN13+AN15)/2*Inputs!$B$19*1)</f>
        <v>-6206.8313608297</v>
      </c>
      <c r="AO27" s="66" t="n">
        <f aca="false">-(AO26*Inputs!$B$18+(AO13+AO15)/2*Inputs!$B$19*1)</f>
        <v>-6347.95018959236</v>
      </c>
      <c r="AP27" s="66" t="n">
        <f aca="false">-(AP26*Inputs!$B$18+(AP13+AP15)/2*Inputs!$B$19*1)</f>
        <v>-6482.7186710607</v>
      </c>
      <c r="AQ27" s="66" t="n">
        <f aca="false">-(AQ26*Inputs!$B$18+(AQ13+AQ15)/2*Inputs!$B$19*1)</f>
        <v>-6611.42257086297</v>
      </c>
      <c r="AR27" s="66" t="n">
        <f aca="false">-(AR26*Inputs!$B$18+(AR13+AR15)/2*Inputs!$B$19*1)</f>
        <v>-6734.33479517414</v>
      </c>
      <c r="AS27" s="66" t="n">
        <f aca="false">-(AS26*Inputs!$B$18+(AS13+AS15)/2*Inputs!$B$19*1)</f>
        <v>-6851.7159693913</v>
      </c>
      <c r="AT27" s="66" t="n">
        <f aca="false">-(AT26*Inputs!$B$18+(AT13+AT15)/2*Inputs!$B$19*1)</f>
        <v>-6963.81499076869</v>
      </c>
      <c r="AU27" s="66" t="n">
        <f aca="false">-(AU26*Inputs!$B$18+(AU13+AU15)/2*Inputs!$B$19*1)</f>
        <v>-7070.8695561841</v>
      </c>
      <c r="AV27" s="66" t="n">
        <f aca="false">-(AV26*Inputs!$B$18+(AV13+AV15)/2*Inputs!$B$19*1)</f>
        <v>-7173.10666615582</v>
      </c>
      <c r="AW27" s="66" t="n">
        <f aca="false">-(AW26*Inputs!$B$18+(AW13+AW15)/2*Inputs!$B$19*1)</f>
        <v>-7270.74310617881</v>
      </c>
      <c r="AX27" s="66" t="n">
        <f aca="false">-(AX26*Inputs!$B$18+(AX13+AX15)/2*Inputs!$B$19*1)</f>
        <v>-7363.98590640076</v>
      </c>
      <c r="AY27" s="66" t="n">
        <f aca="false">-(AY26*Inputs!$B$18+(AY13+AY15)/2*Inputs!$B$19*1)</f>
        <v>-7488.43105261272</v>
      </c>
      <c r="AZ27" s="66" t="n">
        <f aca="false">-(AZ26*Inputs!$B$18+(AZ13+AZ15)/2*Inputs!$B$19*1)</f>
        <v>-7642.67443924515</v>
      </c>
      <c r="BA27" s="66" t="n">
        <f aca="false">-(BA26*Inputs!$B$18+(BA13+BA15)/2*Inputs!$B$19*1)</f>
        <v>-7789.97687347912</v>
      </c>
      <c r="BB27" s="66" t="n">
        <f aca="false">-(BB26*Inputs!$B$18+(BB13+BB15)/2*Inputs!$B$19*1)</f>
        <v>-7930.65069817256</v>
      </c>
      <c r="BC27" s="66" t="n">
        <f aca="false">-(BC26*Inputs!$B$18+(BC13+BC15)/2*Inputs!$B$19*1)</f>
        <v>-8064.99420075479</v>
      </c>
      <c r="BD27" s="66" t="n">
        <f aca="false">-(BD26*Inputs!$B$18+(BD13+BD15)/2*Inputs!$B$19*1)</f>
        <v>-8193.29224572083</v>
      </c>
      <c r="BE27" s="66" t="n">
        <f aca="false">-(BE26*Inputs!$B$18+(BE13+BE15)/2*Inputs!$B$19*1)</f>
        <v>-8315.81687866339</v>
      </c>
      <c r="BF27" s="66" t="n">
        <f aca="false">-(BF26*Inputs!$B$18+(BF13+BF15)/2*Inputs!$B$19*1)</f>
        <v>-8432.82790312354</v>
      </c>
      <c r="BG27" s="66" t="n">
        <f aca="false">-(BG26*Inputs!$B$18+(BG13+BG15)/2*Inputs!$B$19*1)</f>
        <v>-8544.57343148298</v>
      </c>
      <c r="BH27" s="66" t="n">
        <f aca="false">-(BH26*Inputs!$B$18+(BH13+BH15)/2*Inputs!$B$19*1)</f>
        <v>-8651.29041106625</v>
      </c>
      <c r="BI27" s="66" t="n">
        <f aca="false">-(BI26*Inputs!$B$18+(BI13+BI15)/2*Inputs!$B$19*1)</f>
        <v>-8753.20512656826</v>
      </c>
      <c r="BJ27" s="66" t="n">
        <f aca="false">-(BJ26*Inputs!$B$18+(BJ13+BJ15)/2*Inputs!$B$19*1)</f>
        <v>-8850.53367987269</v>
      </c>
    </row>
    <row r="28" customFormat="false" ht="15" hidden="false" customHeight="false" outlineLevel="0" collapsed="false">
      <c r="A28" s="111" t="s">
        <v>45</v>
      </c>
      <c r="C28" s="67" t="n">
        <f aca="false">C26+C27</f>
        <v>2660.24566666667</v>
      </c>
      <c r="D28" s="67" t="n">
        <f aca="false">D26+D27</f>
        <v>3959.627945</v>
      </c>
      <c r="E28" s="67" t="n">
        <f aca="false">E26+E27</f>
        <v>5200.53802080833</v>
      </c>
      <c r="F28" s="67" t="n">
        <f aca="false">F26+F27</f>
        <v>6385.60714320529</v>
      </c>
      <c r="G28" s="67" t="n">
        <f aca="false">G26+G27</f>
        <v>7517.34815509439</v>
      </c>
      <c r="H28" s="67" t="n">
        <f aca="false">H26+H27</f>
        <v>8598.16082144848</v>
      </c>
      <c r="I28" s="67" t="n">
        <f aca="false">I26+I27</f>
        <v>9630.33691781663</v>
      </c>
      <c r="J28" s="67" t="n">
        <f aca="false">J26+J27</f>
        <v>10616.0650898482</v>
      </c>
      <c r="K28" s="67" t="n">
        <f aca="false">K26+K27</f>
        <v>11557.4354941384</v>
      </c>
      <c r="L28" s="67" t="n">
        <f aca="false">L26+L27</f>
        <v>12456.4442302355</v>
      </c>
      <c r="M28" s="67" t="n">
        <f aca="false">M26+M27</f>
        <v>13314.9975732082</v>
      </c>
      <c r="N28" s="67" t="n">
        <f aca="false">N26+N27</f>
        <v>14134.9160157472</v>
      </c>
      <c r="O28" s="67" t="n">
        <f aca="false">O26+O27</f>
        <v>15033.2394617052</v>
      </c>
      <c r="P28" s="67" t="n">
        <f aca="false">P26+P27</f>
        <v>16006.4396859285</v>
      </c>
      <c r="Q28" s="67" t="n">
        <f aca="false">Q26+Q27</f>
        <v>16935.8459000617</v>
      </c>
      <c r="R28" s="67" t="n">
        <f aca="false">R26+R27</f>
        <v>17823.4288345589</v>
      </c>
      <c r="S28" s="67" t="n">
        <f aca="false">S26+S27</f>
        <v>18671.0705370038</v>
      </c>
      <c r="T28" s="67" t="n">
        <f aca="false">T26+T27</f>
        <v>19480.5683628386</v>
      </c>
      <c r="U28" s="67" t="n">
        <f aca="false">U26+U27</f>
        <v>20253.6387865109</v>
      </c>
      <c r="V28" s="67" t="n">
        <f aca="false">V26+V27</f>
        <v>20991.9210411179</v>
      </c>
      <c r="W28" s="67" t="n">
        <f aca="false">W26+W27</f>
        <v>21696.9805942676</v>
      </c>
      <c r="X28" s="67" t="n">
        <f aca="false">X26+X27</f>
        <v>22370.3124675255</v>
      </c>
      <c r="Y28" s="67" t="n">
        <f aca="false">Y26+Y27</f>
        <v>23013.3444064869</v>
      </c>
      <c r="Z28" s="67" t="n">
        <f aca="false">Z26+Z27</f>
        <v>23627.439908195</v>
      </c>
      <c r="AA28" s="67" t="n">
        <f aca="false">AA26+AA27</f>
        <v>24349.6019123262</v>
      </c>
      <c r="AB28" s="67" t="n">
        <f aca="false">AB26+AB27</f>
        <v>25174.9674262715</v>
      </c>
      <c r="AC28" s="67" t="n">
        <f aca="false">AC26+AC27</f>
        <v>25963.1914920893</v>
      </c>
      <c r="AD28" s="67" t="n">
        <f aca="false">AD26+AD27</f>
        <v>26715.9454749453</v>
      </c>
      <c r="AE28" s="67" t="n">
        <f aca="false">AE26+AE27</f>
        <v>27434.8255285728</v>
      </c>
      <c r="AF28" s="67" t="n">
        <f aca="false">AF26+AF27</f>
        <v>28121.355979787</v>
      </c>
      <c r="AG28" s="67" t="n">
        <f aca="false">AG26+AG27</f>
        <v>28776.9925606966</v>
      </c>
      <c r="AH28" s="67" t="n">
        <f aca="false">AH26+AH27</f>
        <v>29403.1254954652</v>
      </c>
      <c r="AI28" s="67" t="n">
        <f aca="false">AI26+AI27</f>
        <v>30001.0824481693</v>
      </c>
      <c r="AJ28" s="67" t="n">
        <f aca="false">AJ26+AJ27</f>
        <v>30572.1313380017</v>
      </c>
      <c r="AK28" s="67" t="n">
        <f aca="false">AK26+AK27</f>
        <v>31117.4830277916</v>
      </c>
      <c r="AL28" s="67" t="n">
        <f aca="false">AL26+AL27</f>
        <v>31638.293891541</v>
      </c>
      <c r="AM28" s="67" t="n">
        <f aca="false">AM26+AM27</f>
        <v>32295.5823464216</v>
      </c>
      <c r="AN28" s="67" t="n">
        <f aca="false">AN26+AN27</f>
        <v>33083.2069008326</v>
      </c>
      <c r="AO28" s="67" t="n">
        <f aca="false">AO26+AO27</f>
        <v>33835.3883502952</v>
      </c>
      <c r="AP28" s="67" t="n">
        <f aca="false">AP26+AP27</f>
        <v>34553.7216345319</v>
      </c>
      <c r="AQ28" s="67" t="n">
        <f aca="false">AQ26+AQ27</f>
        <v>35239.729920978</v>
      </c>
      <c r="AR28" s="67" t="n">
        <f aca="false">AR26+AR27</f>
        <v>35894.8678345339</v>
      </c>
      <c r="AS28" s="67" t="n">
        <f aca="false">AS26+AS27</f>
        <v>36520.5245419799</v>
      </c>
      <c r="AT28" s="67" t="n">
        <f aca="false">AT26+AT27</f>
        <v>37118.0266975908</v>
      </c>
      <c r="AU28" s="67" t="n">
        <f aca="false">AU26+AU27</f>
        <v>37688.6412561992</v>
      </c>
      <c r="AV28" s="67" t="n">
        <f aca="false">AV26+AV27</f>
        <v>38233.5781596703</v>
      </c>
      <c r="AW28" s="67" t="n">
        <f aca="false">AW26+AW27</f>
        <v>38753.9929024851</v>
      </c>
      <c r="AX28" s="67" t="n">
        <f aca="false">AX26+AX27</f>
        <v>39250.9889818733</v>
      </c>
      <c r="AY28" s="67" t="n">
        <f aca="false">AY26+AY27</f>
        <v>39914.297565689</v>
      </c>
      <c r="AZ28" s="67" t="n">
        <f aca="false">AZ26+AZ27</f>
        <v>40736.434591233</v>
      </c>
      <c r="BA28" s="67" t="n">
        <f aca="false">BA26+BA27</f>
        <v>41521.5754506275</v>
      </c>
      <c r="BB28" s="67" t="n">
        <f aca="false">BB26+BB27</f>
        <v>42271.3849713492</v>
      </c>
      <c r="BC28" s="67" t="n">
        <f aca="false">BC26+BC27</f>
        <v>42987.4530636385</v>
      </c>
      <c r="BD28" s="67" t="n">
        <f aca="false">BD26+BD27</f>
        <v>43671.2980917748</v>
      </c>
      <c r="BE28" s="67" t="n">
        <f aca="false">BE26+BE27</f>
        <v>44324.3700936449</v>
      </c>
      <c r="BF28" s="67" t="n">
        <f aca="false">BF26+BF27</f>
        <v>44948.0538554309</v>
      </c>
      <c r="BG28" s="67" t="n">
        <f aca="false">BG26+BG27</f>
        <v>45543.6718479365</v>
      </c>
      <c r="BH28" s="67" t="n">
        <f aca="false">BH26+BH27</f>
        <v>46112.4870307794</v>
      </c>
      <c r="BI28" s="67" t="n">
        <f aca="false">BI26+BI27</f>
        <v>46655.7055303943</v>
      </c>
      <c r="BJ28" s="67" t="n">
        <f aca="false">BJ26+BJ27</f>
        <v>47174.4791975266</v>
      </c>
    </row>
    <row r="30" customFormat="false" ht="15.75" hidden="false" customHeight="true" outlineLevel="0" collapsed="false">
      <c r="A30" s="7" t="s">
        <v>47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</row>
    <row r="31" customFormat="false" ht="15" hidden="false" customHeight="false" outlineLevel="0" collapsed="false">
      <c r="A31" s="6" t="s">
        <v>318</v>
      </c>
      <c r="C31" s="66" t="n">
        <f aca="false">C114</f>
        <v>-61750</v>
      </c>
      <c r="D31" s="66" t="n">
        <f aca="false">D114</f>
        <v>-61750</v>
      </c>
      <c r="E31" s="66" t="n">
        <f aca="false">E114</f>
        <v>-61750</v>
      </c>
      <c r="F31" s="66" t="n">
        <f aca="false">F114</f>
        <v>-61750</v>
      </c>
      <c r="G31" s="66" t="n">
        <f aca="false">G114</f>
        <v>-61750</v>
      </c>
      <c r="H31" s="66" t="n">
        <f aca="false">H114</f>
        <v>-61750</v>
      </c>
      <c r="I31" s="66" t="n">
        <f aca="false">I114</f>
        <v>-61750</v>
      </c>
      <c r="J31" s="66" t="n">
        <f aca="false">J114</f>
        <v>-61750</v>
      </c>
      <c r="K31" s="66" t="n">
        <f aca="false">K114</f>
        <v>-61750</v>
      </c>
      <c r="L31" s="66" t="n">
        <f aca="false">L114</f>
        <v>-61750</v>
      </c>
      <c r="M31" s="66" t="n">
        <f aca="false">M114</f>
        <v>-61750</v>
      </c>
      <c r="N31" s="66" t="n">
        <f aca="false">N114</f>
        <v>-61750</v>
      </c>
      <c r="O31" s="66" t="n">
        <f aca="false">O114</f>
        <v>-96330</v>
      </c>
      <c r="P31" s="66" t="n">
        <f aca="false">P114</f>
        <v>-96330</v>
      </c>
      <c r="Q31" s="66" t="n">
        <f aca="false">Q114</f>
        <v>-96330</v>
      </c>
      <c r="R31" s="66" t="n">
        <f aca="false">R114</f>
        <v>-96330</v>
      </c>
      <c r="S31" s="66" t="n">
        <f aca="false">S114</f>
        <v>-96330</v>
      </c>
      <c r="T31" s="66" t="n">
        <f aca="false">T114</f>
        <v>-96330</v>
      </c>
      <c r="U31" s="66" t="n">
        <f aca="false">U114</f>
        <v>-96330</v>
      </c>
      <c r="V31" s="66" t="n">
        <f aca="false">V114</f>
        <v>-96330</v>
      </c>
      <c r="W31" s="66" t="n">
        <f aca="false">W114</f>
        <v>-96330</v>
      </c>
      <c r="X31" s="66" t="n">
        <f aca="false">X114</f>
        <v>-96330</v>
      </c>
      <c r="Y31" s="66" t="n">
        <f aca="false">Y114</f>
        <v>-96330</v>
      </c>
      <c r="Z31" s="66" t="n">
        <f aca="false">Z114</f>
        <v>-96330</v>
      </c>
      <c r="AA31" s="66" t="n">
        <f aca="false">AA114</f>
        <v>-150274.8</v>
      </c>
      <c r="AB31" s="66" t="n">
        <f aca="false">AB114</f>
        <v>-150274.8</v>
      </c>
      <c r="AC31" s="66" t="n">
        <f aca="false">AC114</f>
        <v>-150274.8</v>
      </c>
      <c r="AD31" s="66" t="n">
        <f aca="false">AD114</f>
        <v>-150274.8</v>
      </c>
      <c r="AE31" s="66" t="n">
        <f aca="false">AE114</f>
        <v>-150274.8</v>
      </c>
      <c r="AF31" s="66" t="n">
        <f aca="false">AF114</f>
        <v>-150274.8</v>
      </c>
      <c r="AG31" s="66" t="n">
        <f aca="false">AG114</f>
        <v>-150274.8</v>
      </c>
      <c r="AH31" s="66" t="n">
        <f aca="false">AH114</f>
        <v>-150274.8</v>
      </c>
      <c r="AI31" s="66" t="n">
        <f aca="false">AI114</f>
        <v>-150274.8</v>
      </c>
      <c r="AJ31" s="66" t="n">
        <f aca="false">AJ114</f>
        <v>-150274.8</v>
      </c>
      <c r="AK31" s="66" t="n">
        <f aca="false">AK114</f>
        <v>-150274.8</v>
      </c>
      <c r="AL31" s="66" t="n">
        <f aca="false">AL114</f>
        <v>-150274.8</v>
      </c>
      <c r="AM31" s="66" t="n">
        <f aca="false">AM114</f>
        <v>-234428.688</v>
      </c>
      <c r="AN31" s="66" t="n">
        <f aca="false">AN114</f>
        <v>-234428.688</v>
      </c>
      <c r="AO31" s="66" t="n">
        <f aca="false">AO114</f>
        <v>-234428.688</v>
      </c>
      <c r="AP31" s="66" t="n">
        <f aca="false">AP114</f>
        <v>-234428.688</v>
      </c>
      <c r="AQ31" s="66" t="n">
        <f aca="false">AQ114</f>
        <v>-234428.688</v>
      </c>
      <c r="AR31" s="66" t="n">
        <f aca="false">AR114</f>
        <v>-234428.688</v>
      </c>
      <c r="AS31" s="66" t="n">
        <f aca="false">AS114</f>
        <v>-234428.688</v>
      </c>
      <c r="AT31" s="66" t="n">
        <f aca="false">AT114</f>
        <v>-234428.688</v>
      </c>
      <c r="AU31" s="66" t="n">
        <f aca="false">AU114</f>
        <v>-234428.688</v>
      </c>
      <c r="AV31" s="66" t="n">
        <f aca="false">AV114</f>
        <v>-234428.688</v>
      </c>
      <c r="AW31" s="66" t="n">
        <f aca="false">AW114</f>
        <v>-234428.688</v>
      </c>
      <c r="AX31" s="66" t="n">
        <f aca="false">AX114</f>
        <v>-234428.688</v>
      </c>
      <c r="AY31" s="66" t="n">
        <f aca="false">AY114</f>
        <v>-365708.75328</v>
      </c>
      <c r="AZ31" s="66" t="n">
        <f aca="false">AZ114</f>
        <v>-365708.75328</v>
      </c>
      <c r="BA31" s="66" t="n">
        <f aca="false">BA114</f>
        <v>-365708.75328</v>
      </c>
      <c r="BB31" s="66" t="n">
        <f aca="false">BB114</f>
        <v>-365708.75328</v>
      </c>
      <c r="BC31" s="66" t="n">
        <f aca="false">BC114</f>
        <v>-365708.75328</v>
      </c>
      <c r="BD31" s="66" t="n">
        <f aca="false">BD114</f>
        <v>-365708.75328</v>
      </c>
      <c r="BE31" s="66" t="n">
        <f aca="false">BE114</f>
        <v>-365708.75328</v>
      </c>
      <c r="BF31" s="66" t="n">
        <f aca="false">BF114</f>
        <v>-365708.75328</v>
      </c>
      <c r="BG31" s="66" t="n">
        <f aca="false">BG114</f>
        <v>-365708.75328</v>
      </c>
      <c r="BH31" s="66" t="n">
        <f aca="false">BH114</f>
        <v>-365708.75328</v>
      </c>
      <c r="BI31" s="66" t="n">
        <f aca="false">BI114</f>
        <v>-365708.75328</v>
      </c>
      <c r="BJ31" s="66" t="n">
        <f aca="false">BJ114</f>
        <v>-365708.75328</v>
      </c>
    </row>
    <row r="32" customFormat="false" ht="15" hidden="false" customHeight="false" outlineLevel="0" collapsed="false">
      <c r="A32" s="6" t="s">
        <v>319</v>
      </c>
      <c r="C32" s="66" t="n">
        <f aca="false">-Inputs!$B$14*(1+Inputs!$B$15)^(C$7-1)*1</f>
        <v>-8000</v>
      </c>
      <c r="D32" s="66" t="n">
        <f aca="false">-Inputs!$B$14*(1+Inputs!$B$15)^(D$7-1)*1</f>
        <v>-8000</v>
      </c>
      <c r="E32" s="66" t="n">
        <f aca="false">-Inputs!$B$14*(1+Inputs!$B$15)^(E$7-1)*1</f>
        <v>-8000</v>
      </c>
      <c r="F32" s="66" t="n">
        <f aca="false">-Inputs!$B$14*(1+Inputs!$B$15)^(F$7-1)*1</f>
        <v>-8000</v>
      </c>
      <c r="G32" s="66" t="n">
        <f aca="false">-Inputs!$B$14*(1+Inputs!$B$15)^(G$7-1)*1</f>
        <v>-8000</v>
      </c>
      <c r="H32" s="66" t="n">
        <f aca="false">-Inputs!$B$14*(1+Inputs!$B$15)^(H$7-1)*1</f>
        <v>-8000</v>
      </c>
      <c r="I32" s="66" t="n">
        <f aca="false">-Inputs!$B$14*(1+Inputs!$B$15)^(I$7-1)*1</f>
        <v>-8000</v>
      </c>
      <c r="J32" s="66" t="n">
        <f aca="false">-Inputs!$B$14*(1+Inputs!$B$15)^(J$7-1)*1</f>
        <v>-8000</v>
      </c>
      <c r="K32" s="66" t="n">
        <f aca="false">-Inputs!$B$14*(1+Inputs!$B$15)^(K$7-1)*1</f>
        <v>-8000</v>
      </c>
      <c r="L32" s="66" t="n">
        <f aca="false">-Inputs!$B$14*(1+Inputs!$B$15)^(L$7-1)*1</f>
        <v>-8000</v>
      </c>
      <c r="M32" s="66" t="n">
        <f aca="false">-Inputs!$B$14*(1+Inputs!$B$15)^(M$7-1)*1</f>
        <v>-8000</v>
      </c>
      <c r="N32" s="66" t="n">
        <f aca="false">-Inputs!$B$14*(1+Inputs!$B$15)^(N$7-1)*1</f>
        <v>-8000</v>
      </c>
      <c r="O32" s="66" t="n">
        <f aca="false">-Inputs!$B$14*(1+Inputs!$B$15)^(O$7-1)*1</f>
        <v>-9600</v>
      </c>
      <c r="P32" s="66" t="n">
        <f aca="false">-Inputs!$B$14*(1+Inputs!$B$15)^(P$7-1)*1</f>
        <v>-9600</v>
      </c>
      <c r="Q32" s="66" t="n">
        <f aca="false">-Inputs!$B$14*(1+Inputs!$B$15)^(Q$7-1)*1</f>
        <v>-9600</v>
      </c>
      <c r="R32" s="66" t="n">
        <f aca="false">-Inputs!$B$14*(1+Inputs!$B$15)^(R$7-1)*1</f>
        <v>-9600</v>
      </c>
      <c r="S32" s="66" t="n">
        <f aca="false">-Inputs!$B$14*(1+Inputs!$B$15)^(S$7-1)*1</f>
        <v>-9600</v>
      </c>
      <c r="T32" s="66" t="n">
        <f aca="false">-Inputs!$B$14*(1+Inputs!$B$15)^(T$7-1)*1</f>
        <v>-9600</v>
      </c>
      <c r="U32" s="66" t="n">
        <f aca="false">-Inputs!$B$14*(1+Inputs!$B$15)^(U$7-1)*1</f>
        <v>-9600</v>
      </c>
      <c r="V32" s="66" t="n">
        <f aca="false">-Inputs!$B$14*(1+Inputs!$B$15)^(V$7-1)*1</f>
        <v>-9600</v>
      </c>
      <c r="W32" s="66" t="n">
        <f aca="false">-Inputs!$B$14*(1+Inputs!$B$15)^(W$7-1)*1</f>
        <v>-9600</v>
      </c>
      <c r="X32" s="66" t="n">
        <f aca="false">-Inputs!$B$14*(1+Inputs!$B$15)^(X$7-1)*1</f>
        <v>-9600</v>
      </c>
      <c r="Y32" s="66" t="n">
        <f aca="false">-Inputs!$B$14*(1+Inputs!$B$15)^(Y$7-1)*1</f>
        <v>-9600</v>
      </c>
      <c r="Z32" s="66" t="n">
        <f aca="false">-Inputs!$B$14*(1+Inputs!$B$15)^(Z$7-1)*1</f>
        <v>-9600</v>
      </c>
      <c r="AA32" s="66" t="n">
        <f aca="false">-Inputs!$B$14*(1+Inputs!$B$15)^(AA$7-1)*1</f>
        <v>-11520</v>
      </c>
      <c r="AB32" s="66" t="n">
        <f aca="false">-Inputs!$B$14*(1+Inputs!$B$15)^(AB$7-1)*1</f>
        <v>-11520</v>
      </c>
      <c r="AC32" s="66" t="n">
        <f aca="false">-Inputs!$B$14*(1+Inputs!$B$15)^(AC$7-1)*1</f>
        <v>-11520</v>
      </c>
      <c r="AD32" s="66" t="n">
        <f aca="false">-Inputs!$B$14*(1+Inputs!$B$15)^(AD$7-1)*1</f>
        <v>-11520</v>
      </c>
      <c r="AE32" s="66" t="n">
        <f aca="false">-Inputs!$B$14*(1+Inputs!$B$15)^(AE$7-1)*1</f>
        <v>-11520</v>
      </c>
      <c r="AF32" s="66" t="n">
        <f aca="false">-Inputs!$B$14*(1+Inputs!$B$15)^(AF$7-1)*1</f>
        <v>-11520</v>
      </c>
      <c r="AG32" s="66" t="n">
        <f aca="false">-Inputs!$B$14*(1+Inputs!$B$15)^(AG$7-1)*1</f>
        <v>-11520</v>
      </c>
      <c r="AH32" s="66" t="n">
        <f aca="false">-Inputs!$B$14*(1+Inputs!$B$15)^(AH$7-1)*1</f>
        <v>-11520</v>
      </c>
      <c r="AI32" s="66" t="n">
        <f aca="false">-Inputs!$B$14*(1+Inputs!$B$15)^(AI$7-1)*1</f>
        <v>-11520</v>
      </c>
      <c r="AJ32" s="66" t="n">
        <f aca="false">-Inputs!$B$14*(1+Inputs!$B$15)^(AJ$7-1)*1</f>
        <v>-11520</v>
      </c>
      <c r="AK32" s="66" t="n">
        <f aca="false">-Inputs!$B$14*(1+Inputs!$B$15)^(AK$7-1)*1</f>
        <v>-11520</v>
      </c>
      <c r="AL32" s="66" t="n">
        <f aca="false">-Inputs!$B$14*(1+Inputs!$B$15)^(AL$7-1)*1</f>
        <v>-11520</v>
      </c>
      <c r="AM32" s="66" t="n">
        <f aca="false">-Inputs!$B$14*(1+Inputs!$B$15)^(AM$7-1)*1</f>
        <v>-13824</v>
      </c>
      <c r="AN32" s="66" t="n">
        <f aca="false">-Inputs!$B$14*(1+Inputs!$B$15)^(AN$7-1)*1</f>
        <v>-13824</v>
      </c>
      <c r="AO32" s="66" t="n">
        <f aca="false">-Inputs!$B$14*(1+Inputs!$B$15)^(AO$7-1)*1</f>
        <v>-13824</v>
      </c>
      <c r="AP32" s="66" t="n">
        <f aca="false">-Inputs!$B$14*(1+Inputs!$B$15)^(AP$7-1)*1</f>
        <v>-13824</v>
      </c>
      <c r="AQ32" s="66" t="n">
        <f aca="false">-Inputs!$B$14*(1+Inputs!$B$15)^(AQ$7-1)*1</f>
        <v>-13824</v>
      </c>
      <c r="AR32" s="66" t="n">
        <f aca="false">-Inputs!$B$14*(1+Inputs!$B$15)^(AR$7-1)*1</f>
        <v>-13824</v>
      </c>
      <c r="AS32" s="66" t="n">
        <f aca="false">-Inputs!$B$14*(1+Inputs!$B$15)^(AS$7-1)*1</f>
        <v>-13824</v>
      </c>
      <c r="AT32" s="66" t="n">
        <f aca="false">-Inputs!$B$14*(1+Inputs!$B$15)^(AT$7-1)*1</f>
        <v>-13824</v>
      </c>
      <c r="AU32" s="66" t="n">
        <f aca="false">-Inputs!$B$14*(1+Inputs!$B$15)^(AU$7-1)*1</f>
        <v>-13824</v>
      </c>
      <c r="AV32" s="66" t="n">
        <f aca="false">-Inputs!$B$14*(1+Inputs!$B$15)^(AV$7-1)*1</f>
        <v>-13824</v>
      </c>
      <c r="AW32" s="66" t="n">
        <f aca="false">-Inputs!$B$14*(1+Inputs!$B$15)^(AW$7-1)*1</f>
        <v>-13824</v>
      </c>
      <c r="AX32" s="66" t="n">
        <f aca="false">-Inputs!$B$14*(1+Inputs!$B$15)^(AX$7-1)*1</f>
        <v>-13824</v>
      </c>
      <c r="AY32" s="66" t="n">
        <f aca="false">-Inputs!$B$14*(1+Inputs!$B$15)^(AY$7-1)*1</f>
        <v>-16588.8</v>
      </c>
      <c r="AZ32" s="66" t="n">
        <f aca="false">-Inputs!$B$14*(1+Inputs!$B$15)^(AZ$7-1)*1</f>
        <v>-16588.8</v>
      </c>
      <c r="BA32" s="66" t="n">
        <f aca="false">-Inputs!$B$14*(1+Inputs!$B$15)^(BA$7-1)*1</f>
        <v>-16588.8</v>
      </c>
      <c r="BB32" s="66" t="n">
        <f aca="false">-Inputs!$B$14*(1+Inputs!$B$15)^(BB$7-1)*1</f>
        <v>-16588.8</v>
      </c>
      <c r="BC32" s="66" t="n">
        <f aca="false">-Inputs!$B$14*(1+Inputs!$B$15)^(BC$7-1)*1</f>
        <v>-16588.8</v>
      </c>
      <c r="BD32" s="66" t="n">
        <f aca="false">-Inputs!$B$14*(1+Inputs!$B$15)^(BD$7-1)*1</f>
        <v>-16588.8</v>
      </c>
      <c r="BE32" s="66" t="n">
        <f aca="false">-Inputs!$B$14*(1+Inputs!$B$15)^(BE$7-1)*1</f>
        <v>-16588.8</v>
      </c>
      <c r="BF32" s="66" t="n">
        <f aca="false">-Inputs!$B$14*(1+Inputs!$B$15)^(BF$7-1)*1</f>
        <v>-16588.8</v>
      </c>
      <c r="BG32" s="66" t="n">
        <f aca="false">-Inputs!$B$14*(1+Inputs!$B$15)^(BG$7-1)*1</f>
        <v>-16588.8</v>
      </c>
      <c r="BH32" s="66" t="n">
        <f aca="false">-Inputs!$B$14*(1+Inputs!$B$15)^(BH$7-1)*1</f>
        <v>-16588.8</v>
      </c>
      <c r="BI32" s="66" t="n">
        <f aca="false">-Inputs!$B$14*(1+Inputs!$B$15)^(BI$7-1)*1</f>
        <v>-16588.8</v>
      </c>
      <c r="BJ32" s="66" t="n">
        <f aca="false">-Inputs!$B$14*(1+Inputs!$B$15)^(BJ$7-1)*1</f>
        <v>-16588.8</v>
      </c>
    </row>
    <row r="33" customFormat="false" ht="15" hidden="false" customHeight="false" outlineLevel="0" collapsed="false">
      <c r="A33" s="6" t="s">
        <v>320</v>
      </c>
      <c r="C33" s="66" t="n">
        <f aca="false">-C107*Inputs!$B$20*1</f>
        <v>-900</v>
      </c>
      <c r="D33" s="66" t="n">
        <f aca="false">-D107*Inputs!$B$20*1</f>
        <v>-900</v>
      </c>
      <c r="E33" s="66" t="n">
        <f aca="false">-E107*Inputs!$B$20*1</f>
        <v>-900</v>
      </c>
      <c r="F33" s="66" t="n">
        <f aca="false">-F107*Inputs!$B$20*1</f>
        <v>-900</v>
      </c>
      <c r="G33" s="66" t="n">
        <f aca="false">-G107*Inputs!$B$20*1</f>
        <v>-900</v>
      </c>
      <c r="H33" s="66" t="n">
        <f aca="false">-H107*Inputs!$B$20*1</f>
        <v>-900</v>
      </c>
      <c r="I33" s="66" t="n">
        <f aca="false">-I107*Inputs!$B$20*1</f>
        <v>-900</v>
      </c>
      <c r="J33" s="66" t="n">
        <f aca="false">-J107*Inputs!$B$20*1</f>
        <v>-900</v>
      </c>
      <c r="K33" s="66" t="n">
        <f aca="false">-K107*Inputs!$B$20*1</f>
        <v>-900</v>
      </c>
      <c r="L33" s="66" t="n">
        <f aca="false">-L107*Inputs!$B$20*1</f>
        <v>-900</v>
      </c>
      <c r="M33" s="66" t="n">
        <f aca="false">-M107*Inputs!$B$20*1</f>
        <v>-900</v>
      </c>
      <c r="N33" s="66" t="n">
        <f aca="false">-N107*Inputs!$B$20*1</f>
        <v>-900</v>
      </c>
      <c r="O33" s="66" t="n">
        <f aca="false">-O107*Inputs!$B$20*1</f>
        <v>-1350</v>
      </c>
      <c r="P33" s="66" t="n">
        <f aca="false">-P107*Inputs!$B$20*1</f>
        <v>-1350</v>
      </c>
      <c r="Q33" s="66" t="n">
        <f aca="false">-Q107*Inputs!$B$20*1</f>
        <v>-1350</v>
      </c>
      <c r="R33" s="66" t="n">
        <f aca="false">-R107*Inputs!$B$20*1</f>
        <v>-1350</v>
      </c>
      <c r="S33" s="66" t="n">
        <f aca="false">-S107*Inputs!$B$20*1</f>
        <v>-1350</v>
      </c>
      <c r="T33" s="66" t="n">
        <f aca="false">-T107*Inputs!$B$20*1</f>
        <v>-1350</v>
      </c>
      <c r="U33" s="66" t="n">
        <f aca="false">-U107*Inputs!$B$20*1</f>
        <v>-1350</v>
      </c>
      <c r="V33" s="66" t="n">
        <f aca="false">-V107*Inputs!$B$20*1</f>
        <v>-1350</v>
      </c>
      <c r="W33" s="66" t="n">
        <f aca="false">-W107*Inputs!$B$20*1</f>
        <v>-1350</v>
      </c>
      <c r="X33" s="66" t="n">
        <f aca="false">-X107*Inputs!$B$20*1</f>
        <v>-1350</v>
      </c>
      <c r="Y33" s="66" t="n">
        <f aca="false">-Y107*Inputs!$B$20*1</f>
        <v>-1350</v>
      </c>
      <c r="Z33" s="66" t="n">
        <f aca="false">-Z107*Inputs!$B$20*1</f>
        <v>-1350</v>
      </c>
      <c r="AA33" s="66" t="n">
        <f aca="false">-AA107*Inputs!$B$20*1</f>
        <v>-2025</v>
      </c>
      <c r="AB33" s="66" t="n">
        <f aca="false">-AB107*Inputs!$B$20*1</f>
        <v>-2025</v>
      </c>
      <c r="AC33" s="66" t="n">
        <f aca="false">-AC107*Inputs!$B$20*1</f>
        <v>-2025</v>
      </c>
      <c r="AD33" s="66" t="n">
        <f aca="false">-AD107*Inputs!$B$20*1</f>
        <v>-2025</v>
      </c>
      <c r="AE33" s="66" t="n">
        <f aca="false">-AE107*Inputs!$B$20*1</f>
        <v>-2025</v>
      </c>
      <c r="AF33" s="66" t="n">
        <f aca="false">-AF107*Inputs!$B$20*1</f>
        <v>-2025</v>
      </c>
      <c r="AG33" s="66" t="n">
        <f aca="false">-AG107*Inputs!$B$20*1</f>
        <v>-2025</v>
      </c>
      <c r="AH33" s="66" t="n">
        <f aca="false">-AH107*Inputs!$B$20*1</f>
        <v>-2025</v>
      </c>
      <c r="AI33" s="66" t="n">
        <f aca="false">-AI107*Inputs!$B$20*1</f>
        <v>-2025</v>
      </c>
      <c r="AJ33" s="66" t="n">
        <f aca="false">-AJ107*Inputs!$B$20*1</f>
        <v>-2025</v>
      </c>
      <c r="AK33" s="66" t="n">
        <f aca="false">-AK107*Inputs!$B$20*1</f>
        <v>-2025</v>
      </c>
      <c r="AL33" s="66" t="n">
        <f aca="false">-AL107*Inputs!$B$20*1</f>
        <v>-2025</v>
      </c>
      <c r="AM33" s="66" t="n">
        <f aca="false">-AM107*Inputs!$B$20*1</f>
        <v>-3037.5</v>
      </c>
      <c r="AN33" s="66" t="n">
        <f aca="false">-AN107*Inputs!$B$20*1</f>
        <v>-3037.5</v>
      </c>
      <c r="AO33" s="66" t="n">
        <f aca="false">-AO107*Inputs!$B$20*1</f>
        <v>-3037.5</v>
      </c>
      <c r="AP33" s="66" t="n">
        <f aca="false">-AP107*Inputs!$B$20*1</f>
        <v>-3037.5</v>
      </c>
      <c r="AQ33" s="66" t="n">
        <f aca="false">-AQ107*Inputs!$B$20*1</f>
        <v>-3037.5</v>
      </c>
      <c r="AR33" s="66" t="n">
        <f aca="false">-AR107*Inputs!$B$20*1</f>
        <v>-3037.5</v>
      </c>
      <c r="AS33" s="66" t="n">
        <f aca="false">-AS107*Inputs!$B$20*1</f>
        <v>-3037.5</v>
      </c>
      <c r="AT33" s="66" t="n">
        <f aca="false">-AT107*Inputs!$B$20*1</f>
        <v>-3037.5</v>
      </c>
      <c r="AU33" s="66" t="n">
        <f aca="false">-AU107*Inputs!$B$20*1</f>
        <v>-3037.5</v>
      </c>
      <c r="AV33" s="66" t="n">
        <f aca="false">-AV107*Inputs!$B$20*1</f>
        <v>-3037.5</v>
      </c>
      <c r="AW33" s="66" t="n">
        <f aca="false">-AW107*Inputs!$B$20*1</f>
        <v>-3037.5</v>
      </c>
      <c r="AX33" s="66" t="n">
        <f aca="false">-AX107*Inputs!$B$20*1</f>
        <v>-3037.5</v>
      </c>
      <c r="AY33" s="66" t="n">
        <f aca="false">-AY107*Inputs!$B$20*1</f>
        <v>-4556.25</v>
      </c>
      <c r="AZ33" s="66" t="n">
        <f aca="false">-AZ107*Inputs!$B$20*1</f>
        <v>-4556.25</v>
      </c>
      <c r="BA33" s="66" t="n">
        <f aca="false">-BA107*Inputs!$B$20*1</f>
        <v>-4556.25</v>
      </c>
      <c r="BB33" s="66" t="n">
        <f aca="false">-BB107*Inputs!$B$20*1</f>
        <v>-4556.25</v>
      </c>
      <c r="BC33" s="66" t="n">
        <f aca="false">-BC107*Inputs!$B$20*1</f>
        <v>-4556.25</v>
      </c>
      <c r="BD33" s="66" t="n">
        <f aca="false">-BD107*Inputs!$B$20*1</f>
        <v>-4556.25</v>
      </c>
      <c r="BE33" s="66" t="n">
        <f aca="false">-BE107*Inputs!$B$20*1</f>
        <v>-4556.25</v>
      </c>
      <c r="BF33" s="66" t="n">
        <f aca="false">-BF107*Inputs!$B$20*1</f>
        <v>-4556.25</v>
      </c>
      <c r="BG33" s="66" t="n">
        <f aca="false">-BG107*Inputs!$B$20*1</f>
        <v>-4556.25</v>
      </c>
      <c r="BH33" s="66" t="n">
        <f aca="false">-BH107*Inputs!$B$20*1</f>
        <v>-4556.25</v>
      </c>
      <c r="BI33" s="66" t="n">
        <f aca="false">-BI107*Inputs!$B$20*1</f>
        <v>-4556.25</v>
      </c>
      <c r="BJ33" s="66" t="n">
        <f aca="false">-BJ107*Inputs!$B$20*1</f>
        <v>-4556.25</v>
      </c>
    </row>
    <row r="34" customFormat="false" ht="15" hidden="false" customHeight="false" outlineLevel="0" collapsed="false">
      <c r="A34" s="6" t="s">
        <v>321</v>
      </c>
      <c r="C34" s="66" t="n">
        <f aca="false">-Inputs!$B$21*1</f>
        <v>-1500</v>
      </c>
      <c r="D34" s="66" t="n">
        <f aca="false">-Inputs!$B$21*1</f>
        <v>-1500</v>
      </c>
      <c r="E34" s="66" t="n">
        <f aca="false">-Inputs!$B$21*1</f>
        <v>-1500</v>
      </c>
      <c r="F34" s="66" t="n">
        <f aca="false">-Inputs!$B$21*1</f>
        <v>-1500</v>
      </c>
      <c r="G34" s="66" t="n">
        <f aca="false">-Inputs!$B$21*1</f>
        <v>-1500</v>
      </c>
      <c r="H34" s="66" t="n">
        <f aca="false">-Inputs!$B$21*1</f>
        <v>-1500</v>
      </c>
      <c r="I34" s="66" t="n">
        <f aca="false">-Inputs!$B$21*1</f>
        <v>-1500</v>
      </c>
      <c r="J34" s="66" t="n">
        <f aca="false">-Inputs!$B$21*1</f>
        <v>-1500</v>
      </c>
      <c r="K34" s="66" t="n">
        <f aca="false">-Inputs!$B$21*1</f>
        <v>-1500</v>
      </c>
      <c r="L34" s="66" t="n">
        <f aca="false">-Inputs!$B$21*1</f>
        <v>-1500</v>
      </c>
      <c r="M34" s="66" t="n">
        <f aca="false">-Inputs!$B$21*1</f>
        <v>-1500</v>
      </c>
      <c r="N34" s="66" t="n">
        <f aca="false">-Inputs!$B$21*1</f>
        <v>-1500</v>
      </c>
      <c r="O34" s="66" t="n">
        <f aca="false">-Inputs!$B$21*1</f>
        <v>-1500</v>
      </c>
      <c r="P34" s="66" t="n">
        <f aca="false">-Inputs!$B$21*1</f>
        <v>-1500</v>
      </c>
      <c r="Q34" s="66" t="n">
        <f aca="false">-Inputs!$B$21*1</f>
        <v>-1500</v>
      </c>
      <c r="R34" s="66" t="n">
        <f aca="false">-Inputs!$B$21*1</f>
        <v>-1500</v>
      </c>
      <c r="S34" s="66" t="n">
        <f aca="false">-Inputs!$B$21*1</f>
        <v>-1500</v>
      </c>
      <c r="T34" s="66" t="n">
        <f aca="false">-Inputs!$B$21*1</f>
        <v>-1500</v>
      </c>
      <c r="U34" s="66" t="n">
        <f aca="false">-Inputs!$B$21*1</f>
        <v>-1500</v>
      </c>
      <c r="V34" s="66" t="n">
        <f aca="false">-Inputs!$B$21*1</f>
        <v>-1500</v>
      </c>
      <c r="W34" s="66" t="n">
        <f aca="false">-Inputs!$B$21*1</f>
        <v>-1500</v>
      </c>
      <c r="X34" s="66" t="n">
        <f aca="false">-Inputs!$B$21*1</f>
        <v>-1500</v>
      </c>
      <c r="Y34" s="66" t="n">
        <f aca="false">-Inputs!$B$21*1</f>
        <v>-1500</v>
      </c>
      <c r="Z34" s="66" t="n">
        <f aca="false">-Inputs!$B$21*1</f>
        <v>-1500</v>
      </c>
      <c r="AA34" s="66" t="n">
        <f aca="false">-Inputs!$B$21*1</f>
        <v>-1500</v>
      </c>
      <c r="AB34" s="66" t="n">
        <f aca="false">-Inputs!$B$21*1</f>
        <v>-1500</v>
      </c>
      <c r="AC34" s="66" t="n">
        <f aca="false">-Inputs!$B$21*1</f>
        <v>-1500</v>
      </c>
      <c r="AD34" s="66" t="n">
        <f aca="false">-Inputs!$B$21*1</f>
        <v>-1500</v>
      </c>
      <c r="AE34" s="66" t="n">
        <f aca="false">-Inputs!$B$21*1</f>
        <v>-1500</v>
      </c>
      <c r="AF34" s="66" t="n">
        <f aca="false">-Inputs!$B$21*1</f>
        <v>-1500</v>
      </c>
      <c r="AG34" s="66" t="n">
        <f aca="false">-Inputs!$B$21*1</f>
        <v>-1500</v>
      </c>
      <c r="AH34" s="66" t="n">
        <f aca="false">-Inputs!$B$21*1</f>
        <v>-1500</v>
      </c>
      <c r="AI34" s="66" t="n">
        <f aca="false">-Inputs!$B$21*1</f>
        <v>-1500</v>
      </c>
      <c r="AJ34" s="66" t="n">
        <f aca="false">-Inputs!$B$21*1</f>
        <v>-1500</v>
      </c>
      <c r="AK34" s="66" t="n">
        <f aca="false">-Inputs!$B$21*1</f>
        <v>-1500</v>
      </c>
      <c r="AL34" s="66" t="n">
        <f aca="false">-Inputs!$B$21*1</f>
        <v>-1500</v>
      </c>
      <c r="AM34" s="66" t="n">
        <f aca="false">-Inputs!$B$21*1</f>
        <v>-1500</v>
      </c>
      <c r="AN34" s="66" t="n">
        <f aca="false">-Inputs!$B$21*1</f>
        <v>-1500</v>
      </c>
      <c r="AO34" s="66" t="n">
        <f aca="false">-Inputs!$B$21*1</f>
        <v>-1500</v>
      </c>
      <c r="AP34" s="66" t="n">
        <f aca="false">-Inputs!$B$21*1</f>
        <v>-1500</v>
      </c>
      <c r="AQ34" s="66" t="n">
        <f aca="false">-Inputs!$B$21*1</f>
        <v>-1500</v>
      </c>
      <c r="AR34" s="66" t="n">
        <f aca="false">-Inputs!$B$21*1</f>
        <v>-1500</v>
      </c>
      <c r="AS34" s="66" t="n">
        <f aca="false">-Inputs!$B$21*1</f>
        <v>-1500</v>
      </c>
      <c r="AT34" s="66" t="n">
        <f aca="false">-Inputs!$B$21*1</f>
        <v>-1500</v>
      </c>
      <c r="AU34" s="66" t="n">
        <f aca="false">-Inputs!$B$21*1</f>
        <v>-1500</v>
      </c>
      <c r="AV34" s="66" t="n">
        <f aca="false">-Inputs!$B$21*1</f>
        <v>-1500</v>
      </c>
      <c r="AW34" s="66" t="n">
        <f aca="false">-Inputs!$B$21*1</f>
        <v>-1500</v>
      </c>
      <c r="AX34" s="66" t="n">
        <f aca="false">-Inputs!$B$21*1</f>
        <v>-1500</v>
      </c>
      <c r="AY34" s="66" t="n">
        <f aca="false">-Inputs!$B$21*1</f>
        <v>-1500</v>
      </c>
      <c r="AZ34" s="66" t="n">
        <f aca="false">-Inputs!$B$21*1</f>
        <v>-1500</v>
      </c>
      <c r="BA34" s="66" t="n">
        <f aca="false">-Inputs!$B$21*1</f>
        <v>-1500</v>
      </c>
      <c r="BB34" s="66" t="n">
        <f aca="false">-Inputs!$B$21*1</f>
        <v>-1500</v>
      </c>
      <c r="BC34" s="66" t="n">
        <f aca="false">-Inputs!$B$21*1</f>
        <v>-1500</v>
      </c>
      <c r="BD34" s="66" t="n">
        <f aca="false">-Inputs!$B$21*1</f>
        <v>-1500</v>
      </c>
      <c r="BE34" s="66" t="n">
        <f aca="false">-Inputs!$B$21*1</f>
        <v>-1500</v>
      </c>
      <c r="BF34" s="66" t="n">
        <f aca="false">-Inputs!$B$21*1</f>
        <v>-1500</v>
      </c>
      <c r="BG34" s="66" t="n">
        <f aca="false">-Inputs!$B$21*1</f>
        <v>-1500</v>
      </c>
      <c r="BH34" s="66" t="n">
        <f aca="false">-Inputs!$B$21*1</f>
        <v>-1500</v>
      </c>
      <c r="BI34" s="66" t="n">
        <f aca="false">-Inputs!$B$21*1</f>
        <v>-1500</v>
      </c>
      <c r="BJ34" s="66" t="n">
        <f aca="false">-Inputs!$B$21*1</f>
        <v>-1500</v>
      </c>
    </row>
    <row r="35" customFormat="false" ht="15" hidden="false" customHeight="false" outlineLevel="0" collapsed="false">
      <c r="A35" s="6" t="s">
        <v>322</v>
      </c>
      <c r="C35" s="66" t="n">
        <f aca="false">-Inputs!$B$22*1</f>
        <v>-3000</v>
      </c>
      <c r="D35" s="66" t="n">
        <f aca="false">-Inputs!$B$22*1</f>
        <v>-3000</v>
      </c>
      <c r="E35" s="66" t="n">
        <f aca="false">-Inputs!$B$22*1</f>
        <v>-3000</v>
      </c>
      <c r="F35" s="66" t="n">
        <f aca="false">-Inputs!$B$22*1</f>
        <v>-3000</v>
      </c>
      <c r="G35" s="66" t="n">
        <f aca="false">-Inputs!$B$22*1</f>
        <v>-3000</v>
      </c>
      <c r="H35" s="66" t="n">
        <f aca="false">-Inputs!$B$22*1</f>
        <v>-3000</v>
      </c>
      <c r="I35" s="66" t="n">
        <f aca="false">-Inputs!$B$22*1</f>
        <v>-3000</v>
      </c>
      <c r="J35" s="66" t="n">
        <f aca="false">-Inputs!$B$22*1</f>
        <v>-3000</v>
      </c>
      <c r="K35" s="66" t="n">
        <f aca="false">-Inputs!$B$22*1</f>
        <v>-3000</v>
      </c>
      <c r="L35" s="66" t="n">
        <f aca="false">-Inputs!$B$22*1</f>
        <v>-3000</v>
      </c>
      <c r="M35" s="66" t="n">
        <f aca="false">-Inputs!$B$22*1</f>
        <v>-3000</v>
      </c>
      <c r="N35" s="66" t="n">
        <f aca="false">-Inputs!$B$22*1</f>
        <v>-3000</v>
      </c>
      <c r="O35" s="66" t="n">
        <f aca="false">-Inputs!$B$22*1</f>
        <v>-3000</v>
      </c>
      <c r="P35" s="66" t="n">
        <f aca="false">-Inputs!$B$22*1</f>
        <v>-3000</v>
      </c>
      <c r="Q35" s="66" t="n">
        <f aca="false">-Inputs!$B$22*1</f>
        <v>-3000</v>
      </c>
      <c r="R35" s="66" t="n">
        <f aca="false">-Inputs!$B$22*1</f>
        <v>-3000</v>
      </c>
      <c r="S35" s="66" t="n">
        <f aca="false">-Inputs!$B$22*1</f>
        <v>-3000</v>
      </c>
      <c r="T35" s="66" t="n">
        <f aca="false">-Inputs!$B$22*1</f>
        <v>-3000</v>
      </c>
      <c r="U35" s="66" t="n">
        <f aca="false">-Inputs!$B$22*1</f>
        <v>-3000</v>
      </c>
      <c r="V35" s="66" t="n">
        <f aca="false">-Inputs!$B$22*1</f>
        <v>-3000</v>
      </c>
      <c r="W35" s="66" t="n">
        <f aca="false">-Inputs!$B$22*1</f>
        <v>-3000</v>
      </c>
      <c r="X35" s="66" t="n">
        <f aca="false">-Inputs!$B$22*1</f>
        <v>-3000</v>
      </c>
      <c r="Y35" s="66" t="n">
        <f aca="false">-Inputs!$B$22*1</f>
        <v>-3000</v>
      </c>
      <c r="Z35" s="66" t="n">
        <f aca="false">-Inputs!$B$22*1</f>
        <v>-3000</v>
      </c>
      <c r="AA35" s="66" t="n">
        <f aca="false">-Inputs!$B$22*1</f>
        <v>-3000</v>
      </c>
      <c r="AB35" s="66" t="n">
        <f aca="false">-Inputs!$B$22*1</f>
        <v>-3000</v>
      </c>
      <c r="AC35" s="66" t="n">
        <f aca="false">-Inputs!$B$22*1</f>
        <v>-3000</v>
      </c>
      <c r="AD35" s="66" t="n">
        <f aca="false">-Inputs!$B$22*1</f>
        <v>-3000</v>
      </c>
      <c r="AE35" s="66" t="n">
        <f aca="false">-Inputs!$B$22*1</f>
        <v>-3000</v>
      </c>
      <c r="AF35" s="66" t="n">
        <f aca="false">-Inputs!$B$22*1</f>
        <v>-3000</v>
      </c>
      <c r="AG35" s="66" t="n">
        <f aca="false">-Inputs!$B$22*1</f>
        <v>-3000</v>
      </c>
      <c r="AH35" s="66" t="n">
        <f aca="false">-Inputs!$B$22*1</f>
        <v>-3000</v>
      </c>
      <c r="AI35" s="66" t="n">
        <f aca="false">-Inputs!$B$22*1</f>
        <v>-3000</v>
      </c>
      <c r="AJ35" s="66" t="n">
        <f aca="false">-Inputs!$B$22*1</f>
        <v>-3000</v>
      </c>
      <c r="AK35" s="66" t="n">
        <f aca="false">-Inputs!$B$22*1</f>
        <v>-3000</v>
      </c>
      <c r="AL35" s="66" t="n">
        <f aca="false">-Inputs!$B$22*1</f>
        <v>-3000</v>
      </c>
      <c r="AM35" s="66" t="n">
        <f aca="false">-Inputs!$B$22*1</f>
        <v>-3000</v>
      </c>
      <c r="AN35" s="66" t="n">
        <f aca="false">-Inputs!$B$22*1</f>
        <v>-3000</v>
      </c>
      <c r="AO35" s="66" t="n">
        <f aca="false">-Inputs!$B$22*1</f>
        <v>-3000</v>
      </c>
      <c r="AP35" s="66" t="n">
        <f aca="false">-Inputs!$B$22*1</f>
        <v>-3000</v>
      </c>
      <c r="AQ35" s="66" t="n">
        <f aca="false">-Inputs!$B$22*1</f>
        <v>-3000</v>
      </c>
      <c r="AR35" s="66" t="n">
        <f aca="false">-Inputs!$B$22*1</f>
        <v>-3000</v>
      </c>
      <c r="AS35" s="66" t="n">
        <f aca="false">-Inputs!$B$22*1</f>
        <v>-3000</v>
      </c>
      <c r="AT35" s="66" t="n">
        <f aca="false">-Inputs!$B$22*1</f>
        <v>-3000</v>
      </c>
      <c r="AU35" s="66" t="n">
        <f aca="false">-Inputs!$B$22*1</f>
        <v>-3000</v>
      </c>
      <c r="AV35" s="66" t="n">
        <f aca="false">-Inputs!$B$22*1</f>
        <v>-3000</v>
      </c>
      <c r="AW35" s="66" t="n">
        <f aca="false">-Inputs!$B$22*1</f>
        <v>-3000</v>
      </c>
      <c r="AX35" s="66" t="n">
        <f aca="false">-Inputs!$B$22*1</f>
        <v>-3000</v>
      </c>
      <c r="AY35" s="66" t="n">
        <f aca="false">-Inputs!$B$22*1</f>
        <v>-3000</v>
      </c>
      <c r="AZ35" s="66" t="n">
        <f aca="false">-Inputs!$B$22*1</f>
        <v>-3000</v>
      </c>
      <c r="BA35" s="66" t="n">
        <f aca="false">-Inputs!$B$22*1</f>
        <v>-3000</v>
      </c>
      <c r="BB35" s="66" t="n">
        <f aca="false">-Inputs!$B$22*1</f>
        <v>-3000</v>
      </c>
      <c r="BC35" s="66" t="n">
        <f aca="false">-Inputs!$B$22*1</f>
        <v>-3000</v>
      </c>
      <c r="BD35" s="66" t="n">
        <f aca="false">-Inputs!$B$22*1</f>
        <v>-3000</v>
      </c>
      <c r="BE35" s="66" t="n">
        <f aca="false">-Inputs!$B$22*1</f>
        <v>-3000</v>
      </c>
      <c r="BF35" s="66" t="n">
        <f aca="false">-Inputs!$B$22*1</f>
        <v>-3000</v>
      </c>
      <c r="BG35" s="66" t="n">
        <f aca="false">-Inputs!$B$22*1</f>
        <v>-3000</v>
      </c>
      <c r="BH35" s="66" t="n">
        <f aca="false">-Inputs!$B$22*1</f>
        <v>-3000</v>
      </c>
      <c r="BI35" s="66" t="n">
        <f aca="false">-Inputs!$B$22*1</f>
        <v>-3000</v>
      </c>
      <c r="BJ35" s="66" t="n">
        <f aca="false">-Inputs!$B$22*1</f>
        <v>-3000</v>
      </c>
    </row>
    <row r="36" customFormat="false" ht="15" hidden="false" customHeight="false" outlineLevel="0" collapsed="false">
      <c r="A36" s="111" t="s">
        <v>76</v>
      </c>
      <c r="C36" s="67" t="n">
        <f aca="false">C31+C32+C33+C34+C35</f>
        <v>-75150</v>
      </c>
      <c r="D36" s="67" t="n">
        <f aca="false">D31+D32+D33+D34+D35</f>
        <v>-75150</v>
      </c>
      <c r="E36" s="67" t="n">
        <f aca="false">E31+E32+E33+E34+E35</f>
        <v>-75150</v>
      </c>
      <c r="F36" s="67" t="n">
        <f aca="false">F31+F32+F33+F34+F35</f>
        <v>-75150</v>
      </c>
      <c r="G36" s="67" t="n">
        <f aca="false">G31+G32+G33+G34+G35</f>
        <v>-75150</v>
      </c>
      <c r="H36" s="67" t="n">
        <f aca="false">H31+H32+H33+H34+H35</f>
        <v>-75150</v>
      </c>
      <c r="I36" s="67" t="n">
        <f aca="false">I31+I32+I33+I34+I35</f>
        <v>-75150</v>
      </c>
      <c r="J36" s="67" t="n">
        <f aca="false">J31+J32+J33+J34+J35</f>
        <v>-75150</v>
      </c>
      <c r="K36" s="67" t="n">
        <f aca="false">K31+K32+K33+K34+K35</f>
        <v>-75150</v>
      </c>
      <c r="L36" s="67" t="n">
        <f aca="false">L31+L32+L33+L34+L35</f>
        <v>-75150</v>
      </c>
      <c r="M36" s="67" t="n">
        <f aca="false">M31+M32+M33+M34+M35</f>
        <v>-75150</v>
      </c>
      <c r="N36" s="67" t="n">
        <f aca="false">N31+N32+N33+N34+N35</f>
        <v>-75150</v>
      </c>
      <c r="O36" s="67" t="n">
        <f aca="false">O31+O32+O33+O34+O35</f>
        <v>-111780</v>
      </c>
      <c r="P36" s="67" t="n">
        <f aca="false">P31+P32+P33+P34+P35</f>
        <v>-111780</v>
      </c>
      <c r="Q36" s="67" t="n">
        <f aca="false">Q31+Q32+Q33+Q34+Q35</f>
        <v>-111780</v>
      </c>
      <c r="R36" s="67" t="n">
        <f aca="false">R31+R32+R33+R34+R35</f>
        <v>-111780</v>
      </c>
      <c r="S36" s="67" t="n">
        <f aca="false">S31+S32+S33+S34+S35</f>
        <v>-111780</v>
      </c>
      <c r="T36" s="67" t="n">
        <f aca="false">T31+T32+T33+T34+T35</f>
        <v>-111780</v>
      </c>
      <c r="U36" s="67" t="n">
        <f aca="false">U31+U32+U33+U34+U35</f>
        <v>-111780</v>
      </c>
      <c r="V36" s="67" t="n">
        <f aca="false">V31+V32+V33+V34+V35</f>
        <v>-111780</v>
      </c>
      <c r="W36" s="67" t="n">
        <f aca="false">W31+W32+W33+W34+W35</f>
        <v>-111780</v>
      </c>
      <c r="X36" s="67" t="n">
        <f aca="false">X31+X32+X33+X34+X35</f>
        <v>-111780</v>
      </c>
      <c r="Y36" s="67" t="n">
        <f aca="false">Y31+Y32+Y33+Y34+Y35</f>
        <v>-111780</v>
      </c>
      <c r="Z36" s="67" t="n">
        <f aca="false">Z31+Z32+Z33+Z34+Z35</f>
        <v>-111780</v>
      </c>
      <c r="AA36" s="67" t="n">
        <f aca="false">AA31+AA32+AA33+AA34+AA35</f>
        <v>-168319.8</v>
      </c>
      <c r="AB36" s="67" t="n">
        <f aca="false">AB31+AB32+AB33+AB34+AB35</f>
        <v>-168319.8</v>
      </c>
      <c r="AC36" s="67" t="n">
        <f aca="false">AC31+AC32+AC33+AC34+AC35</f>
        <v>-168319.8</v>
      </c>
      <c r="AD36" s="67" t="n">
        <f aca="false">AD31+AD32+AD33+AD34+AD35</f>
        <v>-168319.8</v>
      </c>
      <c r="AE36" s="67" t="n">
        <f aca="false">AE31+AE32+AE33+AE34+AE35</f>
        <v>-168319.8</v>
      </c>
      <c r="AF36" s="67" t="n">
        <f aca="false">AF31+AF32+AF33+AF34+AF35</f>
        <v>-168319.8</v>
      </c>
      <c r="AG36" s="67" t="n">
        <f aca="false">AG31+AG32+AG33+AG34+AG35</f>
        <v>-168319.8</v>
      </c>
      <c r="AH36" s="67" t="n">
        <f aca="false">AH31+AH32+AH33+AH34+AH35</f>
        <v>-168319.8</v>
      </c>
      <c r="AI36" s="67" t="n">
        <f aca="false">AI31+AI32+AI33+AI34+AI35</f>
        <v>-168319.8</v>
      </c>
      <c r="AJ36" s="67" t="n">
        <f aca="false">AJ31+AJ32+AJ33+AJ34+AJ35</f>
        <v>-168319.8</v>
      </c>
      <c r="AK36" s="67" t="n">
        <f aca="false">AK31+AK32+AK33+AK34+AK35</f>
        <v>-168319.8</v>
      </c>
      <c r="AL36" s="67" t="n">
        <f aca="false">AL31+AL32+AL33+AL34+AL35</f>
        <v>-168319.8</v>
      </c>
      <c r="AM36" s="67" t="n">
        <f aca="false">AM31+AM32+AM33+AM34+AM35</f>
        <v>-255790.188</v>
      </c>
      <c r="AN36" s="67" t="n">
        <f aca="false">AN31+AN32+AN33+AN34+AN35</f>
        <v>-255790.188</v>
      </c>
      <c r="AO36" s="67" t="n">
        <f aca="false">AO31+AO32+AO33+AO34+AO35</f>
        <v>-255790.188</v>
      </c>
      <c r="AP36" s="67" t="n">
        <f aca="false">AP31+AP32+AP33+AP34+AP35</f>
        <v>-255790.188</v>
      </c>
      <c r="AQ36" s="67" t="n">
        <f aca="false">AQ31+AQ32+AQ33+AQ34+AQ35</f>
        <v>-255790.188</v>
      </c>
      <c r="AR36" s="67" t="n">
        <f aca="false">AR31+AR32+AR33+AR34+AR35</f>
        <v>-255790.188</v>
      </c>
      <c r="AS36" s="67" t="n">
        <f aca="false">AS31+AS32+AS33+AS34+AS35</f>
        <v>-255790.188</v>
      </c>
      <c r="AT36" s="67" t="n">
        <f aca="false">AT31+AT32+AT33+AT34+AT35</f>
        <v>-255790.188</v>
      </c>
      <c r="AU36" s="67" t="n">
        <f aca="false">AU31+AU32+AU33+AU34+AU35</f>
        <v>-255790.188</v>
      </c>
      <c r="AV36" s="67" t="n">
        <f aca="false">AV31+AV32+AV33+AV34+AV35</f>
        <v>-255790.188</v>
      </c>
      <c r="AW36" s="67" t="n">
        <f aca="false">AW31+AW32+AW33+AW34+AW35</f>
        <v>-255790.188</v>
      </c>
      <c r="AX36" s="67" t="n">
        <f aca="false">AX31+AX32+AX33+AX34+AX35</f>
        <v>-255790.188</v>
      </c>
      <c r="AY36" s="67" t="n">
        <f aca="false">AY31+AY32+AY33+AY34+AY35</f>
        <v>-391353.80328</v>
      </c>
      <c r="AZ36" s="67" t="n">
        <f aca="false">AZ31+AZ32+AZ33+AZ34+AZ35</f>
        <v>-391353.80328</v>
      </c>
      <c r="BA36" s="67" t="n">
        <f aca="false">BA31+BA32+BA33+BA34+BA35</f>
        <v>-391353.80328</v>
      </c>
      <c r="BB36" s="67" t="n">
        <f aca="false">BB31+BB32+BB33+BB34+BB35</f>
        <v>-391353.80328</v>
      </c>
      <c r="BC36" s="67" t="n">
        <f aca="false">BC31+BC32+BC33+BC34+BC35</f>
        <v>-391353.80328</v>
      </c>
      <c r="BD36" s="67" t="n">
        <f aca="false">BD31+BD32+BD33+BD34+BD35</f>
        <v>-391353.80328</v>
      </c>
      <c r="BE36" s="67" t="n">
        <f aca="false">BE31+BE32+BE33+BE34+BE35</f>
        <v>-391353.80328</v>
      </c>
      <c r="BF36" s="67" t="n">
        <f aca="false">BF31+BF32+BF33+BF34+BF35</f>
        <v>-391353.80328</v>
      </c>
      <c r="BG36" s="67" t="n">
        <f aca="false">BG31+BG32+BG33+BG34+BG35</f>
        <v>-391353.80328</v>
      </c>
      <c r="BH36" s="67" t="n">
        <f aca="false">BH31+BH32+BH33+BH34+BH35</f>
        <v>-391353.80328</v>
      </c>
      <c r="BI36" s="67" t="n">
        <f aca="false">BI31+BI32+BI33+BI34+BI35</f>
        <v>-391353.80328</v>
      </c>
      <c r="BJ36" s="67" t="n">
        <f aca="false">BJ31+BJ32+BJ33+BJ34+BJ35</f>
        <v>-391353.80328</v>
      </c>
    </row>
    <row r="37" customFormat="false" ht="15" hidden="false" customHeight="false" outlineLevel="0" collapsed="false">
      <c r="A37" s="111" t="s">
        <v>48</v>
      </c>
      <c r="C37" s="67" t="n">
        <f aca="false">C28+C36</f>
        <v>-72489.7543333333</v>
      </c>
      <c r="D37" s="67" t="n">
        <f aca="false">D28+D36</f>
        <v>-71190.372055</v>
      </c>
      <c r="E37" s="67" t="n">
        <f aca="false">E28+E36</f>
        <v>-69949.4619791917</v>
      </c>
      <c r="F37" s="67" t="n">
        <f aca="false">F28+F36</f>
        <v>-68764.3928567947</v>
      </c>
      <c r="G37" s="67" t="n">
        <f aca="false">G28+G36</f>
        <v>-67632.6518449056</v>
      </c>
      <c r="H37" s="67" t="n">
        <f aca="false">H28+H36</f>
        <v>-66551.8391785515</v>
      </c>
      <c r="I37" s="67" t="n">
        <f aca="false">I28+I36</f>
        <v>-65519.6630821834</v>
      </c>
      <c r="J37" s="67" t="n">
        <f aca="false">J28+J36</f>
        <v>-64533.9349101518</v>
      </c>
      <c r="K37" s="67" t="n">
        <f aca="false">K28+K36</f>
        <v>-63592.5645058616</v>
      </c>
      <c r="L37" s="67" t="n">
        <f aca="false">L28+L36</f>
        <v>-62693.5557697645</v>
      </c>
      <c r="M37" s="67" t="n">
        <f aca="false">M28+M36</f>
        <v>-61835.0024267918</v>
      </c>
      <c r="N37" s="67" t="n">
        <f aca="false">N28+N36</f>
        <v>-61015.0839842528</v>
      </c>
      <c r="O37" s="67" t="n">
        <f aca="false">O28+O36</f>
        <v>-96746.7605382948</v>
      </c>
      <c r="P37" s="67" t="n">
        <f aca="false">P28+P36</f>
        <v>-95773.5603140715</v>
      </c>
      <c r="Q37" s="67" t="n">
        <f aca="false">Q28+Q36</f>
        <v>-94844.1540999383</v>
      </c>
      <c r="R37" s="67" t="n">
        <f aca="false">R28+R36</f>
        <v>-93956.5711654411</v>
      </c>
      <c r="S37" s="67" t="n">
        <f aca="false">S28+S36</f>
        <v>-93108.9294629962</v>
      </c>
      <c r="T37" s="67" t="n">
        <f aca="false">T28+T36</f>
        <v>-92299.4316371614</v>
      </c>
      <c r="U37" s="67" t="n">
        <f aca="false">U28+U36</f>
        <v>-91526.3612134891</v>
      </c>
      <c r="V37" s="67" t="n">
        <f aca="false">V28+V36</f>
        <v>-90788.0789588821</v>
      </c>
      <c r="W37" s="67" t="n">
        <f aca="false">W28+W36</f>
        <v>-90083.0194057324</v>
      </c>
      <c r="X37" s="67" t="n">
        <f aca="false">X28+X36</f>
        <v>-89409.6875324745</v>
      </c>
      <c r="Y37" s="67" t="n">
        <f aca="false">Y28+Y36</f>
        <v>-88766.6555935131</v>
      </c>
      <c r="Z37" s="67" t="n">
        <f aca="false">Z28+Z36</f>
        <v>-88152.560091805</v>
      </c>
      <c r="AA37" s="67" t="n">
        <f aca="false">AA28+AA36</f>
        <v>-143970.198087674</v>
      </c>
      <c r="AB37" s="67" t="n">
        <f aca="false">AB28+AB36</f>
        <v>-143144.832573729</v>
      </c>
      <c r="AC37" s="67" t="n">
        <f aca="false">AC28+AC36</f>
        <v>-142356.608507911</v>
      </c>
      <c r="AD37" s="67" t="n">
        <f aca="false">AD28+AD36</f>
        <v>-141603.854525055</v>
      </c>
      <c r="AE37" s="67" t="n">
        <f aca="false">AE28+AE36</f>
        <v>-140884.974471427</v>
      </c>
      <c r="AF37" s="67" t="n">
        <f aca="false">AF28+AF36</f>
        <v>-140198.444020213</v>
      </c>
      <c r="AG37" s="67" t="n">
        <f aca="false">AG28+AG36</f>
        <v>-139542.807439303</v>
      </c>
      <c r="AH37" s="67" t="n">
        <f aca="false">AH28+AH36</f>
        <v>-138916.674504535</v>
      </c>
      <c r="AI37" s="67" t="n">
        <f aca="false">AI28+AI36</f>
        <v>-138318.717551831</v>
      </c>
      <c r="AJ37" s="67" t="n">
        <f aca="false">AJ28+AJ36</f>
        <v>-137747.668661998</v>
      </c>
      <c r="AK37" s="67" t="n">
        <f aca="false">AK28+AK36</f>
        <v>-137202.316972208</v>
      </c>
      <c r="AL37" s="67" t="n">
        <f aca="false">AL28+AL36</f>
        <v>-136681.506108459</v>
      </c>
      <c r="AM37" s="67" t="n">
        <f aca="false">AM28+AM36</f>
        <v>-223494.605653578</v>
      </c>
      <c r="AN37" s="67" t="n">
        <f aca="false">AN28+AN36</f>
        <v>-222706.981099167</v>
      </c>
      <c r="AO37" s="67" t="n">
        <f aca="false">AO28+AO36</f>
        <v>-221954.799649705</v>
      </c>
      <c r="AP37" s="67" t="n">
        <f aca="false">AP28+AP36</f>
        <v>-221236.466365468</v>
      </c>
      <c r="AQ37" s="67" t="n">
        <f aca="false">AQ28+AQ36</f>
        <v>-220550.458079022</v>
      </c>
      <c r="AR37" s="67" t="n">
        <f aca="false">AR28+AR36</f>
        <v>-219895.320165466</v>
      </c>
      <c r="AS37" s="67" t="n">
        <f aca="false">AS28+AS36</f>
        <v>-219269.66345802</v>
      </c>
      <c r="AT37" s="67" t="n">
        <f aca="false">AT28+AT36</f>
        <v>-218672.161302409</v>
      </c>
      <c r="AU37" s="67" t="n">
        <f aca="false">AU28+AU36</f>
        <v>-218101.546743801</v>
      </c>
      <c r="AV37" s="67" t="n">
        <f aca="false">AV28+AV36</f>
        <v>-217556.60984033</v>
      </c>
      <c r="AW37" s="67" t="n">
        <f aca="false">AW28+AW36</f>
        <v>-217036.195097515</v>
      </c>
      <c r="AX37" s="67" t="n">
        <f aca="false">AX28+AX36</f>
        <v>-216539.199018127</v>
      </c>
      <c r="AY37" s="67" t="n">
        <f aca="false">AY28+AY36</f>
        <v>-351439.505714311</v>
      </c>
      <c r="AZ37" s="67" t="n">
        <f aca="false">AZ28+AZ36</f>
        <v>-350617.368688767</v>
      </c>
      <c r="BA37" s="67" t="n">
        <f aca="false">BA28+BA36</f>
        <v>-349832.227829373</v>
      </c>
      <c r="BB37" s="67" t="n">
        <f aca="false">BB28+BB36</f>
        <v>-349082.418308651</v>
      </c>
      <c r="BC37" s="67" t="n">
        <f aca="false">BC28+BC36</f>
        <v>-348366.350216362</v>
      </c>
      <c r="BD37" s="67" t="n">
        <f aca="false">BD28+BD36</f>
        <v>-347682.505188225</v>
      </c>
      <c r="BE37" s="67" t="n">
        <f aca="false">BE28+BE36</f>
        <v>-347029.433186355</v>
      </c>
      <c r="BF37" s="67" t="n">
        <f aca="false">BF28+BF36</f>
        <v>-346405.749424569</v>
      </c>
      <c r="BG37" s="67" t="n">
        <f aca="false">BG28+BG36</f>
        <v>-345810.131432064</v>
      </c>
      <c r="BH37" s="67" t="n">
        <f aca="false">BH28+BH36</f>
        <v>-345241.316249221</v>
      </c>
      <c r="BI37" s="67" t="n">
        <f aca="false">BI28+BI36</f>
        <v>-344698.097749606</v>
      </c>
      <c r="BJ37" s="67" t="n">
        <f aca="false">BJ28+BJ36</f>
        <v>-344179.324082474</v>
      </c>
    </row>
    <row r="39" customFormat="false" ht="15.75" hidden="false" customHeight="true" outlineLevel="0" collapsed="false">
      <c r="A39" s="7" t="s">
        <v>410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</row>
    <row r="40" customFormat="false" ht="15" hidden="false" customHeight="false" outlineLevel="0" collapsed="false">
      <c r="A40" s="4" t="s">
        <v>78</v>
      </c>
      <c r="C40" s="72" t="n">
        <f aca="false">C37+C51</f>
        <v>-73045.3098888889</v>
      </c>
      <c r="D40" s="72" t="n">
        <f aca="false">D37+D51</f>
        <v>-71745.9276105556</v>
      </c>
      <c r="E40" s="72" t="n">
        <f aca="false">E37+E51</f>
        <v>-70505.0175347472</v>
      </c>
      <c r="F40" s="72" t="n">
        <f aca="false">F37+F51</f>
        <v>-69319.9484123503</v>
      </c>
      <c r="G40" s="72" t="n">
        <f aca="false">G37+G51</f>
        <v>-68188.2074004612</v>
      </c>
      <c r="H40" s="72" t="n">
        <f aca="false">H37+H51</f>
        <v>-67107.3947341071</v>
      </c>
      <c r="I40" s="72" t="n">
        <f aca="false">I37+I51</f>
        <v>-66075.2186377389</v>
      </c>
      <c r="J40" s="72" t="n">
        <f aca="false">J37+J51</f>
        <v>-65089.4904657073</v>
      </c>
      <c r="K40" s="72" t="n">
        <f aca="false">K37+K51</f>
        <v>-64148.1200614172</v>
      </c>
      <c r="L40" s="72" t="n">
        <f aca="false">L37+L51</f>
        <v>-63249.1113253201</v>
      </c>
      <c r="M40" s="72" t="n">
        <f aca="false">M37+M51</f>
        <v>-62390.5579823473</v>
      </c>
      <c r="N40" s="72" t="n">
        <f aca="false">N37+N51</f>
        <v>-61570.6395398084</v>
      </c>
      <c r="O40" s="72" t="n">
        <f aca="false">O37+O51</f>
        <v>-97302.3160938503</v>
      </c>
      <c r="P40" s="72" t="n">
        <f aca="false">P37+P51</f>
        <v>-96329.1158696271</v>
      </c>
      <c r="Q40" s="72" t="n">
        <f aca="false">Q37+Q51</f>
        <v>-95399.7096554939</v>
      </c>
      <c r="R40" s="72" t="n">
        <f aca="false">R37+R51</f>
        <v>-94512.1267209966</v>
      </c>
      <c r="S40" s="72" t="n">
        <f aca="false">S37+S51</f>
        <v>-93664.4850185518</v>
      </c>
      <c r="T40" s="72" t="n">
        <f aca="false">T37+T51</f>
        <v>-92854.9871927169</v>
      </c>
      <c r="U40" s="72" t="n">
        <f aca="false">U37+U51</f>
        <v>-92081.9167690447</v>
      </c>
      <c r="V40" s="72" t="n">
        <f aca="false">V37+V51</f>
        <v>-91343.6345144377</v>
      </c>
      <c r="W40" s="72" t="n">
        <f aca="false">W37+W51</f>
        <v>-90638.574961288</v>
      </c>
      <c r="X40" s="72" t="n">
        <f aca="false">X37+X51</f>
        <v>-89965.24308803</v>
      </c>
      <c r="Y40" s="72" t="n">
        <f aca="false">Y37+Y51</f>
        <v>-89322.2111490687</v>
      </c>
      <c r="Z40" s="72" t="n">
        <f aca="false">Z37+Z51</f>
        <v>-88708.1156473606</v>
      </c>
      <c r="AA40" s="72" t="n">
        <f aca="false">AA37+AA51</f>
        <v>-144525.753643229</v>
      </c>
      <c r="AB40" s="72" t="n">
        <f aca="false">AB37+AB51</f>
        <v>-143700.388129284</v>
      </c>
      <c r="AC40" s="72" t="n">
        <f aca="false">AC37+AC51</f>
        <v>-142912.164063466</v>
      </c>
      <c r="AD40" s="72" t="n">
        <f aca="false">AD37+AD51</f>
        <v>-142159.41008061</v>
      </c>
      <c r="AE40" s="72" t="n">
        <f aca="false">AE37+AE51</f>
        <v>-141440.530026983</v>
      </c>
      <c r="AF40" s="72" t="n">
        <f aca="false">AF37+AF51</f>
        <v>-140753.999575769</v>
      </c>
      <c r="AG40" s="72" t="n">
        <f aca="false">AG37+AG51</f>
        <v>-140098.362994859</v>
      </c>
      <c r="AH40" s="72" t="n">
        <f aca="false">AH37+AH51</f>
        <v>-139472.23006009</v>
      </c>
      <c r="AI40" s="72" t="n">
        <f aca="false">AI37+AI51</f>
        <v>-138874.273107386</v>
      </c>
      <c r="AJ40" s="72" t="n">
        <f aca="false">AJ37+AJ51</f>
        <v>-138303.224217554</v>
      </c>
      <c r="AK40" s="72" t="n">
        <f aca="false">AK37+AK51</f>
        <v>-137757.872527764</v>
      </c>
      <c r="AL40" s="72" t="n">
        <f aca="false">AL37+AL51</f>
        <v>-137237.061664015</v>
      </c>
      <c r="AM40" s="72" t="n">
        <f aca="false">AM37+AM51</f>
        <v>-223494.605653578</v>
      </c>
      <c r="AN40" s="72" t="n">
        <f aca="false">AN37+AN51</f>
        <v>-222706.981099167</v>
      </c>
      <c r="AO40" s="72" t="n">
        <f aca="false">AO37+AO51</f>
        <v>-221954.799649705</v>
      </c>
      <c r="AP40" s="72" t="n">
        <f aca="false">AP37+AP51</f>
        <v>-221236.466365468</v>
      </c>
      <c r="AQ40" s="72" t="n">
        <f aca="false">AQ37+AQ51</f>
        <v>-220550.458079022</v>
      </c>
      <c r="AR40" s="72" t="n">
        <f aca="false">AR37+AR51</f>
        <v>-219895.320165466</v>
      </c>
      <c r="AS40" s="72" t="n">
        <f aca="false">AS37+AS51</f>
        <v>-219269.66345802</v>
      </c>
      <c r="AT40" s="72" t="n">
        <f aca="false">AT37+AT51</f>
        <v>-218672.161302409</v>
      </c>
      <c r="AU40" s="72" t="n">
        <f aca="false">AU37+AU51</f>
        <v>-218101.546743801</v>
      </c>
      <c r="AV40" s="72" t="n">
        <f aca="false">AV37+AV51</f>
        <v>-217556.60984033</v>
      </c>
      <c r="AW40" s="72" t="n">
        <f aca="false">AW37+AW51</f>
        <v>-217036.195097515</v>
      </c>
      <c r="AX40" s="72" t="n">
        <f aca="false">AX37+AX51</f>
        <v>-216539.199018127</v>
      </c>
      <c r="AY40" s="72" t="n">
        <f aca="false">AY37+AY51</f>
        <v>-351439.505714311</v>
      </c>
      <c r="AZ40" s="72" t="n">
        <f aca="false">AZ37+AZ51</f>
        <v>-350617.368688767</v>
      </c>
      <c r="BA40" s="72" t="n">
        <f aca="false">BA37+BA51</f>
        <v>-349832.227829373</v>
      </c>
      <c r="BB40" s="72" t="n">
        <f aca="false">BB37+BB51</f>
        <v>-349082.418308651</v>
      </c>
      <c r="BC40" s="72" t="n">
        <f aca="false">BC37+BC51</f>
        <v>-348366.350216362</v>
      </c>
      <c r="BD40" s="72" t="n">
        <f aca="false">BD37+BD51</f>
        <v>-347682.505188225</v>
      </c>
      <c r="BE40" s="72" t="n">
        <f aca="false">BE37+BE51</f>
        <v>-347029.433186355</v>
      </c>
      <c r="BF40" s="72" t="n">
        <f aca="false">BF37+BF51</f>
        <v>-346405.749424569</v>
      </c>
      <c r="BG40" s="72" t="n">
        <f aca="false">BG37+BG51</f>
        <v>-345810.131432064</v>
      </c>
      <c r="BH40" s="72" t="n">
        <f aca="false">BH37+BH51</f>
        <v>-345241.316249221</v>
      </c>
      <c r="BI40" s="72" t="n">
        <f aca="false">BI37+BI51</f>
        <v>-344698.097749606</v>
      </c>
      <c r="BJ40" s="72" t="n">
        <f aca="false">BJ37+BJ51</f>
        <v>-344179.324082474</v>
      </c>
    </row>
    <row r="41" customFormat="false" ht="15" hidden="false" customHeight="false" outlineLevel="0" collapsed="false">
      <c r="A41" s="6" t="s">
        <v>411</v>
      </c>
      <c r="C41" s="66" t="n">
        <f aca="false">-(C56+C57+C59)/2*Inputs!$B$48/12</f>
        <v>-0</v>
      </c>
      <c r="D41" s="66" t="n">
        <f aca="false">-(D56+D57+D59)/2*Inputs!$B$48/12</f>
        <v>-0</v>
      </c>
      <c r="E41" s="66" t="n">
        <f aca="false">-(E56+E57+E59)/2*Inputs!$B$48/12</f>
        <v>-0</v>
      </c>
      <c r="F41" s="66" t="n">
        <f aca="false">-(F56+F57+F59)/2*Inputs!$B$48/12</f>
        <v>-0</v>
      </c>
      <c r="G41" s="66" t="n">
        <f aca="false">-(G56+G57+G59)/2*Inputs!$B$48/12</f>
        <v>-0</v>
      </c>
      <c r="H41" s="66" t="n">
        <f aca="false">-(H56+H57+H59)/2*Inputs!$B$48/12</f>
        <v>-0</v>
      </c>
      <c r="I41" s="66" t="n">
        <f aca="false">-(I56+I57+I59)/2*Inputs!$B$48/12</f>
        <v>-0</v>
      </c>
      <c r="J41" s="66" t="n">
        <f aca="false">-(J56+J57+J59)/2*Inputs!$B$48/12</f>
        <v>-0</v>
      </c>
      <c r="K41" s="66" t="n">
        <f aca="false">-(K56+K57+K59)/2*Inputs!$B$48/12</f>
        <v>-0</v>
      </c>
      <c r="L41" s="66" t="n">
        <f aca="false">-(L56+L57+L59)/2*Inputs!$B$48/12</f>
        <v>-0</v>
      </c>
      <c r="M41" s="66" t="n">
        <f aca="false">-(M56+M57+M59)/2*Inputs!$B$48/12</f>
        <v>-0</v>
      </c>
      <c r="N41" s="66" t="n">
        <f aca="false">-(N56+N57+N59)/2*Inputs!$B$48/12</f>
        <v>-0</v>
      </c>
      <c r="O41" s="66" t="n">
        <f aca="false">-(O56+O57+O59)/2*Inputs!$B$48/12</f>
        <v>-0</v>
      </c>
      <c r="P41" s="66" t="n">
        <f aca="false">-(P56+P57+P59)/2*Inputs!$B$48/12</f>
        <v>-0</v>
      </c>
      <c r="Q41" s="66" t="n">
        <f aca="false">-(Q56+Q57+Q59)/2*Inputs!$B$48/12</f>
        <v>-0</v>
      </c>
      <c r="R41" s="66" t="n">
        <f aca="false">-(R56+R57+R59)/2*Inputs!$B$48/12</f>
        <v>-0</v>
      </c>
      <c r="S41" s="66" t="n">
        <f aca="false">-(S56+S57+S59)/2*Inputs!$B$48/12</f>
        <v>-0</v>
      </c>
      <c r="T41" s="66" t="n">
        <f aca="false">-(T56+T57+T59)/2*Inputs!$B$48/12</f>
        <v>-0</v>
      </c>
      <c r="U41" s="66" t="n">
        <f aca="false">-(U56+U57+U59)/2*Inputs!$B$48/12</f>
        <v>-0</v>
      </c>
      <c r="V41" s="66" t="n">
        <f aca="false">-(V56+V57+V59)/2*Inputs!$B$48/12</f>
        <v>-0</v>
      </c>
      <c r="W41" s="66" t="n">
        <f aca="false">-(W56+W57+W59)/2*Inputs!$B$48/12</f>
        <v>-0</v>
      </c>
      <c r="X41" s="66" t="n">
        <f aca="false">-(X56+X57+X59)/2*Inputs!$B$48/12</f>
        <v>-0</v>
      </c>
      <c r="Y41" s="66" t="n">
        <f aca="false">-(Y56+Y57+Y59)/2*Inputs!$B$48/12</f>
        <v>-0</v>
      </c>
      <c r="Z41" s="66" t="n">
        <f aca="false">-(Z56+Z57+Z59)/2*Inputs!$B$48/12</f>
        <v>-0</v>
      </c>
      <c r="AA41" s="66" t="n">
        <f aca="false">-(AA56+AA57+AA59)/2*Inputs!$B$48/12</f>
        <v>-0</v>
      </c>
      <c r="AB41" s="66" t="n">
        <f aca="false">-(AB56+AB57+AB59)/2*Inputs!$B$48/12</f>
        <v>-0</v>
      </c>
      <c r="AC41" s="66" t="n">
        <f aca="false">-(AC56+AC57+AC59)/2*Inputs!$B$48/12</f>
        <v>-0</v>
      </c>
      <c r="AD41" s="66" t="n">
        <f aca="false">-(AD56+AD57+AD59)/2*Inputs!$B$48/12</f>
        <v>-0</v>
      </c>
      <c r="AE41" s="66" t="n">
        <f aca="false">-(AE56+AE57+AE59)/2*Inputs!$B$48/12</f>
        <v>-0</v>
      </c>
      <c r="AF41" s="66" t="n">
        <f aca="false">-(AF56+AF57+AF59)/2*Inputs!$B$48/12</f>
        <v>-0</v>
      </c>
      <c r="AG41" s="66" t="n">
        <f aca="false">-(AG56+AG57+AG59)/2*Inputs!$B$48/12</f>
        <v>-0</v>
      </c>
      <c r="AH41" s="66" t="n">
        <f aca="false">-(AH56+AH57+AH59)/2*Inputs!$B$48/12</f>
        <v>-0</v>
      </c>
      <c r="AI41" s="66" t="n">
        <f aca="false">-(AI56+AI57+AI59)/2*Inputs!$B$48/12</f>
        <v>-0</v>
      </c>
      <c r="AJ41" s="66" t="n">
        <f aca="false">-(AJ56+AJ57+AJ59)/2*Inputs!$B$48/12</f>
        <v>-0</v>
      </c>
      <c r="AK41" s="66" t="n">
        <f aca="false">-(AK56+AK57+AK59)/2*Inputs!$B$48/12</f>
        <v>-0</v>
      </c>
      <c r="AL41" s="66" t="n">
        <f aca="false">-(AL56+AL57+AL59)/2*Inputs!$B$48/12</f>
        <v>-0</v>
      </c>
      <c r="AM41" s="66" t="n">
        <f aca="false">-(AM56+AM57+AM59)/2*Inputs!$B$48/12</f>
        <v>-0</v>
      </c>
      <c r="AN41" s="66" t="n">
        <f aca="false">-(AN56+AN57+AN59)/2*Inputs!$B$48/12</f>
        <v>-0</v>
      </c>
      <c r="AO41" s="66" t="n">
        <f aca="false">-(AO56+AO57+AO59)/2*Inputs!$B$48/12</f>
        <v>-0</v>
      </c>
      <c r="AP41" s="66" t="n">
        <f aca="false">-(AP56+AP57+AP59)/2*Inputs!$B$48/12</f>
        <v>-0</v>
      </c>
      <c r="AQ41" s="66" t="n">
        <f aca="false">-(AQ56+AQ57+AQ59)/2*Inputs!$B$48/12</f>
        <v>-0</v>
      </c>
      <c r="AR41" s="66" t="n">
        <f aca="false">-(AR56+AR57+AR59)/2*Inputs!$B$48/12</f>
        <v>-0</v>
      </c>
      <c r="AS41" s="66" t="n">
        <f aca="false">-(AS56+AS57+AS59)/2*Inputs!$B$48/12</f>
        <v>-0</v>
      </c>
      <c r="AT41" s="66" t="n">
        <f aca="false">-(AT56+AT57+AT59)/2*Inputs!$B$48/12</f>
        <v>-0</v>
      </c>
      <c r="AU41" s="66" t="n">
        <f aca="false">-(AU56+AU57+AU59)/2*Inputs!$B$48/12</f>
        <v>-0</v>
      </c>
      <c r="AV41" s="66" t="n">
        <f aca="false">-(AV56+AV57+AV59)/2*Inputs!$B$48/12</f>
        <v>-0</v>
      </c>
      <c r="AW41" s="66" t="n">
        <f aca="false">-(AW56+AW57+AW59)/2*Inputs!$B$48/12</f>
        <v>-0</v>
      </c>
      <c r="AX41" s="66" t="n">
        <f aca="false">-(AX56+AX57+AX59)/2*Inputs!$B$48/12</f>
        <v>-0</v>
      </c>
      <c r="AY41" s="66" t="n">
        <f aca="false">-(AY56+AY57+AY59)/2*Inputs!$B$48/12</f>
        <v>-0</v>
      </c>
      <c r="AZ41" s="66" t="n">
        <f aca="false">-(AZ56+AZ57+AZ59)/2*Inputs!$B$48/12</f>
        <v>-0</v>
      </c>
      <c r="BA41" s="66" t="n">
        <f aca="false">-(BA56+BA57+BA59)/2*Inputs!$B$48/12</f>
        <v>-0</v>
      </c>
      <c r="BB41" s="66" t="n">
        <f aca="false">-(BB56+BB57+BB59)/2*Inputs!$B$48/12</f>
        <v>-0</v>
      </c>
      <c r="BC41" s="66" t="n">
        <f aca="false">-(BC56+BC57+BC59)/2*Inputs!$B$48/12</f>
        <v>-0</v>
      </c>
      <c r="BD41" s="66" t="n">
        <f aca="false">-(BD56+BD57+BD59)/2*Inputs!$B$48/12</f>
        <v>-0</v>
      </c>
      <c r="BE41" s="66" t="n">
        <f aca="false">-(BE56+BE57+BE59)/2*Inputs!$B$48/12</f>
        <v>-0</v>
      </c>
      <c r="BF41" s="66" t="n">
        <f aca="false">-(BF56+BF57+BF59)/2*Inputs!$B$48/12</f>
        <v>-0</v>
      </c>
      <c r="BG41" s="66" t="n">
        <f aca="false">-(BG56+BG57+BG59)/2*Inputs!$B$48/12</f>
        <v>-0</v>
      </c>
      <c r="BH41" s="66" t="n">
        <f aca="false">-(BH56+BH57+BH59)/2*Inputs!$B$48/12</f>
        <v>-0</v>
      </c>
      <c r="BI41" s="66" t="n">
        <f aca="false">-(BI56+BI57+BI59)/2*Inputs!$B$48/12</f>
        <v>-0</v>
      </c>
      <c r="BJ41" s="66" t="n">
        <f aca="false">-(BJ56+BJ57+BJ59)/2*Inputs!$B$48/12</f>
        <v>-0</v>
      </c>
    </row>
    <row r="42" customFormat="false" ht="15" hidden="false" customHeight="false" outlineLevel="0" collapsed="false">
      <c r="A42" s="111" t="s">
        <v>80</v>
      </c>
      <c r="C42" s="67" t="n">
        <f aca="false">C40+C41</f>
        <v>-73045.3098888889</v>
      </c>
      <c r="D42" s="67" t="n">
        <f aca="false">D40+D41</f>
        <v>-71745.9276105556</v>
      </c>
      <c r="E42" s="67" t="n">
        <f aca="false">E40+E41</f>
        <v>-70505.0175347472</v>
      </c>
      <c r="F42" s="67" t="n">
        <f aca="false">F40+F41</f>
        <v>-69319.9484123503</v>
      </c>
      <c r="G42" s="67" t="n">
        <f aca="false">G40+G41</f>
        <v>-68188.2074004612</v>
      </c>
      <c r="H42" s="67" t="n">
        <f aca="false">H40+H41</f>
        <v>-67107.3947341071</v>
      </c>
      <c r="I42" s="67" t="n">
        <f aca="false">I40+I41</f>
        <v>-66075.2186377389</v>
      </c>
      <c r="J42" s="67" t="n">
        <f aca="false">J40+J41</f>
        <v>-65089.4904657073</v>
      </c>
      <c r="K42" s="67" t="n">
        <f aca="false">K40+K41</f>
        <v>-64148.1200614172</v>
      </c>
      <c r="L42" s="67" t="n">
        <f aca="false">L40+L41</f>
        <v>-63249.1113253201</v>
      </c>
      <c r="M42" s="67" t="n">
        <f aca="false">M40+M41</f>
        <v>-62390.5579823473</v>
      </c>
      <c r="N42" s="67" t="n">
        <f aca="false">N40+N41</f>
        <v>-61570.6395398084</v>
      </c>
      <c r="O42" s="67" t="n">
        <f aca="false">O40+O41</f>
        <v>-97302.3160938503</v>
      </c>
      <c r="P42" s="67" t="n">
        <f aca="false">P40+P41</f>
        <v>-96329.1158696271</v>
      </c>
      <c r="Q42" s="67" t="n">
        <f aca="false">Q40+Q41</f>
        <v>-95399.7096554939</v>
      </c>
      <c r="R42" s="67" t="n">
        <f aca="false">R40+R41</f>
        <v>-94512.1267209966</v>
      </c>
      <c r="S42" s="67" t="n">
        <f aca="false">S40+S41</f>
        <v>-93664.4850185518</v>
      </c>
      <c r="T42" s="67" t="n">
        <f aca="false">T40+T41</f>
        <v>-92854.9871927169</v>
      </c>
      <c r="U42" s="67" t="n">
        <f aca="false">U40+U41</f>
        <v>-92081.9167690447</v>
      </c>
      <c r="V42" s="67" t="n">
        <f aca="false">V40+V41</f>
        <v>-91343.6345144377</v>
      </c>
      <c r="W42" s="67" t="n">
        <f aca="false">W40+W41</f>
        <v>-90638.574961288</v>
      </c>
      <c r="X42" s="67" t="n">
        <f aca="false">X40+X41</f>
        <v>-89965.24308803</v>
      </c>
      <c r="Y42" s="67" t="n">
        <f aca="false">Y40+Y41</f>
        <v>-89322.2111490687</v>
      </c>
      <c r="Z42" s="67" t="n">
        <f aca="false">Z40+Z41</f>
        <v>-88708.1156473606</v>
      </c>
      <c r="AA42" s="67" t="n">
        <f aca="false">AA40+AA41</f>
        <v>-144525.753643229</v>
      </c>
      <c r="AB42" s="67" t="n">
        <f aca="false">AB40+AB41</f>
        <v>-143700.388129284</v>
      </c>
      <c r="AC42" s="67" t="n">
        <f aca="false">AC40+AC41</f>
        <v>-142912.164063466</v>
      </c>
      <c r="AD42" s="67" t="n">
        <f aca="false">AD40+AD41</f>
        <v>-142159.41008061</v>
      </c>
      <c r="AE42" s="67" t="n">
        <f aca="false">AE40+AE41</f>
        <v>-141440.530026983</v>
      </c>
      <c r="AF42" s="67" t="n">
        <f aca="false">AF40+AF41</f>
        <v>-140753.999575769</v>
      </c>
      <c r="AG42" s="67" t="n">
        <f aca="false">AG40+AG41</f>
        <v>-140098.362994859</v>
      </c>
      <c r="AH42" s="67" t="n">
        <f aca="false">AH40+AH41</f>
        <v>-139472.23006009</v>
      </c>
      <c r="AI42" s="67" t="n">
        <f aca="false">AI40+AI41</f>
        <v>-138874.273107386</v>
      </c>
      <c r="AJ42" s="67" t="n">
        <f aca="false">AJ40+AJ41</f>
        <v>-138303.224217554</v>
      </c>
      <c r="AK42" s="67" t="n">
        <f aca="false">AK40+AK41</f>
        <v>-137757.872527764</v>
      </c>
      <c r="AL42" s="67" t="n">
        <f aca="false">AL40+AL41</f>
        <v>-137237.061664015</v>
      </c>
      <c r="AM42" s="67" t="n">
        <f aca="false">AM40+AM41</f>
        <v>-223494.605653578</v>
      </c>
      <c r="AN42" s="67" t="n">
        <f aca="false">AN40+AN41</f>
        <v>-222706.981099167</v>
      </c>
      <c r="AO42" s="67" t="n">
        <f aca="false">AO40+AO41</f>
        <v>-221954.799649705</v>
      </c>
      <c r="AP42" s="67" t="n">
        <f aca="false">AP40+AP41</f>
        <v>-221236.466365468</v>
      </c>
      <c r="AQ42" s="67" t="n">
        <f aca="false">AQ40+AQ41</f>
        <v>-220550.458079022</v>
      </c>
      <c r="AR42" s="67" t="n">
        <f aca="false">AR40+AR41</f>
        <v>-219895.320165466</v>
      </c>
      <c r="AS42" s="67" t="n">
        <f aca="false">AS40+AS41</f>
        <v>-219269.66345802</v>
      </c>
      <c r="AT42" s="67" t="n">
        <f aca="false">AT40+AT41</f>
        <v>-218672.161302409</v>
      </c>
      <c r="AU42" s="67" t="n">
        <f aca="false">AU40+AU41</f>
        <v>-218101.546743801</v>
      </c>
      <c r="AV42" s="67" t="n">
        <f aca="false">AV40+AV41</f>
        <v>-217556.60984033</v>
      </c>
      <c r="AW42" s="67" t="n">
        <f aca="false">AW40+AW41</f>
        <v>-217036.195097515</v>
      </c>
      <c r="AX42" s="67" t="n">
        <f aca="false">AX40+AX41</f>
        <v>-216539.199018127</v>
      </c>
      <c r="AY42" s="67" t="n">
        <f aca="false">AY40+AY41</f>
        <v>-351439.505714311</v>
      </c>
      <c r="AZ42" s="67" t="n">
        <f aca="false">AZ40+AZ41</f>
        <v>-350617.368688767</v>
      </c>
      <c r="BA42" s="67" t="n">
        <f aca="false">BA40+BA41</f>
        <v>-349832.227829373</v>
      </c>
      <c r="BB42" s="67" t="n">
        <f aca="false">BB40+BB41</f>
        <v>-349082.418308651</v>
      </c>
      <c r="BC42" s="67" t="n">
        <f aca="false">BC40+BC41</f>
        <v>-348366.350216362</v>
      </c>
      <c r="BD42" s="67" t="n">
        <f aca="false">BD40+BD41</f>
        <v>-347682.505188225</v>
      </c>
      <c r="BE42" s="67" t="n">
        <f aca="false">BE40+BE41</f>
        <v>-347029.433186355</v>
      </c>
      <c r="BF42" s="67" t="n">
        <f aca="false">BF40+BF41</f>
        <v>-346405.749424569</v>
      </c>
      <c r="BG42" s="67" t="n">
        <f aca="false">BG40+BG41</f>
        <v>-345810.131432064</v>
      </c>
      <c r="BH42" s="67" t="n">
        <f aca="false">BH40+BH41</f>
        <v>-345241.316249221</v>
      </c>
      <c r="BI42" s="67" t="n">
        <f aca="false">BI40+BI41</f>
        <v>-344698.097749606</v>
      </c>
      <c r="BJ42" s="67" t="n">
        <f aca="false">BJ40+BJ41</f>
        <v>-344179.324082474</v>
      </c>
    </row>
    <row r="43" customFormat="false" ht="15" hidden="false" customHeight="false" outlineLevel="0" collapsed="false">
      <c r="A43" s="119" t="s">
        <v>412</v>
      </c>
      <c r="C43" s="66" t="n">
        <f aca="false">C42</f>
        <v>-73045.3098888889</v>
      </c>
      <c r="D43" s="66" t="n">
        <f aca="false">C43+D42</f>
        <v>-144791.237499444</v>
      </c>
      <c r="E43" s="66" t="n">
        <f aca="false">D43+E42</f>
        <v>-215296.255034192</v>
      </c>
      <c r="F43" s="66" t="n">
        <f aca="false">E43+F42</f>
        <v>-284616.203446542</v>
      </c>
      <c r="G43" s="66" t="n">
        <f aca="false">F43+G42</f>
        <v>-352804.410847003</v>
      </c>
      <c r="H43" s="66" t="n">
        <f aca="false">G43+H42</f>
        <v>-419911.80558111</v>
      </c>
      <c r="I43" s="66" t="n">
        <f aca="false">H43+I42</f>
        <v>-485987.024218849</v>
      </c>
      <c r="J43" s="66" t="n">
        <f aca="false">I43+J42</f>
        <v>-551076.514684557</v>
      </c>
      <c r="K43" s="66" t="n">
        <f aca="false">J43+K42</f>
        <v>-615224.634745974</v>
      </c>
      <c r="L43" s="66" t="n">
        <f aca="false">K43+L42</f>
        <v>-678473.746071294</v>
      </c>
      <c r="M43" s="66" t="n">
        <f aca="false">L43+M42</f>
        <v>-740864.304053641</v>
      </c>
      <c r="N43" s="66" t="n">
        <f aca="false">M43+N42</f>
        <v>-802434.94359345</v>
      </c>
      <c r="O43" s="66" t="n">
        <f aca="false">N43+O42</f>
        <v>-899737.2596873</v>
      </c>
      <c r="P43" s="66" t="n">
        <f aca="false">O43+P42</f>
        <v>-996066.375556927</v>
      </c>
      <c r="Q43" s="66" t="n">
        <f aca="false">P43+Q42</f>
        <v>-1091466.08521242</v>
      </c>
      <c r="R43" s="66" t="n">
        <f aca="false">Q43+R42</f>
        <v>-1185978.21193342</v>
      </c>
      <c r="S43" s="66" t="n">
        <f aca="false">R43+S42</f>
        <v>-1279642.69695197</v>
      </c>
      <c r="T43" s="66" t="n">
        <f aca="false">S43+T42</f>
        <v>-1372497.68414469</v>
      </c>
      <c r="U43" s="66" t="n">
        <f aca="false">T43+U42</f>
        <v>-1464579.60091373</v>
      </c>
      <c r="V43" s="66" t="n">
        <f aca="false">U43+V42</f>
        <v>-1555923.23542817</v>
      </c>
      <c r="W43" s="66" t="n">
        <f aca="false">V43+W42</f>
        <v>-1646561.81038946</v>
      </c>
      <c r="X43" s="66" t="n">
        <f aca="false">W43+X42</f>
        <v>-1736527.05347749</v>
      </c>
      <c r="Y43" s="66" t="n">
        <f aca="false">X43+Y42</f>
        <v>-1825849.26462656</v>
      </c>
      <c r="Z43" s="66" t="n">
        <f aca="false">Y43+Z42</f>
        <v>-1914557.38027392</v>
      </c>
      <c r="AA43" s="66" t="n">
        <f aca="false">Z43+AA42</f>
        <v>-2059083.13391715</v>
      </c>
      <c r="AB43" s="66" t="n">
        <f aca="false">AA43+AB42</f>
        <v>-2202783.52204643</v>
      </c>
      <c r="AC43" s="66" t="n">
        <f aca="false">AB43+AC42</f>
        <v>-2345695.6861099</v>
      </c>
      <c r="AD43" s="66" t="n">
        <f aca="false">AC43+AD42</f>
        <v>-2487855.09619051</v>
      </c>
      <c r="AE43" s="66" t="n">
        <f aca="false">AD43+AE42</f>
        <v>-2629295.62621749</v>
      </c>
      <c r="AF43" s="66" t="n">
        <f aca="false">AE43+AF42</f>
        <v>-2770049.62579326</v>
      </c>
      <c r="AG43" s="66" t="n">
        <f aca="false">AF43+AG42</f>
        <v>-2910147.98878812</v>
      </c>
      <c r="AH43" s="66" t="n">
        <f aca="false">AG43+AH42</f>
        <v>-3049620.21884821</v>
      </c>
      <c r="AI43" s="66" t="n">
        <f aca="false">AH43+AI42</f>
        <v>-3188494.49195559</v>
      </c>
      <c r="AJ43" s="66" t="n">
        <f aca="false">AI43+AJ42</f>
        <v>-3326797.71617315</v>
      </c>
      <c r="AK43" s="66" t="n">
        <f aca="false">AJ43+AK42</f>
        <v>-3464555.58870091</v>
      </c>
      <c r="AL43" s="66" t="n">
        <f aca="false">AK43+AL42</f>
        <v>-3601792.65036493</v>
      </c>
      <c r="AM43" s="66" t="n">
        <f aca="false">AL43+AM42</f>
        <v>-3825287.2560185</v>
      </c>
      <c r="AN43" s="66" t="n">
        <f aca="false">AM43+AN42</f>
        <v>-4047994.23711767</v>
      </c>
      <c r="AO43" s="66" t="n">
        <f aca="false">AN43+AO42</f>
        <v>-4269949.03676738</v>
      </c>
      <c r="AP43" s="66" t="n">
        <f aca="false">AO43+AP42</f>
        <v>-4491185.50313284</v>
      </c>
      <c r="AQ43" s="66" t="n">
        <f aca="false">AP43+AQ42</f>
        <v>-4711735.96121187</v>
      </c>
      <c r="AR43" s="66" t="n">
        <f aca="false">AQ43+AR42</f>
        <v>-4931631.28137733</v>
      </c>
      <c r="AS43" s="66" t="n">
        <f aca="false">AR43+AS42</f>
        <v>-5150900.94483535</v>
      </c>
      <c r="AT43" s="66" t="n">
        <f aca="false">AS43+AT42</f>
        <v>-5369573.10613776</v>
      </c>
      <c r="AU43" s="66" t="n">
        <f aca="false">AT43+AU42</f>
        <v>-5587674.65288156</v>
      </c>
      <c r="AV43" s="66" t="n">
        <f aca="false">AU43+AV42</f>
        <v>-5805231.26272189</v>
      </c>
      <c r="AW43" s="66" t="n">
        <f aca="false">AV43+AW42</f>
        <v>-6022267.45781941</v>
      </c>
      <c r="AX43" s="66" t="n">
        <f aca="false">AW43+AX42</f>
        <v>-6238806.65683754</v>
      </c>
      <c r="AY43" s="66" t="n">
        <f aca="false">AX43+AY42</f>
        <v>-6590246.16255185</v>
      </c>
      <c r="AZ43" s="66" t="n">
        <f aca="false">AY43+AZ42</f>
        <v>-6940863.53124061</v>
      </c>
      <c r="BA43" s="66" t="n">
        <f aca="false">AZ43+BA42</f>
        <v>-7290695.75906999</v>
      </c>
      <c r="BB43" s="66" t="n">
        <f aca="false">BA43+BB42</f>
        <v>-7639778.17737864</v>
      </c>
      <c r="BC43" s="66" t="n">
        <f aca="false">BB43+BC42</f>
        <v>-7988144.527595</v>
      </c>
      <c r="BD43" s="66" t="n">
        <f aca="false">BC43+BD42</f>
        <v>-8335827.03278322</v>
      </c>
      <c r="BE43" s="66" t="n">
        <f aca="false">BD43+BE42</f>
        <v>-8682856.46596958</v>
      </c>
      <c r="BF43" s="66" t="n">
        <f aca="false">BE43+BF42</f>
        <v>-9029262.21539415</v>
      </c>
      <c r="BG43" s="66" t="n">
        <f aca="false">BF43+BG42</f>
        <v>-9375072.34682621</v>
      </c>
      <c r="BH43" s="66" t="n">
        <f aca="false">BG43+BH42</f>
        <v>-9720313.66307543</v>
      </c>
      <c r="BI43" s="66" t="n">
        <f aca="false">BH43+BI42</f>
        <v>-10065011.760825</v>
      </c>
      <c r="BJ43" s="66" t="n">
        <f aca="false">BI43+BJ42</f>
        <v>-10409191.0849075</v>
      </c>
    </row>
    <row r="44" customFormat="false" ht="15" hidden="false" customHeight="false" outlineLevel="0" collapsed="false">
      <c r="A44" s="119" t="s">
        <v>413</v>
      </c>
      <c r="C44" s="66" t="n">
        <f aca="false">MAX(0,C43)</f>
        <v>0</v>
      </c>
      <c r="D44" s="66" t="n">
        <f aca="false">MAX(C44,D43)</f>
        <v>0</v>
      </c>
      <c r="E44" s="66" t="n">
        <f aca="false">MAX(D44,E43)</f>
        <v>0</v>
      </c>
      <c r="F44" s="66" t="n">
        <f aca="false">MAX(E44,F43)</f>
        <v>0</v>
      </c>
      <c r="G44" s="66" t="n">
        <f aca="false">MAX(F44,G43)</f>
        <v>0</v>
      </c>
      <c r="H44" s="66" t="n">
        <f aca="false">MAX(G44,H43)</f>
        <v>0</v>
      </c>
      <c r="I44" s="66" t="n">
        <f aca="false">MAX(H44,I43)</f>
        <v>0</v>
      </c>
      <c r="J44" s="66" t="n">
        <f aca="false">MAX(I44,J43)</f>
        <v>0</v>
      </c>
      <c r="K44" s="66" t="n">
        <f aca="false">MAX(J44,K43)</f>
        <v>0</v>
      </c>
      <c r="L44" s="66" t="n">
        <f aca="false">MAX(K44,L43)</f>
        <v>0</v>
      </c>
      <c r="M44" s="66" t="n">
        <f aca="false">MAX(L44,M43)</f>
        <v>0</v>
      </c>
      <c r="N44" s="66" t="n">
        <f aca="false">MAX(M44,N43)</f>
        <v>0</v>
      </c>
      <c r="O44" s="66" t="n">
        <f aca="false">MAX(N44,O43)</f>
        <v>0</v>
      </c>
      <c r="P44" s="66" t="n">
        <f aca="false">MAX(O44,P43)</f>
        <v>0</v>
      </c>
      <c r="Q44" s="66" t="n">
        <f aca="false">MAX(P44,Q43)</f>
        <v>0</v>
      </c>
      <c r="R44" s="66" t="n">
        <f aca="false">MAX(Q44,R43)</f>
        <v>0</v>
      </c>
      <c r="S44" s="66" t="n">
        <f aca="false">MAX(R44,S43)</f>
        <v>0</v>
      </c>
      <c r="T44" s="66" t="n">
        <f aca="false">MAX(S44,T43)</f>
        <v>0</v>
      </c>
      <c r="U44" s="66" t="n">
        <f aca="false">MAX(T44,U43)</f>
        <v>0</v>
      </c>
      <c r="V44" s="66" t="n">
        <f aca="false">MAX(U44,V43)</f>
        <v>0</v>
      </c>
      <c r="W44" s="66" t="n">
        <f aca="false">MAX(V44,W43)</f>
        <v>0</v>
      </c>
      <c r="X44" s="66" t="n">
        <f aca="false">MAX(W44,X43)</f>
        <v>0</v>
      </c>
      <c r="Y44" s="66" t="n">
        <f aca="false">MAX(X44,Y43)</f>
        <v>0</v>
      </c>
      <c r="Z44" s="66" t="n">
        <f aca="false">MAX(Y44,Z43)</f>
        <v>0</v>
      </c>
      <c r="AA44" s="66" t="n">
        <f aca="false">MAX(Z44,AA43)</f>
        <v>0</v>
      </c>
      <c r="AB44" s="66" t="n">
        <f aca="false">MAX(AA44,AB43)</f>
        <v>0</v>
      </c>
      <c r="AC44" s="66" t="n">
        <f aca="false">MAX(AB44,AC43)</f>
        <v>0</v>
      </c>
      <c r="AD44" s="66" t="n">
        <f aca="false">MAX(AC44,AD43)</f>
        <v>0</v>
      </c>
      <c r="AE44" s="66" t="n">
        <f aca="false">MAX(AD44,AE43)</f>
        <v>0</v>
      </c>
      <c r="AF44" s="66" t="n">
        <f aca="false">MAX(AE44,AF43)</f>
        <v>0</v>
      </c>
      <c r="AG44" s="66" t="n">
        <f aca="false">MAX(AF44,AG43)</f>
        <v>0</v>
      </c>
      <c r="AH44" s="66" t="n">
        <f aca="false">MAX(AG44,AH43)</f>
        <v>0</v>
      </c>
      <c r="AI44" s="66" t="n">
        <f aca="false">MAX(AH44,AI43)</f>
        <v>0</v>
      </c>
      <c r="AJ44" s="66" t="n">
        <f aca="false">MAX(AI44,AJ43)</f>
        <v>0</v>
      </c>
      <c r="AK44" s="66" t="n">
        <f aca="false">MAX(AJ44,AK43)</f>
        <v>0</v>
      </c>
      <c r="AL44" s="66" t="n">
        <f aca="false">MAX(AK44,AL43)</f>
        <v>0</v>
      </c>
      <c r="AM44" s="66" t="n">
        <f aca="false">MAX(AL44,AM43)</f>
        <v>0</v>
      </c>
      <c r="AN44" s="66" t="n">
        <f aca="false">MAX(AM44,AN43)</f>
        <v>0</v>
      </c>
      <c r="AO44" s="66" t="n">
        <f aca="false">MAX(AN44,AO43)</f>
        <v>0</v>
      </c>
      <c r="AP44" s="66" t="n">
        <f aca="false">MAX(AO44,AP43)</f>
        <v>0</v>
      </c>
      <c r="AQ44" s="66" t="n">
        <f aca="false">MAX(AP44,AQ43)</f>
        <v>0</v>
      </c>
      <c r="AR44" s="66" t="n">
        <f aca="false">MAX(AQ44,AR43)</f>
        <v>0</v>
      </c>
      <c r="AS44" s="66" t="n">
        <f aca="false">MAX(AR44,AS43)</f>
        <v>0</v>
      </c>
      <c r="AT44" s="66" t="n">
        <f aca="false">MAX(AS44,AT43)</f>
        <v>0</v>
      </c>
      <c r="AU44" s="66" t="n">
        <f aca="false">MAX(AT44,AU43)</f>
        <v>0</v>
      </c>
      <c r="AV44" s="66" t="n">
        <f aca="false">MAX(AU44,AV43)</f>
        <v>0</v>
      </c>
      <c r="AW44" s="66" t="n">
        <f aca="false">MAX(AV44,AW43)</f>
        <v>0</v>
      </c>
      <c r="AX44" s="66" t="n">
        <f aca="false">MAX(AW44,AX43)</f>
        <v>0</v>
      </c>
      <c r="AY44" s="66" t="n">
        <f aca="false">MAX(AX44,AY43)</f>
        <v>0</v>
      </c>
      <c r="AZ44" s="66" t="n">
        <f aca="false">MAX(AY44,AZ43)</f>
        <v>0</v>
      </c>
      <c r="BA44" s="66" t="n">
        <f aca="false">MAX(AZ44,BA43)</f>
        <v>0</v>
      </c>
      <c r="BB44" s="66" t="n">
        <f aca="false">MAX(BA44,BB43)</f>
        <v>0</v>
      </c>
      <c r="BC44" s="66" t="n">
        <f aca="false">MAX(BB44,BC43)</f>
        <v>0</v>
      </c>
      <c r="BD44" s="66" t="n">
        <f aca="false">MAX(BC44,BD43)</f>
        <v>0</v>
      </c>
      <c r="BE44" s="66" t="n">
        <f aca="false">MAX(BD44,BE43)</f>
        <v>0</v>
      </c>
      <c r="BF44" s="66" t="n">
        <f aca="false">MAX(BE44,BF43)</f>
        <v>0</v>
      </c>
      <c r="BG44" s="66" t="n">
        <f aca="false">MAX(BF44,BG43)</f>
        <v>0</v>
      </c>
      <c r="BH44" s="66" t="n">
        <f aca="false">MAX(BG44,BH43)</f>
        <v>0</v>
      </c>
      <c r="BI44" s="66" t="n">
        <f aca="false">MAX(BH44,BI43)</f>
        <v>0</v>
      </c>
      <c r="BJ44" s="66" t="n">
        <f aca="false">MAX(BI44,BJ43)</f>
        <v>0</v>
      </c>
    </row>
    <row r="45" customFormat="false" ht="15" hidden="false" customHeight="false" outlineLevel="0" collapsed="false">
      <c r="A45" s="6" t="s">
        <v>81</v>
      </c>
      <c r="C45" s="66" t="n">
        <f aca="false">-C44*Inputs!$B$58</f>
        <v>-0</v>
      </c>
      <c r="D45" s="66" t="n">
        <f aca="false">-(D44-C44)*Inputs!$B$58</f>
        <v>-0</v>
      </c>
      <c r="E45" s="66" t="n">
        <f aca="false">-(E44-D44)*Inputs!$B$58</f>
        <v>-0</v>
      </c>
      <c r="F45" s="66" t="n">
        <f aca="false">-(F44-E44)*Inputs!$B$58</f>
        <v>-0</v>
      </c>
      <c r="G45" s="66" t="n">
        <f aca="false">-(G44-F44)*Inputs!$B$58</f>
        <v>-0</v>
      </c>
      <c r="H45" s="66" t="n">
        <f aca="false">-(H44-G44)*Inputs!$B$58</f>
        <v>-0</v>
      </c>
      <c r="I45" s="66" t="n">
        <f aca="false">-(I44-H44)*Inputs!$B$58</f>
        <v>-0</v>
      </c>
      <c r="J45" s="66" t="n">
        <f aca="false">-(J44-I44)*Inputs!$B$58</f>
        <v>-0</v>
      </c>
      <c r="K45" s="66" t="n">
        <f aca="false">-(K44-J44)*Inputs!$B$58</f>
        <v>-0</v>
      </c>
      <c r="L45" s="66" t="n">
        <f aca="false">-(L44-K44)*Inputs!$B$58</f>
        <v>-0</v>
      </c>
      <c r="M45" s="66" t="n">
        <f aca="false">-(M44-L44)*Inputs!$B$58</f>
        <v>-0</v>
      </c>
      <c r="N45" s="66" t="n">
        <f aca="false">-(N44-M44)*Inputs!$B$58</f>
        <v>-0</v>
      </c>
      <c r="O45" s="66" t="n">
        <f aca="false">-(O44-N44)*Inputs!$B$58</f>
        <v>-0</v>
      </c>
      <c r="P45" s="66" t="n">
        <f aca="false">-(P44-O44)*Inputs!$B$58</f>
        <v>-0</v>
      </c>
      <c r="Q45" s="66" t="n">
        <f aca="false">-(Q44-P44)*Inputs!$B$58</f>
        <v>-0</v>
      </c>
      <c r="R45" s="66" t="n">
        <f aca="false">-(R44-Q44)*Inputs!$B$58</f>
        <v>-0</v>
      </c>
      <c r="S45" s="66" t="n">
        <f aca="false">-(S44-R44)*Inputs!$B$58</f>
        <v>-0</v>
      </c>
      <c r="T45" s="66" t="n">
        <f aca="false">-(T44-S44)*Inputs!$B$58</f>
        <v>-0</v>
      </c>
      <c r="U45" s="66" t="n">
        <f aca="false">-(U44-T44)*Inputs!$B$58</f>
        <v>-0</v>
      </c>
      <c r="V45" s="66" t="n">
        <f aca="false">-(V44-U44)*Inputs!$B$58</f>
        <v>-0</v>
      </c>
      <c r="W45" s="66" t="n">
        <f aca="false">-(W44-V44)*Inputs!$B$58</f>
        <v>-0</v>
      </c>
      <c r="X45" s="66" t="n">
        <f aca="false">-(X44-W44)*Inputs!$B$58</f>
        <v>-0</v>
      </c>
      <c r="Y45" s="66" t="n">
        <f aca="false">-(Y44-X44)*Inputs!$B$58</f>
        <v>-0</v>
      </c>
      <c r="Z45" s="66" t="n">
        <f aca="false">-(Z44-Y44)*Inputs!$B$58</f>
        <v>-0</v>
      </c>
      <c r="AA45" s="66" t="n">
        <f aca="false">-(AA44-Z44)*Inputs!$B$58</f>
        <v>-0</v>
      </c>
      <c r="AB45" s="66" t="n">
        <f aca="false">-(AB44-AA44)*Inputs!$B$58</f>
        <v>-0</v>
      </c>
      <c r="AC45" s="66" t="n">
        <f aca="false">-(AC44-AB44)*Inputs!$B$58</f>
        <v>-0</v>
      </c>
      <c r="AD45" s="66" t="n">
        <f aca="false">-(AD44-AC44)*Inputs!$B$58</f>
        <v>-0</v>
      </c>
      <c r="AE45" s="66" t="n">
        <f aca="false">-(AE44-AD44)*Inputs!$B$58</f>
        <v>-0</v>
      </c>
      <c r="AF45" s="66" t="n">
        <f aca="false">-(AF44-AE44)*Inputs!$B$58</f>
        <v>-0</v>
      </c>
      <c r="AG45" s="66" t="n">
        <f aca="false">-(AG44-AF44)*Inputs!$B$58</f>
        <v>-0</v>
      </c>
      <c r="AH45" s="66" t="n">
        <f aca="false">-(AH44-AG44)*Inputs!$B$58</f>
        <v>-0</v>
      </c>
      <c r="AI45" s="66" t="n">
        <f aca="false">-(AI44-AH44)*Inputs!$B$58</f>
        <v>-0</v>
      </c>
      <c r="AJ45" s="66" t="n">
        <f aca="false">-(AJ44-AI44)*Inputs!$B$58</f>
        <v>-0</v>
      </c>
      <c r="AK45" s="66" t="n">
        <f aca="false">-(AK44-AJ44)*Inputs!$B$58</f>
        <v>-0</v>
      </c>
      <c r="AL45" s="66" t="n">
        <f aca="false">-(AL44-AK44)*Inputs!$B$58</f>
        <v>-0</v>
      </c>
      <c r="AM45" s="66" t="n">
        <f aca="false">-(AM44-AL44)*Inputs!$B$58</f>
        <v>-0</v>
      </c>
      <c r="AN45" s="66" t="n">
        <f aca="false">-(AN44-AM44)*Inputs!$B$58</f>
        <v>-0</v>
      </c>
      <c r="AO45" s="66" t="n">
        <f aca="false">-(AO44-AN44)*Inputs!$B$58</f>
        <v>-0</v>
      </c>
      <c r="AP45" s="66" t="n">
        <f aca="false">-(AP44-AO44)*Inputs!$B$58</f>
        <v>-0</v>
      </c>
      <c r="AQ45" s="66" t="n">
        <f aca="false">-(AQ44-AP44)*Inputs!$B$58</f>
        <v>-0</v>
      </c>
      <c r="AR45" s="66" t="n">
        <f aca="false">-(AR44-AQ44)*Inputs!$B$58</f>
        <v>-0</v>
      </c>
      <c r="AS45" s="66" t="n">
        <f aca="false">-(AS44-AR44)*Inputs!$B$58</f>
        <v>-0</v>
      </c>
      <c r="AT45" s="66" t="n">
        <f aca="false">-(AT44-AS44)*Inputs!$B$58</f>
        <v>-0</v>
      </c>
      <c r="AU45" s="66" t="n">
        <f aca="false">-(AU44-AT44)*Inputs!$B$58</f>
        <v>-0</v>
      </c>
      <c r="AV45" s="66" t="n">
        <f aca="false">-(AV44-AU44)*Inputs!$B$58</f>
        <v>-0</v>
      </c>
      <c r="AW45" s="66" t="n">
        <f aca="false">-(AW44-AV44)*Inputs!$B$58</f>
        <v>-0</v>
      </c>
      <c r="AX45" s="66" t="n">
        <f aca="false">-(AX44-AW44)*Inputs!$B$58</f>
        <v>-0</v>
      </c>
      <c r="AY45" s="66" t="n">
        <f aca="false">-(AY44-AX44)*Inputs!$B$58</f>
        <v>-0</v>
      </c>
      <c r="AZ45" s="66" t="n">
        <f aca="false">-(AZ44-AY44)*Inputs!$B$58</f>
        <v>-0</v>
      </c>
      <c r="BA45" s="66" t="n">
        <f aca="false">-(BA44-AZ44)*Inputs!$B$58</f>
        <v>-0</v>
      </c>
      <c r="BB45" s="66" t="n">
        <f aca="false">-(BB44-BA44)*Inputs!$B$58</f>
        <v>-0</v>
      </c>
      <c r="BC45" s="66" t="n">
        <f aca="false">-(BC44-BB44)*Inputs!$B$58</f>
        <v>-0</v>
      </c>
      <c r="BD45" s="66" t="n">
        <f aca="false">-(BD44-BC44)*Inputs!$B$58</f>
        <v>-0</v>
      </c>
      <c r="BE45" s="66" t="n">
        <f aca="false">-(BE44-BD44)*Inputs!$B$58</f>
        <v>-0</v>
      </c>
      <c r="BF45" s="66" t="n">
        <f aca="false">-(BF44-BE44)*Inputs!$B$58</f>
        <v>-0</v>
      </c>
      <c r="BG45" s="66" t="n">
        <f aca="false">-(BG44-BF44)*Inputs!$B$58</f>
        <v>-0</v>
      </c>
      <c r="BH45" s="66" t="n">
        <f aca="false">-(BH44-BG44)*Inputs!$B$58</f>
        <v>-0</v>
      </c>
      <c r="BI45" s="66" t="n">
        <f aca="false">-(BI44-BH44)*Inputs!$B$58</f>
        <v>-0</v>
      </c>
      <c r="BJ45" s="66" t="n">
        <f aca="false">-(BJ44-BI44)*Inputs!$B$58</f>
        <v>-0</v>
      </c>
    </row>
    <row r="46" customFormat="false" ht="15" hidden="false" customHeight="false" outlineLevel="0" collapsed="false">
      <c r="A46" s="111" t="s">
        <v>50</v>
      </c>
      <c r="C46" s="67" t="n">
        <f aca="false">C42+C45</f>
        <v>-73045.3098888889</v>
      </c>
      <c r="D46" s="67" t="n">
        <f aca="false">D42+D45</f>
        <v>-71745.9276105556</v>
      </c>
      <c r="E46" s="67" t="n">
        <f aca="false">E42+E45</f>
        <v>-70505.0175347472</v>
      </c>
      <c r="F46" s="67" t="n">
        <f aca="false">F42+F45</f>
        <v>-69319.9484123503</v>
      </c>
      <c r="G46" s="67" t="n">
        <f aca="false">G42+G45</f>
        <v>-68188.2074004612</v>
      </c>
      <c r="H46" s="67" t="n">
        <f aca="false">H42+H45</f>
        <v>-67107.3947341071</v>
      </c>
      <c r="I46" s="67" t="n">
        <f aca="false">I42+I45</f>
        <v>-66075.2186377389</v>
      </c>
      <c r="J46" s="67" t="n">
        <f aca="false">J42+J45</f>
        <v>-65089.4904657073</v>
      </c>
      <c r="K46" s="67" t="n">
        <f aca="false">K42+K45</f>
        <v>-64148.1200614172</v>
      </c>
      <c r="L46" s="67" t="n">
        <f aca="false">L42+L45</f>
        <v>-63249.1113253201</v>
      </c>
      <c r="M46" s="67" t="n">
        <f aca="false">M42+M45</f>
        <v>-62390.5579823473</v>
      </c>
      <c r="N46" s="67" t="n">
        <f aca="false">N42+N45</f>
        <v>-61570.6395398084</v>
      </c>
      <c r="O46" s="67" t="n">
        <f aca="false">O42+O45</f>
        <v>-97302.3160938503</v>
      </c>
      <c r="P46" s="67" t="n">
        <f aca="false">P42+P45</f>
        <v>-96329.1158696271</v>
      </c>
      <c r="Q46" s="67" t="n">
        <f aca="false">Q42+Q45</f>
        <v>-95399.7096554939</v>
      </c>
      <c r="R46" s="67" t="n">
        <f aca="false">R42+R45</f>
        <v>-94512.1267209966</v>
      </c>
      <c r="S46" s="67" t="n">
        <f aca="false">S42+S45</f>
        <v>-93664.4850185518</v>
      </c>
      <c r="T46" s="67" t="n">
        <f aca="false">T42+T45</f>
        <v>-92854.9871927169</v>
      </c>
      <c r="U46" s="67" t="n">
        <f aca="false">U42+U45</f>
        <v>-92081.9167690447</v>
      </c>
      <c r="V46" s="67" t="n">
        <f aca="false">V42+V45</f>
        <v>-91343.6345144377</v>
      </c>
      <c r="W46" s="67" t="n">
        <f aca="false">W42+W45</f>
        <v>-90638.574961288</v>
      </c>
      <c r="X46" s="67" t="n">
        <f aca="false">X42+X45</f>
        <v>-89965.24308803</v>
      </c>
      <c r="Y46" s="67" t="n">
        <f aca="false">Y42+Y45</f>
        <v>-89322.2111490687</v>
      </c>
      <c r="Z46" s="67" t="n">
        <f aca="false">Z42+Z45</f>
        <v>-88708.1156473606</v>
      </c>
      <c r="AA46" s="67" t="n">
        <f aca="false">AA42+AA45</f>
        <v>-144525.753643229</v>
      </c>
      <c r="AB46" s="67" t="n">
        <f aca="false">AB42+AB45</f>
        <v>-143700.388129284</v>
      </c>
      <c r="AC46" s="67" t="n">
        <f aca="false">AC42+AC45</f>
        <v>-142912.164063466</v>
      </c>
      <c r="AD46" s="67" t="n">
        <f aca="false">AD42+AD45</f>
        <v>-142159.41008061</v>
      </c>
      <c r="AE46" s="67" t="n">
        <f aca="false">AE42+AE45</f>
        <v>-141440.530026983</v>
      </c>
      <c r="AF46" s="67" t="n">
        <f aca="false">AF42+AF45</f>
        <v>-140753.999575769</v>
      </c>
      <c r="AG46" s="67" t="n">
        <f aca="false">AG42+AG45</f>
        <v>-140098.362994859</v>
      </c>
      <c r="AH46" s="67" t="n">
        <f aca="false">AH42+AH45</f>
        <v>-139472.23006009</v>
      </c>
      <c r="AI46" s="67" t="n">
        <f aca="false">AI42+AI45</f>
        <v>-138874.273107386</v>
      </c>
      <c r="AJ46" s="67" t="n">
        <f aca="false">AJ42+AJ45</f>
        <v>-138303.224217554</v>
      </c>
      <c r="AK46" s="67" t="n">
        <f aca="false">AK42+AK45</f>
        <v>-137757.872527764</v>
      </c>
      <c r="AL46" s="67" t="n">
        <f aca="false">AL42+AL45</f>
        <v>-137237.061664015</v>
      </c>
      <c r="AM46" s="67" t="n">
        <f aca="false">AM42+AM45</f>
        <v>-223494.605653578</v>
      </c>
      <c r="AN46" s="67" t="n">
        <f aca="false">AN42+AN45</f>
        <v>-222706.981099167</v>
      </c>
      <c r="AO46" s="67" t="n">
        <f aca="false">AO42+AO45</f>
        <v>-221954.799649705</v>
      </c>
      <c r="AP46" s="67" t="n">
        <f aca="false">AP42+AP45</f>
        <v>-221236.466365468</v>
      </c>
      <c r="AQ46" s="67" t="n">
        <f aca="false">AQ42+AQ45</f>
        <v>-220550.458079022</v>
      </c>
      <c r="AR46" s="67" t="n">
        <f aca="false">AR42+AR45</f>
        <v>-219895.320165466</v>
      </c>
      <c r="AS46" s="67" t="n">
        <f aca="false">AS42+AS45</f>
        <v>-219269.66345802</v>
      </c>
      <c r="AT46" s="67" t="n">
        <f aca="false">AT42+AT45</f>
        <v>-218672.161302409</v>
      </c>
      <c r="AU46" s="67" t="n">
        <f aca="false">AU42+AU45</f>
        <v>-218101.546743801</v>
      </c>
      <c r="AV46" s="67" t="n">
        <f aca="false">AV42+AV45</f>
        <v>-217556.60984033</v>
      </c>
      <c r="AW46" s="67" t="n">
        <f aca="false">AW42+AW45</f>
        <v>-217036.195097515</v>
      </c>
      <c r="AX46" s="67" t="n">
        <f aca="false">AX42+AX45</f>
        <v>-216539.199018127</v>
      </c>
      <c r="AY46" s="67" t="n">
        <f aca="false">AY42+AY45</f>
        <v>-351439.505714311</v>
      </c>
      <c r="AZ46" s="67" t="n">
        <f aca="false">AZ42+AZ45</f>
        <v>-350617.368688767</v>
      </c>
      <c r="BA46" s="67" t="n">
        <f aca="false">BA42+BA45</f>
        <v>-349832.227829373</v>
      </c>
      <c r="BB46" s="67" t="n">
        <f aca="false">BB42+BB45</f>
        <v>-349082.418308651</v>
      </c>
      <c r="BC46" s="67" t="n">
        <f aca="false">BC42+BC45</f>
        <v>-348366.350216362</v>
      </c>
      <c r="BD46" s="67" t="n">
        <f aca="false">BD42+BD45</f>
        <v>-347682.505188225</v>
      </c>
      <c r="BE46" s="67" t="n">
        <f aca="false">BE42+BE45</f>
        <v>-347029.433186355</v>
      </c>
      <c r="BF46" s="67" t="n">
        <f aca="false">BF42+BF45</f>
        <v>-346405.749424569</v>
      </c>
      <c r="BG46" s="67" t="n">
        <f aca="false">BG42+BG45</f>
        <v>-345810.131432064</v>
      </c>
      <c r="BH46" s="67" t="n">
        <f aca="false">BH42+BH45</f>
        <v>-345241.316249221</v>
      </c>
      <c r="BI46" s="67" t="n">
        <f aca="false">BI42+BI45</f>
        <v>-344698.097749606</v>
      </c>
      <c r="BJ46" s="67" t="n">
        <f aca="false">BJ42+BJ45</f>
        <v>-344179.324082474</v>
      </c>
    </row>
    <row r="48" customFormat="false" ht="15.75" hidden="false" customHeight="true" outlineLevel="0" collapsed="false">
      <c r="A48" s="7" t="s">
        <v>414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</row>
    <row r="49" customFormat="false" ht="15" hidden="false" customHeight="false" outlineLevel="0" collapsed="false">
      <c r="A49" s="6" t="s">
        <v>83</v>
      </c>
      <c r="C49" s="66" t="n">
        <f aca="false">IF(C$6=1,Inputs!$B$23,0)</f>
        <v>20000</v>
      </c>
      <c r="D49" s="66" t="n">
        <f aca="false">IF(D$6=1,Inputs!$B$23,0)</f>
        <v>0</v>
      </c>
      <c r="E49" s="66" t="n">
        <f aca="false">IF(E$6=1,Inputs!$B$23,0)</f>
        <v>0</v>
      </c>
      <c r="F49" s="66" t="n">
        <f aca="false">IF(F$6=1,Inputs!$B$23,0)</f>
        <v>0</v>
      </c>
      <c r="G49" s="66" t="n">
        <f aca="false">IF(G$6=1,Inputs!$B$23,0)</f>
        <v>0</v>
      </c>
      <c r="H49" s="66" t="n">
        <f aca="false">IF(H$6=1,Inputs!$B$23,0)</f>
        <v>0</v>
      </c>
      <c r="I49" s="66" t="n">
        <f aca="false">IF(I$6=1,Inputs!$B$23,0)</f>
        <v>0</v>
      </c>
      <c r="J49" s="66" t="n">
        <f aca="false">IF(J$6=1,Inputs!$B$23,0)</f>
        <v>0</v>
      </c>
      <c r="K49" s="66" t="n">
        <f aca="false">IF(K$6=1,Inputs!$B$23,0)</f>
        <v>0</v>
      </c>
      <c r="L49" s="66" t="n">
        <f aca="false">IF(L$6=1,Inputs!$B$23,0)</f>
        <v>0</v>
      </c>
      <c r="M49" s="66" t="n">
        <f aca="false">IF(M$6=1,Inputs!$B$23,0)</f>
        <v>0</v>
      </c>
      <c r="N49" s="66" t="n">
        <f aca="false">IF(N$6=1,Inputs!$B$23,0)</f>
        <v>0</v>
      </c>
      <c r="O49" s="66" t="n">
        <f aca="false">IF(O$6=1,Inputs!$B$23,0)</f>
        <v>0</v>
      </c>
      <c r="P49" s="66" t="n">
        <f aca="false">IF(P$6=1,Inputs!$B$23,0)</f>
        <v>0</v>
      </c>
      <c r="Q49" s="66" t="n">
        <f aca="false">IF(Q$6=1,Inputs!$B$23,0)</f>
        <v>0</v>
      </c>
      <c r="R49" s="66" t="n">
        <f aca="false">IF(R$6=1,Inputs!$B$23,0)</f>
        <v>0</v>
      </c>
      <c r="S49" s="66" t="n">
        <f aca="false">IF(S$6=1,Inputs!$B$23,0)</f>
        <v>0</v>
      </c>
      <c r="T49" s="66" t="n">
        <f aca="false">IF(T$6=1,Inputs!$B$23,0)</f>
        <v>0</v>
      </c>
      <c r="U49" s="66" t="n">
        <f aca="false">IF(U$6=1,Inputs!$B$23,0)</f>
        <v>0</v>
      </c>
      <c r="V49" s="66" t="n">
        <f aca="false">IF(V$6=1,Inputs!$B$23,0)</f>
        <v>0</v>
      </c>
      <c r="W49" s="66" t="n">
        <f aca="false">IF(W$6=1,Inputs!$B$23,0)</f>
        <v>0</v>
      </c>
      <c r="X49" s="66" t="n">
        <f aca="false">IF(X$6=1,Inputs!$B$23,0)</f>
        <v>0</v>
      </c>
      <c r="Y49" s="66" t="n">
        <f aca="false">IF(Y$6=1,Inputs!$B$23,0)</f>
        <v>0</v>
      </c>
      <c r="Z49" s="66" t="n">
        <f aca="false">IF(Z$6=1,Inputs!$B$23,0)</f>
        <v>0</v>
      </c>
      <c r="AA49" s="66" t="n">
        <f aca="false">IF(AA$6=1,Inputs!$B$23,0)</f>
        <v>0</v>
      </c>
      <c r="AB49" s="66" t="n">
        <f aca="false">IF(AB$6=1,Inputs!$B$23,0)</f>
        <v>0</v>
      </c>
      <c r="AC49" s="66" t="n">
        <f aca="false">IF(AC$6=1,Inputs!$B$23,0)</f>
        <v>0</v>
      </c>
      <c r="AD49" s="66" t="n">
        <f aca="false">IF(AD$6=1,Inputs!$B$23,0)</f>
        <v>0</v>
      </c>
      <c r="AE49" s="66" t="n">
        <f aca="false">IF(AE$6=1,Inputs!$B$23,0)</f>
        <v>0</v>
      </c>
      <c r="AF49" s="66" t="n">
        <f aca="false">IF(AF$6=1,Inputs!$B$23,0)</f>
        <v>0</v>
      </c>
      <c r="AG49" s="66" t="n">
        <f aca="false">IF(AG$6=1,Inputs!$B$23,0)</f>
        <v>0</v>
      </c>
      <c r="AH49" s="66" t="n">
        <f aca="false">IF(AH$6=1,Inputs!$B$23,0)</f>
        <v>0</v>
      </c>
      <c r="AI49" s="66" t="n">
        <f aca="false">IF(AI$6=1,Inputs!$B$23,0)</f>
        <v>0</v>
      </c>
      <c r="AJ49" s="66" t="n">
        <f aca="false">IF(AJ$6=1,Inputs!$B$23,0)</f>
        <v>0</v>
      </c>
      <c r="AK49" s="66" t="n">
        <f aca="false">IF(AK$6=1,Inputs!$B$23,0)</f>
        <v>0</v>
      </c>
      <c r="AL49" s="66" t="n">
        <f aca="false">IF(AL$6=1,Inputs!$B$23,0)</f>
        <v>0</v>
      </c>
      <c r="AM49" s="66" t="n">
        <f aca="false">IF(AM$6=1,Inputs!$B$23,0)</f>
        <v>0</v>
      </c>
      <c r="AN49" s="66" t="n">
        <f aca="false">IF(AN$6=1,Inputs!$B$23,0)</f>
        <v>0</v>
      </c>
      <c r="AO49" s="66" t="n">
        <f aca="false">IF(AO$6=1,Inputs!$B$23,0)</f>
        <v>0</v>
      </c>
      <c r="AP49" s="66" t="n">
        <f aca="false">IF(AP$6=1,Inputs!$B$23,0)</f>
        <v>0</v>
      </c>
      <c r="AQ49" s="66" t="n">
        <f aca="false">IF(AQ$6=1,Inputs!$B$23,0)</f>
        <v>0</v>
      </c>
      <c r="AR49" s="66" t="n">
        <f aca="false">IF(AR$6=1,Inputs!$B$23,0)</f>
        <v>0</v>
      </c>
      <c r="AS49" s="66" t="n">
        <f aca="false">IF(AS$6=1,Inputs!$B$23,0)</f>
        <v>0</v>
      </c>
      <c r="AT49" s="66" t="n">
        <f aca="false">IF(AT$6=1,Inputs!$B$23,0)</f>
        <v>0</v>
      </c>
      <c r="AU49" s="66" t="n">
        <f aca="false">IF(AU$6=1,Inputs!$B$23,0)</f>
        <v>0</v>
      </c>
      <c r="AV49" s="66" t="n">
        <f aca="false">IF(AV$6=1,Inputs!$B$23,0)</f>
        <v>0</v>
      </c>
      <c r="AW49" s="66" t="n">
        <f aca="false">IF(AW$6=1,Inputs!$B$23,0)</f>
        <v>0</v>
      </c>
      <c r="AX49" s="66" t="n">
        <f aca="false">IF(AX$6=1,Inputs!$B$23,0)</f>
        <v>0</v>
      </c>
      <c r="AY49" s="66" t="n">
        <f aca="false">IF(AY$6=1,Inputs!$B$23,0)</f>
        <v>0</v>
      </c>
      <c r="AZ49" s="66" t="n">
        <f aca="false">IF(AZ$6=1,Inputs!$B$23,0)</f>
        <v>0</v>
      </c>
      <c r="BA49" s="66" t="n">
        <f aca="false">IF(BA$6=1,Inputs!$B$23,0)</f>
        <v>0</v>
      </c>
      <c r="BB49" s="66" t="n">
        <f aca="false">IF(BB$6=1,Inputs!$B$23,0)</f>
        <v>0</v>
      </c>
      <c r="BC49" s="66" t="n">
        <f aca="false">IF(BC$6=1,Inputs!$B$23,0)</f>
        <v>0</v>
      </c>
      <c r="BD49" s="66" t="n">
        <f aca="false">IF(BD$6=1,Inputs!$B$23,0)</f>
        <v>0</v>
      </c>
      <c r="BE49" s="66" t="n">
        <f aca="false">IF(BE$6=1,Inputs!$B$23,0)</f>
        <v>0</v>
      </c>
      <c r="BF49" s="66" t="n">
        <f aca="false">IF(BF$6=1,Inputs!$B$23,0)</f>
        <v>0</v>
      </c>
      <c r="BG49" s="66" t="n">
        <f aca="false">IF(BG$6=1,Inputs!$B$23,0)</f>
        <v>0</v>
      </c>
      <c r="BH49" s="66" t="n">
        <f aca="false">IF(BH$6=1,Inputs!$B$23,0)</f>
        <v>0</v>
      </c>
      <c r="BI49" s="66" t="n">
        <f aca="false">IF(BI$6=1,Inputs!$B$23,0)</f>
        <v>0</v>
      </c>
      <c r="BJ49" s="66" t="n">
        <f aca="false">IF(BJ$6=1,Inputs!$B$23,0)</f>
        <v>0</v>
      </c>
    </row>
    <row r="50" customFormat="false" ht="15" hidden="false" customHeight="false" outlineLevel="0" collapsed="false">
      <c r="A50" s="6" t="s">
        <v>415</v>
      </c>
      <c r="C50" s="66" t="n">
        <f aca="false">C49</f>
        <v>20000</v>
      </c>
      <c r="D50" s="66" t="n">
        <f aca="false">C50+D49</f>
        <v>20000</v>
      </c>
      <c r="E50" s="66" t="n">
        <f aca="false">D50+E49</f>
        <v>20000</v>
      </c>
      <c r="F50" s="66" t="n">
        <f aca="false">E50+F49</f>
        <v>20000</v>
      </c>
      <c r="G50" s="66" t="n">
        <f aca="false">F50+G49</f>
        <v>20000</v>
      </c>
      <c r="H50" s="66" t="n">
        <f aca="false">G50+H49</f>
        <v>20000</v>
      </c>
      <c r="I50" s="66" t="n">
        <f aca="false">H50+I49</f>
        <v>20000</v>
      </c>
      <c r="J50" s="66" t="n">
        <f aca="false">I50+J49</f>
        <v>20000</v>
      </c>
      <c r="K50" s="66" t="n">
        <f aca="false">J50+K49</f>
        <v>20000</v>
      </c>
      <c r="L50" s="66" t="n">
        <f aca="false">K50+L49</f>
        <v>20000</v>
      </c>
      <c r="M50" s="66" t="n">
        <f aca="false">L50+M49</f>
        <v>20000</v>
      </c>
      <c r="N50" s="66" t="n">
        <f aca="false">M50+N49</f>
        <v>20000</v>
      </c>
      <c r="O50" s="66" t="n">
        <f aca="false">N50+O49</f>
        <v>20000</v>
      </c>
      <c r="P50" s="66" t="n">
        <f aca="false">O50+P49</f>
        <v>20000</v>
      </c>
      <c r="Q50" s="66" t="n">
        <f aca="false">P50+Q49</f>
        <v>20000</v>
      </c>
      <c r="R50" s="66" t="n">
        <f aca="false">Q50+R49</f>
        <v>20000</v>
      </c>
      <c r="S50" s="66" t="n">
        <f aca="false">R50+S49</f>
        <v>20000</v>
      </c>
      <c r="T50" s="66" t="n">
        <f aca="false">S50+T49</f>
        <v>20000</v>
      </c>
      <c r="U50" s="66" t="n">
        <f aca="false">T50+U49</f>
        <v>20000</v>
      </c>
      <c r="V50" s="66" t="n">
        <f aca="false">U50+V49</f>
        <v>20000</v>
      </c>
      <c r="W50" s="66" t="n">
        <f aca="false">V50+W49</f>
        <v>20000</v>
      </c>
      <c r="X50" s="66" t="n">
        <f aca="false">W50+X49</f>
        <v>20000</v>
      </c>
      <c r="Y50" s="66" t="n">
        <f aca="false">X50+Y49</f>
        <v>20000</v>
      </c>
      <c r="Z50" s="66" t="n">
        <f aca="false">Y50+Z49</f>
        <v>20000</v>
      </c>
      <c r="AA50" s="66" t="n">
        <f aca="false">Z50+AA49</f>
        <v>20000</v>
      </c>
      <c r="AB50" s="66" t="n">
        <f aca="false">AA50+AB49</f>
        <v>20000</v>
      </c>
      <c r="AC50" s="66" t="n">
        <f aca="false">AB50+AC49</f>
        <v>20000</v>
      </c>
      <c r="AD50" s="66" t="n">
        <f aca="false">AC50+AD49</f>
        <v>20000</v>
      </c>
      <c r="AE50" s="66" t="n">
        <f aca="false">AD50+AE49</f>
        <v>20000</v>
      </c>
      <c r="AF50" s="66" t="n">
        <f aca="false">AE50+AF49</f>
        <v>20000</v>
      </c>
      <c r="AG50" s="66" t="n">
        <f aca="false">AF50+AG49</f>
        <v>20000</v>
      </c>
      <c r="AH50" s="66" t="n">
        <f aca="false">AG50+AH49</f>
        <v>20000</v>
      </c>
      <c r="AI50" s="66" t="n">
        <f aca="false">AH50+AI49</f>
        <v>20000</v>
      </c>
      <c r="AJ50" s="66" t="n">
        <f aca="false">AI50+AJ49</f>
        <v>20000</v>
      </c>
      <c r="AK50" s="66" t="n">
        <f aca="false">AJ50+AK49</f>
        <v>20000</v>
      </c>
      <c r="AL50" s="66" t="n">
        <f aca="false">AK50+AL49</f>
        <v>20000</v>
      </c>
      <c r="AM50" s="66" t="n">
        <f aca="false">AL50+AM49</f>
        <v>20000</v>
      </c>
      <c r="AN50" s="66" t="n">
        <f aca="false">AM50+AN49</f>
        <v>20000</v>
      </c>
      <c r="AO50" s="66" t="n">
        <f aca="false">AN50+AO49</f>
        <v>20000</v>
      </c>
      <c r="AP50" s="66" t="n">
        <f aca="false">AO50+AP49</f>
        <v>20000</v>
      </c>
      <c r="AQ50" s="66" t="n">
        <f aca="false">AP50+AQ49</f>
        <v>20000</v>
      </c>
      <c r="AR50" s="66" t="n">
        <f aca="false">AQ50+AR49</f>
        <v>20000</v>
      </c>
      <c r="AS50" s="66" t="n">
        <f aca="false">AR50+AS49</f>
        <v>20000</v>
      </c>
      <c r="AT50" s="66" t="n">
        <f aca="false">AS50+AT49</f>
        <v>20000</v>
      </c>
      <c r="AU50" s="66" t="n">
        <f aca="false">AT50+AU49</f>
        <v>20000</v>
      </c>
      <c r="AV50" s="66" t="n">
        <f aca="false">AU50+AV49</f>
        <v>20000</v>
      </c>
      <c r="AW50" s="66" t="n">
        <f aca="false">AV50+AW49</f>
        <v>20000</v>
      </c>
      <c r="AX50" s="66" t="n">
        <f aca="false">AW50+AX49</f>
        <v>20000</v>
      </c>
      <c r="AY50" s="66" t="n">
        <f aca="false">AX50+AY49</f>
        <v>20000</v>
      </c>
      <c r="AZ50" s="66" t="n">
        <f aca="false">AY50+AZ49</f>
        <v>20000</v>
      </c>
      <c r="BA50" s="66" t="n">
        <f aca="false">AZ50+BA49</f>
        <v>20000</v>
      </c>
      <c r="BB50" s="66" t="n">
        <f aca="false">BA50+BB49</f>
        <v>20000</v>
      </c>
      <c r="BC50" s="66" t="n">
        <f aca="false">BB50+BC49</f>
        <v>20000</v>
      </c>
      <c r="BD50" s="66" t="n">
        <f aca="false">BC50+BD49</f>
        <v>20000</v>
      </c>
      <c r="BE50" s="66" t="n">
        <f aca="false">BD50+BE49</f>
        <v>20000</v>
      </c>
      <c r="BF50" s="66" t="n">
        <f aca="false">BE50+BF49</f>
        <v>20000</v>
      </c>
      <c r="BG50" s="66" t="n">
        <f aca="false">BF50+BG49</f>
        <v>20000</v>
      </c>
      <c r="BH50" s="66" t="n">
        <f aca="false">BG50+BH49</f>
        <v>20000</v>
      </c>
      <c r="BI50" s="66" t="n">
        <f aca="false">BH50+BI49</f>
        <v>20000</v>
      </c>
      <c r="BJ50" s="66" t="n">
        <f aca="false">BI50+BJ49</f>
        <v>20000</v>
      </c>
    </row>
    <row r="51" customFormat="false" ht="15" hidden="false" customHeight="false" outlineLevel="0" collapsed="false">
      <c r="A51" s="6" t="s">
        <v>77</v>
      </c>
      <c r="C51" s="66" t="n">
        <f aca="false">-MIN(C50/MAX(1,Inputs!$B$57*12),C49)</f>
        <v>-555.555555555556</v>
      </c>
      <c r="D51" s="66" t="n">
        <f aca="false">-MIN(D50/MAX(1,Inputs!$B$57*12),C53+D49)</f>
        <v>-555.555555555556</v>
      </c>
      <c r="E51" s="66" t="n">
        <f aca="false">-MIN(E50/MAX(1,Inputs!$B$57*12),D53+E49)</f>
        <v>-555.555555555556</v>
      </c>
      <c r="F51" s="66" t="n">
        <f aca="false">-MIN(F50/MAX(1,Inputs!$B$57*12),E53+F49)</f>
        <v>-555.555555555556</v>
      </c>
      <c r="G51" s="66" t="n">
        <f aca="false">-MIN(G50/MAX(1,Inputs!$B$57*12),F53+G49)</f>
        <v>-555.555555555556</v>
      </c>
      <c r="H51" s="66" t="n">
        <f aca="false">-MIN(H50/MAX(1,Inputs!$B$57*12),G53+H49)</f>
        <v>-555.555555555556</v>
      </c>
      <c r="I51" s="66" t="n">
        <f aca="false">-MIN(I50/MAX(1,Inputs!$B$57*12),H53+I49)</f>
        <v>-555.555555555556</v>
      </c>
      <c r="J51" s="66" t="n">
        <f aca="false">-MIN(J50/MAX(1,Inputs!$B$57*12),I53+J49)</f>
        <v>-555.555555555556</v>
      </c>
      <c r="K51" s="66" t="n">
        <f aca="false">-MIN(K50/MAX(1,Inputs!$B$57*12),J53+K49)</f>
        <v>-555.555555555556</v>
      </c>
      <c r="L51" s="66" t="n">
        <f aca="false">-MIN(L50/MAX(1,Inputs!$B$57*12),K53+L49)</f>
        <v>-555.555555555556</v>
      </c>
      <c r="M51" s="66" t="n">
        <f aca="false">-MIN(M50/MAX(1,Inputs!$B$57*12),L53+M49)</f>
        <v>-555.555555555556</v>
      </c>
      <c r="N51" s="66" t="n">
        <f aca="false">-MIN(N50/MAX(1,Inputs!$B$57*12),M53+N49)</f>
        <v>-555.555555555556</v>
      </c>
      <c r="O51" s="66" t="n">
        <f aca="false">-MIN(O50/MAX(1,Inputs!$B$57*12),N53+O49)</f>
        <v>-555.555555555556</v>
      </c>
      <c r="P51" s="66" t="n">
        <f aca="false">-MIN(P50/MAX(1,Inputs!$B$57*12),O53+P49)</f>
        <v>-555.555555555556</v>
      </c>
      <c r="Q51" s="66" t="n">
        <f aca="false">-MIN(Q50/MAX(1,Inputs!$B$57*12),P53+Q49)</f>
        <v>-555.555555555556</v>
      </c>
      <c r="R51" s="66" t="n">
        <f aca="false">-MIN(R50/MAX(1,Inputs!$B$57*12),Q53+R49)</f>
        <v>-555.555555555556</v>
      </c>
      <c r="S51" s="66" t="n">
        <f aca="false">-MIN(S50/MAX(1,Inputs!$B$57*12),R53+S49)</f>
        <v>-555.555555555556</v>
      </c>
      <c r="T51" s="66" t="n">
        <f aca="false">-MIN(T50/MAX(1,Inputs!$B$57*12),S53+T49)</f>
        <v>-555.555555555556</v>
      </c>
      <c r="U51" s="66" t="n">
        <f aca="false">-MIN(U50/MAX(1,Inputs!$B$57*12),T53+U49)</f>
        <v>-555.555555555556</v>
      </c>
      <c r="V51" s="66" t="n">
        <f aca="false">-MIN(V50/MAX(1,Inputs!$B$57*12),U53+V49)</f>
        <v>-555.555555555556</v>
      </c>
      <c r="W51" s="66" t="n">
        <f aca="false">-MIN(W50/MAX(1,Inputs!$B$57*12),V53+W49)</f>
        <v>-555.555555555556</v>
      </c>
      <c r="X51" s="66" t="n">
        <f aca="false">-MIN(X50/MAX(1,Inputs!$B$57*12),W53+X49)</f>
        <v>-555.555555555556</v>
      </c>
      <c r="Y51" s="66" t="n">
        <f aca="false">-MIN(Y50/MAX(1,Inputs!$B$57*12),X53+Y49)</f>
        <v>-555.555555555556</v>
      </c>
      <c r="Z51" s="66" t="n">
        <f aca="false">-MIN(Z50/MAX(1,Inputs!$B$57*12),Y53+Z49)</f>
        <v>-555.555555555556</v>
      </c>
      <c r="AA51" s="66" t="n">
        <f aca="false">-MIN(AA50/MAX(1,Inputs!$B$57*12),Z53+AA49)</f>
        <v>-555.555555555556</v>
      </c>
      <c r="AB51" s="66" t="n">
        <f aca="false">-MIN(AB50/MAX(1,Inputs!$B$57*12),AA53+AB49)</f>
        <v>-555.555555555556</v>
      </c>
      <c r="AC51" s="66" t="n">
        <f aca="false">-MIN(AC50/MAX(1,Inputs!$B$57*12),AB53+AC49)</f>
        <v>-555.555555555556</v>
      </c>
      <c r="AD51" s="66" t="n">
        <f aca="false">-MIN(AD50/MAX(1,Inputs!$B$57*12),AC53+AD49)</f>
        <v>-555.555555555556</v>
      </c>
      <c r="AE51" s="66" t="n">
        <f aca="false">-MIN(AE50/MAX(1,Inputs!$B$57*12),AD53+AE49)</f>
        <v>-555.555555555556</v>
      </c>
      <c r="AF51" s="66" t="n">
        <f aca="false">-MIN(AF50/MAX(1,Inputs!$B$57*12),AE53+AF49)</f>
        <v>-555.555555555556</v>
      </c>
      <c r="AG51" s="66" t="n">
        <f aca="false">-MIN(AG50/MAX(1,Inputs!$B$57*12),AF53+AG49)</f>
        <v>-555.555555555556</v>
      </c>
      <c r="AH51" s="66" t="n">
        <f aca="false">-MIN(AH50/MAX(1,Inputs!$B$57*12),AG53+AH49)</f>
        <v>-555.555555555556</v>
      </c>
      <c r="AI51" s="66" t="n">
        <f aca="false">-MIN(AI50/MAX(1,Inputs!$B$57*12),AH53+AI49)</f>
        <v>-555.555555555556</v>
      </c>
      <c r="AJ51" s="66" t="n">
        <f aca="false">-MIN(AJ50/MAX(1,Inputs!$B$57*12),AI53+AJ49)</f>
        <v>-555.555555555556</v>
      </c>
      <c r="AK51" s="66" t="n">
        <f aca="false">-MIN(AK50/MAX(1,Inputs!$B$57*12),AJ53+AK49)</f>
        <v>-555.555555555556</v>
      </c>
      <c r="AL51" s="66" t="n">
        <f aca="false">-MIN(AL50/MAX(1,Inputs!$B$57*12),AK53+AL49)</f>
        <v>-555.555555555556</v>
      </c>
      <c r="AM51" s="66" t="n">
        <f aca="false">-MIN(AM50/MAX(1,Inputs!$B$57*12),AL53+AM49)</f>
        <v>-0</v>
      </c>
      <c r="AN51" s="66" t="n">
        <f aca="false">-MIN(AN50/MAX(1,Inputs!$B$57*12),AM53+AN49)</f>
        <v>-0</v>
      </c>
      <c r="AO51" s="66" t="n">
        <f aca="false">-MIN(AO50/MAX(1,Inputs!$B$57*12),AN53+AO49)</f>
        <v>-0</v>
      </c>
      <c r="AP51" s="66" t="n">
        <f aca="false">-MIN(AP50/MAX(1,Inputs!$B$57*12),AO53+AP49)</f>
        <v>-0</v>
      </c>
      <c r="AQ51" s="66" t="n">
        <f aca="false">-MIN(AQ50/MAX(1,Inputs!$B$57*12),AP53+AQ49)</f>
        <v>-0</v>
      </c>
      <c r="AR51" s="66" t="n">
        <f aca="false">-MIN(AR50/MAX(1,Inputs!$B$57*12),AQ53+AR49)</f>
        <v>-0</v>
      </c>
      <c r="AS51" s="66" t="n">
        <f aca="false">-MIN(AS50/MAX(1,Inputs!$B$57*12),AR53+AS49)</f>
        <v>-0</v>
      </c>
      <c r="AT51" s="66" t="n">
        <f aca="false">-MIN(AT50/MAX(1,Inputs!$B$57*12),AS53+AT49)</f>
        <v>-0</v>
      </c>
      <c r="AU51" s="66" t="n">
        <f aca="false">-MIN(AU50/MAX(1,Inputs!$B$57*12),AT53+AU49)</f>
        <v>-0</v>
      </c>
      <c r="AV51" s="66" t="n">
        <f aca="false">-MIN(AV50/MAX(1,Inputs!$B$57*12),AU53+AV49)</f>
        <v>-0</v>
      </c>
      <c r="AW51" s="66" t="n">
        <f aca="false">-MIN(AW50/MAX(1,Inputs!$B$57*12),AV53+AW49)</f>
        <v>-0</v>
      </c>
      <c r="AX51" s="66" t="n">
        <f aca="false">-MIN(AX50/MAX(1,Inputs!$B$57*12),AW53+AX49)</f>
        <v>-0</v>
      </c>
      <c r="AY51" s="66" t="n">
        <f aca="false">-MIN(AY50/MAX(1,Inputs!$B$57*12),AX53+AY49)</f>
        <v>-0</v>
      </c>
      <c r="AZ51" s="66" t="n">
        <f aca="false">-MIN(AZ50/MAX(1,Inputs!$B$57*12),AY53+AZ49)</f>
        <v>-0</v>
      </c>
      <c r="BA51" s="66" t="n">
        <f aca="false">-MIN(BA50/MAX(1,Inputs!$B$57*12),AZ53+BA49)</f>
        <v>-0</v>
      </c>
      <c r="BB51" s="66" t="n">
        <f aca="false">-MIN(BB50/MAX(1,Inputs!$B$57*12),BA53+BB49)</f>
        <v>-0</v>
      </c>
      <c r="BC51" s="66" t="n">
        <f aca="false">-MIN(BC50/MAX(1,Inputs!$B$57*12),BB53+BC49)</f>
        <v>-0</v>
      </c>
      <c r="BD51" s="66" t="n">
        <f aca="false">-MIN(BD50/MAX(1,Inputs!$B$57*12),BC53+BD49)</f>
        <v>-0</v>
      </c>
      <c r="BE51" s="66" t="n">
        <f aca="false">-MIN(BE50/MAX(1,Inputs!$B$57*12),BD53+BE49)</f>
        <v>-0</v>
      </c>
      <c r="BF51" s="66" t="n">
        <f aca="false">-MIN(BF50/MAX(1,Inputs!$B$57*12),BE53+BF49)</f>
        <v>-0</v>
      </c>
      <c r="BG51" s="66" t="n">
        <f aca="false">-MIN(BG50/MAX(1,Inputs!$B$57*12),BF53+BG49)</f>
        <v>-0</v>
      </c>
      <c r="BH51" s="66" t="n">
        <f aca="false">-MIN(BH50/MAX(1,Inputs!$B$57*12),BG53+BH49)</f>
        <v>-0</v>
      </c>
      <c r="BI51" s="66" t="n">
        <f aca="false">-MIN(BI50/MAX(1,Inputs!$B$57*12),BH53+BI49)</f>
        <v>-0</v>
      </c>
      <c r="BJ51" s="66" t="n">
        <f aca="false">-MIN(BJ50/MAX(1,Inputs!$B$57*12),BI53+BJ49)</f>
        <v>-0</v>
      </c>
    </row>
    <row r="52" customFormat="false" ht="15" hidden="false" customHeight="false" outlineLevel="0" collapsed="false">
      <c r="A52" s="6" t="s">
        <v>416</v>
      </c>
      <c r="C52" s="66" t="n">
        <f aca="false">C51</f>
        <v>-555.555555555556</v>
      </c>
      <c r="D52" s="66" t="n">
        <f aca="false">C52+D51</f>
        <v>-1111.11111111111</v>
      </c>
      <c r="E52" s="66" t="n">
        <f aca="false">D52+E51</f>
        <v>-1666.66666666667</v>
      </c>
      <c r="F52" s="66" t="n">
        <f aca="false">E52+F51</f>
        <v>-2222.22222222222</v>
      </c>
      <c r="G52" s="66" t="n">
        <f aca="false">F52+G51</f>
        <v>-2777.77777777778</v>
      </c>
      <c r="H52" s="66" t="n">
        <f aca="false">G52+H51</f>
        <v>-3333.33333333333</v>
      </c>
      <c r="I52" s="66" t="n">
        <f aca="false">H52+I51</f>
        <v>-3888.88888888889</v>
      </c>
      <c r="J52" s="66" t="n">
        <f aca="false">I52+J51</f>
        <v>-4444.44444444444</v>
      </c>
      <c r="K52" s="66" t="n">
        <f aca="false">J52+K51</f>
        <v>-5000</v>
      </c>
      <c r="L52" s="66" t="n">
        <f aca="false">K52+L51</f>
        <v>-5555.55555555556</v>
      </c>
      <c r="M52" s="66" t="n">
        <f aca="false">L52+M51</f>
        <v>-6111.11111111111</v>
      </c>
      <c r="N52" s="66" t="n">
        <f aca="false">M52+N51</f>
        <v>-6666.66666666667</v>
      </c>
      <c r="O52" s="66" t="n">
        <f aca="false">N52+O51</f>
        <v>-7222.22222222222</v>
      </c>
      <c r="P52" s="66" t="n">
        <f aca="false">O52+P51</f>
        <v>-7777.77777777778</v>
      </c>
      <c r="Q52" s="66" t="n">
        <f aca="false">P52+Q51</f>
        <v>-8333.33333333333</v>
      </c>
      <c r="R52" s="66" t="n">
        <f aca="false">Q52+R51</f>
        <v>-8888.88888888889</v>
      </c>
      <c r="S52" s="66" t="n">
        <f aca="false">R52+S51</f>
        <v>-9444.44444444444</v>
      </c>
      <c r="T52" s="66" t="n">
        <f aca="false">S52+T51</f>
        <v>-10000</v>
      </c>
      <c r="U52" s="66" t="n">
        <f aca="false">T52+U51</f>
        <v>-10555.5555555556</v>
      </c>
      <c r="V52" s="66" t="n">
        <f aca="false">U52+V51</f>
        <v>-11111.1111111111</v>
      </c>
      <c r="W52" s="66" t="n">
        <f aca="false">V52+W51</f>
        <v>-11666.6666666667</v>
      </c>
      <c r="X52" s="66" t="n">
        <f aca="false">W52+X51</f>
        <v>-12222.2222222222</v>
      </c>
      <c r="Y52" s="66" t="n">
        <f aca="false">X52+Y51</f>
        <v>-12777.7777777778</v>
      </c>
      <c r="Z52" s="66" t="n">
        <f aca="false">Y52+Z51</f>
        <v>-13333.3333333333</v>
      </c>
      <c r="AA52" s="66" t="n">
        <f aca="false">Z52+AA51</f>
        <v>-13888.8888888889</v>
      </c>
      <c r="AB52" s="66" t="n">
        <f aca="false">AA52+AB51</f>
        <v>-14444.4444444444</v>
      </c>
      <c r="AC52" s="66" t="n">
        <f aca="false">AB52+AC51</f>
        <v>-15000</v>
      </c>
      <c r="AD52" s="66" t="n">
        <f aca="false">AC52+AD51</f>
        <v>-15555.5555555555</v>
      </c>
      <c r="AE52" s="66" t="n">
        <f aca="false">AD52+AE51</f>
        <v>-16111.1111111111</v>
      </c>
      <c r="AF52" s="66" t="n">
        <f aca="false">AE52+AF51</f>
        <v>-16666.6666666667</v>
      </c>
      <c r="AG52" s="66" t="n">
        <f aca="false">AF52+AG51</f>
        <v>-17222.2222222222</v>
      </c>
      <c r="AH52" s="66" t="n">
        <f aca="false">AG52+AH51</f>
        <v>-17777.7777777778</v>
      </c>
      <c r="AI52" s="66" t="n">
        <f aca="false">AH52+AI51</f>
        <v>-18333.3333333333</v>
      </c>
      <c r="AJ52" s="66" t="n">
        <f aca="false">AI52+AJ51</f>
        <v>-18888.8888888889</v>
      </c>
      <c r="AK52" s="66" t="n">
        <f aca="false">AJ52+AK51</f>
        <v>-19444.4444444444</v>
      </c>
      <c r="AL52" s="66" t="n">
        <f aca="false">AK52+AL51</f>
        <v>-20000</v>
      </c>
      <c r="AM52" s="66" t="n">
        <f aca="false">AL52+AM51</f>
        <v>-20000</v>
      </c>
      <c r="AN52" s="66" t="n">
        <f aca="false">AM52+AN51</f>
        <v>-20000</v>
      </c>
      <c r="AO52" s="66" t="n">
        <f aca="false">AN52+AO51</f>
        <v>-20000</v>
      </c>
      <c r="AP52" s="66" t="n">
        <f aca="false">AO52+AP51</f>
        <v>-20000</v>
      </c>
      <c r="AQ52" s="66" t="n">
        <f aca="false">AP52+AQ51</f>
        <v>-20000</v>
      </c>
      <c r="AR52" s="66" t="n">
        <f aca="false">AQ52+AR51</f>
        <v>-20000</v>
      </c>
      <c r="AS52" s="66" t="n">
        <f aca="false">AR52+AS51</f>
        <v>-20000</v>
      </c>
      <c r="AT52" s="66" t="n">
        <f aca="false">AS52+AT51</f>
        <v>-20000</v>
      </c>
      <c r="AU52" s="66" t="n">
        <f aca="false">AT52+AU51</f>
        <v>-20000</v>
      </c>
      <c r="AV52" s="66" t="n">
        <f aca="false">AU52+AV51</f>
        <v>-20000</v>
      </c>
      <c r="AW52" s="66" t="n">
        <f aca="false">AV52+AW51</f>
        <v>-20000</v>
      </c>
      <c r="AX52" s="66" t="n">
        <f aca="false">AW52+AX51</f>
        <v>-20000</v>
      </c>
      <c r="AY52" s="66" t="n">
        <f aca="false">AX52+AY51</f>
        <v>-20000</v>
      </c>
      <c r="AZ52" s="66" t="n">
        <f aca="false">AY52+AZ51</f>
        <v>-20000</v>
      </c>
      <c r="BA52" s="66" t="n">
        <f aca="false">AZ52+BA51</f>
        <v>-20000</v>
      </c>
      <c r="BB52" s="66" t="n">
        <f aca="false">BA52+BB51</f>
        <v>-20000</v>
      </c>
      <c r="BC52" s="66" t="n">
        <f aca="false">BB52+BC51</f>
        <v>-20000</v>
      </c>
      <c r="BD52" s="66" t="n">
        <f aca="false">BC52+BD51</f>
        <v>-20000</v>
      </c>
      <c r="BE52" s="66" t="n">
        <f aca="false">BD52+BE51</f>
        <v>-20000</v>
      </c>
      <c r="BF52" s="66" t="n">
        <f aca="false">BE52+BF51</f>
        <v>-20000</v>
      </c>
      <c r="BG52" s="66" t="n">
        <f aca="false">BF52+BG51</f>
        <v>-20000</v>
      </c>
      <c r="BH52" s="66" t="n">
        <f aca="false">BG52+BH51</f>
        <v>-20000</v>
      </c>
      <c r="BI52" s="66" t="n">
        <f aca="false">BH52+BI51</f>
        <v>-20000</v>
      </c>
      <c r="BJ52" s="66" t="n">
        <f aca="false">BI52+BJ51</f>
        <v>-20000</v>
      </c>
    </row>
    <row r="53" customFormat="false" ht="15" hidden="false" customHeight="false" outlineLevel="0" collapsed="false">
      <c r="A53" s="4" t="s">
        <v>91</v>
      </c>
      <c r="C53" s="72" t="n">
        <f aca="false">C50+C52</f>
        <v>19444.4444444444</v>
      </c>
      <c r="D53" s="72" t="n">
        <f aca="false">D50+D52</f>
        <v>18888.8888888889</v>
      </c>
      <c r="E53" s="72" t="n">
        <f aca="false">E50+E52</f>
        <v>18333.3333333333</v>
      </c>
      <c r="F53" s="72" t="n">
        <f aca="false">F50+F52</f>
        <v>17777.7777777778</v>
      </c>
      <c r="G53" s="72" t="n">
        <f aca="false">G50+G52</f>
        <v>17222.2222222222</v>
      </c>
      <c r="H53" s="72" t="n">
        <f aca="false">H50+H52</f>
        <v>16666.6666666667</v>
      </c>
      <c r="I53" s="72" t="n">
        <f aca="false">I50+I52</f>
        <v>16111.1111111111</v>
      </c>
      <c r="J53" s="72" t="n">
        <f aca="false">J50+J52</f>
        <v>15555.5555555556</v>
      </c>
      <c r="K53" s="72" t="n">
        <f aca="false">K50+K52</f>
        <v>15000</v>
      </c>
      <c r="L53" s="72" t="n">
        <f aca="false">L50+L52</f>
        <v>14444.4444444444</v>
      </c>
      <c r="M53" s="72" t="n">
        <f aca="false">M50+M52</f>
        <v>13888.8888888889</v>
      </c>
      <c r="N53" s="72" t="n">
        <f aca="false">N50+N52</f>
        <v>13333.3333333333</v>
      </c>
      <c r="O53" s="72" t="n">
        <f aca="false">O50+O52</f>
        <v>12777.7777777778</v>
      </c>
      <c r="P53" s="72" t="n">
        <f aca="false">P50+P52</f>
        <v>12222.2222222222</v>
      </c>
      <c r="Q53" s="72" t="n">
        <f aca="false">Q50+Q52</f>
        <v>11666.6666666667</v>
      </c>
      <c r="R53" s="72" t="n">
        <f aca="false">R50+R52</f>
        <v>11111.1111111111</v>
      </c>
      <c r="S53" s="72" t="n">
        <f aca="false">S50+S52</f>
        <v>10555.5555555556</v>
      </c>
      <c r="T53" s="72" t="n">
        <f aca="false">T50+T52</f>
        <v>10000</v>
      </c>
      <c r="U53" s="72" t="n">
        <f aca="false">U50+U52</f>
        <v>9444.44444444445</v>
      </c>
      <c r="V53" s="72" t="n">
        <f aca="false">V50+V52</f>
        <v>8888.88888888889</v>
      </c>
      <c r="W53" s="72" t="n">
        <f aca="false">W50+W52</f>
        <v>8333.33333333334</v>
      </c>
      <c r="X53" s="72" t="n">
        <f aca="false">X50+X52</f>
        <v>7777.77777777778</v>
      </c>
      <c r="Y53" s="72" t="n">
        <f aca="false">Y50+Y52</f>
        <v>7222.22222222223</v>
      </c>
      <c r="Z53" s="72" t="n">
        <f aca="false">Z50+Z52</f>
        <v>6666.66666666667</v>
      </c>
      <c r="AA53" s="72" t="n">
        <f aca="false">AA50+AA52</f>
        <v>6111.11111111112</v>
      </c>
      <c r="AB53" s="72" t="n">
        <f aca="false">AB50+AB52</f>
        <v>5555.55555555556</v>
      </c>
      <c r="AC53" s="72" t="n">
        <f aca="false">AC50+AC52</f>
        <v>5000.00000000001</v>
      </c>
      <c r="AD53" s="72" t="n">
        <f aca="false">AD50+AD52</f>
        <v>4444.44444444445</v>
      </c>
      <c r="AE53" s="72" t="n">
        <f aca="false">AE50+AE52</f>
        <v>3888.8888888889</v>
      </c>
      <c r="AF53" s="72" t="n">
        <f aca="false">AF50+AF52</f>
        <v>3333.33333333334</v>
      </c>
      <c r="AG53" s="72" t="n">
        <f aca="false">AG50+AG52</f>
        <v>2777.77777777779</v>
      </c>
      <c r="AH53" s="72" t="n">
        <f aca="false">AH50+AH52</f>
        <v>2222.22222222223</v>
      </c>
      <c r="AI53" s="72" t="n">
        <f aca="false">AI50+AI52</f>
        <v>1666.66666666668</v>
      </c>
      <c r="AJ53" s="72" t="n">
        <f aca="false">AJ50+AJ52</f>
        <v>1111.11111111112</v>
      </c>
      <c r="AK53" s="72" t="n">
        <f aca="false">AK50+AK52</f>
        <v>555.555555555569</v>
      </c>
      <c r="AL53" s="72" t="n">
        <f aca="false">AL50+AL52</f>
        <v>0</v>
      </c>
      <c r="AM53" s="72" t="n">
        <f aca="false">AM50+AM52</f>
        <v>0</v>
      </c>
      <c r="AN53" s="72" t="n">
        <f aca="false">AN50+AN52</f>
        <v>0</v>
      </c>
      <c r="AO53" s="72" t="n">
        <f aca="false">AO50+AO52</f>
        <v>0</v>
      </c>
      <c r="AP53" s="72" t="n">
        <f aca="false">AP50+AP52</f>
        <v>0</v>
      </c>
      <c r="AQ53" s="72" t="n">
        <f aca="false">AQ50+AQ52</f>
        <v>0</v>
      </c>
      <c r="AR53" s="72" t="n">
        <f aca="false">AR50+AR52</f>
        <v>0</v>
      </c>
      <c r="AS53" s="72" t="n">
        <f aca="false">AS50+AS52</f>
        <v>0</v>
      </c>
      <c r="AT53" s="72" t="n">
        <f aca="false">AT50+AT52</f>
        <v>0</v>
      </c>
      <c r="AU53" s="72" t="n">
        <f aca="false">AU50+AU52</f>
        <v>0</v>
      </c>
      <c r="AV53" s="72" t="n">
        <f aca="false">AV50+AV52</f>
        <v>0</v>
      </c>
      <c r="AW53" s="72" t="n">
        <f aca="false">AW50+AW52</f>
        <v>0</v>
      </c>
      <c r="AX53" s="72" t="n">
        <f aca="false">AX50+AX52</f>
        <v>0</v>
      </c>
      <c r="AY53" s="72" t="n">
        <f aca="false">AY50+AY52</f>
        <v>0</v>
      </c>
      <c r="AZ53" s="72" t="n">
        <f aca="false">AZ50+AZ52</f>
        <v>0</v>
      </c>
      <c r="BA53" s="72" t="n">
        <f aca="false">BA50+BA52</f>
        <v>0</v>
      </c>
      <c r="BB53" s="72" t="n">
        <f aca="false">BB50+BB52</f>
        <v>0</v>
      </c>
      <c r="BC53" s="72" t="n">
        <f aca="false">BC50+BC52</f>
        <v>0</v>
      </c>
      <c r="BD53" s="72" t="n">
        <f aca="false">BD50+BD52</f>
        <v>0</v>
      </c>
      <c r="BE53" s="72" t="n">
        <f aca="false">BE50+BE52</f>
        <v>0</v>
      </c>
      <c r="BF53" s="72" t="n">
        <f aca="false">BF50+BF52</f>
        <v>0</v>
      </c>
      <c r="BG53" s="72" t="n">
        <f aca="false">BG50+BG52</f>
        <v>0</v>
      </c>
      <c r="BH53" s="72" t="n">
        <f aca="false">BH50+BH52</f>
        <v>0</v>
      </c>
      <c r="BI53" s="72" t="n">
        <f aca="false">BI50+BI52</f>
        <v>0</v>
      </c>
      <c r="BJ53" s="72" t="n">
        <f aca="false">BJ50+BJ52</f>
        <v>0</v>
      </c>
    </row>
    <row r="55" customFormat="false" ht="15.75" hidden="false" customHeight="true" outlineLevel="0" collapsed="false">
      <c r="A55" s="7" t="s">
        <v>417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</row>
    <row r="56" customFormat="false" ht="15" hidden="false" customHeight="false" outlineLevel="0" collapsed="false">
      <c r="A56" s="6" t="s">
        <v>418</v>
      </c>
      <c r="C56" s="66" t="n">
        <f aca="false">0</f>
        <v>0</v>
      </c>
      <c r="D56" s="66" t="n">
        <f aca="false">C59</f>
        <v>0</v>
      </c>
      <c r="E56" s="66" t="n">
        <f aca="false">D59</f>
        <v>0</v>
      </c>
      <c r="F56" s="66" t="n">
        <f aca="false">E59</f>
        <v>0</v>
      </c>
      <c r="G56" s="66" t="n">
        <f aca="false">F59</f>
        <v>0</v>
      </c>
      <c r="H56" s="66" t="n">
        <f aca="false">G59</f>
        <v>0</v>
      </c>
      <c r="I56" s="66" t="n">
        <f aca="false">H59</f>
        <v>0</v>
      </c>
      <c r="J56" s="66" t="n">
        <f aca="false">I59</f>
        <v>0</v>
      </c>
      <c r="K56" s="66" t="n">
        <f aca="false">J59</f>
        <v>0</v>
      </c>
      <c r="L56" s="66" t="n">
        <f aca="false">K59</f>
        <v>0</v>
      </c>
      <c r="M56" s="66" t="n">
        <f aca="false">L59</f>
        <v>0</v>
      </c>
      <c r="N56" s="66" t="n">
        <f aca="false">M59</f>
        <v>0</v>
      </c>
      <c r="O56" s="66" t="n">
        <f aca="false">N59</f>
        <v>0</v>
      </c>
      <c r="P56" s="66" t="n">
        <f aca="false">O59</f>
        <v>0</v>
      </c>
      <c r="Q56" s="66" t="n">
        <f aca="false">P59</f>
        <v>0</v>
      </c>
      <c r="R56" s="66" t="n">
        <f aca="false">Q59</f>
        <v>0</v>
      </c>
      <c r="S56" s="66" t="n">
        <f aca="false">R59</f>
        <v>0</v>
      </c>
      <c r="T56" s="66" t="n">
        <f aca="false">S59</f>
        <v>0</v>
      </c>
      <c r="U56" s="66" t="n">
        <f aca="false">T59</f>
        <v>0</v>
      </c>
      <c r="V56" s="66" t="n">
        <f aca="false">U59</f>
        <v>0</v>
      </c>
      <c r="W56" s="66" t="n">
        <f aca="false">V59</f>
        <v>0</v>
      </c>
      <c r="X56" s="66" t="n">
        <f aca="false">W59</f>
        <v>0</v>
      </c>
      <c r="Y56" s="66" t="n">
        <f aca="false">X59</f>
        <v>0</v>
      </c>
      <c r="Z56" s="66" t="n">
        <f aca="false">Y59</f>
        <v>0</v>
      </c>
      <c r="AA56" s="66" t="n">
        <f aca="false">Z59</f>
        <v>0</v>
      </c>
      <c r="AB56" s="66" t="n">
        <f aca="false">AA59</f>
        <v>0</v>
      </c>
      <c r="AC56" s="66" t="n">
        <f aca="false">AB59</f>
        <v>0</v>
      </c>
      <c r="AD56" s="66" t="n">
        <f aca="false">AC59</f>
        <v>0</v>
      </c>
      <c r="AE56" s="66" t="n">
        <f aca="false">AD59</f>
        <v>0</v>
      </c>
      <c r="AF56" s="66" t="n">
        <f aca="false">AE59</f>
        <v>0</v>
      </c>
      <c r="AG56" s="66" t="n">
        <f aca="false">AF59</f>
        <v>0</v>
      </c>
      <c r="AH56" s="66" t="n">
        <f aca="false">AG59</f>
        <v>0</v>
      </c>
      <c r="AI56" s="66" t="n">
        <f aca="false">AH59</f>
        <v>0</v>
      </c>
      <c r="AJ56" s="66" t="n">
        <f aca="false">AI59</f>
        <v>0</v>
      </c>
      <c r="AK56" s="66" t="n">
        <f aca="false">AJ59</f>
        <v>0</v>
      </c>
      <c r="AL56" s="66" t="n">
        <f aca="false">AK59</f>
        <v>0</v>
      </c>
      <c r="AM56" s="66" t="n">
        <f aca="false">AL59</f>
        <v>0</v>
      </c>
      <c r="AN56" s="66" t="n">
        <f aca="false">AM59</f>
        <v>0</v>
      </c>
      <c r="AO56" s="66" t="n">
        <f aca="false">AN59</f>
        <v>0</v>
      </c>
      <c r="AP56" s="66" t="n">
        <f aca="false">AO59</f>
        <v>0</v>
      </c>
      <c r="AQ56" s="66" t="n">
        <f aca="false">AP59</f>
        <v>0</v>
      </c>
      <c r="AR56" s="66" t="n">
        <f aca="false">AQ59</f>
        <v>0</v>
      </c>
      <c r="AS56" s="66" t="n">
        <f aca="false">AR59</f>
        <v>0</v>
      </c>
      <c r="AT56" s="66" t="n">
        <f aca="false">AS59</f>
        <v>0</v>
      </c>
      <c r="AU56" s="66" t="n">
        <f aca="false">AT59</f>
        <v>0</v>
      </c>
      <c r="AV56" s="66" t="n">
        <f aca="false">AU59</f>
        <v>0</v>
      </c>
      <c r="AW56" s="66" t="n">
        <f aca="false">AV59</f>
        <v>0</v>
      </c>
      <c r="AX56" s="66" t="n">
        <f aca="false">AW59</f>
        <v>0</v>
      </c>
      <c r="AY56" s="66" t="n">
        <f aca="false">AX59</f>
        <v>0</v>
      </c>
      <c r="AZ56" s="66" t="n">
        <f aca="false">AY59</f>
        <v>0</v>
      </c>
      <c r="BA56" s="66" t="n">
        <f aca="false">AZ59</f>
        <v>0</v>
      </c>
      <c r="BB56" s="66" t="n">
        <f aca="false">BA59</f>
        <v>0</v>
      </c>
      <c r="BC56" s="66" t="n">
        <f aca="false">BB59</f>
        <v>0</v>
      </c>
      <c r="BD56" s="66" t="n">
        <f aca="false">BC59</f>
        <v>0</v>
      </c>
      <c r="BE56" s="66" t="n">
        <f aca="false">BD59</f>
        <v>0</v>
      </c>
      <c r="BF56" s="66" t="n">
        <f aca="false">BE59</f>
        <v>0</v>
      </c>
      <c r="BG56" s="66" t="n">
        <f aca="false">BF59</f>
        <v>0</v>
      </c>
      <c r="BH56" s="66" t="n">
        <f aca="false">BG59</f>
        <v>0</v>
      </c>
      <c r="BI56" s="66" t="n">
        <f aca="false">BH59</f>
        <v>0</v>
      </c>
      <c r="BJ56" s="66" t="n">
        <f aca="false">BI59</f>
        <v>0</v>
      </c>
    </row>
    <row r="57" customFormat="false" ht="15" hidden="false" customHeight="false" outlineLevel="0" collapsed="false">
      <c r="A57" s="6" t="s">
        <v>84</v>
      </c>
      <c r="C57" s="66" t="n">
        <f aca="false">IF(C$6=1,Inputs!$B$47,0)</f>
        <v>0</v>
      </c>
      <c r="D57" s="66" t="n">
        <f aca="false">IF(D$6=1,Inputs!$B$47,0)</f>
        <v>0</v>
      </c>
      <c r="E57" s="66" t="n">
        <f aca="false">IF(E$6=1,Inputs!$B$47,0)</f>
        <v>0</v>
      </c>
      <c r="F57" s="66" t="n">
        <f aca="false">IF(F$6=1,Inputs!$B$47,0)</f>
        <v>0</v>
      </c>
      <c r="G57" s="66" t="n">
        <f aca="false">IF(G$6=1,Inputs!$B$47,0)</f>
        <v>0</v>
      </c>
      <c r="H57" s="66" t="n">
        <f aca="false">IF(H$6=1,Inputs!$B$47,0)</f>
        <v>0</v>
      </c>
      <c r="I57" s="66" t="n">
        <f aca="false">IF(I$6=1,Inputs!$B$47,0)</f>
        <v>0</v>
      </c>
      <c r="J57" s="66" t="n">
        <f aca="false">IF(J$6=1,Inputs!$B$47,0)</f>
        <v>0</v>
      </c>
      <c r="K57" s="66" t="n">
        <f aca="false">IF(K$6=1,Inputs!$B$47,0)</f>
        <v>0</v>
      </c>
      <c r="L57" s="66" t="n">
        <f aca="false">IF(L$6=1,Inputs!$B$47,0)</f>
        <v>0</v>
      </c>
      <c r="M57" s="66" t="n">
        <f aca="false">IF(M$6=1,Inputs!$B$47,0)</f>
        <v>0</v>
      </c>
      <c r="N57" s="66" t="n">
        <f aca="false">IF(N$6=1,Inputs!$B$47,0)</f>
        <v>0</v>
      </c>
      <c r="O57" s="66" t="n">
        <f aca="false">IF(O$6=1,Inputs!$B$47,0)</f>
        <v>0</v>
      </c>
      <c r="P57" s="66" t="n">
        <f aca="false">IF(P$6=1,Inputs!$B$47,0)</f>
        <v>0</v>
      </c>
      <c r="Q57" s="66" t="n">
        <f aca="false">IF(Q$6=1,Inputs!$B$47,0)</f>
        <v>0</v>
      </c>
      <c r="R57" s="66" t="n">
        <f aca="false">IF(R$6=1,Inputs!$B$47,0)</f>
        <v>0</v>
      </c>
      <c r="S57" s="66" t="n">
        <f aca="false">IF(S$6=1,Inputs!$B$47,0)</f>
        <v>0</v>
      </c>
      <c r="T57" s="66" t="n">
        <f aca="false">IF(T$6=1,Inputs!$B$47,0)</f>
        <v>0</v>
      </c>
      <c r="U57" s="66" t="n">
        <f aca="false">IF(U$6=1,Inputs!$B$47,0)</f>
        <v>0</v>
      </c>
      <c r="V57" s="66" t="n">
        <f aca="false">IF(V$6=1,Inputs!$B$47,0)</f>
        <v>0</v>
      </c>
      <c r="W57" s="66" t="n">
        <f aca="false">IF(W$6=1,Inputs!$B$47,0)</f>
        <v>0</v>
      </c>
      <c r="X57" s="66" t="n">
        <f aca="false">IF(X$6=1,Inputs!$B$47,0)</f>
        <v>0</v>
      </c>
      <c r="Y57" s="66" t="n">
        <f aca="false">IF(Y$6=1,Inputs!$B$47,0)</f>
        <v>0</v>
      </c>
      <c r="Z57" s="66" t="n">
        <f aca="false">IF(Z$6=1,Inputs!$B$47,0)</f>
        <v>0</v>
      </c>
      <c r="AA57" s="66" t="n">
        <f aca="false">IF(AA$6=1,Inputs!$B$47,0)</f>
        <v>0</v>
      </c>
      <c r="AB57" s="66" t="n">
        <f aca="false">IF(AB$6=1,Inputs!$B$47,0)</f>
        <v>0</v>
      </c>
      <c r="AC57" s="66" t="n">
        <f aca="false">IF(AC$6=1,Inputs!$B$47,0)</f>
        <v>0</v>
      </c>
      <c r="AD57" s="66" t="n">
        <f aca="false">IF(AD$6=1,Inputs!$B$47,0)</f>
        <v>0</v>
      </c>
      <c r="AE57" s="66" t="n">
        <f aca="false">IF(AE$6=1,Inputs!$B$47,0)</f>
        <v>0</v>
      </c>
      <c r="AF57" s="66" t="n">
        <f aca="false">IF(AF$6=1,Inputs!$B$47,0)</f>
        <v>0</v>
      </c>
      <c r="AG57" s="66" t="n">
        <f aca="false">IF(AG$6=1,Inputs!$B$47,0)</f>
        <v>0</v>
      </c>
      <c r="AH57" s="66" t="n">
        <f aca="false">IF(AH$6=1,Inputs!$B$47,0)</f>
        <v>0</v>
      </c>
      <c r="AI57" s="66" t="n">
        <f aca="false">IF(AI$6=1,Inputs!$B$47,0)</f>
        <v>0</v>
      </c>
      <c r="AJ57" s="66" t="n">
        <f aca="false">IF(AJ$6=1,Inputs!$B$47,0)</f>
        <v>0</v>
      </c>
      <c r="AK57" s="66" t="n">
        <f aca="false">IF(AK$6=1,Inputs!$B$47,0)</f>
        <v>0</v>
      </c>
      <c r="AL57" s="66" t="n">
        <f aca="false">IF(AL$6=1,Inputs!$B$47,0)</f>
        <v>0</v>
      </c>
      <c r="AM57" s="66" t="n">
        <f aca="false">IF(AM$6=1,Inputs!$B$47,0)</f>
        <v>0</v>
      </c>
      <c r="AN57" s="66" t="n">
        <f aca="false">IF(AN$6=1,Inputs!$B$47,0)</f>
        <v>0</v>
      </c>
      <c r="AO57" s="66" t="n">
        <f aca="false">IF(AO$6=1,Inputs!$B$47,0)</f>
        <v>0</v>
      </c>
      <c r="AP57" s="66" t="n">
        <f aca="false">IF(AP$6=1,Inputs!$B$47,0)</f>
        <v>0</v>
      </c>
      <c r="AQ57" s="66" t="n">
        <f aca="false">IF(AQ$6=1,Inputs!$B$47,0)</f>
        <v>0</v>
      </c>
      <c r="AR57" s="66" t="n">
        <f aca="false">IF(AR$6=1,Inputs!$B$47,0)</f>
        <v>0</v>
      </c>
      <c r="AS57" s="66" t="n">
        <f aca="false">IF(AS$6=1,Inputs!$B$47,0)</f>
        <v>0</v>
      </c>
      <c r="AT57" s="66" t="n">
        <f aca="false">IF(AT$6=1,Inputs!$B$47,0)</f>
        <v>0</v>
      </c>
      <c r="AU57" s="66" t="n">
        <f aca="false">IF(AU$6=1,Inputs!$B$47,0)</f>
        <v>0</v>
      </c>
      <c r="AV57" s="66" t="n">
        <f aca="false">IF(AV$6=1,Inputs!$B$47,0)</f>
        <v>0</v>
      </c>
      <c r="AW57" s="66" t="n">
        <f aca="false">IF(AW$6=1,Inputs!$B$47,0)</f>
        <v>0</v>
      </c>
      <c r="AX57" s="66" t="n">
        <f aca="false">IF(AX$6=1,Inputs!$B$47,0)</f>
        <v>0</v>
      </c>
      <c r="AY57" s="66" t="n">
        <f aca="false">IF(AY$6=1,Inputs!$B$47,0)</f>
        <v>0</v>
      </c>
      <c r="AZ57" s="66" t="n">
        <f aca="false">IF(AZ$6=1,Inputs!$B$47,0)</f>
        <v>0</v>
      </c>
      <c r="BA57" s="66" t="n">
        <f aca="false">IF(BA$6=1,Inputs!$B$47,0)</f>
        <v>0</v>
      </c>
      <c r="BB57" s="66" t="n">
        <f aca="false">IF(BB$6=1,Inputs!$B$47,0)</f>
        <v>0</v>
      </c>
      <c r="BC57" s="66" t="n">
        <f aca="false">IF(BC$6=1,Inputs!$B$47,0)</f>
        <v>0</v>
      </c>
      <c r="BD57" s="66" t="n">
        <f aca="false">IF(BD$6=1,Inputs!$B$47,0)</f>
        <v>0</v>
      </c>
      <c r="BE57" s="66" t="n">
        <f aca="false">IF(BE$6=1,Inputs!$B$47,0)</f>
        <v>0</v>
      </c>
      <c r="BF57" s="66" t="n">
        <f aca="false">IF(BF$6=1,Inputs!$B$47,0)</f>
        <v>0</v>
      </c>
      <c r="BG57" s="66" t="n">
        <f aca="false">IF(BG$6=1,Inputs!$B$47,0)</f>
        <v>0</v>
      </c>
      <c r="BH57" s="66" t="n">
        <f aca="false">IF(BH$6=1,Inputs!$B$47,0)</f>
        <v>0</v>
      </c>
      <c r="BI57" s="66" t="n">
        <f aca="false">IF(BI$6=1,Inputs!$B$47,0)</f>
        <v>0</v>
      </c>
      <c r="BJ57" s="66" t="n">
        <f aca="false">IF(BJ$6=1,Inputs!$B$47,0)</f>
        <v>0</v>
      </c>
    </row>
    <row r="58" customFormat="false" ht="15" hidden="false" customHeight="false" outlineLevel="0" collapsed="false">
      <c r="A58" s="6" t="s">
        <v>85</v>
      </c>
      <c r="C58" s="66" t="n">
        <f aca="false">-MIN(C56,Inputs!$B$47/MAX(1,Inputs!$B$49*12))</f>
        <v>-0</v>
      </c>
      <c r="D58" s="66" t="n">
        <f aca="false">-MIN(D56,Inputs!$B$47/MAX(1,Inputs!$B$49*12))</f>
        <v>-0</v>
      </c>
      <c r="E58" s="66" t="n">
        <f aca="false">-MIN(E56,Inputs!$B$47/MAX(1,Inputs!$B$49*12))</f>
        <v>-0</v>
      </c>
      <c r="F58" s="66" t="n">
        <f aca="false">-MIN(F56,Inputs!$B$47/MAX(1,Inputs!$B$49*12))</f>
        <v>-0</v>
      </c>
      <c r="G58" s="66" t="n">
        <f aca="false">-MIN(G56,Inputs!$B$47/MAX(1,Inputs!$B$49*12))</f>
        <v>-0</v>
      </c>
      <c r="H58" s="66" t="n">
        <f aca="false">-MIN(H56,Inputs!$B$47/MAX(1,Inputs!$B$49*12))</f>
        <v>-0</v>
      </c>
      <c r="I58" s="66" t="n">
        <f aca="false">-MIN(I56,Inputs!$B$47/MAX(1,Inputs!$B$49*12))</f>
        <v>-0</v>
      </c>
      <c r="J58" s="66" t="n">
        <f aca="false">-MIN(J56,Inputs!$B$47/MAX(1,Inputs!$B$49*12))</f>
        <v>-0</v>
      </c>
      <c r="K58" s="66" t="n">
        <f aca="false">-MIN(K56,Inputs!$B$47/MAX(1,Inputs!$B$49*12))</f>
        <v>-0</v>
      </c>
      <c r="L58" s="66" t="n">
        <f aca="false">-MIN(L56,Inputs!$B$47/MAX(1,Inputs!$B$49*12))</f>
        <v>-0</v>
      </c>
      <c r="M58" s="66" t="n">
        <f aca="false">-MIN(M56,Inputs!$B$47/MAX(1,Inputs!$B$49*12))</f>
        <v>-0</v>
      </c>
      <c r="N58" s="66" t="n">
        <f aca="false">-MIN(N56,Inputs!$B$47/MAX(1,Inputs!$B$49*12))</f>
        <v>-0</v>
      </c>
      <c r="O58" s="66" t="n">
        <f aca="false">-MIN(O56,Inputs!$B$47/MAX(1,Inputs!$B$49*12))</f>
        <v>-0</v>
      </c>
      <c r="P58" s="66" t="n">
        <f aca="false">-MIN(P56,Inputs!$B$47/MAX(1,Inputs!$B$49*12))</f>
        <v>-0</v>
      </c>
      <c r="Q58" s="66" t="n">
        <f aca="false">-MIN(Q56,Inputs!$B$47/MAX(1,Inputs!$B$49*12))</f>
        <v>-0</v>
      </c>
      <c r="R58" s="66" t="n">
        <f aca="false">-MIN(R56,Inputs!$B$47/MAX(1,Inputs!$B$49*12))</f>
        <v>-0</v>
      </c>
      <c r="S58" s="66" t="n">
        <f aca="false">-MIN(S56,Inputs!$B$47/MAX(1,Inputs!$B$49*12))</f>
        <v>-0</v>
      </c>
      <c r="T58" s="66" t="n">
        <f aca="false">-MIN(T56,Inputs!$B$47/MAX(1,Inputs!$B$49*12))</f>
        <v>-0</v>
      </c>
      <c r="U58" s="66" t="n">
        <f aca="false">-MIN(U56,Inputs!$B$47/MAX(1,Inputs!$B$49*12))</f>
        <v>-0</v>
      </c>
      <c r="V58" s="66" t="n">
        <f aca="false">-MIN(V56,Inputs!$B$47/MAX(1,Inputs!$B$49*12))</f>
        <v>-0</v>
      </c>
      <c r="W58" s="66" t="n">
        <f aca="false">-MIN(W56,Inputs!$B$47/MAX(1,Inputs!$B$49*12))</f>
        <v>-0</v>
      </c>
      <c r="X58" s="66" t="n">
        <f aca="false">-MIN(X56,Inputs!$B$47/MAX(1,Inputs!$B$49*12))</f>
        <v>-0</v>
      </c>
      <c r="Y58" s="66" t="n">
        <f aca="false">-MIN(Y56,Inputs!$B$47/MAX(1,Inputs!$B$49*12))</f>
        <v>-0</v>
      </c>
      <c r="Z58" s="66" t="n">
        <f aca="false">-MIN(Z56,Inputs!$B$47/MAX(1,Inputs!$B$49*12))</f>
        <v>-0</v>
      </c>
      <c r="AA58" s="66" t="n">
        <f aca="false">-MIN(AA56,Inputs!$B$47/MAX(1,Inputs!$B$49*12))</f>
        <v>-0</v>
      </c>
      <c r="AB58" s="66" t="n">
        <f aca="false">-MIN(AB56,Inputs!$B$47/MAX(1,Inputs!$B$49*12))</f>
        <v>-0</v>
      </c>
      <c r="AC58" s="66" t="n">
        <f aca="false">-MIN(AC56,Inputs!$B$47/MAX(1,Inputs!$B$49*12))</f>
        <v>-0</v>
      </c>
      <c r="AD58" s="66" t="n">
        <f aca="false">-MIN(AD56,Inputs!$B$47/MAX(1,Inputs!$B$49*12))</f>
        <v>-0</v>
      </c>
      <c r="AE58" s="66" t="n">
        <f aca="false">-MIN(AE56,Inputs!$B$47/MAX(1,Inputs!$B$49*12))</f>
        <v>-0</v>
      </c>
      <c r="AF58" s="66" t="n">
        <f aca="false">-MIN(AF56,Inputs!$B$47/MAX(1,Inputs!$B$49*12))</f>
        <v>-0</v>
      </c>
      <c r="AG58" s="66" t="n">
        <f aca="false">-MIN(AG56,Inputs!$B$47/MAX(1,Inputs!$B$49*12))</f>
        <v>-0</v>
      </c>
      <c r="AH58" s="66" t="n">
        <f aca="false">-MIN(AH56,Inputs!$B$47/MAX(1,Inputs!$B$49*12))</f>
        <v>-0</v>
      </c>
      <c r="AI58" s="66" t="n">
        <f aca="false">-MIN(AI56,Inputs!$B$47/MAX(1,Inputs!$B$49*12))</f>
        <v>-0</v>
      </c>
      <c r="AJ58" s="66" t="n">
        <f aca="false">-MIN(AJ56,Inputs!$B$47/MAX(1,Inputs!$B$49*12))</f>
        <v>-0</v>
      </c>
      <c r="AK58" s="66" t="n">
        <f aca="false">-MIN(AK56,Inputs!$B$47/MAX(1,Inputs!$B$49*12))</f>
        <v>-0</v>
      </c>
      <c r="AL58" s="66" t="n">
        <f aca="false">-MIN(AL56,Inputs!$B$47/MAX(1,Inputs!$B$49*12))</f>
        <v>-0</v>
      </c>
      <c r="AM58" s="66" t="n">
        <f aca="false">-MIN(AM56,Inputs!$B$47/MAX(1,Inputs!$B$49*12))</f>
        <v>-0</v>
      </c>
      <c r="AN58" s="66" t="n">
        <f aca="false">-MIN(AN56,Inputs!$B$47/MAX(1,Inputs!$B$49*12))</f>
        <v>-0</v>
      </c>
      <c r="AO58" s="66" t="n">
        <f aca="false">-MIN(AO56,Inputs!$B$47/MAX(1,Inputs!$B$49*12))</f>
        <v>-0</v>
      </c>
      <c r="AP58" s="66" t="n">
        <f aca="false">-MIN(AP56,Inputs!$B$47/MAX(1,Inputs!$B$49*12))</f>
        <v>-0</v>
      </c>
      <c r="AQ58" s="66" t="n">
        <f aca="false">-MIN(AQ56,Inputs!$B$47/MAX(1,Inputs!$B$49*12))</f>
        <v>-0</v>
      </c>
      <c r="AR58" s="66" t="n">
        <f aca="false">-MIN(AR56,Inputs!$B$47/MAX(1,Inputs!$B$49*12))</f>
        <v>-0</v>
      </c>
      <c r="AS58" s="66" t="n">
        <f aca="false">-MIN(AS56,Inputs!$B$47/MAX(1,Inputs!$B$49*12))</f>
        <v>-0</v>
      </c>
      <c r="AT58" s="66" t="n">
        <f aca="false">-MIN(AT56,Inputs!$B$47/MAX(1,Inputs!$B$49*12))</f>
        <v>-0</v>
      </c>
      <c r="AU58" s="66" t="n">
        <f aca="false">-MIN(AU56,Inputs!$B$47/MAX(1,Inputs!$B$49*12))</f>
        <v>-0</v>
      </c>
      <c r="AV58" s="66" t="n">
        <f aca="false">-MIN(AV56,Inputs!$B$47/MAX(1,Inputs!$B$49*12))</f>
        <v>-0</v>
      </c>
      <c r="AW58" s="66" t="n">
        <f aca="false">-MIN(AW56,Inputs!$B$47/MAX(1,Inputs!$B$49*12))</f>
        <v>-0</v>
      </c>
      <c r="AX58" s="66" t="n">
        <f aca="false">-MIN(AX56,Inputs!$B$47/MAX(1,Inputs!$B$49*12))</f>
        <v>-0</v>
      </c>
      <c r="AY58" s="66" t="n">
        <f aca="false">-MIN(AY56,Inputs!$B$47/MAX(1,Inputs!$B$49*12))</f>
        <v>-0</v>
      </c>
      <c r="AZ58" s="66" t="n">
        <f aca="false">-MIN(AZ56,Inputs!$B$47/MAX(1,Inputs!$B$49*12))</f>
        <v>-0</v>
      </c>
      <c r="BA58" s="66" t="n">
        <f aca="false">-MIN(BA56,Inputs!$B$47/MAX(1,Inputs!$B$49*12))</f>
        <v>-0</v>
      </c>
      <c r="BB58" s="66" t="n">
        <f aca="false">-MIN(BB56,Inputs!$B$47/MAX(1,Inputs!$B$49*12))</f>
        <v>-0</v>
      </c>
      <c r="BC58" s="66" t="n">
        <f aca="false">-MIN(BC56,Inputs!$B$47/MAX(1,Inputs!$B$49*12))</f>
        <v>-0</v>
      </c>
      <c r="BD58" s="66" t="n">
        <f aca="false">-MIN(BD56,Inputs!$B$47/MAX(1,Inputs!$B$49*12))</f>
        <v>-0</v>
      </c>
      <c r="BE58" s="66" t="n">
        <f aca="false">-MIN(BE56,Inputs!$B$47/MAX(1,Inputs!$B$49*12))</f>
        <v>-0</v>
      </c>
      <c r="BF58" s="66" t="n">
        <f aca="false">-MIN(BF56,Inputs!$B$47/MAX(1,Inputs!$B$49*12))</f>
        <v>-0</v>
      </c>
      <c r="BG58" s="66" t="n">
        <f aca="false">-MIN(BG56,Inputs!$B$47/MAX(1,Inputs!$B$49*12))</f>
        <v>-0</v>
      </c>
      <c r="BH58" s="66" t="n">
        <f aca="false">-MIN(BH56,Inputs!$B$47/MAX(1,Inputs!$B$49*12))</f>
        <v>-0</v>
      </c>
      <c r="BI58" s="66" t="n">
        <f aca="false">-MIN(BI56,Inputs!$B$47/MAX(1,Inputs!$B$49*12))</f>
        <v>-0</v>
      </c>
      <c r="BJ58" s="66" t="n">
        <f aca="false">-MIN(BJ56,Inputs!$B$47/MAX(1,Inputs!$B$49*12))</f>
        <v>-0</v>
      </c>
    </row>
    <row r="59" customFormat="false" ht="15" hidden="false" customHeight="false" outlineLevel="0" collapsed="false">
      <c r="A59" s="4" t="s">
        <v>419</v>
      </c>
      <c r="C59" s="72" t="n">
        <f aca="false">C56+C57+C58</f>
        <v>0</v>
      </c>
      <c r="D59" s="72" t="n">
        <f aca="false">D56+D57+D58</f>
        <v>0</v>
      </c>
      <c r="E59" s="72" t="n">
        <f aca="false">E56+E57+E58</f>
        <v>0</v>
      </c>
      <c r="F59" s="72" t="n">
        <f aca="false">F56+F57+F58</f>
        <v>0</v>
      </c>
      <c r="G59" s="72" t="n">
        <f aca="false">G56+G57+G58</f>
        <v>0</v>
      </c>
      <c r="H59" s="72" t="n">
        <f aca="false">H56+H57+H58</f>
        <v>0</v>
      </c>
      <c r="I59" s="72" t="n">
        <f aca="false">I56+I57+I58</f>
        <v>0</v>
      </c>
      <c r="J59" s="72" t="n">
        <f aca="false">J56+J57+J58</f>
        <v>0</v>
      </c>
      <c r="K59" s="72" t="n">
        <f aca="false">K56+K57+K58</f>
        <v>0</v>
      </c>
      <c r="L59" s="72" t="n">
        <f aca="false">L56+L57+L58</f>
        <v>0</v>
      </c>
      <c r="M59" s="72" t="n">
        <f aca="false">M56+M57+M58</f>
        <v>0</v>
      </c>
      <c r="N59" s="72" t="n">
        <f aca="false">N56+N57+N58</f>
        <v>0</v>
      </c>
      <c r="O59" s="72" t="n">
        <f aca="false">O56+O57+O58</f>
        <v>0</v>
      </c>
      <c r="P59" s="72" t="n">
        <f aca="false">P56+P57+P58</f>
        <v>0</v>
      </c>
      <c r="Q59" s="72" t="n">
        <f aca="false">Q56+Q57+Q58</f>
        <v>0</v>
      </c>
      <c r="R59" s="72" t="n">
        <f aca="false">R56+R57+R58</f>
        <v>0</v>
      </c>
      <c r="S59" s="72" t="n">
        <f aca="false">S56+S57+S58</f>
        <v>0</v>
      </c>
      <c r="T59" s="72" t="n">
        <f aca="false">T56+T57+T58</f>
        <v>0</v>
      </c>
      <c r="U59" s="72" t="n">
        <f aca="false">U56+U57+U58</f>
        <v>0</v>
      </c>
      <c r="V59" s="72" t="n">
        <f aca="false">V56+V57+V58</f>
        <v>0</v>
      </c>
      <c r="W59" s="72" t="n">
        <f aca="false">W56+W57+W58</f>
        <v>0</v>
      </c>
      <c r="X59" s="72" t="n">
        <f aca="false">X56+X57+X58</f>
        <v>0</v>
      </c>
      <c r="Y59" s="72" t="n">
        <f aca="false">Y56+Y57+Y58</f>
        <v>0</v>
      </c>
      <c r="Z59" s="72" t="n">
        <f aca="false">Z56+Z57+Z58</f>
        <v>0</v>
      </c>
      <c r="AA59" s="72" t="n">
        <f aca="false">AA56+AA57+AA58</f>
        <v>0</v>
      </c>
      <c r="AB59" s="72" t="n">
        <f aca="false">AB56+AB57+AB58</f>
        <v>0</v>
      </c>
      <c r="AC59" s="72" t="n">
        <f aca="false">AC56+AC57+AC58</f>
        <v>0</v>
      </c>
      <c r="AD59" s="72" t="n">
        <f aca="false">AD56+AD57+AD58</f>
        <v>0</v>
      </c>
      <c r="AE59" s="72" t="n">
        <f aca="false">AE56+AE57+AE58</f>
        <v>0</v>
      </c>
      <c r="AF59" s="72" t="n">
        <f aca="false">AF56+AF57+AF58</f>
        <v>0</v>
      </c>
      <c r="AG59" s="72" t="n">
        <f aca="false">AG56+AG57+AG58</f>
        <v>0</v>
      </c>
      <c r="AH59" s="72" t="n">
        <f aca="false">AH56+AH57+AH58</f>
        <v>0</v>
      </c>
      <c r="AI59" s="72" t="n">
        <f aca="false">AI56+AI57+AI58</f>
        <v>0</v>
      </c>
      <c r="AJ59" s="72" t="n">
        <f aca="false">AJ56+AJ57+AJ58</f>
        <v>0</v>
      </c>
      <c r="AK59" s="72" t="n">
        <f aca="false">AK56+AK57+AK58</f>
        <v>0</v>
      </c>
      <c r="AL59" s="72" t="n">
        <f aca="false">AL56+AL57+AL58</f>
        <v>0</v>
      </c>
      <c r="AM59" s="72" t="n">
        <f aca="false">AM56+AM57+AM58</f>
        <v>0</v>
      </c>
      <c r="AN59" s="72" t="n">
        <f aca="false">AN56+AN57+AN58</f>
        <v>0</v>
      </c>
      <c r="AO59" s="72" t="n">
        <f aca="false">AO56+AO57+AO58</f>
        <v>0</v>
      </c>
      <c r="AP59" s="72" t="n">
        <f aca="false">AP56+AP57+AP58</f>
        <v>0</v>
      </c>
      <c r="AQ59" s="72" t="n">
        <f aca="false">AQ56+AQ57+AQ58</f>
        <v>0</v>
      </c>
      <c r="AR59" s="72" t="n">
        <f aca="false">AR56+AR57+AR58</f>
        <v>0</v>
      </c>
      <c r="AS59" s="72" t="n">
        <f aca="false">AS56+AS57+AS58</f>
        <v>0</v>
      </c>
      <c r="AT59" s="72" t="n">
        <f aca="false">AT56+AT57+AT58</f>
        <v>0</v>
      </c>
      <c r="AU59" s="72" t="n">
        <f aca="false">AU56+AU57+AU58</f>
        <v>0</v>
      </c>
      <c r="AV59" s="72" t="n">
        <f aca="false">AV56+AV57+AV58</f>
        <v>0</v>
      </c>
      <c r="AW59" s="72" t="n">
        <f aca="false">AW56+AW57+AW58</f>
        <v>0</v>
      </c>
      <c r="AX59" s="72" t="n">
        <f aca="false">AX56+AX57+AX58</f>
        <v>0</v>
      </c>
      <c r="AY59" s="72" t="n">
        <f aca="false">AY56+AY57+AY58</f>
        <v>0</v>
      </c>
      <c r="AZ59" s="72" t="n">
        <f aca="false">AZ56+AZ57+AZ58</f>
        <v>0</v>
      </c>
      <c r="BA59" s="72" t="n">
        <f aca="false">BA56+BA57+BA58</f>
        <v>0</v>
      </c>
      <c r="BB59" s="72" t="n">
        <f aca="false">BB56+BB57+BB58</f>
        <v>0</v>
      </c>
      <c r="BC59" s="72" t="n">
        <f aca="false">BC56+BC57+BC58</f>
        <v>0</v>
      </c>
      <c r="BD59" s="72" t="n">
        <f aca="false">BD56+BD57+BD58</f>
        <v>0</v>
      </c>
      <c r="BE59" s="72" t="n">
        <f aca="false">BE56+BE57+BE58</f>
        <v>0</v>
      </c>
      <c r="BF59" s="72" t="n">
        <f aca="false">BF56+BF57+BF58</f>
        <v>0</v>
      </c>
      <c r="BG59" s="72" t="n">
        <f aca="false">BG56+BG57+BG58</f>
        <v>0</v>
      </c>
      <c r="BH59" s="72" t="n">
        <f aca="false">BH56+BH57+BH58</f>
        <v>0</v>
      </c>
      <c r="BI59" s="72" t="n">
        <f aca="false">BI56+BI57+BI58</f>
        <v>0</v>
      </c>
      <c r="BJ59" s="72" t="n">
        <f aca="false">BJ56+BJ57+BJ58</f>
        <v>0</v>
      </c>
    </row>
    <row r="61" customFormat="false" ht="15.75" hidden="false" customHeight="true" outlineLevel="0" collapsed="false">
      <c r="A61" s="7" t="s">
        <v>301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</row>
    <row r="62" customFormat="false" ht="15" hidden="false" customHeight="false" outlineLevel="0" collapsed="false">
      <c r="A62" s="6" t="s">
        <v>89</v>
      </c>
      <c r="C62" s="66" t="n">
        <f aca="false">C26*Inputs!$B$52/30</f>
        <v>526.556944444444</v>
      </c>
      <c r="D62" s="66" t="n">
        <f aca="false">D26*Inputs!$B$52/30</f>
        <v>783.750770833333</v>
      </c>
      <c r="E62" s="66" t="n">
        <f aca="false">E26*Inputs!$B$52/30</f>
        <v>1029.37087503472</v>
      </c>
      <c r="F62" s="66" t="n">
        <f aca="false">F26*Inputs!$B$52/30</f>
        <v>1263.93807454705</v>
      </c>
      <c r="G62" s="66" t="n">
        <f aca="false">G26*Inputs!$B$52/30</f>
        <v>1487.94975008132</v>
      </c>
      <c r="H62" s="66" t="n">
        <f aca="false">H26*Inputs!$B$52/30</f>
        <v>1701.88090021655</v>
      </c>
      <c r="I62" s="66" t="n">
        <f aca="false">I26*Inputs!$B$52/30</f>
        <v>1906.18514859569</v>
      </c>
      <c r="J62" s="66" t="n">
        <f aca="false">J26*Inputs!$B$52/30</f>
        <v>2101.29570579778</v>
      </c>
      <c r="K62" s="66" t="n">
        <f aca="false">K26*Inputs!$B$52/30</f>
        <v>2287.62628792577</v>
      </c>
      <c r="L62" s="66" t="n">
        <f aca="false">L26*Inputs!$B$52/30</f>
        <v>2465.571993858</v>
      </c>
      <c r="M62" s="66" t="n">
        <f aca="false">M26*Inputs!$B$52/30</f>
        <v>2635.51014302328</v>
      </c>
      <c r="N62" s="66" t="n">
        <f aca="false">N26*Inputs!$B$52/30</f>
        <v>2797.80107547612</v>
      </c>
      <c r="O62" s="66" t="n">
        <f aca="false">O26*Inputs!$B$52/30</f>
        <v>2975.6111381908</v>
      </c>
      <c r="P62" s="66" t="n">
        <f aca="false">P26*Inputs!$B$52/30</f>
        <v>3168.24197030555</v>
      </c>
      <c r="Q62" s="66" t="n">
        <f aca="false">Q26*Inputs!$B$52/30</f>
        <v>3352.20441497514</v>
      </c>
      <c r="R62" s="66" t="n">
        <f aca="false">R26*Inputs!$B$52/30</f>
        <v>3527.88854963459</v>
      </c>
      <c r="S62" s="66" t="n">
        <f aca="false">S26*Inputs!$B$52/30</f>
        <v>3695.66689823436</v>
      </c>
      <c r="T62" s="66" t="n">
        <f aca="false">T26*Inputs!$B$52/30</f>
        <v>3855.89522114715</v>
      </c>
      <c r="U62" s="66" t="n">
        <f aca="false">U26*Inputs!$B$52/30</f>
        <v>4008.91326952886</v>
      </c>
      <c r="V62" s="66" t="n">
        <f aca="false">V26*Inputs!$B$52/30</f>
        <v>4155.0455057334</v>
      </c>
      <c r="W62" s="66" t="n">
        <f aca="false">W26*Inputs!$B$52/30</f>
        <v>4294.60179130873</v>
      </c>
      <c r="X62" s="66" t="n">
        <f aca="false">X26*Inputs!$B$52/30</f>
        <v>4427.87804403317</v>
      </c>
      <c r="Y62" s="66" t="n">
        <f aca="false">Y26*Inputs!$B$52/30</f>
        <v>4555.15686538501</v>
      </c>
      <c r="Z62" s="66" t="n">
        <f aca="false">Z26*Inputs!$B$52/30</f>
        <v>4676.70813977602</v>
      </c>
      <c r="AA62" s="66" t="n">
        <f aca="false">AA26*Inputs!$B$52/30</f>
        <v>4819.64960681943</v>
      </c>
      <c r="AB62" s="66" t="n">
        <f aca="false">AB26*Inputs!$B$52/30</f>
        <v>4983.01870784589</v>
      </c>
      <c r="AC62" s="66" t="n">
        <f aca="false">AC26*Inputs!$B$52/30</f>
        <v>5139.03619932616</v>
      </c>
      <c r="AD62" s="66" t="n">
        <f aca="false">AD26*Inputs!$B$52/30</f>
        <v>5288.03290368981</v>
      </c>
      <c r="AE62" s="66" t="n">
        <f aca="false">AE26*Inputs!$B$52/30</f>
        <v>5430.32475635711</v>
      </c>
      <c r="AF62" s="66" t="n">
        <f aca="false">AF26*Inputs!$B$52/30</f>
        <v>5566.21347565437</v>
      </c>
      <c r="AG62" s="66" t="n">
        <f aca="false">AG26*Inputs!$B$52/30</f>
        <v>5695.98720258326</v>
      </c>
      <c r="AH62" s="66" t="n">
        <f aca="false">AH26*Inputs!$B$52/30</f>
        <v>5819.92111180034</v>
      </c>
      <c r="AI62" s="66" t="n">
        <f aca="false">AI26*Inputs!$B$52/30</f>
        <v>5938.27799510266</v>
      </c>
      <c r="AJ62" s="66" t="n">
        <f aca="false">AJ26*Inputs!$B$52/30</f>
        <v>6051.30881865637</v>
      </c>
      <c r="AK62" s="66" t="n">
        <f aca="false">AK26*Inputs!$B$52/30</f>
        <v>6159.25325515017</v>
      </c>
      <c r="AL62" s="66" t="n">
        <f aca="false">AL26*Inputs!$B$52/30</f>
        <v>6262.34019200174</v>
      </c>
      <c r="AM62" s="66" t="n">
        <f aca="false">AM26*Inputs!$B$52/30</f>
        <v>6392.44088336166</v>
      </c>
      <c r="AN62" s="66" t="n">
        <f aca="false">AN26*Inputs!$B$52/30</f>
        <v>6548.33971027706</v>
      </c>
      <c r="AO62" s="66" t="n">
        <f aca="false">AO26*Inputs!$B$52/30</f>
        <v>6697.22308998126</v>
      </c>
      <c r="AP62" s="66" t="n">
        <f aca="false">AP26*Inputs!$B$52/30</f>
        <v>6839.40671759877</v>
      </c>
      <c r="AQ62" s="66" t="n">
        <f aca="false">AQ26*Inputs!$B$52/30</f>
        <v>6975.19208197349</v>
      </c>
      <c r="AR62" s="66" t="n">
        <f aca="false">AR26*Inputs!$B$52/30</f>
        <v>7104.86710495135</v>
      </c>
      <c r="AS62" s="66" t="n">
        <f aca="false">AS26*Inputs!$B$52/30</f>
        <v>7228.7067518952</v>
      </c>
      <c r="AT62" s="66" t="n">
        <f aca="false">AT26*Inputs!$B$52/30</f>
        <v>7346.97361472658</v>
      </c>
      <c r="AU62" s="66" t="n">
        <f aca="false">AU26*Inputs!$B$52/30</f>
        <v>7459.91846873056</v>
      </c>
      <c r="AV62" s="66" t="n">
        <f aca="false">AV26*Inputs!$B$52/30</f>
        <v>7567.78080430435</v>
      </c>
      <c r="AW62" s="66" t="n">
        <f aca="false">AW26*Inputs!$B$52/30</f>
        <v>7670.78933477732</v>
      </c>
      <c r="AX62" s="66" t="n">
        <f aca="false">AX26*Inputs!$B$52/30</f>
        <v>7769.16248137901</v>
      </c>
      <c r="AY62" s="66" t="n">
        <f aca="false">AY26*Inputs!$B$52/30</f>
        <v>7900.45476971695</v>
      </c>
      <c r="AZ62" s="66" t="n">
        <f aca="false">AZ26*Inputs!$B$52/30</f>
        <v>8063.18483841302</v>
      </c>
      <c r="BA62" s="66" t="n">
        <f aca="false">BA26*Inputs!$B$52/30</f>
        <v>8218.59205401777</v>
      </c>
      <c r="BB62" s="66" t="n">
        <f aca="false">BB26*Inputs!$B$52/30</f>
        <v>8367.0059449203</v>
      </c>
      <c r="BC62" s="66" t="n">
        <f aca="false">BC26*Inputs!$B$52/30</f>
        <v>8508.74121073222</v>
      </c>
      <c r="BD62" s="66" t="n">
        <f aca="false">BD26*Inputs!$B$52/30</f>
        <v>8644.0983895826</v>
      </c>
      <c r="BE62" s="66" t="n">
        <f aca="false">BE26*Inputs!$B$52/30</f>
        <v>8773.36449538472</v>
      </c>
      <c r="BF62" s="66" t="n">
        <f aca="false">BF26*Inputs!$B$52/30</f>
        <v>8896.81362642574</v>
      </c>
      <c r="BG62" s="66" t="n">
        <f aca="false">BG26*Inputs!$B$52/30</f>
        <v>9014.70754656991</v>
      </c>
      <c r="BH62" s="66" t="n">
        <f aca="false">BH26*Inputs!$B$52/30</f>
        <v>9127.2962403076</v>
      </c>
      <c r="BI62" s="66" t="n">
        <f aca="false">BI26*Inputs!$B$52/30</f>
        <v>9234.81844282709</v>
      </c>
      <c r="BJ62" s="66" t="n">
        <f aca="false">BJ26*Inputs!$B$52/30</f>
        <v>9337.50214623321</v>
      </c>
    </row>
    <row r="63" customFormat="false" ht="15" hidden="false" customHeight="false" outlineLevel="0" collapsed="false">
      <c r="A63" s="6" t="s">
        <v>90</v>
      </c>
      <c r="C63" s="66" t="n">
        <f aca="false">-C27*Inputs!$B$53/30</f>
        <v>0</v>
      </c>
      <c r="D63" s="66" t="n">
        <f aca="false">-D27*Inputs!$B$53/30</f>
        <v>0</v>
      </c>
      <c r="E63" s="66" t="n">
        <f aca="false">-E27*Inputs!$B$53/30</f>
        <v>0</v>
      </c>
      <c r="F63" s="66" t="n">
        <f aca="false">-F27*Inputs!$B$53/30</f>
        <v>0</v>
      </c>
      <c r="G63" s="66" t="n">
        <f aca="false">-G27*Inputs!$B$53/30</f>
        <v>0</v>
      </c>
      <c r="H63" s="66" t="n">
        <f aca="false">-H27*Inputs!$B$53/30</f>
        <v>0</v>
      </c>
      <c r="I63" s="66" t="n">
        <f aca="false">-I27*Inputs!$B$53/30</f>
        <v>0</v>
      </c>
      <c r="J63" s="66" t="n">
        <f aca="false">-J27*Inputs!$B$53/30</f>
        <v>0</v>
      </c>
      <c r="K63" s="66" t="n">
        <f aca="false">-K27*Inputs!$B$53/30</f>
        <v>0</v>
      </c>
      <c r="L63" s="66" t="n">
        <f aca="false">-L27*Inputs!$B$53/30</f>
        <v>0</v>
      </c>
      <c r="M63" s="66" t="n">
        <f aca="false">-M27*Inputs!$B$53/30</f>
        <v>0</v>
      </c>
      <c r="N63" s="66" t="n">
        <f aca="false">-N27*Inputs!$B$53/30</f>
        <v>0</v>
      </c>
      <c r="O63" s="66" t="n">
        <f aca="false">-O27*Inputs!$B$53/30</f>
        <v>0</v>
      </c>
      <c r="P63" s="66" t="n">
        <f aca="false">-P27*Inputs!$B$53/30</f>
        <v>0</v>
      </c>
      <c r="Q63" s="66" t="n">
        <f aca="false">-Q27*Inputs!$B$53/30</f>
        <v>0</v>
      </c>
      <c r="R63" s="66" t="n">
        <f aca="false">-R27*Inputs!$B$53/30</f>
        <v>0</v>
      </c>
      <c r="S63" s="66" t="n">
        <f aca="false">-S27*Inputs!$B$53/30</f>
        <v>0</v>
      </c>
      <c r="T63" s="66" t="n">
        <f aca="false">-T27*Inputs!$B$53/30</f>
        <v>0</v>
      </c>
      <c r="U63" s="66" t="n">
        <f aca="false">-U27*Inputs!$B$53/30</f>
        <v>0</v>
      </c>
      <c r="V63" s="66" t="n">
        <f aca="false">-V27*Inputs!$B$53/30</f>
        <v>0</v>
      </c>
      <c r="W63" s="66" t="n">
        <f aca="false">-W27*Inputs!$B$53/30</f>
        <v>0</v>
      </c>
      <c r="X63" s="66" t="n">
        <f aca="false">-X27*Inputs!$B$53/30</f>
        <v>0</v>
      </c>
      <c r="Y63" s="66" t="n">
        <f aca="false">-Y27*Inputs!$B$53/30</f>
        <v>0</v>
      </c>
      <c r="Z63" s="66" t="n">
        <f aca="false">-Z27*Inputs!$B$53/30</f>
        <v>0</v>
      </c>
      <c r="AA63" s="66" t="n">
        <f aca="false">-AA27*Inputs!$B$53/30</f>
        <v>0</v>
      </c>
      <c r="AB63" s="66" t="n">
        <f aca="false">-AB27*Inputs!$B$53/30</f>
        <v>0</v>
      </c>
      <c r="AC63" s="66" t="n">
        <f aca="false">-AC27*Inputs!$B$53/30</f>
        <v>0</v>
      </c>
      <c r="AD63" s="66" t="n">
        <f aca="false">-AD27*Inputs!$B$53/30</f>
        <v>0</v>
      </c>
      <c r="AE63" s="66" t="n">
        <f aca="false">-AE27*Inputs!$B$53/30</f>
        <v>0</v>
      </c>
      <c r="AF63" s="66" t="n">
        <f aca="false">-AF27*Inputs!$B$53/30</f>
        <v>0</v>
      </c>
      <c r="AG63" s="66" t="n">
        <f aca="false">-AG27*Inputs!$B$53/30</f>
        <v>0</v>
      </c>
      <c r="AH63" s="66" t="n">
        <f aca="false">-AH27*Inputs!$B$53/30</f>
        <v>0</v>
      </c>
      <c r="AI63" s="66" t="n">
        <f aca="false">-AI27*Inputs!$B$53/30</f>
        <v>0</v>
      </c>
      <c r="AJ63" s="66" t="n">
        <f aca="false">-AJ27*Inputs!$B$53/30</f>
        <v>0</v>
      </c>
      <c r="AK63" s="66" t="n">
        <f aca="false">-AK27*Inputs!$B$53/30</f>
        <v>0</v>
      </c>
      <c r="AL63" s="66" t="n">
        <f aca="false">-AL27*Inputs!$B$53/30</f>
        <v>0</v>
      </c>
      <c r="AM63" s="66" t="n">
        <f aca="false">-AM27*Inputs!$B$53/30</f>
        <v>0</v>
      </c>
      <c r="AN63" s="66" t="n">
        <f aca="false">-AN27*Inputs!$B$53/30</f>
        <v>0</v>
      </c>
      <c r="AO63" s="66" t="n">
        <f aca="false">-AO27*Inputs!$B$53/30</f>
        <v>0</v>
      </c>
      <c r="AP63" s="66" t="n">
        <f aca="false">-AP27*Inputs!$B$53/30</f>
        <v>0</v>
      </c>
      <c r="AQ63" s="66" t="n">
        <f aca="false">-AQ27*Inputs!$B$53/30</f>
        <v>0</v>
      </c>
      <c r="AR63" s="66" t="n">
        <f aca="false">-AR27*Inputs!$B$53/30</f>
        <v>0</v>
      </c>
      <c r="AS63" s="66" t="n">
        <f aca="false">-AS27*Inputs!$B$53/30</f>
        <v>0</v>
      </c>
      <c r="AT63" s="66" t="n">
        <f aca="false">-AT27*Inputs!$B$53/30</f>
        <v>0</v>
      </c>
      <c r="AU63" s="66" t="n">
        <f aca="false">-AU27*Inputs!$B$53/30</f>
        <v>0</v>
      </c>
      <c r="AV63" s="66" t="n">
        <f aca="false">-AV27*Inputs!$B$53/30</f>
        <v>0</v>
      </c>
      <c r="AW63" s="66" t="n">
        <f aca="false">-AW27*Inputs!$B$53/30</f>
        <v>0</v>
      </c>
      <c r="AX63" s="66" t="n">
        <f aca="false">-AX27*Inputs!$B$53/30</f>
        <v>0</v>
      </c>
      <c r="AY63" s="66" t="n">
        <f aca="false">-AY27*Inputs!$B$53/30</f>
        <v>0</v>
      </c>
      <c r="AZ63" s="66" t="n">
        <f aca="false">-AZ27*Inputs!$B$53/30</f>
        <v>0</v>
      </c>
      <c r="BA63" s="66" t="n">
        <f aca="false">-BA27*Inputs!$B$53/30</f>
        <v>0</v>
      </c>
      <c r="BB63" s="66" t="n">
        <f aca="false">-BB27*Inputs!$B$53/30</f>
        <v>0</v>
      </c>
      <c r="BC63" s="66" t="n">
        <f aca="false">-BC27*Inputs!$B$53/30</f>
        <v>0</v>
      </c>
      <c r="BD63" s="66" t="n">
        <f aca="false">-BD27*Inputs!$B$53/30</f>
        <v>0</v>
      </c>
      <c r="BE63" s="66" t="n">
        <f aca="false">-BE27*Inputs!$B$53/30</f>
        <v>0</v>
      </c>
      <c r="BF63" s="66" t="n">
        <f aca="false">-BF27*Inputs!$B$53/30</f>
        <v>0</v>
      </c>
      <c r="BG63" s="66" t="n">
        <f aca="false">-BG27*Inputs!$B$53/30</f>
        <v>0</v>
      </c>
      <c r="BH63" s="66" t="n">
        <f aca="false">-BH27*Inputs!$B$53/30</f>
        <v>0</v>
      </c>
      <c r="BI63" s="66" t="n">
        <f aca="false">-BI27*Inputs!$B$53/30</f>
        <v>0</v>
      </c>
      <c r="BJ63" s="66" t="n">
        <f aca="false">-BJ27*Inputs!$B$53/30</f>
        <v>0</v>
      </c>
    </row>
    <row r="64" customFormat="false" ht="15" hidden="false" customHeight="false" outlineLevel="0" collapsed="false">
      <c r="A64" s="6" t="s">
        <v>93</v>
      </c>
      <c r="C64" s="66" t="n">
        <f aca="false">-C27*Inputs!$B$54/30</f>
        <v>499.096</v>
      </c>
      <c r="D64" s="66" t="n">
        <f aca="false">-D27*Inputs!$B$54/30</f>
        <v>742.87668</v>
      </c>
      <c r="E64" s="66" t="n">
        <f aca="false">-E27*Inputs!$B$54/30</f>
        <v>975.6872294</v>
      </c>
      <c r="F64" s="66" t="n">
        <f aca="false">-F27*Inputs!$B$54/30</f>
        <v>1198.021304077</v>
      </c>
      <c r="G64" s="66" t="n">
        <f aca="false">-G27*Inputs!$B$54/30</f>
        <v>1410.35034539354</v>
      </c>
      <c r="H64" s="66" t="n">
        <f aca="false">-H27*Inputs!$B$54/30</f>
        <v>1613.12457985083</v>
      </c>
      <c r="I64" s="66" t="n">
        <f aca="false">-I27*Inputs!$B$54/30</f>
        <v>1806.77397375754</v>
      </c>
      <c r="J64" s="66" t="n">
        <f aca="false">-J27*Inputs!$B$54/30</f>
        <v>1991.70914493845</v>
      </c>
      <c r="K64" s="66" t="n">
        <f aca="false">-K27*Inputs!$B$54/30</f>
        <v>2168.32223341622</v>
      </c>
      <c r="L64" s="66" t="n">
        <f aca="false">-L27*Inputs!$B$54/30</f>
        <v>2336.98773291249</v>
      </c>
      <c r="M64" s="66" t="n">
        <f aca="false">-M27*Inputs!$B$54/30</f>
        <v>2498.06328493143</v>
      </c>
      <c r="N64" s="66" t="n">
        <f aca="false">-N27*Inputs!$B$54/30</f>
        <v>2651.89043710951</v>
      </c>
      <c r="O64" s="66" t="n">
        <f aca="false">-O27*Inputs!$B$54/30</f>
        <v>2820.42736743959</v>
      </c>
      <c r="P64" s="66" t="n">
        <f aca="false">-P27*Inputs!$B$54/30</f>
        <v>3003.01213590481</v>
      </c>
      <c r="Q64" s="66" t="n">
        <f aca="false">-Q27*Inputs!$B$54/30</f>
        <v>3177.38058978909</v>
      </c>
      <c r="R64" s="66" t="n">
        <f aca="false">-R27*Inputs!$B$54/30</f>
        <v>3343.90246324858</v>
      </c>
      <c r="S64" s="66" t="n">
        <f aca="false">-S27*Inputs!$B$54/30</f>
        <v>3502.93085240239</v>
      </c>
      <c r="T64" s="66" t="n">
        <f aca="false">-T27*Inputs!$B$54/30</f>
        <v>3654.80296404429</v>
      </c>
      <c r="U64" s="66" t="n">
        <f aca="false">-U27*Inputs!$B$54/30</f>
        <v>3799.84083066229</v>
      </c>
      <c r="V64" s="66" t="n">
        <f aca="false">-V27*Inputs!$B$54/30</f>
        <v>3938.35199328249</v>
      </c>
      <c r="W64" s="66" t="n">
        <f aca="false">-W27*Inputs!$B$54/30</f>
        <v>4070.63015358478</v>
      </c>
      <c r="X64" s="66" t="n">
        <f aca="false">-X27*Inputs!$B$54/30</f>
        <v>4196.95579667346</v>
      </c>
      <c r="Y64" s="66" t="n">
        <f aca="false">-Y27*Inputs!$B$54/30</f>
        <v>4317.59678582316</v>
      </c>
      <c r="Z64" s="66" t="n">
        <f aca="false">-Z27*Inputs!$B$54/30</f>
        <v>4432.80893046112</v>
      </c>
      <c r="AA64" s="66" t="n">
        <f aca="false">-AA27*Inputs!$B$54/30</f>
        <v>4568.29572859037</v>
      </c>
      <c r="AB64" s="66" t="n">
        <f aca="false">-AB27*Inputs!$B$54/30</f>
        <v>4723.1448208038</v>
      </c>
      <c r="AC64" s="66" t="n">
        <f aca="false">-AC27*Inputs!$B$54/30</f>
        <v>4871.02570386763</v>
      </c>
      <c r="AD64" s="66" t="n">
        <f aca="false">-AD27*Inputs!$B$54/30</f>
        <v>5012.25194719359</v>
      </c>
      <c r="AE64" s="66" t="n">
        <f aca="false">-AE27*Inputs!$B$54/30</f>
        <v>5147.12300956987</v>
      </c>
      <c r="AF64" s="66" t="n">
        <f aca="false">-AF27*Inputs!$B$54/30</f>
        <v>5275.92487413923</v>
      </c>
      <c r="AG64" s="66" t="n">
        <f aca="false">-AG27*Inputs!$B$54/30</f>
        <v>5398.93065480296</v>
      </c>
      <c r="AH64" s="66" t="n">
        <f aca="false">-AH27*Inputs!$B$54/30</f>
        <v>5516.40117533683</v>
      </c>
      <c r="AI64" s="66" t="n">
        <f aca="false">-AI27*Inputs!$B$54/30</f>
        <v>5628.58552244667</v>
      </c>
      <c r="AJ64" s="66" t="n">
        <f aca="false">-AJ27*Inputs!$B$54/30</f>
        <v>5735.72157393657</v>
      </c>
      <c r="AK64" s="66" t="n">
        <f aca="false">-AK27*Inputs!$B$54/30</f>
        <v>5838.03650310943</v>
      </c>
      <c r="AL64" s="66" t="n">
        <f aca="false">-AL27*Inputs!$B$54/30</f>
        <v>5935.7472604695</v>
      </c>
      <c r="AM64" s="66" t="n">
        <f aca="false">-AM27*Inputs!$B$54/30</f>
        <v>6059.06295374837</v>
      </c>
      <c r="AN64" s="66" t="n">
        <f aca="false">-AN27*Inputs!$B$54/30</f>
        <v>6206.8313608297</v>
      </c>
      <c r="AO64" s="66" t="n">
        <f aca="false">-AO27*Inputs!$B$54/30</f>
        <v>6347.95018959236</v>
      </c>
      <c r="AP64" s="66" t="n">
        <f aca="false">-AP27*Inputs!$B$54/30</f>
        <v>6482.7186710607</v>
      </c>
      <c r="AQ64" s="66" t="n">
        <f aca="false">-AQ27*Inputs!$B$54/30</f>
        <v>6611.42257086297</v>
      </c>
      <c r="AR64" s="66" t="n">
        <f aca="false">-AR27*Inputs!$B$54/30</f>
        <v>6734.33479517414</v>
      </c>
      <c r="AS64" s="66" t="n">
        <f aca="false">-AS27*Inputs!$B$54/30</f>
        <v>6851.7159693913</v>
      </c>
      <c r="AT64" s="66" t="n">
        <f aca="false">-AT27*Inputs!$B$54/30</f>
        <v>6963.81499076869</v>
      </c>
      <c r="AU64" s="66" t="n">
        <f aca="false">-AU27*Inputs!$B$54/30</f>
        <v>7070.8695561841</v>
      </c>
      <c r="AV64" s="66" t="n">
        <f aca="false">-AV27*Inputs!$B$54/30</f>
        <v>7173.10666615582</v>
      </c>
      <c r="AW64" s="66" t="n">
        <f aca="false">-AW27*Inputs!$B$54/30</f>
        <v>7270.74310617881</v>
      </c>
      <c r="AX64" s="66" t="n">
        <f aca="false">-AX27*Inputs!$B$54/30</f>
        <v>7363.98590640076</v>
      </c>
      <c r="AY64" s="66" t="n">
        <f aca="false">-AY27*Inputs!$B$54/30</f>
        <v>7488.43105261272</v>
      </c>
      <c r="AZ64" s="66" t="n">
        <f aca="false">-AZ27*Inputs!$B$54/30</f>
        <v>7642.67443924515</v>
      </c>
      <c r="BA64" s="66" t="n">
        <f aca="false">-BA27*Inputs!$B$54/30</f>
        <v>7789.97687347912</v>
      </c>
      <c r="BB64" s="66" t="n">
        <f aca="false">-BB27*Inputs!$B$54/30</f>
        <v>7930.65069817256</v>
      </c>
      <c r="BC64" s="66" t="n">
        <f aca="false">-BC27*Inputs!$B$54/30</f>
        <v>8064.99420075479</v>
      </c>
      <c r="BD64" s="66" t="n">
        <f aca="false">-BD27*Inputs!$B$54/30</f>
        <v>8193.29224572083</v>
      </c>
      <c r="BE64" s="66" t="n">
        <f aca="false">-BE27*Inputs!$B$54/30</f>
        <v>8315.81687866339</v>
      </c>
      <c r="BF64" s="66" t="n">
        <f aca="false">-BF27*Inputs!$B$54/30</f>
        <v>8432.82790312354</v>
      </c>
      <c r="BG64" s="66" t="n">
        <f aca="false">-BG27*Inputs!$B$54/30</f>
        <v>8544.57343148298</v>
      </c>
      <c r="BH64" s="66" t="n">
        <f aca="false">-BH27*Inputs!$B$54/30</f>
        <v>8651.29041106625</v>
      </c>
      <c r="BI64" s="66" t="n">
        <f aca="false">-BI27*Inputs!$B$54/30</f>
        <v>8753.20512656826</v>
      </c>
      <c r="BJ64" s="66" t="n">
        <f aca="false">-BJ27*Inputs!$B$54/30</f>
        <v>8850.53367987269</v>
      </c>
    </row>
    <row r="65" customFormat="false" ht="15" hidden="false" customHeight="false" outlineLevel="0" collapsed="false">
      <c r="A65" s="6" t="s">
        <v>324</v>
      </c>
      <c r="C65" s="66" t="n">
        <f aca="false">-C62</f>
        <v>-526.556944444444</v>
      </c>
      <c r="D65" s="66" t="n">
        <f aca="false">C62-D62</f>
        <v>-257.193826388889</v>
      </c>
      <c r="E65" s="66" t="n">
        <f aca="false">D62-E62</f>
        <v>-245.620104201389</v>
      </c>
      <c r="F65" s="66" t="n">
        <f aca="false">E62-F62</f>
        <v>-234.567199512326</v>
      </c>
      <c r="G65" s="66" t="n">
        <f aca="false">F62-G62</f>
        <v>-224.011675534272</v>
      </c>
      <c r="H65" s="66" t="n">
        <f aca="false">G62-H62</f>
        <v>-213.93115013523</v>
      </c>
      <c r="I65" s="66" t="n">
        <f aca="false">H62-I62</f>
        <v>-204.304248379144</v>
      </c>
      <c r="J65" s="66" t="n">
        <f aca="false">I62-J62</f>
        <v>-195.110557202083</v>
      </c>
      <c r="K65" s="66" t="n">
        <f aca="false">J62-K62</f>
        <v>-186.330582127989</v>
      </c>
      <c r="L65" s="66" t="n">
        <f aca="false">K62-L62</f>
        <v>-177.94570593223</v>
      </c>
      <c r="M65" s="66" t="n">
        <f aca="false">L62-M62</f>
        <v>-169.938149165279</v>
      </c>
      <c r="N65" s="66" t="n">
        <f aca="false">M62-N62</f>
        <v>-162.290932452842</v>
      </c>
      <c r="O65" s="66" t="n">
        <f aca="false">N62-O62</f>
        <v>-177.810062714686</v>
      </c>
      <c r="P65" s="66" t="n">
        <f aca="false">O62-P62</f>
        <v>-192.630832114747</v>
      </c>
      <c r="Q65" s="66" t="n">
        <f aca="false">P62-Q62</f>
        <v>-183.962444669585</v>
      </c>
      <c r="R65" s="66" t="n">
        <f aca="false">Q62-R62</f>
        <v>-175.684134659451</v>
      </c>
      <c r="S65" s="66" t="n">
        <f aca="false">R62-S62</f>
        <v>-167.778348599777</v>
      </c>
      <c r="T65" s="66" t="n">
        <f aca="false">S62-T62</f>
        <v>-160.228322912787</v>
      </c>
      <c r="U65" s="66" t="n">
        <f aca="false">T62-U62</f>
        <v>-153.018048381712</v>
      </c>
      <c r="V65" s="66" t="n">
        <f aca="false">U62-V62</f>
        <v>-146.132236204535</v>
      </c>
      <c r="W65" s="66" t="n">
        <f aca="false">V62-W62</f>
        <v>-139.556285575331</v>
      </c>
      <c r="X65" s="66" t="n">
        <f aca="false">W62-X62</f>
        <v>-133.276252724441</v>
      </c>
      <c r="Y65" s="66" t="n">
        <f aca="false">X62-Y62</f>
        <v>-127.278821351841</v>
      </c>
      <c r="Z65" s="66" t="n">
        <f aca="false">Y62-Z62</f>
        <v>-121.551274391008</v>
      </c>
      <c r="AA65" s="66" t="n">
        <f aca="false">Z62-AA62</f>
        <v>-142.941467043412</v>
      </c>
      <c r="AB65" s="66" t="n">
        <f aca="false">AA62-AB62</f>
        <v>-163.369101026459</v>
      </c>
      <c r="AC65" s="66" t="n">
        <f aca="false">AB62-AC62</f>
        <v>-156.017491480268</v>
      </c>
      <c r="AD65" s="66" t="n">
        <f aca="false">AC62-AD62</f>
        <v>-148.996704363656</v>
      </c>
      <c r="AE65" s="66" t="n">
        <f aca="false">AD62-AE62</f>
        <v>-142.291852667292</v>
      </c>
      <c r="AF65" s="66" t="n">
        <f aca="false">AE62-AF62</f>
        <v>-135.888719297263</v>
      </c>
      <c r="AG65" s="66" t="n">
        <f aca="false">AF62-AG62</f>
        <v>-129.773726928886</v>
      </c>
      <c r="AH65" s="66" t="n">
        <f aca="false">AG62-AH62</f>
        <v>-123.933909217087</v>
      </c>
      <c r="AI65" s="66" t="n">
        <f aca="false">AH62-AI62</f>
        <v>-118.356883302318</v>
      </c>
      <c r="AJ65" s="66" t="n">
        <f aca="false">AI62-AJ62</f>
        <v>-113.030823553711</v>
      </c>
      <c r="AK65" s="66" t="n">
        <f aca="false">AJ62-AK62</f>
        <v>-107.944436493797</v>
      </c>
      <c r="AL65" s="66" t="n">
        <f aca="false">AK62-AL62</f>
        <v>-103.086936851576</v>
      </c>
      <c r="AM65" s="66" t="n">
        <f aca="false">AL62-AM62</f>
        <v>-130.10069135992</v>
      </c>
      <c r="AN65" s="66" t="n">
        <f aca="false">AM62-AN62</f>
        <v>-155.898826915392</v>
      </c>
      <c r="AO65" s="66" t="n">
        <f aca="false">AN62-AO62</f>
        <v>-148.883379704199</v>
      </c>
      <c r="AP65" s="66" t="n">
        <f aca="false">AO62-AP62</f>
        <v>-142.183627617511</v>
      </c>
      <c r="AQ65" s="66" t="n">
        <f aca="false">AP62-AQ62</f>
        <v>-135.785364374722</v>
      </c>
      <c r="AR65" s="66" t="n">
        <f aca="false">AQ62-AR62</f>
        <v>-129.675022977858</v>
      </c>
      <c r="AS65" s="66" t="n">
        <f aca="false">AR62-AS62</f>
        <v>-123.839646943857</v>
      </c>
      <c r="AT65" s="66" t="n">
        <f aca="false">AS62-AT62</f>
        <v>-118.26686283138</v>
      </c>
      <c r="AU65" s="66" t="n">
        <f aca="false">AT62-AU62</f>
        <v>-112.944854003971</v>
      </c>
      <c r="AV65" s="66" t="n">
        <f aca="false">AU62-AV62</f>
        <v>-107.862335573792</v>
      </c>
      <c r="AW65" s="66" t="n">
        <f aca="false">AV62-AW62</f>
        <v>-103.00853047297</v>
      </c>
      <c r="AX65" s="66" t="n">
        <f aca="false">AW62-AX62</f>
        <v>-98.373146601688</v>
      </c>
      <c r="AY65" s="66" t="n">
        <f aca="false">AX62-AY62</f>
        <v>-131.292288337943</v>
      </c>
      <c r="AZ65" s="66" t="n">
        <f aca="false">AY62-AZ62</f>
        <v>-162.73006869607</v>
      </c>
      <c r="BA65" s="66" t="n">
        <f aca="false">AZ62-BA62</f>
        <v>-155.407215604749</v>
      </c>
      <c r="BB65" s="66" t="n">
        <f aca="false">BA62-BB62</f>
        <v>-148.413890902531</v>
      </c>
      <c r="BC65" s="66" t="n">
        <f aca="false">BB62-BC62</f>
        <v>-141.735265811922</v>
      </c>
      <c r="BD65" s="66" t="n">
        <f aca="false">BC62-BD62</f>
        <v>-135.357178850383</v>
      </c>
      <c r="BE65" s="66" t="n">
        <f aca="false">BD62-BE62</f>
        <v>-129.266105802115</v>
      </c>
      <c r="BF65" s="66" t="n">
        <f aca="false">BE62-BF62</f>
        <v>-123.449131041023</v>
      </c>
      <c r="BG65" s="66" t="n">
        <f aca="false">BF62-BG62</f>
        <v>-117.893920144172</v>
      </c>
      <c r="BH65" s="66" t="n">
        <f aca="false">BG62-BH62</f>
        <v>-112.588693737689</v>
      </c>
      <c r="BI65" s="66" t="n">
        <f aca="false">BH62-BI62</f>
        <v>-107.522202519491</v>
      </c>
      <c r="BJ65" s="66" t="n">
        <f aca="false">BI62-BJ62</f>
        <v>-102.683703406114</v>
      </c>
    </row>
    <row r="66" customFormat="false" ht="15" hidden="false" customHeight="false" outlineLevel="0" collapsed="false">
      <c r="A66" s="6" t="s">
        <v>325</v>
      </c>
      <c r="C66" s="66" t="n">
        <f aca="false">-C63</f>
        <v>-0</v>
      </c>
      <c r="D66" s="66" t="n">
        <f aca="false">C63-D63</f>
        <v>0</v>
      </c>
      <c r="E66" s="66" t="n">
        <f aca="false">D63-E63</f>
        <v>0</v>
      </c>
      <c r="F66" s="66" t="n">
        <f aca="false">E63-F63</f>
        <v>0</v>
      </c>
      <c r="G66" s="66" t="n">
        <f aca="false">F63-G63</f>
        <v>0</v>
      </c>
      <c r="H66" s="66" t="n">
        <f aca="false">G63-H63</f>
        <v>0</v>
      </c>
      <c r="I66" s="66" t="n">
        <f aca="false">H63-I63</f>
        <v>0</v>
      </c>
      <c r="J66" s="66" t="n">
        <f aca="false">I63-J63</f>
        <v>0</v>
      </c>
      <c r="K66" s="66" t="n">
        <f aca="false">J63-K63</f>
        <v>0</v>
      </c>
      <c r="L66" s="66" t="n">
        <f aca="false">K63-L63</f>
        <v>0</v>
      </c>
      <c r="M66" s="66" t="n">
        <f aca="false">L63-M63</f>
        <v>0</v>
      </c>
      <c r="N66" s="66" t="n">
        <f aca="false">M63-N63</f>
        <v>0</v>
      </c>
      <c r="O66" s="66" t="n">
        <f aca="false">N63-O63</f>
        <v>0</v>
      </c>
      <c r="P66" s="66" t="n">
        <f aca="false">O63-P63</f>
        <v>0</v>
      </c>
      <c r="Q66" s="66" t="n">
        <f aca="false">P63-Q63</f>
        <v>0</v>
      </c>
      <c r="R66" s="66" t="n">
        <f aca="false">Q63-R63</f>
        <v>0</v>
      </c>
      <c r="S66" s="66" t="n">
        <f aca="false">R63-S63</f>
        <v>0</v>
      </c>
      <c r="T66" s="66" t="n">
        <f aca="false">S63-T63</f>
        <v>0</v>
      </c>
      <c r="U66" s="66" t="n">
        <f aca="false">T63-U63</f>
        <v>0</v>
      </c>
      <c r="V66" s="66" t="n">
        <f aca="false">U63-V63</f>
        <v>0</v>
      </c>
      <c r="W66" s="66" t="n">
        <f aca="false">V63-W63</f>
        <v>0</v>
      </c>
      <c r="X66" s="66" t="n">
        <f aca="false">W63-X63</f>
        <v>0</v>
      </c>
      <c r="Y66" s="66" t="n">
        <f aca="false">X63-Y63</f>
        <v>0</v>
      </c>
      <c r="Z66" s="66" t="n">
        <f aca="false">Y63-Z63</f>
        <v>0</v>
      </c>
      <c r="AA66" s="66" t="n">
        <f aca="false">Z63-AA63</f>
        <v>0</v>
      </c>
      <c r="AB66" s="66" t="n">
        <f aca="false">AA63-AB63</f>
        <v>0</v>
      </c>
      <c r="AC66" s="66" t="n">
        <f aca="false">AB63-AC63</f>
        <v>0</v>
      </c>
      <c r="AD66" s="66" t="n">
        <f aca="false">AC63-AD63</f>
        <v>0</v>
      </c>
      <c r="AE66" s="66" t="n">
        <f aca="false">AD63-AE63</f>
        <v>0</v>
      </c>
      <c r="AF66" s="66" t="n">
        <f aca="false">AE63-AF63</f>
        <v>0</v>
      </c>
      <c r="AG66" s="66" t="n">
        <f aca="false">AF63-AG63</f>
        <v>0</v>
      </c>
      <c r="AH66" s="66" t="n">
        <f aca="false">AG63-AH63</f>
        <v>0</v>
      </c>
      <c r="AI66" s="66" t="n">
        <f aca="false">AH63-AI63</f>
        <v>0</v>
      </c>
      <c r="AJ66" s="66" t="n">
        <f aca="false">AI63-AJ63</f>
        <v>0</v>
      </c>
      <c r="AK66" s="66" t="n">
        <f aca="false">AJ63-AK63</f>
        <v>0</v>
      </c>
      <c r="AL66" s="66" t="n">
        <f aca="false">AK63-AL63</f>
        <v>0</v>
      </c>
      <c r="AM66" s="66" t="n">
        <f aca="false">AL63-AM63</f>
        <v>0</v>
      </c>
      <c r="AN66" s="66" t="n">
        <f aca="false">AM63-AN63</f>
        <v>0</v>
      </c>
      <c r="AO66" s="66" t="n">
        <f aca="false">AN63-AO63</f>
        <v>0</v>
      </c>
      <c r="AP66" s="66" t="n">
        <f aca="false">AO63-AP63</f>
        <v>0</v>
      </c>
      <c r="AQ66" s="66" t="n">
        <f aca="false">AP63-AQ63</f>
        <v>0</v>
      </c>
      <c r="AR66" s="66" t="n">
        <f aca="false">AQ63-AR63</f>
        <v>0</v>
      </c>
      <c r="AS66" s="66" t="n">
        <f aca="false">AR63-AS63</f>
        <v>0</v>
      </c>
      <c r="AT66" s="66" t="n">
        <f aca="false">AS63-AT63</f>
        <v>0</v>
      </c>
      <c r="AU66" s="66" t="n">
        <f aca="false">AT63-AU63</f>
        <v>0</v>
      </c>
      <c r="AV66" s="66" t="n">
        <f aca="false">AU63-AV63</f>
        <v>0</v>
      </c>
      <c r="AW66" s="66" t="n">
        <f aca="false">AV63-AW63</f>
        <v>0</v>
      </c>
      <c r="AX66" s="66" t="n">
        <f aca="false">AW63-AX63</f>
        <v>0</v>
      </c>
      <c r="AY66" s="66" t="n">
        <f aca="false">AX63-AY63</f>
        <v>0</v>
      </c>
      <c r="AZ66" s="66" t="n">
        <f aca="false">AY63-AZ63</f>
        <v>0</v>
      </c>
      <c r="BA66" s="66" t="n">
        <f aca="false">AZ63-BA63</f>
        <v>0</v>
      </c>
      <c r="BB66" s="66" t="n">
        <f aca="false">BA63-BB63</f>
        <v>0</v>
      </c>
      <c r="BC66" s="66" t="n">
        <f aca="false">BB63-BC63</f>
        <v>0</v>
      </c>
      <c r="BD66" s="66" t="n">
        <f aca="false">BC63-BD63</f>
        <v>0</v>
      </c>
      <c r="BE66" s="66" t="n">
        <f aca="false">BD63-BE63</f>
        <v>0</v>
      </c>
      <c r="BF66" s="66" t="n">
        <f aca="false">BE63-BF63</f>
        <v>0</v>
      </c>
      <c r="BG66" s="66" t="n">
        <f aca="false">BF63-BG63</f>
        <v>0</v>
      </c>
      <c r="BH66" s="66" t="n">
        <f aca="false">BG63-BH63</f>
        <v>0</v>
      </c>
      <c r="BI66" s="66" t="n">
        <f aca="false">BH63-BI63</f>
        <v>0</v>
      </c>
      <c r="BJ66" s="66" t="n">
        <f aca="false">BI63-BJ63</f>
        <v>0</v>
      </c>
    </row>
    <row r="67" customFormat="false" ht="15" hidden="false" customHeight="false" outlineLevel="0" collapsed="false">
      <c r="A67" s="6" t="s">
        <v>326</v>
      </c>
      <c r="C67" s="66" t="n">
        <f aca="false">C64</f>
        <v>499.096</v>
      </c>
      <c r="D67" s="66" t="n">
        <f aca="false">D64-C64</f>
        <v>243.78068</v>
      </c>
      <c r="E67" s="66" t="n">
        <f aca="false">E64-D64</f>
        <v>232.8105494</v>
      </c>
      <c r="F67" s="66" t="n">
        <f aca="false">F64-E64</f>
        <v>222.334074677</v>
      </c>
      <c r="G67" s="66" t="n">
        <f aca="false">G64-F64</f>
        <v>212.329041316535</v>
      </c>
      <c r="H67" s="66" t="n">
        <f aca="false">H64-G64</f>
        <v>202.774234457291</v>
      </c>
      <c r="I67" s="66" t="n">
        <f aca="false">I64-H64</f>
        <v>193.649393906713</v>
      </c>
      <c r="J67" s="66" t="n">
        <f aca="false">J64-I64</f>
        <v>184.935171180911</v>
      </c>
      <c r="K67" s="66" t="n">
        <f aca="false">K64-J64</f>
        <v>176.61308847777</v>
      </c>
      <c r="L67" s="66" t="n">
        <f aca="false">L64-K64</f>
        <v>168.665499496271</v>
      </c>
      <c r="M67" s="66" t="n">
        <f aca="false">M64-L64</f>
        <v>161.075552018938</v>
      </c>
      <c r="N67" s="66" t="n">
        <f aca="false">N64-M64</f>
        <v>153.827152178086</v>
      </c>
      <c r="O67" s="66" t="n">
        <f aca="false">O64-N64</f>
        <v>168.536930330072</v>
      </c>
      <c r="P67" s="66" t="n">
        <f aca="false">P64-O64</f>
        <v>182.584768465219</v>
      </c>
      <c r="Q67" s="66" t="n">
        <f aca="false">Q64-P64</f>
        <v>174.368453884284</v>
      </c>
      <c r="R67" s="66" t="n">
        <f aca="false">R64-Q64</f>
        <v>166.521873459491</v>
      </c>
      <c r="S67" s="66" t="n">
        <f aca="false">S64-R64</f>
        <v>159.028389153814</v>
      </c>
      <c r="T67" s="66" t="n">
        <f aca="false">T64-S64</f>
        <v>151.872111641892</v>
      </c>
      <c r="U67" s="66" t="n">
        <f aca="false">U64-T64</f>
        <v>145.037866618008</v>
      </c>
      <c r="V67" s="66" t="n">
        <f aca="false">V64-U64</f>
        <v>138.511162620197</v>
      </c>
      <c r="W67" s="66" t="n">
        <f aca="false">W64-V64</f>
        <v>132.278160302288</v>
      </c>
      <c r="X67" s="66" t="n">
        <f aca="false">X64-W64</f>
        <v>126.325643088685</v>
      </c>
      <c r="Y67" s="66" t="n">
        <f aca="false">Y64-X64</f>
        <v>120.640989149694</v>
      </c>
      <c r="Z67" s="66" t="n">
        <f aca="false">Z64-Y64</f>
        <v>115.212144637958</v>
      </c>
      <c r="AA67" s="66" t="n">
        <f aca="false">AA64-Z64</f>
        <v>135.486798129249</v>
      </c>
      <c r="AB67" s="66" t="n">
        <f aca="false">AB64-AA64</f>
        <v>154.849092213434</v>
      </c>
      <c r="AC67" s="66" t="n">
        <f aca="false">AC64-AB64</f>
        <v>147.880883063828</v>
      </c>
      <c r="AD67" s="66" t="n">
        <f aca="false">AD64-AC64</f>
        <v>141.226243325958</v>
      </c>
      <c r="AE67" s="66" t="n">
        <f aca="false">AE64-AD64</f>
        <v>134.871062376289</v>
      </c>
      <c r="AF67" s="66" t="n">
        <f aca="false">AF64-AE64</f>
        <v>128.801864569356</v>
      </c>
      <c r="AG67" s="66" t="n">
        <f aca="false">AG64-AF64</f>
        <v>123.005780663732</v>
      </c>
      <c r="AH67" s="66" t="n">
        <f aca="false">AH64-AG64</f>
        <v>117.470520533868</v>
      </c>
      <c r="AI67" s="66" t="n">
        <f aca="false">AI64-AH64</f>
        <v>112.184347109843</v>
      </c>
      <c r="AJ67" s="66" t="n">
        <f aca="false">AJ64-AI64</f>
        <v>107.136051489897</v>
      </c>
      <c r="AK67" s="66" t="n">
        <f aca="false">AK64-AJ64</f>
        <v>102.314929172855</v>
      </c>
      <c r="AL67" s="66" t="n">
        <f aca="false">AL64-AK64</f>
        <v>97.7107573600761</v>
      </c>
      <c r="AM67" s="66" t="n">
        <f aca="false">AM64-AL64</f>
        <v>123.315693278872</v>
      </c>
      <c r="AN67" s="66" t="n">
        <f aca="false">AN64-AM64</f>
        <v>147.768407081322</v>
      </c>
      <c r="AO67" s="66" t="n">
        <f aca="false">AO64-AN64</f>
        <v>141.118828762666</v>
      </c>
      <c r="AP67" s="66" t="n">
        <f aca="false">AP64-AO64</f>
        <v>134.768481468343</v>
      </c>
      <c r="AQ67" s="66" t="n">
        <f aca="false">AQ64-AP64</f>
        <v>128.703899802269</v>
      </c>
      <c r="AR67" s="66" t="n">
        <f aca="false">AR64-AQ64</f>
        <v>122.912224311166</v>
      </c>
      <c r="AS67" s="66" t="n">
        <f aca="false">AS64-AR64</f>
        <v>117.381174217163</v>
      </c>
      <c r="AT67" s="66" t="n">
        <f aca="false">AT64-AS64</f>
        <v>112.09902137739</v>
      </c>
      <c r="AU67" s="66" t="n">
        <f aca="false">AU64-AT64</f>
        <v>107.054565415409</v>
      </c>
      <c r="AV67" s="66" t="n">
        <f aca="false">AV64-AU64</f>
        <v>102.237109971716</v>
      </c>
      <c r="AW67" s="66" t="n">
        <f aca="false">AW64-AV64</f>
        <v>97.6364400229877</v>
      </c>
      <c r="AX67" s="66" t="n">
        <f aca="false">AX64-AW64</f>
        <v>93.2428002219531</v>
      </c>
      <c r="AY67" s="66" t="n">
        <f aca="false">AY64-AX64</f>
        <v>124.445146211965</v>
      </c>
      <c r="AZ67" s="66" t="n">
        <f aca="false">AZ64-AY64</f>
        <v>154.243386632428</v>
      </c>
      <c r="BA67" s="66" t="n">
        <f aca="false">BA64-AZ64</f>
        <v>147.302434233969</v>
      </c>
      <c r="BB67" s="66" t="n">
        <f aca="false">BB64-BA64</f>
        <v>140.673824693438</v>
      </c>
      <c r="BC67" s="66" t="n">
        <f aca="false">BC64-BB64</f>
        <v>134.343502582235</v>
      </c>
      <c r="BD67" s="66" t="n">
        <f aca="false">BD64-BC64</f>
        <v>128.298044966035</v>
      </c>
      <c r="BE67" s="66" t="n">
        <f aca="false">BE64-BD64</f>
        <v>122.524632942563</v>
      </c>
      <c r="BF67" s="66" t="n">
        <f aca="false">BF64-BE64</f>
        <v>117.011024460147</v>
      </c>
      <c r="BG67" s="66" t="n">
        <f aca="false">BG64-BF64</f>
        <v>111.745528359441</v>
      </c>
      <c r="BH67" s="66" t="n">
        <f aca="false">BH64-BG64</f>
        <v>106.716979583267</v>
      </c>
      <c r="BI67" s="66" t="n">
        <f aca="false">BI64-BH64</f>
        <v>101.914715502018</v>
      </c>
      <c r="BJ67" s="66" t="n">
        <f aca="false">BJ64-BI64</f>
        <v>97.3285533044291</v>
      </c>
    </row>
    <row r="68" customFormat="false" ht="15" hidden="false" customHeight="false" outlineLevel="0" collapsed="false">
      <c r="A68" s="6" t="s">
        <v>94</v>
      </c>
      <c r="C68" s="66" t="n">
        <f aca="false">C23*Inputs!$B$17*6</f>
        <v>4738.42</v>
      </c>
      <c r="D68" s="66" t="n">
        <f aca="false">D23*Inputs!$B$17*6</f>
        <v>6547.5911</v>
      </c>
      <c r="E68" s="66" t="n">
        <f aca="false">E23*Inputs!$B$17*6</f>
        <v>8275.3495005</v>
      </c>
      <c r="F68" s="66" t="n">
        <f aca="false">F23*Inputs!$B$17*6</f>
        <v>9925.3587729775</v>
      </c>
      <c r="G68" s="66" t="n">
        <f aca="false">G23*Inputs!$B$17*6</f>
        <v>11501.1176281935</v>
      </c>
      <c r="H68" s="66" t="n">
        <f aca="false">H23*Inputs!$B$17*6</f>
        <v>13005.9673349248</v>
      </c>
      <c r="I68" s="66" t="n">
        <f aca="false">I23*Inputs!$B$17*6</f>
        <v>14443.0988048532</v>
      </c>
      <c r="J68" s="66" t="n">
        <f aca="false">J23*Inputs!$B$17*6</f>
        <v>15815.5593586348</v>
      </c>
      <c r="K68" s="66" t="n">
        <f aca="false">K23*Inputs!$B$17*6</f>
        <v>17126.2591874962</v>
      </c>
      <c r="L68" s="66" t="n">
        <f aca="false">L23*Inputs!$B$17*6</f>
        <v>18377.9775240589</v>
      </c>
      <c r="M68" s="66" t="n">
        <f aca="false">M23*Inputs!$B$17*6</f>
        <v>19573.3685354763</v>
      </c>
      <c r="N68" s="66" t="n">
        <f aca="false">N23*Inputs!$B$17*6</f>
        <v>20714.9669513798</v>
      </c>
      <c r="O68" s="66" t="n">
        <f aca="false">O23*Inputs!$B$17*6</f>
        <v>22133.8334385677</v>
      </c>
      <c r="P68" s="66" t="n">
        <f aca="false">P23*Inputs!$B$17*6</f>
        <v>23488.8509338322</v>
      </c>
      <c r="Q68" s="66" t="n">
        <f aca="false">Q23*Inputs!$B$17*6</f>
        <v>24782.8926418097</v>
      </c>
      <c r="R68" s="66" t="n">
        <f aca="false">R23*Inputs!$B$17*6</f>
        <v>26018.7024729283</v>
      </c>
      <c r="S68" s="66" t="n">
        <f aca="false">S23*Inputs!$B$17*6</f>
        <v>27198.9008616465</v>
      </c>
      <c r="T68" s="66" t="n">
        <f aca="false">T23*Inputs!$B$17*6</f>
        <v>28325.9903228724</v>
      </c>
      <c r="U68" s="66" t="n">
        <f aca="false">U23*Inputs!$B$17*6</f>
        <v>29402.3607583432</v>
      </c>
      <c r="V68" s="66" t="n">
        <f aca="false">V23*Inputs!$B$17*6</f>
        <v>30430.2945242177</v>
      </c>
      <c r="W68" s="66" t="n">
        <f aca="false">W23*Inputs!$B$17*6</f>
        <v>31411.9712706279</v>
      </c>
      <c r="X68" s="66" t="n">
        <f aca="false">X23*Inputs!$B$17*6</f>
        <v>32349.4725634497</v>
      </c>
      <c r="Y68" s="66" t="n">
        <f aca="false">Y23*Inputs!$B$17*6</f>
        <v>33244.7862980945</v>
      </c>
      <c r="Z68" s="66" t="n">
        <f aca="false">Z23*Inputs!$B$17*6</f>
        <v>34099.8109146802</v>
      </c>
      <c r="AA68" s="66" t="n">
        <f aca="false">AA23*Inputs!$B$17*6</f>
        <v>35303.1434235196</v>
      </c>
      <c r="AB68" s="66" t="n">
        <f aca="false">AB23*Inputs!$B$17*6</f>
        <v>36452.3259694612</v>
      </c>
      <c r="AC68" s="66" t="n">
        <f aca="false">AC23*Inputs!$B$17*6</f>
        <v>37549.7953008355</v>
      </c>
      <c r="AD68" s="66" t="n">
        <f aca="false">AD23*Inputs!$B$17*6</f>
        <v>38597.8785122979</v>
      </c>
      <c r="AE68" s="66" t="n">
        <f aca="false">AE23*Inputs!$B$17*6</f>
        <v>39598.7979792445</v>
      </c>
      <c r="AF68" s="66" t="n">
        <f aca="false">AF23*Inputs!$B$17*6</f>
        <v>40554.6760701785</v>
      </c>
      <c r="AG68" s="66" t="n">
        <f aca="false">AG23*Inputs!$B$17*6</f>
        <v>41467.5396470204</v>
      </c>
      <c r="AH68" s="66" t="n">
        <f aca="false">AH23*Inputs!$B$17*6</f>
        <v>42339.3243629045</v>
      </c>
      <c r="AI68" s="66" t="n">
        <f aca="false">AI23*Inputs!$B$17*6</f>
        <v>43171.8787665738</v>
      </c>
      <c r="AJ68" s="66" t="n">
        <f aca="false">AJ23*Inputs!$B$17*6</f>
        <v>43966.968222078</v>
      </c>
      <c r="AK68" s="66" t="n">
        <f aca="false">AK23*Inputs!$B$17*6</f>
        <v>44726.2786520845</v>
      </c>
      <c r="AL68" s="66" t="n">
        <f aca="false">AL23*Inputs!$B$17*6</f>
        <v>45451.4201127407</v>
      </c>
      <c r="AM68" s="66" t="n">
        <f aca="false">AM23*Inputs!$B$17*6</f>
        <v>46599.7286076673</v>
      </c>
      <c r="AN68" s="66" t="n">
        <f aca="false">AN23*Inputs!$B$17*6</f>
        <v>47696.3632203223</v>
      </c>
      <c r="AO68" s="66" t="n">
        <f aca="false">AO23*Inputs!$B$17*6</f>
        <v>48743.6492754078</v>
      </c>
      <c r="AP68" s="66" t="n">
        <f aca="false">AP23*Inputs!$B$17*6</f>
        <v>49743.8074580144</v>
      </c>
      <c r="AQ68" s="66" t="n">
        <f aca="false">AQ23*Inputs!$B$17*6</f>
        <v>50698.9585224038</v>
      </c>
      <c r="AR68" s="66" t="n">
        <f aca="false">AR23*Inputs!$B$17*6</f>
        <v>51611.1277888956</v>
      </c>
      <c r="AS68" s="66" t="n">
        <f aca="false">AS23*Inputs!$B$17*6</f>
        <v>52482.2494383953</v>
      </c>
      <c r="AT68" s="66" t="n">
        <f aca="false">AT23*Inputs!$B$17*6</f>
        <v>53314.1706136675</v>
      </c>
      <c r="AU68" s="66" t="n">
        <f aca="false">AU23*Inputs!$B$17*6</f>
        <v>54108.6553360525</v>
      </c>
      <c r="AV68" s="66" t="n">
        <f aca="false">AV23*Inputs!$B$17*6</f>
        <v>54867.3882459301</v>
      </c>
      <c r="AW68" s="66" t="n">
        <f aca="false">AW23*Inputs!$B$17*6</f>
        <v>55591.9781748633</v>
      </c>
      <c r="AX68" s="66" t="n">
        <f aca="false">AX23*Inputs!$B$17*6</f>
        <v>56283.9615569944</v>
      </c>
      <c r="AY68" s="66" t="n">
        <f aca="false">AY23*Inputs!$B$17*6</f>
        <v>57482.5871269297</v>
      </c>
      <c r="AZ68" s="66" t="n">
        <f aca="false">AZ23*Inputs!$B$17*6</f>
        <v>58627.2745462178</v>
      </c>
      <c r="BA68" s="66" t="n">
        <f aca="false">BA23*Inputs!$B$17*6</f>
        <v>59720.451031638</v>
      </c>
      <c r="BB68" s="66" t="n">
        <f aca="false">BB23*Inputs!$B$17*6</f>
        <v>60764.4345752143</v>
      </c>
      <c r="BC68" s="66" t="n">
        <f aca="false">BC23*Inputs!$B$17*6</f>
        <v>61761.4388593297</v>
      </c>
      <c r="BD68" s="66" t="n">
        <f aca="false">BD23*Inputs!$B$17*6</f>
        <v>62713.5779506598</v>
      </c>
      <c r="BE68" s="66" t="n">
        <f aca="false">BE23*Inputs!$B$17*6</f>
        <v>63622.8707828801</v>
      </c>
      <c r="BF68" s="66" t="n">
        <f aca="false">BF23*Inputs!$B$17*6</f>
        <v>64491.2454376505</v>
      </c>
      <c r="BG68" s="66" t="n">
        <f aca="false">BG23*Inputs!$B$17*6</f>
        <v>65320.5432329562</v>
      </c>
      <c r="BH68" s="66" t="n">
        <f aca="false">BH23*Inputs!$B$17*6</f>
        <v>66112.5226274732</v>
      </c>
      <c r="BI68" s="66" t="n">
        <f aca="false">BI23*Inputs!$B$17*6</f>
        <v>66868.8629492369</v>
      </c>
      <c r="BJ68" s="66" t="n">
        <f aca="false">BJ23*Inputs!$B$17*6</f>
        <v>67591.1679565213</v>
      </c>
    </row>
    <row r="69" customFormat="false" ht="15" hidden="false" customHeight="false" outlineLevel="0" collapsed="false">
      <c r="A69" s="6" t="s">
        <v>327</v>
      </c>
      <c r="C69" s="66" t="n">
        <f aca="false">C68</f>
        <v>4738.42</v>
      </c>
      <c r="D69" s="66" t="n">
        <f aca="false">D68-C68</f>
        <v>1809.1711</v>
      </c>
      <c r="E69" s="66" t="n">
        <f aca="false">E68-D68</f>
        <v>1727.7584005</v>
      </c>
      <c r="F69" s="66" t="n">
        <f aca="false">F68-E68</f>
        <v>1650.0092724775</v>
      </c>
      <c r="G69" s="66" t="n">
        <f aca="false">G68-F68</f>
        <v>1575.75885521601</v>
      </c>
      <c r="H69" s="66" t="n">
        <f aca="false">H68-G68</f>
        <v>1504.84970673129</v>
      </c>
      <c r="I69" s="66" t="n">
        <f aca="false">I68-H68</f>
        <v>1437.13146992839</v>
      </c>
      <c r="J69" s="66" t="n">
        <f aca="false">J68-I68</f>
        <v>1372.46055378161</v>
      </c>
      <c r="K69" s="66" t="n">
        <f aca="false">K68-J68</f>
        <v>1310.69982886144</v>
      </c>
      <c r="L69" s="66" t="n">
        <f aca="false">L68-K68</f>
        <v>1251.71833656267</v>
      </c>
      <c r="M69" s="66" t="n">
        <f aca="false">M68-L68</f>
        <v>1195.39101141735</v>
      </c>
      <c r="N69" s="66" t="n">
        <f aca="false">N68-M68</f>
        <v>1141.59841590357</v>
      </c>
      <c r="O69" s="66" t="n">
        <f aca="false">O68-N68</f>
        <v>1418.86648718791</v>
      </c>
      <c r="P69" s="66" t="n">
        <f aca="false">P68-O68</f>
        <v>1355.01749526446</v>
      </c>
      <c r="Q69" s="66" t="n">
        <f aca="false">Q68-P68</f>
        <v>1294.04170797755</v>
      </c>
      <c r="R69" s="66" t="n">
        <f aca="false">R68-Q68</f>
        <v>1235.80983111856</v>
      </c>
      <c r="S69" s="66" t="n">
        <f aca="false">S68-R68</f>
        <v>1180.19838871823</v>
      </c>
      <c r="T69" s="66" t="n">
        <f aca="false">T68-S68</f>
        <v>1127.08946122591</v>
      </c>
      <c r="U69" s="66" t="n">
        <f aca="false">U68-T68</f>
        <v>1076.37043547074</v>
      </c>
      <c r="V69" s="66" t="n">
        <f aca="false">V68-U68</f>
        <v>1027.93376587455</v>
      </c>
      <c r="W69" s="66" t="n">
        <f aca="false">W68-V68</f>
        <v>981.676746410209</v>
      </c>
      <c r="X69" s="66" t="n">
        <f aca="false">X68-W68</f>
        <v>937.50129282174</v>
      </c>
      <c r="Y69" s="66" t="n">
        <f aca="false">Y68-X68</f>
        <v>895.313734644762</v>
      </c>
      <c r="Z69" s="66" t="n">
        <f aca="false">Z68-Y68</f>
        <v>855.024616585753</v>
      </c>
      <c r="AA69" s="66" t="n">
        <f aca="false">AA68-Z68</f>
        <v>1203.33250883939</v>
      </c>
      <c r="AB69" s="66" t="n">
        <f aca="false">AB68-AA68</f>
        <v>1149.18254594161</v>
      </c>
      <c r="AC69" s="66" t="n">
        <f aca="false">AC68-AB68</f>
        <v>1097.46933137425</v>
      </c>
      <c r="AD69" s="66" t="n">
        <f aca="false">AD68-AC68</f>
        <v>1048.08321146241</v>
      </c>
      <c r="AE69" s="66" t="n">
        <f aca="false">AE68-AD68</f>
        <v>1000.9194669466</v>
      </c>
      <c r="AF69" s="66" t="n">
        <f aca="false">AF68-AE68</f>
        <v>955.878090933991</v>
      </c>
      <c r="AG69" s="66" t="n">
        <f aca="false">AG68-AF68</f>
        <v>912.86357684197</v>
      </c>
      <c r="AH69" s="66" t="n">
        <f aca="false">AH68-AG68</f>
        <v>871.784715884081</v>
      </c>
      <c r="AI69" s="66" t="n">
        <f aca="false">AI68-AH68</f>
        <v>832.554403669295</v>
      </c>
      <c r="AJ69" s="66" t="n">
        <f aca="false">AJ68-AI68</f>
        <v>795.089455504167</v>
      </c>
      <c r="AK69" s="66" t="n">
        <f aca="false">AK68-AJ68</f>
        <v>759.310430006495</v>
      </c>
      <c r="AL69" s="66" t="n">
        <f aca="false">AL68-AK68</f>
        <v>725.141460656196</v>
      </c>
      <c r="AM69" s="66" t="n">
        <f aca="false">AM68-AL68</f>
        <v>1148.30849492667</v>
      </c>
      <c r="AN69" s="66" t="n">
        <f aca="false">AN68-AM68</f>
        <v>1096.63461265497</v>
      </c>
      <c r="AO69" s="66" t="n">
        <f aca="false">AO68-AN68</f>
        <v>1047.2860550855</v>
      </c>
      <c r="AP69" s="66" t="n">
        <f aca="false">AP68-AO68</f>
        <v>1000.15818260664</v>
      </c>
      <c r="AQ69" s="66" t="n">
        <f aca="false">AQ68-AP68</f>
        <v>955.151064389356</v>
      </c>
      <c r="AR69" s="66" t="n">
        <f aca="false">AR68-AQ68</f>
        <v>912.169266491823</v>
      </c>
      <c r="AS69" s="66" t="n">
        <f aca="false">AS68-AR68</f>
        <v>871.121649499692</v>
      </c>
      <c r="AT69" s="66" t="n">
        <f aca="false">AT68-AS68</f>
        <v>831.921175272219</v>
      </c>
      <c r="AU69" s="66" t="n">
        <f aca="false">AU68-AT68</f>
        <v>794.484722384965</v>
      </c>
      <c r="AV69" s="66" t="n">
        <f aca="false">AV68-AU68</f>
        <v>758.732909877632</v>
      </c>
      <c r="AW69" s="66" t="n">
        <f aca="false">AW68-AV68</f>
        <v>724.589928933136</v>
      </c>
      <c r="AX69" s="66" t="n">
        <f aca="false">AX68-AW68</f>
        <v>691.983382131148</v>
      </c>
      <c r="AY69" s="66" t="n">
        <f aca="false">AY68-AX68</f>
        <v>1198.62556993525</v>
      </c>
      <c r="AZ69" s="66" t="n">
        <f aca="false">AZ68-AY68</f>
        <v>1144.68741928817</v>
      </c>
      <c r="BA69" s="66" t="n">
        <f aca="false">BA68-AZ68</f>
        <v>1093.1764854202</v>
      </c>
      <c r="BB69" s="66" t="n">
        <f aca="false">BB68-BA68</f>
        <v>1043.98354357628</v>
      </c>
      <c r="BC69" s="66" t="n">
        <f aca="false">BC68-BB68</f>
        <v>997.004284115363</v>
      </c>
      <c r="BD69" s="66" t="n">
        <f aca="false">BD68-BC68</f>
        <v>952.139091330173</v>
      </c>
      <c r="BE69" s="66" t="n">
        <f aca="false">BE68-BD68</f>
        <v>909.292832220301</v>
      </c>
      <c r="BF69" s="66" t="n">
        <f aca="false">BF68-BE68</f>
        <v>868.374654770392</v>
      </c>
      <c r="BG69" s="66" t="n">
        <f aca="false">BG68-BF68</f>
        <v>829.29779530572</v>
      </c>
      <c r="BH69" s="66" t="n">
        <f aca="false">BH68-BG68</f>
        <v>791.97939451698</v>
      </c>
      <c r="BI69" s="66" t="n">
        <f aca="false">BI68-BH68</f>
        <v>756.340321763695</v>
      </c>
      <c r="BJ69" s="66" t="n">
        <f aca="false">BJ68-BI68</f>
        <v>722.305007284347</v>
      </c>
    </row>
    <row r="71" customFormat="false" ht="15.75" hidden="false" customHeight="true" outlineLevel="0" collapsed="false">
      <c r="A71" s="7" t="s">
        <v>420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</row>
    <row r="72" customFormat="false" ht="15" hidden="false" customHeight="false" outlineLevel="0" collapsed="false">
      <c r="A72" s="4" t="s">
        <v>52</v>
      </c>
      <c r="C72" s="72" t="n">
        <f aca="false">C46-C51+C65+C66+C67+C69</f>
        <v>-67778.7952777778</v>
      </c>
      <c r="D72" s="72" t="n">
        <f aca="false">D46-D51+D65+D66+D67+D69</f>
        <v>-69394.6141013889</v>
      </c>
      <c r="E72" s="72" t="n">
        <f aca="false">E46-E51+E65+E66+E67+E69</f>
        <v>-68234.5131334931</v>
      </c>
      <c r="F72" s="72" t="n">
        <f aca="false">F46-F51+F65+F66+F67+F69</f>
        <v>-67126.6167091525</v>
      </c>
      <c r="G72" s="72" t="n">
        <f aca="false">G46-G51+G65+G66+G67+G69</f>
        <v>-66068.5756239073</v>
      </c>
      <c r="H72" s="72" t="n">
        <f aca="false">H46-H51+H65+H66+H67+H69</f>
        <v>-65058.1463874982</v>
      </c>
      <c r="I72" s="72" t="n">
        <f aca="false">I46-I51+I65+I66+I67+I69</f>
        <v>-64093.1864667274</v>
      </c>
      <c r="J72" s="72" t="n">
        <f aca="false">J46-J51+J65+J66+J67+J69</f>
        <v>-63171.6497423913</v>
      </c>
      <c r="K72" s="72" t="n">
        <f aca="false">K46-K51+K65+K66+K67+K69</f>
        <v>-62291.5821706504</v>
      </c>
      <c r="L72" s="72" t="n">
        <f aca="false">L46-L51+L65+L66+L67+L69</f>
        <v>-61451.1176396378</v>
      </c>
      <c r="M72" s="72" t="n">
        <f aca="false">M46-M51+M65+M66+M67+M69</f>
        <v>-60648.4740125208</v>
      </c>
      <c r="N72" s="72" t="n">
        <f aca="false">N46-N51+N65+N66+N67+N69</f>
        <v>-59881.949348624</v>
      </c>
      <c r="O72" s="72" t="n">
        <f aca="false">O46-O51+O65+O66+O67+O69</f>
        <v>-95337.1671834915</v>
      </c>
      <c r="P72" s="72" t="n">
        <f aca="false">P46-P51+P65+P66+P67+P69</f>
        <v>-94428.5888824566</v>
      </c>
      <c r="Q72" s="72" t="n">
        <f aca="false">Q46-Q51+Q65+Q66+Q67+Q69</f>
        <v>-93559.706382746</v>
      </c>
      <c r="R72" s="72" t="n">
        <f aca="false">R46-R51+R65+R66+R67+R69</f>
        <v>-92729.9235955225</v>
      </c>
      <c r="S72" s="72" t="n">
        <f aca="false">S46-S51+S65+S66+S67+S69</f>
        <v>-91937.481033724</v>
      </c>
      <c r="T72" s="72" t="n">
        <f aca="false">T46-T51+T65+T66+T67+T69</f>
        <v>-91180.6983872064</v>
      </c>
      <c r="U72" s="72" t="n">
        <f aca="false">U46-U51+U65+U66+U67+U69</f>
        <v>-90457.9709597821</v>
      </c>
      <c r="V72" s="72" t="n">
        <f aca="false">V46-V51+V65+V66+V67+V69</f>
        <v>-89767.7662665919</v>
      </c>
      <c r="W72" s="72" t="n">
        <f aca="false">W46-W51+W65+W66+W67+W69</f>
        <v>-89108.6207845953</v>
      </c>
      <c r="X72" s="72" t="n">
        <f aca="false">X46-X51+X65+X66+X67+X69</f>
        <v>-88479.1368492885</v>
      </c>
      <c r="Y72" s="72" t="n">
        <f aca="false">Y46-Y51+Y65+Y66+Y67+Y69</f>
        <v>-87877.9796910705</v>
      </c>
      <c r="Z72" s="72" t="n">
        <f aca="false">Z46-Z51+Z65+Z66+Z67+Z69</f>
        <v>-87303.8746049723</v>
      </c>
      <c r="AA72" s="72" t="n">
        <f aca="false">AA46-AA51+AA65+AA66+AA67+AA69</f>
        <v>-142774.320247749</v>
      </c>
      <c r="AB72" s="72" t="n">
        <f aca="false">AB46-AB51+AB65+AB66+AB67+AB69</f>
        <v>-142004.1700366</v>
      </c>
      <c r="AC72" s="72" t="n">
        <f aca="false">AC46-AC51+AC65+AC66+AC67+AC69</f>
        <v>-141267.275784953</v>
      </c>
      <c r="AD72" s="72" t="n">
        <f aca="false">AD46-AD51+AD65+AD66+AD67+AD69</f>
        <v>-140563.54177463</v>
      </c>
      <c r="AE72" s="72" t="n">
        <f aca="false">AE46-AE51+AE65+AE66+AE67+AE69</f>
        <v>-139891.475794772</v>
      </c>
      <c r="AF72" s="72" t="n">
        <f aca="false">AF46-AF51+AF65+AF66+AF67+AF69</f>
        <v>-139249.652784007</v>
      </c>
      <c r="AG72" s="72" t="n">
        <f aca="false">AG46-AG51+AG65+AG66+AG67+AG69</f>
        <v>-138636.711808727</v>
      </c>
      <c r="AH72" s="72" t="n">
        <f aca="false">AH46-AH51+AH65+AH66+AH67+AH69</f>
        <v>-138051.353177334</v>
      </c>
      <c r="AI72" s="72" t="n">
        <f aca="false">AI46-AI51+AI65+AI66+AI67+AI69</f>
        <v>-137492.335684354</v>
      </c>
      <c r="AJ72" s="72" t="n">
        <f aca="false">AJ46-AJ51+AJ65+AJ66+AJ67+AJ69</f>
        <v>-136958.473978558</v>
      </c>
      <c r="AK72" s="72" t="n">
        <f aca="false">AK46-AK51+AK65+AK66+AK67+AK69</f>
        <v>-136448.636049523</v>
      </c>
      <c r="AL72" s="72" t="n">
        <f aca="false">AL46-AL51+AL65+AL66+AL67+AL69</f>
        <v>-135961.740827294</v>
      </c>
      <c r="AM72" s="72" t="n">
        <f aca="false">AM46-AM51+AM65+AM66+AM67+AM69</f>
        <v>-222353.082156733</v>
      </c>
      <c r="AN72" s="72" t="n">
        <f aca="false">AN46-AN51+AN65+AN66+AN67+AN69</f>
        <v>-221618.476906346</v>
      </c>
      <c r="AO72" s="72" t="n">
        <f aca="false">AO46-AO51+AO65+AO66+AO67+AO69</f>
        <v>-220915.278145561</v>
      </c>
      <c r="AP72" s="72" t="n">
        <f aca="false">AP46-AP51+AP65+AP66+AP67+AP69</f>
        <v>-220243.723329011</v>
      </c>
      <c r="AQ72" s="72" t="n">
        <f aca="false">AQ46-AQ51+AQ65+AQ66+AQ67+AQ69</f>
        <v>-219602.388479205</v>
      </c>
      <c r="AR72" s="72" t="n">
        <f aca="false">AR46-AR51+AR65+AR66+AR67+AR69</f>
        <v>-218989.913697641</v>
      </c>
      <c r="AS72" s="72" t="n">
        <f aca="false">AS46-AS51+AS65+AS66+AS67+AS69</f>
        <v>-218405.000281247</v>
      </c>
      <c r="AT72" s="72" t="n">
        <f aca="false">AT46-AT51+AT65+AT66+AT67+AT69</f>
        <v>-217846.407968591</v>
      </c>
      <c r="AU72" s="72" t="n">
        <f aca="false">AU46-AU51+AU65+AU66+AU67+AU69</f>
        <v>-217312.952310004</v>
      </c>
      <c r="AV72" s="72" t="n">
        <f aca="false">AV46-AV51+AV65+AV66+AV67+AV69</f>
        <v>-216803.502156054</v>
      </c>
      <c r="AW72" s="72" t="n">
        <f aca="false">AW46-AW51+AW65+AW66+AW67+AW69</f>
        <v>-216316.977259032</v>
      </c>
      <c r="AX72" s="72" t="n">
        <f aca="false">AX46-AX51+AX65+AX66+AX67+AX69</f>
        <v>-215852.345982375</v>
      </c>
      <c r="AY72" s="72" t="n">
        <f aca="false">AY46-AY51+AY65+AY66+AY67+AY69</f>
        <v>-350247.727286502</v>
      </c>
      <c r="AZ72" s="72" t="n">
        <f aca="false">AZ46-AZ51+AZ65+AZ66+AZ67+AZ69</f>
        <v>-349481.167951543</v>
      </c>
      <c r="BA72" s="72" t="n">
        <f aca="false">BA46-BA51+BA65+BA66+BA67+BA69</f>
        <v>-348747.156125323</v>
      </c>
      <c r="BB72" s="72" t="n">
        <f aca="false">BB46-BB51+BB65+BB66+BB67+BB69</f>
        <v>-348046.174831284</v>
      </c>
      <c r="BC72" s="72" t="n">
        <f aca="false">BC46-BC51+BC65+BC66+BC67+BC69</f>
        <v>-347376.737695476</v>
      </c>
      <c r="BD72" s="72" t="n">
        <f aca="false">BD46-BD51+BD65+BD66+BD67+BD69</f>
        <v>-346737.425230779</v>
      </c>
      <c r="BE72" s="72" t="n">
        <f aca="false">BE46-BE51+BE65+BE66+BE67+BE69</f>
        <v>-346126.881826994</v>
      </c>
      <c r="BF72" s="72" t="n">
        <f aca="false">BF46-BF51+BF65+BF66+BF67+BF69</f>
        <v>-345543.81287638</v>
      </c>
      <c r="BG72" s="72" t="n">
        <f aca="false">BG46-BG51+BG65+BG66+BG67+BG69</f>
        <v>-344986.982028543</v>
      </c>
      <c r="BH72" s="72" t="n">
        <f aca="false">BH46-BH51+BH65+BH66+BH67+BH69</f>
        <v>-344455.208568858</v>
      </c>
      <c r="BI72" s="72" t="n">
        <f aca="false">BI46-BI51+BI65+BI66+BI67+BI69</f>
        <v>-343947.36491486</v>
      </c>
      <c r="BJ72" s="72" t="n">
        <f aca="false">BJ46-BJ51+BJ65+BJ66+BJ67+BJ69</f>
        <v>-343462.374225291</v>
      </c>
    </row>
    <row r="73" customFormat="false" ht="15" hidden="false" customHeight="false" outlineLevel="0" collapsed="false">
      <c r="A73" s="6" t="s">
        <v>421</v>
      </c>
      <c r="C73" s="66" t="n">
        <f aca="false">-C49</f>
        <v>-20000</v>
      </c>
      <c r="D73" s="66" t="n">
        <f aca="false">-D49</f>
        <v>-0</v>
      </c>
      <c r="E73" s="66" t="n">
        <f aca="false">-E49</f>
        <v>-0</v>
      </c>
      <c r="F73" s="66" t="n">
        <f aca="false">-F49</f>
        <v>-0</v>
      </c>
      <c r="G73" s="66" t="n">
        <f aca="false">-G49</f>
        <v>-0</v>
      </c>
      <c r="H73" s="66" t="n">
        <f aca="false">-H49</f>
        <v>-0</v>
      </c>
      <c r="I73" s="66" t="n">
        <f aca="false">-I49</f>
        <v>-0</v>
      </c>
      <c r="J73" s="66" t="n">
        <f aca="false">-J49</f>
        <v>-0</v>
      </c>
      <c r="K73" s="66" t="n">
        <f aca="false">-K49</f>
        <v>-0</v>
      </c>
      <c r="L73" s="66" t="n">
        <f aca="false">-L49</f>
        <v>-0</v>
      </c>
      <c r="M73" s="66" t="n">
        <f aca="false">-M49</f>
        <v>-0</v>
      </c>
      <c r="N73" s="66" t="n">
        <f aca="false">-N49</f>
        <v>-0</v>
      </c>
      <c r="O73" s="66" t="n">
        <f aca="false">-O49</f>
        <v>-0</v>
      </c>
      <c r="P73" s="66" t="n">
        <f aca="false">-P49</f>
        <v>-0</v>
      </c>
      <c r="Q73" s="66" t="n">
        <f aca="false">-Q49</f>
        <v>-0</v>
      </c>
      <c r="R73" s="66" t="n">
        <f aca="false">-R49</f>
        <v>-0</v>
      </c>
      <c r="S73" s="66" t="n">
        <f aca="false">-S49</f>
        <v>-0</v>
      </c>
      <c r="T73" s="66" t="n">
        <f aca="false">-T49</f>
        <v>-0</v>
      </c>
      <c r="U73" s="66" t="n">
        <f aca="false">-U49</f>
        <v>-0</v>
      </c>
      <c r="V73" s="66" t="n">
        <f aca="false">-V49</f>
        <v>-0</v>
      </c>
      <c r="W73" s="66" t="n">
        <f aca="false">-W49</f>
        <v>-0</v>
      </c>
      <c r="X73" s="66" t="n">
        <f aca="false">-X49</f>
        <v>-0</v>
      </c>
      <c r="Y73" s="66" t="n">
        <f aca="false">-Y49</f>
        <v>-0</v>
      </c>
      <c r="Z73" s="66" t="n">
        <f aca="false">-Z49</f>
        <v>-0</v>
      </c>
      <c r="AA73" s="66" t="n">
        <f aca="false">-AA49</f>
        <v>-0</v>
      </c>
      <c r="AB73" s="66" t="n">
        <f aca="false">-AB49</f>
        <v>-0</v>
      </c>
      <c r="AC73" s="66" t="n">
        <f aca="false">-AC49</f>
        <v>-0</v>
      </c>
      <c r="AD73" s="66" t="n">
        <f aca="false">-AD49</f>
        <v>-0</v>
      </c>
      <c r="AE73" s="66" t="n">
        <f aca="false">-AE49</f>
        <v>-0</v>
      </c>
      <c r="AF73" s="66" t="n">
        <f aca="false">-AF49</f>
        <v>-0</v>
      </c>
      <c r="AG73" s="66" t="n">
        <f aca="false">-AG49</f>
        <v>-0</v>
      </c>
      <c r="AH73" s="66" t="n">
        <f aca="false">-AH49</f>
        <v>-0</v>
      </c>
      <c r="AI73" s="66" t="n">
        <f aca="false">-AI49</f>
        <v>-0</v>
      </c>
      <c r="AJ73" s="66" t="n">
        <f aca="false">-AJ49</f>
        <v>-0</v>
      </c>
      <c r="AK73" s="66" t="n">
        <f aca="false">-AK49</f>
        <v>-0</v>
      </c>
      <c r="AL73" s="66" t="n">
        <f aca="false">-AL49</f>
        <v>-0</v>
      </c>
      <c r="AM73" s="66" t="n">
        <f aca="false">-AM49</f>
        <v>-0</v>
      </c>
      <c r="AN73" s="66" t="n">
        <f aca="false">-AN49</f>
        <v>-0</v>
      </c>
      <c r="AO73" s="66" t="n">
        <f aca="false">-AO49</f>
        <v>-0</v>
      </c>
      <c r="AP73" s="66" t="n">
        <f aca="false">-AP49</f>
        <v>-0</v>
      </c>
      <c r="AQ73" s="66" t="n">
        <f aca="false">-AQ49</f>
        <v>-0</v>
      </c>
      <c r="AR73" s="66" t="n">
        <f aca="false">-AR49</f>
        <v>-0</v>
      </c>
      <c r="AS73" s="66" t="n">
        <f aca="false">-AS49</f>
        <v>-0</v>
      </c>
      <c r="AT73" s="66" t="n">
        <f aca="false">-AT49</f>
        <v>-0</v>
      </c>
      <c r="AU73" s="66" t="n">
        <f aca="false">-AU49</f>
        <v>-0</v>
      </c>
      <c r="AV73" s="66" t="n">
        <f aca="false">-AV49</f>
        <v>-0</v>
      </c>
      <c r="AW73" s="66" t="n">
        <f aca="false">-AW49</f>
        <v>-0</v>
      </c>
      <c r="AX73" s="66" t="n">
        <f aca="false">-AX49</f>
        <v>-0</v>
      </c>
      <c r="AY73" s="66" t="n">
        <f aca="false">-AY49</f>
        <v>-0</v>
      </c>
      <c r="AZ73" s="66" t="n">
        <f aca="false">-AZ49</f>
        <v>-0</v>
      </c>
      <c r="BA73" s="66" t="n">
        <f aca="false">-BA49</f>
        <v>-0</v>
      </c>
      <c r="BB73" s="66" t="n">
        <f aca="false">-BB49</f>
        <v>-0</v>
      </c>
      <c r="BC73" s="66" t="n">
        <f aca="false">-BC49</f>
        <v>-0</v>
      </c>
      <c r="BD73" s="66" t="n">
        <f aca="false">-BD49</f>
        <v>-0</v>
      </c>
      <c r="BE73" s="66" t="n">
        <f aca="false">-BE49</f>
        <v>-0</v>
      </c>
      <c r="BF73" s="66" t="n">
        <f aca="false">-BF49</f>
        <v>-0</v>
      </c>
      <c r="BG73" s="66" t="n">
        <f aca="false">-BG49</f>
        <v>-0</v>
      </c>
      <c r="BH73" s="66" t="n">
        <f aca="false">-BH49</f>
        <v>-0</v>
      </c>
      <c r="BI73" s="66" t="n">
        <f aca="false">-BI49</f>
        <v>-0</v>
      </c>
      <c r="BJ73" s="66" t="n">
        <f aca="false">-BJ49</f>
        <v>-0</v>
      </c>
    </row>
    <row r="74" customFormat="false" ht="15" hidden="false" customHeight="false" outlineLevel="0" collapsed="false">
      <c r="A74" s="6" t="s">
        <v>63</v>
      </c>
      <c r="C74" s="66" t="n">
        <f aca="false">IF(C$6=1,Inputs!$B$46,0)</f>
        <v>3000000</v>
      </c>
      <c r="D74" s="66" t="n">
        <f aca="false">IF(D$6=1,Inputs!$B$46,0)</f>
        <v>0</v>
      </c>
      <c r="E74" s="66" t="n">
        <f aca="false">IF(E$6=1,Inputs!$B$46,0)</f>
        <v>0</v>
      </c>
      <c r="F74" s="66" t="n">
        <f aca="false">IF(F$6=1,Inputs!$B$46,0)</f>
        <v>0</v>
      </c>
      <c r="G74" s="66" t="n">
        <f aca="false">IF(G$6=1,Inputs!$B$46,0)</f>
        <v>0</v>
      </c>
      <c r="H74" s="66" t="n">
        <f aca="false">IF(H$6=1,Inputs!$B$46,0)</f>
        <v>0</v>
      </c>
      <c r="I74" s="66" t="n">
        <f aca="false">IF(I$6=1,Inputs!$B$46,0)</f>
        <v>0</v>
      </c>
      <c r="J74" s="66" t="n">
        <f aca="false">IF(J$6=1,Inputs!$B$46,0)</f>
        <v>0</v>
      </c>
      <c r="K74" s="66" t="n">
        <f aca="false">IF(K$6=1,Inputs!$B$46,0)</f>
        <v>0</v>
      </c>
      <c r="L74" s="66" t="n">
        <f aca="false">IF(L$6=1,Inputs!$B$46,0)</f>
        <v>0</v>
      </c>
      <c r="M74" s="66" t="n">
        <f aca="false">IF(M$6=1,Inputs!$B$46,0)</f>
        <v>0</v>
      </c>
      <c r="N74" s="66" t="n">
        <f aca="false">IF(N$6=1,Inputs!$B$46,0)</f>
        <v>0</v>
      </c>
      <c r="O74" s="66" t="n">
        <f aca="false">IF(O$6=1,Inputs!$B$46,0)</f>
        <v>0</v>
      </c>
      <c r="P74" s="66" t="n">
        <f aca="false">IF(P$6=1,Inputs!$B$46,0)</f>
        <v>0</v>
      </c>
      <c r="Q74" s="66" t="n">
        <f aca="false">IF(Q$6=1,Inputs!$B$46,0)</f>
        <v>0</v>
      </c>
      <c r="R74" s="66" t="n">
        <f aca="false">IF(R$6=1,Inputs!$B$46,0)</f>
        <v>0</v>
      </c>
      <c r="S74" s="66" t="n">
        <f aca="false">IF(S$6=1,Inputs!$B$46,0)</f>
        <v>0</v>
      </c>
      <c r="T74" s="66" t="n">
        <f aca="false">IF(T$6=1,Inputs!$B$46,0)</f>
        <v>0</v>
      </c>
      <c r="U74" s="66" t="n">
        <f aca="false">IF(U$6=1,Inputs!$B$46,0)</f>
        <v>0</v>
      </c>
      <c r="V74" s="66" t="n">
        <f aca="false">IF(V$6=1,Inputs!$B$46,0)</f>
        <v>0</v>
      </c>
      <c r="W74" s="66" t="n">
        <f aca="false">IF(W$6=1,Inputs!$B$46,0)</f>
        <v>0</v>
      </c>
      <c r="X74" s="66" t="n">
        <f aca="false">IF(X$6=1,Inputs!$B$46,0)</f>
        <v>0</v>
      </c>
      <c r="Y74" s="66" t="n">
        <f aca="false">IF(Y$6=1,Inputs!$B$46,0)</f>
        <v>0</v>
      </c>
      <c r="Z74" s="66" t="n">
        <f aca="false">IF(Z$6=1,Inputs!$B$46,0)</f>
        <v>0</v>
      </c>
      <c r="AA74" s="66" t="n">
        <f aca="false">IF(AA$6=1,Inputs!$B$46,0)</f>
        <v>0</v>
      </c>
      <c r="AB74" s="66" t="n">
        <f aca="false">IF(AB$6=1,Inputs!$B$46,0)</f>
        <v>0</v>
      </c>
      <c r="AC74" s="66" t="n">
        <f aca="false">IF(AC$6=1,Inputs!$B$46,0)</f>
        <v>0</v>
      </c>
      <c r="AD74" s="66" t="n">
        <f aca="false">IF(AD$6=1,Inputs!$B$46,0)</f>
        <v>0</v>
      </c>
      <c r="AE74" s="66" t="n">
        <f aca="false">IF(AE$6=1,Inputs!$B$46,0)</f>
        <v>0</v>
      </c>
      <c r="AF74" s="66" t="n">
        <f aca="false">IF(AF$6=1,Inputs!$B$46,0)</f>
        <v>0</v>
      </c>
      <c r="AG74" s="66" t="n">
        <f aca="false">IF(AG$6=1,Inputs!$B$46,0)</f>
        <v>0</v>
      </c>
      <c r="AH74" s="66" t="n">
        <f aca="false">IF(AH$6=1,Inputs!$B$46,0)</f>
        <v>0</v>
      </c>
      <c r="AI74" s="66" t="n">
        <f aca="false">IF(AI$6=1,Inputs!$B$46,0)</f>
        <v>0</v>
      </c>
      <c r="AJ74" s="66" t="n">
        <f aca="false">IF(AJ$6=1,Inputs!$B$46,0)</f>
        <v>0</v>
      </c>
      <c r="AK74" s="66" t="n">
        <f aca="false">IF(AK$6=1,Inputs!$B$46,0)</f>
        <v>0</v>
      </c>
      <c r="AL74" s="66" t="n">
        <f aca="false">IF(AL$6=1,Inputs!$B$46,0)</f>
        <v>0</v>
      </c>
      <c r="AM74" s="66" t="n">
        <f aca="false">IF(AM$6=1,Inputs!$B$46,0)</f>
        <v>0</v>
      </c>
      <c r="AN74" s="66" t="n">
        <f aca="false">IF(AN$6=1,Inputs!$B$46,0)</f>
        <v>0</v>
      </c>
      <c r="AO74" s="66" t="n">
        <f aca="false">IF(AO$6=1,Inputs!$B$46,0)</f>
        <v>0</v>
      </c>
      <c r="AP74" s="66" t="n">
        <f aca="false">IF(AP$6=1,Inputs!$B$46,0)</f>
        <v>0</v>
      </c>
      <c r="AQ74" s="66" t="n">
        <f aca="false">IF(AQ$6=1,Inputs!$B$46,0)</f>
        <v>0</v>
      </c>
      <c r="AR74" s="66" t="n">
        <f aca="false">IF(AR$6=1,Inputs!$B$46,0)</f>
        <v>0</v>
      </c>
      <c r="AS74" s="66" t="n">
        <f aca="false">IF(AS$6=1,Inputs!$B$46,0)</f>
        <v>0</v>
      </c>
      <c r="AT74" s="66" t="n">
        <f aca="false">IF(AT$6=1,Inputs!$B$46,0)</f>
        <v>0</v>
      </c>
      <c r="AU74" s="66" t="n">
        <f aca="false">IF(AU$6=1,Inputs!$B$46,0)</f>
        <v>0</v>
      </c>
      <c r="AV74" s="66" t="n">
        <f aca="false">IF(AV$6=1,Inputs!$B$46,0)</f>
        <v>0</v>
      </c>
      <c r="AW74" s="66" t="n">
        <f aca="false">IF(AW$6=1,Inputs!$B$46,0)</f>
        <v>0</v>
      </c>
      <c r="AX74" s="66" t="n">
        <f aca="false">IF(AX$6=1,Inputs!$B$46,0)</f>
        <v>0</v>
      </c>
      <c r="AY74" s="66" t="n">
        <f aca="false">IF(AY$6=1,Inputs!$B$46,0)</f>
        <v>0</v>
      </c>
      <c r="AZ74" s="66" t="n">
        <f aca="false">IF(AZ$6=1,Inputs!$B$46,0)</f>
        <v>0</v>
      </c>
      <c r="BA74" s="66" t="n">
        <f aca="false">IF(BA$6=1,Inputs!$B$46,0)</f>
        <v>0</v>
      </c>
      <c r="BB74" s="66" t="n">
        <f aca="false">IF(BB$6=1,Inputs!$B$46,0)</f>
        <v>0</v>
      </c>
      <c r="BC74" s="66" t="n">
        <f aca="false">IF(BC$6=1,Inputs!$B$46,0)</f>
        <v>0</v>
      </c>
      <c r="BD74" s="66" t="n">
        <f aca="false">IF(BD$6=1,Inputs!$B$46,0)</f>
        <v>0</v>
      </c>
      <c r="BE74" s="66" t="n">
        <f aca="false">IF(BE$6=1,Inputs!$B$46,0)</f>
        <v>0</v>
      </c>
      <c r="BF74" s="66" t="n">
        <f aca="false">IF(BF$6=1,Inputs!$B$46,0)</f>
        <v>0</v>
      </c>
      <c r="BG74" s="66" t="n">
        <f aca="false">IF(BG$6=1,Inputs!$B$46,0)</f>
        <v>0</v>
      </c>
      <c r="BH74" s="66" t="n">
        <f aca="false">IF(BH$6=1,Inputs!$B$46,0)</f>
        <v>0</v>
      </c>
      <c r="BI74" s="66" t="n">
        <f aca="false">IF(BI$6=1,Inputs!$B$46,0)</f>
        <v>0</v>
      </c>
      <c r="BJ74" s="66" t="n">
        <f aca="false">IF(BJ$6=1,Inputs!$B$46,0)</f>
        <v>0</v>
      </c>
    </row>
    <row r="75" customFormat="false" ht="15" hidden="false" customHeight="false" outlineLevel="0" collapsed="false">
      <c r="A75" s="6" t="s">
        <v>54</v>
      </c>
      <c r="C75" s="66" t="n">
        <f aca="false">C74+C57+C58</f>
        <v>3000000</v>
      </c>
      <c r="D75" s="66" t="n">
        <f aca="false">D74+D57+D58</f>
        <v>0</v>
      </c>
      <c r="E75" s="66" t="n">
        <f aca="false">E74+E57+E58</f>
        <v>0</v>
      </c>
      <c r="F75" s="66" t="n">
        <f aca="false">F74+F57+F58</f>
        <v>0</v>
      </c>
      <c r="G75" s="66" t="n">
        <f aca="false">G74+G57+G58</f>
        <v>0</v>
      </c>
      <c r="H75" s="66" t="n">
        <f aca="false">H74+H57+H58</f>
        <v>0</v>
      </c>
      <c r="I75" s="66" t="n">
        <f aca="false">I74+I57+I58</f>
        <v>0</v>
      </c>
      <c r="J75" s="66" t="n">
        <f aca="false">J74+J57+J58</f>
        <v>0</v>
      </c>
      <c r="K75" s="66" t="n">
        <f aca="false">K74+K57+K58</f>
        <v>0</v>
      </c>
      <c r="L75" s="66" t="n">
        <f aca="false">L74+L57+L58</f>
        <v>0</v>
      </c>
      <c r="M75" s="66" t="n">
        <f aca="false">M74+M57+M58</f>
        <v>0</v>
      </c>
      <c r="N75" s="66" t="n">
        <f aca="false">N74+N57+N58</f>
        <v>0</v>
      </c>
      <c r="O75" s="66" t="n">
        <f aca="false">O74+O57+O58</f>
        <v>0</v>
      </c>
      <c r="P75" s="66" t="n">
        <f aca="false">P74+P57+P58</f>
        <v>0</v>
      </c>
      <c r="Q75" s="66" t="n">
        <f aca="false">Q74+Q57+Q58</f>
        <v>0</v>
      </c>
      <c r="R75" s="66" t="n">
        <f aca="false">R74+R57+R58</f>
        <v>0</v>
      </c>
      <c r="S75" s="66" t="n">
        <f aca="false">S74+S57+S58</f>
        <v>0</v>
      </c>
      <c r="T75" s="66" t="n">
        <f aca="false">T74+T57+T58</f>
        <v>0</v>
      </c>
      <c r="U75" s="66" t="n">
        <f aca="false">U74+U57+U58</f>
        <v>0</v>
      </c>
      <c r="V75" s="66" t="n">
        <f aca="false">V74+V57+V58</f>
        <v>0</v>
      </c>
      <c r="W75" s="66" t="n">
        <f aca="false">W74+W57+W58</f>
        <v>0</v>
      </c>
      <c r="X75" s="66" t="n">
        <f aca="false">X74+X57+X58</f>
        <v>0</v>
      </c>
      <c r="Y75" s="66" t="n">
        <f aca="false">Y74+Y57+Y58</f>
        <v>0</v>
      </c>
      <c r="Z75" s="66" t="n">
        <f aca="false">Z74+Z57+Z58</f>
        <v>0</v>
      </c>
      <c r="AA75" s="66" t="n">
        <f aca="false">AA74+AA57+AA58</f>
        <v>0</v>
      </c>
      <c r="AB75" s="66" t="n">
        <f aca="false">AB74+AB57+AB58</f>
        <v>0</v>
      </c>
      <c r="AC75" s="66" t="n">
        <f aca="false">AC74+AC57+AC58</f>
        <v>0</v>
      </c>
      <c r="AD75" s="66" t="n">
        <f aca="false">AD74+AD57+AD58</f>
        <v>0</v>
      </c>
      <c r="AE75" s="66" t="n">
        <f aca="false">AE74+AE57+AE58</f>
        <v>0</v>
      </c>
      <c r="AF75" s="66" t="n">
        <f aca="false">AF74+AF57+AF58</f>
        <v>0</v>
      </c>
      <c r="AG75" s="66" t="n">
        <f aca="false">AG74+AG57+AG58</f>
        <v>0</v>
      </c>
      <c r="AH75" s="66" t="n">
        <f aca="false">AH74+AH57+AH58</f>
        <v>0</v>
      </c>
      <c r="AI75" s="66" t="n">
        <f aca="false">AI74+AI57+AI58</f>
        <v>0</v>
      </c>
      <c r="AJ75" s="66" t="n">
        <f aca="false">AJ74+AJ57+AJ58</f>
        <v>0</v>
      </c>
      <c r="AK75" s="66" t="n">
        <f aca="false">AK74+AK57+AK58</f>
        <v>0</v>
      </c>
      <c r="AL75" s="66" t="n">
        <f aca="false">AL74+AL57+AL58</f>
        <v>0</v>
      </c>
      <c r="AM75" s="66" t="n">
        <f aca="false">AM74+AM57+AM58</f>
        <v>0</v>
      </c>
      <c r="AN75" s="66" t="n">
        <f aca="false">AN74+AN57+AN58</f>
        <v>0</v>
      </c>
      <c r="AO75" s="66" t="n">
        <f aca="false">AO74+AO57+AO58</f>
        <v>0</v>
      </c>
      <c r="AP75" s="66" t="n">
        <f aca="false">AP74+AP57+AP58</f>
        <v>0</v>
      </c>
      <c r="AQ75" s="66" t="n">
        <f aca="false">AQ74+AQ57+AQ58</f>
        <v>0</v>
      </c>
      <c r="AR75" s="66" t="n">
        <f aca="false">AR74+AR57+AR58</f>
        <v>0</v>
      </c>
      <c r="AS75" s="66" t="n">
        <f aca="false">AS74+AS57+AS58</f>
        <v>0</v>
      </c>
      <c r="AT75" s="66" t="n">
        <f aca="false">AT74+AT57+AT58</f>
        <v>0</v>
      </c>
      <c r="AU75" s="66" t="n">
        <f aca="false">AU74+AU57+AU58</f>
        <v>0</v>
      </c>
      <c r="AV75" s="66" t="n">
        <f aca="false">AV74+AV57+AV58</f>
        <v>0</v>
      </c>
      <c r="AW75" s="66" t="n">
        <f aca="false">AW74+AW57+AW58</f>
        <v>0</v>
      </c>
      <c r="AX75" s="66" t="n">
        <f aca="false">AX74+AX57+AX58</f>
        <v>0</v>
      </c>
      <c r="AY75" s="66" t="n">
        <f aca="false">AY74+AY57+AY58</f>
        <v>0</v>
      </c>
      <c r="AZ75" s="66" t="n">
        <f aca="false">AZ74+AZ57+AZ58</f>
        <v>0</v>
      </c>
      <c r="BA75" s="66" t="n">
        <f aca="false">BA74+BA57+BA58</f>
        <v>0</v>
      </c>
      <c r="BB75" s="66" t="n">
        <f aca="false">BB74+BB57+BB58</f>
        <v>0</v>
      </c>
      <c r="BC75" s="66" t="n">
        <f aca="false">BC74+BC57+BC58</f>
        <v>0</v>
      </c>
      <c r="BD75" s="66" t="n">
        <f aca="false">BD74+BD57+BD58</f>
        <v>0</v>
      </c>
      <c r="BE75" s="66" t="n">
        <f aca="false">BE74+BE57+BE58</f>
        <v>0</v>
      </c>
      <c r="BF75" s="66" t="n">
        <f aca="false">BF74+BF57+BF58</f>
        <v>0</v>
      </c>
      <c r="BG75" s="66" t="n">
        <f aca="false">BG74+BG57+BG58</f>
        <v>0</v>
      </c>
      <c r="BH75" s="66" t="n">
        <f aca="false">BH74+BH57+BH58</f>
        <v>0</v>
      </c>
      <c r="BI75" s="66" t="n">
        <f aca="false">BI74+BI57+BI58</f>
        <v>0</v>
      </c>
      <c r="BJ75" s="66" t="n">
        <f aca="false">BJ74+BJ57+BJ58</f>
        <v>0</v>
      </c>
    </row>
    <row r="76" customFormat="false" ht="15" hidden="false" customHeight="false" outlineLevel="0" collapsed="false">
      <c r="A76" s="111" t="s">
        <v>422</v>
      </c>
      <c r="C76" s="67" t="n">
        <f aca="false">C72+C73+C75</f>
        <v>2912221.20472222</v>
      </c>
      <c r="D76" s="67" t="n">
        <f aca="false">D72+D73+D75</f>
        <v>-69394.6141013889</v>
      </c>
      <c r="E76" s="67" t="n">
        <f aca="false">E72+E73+E75</f>
        <v>-68234.5131334931</v>
      </c>
      <c r="F76" s="67" t="n">
        <f aca="false">F72+F73+F75</f>
        <v>-67126.6167091525</v>
      </c>
      <c r="G76" s="67" t="n">
        <f aca="false">G72+G73+G75</f>
        <v>-66068.5756239073</v>
      </c>
      <c r="H76" s="67" t="n">
        <f aca="false">H72+H73+H75</f>
        <v>-65058.1463874982</v>
      </c>
      <c r="I76" s="67" t="n">
        <f aca="false">I72+I73+I75</f>
        <v>-64093.1864667274</v>
      </c>
      <c r="J76" s="67" t="n">
        <f aca="false">J72+J73+J75</f>
        <v>-63171.6497423913</v>
      </c>
      <c r="K76" s="67" t="n">
        <f aca="false">K72+K73+K75</f>
        <v>-62291.5821706504</v>
      </c>
      <c r="L76" s="67" t="n">
        <f aca="false">L72+L73+L75</f>
        <v>-61451.1176396378</v>
      </c>
      <c r="M76" s="67" t="n">
        <f aca="false">M72+M73+M75</f>
        <v>-60648.4740125208</v>
      </c>
      <c r="N76" s="67" t="n">
        <f aca="false">N72+N73+N75</f>
        <v>-59881.949348624</v>
      </c>
      <c r="O76" s="67" t="n">
        <f aca="false">O72+O73+O75</f>
        <v>-95337.1671834915</v>
      </c>
      <c r="P76" s="67" t="n">
        <f aca="false">P72+P73+P75</f>
        <v>-94428.5888824566</v>
      </c>
      <c r="Q76" s="67" t="n">
        <f aca="false">Q72+Q73+Q75</f>
        <v>-93559.706382746</v>
      </c>
      <c r="R76" s="67" t="n">
        <f aca="false">R72+R73+R75</f>
        <v>-92729.9235955225</v>
      </c>
      <c r="S76" s="67" t="n">
        <f aca="false">S72+S73+S75</f>
        <v>-91937.481033724</v>
      </c>
      <c r="T76" s="67" t="n">
        <f aca="false">T72+T73+T75</f>
        <v>-91180.6983872064</v>
      </c>
      <c r="U76" s="67" t="n">
        <f aca="false">U72+U73+U75</f>
        <v>-90457.9709597821</v>
      </c>
      <c r="V76" s="67" t="n">
        <f aca="false">V72+V73+V75</f>
        <v>-89767.7662665919</v>
      </c>
      <c r="W76" s="67" t="n">
        <f aca="false">W72+W73+W75</f>
        <v>-89108.6207845953</v>
      </c>
      <c r="X76" s="67" t="n">
        <f aca="false">X72+X73+X75</f>
        <v>-88479.1368492885</v>
      </c>
      <c r="Y76" s="67" t="n">
        <f aca="false">Y72+Y73+Y75</f>
        <v>-87877.9796910705</v>
      </c>
      <c r="Z76" s="67" t="n">
        <f aca="false">Z72+Z73+Z75</f>
        <v>-87303.8746049723</v>
      </c>
      <c r="AA76" s="67" t="n">
        <f aca="false">AA72+AA73+AA75</f>
        <v>-142774.320247749</v>
      </c>
      <c r="AB76" s="67" t="n">
        <f aca="false">AB72+AB73+AB75</f>
        <v>-142004.1700366</v>
      </c>
      <c r="AC76" s="67" t="n">
        <f aca="false">AC72+AC73+AC75</f>
        <v>-141267.275784953</v>
      </c>
      <c r="AD76" s="67" t="n">
        <f aca="false">AD72+AD73+AD75</f>
        <v>-140563.54177463</v>
      </c>
      <c r="AE76" s="67" t="n">
        <f aca="false">AE72+AE73+AE75</f>
        <v>-139891.475794772</v>
      </c>
      <c r="AF76" s="67" t="n">
        <f aca="false">AF72+AF73+AF75</f>
        <v>-139249.652784007</v>
      </c>
      <c r="AG76" s="67" t="n">
        <f aca="false">AG72+AG73+AG75</f>
        <v>-138636.711808727</v>
      </c>
      <c r="AH76" s="67" t="n">
        <f aca="false">AH72+AH73+AH75</f>
        <v>-138051.353177334</v>
      </c>
      <c r="AI76" s="67" t="n">
        <f aca="false">AI72+AI73+AI75</f>
        <v>-137492.335684354</v>
      </c>
      <c r="AJ76" s="67" t="n">
        <f aca="false">AJ72+AJ73+AJ75</f>
        <v>-136958.473978558</v>
      </c>
      <c r="AK76" s="67" t="n">
        <f aca="false">AK72+AK73+AK75</f>
        <v>-136448.636049523</v>
      </c>
      <c r="AL76" s="67" t="n">
        <f aca="false">AL72+AL73+AL75</f>
        <v>-135961.740827294</v>
      </c>
      <c r="AM76" s="67" t="n">
        <f aca="false">AM72+AM73+AM75</f>
        <v>-222353.082156733</v>
      </c>
      <c r="AN76" s="67" t="n">
        <f aca="false">AN72+AN73+AN75</f>
        <v>-221618.476906346</v>
      </c>
      <c r="AO76" s="67" t="n">
        <f aca="false">AO72+AO73+AO75</f>
        <v>-220915.278145561</v>
      </c>
      <c r="AP76" s="67" t="n">
        <f aca="false">AP72+AP73+AP75</f>
        <v>-220243.723329011</v>
      </c>
      <c r="AQ76" s="67" t="n">
        <f aca="false">AQ72+AQ73+AQ75</f>
        <v>-219602.388479205</v>
      </c>
      <c r="AR76" s="67" t="n">
        <f aca="false">AR72+AR73+AR75</f>
        <v>-218989.913697641</v>
      </c>
      <c r="AS76" s="67" t="n">
        <f aca="false">AS72+AS73+AS75</f>
        <v>-218405.000281247</v>
      </c>
      <c r="AT76" s="67" t="n">
        <f aca="false">AT72+AT73+AT75</f>
        <v>-217846.407968591</v>
      </c>
      <c r="AU76" s="67" t="n">
        <f aca="false">AU72+AU73+AU75</f>
        <v>-217312.952310004</v>
      </c>
      <c r="AV76" s="67" t="n">
        <f aca="false">AV72+AV73+AV75</f>
        <v>-216803.502156054</v>
      </c>
      <c r="AW76" s="67" t="n">
        <f aca="false">AW72+AW73+AW75</f>
        <v>-216316.977259032</v>
      </c>
      <c r="AX76" s="67" t="n">
        <f aca="false">AX72+AX73+AX75</f>
        <v>-215852.345982375</v>
      </c>
      <c r="AY76" s="67" t="n">
        <f aca="false">AY72+AY73+AY75</f>
        <v>-350247.727286502</v>
      </c>
      <c r="AZ76" s="67" t="n">
        <f aca="false">AZ72+AZ73+AZ75</f>
        <v>-349481.167951543</v>
      </c>
      <c r="BA76" s="67" t="n">
        <f aca="false">BA72+BA73+BA75</f>
        <v>-348747.156125323</v>
      </c>
      <c r="BB76" s="67" t="n">
        <f aca="false">BB72+BB73+BB75</f>
        <v>-348046.174831284</v>
      </c>
      <c r="BC76" s="67" t="n">
        <f aca="false">BC72+BC73+BC75</f>
        <v>-347376.737695476</v>
      </c>
      <c r="BD76" s="67" t="n">
        <f aca="false">BD72+BD73+BD75</f>
        <v>-346737.425230779</v>
      </c>
      <c r="BE76" s="67" t="n">
        <f aca="false">BE72+BE73+BE75</f>
        <v>-346126.881826994</v>
      </c>
      <c r="BF76" s="67" t="n">
        <f aca="false">BF72+BF73+BF75</f>
        <v>-345543.81287638</v>
      </c>
      <c r="BG76" s="67" t="n">
        <f aca="false">BG72+BG73+BG75</f>
        <v>-344986.982028543</v>
      </c>
      <c r="BH76" s="67" t="n">
        <f aca="false">BH72+BH73+BH75</f>
        <v>-344455.208568858</v>
      </c>
      <c r="BI76" s="67" t="n">
        <f aca="false">BI72+BI73+BI75</f>
        <v>-343947.36491486</v>
      </c>
      <c r="BJ76" s="67" t="n">
        <f aca="false">BJ72+BJ73+BJ75</f>
        <v>-343462.374225291</v>
      </c>
    </row>
    <row r="77" customFormat="false" ht="15" hidden="false" customHeight="false" outlineLevel="0" collapsed="false">
      <c r="A77" s="6" t="s">
        <v>328</v>
      </c>
      <c r="C77" s="66" t="n">
        <f aca="false">0</f>
        <v>0</v>
      </c>
      <c r="D77" s="66" t="n">
        <f aca="false">C78</f>
        <v>2912221.20472222</v>
      </c>
      <c r="E77" s="66" t="n">
        <f aca="false">D78</f>
        <v>2842826.59062083</v>
      </c>
      <c r="F77" s="66" t="n">
        <f aca="false">E78</f>
        <v>2774592.07748734</v>
      </c>
      <c r="G77" s="66" t="n">
        <f aca="false">F78</f>
        <v>2707465.46077819</v>
      </c>
      <c r="H77" s="66" t="n">
        <f aca="false">G78</f>
        <v>2641396.88515428</v>
      </c>
      <c r="I77" s="66" t="n">
        <f aca="false">H78</f>
        <v>2576338.73876678</v>
      </c>
      <c r="J77" s="66" t="n">
        <f aca="false">I78</f>
        <v>2512245.55230005</v>
      </c>
      <c r="K77" s="66" t="n">
        <f aca="false">J78</f>
        <v>2449073.90255766</v>
      </c>
      <c r="L77" s="66" t="n">
        <f aca="false">K78</f>
        <v>2386782.32038701</v>
      </c>
      <c r="M77" s="66" t="n">
        <f aca="false">L78</f>
        <v>2325331.20274738</v>
      </c>
      <c r="N77" s="66" t="n">
        <f aca="false">M78</f>
        <v>2264682.72873485</v>
      </c>
      <c r="O77" s="66" t="n">
        <f aca="false">N78</f>
        <v>2204800.77938623</v>
      </c>
      <c r="P77" s="66" t="n">
        <f aca="false">O78</f>
        <v>2109463.61220274</v>
      </c>
      <c r="Q77" s="66" t="n">
        <f aca="false">P78</f>
        <v>2015035.02332028</v>
      </c>
      <c r="R77" s="66" t="n">
        <f aca="false">Q78</f>
        <v>1921475.31693754</v>
      </c>
      <c r="S77" s="66" t="n">
        <f aca="false">R78</f>
        <v>1828745.39334201</v>
      </c>
      <c r="T77" s="66" t="n">
        <f aca="false">S78</f>
        <v>1736807.91230829</v>
      </c>
      <c r="U77" s="66" t="n">
        <f aca="false">T78</f>
        <v>1645627.21392108</v>
      </c>
      <c r="V77" s="66" t="n">
        <f aca="false">U78</f>
        <v>1555169.2429613</v>
      </c>
      <c r="W77" s="66" t="n">
        <f aca="false">V78</f>
        <v>1465401.47669471</v>
      </c>
      <c r="X77" s="66" t="n">
        <f aca="false">W78</f>
        <v>1376292.85591011</v>
      </c>
      <c r="Y77" s="66" t="n">
        <f aca="false">X78</f>
        <v>1287813.71906083</v>
      </c>
      <c r="Z77" s="66" t="n">
        <f aca="false">Y78</f>
        <v>1199935.73936976</v>
      </c>
      <c r="AA77" s="66" t="n">
        <f aca="false">Z78</f>
        <v>1112631.86476478</v>
      </c>
      <c r="AB77" s="66" t="n">
        <f aca="false">AA78</f>
        <v>969857.544517034</v>
      </c>
      <c r="AC77" s="66" t="n">
        <f aca="false">AB78</f>
        <v>827853.374480434</v>
      </c>
      <c r="AD77" s="66" t="n">
        <f aca="false">AC78</f>
        <v>686586.098695481</v>
      </c>
      <c r="AE77" s="66" t="n">
        <f aca="false">AD78</f>
        <v>546022.556920851</v>
      </c>
      <c r="AF77" s="66" t="n">
        <f aca="false">AE78</f>
        <v>406131.08112608</v>
      </c>
      <c r="AG77" s="66" t="n">
        <f aca="false">AF78</f>
        <v>266881.428342073</v>
      </c>
      <c r="AH77" s="66" t="n">
        <f aca="false">AG78</f>
        <v>128244.716533346</v>
      </c>
      <c r="AI77" s="66" t="n">
        <f aca="false">AH78</f>
        <v>-9806.63664398794</v>
      </c>
      <c r="AJ77" s="66" t="n">
        <f aca="false">AI78</f>
        <v>-147298.972328342</v>
      </c>
      <c r="AK77" s="66" t="n">
        <f aca="false">AJ78</f>
        <v>-284257.4463069</v>
      </c>
      <c r="AL77" s="66" t="n">
        <f aca="false">AK78</f>
        <v>-420706.082356423</v>
      </c>
      <c r="AM77" s="66" t="n">
        <f aca="false">AL78</f>
        <v>-556667.823183717</v>
      </c>
      <c r="AN77" s="66" t="n">
        <f aca="false">AM78</f>
        <v>-779020.90534045</v>
      </c>
      <c r="AO77" s="66" t="n">
        <f aca="false">AN78</f>
        <v>-1000639.3822468</v>
      </c>
      <c r="AP77" s="66" t="n">
        <f aca="false">AO78</f>
        <v>-1221554.66039236</v>
      </c>
      <c r="AQ77" s="66" t="n">
        <f aca="false">AP78</f>
        <v>-1441798.38372137</v>
      </c>
      <c r="AR77" s="66" t="n">
        <f aca="false">AQ78</f>
        <v>-1661400.77220057</v>
      </c>
      <c r="AS77" s="66" t="n">
        <f aca="false">AR78</f>
        <v>-1880390.68589821</v>
      </c>
      <c r="AT77" s="66" t="n">
        <f aca="false">AS78</f>
        <v>-2098795.68617946</v>
      </c>
      <c r="AU77" s="66" t="n">
        <f aca="false">AT78</f>
        <v>-2316642.09414805</v>
      </c>
      <c r="AV77" s="66" t="n">
        <f aca="false">AU78</f>
        <v>-2533955.04645806</v>
      </c>
      <c r="AW77" s="66" t="n">
        <f aca="false">AV78</f>
        <v>-2750758.54861411</v>
      </c>
      <c r="AX77" s="66" t="n">
        <f aca="false">AW78</f>
        <v>-2967075.52587314</v>
      </c>
      <c r="AY77" s="66" t="n">
        <f aca="false">AX78</f>
        <v>-3182927.87185552</v>
      </c>
      <c r="AZ77" s="66" t="n">
        <f aca="false">AY78</f>
        <v>-3533175.59914202</v>
      </c>
      <c r="BA77" s="66" t="n">
        <f aca="false">AZ78</f>
        <v>-3882656.76709356</v>
      </c>
      <c r="BB77" s="66" t="n">
        <f aca="false">BA78</f>
        <v>-4231403.92321889</v>
      </c>
      <c r="BC77" s="66" t="n">
        <f aca="false">BB78</f>
        <v>-4579450.09805017</v>
      </c>
      <c r="BD77" s="66" t="n">
        <f aca="false">BC78</f>
        <v>-4926826.83574565</v>
      </c>
      <c r="BE77" s="66" t="n">
        <f aca="false">BD78</f>
        <v>-5273564.26097642</v>
      </c>
      <c r="BF77" s="66" t="n">
        <f aca="false">BE78</f>
        <v>-5619691.14280342</v>
      </c>
      <c r="BG77" s="66" t="n">
        <f aca="false">BF78</f>
        <v>-5965234.9556798</v>
      </c>
      <c r="BH77" s="66" t="n">
        <f aca="false">BG78</f>
        <v>-6310221.93770834</v>
      </c>
      <c r="BI77" s="66" t="n">
        <f aca="false">BH78</f>
        <v>-6654677.1462772</v>
      </c>
      <c r="BJ77" s="66" t="n">
        <f aca="false">BI78</f>
        <v>-6998624.51119206</v>
      </c>
    </row>
    <row r="78" customFormat="false" ht="15" hidden="false" customHeight="false" outlineLevel="0" collapsed="false">
      <c r="A78" s="111" t="s">
        <v>86</v>
      </c>
      <c r="C78" s="67" t="n">
        <f aca="false">C77+C76</f>
        <v>2912221.20472222</v>
      </c>
      <c r="D78" s="67" t="n">
        <f aca="false">D77+D76</f>
        <v>2842826.59062083</v>
      </c>
      <c r="E78" s="67" t="n">
        <f aca="false">E77+E76</f>
        <v>2774592.07748734</v>
      </c>
      <c r="F78" s="67" t="n">
        <f aca="false">F77+F76</f>
        <v>2707465.46077819</v>
      </c>
      <c r="G78" s="67" t="n">
        <f aca="false">G77+G76</f>
        <v>2641396.88515428</v>
      </c>
      <c r="H78" s="67" t="n">
        <f aca="false">H77+H76</f>
        <v>2576338.73876678</v>
      </c>
      <c r="I78" s="67" t="n">
        <f aca="false">I77+I76</f>
        <v>2512245.55230005</v>
      </c>
      <c r="J78" s="67" t="n">
        <f aca="false">J77+J76</f>
        <v>2449073.90255766</v>
      </c>
      <c r="K78" s="67" t="n">
        <f aca="false">K77+K76</f>
        <v>2386782.32038701</v>
      </c>
      <c r="L78" s="67" t="n">
        <f aca="false">L77+L76</f>
        <v>2325331.20274738</v>
      </c>
      <c r="M78" s="67" t="n">
        <f aca="false">M77+M76</f>
        <v>2264682.72873485</v>
      </c>
      <c r="N78" s="67" t="n">
        <f aca="false">N77+N76</f>
        <v>2204800.77938623</v>
      </c>
      <c r="O78" s="67" t="n">
        <f aca="false">O77+O76</f>
        <v>2109463.61220274</v>
      </c>
      <c r="P78" s="67" t="n">
        <f aca="false">P77+P76</f>
        <v>2015035.02332028</v>
      </c>
      <c r="Q78" s="67" t="n">
        <f aca="false">Q77+Q76</f>
        <v>1921475.31693754</v>
      </c>
      <c r="R78" s="67" t="n">
        <f aca="false">R77+R76</f>
        <v>1828745.39334201</v>
      </c>
      <c r="S78" s="67" t="n">
        <f aca="false">S77+S76</f>
        <v>1736807.91230829</v>
      </c>
      <c r="T78" s="67" t="n">
        <f aca="false">T77+T76</f>
        <v>1645627.21392108</v>
      </c>
      <c r="U78" s="67" t="n">
        <f aca="false">U77+U76</f>
        <v>1555169.2429613</v>
      </c>
      <c r="V78" s="67" t="n">
        <f aca="false">V77+V76</f>
        <v>1465401.47669471</v>
      </c>
      <c r="W78" s="67" t="n">
        <f aca="false">W77+W76</f>
        <v>1376292.85591011</v>
      </c>
      <c r="X78" s="67" t="n">
        <f aca="false">X77+X76</f>
        <v>1287813.71906083</v>
      </c>
      <c r="Y78" s="67" t="n">
        <f aca="false">Y77+Y76</f>
        <v>1199935.73936976</v>
      </c>
      <c r="Z78" s="67" t="n">
        <f aca="false">Z77+Z76</f>
        <v>1112631.86476478</v>
      </c>
      <c r="AA78" s="67" t="n">
        <f aca="false">AA77+AA76</f>
        <v>969857.544517034</v>
      </c>
      <c r="AB78" s="67" t="n">
        <f aca="false">AB77+AB76</f>
        <v>827853.374480434</v>
      </c>
      <c r="AC78" s="67" t="n">
        <f aca="false">AC77+AC76</f>
        <v>686586.098695481</v>
      </c>
      <c r="AD78" s="67" t="n">
        <f aca="false">AD77+AD76</f>
        <v>546022.556920851</v>
      </c>
      <c r="AE78" s="67" t="n">
        <f aca="false">AE77+AE76</f>
        <v>406131.08112608</v>
      </c>
      <c r="AF78" s="67" t="n">
        <f aca="false">AF77+AF76</f>
        <v>266881.428342073</v>
      </c>
      <c r="AG78" s="67" t="n">
        <f aca="false">AG77+AG76</f>
        <v>128244.716533346</v>
      </c>
      <c r="AH78" s="67" t="n">
        <f aca="false">AH77+AH76</f>
        <v>-9806.63664398794</v>
      </c>
      <c r="AI78" s="67" t="n">
        <f aca="false">AI77+AI76</f>
        <v>-147298.972328342</v>
      </c>
      <c r="AJ78" s="67" t="n">
        <f aca="false">AJ77+AJ76</f>
        <v>-284257.4463069</v>
      </c>
      <c r="AK78" s="67" t="n">
        <f aca="false">AK77+AK76</f>
        <v>-420706.082356423</v>
      </c>
      <c r="AL78" s="67" t="n">
        <f aca="false">AL77+AL76</f>
        <v>-556667.823183717</v>
      </c>
      <c r="AM78" s="67" t="n">
        <f aca="false">AM77+AM76</f>
        <v>-779020.90534045</v>
      </c>
      <c r="AN78" s="67" t="n">
        <f aca="false">AN77+AN76</f>
        <v>-1000639.3822468</v>
      </c>
      <c r="AO78" s="67" t="n">
        <f aca="false">AO77+AO76</f>
        <v>-1221554.66039236</v>
      </c>
      <c r="AP78" s="67" t="n">
        <f aca="false">AP77+AP76</f>
        <v>-1441798.38372137</v>
      </c>
      <c r="AQ78" s="67" t="n">
        <f aca="false">AQ77+AQ76</f>
        <v>-1661400.77220057</v>
      </c>
      <c r="AR78" s="67" t="n">
        <f aca="false">AR77+AR76</f>
        <v>-1880390.68589821</v>
      </c>
      <c r="AS78" s="67" t="n">
        <f aca="false">AS77+AS76</f>
        <v>-2098795.68617946</v>
      </c>
      <c r="AT78" s="67" t="n">
        <f aca="false">AT77+AT76</f>
        <v>-2316642.09414805</v>
      </c>
      <c r="AU78" s="67" t="n">
        <f aca="false">AU77+AU76</f>
        <v>-2533955.04645806</v>
      </c>
      <c r="AV78" s="67" t="n">
        <f aca="false">AV77+AV76</f>
        <v>-2750758.54861411</v>
      </c>
      <c r="AW78" s="67" t="n">
        <f aca="false">AW77+AW76</f>
        <v>-2967075.52587314</v>
      </c>
      <c r="AX78" s="67" t="n">
        <f aca="false">AX77+AX76</f>
        <v>-3182927.87185552</v>
      </c>
      <c r="AY78" s="67" t="n">
        <f aca="false">AY77+AY76</f>
        <v>-3533175.59914202</v>
      </c>
      <c r="AZ78" s="67" t="n">
        <f aca="false">AZ77+AZ76</f>
        <v>-3882656.76709356</v>
      </c>
      <c r="BA78" s="67" t="n">
        <f aca="false">BA77+BA76</f>
        <v>-4231403.92321889</v>
      </c>
      <c r="BB78" s="67" t="n">
        <f aca="false">BB77+BB76</f>
        <v>-4579450.09805017</v>
      </c>
      <c r="BC78" s="67" t="n">
        <f aca="false">BC77+BC76</f>
        <v>-4926826.83574565</v>
      </c>
      <c r="BD78" s="67" t="n">
        <f aca="false">BD77+BD76</f>
        <v>-5273564.26097642</v>
      </c>
      <c r="BE78" s="67" t="n">
        <f aca="false">BE77+BE76</f>
        <v>-5619691.14280342</v>
      </c>
      <c r="BF78" s="67" t="n">
        <f aca="false">BF77+BF76</f>
        <v>-5965234.9556798</v>
      </c>
      <c r="BG78" s="67" t="n">
        <f aca="false">BG77+BG76</f>
        <v>-6310221.93770834</v>
      </c>
      <c r="BH78" s="67" t="n">
        <f aca="false">BH77+BH76</f>
        <v>-6654677.1462772</v>
      </c>
      <c r="BI78" s="67" t="n">
        <f aca="false">BI77+BI76</f>
        <v>-6998624.51119206</v>
      </c>
      <c r="BJ78" s="67" t="n">
        <f aca="false">BJ77+BJ76</f>
        <v>-7342086.88541735</v>
      </c>
    </row>
    <row r="79" customFormat="false" ht="15" hidden="false" customHeight="false" outlineLevel="0" collapsed="false">
      <c r="A79" s="119" t="s">
        <v>423</v>
      </c>
      <c r="C79" s="120" t="n">
        <f aca="false">IF(C37&gt;0,1,0)</f>
        <v>0</v>
      </c>
      <c r="D79" s="120" t="n">
        <f aca="false">IF(D37&gt;0,1,0)</f>
        <v>0</v>
      </c>
      <c r="E79" s="120" t="n">
        <f aca="false">IF(E37&gt;0,1,0)</f>
        <v>0</v>
      </c>
      <c r="F79" s="120" t="n">
        <f aca="false">IF(F37&gt;0,1,0)</f>
        <v>0</v>
      </c>
      <c r="G79" s="120" t="n">
        <f aca="false">IF(G37&gt;0,1,0)</f>
        <v>0</v>
      </c>
      <c r="H79" s="120" t="n">
        <f aca="false">IF(H37&gt;0,1,0)</f>
        <v>0</v>
      </c>
      <c r="I79" s="120" t="n">
        <f aca="false">IF(I37&gt;0,1,0)</f>
        <v>0</v>
      </c>
      <c r="J79" s="120" t="n">
        <f aca="false">IF(J37&gt;0,1,0)</f>
        <v>0</v>
      </c>
      <c r="K79" s="120" t="n">
        <f aca="false">IF(K37&gt;0,1,0)</f>
        <v>0</v>
      </c>
      <c r="L79" s="120" t="n">
        <f aca="false">IF(L37&gt;0,1,0)</f>
        <v>0</v>
      </c>
      <c r="M79" s="120" t="n">
        <f aca="false">IF(M37&gt;0,1,0)</f>
        <v>0</v>
      </c>
      <c r="N79" s="120" t="n">
        <f aca="false">IF(N37&gt;0,1,0)</f>
        <v>0</v>
      </c>
      <c r="O79" s="120" t="n">
        <f aca="false">IF(O37&gt;0,1,0)</f>
        <v>0</v>
      </c>
      <c r="P79" s="120" t="n">
        <f aca="false">IF(P37&gt;0,1,0)</f>
        <v>0</v>
      </c>
      <c r="Q79" s="120" t="n">
        <f aca="false">IF(Q37&gt;0,1,0)</f>
        <v>0</v>
      </c>
      <c r="R79" s="120" t="n">
        <f aca="false">IF(R37&gt;0,1,0)</f>
        <v>0</v>
      </c>
      <c r="S79" s="120" t="n">
        <f aca="false">IF(S37&gt;0,1,0)</f>
        <v>0</v>
      </c>
      <c r="T79" s="120" t="n">
        <f aca="false">IF(T37&gt;0,1,0)</f>
        <v>0</v>
      </c>
      <c r="U79" s="120" t="n">
        <f aca="false">IF(U37&gt;0,1,0)</f>
        <v>0</v>
      </c>
      <c r="V79" s="120" t="n">
        <f aca="false">IF(V37&gt;0,1,0)</f>
        <v>0</v>
      </c>
      <c r="W79" s="120" t="n">
        <f aca="false">IF(W37&gt;0,1,0)</f>
        <v>0</v>
      </c>
      <c r="X79" s="120" t="n">
        <f aca="false">IF(X37&gt;0,1,0)</f>
        <v>0</v>
      </c>
      <c r="Y79" s="120" t="n">
        <f aca="false">IF(Y37&gt;0,1,0)</f>
        <v>0</v>
      </c>
      <c r="Z79" s="120" t="n">
        <f aca="false">IF(Z37&gt;0,1,0)</f>
        <v>0</v>
      </c>
      <c r="AA79" s="120" t="n">
        <f aca="false">IF(AA37&gt;0,1,0)</f>
        <v>0</v>
      </c>
      <c r="AB79" s="120" t="n">
        <f aca="false">IF(AB37&gt;0,1,0)</f>
        <v>0</v>
      </c>
      <c r="AC79" s="120" t="n">
        <f aca="false">IF(AC37&gt;0,1,0)</f>
        <v>0</v>
      </c>
      <c r="AD79" s="120" t="n">
        <f aca="false">IF(AD37&gt;0,1,0)</f>
        <v>0</v>
      </c>
      <c r="AE79" s="120" t="n">
        <f aca="false">IF(AE37&gt;0,1,0)</f>
        <v>0</v>
      </c>
      <c r="AF79" s="120" t="n">
        <f aca="false">IF(AF37&gt;0,1,0)</f>
        <v>0</v>
      </c>
      <c r="AG79" s="120" t="n">
        <f aca="false">IF(AG37&gt;0,1,0)</f>
        <v>0</v>
      </c>
      <c r="AH79" s="120" t="n">
        <f aca="false">IF(AH37&gt;0,1,0)</f>
        <v>0</v>
      </c>
      <c r="AI79" s="120" t="n">
        <f aca="false">IF(AI37&gt;0,1,0)</f>
        <v>0</v>
      </c>
      <c r="AJ79" s="120" t="n">
        <f aca="false">IF(AJ37&gt;0,1,0)</f>
        <v>0</v>
      </c>
      <c r="AK79" s="120" t="n">
        <f aca="false">IF(AK37&gt;0,1,0)</f>
        <v>0</v>
      </c>
      <c r="AL79" s="120" t="n">
        <f aca="false">IF(AL37&gt;0,1,0)</f>
        <v>0</v>
      </c>
      <c r="AM79" s="120" t="n">
        <f aca="false">IF(AM37&gt;0,1,0)</f>
        <v>0</v>
      </c>
      <c r="AN79" s="120" t="n">
        <f aca="false">IF(AN37&gt;0,1,0)</f>
        <v>0</v>
      </c>
      <c r="AO79" s="120" t="n">
        <f aca="false">IF(AO37&gt;0,1,0)</f>
        <v>0</v>
      </c>
      <c r="AP79" s="120" t="n">
        <f aca="false">IF(AP37&gt;0,1,0)</f>
        <v>0</v>
      </c>
      <c r="AQ79" s="120" t="n">
        <f aca="false">IF(AQ37&gt;0,1,0)</f>
        <v>0</v>
      </c>
      <c r="AR79" s="120" t="n">
        <f aca="false">IF(AR37&gt;0,1,0)</f>
        <v>0</v>
      </c>
      <c r="AS79" s="120" t="n">
        <f aca="false">IF(AS37&gt;0,1,0)</f>
        <v>0</v>
      </c>
      <c r="AT79" s="120" t="n">
        <f aca="false">IF(AT37&gt;0,1,0)</f>
        <v>0</v>
      </c>
      <c r="AU79" s="120" t="n">
        <f aca="false">IF(AU37&gt;0,1,0)</f>
        <v>0</v>
      </c>
      <c r="AV79" s="120" t="n">
        <f aca="false">IF(AV37&gt;0,1,0)</f>
        <v>0</v>
      </c>
      <c r="AW79" s="120" t="n">
        <f aca="false">IF(AW37&gt;0,1,0)</f>
        <v>0</v>
      </c>
      <c r="AX79" s="120" t="n">
        <f aca="false">IF(AX37&gt;0,1,0)</f>
        <v>0</v>
      </c>
      <c r="AY79" s="120" t="n">
        <f aca="false">IF(AY37&gt;0,1,0)</f>
        <v>0</v>
      </c>
      <c r="AZ79" s="120" t="n">
        <f aca="false">IF(AZ37&gt;0,1,0)</f>
        <v>0</v>
      </c>
      <c r="BA79" s="120" t="n">
        <f aca="false">IF(BA37&gt;0,1,0)</f>
        <v>0</v>
      </c>
      <c r="BB79" s="120" t="n">
        <f aca="false">IF(BB37&gt;0,1,0)</f>
        <v>0</v>
      </c>
      <c r="BC79" s="120" t="n">
        <f aca="false">IF(BC37&gt;0,1,0)</f>
        <v>0</v>
      </c>
      <c r="BD79" s="120" t="n">
        <f aca="false">IF(BD37&gt;0,1,0)</f>
        <v>0</v>
      </c>
      <c r="BE79" s="120" t="n">
        <f aca="false">IF(BE37&gt;0,1,0)</f>
        <v>0</v>
      </c>
      <c r="BF79" s="120" t="n">
        <f aca="false">IF(BF37&gt;0,1,0)</f>
        <v>0</v>
      </c>
      <c r="BG79" s="120" t="n">
        <f aca="false">IF(BG37&gt;0,1,0)</f>
        <v>0</v>
      </c>
      <c r="BH79" s="120" t="n">
        <f aca="false">IF(BH37&gt;0,1,0)</f>
        <v>0</v>
      </c>
      <c r="BI79" s="120" t="n">
        <f aca="false">IF(BI37&gt;0,1,0)</f>
        <v>0</v>
      </c>
      <c r="BJ79" s="120" t="n">
        <f aca="false">IF(BJ37&gt;0,1,0)</f>
        <v>0</v>
      </c>
    </row>
    <row r="81" customFormat="false" ht="15.75" hidden="false" customHeight="true" outlineLevel="0" collapsed="false">
      <c r="A81" s="7" t="s">
        <v>424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</row>
    <row r="82" customFormat="false" ht="15" hidden="false" customHeight="false" outlineLevel="0" collapsed="false">
      <c r="A82" s="6" t="s">
        <v>425</v>
      </c>
      <c r="C82" s="66" t="n">
        <f aca="false">-(C72+C73)/1</f>
        <v>87778.7952777778</v>
      </c>
      <c r="D82" s="66" t="n">
        <f aca="false">-(D72+D73)/1</f>
        <v>69394.6141013889</v>
      </c>
      <c r="E82" s="66" t="n">
        <f aca="false">-(E72+E73)/1</f>
        <v>68234.5131334931</v>
      </c>
      <c r="F82" s="66" t="n">
        <f aca="false">-(F72+F73)/1</f>
        <v>67126.6167091525</v>
      </c>
      <c r="G82" s="66" t="n">
        <f aca="false">-(G72+G73)/1</f>
        <v>66068.5756239073</v>
      </c>
      <c r="H82" s="66" t="n">
        <f aca="false">-(H72+H73)/1</f>
        <v>65058.1463874982</v>
      </c>
      <c r="I82" s="66" t="n">
        <f aca="false">-(I72+I73)/1</f>
        <v>64093.1864667274</v>
      </c>
      <c r="J82" s="66" t="n">
        <f aca="false">-(J72+J73)/1</f>
        <v>63171.6497423913</v>
      </c>
      <c r="K82" s="66" t="n">
        <f aca="false">-(K72+K73)/1</f>
        <v>62291.5821706504</v>
      </c>
      <c r="L82" s="66" t="n">
        <f aca="false">-(L72+L73)/1</f>
        <v>61451.1176396378</v>
      </c>
      <c r="M82" s="66" t="n">
        <f aca="false">-(M72+M73)/1</f>
        <v>60648.4740125208</v>
      </c>
      <c r="N82" s="66" t="n">
        <f aca="false">-(N72+N73)/1</f>
        <v>59881.949348624</v>
      </c>
      <c r="O82" s="66" t="n">
        <f aca="false">-(O72+O73)/1</f>
        <v>95337.1671834915</v>
      </c>
      <c r="P82" s="66" t="n">
        <f aca="false">-(P72+P73)/1</f>
        <v>94428.5888824566</v>
      </c>
      <c r="Q82" s="66" t="n">
        <f aca="false">-(Q72+Q73)/1</f>
        <v>93559.706382746</v>
      </c>
      <c r="R82" s="66" t="n">
        <f aca="false">-(R72+R73)/1</f>
        <v>92729.9235955225</v>
      </c>
      <c r="S82" s="66" t="n">
        <f aca="false">-(S72+S73)/1</f>
        <v>91937.481033724</v>
      </c>
      <c r="T82" s="66" t="n">
        <f aca="false">-(T72+T73)/1</f>
        <v>91180.6983872064</v>
      </c>
      <c r="U82" s="66" t="n">
        <f aca="false">-(U72+U73)/1</f>
        <v>90457.9709597821</v>
      </c>
      <c r="V82" s="66" t="n">
        <f aca="false">-(V72+V73)/1</f>
        <v>89767.7662665919</v>
      </c>
      <c r="W82" s="66" t="n">
        <f aca="false">-(W72+W73)/1</f>
        <v>89108.6207845953</v>
      </c>
      <c r="X82" s="66" t="n">
        <f aca="false">-(X72+X73)/1</f>
        <v>88479.1368492885</v>
      </c>
      <c r="Y82" s="66" t="n">
        <f aca="false">-(Y72+Y73)/1</f>
        <v>87877.9796910705</v>
      </c>
      <c r="Z82" s="66" t="n">
        <f aca="false">-(Z72+Z73)/1</f>
        <v>87303.8746049723</v>
      </c>
      <c r="AA82" s="66" t="n">
        <f aca="false">-(AA72+AA73)/1</f>
        <v>142774.320247749</v>
      </c>
      <c r="AB82" s="66" t="n">
        <f aca="false">-(AB72+AB73)/1</f>
        <v>142004.1700366</v>
      </c>
      <c r="AC82" s="66" t="n">
        <f aca="false">-(AC72+AC73)/1</f>
        <v>141267.275784953</v>
      </c>
      <c r="AD82" s="66" t="n">
        <f aca="false">-(AD72+AD73)/1</f>
        <v>140563.54177463</v>
      </c>
      <c r="AE82" s="66" t="n">
        <f aca="false">-(AE72+AE73)/1</f>
        <v>139891.475794772</v>
      </c>
      <c r="AF82" s="66" t="n">
        <f aca="false">-(AF72+AF73)/1</f>
        <v>139249.652784007</v>
      </c>
      <c r="AG82" s="66" t="n">
        <f aca="false">-(AG72+AG73)/1</f>
        <v>138636.711808727</v>
      </c>
      <c r="AH82" s="66" t="n">
        <f aca="false">-(AH72+AH73)/1</f>
        <v>138051.353177334</v>
      </c>
      <c r="AI82" s="66" t="n">
        <f aca="false">-(AI72+AI73)/1</f>
        <v>137492.335684354</v>
      </c>
      <c r="AJ82" s="66" t="n">
        <f aca="false">-(AJ72+AJ73)/1</f>
        <v>136958.473978558</v>
      </c>
      <c r="AK82" s="66" t="n">
        <f aca="false">-(AK72+AK73)/1</f>
        <v>136448.636049523</v>
      </c>
      <c r="AL82" s="66" t="n">
        <f aca="false">-(AL72+AL73)/1</f>
        <v>135961.740827294</v>
      </c>
      <c r="AM82" s="66" t="n">
        <f aca="false">-(AM72+AM73)/1</f>
        <v>222353.082156733</v>
      </c>
      <c r="AN82" s="66" t="n">
        <f aca="false">-(AN72+AN73)/1</f>
        <v>221618.476906346</v>
      </c>
      <c r="AO82" s="66" t="n">
        <f aca="false">-(AO72+AO73)/1</f>
        <v>220915.278145561</v>
      </c>
      <c r="AP82" s="66" t="n">
        <f aca="false">-(AP72+AP73)/1</f>
        <v>220243.723329011</v>
      </c>
      <c r="AQ82" s="66" t="n">
        <f aca="false">-(AQ72+AQ73)/1</f>
        <v>219602.388479205</v>
      </c>
      <c r="AR82" s="66" t="n">
        <f aca="false">-(AR72+AR73)/1</f>
        <v>218989.913697641</v>
      </c>
      <c r="AS82" s="66" t="n">
        <f aca="false">-(AS72+AS73)/1</f>
        <v>218405.000281247</v>
      </c>
      <c r="AT82" s="66" t="n">
        <f aca="false">-(AT72+AT73)/1</f>
        <v>217846.407968591</v>
      </c>
      <c r="AU82" s="66" t="n">
        <f aca="false">-(AU72+AU73)/1</f>
        <v>217312.952310004</v>
      </c>
      <c r="AV82" s="66" t="n">
        <f aca="false">-(AV72+AV73)/1</f>
        <v>216803.502156054</v>
      </c>
      <c r="AW82" s="66" t="n">
        <f aca="false">-(AW72+AW73)/1</f>
        <v>216316.977259032</v>
      </c>
      <c r="AX82" s="66" t="n">
        <f aca="false">-(AX72+AX73)/1</f>
        <v>215852.345982375</v>
      </c>
      <c r="AY82" s="66" t="n">
        <f aca="false">-(AY72+AY73)/1</f>
        <v>350247.727286502</v>
      </c>
      <c r="AZ82" s="66" t="n">
        <f aca="false">-(AZ72+AZ73)/1</f>
        <v>349481.167951543</v>
      </c>
      <c r="BA82" s="66" t="n">
        <f aca="false">-(BA72+BA73)/1</f>
        <v>348747.156125323</v>
      </c>
      <c r="BB82" s="66" t="n">
        <f aca="false">-(BB72+BB73)/1</f>
        <v>348046.174831284</v>
      </c>
      <c r="BC82" s="66" t="n">
        <f aca="false">-(BC72+BC73)/1</f>
        <v>347376.737695476</v>
      </c>
      <c r="BD82" s="66" t="n">
        <f aca="false">-(BD72+BD73)/1</f>
        <v>346737.425230779</v>
      </c>
      <c r="BE82" s="66" t="n">
        <f aca="false">-(BE72+BE73)/1</f>
        <v>346126.881826994</v>
      </c>
      <c r="BF82" s="66" t="n">
        <f aca="false">-(BF72+BF73)/1</f>
        <v>345543.81287638</v>
      </c>
      <c r="BG82" s="66" t="n">
        <f aca="false">-(BG72+BG73)/1</f>
        <v>344986.982028543</v>
      </c>
      <c r="BH82" s="66" t="n">
        <f aca="false">-(BH72+BH73)/1</f>
        <v>344455.208568858</v>
      </c>
      <c r="BI82" s="66" t="n">
        <f aca="false">-(BI72+BI73)/1</f>
        <v>343947.36491486</v>
      </c>
      <c r="BJ82" s="66" t="n">
        <f aca="false">-(BJ72+BJ73)/1</f>
        <v>343462.374225291</v>
      </c>
    </row>
    <row r="83" customFormat="false" ht="15" hidden="false" customHeight="false" outlineLevel="0" collapsed="false">
      <c r="A83" s="38" t="s">
        <v>240</v>
      </c>
      <c r="C83" s="74" t="n">
        <f aca="false">Inputs!$B$10</f>
        <v>0.045</v>
      </c>
      <c r="D83" s="74" t="n">
        <f aca="false">Inputs!$B$10</f>
        <v>0.045</v>
      </c>
      <c r="E83" s="74" t="n">
        <f aca="false">Inputs!$B$10</f>
        <v>0.045</v>
      </c>
      <c r="F83" s="74" t="n">
        <f aca="false">Inputs!$B$10</f>
        <v>0.045</v>
      </c>
      <c r="G83" s="74" t="n">
        <f aca="false">Inputs!$B$10</f>
        <v>0.045</v>
      </c>
      <c r="H83" s="74" t="n">
        <f aca="false">Inputs!$B$10</f>
        <v>0.045</v>
      </c>
      <c r="I83" s="74" t="n">
        <f aca="false">Inputs!$B$10</f>
        <v>0.045</v>
      </c>
      <c r="J83" s="74" t="n">
        <f aca="false">Inputs!$B$10</f>
        <v>0.045</v>
      </c>
      <c r="K83" s="74" t="n">
        <f aca="false">Inputs!$B$10</f>
        <v>0.045</v>
      </c>
      <c r="L83" s="74" t="n">
        <f aca="false">Inputs!$B$10</f>
        <v>0.045</v>
      </c>
      <c r="M83" s="74" t="n">
        <f aca="false">Inputs!$B$10</f>
        <v>0.045</v>
      </c>
      <c r="N83" s="74" t="n">
        <f aca="false">Inputs!$B$10</f>
        <v>0.045</v>
      </c>
      <c r="O83" s="74" t="n">
        <f aca="false">Inputs!$B$10</f>
        <v>0.045</v>
      </c>
      <c r="P83" s="74" t="n">
        <f aca="false">Inputs!$B$10</f>
        <v>0.045</v>
      </c>
      <c r="Q83" s="74" t="n">
        <f aca="false">Inputs!$B$10</f>
        <v>0.045</v>
      </c>
      <c r="R83" s="74" t="n">
        <f aca="false">Inputs!$B$10</f>
        <v>0.045</v>
      </c>
      <c r="S83" s="74" t="n">
        <f aca="false">Inputs!$B$10</f>
        <v>0.045</v>
      </c>
      <c r="T83" s="74" t="n">
        <f aca="false">Inputs!$B$10</f>
        <v>0.045</v>
      </c>
      <c r="U83" s="74" t="n">
        <f aca="false">Inputs!$B$10</f>
        <v>0.045</v>
      </c>
      <c r="V83" s="74" t="n">
        <f aca="false">Inputs!$B$10</f>
        <v>0.045</v>
      </c>
      <c r="W83" s="74" t="n">
        <f aca="false">Inputs!$B$10</f>
        <v>0.045</v>
      </c>
      <c r="X83" s="74" t="n">
        <f aca="false">Inputs!$B$10</f>
        <v>0.045</v>
      </c>
      <c r="Y83" s="74" t="n">
        <f aca="false">Inputs!$B$10</f>
        <v>0.045</v>
      </c>
      <c r="Z83" s="74" t="n">
        <f aca="false">Inputs!$B$10</f>
        <v>0.045</v>
      </c>
      <c r="AA83" s="74" t="n">
        <f aca="false">Inputs!$B$10</f>
        <v>0.045</v>
      </c>
      <c r="AB83" s="74" t="n">
        <f aca="false">Inputs!$B$10</f>
        <v>0.045</v>
      </c>
      <c r="AC83" s="74" t="n">
        <f aca="false">Inputs!$B$10</f>
        <v>0.045</v>
      </c>
      <c r="AD83" s="74" t="n">
        <f aca="false">Inputs!$B$10</f>
        <v>0.045</v>
      </c>
      <c r="AE83" s="74" t="n">
        <f aca="false">Inputs!$B$10</f>
        <v>0.045</v>
      </c>
      <c r="AF83" s="74" t="n">
        <f aca="false">Inputs!$B$10</f>
        <v>0.045</v>
      </c>
      <c r="AG83" s="74" t="n">
        <f aca="false">Inputs!$B$10</f>
        <v>0.045</v>
      </c>
      <c r="AH83" s="74" t="n">
        <f aca="false">Inputs!$B$10</f>
        <v>0.045</v>
      </c>
      <c r="AI83" s="74" t="n">
        <f aca="false">Inputs!$B$10</f>
        <v>0.045</v>
      </c>
      <c r="AJ83" s="74" t="n">
        <f aca="false">Inputs!$B$10</f>
        <v>0.045</v>
      </c>
      <c r="AK83" s="74" t="n">
        <f aca="false">Inputs!$B$10</f>
        <v>0.045</v>
      </c>
      <c r="AL83" s="74" t="n">
        <f aca="false">Inputs!$B$10</f>
        <v>0.045</v>
      </c>
      <c r="AM83" s="74" t="n">
        <f aca="false">Inputs!$B$10</f>
        <v>0.045</v>
      </c>
      <c r="AN83" s="74" t="n">
        <f aca="false">Inputs!$B$10</f>
        <v>0.045</v>
      </c>
      <c r="AO83" s="74" t="n">
        <f aca="false">Inputs!$B$10</f>
        <v>0.045</v>
      </c>
      <c r="AP83" s="74" t="n">
        <f aca="false">Inputs!$B$10</f>
        <v>0.045</v>
      </c>
      <c r="AQ83" s="74" t="n">
        <f aca="false">Inputs!$B$10</f>
        <v>0.045</v>
      </c>
      <c r="AR83" s="74" t="n">
        <f aca="false">Inputs!$B$10</f>
        <v>0.045</v>
      </c>
      <c r="AS83" s="74" t="n">
        <f aca="false">Inputs!$B$10</f>
        <v>0.045</v>
      </c>
      <c r="AT83" s="74" t="n">
        <f aca="false">Inputs!$B$10</f>
        <v>0.045</v>
      </c>
      <c r="AU83" s="74" t="n">
        <f aca="false">Inputs!$B$10</f>
        <v>0.045</v>
      </c>
      <c r="AV83" s="74" t="n">
        <f aca="false">Inputs!$B$10</f>
        <v>0.045</v>
      </c>
      <c r="AW83" s="74" t="n">
        <f aca="false">Inputs!$B$10</f>
        <v>0.045</v>
      </c>
      <c r="AX83" s="74" t="n">
        <f aca="false">Inputs!$B$10</f>
        <v>0.045</v>
      </c>
      <c r="AY83" s="74" t="n">
        <f aca="false">Inputs!$B$10</f>
        <v>0.045</v>
      </c>
      <c r="AZ83" s="74" t="n">
        <f aca="false">Inputs!$B$10</f>
        <v>0.045</v>
      </c>
      <c r="BA83" s="74" t="n">
        <f aca="false">Inputs!$B$10</f>
        <v>0.045</v>
      </c>
      <c r="BB83" s="74" t="n">
        <f aca="false">Inputs!$B$10</f>
        <v>0.045</v>
      </c>
      <c r="BC83" s="74" t="n">
        <f aca="false">Inputs!$B$10</f>
        <v>0.045</v>
      </c>
      <c r="BD83" s="74" t="n">
        <f aca="false">Inputs!$B$10</f>
        <v>0.045</v>
      </c>
      <c r="BE83" s="74" t="n">
        <f aca="false">Inputs!$B$10</f>
        <v>0.045</v>
      </c>
      <c r="BF83" s="74" t="n">
        <f aca="false">Inputs!$B$10</f>
        <v>0.045</v>
      </c>
      <c r="BG83" s="74" t="n">
        <f aca="false">Inputs!$B$10</f>
        <v>0.045</v>
      </c>
      <c r="BH83" s="74" t="n">
        <f aca="false">Inputs!$B$10</f>
        <v>0.045</v>
      </c>
      <c r="BI83" s="74" t="n">
        <f aca="false">Inputs!$B$10</f>
        <v>0.045</v>
      </c>
      <c r="BJ83" s="74" t="n">
        <f aca="false">Inputs!$B$10</f>
        <v>0.045</v>
      </c>
    </row>
    <row r="85" customFormat="false" ht="15.75" hidden="false" customHeight="true" outlineLevel="0" collapsed="false">
      <c r="A85" s="7" t="s">
        <v>426</v>
      </c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</row>
    <row r="86" customFormat="false" ht="15" hidden="false" customHeight="false" outlineLevel="0" collapsed="false">
      <c r="A86" s="119" t="s">
        <v>427</v>
      </c>
      <c r="C86" s="120" t="n">
        <f aca="false">IF(C46&gt;0,1,0)</f>
        <v>0</v>
      </c>
      <c r="D86" s="120" t="n">
        <f aca="false">IF(D46&gt;0,1,0)</f>
        <v>0</v>
      </c>
      <c r="E86" s="120" t="n">
        <f aca="false">IF(E46&gt;0,1,0)</f>
        <v>0</v>
      </c>
      <c r="F86" s="120" t="n">
        <f aca="false">IF(F46&gt;0,1,0)</f>
        <v>0</v>
      </c>
      <c r="G86" s="120" t="n">
        <f aca="false">IF(G46&gt;0,1,0)</f>
        <v>0</v>
      </c>
      <c r="H86" s="120" t="n">
        <f aca="false">IF(H46&gt;0,1,0)</f>
        <v>0</v>
      </c>
      <c r="I86" s="120" t="n">
        <f aca="false">IF(I46&gt;0,1,0)</f>
        <v>0</v>
      </c>
      <c r="J86" s="120" t="n">
        <f aca="false">IF(J46&gt;0,1,0)</f>
        <v>0</v>
      </c>
      <c r="K86" s="120" t="n">
        <f aca="false">IF(K46&gt;0,1,0)</f>
        <v>0</v>
      </c>
      <c r="L86" s="120" t="n">
        <f aca="false">IF(L46&gt;0,1,0)</f>
        <v>0</v>
      </c>
      <c r="M86" s="120" t="n">
        <f aca="false">IF(M46&gt;0,1,0)</f>
        <v>0</v>
      </c>
      <c r="N86" s="120" t="n">
        <f aca="false">IF(N46&gt;0,1,0)</f>
        <v>0</v>
      </c>
      <c r="O86" s="120" t="n">
        <f aca="false">IF(O46&gt;0,1,0)</f>
        <v>0</v>
      </c>
      <c r="P86" s="120" t="n">
        <f aca="false">IF(P46&gt;0,1,0)</f>
        <v>0</v>
      </c>
      <c r="Q86" s="120" t="n">
        <f aca="false">IF(Q46&gt;0,1,0)</f>
        <v>0</v>
      </c>
      <c r="R86" s="120" t="n">
        <f aca="false">IF(R46&gt;0,1,0)</f>
        <v>0</v>
      </c>
      <c r="S86" s="120" t="n">
        <f aca="false">IF(S46&gt;0,1,0)</f>
        <v>0</v>
      </c>
      <c r="T86" s="120" t="n">
        <f aca="false">IF(T46&gt;0,1,0)</f>
        <v>0</v>
      </c>
      <c r="U86" s="120" t="n">
        <f aca="false">IF(U46&gt;0,1,0)</f>
        <v>0</v>
      </c>
      <c r="V86" s="120" t="n">
        <f aca="false">IF(V46&gt;0,1,0)</f>
        <v>0</v>
      </c>
      <c r="W86" s="120" t="n">
        <f aca="false">IF(W46&gt;0,1,0)</f>
        <v>0</v>
      </c>
      <c r="X86" s="120" t="n">
        <f aca="false">IF(X46&gt;0,1,0)</f>
        <v>0</v>
      </c>
      <c r="Y86" s="120" t="n">
        <f aca="false">IF(Y46&gt;0,1,0)</f>
        <v>0</v>
      </c>
      <c r="Z86" s="120" t="n">
        <f aca="false">IF(Z46&gt;0,1,0)</f>
        <v>0</v>
      </c>
      <c r="AA86" s="120" t="n">
        <f aca="false">IF(AA46&gt;0,1,0)</f>
        <v>0</v>
      </c>
      <c r="AB86" s="120" t="n">
        <f aca="false">IF(AB46&gt;0,1,0)</f>
        <v>0</v>
      </c>
      <c r="AC86" s="120" t="n">
        <f aca="false">IF(AC46&gt;0,1,0)</f>
        <v>0</v>
      </c>
      <c r="AD86" s="120" t="n">
        <f aca="false">IF(AD46&gt;0,1,0)</f>
        <v>0</v>
      </c>
      <c r="AE86" s="120" t="n">
        <f aca="false">IF(AE46&gt;0,1,0)</f>
        <v>0</v>
      </c>
      <c r="AF86" s="120" t="n">
        <f aca="false">IF(AF46&gt;0,1,0)</f>
        <v>0</v>
      </c>
      <c r="AG86" s="120" t="n">
        <f aca="false">IF(AG46&gt;0,1,0)</f>
        <v>0</v>
      </c>
      <c r="AH86" s="120" t="n">
        <f aca="false">IF(AH46&gt;0,1,0)</f>
        <v>0</v>
      </c>
      <c r="AI86" s="120" t="n">
        <f aca="false">IF(AI46&gt;0,1,0)</f>
        <v>0</v>
      </c>
      <c r="AJ86" s="120" t="n">
        <f aca="false">IF(AJ46&gt;0,1,0)</f>
        <v>0</v>
      </c>
      <c r="AK86" s="120" t="n">
        <f aca="false">IF(AK46&gt;0,1,0)</f>
        <v>0</v>
      </c>
      <c r="AL86" s="120" t="n">
        <f aca="false">IF(AL46&gt;0,1,0)</f>
        <v>0</v>
      </c>
      <c r="AM86" s="120" t="n">
        <f aca="false">IF(AM46&gt;0,1,0)</f>
        <v>0</v>
      </c>
      <c r="AN86" s="120" t="n">
        <f aca="false">IF(AN46&gt;0,1,0)</f>
        <v>0</v>
      </c>
      <c r="AO86" s="120" t="n">
        <f aca="false">IF(AO46&gt;0,1,0)</f>
        <v>0</v>
      </c>
      <c r="AP86" s="120" t="n">
        <f aca="false">IF(AP46&gt;0,1,0)</f>
        <v>0</v>
      </c>
      <c r="AQ86" s="120" t="n">
        <f aca="false">IF(AQ46&gt;0,1,0)</f>
        <v>0</v>
      </c>
      <c r="AR86" s="120" t="n">
        <f aca="false">IF(AR46&gt;0,1,0)</f>
        <v>0</v>
      </c>
      <c r="AS86" s="120" t="n">
        <f aca="false">IF(AS46&gt;0,1,0)</f>
        <v>0</v>
      </c>
      <c r="AT86" s="120" t="n">
        <f aca="false">IF(AT46&gt;0,1,0)</f>
        <v>0</v>
      </c>
      <c r="AU86" s="120" t="n">
        <f aca="false">IF(AU46&gt;0,1,0)</f>
        <v>0</v>
      </c>
      <c r="AV86" s="120" t="n">
        <f aca="false">IF(AV46&gt;0,1,0)</f>
        <v>0</v>
      </c>
      <c r="AW86" s="120" t="n">
        <f aca="false">IF(AW46&gt;0,1,0)</f>
        <v>0</v>
      </c>
      <c r="AX86" s="120" t="n">
        <f aca="false">IF(AX46&gt;0,1,0)</f>
        <v>0</v>
      </c>
      <c r="AY86" s="120" t="n">
        <f aca="false">IF(AY46&gt;0,1,0)</f>
        <v>0</v>
      </c>
      <c r="AZ86" s="120" t="n">
        <f aca="false">IF(AZ46&gt;0,1,0)</f>
        <v>0</v>
      </c>
      <c r="BA86" s="120" t="n">
        <f aca="false">IF(BA46&gt;0,1,0)</f>
        <v>0</v>
      </c>
      <c r="BB86" s="120" t="n">
        <f aca="false">IF(BB46&gt;0,1,0)</f>
        <v>0</v>
      </c>
      <c r="BC86" s="120" t="n">
        <f aca="false">IF(BC46&gt;0,1,0)</f>
        <v>0</v>
      </c>
      <c r="BD86" s="120" t="n">
        <f aca="false">IF(BD46&gt;0,1,0)</f>
        <v>0</v>
      </c>
      <c r="BE86" s="120" t="n">
        <f aca="false">IF(BE46&gt;0,1,0)</f>
        <v>0</v>
      </c>
      <c r="BF86" s="120" t="n">
        <f aca="false">IF(BF46&gt;0,1,0)</f>
        <v>0</v>
      </c>
      <c r="BG86" s="120" t="n">
        <f aca="false">IF(BG46&gt;0,1,0)</f>
        <v>0</v>
      </c>
      <c r="BH86" s="120" t="n">
        <f aca="false">IF(BH46&gt;0,1,0)</f>
        <v>0</v>
      </c>
      <c r="BI86" s="120" t="n">
        <f aca="false">IF(BI46&gt;0,1,0)</f>
        <v>0</v>
      </c>
      <c r="BJ86" s="120" t="n">
        <f aca="false">IF(BJ46&gt;0,1,0)</f>
        <v>0</v>
      </c>
    </row>
    <row r="87" customFormat="false" ht="15" hidden="false" customHeight="false" outlineLevel="0" collapsed="false">
      <c r="A87" s="6" t="s">
        <v>428</v>
      </c>
      <c r="C87" s="66" t="n">
        <f aca="false">C72+C73</f>
        <v>-87778.7952777778</v>
      </c>
      <c r="D87" s="66" t="n">
        <f aca="false">D72+D73</f>
        <v>-69394.6141013889</v>
      </c>
      <c r="E87" s="66" t="n">
        <f aca="false">E72+E73</f>
        <v>-68234.5131334931</v>
      </c>
      <c r="F87" s="66" t="n">
        <f aca="false">F72+F73</f>
        <v>-67126.6167091525</v>
      </c>
      <c r="G87" s="66" t="n">
        <f aca="false">G72+G73</f>
        <v>-66068.5756239073</v>
      </c>
      <c r="H87" s="66" t="n">
        <f aca="false">H72+H73</f>
        <v>-65058.1463874982</v>
      </c>
      <c r="I87" s="66" t="n">
        <f aca="false">I72+I73</f>
        <v>-64093.1864667274</v>
      </c>
      <c r="J87" s="66" t="n">
        <f aca="false">J72+J73</f>
        <v>-63171.6497423913</v>
      </c>
      <c r="K87" s="66" t="n">
        <f aca="false">K72+K73</f>
        <v>-62291.5821706504</v>
      </c>
      <c r="L87" s="66" t="n">
        <f aca="false">L72+L73</f>
        <v>-61451.1176396378</v>
      </c>
      <c r="M87" s="66" t="n">
        <f aca="false">M72+M73</f>
        <v>-60648.4740125208</v>
      </c>
      <c r="N87" s="66" t="n">
        <f aca="false">N72+N73</f>
        <v>-59881.949348624</v>
      </c>
      <c r="O87" s="66" t="n">
        <f aca="false">O72+O73</f>
        <v>-95337.1671834915</v>
      </c>
      <c r="P87" s="66" t="n">
        <f aca="false">P72+P73</f>
        <v>-94428.5888824566</v>
      </c>
      <c r="Q87" s="66" t="n">
        <f aca="false">Q72+Q73</f>
        <v>-93559.706382746</v>
      </c>
      <c r="R87" s="66" t="n">
        <f aca="false">R72+R73</f>
        <v>-92729.9235955225</v>
      </c>
      <c r="S87" s="66" t="n">
        <f aca="false">S72+S73</f>
        <v>-91937.481033724</v>
      </c>
      <c r="T87" s="66" t="n">
        <f aca="false">T72+T73</f>
        <v>-91180.6983872064</v>
      </c>
      <c r="U87" s="66" t="n">
        <f aca="false">U72+U73</f>
        <v>-90457.9709597821</v>
      </c>
      <c r="V87" s="66" t="n">
        <f aca="false">V72+V73</f>
        <v>-89767.7662665919</v>
      </c>
      <c r="W87" s="66" t="n">
        <f aca="false">W72+W73</f>
        <v>-89108.6207845953</v>
      </c>
      <c r="X87" s="66" t="n">
        <f aca="false">X72+X73</f>
        <v>-88479.1368492885</v>
      </c>
      <c r="Y87" s="66" t="n">
        <f aca="false">Y72+Y73</f>
        <v>-87877.9796910705</v>
      </c>
      <c r="Z87" s="66" t="n">
        <f aca="false">Z72+Z73</f>
        <v>-87303.8746049723</v>
      </c>
      <c r="AA87" s="66" t="n">
        <f aca="false">AA72+AA73</f>
        <v>-142774.320247749</v>
      </c>
      <c r="AB87" s="66" t="n">
        <f aca="false">AB72+AB73</f>
        <v>-142004.1700366</v>
      </c>
      <c r="AC87" s="66" t="n">
        <f aca="false">AC72+AC73</f>
        <v>-141267.275784953</v>
      </c>
      <c r="AD87" s="66" t="n">
        <f aca="false">AD72+AD73</f>
        <v>-140563.54177463</v>
      </c>
      <c r="AE87" s="66" t="n">
        <f aca="false">AE72+AE73</f>
        <v>-139891.475794772</v>
      </c>
      <c r="AF87" s="66" t="n">
        <f aca="false">AF72+AF73</f>
        <v>-139249.652784007</v>
      </c>
      <c r="AG87" s="66" t="n">
        <f aca="false">AG72+AG73</f>
        <v>-138636.711808727</v>
      </c>
      <c r="AH87" s="66" t="n">
        <f aca="false">AH72+AH73</f>
        <v>-138051.353177334</v>
      </c>
      <c r="AI87" s="66" t="n">
        <f aca="false">AI72+AI73</f>
        <v>-137492.335684354</v>
      </c>
      <c r="AJ87" s="66" t="n">
        <f aca="false">AJ72+AJ73</f>
        <v>-136958.473978558</v>
      </c>
      <c r="AK87" s="66" t="n">
        <f aca="false">AK72+AK73</f>
        <v>-136448.636049523</v>
      </c>
      <c r="AL87" s="66" t="n">
        <f aca="false">AL72+AL73</f>
        <v>-135961.740827294</v>
      </c>
      <c r="AM87" s="66" t="n">
        <f aca="false">AM72+AM73</f>
        <v>-222353.082156733</v>
      </c>
      <c r="AN87" s="66" t="n">
        <f aca="false">AN72+AN73</f>
        <v>-221618.476906346</v>
      </c>
      <c r="AO87" s="66" t="n">
        <f aca="false">AO72+AO73</f>
        <v>-220915.278145561</v>
      </c>
      <c r="AP87" s="66" t="n">
        <f aca="false">AP72+AP73</f>
        <v>-220243.723329011</v>
      </c>
      <c r="AQ87" s="66" t="n">
        <f aca="false">AQ72+AQ73</f>
        <v>-219602.388479205</v>
      </c>
      <c r="AR87" s="66" t="n">
        <f aca="false">AR72+AR73</f>
        <v>-218989.913697641</v>
      </c>
      <c r="AS87" s="66" t="n">
        <f aca="false">AS72+AS73</f>
        <v>-218405.000281247</v>
      </c>
      <c r="AT87" s="66" t="n">
        <f aca="false">AT72+AT73</f>
        <v>-217846.407968591</v>
      </c>
      <c r="AU87" s="66" t="n">
        <f aca="false">AU72+AU73</f>
        <v>-217312.952310004</v>
      </c>
      <c r="AV87" s="66" t="n">
        <f aca="false">AV72+AV73</f>
        <v>-216803.502156054</v>
      </c>
      <c r="AW87" s="66" t="n">
        <f aca="false">AW72+AW73</f>
        <v>-216316.977259032</v>
      </c>
      <c r="AX87" s="66" t="n">
        <f aca="false">AX72+AX73</f>
        <v>-215852.345982375</v>
      </c>
      <c r="AY87" s="66" t="n">
        <f aca="false">AY72+AY73</f>
        <v>-350247.727286502</v>
      </c>
      <c r="AZ87" s="66" t="n">
        <f aca="false">AZ72+AZ73</f>
        <v>-349481.167951543</v>
      </c>
      <c r="BA87" s="66" t="n">
        <f aca="false">BA72+BA73</f>
        <v>-348747.156125323</v>
      </c>
      <c r="BB87" s="66" t="n">
        <f aca="false">BB72+BB73</f>
        <v>-348046.174831284</v>
      </c>
      <c r="BC87" s="66" t="n">
        <f aca="false">BC72+BC73</f>
        <v>-347376.737695476</v>
      </c>
      <c r="BD87" s="66" t="n">
        <f aca="false">BD72+BD73</f>
        <v>-346737.425230779</v>
      </c>
      <c r="BE87" s="66" t="n">
        <f aca="false">BE72+BE73</f>
        <v>-346126.881826994</v>
      </c>
      <c r="BF87" s="66" t="n">
        <f aca="false">BF72+BF73</f>
        <v>-345543.81287638</v>
      </c>
      <c r="BG87" s="66" t="n">
        <f aca="false">BG72+BG73</f>
        <v>-344986.982028543</v>
      </c>
      <c r="BH87" s="66" t="n">
        <f aca="false">BH72+BH73</f>
        <v>-344455.208568858</v>
      </c>
      <c r="BI87" s="66" t="n">
        <f aca="false">BI72+BI73</f>
        <v>-343947.36491486</v>
      </c>
      <c r="BJ87" s="66" t="n">
        <f aca="false">BJ72+BJ73</f>
        <v>-343462.374225291</v>
      </c>
    </row>
    <row r="88" customFormat="false" ht="15" hidden="false" customHeight="false" outlineLevel="0" collapsed="false">
      <c r="A88" s="6" t="s">
        <v>429</v>
      </c>
      <c r="C88" s="66" t="n">
        <f aca="false">C87</f>
        <v>-87778.7952777778</v>
      </c>
      <c r="D88" s="66" t="n">
        <f aca="false">C88+D87</f>
        <v>-157173.409379167</v>
      </c>
      <c r="E88" s="66" t="n">
        <f aca="false">D88+E87</f>
        <v>-225407.92251266</v>
      </c>
      <c r="F88" s="66" t="n">
        <f aca="false">E88+F87</f>
        <v>-292534.539221812</v>
      </c>
      <c r="G88" s="66" t="n">
        <f aca="false">F88+G87</f>
        <v>-358603.11484572</v>
      </c>
      <c r="H88" s="66" t="n">
        <f aca="false">G88+H87</f>
        <v>-423661.261233218</v>
      </c>
      <c r="I88" s="66" t="n">
        <f aca="false">H88+I87</f>
        <v>-487754.447699945</v>
      </c>
      <c r="J88" s="66" t="n">
        <f aca="false">I88+J87</f>
        <v>-550926.097442337</v>
      </c>
      <c r="K88" s="66" t="n">
        <f aca="false">J88+K87</f>
        <v>-613217.679612987</v>
      </c>
      <c r="L88" s="66" t="n">
        <f aca="false">K88+L87</f>
        <v>-674668.797252625</v>
      </c>
      <c r="M88" s="66" t="n">
        <f aca="false">L88+M87</f>
        <v>-735317.271265145</v>
      </c>
      <c r="N88" s="66" t="n">
        <f aca="false">M88+N87</f>
        <v>-795199.220613769</v>
      </c>
      <c r="O88" s="66" t="n">
        <f aca="false">N88+O87</f>
        <v>-890536.387797261</v>
      </c>
      <c r="P88" s="66" t="n">
        <f aca="false">O88+P87</f>
        <v>-984964.976679717</v>
      </c>
      <c r="Q88" s="66" t="n">
        <f aca="false">P88+Q87</f>
        <v>-1078524.68306246</v>
      </c>
      <c r="R88" s="66" t="n">
        <f aca="false">Q88+R87</f>
        <v>-1171254.60665799</v>
      </c>
      <c r="S88" s="66" t="n">
        <f aca="false">R88+S87</f>
        <v>-1263192.08769171</v>
      </c>
      <c r="T88" s="66" t="n">
        <f aca="false">S88+T87</f>
        <v>-1354372.78607892</v>
      </c>
      <c r="U88" s="66" t="n">
        <f aca="false">T88+U87</f>
        <v>-1444830.7570387</v>
      </c>
      <c r="V88" s="66" t="n">
        <f aca="false">U88+V87</f>
        <v>-1534598.52330529</v>
      </c>
      <c r="W88" s="66" t="n">
        <f aca="false">V88+W87</f>
        <v>-1623707.14408989</v>
      </c>
      <c r="X88" s="66" t="n">
        <f aca="false">W88+X87</f>
        <v>-1712186.28093917</v>
      </c>
      <c r="Y88" s="66" t="n">
        <f aca="false">X88+Y87</f>
        <v>-1800064.26063024</v>
      </c>
      <c r="Z88" s="66" t="n">
        <f aca="false">Y88+Z87</f>
        <v>-1887368.13523522</v>
      </c>
      <c r="AA88" s="66" t="n">
        <f aca="false">Z88+AA87</f>
        <v>-2030142.45548297</v>
      </c>
      <c r="AB88" s="66" t="n">
        <f aca="false">AA88+AB87</f>
        <v>-2172146.62551957</v>
      </c>
      <c r="AC88" s="66" t="n">
        <f aca="false">AB88+AC87</f>
        <v>-2313413.90130452</v>
      </c>
      <c r="AD88" s="66" t="n">
        <f aca="false">AC88+AD87</f>
        <v>-2453977.44307915</v>
      </c>
      <c r="AE88" s="66" t="n">
        <f aca="false">AD88+AE87</f>
        <v>-2593868.91887392</v>
      </c>
      <c r="AF88" s="66" t="n">
        <f aca="false">AE88+AF87</f>
        <v>-2733118.57165793</v>
      </c>
      <c r="AG88" s="66" t="n">
        <f aca="false">AF88+AG87</f>
        <v>-2871755.28346665</v>
      </c>
      <c r="AH88" s="66" t="n">
        <f aca="false">AG88+AH87</f>
        <v>-3009806.63664399</v>
      </c>
      <c r="AI88" s="66" t="n">
        <f aca="false">AH88+AI87</f>
        <v>-3147298.97232834</v>
      </c>
      <c r="AJ88" s="66" t="n">
        <f aca="false">AI88+AJ87</f>
        <v>-3284257.4463069</v>
      </c>
      <c r="AK88" s="66" t="n">
        <f aca="false">AJ88+AK87</f>
        <v>-3420706.08235642</v>
      </c>
      <c r="AL88" s="66" t="n">
        <f aca="false">AK88+AL87</f>
        <v>-3556667.82318372</v>
      </c>
      <c r="AM88" s="66" t="n">
        <f aca="false">AL88+AM87</f>
        <v>-3779020.90534045</v>
      </c>
      <c r="AN88" s="66" t="n">
        <f aca="false">AM88+AN87</f>
        <v>-4000639.3822468</v>
      </c>
      <c r="AO88" s="66" t="n">
        <f aca="false">AN88+AO87</f>
        <v>-4221554.66039236</v>
      </c>
      <c r="AP88" s="66" t="n">
        <f aca="false">AO88+AP87</f>
        <v>-4441798.38372137</v>
      </c>
      <c r="AQ88" s="66" t="n">
        <f aca="false">AP88+AQ87</f>
        <v>-4661400.77220057</v>
      </c>
      <c r="AR88" s="66" t="n">
        <f aca="false">AQ88+AR87</f>
        <v>-4880390.68589822</v>
      </c>
      <c r="AS88" s="66" t="n">
        <f aca="false">AR88+AS87</f>
        <v>-5098795.68617946</v>
      </c>
      <c r="AT88" s="66" t="n">
        <f aca="false">AS88+AT87</f>
        <v>-5316642.09414805</v>
      </c>
      <c r="AU88" s="66" t="n">
        <f aca="false">AT88+AU87</f>
        <v>-5533955.04645806</v>
      </c>
      <c r="AV88" s="66" t="n">
        <f aca="false">AU88+AV87</f>
        <v>-5750758.54861411</v>
      </c>
      <c r="AW88" s="66" t="n">
        <f aca="false">AV88+AW87</f>
        <v>-5967075.52587314</v>
      </c>
      <c r="AX88" s="66" t="n">
        <f aca="false">AW88+AX87</f>
        <v>-6182927.87185552</v>
      </c>
      <c r="AY88" s="66" t="n">
        <f aca="false">AX88+AY87</f>
        <v>-6533175.59914202</v>
      </c>
      <c r="AZ88" s="66" t="n">
        <f aca="false">AY88+AZ87</f>
        <v>-6882656.76709356</v>
      </c>
      <c r="BA88" s="66" t="n">
        <f aca="false">AZ88+BA87</f>
        <v>-7231403.92321889</v>
      </c>
      <c r="BB88" s="66" t="n">
        <f aca="false">BA88+BB87</f>
        <v>-7579450.09805017</v>
      </c>
      <c r="BC88" s="66" t="n">
        <f aca="false">BB88+BC87</f>
        <v>-7926826.83574565</v>
      </c>
      <c r="BD88" s="66" t="n">
        <f aca="false">BC88+BD87</f>
        <v>-8273564.26097643</v>
      </c>
      <c r="BE88" s="66" t="n">
        <f aca="false">BD88+BE87</f>
        <v>-8619691.14280342</v>
      </c>
      <c r="BF88" s="66" t="n">
        <f aca="false">BE88+BF87</f>
        <v>-8965234.9556798</v>
      </c>
      <c r="BG88" s="66" t="n">
        <f aca="false">BF88+BG87</f>
        <v>-9310221.93770834</v>
      </c>
      <c r="BH88" s="66" t="n">
        <f aca="false">BG88+BH87</f>
        <v>-9654677.1462772</v>
      </c>
      <c r="BI88" s="66" t="n">
        <f aca="false">BH88+BI87</f>
        <v>-9998624.51119206</v>
      </c>
      <c r="BJ88" s="66" t="n">
        <f aca="false">BI88+BJ87</f>
        <v>-10342086.8854173</v>
      </c>
    </row>
    <row r="89" customFormat="false" ht="15" hidden="false" customHeight="false" outlineLevel="0" collapsed="false">
      <c r="A89" s="119" t="s">
        <v>430</v>
      </c>
      <c r="C89" s="66" t="n">
        <f aca="false">C88</f>
        <v>-87778.7952777778</v>
      </c>
      <c r="D89" s="66" t="n">
        <f aca="false">MIN(C89,D88)</f>
        <v>-157173.409379167</v>
      </c>
      <c r="E89" s="66" t="n">
        <f aca="false">MIN(D89,E88)</f>
        <v>-225407.92251266</v>
      </c>
      <c r="F89" s="66" t="n">
        <f aca="false">MIN(E89,F88)</f>
        <v>-292534.539221812</v>
      </c>
      <c r="G89" s="66" t="n">
        <f aca="false">MIN(F89,G88)</f>
        <v>-358603.11484572</v>
      </c>
      <c r="H89" s="66" t="n">
        <f aca="false">MIN(G89,H88)</f>
        <v>-423661.261233218</v>
      </c>
      <c r="I89" s="66" t="n">
        <f aca="false">MIN(H89,I88)</f>
        <v>-487754.447699945</v>
      </c>
      <c r="J89" s="66" t="n">
        <f aca="false">MIN(I89,J88)</f>
        <v>-550926.097442337</v>
      </c>
      <c r="K89" s="66" t="n">
        <f aca="false">MIN(J89,K88)</f>
        <v>-613217.679612987</v>
      </c>
      <c r="L89" s="66" t="n">
        <f aca="false">MIN(K89,L88)</f>
        <v>-674668.797252625</v>
      </c>
      <c r="M89" s="66" t="n">
        <f aca="false">MIN(L89,M88)</f>
        <v>-735317.271265145</v>
      </c>
      <c r="N89" s="66" t="n">
        <f aca="false">MIN(M89,N88)</f>
        <v>-795199.220613769</v>
      </c>
      <c r="O89" s="66" t="n">
        <f aca="false">MIN(N89,O88)</f>
        <v>-890536.387797261</v>
      </c>
      <c r="P89" s="66" t="n">
        <f aca="false">MIN(O89,P88)</f>
        <v>-984964.976679717</v>
      </c>
      <c r="Q89" s="66" t="n">
        <f aca="false">MIN(P89,Q88)</f>
        <v>-1078524.68306246</v>
      </c>
      <c r="R89" s="66" t="n">
        <f aca="false">MIN(Q89,R88)</f>
        <v>-1171254.60665799</v>
      </c>
      <c r="S89" s="66" t="n">
        <f aca="false">MIN(R89,S88)</f>
        <v>-1263192.08769171</v>
      </c>
      <c r="T89" s="66" t="n">
        <f aca="false">MIN(S89,T88)</f>
        <v>-1354372.78607892</v>
      </c>
      <c r="U89" s="66" t="n">
        <f aca="false">MIN(T89,U88)</f>
        <v>-1444830.7570387</v>
      </c>
      <c r="V89" s="66" t="n">
        <f aca="false">MIN(U89,V88)</f>
        <v>-1534598.52330529</v>
      </c>
      <c r="W89" s="66" t="n">
        <f aca="false">MIN(V89,W88)</f>
        <v>-1623707.14408989</v>
      </c>
      <c r="X89" s="66" t="n">
        <f aca="false">MIN(W89,X88)</f>
        <v>-1712186.28093917</v>
      </c>
      <c r="Y89" s="66" t="n">
        <f aca="false">MIN(X89,Y88)</f>
        <v>-1800064.26063024</v>
      </c>
      <c r="Z89" s="66" t="n">
        <f aca="false">MIN(Y89,Z88)</f>
        <v>-1887368.13523522</v>
      </c>
      <c r="AA89" s="66" t="n">
        <f aca="false">MIN(Z89,AA88)</f>
        <v>-2030142.45548297</v>
      </c>
      <c r="AB89" s="66" t="n">
        <f aca="false">MIN(AA89,AB88)</f>
        <v>-2172146.62551957</v>
      </c>
      <c r="AC89" s="66" t="n">
        <f aca="false">MIN(AB89,AC88)</f>
        <v>-2313413.90130452</v>
      </c>
      <c r="AD89" s="66" t="n">
        <f aca="false">MIN(AC89,AD88)</f>
        <v>-2453977.44307915</v>
      </c>
      <c r="AE89" s="66" t="n">
        <f aca="false">MIN(AD89,AE88)</f>
        <v>-2593868.91887392</v>
      </c>
      <c r="AF89" s="66" t="n">
        <f aca="false">MIN(AE89,AF88)</f>
        <v>-2733118.57165793</v>
      </c>
      <c r="AG89" s="66" t="n">
        <f aca="false">MIN(AF89,AG88)</f>
        <v>-2871755.28346665</v>
      </c>
      <c r="AH89" s="66" t="n">
        <f aca="false">MIN(AG89,AH88)</f>
        <v>-3009806.63664399</v>
      </c>
      <c r="AI89" s="66" t="n">
        <f aca="false">MIN(AH89,AI88)</f>
        <v>-3147298.97232834</v>
      </c>
      <c r="AJ89" s="66" t="n">
        <f aca="false">MIN(AI89,AJ88)</f>
        <v>-3284257.4463069</v>
      </c>
      <c r="AK89" s="66" t="n">
        <f aca="false">MIN(AJ89,AK88)</f>
        <v>-3420706.08235642</v>
      </c>
      <c r="AL89" s="66" t="n">
        <f aca="false">MIN(AK89,AL88)</f>
        <v>-3556667.82318372</v>
      </c>
      <c r="AM89" s="66" t="n">
        <f aca="false">MIN(AL89,AM88)</f>
        <v>-3779020.90534045</v>
      </c>
      <c r="AN89" s="66" t="n">
        <f aca="false">MIN(AM89,AN88)</f>
        <v>-4000639.3822468</v>
      </c>
      <c r="AO89" s="66" t="n">
        <f aca="false">MIN(AN89,AO88)</f>
        <v>-4221554.66039236</v>
      </c>
      <c r="AP89" s="66" t="n">
        <f aca="false">MIN(AO89,AP88)</f>
        <v>-4441798.38372137</v>
      </c>
      <c r="AQ89" s="66" t="n">
        <f aca="false">MIN(AP89,AQ88)</f>
        <v>-4661400.77220057</v>
      </c>
      <c r="AR89" s="66" t="n">
        <f aca="false">MIN(AQ89,AR88)</f>
        <v>-4880390.68589822</v>
      </c>
      <c r="AS89" s="66" t="n">
        <f aca="false">MIN(AR89,AS88)</f>
        <v>-5098795.68617946</v>
      </c>
      <c r="AT89" s="66" t="n">
        <f aca="false">MIN(AS89,AT88)</f>
        <v>-5316642.09414805</v>
      </c>
      <c r="AU89" s="66" t="n">
        <f aca="false">MIN(AT89,AU88)</f>
        <v>-5533955.04645806</v>
      </c>
      <c r="AV89" s="66" t="n">
        <f aca="false">MIN(AU89,AV88)</f>
        <v>-5750758.54861411</v>
      </c>
      <c r="AW89" s="66" t="n">
        <f aca="false">MIN(AV89,AW88)</f>
        <v>-5967075.52587314</v>
      </c>
      <c r="AX89" s="66" t="n">
        <f aca="false">MIN(AW89,AX88)</f>
        <v>-6182927.87185552</v>
      </c>
      <c r="AY89" s="66" t="n">
        <f aca="false">MIN(AX89,AY88)</f>
        <v>-6533175.59914202</v>
      </c>
      <c r="AZ89" s="66" t="n">
        <f aca="false">MIN(AY89,AZ88)</f>
        <v>-6882656.76709356</v>
      </c>
      <c r="BA89" s="66" t="n">
        <f aca="false">MIN(AZ89,BA88)</f>
        <v>-7231403.92321889</v>
      </c>
      <c r="BB89" s="66" t="n">
        <f aca="false">MIN(BA89,BB88)</f>
        <v>-7579450.09805017</v>
      </c>
      <c r="BC89" s="66" t="n">
        <f aca="false">MIN(BB89,BC88)</f>
        <v>-7926826.83574565</v>
      </c>
      <c r="BD89" s="66" t="n">
        <f aca="false">MIN(BC89,BD88)</f>
        <v>-8273564.26097643</v>
      </c>
      <c r="BE89" s="66" t="n">
        <f aca="false">MIN(BD89,BE88)</f>
        <v>-8619691.14280342</v>
      </c>
      <c r="BF89" s="66" t="n">
        <f aca="false">MIN(BE89,BF88)</f>
        <v>-8965234.9556798</v>
      </c>
      <c r="BG89" s="66" t="n">
        <f aca="false">MIN(BF89,BG88)</f>
        <v>-9310221.93770834</v>
      </c>
      <c r="BH89" s="66" t="n">
        <f aca="false">MIN(BG89,BH88)</f>
        <v>-9654677.1462772</v>
      </c>
      <c r="BI89" s="66" t="n">
        <f aca="false">MIN(BH89,BI88)</f>
        <v>-9998624.51119206</v>
      </c>
      <c r="BJ89" s="66" t="n">
        <f aca="false">MIN(BI89,BJ88)</f>
        <v>-10342086.8854173</v>
      </c>
    </row>
    <row r="90" customFormat="false" ht="15" hidden="false" customHeight="false" outlineLevel="0" collapsed="false">
      <c r="A90" s="119" t="s">
        <v>431</v>
      </c>
      <c r="C90" s="120" t="n">
        <f aca="false">IF(AND(C88&gt;=0,C89&lt;0),1,0)</f>
        <v>0</v>
      </c>
      <c r="D90" s="120" t="n">
        <f aca="false">IF(AND(D88&gt;=0,D89&lt;0),1,0)</f>
        <v>0</v>
      </c>
      <c r="E90" s="120" t="n">
        <f aca="false">IF(AND(E88&gt;=0,E89&lt;0),1,0)</f>
        <v>0</v>
      </c>
      <c r="F90" s="120" t="n">
        <f aca="false">IF(AND(F88&gt;=0,F89&lt;0),1,0)</f>
        <v>0</v>
      </c>
      <c r="G90" s="120" t="n">
        <f aca="false">IF(AND(G88&gt;=0,G89&lt;0),1,0)</f>
        <v>0</v>
      </c>
      <c r="H90" s="120" t="n">
        <f aca="false">IF(AND(H88&gt;=0,H89&lt;0),1,0)</f>
        <v>0</v>
      </c>
      <c r="I90" s="120" t="n">
        <f aca="false">IF(AND(I88&gt;=0,I89&lt;0),1,0)</f>
        <v>0</v>
      </c>
      <c r="J90" s="120" t="n">
        <f aca="false">IF(AND(J88&gt;=0,J89&lt;0),1,0)</f>
        <v>0</v>
      </c>
      <c r="K90" s="120" t="n">
        <f aca="false">IF(AND(K88&gt;=0,K89&lt;0),1,0)</f>
        <v>0</v>
      </c>
      <c r="L90" s="120" t="n">
        <f aca="false">IF(AND(L88&gt;=0,L89&lt;0),1,0)</f>
        <v>0</v>
      </c>
      <c r="M90" s="120" t="n">
        <f aca="false">IF(AND(M88&gt;=0,M89&lt;0),1,0)</f>
        <v>0</v>
      </c>
      <c r="N90" s="120" t="n">
        <f aca="false">IF(AND(N88&gt;=0,N89&lt;0),1,0)</f>
        <v>0</v>
      </c>
      <c r="O90" s="120" t="n">
        <f aca="false">IF(AND(O88&gt;=0,O89&lt;0),1,0)</f>
        <v>0</v>
      </c>
      <c r="P90" s="120" t="n">
        <f aca="false">IF(AND(P88&gt;=0,P89&lt;0),1,0)</f>
        <v>0</v>
      </c>
      <c r="Q90" s="120" t="n">
        <f aca="false">IF(AND(Q88&gt;=0,Q89&lt;0),1,0)</f>
        <v>0</v>
      </c>
      <c r="R90" s="120" t="n">
        <f aca="false">IF(AND(R88&gt;=0,R89&lt;0),1,0)</f>
        <v>0</v>
      </c>
      <c r="S90" s="120" t="n">
        <f aca="false">IF(AND(S88&gt;=0,S89&lt;0),1,0)</f>
        <v>0</v>
      </c>
      <c r="T90" s="120" t="n">
        <f aca="false">IF(AND(T88&gt;=0,T89&lt;0),1,0)</f>
        <v>0</v>
      </c>
      <c r="U90" s="120" t="n">
        <f aca="false">IF(AND(U88&gt;=0,U89&lt;0),1,0)</f>
        <v>0</v>
      </c>
      <c r="V90" s="120" t="n">
        <f aca="false">IF(AND(V88&gt;=0,V89&lt;0),1,0)</f>
        <v>0</v>
      </c>
      <c r="W90" s="120" t="n">
        <f aca="false">IF(AND(W88&gt;=0,W89&lt;0),1,0)</f>
        <v>0</v>
      </c>
      <c r="X90" s="120" t="n">
        <f aca="false">IF(AND(X88&gt;=0,X89&lt;0),1,0)</f>
        <v>0</v>
      </c>
      <c r="Y90" s="120" t="n">
        <f aca="false">IF(AND(Y88&gt;=0,Y89&lt;0),1,0)</f>
        <v>0</v>
      </c>
      <c r="Z90" s="120" t="n">
        <f aca="false">IF(AND(Z88&gt;=0,Z89&lt;0),1,0)</f>
        <v>0</v>
      </c>
      <c r="AA90" s="120" t="n">
        <f aca="false">IF(AND(AA88&gt;=0,AA89&lt;0),1,0)</f>
        <v>0</v>
      </c>
      <c r="AB90" s="120" t="n">
        <f aca="false">IF(AND(AB88&gt;=0,AB89&lt;0),1,0)</f>
        <v>0</v>
      </c>
      <c r="AC90" s="120" t="n">
        <f aca="false">IF(AND(AC88&gt;=0,AC89&lt;0),1,0)</f>
        <v>0</v>
      </c>
      <c r="AD90" s="120" t="n">
        <f aca="false">IF(AND(AD88&gt;=0,AD89&lt;0),1,0)</f>
        <v>0</v>
      </c>
      <c r="AE90" s="120" t="n">
        <f aca="false">IF(AND(AE88&gt;=0,AE89&lt;0),1,0)</f>
        <v>0</v>
      </c>
      <c r="AF90" s="120" t="n">
        <f aca="false">IF(AND(AF88&gt;=0,AF89&lt;0),1,0)</f>
        <v>0</v>
      </c>
      <c r="AG90" s="120" t="n">
        <f aca="false">IF(AND(AG88&gt;=0,AG89&lt;0),1,0)</f>
        <v>0</v>
      </c>
      <c r="AH90" s="120" t="n">
        <f aca="false">IF(AND(AH88&gt;=0,AH89&lt;0),1,0)</f>
        <v>0</v>
      </c>
      <c r="AI90" s="120" t="n">
        <f aca="false">IF(AND(AI88&gt;=0,AI89&lt;0),1,0)</f>
        <v>0</v>
      </c>
      <c r="AJ90" s="120" t="n">
        <f aca="false">IF(AND(AJ88&gt;=0,AJ89&lt;0),1,0)</f>
        <v>0</v>
      </c>
      <c r="AK90" s="120" t="n">
        <f aca="false">IF(AND(AK88&gt;=0,AK89&lt;0),1,0)</f>
        <v>0</v>
      </c>
      <c r="AL90" s="120" t="n">
        <f aca="false">IF(AND(AL88&gt;=0,AL89&lt;0),1,0)</f>
        <v>0</v>
      </c>
      <c r="AM90" s="120" t="n">
        <f aca="false">IF(AND(AM88&gt;=0,AM89&lt;0),1,0)</f>
        <v>0</v>
      </c>
      <c r="AN90" s="120" t="n">
        <f aca="false">IF(AND(AN88&gt;=0,AN89&lt;0),1,0)</f>
        <v>0</v>
      </c>
      <c r="AO90" s="120" t="n">
        <f aca="false">IF(AND(AO88&gt;=0,AO89&lt;0),1,0)</f>
        <v>0</v>
      </c>
      <c r="AP90" s="120" t="n">
        <f aca="false">IF(AND(AP88&gt;=0,AP89&lt;0),1,0)</f>
        <v>0</v>
      </c>
      <c r="AQ90" s="120" t="n">
        <f aca="false">IF(AND(AQ88&gt;=0,AQ89&lt;0),1,0)</f>
        <v>0</v>
      </c>
      <c r="AR90" s="120" t="n">
        <f aca="false">IF(AND(AR88&gt;=0,AR89&lt;0),1,0)</f>
        <v>0</v>
      </c>
      <c r="AS90" s="120" t="n">
        <f aca="false">IF(AND(AS88&gt;=0,AS89&lt;0),1,0)</f>
        <v>0</v>
      </c>
      <c r="AT90" s="120" t="n">
        <f aca="false">IF(AND(AT88&gt;=0,AT89&lt;0),1,0)</f>
        <v>0</v>
      </c>
      <c r="AU90" s="120" t="n">
        <f aca="false">IF(AND(AU88&gt;=0,AU89&lt;0),1,0)</f>
        <v>0</v>
      </c>
      <c r="AV90" s="120" t="n">
        <f aca="false">IF(AND(AV88&gt;=0,AV89&lt;0),1,0)</f>
        <v>0</v>
      </c>
      <c r="AW90" s="120" t="n">
        <f aca="false">IF(AND(AW88&gt;=0,AW89&lt;0),1,0)</f>
        <v>0</v>
      </c>
      <c r="AX90" s="120" t="n">
        <f aca="false">IF(AND(AX88&gt;=0,AX89&lt;0),1,0)</f>
        <v>0</v>
      </c>
      <c r="AY90" s="120" t="n">
        <f aca="false">IF(AND(AY88&gt;=0,AY89&lt;0),1,0)</f>
        <v>0</v>
      </c>
      <c r="AZ90" s="120" t="n">
        <f aca="false">IF(AND(AZ88&gt;=0,AZ89&lt;0),1,0)</f>
        <v>0</v>
      </c>
      <c r="BA90" s="120" t="n">
        <f aca="false">IF(AND(BA88&gt;=0,BA89&lt;0),1,0)</f>
        <v>0</v>
      </c>
      <c r="BB90" s="120" t="n">
        <f aca="false">IF(AND(BB88&gt;=0,BB89&lt;0),1,0)</f>
        <v>0</v>
      </c>
      <c r="BC90" s="120" t="n">
        <f aca="false">IF(AND(BC88&gt;=0,BC89&lt;0),1,0)</f>
        <v>0</v>
      </c>
      <c r="BD90" s="120" t="n">
        <f aca="false">IF(AND(BD88&gt;=0,BD89&lt;0),1,0)</f>
        <v>0</v>
      </c>
      <c r="BE90" s="120" t="n">
        <f aca="false">IF(AND(BE88&gt;=0,BE89&lt;0),1,0)</f>
        <v>0</v>
      </c>
      <c r="BF90" s="120" t="n">
        <f aca="false">IF(AND(BF88&gt;=0,BF89&lt;0),1,0)</f>
        <v>0</v>
      </c>
      <c r="BG90" s="120" t="n">
        <f aca="false">IF(AND(BG88&gt;=0,BG89&lt;0),1,0)</f>
        <v>0</v>
      </c>
      <c r="BH90" s="120" t="n">
        <f aca="false">IF(AND(BH88&gt;=0,BH89&lt;0),1,0)</f>
        <v>0</v>
      </c>
      <c r="BI90" s="120" t="n">
        <f aca="false">IF(AND(BI88&gt;=0,BI89&lt;0),1,0)</f>
        <v>0</v>
      </c>
      <c r="BJ90" s="120" t="n">
        <f aca="false">IF(AND(BJ88&gt;=0,BJ89&lt;0),1,0)</f>
        <v>0</v>
      </c>
    </row>
    <row r="91" customFormat="false" ht="15" hidden="false" customHeight="false" outlineLevel="0" collapsed="false">
      <c r="A91" s="6" t="s">
        <v>432</v>
      </c>
      <c r="C91" s="66" t="n">
        <f aca="false">C72-C41*(1-Inputs!$B$58)+C73</f>
        <v>-87778.7952777778</v>
      </c>
      <c r="D91" s="66" t="n">
        <f aca="false">D72-D41*(1-Inputs!$B$58)+D73</f>
        <v>-69394.6141013889</v>
      </c>
      <c r="E91" s="66" t="n">
        <f aca="false">E72-E41*(1-Inputs!$B$58)+E73</f>
        <v>-68234.5131334931</v>
      </c>
      <c r="F91" s="66" t="n">
        <f aca="false">F72-F41*(1-Inputs!$B$58)+F73</f>
        <v>-67126.6167091525</v>
      </c>
      <c r="G91" s="66" t="n">
        <f aca="false">G72-G41*(1-Inputs!$B$58)+G73</f>
        <v>-66068.5756239073</v>
      </c>
      <c r="H91" s="66" t="n">
        <f aca="false">H72-H41*(1-Inputs!$B$58)+H73</f>
        <v>-65058.1463874982</v>
      </c>
      <c r="I91" s="66" t="n">
        <f aca="false">I72-I41*(1-Inputs!$B$58)+I73</f>
        <v>-64093.1864667274</v>
      </c>
      <c r="J91" s="66" t="n">
        <f aca="false">J72-J41*(1-Inputs!$B$58)+J73</f>
        <v>-63171.6497423913</v>
      </c>
      <c r="K91" s="66" t="n">
        <f aca="false">K72-K41*(1-Inputs!$B$58)+K73</f>
        <v>-62291.5821706504</v>
      </c>
      <c r="L91" s="66" t="n">
        <f aca="false">L72-L41*(1-Inputs!$B$58)+L73</f>
        <v>-61451.1176396378</v>
      </c>
      <c r="M91" s="66" t="n">
        <f aca="false">M72-M41*(1-Inputs!$B$58)+M73</f>
        <v>-60648.4740125208</v>
      </c>
      <c r="N91" s="66" t="n">
        <f aca="false">N72-N41*(1-Inputs!$B$58)+N73</f>
        <v>-59881.949348624</v>
      </c>
      <c r="O91" s="66" t="n">
        <f aca="false">O72-O41*(1-Inputs!$B$58)+O73</f>
        <v>-95337.1671834915</v>
      </c>
      <c r="P91" s="66" t="n">
        <f aca="false">P72-P41*(1-Inputs!$B$58)+P73</f>
        <v>-94428.5888824566</v>
      </c>
      <c r="Q91" s="66" t="n">
        <f aca="false">Q72-Q41*(1-Inputs!$B$58)+Q73</f>
        <v>-93559.706382746</v>
      </c>
      <c r="R91" s="66" t="n">
        <f aca="false">R72-R41*(1-Inputs!$B$58)+R73</f>
        <v>-92729.9235955225</v>
      </c>
      <c r="S91" s="66" t="n">
        <f aca="false">S72-S41*(1-Inputs!$B$58)+S73</f>
        <v>-91937.481033724</v>
      </c>
      <c r="T91" s="66" t="n">
        <f aca="false">T72-T41*(1-Inputs!$B$58)+T73</f>
        <v>-91180.6983872064</v>
      </c>
      <c r="U91" s="66" t="n">
        <f aca="false">U72-U41*(1-Inputs!$B$58)+U73</f>
        <v>-90457.9709597821</v>
      </c>
      <c r="V91" s="66" t="n">
        <f aca="false">V72-V41*(1-Inputs!$B$58)+V73</f>
        <v>-89767.7662665919</v>
      </c>
      <c r="W91" s="66" t="n">
        <f aca="false">W72-W41*(1-Inputs!$B$58)+W73</f>
        <v>-89108.6207845953</v>
      </c>
      <c r="X91" s="66" t="n">
        <f aca="false">X72-X41*(1-Inputs!$B$58)+X73</f>
        <v>-88479.1368492885</v>
      </c>
      <c r="Y91" s="66" t="n">
        <f aca="false">Y72-Y41*(1-Inputs!$B$58)+Y73</f>
        <v>-87877.9796910705</v>
      </c>
      <c r="Z91" s="66" t="n">
        <f aca="false">Z72-Z41*(1-Inputs!$B$58)+Z73</f>
        <v>-87303.8746049723</v>
      </c>
      <c r="AA91" s="66" t="n">
        <f aca="false">AA72-AA41*(1-Inputs!$B$58)+AA73</f>
        <v>-142774.320247749</v>
      </c>
      <c r="AB91" s="66" t="n">
        <f aca="false">AB72-AB41*(1-Inputs!$B$58)+AB73</f>
        <v>-142004.1700366</v>
      </c>
      <c r="AC91" s="66" t="n">
        <f aca="false">AC72-AC41*(1-Inputs!$B$58)+AC73</f>
        <v>-141267.275784953</v>
      </c>
      <c r="AD91" s="66" t="n">
        <f aca="false">AD72-AD41*(1-Inputs!$B$58)+AD73</f>
        <v>-140563.54177463</v>
      </c>
      <c r="AE91" s="66" t="n">
        <f aca="false">AE72-AE41*(1-Inputs!$B$58)+AE73</f>
        <v>-139891.475794772</v>
      </c>
      <c r="AF91" s="66" t="n">
        <f aca="false">AF72-AF41*(1-Inputs!$B$58)+AF73</f>
        <v>-139249.652784007</v>
      </c>
      <c r="AG91" s="66" t="n">
        <f aca="false">AG72-AG41*(1-Inputs!$B$58)+AG73</f>
        <v>-138636.711808727</v>
      </c>
      <c r="AH91" s="66" t="n">
        <f aca="false">AH72-AH41*(1-Inputs!$B$58)+AH73</f>
        <v>-138051.353177334</v>
      </c>
      <c r="AI91" s="66" t="n">
        <f aca="false">AI72-AI41*(1-Inputs!$B$58)+AI73</f>
        <v>-137492.335684354</v>
      </c>
      <c r="AJ91" s="66" t="n">
        <f aca="false">AJ72-AJ41*(1-Inputs!$B$58)+AJ73</f>
        <v>-136958.473978558</v>
      </c>
      <c r="AK91" s="66" t="n">
        <f aca="false">AK72-AK41*(1-Inputs!$B$58)+AK73</f>
        <v>-136448.636049523</v>
      </c>
      <c r="AL91" s="66" t="n">
        <f aca="false">AL72-AL41*(1-Inputs!$B$58)+AL73</f>
        <v>-135961.740827294</v>
      </c>
      <c r="AM91" s="66" t="n">
        <f aca="false">AM72-AM41*(1-Inputs!$B$58)+AM73</f>
        <v>-222353.082156733</v>
      </c>
      <c r="AN91" s="66" t="n">
        <f aca="false">AN72-AN41*(1-Inputs!$B$58)+AN73</f>
        <v>-221618.476906346</v>
      </c>
      <c r="AO91" s="66" t="n">
        <f aca="false">AO72-AO41*(1-Inputs!$B$58)+AO73</f>
        <v>-220915.278145561</v>
      </c>
      <c r="AP91" s="66" t="n">
        <f aca="false">AP72-AP41*(1-Inputs!$B$58)+AP73</f>
        <v>-220243.723329011</v>
      </c>
      <c r="AQ91" s="66" t="n">
        <f aca="false">AQ72-AQ41*(1-Inputs!$B$58)+AQ73</f>
        <v>-219602.388479205</v>
      </c>
      <c r="AR91" s="66" t="n">
        <f aca="false">AR72-AR41*(1-Inputs!$B$58)+AR73</f>
        <v>-218989.913697641</v>
      </c>
      <c r="AS91" s="66" t="n">
        <f aca="false">AS72-AS41*(1-Inputs!$B$58)+AS73</f>
        <v>-218405.000281247</v>
      </c>
      <c r="AT91" s="66" t="n">
        <f aca="false">AT72-AT41*(1-Inputs!$B$58)+AT73</f>
        <v>-217846.407968591</v>
      </c>
      <c r="AU91" s="66" t="n">
        <f aca="false">AU72-AU41*(1-Inputs!$B$58)+AU73</f>
        <v>-217312.952310004</v>
      </c>
      <c r="AV91" s="66" t="n">
        <f aca="false">AV72-AV41*(1-Inputs!$B$58)+AV73</f>
        <v>-216803.502156054</v>
      </c>
      <c r="AW91" s="66" t="n">
        <f aca="false">AW72-AW41*(1-Inputs!$B$58)+AW73</f>
        <v>-216316.977259032</v>
      </c>
      <c r="AX91" s="66" t="n">
        <f aca="false">AX72-AX41*(1-Inputs!$B$58)+AX73</f>
        <v>-215852.345982375</v>
      </c>
      <c r="AY91" s="66" t="n">
        <f aca="false">AY72-AY41*(1-Inputs!$B$58)+AY73</f>
        <v>-350247.727286502</v>
      </c>
      <c r="AZ91" s="66" t="n">
        <f aca="false">AZ72-AZ41*(1-Inputs!$B$58)+AZ73</f>
        <v>-349481.167951543</v>
      </c>
      <c r="BA91" s="66" t="n">
        <f aca="false">BA72-BA41*(1-Inputs!$B$58)+BA73</f>
        <v>-348747.156125323</v>
      </c>
      <c r="BB91" s="66" t="n">
        <f aca="false">BB72-BB41*(1-Inputs!$B$58)+BB73</f>
        <v>-348046.174831284</v>
      </c>
      <c r="BC91" s="66" t="n">
        <f aca="false">BC72-BC41*(1-Inputs!$B$58)+BC73</f>
        <v>-347376.737695476</v>
      </c>
      <c r="BD91" s="66" t="n">
        <f aca="false">BD72-BD41*(1-Inputs!$B$58)+BD73</f>
        <v>-346737.425230779</v>
      </c>
      <c r="BE91" s="66" t="n">
        <f aca="false">BE72-BE41*(1-Inputs!$B$58)+BE73</f>
        <v>-346126.881826994</v>
      </c>
      <c r="BF91" s="66" t="n">
        <f aca="false">BF72-BF41*(1-Inputs!$B$58)+BF73</f>
        <v>-345543.81287638</v>
      </c>
      <c r="BG91" s="66" t="n">
        <f aca="false">BG72-BG41*(1-Inputs!$B$58)+BG73</f>
        <v>-344986.982028543</v>
      </c>
      <c r="BH91" s="66" t="n">
        <f aca="false">BH72-BH41*(1-Inputs!$B$58)+BH73</f>
        <v>-344455.208568858</v>
      </c>
      <c r="BI91" s="66" t="n">
        <f aca="false">BI72-BI41*(1-Inputs!$B$58)+BI73</f>
        <v>-343947.36491486</v>
      </c>
      <c r="BJ91" s="66" t="n">
        <f aca="false">BJ72-BJ41*(1-Inputs!$B$58)+BJ73</f>
        <v>-343462.374225291</v>
      </c>
    </row>
    <row r="93" customFormat="false" ht="15.75" hidden="false" customHeight="true" outlineLevel="0" collapsed="false">
      <c r="A93" s="7" t="s">
        <v>433</v>
      </c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</row>
    <row r="94" customFormat="false" ht="15" hidden="false" customHeight="false" outlineLevel="0" collapsed="false">
      <c r="A94" s="6" t="s">
        <v>97</v>
      </c>
      <c r="C94" s="66" t="n">
        <f aca="false">C74</f>
        <v>3000000</v>
      </c>
      <c r="D94" s="66" t="n">
        <f aca="false">C94+D74</f>
        <v>3000000</v>
      </c>
      <c r="E94" s="66" t="n">
        <f aca="false">D94+E74</f>
        <v>3000000</v>
      </c>
      <c r="F94" s="66" t="n">
        <f aca="false">E94+F74</f>
        <v>3000000</v>
      </c>
      <c r="G94" s="66" t="n">
        <f aca="false">F94+G74</f>
        <v>3000000</v>
      </c>
      <c r="H94" s="66" t="n">
        <f aca="false">G94+H74</f>
        <v>3000000</v>
      </c>
      <c r="I94" s="66" t="n">
        <f aca="false">H94+I74</f>
        <v>3000000</v>
      </c>
      <c r="J94" s="66" t="n">
        <f aca="false">I94+J74</f>
        <v>3000000</v>
      </c>
      <c r="K94" s="66" t="n">
        <f aca="false">J94+K74</f>
        <v>3000000</v>
      </c>
      <c r="L94" s="66" t="n">
        <f aca="false">K94+L74</f>
        <v>3000000</v>
      </c>
      <c r="M94" s="66" t="n">
        <f aca="false">L94+M74</f>
        <v>3000000</v>
      </c>
      <c r="N94" s="66" t="n">
        <f aca="false">M94+N74</f>
        <v>3000000</v>
      </c>
      <c r="O94" s="66" t="n">
        <f aca="false">N94+O74</f>
        <v>3000000</v>
      </c>
      <c r="P94" s="66" t="n">
        <f aca="false">O94+P74</f>
        <v>3000000</v>
      </c>
      <c r="Q94" s="66" t="n">
        <f aca="false">P94+Q74</f>
        <v>3000000</v>
      </c>
      <c r="R94" s="66" t="n">
        <f aca="false">Q94+R74</f>
        <v>3000000</v>
      </c>
      <c r="S94" s="66" t="n">
        <f aca="false">R94+S74</f>
        <v>3000000</v>
      </c>
      <c r="T94" s="66" t="n">
        <f aca="false">S94+T74</f>
        <v>3000000</v>
      </c>
      <c r="U94" s="66" t="n">
        <f aca="false">T94+U74</f>
        <v>3000000</v>
      </c>
      <c r="V94" s="66" t="n">
        <f aca="false">U94+V74</f>
        <v>3000000</v>
      </c>
      <c r="W94" s="66" t="n">
        <f aca="false">V94+W74</f>
        <v>3000000</v>
      </c>
      <c r="X94" s="66" t="n">
        <f aca="false">W94+X74</f>
        <v>3000000</v>
      </c>
      <c r="Y94" s="66" t="n">
        <f aca="false">X94+Y74</f>
        <v>3000000</v>
      </c>
      <c r="Z94" s="66" t="n">
        <f aca="false">Y94+Z74</f>
        <v>3000000</v>
      </c>
      <c r="AA94" s="66" t="n">
        <f aca="false">Z94+AA74</f>
        <v>3000000</v>
      </c>
      <c r="AB94" s="66" t="n">
        <f aca="false">AA94+AB74</f>
        <v>3000000</v>
      </c>
      <c r="AC94" s="66" t="n">
        <f aca="false">AB94+AC74</f>
        <v>3000000</v>
      </c>
      <c r="AD94" s="66" t="n">
        <f aca="false">AC94+AD74</f>
        <v>3000000</v>
      </c>
      <c r="AE94" s="66" t="n">
        <f aca="false">AD94+AE74</f>
        <v>3000000</v>
      </c>
      <c r="AF94" s="66" t="n">
        <f aca="false">AE94+AF74</f>
        <v>3000000</v>
      </c>
      <c r="AG94" s="66" t="n">
        <f aca="false">AF94+AG74</f>
        <v>3000000</v>
      </c>
      <c r="AH94" s="66" t="n">
        <f aca="false">AG94+AH74</f>
        <v>3000000</v>
      </c>
      <c r="AI94" s="66" t="n">
        <f aca="false">AH94+AI74</f>
        <v>3000000</v>
      </c>
      <c r="AJ94" s="66" t="n">
        <f aca="false">AI94+AJ74</f>
        <v>3000000</v>
      </c>
      <c r="AK94" s="66" t="n">
        <f aca="false">AJ94+AK74</f>
        <v>3000000</v>
      </c>
      <c r="AL94" s="66" t="n">
        <f aca="false">AK94+AL74</f>
        <v>3000000</v>
      </c>
      <c r="AM94" s="66" t="n">
        <f aca="false">AL94+AM74</f>
        <v>3000000</v>
      </c>
      <c r="AN94" s="66" t="n">
        <f aca="false">AM94+AN74</f>
        <v>3000000</v>
      </c>
      <c r="AO94" s="66" t="n">
        <f aca="false">AN94+AO74</f>
        <v>3000000</v>
      </c>
      <c r="AP94" s="66" t="n">
        <f aca="false">AO94+AP74</f>
        <v>3000000</v>
      </c>
      <c r="AQ94" s="66" t="n">
        <f aca="false">AP94+AQ74</f>
        <v>3000000</v>
      </c>
      <c r="AR94" s="66" t="n">
        <f aca="false">AQ94+AR74</f>
        <v>3000000</v>
      </c>
      <c r="AS94" s="66" t="n">
        <f aca="false">AR94+AS74</f>
        <v>3000000</v>
      </c>
      <c r="AT94" s="66" t="n">
        <f aca="false">AS94+AT74</f>
        <v>3000000</v>
      </c>
      <c r="AU94" s="66" t="n">
        <f aca="false">AT94+AU74</f>
        <v>3000000</v>
      </c>
      <c r="AV94" s="66" t="n">
        <f aca="false">AU94+AV74</f>
        <v>3000000</v>
      </c>
      <c r="AW94" s="66" t="n">
        <f aca="false">AV94+AW74</f>
        <v>3000000</v>
      </c>
      <c r="AX94" s="66" t="n">
        <f aca="false">AW94+AX74</f>
        <v>3000000</v>
      </c>
      <c r="AY94" s="66" t="n">
        <f aca="false">AX94+AY74</f>
        <v>3000000</v>
      </c>
      <c r="AZ94" s="66" t="n">
        <f aca="false">AY94+AZ74</f>
        <v>3000000</v>
      </c>
      <c r="BA94" s="66" t="n">
        <f aca="false">AZ94+BA74</f>
        <v>3000000</v>
      </c>
      <c r="BB94" s="66" t="n">
        <f aca="false">BA94+BB74</f>
        <v>3000000</v>
      </c>
      <c r="BC94" s="66" t="n">
        <f aca="false">BB94+BC74</f>
        <v>3000000</v>
      </c>
      <c r="BD94" s="66" t="n">
        <f aca="false">BC94+BD74</f>
        <v>3000000</v>
      </c>
      <c r="BE94" s="66" t="n">
        <f aca="false">BD94+BE74</f>
        <v>3000000</v>
      </c>
      <c r="BF94" s="66" t="n">
        <f aca="false">BE94+BF74</f>
        <v>3000000</v>
      </c>
      <c r="BG94" s="66" t="n">
        <f aca="false">BF94+BG74</f>
        <v>3000000</v>
      </c>
      <c r="BH94" s="66" t="n">
        <f aca="false">BG94+BH74</f>
        <v>3000000</v>
      </c>
      <c r="BI94" s="66" t="n">
        <f aca="false">BH94+BI74</f>
        <v>3000000</v>
      </c>
      <c r="BJ94" s="66" t="n">
        <f aca="false">BI94+BJ74</f>
        <v>3000000</v>
      </c>
    </row>
    <row r="95" customFormat="false" ht="15" hidden="false" customHeight="false" outlineLevel="0" collapsed="false">
      <c r="A95" s="6" t="s">
        <v>98</v>
      </c>
      <c r="C95" s="66" t="n">
        <f aca="false">C46</f>
        <v>-73045.3098888889</v>
      </c>
      <c r="D95" s="66" t="n">
        <f aca="false">C95+D46</f>
        <v>-144791.237499444</v>
      </c>
      <c r="E95" s="66" t="n">
        <f aca="false">D95+E46</f>
        <v>-215296.255034192</v>
      </c>
      <c r="F95" s="66" t="n">
        <f aca="false">E95+F46</f>
        <v>-284616.203446542</v>
      </c>
      <c r="G95" s="66" t="n">
        <f aca="false">F95+G46</f>
        <v>-352804.410847003</v>
      </c>
      <c r="H95" s="66" t="n">
        <f aca="false">G95+H46</f>
        <v>-419911.80558111</v>
      </c>
      <c r="I95" s="66" t="n">
        <f aca="false">H95+I46</f>
        <v>-485987.024218849</v>
      </c>
      <c r="J95" s="66" t="n">
        <f aca="false">I95+J46</f>
        <v>-551076.514684557</v>
      </c>
      <c r="K95" s="66" t="n">
        <f aca="false">J95+K46</f>
        <v>-615224.634745974</v>
      </c>
      <c r="L95" s="66" t="n">
        <f aca="false">K95+L46</f>
        <v>-678473.746071294</v>
      </c>
      <c r="M95" s="66" t="n">
        <f aca="false">L95+M46</f>
        <v>-740864.304053641</v>
      </c>
      <c r="N95" s="66" t="n">
        <f aca="false">M95+N46</f>
        <v>-802434.94359345</v>
      </c>
      <c r="O95" s="66" t="n">
        <f aca="false">N95+O46</f>
        <v>-899737.2596873</v>
      </c>
      <c r="P95" s="66" t="n">
        <f aca="false">O95+P46</f>
        <v>-996066.375556927</v>
      </c>
      <c r="Q95" s="66" t="n">
        <f aca="false">P95+Q46</f>
        <v>-1091466.08521242</v>
      </c>
      <c r="R95" s="66" t="n">
        <f aca="false">Q95+R46</f>
        <v>-1185978.21193342</v>
      </c>
      <c r="S95" s="66" t="n">
        <f aca="false">R95+S46</f>
        <v>-1279642.69695197</v>
      </c>
      <c r="T95" s="66" t="n">
        <f aca="false">S95+T46</f>
        <v>-1372497.68414469</v>
      </c>
      <c r="U95" s="66" t="n">
        <f aca="false">T95+U46</f>
        <v>-1464579.60091373</v>
      </c>
      <c r="V95" s="66" t="n">
        <f aca="false">U95+V46</f>
        <v>-1555923.23542817</v>
      </c>
      <c r="W95" s="66" t="n">
        <f aca="false">V95+W46</f>
        <v>-1646561.81038946</v>
      </c>
      <c r="X95" s="66" t="n">
        <f aca="false">W95+X46</f>
        <v>-1736527.05347749</v>
      </c>
      <c r="Y95" s="66" t="n">
        <f aca="false">X95+Y46</f>
        <v>-1825849.26462656</v>
      </c>
      <c r="Z95" s="66" t="n">
        <f aca="false">Y95+Z46</f>
        <v>-1914557.38027392</v>
      </c>
      <c r="AA95" s="66" t="n">
        <f aca="false">Z95+AA46</f>
        <v>-2059083.13391715</v>
      </c>
      <c r="AB95" s="66" t="n">
        <f aca="false">AA95+AB46</f>
        <v>-2202783.52204643</v>
      </c>
      <c r="AC95" s="66" t="n">
        <f aca="false">AB95+AC46</f>
        <v>-2345695.6861099</v>
      </c>
      <c r="AD95" s="66" t="n">
        <f aca="false">AC95+AD46</f>
        <v>-2487855.09619051</v>
      </c>
      <c r="AE95" s="66" t="n">
        <f aca="false">AD95+AE46</f>
        <v>-2629295.62621749</v>
      </c>
      <c r="AF95" s="66" t="n">
        <f aca="false">AE95+AF46</f>
        <v>-2770049.62579326</v>
      </c>
      <c r="AG95" s="66" t="n">
        <f aca="false">AF95+AG46</f>
        <v>-2910147.98878812</v>
      </c>
      <c r="AH95" s="66" t="n">
        <f aca="false">AG95+AH46</f>
        <v>-3049620.21884821</v>
      </c>
      <c r="AI95" s="66" t="n">
        <f aca="false">AH95+AI46</f>
        <v>-3188494.49195559</v>
      </c>
      <c r="AJ95" s="66" t="n">
        <f aca="false">AI95+AJ46</f>
        <v>-3326797.71617315</v>
      </c>
      <c r="AK95" s="66" t="n">
        <f aca="false">AJ95+AK46</f>
        <v>-3464555.58870091</v>
      </c>
      <c r="AL95" s="66" t="n">
        <f aca="false">AK95+AL46</f>
        <v>-3601792.65036493</v>
      </c>
      <c r="AM95" s="66" t="n">
        <f aca="false">AL95+AM46</f>
        <v>-3825287.2560185</v>
      </c>
      <c r="AN95" s="66" t="n">
        <f aca="false">AM95+AN46</f>
        <v>-4047994.23711767</v>
      </c>
      <c r="AO95" s="66" t="n">
        <f aca="false">AN95+AO46</f>
        <v>-4269949.03676738</v>
      </c>
      <c r="AP95" s="66" t="n">
        <f aca="false">AO95+AP46</f>
        <v>-4491185.50313284</v>
      </c>
      <c r="AQ95" s="66" t="n">
        <f aca="false">AP95+AQ46</f>
        <v>-4711735.96121187</v>
      </c>
      <c r="AR95" s="66" t="n">
        <f aca="false">AQ95+AR46</f>
        <v>-4931631.28137733</v>
      </c>
      <c r="AS95" s="66" t="n">
        <f aca="false">AR95+AS46</f>
        <v>-5150900.94483535</v>
      </c>
      <c r="AT95" s="66" t="n">
        <f aca="false">AS95+AT46</f>
        <v>-5369573.10613776</v>
      </c>
      <c r="AU95" s="66" t="n">
        <f aca="false">AT95+AU46</f>
        <v>-5587674.65288156</v>
      </c>
      <c r="AV95" s="66" t="n">
        <f aca="false">AU95+AV46</f>
        <v>-5805231.26272189</v>
      </c>
      <c r="AW95" s="66" t="n">
        <f aca="false">AV95+AW46</f>
        <v>-6022267.45781941</v>
      </c>
      <c r="AX95" s="66" t="n">
        <f aca="false">AW95+AX46</f>
        <v>-6238806.65683754</v>
      </c>
      <c r="AY95" s="66" t="n">
        <f aca="false">AX95+AY46</f>
        <v>-6590246.16255185</v>
      </c>
      <c r="AZ95" s="66" t="n">
        <f aca="false">AY95+AZ46</f>
        <v>-6940863.53124061</v>
      </c>
      <c r="BA95" s="66" t="n">
        <f aca="false">AZ95+BA46</f>
        <v>-7290695.75906999</v>
      </c>
      <c r="BB95" s="66" t="n">
        <f aca="false">BA95+BB46</f>
        <v>-7639778.17737864</v>
      </c>
      <c r="BC95" s="66" t="n">
        <f aca="false">BB95+BC46</f>
        <v>-7988144.527595</v>
      </c>
      <c r="BD95" s="66" t="n">
        <f aca="false">BC95+BD46</f>
        <v>-8335827.03278322</v>
      </c>
      <c r="BE95" s="66" t="n">
        <f aca="false">BD95+BE46</f>
        <v>-8682856.46596958</v>
      </c>
      <c r="BF95" s="66" t="n">
        <f aca="false">BE95+BF46</f>
        <v>-9029262.21539415</v>
      </c>
      <c r="BG95" s="66" t="n">
        <f aca="false">BF95+BG46</f>
        <v>-9375072.34682621</v>
      </c>
      <c r="BH95" s="66" t="n">
        <f aca="false">BG95+BH46</f>
        <v>-9720313.66307543</v>
      </c>
      <c r="BI95" s="66" t="n">
        <f aca="false">BH95+BI46</f>
        <v>-10065011.760825</v>
      </c>
      <c r="BJ95" s="66" t="n">
        <f aca="false">BI95+BJ46</f>
        <v>-10409191.0849075</v>
      </c>
    </row>
    <row r="96" customFormat="false" ht="15" hidden="false" customHeight="false" outlineLevel="0" collapsed="false">
      <c r="A96" s="4" t="s">
        <v>92</v>
      </c>
      <c r="C96" s="72" t="n">
        <f aca="false">C78+C62+C63+C53</f>
        <v>2932192.20611111</v>
      </c>
      <c r="D96" s="72" t="n">
        <f aca="false">D78+D62+D63+D53</f>
        <v>2862499.23028056</v>
      </c>
      <c r="E96" s="72" t="n">
        <f aca="false">E78+E62+E63+E53</f>
        <v>2793954.78169571</v>
      </c>
      <c r="F96" s="72" t="n">
        <f aca="false">F78+F62+F63+F53</f>
        <v>2726507.17663051</v>
      </c>
      <c r="G96" s="72" t="n">
        <f aca="false">G78+G62+G63+G53</f>
        <v>2660107.05712658</v>
      </c>
      <c r="H96" s="72" t="n">
        <f aca="false">H78+H62+H63+H53</f>
        <v>2594707.28633367</v>
      </c>
      <c r="I96" s="72" t="n">
        <f aca="false">I78+I62+I63+I53</f>
        <v>2530262.84855976</v>
      </c>
      <c r="J96" s="72" t="n">
        <f aca="false">J78+J62+J63+J53</f>
        <v>2466730.75381902</v>
      </c>
      <c r="K96" s="72" t="n">
        <f aca="false">K78+K62+K63+K53</f>
        <v>2404069.94667494</v>
      </c>
      <c r="L96" s="72" t="n">
        <f aca="false">L78+L62+L63+L53</f>
        <v>2342241.21918568</v>
      </c>
      <c r="M96" s="72" t="n">
        <f aca="false">M78+M62+M63+M53</f>
        <v>2281207.12776677</v>
      </c>
      <c r="N96" s="72" t="n">
        <f aca="false">N78+N62+N63+N53</f>
        <v>2220931.91379504</v>
      </c>
      <c r="O96" s="72" t="n">
        <f aca="false">O78+O62+O63+O53</f>
        <v>2125217.00111871</v>
      </c>
      <c r="P96" s="72" t="n">
        <f aca="false">P78+P62+P63+P53</f>
        <v>2030425.48751281</v>
      </c>
      <c r="Q96" s="72" t="n">
        <f aca="false">Q78+Q62+Q63+Q53</f>
        <v>1936494.18801918</v>
      </c>
      <c r="R96" s="72" t="n">
        <f aca="false">R78+R62+R63+R53</f>
        <v>1843384.39300276</v>
      </c>
      <c r="S96" s="72" t="n">
        <f aca="false">S78+S62+S63+S53</f>
        <v>1751059.13476208</v>
      </c>
      <c r="T96" s="72" t="n">
        <f aca="false">T78+T62+T63+T53</f>
        <v>1659483.10914223</v>
      </c>
      <c r="U96" s="72" t="n">
        <f aca="false">U78+U62+U63+U53</f>
        <v>1568622.60067527</v>
      </c>
      <c r="V96" s="72" t="n">
        <f aca="false">V78+V62+V63+V53</f>
        <v>1478445.41108933</v>
      </c>
      <c r="W96" s="72" t="n">
        <f aca="false">W78+W62+W63+W53</f>
        <v>1388920.79103476</v>
      </c>
      <c r="X96" s="72" t="n">
        <f aca="false">X78+X62+X63+X53</f>
        <v>1300019.37488264</v>
      </c>
      <c r="Y96" s="72" t="n">
        <f aca="false">Y78+Y62+Y63+Y53</f>
        <v>1211713.11845736</v>
      </c>
      <c r="Z96" s="72" t="n">
        <f aca="false">Z78+Z62+Z63+Z53</f>
        <v>1123975.23957123</v>
      </c>
      <c r="AA96" s="72" t="n">
        <f aca="false">AA78+AA62+AA63+AA53</f>
        <v>980788.305234965</v>
      </c>
      <c r="AB96" s="72" t="n">
        <f aca="false">AB78+AB62+AB63+AB53</f>
        <v>838391.948743836</v>
      </c>
      <c r="AC96" s="72" t="n">
        <f aca="false">AC78+AC62+AC63+AC53</f>
        <v>696725.134894808</v>
      </c>
      <c r="AD96" s="72" t="n">
        <f aca="false">AD78+AD62+AD63+AD53</f>
        <v>555755.034268986</v>
      </c>
      <c r="AE96" s="72" t="n">
        <f aca="false">AE78+AE62+AE63+AE53</f>
        <v>415450.294771326</v>
      </c>
      <c r="AF96" s="72" t="n">
        <f aca="false">AF78+AF62+AF63+AF53</f>
        <v>275780.97515106</v>
      </c>
      <c r="AG96" s="72" t="n">
        <f aca="false">AG78+AG62+AG63+AG53</f>
        <v>136718.481513707</v>
      </c>
      <c r="AH96" s="72" t="n">
        <f aca="false">AH78+AH62+AH63+AH53</f>
        <v>-1764.49330996536</v>
      </c>
      <c r="AI96" s="72" t="n">
        <f aca="false">AI78+AI62+AI63+AI53</f>
        <v>-139694.027666573</v>
      </c>
      <c r="AJ96" s="72" t="n">
        <f aca="false">AJ78+AJ62+AJ63+AJ53</f>
        <v>-277095.026377132</v>
      </c>
      <c r="AK96" s="72" t="n">
        <f aca="false">AK78+AK62+AK63+AK53</f>
        <v>-413991.273545717</v>
      </c>
      <c r="AL96" s="72" t="n">
        <f aca="false">AL78+AL62+AL63+AL53</f>
        <v>-550405.482991715</v>
      </c>
      <c r="AM96" s="72" t="n">
        <f aca="false">AM78+AM62+AM63+AM53</f>
        <v>-772628.464457088</v>
      </c>
      <c r="AN96" s="72" t="n">
        <f aca="false">AN78+AN62+AN63+AN53</f>
        <v>-994091.04253652</v>
      </c>
      <c r="AO96" s="72" t="n">
        <f aca="false">AO78+AO62+AO63+AO53</f>
        <v>-1214857.43730238</v>
      </c>
      <c r="AP96" s="72" t="n">
        <f aca="false">AP78+AP62+AP63+AP53</f>
        <v>-1434958.97700377</v>
      </c>
      <c r="AQ96" s="72" t="n">
        <f aca="false">AQ78+AQ62+AQ63+AQ53</f>
        <v>-1654425.5801186</v>
      </c>
      <c r="AR96" s="72" t="n">
        <f aca="false">AR78+AR62+AR63+AR53</f>
        <v>-1873285.81879326</v>
      </c>
      <c r="AS96" s="72" t="n">
        <f aca="false">AS78+AS62+AS63+AS53</f>
        <v>-2091566.97942757</v>
      </c>
      <c r="AT96" s="72" t="n">
        <f aca="false">AT78+AT62+AT63+AT53</f>
        <v>-2309295.12053333</v>
      </c>
      <c r="AU96" s="72" t="n">
        <f aca="false">AU78+AU62+AU63+AU53</f>
        <v>-2526495.12798933</v>
      </c>
      <c r="AV96" s="72" t="n">
        <f aca="false">AV78+AV62+AV63+AV53</f>
        <v>-2743190.76780981</v>
      </c>
      <c r="AW96" s="72" t="n">
        <f aca="false">AW78+AW62+AW63+AW53</f>
        <v>-2959404.73653837</v>
      </c>
      <c r="AX96" s="72" t="n">
        <f aca="false">AX78+AX62+AX63+AX53</f>
        <v>-3175158.70937414</v>
      </c>
      <c r="AY96" s="72" t="n">
        <f aca="false">AY78+AY62+AY63+AY53</f>
        <v>-3525275.1443723</v>
      </c>
      <c r="AZ96" s="72" t="n">
        <f aca="false">AZ78+AZ62+AZ63+AZ53</f>
        <v>-3874593.58225515</v>
      </c>
      <c r="BA96" s="72" t="n">
        <f aca="false">BA78+BA62+BA63+BA53</f>
        <v>-4223185.33116487</v>
      </c>
      <c r="BB96" s="72" t="n">
        <f aca="false">BB78+BB62+BB63+BB53</f>
        <v>-4571083.09210525</v>
      </c>
      <c r="BC96" s="72" t="n">
        <f aca="false">BC78+BC62+BC63+BC53</f>
        <v>-4918318.09453491</v>
      </c>
      <c r="BD96" s="72" t="n">
        <f aca="false">BD78+BD62+BD63+BD53</f>
        <v>-5264920.16258684</v>
      </c>
      <c r="BE96" s="72" t="n">
        <f aca="false">BE78+BE62+BE63+BE53</f>
        <v>-5610917.77830803</v>
      </c>
      <c r="BF96" s="72" t="n">
        <f aca="false">BF78+BF62+BF63+BF53</f>
        <v>-5956338.14205337</v>
      </c>
      <c r="BG96" s="72" t="n">
        <f aca="false">BG78+BG62+BG63+BG53</f>
        <v>-6301207.23016177</v>
      </c>
      <c r="BH96" s="72" t="n">
        <f aca="false">BH78+BH62+BH63+BH53</f>
        <v>-6645549.85003689</v>
      </c>
      <c r="BI96" s="72" t="n">
        <f aca="false">BI78+BI62+BI63+BI53</f>
        <v>-6989389.69274923</v>
      </c>
      <c r="BJ96" s="72" t="n">
        <f aca="false">BJ78+BJ62+BJ63+BJ53</f>
        <v>-7332749.38327112</v>
      </c>
    </row>
    <row r="97" customFormat="false" ht="15" hidden="false" customHeight="false" outlineLevel="0" collapsed="false">
      <c r="A97" s="6" t="s">
        <v>96</v>
      </c>
      <c r="C97" s="66" t="n">
        <f aca="false">C64+C59+C68</f>
        <v>5237.516</v>
      </c>
      <c r="D97" s="66" t="n">
        <f aca="false">D64+D59+D68</f>
        <v>7290.46778</v>
      </c>
      <c r="E97" s="66" t="n">
        <f aca="false">E64+E59+E68</f>
        <v>9251.0367299</v>
      </c>
      <c r="F97" s="66" t="n">
        <f aca="false">F64+F59+F68</f>
        <v>11123.3800770545</v>
      </c>
      <c r="G97" s="66" t="n">
        <f aca="false">G64+G59+G68</f>
        <v>12911.4679735871</v>
      </c>
      <c r="H97" s="66" t="n">
        <f aca="false">H64+H59+H68</f>
        <v>14619.0919147756</v>
      </c>
      <c r="I97" s="66" t="n">
        <f aca="false">I64+I59+I68</f>
        <v>16249.8727786107</v>
      </c>
      <c r="J97" s="66" t="n">
        <f aca="false">J64+J59+J68</f>
        <v>17807.2685035733</v>
      </c>
      <c r="K97" s="66" t="n">
        <f aca="false">K64+K59+K68</f>
        <v>19294.5814209125</v>
      </c>
      <c r="L97" s="66" t="n">
        <f aca="false">L64+L59+L68</f>
        <v>20714.9652569714</v>
      </c>
      <c r="M97" s="66" t="n">
        <f aca="false">M64+M59+M68</f>
        <v>22071.4318204077</v>
      </c>
      <c r="N97" s="66" t="n">
        <f aca="false">N64+N59+N68</f>
        <v>23366.8573884893</v>
      </c>
      <c r="O97" s="66" t="n">
        <f aca="false">O64+O59+O68</f>
        <v>24954.2608060073</v>
      </c>
      <c r="P97" s="66" t="n">
        <f aca="false">P64+P59+P68</f>
        <v>26491.863069737</v>
      </c>
      <c r="Q97" s="66" t="n">
        <f aca="false">Q64+Q59+Q68</f>
        <v>27960.2732315988</v>
      </c>
      <c r="R97" s="66" t="n">
        <f aca="false">R64+R59+R68</f>
        <v>29362.6049361769</v>
      </c>
      <c r="S97" s="66" t="n">
        <f aca="false">S64+S59+S68</f>
        <v>30701.8317140489</v>
      </c>
      <c r="T97" s="66" t="n">
        <f aca="false">T64+T59+T68</f>
        <v>31980.7932869167</v>
      </c>
      <c r="U97" s="66" t="n">
        <f aca="false">U64+U59+U68</f>
        <v>33202.2015890055</v>
      </c>
      <c r="V97" s="66" t="n">
        <f aca="false">V64+V59+V68</f>
        <v>34368.6465175002</v>
      </c>
      <c r="W97" s="66" t="n">
        <f aca="false">W64+W59+W68</f>
        <v>35482.6014242127</v>
      </c>
      <c r="X97" s="66" t="n">
        <f aca="false">X64+X59+X68</f>
        <v>36546.4283601232</v>
      </c>
      <c r="Y97" s="66" t="n">
        <f aca="false">Y64+Y59+Y68</f>
        <v>37562.3830839176</v>
      </c>
      <c r="Z97" s="66" t="n">
        <f aca="false">Z64+Z59+Z68</f>
        <v>38532.6198451413</v>
      </c>
      <c r="AA97" s="66" t="n">
        <f aca="false">AA64+AA59+AA68</f>
        <v>39871.43915211</v>
      </c>
      <c r="AB97" s="66" t="n">
        <f aca="false">AB64+AB59+AB68</f>
        <v>41175.470790265</v>
      </c>
      <c r="AC97" s="66" t="n">
        <f aca="false">AC64+AC59+AC68</f>
        <v>42420.8210047031</v>
      </c>
      <c r="AD97" s="66" t="n">
        <f aca="false">AD64+AD59+AD68</f>
        <v>43610.1304594914</v>
      </c>
      <c r="AE97" s="66" t="n">
        <f aca="false">AE64+AE59+AE68</f>
        <v>44745.9209888143</v>
      </c>
      <c r="AF97" s="66" t="n">
        <f aca="false">AF64+AF59+AF68</f>
        <v>45830.6009443177</v>
      </c>
      <c r="AG97" s="66" t="n">
        <f aca="false">AG64+AG59+AG68</f>
        <v>46866.4703018234</v>
      </c>
      <c r="AH97" s="66" t="n">
        <f aca="false">AH64+AH59+AH68</f>
        <v>47855.7255382413</v>
      </c>
      <c r="AI97" s="66" t="n">
        <f aca="false">AI64+AI59+AI68</f>
        <v>48800.4642890205</v>
      </c>
      <c r="AJ97" s="66" t="n">
        <f aca="false">AJ64+AJ59+AJ68</f>
        <v>49702.6897960145</v>
      </c>
      <c r="AK97" s="66" t="n">
        <f aca="false">AK64+AK59+AK68</f>
        <v>50564.3151551939</v>
      </c>
      <c r="AL97" s="66" t="n">
        <f aca="false">AL64+AL59+AL68</f>
        <v>51387.1673732102</v>
      </c>
      <c r="AM97" s="66" t="n">
        <f aca="false">AM64+AM59+AM68</f>
        <v>52658.7915614157</v>
      </c>
      <c r="AN97" s="66" t="n">
        <f aca="false">AN64+AN59+AN68</f>
        <v>53903.194581152</v>
      </c>
      <c r="AO97" s="66" t="n">
        <f aca="false">AO64+AO59+AO68</f>
        <v>55091.5994650002</v>
      </c>
      <c r="AP97" s="66" t="n">
        <f aca="false">AP64+AP59+AP68</f>
        <v>56226.5261290751</v>
      </c>
      <c r="AQ97" s="66" t="n">
        <f aca="false">AQ64+AQ59+AQ68</f>
        <v>57310.3810932668</v>
      </c>
      <c r="AR97" s="66" t="n">
        <f aca="false">AR64+AR59+AR68</f>
        <v>58345.4625840698</v>
      </c>
      <c r="AS97" s="66" t="n">
        <f aca="false">AS64+AS59+AS68</f>
        <v>59333.9654077866</v>
      </c>
      <c r="AT97" s="66" t="n">
        <f aca="false">AT64+AT59+AT68</f>
        <v>60277.9856044362</v>
      </c>
      <c r="AU97" s="66" t="n">
        <f aca="false">AU64+AU59+AU68</f>
        <v>61179.5248922366</v>
      </c>
      <c r="AV97" s="66" t="n">
        <f aca="false">AV64+AV59+AV68</f>
        <v>62040.4949120859</v>
      </c>
      <c r="AW97" s="66" t="n">
        <f aca="false">AW64+AW59+AW68</f>
        <v>62862.7212810421</v>
      </c>
      <c r="AX97" s="66" t="n">
        <f aca="false">AX64+AX59+AX68</f>
        <v>63647.9474633952</v>
      </c>
      <c r="AY97" s="66" t="n">
        <f aca="false">AY64+AY59+AY68</f>
        <v>64971.0181795424</v>
      </c>
      <c r="AZ97" s="66" t="n">
        <f aca="false">AZ64+AZ59+AZ68</f>
        <v>66269.948985463</v>
      </c>
      <c r="BA97" s="66" t="n">
        <f aca="false">BA64+BA59+BA68</f>
        <v>67510.4279051171</v>
      </c>
      <c r="BB97" s="66" t="n">
        <f aca="false">BB64+BB59+BB68</f>
        <v>68695.0852733869</v>
      </c>
      <c r="BC97" s="66" t="n">
        <f aca="false">BC64+BC59+BC68</f>
        <v>69826.4330600845</v>
      </c>
      <c r="BD97" s="66" t="n">
        <f aca="false">BD64+BD59+BD68</f>
        <v>70906.8701963807</v>
      </c>
      <c r="BE97" s="66" t="n">
        <f aca="false">BE64+BE59+BE68</f>
        <v>71938.6876615435</v>
      </c>
      <c r="BF97" s="66" t="n">
        <f aca="false">BF64+BF59+BF68</f>
        <v>72924.0733407741</v>
      </c>
      <c r="BG97" s="66" t="n">
        <f aca="false">BG64+BG59+BG68</f>
        <v>73865.1166644392</v>
      </c>
      <c r="BH97" s="66" t="n">
        <f aca="false">BH64+BH59+BH68</f>
        <v>74763.8130385395</v>
      </c>
      <c r="BI97" s="66" t="n">
        <f aca="false">BI64+BI59+BI68</f>
        <v>75622.0680758052</v>
      </c>
      <c r="BJ97" s="66" t="n">
        <f aca="false">BJ64+BJ59+BJ68</f>
        <v>76441.701636394</v>
      </c>
    </row>
    <row r="98" customFormat="false" ht="15" hidden="false" customHeight="false" outlineLevel="0" collapsed="false">
      <c r="A98" s="6" t="s">
        <v>99</v>
      </c>
      <c r="C98" s="66" t="n">
        <f aca="false">C94+C95</f>
        <v>2926954.69011111</v>
      </c>
      <c r="D98" s="66" t="n">
        <f aca="false">D94+D95</f>
        <v>2855208.76250056</v>
      </c>
      <c r="E98" s="66" t="n">
        <f aca="false">E94+E95</f>
        <v>2784703.74496581</v>
      </c>
      <c r="F98" s="66" t="n">
        <f aca="false">F94+F95</f>
        <v>2715383.79655346</v>
      </c>
      <c r="G98" s="66" t="n">
        <f aca="false">G94+G95</f>
        <v>2647195.589153</v>
      </c>
      <c r="H98" s="66" t="n">
        <f aca="false">H94+H95</f>
        <v>2580088.19441889</v>
      </c>
      <c r="I98" s="66" t="n">
        <f aca="false">I94+I95</f>
        <v>2514012.97578115</v>
      </c>
      <c r="J98" s="66" t="n">
        <f aca="false">J94+J95</f>
        <v>2448923.48531544</v>
      </c>
      <c r="K98" s="66" t="n">
        <f aca="false">K94+K95</f>
        <v>2384775.36525403</v>
      </c>
      <c r="L98" s="66" t="n">
        <f aca="false">L94+L95</f>
        <v>2321526.25392871</v>
      </c>
      <c r="M98" s="66" t="n">
        <f aca="false">M94+M95</f>
        <v>2259135.69594636</v>
      </c>
      <c r="N98" s="66" t="n">
        <f aca="false">N94+N95</f>
        <v>2197565.05640655</v>
      </c>
      <c r="O98" s="66" t="n">
        <f aca="false">O94+O95</f>
        <v>2100262.7403127</v>
      </c>
      <c r="P98" s="66" t="n">
        <f aca="false">P94+P95</f>
        <v>2003933.62444307</v>
      </c>
      <c r="Q98" s="66" t="n">
        <f aca="false">Q94+Q95</f>
        <v>1908533.91478758</v>
      </c>
      <c r="R98" s="66" t="n">
        <f aca="false">R94+R95</f>
        <v>1814021.78806658</v>
      </c>
      <c r="S98" s="66" t="n">
        <f aca="false">S94+S95</f>
        <v>1720357.30304803</v>
      </c>
      <c r="T98" s="66" t="n">
        <f aca="false">T94+T95</f>
        <v>1627502.31585531</v>
      </c>
      <c r="U98" s="66" t="n">
        <f aca="false">U94+U95</f>
        <v>1535420.39908627</v>
      </c>
      <c r="V98" s="66" t="n">
        <f aca="false">V94+V95</f>
        <v>1444076.76457183</v>
      </c>
      <c r="W98" s="66" t="n">
        <f aca="false">W94+W95</f>
        <v>1353438.18961054</v>
      </c>
      <c r="X98" s="66" t="n">
        <f aca="false">X94+X95</f>
        <v>1263472.94652251</v>
      </c>
      <c r="Y98" s="66" t="n">
        <f aca="false">Y94+Y95</f>
        <v>1174150.73537344</v>
      </c>
      <c r="Z98" s="66" t="n">
        <f aca="false">Z94+Z95</f>
        <v>1085442.61972608</v>
      </c>
      <c r="AA98" s="66" t="n">
        <f aca="false">AA94+AA95</f>
        <v>940916.866082855</v>
      </c>
      <c r="AB98" s="66" t="n">
        <f aca="false">AB94+AB95</f>
        <v>797216.477953571</v>
      </c>
      <c r="AC98" s="66" t="n">
        <f aca="false">AC94+AC95</f>
        <v>654304.313890105</v>
      </c>
      <c r="AD98" s="66" t="n">
        <f aca="false">AD94+AD95</f>
        <v>512144.903809494</v>
      </c>
      <c r="AE98" s="66" t="n">
        <f aca="false">AE94+AE95</f>
        <v>370704.373782511</v>
      </c>
      <c r="AF98" s="66" t="n">
        <f aca="false">AF94+AF95</f>
        <v>229950.374206743</v>
      </c>
      <c r="AG98" s="66" t="n">
        <f aca="false">AG94+AG95</f>
        <v>89852.0112118837</v>
      </c>
      <c r="AH98" s="66" t="n">
        <f aca="false">AH94+AH95</f>
        <v>-49620.2188482066</v>
      </c>
      <c r="AI98" s="66" t="n">
        <f aca="false">AI94+AI95</f>
        <v>-188494.491955593</v>
      </c>
      <c r="AJ98" s="66" t="n">
        <f aca="false">AJ94+AJ95</f>
        <v>-326797.716173147</v>
      </c>
      <c r="AK98" s="66" t="n">
        <f aca="false">AK94+AK95</f>
        <v>-464555.588700911</v>
      </c>
      <c r="AL98" s="66" t="n">
        <f aca="false">AL94+AL95</f>
        <v>-601792.650364926</v>
      </c>
      <c r="AM98" s="66" t="n">
        <f aca="false">AM94+AM95</f>
        <v>-825287.256018504</v>
      </c>
      <c r="AN98" s="66" t="n">
        <f aca="false">AN94+AN95</f>
        <v>-1047994.23711767</v>
      </c>
      <c r="AO98" s="66" t="n">
        <f aca="false">AO94+AO95</f>
        <v>-1269949.03676738</v>
      </c>
      <c r="AP98" s="66" t="n">
        <f aca="false">AP94+AP95</f>
        <v>-1491185.50313284</v>
      </c>
      <c r="AQ98" s="66" t="n">
        <f aca="false">AQ94+AQ95</f>
        <v>-1711735.96121187</v>
      </c>
      <c r="AR98" s="66" t="n">
        <f aca="false">AR94+AR95</f>
        <v>-1931631.28137733</v>
      </c>
      <c r="AS98" s="66" t="n">
        <f aca="false">AS94+AS95</f>
        <v>-2150900.94483535</v>
      </c>
      <c r="AT98" s="66" t="n">
        <f aca="false">AT94+AT95</f>
        <v>-2369573.10613776</v>
      </c>
      <c r="AU98" s="66" t="n">
        <f aca="false">AU94+AU95</f>
        <v>-2587674.65288156</v>
      </c>
      <c r="AV98" s="66" t="n">
        <f aca="false">AV94+AV95</f>
        <v>-2805231.26272189</v>
      </c>
      <c r="AW98" s="66" t="n">
        <f aca="false">AW94+AW95</f>
        <v>-3022267.45781941</v>
      </c>
      <c r="AX98" s="66" t="n">
        <f aca="false">AX94+AX95</f>
        <v>-3238806.65683754</v>
      </c>
      <c r="AY98" s="66" t="n">
        <f aca="false">AY94+AY95</f>
        <v>-3590246.16255185</v>
      </c>
      <c r="AZ98" s="66" t="n">
        <f aca="false">AZ94+AZ95</f>
        <v>-3940863.53124061</v>
      </c>
      <c r="BA98" s="66" t="n">
        <f aca="false">BA94+BA95</f>
        <v>-4290695.75906999</v>
      </c>
      <c r="BB98" s="66" t="n">
        <f aca="false">BB94+BB95</f>
        <v>-4639778.17737864</v>
      </c>
      <c r="BC98" s="66" t="n">
        <f aca="false">BC94+BC95</f>
        <v>-4988144.527595</v>
      </c>
      <c r="BD98" s="66" t="n">
        <f aca="false">BD94+BD95</f>
        <v>-5335827.03278322</v>
      </c>
      <c r="BE98" s="66" t="n">
        <f aca="false">BE94+BE95</f>
        <v>-5682856.46596958</v>
      </c>
      <c r="BF98" s="66" t="n">
        <f aca="false">BF94+BF95</f>
        <v>-6029262.21539415</v>
      </c>
      <c r="BG98" s="66" t="n">
        <f aca="false">BG94+BG95</f>
        <v>-6375072.34682621</v>
      </c>
      <c r="BH98" s="66" t="n">
        <f aca="false">BH94+BH95</f>
        <v>-6720313.66307543</v>
      </c>
      <c r="BI98" s="66" t="n">
        <f aca="false">BI94+BI95</f>
        <v>-7065011.76082504</v>
      </c>
      <c r="BJ98" s="66" t="n">
        <f aca="false">BJ94+BJ95</f>
        <v>-7409191.08490751</v>
      </c>
    </row>
    <row r="99" customFormat="false" ht="15" hidden="false" customHeight="false" outlineLevel="0" collapsed="false">
      <c r="A99" s="4" t="s">
        <v>100</v>
      </c>
      <c r="C99" s="72" t="n">
        <f aca="false">C97+C98</f>
        <v>2932192.20611111</v>
      </c>
      <c r="D99" s="72" t="n">
        <f aca="false">D97+D98</f>
        <v>2862499.23028056</v>
      </c>
      <c r="E99" s="72" t="n">
        <f aca="false">E97+E98</f>
        <v>2793954.78169571</v>
      </c>
      <c r="F99" s="72" t="n">
        <f aca="false">F97+F98</f>
        <v>2726507.17663051</v>
      </c>
      <c r="G99" s="72" t="n">
        <f aca="false">G97+G98</f>
        <v>2660107.05712658</v>
      </c>
      <c r="H99" s="72" t="n">
        <f aca="false">H97+H98</f>
        <v>2594707.28633367</v>
      </c>
      <c r="I99" s="72" t="n">
        <f aca="false">I97+I98</f>
        <v>2530262.84855976</v>
      </c>
      <c r="J99" s="72" t="n">
        <f aca="false">J97+J98</f>
        <v>2466730.75381902</v>
      </c>
      <c r="K99" s="72" t="n">
        <f aca="false">K97+K98</f>
        <v>2404069.94667494</v>
      </c>
      <c r="L99" s="72" t="n">
        <f aca="false">L97+L98</f>
        <v>2342241.21918568</v>
      </c>
      <c r="M99" s="72" t="n">
        <f aca="false">M97+M98</f>
        <v>2281207.12776677</v>
      </c>
      <c r="N99" s="72" t="n">
        <f aca="false">N97+N98</f>
        <v>2220931.91379504</v>
      </c>
      <c r="O99" s="72" t="n">
        <f aca="false">O97+O98</f>
        <v>2125217.00111871</v>
      </c>
      <c r="P99" s="72" t="n">
        <f aca="false">P97+P98</f>
        <v>2030425.48751281</v>
      </c>
      <c r="Q99" s="72" t="n">
        <f aca="false">Q97+Q98</f>
        <v>1936494.18801918</v>
      </c>
      <c r="R99" s="72" t="n">
        <f aca="false">R97+R98</f>
        <v>1843384.39300276</v>
      </c>
      <c r="S99" s="72" t="n">
        <f aca="false">S97+S98</f>
        <v>1751059.13476208</v>
      </c>
      <c r="T99" s="72" t="n">
        <f aca="false">T97+T98</f>
        <v>1659483.10914223</v>
      </c>
      <c r="U99" s="72" t="n">
        <f aca="false">U97+U98</f>
        <v>1568622.60067527</v>
      </c>
      <c r="V99" s="72" t="n">
        <f aca="false">V97+V98</f>
        <v>1478445.41108933</v>
      </c>
      <c r="W99" s="72" t="n">
        <f aca="false">W97+W98</f>
        <v>1388920.79103476</v>
      </c>
      <c r="X99" s="72" t="n">
        <f aca="false">X97+X98</f>
        <v>1300019.37488264</v>
      </c>
      <c r="Y99" s="72" t="n">
        <f aca="false">Y97+Y98</f>
        <v>1211713.11845736</v>
      </c>
      <c r="Z99" s="72" t="n">
        <f aca="false">Z97+Z98</f>
        <v>1123975.23957123</v>
      </c>
      <c r="AA99" s="72" t="n">
        <f aca="false">AA97+AA98</f>
        <v>980788.305234965</v>
      </c>
      <c r="AB99" s="72" t="n">
        <f aca="false">AB97+AB98</f>
        <v>838391.948743836</v>
      </c>
      <c r="AC99" s="72" t="n">
        <f aca="false">AC97+AC98</f>
        <v>696725.134894808</v>
      </c>
      <c r="AD99" s="72" t="n">
        <f aca="false">AD97+AD98</f>
        <v>555755.034268986</v>
      </c>
      <c r="AE99" s="72" t="n">
        <f aca="false">AE97+AE98</f>
        <v>415450.294771326</v>
      </c>
      <c r="AF99" s="72" t="n">
        <f aca="false">AF97+AF98</f>
        <v>275780.97515106</v>
      </c>
      <c r="AG99" s="72" t="n">
        <f aca="false">AG97+AG98</f>
        <v>136718.481513707</v>
      </c>
      <c r="AH99" s="72" t="n">
        <f aca="false">AH97+AH98</f>
        <v>-1764.49330996523</v>
      </c>
      <c r="AI99" s="72" t="n">
        <f aca="false">AI97+AI98</f>
        <v>-139694.027666572</v>
      </c>
      <c r="AJ99" s="72" t="n">
        <f aca="false">AJ97+AJ98</f>
        <v>-277095.026377132</v>
      </c>
      <c r="AK99" s="72" t="n">
        <f aca="false">AK97+AK98</f>
        <v>-413991.273545717</v>
      </c>
      <c r="AL99" s="72" t="n">
        <f aca="false">AL97+AL98</f>
        <v>-550405.482991715</v>
      </c>
      <c r="AM99" s="72" t="n">
        <f aca="false">AM97+AM98</f>
        <v>-772628.464457088</v>
      </c>
      <c r="AN99" s="72" t="n">
        <f aca="false">AN97+AN98</f>
        <v>-994091.04253652</v>
      </c>
      <c r="AO99" s="72" t="n">
        <f aca="false">AO97+AO98</f>
        <v>-1214857.43730238</v>
      </c>
      <c r="AP99" s="72" t="n">
        <f aca="false">AP97+AP98</f>
        <v>-1434958.97700377</v>
      </c>
      <c r="AQ99" s="72" t="n">
        <f aca="false">AQ97+AQ98</f>
        <v>-1654425.5801186</v>
      </c>
      <c r="AR99" s="72" t="n">
        <f aca="false">AR97+AR98</f>
        <v>-1873285.81879326</v>
      </c>
      <c r="AS99" s="72" t="n">
        <f aca="false">AS97+AS98</f>
        <v>-2091566.97942757</v>
      </c>
      <c r="AT99" s="72" t="n">
        <f aca="false">AT97+AT98</f>
        <v>-2309295.12053333</v>
      </c>
      <c r="AU99" s="72" t="n">
        <f aca="false">AU97+AU98</f>
        <v>-2526495.12798933</v>
      </c>
      <c r="AV99" s="72" t="n">
        <f aca="false">AV97+AV98</f>
        <v>-2743190.76780981</v>
      </c>
      <c r="AW99" s="72" t="n">
        <f aca="false">AW97+AW98</f>
        <v>-2959404.73653837</v>
      </c>
      <c r="AX99" s="72" t="n">
        <f aca="false">AX97+AX98</f>
        <v>-3175158.70937414</v>
      </c>
      <c r="AY99" s="72" t="n">
        <f aca="false">AY97+AY98</f>
        <v>-3525275.1443723</v>
      </c>
      <c r="AZ99" s="72" t="n">
        <f aca="false">AZ97+AZ98</f>
        <v>-3874593.58225515</v>
      </c>
      <c r="BA99" s="72" t="n">
        <f aca="false">BA97+BA98</f>
        <v>-4223185.33116487</v>
      </c>
      <c r="BB99" s="72" t="n">
        <f aca="false">BB97+BB98</f>
        <v>-4571083.09210525</v>
      </c>
      <c r="BC99" s="72" t="n">
        <f aca="false">BC97+BC98</f>
        <v>-4918318.09453491</v>
      </c>
      <c r="BD99" s="72" t="n">
        <f aca="false">BD97+BD98</f>
        <v>-5264920.16258684</v>
      </c>
      <c r="BE99" s="72" t="n">
        <f aca="false">BE97+BE98</f>
        <v>-5610917.77830804</v>
      </c>
      <c r="BF99" s="72" t="n">
        <f aca="false">BF97+BF98</f>
        <v>-5956338.14205337</v>
      </c>
      <c r="BG99" s="72" t="n">
        <f aca="false">BG97+BG98</f>
        <v>-6301207.23016177</v>
      </c>
      <c r="BH99" s="72" t="n">
        <f aca="false">BH97+BH98</f>
        <v>-6645549.8500369</v>
      </c>
      <c r="BI99" s="72" t="n">
        <f aca="false">BI97+BI98</f>
        <v>-6989389.69274924</v>
      </c>
      <c r="BJ99" s="72" t="n">
        <f aca="false">BJ97+BJ98</f>
        <v>-7332749.38327112</v>
      </c>
    </row>
    <row r="100" customFormat="false" ht="15" hidden="false" customHeight="false" outlineLevel="0" collapsed="false">
      <c r="A100" s="6" t="s">
        <v>434</v>
      </c>
      <c r="C100" s="66" t="n">
        <f aca="false">C96-C99</f>
        <v>0</v>
      </c>
      <c r="D100" s="66" t="n">
        <f aca="false">D96-D99</f>
        <v>0</v>
      </c>
      <c r="E100" s="66" t="n">
        <f aca="false">E96-E99</f>
        <v>0</v>
      </c>
      <c r="F100" s="66" t="n">
        <f aca="false">F96-F99</f>
        <v>0</v>
      </c>
      <c r="G100" s="66" t="n">
        <f aca="false">G96-G99</f>
        <v>0</v>
      </c>
      <c r="H100" s="66" t="n">
        <f aca="false">H96-H99</f>
        <v>0</v>
      </c>
      <c r="I100" s="66" t="n">
        <f aca="false">I96-I99</f>
        <v>0</v>
      </c>
      <c r="J100" s="66" t="n">
        <f aca="false">J96-J99</f>
        <v>0</v>
      </c>
      <c r="K100" s="66" t="n">
        <f aca="false">K96-K99</f>
        <v>0</v>
      </c>
      <c r="L100" s="66" t="n">
        <f aca="false">L96-L99</f>
        <v>0</v>
      </c>
      <c r="M100" s="66" t="n">
        <f aca="false">M96-M99</f>
        <v>0</v>
      </c>
      <c r="N100" s="66" t="n">
        <f aca="false">N96-N99</f>
        <v>0</v>
      </c>
      <c r="O100" s="66" t="n">
        <f aca="false">O96-O99</f>
        <v>0</v>
      </c>
      <c r="P100" s="66" t="n">
        <f aca="false">P96-P99</f>
        <v>0</v>
      </c>
      <c r="Q100" s="66" t="n">
        <f aca="false">Q96-Q99</f>
        <v>0</v>
      </c>
      <c r="R100" s="66" t="n">
        <f aca="false">R96-R99</f>
        <v>0</v>
      </c>
      <c r="S100" s="66" t="n">
        <f aca="false">S96-S99</f>
        <v>0</v>
      </c>
      <c r="T100" s="66" t="n">
        <f aca="false">T96-T99</f>
        <v>0</v>
      </c>
      <c r="U100" s="66" t="n">
        <f aca="false">U96-U99</f>
        <v>0</v>
      </c>
      <c r="V100" s="66" t="n">
        <f aca="false">V96-V99</f>
        <v>0</v>
      </c>
      <c r="W100" s="66" t="n">
        <f aca="false">W96-W99</f>
        <v>0</v>
      </c>
      <c r="X100" s="66" t="n">
        <f aca="false">X96-X99</f>
        <v>0</v>
      </c>
      <c r="Y100" s="66" t="n">
        <f aca="false">Y96-Y99</f>
        <v>0</v>
      </c>
      <c r="Z100" s="66" t="n">
        <f aca="false">Z96-Z99</f>
        <v>0</v>
      </c>
      <c r="AA100" s="66" t="n">
        <f aca="false">AA96-AA99</f>
        <v>0</v>
      </c>
      <c r="AB100" s="66" t="n">
        <f aca="false">AB96-AB99</f>
        <v>0</v>
      </c>
      <c r="AC100" s="66" t="n">
        <f aca="false">AC96-AC99</f>
        <v>0</v>
      </c>
      <c r="AD100" s="66" t="n">
        <f aca="false">AD96-AD99</f>
        <v>0</v>
      </c>
      <c r="AE100" s="66" t="n">
        <f aca="false">AE96-AE99</f>
        <v>0</v>
      </c>
      <c r="AF100" s="66" t="n">
        <f aca="false">AF96-AF99</f>
        <v>0</v>
      </c>
      <c r="AG100" s="66" t="n">
        <f aca="false">AG96-AG99</f>
        <v>0</v>
      </c>
      <c r="AH100" s="66" t="n">
        <f aca="false">AH96-AH99</f>
        <v>-1.26419763546437E-010</v>
      </c>
      <c r="AI100" s="66" t="n">
        <f aca="false">AI96-AI99</f>
        <v>0</v>
      </c>
      <c r="AJ100" s="66" t="n">
        <f aca="false">AJ96-AJ99</f>
        <v>0</v>
      </c>
      <c r="AK100" s="66" t="n">
        <f aca="false">AK96-AK99</f>
        <v>0</v>
      </c>
      <c r="AL100" s="66" t="n">
        <f aca="false">AL96-AL99</f>
        <v>0</v>
      </c>
      <c r="AM100" s="66" t="n">
        <f aca="false">AM96-AM99</f>
        <v>0</v>
      </c>
      <c r="AN100" s="66" t="n">
        <f aca="false">AN96-AN99</f>
        <v>0</v>
      </c>
      <c r="AO100" s="66" t="n">
        <f aca="false">AO96-AO99</f>
        <v>0</v>
      </c>
      <c r="AP100" s="66" t="n">
        <f aca="false">AP96-AP99</f>
        <v>0</v>
      </c>
      <c r="AQ100" s="66" t="n">
        <f aca="false">AQ96-AQ99</f>
        <v>0</v>
      </c>
      <c r="AR100" s="66" t="n">
        <f aca="false">AR96-AR99</f>
        <v>0</v>
      </c>
      <c r="AS100" s="66" t="n">
        <f aca="false">AS96-AS99</f>
        <v>0</v>
      </c>
      <c r="AT100" s="66" t="n">
        <f aca="false">AT96-AT99</f>
        <v>0</v>
      </c>
      <c r="AU100" s="66" t="n">
        <f aca="false">AU96-AU99</f>
        <v>0</v>
      </c>
      <c r="AV100" s="66" t="n">
        <f aca="false">AV96-AV99</f>
        <v>0</v>
      </c>
      <c r="AW100" s="66" t="n">
        <f aca="false">AW96-AW99</f>
        <v>0</v>
      </c>
      <c r="AX100" s="66" t="n">
        <f aca="false">AX96-AX99</f>
        <v>0</v>
      </c>
      <c r="AY100" s="66" t="n">
        <f aca="false">AY96-AY99</f>
        <v>0</v>
      </c>
      <c r="AZ100" s="66" t="n">
        <f aca="false">AZ96-AZ99</f>
        <v>0</v>
      </c>
      <c r="BA100" s="66" t="n">
        <f aca="false">BA96-BA99</f>
        <v>0</v>
      </c>
      <c r="BB100" s="66" t="n">
        <f aca="false">BB96-BB99</f>
        <v>0</v>
      </c>
      <c r="BC100" s="66" t="n">
        <f aca="false">BC96-BC99</f>
        <v>0</v>
      </c>
      <c r="BD100" s="66" t="n">
        <f aca="false">BD96-BD99</f>
        <v>0</v>
      </c>
      <c r="BE100" s="66" t="n">
        <f aca="false">BE96-BE99</f>
        <v>0</v>
      </c>
      <c r="BF100" s="66" t="n">
        <f aca="false">BF96-BF99</f>
        <v>0</v>
      </c>
      <c r="BG100" s="66" t="n">
        <f aca="false">BG96-BG99</f>
        <v>0</v>
      </c>
      <c r="BH100" s="66" t="n">
        <f aca="false">BH96-BH99</f>
        <v>0</v>
      </c>
      <c r="BI100" s="66" t="n">
        <f aca="false">BI96-BI99</f>
        <v>0</v>
      </c>
      <c r="BJ100" s="66" t="n">
        <f aca="false">BJ96-BJ99</f>
        <v>0</v>
      </c>
    </row>
    <row r="102" customFormat="false" ht="15.75" hidden="false" customHeight="true" outlineLevel="0" collapsed="false">
      <c r="A102" s="7" t="s">
        <v>436</v>
      </c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</row>
    <row r="103" customFormat="false" ht="15" hidden="false" customHeight="false" outlineLevel="0" collapsed="false">
      <c r="A103" s="6" t="s">
        <v>437</v>
      </c>
      <c r="C103" s="114" t="n">
        <f aca="false">Inputs!$B$26*(1+Inputs!$B$28)^(C$7-1)*MAX(0,MIN(1,C$6*1-Inputs!$B$29+1))/1</f>
        <v>3</v>
      </c>
      <c r="D103" s="114" t="n">
        <f aca="false">Inputs!$B$26*(1+Inputs!$B$28)^(D$7-1)*MAX(0,MIN(1,D$6*1-Inputs!$B$29+1))/1</f>
        <v>3</v>
      </c>
      <c r="E103" s="114" t="n">
        <f aca="false">Inputs!$B$26*(1+Inputs!$B$28)^(E$7-1)*MAX(0,MIN(1,E$6*1-Inputs!$B$29+1))/1</f>
        <v>3</v>
      </c>
      <c r="F103" s="114" t="n">
        <f aca="false">Inputs!$B$26*(1+Inputs!$B$28)^(F$7-1)*MAX(0,MIN(1,F$6*1-Inputs!$B$29+1))/1</f>
        <v>3</v>
      </c>
      <c r="G103" s="114" t="n">
        <f aca="false">Inputs!$B$26*(1+Inputs!$B$28)^(G$7-1)*MAX(0,MIN(1,G$6*1-Inputs!$B$29+1))/1</f>
        <v>3</v>
      </c>
      <c r="H103" s="114" t="n">
        <f aca="false">Inputs!$B$26*(1+Inputs!$B$28)^(H$7-1)*MAX(0,MIN(1,H$6*1-Inputs!$B$29+1))/1</f>
        <v>3</v>
      </c>
      <c r="I103" s="114" t="n">
        <f aca="false">Inputs!$B$26*(1+Inputs!$B$28)^(I$7-1)*MAX(0,MIN(1,I$6*1-Inputs!$B$29+1))/1</f>
        <v>3</v>
      </c>
      <c r="J103" s="114" t="n">
        <f aca="false">Inputs!$B$26*(1+Inputs!$B$28)^(J$7-1)*MAX(0,MIN(1,J$6*1-Inputs!$B$29+1))/1</f>
        <v>3</v>
      </c>
      <c r="K103" s="114" t="n">
        <f aca="false">Inputs!$B$26*(1+Inputs!$B$28)^(K$7-1)*MAX(0,MIN(1,K$6*1-Inputs!$B$29+1))/1</f>
        <v>3</v>
      </c>
      <c r="L103" s="114" t="n">
        <f aca="false">Inputs!$B$26*(1+Inputs!$B$28)^(L$7-1)*MAX(0,MIN(1,L$6*1-Inputs!$B$29+1))/1</f>
        <v>3</v>
      </c>
      <c r="M103" s="114" t="n">
        <f aca="false">Inputs!$B$26*(1+Inputs!$B$28)^(M$7-1)*MAX(0,MIN(1,M$6*1-Inputs!$B$29+1))/1</f>
        <v>3</v>
      </c>
      <c r="N103" s="114" t="n">
        <f aca="false">Inputs!$B$26*(1+Inputs!$B$28)^(N$7-1)*MAX(0,MIN(1,N$6*1-Inputs!$B$29+1))/1</f>
        <v>3</v>
      </c>
      <c r="O103" s="114" t="n">
        <f aca="false">Inputs!$B$26*(1+Inputs!$B$28)^(O$7-1)*MAX(0,MIN(1,O$6*1-Inputs!$B$29+1))/1</f>
        <v>4.5</v>
      </c>
      <c r="P103" s="114" t="n">
        <f aca="false">Inputs!$B$26*(1+Inputs!$B$28)^(P$7-1)*MAX(0,MIN(1,P$6*1-Inputs!$B$29+1))/1</f>
        <v>4.5</v>
      </c>
      <c r="Q103" s="114" t="n">
        <f aca="false">Inputs!$B$26*(1+Inputs!$B$28)^(Q$7-1)*MAX(0,MIN(1,Q$6*1-Inputs!$B$29+1))/1</f>
        <v>4.5</v>
      </c>
      <c r="R103" s="114" t="n">
        <f aca="false">Inputs!$B$26*(1+Inputs!$B$28)^(R$7-1)*MAX(0,MIN(1,R$6*1-Inputs!$B$29+1))/1</f>
        <v>4.5</v>
      </c>
      <c r="S103" s="114" t="n">
        <f aca="false">Inputs!$B$26*(1+Inputs!$B$28)^(S$7-1)*MAX(0,MIN(1,S$6*1-Inputs!$B$29+1))/1</f>
        <v>4.5</v>
      </c>
      <c r="T103" s="114" t="n">
        <f aca="false">Inputs!$B$26*(1+Inputs!$B$28)^(T$7-1)*MAX(0,MIN(1,T$6*1-Inputs!$B$29+1))/1</f>
        <v>4.5</v>
      </c>
      <c r="U103" s="114" t="n">
        <f aca="false">Inputs!$B$26*(1+Inputs!$B$28)^(U$7-1)*MAX(0,MIN(1,U$6*1-Inputs!$B$29+1))/1</f>
        <v>4.5</v>
      </c>
      <c r="V103" s="114" t="n">
        <f aca="false">Inputs!$B$26*(1+Inputs!$B$28)^(V$7-1)*MAX(0,MIN(1,V$6*1-Inputs!$B$29+1))/1</f>
        <v>4.5</v>
      </c>
      <c r="W103" s="114" t="n">
        <f aca="false">Inputs!$B$26*(1+Inputs!$B$28)^(W$7-1)*MAX(0,MIN(1,W$6*1-Inputs!$B$29+1))/1</f>
        <v>4.5</v>
      </c>
      <c r="X103" s="114" t="n">
        <f aca="false">Inputs!$B$26*(1+Inputs!$B$28)^(X$7-1)*MAX(0,MIN(1,X$6*1-Inputs!$B$29+1))/1</f>
        <v>4.5</v>
      </c>
      <c r="Y103" s="114" t="n">
        <f aca="false">Inputs!$B$26*(1+Inputs!$B$28)^(Y$7-1)*MAX(0,MIN(1,Y$6*1-Inputs!$B$29+1))/1</f>
        <v>4.5</v>
      </c>
      <c r="Z103" s="114" t="n">
        <f aca="false">Inputs!$B$26*(1+Inputs!$B$28)^(Z$7-1)*MAX(0,MIN(1,Z$6*1-Inputs!$B$29+1))/1</f>
        <v>4.5</v>
      </c>
      <c r="AA103" s="114" t="n">
        <f aca="false">Inputs!$B$26*(1+Inputs!$B$28)^(AA$7-1)*MAX(0,MIN(1,AA$6*1-Inputs!$B$29+1))/1</f>
        <v>6.75</v>
      </c>
      <c r="AB103" s="114" t="n">
        <f aca="false">Inputs!$B$26*(1+Inputs!$B$28)^(AB$7-1)*MAX(0,MIN(1,AB$6*1-Inputs!$B$29+1))/1</f>
        <v>6.75</v>
      </c>
      <c r="AC103" s="114" t="n">
        <f aca="false">Inputs!$B$26*(1+Inputs!$B$28)^(AC$7-1)*MAX(0,MIN(1,AC$6*1-Inputs!$B$29+1))/1</f>
        <v>6.75</v>
      </c>
      <c r="AD103" s="114" t="n">
        <f aca="false">Inputs!$B$26*(1+Inputs!$B$28)^(AD$7-1)*MAX(0,MIN(1,AD$6*1-Inputs!$B$29+1))/1</f>
        <v>6.75</v>
      </c>
      <c r="AE103" s="114" t="n">
        <f aca="false">Inputs!$B$26*(1+Inputs!$B$28)^(AE$7-1)*MAX(0,MIN(1,AE$6*1-Inputs!$B$29+1))/1</f>
        <v>6.75</v>
      </c>
      <c r="AF103" s="114" t="n">
        <f aca="false">Inputs!$B$26*(1+Inputs!$B$28)^(AF$7-1)*MAX(0,MIN(1,AF$6*1-Inputs!$B$29+1))/1</f>
        <v>6.75</v>
      </c>
      <c r="AG103" s="114" t="n">
        <f aca="false">Inputs!$B$26*(1+Inputs!$B$28)^(AG$7-1)*MAX(0,MIN(1,AG$6*1-Inputs!$B$29+1))/1</f>
        <v>6.75</v>
      </c>
      <c r="AH103" s="114" t="n">
        <f aca="false">Inputs!$B$26*(1+Inputs!$B$28)^(AH$7-1)*MAX(0,MIN(1,AH$6*1-Inputs!$B$29+1))/1</f>
        <v>6.75</v>
      </c>
      <c r="AI103" s="114" t="n">
        <f aca="false">Inputs!$B$26*(1+Inputs!$B$28)^(AI$7-1)*MAX(0,MIN(1,AI$6*1-Inputs!$B$29+1))/1</f>
        <v>6.75</v>
      </c>
      <c r="AJ103" s="114" t="n">
        <f aca="false">Inputs!$B$26*(1+Inputs!$B$28)^(AJ$7-1)*MAX(0,MIN(1,AJ$6*1-Inputs!$B$29+1))/1</f>
        <v>6.75</v>
      </c>
      <c r="AK103" s="114" t="n">
        <f aca="false">Inputs!$B$26*(1+Inputs!$B$28)^(AK$7-1)*MAX(0,MIN(1,AK$6*1-Inputs!$B$29+1))/1</f>
        <v>6.75</v>
      </c>
      <c r="AL103" s="114" t="n">
        <f aca="false">Inputs!$B$26*(1+Inputs!$B$28)^(AL$7-1)*MAX(0,MIN(1,AL$6*1-Inputs!$B$29+1))/1</f>
        <v>6.75</v>
      </c>
      <c r="AM103" s="114" t="n">
        <f aca="false">Inputs!$B$26*(1+Inputs!$B$28)^(AM$7-1)*MAX(0,MIN(1,AM$6*1-Inputs!$B$29+1))/1</f>
        <v>10.125</v>
      </c>
      <c r="AN103" s="114" t="n">
        <f aca="false">Inputs!$B$26*(1+Inputs!$B$28)^(AN$7-1)*MAX(0,MIN(1,AN$6*1-Inputs!$B$29+1))/1</f>
        <v>10.125</v>
      </c>
      <c r="AO103" s="114" t="n">
        <f aca="false">Inputs!$B$26*(1+Inputs!$B$28)^(AO$7-1)*MAX(0,MIN(1,AO$6*1-Inputs!$B$29+1))/1</f>
        <v>10.125</v>
      </c>
      <c r="AP103" s="114" t="n">
        <f aca="false">Inputs!$B$26*(1+Inputs!$B$28)^(AP$7-1)*MAX(0,MIN(1,AP$6*1-Inputs!$B$29+1))/1</f>
        <v>10.125</v>
      </c>
      <c r="AQ103" s="114" t="n">
        <f aca="false">Inputs!$B$26*(1+Inputs!$B$28)^(AQ$7-1)*MAX(0,MIN(1,AQ$6*1-Inputs!$B$29+1))/1</f>
        <v>10.125</v>
      </c>
      <c r="AR103" s="114" t="n">
        <f aca="false">Inputs!$B$26*(1+Inputs!$B$28)^(AR$7-1)*MAX(0,MIN(1,AR$6*1-Inputs!$B$29+1))/1</f>
        <v>10.125</v>
      </c>
      <c r="AS103" s="114" t="n">
        <f aca="false">Inputs!$B$26*(1+Inputs!$B$28)^(AS$7-1)*MAX(0,MIN(1,AS$6*1-Inputs!$B$29+1))/1</f>
        <v>10.125</v>
      </c>
      <c r="AT103" s="114" t="n">
        <f aca="false">Inputs!$B$26*(1+Inputs!$B$28)^(AT$7-1)*MAX(0,MIN(1,AT$6*1-Inputs!$B$29+1))/1</f>
        <v>10.125</v>
      </c>
      <c r="AU103" s="114" t="n">
        <f aca="false">Inputs!$B$26*(1+Inputs!$B$28)^(AU$7-1)*MAX(0,MIN(1,AU$6*1-Inputs!$B$29+1))/1</f>
        <v>10.125</v>
      </c>
      <c r="AV103" s="114" t="n">
        <f aca="false">Inputs!$B$26*(1+Inputs!$B$28)^(AV$7-1)*MAX(0,MIN(1,AV$6*1-Inputs!$B$29+1))/1</f>
        <v>10.125</v>
      </c>
      <c r="AW103" s="114" t="n">
        <f aca="false">Inputs!$B$26*(1+Inputs!$B$28)^(AW$7-1)*MAX(0,MIN(1,AW$6*1-Inputs!$B$29+1))/1</f>
        <v>10.125</v>
      </c>
      <c r="AX103" s="114" t="n">
        <f aca="false">Inputs!$B$26*(1+Inputs!$B$28)^(AX$7-1)*MAX(0,MIN(1,AX$6*1-Inputs!$B$29+1))/1</f>
        <v>10.125</v>
      </c>
      <c r="AY103" s="114" t="n">
        <f aca="false">Inputs!$B$26*(1+Inputs!$B$28)^(AY$7-1)*MAX(0,MIN(1,AY$6*1-Inputs!$B$29+1))/1</f>
        <v>15.1875</v>
      </c>
      <c r="AZ103" s="114" t="n">
        <f aca="false">Inputs!$B$26*(1+Inputs!$B$28)^(AZ$7-1)*MAX(0,MIN(1,AZ$6*1-Inputs!$B$29+1))/1</f>
        <v>15.1875</v>
      </c>
      <c r="BA103" s="114" t="n">
        <f aca="false">Inputs!$B$26*(1+Inputs!$B$28)^(BA$7-1)*MAX(0,MIN(1,BA$6*1-Inputs!$B$29+1))/1</f>
        <v>15.1875</v>
      </c>
      <c r="BB103" s="114" t="n">
        <f aca="false">Inputs!$B$26*(1+Inputs!$B$28)^(BB$7-1)*MAX(0,MIN(1,BB$6*1-Inputs!$B$29+1))/1</f>
        <v>15.1875</v>
      </c>
      <c r="BC103" s="114" t="n">
        <f aca="false">Inputs!$B$26*(1+Inputs!$B$28)^(BC$7-1)*MAX(0,MIN(1,BC$6*1-Inputs!$B$29+1))/1</f>
        <v>15.1875</v>
      </c>
      <c r="BD103" s="114" t="n">
        <f aca="false">Inputs!$B$26*(1+Inputs!$B$28)^(BD$7-1)*MAX(0,MIN(1,BD$6*1-Inputs!$B$29+1))/1</f>
        <v>15.1875</v>
      </c>
      <c r="BE103" s="114" t="n">
        <f aca="false">Inputs!$B$26*(1+Inputs!$B$28)^(BE$7-1)*MAX(0,MIN(1,BE$6*1-Inputs!$B$29+1))/1</f>
        <v>15.1875</v>
      </c>
      <c r="BF103" s="114" t="n">
        <f aca="false">Inputs!$B$26*(1+Inputs!$B$28)^(BF$7-1)*MAX(0,MIN(1,BF$6*1-Inputs!$B$29+1))/1</f>
        <v>15.1875</v>
      </c>
      <c r="BG103" s="114" t="n">
        <f aca="false">Inputs!$B$26*(1+Inputs!$B$28)^(BG$7-1)*MAX(0,MIN(1,BG$6*1-Inputs!$B$29+1))/1</f>
        <v>15.1875</v>
      </c>
      <c r="BH103" s="114" t="n">
        <f aca="false">Inputs!$B$26*(1+Inputs!$B$28)^(BH$7-1)*MAX(0,MIN(1,BH$6*1-Inputs!$B$29+1))/1</f>
        <v>15.1875</v>
      </c>
      <c r="BI103" s="114" t="n">
        <f aca="false">Inputs!$B$26*(1+Inputs!$B$28)^(BI$7-1)*MAX(0,MIN(1,BI$6*1-Inputs!$B$29+1))/1</f>
        <v>15.1875</v>
      </c>
      <c r="BJ103" s="114" t="n">
        <f aca="false">Inputs!$B$26*(1+Inputs!$B$28)^(BJ$7-1)*MAX(0,MIN(1,BJ$6*1-Inputs!$B$29+1))/1</f>
        <v>15.1875</v>
      </c>
    </row>
    <row r="104" customFormat="false" ht="15" hidden="false" customHeight="false" outlineLevel="0" collapsed="false">
      <c r="A104" s="6" t="s">
        <v>438</v>
      </c>
      <c r="C104" s="114" t="n">
        <f aca="false">Inputs!$B$30*(1+Inputs!$B$32)^(C$7-1)*MAX(0,MIN(1,C$6*1-Inputs!$B$33+1))/1</f>
        <v>1.5</v>
      </c>
      <c r="D104" s="114" t="n">
        <f aca="false">Inputs!$B$30*(1+Inputs!$B$32)^(D$7-1)*MAX(0,MIN(1,D$6*1-Inputs!$B$33+1))/1</f>
        <v>1.5</v>
      </c>
      <c r="E104" s="114" t="n">
        <f aca="false">Inputs!$B$30*(1+Inputs!$B$32)^(E$7-1)*MAX(0,MIN(1,E$6*1-Inputs!$B$33+1))/1</f>
        <v>1.5</v>
      </c>
      <c r="F104" s="114" t="n">
        <f aca="false">Inputs!$B$30*(1+Inputs!$B$32)^(F$7-1)*MAX(0,MIN(1,F$6*1-Inputs!$B$33+1))/1</f>
        <v>1.5</v>
      </c>
      <c r="G104" s="114" t="n">
        <f aca="false">Inputs!$B$30*(1+Inputs!$B$32)^(G$7-1)*MAX(0,MIN(1,G$6*1-Inputs!$B$33+1))/1</f>
        <v>1.5</v>
      </c>
      <c r="H104" s="114" t="n">
        <f aca="false">Inputs!$B$30*(1+Inputs!$B$32)^(H$7-1)*MAX(0,MIN(1,H$6*1-Inputs!$B$33+1))/1</f>
        <v>1.5</v>
      </c>
      <c r="I104" s="114" t="n">
        <f aca="false">Inputs!$B$30*(1+Inputs!$B$32)^(I$7-1)*MAX(0,MIN(1,I$6*1-Inputs!$B$33+1))/1</f>
        <v>1.5</v>
      </c>
      <c r="J104" s="114" t="n">
        <f aca="false">Inputs!$B$30*(1+Inputs!$B$32)^(J$7-1)*MAX(0,MIN(1,J$6*1-Inputs!$B$33+1))/1</f>
        <v>1.5</v>
      </c>
      <c r="K104" s="114" t="n">
        <f aca="false">Inputs!$B$30*(1+Inputs!$B$32)^(K$7-1)*MAX(0,MIN(1,K$6*1-Inputs!$B$33+1))/1</f>
        <v>1.5</v>
      </c>
      <c r="L104" s="114" t="n">
        <f aca="false">Inputs!$B$30*(1+Inputs!$B$32)^(L$7-1)*MAX(0,MIN(1,L$6*1-Inputs!$B$33+1))/1</f>
        <v>1.5</v>
      </c>
      <c r="M104" s="114" t="n">
        <f aca="false">Inputs!$B$30*(1+Inputs!$B$32)^(M$7-1)*MAX(0,MIN(1,M$6*1-Inputs!$B$33+1))/1</f>
        <v>1.5</v>
      </c>
      <c r="N104" s="114" t="n">
        <f aca="false">Inputs!$B$30*(1+Inputs!$B$32)^(N$7-1)*MAX(0,MIN(1,N$6*1-Inputs!$B$33+1))/1</f>
        <v>1.5</v>
      </c>
      <c r="O104" s="114" t="n">
        <f aca="false">Inputs!$B$30*(1+Inputs!$B$32)^(O$7-1)*MAX(0,MIN(1,O$6*1-Inputs!$B$33+1))/1</f>
        <v>2.25</v>
      </c>
      <c r="P104" s="114" t="n">
        <f aca="false">Inputs!$B$30*(1+Inputs!$B$32)^(P$7-1)*MAX(0,MIN(1,P$6*1-Inputs!$B$33+1))/1</f>
        <v>2.25</v>
      </c>
      <c r="Q104" s="114" t="n">
        <f aca="false">Inputs!$B$30*(1+Inputs!$B$32)^(Q$7-1)*MAX(0,MIN(1,Q$6*1-Inputs!$B$33+1))/1</f>
        <v>2.25</v>
      </c>
      <c r="R104" s="114" t="n">
        <f aca="false">Inputs!$B$30*(1+Inputs!$B$32)^(R$7-1)*MAX(0,MIN(1,R$6*1-Inputs!$B$33+1))/1</f>
        <v>2.25</v>
      </c>
      <c r="S104" s="114" t="n">
        <f aca="false">Inputs!$B$30*(1+Inputs!$B$32)^(S$7-1)*MAX(0,MIN(1,S$6*1-Inputs!$B$33+1))/1</f>
        <v>2.25</v>
      </c>
      <c r="T104" s="114" t="n">
        <f aca="false">Inputs!$B$30*(1+Inputs!$B$32)^(T$7-1)*MAX(0,MIN(1,T$6*1-Inputs!$B$33+1))/1</f>
        <v>2.25</v>
      </c>
      <c r="U104" s="114" t="n">
        <f aca="false">Inputs!$B$30*(1+Inputs!$B$32)^(U$7-1)*MAX(0,MIN(1,U$6*1-Inputs!$B$33+1))/1</f>
        <v>2.25</v>
      </c>
      <c r="V104" s="114" t="n">
        <f aca="false">Inputs!$B$30*(1+Inputs!$B$32)^(V$7-1)*MAX(0,MIN(1,V$6*1-Inputs!$B$33+1))/1</f>
        <v>2.25</v>
      </c>
      <c r="W104" s="114" t="n">
        <f aca="false">Inputs!$B$30*(1+Inputs!$B$32)^(W$7-1)*MAX(0,MIN(1,W$6*1-Inputs!$B$33+1))/1</f>
        <v>2.25</v>
      </c>
      <c r="X104" s="114" t="n">
        <f aca="false">Inputs!$B$30*(1+Inputs!$B$32)^(X$7-1)*MAX(0,MIN(1,X$6*1-Inputs!$B$33+1))/1</f>
        <v>2.25</v>
      </c>
      <c r="Y104" s="114" t="n">
        <f aca="false">Inputs!$B$30*(1+Inputs!$B$32)^(Y$7-1)*MAX(0,MIN(1,Y$6*1-Inputs!$B$33+1))/1</f>
        <v>2.25</v>
      </c>
      <c r="Z104" s="114" t="n">
        <f aca="false">Inputs!$B$30*(1+Inputs!$B$32)^(Z$7-1)*MAX(0,MIN(1,Z$6*1-Inputs!$B$33+1))/1</f>
        <v>2.25</v>
      </c>
      <c r="AA104" s="114" t="n">
        <f aca="false">Inputs!$B$30*(1+Inputs!$B$32)^(AA$7-1)*MAX(0,MIN(1,AA$6*1-Inputs!$B$33+1))/1</f>
        <v>3.375</v>
      </c>
      <c r="AB104" s="114" t="n">
        <f aca="false">Inputs!$B$30*(1+Inputs!$B$32)^(AB$7-1)*MAX(0,MIN(1,AB$6*1-Inputs!$B$33+1))/1</f>
        <v>3.375</v>
      </c>
      <c r="AC104" s="114" t="n">
        <f aca="false">Inputs!$B$30*(1+Inputs!$B$32)^(AC$7-1)*MAX(0,MIN(1,AC$6*1-Inputs!$B$33+1))/1</f>
        <v>3.375</v>
      </c>
      <c r="AD104" s="114" t="n">
        <f aca="false">Inputs!$B$30*(1+Inputs!$B$32)^(AD$7-1)*MAX(0,MIN(1,AD$6*1-Inputs!$B$33+1))/1</f>
        <v>3.375</v>
      </c>
      <c r="AE104" s="114" t="n">
        <f aca="false">Inputs!$B$30*(1+Inputs!$B$32)^(AE$7-1)*MAX(0,MIN(1,AE$6*1-Inputs!$B$33+1))/1</f>
        <v>3.375</v>
      </c>
      <c r="AF104" s="114" t="n">
        <f aca="false">Inputs!$B$30*(1+Inputs!$B$32)^(AF$7-1)*MAX(0,MIN(1,AF$6*1-Inputs!$B$33+1))/1</f>
        <v>3.375</v>
      </c>
      <c r="AG104" s="114" t="n">
        <f aca="false">Inputs!$B$30*(1+Inputs!$B$32)^(AG$7-1)*MAX(0,MIN(1,AG$6*1-Inputs!$B$33+1))/1</f>
        <v>3.375</v>
      </c>
      <c r="AH104" s="114" t="n">
        <f aca="false">Inputs!$B$30*(1+Inputs!$B$32)^(AH$7-1)*MAX(0,MIN(1,AH$6*1-Inputs!$B$33+1))/1</f>
        <v>3.375</v>
      </c>
      <c r="AI104" s="114" t="n">
        <f aca="false">Inputs!$B$30*(1+Inputs!$B$32)^(AI$7-1)*MAX(0,MIN(1,AI$6*1-Inputs!$B$33+1))/1</f>
        <v>3.375</v>
      </c>
      <c r="AJ104" s="114" t="n">
        <f aca="false">Inputs!$B$30*(1+Inputs!$B$32)^(AJ$7-1)*MAX(0,MIN(1,AJ$6*1-Inputs!$B$33+1))/1</f>
        <v>3.375</v>
      </c>
      <c r="AK104" s="114" t="n">
        <f aca="false">Inputs!$B$30*(1+Inputs!$B$32)^(AK$7-1)*MAX(0,MIN(1,AK$6*1-Inputs!$B$33+1))/1</f>
        <v>3.375</v>
      </c>
      <c r="AL104" s="114" t="n">
        <f aca="false">Inputs!$B$30*(1+Inputs!$B$32)^(AL$7-1)*MAX(0,MIN(1,AL$6*1-Inputs!$B$33+1))/1</f>
        <v>3.375</v>
      </c>
      <c r="AM104" s="114" t="n">
        <f aca="false">Inputs!$B$30*(1+Inputs!$B$32)^(AM$7-1)*MAX(0,MIN(1,AM$6*1-Inputs!$B$33+1))/1</f>
        <v>5.0625</v>
      </c>
      <c r="AN104" s="114" t="n">
        <f aca="false">Inputs!$B$30*(1+Inputs!$B$32)^(AN$7-1)*MAX(0,MIN(1,AN$6*1-Inputs!$B$33+1))/1</f>
        <v>5.0625</v>
      </c>
      <c r="AO104" s="114" t="n">
        <f aca="false">Inputs!$B$30*(1+Inputs!$B$32)^(AO$7-1)*MAX(0,MIN(1,AO$6*1-Inputs!$B$33+1))/1</f>
        <v>5.0625</v>
      </c>
      <c r="AP104" s="114" t="n">
        <f aca="false">Inputs!$B$30*(1+Inputs!$B$32)^(AP$7-1)*MAX(0,MIN(1,AP$6*1-Inputs!$B$33+1))/1</f>
        <v>5.0625</v>
      </c>
      <c r="AQ104" s="114" t="n">
        <f aca="false">Inputs!$B$30*(1+Inputs!$B$32)^(AQ$7-1)*MAX(0,MIN(1,AQ$6*1-Inputs!$B$33+1))/1</f>
        <v>5.0625</v>
      </c>
      <c r="AR104" s="114" t="n">
        <f aca="false">Inputs!$B$30*(1+Inputs!$B$32)^(AR$7-1)*MAX(0,MIN(1,AR$6*1-Inputs!$B$33+1))/1</f>
        <v>5.0625</v>
      </c>
      <c r="AS104" s="114" t="n">
        <f aca="false">Inputs!$B$30*(1+Inputs!$B$32)^(AS$7-1)*MAX(0,MIN(1,AS$6*1-Inputs!$B$33+1))/1</f>
        <v>5.0625</v>
      </c>
      <c r="AT104" s="114" t="n">
        <f aca="false">Inputs!$B$30*(1+Inputs!$B$32)^(AT$7-1)*MAX(0,MIN(1,AT$6*1-Inputs!$B$33+1))/1</f>
        <v>5.0625</v>
      </c>
      <c r="AU104" s="114" t="n">
        <f aca="false">Inputs!$B$30*(1+Inputs!$B$32)^(AU$7-1)*MAX(0,MIN(1,AU$6*1-Inputs!$B$33+1))/1</f>
        <v>5.0625</v>
      </c>
      <c r="AV104" s="114" t="n">
        <f aca="false">Inputs!$B$30*(1+Inputs!$B$32)^(AV$7-1)*MAX(0,MIN(1,AV$6*1-Inputs!$B$33+1))/1</f>
        <v>5.0625</v>
      </c>
      <c r="AW104" s="114" t="n">
        <f aca="false">Inputs!$B$30*(1+Inputs!$B$32)^(AW$7-1)*MAX(0,MIN(1,AW$6*1-Inputs!$B$33+1))/1</f>
        <v>5.0625</v>
      </c>
      <c r="AX104" s="114" t="n">
        <f aca="false">Inputs!$B$30*(1+Inputs!$B$32)^(AX$7-1)*MAX(0,MIN(1,AX$6*1-Inputs!$B$33+1))/1</f>
        <v>5.0625</v>
      </c>
      <c r="AY104" s="114" t="n">
        <f aca="false">Inputs!$B$30*(1+Inputs!$B$32)^(AY$7-1)*MAX(0,MIN(1,AY$6*1-Inputs!$B$33+1))/1</f>
        <v>7.59375</v>
      </c>
      <c r="AZ104" s="114" t="n">
        <f aca="false">Inputs!$B$30*(1+Inputs!$B$32)^(AZ$7-1)*MAX(0,MIN(1,AZ$6*1-Inputs!$B$33+1))/1</f>
        <v>7.59375</v>
      </c>
      <c r="BA104" s="114" t="n">
        <f aca="false">Inputs!$B$30*(1+Inputs!$B$32)^(BA$7-1)*MAX(0,MIN(1,BA$6*1-Inputs!$B$33+1))/1</f>
        <v>7.59375</v>
      </c>
      <c r="BB104" s="114" t="n">
        <f aca="false">Inputs!$B$30*(1+Inputs!$B$32)^(BB$7-1)*MAX(0,MIN(1,BB$6*1-Inputs!$B$33+1))/1</f>
        <v>7.59375</v>
      </c>
      <c r="BC104" s="114" t="n">
        <f aca="false">Inputs!$B$30*(1+Inputs!$B$32)^(BC$7-1)*MAX(0,MIN(1,BC$6*1-Inputs!$B$33+1))/1</f>
        <v>7.59375</v>
      </c>
      <c r="BD104" s="114" t="n">
        <f aca="false">Inputs!$B$30*(1+Inputs!$B$32)^(BD$7-1)*MAX(0,MIN(1,BD$6*1-Inputs!$B$33+1))/1</f>
        <v>7.59375</v>
      </c>
      <c r="BE104" s="114" t="n">
        <f aca="false">Inputs!$B$30*(1+Inputs!$B$32)^(BE$7-1)*MAX(0,MIN(1,BE$6*1-Inputs!$B$33+1))/1</f>
        <v>7.59375</v>
      </c>
      <c r="BF104" s="114" t="n">
        <f aca="false">Inputs!$B$30*(1+Inputs!$B$32)^(BF$7-1)*MAX(0,MIN(1,BF$6*1-Inputs!$B$33+1))/1</f>
        <v>7.59375</v>
      </c>
      <c r="BG104" s="114" t="n">
        <f aca="false">Inputs!$B$30*(1+Inputs!$B$32)^(BG$7-1)*MAX(0,MIN(1,BG$6*1-Inputs!$B$33+1))/1</f>
        <v>7.59375</v>
      </c>
      <c r="BH104" s="114" t="n">
        <f aca="false">Inputs!$B$30*(1+Inputs!$B$32)^(BH$7-1)*MAX(0,MIN(1,BH$6*1-Inputs!$B$33+1))/1</f>
        <v>7.59375</v>
      </c>
      <c r="BI104" s="114" t="n">
        <f aca="false">Inputs!$B$30*(1+Inputs!$B$32)^(BI$7-1)*MAX(0,MIN(1,BI$6*1-Inputs!$B$33+1))/1</f>
        <v>7.59375</v>
      </c>
      <c r="BJ104" s="114" t="n">
        <f aca="false">Inputs!$B$30*(1+Inputs!$B$32)^(BJ$7-1)*MAX(0,MIN(1,BJ$6*1-Inputs!$B$33+1))/1</f>
        <v>7.59375</v>
      </c>
    </row>
    <row r="105" customFormat="false" ht="15" hidden="false" customHeight="false" outlineLevel="0" collapsed="false">
      <c r="A105" s="6" t="s">
        <v>439</v>
      </c>
      <c r="C105" s="114" t="n">
        <f aca="false">Inputs!$B$34*(1+Inputs!$B$36)^(C$7-1)*MAX(0,MIN(1,C$6*1-Inputs!$B$37+1))/1</f>
        <v>1</v>
      </c>
      <c r="D105" s="114" t="n">
        <f aca="false">Inputs!$B$34*(1+Inputs!$B$36)^(D$7-1)*MAX(0,MIN(1,D$6*1-Inputs!$B$37+1))/1</f>
        <v>1</v>
      </c>
      <c r="E105" s="114" t="n">
        <f aca="false">Inputs!$B$34*(1+Inputs!$B$36)^(E$7-1)*MAX(0,MIN(1,E$6*1-Inputs!$B$37+1))/1</f>
        <v>1</v>
      </c>
      <c r="F105" s="114" t="n">
        <f aca="false">Inputs!$B$34*(1+Inputs!$B$36)^(F$7-1)*MAX(0,MIN(1,F$6*1-Inputs!$B$37+1))/1</f>
        <v>1</v>
      </c>
      <c r="G105" s="114" t="n">
        <f aca="false">Inputs!$B$34*(1+Inputs!$B$36)^(G$7-1)*MAX(0,MIN(1,G$6*1-Inputs!$B$37+1))/1</f>
        <v>1</v>
      </c>
      <c r="H105" s="114" t="n">
        <f aca="false">Inputs!$B$34*(1+Inputs!$B$36)^(H$7-1)*MAX(0,MIN(1,H$6*1-Inputs!$B$37+1))/1</f>
        <v>1</v>
      </c>
      <c r="I105" s="114" t="n">
        <f aca="false">Inputs!$B$34*(1+Inputs!$B$36)^(I$7-1)*MAX(0,MIN(1,I$6*1-Inputs!$B$37+1))/1</f>
        <v>1</v>
      </c>
      <c r="J105" s="114" t="n">
        <f aca="false">Inputs!$B$34*(1+Inputs!$B$36)^(J$7-1)*MAX(0,MIN(1,J$6*1-Inputs!$B$37+1))/1</f>
        <v>1</v>
      </c>
      <c r="K105" s="114" t="n">
        <f aca="false">Inputs!$B$34*(1+Inputs!$B$36)^(K$7-1)*MAX(0,MIN(1,K$6*1-Inputs!$B$37+1))/1</f>
        <v>1</v>
      </c>
      <c r="L105" s="114" t="n">
        <f aca="false">Inputs!$B$34*(1+Inputs!$B$36)^(L$7-1)*MAX(0,MIN(1,L$6*1-Inputs!$B$37+1))/1</f>
        <v>1</v>
      </c>
      <c r="M105" s="114" t="n">
        <f aca="false">Inputs!$B$34*(1+Inputs!$B$36)^(M$7-1)*MAX(0,MIN(1,M$6*1-Inputs!$B$37+1))/1</f>
        <v>1</v>
      </c>
      <c r="N105" s="114" t="n">
        <f aca="false">Inputs!$B$34*(1+Inputs!$B$36)^(N$7-1)*MAX(0,MIN(1,N$6*1-Inputs!$B$37+1))/1</f>
        <v>1</v>
      </c>
      <c r="O105" s="114" t="n">
        <f aca="false">Inputs!$B$34*(1+Inputs!$B$36)^(O$7-1)*MAX(0,MIN(1,O$6*1-Inputs!$B$37+1))/1</f>
        <v>1.5</v>
      </c>
      <c r="P105" s="114" t="n">
        <f aca="false">Inputs!$B$34*(1+Inputs!$B$36)^(P$7-1)*MAX(0,MIN(1,P$6*1-Inputs!$B$37+1))/1</f>
        <v>1.5</v>
      </c>
      <c r="Q105" s="114" t="n">
        <f aca="false">Inputs!$B$34*(1+Inputs!$B$36)^(Q$7-1)*MAX(0,MIN(1,Q$6*1-Inputs!$B$37+1))/1</f>
        <v>1.5</v>
      </c>
      <c r="R105" s="114" t="n">
        <f aca="false">Inputs!$B$34*(1+Inputs!$B$36)^(R$7-1)*MAX(0,MIN(1,R$6*1-Inputs!$B$37+1))/1</f>
        <v>1.5</v>
      </c>
      <c r="S105" s="114" t="n">
        <f aca="false">Inputs!$B$34*(1+Inputs!$B$36)^(S$7-1)*MAX(0,MIN(1,S$6*1-Inputs!$B$37+1))/1</f>
        <v>1.5</v>
      </c>
      <c r="T105" s="114" t="n">
        <f aca="false">Inputs!$B$34*(1+Inputs!$B$36)^(T$7-1)*MAX(0,MIN(1,T$6*1-Inputs!$B$37+1))/1</f>
        <v>1.5</v>
      </c>
      <c r="U105" s="114" t="n">
        <f aca="false">Inputs!$B$34*(1+Inputs!$B$36)^(U$7-1)*MAX(0,MIN(1,U$6*1-Inputs!$B$37+1))/1</f>
        <v>1.5</v>
      </c>
      <c r="V105" s="114" t="n">
        <f aca="false">Inputs!$B$34*(1+Inputs!$B$36)^(V$7-1)*MAX(0,MIN(1,V$6*1-Inputs!$B$37+1))/1</f>
        <v>1.5</v>
      </c>
      <c r="W105" s="114" t="n">
        <f aca="false">Inputs!$B$34*(1+Inputs!$B$36)^(W$7-1)*MAX(0,MIN(1,W$6*1-Inputs!$B$37+1))/1</f>
        <v>1.5</v>
      </c>
      <c r="X105" s="114" t="n">
        <f aca="false">Inputs!$B$34*(1+Inputs!$B$36)^(X$7-1)*MAX(0,MIN(1,X$6*1-Inputs!$B$37+1))/1</f>
        <v>1.5</v>
      </c>
      <c r="Y105" s="114" t="n">
        <f aca="false">Inputs!$B$34*(1+Inputs!$B$36)^(Y$7-1)*MAX(0,MIN(1,Y$6*1-Inputs!$B$37+1))/1</f>
        <v>1.5</v>
      </c>
      <c r="Z105" s="114" t="n">
        <f aca="false">Inputs!$B$34*(1+Inputs!$B$36)^(Z$7-1)*MAX(0,MIN(1,Z$6*1-Inputs!$B$37+1))/1</f>
        <v>1.5</v>
      </c>
      <c r="AA105" s="114" t="n">
        <f aca="false">Inputs!$B$34*(1+Inputs!$B$36)^(AA$7-1)*MAX(0,MIN(1,AA$6*1-Inputs!$B$37+1))/1</f>
        <v>2.25</v>
      </c>
      <c r="AB105" s="114" t="n">
        <f aca="false">Inputs!$B$34*(1+Inputs!$B$36)^(AB$7-1)*MAX(0,MIN(1,AB$6*1-Inputs!$B$37+1))/1</f>
        <v>2.25</v>
      </c>
      <c r="AC105" s="114" t="n">
        <f aca="false">Inputs!$B$34*(1+Inputs!$B$36)^(AC$7-1)*MAX(0,MIN(1,AC$6*1-Inputs!$B$37+1))/1</f>
        <v>2.25</v>
      </c>
      <c r="AD105" s="114" t="n">
        <f aca="false">Inputs!$B$34*(1+Inputs!$B$36)^(AD$7-1)*MAX(0,MIN(1,AD$6*1-Inputs!$B$37+1))/1</f>
        <v>2.25</v>
      </c>
      <c r="AE105" s="114" t="n">
        <f aca="false">Inputs!$B$34*(1+Inputs!$B$36)^(AE$7-1)*MAX(0,MIN(1,AE$6*1-Inputs!$B$37+1))/1</f>
        <v>2.25</v>
      </c>
      <c r="AF105" s="114" t="n">
        <f aca="false">Inputs!$B$34*(1+Inputs!$B$36)^(AF$7-1)*MAX(0,MIN(1,AF$6*1-Inputs!$B$37+1))/1</f>
        <v>2.25</v>
      </c>
      <c r="AG105" s="114" t="n">
        <f aca="false">Inputs!$B$34*(1+Inputs!$B$36)^(AG$7-1)*MAX(0,MIN(1,AG$6*1-Inputs!$B$37+1))/1</f>
        <v>2.25</v>
      </c>
      <c r="AH105" s="114" t="n">
        <f aca="false">Inputs!$B$34*(1+Inputs!$B$36)^(AH$7-1)*MAX(0,MIN(1,AH$6*1-Inputs!$B$37+1))/1</f>
        <v>2.25</v>
      </c>
      <c r="AI105" s="114" t="n">
        <f aca="false">Inputs!$B$34*(1+Inputs!$B$36)^(AI$7-1)*MAX(0,MIN(1,AI$6*1-Inputs!$B$37+1))/1</f>
        <v>2.25</v>
      </c>
      <c r="AJ105" s="114" t="n">
        <f aca="false">Inputs!$B$34*(1+Inputs!$B$36)^(AJ$7-1)*MAX(0,MIN(1,AJ$6*1-Inputs!$B$37+1))/1</f>
        <v>2.25</v>
      </c>
      <c r="AK105" s="114" t="n">
        <f aca="false">Inputs!$B$34*(1+Inputs!$B$36)^(AK$7-1)*MAX(0,MIN(1,AK$6*1-Inputs!$B$37+1))/1</f>
        <v>2.25</v>
      </c>
      <c r="AL105" s="114" t="n">
        <f aca="false">Inputs!$B$34*(1+Inputs!$B$36)^(AL$7-1)*MAX(0,MIN(1,AL$6*1-Inputs!$B$37+1))/1</f>
        <v>2.25</v>
      </c>
      <c r="AM105" s="114" t="n">
        <f aca="false">Inputs!$B$34*(1+Inputs!$B$36)^(AM$7-1)*MAX(0,MIN(1,AM$6*1-Inputs!$B$37+1))/1</f>
        <v>3.375</v>
      </c>
      <c r="AN105" s="114" t="n">
        <f aca="false">Inputs!$B$34*(1+Inputs!$B$36)^(AN$7-1)*MAX(0,MIN(1,AN$6*1-Inputs!$B$37+1))/1</f>
        <v>3.375</v>
      </c>
      <c r="AO105" s="114" t="n">
        <f aca="false">Inputs!$B$34*(1+Inputs!$B$36)^(AO$7-1)*MAX(0,MIN(1,AO$6*1-Inputs!$B$37+1))/1</f>
        <v>3.375</v>
      </c>
      <c r="AP105" s="114" t="n">
        <f aca="false">Inputs!$B$34*(1+Inputs!$B$36)^(AP$7-1)*MAX(0,MIN(1,AP$6*1-Inputs!$B$37+1))/1</f>
        <v>3.375</v>
      </c>
      <c r="AQ105" s="114" t="n">
        <f aca="false">Inputs!$B$34*(1+Inputs!$B$36)^(AQ$7-1)*MAX(0,MIN(1,AQ$6*1-Inputs!$B$37+1))/1</f>
        <v>3.375</v>
      </c>
      <c r="AR105" s="114" t="n">
        <f aca="false">Inputs!$B$34*(1+Inputs!$B$36)^(AR$7-1)*MAX(0,MIN(1,AR$6*1-Inputs!$B$37+1))/1</f>
        <v>3.375</v>
      </c>
      <c r="AS105" s="114" t="n">
        <f aca="false">Inputs!$B$34*(1+Inputs!$B$36)^(AS$7-1)*MAX(0,MIN(1,AS$6*1-Inputs!$B$37+1))/1</f>
        <v>3.375</v>
      </c>
      <c r="AT105" s="114" t="n">
        <f aca="false">Inputs!$B$34*(1+Inputs!$B$36)^(AT$7-1)*MAX(0,MIN(1,AT$6*1-Inputs!$B$37+1))/1</f>
        <v>3.375</v>
      </c>
      <c r="AU105" s="114" t="n">
        <f aca="false">Inputs!$B$34*(1+Inputs!$B$36)^(AU$7-1)*MAX(0,MIN(1,AU$6*1-Inputs!$B$37+1))/1</f>
        <v>3.375</v>
      </c>
      <c r="AV105" s="114" t="n">
        <f aca="false">Inputs!$B$34*(1+Inputs!$B$36)^(AV$7-1)*MAX(0,MIN(1,AV$6*1-Inputs!$B$37+1))/1</f>
        <v>3.375</v>
      </c>
      <c r="AW105" s="114" t="n">
        <f aca="false">Inputs!$B$34*(1+Inputs!$B$36)^(AW$7-1)*MAX(0,MIN(1,AW$6*1-Inputs!$B$37+1))/1</f>
        <v>3.375</v>
      </c>
      <c r="AX105" s="114" t="n">
        <f aca="false">Inputs!$B$34*(1+Inputs!$B$36)^(AX$7-1)*MAX(0,MIN(1,AX$6*1-Inputs!$B$37+1))/1</f>
        <v>3.375</v>
      </c>
      <c r="AY105" s="114" t="n">
        <f aca="false">Inputs!$B$34*(1+Inputs!$B$36)^(AY$7-1)*MAX(0,MIN(1,AY$6*1-Inputs!$B$37+1))/1</f>
        <v>5.0625</v>
      </c>
      <c r="AZ105" s="114" t="n">
        <f aca="false">Inputs!$B$34*(1+Inputs!$B$36)^(AZ$7-1)*MAX(0,MIN(1,AZ$6*1-Inputs!$B$37+1))/1</f>
        <v>5.0625</v>
      </c>
      <c r="BA105" s="114" t="n">
        <f aca="false">Inputs!$B$34*(1+Inputs!$B$36)^(BA$7-1)*MAX(0,MIN(1,BA$6*1-Inputs!$B$37+1))/1</f>
        <v>5.0625</v>
      </c>
      <c r="BB105" s="114" t="n">
        <f aca="false">Inputs!$B$34*(1+Inputs!$B$36)^(BB$7-1)*MAX(0,MIN(1,BB$6*1-Inputs!$B$37+1))/1</f>
        <v>5.0625</v>
      </c>
      <c r="BC105" s="114" t="n">
        <f aca="false">Inputs!$B$34*(1+Inputs!$B$36)^(BC$7-1)*MAX(0,MIN(1,BC$6*1-Inputs!$B$37+1))/1</f>
        <v>5.0625</v>
      </c>
      <c r="BD105" s="114" t="n">
        <f aca="false">Inputs!$B$34*(1+Inputs!$B$36)^(BD$7-1)*MAX(0,MIN(1,BD$6*1-Inputs!$B$37+1))/1</f>
        <v>5.0625</v>
      </c>
      <c r="BE105" s="114" t="n">
        <f aca="false">Inputs!$B$34*(1+Inputs!$B$36)^(BE$7-1)*MAX(0,MIN(1,BE$6*1-Inputs!$B$37+1))/1</f>
        <v>5.0625</v>
      </c>
      <c r="BF105" s="114" t="n">
        <f aca="false">Inputs!$B$34*(1+Inputs!$B$36)^(BF$7-1)*MAX(0,MIN(1,BF$6*1-Inputs!$B$37+1))/1</f>
        <v>5.0625</v>
      </c>
      <c r="BG105" s="114" t="n">
        <f aca="false">Inputs!$B$34*(1+Inputs!$B$36)^(BG$7-1)*MAX(0,MIN(1,BG$6*1-Inputs!$B$37+1))/1</f>
        <v>5.0625</v>
      </c>
      <c r="BH105" s="114" t="n">
        <f aca="false">Inputs!$B$34*(1+Inputs!$B$36)^(BH$7-1)*MAX(0,MIN(1,BH$6*1-Inputs!$B$37+1))/1</f>
        <v>5.0625</v>
      </c>
      <c r="BI105" s="114" t="n">
        <f aca="false">Inputs!$B$34*(1+Inputs!$B$36)^(BI$7-1)*MAX(0,MIN(1,BI$6*1-Inputs!$B$37+1))/1</f>
        <v>5.0625</v>
      </c>
      <c r="BJ105" s="114" t="n">
        <f aca="false">Inputs!$B$34*(1+Inputs!$B$36)^(BJ$7-1)*MAX(0,MIN(1,BJ$6*1-Inputs!$B$37+1))/1</f>
        <v>5.0625</v>
      </c>
    </row>
    <row r="106" customFormat="false" ht="15" hidden="false" customHeight="false" outlineLevel="0" collapsed="false">
      <c r="A106" s="6" t="s">
        <v>440</v>
      </c>
      <c r="C106" s="114" t="n">
        <f aca="false">Inputs!$B$38*(1+Inputs!$B$40)^(C$7-1)*MAX(0,MIN(1,C$6*1-Inputs!$B$41+1))/1</f>
        <v>0.5</v>
      </c>
      <c r="D106" s="114" t="n">
        <f aca="false">Inputs!$B$38*(1+Inputs!$B$40)^(D$7-1)*MAX(0,MIN(1,D$6*1-Inputs!$B$41+1))/1</f>
        <v>0.5</v>
      </c>
      <c r="E106" s="114" t="n">
        <f aca="false">Inputs!$B$38*(1+Inputs!$B$40)^(E$7-1)*MAX(0,MIN(1,E$6*1-Inputs!$B$41+1))/1</f>
        <v>0.5</v>
      </c>
      <c r="F106" s="114" t="n">
        <f aca="false">Inputs!$B$38*(1+Inputs!$B$40)^(F$7-1)*MAX(0,MIN(1,F$6*1-Inputs!$B$41+1))/1</f>
        <v>0.5</v>
      </c>
      <c r="G106" s="114" t="n">
        <f aca="false">Inputs!$B$38*(1+Inputs!$B$40)^(G$7-1)*MAX(0,MIN(1,G$6*1-Inputs!$B$41+1))/1</f>
        <v>0.5</v>
      </c>
      <c r="H106" s="114" t="n">
        <f aca="false">Inputs!$B$38*(1+Inputs!$B$40)^(H$7-1)*MAX(0,MIN(1,H$6*1-Inputs!$B$41+1))/1</f>
        <v>0.5</v>
      </c>
      <c r="I106" s="114" t="n">
        <f aca="false">Inputs!$B$38*(1+Inputs!$B$40)^(I$7-1)*MAX(0,MIN(1,I$6*1-Inputs!$B$41+1))/1</f>
        <v>0.5</v>
      </c>
      <c r="J106" s="114" t="n">
        <f aca="false">Inputs!$B$38*(1+Inputs!$B$40)^(J$7-1)*MAX(0,MIN(1,J$6*1-Inputs!$B$41+1))/1</f>
        <v>0.5</v>
      </c>
      <c r="K106" s="114" t="n">
        <f aca="false">Inputs!$B$38*(1+Inputs!$B$40)^(K$7-1)*MAX(0,MIN(1,K$6*1-Inputs!$B$41+1))/1</f>
        <v>0.5</v>
      </c>
      <c r="L106" s="114" t="n">
        <f aca="false">Inputs!$B$38*(1+Inputs!$B$40)^(L$7-1)*MAX(0,MIN(1,L$6*1-Inputs!$B$41+1))/1</f>
        <v>0.5</v>
      </c>
      <c r="M106" s="114" t="n">
        <f aca="false">Inputs!$B$38*(1+Inputs!$B$40)^(M$7-1)*MAX(0,MIN(1,M$6*1-Inputs!$B$41+1))/1</f>
        <v>0.5</v>
      </c>
      <c r="N106" s="114" t="n">
        <f aca="false">Inputs!$B$38*(1+Inputs!$B$40)^(N$7-1)*MAX(0,MIN(1,N$6*1-Inputs!$B$41+1))/1</f>
        <v>0.5</v>
      </c>
      <c r="O106" s="114" t="n">
        <f aca="false">Inputs!$B$38*(1+Inputs!$B$40)^(O$7-1)*MAX(0,MIN(1,O$6*1-Inputs!$B$41+1))/1</f>
        <v>0.75</v>
      </c>
      <c r="P106" s="114" t="n">
        <f aca="false">Inputs!$B$38*(1+Inputs!$B$40)^(P$7-1)*MAX(0,MIN(1,P$6*1-Inputs!$B$41+1))/1</f>
        <v>0.75</v>
      </c>
      <c r="Q106" s="114" t="n">
        <f aca="false">Inputs!$B$38*(1+Inputs!$B$40)^(Q$7-1)*MAX(0,MIN(1,Q$6*1-Inputs!$B$41+1))/1</f>
        <v>0.75</v>
      </c>
      <c r="R106" s="114" t="n">
        <f aca="false">Inputs!$B$38*(1+Inputs!$B$40)^(R$7-1)*MAX(0,MIN(1,R$6*1-Inputs!$B$41+1))/1</f>
        <v>0.75</v>
      </c>
      <c r="S106" s="114" t="n">
        <f aca="false">Inputs!$B$38*(1+Inputs!$B$40)^(S$7-1)*MAX(0,MIN(1,S$6*1-Inputs!$B$41+1))/1</f>
        <v>0.75</v>
      </c>
      <c r="T106" s="114" t="n">
        <f aca="false">Inputs!$B$38*(1+Inputs!$B$40)^(T$7-1)*MAX(0,MIN(1,T$6*1-Inputs!$B$41+1))/1</f>
        <v>0.75</v>
      </c>
      <c r="U106" s="114" t="n">
        <f aca="false">Inputs!$B$38*(1+Inputs!$B$40)^(U$7-1)*MAX(0,MIN(1,U$6*1-Inputs!$B$41+1))/1</f>
        <v>0.75</v>
      </c>
      <c r="V106" s="114" t="n">
        <f aca="false">Inputs!$B$38*(1+Inputs!$B$40)^(V$7-1)*MAX(0,MIN(1,V$6*1-Inputs!$B$41+1))/1</f>
        <v>0.75</v>
      </c>
      <c r="W106" s="114" t="n">
        <f aca="false">Inputs!$B$38*(1+Inputs!$B$40)^(W$7-1)*MAX(0,MIN(1,W$6*1-Inputs!$B$41+1))/1</f>
        <v>0.75</v>
      </c>
      <c r="X106" s="114" t="n">
        <f aca="false">Inputs!$B$38*(1+Inputs!$B$40)^(X$7-1)*MAX(0,MIN(1,X$6*1-Inputs!$B$41+1))/1</f>
        <v>0.75</v>
      </c>
      <c r="Y106" s="114" t="n">
        <f aca="false">Inputs!$B$38*(1+Inputs!$B$40)^(Y$7-1)*MAX(0,MIN(1,Y$6*1-Inputs!$B$41+1))/1</f>
        <v>0.75</v>
      </c>
      <c r="Z106" s="114" t="n">
        <f aca="false">Inputs!$B$38*(1+Inputs!$B$40)^(Z$7-1)*MAX(0,MIN(1,Z$6*1-Inputs!$B$41+1))/1</f>
        <v>0.75</v>
      </c>
      <c r="AA106" s="114" t="n">
        <f aca="false">Inputs!$B$38*(1+Inputs!$B$40)^(AA$7-1)*MAX(0,MIN(1,AA$6*1-Inputs!$B$41+1))/1</f>
        <v>1.125</v>
      </c>
      <c r="AB106" s="114" t="n">
        <f aca="false">Inputs!$B$38*(1+Inputs!$B$40)^(AB$7-1)*MAX(0,MIN(1,AB$6*1-Inputs!$B$41+1))/1</f>
        <v>1.125</v>
      </c>
      <c r="AC106" s="114" t="n">
        <f aca="false">Inputs!$B$38*(1+Inputs!$B$40)^(AC$7-1)*MAX(0,MIN(1,AC$6*1-Inputs!$B$41+1))/1</f>
        <v>1.125</v>
      </c>
      <c r="AD106" s="114" t="n">
        <f aca="false">Inputs!$B$38*(1+Inputs!$B$40)^(AD$7-1)*MAX(0,MIN(1,AD$6*1-Inputs!$B$41+1))/1</f>
        <v>1.125</v>
      </c>
      <c r="AE106" s="114" t="n">
        <f aca="false">Inputs!$B$38*(1+Inputs!$B$40)^(AE$7-1)*MAX(0,MIN(1,AE$6*1-Inputs!$B$41+1))/1</f>
        <v>1.125</v>
      </c>
      <c r="AF106" s="114" t="n">
        <f aca="false">Inputs!$B$38*(1+Inputs!$B$40)^(AF$7-1)*MAX(0,MIN(1,AF$6*1-Inputs!$B$41+1))/1</f>
        <v>1.125</v>
      </c>
      <c r="AG106" s="114" t="n">
        <f aca="false">Inputs!$B$38*(1+Inputs!$B$40)^(AG$7-1)*MAX(0,MIN(1,AG$6*1-Inputs!$B$41+1))/1</f>
        <v>1.125</v>
      </c>
      <c r="AH106" s="114" t="n">
        <f aca="false">Inputs!$B$38*(1+Inputs!$B$40)^(AH$7-1)*MAX(0,MIN(1,AH$6*1-Inputs!$B$41+1))/1</f>
        <v>1.125</v>
      </c>
      <c r="AI106" s="114" t="n">
        <f aca="false">Inputs!$B$38*(1+Inputs!$B$40)^(AI$7-1)*MAX(0,MIN(1,AI$6*1-Inputs!$B$41+1))/1</f>
        <v>1.125</v>
      </c>
      <c r="AJ106" s="114" t="n">
        <f aca="false">Inputs!$B$38*(1+Inputs!$B$40)^(AJ$7-1)*MAX(0,MIN(1,AJ$6*1-Inputs!$B$41+1))/1</f>
        <v>1.125</v>
      </c>
      <c r="AK106" s="114" t="n">
        <f aca="false">Inputs!$B$38*(1+Inputs!$B$40)^(AK$7-1)*MAX(0,MIN(1,AK$6*1-Inputs!$B$41+1))/1</f>
        <v>1.125</v>
      </c>
      <c r="AL106" s="114" t="n">
        <f aca="false">Inputs!$B$38*(1+Inputs!$B$40)^(AL$7-1)*MAX(0,MIN(1,AL$6*1-Inputs!$B$41+1))/1</f>
        <v>1.125</v>
      </c>
      <c r="AM106" s="114" t="n">
        <f aca="false">Inputs!$B$38*(1+Inputs!$B$40)^(AM$7-1)*MAX(0,MIN(1,AM$6*1-Inputs!$B$41+1))/1</f>
        <v>1.6875</v>
      </c>
      <c r="AN106" s="114" t="n">
        <f aca="false">Inputs!$B$38*(1+Inputs!$B$40)^(AN$7-1)*MAX(0,MIN(1,AN$6*1-Inputs!$B$41+1))/1</f>
        <v>1.6875</v>
      </c>
      <c r="AO106" s="114" t="n">
        <f aca="false">Inputs!$B$38*(1+Inputs!$B$40)^(AO$7-1)*MAX(0,MIN(1,AO$6*1-Inputs!$B$41+1))/1</f>
        <v>1.6875</v>
      </c>
      <c r="AP106" s="114" t="n">
        <f aca="false">Inputs!$B$38*(1+Inputs!$B$40)^(AP$7-1)*MAX(0,MIN(1,AP$6*1-Inputs!$B$41+1))/1</f>
        <v>1.6875</v>
      </c>
      <c r="AQ106" s="114" t="n">
        <f aca="false">Inputs!$B$38*(1+Inputs!$B$40)^(AQ$7-1)*MAX(0,MIN(1,AQ$6*1-Inputs!$B$41+1))/1</f>
        <v>1.6875</v>
      </c>
      <c r="AR106" s="114" t="n">
        <f aca="false">Inputs!$B$38*(1+Inputs!$B$40)^(AR$7-1)*MAX(0,MIN(1,AR$6*1-Inputs!$B$41+1))/1</f>
        <v>1.6875</v>
      </c>
      <c r="AS106" s="114" t="n">
        <f aca="false">Inputs!$B$38*(1+Inputs!$B$40)^(AS$7-1)*MAX(0,MIN(1,AS$6*1-Inputs!$B$41+1))/1</f>
        <v>1.6875</v>
      </c>
      <c r="AT106" s="114" t="n">
        <f aca="false">Inputs!$B$38*(1+Inputs!$B$40)^(AT$7-1)*MAX(0,MIN(1,AT$6*1-Inputs!$B$41+1))/1</f>
        <v>1.6875</v>
      </c>
      <c r="AU106" s="114" t="n">
        <f aca="false">Inputs!$B$38*(1+Inputs!$B$40)^(AU$7-1)*MAX(0,MIN(1,AU$6*1-Inputs!$B$41+1))/1</f>
        <v>1.6875</v>
      </c>
      <c r="AV106" s="114" t="n">
        <f aca="false">Inputs!$B$38*(1+Inputs!$B$40)^(AV$7-1)*MAX(0,MIN(1,AV$6*1-Inputs!$B$41+1))/1</f>
        <v>1.6875</v>
      </c>
      <c r="AW106" s="114" t="n">
        <f aca="false">Inputs!$B$38*(1+Inputs!$B$40)^(AW$7-1)*MAX(0,MIN(1,AW$6*1-Inputs!$B$41+1))/1</f>
        <v>1.6875</v>
      </c>
      <c r="AX106" s="114" t="n">
        <f aca="false">Inputs!$B$38*(1+Inputs!$B$40)^(AX$7-1)*MAX(0,MIN(1,AX$6*1-Inputs!$B$41+1))/1</f>
        <v>1.6875</v>
      </c>
      <c r="AY106" s="114" t="n">
        <f aca="false">Inputs!$B$38*(1+Inputs!$B$40)^(AY$7-1)*MAX(0,MIN(1,AY$6*1-Inputs!$B$41+1))/1</f>
        <v>2.53125</v>
      </c>
      <c r="AZ106" s="114" t="n">
        <f aca="false">Inputs!$B$38*(1+Inputs!$B$40)^(AZ$7-1)*MAX(0,MIN(1,AZ$6*1-Inputs!$B$41+1))/1</f>
        <v>2.53125</v>
      </c>
      <c r="BA106" s="114" t="n">
        <f aca="false">Inputs!$B$38*(1+Inputs!$B$40)^(BA$7-1)*MAX(0,MIN(1,BA$6*1-Inputs!$B$41+1))/1</f>
        <v>2.53125</v>
      </c>
      <c r="BB106" s="114" t="n">
        <f aca="false">Inputs!$B$38*(1+Inputs!$B$40)^(BB$7-1)*MAX(0,MIN(1,BB$6*1-Inputs!$B$41+1))/1</f>
        <v>2.53125</v>
      </c>
      <c r="BC106" s="114" t="n">
        <f aca="false">Inputs!$B$38*(1+Inputs!$B$40)^(BC$7-1)*MAX(0,MIN(1,BC$6*1-Inputs!$B$41+1))/1</f>
        <v>2.53125</v>
      </c>
      <c r="BD106" s="114" t="n">
        <f aca="false">Inputs!$B$38*(1+Inputs!$B$40)^(BD$7-1)*MAX(0,MIN(1,BD$6*1-Inputs!$B$41+1))/1</f>
        <v>2.53125</v>
      </c>
      <c r="BE106" s="114" t="n">
        <f aca="false">Inputs!$B$38*(1+Inputs!$B$40)^(BE$7-1)*MAX(0,MIN(1,BE$6*1-Inputs!$B$41+1))/1</f>
        <v>2.53125</v>
      </c>
      <c r="BF106" s="114" t="n">
        <f aca="false">Inputs!$B$38*(1+Inputs!$B$40)^(BF$7-1)*MAX(0,MIN(1,BF$6*1-Inputs!$B$41+1))/1</f>
        <v>2.53125</v>
      </c>
      <c r="BG106" s="114" t="n">
        <f aca="false">Inputs!$B$38*(1+Inputs!$B$40)^(BG$7-1)*MAX(0,MIN(1,BG$6*1-Inputs!$B$41+1))/1</f>
        <v>2.53125</v>
      </c>
      <c r="BH106" s="114" t="n">
        <f aca="false">Inputs!$B$38*(1+Inputs!$B$40)^(BH$7-1)*MAX(0,MIN(1,BH$6*1-Inputs!$B$41+1))/1</f>
        <v>2.53125</v>
      </c>
      <c r="BI106" s="114" t="n">
        <f aca="false">Inputs!$B$38*(1+Inputs!$B$40)^(BI$7-1)*MAX(0,MIN(1,BI$6*1-Inputs!$B$41+1))/1</f>
        <v>2.53125</v>
      </c>
      <c r="BJ106" s="114" t="n">
        <f aca="false">Inputs!$B$38*(1+Inputs!$B$40)^(BJ$7-1)*MAX(0,MIN(1,BJ$6*1-Inputs!$B$41+1))/1</f>
        <v>2.53125</v>
      </c>
    </row>
    <row r="107" customFormat="false" ht="15" hidden="false" customHeight="false" outlineLevel="0" collapsed="false">
      <c r="A107" s="111" t="s">
        <v>441</v>
      </c>
      <c r="C107" s="117" t="n">
        <f aca="false">C103+C104+C105+C106</f>
        <v>6</v>
      </c>
      <c r="D107" s="117" t="n">
        <f aca="false">D103+D104+D105+D106</f>
        <v>6</v>
      </c>
      <c r="E107" s="117" t="n">
        <f aca="false">E103+E104+E105+E106</f>
        <v>6</v>
      </c>
      <c r="F107" s="117" t="n">
        <f aca="false">F103+F104+F105+F106</f>
        <v>6</v>
      </c>
      <c r="G107" s="117" t="n">
        <f aca="false">G103+G104+G105+G106</f>
        <v>6</v>
      </c>
      <c r="H107" s="117" t="n">
        <f aca="false">H103+H104+H105+H106</f>
        <v>6</v>
      </c>
      <c r="I107" s="117" t="n">
        <f aca="false">I103+I104+I105+I106</f>
        <v>6</v>
      </c>
      <c r="J107" s="117" t="n">
        <f aca="false">J103+J104+J105+J106</f>
        <v>6</v>
      </c>
      <c r="K107" s="117" t="n">
        <f aca="false">K103+K104+K105+K106</f>
        <v>6</v>
      </c>
      <c r="L107" s="117" t="n">
        <f aca="false">L103+L104+L105+L106</f>
        <v>6</v>
      </c>
      <c r="M107" s="117" t="n">
        <f aca="false">M103+M104+M105+M106</f>
        <v>6</v>
      </c>
      <c r="N107" s="117" t="n">
        <f aca="false">N103+N104+N105+N106</f>
        <v>6</v>
      </c>
      <c r="O107" s="117" t="n">
        <f aca="false">O103+O104+O105+O106</f>
        <v>9</v>
      </c>
      <c r="P107" s="117" t="n">
        <f aca="false">P103+P104+P105+P106</f>
        <v>9</v>
      </c>
      <c r="Q107" s="117" t="n">
        <f aca="false">Q103+Q104+Q105+Q106</f>
        <v>9</v>
      </c>
      <c r="R107" s="117" t="n">
        <f aca="false">R103+R104+R105+R106</f>
        <v>9</v>
      </c>
      <c r="S107" s="117" t="n">
        <f aca="false">S103+S104+S105+S106</f>
        <v>9</v>
      </c>
      <c r="T107" s="117" t="n">
        <f aca="false">T103+T104+T105+T106</f>
        <v>9</v>
      </c>
      <c r="U107" s="117" t="n">
        <f aca="false">U103+U104+U105+U106</f>
        <v>9</v>
      </c>
      <c r="V107" s="117" t="n">
        <f aca="false">V103+V104+V105+V106</f>
        <v>9</v>
      </c>
      <c r="W107" s="117" t="n">
        <f aca="false">W103+W104+W105+W106</f>
        <v>9</v>
      </c>
      <c r="X107" s="117" t="n">
        <f aca="false">X103+X104+X105+X106</f>
        <v>9</v>
      </c>
      <c r="Y107" s="117" t="n">
        <f aca="false">Y103+Y104+Y105+Y106</f>
        <v>9</v>
      </c>
      <c r="Z107" s="117" t="n">
        <f aca="false">Z103+Z104+Z105+Z106</f>
        <v>9</v>
      </c>
      <c r="AA107" s="117" t="n">
        <f aca="false">AA103+AA104+AA105+AA106</f>
        <v>13.5</v>
      </c>
      <c r="AB107" s="117" t="n">
        <f aca="false">AB103+AB104+AB105+AB106</f>
        <v>13.5</v>
      </c>
      <c r="AC107" s="117" t="n">
        <f aca="false">AC103+AC104+AC105+AC106</f>
        <v>13.5</v>
      </c>
      <c r="AD107" s="117" t="n">
        <f aca="false">AD103+AD104+AD105+AD106</f>
        <v>13.5</v>
      </c>
      <c r="AE107" s="117" t="n">
        <f aca="false">AE103+AE104+AE105+AE106</f>
        <v>13.5</v>
      </c>
      <c r="AF107" s="117" t="n">
        <f aca="false">AF103+AF104+AF105+AF106</f>
        <v>13.5</v>
      </c>
      <c r="AG107" s="117" t="n">
        <f aca="false">AG103+AG104+AG105+AG106</f>
        <v>13.5</v>
      </c>
      <c r="AH107" s="117" t="n">
        <f aca="false">AH103+AH104+AH105+AH106</f>
        <v>13.5</v>
      </c>
      <c r="AI107" s="117" t="n">
        <f aca="false">AI103+AI104+AI105+AI106</f>
        <v>13.5</v>
      </c>
      <c r="AJ107" s="117" t="n">
        <f aca="false">AJ103+AJ104+AJ105+AJ106</f>
        <v>13.5</v>
      </c>
      <c r="AK107" s="117" t="n">
        <f aca="false">AK103+AK104+AK105+AK106</f>
        <v>13.5</v>
      </c>
      <c r="AL107" s="117" t="n">
        <f aca="false">AL103+AL104+AL105+AL106</f>
        <v>13.5</v>
      </c>
      <c r="AM107" s="117" t="n">
        <f aca="false">AM103+AM104+AM105+AM106</f>
        <v>20.25</v>
      </c>
      <c r="AN107" s="117" t="n">
        <f aca="false">AN103+AN104+AN105+AN106</f>
        <v>20.25</v>
      </c>
      <c r="AO107" s="117" t="n">
        <f aca="false">AO103+AO104+AO105+AO106</f>
        <v>20.25</v>
      </c>
      <c r="AP107" s="117" t="n">
        <f aca="false">AP103+AP104+AP105+AP106</f>
        <v>20.25</v>
      </c>
      <c r="AQ107" s="117" t="n">
        <f aca="false">AQ103+AQ104+AQ105+AQ106</f>
        <v>20.25</v>
      </c>
      <c r="AR107" s="117" t="n">
        <f aca="false">AR103+AR104+AR105+AR106</f>
        <v>20.25</v>
      </c>
      <c r="AS107" s="117" t="n">
        <f aca="false">AS103+AS104+AS105+AS106</f>
        <v>20.25</v>
      </c>
      <c r="AT107" s="117" t="n">
        <f aca="false">AT103+AT104+AT105+AT106</f>
        <v>20.25</v>
      </c>
      <c r="AU107" s="117" t="n">
        <f aca="false">AU103+AU104+AU105+AU106</f>
        <v>20.25</v>
      </c>
      <c r="AV107" s="117" t="n">
        <f aca="false">AV103+AV104+AV105+AV106</f>
        <v>20.25</v>
      </c>
      <c r="AW107" s="117" t="n">
        <f aca="false">AW103+AW104+AW105+AW106</f>
        <v>20.25</v>
      </c>
      <c r="AX107" s="117" t="n">
        <f aca="false">AX103+AX104+AX105+AX106</f>
        <v>20.25</v>
      </c>
      <c r="AY107" s="117" t="n">
        <f aca="false">AY103+AY104+AY105+AY106</f>
        <v>30.375</v>
      </c>
      <c r="AZ107" s="117" t="n">
        <f aca="false">AZ103+AZ104+AZ105+AZ106</f>
        <v>30.375</v>
      </c>
      <c r="BA107" s="117" t="n">
        <f aca="false">BA103+BA104+BA105+BA106</f>
        <v>30.375</v>
      </c>
      <c r="BB107" s="117" t="n">
        <f aca="false">BB103+BB104+BB105+BB106</f>
        <v>30.375</v>
      </c>
      <c r="BC107" s="117" t="n">
        <f aca="false">BC103+BC104+BC105+BC106</f>
        <v>30.375</v>
      </c>
      <c r="BD107" s="117" t="n">
        <f aca="false">BD103+BD104+BD105+BD106</f>
        <v>30.375</v>
      </c>
      <c r="BE107" s="117" t="n">
        <f aca="false">BE103+BE104+BE105+BE106</f>
        <v>30.375</v>
      </c>
      <c r="BF107" s="117" t="n">
        <f aca="false">BF103+BF104+BF105+BF106</f>
        <v>30.375</v>
      </c>
      <c r="BG107" s="117" t="n">
        <f aca="false">BG103+BG104+BG105+BG106</f>
        <v>30.375</v>
      </c>
      <c r="BH107" s="117" t="n">
        <f aca="false">BH103+BH104+BH105+BH106</f>
        <v>30.375</v>
      </c>
      <c r="BI107" s="117" t="n">
        <f aca="false">BI103+BI104+BI105+BI106</f>
        <v>30.375</v>
      </c>
      <c r="BJ107" s="117" t="n">
        <f aca="false">BJ103+BJ104+BJ105+BJ106</f>
        <v>30.375</v>
      </c>
    </row>
    <row r="109" customFormat="false" ht="15.75" hidden="false" customHeight="true" outlineLevel="0" collapsed="false">
      <c r="A109" s="7" t="s">
        <v>442</v>
      </c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</row>
    <row r="110" customFormat="false" ht="15" hidden="false" customHeight="false" outlineLevel="0" collapsed="false">
      <c r="A110" s="6" t="s">
        <v>443</v>
      </c>
      <c r="C110" s="66" t="n">
        <f aca="false">-C103*Inputs!$B$27/12*1*(1+Inputs!$B$42)*(1+Inputs!$B$43)^(C$7-1)</f>
        <v>-37500</v>
      </c>
      <c r="D110" s="66" t="n">
        <f aca="false">-D103*Inputs!$B$27/12*1*(1+Inputs!$B$42)*(1+Inputs!$B$43)^(D$7-1)</f>
        <v>-37500</v>
      </c>
      <c r="E110" s="66" t="n">
        <f aca="false">-E103*Inputs!$B$27/12*1*(1+Inputs!$B$42)*(1+Inputs!$B$43)^(E$7-1)</f>
        <v>-37500</v>
      </c>
      <c r="F110" s="66" t="n">
        <f aca="false">-F103*Inputs!$B$27/12*1*(1+Inputs!$B$42)*(1+Inputs!$B$43)^(F$7-1)</f>
        <v>-37500</v>
      </c>
      <c r="G110" s="66" t="n">
        <f aca="false">-G103*Inputs!$B$27/12*1*(1+Inputs!$B$42)*(1+Inputs!$B$43)^(G$7-1)</f>
        <v>-37500</v>
      </c>
      <c r="H110" s="66" t="n">
        <f aca="false">-H103*Inputs!$B$27/12*1*(1+Inputs!$B$42)*(1+Inputs!$B$43)^(H$7-1)</f>
        <v>-37500</v>
      </c>
      <c r="I110" s="66" t="n">
        <f aca="false">-I103*Inputs!$B$27/12*1*(1+Inputs!$B$42)*(1+Inputs!$B$43)^(I$7-1)</f>
        <v>-37500</v>
      </c>
      <c r="J110" s="66" t="n">
        <f aca="false">-J103*Inputs!$B$27/12*1*(1+Inputs!$B$42)*(1+Inputs!$B$43)^(J$7-1)</f>
        <v>-37500</v>
      </c>
      <c r="K110" s="66" t="n">
        <f aca="false">-K103*Inputs!$B$27/12*1*(1+Inputs!$B$42)*(1+Inputs!$B$43)^(K$7-1)</f>
        <v>-37500</v>
      </c>
      <c r="L110" s="66" t="n">
        <f aca="false">-L103*Inputs!$B$27/12*1*(1+Inputs!$B$42)*(1+Inputs!$B$43)^(L$7-1)</f>
        <v>-37500</v>
      </c>
      <c r="M110" s="66" t="n">
        <f aca="false">-M103*Inputs!$B$27/12*1*(1+Inputs!$B$42)*(1+Inputs!$B$43)^(M$7-1)</f>
        <v>-37500</v>
      </c>
      <c r="N110" s="66" t="n">
        <f aca="false">-N103*Inputs!$B$27/12*1*(1+Inputs!$B$42)*(1+Inputs!$B$43)^(N$7-1)</f>
        <v>-37500</v>
      </c>
      <c r="O110" s="66" t="n">
        <f aca="false">-O103*Inputs!$B$27/12*1*(1+Inputs!$B$42)*(1+Inputs!$B$43)^(O$7-1)</f>
        <v>-58500</v>
      </c>
      <c r="P110" s="66" t="n">
        <f aca="false">-P103*Inputs!$B$27/12*1*(1+Inputs!$B$42)*(1+Inputs!$B$43)^(P$7-1)</f>
        <v>-58500</v>
      </c>
      <c r="Q110" s="66" t="n">
        <f aca="false">-Q103*Inputs!$B$27/12*1*(1+Inputs!$B$42)*(1+Inputs!$B$43)^(Q$7-1)</f>
        <v>-58500</v>
      </c>
      <c r="R110" s="66" t="n">
        <f aca="false">-R103*Inputs!$B$27/12*1*(1+Inputs!$B$42)*(1+Inputs!$B$43)^(R$7-1)</f>
        <v>-58500</v>
      </c>
      <c r="S110" s="66" t="n">
        <f aca="false">-S103*Inputs!$B$27/12*1*(1+Inputs!$B$42)*(1+Inputs!$B$43)^(S$7-1)</f>
        <v>-58500</v>
      </c>
      <c r="T110" s="66" t="n">
        <f aca="false">-T103*Inputs!$B$27/12*1*(1+Inputs!$B$42)*(1+Inputs!$B$43)^(T$7-1)</f>
        <v>-58500</v>
      </c>
      <c r="U110" s="66" t="n">
        <f aca="false">-U103*Inputs!$B$27/12*1*(1+Inputs!$B$42)*(1+Inputs!$B$43)^(U$7-1)</f>
        <v>-58500</v>
      </c>
      <c r="V110" s="66" t="n">
        <f aca="false">-V103*Inputs!$B$27/12*1*(1+Inputs!$B$42)*(1+Inputs!$B$43)^(V$7-1)</f>
        <v>-58500</v>
      </c>
      <c r="W110" s="66" t="n">
        <f aca="false">-W103*Inputs!$B$27/12*1*(1+Inputs!$B$42)*(1+Inputs!$B$43)^(W$7-1)</f>
        <v>-58500</v>
      </c>
      <c r="X110" s="66" t="n">
        <f aca="false">-X103*Inputs!$B$27/12*1*(1+Inputs!$B$42)*(1+Inputs!$B$43)^(X$7-1)</f>
        <v>-58500</v>
      </c>
      <c r="Y110" s="66" t="n">
        <f aca="false">-Y103*Inputs!$B$27/12*1*(1+Inputs!$B$42)*(1+Inputs!$B$43)^(Y$7-1)</f>
        <v>-58500</v>
      </c>
      <c r="Z110" s="66" t="n">
        <f aca="false">-Z103*Inputs!$B$27/12*1*(1+Inputs!$B$42)*(1+Inputs!$B$43)^(Z$7-1)</f>
        <v>-58500</v>
      </c>
      <c r="AA110" s="66" t="n">
        <f aca="false">-AA103*Inputs!$B$27/12*1*(1+Inputs!$B$42)*(1+Inputs!$B$43)^(AA$7-1)</f>
        <v>-91260</v>
      </c>
      <c r="AB110" s="66" t="n">
        <f aca="false">-AB103*Inputs!$B$27/12*1*(1+Inputs!$B$42)*(1+Inputs!$B$43)^(AB$7-1)</f>
        <v>-91260</v>
      </c>
      <c r="AC110" s="66" t="n">
        <f aca="false">-AC103*Inputs!$B$27/12*1*(1+Inputs!$B$42)*(1+Inputs!$B$43)^(AC$7-1)</f>
        <v>-91260</v>
      </c>
      <c r="AD110" s="66" t="n">
        <f aca="false">-AD103*Inputs!$B$27/12*1*(1+Inputs!$B$42)*(1+Inputs!$B$43)^(AD$7-1)</f>
        <v>-91260</v>
      </c>
      <c r="AE110" s="66" t="n">
        <f aca="false">-AE103*Inputs!$B$27/12*1*(1+Inputs!$B$42)*(1+Inputs!$B$43)^(AE$7-1)</f>
        <v>-91260</v>
      </c>
      <c r="AF110" s="66" t="n">
        <f aca="false">-AF103*Inputs!$B$27/12*1*(1+Inputs!$B$42)*(1+Inputs!$B$43)^(AF$7-1)</f>
        <v>-91260</v>
      </c>
      <c r="AG110" s="66" t="n">
        <f aca="false">-AG103*Inputs!$B$27/12*1*(1+Inputs!$B$42)*(1+Inputs!$B$43)^(AG$7-1)</f>
        <v>-91260</v>
      </c>
      <c r="AH110" s="66" t="n">
        <f aca="false">-AH103*Inputs!$B$27/12*1*(1+Inputs!$B$42)*(1+Inputs!$B$43)^(AH$7-1)</f>
        <v>-91260</v>
      </c>
      <c r="AI110" s="66" t="n">
        <f aca="false">-AI103*Inputs!$B$27/12*1*(1+Inputs!$B$42)*(1+Inputs!$B$43)^(AI$7-1)</f>
        <v>-91260</v>
      </c>
      <c r="AJ110" s="66" t="n">
        <f aca="false">-AJ103*Inputs!$B$27/12*1*(1+Inputs!$B$42)*(1+Inputs!$B$43)^(AJ$7-1)</f>
        <v>-91260</v>
      </c>
      <c r="AK110" s="66" t="n">
        <f aca="false">-AK103*Inputs!$B$27/12*1*(1+Inputs!$B$42)*(1+Inputs!$B$43)^(AK$7-1)</f>
        <v>-91260</v>
      </c>
      <c r="AL110" s="66" t="n">
        <f aca="false">-AL103*Inputs!$B$27/12*1*(1+Inputs!$B$42)*(1+Inputs!$B$43)^(AL$7-1)</f>
        <v>-91260</v>
      </c>
      <c r="AM110" s="66" t="n">
        <f aca="false">-AM103*Inputs!$B$27/12*1*(1+Inputs!$B$42)*(1+Inputs!$B$43)^(AM$7-1)</f>
        <v>-142365.6</v>
      </c>
      <c r="AN110" s="66" t="n">
        <f aca="false">-AN103*Inputs!$B$27/12*1*(1+Inputs!$B$42)*(1+Inputs!$B$43)^(AN$7-1)</f>
        <v>-142365.6</v>
      </c>
      <c r="AO110" s="66" t="n">
        <f aca="false">-AO103*Inputs!$B$27/12*1*(1+Inputs!$B$42)*(1+Inputs!$B$43)^(AO$7-1)</f>
        <v>-142365.6</v>
      </c>
      <c r="AP110" s="66" t="n">
        <f aca="false">-AP103*Inputs!$B$27/12*1*(1+Inputs!$B$42)*(1+Inputs!$B$43)^(AP$7-1)</f>
        <v>-142365.6</v>
      </c>
      <c r="AQ110" s="66" t="n">
        <f aca="false">-AQ103*Inputs!$B$27/12*1*(1+Inputs!$B$42)*(1+Inputs!$B$43)^(AQ$7-1)</f>
        <v>-142365.6</v>
      </c>
      <c r="AR110" s="66" t="n">
        <f aca="false">-AR103*Inputs!$B$27/12*1*(1+Inputs!$B$42)*(1+Inputs!$B$43)^(AR$7-1)</f>
        <v>-142365.6</v>
      </c>
      <c r="AS110" s="66" t="n">
        <f aca="false">-AS103*Inputs!$B$27/12*1*(1+Inputs!$B$42)*(1+Inputs!$B$43)^(AS$7-1)</f>
        <v>-142365.6</v>
      </c>
      <c r="AT110" s="66" t="n">
        <f aca="false">-AT103*Inputs!$B$27/12*1*(1+Inputs!$B$42)*(1+Inputs!$B$43)^(AT$7-1)</f>
        <v>-142365.6</v>
      </c>
      <c r="AU110" s="66" t="n">
        <f aca="false">-AU103*Inputs!$B$27/12*1*(1+Inputs!$B$42)*(1+Inputs!$B$43)^(AU$7-1)</f>
        <v>-142365.6</v>
      </c>
      <c r="AV110" s="66" t="n">
        <f aca="false">-AV103*Inputs!$B$27/12*1*(1+Inputs!$B$42)*(1+Inputs!$B$43)^(AV$7-1)</f>
        <v>-142365.6</v>
      </c>
      <c r="AW110" s="66" t="n">
        <f aca="false">-AW103*Inputs!$B$27/12*1*(1+Inputs!$B$42)*(1+Inputs!$B$43)^(AW$7-1)</f>
        <v>-142365.6</v>
      </c>
      <c r="AX110" s="66" t="n">
        <f aca="false">-AX103*Inputs!$B$27/12*1*(1+Inputs!$B$42)*(1+Inputs!$B$43)^(AX$7-1)</f>
        <v>-142365.6</v>
      </c>
      <c r="AY110" s="66" t="n">
        <f aca="false">-AY103*Inputs!$B$27/12*1*(1+Inputs!$B$42)*(1+Inputs!$B$43)^(AY$7-1)</f>
        <v>-222090.336</v>
      </c>
      <c r="AZ110" s="66" t="n">
        <f aca="false">-AZ103*Inputs!$B$27/12*1*(1+Inputs!$B$42)*(1+Inputs!$B$43)^(AZ$7-1)</f>
        <v>-222090.336</v>
      </c>
      <c r="BA110" s="66" t="n">
        <f aca="false">-BA103*Inputs!$B$27/12*1*(1+Inputs!$B$42)*(1+Inputs!$B$43)^(BA$7-1)</f>
        <v>-222090.336</v>
      </c>
      <c r="BB110" s="66" t="n">
        <f aca="false">-BB103*Inputs!$B$27/12*1*(1+Inputs!$B$42)*(1+Inputs!$B$43)^(BB$7-1)</f>
        <v>-222090.336</v>
      </c>
      <c r="BC110" s="66" t="n">
        <f aca="false">-BC103*Inputs!$B$27/12*1*(1+Inputs!$B$42)*(1+Inputs!$B$43)^(BC$7-1)</f>
        <v>-222090.336</v>
      </c>
      <c r="BD110" s="66" t="n">
        <f aca="false">-BD103*Inputs!$B$27/12*1*(1+Inputs!$B$42)*(1+Inputs!$B$43)^(BD$7-1)</f>
        <v>-222090.336</v>
      </c>
      <c r="BE110" s="66" t="n">
        <f aca="false">-BE103*Inputs!$B$27/12*1*(1+Inputs!$B$42)*(1+Inputs!$B$43)^(BE$7-1)</f>
        <v>-222090.336</v>
      </c>
      <c r="BF110" s="66" t="n">
        <f aca="false">-BF103*Inputs!$B$27/12*1*(1+Inputs!$B$42)*(1+Inputs!$B$43)^(BF$7-1)</f>
        <v>-222090.336</v>
      </c>
      <c r="BG110" s="66" t="n">
        <f aca="false">-BG103*Inputs!$B$27/12*1*(1+Inputs!$B$42)*(1+Inputs!$B$43)^(BG$7-1)</f>
        <v>-222090.336</v>
      </c>
      <c r="BH110" s="66" t="n">
        <f aca="false">-BH103*Inputs!$B$27/12*1*(1+Inputs!$B$42)*(1+Inputs!$B$43)^(BH$7-1)</f>
        <v>-222090.336</v>
      </c>
      <c r="BI110" s="66" t="n">
        <f aca="false">-BI103*Inputs!$B$27/12*1*(1+Inputs!$B$42)*(1+Inputs!$B$43)^(BI$7-1)</f>
        <v>-222090.336</v>
      </c>
      <c r="BJ110" s="66" t="n">
        <f aca="false">-BJ103*Inputs!$B$27/12*1*(1+Inputs!$B$42)*(1+Inputs!$B$43)^(BJ$7-1)</f>
        <v>-222090.336</v>
      </c>
    </row>
    <row r="111" customFormat="false" ht="15" hidden="false" customHeight="false" outlineLevel="0" collapsed="false">
      <c r="A111" s="6" t="s">
        <v>444</v>
      </c>
      <c r="C111" s="66" t="n">
        <f aca="false">-C104*Inputs!$B$31/12*1*(1+Inputs!$B$42)*(1+Inputs!$B$43)^(C$7-1)</f>
        <v>-14250</v>
      </c>
      <c r="D111" s="66" t="n">
        <f aca="false">-D104*Inputs!$B$31/12*1*(1+Inputs!$B$42)*(1+Inputs!$B$43)^(D$7-1)</f>
        <v>-14250</v>
      </c>
      <c r="E111" s="66" t="n">
        <f aca="false">-E104*Inputs!$B$31/12*1*(1+Inputs!$B$42)*(1+Inputs!$B$43)^(E$7-1)</f>
        <v>-14250</v>
      </c>
      <c r="F111" s="66" t="n">
        <f aca="false">-F104*Inputs!$B$31/12*1*(1+Inputs!$B$42)*(1+Inputs!$B$43)^(F$7-1)</f>
        <v>-14250</v>
      </c>
      <c r="G111" s="66" t="n">
        <f aca="false">-G104*Inputs!$B$31/12*1*(1+Inputs!$B$42)*(1+Inputs!$B$43)^(G$7-1)</f>
        <v>-14250</v>
      </c>
      <c r="H111" s="66" t="n">
        <f aca="false">-H104*Inputs!$B$31/12*1*(1+Inputs!$B$42)*(1+Inputs!$B$43)^(H$7-1)</f>
        <v>-14250</v>
      </c>
      <c r="I111" s="66" t="n">
        <f aca="false">-I104*Inputs!$B$31/12*1*(1+Inputs!$B$42)*(1+Inputs!$B$43)^(I$7-1)</f>
        <v>-14250</v>
      </c>
      <c r="J111" s="66" t="n">
        <f aca="false">-J104*Inputs!$B$31/12*1*(1+Inputs!$B$42)*(1+Inputs!$B$43)^(J$7-1)</f>
        <v>-14250</v>
      </c>
      <c r="K111" s="66" t="n">
        <f aca="false">-K104*Inputs!$B$31/12*1*(1+Inputs!$B$42)*(1+Inputs!$B$43)^(K$7-1)</f>
        <v>-14250</v>
      </c>
      <c r="L111" s="66" t="n">
        <f aca="false">-L104*Inputs!$B$31/12*1*(1+Inputs!$B$42)*(1+Inputs!$B$43)^(L$7-1)</f>
        <v>-14250</v>
      </c>
      <c r="M111" s="66" t="n">
        <f aca="false">-M104*Inputs!$B$31/12*1*(1+Inputs!$B$42)*(1+Inputs!$B$43)^(M$7-1)</f>
        <v>-14250</v>
      </c>
      <c r="N111" s="66" t="n">
        <f aca="false">-N104*Inputs!$B$31/12*1*(1+Inputs!$B$42)*(1+Inputs!$B$43)^(N$7-1)</f>
        <v>-14250</v>
      </c>
      <c r="O111" s="66" t="n">
        <f aca="false">-O104*Inputs!$B$31/12*1*(1+Inputs!$B$42)*(1+Inputs!$B$43)^(O$7-1)</f>
        <v>-22230</v>
      </c>
      <c r="P111" s="66" t="n">
        <f aca="false">-P104*Inputs!$B$31/12*1*(1+Inputs!$B$42)*(1+Inputs!$B$43)^(P$7-1)</f>
        <v>-22230</v>
      </c>
      <c r="Q111" s="66" t="n">
        <f aca="false">-Q104*Inputs!$B$31/12*1*(1+Inputs!$B$42)*(1+Inputs!$B$43)^(Q$7-1)</f>
        <v>-22230</v>
      </c>
      <c r="R111" s="66" t="n">
        <f aca="false">-R104*Inputs!$B$31/12*1*(1+Inputs!$B$42)*(1+Inputs!$B$43)^(R$7-1)</f>
        <v>-22230</v>
      </c>
      <c r="S111" s="66" t="n">
        <f aca="false">-S104*Inputs!$B$31/12*1*(1+Inputs!$B$42)*(1+Inputs!$B$43)^(S$7-1)</f>
        <v>-22230</v>
      </c>
      <c r="T111" s="66" t="n">
        <f aca="false">-T104*Inputs!$B$31/12*1*(1+Inputs!$B$42)*(1+Inputs!$B$43)^(T$7-1)</f>
        <v>-22230</v>
      </c>
      <c r="U111" s="66" t="n">
        <f aca="false">-U104*Inputs!$B$31/12*1*(1+Inputs!$B$42)*(1+Inputs!$B$43)^(U$7-1)</f>
        <v>-22230</v>
      </c>
      <c r="V111" s="66" t="n">
        <f aca="false">-V104*Inputs!$B$31/12*1*(1+Inputs!$B$42)*(1+Inputs!$B$43)^(V$7-1)</f>
        <v>-22230</v>
      </c>
      <c r="W111" s="66" t="n">
        <f aca="false">-W104*Inputs!$B$31/12*1*(1+Inputs!$B$42)*(1+Inputs!$B$43)^(W$7-1)</f>
        <v>-22230</v>
      </c>
      <c r="X111" s="66" t="n">
        <f aca="false">-X104*Inputs!$B$31/12*1*(1+Inputs!$B$42)*(1+Inputs!$B$43)^(X$7-1)</f>
        <v>-22230</v>
      </c>
      <c r="Y111" s="66" t="n">
        <f aca="false">-Y104*Inputs!$B$31/12*1*(1+Inputs!$B$42)*(1+Inputs!$B$43)^(Y$7-1)</f>
        <v>-22230</v>
      </c>
      <c r="Z111" s="66" t="n">
        <f aca="false">-Z104*Inputs!$B$31/12*1*(1+Inputs!$B$42)*(1+Inputs!$B$43)^(Z$7-1)</f>
        <v>-22230</v>
      </c>
      <c r="AA111" s="66" t="n">
        <f aca="false">-AA104*Inputs!$B$31/12*1*(1+Inputs!$B$42)*(1+Inputs!$B$43)^(AA$7-1)</f>
        <v>-34678.8</v>
      </c>
      <c r="AB111" s="66" t="n">
        <f aca="false">-AB104*Inputs!$B$31/12*1*(1+Inputs!$B$42)*(1+Inputs!$B$43)^(AB$7-1)</f>
        <v>-34678.8</v>
      </c>
      <c r="AC111" s="66" t="n">
        <f aca="false">-AC104*Inputs!$B$31/12*1*(1+Inputs!$B$42)*(1+Inputs!$B$43)^(AC$7-1)</f>
        <v>-34678.8</v>
      </c>
      <c r="AD111" s="66" t="n">
        <f aca="false">-AD104*Inputs!$B$31/12*1*(1+Inputs!$B$42)*(1+Inputs!$B$43)^(AD$7-1)</f>
        <v>-34678.8</v>
      </c>
      <c r="AE111" s="66" t="n">
        <f aca="false">-AE104*Inputs!$B$31/12*1*(1+Inputs!$B$42)*(1+Inputs!$B$43)^(AE$7-1)</f>
        <v>-34678.8</v>
      </c>
      <c r="AF111" s="66" t="n">
        <f aca="false">-AF104*Inputs!$B$31/12*1*(1+Inputs!$B$42)*(1+Inputs!$B$43)^(AF$7-1)</f>
        <v>-34678.8</v>
      </c>
      <c r="AG111" s="66" t="n">
        <f aca="false">-AG104*Inputs!$B$31/12*1*(1+Inputs!$B$42)*(1+Inputs!$B$43)^(AG$7-1)</f>
        <v>-34678.8</v>
      </c>
      <c r="AH111" s="66" t="n">
        <f aca="false">-AH104*Inputs!$B$31/12*1*(1+Inputs!$B$42)*(1+Inputs!$B$43)^(AH$7-1)</f>
        <v>-34678.8</v>
      </c>
      <c r="AI111" s="66" t="n">
        <f aca="false">-AI104*Inputs!$B$31/12*1*(1+Inputs!$B$42)*(1+Inputs!$B$43)^(AI$7-1)</f>
        <v>-34678.8</v>
      </c>
      <c r="AJ111" s="66" t="n">
        <f aca="false">-AJ104*Inputs!$B$31/12*1*(1+Inputs!$B$42)*(1+Inputs!$B$43)^(AJ$7-1)</f>
        <v>-34678.8</v>
      </c>
      <c r="AK111" s="66" t="n">
        <f aca="false">-AK104*Inputs!$B$31/12*1*(1+Inputs!$B$42)*(1+Inputs!$B$43)^(AK$7-1)</f>
        <v>-34678.8</v>
      </c>
      <c r="AL111" s="66" t="n">
        <f aca="false">-AL104*Inputs!$B$31/12*1*(1+Inputs!$B$42)*(1+Inputs!$B$43)^(AL$7-1)</f>
        <v>-34678.8</v>
      </c>
      <c r="AM111" s="66" t="n">
        <f aca="false">-AM104*Inputs!$B$31/12*1*(1+Inputs!$B$42)*(1+Inputs!$B$43)^(AM$7-1)</f>
        <v>-54098.928</v>
      </c>
      <c r="AN111" s="66" t="n">
        <f aca="false">-AN104*Inputs!$B$31/12*1*(1+Inputs!$B$42)*(1+Inputs!$B$43)^(AN$7-1)</f>
        <v>-54098.928</v>
      </c>
      <c r="AO111" s="66" t="n">
        <f aca="false">-AO104*Inputs!$B$31/12*1*(1+Inputs!$B$42)*(1+Inputs!$B$43)^(AO$7-1)</f>
        <v>-54098.928</v>
      </c>
      <c r="AP111" s="66" t="n">
        <f aca="false">-AP104*Inputs!$B$31/12*1*(1+Inputs!$B$42)*(1+Inputs!$B$43)^(AP$7-1)</f>
        <v>-54098.928</v>
      </c>
      <c r="AQ111" s="66" t="n">
        <f aca="false">-AQ104*Inputs!$B$31/12*1*(1+Inputs!$B$42)*(1+Inputs!$B$43)^(AQ$7-1)</f>
        <v>-54098.928</v>
      </c>
      <c r="AR111" s="66" t="n">
        <f aca="false">-AR104*Inputs!$B$31/12*1*(1+Inputs!$B$42)*(1+Inputs!$B$43)^(AR$7-1)</f>
        <v>-54098.928</v>
      </c>
      <c r="AS111" s="66" t="n">
        <f aca="false">-AS104*Inputs!$B$31/12*1*(1+Inputs!$B$42)*(1+Inputs!$B$43)^(AS$7-1)</f>
        <v>-54098.928</v>
      </c>
      <c r="AT111" s="66" t="n">
        <f aca="false">-AT104*Inputs!$B$31/12*1*(1+Inputs!$B$42)*(1+Inputs!$B$43)^(AT$7-1)</f>
        <v>-54098.928</v>
      </c>
      <c r="AU111" s="66" t="n">
        <f aca="false">-AU104*Inputs!$B$31/12*1*(1+Inputs!$B$42)*(1+Inputs!$B$43)^(AU$7-1)</f>
        <v>-54098.928</v>
      </c>
      <c r="AV111" s="66" t="n">
        <f aca="false">-AV104*Inputs!$B$31/12*1*(1+Inputs!$B$42)*(1+Inputs!$B$43)^(AV$7-1)</f>
        <v>-54098.928</v>
      </c>
      <c r="AW111" s="66" t="n">
        <f aca="false">-AW104*Inputs!$B$31/12*1*(1+Inputs!$B$42)*(1+Inputs!$B$43)^(AW$7-1)</f>
        <v>-54098.928</v>
      </c>
      <c r="AX111" s="66" t="n">
        <f aca="false">-AX104*Inputs!$B$31/12*1*(1+Inputs!$B$42)*(1+Inputs!$B$43)^(AX$7-1)</f>
        <v>-54098.928</v>
      </c>
      <c r="AY111" s="66" t="n">
        <f aca="false">-AY104*Inputs!$B$31/12*1*(1+Inputs!$B$42)*(1+Inputs!$B$43)^(AY$7-1)</f>
        <v>-84394.32768</v>
      </c>
      <c r="AZ111" s="66" t="n">
        <f aca="false">-AZ104*Inputs!$B$31/12*1*(1+Inputs!$B$42)*(1+Inputs!$B$43)^(AZ$7-1)</f>
        <v>-84394.32768</v>
      </c>
      <c r="BA111" s="66" t="n">
        <f aca="false">-BA104*Inputs!$B$31/12*1*(1+Inputs!$B$42)*(1+Inputs!$B$43)^(BA$7-1)</f>
        <v>-84394.32768</v>
      </c>
      <c r="BB111" s="66" t="n">
        <f aca="false">-BB104*Inputs!$B$31/12*1*(1+Inputs!$B$42)*(1+Inputs!$B$43)^(BB$7-1)</f>
        <v>-84394.32768</v>
      </c>
      <c r="BC111" s="66" t="n">
        <f aca="false">-BC104*Inputs!$B$31/12*1*(1+Inputs!$B$42)*(1+Inputs!$B$43)^(BC$7-1)</f>
        <v>-84394.32768</v>
      </c>
      <c r="BD111" s="66" t="n">
        <f aca="false">-BD104*Inputs!$B$31/12*1*(1+Inputs!$B$42)*(1+Inputs!$B$43)^(BD$7-1)</f>
        <v>-84394.32768</v>
      </c>
      <c r="BE111" s="66" t="n">
        <f aca="false">-BE104*Inputs!$B$31/12*1*(1+Inputs!$B$42)*(1+Inputs!$B$43)^(BE$7-1)</f>
        <v>-84394.32768</v>
      </c>
      <c r="BF111" s="66" t="n">
        <f aca="false">-BF104*Inputs!$B$31/12*1*(1+Inputs!$B$42)*(1+Inputs!$B$43)^(BF$7-1)</f>
        <v>-84394.32768</v>
      </c>
      <c r="BG111" s="66" t="n">
        <f aca="false">-BG104*Inputs!$B$31/12*1*(1+Inputs!$B$42)*(1+Inputs!$B$43)^(BG$7-1)</f>
        <v>-84394.32768</v>
      </c>
      <c r="BH111" s="66" t="n">
        <f aca="false">-BH104*Inputs!$B$31/12*1*(1+Inputs!$B$42)*(1+Inputs!$B$43)^(BH$7-1)</f>
        <v>-84394.32768</v>
      </c>
      <c r="BI111" s="66" t="n">
        <f aca="false">-BI104*Inputs!$B$31/12*1*(1+Inputs!$B$42)*(1+Inputs!$B$43)^(BI$7-1)</f>
        <v>-84394.32768</v>
      </c>
      <c r="BJ111" s="66" t="n">
        <f aca="false">-BJ104*Inputs!$B$31/12*1*(1+Inputs!$B$42)*(1+Inputs!$B$43)^(BJ$7-1)</f>
        <v>-84394.32768</v>
      </c>
    </row>
    <row r="112" customFormat="false" ht="15" hidden="false" customHeight="false" outlineLevel="0" collapsed="false">
      <c r="A112" s="6" t="s">
        <v>445</v>
      </c>
      <c r="C112" s="66" t="n">
        <f aca="false">-C105*Inputs!$B$35/12*1*(1+Inputs!$B$42)*(1+Inputs!$B$43)^(C$7-1)</f>
        <v>-6000</v>
      </c>
      <c r="D112" s="66" t="n">
        <f aca="false">-D105*Inputs!$B$35/12*1*(1+Inputs!$B$42)*(1+Inputs!$B$43)^(D$7-1)</f>
        <v>-6000</v>
      </c>
      <c r="E112" s="66" t="n">
        <f aca="false">-E105*Inputs!$B$35/12*1*(1+Inputs!$B$42)*(1+Inputs!$B$43)^(E$7-1)</f>
        <v>-6000</v>
      </c>
      <c r="F112" s="66" t="n">
        <f aca="false">-F105*Inputs!$B$35/12*1*(1+Inputs!$B$42)*(1+Inputs!$B$43)^(F$7-1)</f>
        <v>-6000</v>
      </c>
      <c r="G112" s="66" t="n">
        <f aca="false">-G105*Inputs!$B$35/12*1*(1+Inputs!$B$42)*(1+Inputs!$B$43)^(G$7-1)</f>
        <v>-6000</v>
      </c>
      <c r="H112" s="66" t="n">
        <f aca="false">-H105*Inputs!$B$35/12*1*(1+Inputs!$B$42)*(1+Inputs!$B$43)^(H$7-1)</f>
        <v>-6000</v>
      </c>
      <c r="I112" s="66" t="n">
        <f aca="false">-I105*Inputs!$B$35/12*1*(1+Inputs!$B$42)*(1+Inputs!$B$43)^(I$7-1)</f>
        <v>-6000</v>
      </c>
      <c r="J112" s="66" t="n">
        <f aca="false">-J105*Inputs!$B$35/12*1*(1+Inputs!$B$42)*(1+Inputs!$B$43)^(J$7-1)</f>
        <v>-6000</v>
      </c>
      <c r="K112" s="66" t="n">
        <f aca="false">-K105*Inputs!$B$35/12*1*(1+Inputs!$B$42)*(1+Inputs!$B$43)^(K$7-1)</f>
        <v>-6000</v>
      </c>
      <c r="L112" s="66" t="n">
        <f aca="false">-L105*Inputs!$B$35/12*1*(1+Inputs!$B$42)*(1+Inputs!$B$43)^(L$7-1)</f>
        <v>-6000</v>
      </c>
      <c r="M112" s="66" t="n">
        <f aca="false">-M105*Inputs!$B$35/12*1*(1+Inputs!$B$42)*(1+Inputs!$B$43)^(M$7-1)</f>
        <v>-6000</v>
      </c>
      <c r="N112" s="66" t="n">
        <f aca="false">-N105*Inputs!$B$35/12*1*(1+Inputs!$B$42)*(1+Inputs!$B$43)^(N$7-1)</f>
        <v>-6000</v>
      </c>
      <c r="O112" s="66" t="n">
        <f aca="false">-O105*Inputs!$B$35/12*1*(1+Inputs!$B$42)*(1+Inputs!$B$43)^(O$7-1)</f>
        <v>-9360</v>
      </c>
      <c r="P112" s="66" t="n">
        <f aca="false">-P105*Inputs!$B$35/12*1*(1+Inputs!$B$42)*(1+Inputs!$B$43)^(P$7-1)</f>
        <v>-9360</v>
      </c>
      <c r="Q112" s="66" t="n">
        <f aca="false">-Q105*Inputs!$B$35/12*1*(1+Inputs!$B$42)*(1+Inputs!$B$43)^(Q$7-1)</f>
        <v>-9360</v>
      </c>
      <c r="R112" s="66" t="n">
        <f aca="false">-R105*Inputs!$B$35/12*1*(1+Inputs!$B$42)*(1+Inputs!$B$43)^(R$7-1)</f>
        <v>-9360</v>
      </c>
      <c r="S112" s="66" t="n">
        <f aca="false">-S105*Inputs!$B$35/12*1*(1+Inputs!$B$42)*(1+Inputs!$B$43)^(S$7-1)</f>
        <v>-9360</v>
      </c>
      <c r="T112" s="66" t="n">
        <f aca="false">-T105*Inputs!$B$35/12*1*(1+Inputs!$B$42)*(1+Inputs!$B$43)^(T$7-1)</f>
        <v>-9360</v>
      </c>
      <c r="U112" s="66" t="n">
        <f aca="false">-U105*Inputs!$B$35/12*1*(1+Inputs!$B$42)*(1+Inputs!$B$43)^(U$7-1)</f>
        <v>-9360</v>
      </c>
      <c r="V112" s="66" t="n">
        <f aca="false">-V105*Inputs!$B$35/12*1*(1+Inputs!$B$42)*(1+Inputs!$B$43)^(V$7-1)</f>
        <v>-9360</v>
      </c>
      <c r="W112" s="66" t="n">
        <f aca="false">-W105*Inputs!$B$35/12*1*(1+Inputs!$B$42)*(1+Inputs!$B$43)^(W$7-1)</f>
        <v>-9360</v>
      </c>
      <c r="X112" s="66" t="n">
        <f aca="false">-X105*Inputs!$B$35/12*1*(1+Inputs!$B$42)*(1+Inputs!$B$43)^(X$7-1)</f>
        <v>-9360</v>
      </c>
      <c r="Y112" s="66" t="n">
        <f aca="false">-Y105*Inputs!$B$35/12*1*(1+Inputs!$B$42)*(1+Inputs!$B$43)^(Y$7-1)</f>
        <v>-9360</v>
      </c>
      <c r="Z112" s="66" t="n">
        <f aca="false">-Z105*Inputs!$B$35/12*1*(1+Inputs!$B$42)*(1+Inputs!$B$43)^(Z$7-1)</f>
        <v>-9360</v>
      </c>
      <c r="AA112" s="66" t="n">
        <f aca="false">-AA105*Inputs!$B$35/12*1*(1+Inputs!$B$42)*(1+Inputs!$B$43)^(AA$7-1)</f>
        <v>-14601.6</v>
      </c>
      <c r="AB112" s="66" t="n">
        <f aca="false">-AB105*Inputs!$B$35/12*1*(1+Inputs!$B$42)*(1+Inputs!$B$43)^(AB$7-1)</f>
        <v>-14601.6</v>
      </c>
      <c r="AC112" s="66" t="n">
        <f aca="false">-AC105*Inputs!$B$35/12*1*(1+Inputs!$B$42)*(1+Inputs!$B$43)^(AC$7-1)</f>
        <v>-14601.6</v>
      </c>
      <c r="AD112" s="66" t="n">
        <f aca="false">-AD105*Inputs!$B$35/12*1*(1+Inputs!$B$42)*(1+Inputs!$B$43)^(AD$7-1)</f>
        <v>-14601.6</v>
      </c>
      <c r="AE112" s="66" t="n">
        <f aca="false">-AE105*Inputs!$B$35/12*1*(1+Inputs!$B$42)*(1+Inputs!$B$43)^(AE$7-1)</f>
        <v>-14601.6</v>
      </c>
      <c r="AF112" s="66" t="n">
        <f aca="false">-AF105*Inputs!$B$35/12*1*(1+Inputs!$B$42)*(1+Inputs!$B$43)^(AF$7-1)</f>
        <v>-14601.6</v>
      </c>
      <c r="AG112" s="66" t="n">
        <f aca="false">-AG105*Inputs!$B$35/12*1*(1+Inputs!$B$42)*(1+Inputs!$B$43)^(AG$7-1)</f>
        <v>-14601.6</v>
      </c>
      <c r="AH112" s="66" t="n">
        <f aca="false">-AH105*Inputs!$B$35/12*1*(1+Inputs!$B$42)*(1+Inputs!$B$43)^(AH$7-1)</f>
        <v>-14601.6</v>
      </c>
      <c r="AI112" s="66" t="n">
        <f aca="false">-AI105*Inputs!$B$35/12*1*(1+Inputs!$B$42)*(1+Inputs!$B$43)^(AI$7-1)</f>
        <v>-14601.6</v>
      </c>
      <c r="AJ112" s="66" t="n">
        <f aca="false">-AJ105*Inputs!$B$35/12*1*(1+Inputs!$B$42)*(1+Inputs!$B$43)^(AJ$7-1)</f>
        <v>-14601.6</v>
      </c>
      <c r="AK112" s="66" t="n">
        <f aca="false">-AK105*Inputs!$B$35/12*1*(1+Inputs!$B$42)*(1+Inputs!$B$43)^(AK$7-1)</f>
        <v>-14601.6</v>
      </c>
      <c r="AL112" s="66" t="n">
        <f aca="false">-AL105*Inputs!$B$35/12*1*(1+Inputs!$B$42)*(1+Inputs!$B$43)^(AL$7-1)</f>
        <v>-14601.6</v>
      </c>
      <c r="AM112" s="66" t="n">
        <f aca="false">-AM105*Inputs!$B$35/12*1*(1+Inputs!$B$42)*(1+Inputs!$B$43)^(AM$7-1)</f>
        <v>-22778.496</v>
      </c>
      <c r="AN112" s="66" t="n">
        <f aca="false">-AN105*Inputs!$B$35/12*1*(1+Inputs!$B$42)*(1+Inputs!$B$43)^(AN$7-1)</f>
        <v>-22778.496</v>
      </c>
      <c r="AO112" s="66" t="n">
        <f aca="false">-AO105*Inputs!$B$35/12*1*(1+Inputs!$B$42)*(1+Inputs!$B$43)^(AO$7-1)</f>
        <v>-22778.496</v>
      </c>
      <c r="AP112" s="66" t="n">
        <f aca="false">-AP105*Inputs!$B$35/12*1*(1+Inputs!$B$42)*(1+Inputs!$B$43)^(AP$7-1)</f>
        <v>-22778.496</v>
      </c>
      <c r="AQ112" s="66" t="n">
        <f aca="false">-AQ105*Inputs!$B$35/12*1*(1+Inputs!$B$42)*(1+Inputs!$B$43)^(AQ$7-1)</f>
        <v>-22778.496</v>
      </c>
      <c r="AR112" s="66" t="n">
        <f aca="false">-AR105*Inputs!$B$35/12*1*(1+Inputs!$B$42)*(1+Inputs!$B$43)^(AR$7-1)</f>
        <v>-22778.496</v>
      </c>
      <c r="AS112" s="66" t="n">
        <f aca="false">-AS105*Inputs!$B$35/12*1*(1+Inputs!$B$42)*(1+Inputs!$B$43)^(AS$7-1)</f>
        <v>-22778.496</v>
      </c>
      <c r="AT112" s="66" t="n">
        <f aca="false">-AT105*Inputs!$B$35/12*1*(1+Inputs!$B$42)*(1+Inputs!$B$43)^(AT$7-1)</f>
        <v>-22778.496</v>
      </c>
      <c r="AU112" s="66" t="n">
        <f aca="false">-AU105*Inputs!$B$35/12*1*(1+Inputs!$B$42)*(1+Inputs!$B$43)^(AU$7-1)</f>
        <v>-22778.496</v>
      </c>
      <c r="AV112" s="66" t="n">
        <f aca="false">-AV105*Inputs!$B$35/12*1*(1+Inputs!$B$42)*(1+Inputs!$B$43)^(AV$7-1)</f>
        <v>-22778.496</v>
      </c>
      <c r="AW112" s="66" t="n">
        <f aca="false">-AW105*Inputs!$B$35/12*1*(1+Inputs!$B$42)*(1+Inputs!$B$43)^(AW$7-1)</f>
        <v>-22778.496</v>
      </c>
      <c r="AX112" s="66" t="n">
        <f aca="false">-AX105*Inputs!$B$35/12*1*(1+Inputs!$B$42)*(1+Inputs!$B$43)^(AX$7-1)</f>
        <v>-22778.496</v>
      </c>
      <c r="AY112" s="66" t="n">
        <f aca="false">-AY105*Inputs!$B$35/12*1*(1+Inputs!$B$42)*(1+Inputs!$B$43)^(AY$7-1)</f>
        <v>-35534.45376</v>
      </c>
      <c r="AZ112" s="66" t="n">
        <f aca="false">-AZ105*Inputs!$B$35/12*1*(1+Inputs!$B$42)*(1+Inputs!$B$43)^(AZ$7-1)</f>
        <v>-35534.45376</v>
      </c>
      <c r="BA112" s="66" t="n">
        <f aca="false">-BA105*Inputs!$B$35/12*1*(1+Inputs!$B$42)*(1+Inputs!$B$43)^(BA$7-1)</f>
        <v>-35534.45376</v>
      </c>
      <c r="BB112" s="66" t="n">
        <f aca="false">-BB105*Inputs!$B$35/12*1*(1+Inputs!$B$42)*(1+Inputs!$B$43)^(BB$7-1)</f>
        <v>-35534.45376</v>
      </c>
      <c r="BC112" s="66" t="n">
        <f aca="false">-BC105*Inputs!$B$35/12*1*(1+Inputs!$B$42)*(1+Inputs!$B$43)^(BC$7-1)</f>
        <v>-35534.45376</v>
      </c>
      <c r="BD112" s="66" t="n">
        <f aca="false">-BD105*Inputs!$B$35/12*1*(1+Inputs!$B$42)*(1+Inputs!$B$43)^(BD$7-1)</f>
        <v>-35534.45376</v>
      </c>
      <c r="BE112" s="66" t="n">
        <f aca="false">-BE105*Inputs!$B$35/12*1*(1+Inputs!$B$42)*(1+Inputs!$B$43)^(BE$7-1)</f>
        <v>-35534.45376</v>
      </c>
      <c r="BF112" s="66" t="n">
        <f aca="false">-BF105*Inputs!$B$35/12*1*(1+Inputs!$B$42)*(1+Inputs!$B$43)^(BF$7-1)</f>
        <v>-35534.45376</v>
      </c>
      <c r="BG112" s="66" t="n">
        <f aca="false">-BG105*Inputs!$B$35/12*1*(1+Inputs!$B$42)*(1+Inputs!$B$43)^(BG$7-1)</f>
        <v>-35534.45376</v>
      </c>
      <c r="BH112" s="66" t="n">
        <f aca="false">-BH105*Inputs!$B$35/12*1*(1+Inputs!$B$42)*(1+Inputs!$B$43)^(BH$7-1)</f>
        <v>-35534.45376</v>
      </c>
      <c r="BI112" s="66" t="n">
        <f aca="false">-BI105*Inputs!$B$35/12*1*(1+Inputs!$B$42)*(1+Inputs!$B$43)^(BI$7-1)</f>
        <v>-35534.45376</v>
      </c>
      <c r="BJ112" s="66" t="n">
        <f aca="false">-BJ105*Inputs!$B$35/12*1*(1+Inputs!$B$42)*(1+Inputs!$B$43)^(BJ$7-1)</f>
        <v>-35534.45376</v>
      </c>
    </row>
    <row r="113" customFormat="false" ht="15" hidden="false" customHeight="false" outlineLevel="0" collapsed="false">
      <c r="A113" s="6" t="s">
        <v>446</v>
      </c>
      <c r="C113" s="66" t="n">
        <f aca="false">-C106*Inputs!$B$39/12*1*(1+Inputs!$B$42)*(1+Inputs!$B$43)^(C$7-1)</f>
        <v>-4000</v>
      </c>
      <c r="D113" s="66" t="n">
        <f aca="false">-D106*Inputs!$B$39/12*1*(1+Inputs!$B$42)*(1+Inputs!$B$43)^(D$7-1)</f>
        <v>-4000</v>
      </c>
      <c r="E113" s="66" t="n">
        <f aca="false">-E106*Inputs!$B$39/12*1*(1+Inputs!$B$42)*(1+Inputs!$B$43)^(E$7-1)</f>
        <v>-4000</v>
      </c>
      <c r="F113" s="66" t="n">
        <f aca="false">-F106*Inputs!$B$39/12*1*(1+Inputs!$B$42)*(1+Inputs!$B$43)^(F$7-1)</f>
        <v>-4000</v>
      </c>
      <c r="G113" s="66" t="n">
        <f aca="false">-G106*Inputs!$B$39/12*1*(1+Inputs!$B$42)*(1+Inputs!$B$43)^(G$7-1)</f>
        <v>-4000</v>
      </c>
      <c r="H113" s="66" t="n">
        <f aca="false">-H106*Inputs!$B$39/12*1*(1+Inputs!$B$42)*(1+Inputs!$B$43)^(H$7-1)</f>
        <v>-4000</v>
      </c>
      <c r="I113" s="66" t="n">
        <f aca="false">-I106*Inputs!$B$39/12*1*(1+Inputs!$B$42)*(1+Inputs!$B$43)^(I$7-1)</f>
        <v>-4000</v>
      </c>
      <c r="J113" s="66" t="n">
        <f aca="false">-J106*Inputs!$B$39/12*1*(1+Inputs!$B$42)*(1+Inputs!$B$43)^(J$7-1)</f>
        <v>-4000</v>
      </c>
      <c r="K113" s="66" t="n">
        <f aca="false">-K106*Inputs!$B$39/12*1*(1+Inputs!$B$42)*(1+Inputs!$B$43)^(K$7-1)</f>
        <v>-4000</v>
      </c>
      <c r="L113" s="66" t="n">
        <f aca="false">-L106*Inputs!$B$39/12*1*(1+Inputs!$B$42)*(1+Inputs!$B$43)^(L$7-1)</f>
        <v>-4000</v>
      </c>
      <c r="M113" s="66" t="n">
        <f aca="false">-M106*Inputs!$B$39/12*1*(1+Inputs!$B$42)*(1+Inputs!$B$43)^(M$7-1)</f>
        <v>-4000</v>
      </c>
      <c r="N113" s="66" t="n">
        <f aca="false">-N106*Inputs!$B$39/12*1*(1+Inputs!$B$42)*(1+Inputs!$B$43)^(N$7-1)</f>
        <v>-4000</v>
      </c>
      <c r="O113" s="66" t="n">
        <f aca="false">-O106*Inputs!$B$39/12*1*(1+Inputs!$B$42)*(1+Inputs!$B$43)^(O$7-1)</f>
        <v>-6240</v>
      </c>
      <c r="P113" s="66" t="n">
        <f aca="false">-P106*Inputs!$B$39/12*1*(1+Inputs!$B$42)*(1+Inputs!$B$43)^(P$7-1)</f>
        <v>-6240</v>
      </c>
      <c r="Q113" s="66" t="n">
        <f aca="false">-Q106*Inputs!$B$39/12*1*(1+Inputs!$B$42)*(1+Inputs!$B$43)^(Q$7-1)</f>
        <v>-6240</v>
      </c>
      <c r="R113" s="66" t="n">
        <f aca="false">-R106*Inputs!$B$39/12*1*(1+Inputs!$B$42)*(1+Inputs!$B$43)^(R$7-1)</f>
        <v>-6240</v>
      </c>
      <c r="S113" s="66" t="n">
        <f aca="false">-S106*Inputs!$B$39/12*1*(1+Inputs!$B$42)*(1+Inputs!$B$43)^(S$7-1)</f>
        <v>-6240</v>
      </c>
      <c r="T113" s="66" t="n">
        <f aca="false">-T106*Inputs!$B$39/12*1*(1+Inputs!$B$42)*(1+Inputs!$B$43)^(T$7-1)</f>
        <v>-6240</v>
      </c>
      <c r="U113" s="66" t="n">
        <f aca="false">-U106*Inputs!$B$39/12*1*(1+Inputs!$B$42)*(1+Inputs!$B$43)^(U$7-1)</f>
        <v>-6240</v>
      </c>
      <c r="V113" s="66" t="n">
        <f aca="false">-V106*Inputs!$B$39/12*1*(1+Inputs!$B$42)*(1+Inputs!$B$43)^(V$7-1)</f>
        <v>-6240</v>
      </c>
      <c r="W113" s="66" t="n">
        <f aca="false">-W106*Inputs!$B$39/12*1*(1+Inputs!$B$42)*(1+Inputs!$B$43)^(W$7-1)</f>
        <v>-6240</v>
      </c>
      <c r="X113" s="66" t="n">
        <f aca="false">-X106*Inputs!$B$39/12*1*(1+Inputs!$B$42)*(1+Inputs!$B$43)^(X$7-1)</f>
        <v>-6240</v>
      </c>
      <c r="Y113" s="66" t="n">
        <f aca="false">-Y106*Inputs!$B$39/12*1*(1+Inputs!$B$42)*(1+Inputs!$B$43)^(Y$7-1)</f>
        <v>-6240</v>
      </c>
      <c r="Z113" s="66" t="n">
        <f aca="false">-Z106*Inputs!$B$39/12*1*(1+Inputs!$B$42)*(1+Inputs!$B$43)^(Z$7-1)</f>
        <v>-6240</v>
      </c>
      <c r="AA113" s="66" t="n">
        <f aca="false">-AA106*Inputs!$B$39/12*1*(1+Inputs!$B$42)*(1+Inputs!$B$43)^(AA$7-1)</f>
        <v>-9734.4</v>
      </c>
      <c r="AB113" s="66" t="n">
        <f aca="false">-AB106*Inputs!$B$39/12*1*(1+Inputs!$B$42)*(1+Inputs!$B$43)^(AB$7-1)</f>
        <v>-9734.4</v>
      </c>
      <c r="AC113" s="66" t="n">
        <f aca="false">-AC106*Inputs!$B$39/12*1*(1+Inputs!$B$42)*(1+Inputs!$B$43)^(AC$7-1)</f>
        <v>-9734.4</v>
      </c>
      <c r="AD113" s="66" t="n">
        <f aca="false">-AD106*Inputs!$B$39/12*1*(1+Inputs!$B$42)*(1+Inputs!$B$43)^(AD$7-1)</f>
        <v>-9734.4</v>
      </c>
      <c r="AE113" s="66" t="n">
        <f aca="false">-AE106*Inputs!$B$39/12*1*(1+Inputs!$B$42)*(1+Inputs!$B$43)^(AE$7-1)</f>
        <v>-9734.4</v>
      </c>
      <c r="AF113" s="66" t="n">
        <f aca="false">-AF106*Inputs!$B$39/12*1*(1+Inputs!$B$42)*(1+Inputs!$B$43)^(AF$7-1)</f>
        <v>-9734.4</v>
      </c>
      <c r="AG113" s="66" t="n">
        <f aca="false">-AG106*Inputs!$B$39/12*1*(1+Inputs!$B$42)*(1+Inputs!$B$43)^(AG$7-1)</f>
        <v>-9734.4</v>
      </c>
      <c r="AH113" s="66" t="n">
        <f aca="false">-AH106*Inputs!$B$39/12*1*(1+Inputs!$B$42)*(1+Inputs!$B$43)^(AH$7-1)</f>
        <v>-9734.4</v>
      </c>
      <c r="AI113" s="66" t="n">
        <f aca="false">-AI106*Inputs!$B$39/12*1*(1+Inputs!$B$42)*(1+Inputs!$B$43)^(AI$7-1)</f>
        <v>-9734.4</v>
      </c>
      <c r="AJ113" s="66" t="n">
        <f aca="false">-AJ106*Inputs!$B$39/12*1*(1+Inputs!$B$42)*(1+Inputs!$B$43)^(AJ$7-1)</f>
        <v>-9734.4</v>
      </c>
      <c r="AK113" s="66" t="n">
        <f aca="false">-AK106*Inputs!$B$39/12*1*(1+Inputs!$B$42)*(1+Inputs!$B$43)^(AK$7-1)</f>
        <v>-9734.4</v>
      </c>
      <c r="AL113" s="66" t="n">
        <f aca="false">-AL106*Inputs!$B$39/12*1*(1+Inputs!$B$42)*(1+Inputs!$B$43)^(AL$7-1)</f>
        <v>-9734.4</v>
      </c>
      <c r="AM113" s="66" t="n">
        <f aca="false">-AM106*Inputs!$B$39/12*1*(1+Inputs!$B$42)*(1+Inputs!$B$43)^(AM$7-1)</f>
        <v>-15185.664</v>
      </c>
      <c r="AN113" s="66" t="n">
        <f aca="false">-AN106*Inputs!$B$39/12*1*(1+Inputs!$B$42)*(1+Inputs!$B$43)^(AN$7-1)</f>
        <v>-15185.664</v>
      </c>
      <c r="AO113" s="66" t="n">
        <f aca="false">-AO106*Inputs!$B$39/12*1*(1+Inputs!$B$42)*(1+Inputs!$B$43)^(AO$7-1)</f>
        <v>-15185.664</v>
      </c>
      <c r="AP113" s="66" t="n">
        <f aca="false">-AP106*Inputs!$B$39/12*1*(1+Inputs!$B$42)*(1+Inputs!$B$43)^(AP$7-1)</f>
        <v>-15185.664</v>
      </c>
      <c r="AQ113" s="66" t="n">
        <f aca="false">-AQ106*Inputs!$B$39/12*1*(1+Inputs!$B$42)*(1+Inputs!$B$43)^(AQ$7-1)</f>
        <v>-15185.664</v>
      </c>
      <c r="AR113" s="66" t="n">
        <f aca="false">-AR106*Inputs!$B$39/12*1*(1+Inputs!$B$42)*(1+Inputs!$B$43)^(AR$7-1)</f>
        <v>-15185.664</v>
      </c>
      <c r="AS113" s="66" t="n">
        <f aca="false">-AS106*Inputs!$B$39/12*1*(1+Inputs!$B$42)*(1+Inputs!$B$43)^(AS$7-1)</f>
        <v>-15185.664</v>
      </c>
      <c r="AT113" s="66" t="n">
        <f aca="false">-AT106*Inputs!$B$39/12*1*(1+Inputs!$B$42)*(1+Inputs!$B$43)^(AT$7-1)</f>
        <v>-15185.664</v>
      </c>
      <c r="AU113" s="66" t="n">
        <f aca="false">-AU106*Inputs!$B$39/12*1*(1+Inputs!$B$42)*(1+Inputs!$B$43)^(AU$7-1)</f>
        <v>-15185.664</v>
      </c>
      <c r="AV113" s="66" t="n">
        <f aca="false">-AV106*Inputs!$B$39/12*1*(1+Inputs!$B$42)*(1+Inputs!$B$43)^(AV$7-1)</f>
        <v>-15185.664</v>
      </c>
      <c r="AW113" s="66" t="n">
        <f aca="false">-AW106*Inputs!$B$39/12*1*(1+Inputs!$B$42)*(1+Inputs!$B$43)^(AW$7-1)</f>
        <v>-15185.664</v>
      </c>
      <c r="AX113" s="66" t="n">
        <f aca="false">-AX106*Inputs!$B$39/12*1*(1+Inputs!$B$42)*(1+Inputs!$B$43)^(AX$7-1)</f>
        <v>-15185.664</v>
      </c>
      <c r="AY113" s="66" t="n">
        <f aca="false">-AY106*Inputs!$B$39/12*1*(1+Inputs!$B$42)*(1+Inputs!$B$43)^(AY$7-1)</f>
        <v>-23689.63584</v>
      </c>
      <c r="AZ113" s="66" t="n">
        <f aca="false">-AZ106*Inputs!$B$39/12*1*(1+Inputs!$B$42)*(1+Inputs!$B$43)^(AZ$7-1)</f>
        <v>-23689.63584</v>
      </c>
      <c r="BA113" s="66" t="n">
        <f aca="false">-BA106*Inputs!$B$39/12*1*(1+Inputs!$B$42)*(1+Inputs!$B$43)^(BA$7-1)</f>
        <v>-23689.63584</v>
      </c>
      <c r="BB113" s="66" t="n">
        <f aca="false">-BB106*Inputs!$B$39/12*1*(1+Inputs!$B$42)*(1+Inputs!$B$43)^(BB$7-1)</f>
        <v>-23689.63584</v>
      </c>
      <c r="BC113" s="66" t="n">
        <f aca="false">-BC106*Inputs!$B$39/12*1*(1+Inputs!$B$42)*(1+Inputs!$B$43)^(BC$7-1)</f>
        <v>-23689.63584</v>
      </c>
      <c r="BD113" s="66" t="n">
        <f aca="false">-BD106*Inputs!$B$39/12*1*(1+Inputs!$B$42)*(1+Inputs!$B$43)^(BD$7-1)</f>
        <v>-23689.63584</v>
      </c>
      <c r="BE113" s="66" t="n">
        <f aca="false">-BE106*Inputs!$B$39/12*1*(1+Inputs!$B$42)*(1+Inputs!$B$43)^(BE$7-1)</f>
        <v>-23689.63584</v>
      </c>
      <c r="BF113" s="66" t="n">
        <f aca="false">-BF106*Inputs!$B$39/12*1*(1+Inputs!$B$42)*(1+Inputs!$B$43)^(BF$7-1)</f>
        <v>-23689.63584</v>
      </c>
      <c r="BG113" s="66" t="n">
        <f aca="false">-BG106*Inputs!$B$39/12*1*(1+Inputs!$B$42)*(1+Inputs!$B$43)^(BG$7-1)</f>
        <v>-23689.63584</v>
      </c>
      <c r="BH113" s="66" t="n">
        <f aca="false">-BH106*Inputs!$B$39/12*1*(1+Inputs!$B$42)*(1+Inputs!$B$43)^(BH$7-1)</f>
        <v>-23689.63584</v>
      </c>
      <c r="BI113" s="66" t="n">
        <f aca="false">-BI106*Inputs!$B$39/12*1*(1+Inputs!$B$42)*(1+Inputs!$B$43)^(BI$7-1)</f>
        <v>-23689.63584</v>
      </c>
      <c r="BJ113" s="66" t="n">
        <f aca="false">-BJ106*Inputs!$B$39/12*1*(1+Inputs!$B$42)*(1+Inputs!$B$43)^(BJ$7-1)</f>
        <v>-23689.63584</v>
      </c>
    </row>
    <row r="114" customFormat="false" ht="15" hidden="false" customHeight="false" outlineLevel="0" collapsed="false">
      <c r="A114" s="111" t="s">
        <v>447</v>
      </c>
      <c r="C114" s="67" t="n">
        <f aca="false">C110+C111+C112+C113</f>
        <v>-61750</v>
      </c>
      <c r="D114" s="67" t="n">
        <f aca="false">D110+D111+D112+D113</f>
        <v>-61750</v>
      </c>
      <c r="E114" s="67" t="n">
        <f aca="false">E110+E111+E112+E113</f>
        <v>-61750</v>
      </c>
      <c r="F114" s="67" t="n">
        <f aca="false">F110+F111+F112+F113</f>
        <v>-61750</v>
      </c>
      <c r="G114" s="67" t="n">
        <f aca="false">G110+G111+G112+G113</f>
        <v>-61750</v>
      </c>
      <c r="H114" s="67" t="n">
        <f aca="false">H110+H111+H112+H113</f>
        <v>-61750</v>
      </c>
      <c r="I114" s="67" t="n">
        <f aca="false">I110+I111+I112+I113</f>
        <v>-61750</v>
      </c>
      <c r="J114" s="67" t="n">
        <f aca="false">J110+J111+J112+J113</f>
        <v>-61750</v>
      </c>
      <c r="K114" s="67" t="n">
        <f aca="false">K110+K111+K112+K113</f>
        <v>-61750</v>
      </c>
      <c r="L114" s="67" t="n">
        <f aca="false">L110+L111+L112+L113</f>
        <v>-61750</v>
      </c>
      <c r="M114" s="67" t="n">
        <f aca="false">M110+M111+M112+M113</f>
        <v>-61750</v>
      </c>
      <c r="N114" s="67" t="n">
        <f aca="false">N110+N111+N112+N113</f>
        <v>-61750</v>
      </c>
      <c r="O114" s="67" t="n">
        <f aca="false">O110+O111+O112+O113</f>
        <v>-96330</v>
      </c>
      <c r="P114" s="67" t="n">
        <f aca="false">P110+P111+P112+P113</f>
        <v>-96330</v>
      </c>
      <c r="Q114" s="67" t="n">
        <f aca="false">Q110+Q111+Q112+Q113</f>
        <v>-96330</v>
      </c>
      <c r="R114" s="67" t="n">
        <f aca="false">R110+R111+R112+R113</f>
        <v>-96330</v>
      </c>
      <c r="S114" s="67" t="n">
        <f aca="false">S110+S111+S112+S113</f>
        <v>-96330</v>
      </c>
      <c r="T114" s="67" t="n">
        <f aca="false">T110+T111+T112+T113</f>
        <v>-96330</v>
      </c>
      <c r="U114" s="67" t="n">
        <f aca="false">U110+U111+U112+U113</f>
        <v>-96330</v>
      </c>
      <c r="V114" s="67" t="n">
        <f aca="false">V110+V111+V112+V113</f>
        <v>-96330</v>
      </c>
      <c r="W114" s="67" t="n">
        <f aca="false">W110+W111+W112+W113</f>
        <v>-96330</v>
      </c>
      <c r="X114" s="67" t="n">
        <f aca="false">X110+X111+X112+X113</f>
        <v>-96330</v>
      </c>
      <c r="Y114" s="67" t="n">
        <f aca="false">Y110+Y111+Y112+Y113</f>
        <v>-96330</v>
      </c>
      <c r="Z114" s="67" t="n">
        <f aca="false">Z110+Z111+Z112+Z113</f>
        <v>-96330</v>
      </c>
      <c r="AA114" s="67" t="n">
        <f aca="false">AA110+AA111+AA112+AA113</f>
        <v>-150274.8</v>
      </c>
      <c r="AB114" s="67" t="n">
        <f aca="false">AB110+AB111+AB112+AB113</f>
        <v>-150274.8</v>
      </c>
      <c r="AC114" s="67" t="n">
        <f aca="false">AC110+AC111+AC112+AC113</f>
        <v>-150274.8</v>
      </c>
      <c r="AD114" s="67" t="n">
        <f aca="false">AD110+AD111+AD112+AD113</f>
        <v>-150274.8</v>
      </c>
      <c r="AE114" s="67" t="n">
        <f aca="false">AE110+AE111+AE112+AE113</f>
        <v>-150274.8</v>
      </c>
      <c r="AF114" s="67" t="n">
        <f aca="false">AF110+AF111+AF112+AF113</f>
        <v>-150274.8</v>
      </c>
      <c r="AG114" s="67" t="n">
        <f aca="false">AG110+AG111+AG112+AG113</f>
        <v>-150274.8</v>
      </c>
      <c r="AH114" s="67" t="n">
        <f aca="false">AH110+AH111+AH112+AH113</f>
        <v>-150274.8</v>
      </c>
      <c r="AI114" s="67" t="n">
        <f aca="false">AI110+AI111+AI112+AI113</f>
        <v>-150274.8</v>
      </c>
      <c r="AJ114" s="67" t="n">
        <f aca="false">AJ110+AJ111+AJ112+AJ113</f>
        <v>-150274.8</v>
      </c>
      <c r="AK114" s="67" t="n">
        <f aca="false">AK110+AK111+AK112+AK113</f>
        <v>-150274.8</v>
      </c>
      <c r="AL114" s="67" t="n">
        <f aca="false">AL110+AL111+AL112+AL113</f>
        <v>-150274.8</v>
      </c>
      <c r="AM114" s="67" t="n">
        <f aca="false">AM110+AM111+AM112+AM113</f>
        <v>-234428.688</v>
      </c>
      <c r="AN114" s="67" t="n">
        <f aca="false">AN110+AN111+AN112+AN113</f>
        <v>-234428.688</v>
      </c>
      <c r="AO114" s="67" t="n">
        <f aca="false">AO110+AO111+AO112+AO113</f>
        <v>-234428.688</v>
      </c>
      <c r="AP114" s="67" t="n">
        <f aca="false">AP110+AP111+AP112+AP113</f>
        <v>-234428.688</v>
      </c>
      <c r="AQ114" s="67" t="n">
        <f aca="false">AQ110+AQ111+AQ112+AQ113</f>
        <v>-234428.688</v>
      </c>
      <c r="AR114" s="67" t="n">
        <f aca="false">AR110+AR111+AR112+AR113</f>
        <v>-234428.688</v>
      </c>
      <c r="AS114" s="67" t="n">
        <f aca="false">AS110+AS111+AS112+AS113</f>
        <v>-234428.688</v>
      </c>
      <c r="AT114" s="67" t="n">
        <f aca="false">AT110+AT111+AT112+AT113</f>
        <v>-234428.688</v>
      </c>
      <c r="AU114" s="67" t="n">
        <f aca="false">AU110+AU111+AU112+AU113</f>
        <v>-234428.688</v>
      </c>
      <c r="AV114" s="67" t="n">
        <f aca="false">AV110+AV111+AV112+AV113</f>
        <v>-234428.688</v>
      </c>
      <c r="AW114" s="67" t="n">
        <f aca="false">AW110+AW111+AW112+AW113</f>
        <v>-234428.688</v>
      </c>
      <c r="AX114" s="67" t="n">
        <f aca="false">AX110+AX111+AX112+AX113</f>
        <v>-234428.688</v>
      </c>
      <c r="AY114" s="67" t="n">
        <f aca="false">AY110+AY111+AY112+AY113</f>
        <v>-365708.75328</v>
      </c>
      <c r="AZ114" s="67" t="n">
        <f aca="false">AZ110+AZ111+AZ112+AZ113</f>
        <v>-365708.75328</v>
      </c>
      <c r="BA114" s="67" t="n">
        <f aca="false">BA110+BA111+BA112+BA113</f>
        <v>-365708.75328</v>
      </c>
      <c r="BB114" s="67" t="n">
        <f aca="false">BB110+BB111+BB112+BB113</f>
        <v>-365708.75328</v>
      </c>
      <c r="BC114" s="67" t="n">
        <f aca="false">BC110+BC111+BC112+BC113</f>
        <v>-365708.75328</v>
      </c>
      <c r="BD114" s="67" t="n">
        <f aca="false">BD110+BD111+BD112+BD113</f>
        <v>-365708.75328</v>
      </c>
      <c r="BE114" s="67" t="n">
        <f aca="false">BE110+BE111+BE112+BE113</f>
        <v>-365708.75328</v>
      </c>
      <c r="BF114" s="67" t="n">
        <f aca="false">BF110+BF111+BF112+BF113</f>
        <v>-365708.75328</v>
      </c>
      <c r="BG114" s="67" t="n">
        <f aca="false">BG110+BG111+BG112+BG113</f>
        <v>-365708.75328</v>
      </c>
      <c r="BH114" s="67" t="n">
        <f aca="false">BH110+BH111+BH112+BH113</f>
        <v>-365708.75328</v>
      </c>
      <c r="BI114" s="67" t="n">
        <f aca="false">BI110+BI111+BI112+BI113</f>
        <v>-365708.75328</v>
      </c>
      <c r="BJ114" s="67" t="n">
        <f aca="false">BJ110+BJ111+BJ112+BJ113</f>
        <v>-365708.75328</v>
      </c>
    </row>
    <row r="117" customFormat="false" ht="15.75" hidden="false" customHeight="true" outlineLevel="0" collapsed="false">
      <c r="A117" s="7" t="s">
        <v>451</v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</row>
    <row r="118" customFormat="false" ht="15" hidden="false" customHeight="false" outlineLevel="0" collapsed="false">
      <c r="A118" s="33" t="s">
        <v>332</v>
      </c>
      <c r="C118" s="51" t="s">
        <v>333</v>
      </c>
      <c r="D118" s="51" t="s">
        <v>334</v>
      </c>
      <c r="E118" s="51" t="s">
        <v>335</v>
      </c>
      <c r="F118" s="51" t="s">
        <v>336</v>
      </c>
      <c r="G118" s="51" t="s">
        <v>337</v>
      </c>
      <c r="H118" s="51" t="s">
        <v>338</v>
      </c>
      <c r="I118" s="51" t="s">
        <v>339</v>
      </c>
      <c r="J118" s="51" t="s">
        <v>340</v>
      </c>
      <c r="K118" s="51" t="s">
        <v>341</v>
      </c>
      <c r="L118" s="51" t="s">
        <v>342</v>
      </c>
      <c r="M118" s="51" t="s">
        <v>343</v>
      </c>
      <c r="N118" s="51" t="s">
        <v>344</v>
      </c>
      <c r="O118" s="51" t="s">
        <v>345</v>
      </c>
      <c r="P118" s="51" t="s">
        <v>346</v>
      </c>
      <c r="Q118" s="51" t="s">
        <v>347</v>
      </c>
      <c r="R118" s="51" t="s">
        <v>348</v>
      </c>
      <c r="S118" s="51" t="s">
        <v>349</v>
      </c>
      <c r="T118" s="51" t="s">
        <v>350</v>
      </c>
      <c r="U118" s="51" t="s">
        <v>351</v>
      </c>
      <c r="V118" s="51" t="s">
        <v>352</v>
      </c>
      <c r="W118" s="51" t="s">
        <v>353</v>
      </c>
      <c r="X118" s="51" t="s">
        <v>354</v>
      </c>
      <c r="Y118" s="51" t="s">
        <v>355</v>
      </c>
      <c r="Z118" s="51" t="s">
        <v>356</v>
      </c>
      <c r="AA118" s="51" t="s">
        <v>357</v>
      </c>
      <c r="AB118" s="51" t="s">
        <v>358</v>
      </c>
      <c r="AC118" s="51" t="s">
        <v>359</v>
      </c>
      <c r="AD118" s="51" t="s">
        <v>360</v>
      </c>
      <c r="AE118" s="51" t="s">
        <v>361</v>
      </c>
      <c r="AF118" s="51" t="s">
        <v>362</v>
      </c>
      <c r="AG118" s="51" t="s">
        <v>363</v>
      </c>
      <c r="AH118" s="51" t="s">
        <v>364</v>
      </c>
      <c r="AI118" s="51" t="s">
        <v>365</v>
      </c>
      <c r="AJ118" s="51" t="s">
        <v>366</v>
      </c>
      <c r="AK118" s="51" t="s">
        <v>367</v>
      </c>
      <c r="AL118" s="51" t="s">
        <v>368</v>
      </c>
      <c r="AM118" s="51" t="s">
        <v>369</v>
      </c>
      <c r="AN118" s="51" t="s">
        <v>370</v>
      </c>
      <c r="AO118" s="51" t="s">
        <v>371</v>
      </c>
      <c r="AP118" s="51" t="s">
        <v>372</v>
      </c>
      <c r="AQ118" s="51" t="s">
        <v>373</v>
      </c>
      <c r="AR118" s="51" t="s">
        <v>374</v>
      </c>
      <c r="AS118" s="51" t="s">
        <v>375</v>
      </c>
      <c r="AT118" s="51" t="s">
        <v>376</v>
      </c>
      <c r="AU118" s="51" t="s">
        <v>377</v>
      </c>
      <c r="AV118" s="51" t="s">
        <v>378</v>
      </c>
      <c r="AW118" s="51" t="s">
        <v>379</v>
      </c>
      <c r="AX118" s="51" t="s">
        <v>380</v>
      </c>
      <c r="AY118" s="51" t="s">
        <v>381</v>
      </c>
      <c r="AZ118" s="51" t="s">
        <v>382</v>
      </c>
      <c r="BA118" s="51" t="s">
        <v>383</v>
      </c>
      <c r="BB118" s="51" t="s">
        <v>384</v>
      </c>
      <c r="BC118" s="51" t="s">
        <v>385</v>
      </c>
      <c r="BD118" s="51" t="s">
        <v>386</v>
      </c>
      <c r="BE118" s="51" t="s">
        <v>387</v>
      </c>
      <c r="BF118" s="51" t="s">
        <v>388</v>
      </c>
      <c r="BG118" s="51" t="s">
        <v>389</v>
      </c>
      <c r="BH118" s="51" t="s">
        <v>390</v>
      </c>
      <c r="BI118" s="51" t="s">
        <v>391</v>
      </c>
      <c r="BJ118" s="51" t="s">
        <v>392</v>
      </c>
    </row>
    <row r="119" customFormat="false" ht="15" hidden="false" customHeight="false" outlineLevel="0" collapsed="false">
      <c r="A119" s="71" t="s">
        <v>393</v>
      </c>
      <c r="C119" s="71" t="n">
        <v>1</v>
      </c>
      <c r="D119" s="71" t="n">
        <v>2</v>
      </c>
      <c r="E119" s="71" t="n">
        <v>3</v>
      </c>
      <c r="F119" s="71" t="n">
        <v>4</v>
      </c>
      <c r="G119" s="71" t="n">
        <v>5</v>
      </c>
      <c r="H119" s="71" t="n">
        <v>6</v>
      </c>
      <c r="I119" s="71" t="n">
        <v>7</v>
      </c>
      <c r="J119" s="71" t="n">
        <v>8</v>
      </c>
      <c r="K119" s="71" t="n">
        <v>9</v>
      </c>
      <c r="L119" s="71" t="n">
        <v>10</v>
      </c>
      <c r="M119" s="71" t="n">
        <v>11</v>
      </c>
      <c r="N119" s="71" t="n">
        <v>12</v>
      </c>
      <c r="O119" s="71" t="n">
        <v>13</v>
      </c>
      <c r="P119" s="71" t="n">
        <v>14</v>
      </c>
      <c r="Q119" s="71" t="n">
        <v>15</v>
      </c>
      <c r="R119" s="71" t="n">
        <v>16</v>
      </c>
      <c r="S119" s="71" t="n">
        <v>17</v>
      </c>
      <c r="T119" s="71" t="n">
        <v>18</v>
      </c>
      <c r="U119" s="71" t="n">
        <v>19</v>
      </c>
      <c r="V119" s="71" t="n">
        <v>20</v>
      </c>
      <c r="W119" s="71" t="n">
        <v>21</v>
      </c>
      <c r="X119" s="71" t="n">
        <v>22</v>
      </c>
      <c r="Y119" s="71" t="n">
        <v>23</v>
      </c>
      <c r="Z119" s="71" t="n">
        <v>24</v>
      </c>
      <c r="AA119" s="71" t="n">
        <v>25</v>
      </c>
      <c r="AB119" s="71" t="n">
        <v>26</v>
      </c>
      <c r="AC119" s="71" t="n">
        <v>27</v>
      </c>
      <c r="AD119" s="71" t="n">
        <v>28</v>
      </c>
      <c r="AE119" s="71" t="n">
        <v>29</v>
      </c>
      <c r="AF119" s="71" t="n">
        <v>30</v>
      </c>
      <c r="AG119" s="71" t="n">
        <v>31</v>
      </c>
      <c r="AH119" s="71" t="n">
        <v>32</v>
      </c>
      <c r="AI119" s="71" t="n">
        <v>33</v>
      </c>
      <c r="AJ119" s="71" t="n">
        <v>34</v>
      </c>
      <c r="AK119" s="71" t="n">
        <v>35</v>
      </c>
      <c r="AL119" s="71" t="n">
        <v>36</v>
      </c>
      <c r="AM119" s="71" t="n">
        <v>37</v>
      </c>
      <c r="AN119" s="71" t="n">
        <v>38</v>
      </c>
      <c r="AO119" s="71" t="n">
        <v>39</v>
      </c>
      <c r="AP119" s="71" t="n">
        <v>40</v>
      </c>
      <c r="AQ119" s="71" t="n">
        <v>41</v>
      </c>
      <c r="AR119" s="71" t="n">
        <v>42</v>
      </c>
      <c r="AS119" s="71" t="n">
        <v>43</v>
      </c>
      <c r="AT119" s="71" t="n">
        <v>44</v>
      </c>
      <c r="AU119" s="71" t="n">
        <v>45</v>
      </c>
      <c r="AV119" s="71" t="n">
        <v>46</v>
      </c>
      <c r="AW119" s="71" t="n">
        <v>47</v>
      </c>
      <c r="AX119" s="71" t="n">
        <v>48</v>
      </c>
      <c r="AY119" s="71" t="n">
        <v>49</v>
      </c>
      <c r="AZ119" s="71" t="n">
        <v>50</v>
      </c>
      <c r="BA119" s="71" t="n">
        <v>51</v>
      </c>
      <c r="BB119" s="71" t="n">
        <v>52</v>
      </c>
      <c r="BC119" s="71" t="n">
        <v>53</v>
      </c>
      <c r="BD119" s="71" t="n">
        <v>54</v>
      </c>
      <c r="BE119" s="71" t="n">
        <v>55</v>
      </c>
      <c r="BF119" s="71" t="n">
        <v>56</v>
      </c>
      <c r="BG119" s="71" t="n">
        <v>57</v>
      </c>
      <c r="BH119" s="71" t="n">
        <v>58</v>
      </c>
      <c r="BI119" s="71" t="n">
        <v>59</v>
      </c>
      <c r="BJ119" s="71" t="n">
        <v>60</v>
      </c>
    </row>
    <row r="120" customFormat="false" ht="15" hidden="false" customHeight="false" outlineLevel="0" collapsed="false">
      <c r="A120" s="71" t="s">
        <v>154</v>
      </c>
      <c r="C120" s="71" t="n">
        <f aca="false">ROUNDUP(C119*1/12,0)</f>
        <v>1</v>
      </c>
      <c r="D120" s="71" t="n">
        <f aca="false">ROUNDUP(D119*1/12,0)</f>
        <v>1</v>
      </c>
      <c r="E120" s="71" t="n">
        <f aca="false">ROUNDUP(E119*1/12,0)</f>
        <v>1</v>
      </c>
      <c r="F120" s="71" t="n">
        <f aca="false">ROUNDUP(F119*1/12,0)</f>
        <v>1</v>
      </c>
      <c r="G120" s="71" t="n">
        <f aca="false">ROUNDUP(G119*1/12,0)</f>
        <v>1</v>
      </c>
      <c r="H120" s="71" t="n">
        <f aca="false">ROUNDUP(H119*1/12,0)</f>
        <v>1</v>
      </c>
      <c r="I120" s="71" t="n">
        <f aca="false">ROUNDUP(I119*1/12,0)</f>
        <v>1</v>
      </c>
      <c r="J120" s="71" t="n">
        <f aca="false">ROUNDUP(J119*1/12,0)</f>
        <v>1</v>
      </c>
      <c r="K120" s="71" t="n">
        <f aca="false">ROUNDUP(K119*1/12,0)</f>
        <v>1</v>
      </c>
      <c r="L120" s="71" t="n">
        <f aca="false">ROUNDUP(L119*1/12,0)</f>
        <v>1</v>
      </c>
      <c r="M120" s="71" t="n">
        <f aca="false">ROUNDUP(M119*1/12,0)</f>
        <v>1</v>
      </c>
      <c r="N120" s="71" t="n">
        <f aca="false">ROUNDUP(N119*1/12,0)</f>
        <v>1</v>
      </c>
      <c r="O120" s="71" t="n">
        <f aca="false">ROUNDUP(O119*1/12,0)</f>
        <v>2</v>
      </c>
      <c r="P120" s="71" t="n">
        <f aca="false">ROUNDUP(P119*1/12,0)</f>
        <v>2</v>
      </c>
      <c r="Q120" s="71" t="n">
        <f aca="false">ROUNDUP(Q119*1/12,0)</f>
        <v>2</v>
      </c>
      <c r="R120" s="71" t="n">
        <f aca="false">ROUNDUP(R119*1/12,0)</f>
        <v>2</v>
      </c>
      <c r="S120" s="71" t="n">
        <f aca="false">ROUNDUP(S119*1/12,0)</f>
        <v>2</v>
      </c>
      <c r="T120" s="71" t="n">
        <f aca="false">ROUNDUP(T119*1/12,0)</f>
        <v>2</v>
      </c>
      <c r="U120" s="71" t="n">
        <f aca="false">ROUNDUP(U119*1/12,0)</f>
        <v>2</v>
      </c>
      <c r="V120" s="71" t="n">
        <f aca="false">ROUNDUP(V119*1/12,0)</f>
        <v>2</v>
      </c>
      <c r="W120" s="71" t="n">
        <f aca="false">ROUNDUP(W119*1/12,0)</f>
        <v>2</v>
      </c>
      <c r="X120" s="71" t="n">
        <f aca="false">ROUNDUP(X119*1/12,0)</f>
        <v>2</v>
      </c>
      <c r="Y120" s="71" t="n">
        <f aca="false">ROUNDUP(Y119*1/12,0)</f>
        <v>2</v>
      </c>
      <c r="Z120" s="71" t="n">
        <f aca="false">ROUNDUP(Z119*1/12,0)</f>
        <v>2</v>
      </c>
      <c r="AA120" s="71" t="n">
        <f aca="false">ROUNDUP(AA119*1/12,0)</f>
        <v>3</v>
      </c>
      <c r="AB120" s="71" t="n">
        <f aca="false">ROUNDUP(AB119*1/12,0)</f>
        <v>3</v>
      </c>
      <c r="AC120" s="71" t="n">
        <f aca="false">ROUNDUP(AC119*1/12,0)</f>
        <v>3</v>
      </c>
      <c r="AD120" s="71" t="n">
        <f aca="false">ROUNDUP(AD119*1/12,0)</f>
        <v>3</v>
      </c>
      <c r="AE120" s="71" t="n">
        <f aca="false">ROUNDUP(AE119*1/12,0)</f>
        <v>3</v>
      </c>
      <c r="AF120" s="71" t="n">
        <f aca="false">ROUNDUP(AF119*1/12,0)</f>
        <v>3</v>
      </c>
      <c r="AG120" s="71" t="n">
        <f aca="false">ROUNDUP(AG119*1/12,0)</f>
        <v>3</v>
      </c>
      <c r="AH120" s="71" t="n">
        <f aca="false">ROUNDUP(AH119*1/12,0)</f>
        <v>3</v>
      </c>
      <c r="AI120" s="71" t="n">
        <f aca="false">ROUNDUP(AI119*1/12,0)</f>
        <v>3</v>
      </c>
      <c r="AJ120" s="71" t="n">
        <f aca="false">ROUNDUP(AJ119*1/12,0)</f>
        <v>3</v>
      </c>
      <c r="AK120" s="71" t="n">
        <f aca="false">ROUNDUP(AK119*1/12,0)</f>
        <v>3</v>
      </c>
      <c r="AL120" s="71" t="n">
        <f aca="false">ROUNDUP(AL119*1/12,0)</f>
        <v>3</v>
      </c>
      <c r="AM120" s="71" t="n">
        <f aca="false">ROUNDUP(AM119*1/12,0)</f>
        <v>4</v>
      </c>
      <c r="AN120" s="71" t="n">
        <f aca="false">ROUNDUP(AN119*1/12,0)</f>
        <v>4</v>
      </c>
      <c r="AO120" s="71" t="n">
        <f aca="false">ROUNDUP(AO119*1/12,0)</f>
        <v>4</v>
      </c>
      <c r="AP120" s="71" t="n">
        <f aca="false">ROUNDUP(AP119*1/12,0)</f>
        <v>4</v>
      </c>
      <c r="AQ120" s="71" t="n">
        <f aca="false">ROUNDUP(AQ119*1/12,0)</f>
        <v>4</v>
      </c>
      <c r="AR120" s="71" t="n">
        <f aca="false">ROUNDUP(AR119*1/12,0)</f>
        <v>4</v>
      </c>
      <c r="AS120" s="71" t="n">
        <f aca="false">ROUNDUP(AS119*1/12,0)</f>
        <v>4</v>
      </c>
      <c r="AT120" s="71" t="n">
        <f aca="false">ROUNDUP(AT119*1/12,0)</f>
        <v>4</v>
      </c>
      <c r="AU120" s="71" t="n">
        <f aca="false">ROUNDUP(AU119*1/12,0)</f>
        <v>4</v>
      </c>
      <c r="AV120" s="71" t="n">
        <f aca="false">ROUNDUP(AV119*1/12,0)</f>
        <v>4</v>
      </c>
      <c r="AW120" s="71" t="n">
        <f aca="false">ROUNDUP(AW119*1/12,0)</f>
        <v>4</v>
      </c>
      <c r="AX120" s="71" t="n">
        <f aca="false">ROUNDUP(AX119*1/12,0)</f>
        <v>4</v>
      </c>
      <c r="AY120" s="71" t="n">
        <f aca="false">ROUNDUP(AY119*1/12,0)</f>
        <v>5</v>
      </c>
      <c r="AZ120" s="71" t="n">
        <f aca="false">ROUNDUP(AZ119*1/12,0)</f>
        <v>5</v>
      </c>
      <c r="BA120" s="71" t="n">
        <f aca="false">ROUNDUP(BA119*1/12,0)</f>
        <v>5</v>
      </c>
      <c r="BB120" s="71" t="n">
        <f aca="false">ROUNDUP(BB119*1/12,0)</f>
        <v>5</v>
      </c>
      <c r="BC120" s="71" t="n">
        <f aca="false">ROUNDUP(BC119*1/12,0)</f>
        <v>5</v>
      </c>
      <c r="BD120" s="71" t="n">
        <f aca="false">ROUNDUP(BD119*1/12,0)</f>
        <v>5</v>
      </c>
      <c r="BE120" s="71" t="n">
        <f aca="false">ROUNDUP(BE119*1/12,0)</f>
        <v>5</v>
      </c>
      <c r="BF120" s="71" t="n">
        <f aca="false">ROUNDUP(BF119*1/12,0)</f>
        <v>5</v>
      </c>
      <c r="BG120" s="71" t="n">
        <f aca="false">ROUNDUP(BG119*1/12,0)</f>
        <v>5</v>
      </c>
      <c r="BH120" s="71" t="n">
        <f aca="false">ROUNDUP(BH119*1/12,0)</f>
        <v>5</v>
      </c>
      <c r="BI120" s="71" t="n">
        <f aca="false">ROUNDUP(BI119*1/12,0)</f>
        <v>5</v>
      </c>
      <c r="BJ120" s="71" t="n">
        <f aca="false">ROUNDUP(BJ119*1/12,0)</f>
        <v>5</v>
      </c>
    </row>
    <row r="122" customFormat="false" ht="15.75" hidden="false" customHeight="true" outlineLevel="0" collapsed="false">
      <c r="A122" s="7" t="s">
        <v>394</v>
      </c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</row>
    <row r="123" customFormat="false" ht="15" hidden="false" customHeight="false" outlineLevel="0" collapsed="false">
      <c r="A123" s="6" t="s">
        <v>395</v>
      </c>
      <c r="C123" s="114" t="n">
        <f aca="false">Inputs!$C$12*(1+Inputs!$C$13)^(C$120-1)*1</f>
        <v>12</v>
      </c>
      <c r="D123" s="114" t="n">
        <f aca="false">Inputs!$C$12*(1+Inputs!$C$13)^(D$120-1)*1</f>
        <v>12</v>
      </c>
      <c r="E123" s="114" t="n">
        <f aca="false">Inputs!$C$12*(1+Inputs!$C$13)^(E$120-1)*1</f>
        <v>12</v>
      </c>
      <c r="F123" s="114" t="n">
        <f aca="false">Inputs!$C$12*(1+Inputs!$C$13)^(F$120-1)*1</f>
        <v>12</v>
      </c>
      <c r="G123" s="114" t="n">
        <f aca="false">Inputs!$C$12*(1+Inputs!$C$13)^(G$120-1)*1</f>
        <v>12</v>
      </c>
      <c r="H123" s="114" t="n">
        <f aca="false">Inputs!$C$12*(1+Inputs!$C$13)^(H$120-1)*1</f>
        <v>12</v>
      </c>
      <c r="I123" s="114" t="n">
        <f aca="false">Inputs!$C$12*(1+Inputs!$C$13)^(I$120-1)*1</f>
        <v>12</v>
      </c>
      <c r="J123" s="114" t="n">
        <f aca="false">Inputs!$C$12*(1+Inputs!$C$13)^(J$120-1)*1</f>
        <v>12</v>
      </c>
      <c r="K123" s="114" t="n">
        <f aca="false">Inputs!$C$12*(1+Inputs!$C$13)^(K$120-1)*1</f>
        <v>12</v>
      </c>
      <c r="L123" s="114" t="n">
        <f aca="false">Inputs!$C$12*(1+Inputs!$C$13)^(L$120-1)*1</f>
        <v>12</v>
      </c>
      <c r="M123" s="114" t="n">
        <f aca="false">Inputs!$C$12*(1+Inputs!$C$13)^(M$120-1)*1</f>
        <v>12</v>
      </c>
      <c r="N123" s="114" t="n">
        <f aca="false">Inputs!$C$12*(1+Inputs!$C$13)^(N$120-1)*1</f>
        <v>12</v>
      </c>
      <c r="O123" s="114" t="n">
        <f aca="false">Inputs!$C$12*(1+Inputs!$C$13)^(O$120-1)*1</f>
        <v>15.6</v>
      </c>
      <c r="P123" s="114" t="n">
        <f aca="false">Inputs!$C$12*(1+Inputs!$C$13)^(P$120-1)*1</f>
        <v>15.6</v>
      </c>
      <c r="Q123" s="114" t="n">
        <f aca="false">Inputs!$C$12*(1+Inputs!$C$13)^(Q$120-1)*1</f>
        <v>15.6</v>
      </c>
      <c r="R123" s="114" t="n">
        <f aca="false">Inputs!$C$12*(1+Inputs!$C$13)^(R$120-1)*1</f>
        <v>15.6</v>
      </c>
      <c r="S123" s="114" t="n">
        <f aca="false">Inputs!$C$12*(1+Inputs!$C$13)^(S$120-1)*1</f>
        <v>15.6</v>
      </c>
      <c r="T123" s="114" t="n">
        <f aca="false">Inputs!$C$12*(1+Inputs!$C$13)^(T$120-1)*1</f>
        <v>15.6</v>
      </c>
      <c r="U123" s="114" t="n">
        <f aca="false">Inputs!$C$12*(1+Inputs!$C$13)^(U$120-1)*1</f>
        <v>15.6</v>
      </c>
      <c r="V123" s="114" t="n">
        <f aca="false">Inputs!$C$12*(1+Inputs!$C$13)^(V$120-1)*1</f>
        <v>15.6</v>
      </c>
      <c r="W123" s="114" t="n">
        <f aca="false">Inputs!$C$12*(1+Inputs!$C$13)^(W$120-1)*1</f>
        <v>15.6</v>
      </c>
      <c r="X123" s="114" t="n">
        <f aca="false">Inputs!$C$12*(1+Inputs!$C$13)^(X$120-1)*1</f>
        <v>15.6</v>
      </c>
      <c r="Y123" s="114" t="n">
        <f aca="false">Inputs!$C$12*(1+Inputs!$C$13)^(Y$120-1)*1</f>
        <v>15.6</v>
      </c>
      <c r="Z123" s="114" t="n">
        <f aca="false">Inputs!$C$12*(1+Inputs!$C$13)^(Z$120-1)*1</f>
        <v>15.6</v>
      </c>
      <c r="AA123" s="114" t="n">
        <f aca="false">Inputs!$C$12*(1+Inputs!$C$13)^(AA$120-1)*1</f>
        <v>20.28</v>
      </c>
      <c r="AB123" s="114" t="n">
        <f aca="false">Inputs!$C$12*(1+Inputs!$C$13)^(AB$120-1)*1</f>
        <v>20.28</v>
      </c>
      <c r="AC123" s="114" t="n">
        <f aca="false">Inputs!$C$12*(1+Inputs!$C$13)^(AC$120-1)*1</f>
        <v>20.28</v>
      </c>
      <c r="AD123" s="114" t="n">
        <f aca="false">Inputs!$C$12*(1+Inputs!$C$13)^(AD$120-1)*1</f>
        <v>20.28</v>
      </c>
      <c r="AE123" s="114" t="n">
        <f aca="false">Inputs!$C$12*(1+Inputs!$C$13)^(AE$120-1)*1</f>
        <v>20.28</v>
      </c>
      <c r="AF123" s="114" t="n">
        <f aca="false">Inputs!$C$12*(1+Inputs!$C$13)^(AF$120-1)*1</f>
        <v>20.28</v>
      </c>
      <c r="AG123" s="114" t="n">
        <f aca="false">Inputs!$C$12*(1+Inputs!$C$13)^(AG$120-1)*1</f>
        <v>20.28</v>
      </c>
      <c r="AH123" s="114" t="n">
        <f aca="false">Inputs!$C$12*(1+Inputs!$C$13)^(AH$120-1)*1</f>
        <v>20.28</v>
      </c>
      <c r="AI123" s="114" t="n">
        <f aca="false">Inputs!$C$12*(1+Inputs!$C$13)^(AI$120-1)*1</f>
        <v>20.28</v>
      </c>
      <c r="AJ123" s="114" t="n">
        <f aca="false">Inputs!$C$12*(1+Inputs!$C$13)^(AJ$120-1)*1</f>
        <v>20.28</v>
      </c>
      <c r="AK123" s="114" t="n">
        <f aca="false">Inputs!$C$12*(1+Inputs!$C$13)^(AK$120-1)*1</f>
        <v>20.28</v>
      </c>
      <c r="AL123" s="114" t="n">
        <f aca="false">Inputs!$C$12*(1+Inputs!$C$13)^(AL$120-1)*1</f>
        <v>20.28</v>
      </c>
      <c r="AM123" s="114" t="n">
        <f aca="false">Inputs!$C$12*(1+Inputs!$C$13)^(AM$120-1)*1</f>
        <v>26.364</v>
      </c>
      <c r="AN123" s="114" t="n">
        <f aca="false">Inputs!$C$12*(1+Inputs!$C$13)^(AN$120-1)*1</f>
        <v>26.364</v>
      </c>
      <c r="AO123" s="114" t="n">
        <f aca="false">Inputs!$C$12*(1+Inputs!$C$13)^(AO$120-1)*1</f>
        <v>26.364</v>
      </c>
      <c r="AP123" s="114" t="n">
        <f aca="false">Inputs!$C$12*(1+Inputs!$C$13)^(AP$120-1)*1</f>
        <v>26.364</v>
      </c>
      <c r="AQ123" s="114" t="n">
        <f aca="false">Inputs!$C$12*(1+Inputs!$C$13)^(AQ$120-1)*1</f>
        <v>26.364</v>
      </c>
      <c r="AR123" s="114" t="n">
        <f aca="false">Inputs!$C$12*(1+Inputs!$C$13)^(AR$120-1)*1</f>
        <v>26.364</v>
      </c>
      <c r="AS123" s="114" t="n">
        <f aca="false">Inputs!$C$12*(1+Inputs!$C$13)^(AS$120-1)*1</f>
        <v>26.364</v>
      </c>
      <c r="AT123" s="114" t="n">
        <f aca="false">Inputs!$C$12*(1+Inputs!$C$13)^(AT$120-1)*1</f>
        <v>26.364</v>
      </c>
      <c r="AU123" s="114" t="n">
        <f aca="false">Inputs!$C$12*(1+Inputs!$C$13)^(AU$120-1)*1</f>
        <v>26.364</v>
      </c>
      <c r="AV123" s="114" t="n">
        <f aca="false">Inputs!$C$12*(1+Inputs!$C$13)^(AV$120-1)*1</f>
        <v>26.364</v>
      </c>
      <c r="AW123" s="114" t="n">
        <f aca="false">Inputs!$C$12*(1+Inputs!$C$13)^(AW$120-1)*1</f>
        <v>26.364</v>
      </c>
      <c r="AX123" s="114" t="n">
        <f aca="false">Inputs!$C$12*(1+Inputs!$C$13)^(AX$120-1)*1</f>
        <v>26.364</v>
      </c>
      <c r="AY123" s="114" t="n">
        <f aca="false">Inputs!$C$12*(1+Inputs!$C$13)^(AY$120-1)*1</f>
        <v>34.2732</v>
      </c>
      <c r="AZ123" s="114" t="n">
        <f aca="false">Inputs!$C$12*(1+Inputs!$C$13)^(AZ$120-1)*1</f>
        <v>34.2732</v>
      </c>
      <c r="BA123" s="114" t="n">
        <f aca="false">Inputs!$C$12*(1+Inputs!$C$13)^(BA$120-1)*1</f>
        <v>34.2732</v>
      </c>
      <c r="BB123" s="114" t="n">
        <f aca="false">Inputs!$C$12*(1+Inputs!$C$13)^(BB$120-1)*1</f>
        <v>34.2732</v>
      </c>
      <c r="BC123" s="114" t="n">
        <f aca="false">Inputs!$C$12*(1+Inputs!$C$13)^(BC$120-1)*1</f>
        <v>34.2732</v>
      </c>
      <c r="BD123" s="114" t="n">
        <f aca="false">Inputs!$C$12*(1+Inputs!$C$13)^(BD$120-1)*1</f>
        <v>34.2732</v>
      </c>
      <c r="BE123" s="114" t="n">
        <f aca="false">Inputs!$C$12*(1+Inputs!$C$13)^(BE$120-1)*1</f>
        <v>34.2732</v>
      </c>
      <c r="BF123" s="114" t="n">
        <f aca="false">Inputs!$C$12*(1+Inputs!$C$13)^(BF$120-1)*1</f>
        <v>34.2732</v>
      </c>
      <c r="BG123" s="114" t="n">
        <f aca="false">Inputs!$C$12*(1+Inputs!$C$13)^(BG$120-1)*1</f>
        <v>34.2732</v>
      </c>
      <c r="BH123" s="114" t="n">
        <f aca="false">Inputs!$C$12*(1+Inputs!$C$13)^(BH$120-1)*1</f>
        <v>34.2732</v>
      </c>
      <c r="BI123" s="114" t="n">
        <f aca="false">Inputs!$C$12*(1+Inputs!$C$13)^(BI$120-1)*1</f>
        <v>34.2732</v>
      </c>
      <c r="BJ123" s="114" t="n">
        <f aca="false">Inputs!$C$12*(1+Inputs!$C$13)^(BJ$120-1)*1</f>
        <v>34.2732</v>
      </c>
    </row>
    <row r="124" customFormat="false" ht="15" hidden="false" customHeight="false" outlineLevel="0" collapsed="false">
      <c r="A124" s="6" t="s">
        <v>396</v>
      </c>
      <c r="C124" s="114" t="n">
        <f aca="false">-C145/MAX(1,Inputs!$C$16)</f>
        <v>17.7777777777778</v>
      </c>
      <c r="D124" s="114" t="n">
        <f aca="false">-D145/MAX(1,Inputs!$C$16)</f>
        <v>17.7777777777778</v>
      </c>
      <c r="E124" s="114" t="n">
        <f aca="false">-E145/MAX(1,Inputs!$C$16)</f>
        <v>17.7777777777778</v>
      </c>
      <c r="F124" s="114" t="n">
        <f aca="false">-F145/MAX(1,Inputs!$C$16)</f>
        <v>17.7777777777778</v>
      </c>
      <c r="G124" s="114" t="n">
        <f aca="false">-G145/MAX(1,Inputs!$C$16)</f>
        <v>17.7777777777778</v>
      </c>
      <c r="H124" s="114" t="n">
        <f aca="false">-H145/MAX(1,Inputs!$C$16)</f>
        <v>17.7777777777778</v>
      </c>
      <c r="I124" s="114" t="n">
        <f aca="false">-I145/MAX(1,Inputs!$C$16)</f>
        <v>17.7777777777778</v>
      </c>
      <c r="J124" s="114" t="n">
        <f aca="false">-J145/MAX(1,Inputs!$C$16)</f>
        <v>17.7777777777778</v>
      </c>
      <c r="K124" s="114" t="n">
        <f aca="false">-K145/MAX(1,Inputs!$C$16)</f>
        <v>17.7777777777778</v>
      </c>
      <c r="L124" s="114" t="n">
        <f aca="false">-L145/MAX(1,Inputs!$C$16)</f>
        <v>17.7777777777778</v>
      </c>
      <c r="M124" s="114" t="n">
        <f aca="false">-M145/MAX(1,Inputs!$C$16)</f>
        <v>17.7777777777778</v>
      </c>
      <c r="N124" s="114" t="n">
        <f aca="false">-N145/MAX(1,Inputs!$C$16)</f>
        <v>17.7777777777778</v>
      </c>
      <c r="O124" s="114" t="n">
        <f aca="false">-O145/MAX(1,Inputs!$C$16)</f>
        <v>21.3333333333333</v>
      </c>
      <c r="P124" s="114" t="n">
        <f aca="false">-P145/MAX(1,Inputs!$C$16)</f>
        <v>21.3333333333333</v>
      </c>
      <c r="Q124" s="114" t="n">
        <f aca="false">-Q145/MAX(1,Inputs!$C$16)</f>
        <v>21.3333333333333</v>
      </c>
      <c r="R124" s="114" t="n">
        <f aca="false">-R145/MAX(1,Inputs!$C$16)</f>
        <v>21.3333333333333</v>
      </c>
      <c r="S124" s="114" t="n">
        <f aca="false">-S145/MAX(1,Inputs!$C$16)</f>
        <v>21.3333333333333</v>
      </c>
      <c r="T124" s="114" t="n">
        <f aca="false">-T145/MAX(1,Inputs!$C$16)</f>
        <v>21.3333333333333</v>
      </c>
      <c r="U124" s="114" t="n">
        <f aca="false">-U145/MAX(1,Inputs!$C$16)</f>
        <v>21.3333333333333</v>
      </c>
      <c r="V124" s="114" t="n">
        <f aca="false">-V145/MAX(1,Inputs!$C$16)</f>
        <v>21.3333333333333</v>
      </c>
      <c r="W124" s="114" t="n">
        <f aca="false">-W145/MAX(1,Inputs!$C$16)</f>
        <v>21.3333333333333</v>
      </c>
      <c r="X124" s="114" t="n">
        <f aca="false">-X145/MAX(1,Inputs!$C$16)</f>
        <v>21.3333333333333</v>
      </c>
      <c r="Y124" s="114" t="n">
        <f aca="false">-Y145/MAX(1,Inputs!$C$16)</f>
        <v>21.3333333333333</v>
      </c>
      <c r="Z124" s="114" t="n">
        <f aca="false">-Z145/MAX(1,Inputs!$C$16)</f>
        <v>21.3333333333333</v>
      </c>
      <c r="AA124" s="114" t="n">
        <f aca="false">-AA145/MAX(1,Inputs!$C$16)</f>
        <v>25.6</v>
      </c>
      <c r="AB124" s="114" t="n">
        <f aca="false">-AB145/MAX(1,Inputs!$C$16)</f>
        <v>25.6</v>
      </c>
      <c r="AC124" s="114" t="n">
        <f aca="false">-AC145/MAX(1,Inputs!$C$16)</f>
        <v>25.6</v>
      </c>
      <c r="AD124" s="114" t="n">
        <f aca="false">-AD145/MAX(1,Inputs!$C$16)</f>
        <v>25.6</v>
      </c>
      <c r="AE124" s="114" t="n">
        <f aca="false">-AE145/MAX(1,Inputs!$C$16)</f>
        <v>25.6</v>
      </c>
      <c r="AF124" s="114" t="n">
        <f aca="false">-AF145/MAX(1,Inputs!$C$16)</f>
        <v>25.6</v>
      </c>
      <c r="AG124" s="114" t="n">
        <f aca="false">-AG145/MAX(1,Inputs!$C$16)</f>
        <v>25.6</v>
      </c>
      <c r="AH124" s="114" t="n">
        <f aca="false">-AH145/MAX(1,Inputs!$C$16)</f>
        <v>25.6</v>
      </c>
      <c r="AI124" s="114" t="n">
        <f aca="false">-AI145/MAX(1,Inputs!$C$16)</f>
        <v>25.6</v>
      </c>
      <c r="AJ124" s="114" t="n">
        <f aca="false">-AJ145/MAX(1,Inputs!$C$16)</f>
        <v>25.6</v>
      </c>
      <c r="AK124" s="114" t="n">
        <f aca="false">-AK145/MAX(1,Inputs!$C$16)</f>
        <v>25.6</v>
      </c>
      <c r="AL124" s="114" t="n">
        <f aca="false">-AL145/MAX(1,Inputs!$C$16)</f>
        <v>25.6</v>
      </c>
      <c r="AM124" s="114" t="n">
        <f aca="false">-AM145/MAX(1,Inputs!$C$16)</f>
        <v>30.72</v>
      </c>
      <c r="AN124" s="114" t="n">
        <f aca="false">-AN145/MAX(1,Inputs!$C$16)</f>
        <v>30.72</v>
      </c>
      <c r="AO124" s="114" t="n">
        <f aca="false">-AO145/MAX(1,Inputs!$C$16)</f>
        <v>30.72</v>
      </c>
      <c r="AP124" s="114" t="n">
        <f aca="false">-AP145/MAX(1,Inputs!$C$16)</f>
        <v>30.72</v>
      </c>
      <c r="AQ124" s="114" t="n">
        <f aca="false">-AQ145/MAX(1,Inputs!$C$16)</f>
        <v>30.72</v>
      </c>
      <c r="AR124" s="114" t="n">
        <f aca="false">-AR145/MAX(1,Inputs!$C$16)</f>
        <v>30.72</v>
      </c>
      <c r="AS124" s="114" t="n">
        <f aca="false">-AS145/MAX(1,Inputs!$C$16)</f>
        <v>30.72</v>
      </c>
      <c r="AT124" s="114" t="n">
        <f aca="false">-AT145/MAX(1,Inputs!$C$16)</f>
        <v>30.72</v>
      </c>
      <c r="AU124" s="114" t="n">
        <f aca="false">-AU145/MAX(1,Inputs!$C$16)</f>
        <v>30.72</v>
      </c>
      <c r="AV124" s="114" t="n">
        <f aca="false">-AV145/MAX(1,Inputs!$C$16)</f>
        <v>30.72</v>
      </c>
      <c r="AW124" s="114" t="n">
        <f aca="false">-AW145/MAX(1,Inputs!$C$16)</f>
        <v>30.72</v>
      </c>
      <c r="AX124" s="114" t="n">
        <f aca="false">-AX145/MAX(1,Inputs!$C$16)</f>
        <v>30.72</v>
      </c>
      <c r="AY124" s="114" t="n">
        <f aca="false">-AY145/MAX(1,Inputs!$C$16)</f>
        <v>36.864</v>
      </c>
      <c r="AZ124" s="114" t="n">
        <f aca="false">-AZ145/MAX(1,Inputs!$C$16)</f>
        <v>36.864</v>
      </c>
      <c r="BA124" s="114" t="n">
        <f aca="false">-BA145/MAX(1,Inputs!$C$16)</f>
        <v>36.864</v>
      </c>
      <c r="BB124" s="114" t="n">
        <f aca="false">-BB145/MAX(1,Inputs!$C$16)</f>
        <v>36.864</v>
      </c>
      <c r="BC124" s="114" t="n">
        <f aca="false">-BC145/MAX(1,Inputs!$C$16)</f>
        <v>36.864</v>
      </c>
      <c r="BD124" s="114" t="n">
        <f aca="false">-BD145/MAX(1,Inputs!$C$16)</f>
        <v>36.864</v>
      </c>
      <c r="BE124" s="114" t="n">
        <f aca="false">-BE145/MAX(1,Inputs!$C$16)</f>
        <v>36.864</v>
      </c>
      <c r="BF124" s="114" t="n">
        <f aca="false">-BF145/MAX(1,Inputs!$C$16)</f>
        <v>36.864</v>
      </c>
      <c r="BG124" s="114" t="n">
        <f aca="false">-BG145/MAX(1,Inputs!$C$16)</f>
        <v>36.864</v>
      </c>
      <c r="BH124" s="114" t="n">
        <f aca="false">-BH145/MAX(1,Inputs!$C$16)</f>
        <v>36.864</v>
      </c>
      <c r="BI124" s="114" t="n">
        <f aca="false">-BI145/MAX(1,Inputs!$C$16)</f>
        <v>36.864</v>
      </c>
      <c r="BJ124" s="114" t="n">
        <f aca="false">-BJ145/MAX(1,Inputs!$C$16)</f>
        <v>36.864</v>
      </c>
    </row>
    <row r="125" customFormat="false" ht="15" hidden="false" customHeight="false" outlineLevel="0" collapsed="false">
      <c r="A125" s="4" t="s">
        <v>397</v>
      </c>
      <c r="C125" s="115" t="n">
        <f aca="false">C123+C124</f>
        <v>29.7777777777778</v>
      </c>
      <c r="D125" s="115" t="n">
        <f aca="false">D123+D124</f>
        <v>29.7777777777778</v>
      </c>
      <c r="E125" s="115" t="n">
        <f aca="false">E123+E124</f>
        <v>29.7777777777778</v>
      </c>
      <c r="F125" s="115" t="n">
        <f aca="false">F123+F124</f>
        <v>29.7777777777778</v>
      </c>
      <c r="G125" s="115" t="n">
        <f aca="false">G123+G124</f>
        <v>29.7777777777778</v>
      </c>
      <c r="H125" s="115" t="n">
        <f aca="false">H123+H124</f>
        <v>29.7777777777778</v>
      </c>
      <c r="I125" s="115" t="n">
        <f aca="false">I123+I124</f>
        <v>29.7777777777778</v>
      </c>
      <c r="J125" s="115" t="n">
        <f aca="false">J123+J124</f>
        <v>29.7777777777778</v>
      </c>
      <c r="K125" s="115" t="n">
        <f aca="false">K123+K124</f>
        <v>29.7777777777778</v>
      </c>
      <c r="L125" s="115" t="n">
        <f aca="false">L123+L124</f>
        <v>29.7777777777778</v>
      </c>
      <c r="M125" s="115" t="n">
        <f aca="false">M123+M124</f>
        <v>29.7777777777778</v>
      </c>
      <c r="N125" s="115" t="n">
        <f aca="false">N123+N124</f>
        <v>29.7777777777778</v>
      </c>
      <c r="O125" s="115" t="n">
        <f aca="false">O123+O124</f>
        <v>36.9333333333333</v>
      </c>
      <c r="P125" s="115" t="n">
        <f aca="false">P123+P124</f>
        <v>36.9333333333333</v>
      </c>
      <c r="Q125" s="115" t="n">
        <f aca="false">Q123+Q124</f>
        <v>36.9333333333333</v>
      </c>
      <c r="R125" s="115" t="n">
        <f aca="false">R123+R124</f>
        <v>36.9333333333333</v>
      </c>
      <c r="S125" s="115" t="n">
        <f aca="false">S123+S124</f>
        <v>36.9333333333333</v>
      </c>
      <c r="T125" s="115" t="n">
        <f aca="false">T123+T124</f>
        <v>36.9333333333333</v>
      </c>
      <c r="U125" s="115" t="n">
        <f aca="false">U123+U124</f>
        <v>36.9333333333333</v>
      </c>
      <c r="V125" s="115" t="n">
        <f aca="false">V123+V124</f>
        <v>36.9333333333333</v>
      </c>
      <c r="W125" s="115" t="n">
        <f aca="false">W123+W124</f>
        <v>36.9333333333333</v>
      </c>
      <c r="X125" s="115" t="n">
        <f aca="false">X123+X124</f>
        <v>36.9333333333333</v>
      </c>
      <c r="Y125" s="115" t="n">
        <f aca="false">Y123+Y124</f>
        <v>36.9333333333333</v>
      </c>
      <c r="Z125" s="115" t="n">
        <f aca="false">Z123+Z124</f>
        <v>36.9333333333333</v>
      </c>
      <c r="AA125" s="115" t="n">
        <f aca="false">AA123+AA124</f>
        <v>45.88</v>
      </c>
      <c r="AB125" s="115" t="n">
        <f aca="false">AB123+AB124</f>
        <v>45.88</v>
      </c>
      <c r="AC125" s="115" t="n">
        <f aca="false">AC123+AC124</f>
        <v>45.88</v>
      </c>
      <c r="AD125" s="115" t="n">
        <f aca="false">AD123+AD124</f>
        <v>45.88</v>
      </c>
      <c r="AE125" s="115" t="n">
        <f aca="false">AE123+AE124</f>
        <v>45.88</v>
      </c>
      <c r="AF125" s="115" t="n">
        <f aca="false">AF123+AF124</f>
        <v>45.88</v>
      </c>
      <c r="AG125" s="115" t="n">
        <f aca="false">AG123+AG124</f>
        <v>45.88</v>
      </c>
      <c r="AH125" s="115" t="n">
        <f aca="false">AH123+AH124</f>
        <v>45.88</v>
      </c>
      <c r="AI125" s="115" t="n">
        <f aca="false">AI123+AI124</f>
        <v>45.88</v>
      </c>
      <c r="AJ125" s="115" t="n">
        <f aca="false">AJ123+AJ124</f>
        <v>45.88</v>
      </c>
      <c r="AK125" s="115" t="n">
        <f aca="false">AK123+AK124</f>
        <v>45.88</v>
      </c>
      <c r="AL125" s="115" t="n">
        <f aca="false">AL123+AL124</f>
        <v>45.88</v>
      </c>
      <c r="AM125" s="115" t="n">
        <f aca="false">AM123+AM124</f>
        <v>57.084</v>
      </c>
      <c r="AN125" s="115" t="n">
        <f aca="false">AN123+AN124</f>
        <v>57.084</v>
      </c>
      <c r="AO125" s="115" t="n">
        <f aca="false">AO123+AO124</f>
        <v>57.084</v>
      </c>
      <c r="AP125" s="115" t="n">
        <f aca="false">AP123+AP124</f>
        <v>57.084</v>
      </c>
      <c r="AQ125" s="115" t="n">
        <f aca="false">AQ123+AQ124</f>
        <v>57.084</v>
      </c>
      <c r="AR125" s="115" t="n">
        <f aca="false">AR123+AR124</f>
        <v>57.084</v>
      </c>
      <c r="AS125" s="115" t="n">
        <f aca="false">AS123+AS124</f>
        <v>57.084</v>
      </c>
      <c r="AT125" s="115" t="n">
        <f aca="false">AT123+AT124</f>
        <v>57.084</v>
      </c>
      <c r="AU125" s="115" t="n">
        <f aca="false">AU123+AU124</f>
        <v>57.084</v>
      </c>
      <c r="AV125" s="115" t="n">
        <f aca="false">AV123+AV124</f>
        <v>57.084</v>
      </c>
      <c r="AW125" s="115" t="n">
        <f aca="false">AW123+AW124</f>
        <v>57.084</v>
      </c>
      <c r="AX125" s="115" t="n">
        <f aca="false">AX123+AX124</f>
        <v>57.084</v>
      </c>
      <c r="AY125" s="115" t="n">
        <f aca="false">AY123+AY124</f>
        <v>71.1372</v>
      </c>
      <c r="AZ125" s="115" t="n">
        <f aca="false">AZ123+AZ124</f>
        <v>71.1372</v>
      </c>
      <c r="BA125" s="115" t="n">
        <f aca="false">BA123+BA124</f>
        <v>71.1372</v>
      </c>
      <c r="BB125" s="115" t="n">
        <f aca="false">BB123+BB124</f>
        <v>71.1372</v>
      </c>
      <c r="BC125" s="115" t="n">
        <f aca="false">BC123+BC124</f>
        <v>71.1372</v>
      </c>
      <c r="BD125" s="115" t="n">
        <f aca="false">BD123+BD124</f>
        <v>71.1372</v>
      </c>
      <c r="BE125" s="115" t="n">
        <f aca="false">BE123+BE124</f>
        <v>71.1372</v>
      </c>
      <c r="BF125" s="115" t="n">
        <f aca="false">BF123+BF124</f>
        <v>71.1372</v>
      </c>
      <c r="BG125" s="115" t="n">
        <f aca="false">BG123+BG124</f>
        <v>71.1372</v>
      </c>
      <c r="BH125" s="115" t="n">
        <f aca="false">BH123+BH124</f>
        <v>71.1372</v>
      </c>
      <c r="BI125" s="115" t="n">
        <f aca="false">BI123+BI124</f>
        <v>71.1372</v>
      </c>
      <c r="BJ125" s="115" t="n">
        <f aca="false">BJ123+BJ124</f>
        <v>71.1372</v>
      </c>
    </row>
    <row r="126" customFormat="false" ht="15" hidden="false" customHeight="false" outlineLevel="0" collapsed="false">
      <c r="A126" s="6" t="s">
        <v>398</v>
      </c>
      <c r="C126" s="116" t="n">
        <f aca="false">Inputs!$C$7</f>
        <v>30</v>
      </c>
      <c r="D126" s="114" t="n">
        <f aca="false">C128</f>
        <v>58.8777777777778</v>
      </c>
      <c r="E126" s="114" t="n">
        <f aca="false">D128</f>
        <v>86.8892222222222</v>
      </c>
      <c r="F126" s="114" t="n">
        <f aca="false">E128</f>
        <v>114.060323333333</v>
      </c>
      <c r="G126" s="114" t="n">
        <f aca="false">F128</f>
        <v>140.416291411111</v>
      </c>
      <c r="H126" s="114" t="n">
        <f aca="false">G128</f>
        <v>165.981580446556</v>
      </c>
      <c r="I126" s="114" t="n">
        <f aca="false">H128</f>
        <v>190.779910810937</v>
      </c>
      <c r="J126" s="114" t="n">
        <f aca="false">I128</f>
        <v>214.834291264386</v>
      </c>
      <c r="K126" s="114" t="n">
        <f aca="false">J128</f>
        <v>238.167040304233</v>
      </c>
      <c r="L126" s="114" t="n">
        <f aca="false">K128</f>
        <v>260.799806872883</v>
      </c>
      <c r="M126" s="114" t="n">
        <f aca="false">L128</f>
        <v>282.753590444475</v>
      </c>
      <c r="N126" s="114" t="n">
        <f aca="false">M128</f>
        <v>304.048760508918</v>
      </c>
      <c r="O126" s="114" t="n">
        <f aca="false">N128</f>
        <v>324.705075471428</v>
      </c>
      <c r="P126" s="114" t="n">
        <f aca="false">O128</f>
        <v>351.897256540619</v>
      </c>
      <c r="Q126" s="114" t="n">
        <f aca="false">P128</f>
        <v>378.273672177734</v>
      </c>
      <c r="R126" s="114" t="n">
        <f aca="false">Q128</f>
        <v>403.858795345735</v>
      </c>
      <c r="S126" s="114" t="n">
        <f aca="false">R128</f>
        <v>428.676364818696</v>
      </c>
      <c r="T126" s="114" t="n">
        <f aca="false">S128</f>
        <v>452.749407207469</v>
      </c>
      <c r="U126" s="114" t="n">
        <f aca="false">T128</f>
        <v>476.100258324578</v>
      </c>
      <c r="V126" s="114" t="n">
        <f aca="false">U128</f>
        <v>498.750583908174</v>
      </c>
      <c r="W126" s="114" t="n">
        <f aca="false">V128</f>
        <v>520.721399724262</v>
      </c>
      <c r="X126" s="114" t="n">
        <f aca="false">W128</f>
        <v>542.033091065868</v>
      </c>
      <c r="Y126" s="114" t="n">
        <f aca="false">X128</f>
        <v>562.705431667225</v>
      </c>
      <c r="Z126" s="114" t="n">
        <f aca="false">Y128</f>
        <v>582.757602050541</v>
      </c>
      <c r="AA126" s="114" t="n">
        <f aca="false">Z128</f>
        <v>602.208207322359</v>
      </c>
      <c r="AB126" s="114" t="n">
        <f aca="false">AA128</f>
        <v>630.021961102688</v>
      </c>
      <c r="AC126" s="114" t="n">
        <f aca="false">AB128</f>
        <v>657.001302269607</v>
      </c>
      <c r="AD126" s="114" t="n">
        <f aca="false">AC128</f>
        <v>683.171263201519</v>
      </c>
      <c r="AE126" s="114" t="n">
        <f aca="false">AD128</f>
        <v>708.556125305473</v>
      </c>
      <c r="AF126" s="114" t="n">
        <f aca="false">AE128</f>
        <v>733.179441546309</v>
      </c>
      <c r="AG126" s="114" t="n">
        <f aca="false">AF128</f>
        <v>757.06405829992</v>
      </c>
      <c r="AH126" s="114" t="n">
        <f aca="false">AG128</f>
        <v>780.232136550922</v>
      </c>
      <c r="AI126" s="114" t="n">
        <f aca="false">AH128</f>
        <v>802.705172454395</v>
      </c>
      <c r="AJ126" s="114" t="n">
        <f aca="false">AI128</f>
        <v>824.504017280763</v>
      </c>
      <c r="AK126" s="114" t="n">
        <f aca="false">AJ128</f>
        <v>845.64889676234</v>
      </c>
      <c r="AL126" s="114" t="n">
        <f aca="false">AK128</f>
        <v>866.15942985947</v>
      </c>
      <c r="AM126" s="114" t="n">
        <f aca="false">AL128</f>
        <v>886.054646963686</v>
      </c>
      <c r="AN126" s="114" t="n">
        <f aca="false">AM128</f>
        <v>916.557007554775</v>
      </c>
      <c r="AO126" s="114" t="n">
        <f aca="false">AN128</f>
        <v>946.144297328132</v>
      </c>
      <c r="AP126" s="114" t="n">
        <f aca="false">AO128</f>
        <v>974.843968408288</v>
      </c>
      <c r="AQ126" s="114" t="n">
        <f aca="false">AP128</f>
        <v>1002.68264935604</v>
      </c>
      <c r="AR126" s="114" t="n">
        <f aca="false">AQ128</f>
        <v>1029.68616987536</v>
      </c>
      <c r="AS126" s="114" t="n">
        <f aca="false">AR128</f>
        <v>1055.8795847791</v>
      </c>
      <c r="AT126" s="114" t="n">
        <f aca="false">AS128</f>
        <v>1081.28719723572</v>
      </c>
      <c r="AU126" s="114" t="n">
        <f aca="false">AT128</f>
        <v>1105.93258131865</v>
      </c>
      <c r="AV126" s="114" t="n">
        <f aca="false">AU128</f>
        <v>1129.83860387909</v>
      </c>
      <c r="AW126" s="114" t="n">
        <f aca="false">AV128</f>
        <v>1153.02744576272</v>
      </c>
      <c r="AX126" s="114" t="n">
        <f aca="false">AW128</f>
        <v>1175.52062238984</v>
      </c>
      <c r="AY126" s="114" t="n">
        <f aca="false">AX128</f>
        <v>1197.33900371814</v>
      </c>
      <c r="AZ126" s="114" t="n">
        <f aca="false">AY128</f>
        <v>1232.5560336066</v>
      </c>
      <c r="BA126" s="114" t="n">
        <f aca="false">AZ128</f>
        <v>1266.7165525984</v>
      </c>
      <c r="BB126" s="114" t="n">
        <f aca="false">BA128</f>
        <v>1299.85225602045</v>
      </c>
      <c r="BC126" s="114" t="n">
        <f aca="false">BB128</f>
        <v>1331.99388833984</v>
      </c>
      <c r="BD126" s="114" t="n">
        <f aca="false">BC128</f>
        <v>1363.17127168964</v>
      </c>
      <c r="BE126" s="114" t="n">
        <f aca="false">BD128</f>
        <v>1393.41333353895</v>
      </c>
      <c r="BF126" s="114" t="n">
        <f aca="false">BE128</f>
        <v>1422.74813353278</v>
      </c>
      <c r="BG126" s="114" t="n">
        <f aca="false">BF128</f>
        <v>1451.2028895268</v>
      </c>
      <c r="BH126" s="114" t="n">
        <f aca="false">BG128</f>
        <v>1478.804002841</v>
      </c>
      <c r="BI126" s="114" t="n">
        <f aca="false">BH128</f>
        <v>1505.57708275577</v>
      </c>
      <c r="BJ126" s="114" t="n">
        <f aca="false">BI128</f>
        <v>1531.54697027309</v>
      </c>
    </row>
    <row r="127" customFormat="false" ht="15" hidden="false" customHeight="false" outlineLevel="0" collapsed="false">
      <c r="A127" s="6" t="s">
        <v>399</v>
      </c>
      <c r="C127" s="114" t="n">
        <f aca="false">-C126*Inputs!$C$10</f>
        <v>-0.9</v>
      </c>
      <c r="D127" s="114" t="n">
        <f aca="false">-D126*Inputs!$C$10</f>
        <v>-1.76633333333333</v>
      </c>
      <c r="E127" s="114" t="n">
        <f aca="false">-E126*Inputs!$C$10</f>
        <v>-2.60667666666667</v>
      </c>
      <c r="F127" s="114" t="n">
        <f aca="false">-F126*Inputs!$C$10</f>
        <v>-3.4218097</v>
      </c>
      <c r="G127" s="114" t="n">
        <f aca="false">-G126*Inputs!$C$10</f>
        <v>-4.21248874233333</v>
      </c>
      <c r="H127" s="114" t="n">
        <f aca="false">-H126*Inputs!$C$10</f>
        <v>-4.97944741339667</v>
      </c>
      <c r="I127" s="114" t="n">
        <f aca="false">-I126*Inputs!$C$10</f>
        <v>-5.7233973243281</v>
      </c>
      <c r="J127" s="114" t="n">
        <f aca="false">-J126*Inputs!$C$10</f>
        <v>-6.44502873793159</v>
      </c>
      <c r="K127" s="114" t="n">
        <f aca="false">-K126*Inputs!$C$10</f>
        <v>-7.14501120912698</v>
      </c>
      <c r="L127" s="114" t="n">
        <f aca="false">-L126*Inputs!$C$10</f>
        <v>-7.8239942061865</v>
      </c>
      <c r="M127" s="114" t="n">
        <f aca="false">-M126*Inputs!$C$10</f>
        <v>-8.48260771333424</v>
      </c>
      <c r="N127" s="114" t="n">
        <f aca="false">-N126*Inputs!$C$10</f>
        <v>-9.12146281526755</v>
      </c>
      <c r="O127" s="114" t="n">
        <f aca="false">-O126*Inputs!$C$10</f>
        <v>-9.74115226414285</v>
      </c>
      <c r="P127" s="114" t="n">
        <f aca="false">-P126*Inputs!$C$10</f>
        <v>-10.5569176962186</v>
      </c>
      <c r="Q127" s="114" t="n">
        <f aca="false">-Q126*Inputs!$C$10</f>
        <v>-11.348210165332</v>
      </c>
      <c r="R127" s="114" t="n">
        <f aca="false">-R126*Inputs!$C$10</f>
        <v>-12.115763860372</v>
      </c>
      <c r="S127" s="114" t="n">
        <f aca="false">-S126*Inputs!$C$10</f>
        <v>-12.8602909445609</v>
      </c>
      <c r="T127" s="114" t="n">
        <f aca="false">-T126*Inputs!$C$10</f>
        <v>-13.5824822162241</v>
      </c>
      <c r="U127" s="114" t="n">
        <f aca="false">-U126*Inputs!$C$10</f>
        <v>-14.2830077497373</v>
      </c>
      <c r="V127" s="114" t="n">
        <f aca="false">-V126*Inputs!$C$10</f>
        <v>-14.9625175172452</v>
      </c>
      <c r="W127" s="114" t="n">
        <f aca="false">-W126*Inputs!$C$10</f>
        <v>-15.6216419917279</v>
      </c>
      <c r="X127" s="114" t="n">
        <f aca="false">-X126*Inputs!$C$10</f>
        <v>-16.260992731976</v>
      </c>
      <c r="Y127" s="114" t="n">
        <f aca="false">-Y126*Inputs!$C$10</f>
        <v>-16.8811629500167</v>
      </c>
      <c r="Z127" s="114" t="n">
        <f aca="false">-Z126*Inputs!$C$10</f>
        <v>-17.4827280615162</v>
      </c>
      <c r="AA127" s="114" t="n">
        <f aca="false">-AA126*Inputs!$C$10</f>
        <v>-18.0662462196708</v>
      </c>
      <c r="AB127" s="114" t="n">
        <f aca="false">-AB126*Inputs!$C$10</f>
        <v>-18.9006588330806</v>
      </c>
      <c r="AC127" s="114" t="n">
        <f aca="false">-AC126*Inputs!$C$10</f>
        <v>-19.7100390680882</v>
      </c>
      <c r="AD127" s="114" t="n">
        <f aca="false">-AD126*Inputs!$C$10</f>
        <v>-20.4951378960456</v>
      </c>
      <c r="AE127" s="114" t="n">
        <f aca="false">-AE126*Inputs!$C$10</f>
        <v>-21.2566837591642</v>
      </c>
      <c r="AF127" s="114" t="n">
        <f aca="false">-AF126*Inputs!$C$10</f>
        <v>-21.9953832463893</v>
      </c>
      <c r="AG127" s="114" t="n">
        <f aca="false">-AG126*Inputs!$C$10</f>
        <v>-22.7119217489976</v>
      </c>
      <c r="AH127" s="114" t="n">
        <f aca="false">-AH126*Inputs!$C$10</f>
        <v>-23.4069640965277</v>
      </c>
      <c r="AI127" s="114" t="n">
        <f aca="false">-AI126*Inputs!$C$10</f>
        <v>-24.0811551736318</v>
      </c>
      <c r="AJ127" s="114" t="n">
        <f aca="false">-AJ126*Inputs!$C$10</f>
        <v>-24.7351205184229</v>
      </c>
      <c r="AK127" s="114" t="n">
        <f aca="false">-AK126*Inputs!$C$10</f>
        <v>-25.3694669028702</v>
      </c>
      <c r="AL127" s="114" t="n">
        <f aca="false">-AL126*Inputs!$C$10</f>
        <v>-25.9847828957841</v>
      </c>
      <c r="AM127" s="114" t="n">
        <f aca="false">-AM126*Inputs!$C$10</f>
        <v>-26.5816394089106</v>
      </c>
      <c r="AN127" s="114" t="n">
        <f aca="false">-AN126*Inputs!$C$10</f>
        <v>-27.4967102266433</v>
      </c>
      <c r="AO127" s="114" t="n">
        <f aca="false">-AO126*Inputs!$C$10</f>
        <v>-28.384328919844</v>
      </c>
      <c r="AP127" s="114" t="n">
        <f aca="false">-AP126*Inputs!$C$10</f>
        <v>-29.2453190522486</v>
      </c>
      <c r="AQ127" s="114" t="n">
        <f aca="false">-AQ126*Inputs!$C$10</f>
        <v>-30.0804794806812</v>
      </c>
      <c r="AR127" s="114" t="n">
        <f aca="false">-AR126*Inputs!$C$10</f>
        <v>-30.8905850962607</v>
      </c>
      <c r="AS127" s="114" t="n">
        <f aca="false">-AS126*Inputs!$C$10</f>
        <v>-31.6763875433729</v>
      </c>
      <c r="AT127" s="114" t="n">
        <f aca="false">-AT126*Inputs!$C$10</f>
        <v>-32.4386159170717</v>
      </c>
      <c r="AU127" s="114" t="n">
        <f aca="false">-AU126*Inputs!$C$10</f>
        <v>-33.1779774395596</v>
      </c>
      <c r="AV127" s="114" t="n">
        <f aca="false">-AV126*Inputs!$C$10</f>
        <v>-33.8951581163728</v>
      </c>
      <c r="AW127" s="114" t="n">
        <f aca="false">-AW126*Inputs!$C$10</f>
        <v>-34.5908233728816</v>
      </c>
      <c r="AX127" s="114" t="n">
        <f aca="false">-AX126*Inputs!$C$10</f>
        <v>-35.2656186716952</v>
      </c>
      <c r="AY127" s="114" t="n">
        <f aca="false">-AY126*Inputs!$C$10</f>
        <v>-35.9201701115443</v>
      </c>
      <c r="AZ127" s="114" t="n">
        <f aca="false">-AZ126*Inputs!$C$10</f>
        <v>-36.976681008198</v>
      </c>
      <c r="BA127" s="114" t="n">
        <f aca="false">-BA126*Inputs!$C$10</f>
        <v>-38.0014965779521</v>
      </c>
      <c r="BB127" s="114" t="n">
        <f aca="false">-BB126*Inputs!$C$10</f>
        <v>-38.9955676806135</v>
      </c>
      <c r="BC127" s="114" t="n">
        <f aca="false">-BC126*Inputs!$C$10</f>
        <v>-39.9598166501951</v>
      </c>
      <c r="BD127" s="114" t="n">
        <f aca="false">-BD126*Inputs!$C$10</f>
        <v>-40.8951381506892</v>
      </c>
      <c r="BE127" s="114" t="n">
        <f aca="false">-BE126*Inputs!$C$10</f>
        <v>-41.8024000061686</v>
      </c>
      <c r="BF127" s="114" t="n">
        <f aca="false">-BF126*Inputs!$C$10</f>
        <v>-42.6824440059835</v>
      </c>
      <c r="BG127" s="114" t="n">
        <f aca="false">-BG126*Inputs!$C$10</f>
        <v>-43.536086685804</v>
      </c>
      <c r="BH127" s="114" t="n">
        <f aca="false">-BH126*Inputs!$C$10</f>
        <v>-44.3641200852299</v>
      </c>
      <c r="BI127" s="114" t="n">
        <f aca="false">-BI126*Inputs!$C$10</f>
        <v>-45.167312482673</v>
      </c>
      <c r="BJ127" s="114" t="n">
        <f aca="false">-BJ126*Inputs!$C$10</f>
        <v>-45.9464091081928</v>
      </c>
    </row>
    <row r="128" customFormat="false" ht="15" hidden="false" customHeight="false" outlineLevel="0" collapsed="false">
      <c r="A128" s="111" t="s">
        <v>400</v>
      </c>
      <c r="C128" s="117" t="n">
        <f aca="false">C126+C125+C127</f>
        <v>58.8777777777778</v>
      </c>
      <c r="D128" s="117" t="n">
        <f aca="false">D126+D125+D127</f>
        <v>86.8892222222222</v>
      </c>
      <c r="E128" s="117" t="n">
        <f aca="false">E126+E125+E127</f>
        <v>114.060323333333</v>
      </c>
      <c r="F128" s="117" t="n">
        <f aca="false">F126+F125+F127</f>
        <v>140.416291411111</v>
      </c>
      <c r="G128" s="117" t="n">
        <f aca="false">G126+G125+G127</f>
        <v>165.981580446556</v>
      </c>
      <c r="H128" s="117" t="n">
        <f aca="false">H126+H125+H127</f>
        <v>190.779910810937</v>
      </c>
      <c r="I128" s="117" t="n">
        <f aca="false">I126+I125+I127</f>
        <v>214.834291264386</v>
      </c>
      <c r="J128" s="117" t="n">
        <f aca="false">J126+J125+J127</f>
        <v>238.167040304233</v>
      </c>
      <c r="K128" s="117" t="n">
        <f aca="false">K126+K125+K127</f>
        <v>260.799806872883</v>
      </c>
      <c r="L128" s="117" t="n">
        <f aca="false">L126+L125+L127</f>
        <v>282.753590444475</v>
      </c>
      <c r="M128" s="117" t="n">
        <f aca="false">M126+M125+M127</f>
        <v>304.048760508918</v>
      </c>
      <c r="N128" s="117" t="n">
        <f aca="false">N126+N125+N127</f>
        <v>324.705075471428</v>
      </c>
      <c r="O128" s="117" t="n">
        <f aca="false">O126+O125+O127</f>
        <v>351.897256540619</v>
      </c>
      <c r="P128" s="117" t="n">
        <f aca="false">P126+P125+P127</f>
        <v>378.273672177734</v>
      </c>
      <c r="Q128" s="117" t="n">
        <f aca="false">Q126+Q125+Q127</f>
        <v>403.858795345735</v>
      </c>
      <c r="R128" s="117" t="n">
        <f aca="false">R126+R125+R127</f>
        <v>428.676364818696</v>
      </c>
      <c r="S128" s="117" t="n">
        <f aca="false">S126+S125+S127</f>
        <v>452.749407207469</v>
      </c>
      <c r="T128" s="117" t="n">
        <f aca="false">T126+T125+T127</f>
        <v>476.100258324578</v>
      </c>
      <c r="U128" s="117" t="n">
        <f aca="false">U126+U125+U127</f>
        <v>498.750583908174</v>
      </c>
      <c r="V128" s="117" t="n">
        <f aca="false">V126+V125+V127</f>
        <v>520.721399724262</v>
      </c>
      <c r="W128" s="117" t="n">
        <f aca="false">W126+W125+W127</f>
        <v>542.033091065868</v>
      </c>
      <c r="X128" s="117" t="n">
        <f aca="false">X126+X125+X127</f>
        <v>562.705431667225</v>
      </c>
      <c r="Y128" s="117" t="n">
        <f aca="false">Y126+Y125+Y127</f>
        <v>582.757602050541</v>
      </c>
      <c r="Z128" s="117" t="n">
        <f aca="false">Z126+Z125+Z127</f>
        <v>602.208207322359</v>
      </c>
      <c r="AA128" s="117" t="n">
        <f aca="false">AA126+AA125+AA127</f>
        <v>630.021961102688</v>
      </c>
      <c r="AB128" s="117" t="n">
        <f aca="false">AB126+AB125+AB127</f>
        <v>657.001302269607</v>
      </c>
      <c r="AC128" s="117" t="n">
        <f aca="false">AC126+AC125+AC127</f>
        <v>683.171263201519</v>
      </c>
      <c r="AD128" s="117" t="n">
        <f aca="false">AD126+AD125+AD127</f>
        <v>708.556125305473</v>
      </c>
      <c r="AE128" s="117" t="n">
        <f aca="false">AE126+AE125+AE127</f>
        <v>733.179441546309</v>
      </c>
      <c r="AF128" s="117" t="n">
        <f aca="false">AF126+AF125+AF127</f>
        <v>757.06405829992</v>
      </c>
      <c r="AG128" s="117" t="n">
        <f aca="false">AG126+AG125+AG127</f>
        <v>780.232136550922</v>
      </c>
      <c r="AH128" s="117" t="n">
        <f aca="false">AH126+AH125+AH127</f>
        <v>802.705172454395</v>
      </c>
      <c r="AI128" s="117" t="n">
        <f aca="false">AI126+AI125+AI127</f>
        <v>824.504017280763</v>
      </c>
      <c r="AJ128" s="117" t="n">
        <f aca="false">AJ126+AJ125+AJ127</f>
        <v>845.64889676234</v>
      </c>
      <c r="AK128" s="117" t="n">
        <f aca="false">AK126+AK125+AK127</f>
        <v>866.15942985947</v>
      </c>
      <c r="AL128" s="117" t="n">
        <f aca="false">AL126+AL125+AL127</f>
        <v>886.054646963686</v>
      </c>
      <c r="AM128" s="117" t="n">
        <f aca="false">AM126+AM125+AM127</f>
        <v>916.557007554775</v>
      </c>
      <c r="AN128" s="117" t="n">
        <f aca="false">AN126+AN125+AN127</f>
        <v>946.144297328132</v>
      </c>
      <c r="AO128" s="117" t="n">
        <f aca="false">AO126+AO125+AO127</f>
        <v>974.843968408288</v>
      </c>
      <c r="AP128" s="117" t="n">
        <f aca="false">AP126+AP125+AP127</f>
        <v>1002.68264935604</v>
      </c>
      <c r="AQ128" s="117" t="n">
        <f aca="false">AQ126+AQ125+AQ127</f>
        <v>1029.68616987536</v>
      </c>
      <c r="AR128" s="117" t="n">
        <f aca="false">AR126+AR125+AR127</f>
        <v>1055.8795847791</v>
      </c>
      <c r="AS128" s="117" t="n">
        <f aca="false">AS126+AS125+AS127</f>
        <v>1081.28719723572</v>
      </c>
      <c r="AT128" s="117" t="n">
        <f aca="false">AT126+AT125+AT127</f>
        <v>1105.93258131865</v>
      </c>
      <c r="AU128" s="117" t="n">
        <f aca="false">AU126+AU125+AU127</f>
        <v>1129.83860387909</v>
      </c>
      <c r="AV128" s="117" t="n">
        <f aca="false">AV126+AV125+AV127</f>
        <v>1153.02744576272</v>
      </c>
      <c r="AW128" s="117" t="n">
        <f aca="false">AW126+AW125+AW127</f>
        <v>1175.52062238984</v>
      </c>
      <c r="AX128" s="117" t="n">
        <f aca="false">AX126+AX125+AX127</f>
        <v>1197.33900371814</v>
      </c>
      <c r="AY128" s="117" t="n">
        <f aca="false">AY126+AY125+AY127</f>
        <v>1232.5560336066</v>
      </c>
      <c r="AZ128" s="117" t="n">
        <f aca="false">AZ126+AZ125+AZ127</f>
        <v>1266.7165525984</v>
      </c>
      <c r="BA128" s="117" t="n">
        <f aca="false">BA126+BA125+BA127</f>
        <v>1299.85225602045</v>
      </c>
      <c r="BB128" s="117" t="n">
        <f aca="false">BB126+BB125+BB127</f>
        <v>1331.99388833984</v>
      </c>
      <c r="BC128" s="117" t="n">
        <f aca="false">BC126+BC125+BC127</f>
        <v>1363.17127168964</v>
      </c>
      <c r="BD128" s="117" t="n">
        <f aca="false">BD126+BD125+BD127</f>
        <v>1393.41333353895</v>
      </c>
      <c r="BE128" s="117" t="n">
        <f aca="false">BE126+BE125+BE127</f>
        <v>1422.74813353278</v>
      </c>
      <c r="BF128" s="117" t="n">
        <f aca="false">BF126+BF125+BF127</f>
        <v>1451.2028895268</v>
      </c>
      <c r="BG128" s="117" t="n">
        <f aca="false">BG126+BG125+BG127</f>
        <v>1478.804002841</v>
      </c>
      <c r="BH128" s="117" t="n">
        <f aca="false">BH126+BH125+BH127</f>
        <v>1505.57708275577</v>
      </c>
      <c r="BI128" s="117" t="n">
        <f aca="false">BI126+BI125+BI127</f>
        <v>1531.54697027309</v>
      </c>
      <c r="BJ128" s="117" t="n">
        <f aca="false">BJ126+BJ125+BJ127</f>
        <v>1556.7377611649</v>
      </c>
    </row>
    <row r="129" customFormat="false" ht="15" hidden="false" customHeight="false" outlineLevel="0" collapsed="false">
      <c r="A129" s="6" t="s">
        <v>401</v>
      </c>
      <c r="C129" s="118" t="n">
        <f aca="false">Inputs!$C$8*(1+Inputs!$C$9)^(C$120-1)</f>
        <v>99</v>
      </c>
      <c r="D129" s="118" t="n">
        <f aca="false">Inputs!$C$8*(1+Inputs!$C$9)^(D$120-1)</f>
        <v>99</v>
      </c>
      <c r="E129" s="118" t="n">
        <f aca="false">Inputs!$C$8*(1+Inputs!$C$9)^(E$120-1)</f>
        <v>99</v>
      </c>
      <c r="F129" s="118" t="n">
        <f aca="false">Inputs!$C$8*(1+Inputs!$C$9)^(F$120-1)</f>
        <v>99</v>
      </c>
      <c r="G129" s="118" t="n">
        <f aca="false">Inputs!$C$8*(1+Inputs!$C$9)^(G$120-1)</f>
        <v>99</v>
      </c>
      <c r="H129" s="118" t="n">
        <f aca="false">Inputs!$C$8*(1+Inputs!$C$9)^(H$120-1)</f>
        <v>99</v>
      </c>
      <c r="I129" s="118" t="n">
        <f aca="false">Inputs!$C$8*(1+Inputs!$C$9)^(I$120-1)</f>
        <v>99</v>
      </c>
      <c r="J129" s="118" t="n">
        <f aca="false">Inputs!$C$8*(1+Inputs!$C$9)^(J$120-1)</f>
        <v>99</v>
      </c>
      <c r="K129" s="118" t="n">
        <f aca="false">Inputs!$C$8*(1+Inputs!$C$9)^(K$120-1)</f>
        <v>99</v>
      </c>
      <c r="L129" s="118" t="n">
        <f aca="false">Inputs!$C$8*(1+Inputs!$C$9)^(L$120-1)</f>
        <v>99</v>
      </c>
      <c r="M129" s="118" t="n">
        <f aca="false">Inputs!$C$8*(1+Inputs!$C$9)^(M$120-1)</f>
        <v>99</v>
      </c>
      <c r="N129" s="118" t="n">
        <f aca="false">Inputs!$C$8*(1+Inputs!$C$9)^(N$120-1)</f>
        <v>99</v>
      </c>
      <c r="O129" s="118" t="n">
        <f aca="false">Inputs!$C$8*(1+Inputs!$C$9)^(O$120-1)</f>
        <v>101.97</v>
      </c>
      <c r="P129" s="118" t="n">
        <f aca="false">Inputs!$C$8*(1+Inputs!$C$9)^(P$120-1)</f>
        <v>101.97</v>
      </c>
      <c r="Q129" s="118" t="n">
        <f aca="false">Inputs!$C$8*(1+Inputs!$C$9)^(Q$120-1)</f>
        <v>101.97</v>
      </c>
      <c r="R129" s="118" t="n">
        <f aca="false">Inputs!$C$8*(1+Inputs!$C$9)^(R$120-1)</f>
        <v>101.97</v>
      </c>
      <c r="S129" s="118" t="n">
        <f aca="false">Inputs!$C$8*(1+Inputs!$C$9)^(S$120-1)</f>
        <v>101.97</v>
      </c>
      <c r="T129" s="118" t="n">
        <f aca="false">Inputs!$C$8*(1+Inputs!$C$9)^(T$120-1)</f>
        <v>101.97</v>
      </c>
      <c r="U129" s="118" t="n">
        <f aca="false">Inputs!$C$8*(1+Inputs!$C$9)^(U$120-1)</f>
        <v>101.97</v>
      </c>
      <c r="V129" s="118" t="n">
        <f aca="false">Inputs!$C$8*(1+Inputs!$C$9)^(V$120-1)</f>
        <v>101.97</v>
      </c>
      <c r="W129" s="118" t="n">
        <f aca="false">Inputs!$C$8*(1+Inputs!$C$9)^(W$120-1)</f>
        <v>101.97</v>
      </c>
      <c r="X129" s="118" t="n">
        <f aca="false">Inputs!$C$8*(1+Inputs!$C$9)^(X$120-1)</f>
        <v>101.97</v>
      </c>
      <c r="Y129" s="118" t="n">
        <f aca="false">Inputs!$C$8*(1+Inputs!$C$9)^(Y$120-1)</f>
        <v>101.97</v>
      </c>
      <c r="Z129" s="118" t="n">
        <f aca="false">Inputs!$C$8*(1+Inputs!$C$9)^(Z$120-1)</f>
        <v>101.97</v>
      </c>
      <c r="AA129" s="118" t="n">
        <f aca="false">Inputs!$C$8*(1+Inputs!$C$9)^(AA$120-1)</f>
        <v>105.0291</v>
      </c>
      <c r="AB129" s="118" t="n">
        <f aca="false">Inputs!$C$8*(1+Inputs!$C$9)^(AB$120-1)</f>
        <v>105.0291</v>
      </c>
      <c r="AC129" s="118" t="n">
        <f aca="false">Inputs!$C$8*(1+Inputs!$C$9)^(AC$120-1)</f>
        <v>105.0291</v>
      </c>
      <c r="AD129" s="118" t="n">
        <f aca="false">Inputs!$C$8*(1+Inputs!$C$9)^(AD$120-1)</f>
        <v>105.0291</v>
      </c>
      <c r="AE129" s="118" t="n">
        <f aca="false">Inputs!$C$8*(1+Inputs!$C$9)^(AE$120-1)</f>
        <v>105.0291</v>
      </c>
      <c r="AF129" s="118" t="n">
        <f aca="false">Inputs!$C$8*(1+Inputs!$C$9)^(AF$120-1)</f>
        <v>105.0291</v>
      </c>
      <c r="AG129" s="118" t="n">
        <f aca="false">Inputs!$C$8*(1+Inputs!$C$9)^(AG$120-1)</f>
        <v>105.0291</v>
      </c>
      <c r="AH129" s="118" t="n">
        <f aca="false">Inputs!$C$8*(1+Inputs!$C$9)^(AH$120-1)</f>
        <v>105.0291</v>
      </c>
      <c r="AI129" s="118" t="n">
        <f aca="false">Inputs!$C$8*(1+Inputs!$C$9)^(AI$120-1)</f>
        <v>105.0291</v>
      </c>
      <c r="AJ129" s="118" t="n">
        <f aca="false">Inputs!$C$8*(1+Inputs!$C$9)^(AJ$120-1)</f>
        <v>105.0291</v>
      </c>
      <c r="AK129" s="118" t="n">
        <f aca="false">Inputs!$C$8*(1+Inputs!$C$9)^(AK$120-1)</f>
        <v>105.0291</v>
      </c>
      <c r="AL129" s="118" t="n">
        <f aca="false">Inputs!$C$8*(1+Inputs!$C$9)^(AL$120-1)</f>
        <v>105.0291</v>
      </c>
      <c r="AM129" s="118" t="n">
        <f aca="false">Inputs!$C$8*(1+Inputs!$C$9)^(AM$120-1)</f>
        <v>108.179973</v>
      </c>
      <c r="AN129" s="118" t="n">
        <f aca="false">Inputs!$C$8*(1+Inputs!$C$9)^(AN$120-1)</f>
        <v>108.179973</v>
      </c>
      <c r="AO129" s="118" t="n">
        <f aca="false">Inputs!$C$8*(1+Inputs!$C$9)^(AO$120-1)</f>
        <v>108.179973</v>
      </c>
      <c r="AP129" s="118" t="n">
        <f aca="false">Inputs!$C$8*(1+Inputs!$C$9)^(AP$120-1)</f>
        <v>108.179973</v>
      </c>
      <c r="AQ129" s="118" t="n">
        <f aca="false">Inputs!$C$8*(1+Inputs!$C$9)^(AQ$120-1)</f>
        <v>108.179973</v>
      </c>
      <c r="AR129" s="118" t="n">
        <f aca="false">Inputs!$C$8*(1+Inputs!$C$9)^(AR$120-1)</f>
        <v>108.179973</v>
      </c>
      <c r="AS129" s="118" t="n">
        <f aca="false">Inputs!$C$8*(1+Inputs!$C$9)^(AS$120-1)</f>
        <v>108.179973</v>
      </c>
      <c r="AT129" s="118" t="n">
        <f aca="false">Inputs!$C$8*(1+Inputs!$C$9)^(AT$120-1)</f>
        <v>108.179973</v>
      </c>
      <c r="AU129" s="118" t="n">
        <f aca="false">Inputs!$C$8*(1+Inputs!$C$9)^(AU$120-1)</f>
        <v>108.179973</v>
      </c>
      <c r="AV129" s="118" t="n">
        <f aca="false">Inputs!$C$8*(1+Inputs!$C$9)^(AV$120-1)</f>
        <v>108.179973</v>
      </c>
      <c r="AW129" s="118" t="n">
        <f aca="false">Inputs!$C$8*(1+Inputs!$C$9)^(AW$120-1)</f>
        <v>108.179973</v>
      </c>
      <c r="AX129" s="118" t="n">
        <f aca="false">Inputs!$C$8*(1+Inputs!$C$9)^(AX$120-1)</f>
        <v>108.179973</v>
      </c>
      <c r="AY129" s="118" t="n">
        <f aca="false">Inputs!$C$8*(1+Inputs!$C$9)^(AY$120-1)</f>
        <v>111.42537219</v>
      </c>
      <c r="AZ129" s="118" t="n">
        <f aca="false">Inputs!$C$8*(1+Inputs!$C$9)^(AZ$120-1)</f>
        <v>111.42537219</v>
      </c>
      <c r="BA129" s="118" t="n">
        <f aca="false">Inputs!$C$8*(1+Inputs!$C$9)^(BA$120-1)</f>
        <v>111.42537219</v>
      </c>
      <c r="BB129" s="118" t="n">
        <f aca="false">Inputs!$C$8*(1+Inputs!$C$9)^(BB$120-1)</f>
        <v>111.42537219</v>
      </c>
      <c r="BC129" s="118" t="n">
        <f aca="false">Inputs!$C$8*(1+Inputs!$C$9)^(BC$120-1)</f>
        <v>111.42537219</v>
      </c>
      <c r="BD129" s="118" t="n">
        <f aca="false">Inputs!$C$8*(1+Inputs!$C$9)^(BD$120-1)</f>
        <v>111.42537219</v>
      </c>
      <c r="BE129" s="118" t="n">
        <f aca="false">Inputs!$C$8*(1+Inputs!$C$9)^(BE$120-1)</f>
        <v>111.42537219</v>
      </c>
      <c r="BF129" s="118" t="n">
        <f aca="false">Inputs!$C$8*(1+Inputs!$C$9)^(BF$120-1)</f>
        <v>111.42537219</v>
      </c>
      <c r="BG129" s="118" t="n">
        <f aca="false">Inputs!$C$8*(1+Inputs!$C$9)^(BG$120-1)</f>
        <v>111.42537219</v>
      </c>
      <c r="BH129" s="118" t="n">
        <f aca="false">Inputs!$C$8*(1+Inputs!$C$9)^(BH$120-1)</f>
        <v>111.42537219</v>
      </c>
      <c r="BI129" s="118" t="n">
        <f aca="false">Inputs!$C$8*(1+Inputs!$C$9)^(BI$120-1)</f>
        <v>111.42537219</v>
      </c>
      <c r="BJ129" s="118" t="n">
        <f aca="false">Inputs!$C$8*(1+Inputs!$C$9)^(BJ$120-1)</f>
        <v>111.42537219</v>
      </c>
    </row>
    <row r="131" customFormat="false" ht="15.75" hidden="false" customHeight="true" outlineLevel="0" collapsed="false">
      <c r="A131" s="7" t="s">
        <v>402</v>
      </c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</row>
    <row r="132" customFormat="false" ht="15" hidden="false" customHeight="false" outlineLevel="0" collapsed="false">
      <c r="A132" s="6" t="s">
        <v>403</v>
      </c>
      <c r="C132" s="66" t="n">
        <f aca="false">Inputs!$C$7*Inputs!$C$8</f>
        <v>2970</v>
      </c>
      <c r="D132" s="66" t="n">
        <f aca="false">C136</f>
        <v>5843.75</v>
      </c>
      <c r="E132" s="66" t="n">
        <f aca="false">D136</f>
        <v>8645.65625</v>
      </c>
      <c r="F132" s="66" t="n">
        <f aca="false">E136</f>
        <v>11377.51484375</v>
      </c>
      <c r="G132" s="66" t="n">
        <f aca="false">F136</f>
        <v>14041.0769726563</v>
      </c>
      <c r="H132" s="66" t="n">
        <f aca="false">G136</f>
        <v>16638.0500483398</v>
      </c>
      <c r="I132" s="66" t="n">
        <f aca="false">H136</f>
        <v>19170.0987971314</v>
      </c>
      <c r="J132" s="66" t="n">
        <f aca="false">I136</f>
        <v>21638.8463272031</v>
      </c>
      <c r="K132" s="66" t="n">
        <f aca="false">J136</f>
        <v>24045.875169023</v>
      </c>
      <c r="L132" s="66" t="n">
        <f aca="false">K136</f>
        <v>26392.7282897974</v>
      </c>
      <c r="M132" s="66" t="n">
        <f aca="false">L136</f>
        <v>28680.9100825525</v>
      </c>
      <c r="N132" s="66" t="n">
        <f aca="false">M136</f>
        <v>30911.8873304887</v>
      </c>
      <c r="O132" s="66" t="n">
        <f aca="false">N136</f>
        <v>33087.0901472265</v>
      </c>
      <c r="P132" s="66" t="n">
        <f aca="false">O136</f>
        <v>36026.0048935458</v>
      </c>
      <c r="Q132" s="66" t="n">
        <f aca="false">P136</f>
        <v>38891.4467712071</v>
      </c>
      <c r="R132" s="66" t="n">
        <f aca="false">Q136</f>
        <v>41685.252601927</v>
      </c>
      <c r="S132" s="66" t="n">
        <f aca="false">R136</f>
        <v>44409.2132868788</v>
      </c>
      <c r="T132" s="66" t="n">
        <f aca="false">S136</f>
        <v>47065.0749547068</v>
      </c>
      <c r="U132" s="66" t="n">
        <f aca="false">T136</f>
        <v>49654.5400808392</v>
      </c>
      <c r="V132" s="66" t="n">
        <f aca="false">U136</f>
        <v>52179.2685788182</v>
      </c>
      <c r="W132" s="66" t="n">
        <f aca="false">V136</f>
        <v>54640.8788643477</v>
      </c>
      <c r="X132" s="66" t="n">
        <f aca="false">W136</f>
        <v>57040.948892739</v>
      </c>
      <c r="Y132" s="66" t="n">
        <f aca="false">X136</f>
        <v>59381.0171704205</v>
      </c>
      <c r="Z132" s="66" t="n">
        <f aca="false">Y136</f>
        <v>61662.58374116</v>
      </c>
      <c r="AA132" s="66" t="n">
        <f aca="false">Z136</f>
        <v>63887.111147631</v>
      </c>
      <c r="AB132" s="66" t="n">
        <f aca="false">AA136</f>
        <v>67108.6684769402</v>
      </c>
      <c r="AC132" s="66" t="n">
        <f aca="false">AB136</f>
        <v>70249.6868730167</v>
      </c>
      <c r="AD132" s="66" t="n">
        <f aca="false">AC136</f>
        <v>73312.1798091913</v>
      </c>
      <c r="AE132" s="66" t="n">
        <f aca="false">AD136</f>
        <v>76298.1104219615</v>
      </c>
      <c r="AF132" s="66" t="n">
        <f aca="false">AE136</f>
        <v>79209.3927694125</v>
      </c>
      <c r="AG132" s="66" t="n">
        <f aca="false">AF136</f>
        <v>82047.8930581772</v>
      </c>
      <c r="AH132" s="66" t="n">
        <f aca="false">AG136</f>
        <v>84815.4308397227</v>
      </c>
      <c r="AI132" s="66" t="n">
        <f aca="false">AH136</f>
        <v>87513.7801767297</v>
      </c>
      <c r="AJ132" s="66" t="n">
        <f aca="false">AI136</f>
        <v>90144.6707803114</v>
      </c>
      <c r="AK132" s="66" t="n">
        <f aca="false">AJ136</f>
        <v>92709.7891188036</v>
      </c>
      <c r="AL132" s="66" t="n">
        <f aca="false">AK136</f>
        <v>95210.7794988335</v>
      </c>
      <c r="AM132" s="66" t="n">
        <f aca="false">AL136</f>
        <v>97649.2451193627</v>
      </c>
      <c r="AN132" s="66" t="n">
        <f aca="false">AM136</f>
        <v>101383.359570111</v>
      </c>
      <c r="AO132" s="66" t="n">
        <f aca="false">AN136</f>
        <v>105024.12115959</v>
      </c>
      <c r="AP132" s="66" t="n">
        <f aca="false">AO136</f>
        <v>108573.863709332</v>
      </c>
      <c r="AQ132" s="66" t="n">
        <f aca="false">AP136</f>
        <v>112034.862695331</v>
      </c>
      <c r="AR132" s="66" t="n">
        <f aca="false">AQ136</f>
        <v>115409.33670668</v>
      </c>
      <c r="AS132" s="66" t="n">
        <f aca="false">AR136</f>
        <v>118699.448867745</v>
      </c>
      <c r="AT132" s="66" t="n">
        <f aca="false">AS136</f>
        <v>121907.308224783</v>
      </c>
      <c r="AU132" s="66" t="n">
        <f aca="false">AT136</f>
        <v>125034.971097895</v>
      </c>
      <c r="AV132" s="66" t="n">
        <f aca="false">AU136</f>
        <v>128084.44239918</v>
      </c>
      <c r="AW132" s="66" t="n">
        <f aca="false">AV136</f>
        <v>131057.676917932</v>
      </c>
      <c r="AX132" s="66" t="n">
        <f aca="false">AW136</f>
        <v>133956.580573716</v>
      </c>
      <c r="AY132" s="66" t="n">
        <f aca="false">AX136</f>
        <v>136783.011638105</v>
      </c>
      <c r="AZ132" s="66" t="n">
        <f aca="false">AY136</f>
        <v>141289.925333707</v>
      </c>
      <c r="BA132" s="66" t="n">
        <f aca="false">AZ136</f>
        <v>145684.166186919</v>
      </c>
      <c r="BB132" s="66" t="n">
        <f aca="false">BA136</f>
        <v>149968.5510188</v>
      </c>
      <c r="BC132" s="66" t="n">
        <f aca="false">BB136</f>
        <v>154145.826229885</v>
      </c>
      <c r="BD132" s="66" t="n">
        <f aca="false">BC136</f>
        <v>158218.669560692</v>
      </c>
      <c r="BE132" s="66" t="n">
        <f aca="false">BD136</f>
        <v>162189.691808229</v>
      </c>
      <c r="BF132" s="66" t="n">
        <f aca="false">BE136</f>
        <v>166061.438499578</v>
      </c>
      <c r="BG132" s="66" t="n">
        <f aca="false">BF136</f>
        <v>169836.391523643</v>
      </c>
      <c r="BH132" s="66" t="n">
        <f aca="false">BG136</f>
        <v>173516.970722106</v>
      </c>
      <c r="BI132" s="66" t="n">
        <f aca="false">BH136</f>
        <v>177105.535440608</v>
      </c>
      <c r="BJ132" s="66" t="n">
        <f aca="false">BI136</f>
        <v>180604.386041148</v>
      </c>
    </row>
    <row r="133" customFormat="false" ht="15" hidden="false" customHeight="false" outlineLevel="0" collapsed="false">
      <c r="A133" s="6" t="s">
        <v>404</v>
      </c>
      <c r="C133" s="66" t="n">
        <f aca="false">C125*C129</f>
        <v>2948</v>
      </c>
      <c r="D133" s="66" t="n">
        <f aca="false">D125*D129</f>
        <v>2948</v>
      </c>
      <c r="E133" s="66" t="n">
        <f aca="false">E125*E129</f>
        <v>2948</v>
      </c>
      <c r="F133" s="66" t="n">
        <f aca="false">F125*F129</f>
        <v>2948</v>
      </c>
      <c r="G133" s="66" t="n">
        <f aca="false">G125*G129</f>
        <v>2948</v>
      </c>
      <c r="H133" s="66" t="n">
        <f aca="false">H125*H129</f>
        <v>2948</v>
      </c>
      <c r="I133" s="66" t="n">
        <f aca="false">I125*I129</f>
        <v>2948</v>
      </c>
      <c r="J133" s="66" t="n">
        <f aca="false">J125*J129</f>
        <v>2948</v>
      </c>
      <c r="K133" s="66" t="n">
        <f aca="false">K125*K129</f>
        <v>2948</v>
      </c>
      <c r="L133" s="66" t="n">
        <f aca="false">L125*L129</f>
        <v>2948</v>
      </c>
      <c r="M133" s="66" t="n">
        <f aca="false">M125*M129</f>
        <v>2948</v>
      </c>
      <c r="N133" s="66" t="n">
        <f aca="false">N125*N129</f>
        <v>2948</v>
      </c>
      <c r="O133" s="66" t="n">
        <f aca="false">O125*O129</f>
        <v>3766.092</v>
      </c>
      <c r="P133" s="66" t="n">
        <f aca="false">P125*P129</f>
        <v>3766.092</v>
      </c>
      <c r="Q133" s="66" t="n">
        <f aca="false">Q125*Q129</f>
        <v>3766.092</v>
      </c>
      <c r="R133" s="66" t="n">
        <f aca="false">R125*R129</f>
        <v>3766.092</v>
      </c>
      <c r="S133" s="66" t="n">
        <f aca="false">S125*S129</f>
        <v>3766.092</v>
      </c>
      <c r="T133" s="66" t="n">
        <f aca="false">T125*T129</f>
        <v>3766.092</v>
      </c>
      <c r="U133" s="66" t="n">
        <f aca="false">U125*U129</f>
        <v>3766.092</v>
      </c>
      <c r="V133" s="66" t="n">
        <f aca="false">V125*V129</f>
        <v>3766.092</v>
      </c>
      <c r="W133" s="66" t="n">
        <f aca="false">W125*W129</f>
        <v>3766.092</v>
      </c>
      <c r="X133" s="66" t="n">
        <f aca="false">X125*X129</f>
        <v>3766.092</v>
      </c>
      <c r="Y133" s="66" t="n">
        <f aca="false">Y125*Y129</f>
        <v>3766.092</v>
      </c>
      <c r="Z133" s="66" t="n">
        <f aca="false">Z125*Z129</f>
        <v>3766.092</v>
      </c>
      <c r="AA133" s="66" t="n">
        <f aca="false">AA125*AA129</f>
        <v>4818.735108</v>
      </c>
      <c r="AB133" s="66" t="n">
        <f aca="false">AB125*AB129</f>
        <v>4818.735108</v>
      </c>
      <c r="AC133" s="66" t="n">
        <f aca="false">AC125*AC129</f>
        <v>4818.735108</v>
      </c>
      <c r="AD133" s="66" t="n">
        <f aca="false">AD125*AD129</f>
        <v>4818.735108</v>
      </c>
      <c r="AE133" s="66" t="n">
        <f aca="false">AE125*AE129</f>
        <v>4818.735108</v>
      </c>
      <c r="AF133" s="66" t="n">
        <f aca="false">AF125*AF129</f>
        <v>4818.735108</v>
      </c>
      <c r="AG133" s="66" t="n">
        <f aca="false">AG125*AG129</f>
        <v>4818.735108</v>
      </c>
      <c r="AH133" s="66" t="n">
        <f aca="false">AH125*AH129</f>
        <v>4818.735108</v>
      </c>
      <c r="AI133" s="66" t="n">
        <f aca="false">AI125*AI129</f>
        <v>4818.735108</v>
      </c>
      <c r="AJ133" s="66" t="n">
        <f aca="false">AJ125*AJ129</f>
        <v>4818.735108</v>
      </c>
      <c r="AK133" s="66" t="n">
        <f aca="false">AK125*AK129</f>
        <v>4818.735108</v>
      </c>
      <c r="AL133" s="66" t="n">
        <f aca="false">AL125*AL129</f>
        <v>4818.735108</v>
      </c>
      <c r="AM133" s="66" t="n">
        <f aca="false">AM125*AM129</f>
        <v>6175.345578732</v>
      </c>
      <c r="AN133" s="66" t="n">
        <f aca="false">AN125*AN129</f>
        <v>6175.345578732</v>
      </c>
      <c r="AO133" s="66" t="n">
        <f aca="false">AO125*AO129</f>
        <v>6175.345578732</v>
      </c>
      <c r="AP133" s="66" t="n">
        <f aca="false">AP125*AP129</f>
        <v>6175.345578732</v>
      </c>
      <c r="AQ133" s="66" t="n">
        <f aca="false">AQ125*AQ129</f>
        <v>6175.345578732</v>
      </c>
      <c r="AR133" s="66" t="n">
        <f aca="false">AR125*AR129</f>
        <v>6175.345578732</v>
      </c>
      <c r="AS133" s="66" t="n">
        <f aca="false">AS125*AS129</f>
        <v>6175.345578732</v>
      </c>
      <c r="AT133" s="66" t="n">
        <f aca="false">AT125*AT129</f>
        <v>6175.345578732</v>
      </c>
      <c r="AU133" s="66" t="n">
        <f aca="false">AU125*AU129</f>
        <v>6175.345578732</v>
      </c>
      <c r="AV133" s="66" t="n">
        <f aca="false">AV125*AV129</f>
        <v>6175.345578732</v>
      </c>
      <c r="AW133" s="66" t="n">
        <f aca="false">AW125*AW129</f>
        <v>6175.345578732</v>
      </c>
      <c r="AX133" s="66" t="n">
        <f aca="false">AX125*AX129</f>
        <v>6175.345578732</v>
      </c>
      <c r="AY133" s="66" t="n">
        <f aca="false">AY125*AY129</f>
        <v>7926.48898655447</v>
      </c>
      <c r="AZ133" s="66" t="n">
        <f aca="false">AZ125*AZ129</f>
        <v>7926.48898655447</v>
      </c>
      <c r="BA133" s="66" t="n">
        <f aca="false">BA125*BA129</f>
        <v>7926.48898655447</v>
      </c>
      <c r="BB133" s="66" t="n">
        <f aca="false">BB125*BB129</f>
        <v>7926.48898655447</v>
      </c>
      <c r="BC133" s="66" t="n">
        <f aca="false">BC125*BC129</f>
        <v>7926.48898655447</v>
      </c>
      <c r="BD133" s="66" t="n">
        <f aca="false">BD125*BD129</f>
        <v>7926.48898655447</v>
      </c>
      <c r="BE133" s="66" t="n">
        <f aca="false">BE125*BE129</f>
        <v>7926.48898655447</v>
      </c>
      <c r="BF133" s="66" t="n">
        <f aca="false">BF125*BF129</f>
        <v>7926.48898655447</v>
      </c>
      <c r="BG133" s="66" t="n">
        <f aca="false">BG125*BG129</f>
        <v>7926.48898655447</v>
      </c>
      <c r="BH133" s="66" t="n">
        <f aca="false">BH125*BH129</f>
        <v>7926.48898655447</v>
      </c>
      <c r="BI133" s="66" t="n">
        <f aca="false">BI125*BI129</f>
        <v>7926.48898655447</v>
      </c>
      <c r="BJ133" s="66" t="n">
        <f aca="false">BJ125*BJ129</f>
        <v>7926.48898655447</v>
      </c>
    </row>
    <row r="134" customFormat="false" ht="15" hidden="false" customHeight="false" outlineLevel="0" collapsed="false">
      <c r="A134" s="6" t="s">
        <v>405</v>
      </c>
      <c r="C134" s="66" t="n">
        <f aca="false">C132*Inputs!$C$11</f>
        <v>14.85</v>
      </c>
      <c r="D134" s="66" t="n">
        <f aca="false">D132*Inputs!$C$11</f>
        <v>29.21875</v>
      </c>
      <c r="E134" s="66" t="n">
        <f aca="false">E132*Inputs!$C$11</f>
        <v>43.22828125</v>
      </c>
      <c r="F134" s="66" t="n">
        <f aca="false">F132*Inputs!$C$11</f>
        <v>56.88757421875</v>
      </c>
      <c r="G134" s="66" t="n">
        <f aca="false">G132*Inputs!$C$11</f>
        <v>70.2053848632813</v>
      </c>
      <c r="H134" s="66" t="n">
        <f aca="false">H132*Inputs!$C$11</f>
        <v>83.1902502416992</v>
      </c>
      <c r="I134" s="66" t="n">
        <f aca="false">I132*Inputs!$C$11</f>
        <v>95.8504939856568</v>
      </c>
      <c r="J134" s="66" t="n">
        <f aca="false">J132*Inputs!$C$11</f>
        <v>108.194231636015</v>
      </c>
      <c r="K134" s="66" t="n">
        <f aca="false">K132*Inputs!$C$11</f>
        <v>120.229375845115</v>
      </c>
      <c r="L134" s="66" t="n">
        <f aca="false">L132*Inputs!$C$11</f>
        <v>131.963641448987</v>
      </c>
      <c r="M134" s="66" t="n">
        <f aca="false">M132*Inputs!$C$11</f>
        <v>143.404550412762</v>
      </c>
      <c r="N134" s="66" t="n">
        <f aca="false">N132*Inputs!$C$11</f>
        <v>154.559436652443</v>
      </c>
      <c r="O134" s="66" t="n">
        <f aca="false">O132*Inputs!$C$11</f>
        <v>165.435450736132</v>
      </c>
      <c r="P134" s="66" t="n">
        <f aca="false">P132*Inputs!$C$11</f>
        <v>180.130024467729</v>
      </c>
      <c r="Q134" s="66" t="n">
        <f aca="false">Q132*Inputs!$C$11</f>
        <v>194.457233856036</v>
      </c>
      <c r="R134" s="66" t="n">
        <f aca="false">R132*Inputs!$C$11</f>
        <v>208.426263009635</v>
      </c>
      <c r="S134" s="66" t="n">
        <f aca="false">S132*Inputs!$C$11</f>
        <v>222.046066434394</v>
      </c>
      <c r="T134" s="66" t="n">
        <f aca="false">T132*Inputs!$C$11</f>
        <v>235.325374773534</v>
      </c>
      <c r="U134" s="66" t="n">
        <f aca="false">U132*Inputs!$C$11</f>
        <v>248.272700404196</v>
      </c>
      <c r="V134" s="66" t="n">
        <f aca="false">V132*Inputs!$C$11</f>
        <v>260.896342894091</v>
      </c>
      <c r="W134" s="66" t="n">
        <f aca="false">W132*Inputs!$C$11</f>
        <v>273.204394321739</v>
      </c>
      <c r="X134" s="66" t="n">
        <f aca="false">X132*Inputs!$C$11</f>
        <v>285.204744463695</v>
      </c>
      <c r="Y134" s="66" t="n">
        <f aca="false">Y132*Inputs!$C$11</f>
        <v>296.905085852103</v>
      </c>
      <c r="Z134" s="66" t="n">
        <f aca="false">Z132*Inputs!$C$11</f>
        <v>308.3129187058</v>
      </c>
      <c r="AA134" s="66" t="n">
        <f aca="false">AA132*Inputs!$C$11</f>
        <v>319.435555738155</v>
      </c>
      <c r="AB134" s="66" t="n">
        <f aca="false">AB132*Inputs!$C$11</f>
        <v>335.543342384701</v>
      </c>
      <c r="AC134" s="66" t="n">
        <f aca="false">AC132*Inputs!$C$11</f>
        <v>351.248434365084</v>
      </c>
      <c r="AD134" s="66" t="n">
        <f aca="false">AD132*Inputs!$C$11</f>
        <v>366.560899045957</v>
      </c>
      <c r="AE134" s="66" t="n">
        <f aca="false">AE132*Inputs!$C$11</f>
        <v>381.490552109808</v>
      </c>
      <c r="AF134" s="66" t="n">
        <f aca="false">AF132*Inputs!$C$11</f>
        <v>396.046963847062</v>
      </c>
      <c r="AG134" s="66" t="n">
        <f aca="false">AG132*Inputs!$C$11</f>
        <v>410.239465290886</v>
      </c>
      <c r="AH134" s="66" t="n">
        <f aca="false">AH132*Inputs!$C$11</f>
        <v>424.077154198614</v>
      </c>
      <c r="AI134" s="66" t="n">
        <f aca="false">AI132*Inputs!$C$11</f>
        <v>437.568900883648</v>
      </c>
      <c r="AJ134" s="66" t="n">
        <f aca="false">AJ132*Inputs!$C$11</f>
        <v>450.723353901557</v>
      </c>
      <c r="AK134" s="66" t="n">
        <f aca="false">AK132*Inputs!$C$11</f>
        <v>463.548945594018</v>
      </c>
      <c r="AL134" s="66" t="n">
        <f aca="false">AL132*Inputs!$C$11</f>
        <v>476.053897494168</v>
      </c>
      <c r="AM134" s="66" t="n">
        <f aca="false">AM132*Inputs!$C$11</f>
        <v>488.246225596813</v>
      </c>
      <c r="AN134" s="66" t="n">
        <f aca="false">AN132*Inputs!$C$11</f>
        <v>506.916797850553</v>
      </c>
      <c r="AO134" s="66" t="n">
        <f aca="false">AO132*Inputs!$C$11</f>
        <v>525.120605797949</v>
      </c>
      <c r="AP134" s="66" t="n">
        <f aca="false">AP132*Inputs!$C$11</f>
        <v>542.869318546661</v>
      </c>
      <c r="AQ134" s="66" t="n">
        <f aca="false">AQ132*Inputs!$C$11</f>
        <v>560.174313476654</v>
      </c>
      <c r="AR134" s="66" t="n">
        <f aca="false">AR132*Inputs!$C$11</f>
        <v>577.046683533398</v>
      </c>
      <c r="AS134" s="66" t="n">
        <f aca="false">AS132*Inputs!$C$11</f>
        <v>593.497244338723</v>
      </c>
      <c r="AT134" s="66" t="n">
        <f aca="false">AT132*Inputs!$C$11</f>
        <v>609.536541123915</v>
      </c>
      <c r="AU134" s="66" t="n">
        <f aca="false">AU132*Inputs!$C$11</f>
        <v>625.174855489477</v>
      </c>
      <c r="AV134" s="66" t="n">
        <f aca="false">AV132*Inputs!$C$11</f>
        <v>640.4222119959</v>
      </c>
      <c r="AW134" s="66" t="n">
        <f aca="false">AW132*Inputs!$C$11</f>
        <v>655.288384589662</v>
      </c>
      <c r="AX134" s="66" t="n">
        <f aca="false">AX132*Inputs!$C$11</f>
        <v>669.782902868581</v>
      </c>
      <c r="AY134" s="66" t="n">
        <f aca="false">AY132*Inputs!$C$11</f>
        <v>683.915058190526</v>
      </c>
      <c r="AZ134" s="66" t="n">
        <f aca="false">AZ132*Inputs!$C$11</f>
        <v>706.449626668535</v>
      </c>
      <c r="BA134" s="66" t="n">
        <f aca="false">BA132*Inputs!$C$11</f>
        <v>728.420830934594</v>
      </c>
      <c r="BB134" s="66" t="n">
        <f aca="false">BB132*Inputs!$C$11</f>
        <v>749.842755094002</v>
      </c>
      <c r="BC134" s="66" t="n">
        <f aca="false">BC132*Inputs!$C$11</f>
        <v>770.729131149424</v>
      </c>
      <c r="BD134" s="66" t="n">
        <f aca="false">BD132*Inputs!$C$11</f>
        <v>791.093347803461</v>
      </c>
      <c r="BE134" s="66" t="n">
        <f aca="false">BE132*Inputs!$C$11</f>
        <v>810.948459041147</v>
      </c>
      <c r="BF134" s="66" t="n">
        <f aca="false">BF132*Inputs!$C$11</f>
        <v>830.30719249789</v>
      </c>
      <c r="BG134" s="66" t="n">
        <f aca="false">BG132*Inputs!$C$11</f>
        <v>849.181957618215</v>
      </c>
      <c r="BH134" s="66" t="n">
        <f aca="false">BH132*Inputs!$C$11</f>
        <v>867.584853610532</v>
      </c>
      <c r="BI134" s="66" t="n">
        <f aca="false">BI132*Inputs!$C$11</f>
        <v>885.527677203041</v>
      </c>
      <c r="BJ134" s="66" t="n">
        <f aca="false">BJ132*Inputs!$C$11</f>
        <v>903.021930205738</v>
      </c>
    </row>
    <row r="135" customFormat="false" ht="15" hidden="false" customHeight="false" outlineLevel="0" collapsed="false">
      <c r="A135" s="6" t="s">
        <v>406</v>
      </c>
      <c r="C135" s="66" t="n">
        <f aca="false">-C132*Inputs!$C$10</f>
        <v>-89.1</v>
      </c>
      <c r="D135" s="66" t="n">
        <f aca="false">-D132*Inputs!$C$10</f>
        <v>-175.3125</v>
      </c>
      <c r="E135" s="66" t="n">
        <f aca="false">-E132*Inputs!$C$10</f>
        <v>-259.3696875</v>
      </c>
      <c r="F135" s="66" t="n">
        <f aca="false">-F132*Inputs!$C$10</f>
        <v>-341.3254453125</v>
      </c>
      <c r="G135" s="66" t="n">
        <f aca="false">-G132*Inputs!$C$10</f>
        <v>-421.232309179688</v>
      </c>
      <c r="H135" s="66" t="n">
        <f aca="false">-H132*Inputs!$C$10</f>
        <v>-499.141501450195</v>
      </c>
      <c r="I135" s="66" t="n">
        <f aca="false">-I132*Inputs!$C$10</f>
        <v>-575.102963913941</v>
      </c>
      <c r="J135" s="66" t="n">
        <f aca="false">-J132*Inputs!$C$10</f>
        <v>-649.165389816092</v>
      </c>
      <c r="K135" s="66" t="n">
        <f aca="false">-K132*Inputs!$C$10</f>
        <v>-721.37625507069</v>
      </c>
      <c r="L135" s="66" t="n">
        <f aca="false">-L132*Inputs!$C$10</f>
        <v>-791.781848693923</v>
      </c>
      <c r="M135" s="66" t="n">
        <f aca="false">-M132*Inputs!$C$10</f>
        <v>-860.427302476575</v>
      </c>
      <c r="N135" s="66" t="n">
        <f aca="false">-N132*Inputs!$C$10</f>
        <v>-927.35661991466</v>
      </c>
      <c r="O135" s="66" t="n">
        <f aca="false">-O132*Inputs!$C$10</f>
        <v>-992.612704416794</v>
      </c>
      <c r="P135" s="66" t="n">
        <f aca="false">-P132*Inputs!$C$10</f>
        <v>-1080.78014680637</v>
      </c>
      <c r="Q135" s="66" t="n">
        <f aca="false">-Q132*Inputs!$C$10</f>
        <v>-1166.74340313621</v>
      </c>
      <c r="R135" s="66" t="n">
        <f aca="false">-R132*Inputs!$C$10</f>
        <v>-1250.55757805781</v>
      </c>
      <c r="S135" s="66" t="n">
        <f aca="false">-S132*Inputs!$C$10</f>
        <v>-1332.27639860636</v>
      </c>
      <c r="T135" s="66" t="n">
        <f aca="false">-T132*Inputs!$C$10</f>
        <v>-1411.9522486412</v>
      </c>
      <c r="U135" s="66" t="n">
        <f aca="false">-U132*Inputs!$C$10</f>
        <v>-1489.63620242517</v>
      </c>
      <c r="V135" s="66" t="n">
        <f aca="false">-V132*Inputs!$C$10</f>
        <v>-1565.37805736455</v>
      </c>
      <c r="W135" s="66" t="n">
        <f aca="false">-W132*Inputs!$C$10</f>
        <v>-1639.22636593043</v>
      </c>
      <c r="X135" s="66" t="n">
        <f aca="false">-X132*Inputs!$C$10</f>
        <v>-1711.22846678217</v>
      </c>
      <c r="Y135" s="66" t="n">
        <f aca="false">-Y132*Inputs!$C$10</f>
        <v>-1781.43051511262</v>
      </c>
      <c r="Z135" s="66" t="n">
        <f aca="false">-Z132*Inputs!$C$10</f>
        <v>-1849.8775122348</v>
      </c>
      <c r="AA135" s="66" t="n">
        <f aca="false">-AA132*Inputs!$C$10</f>
        <v>-1916.61333442893</v>
      </c>
      <c r="AB135" s="66" t="n">
        <f aca="false">-AB132*Inputs!$C$10</f>
        <v>-2013.26005430821</v>
      </c>
      <c r="AC135" s="66" t="n">
        <f aca="false">-AC132*Inputs!$C$10</f>
        <v>-2107.4906061905</v>
      </c>
      <c r="AD135" s="66" t="n">
        <f aca="false">-AD132*Inputs!$C$10</f>
        <v>-2199.36539427574</v>
      </c>
      <c r="AE135" s="66" t="n">
        <f aca="false">-AE132*Inputs!$C$10</f>
        <v>-2288.94331265885</v>
      </c>
      <c r="AF135" s="66" t="n">
        <f aca="false">-AF132*Inputs!$C$10</f>
        <v>-2376.28178308237</v>
      </c>
      <c r="AG135" s="66" t="n">
        <f aca="false">-AG132*Inputs!$C$10</f>
        <v>-2461.43679174531</v>
      </c>
      <c r="AH135" s="66" t="n">
        <f aca="false">-AH132*Inputs!$C$10</f>
        <v>-2544.46292519168</v>
      </c>
      <c r="AI135" s="66" t="n">
        <f aca="false">-AI132*Inputs!$C$10</f>
        <v>-2625.41340530189</v>
      </c>
      <c r="AJ135" s="66" t="n">
        <f aca="false">-AJ132*Inputs!$C$10</f>
        <v>-2704.34012340934</v>
      </c>
      <c r="AK135" s="66" t="n">
        <f aca="false">-AK132*Inputs!$C$10</f>
        <v>-2781.29367356411</v>
      </c>
      <c r="AL135" s="66" t="n">
        <f aca="false">-AL132*Inputs!$C$10</f>
        <v>-2856.323384965</v>
      </c>
      <c r="AM135" s="66" t="n">
        <f aca="false">-AM132*Inputs!$C$10</f>
        <v>-2929.47735358088</v>
      </c>
      <c r="AN135" s="66" t="n">
        <f aca="false">-AN132*Inputs!$C$10</f>
        <v>-3041.50078710332</v>
      </c>
      <c r="AO135" s="66" t="n">
        <f aca="false">-AO132*Inputs!$C$10</f>
        <v>-3150.7236347877</v>
      </c>
      <c r="AP135" s="66" t="n">
        <f aca="false">-AP132*Inputs!$C$10</f>
        <v>-3257.21591127996</v>
      </c>
      <c r="AQ135" s="66" t="n">
        <f aca="false">-AQ132*Inputs!$C$10</f>
        <v>-3361.04588085992</v>
      </c>
      <c r="AR135" s="66" t="n">
        <f aca="false">-AR132*Inputs!$C$10</f>
        <v>-3462.28010120039</v>
      </c>
      <c r="AS135" s="66" t="n">
        <f aca="false">-AS132*Inputs!$C$10</f>
        <v>-3560.98346603234</v>
      </c>
      <c r="AT135" s="66" t="n">
        <f aca="false">-AT132*Inputs!$C$10</f>
        <v>-3657.21924674349</v>
      </c>
      <c r="AU135" s="66" t="n">
        <f aca="false">-AU132*Inputs!$C$10</f>
        <v>-3751.04913293686</v>
      </c>
      <c r="AV135" s="66" t="n">
        <f aca="false">-AV132*Inputs!$C$10</f>
        <v>-3842.5332719754</v>
      </c>
      <c r="AW135" s="66" t="n">
        <f aca="false">-AW132*Inputs!$C$10</f>
        <v>-3931.73030753797</v>
      </c>
      <c r="AX135" s="66" t="n">
        <f aca="false">-AX132*Inputs!$C$10</f>
        <v>-4018.69741721148</v>
      </c>
      <c r="AY135" s="66" t="n">
        <f aca="false">-AY132*Inputs!$C$10</f>
        <v>-4103.49034914316</v>
      </c>
      <c r="AZ135" s="66" t="n">
        <f aca="false">-AZ132*Inputs!$C$10</f>
        <v>-4238.69776001121</v>
      </c>
      <c r="BA135" s="66" t="n">
        <f aca="false">-BA132*Inputs!$C$10</f>
        <v>-4370.52498560757</v>
      </c>
      <c r="BB135" s="66" t="n">
        <f aca="false">-BB132*Inputs!$C$10</f>
        <v>-4499.05653056401</v>
      </c>
      <c r="BC135" s="66" t="n">
        <f aca="false">-BC132*Inputs!$C$10</f>
        <v>-4624.37478689654</v>
      </c>
      <c r="BD135" s="66" t="n">
        <f aca="false">-BD132*Inputs!$C$10</f>
        <v>-4746.56008682077</v>
      </c>
      <c r="BE135" s="66" t="n">
        <f aca="false">-BE132*Inputs!$C$10</f>
        <v>-4865.69075424688</v>
      </c>
      <c r="BF135" s="66" t="n">
        <f aca="false">-BF132*Inputs!$C$10</f>
        <v>-4981.84315498734</v>
      </c>
      <c r="BG135" s="66" t="n">
        <f aca="false">-BG132*Inputs!$C$10</f>
        <v>-5095.09174570929</v>
      </c>
      <c r="BH135" s="66" t="n">
        <f aca="false">-BH132*Inputs!$C$10</f>
        <v>-5205.50912166319</v>
      </c>
      <c r="BI135" s="66" t="n">
        <f aca="false">-BI132*Inputs!$C$10</f>
        <v>-5313.16606321825</v>
      </c>
      <c r="BJ135" s="66" t="n">
        <f aca="false">-BJ132*Inputs!$C$10</f>
        <v>-5418.13158123443</v>
      </c>
    </row>
    <row r="136" customFormat="false" ht="15" hidden="false" customHeight="false" outlineLevel="0" collapsed="false">
      <c r="A136" s="111" t="s">
        <v>407</v>
      </c>
      <c r="C136" s="67" t="n">
        <f aca="false">C132+C133+C134+C135</f>
        <v>5843.75</v>
      </c>
      <c r="D136" s="67" t="n">
        <f aca="false">D132+D133+D134+D135</f>
        <v>8645.65625</v>
      </c>
      <c r="E136" s="67" t="n">
        <f aca="false">E132+E133+E134+E135</f>
        <v>11377.51484375</v>
      </c>
      <c r="F136" s="67" t="n">
        <f aca="false">F132+F133+F134+F135</f>
        <v>14041.0769726563</v>
      </c>
      <c r="G136" s="67" t="n">
        <f aca="false">G132+G133+G134+G135</f>
        <v>16638.0500483398</v>
      </c>
      <c r="H136" s="67" t="n">
        <f aca="false">H132+H133+H134+H135</f>
        <v>19170.0987971314</v>
      </c>
      <c r="I136" s="67" t="n">
        <f aca="false">I132+I133+I134+I135</f>
        <v>21638.8463272031</v>
      </c>
      <c r="J136" s="67" t="n">
        <f aca="false">J132+J133+J134+J135</f>
        <v>24045.875169023</v>
      </c>
      <c r="K136" s="67" t="n">
        <f aca="false">K132+K133+K134+K135</f>
        <v>26392.7282897974</v>
      </c>
      <c r="L136" s="67" t="n">
        <f aca="false">L132+L133+L134+L135</f>
        <v>28680.9100825525</v>
      </c>
      <c r="M136" s="67" t="n">
        <f aca="false">M132+M133+M134+M135</f>
        <v>30911.8873304887</v>
      </c>
      <c r="N136" s="67" t="n">
        <f aca="false">N132+N133+N134+N135</f>
        <v>33087.0901472265</v>
      </c>
      <c r="O136" s="67" t="n">
        <f aca="false">O132+O133+O134+O135</f>
        <v>36026.0048935458</v>
      </c>
      <c r="P136" s="67" t="n">
        <f aca="false">P132+P133+P134+P135</f>
        <v>38891.4467712071</v>
      </c>
      <c r="Q136" s="67" t="n">
        <f aca="false">Q132+Q133+Q134+Q135</f>
        <v>41685.252601927</v>
      </c>
      <c r="R136" s="67" t="n">
        <f aca="false">R132+R133+R134+R135</f>
        <v>44409.2132868788</v>
      </c>
      <c r="S136" s="67" t="n">
        <f aca="false">S132+S133+S134+S135</f>
        <v>47065.0749547068</v>
      </c>
      <c r="T136" s="67" t="n">
        <f aca="false">T132+T133+T134+T135</f>
        <v>49654.5400808392</v>
      </c>
      <c r="U136" s="67" t="n">
        <f aca="false">U132+U133+U134+U135</f>
        <v>52179.2685788182</v>
      </c>
      <c r="V136" s="67" t="n">
        <f aca="false">V132+V133+V134+V135</f>
        <v>54640.8788643477</v>
      </c>
      <c r="W136" s="67" t="n">
        <f aca="false">W132+W133+W134+W135</f>
        <v>57040.948892739</v>
      </c>
      <c r="X136" s="67" t="n">
        <f aca="false">X132+X133+X134+X135</f>
        <v>59381.0171704205</v>
      </c>
      <c r="Y136" s="67" t="n">
        <f aca="false">Y132+Y133+Y134+Y135</f>
        <v>61662.58374116</v>
      </c>
      <c r="Z136" s="67" t="n">
        <f aca="false">Z132+Z133+Z134+Z135</f>
        <v>63887.111147631</v>
      </c>
      <c r="AA136" s="67" t="n">
        <f aca="false">AA132+AA133+AA134+AA135</f>
        <v>67108.6684769402</v>
      </c>
      <c r="AB136" s="67" t="n">
        <f aca="false">AB132+AB133+AB134+AB135</f>
        <v>70249.6868730167</v>
      </c>
      <c r="AC136" s="67" t="n">
        <f aca="false">AC132+AC133+AC134+AC135</f>
        <v>73312.1798091913</v>
      </c>
      <c r="AD136" s="67" t="n">
        <f aca="false">AD132+AD133+AD134+AD135</f>
        <v>76298.1104219615</v>
      </c>
      <c r="AE136" s="67" t="n">
        <f aca="false">AE132+AE133+AE134+AE135</f>
        <v>79209.3927694125</v>
      </c>
      <c r="AF136" s="67" t="n">
        <f aca="false">AF132+AF133+AF134+AF135</f>
        <v>82047.8930581772</v>
      </c>
      <c r="AG136" s="67" t="n">
        <f aca="false">AG132+AG133+AG134+AG135</f>
        <v>84815.4308397227</v>
      </c>
      <c r="AH136" s="67" t="n">
        <f aca="false">AH132+AH133+AH134+AH135</f>
        <v>87513.7801767297</v>
      </c>
      <c r="AI136" s="67" t="n">
        <f aca="false">AI132+AI133+AI134+AI135</f>
        <v>90144.6707803114</v>
      </c>
      <c r="AJ136" s="67" t="n">
        <f aca="false">AJ132+AJ133+AJ134+AJ135</f>
        <v>92709.7891188036</v>
      </c>
      <c r="AK136" s="67" t="n">
        <f aca="false">AK132+AK133+AK134+AK135</f>
        <v>95210.7794988335</v>
      </c>
      <c r="AL136" s="67" t="n">
        <f aca="false">AL132+AL133+AL134+AL135</f>
        <v>97649.2451193627</v>
      </c>
      <c r="AM136" s="67" t="n">
        <f aca="false">AM132+AM133+AM134+AM135</f>
        <v>101383.359570111</v>
      </c>
      <c r="AN136" s="67" t="n">
        <f aca="false">AN132+AN133+AN134+AN135</f>
        <v>105024.12115959</v>
      </c>
      <c r="AO136" s="67" t="n">
        <f aca="false">AO132+AO133+AO134+AO135</f>
        <v>108573.863709332</v>
      </c>
      <c r="AP136" s="67" t="n">
        <f aca="false">AP132+AP133+AP134+AP135</f>
        <v>112034.862695331</v>
      </c>
      <c r="AQ136" s="67" t="n">
        <f aca="false">AQ132+AQ133+AQ134+AQ135</f>
        <v>115409.33670668</v>
      </c>
      <c r="AR136" s="67" t="n">
        <f aca="false">AR132+AR133+AR134+AR135</f>
        <v>118699.448867745</v>
      </c>
      <c r="AS136" s="67" t="n">
        <f aca="false">AS132+AS133+AS134+AS135</f>
        <v>121907.308224783</v>
      </c>
      <c r="AT136" s="67" t="n">
        <f aca="false">AT132+AT133+AT134+AT135</f>
        <v>125034.971097895</v>
      </c>
      <c r="AU136" s="67" t="n">
        <f aca="false">AU132+AU133+AU134+AU135</f>
        <v>128084.44239918</v>
      </c>
      <c r="AV136" s="67" t="n">
        <f aca="false">AV132+AV133+AV134+AV135</f>
        <v>131057.676917932</v>
      </c>
      <c r="AW136" s="67" t="n">
        <f aca="false">AW132+AW133+AW134+AW135</f>
        <v>133956.580573716</v>
      </c>
      <c r="AX136" s="67" t="n">
        <f aca="false">AX132+AX133+AX134+AX135</f>
        <v>136783.011638105</v>
      </c>
      <c r="AY136" s="67" t="n">
        <f aca="false">AY132+AY133+AY134+AY135</f>
        <v>141289.925333707</v>
      </c>
      <c r="AZ136" s="67" t="n">
        <f aca="false">AZ132+AZ133+AZ134+AZ135</f>
        <v>145684.166186919</v>
      </c>
      <c r="BA136" s="67" t="n">
        <f aca="false">BA132+BA133+BA134+BA135</f>
        <v>149968.5510188</v>
      </c>
      <c r="BB136" s="67" t="n">
        <f aca="false">BB132+BB133+BB134+BB135</f>
        <v>154145.826229885</v>
      </c>
      <c r="BC136" s="67" t="n">
        <f aca="false">BC132+BC133+BC134+BC135</f>
        <v>158218.669560692</v>
      </c>
      <c r="BD136" s="67" t="n">
        <f aca="false">BD132+BD133+BD134+BD135</f>
        <v>162189.691808229</v>
      </c>
      <c r="BE136" s="67" t="n">
        <f aca="false">BE132+BE133+BE134+BE135</f>
        <v>166061.438499578</v>
      </c>
      <c r="BF136" s="67" t="n">
        <f aca="false">BF132+BF133+BF134+BF135</f>
        <v>169836.391523643</v>
      </c>
      <c r="BG136" s="67" t="n">
        <f aca="false">BG132+BG133+BG134+BG135</f>
        <v>173516.970722106</v>
      </c>
      <c r="BH136" s="67" t="n">
        <f aca="false">BH132+BH133+BH134+BH135</f>
        <v>177105.535440608</v>
      </c>
      <c r="BI136" s="67" t="n">
        <f aca="false">BI132+BI133+BI134+BI135</f>
        <v>180604.386041148</v>
      </c>
      <c r="BJ136" s="67" t="n">
        <f aca="false">BJ132+BJ133+BJ134+BJ135</f>
        <v>184015.765376673</v>
      </c>
    </row>
    <row r="138" customFormat="false" ht="15.75" hidden="false" customHeight="true" outlineLevel="0" collapsed="false">
      <c r="A138" s="7" t="s">
        <v>408</v>
      </c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</row>
    <row r="139" customFormat="false" ht="15" hidden="false" customHeight="false" outlineLevel="0" collapsed="false">
      <c r="A139" s="111" t="s">
        <v>409</v>
      </c>
      <c r="C139" s="67" t="n">
        <f aca="false">(C132+C136)/2*1</f>
        <v>4406.875</v>
      </c>
      <c r="D139" s="67" t="n">
        <f aca="false">(D132+D136)/2*1</f>
        <v>7244.703125</v>
      </c>
      <c r="E139" s="67" t="n">
        <f aca="false">(E132+E136)/2*1</f>
        <v>10011.585546875</v>
      </c>
      <c r="F139" s="67" t="n">
        <f aca="false">(F132+F136)/2*1</f>
        <v>12709.2959082031</v>
      </c>
      <c r="G139" s="67" t="n">
        <f aca="false">(G132+G136)/2*1</f>
        <v>15339.563510498</v>
      </c>
      <c r="H139" s="67" t="n">
        <f aca="false">(H132+H136)/2*1</f>
        <v>17904.0744227356</v>
      </c>
      <c r="I139" s="67" t="n">
        <f aca="false">(I132+I136)/2*1</f>
        <v>20404.4725621672</v>
      </c>
      <c r="J139" s="67" t="n">
        <f aca="false">(J132+J136)/2*1</f>
        <v>22842.360748113</v>
      </c>
      <c r="K139" s="67" t="n">
        <f aca="false">(K132+K136)/2*1</f>
        <v>25219.3017294102</v>
      </c>
      <c r="L139" s="67" t="n">
        <f aca="false">(L132+L136)/2*1</f>
        <v>27536.819186175</v>
      </c>
      <c r="M139" s="67" t="n">
        <f aca="false">(M132+M136)/2*1</f>
        <v>29796.3987065206</v>
      </c>
      <c r="N139" s="67" t="n">
        <f aca="false">(N132+N136)/2*1</f>
        <v>31999.4887388576</v>
      </c>
      <c r="O139" s="67" t="n">
        <f aca="false">(O132+O136)/2*1</f>
        <v>34556.5475203861</v>
      </c>
      <c r="P139" s="67" t="n">
        <f aca="false">(P132+P136)/2*1</f>
        <v>37458.7258323765</v>
      </c>
      <c r="Q139" s="67" t="n">
        <f aca="false">(Q132+Q136)/2*1</f>
        <v>40288.3496865671</v>
      </c>
      <c r="R139" s="67" t="n">
        <f aca="false">(R132+R136)/2*1</f>
        <v>43047.2329444029</v>
      </c>
      <c r="S139" s="67" t="n">
        <f aca="false">(S132+S136)/2*1</f>
        <v>45737.1441207928</v>
      </c>
      <c r="T139" s="67" t="n">
        <f aca="false">(T132+T136)/2*1</f>
        <v>48359.807517773</v>
      </c>
      <c r="U139" s="67" t="n">
        <f aca="false">(U132+U136)/2*1</f>
        <v>50916.9043298287</v>
      </c>
      <c r="V139" s="67" t="n">
        <f aca="false">(V132+V136)/2*1</f>
        <v>53410.0737215829</v>
      </c>
      <c r="W139" s="67" t="n">
        <f aca="false">(W132+W136)/2*1</f>
        <v>55840.9138785434</v>
      </c>
      <c r="X139" s="67" t="n">
        <f aca="false">(X132+X136)/2*1</f>
        <v>58210.9830315798</v>
      </c>
      <c r="Y139" s="67" t="n">
        <f aca="false">(Y132+Y136)/2*1</f>
        <v>60521.8004557903</v>
      </c>
      <c r="Z139" s="67" t="n">
        <f aca="false">(Z132+Z136)/2*1</f>
        <v>62774.8474443955</v>
      </c>
      <c r="AA139" s="67" t="n">
        <f aca="false">(AA132+AA136)/2*1</f>
        <v>65497.8898122856</v>
      </c>
      <c r="AB139" s="67" t="n">
        <f aca="false">(AB132+AB136)/2*1</f>
        <v>68679.1776749785</v>
      </c>
      <c r="AC139" s="67" t="n">
        <f aca="false">(AC132+AC136)/2*1</f>
        <v>71780.933341104</v>
      </c>
      <c r="AD139" s="67" t="n">
        <f aca="false">(AD132+AD136)/2*1</f>
        <v>74805.1451155764</v>
      </c>
      <c r="AE139" s="67" t="n">
        <f aca="false">(AE132+AE136)/2*1</f>
        <v>77753.751595687</v>
      </c>
      <c r="AF139" s="67" t="n">
        <f aca="false">(AF132+AF136)/2*1</f>
        <v>80628.6429137948</v>
      </c>
      <c r="AG139" s="67" t="n">
        <f aca="false">(AG132+AG136)/2*1</f>
        <v>83431.6619489499</v>
      </c>
      <c r="AH139" s="67" t="n">
        <f aca="false">(AH132+AH136)/2*1</f>
        <v>86164.6055082262</v>
      </c>
      <c r="AI139" s="67" t="n">
        <f aca="false">(AI132+AI136)/2*1</f>
        <v>88829.2254785205</v>
      </c>
      <c r="AJ139" s="67" t="n">
        <f aca="false">(AJ132+AJ136)/2*1</f>
        <v>91427.2299495575</v>
      </c>
      <c r="AK139" s="67" t="n">
        <f aca="false">(AK132+AK136)/2*1</f>
        <v>93960.2843088186</v>
      </c>
      <c r="AL139" s="67" t="n">
        <f aca="false">(AL132+AL136)/2*1</f>
        <v>96430.0123090981</v>
      </c>
      <c r="AM139" s="67" t="n">
        <f aca="false">(AM132+AM136)/2*1</f>
        <v>99516.3023447366</v>
      </c>
      <c r="AN139" s="67" t="n">
        <f aca="false">(AN132+AN136)/2*1</f>
        <v>103203.74036485</v>
      </c>
      <c r="AO139" s="67" t="n">
        <f aca="false">(AO132+AO136)/2*1</f>
        <v>106798.992434461</v>
      </c>
      <c r="AP139" s="67" t="n">
        <f aca="false">(AP132+AP136)/2*1</f>
        <v>110304.363202331</v>
      </c>
      <c r="AQ139" s="67" t="n">
        <f aca="false">(AQ132+AQ136)/2*1</f>
        <v>113722.099701005</v>
      </c>
      <c r="AR139" s="67" t="n">
        <f aca="false">(AR132+AR136)/2*1</f>
        <v>117054.392787212</v>
      </c>
      <c r="AS139" s="67" t="n">
        <f aca="false">(AS132+AS136)/2*1</f>
        <v>120303.378546264</v>
      </c>
      <c r="AT139" s="67" t="n">
        <f aca="false">(AT132+AT136)/2*1</f>
        <v>123471.139661339</v>
      </c>
      <c r="AU139" s="67" t="n">
        <f aca="false">(AU132+AU136)/2*1</f>
        <v>126559.706748538</v>
      </c>
      <c r="AV139" s="67" t="n">
        <f aca="false">(AV132+AV136)/2*1</f>
        <v>129571.059658556</v>
      </c>
      <c r="AW139" s="67" t="n">
        <f aca="false">(AW132+AW136)/2*1</f>
        <v>132507.128745824</v>
      </c>
      <c r="AX139" s="67" t="n">
        <f aca="false">(AX132+AX136)/2*1</f>
        <v>135369.796105911</v>
      </c>
      <c r="AY139" s="67" t="n">
        <f aca="false">(AY132+AY136)/2*1</f>
        <v>139036.468485906</v>
      </c>
      <c r="AZ139" s="67" t="n">
        <f aca="false">(AZ132+AZ136)/2*1</f>
        <v>143487.045760313</v>
      </c>
      <c r="BA139" s="67" t="n">
        <f aca="false">(BA132+BA136)/2*1</f>
        <v>147826.35860286</v>
      </c>
      <c r="BB139" s="67" t="n">
        <f aca="false">(BB132+BB136)/2*1</f>
        <v>152057.188624343</v>
      </c>
      <c r="BC139" s="67" t="n">
        <f aca="false">(BC132+BC136)/2*1</f>
        <v>156182.247895288</v>
      </c>
      <c r="BD139" s="67" t="n">
        <f aca="false">(BD132+BD136)/2*1</f>
        <v>160204.180684461</v>
      </c>
      <c r="BE139" s="67" t="n">
        <f aca="false">(BE132+BE136)/2*1</f>
        <v>164125.565153904</v>
      </c>
      <c r="BF139" s="67" t="n">
        <f aca="false">(BF132+BF136)/2*1</f>
        <v>167948.915011611</v>
      </c>
      <c r="BG139" s="67" t="n">
        <f aca="false">(BG132+BG136)/2*1</f>
        <v>171676.681122875</v>
      </c>
      <c r="BH139" s="67" t="n">
        <f aca="false">(BH132+BH136)/2*1</f>
        <v>175311.253081357</v>
      </c>
      <c r="BI139" s="67" t="n">
        <f aca="false">(BI132+BI136)/2*1</f>
        <v>178854.960740878</v>
      </c>
      <c r="BJ139" s="67" t="n">
        <f aca="false">(BJ132+BJ136)/2*1</f>
        <v>182310.07570891</v>
      </c>
    </row>
    <row r="140" customFormat="false" ht="15" hidden="false" customHeight="false" outlineLevel="0" collapsed="false">
      <c r="A140" s="6" t="s">
        <v>75</v>
      </c>
      <c r="C140" s="66" t="n">
        <f aca="false">-(C139*Inputs!$C$18+(C126+C128)/2*Inputs!$C$19*1)</f>
        <v>-529.565277777778</v>
      </c>
      <c r="D140" s="66" t="n">
        <f aca="false">-(D139*Inputs!$C$18+(D126+D128)/2*Inputs!$C$19*1)</f>
        <v>-870.2373125</v>
      </c>
      <c r="E140" s="66" t="n">
        <f aca="false">-(E139*Inputs!$C$18+(E126+E128)/2*Inputs!$C$19*1)</f>
        <v>-1202.10810024306</v>
      </c>
      <c r="F140" s="66" t="n">
        <f aca="false">-(F139*Inputs!$C$18+(F126+F128)/2*Inputs!$C$19*1)</f>
        <v>-1525.40620556476</v>
      </c>
      <c r="G140" s="66" t="n">
        <f aca="false">-(G139*Inputs!$C$18+(G126+G128)/2*Inputs!$C$19*1)</f>
        <v>-1840.35422290747</v>
      </c>
      <c r="H140" s="66" t="n">
        <f aca="false">-(H139*Inputs!$C$18+(H126+H128)/2*Inputs!$C$19*1)</f>
        <v>-2147.16893353105</v>
      </c>
      <c r="I140" s="66" t="n">
        <f aca="false">-(I139*Inputs!$C$18+(I126+I128)/2*Inputs!$C$19*1)</f>
        <v>-2446.06145829204</v>
      </c>
      <c r="J140" s="66" t="n">
        <f aca="false">-(J139*Inputs!$C$18+(J126+J128)/2*Inputs!$C$19*1)</f>
        <v>-2737.23740637992</v>
      </c>
      <c r="K140" s="66" t="n">
        <f aca="false">-(K139*Inputs!$C$18+(K126+K128)/2*Inputs!$C$19*1)</f>
        <v>-3020.89702011814</v>
      </c>
      <c r="L140" s="66" t="n">
        <f aca="false">-(L139*Inputs!$C$18+(L126+L128)/2*Inputs!$C$19*1)</f>
        <v>-3297.23531593485</v>
      </c>
      <c r="M140" s="66" t="n">
        <f aca="false">-(M139*Inputs!$C$18+(M126+M128)/2*Inputs!$C$19*1)</f>
        <v>-3566.44222160545</v>
      </c>
      <c r="N140" s="66" t="n">
        <f aca="false">-(N139*Inputs!$C$18+(N126+N128)/2*Inputs!$C$19*1)</f>
        <v>-3828.7027098661</v>
      </c>
      <c r="O140" s="66" t="n">
        <f aca="false">-(O139*Inputs!$C$18+(O126+O128)/2*Inputs!$C$19*1)</f>
        <v>-4132.25708405066</v>
      </c>
      <c r="P140" s="66" t="n">
        <f aca="false">-(P139*Inputs!$C$18+(P126+P128)/2*Inputs!$C$19*1)</f>
        <v>-4476.043511956</v>
      </c>
      <c r="Q140" s="66" t="n">
        <f aca="false">-(Q139*Inputs!$C$18+(Q126+Q128)/2*Inputs!$C$19*1)</f>
        <v>-4810.96743618017</v>
      </c>
      <c r="R140" s="66" t="n">
        <f aca="false">-(R139*Inputs!$C$18+(R126+R128)/2*Inputs!$C$19*1)</f>
        <v>-5137.25845460472</v>
      </c>
      <c r="S140" s="66" t="n">
        <f aca="false">-(S139*Inputs!$C$18+(S126+S128)/2*Inputs!$C$19*1)</f>
        <v>-5455.14018410545</v>
      </c>
      <c r="T140" s="66" t="n">
        <f aca="false">-(T139*Inputs!$C$18+(T126+T128)/2*Inputs!$C$19*1)</f>
        <v>-5764.83041730935</v>
      </c>
      <c r="U140" s="66" t="n">
        <f aca="false">-(U139*Inputs!$C$18+(U126+U128)/2*Inputs!$C$19*1)</f>
        <v>-6066.54127521562</v>
      </c>
      <c r="V140" s="66" t="n">
        <f aca="false">-(V139*Inputs!$C$18+(V126+V128)/2*Inputs!$C$19*1)</f>
        <v>-6360.47935579073</v>
      </c>
      <c r="W140" s="66" t="n">
        <f aca="false">-(W139*Inputs!$C$18+(W126+W128)/2*Inputs!$C$19*1)</f>
        <v>-6646.84587864447</v>
      </c>
      <c r="X140" s="66" t="n">
        <f aca="false">-(X139*Inputs!$C$18+(X126+X128)/2*Inputs!$C$19*1)</f>
        <v>-6925.83682589107</v>
      </c>
      <c r="Y140" s="66" t="n">
        <f aca="false">-(Y139*Inputs!$C$18+(Y126+Y128)/2*Inputs!$C$19*1)</f>
        <v>-7197.6430792968</v>
      </c>
      <c r="Z140" s="66" t="n">
        <f aca="false">-(Z139*Inputs!$C$18+(Z126+Z128)/2*Inputs!$C$19*1)</f>
        <v>-7462.45055381245</v>
      </c>
      <c r="AA140" s="66" t="n">
        <f aca="false">-(AA139*Inputs!$C$18+(AA126+AA128)/2*Inputs!$C$19*1)</f>
        <v>-7782.01914965361</v>
      </c>
      <c r="AB140" s="66" t="n">
        <f aca="false">-(AB139*Inputs!$C$18+(AB126+AB128)/2*Inputs!$C$19*1)</f>
        <v>-8154.94103087014</v>
      </c>
      <c r="AC140" s="66" t="n">
        <f aca="false">-(AC139*Inputs!$C$18+(AC126+AC128)/2*Inputs!$C$19*1)</f>
        <v>-8518.26589958153</v>
      </c>
      <c r="AD140" s="66" t="n">
        <f aca="false">-(AD139*Inputs!$C$18+(AD126+AD128)/2*Inputs!$C$19*1)</f>
        <v>-8872.24190006463</v>
      </c>
      <c r="AE140" s="66" t="n">
        <f aca="false">-(AE139*Inputs!$C$18+(AE126+AE128)/2*Inputs!$C$19*1)</f>
        <v>-9217.11072642048</v>
      </c>
      <c r="AF140" s="66" t="n">
        <f aca="false">-(AF139*Inputs!$C$18+(AF126+AF128)/2*Inputs!$C$19*1)</f>
        <v>-9553.10779122571</v>
      </c>
      <c r="AG140" s="66" t="n">
        <f aca="false">-(AG139*Inputs!$C$18+(AG126+AG128)/2*Inputs!$C$19*1)</f>
        <v>-9880.46238974584</v>
      </c>
      <c r="AH140" s="66" t="n">
        <f aca="false">-(AH139*Inputs!$C$18+(AH126+AH128)/2*Inputs!$C$19*1)</f>
        <v>-10199.3978598279</v>
      </c>
      <c r="AI140" s="66" t="n">
        <f aca="false">-(AI139*Inputs!$C$18+(AI126+AI128)/2*Inputs!$C$19*1)</f>
        <v>-10510.1317375872</v>
      </c>
      <c r="AJ140" s="66" t="n">
        <f aca="false">-(AJ139*Inputs!$C$18+(AJ126+AJ128)/2*Inputs!$C$19*1)</f>
        <v>-10812.8759089989</v>
      </c>
      <c r="AK140" s="66" t="n">
        <f aca="false">-(AK139*Inputs!$C$18+(AK126+AK128)/2*Inputs!$C$19*1)</f>
        <v>-11107.8367575037</v>
      </c>
      <c r="AL140" s="66" t="n">
        <f aca="false">-(AL139*Inputs!$C$18+(AL126+AL128)/2*Inputs!$C$19*1)</f>
        <v>-11395.215307733</v>
      </c>
      <c r="AM140" s="66" t="n">
        <f aca="false">-(AM139*Inputs!$C$18+(AM126+AM128)/2*Inputs!$C$19*1)</f>
        <v>-11754.2418889921</v>
      </c>
      <c r="AN140" s="66" t="n">
        <f aca="false">-(AN139*Inputs!$C$18+(AN126+AN128)/2*Inputs!$C$19*1)</f>
        <v>-12183.0753413679</v>
      </c>
      <c r="AO140" s="66" t="n">
        <f aca="false">-(AO139*Inputs!$C$18+(AO126+AO128)/2*Inputs!$C$19*1)</f>
        <v>-12600.8875091825</v>
      </c>
      <c r="AP140" s="66" t="n">
        <f aca="false">-(AP139*Inputs!$C$18+(AP126+AP128)/2*Inputs!$C$19*1)</f>
        <v>-13007.9629379975</v>
      </c>
      <c r="AQ140" s="66" t="n">
        <f aca="false">-(AQ139*Inputs!$C$18+(AQ126+AQ128)/2*Inputs!$C$19*1)</f>
        <v>-13404.5787893319</v>
      </c>
      <c r="AR140" s="66" t="n">
        <f aca="false">-(AR139*Inputs!$C$18+(AR126+AR128)/2*Inputs!$C$19*1)</f>
        <v>-13791.0050333757</v>
      </c>
      <c r="AS140" s="66" t="n">
        <f aca="false">-(AS139*Inputs!$C$18+(AS126+AS128)/2*Inputs!$C$19*1)</f>
        <v>-14167.5046366412</v>
      </c>
      <c r="AT140" s="66" t="n">
        <f aca="false">-(AT139*Inputs!$C$18+(AT126+AT128)/2*Inputs!$C$19*1)</f>
        <v>-14534.3337446883</v>
      </c>
      <c r="AU140" s="66" t="n">
        <f aca="false">-(AU139*Inputs!$C$18+(AU126+AU128)/2*Inputs!$C$19*1)</f>
        <v>-14891.7418600515</v>
      </c>
      <c r="AV140" s="66" t="n">
        <f aca="false">-(AV139*Inputs!$C$18+(AV126+AV128)/2*Inputs!$C$19*1)</f>
        <v>-15239.9720154974</v>
      </c>
      <c r="AW140" s="66" t="n">
        <f aca="false">-(AW139*Inputs!$C$18+(AW126+AW128)/2*Inputs!$C$19*1)</f>
        <v>-15579.260942735</v>
      </c>
      <c r="AX140" s="66" t="n">
        <f aca="false">-(AX139*Inputs!$C$18+(AX126+AX128)/2*Inputs!$C$19*1)</f>
        <v>-15909.8392366991</v>
      </c>
      <c r="AY140" s="66" t="n">
        <f aca="false">-(AY139*Inputs!$C$18+(AY126+AY128)/2*Inputs!$C$19*1)</f>
        <v>-16333.5418859154</v>
      </c>
      <c r="AZ140" s="66" t="n">
        <f aca="false">-(AZ139*Inputs!$C$18+(AZ126+AZ128)/2*Inputs!$C$19*1)</f>
        <v>-16847.9771622363</v>
      </c>
      <c r="BA140" s="66" t="n">
        <f aca="false">-(BA139*Inputs!$C$18+(BA126+BA128)/2*Inputs!$C$19*1)</f>
        <v>-17349.2046689048</v>
      </c>
      <c r="BB140" s="66" t="n">
        <f aca="false">-(BB139*Inputs!$C$18+(BB126+BB128)/2*Inputs!$C$19*1)</f>
        <v>-17837.5650067945</v>
      </c>
      <c r="BC140" s="66" t="n">
        <f aca="false">-(BC139*Inputs!$C$18+(BC126+BC128)/2*Inputs!$C$19*1)</f>
        <v>-18313.3899495583</v>
      </c>
      <c r="BD140" s="66" t="n">
        <f aca="false">-(BD139*Inputs!$C$18+(BD126+BD128)/2*Inputs!$C$19*1)</f>
        <v>-18777.0026736747</v>
      </c>
      <c r="BE140" s="66" t="n">
        <f aca="false">-(BE139*Inputs!$C$18+(BE126+BE128)/2*Inputs!$C$19*1)</f>
        <v>-19228.7179824621</v>
      </c>
      <c r="BF140" s="66" t="n">
        <f aca="false">-(BF139*Inputs!$C$18+(BF126+BF128)/2*Inputs!$C$19*1)</f>
        <v>-19668.8425242206</v>
      </c>
      <c r="BG140" s="66" t="n">
        <f aca="false">-(BG139*Inputs!$C$18+(BG126+BG128)/2*Inputs!$C$19*1)</f>
        <v>-20097.6750046553</v>
      </c>
      <c r="BH140" s="66" t="n">
        <f aca="false">-(BH139*Inputs!$C$18+(BH126+BH128)/2*Inputs!$C$19*1)</f>
        <v>-20515.5063937325</v>
      </c>
      <c r="BI140" s="66" t="n">
        <f aca="false">-(BI139*Inputs!$C$18+(BI126+BI128)/2*Inputs!$C$19*1)</f>
        <v>-20922.6201271166</v>
      </c>
      <c r="BJ140" s="66" t="n">
        <f aca="false">-(BJ139*Inputs!$C$18+(BJ126+BJ128)/2*Inputs!$C$19*1)</f>
        <v>-21319.292302329</v>
      </c>
    </row>
    <row r="141" customFormat="false" ht="15" hidden="false" customHeight="false" outlineLevel="0" collapsed="false">
      <c r="A141" s="111" t="s">
        <v>45</v>
      </c>
      <c r="C141" s="67" t="n">
        <f aca="false">C139+C140</f>
        <v>3877.30972222222</v>
      </c>
      <c r="D141" s="67" t="n">
        <f aca="false">D139+D140</f>
        <v>6374.4658125</v>
      </c>
      <c r="E141" s="67" t="n">
        <f aca="false">E139+E140</f>
        <v>8809.47744663194</v>
      </c>
      <c r="F141" s="67" t="n">
        <f aca="false">F139+F140</f>
        <v>11183.8897026384</v>
      </c>
      <c r="G141" s="67" t="n">
        <f aca="false">G139+G140</f>
        <v>13499.2092875906</v>
      </c>
      <c r="H141" s="67" t="n">
        <f aca="false">H139+H140</f>
        <v>15756.9054892045</v>
      </c>
      <c r="I141" s="67" t="n">
        <f aca="false">I139+I140</f>
        <v>17958.4111038752</v>
      </c>
      <c r="J141" s="67" t="n">
        <f aca="false">J139+J140</f>
        <v>20105.1233417331</v>
      </c>
      <c r="K141" s="67" t="n">
        <f aca="false">K139+K140</f>
        <v>22198.4047092921</v>
      </c>
      <c r="L141" s="67" t="n">
        <f aca="false">L139+L140</f>
        <v>24239.5838702401</v>
      </c>
      <c r="M141" s="67" t="n">
        <f aca="false">M139+M140</f>
        <v>26229.9564849151</v>
      </c>
      <c r="N141" s="67" t="n">
        <f aca="false">N139+N140</f>
        <v>28170.7860289915</v>
      </c>
      <c r="O141" s="67" t="n">
        <f aca="false">O139+O140</f>
        <v>30424.2904363355</v>
      </c>
      <c r="P141" s="67" t="n">
        <f aca="false">P139+P140</f>
        <v>32982.6823204205</v>
      </c>
      <c r="Q141" s="67" t="n">
        <f aca="false">Q139+Q140</f>
        <v>35477.3822503869</v>
      </c>
      <c r="R141" s="67" t="n">
        <f aca="false">R139+R140</f>
        <v>37909.9744897982</v>
      </c>
      <c r="S141" s="67" t="n">
        <f aca="false">S139+S140</f>
        <v>40282.0039366874</v>
      </c>
      <c r="T141" s="67" t="n">
        <f aca="false">T139+T140</f>
        <v>42594.9771004636</v>
      </c>
      <c r="U141" s="67" t="n">
        <f aca="false">U139+U140</f>
        <v>44850.363054613</v>
      </c>
      <c r="V141" s="67" t="n">
        <f aca="false">V139+V140</f>
        <v>47049.5943657922</v>
      </c>
      <c r="W141" s="67" t="n">
        <f aca="false">W139+W140</f>
        <v>49194.0679998989</v>
      </c>
      <c r="X141" s="67" t="n">
        <f aca="false">X139+X140</f>
        <v>51285.1462056887</v>
      </c>
      <c r="Y141" s="67" t="n">
        <f aca="false">Y139+Y140</f>
        <v>53324.1573764935</v>
      </c>
      <c r="Z141" s="67" t="n">
        <f aca="false">Z139+Z140</f>
        <v>55312.3968905831</v>
      </c>
      <c r="AA141" s="67" t="n">
        <f aca="false">AA139+AA140</f>
        <v>57715.870662632</v>
      </c>
      <c r="AB141" s="67" t="n">
        <f aca="false">AB139+AB140</f>
        <v>60524.2366441083</v>
      </c>
      <c r="AC141" s="67" t="n">
        <f aca="false">AC139+AC140</f>
        <v>63262.6674415225</v>
      </c>
      <c r="AD141" s="67" t="n">
        <f aca="false">AD139+AD140</f>
        <v>65932.9032155118</v>
      </c>
      <c r="AE141" s="67" t="n">
        <f aca="false">AE139+AE140</f>
        <v>68536.6408692665</v>
      </c>
      <c r="AF141" s="67" t="n">
        <f aca="false">AF139+AF140</f>
        <v>71075.5351225691</v>
      </c>
      <c r="AG141" s="67" t="n">
        <f aca="false">AG139+AG140</f>
        <v>73551.1995592041</v>
      </c>
      <c r="AH141" s="67" t="n">
        <f aca="false">AH139+AH140</f>
        <v>75965.2076483982</v>
      </c>
      <c r="AI141" s="67" t="n">
        <f aca="false">AI139+AI140</f>
        <v>78319.0937409333</v>
      </c>
      <c r="AJ141" s="67" t="n">
        <f aca="false">AJ139+AJ140</f>
        <v>80614.3540405587</v>
      </c>
      <c r="AK141" s="67" t="n">
        <f aca="false">AK139+AK140</f>
        <v>82852.4475513149</v>
      </c>
      <c r="AL141" s="67" t="n">
        <f aca="false">AL139+AL140</f>
        <v>85034.7970013651</v>
      </c>
      <c r="AM141" s="67" t="n">
        <f aca="false">AM139+AM140</f>
        <v>87762.0604557445</v>
      </c>
      <c r="AN141" s="67" t="n">
        <f aca="false">AN139+AN140</f>
        <v>91020.6650234823</v>
      </c>
      <c r="AO141" s="67" t="n">
        <f aca="false">AO139+AO140</f>
        <v>94198.1049252784</v>
      </c>
      <c r="AP141" s="67" t="n">
        <f aca="false">AP139+AP140</f>
        <v>97296.400264334</v>
      </c>
      <c r="AQ141" s="67" t="n">
        <f aca="false">AQ139+AQ140</f>
        <v>100317.520911673</v>
      </c>
      <c r="AR141" s="67" t="n">
        <f aca="false">AR139+AR140</f>
        <v>103263.387753836</v>
      </c>
      <c r="AS141" s="67" t="n">
        <f aca="false">AS139+AS140</f>
        <v>106135.873909623</v>
      </c>
      <c r="AT141" s="67" t="n">
        <f aca="false">AT139+AT140</f>
        <v>108936.805916651</v>
      </c>
      <c r="AU141" s="67" t="n">
        <f aca="false">AU139+AU140</f>
        <v>111667.964888486</v>
      </c>
      <c r="AV141" s="67" t="n">
        <f aca="false">AV139+AV140</f>
        <v>114331.087643059</v>
      </c>
      <c r="AW141" s="67" t="n">
        <f aca="false">AW139+AW140</f>
        <v>116927.867803089</v>
      </c>
      <c r="AX141" s="67" t="n">
        <f aca="false">AX139+AX140</f>
        <v>119459.956869212</v>
      </c>
      <c r="AY141" s="67" t="n">
        <f aca="false">AY139+AY140</f>
        <v>122702.926599991</v>
      </c>
      <c r="AZ141" s="67" t="n">
        <f aca="false">AZ139+AZ140</f>
        <v>126639.068598077</v>
      </c>
      <c r="BA141" s="67" t="n">
        <f aca="false">BA139+BA140</f>
        <v>130477.153933955</v>
      </c>
      <c r="BB141" s="67" t="n">
        <f aca="false">BB139+BB140</f>
        <v>134219.623617548</v>
      </c>
      <c r="BC141" s="67" t="n">
        <f aca="false">BC139+BC140</f>
        <v>137868.85794573</v>
      </c>
      <c r="BD141" s="67" t="n">
        <f aca="false">BD139+BD140</f>
        <v>141427.178010786</v>
      </c>
      <c r="BE141" s="67" t="n">
        <f aca="false">BE139+BE140</f>
        <v>144896.847171442</v>
      </c>
      <c r="BF141" s="67" t="n">
        <f aca="false">BF139+BF140</f>
        <v>148280.07248739</v>
      </c>
      <c r="BG141" s="67" t="n">
        <f aca="false">BG139+BG140</f>
        <v>151579.00611822</v>
      </c>
      <c r="BH141" s="67" t="n">
        <f aca="false">BH139+BH140</f>
        <v>154795.746687625</v>
      </c>
      <c r="BI141" s="67" t="n">
        <f aca="false">BI139+BI140</f>
        <v>157932.340613761</v>
      </c>
      <c r="BJ141" s="67" t="n">
        <f aca="false">BJ139+BJ140</f>
        <v>160990.783406581</v>
      </c>
    </row>
    <row r="143" customFormat="false" ht="15.75" hidden="false" customHeight="true" outlineLevel="0" collapsed="false">
      <c r="A143" s="7" t="s">
        <v>47</v>
      </c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</row>
    <row r="144" customFormat="false" ht="15" hidden="false" customHeight="false" outlineLevel="0" collapsed="false">
      <c r="A144" s="6" t="s">
        <v>318</v>
      </c>
      <c r="C144" s="66" t="n">
        <f aca="false">C227</f>
        <v>-61750</v>
      </c>
      <c r="D144" s="66" t="n">
        <f aca="false">D227</f>
        <v>-61750</v>
      </c>
      <c r="E144" s="66" t="n">
        <f aca="false">E227</f>
        <v>-61750</v>
      </c>
      <c r="F144" s="66" t="n">
        <f aca="false">F227</f>
        <v>-61750</v>
      </c>
      <c r="G144" s="66" t="n">
        <f aca="false">G227</f>
        <v>-61750</v>
      </c>
      <c r="H144" s="66" t="n">
        <f aca="false">H227</f>
        <v>-61750</v>
      </c>
      <c r="I144" s="66" t="n">
        <f aca="false">I227</f>
        <v>-61750</v>
      </c>
      <c r="J144" s="66" t="n">
        <f aca="false">J227</f>
        <v>-61750</v>
      </c>
      <c r="K144" s="66" t="n">
        <f aca="false">K227</f>
        <v>-61750</v>
      </c>
      <c r="L144" s="66" t="n">
        <f aca="false">L227</f>
        <v>-61750</v>
      </c>
      <c r="M144" s="66" t="n">
        <f aca="false">M227</f>
        <v>-61750</v>
      </c>
      <c r="N144" s="66" t="n">
        <f aca="false">N227</f>
        <v>-61750</v>
      </c>
      <c r="O144" s="66" t="n">
        <f aca="false">O227</f>
        <v>-96330</v>
      </c>
      <c r="P144" s="66" t="n">
        <f aca="false">P227</f>
        <v>-96330</v>
      </c>
      <c r="Q144" s="66" t="n">
        <f aca="false">Q227</f>
        <v>-96330</v>
      </c>
      <c r="R144" s="66" t="n">
        <f aca="false">R227</f>
        <v>-96330</v>
      </c>
      <c r="S144" s="66" t="n">
        <f aca="false">S227</f>
        <v>-96330</v>
      </c>
      <c r="T144" s="66" t="n">
        <f aca="false">T227</f>
        <v>-96330</v>
      </c>
      <c r="U144" s="66" t="n">
        <f aca="false">U227</f>
        <v>-96330</v>
      </c>
      <c r="V144" s="66" t="n">
        <f aca="false">V227</f>
        <v>-96330</v>
      </c>
      <c r="W144" s="66" t="n">
        <f aca="false">W227</f>
        <v>-96330</v>
      </c>
      <c r="X144" s="66" t="n">
        <f aca="false">X227</f>
        <v>-96330</v>
      </c>
      <c r="Y144" s="66" t="n">
        <f aca="false">Y227</f>
        <v>-96330</v>
      </c>
      <c r="Z144" s="66" t="n">
        <f aca="false">Z227</f>
        <v>-96330</v>
      </c>
      <c r="AA144" s="66" t="n">
        <f aca="false">AA227</f>
        <v>-150274.8</v>
      </c>
      <c r="AB144" s="66" t="n">
        <f aca="false">AB227</f>
        <v>-150274.8</v>
      </c>
      <c r="AC144" s="66" t="n">
        <f aca="false">AC227</f>
        <v>-150274.8</v>
      </c>
      <c r="AD144" s="66" t="n">
        <f aca="false">AD227</f>
        <v>-150274.8</v>
      </c>
      <c r="AE144" s="66" t="n">
        <f aca="false">AE227</f>
        <v>-150274.8</v>
      </c>
      <c r="AF144" s="66" t="n">
        <f aca="false">AF227</f>
        <v>-150274.8</v>
      </c>
      <c r="AG144" s="66" t="n">
        <f aca="false">AG227</f>
        <v>-150274.8</v>
      </c>
      <c r="AH144" s="66" t="n">
        <f aca="false">AH227</f>
        <v>-150274.8</v>
      </c>
      <c r="AI144" s="66" t="n">
        <f aca="false">AI227</f>
        <v>-150274.8</v>
      </c>
      <c r="AJ144" s="66" t="n">
        <f aca="false">AJ227</f>
        <v>-150274.8</v>
      </c>
      <c r="AK144" s="66" t="n">
        <f aca="false">AK227</f>
        <v>-150274.8</v>
      </c>
      <c r="AL144" s="66" t="n">
        <f aca="false">AL227</f>
        <v>-150274.8</v>
      </c>
      <c r="AM144" s="66" t="n">
        <f aca="false">AM227</f>
        <v>-234428.688</v>
      </c>
      <c r="AN144" s="66" t="n">
        <f aca="false">AN227</f>
        <v>-234428.688</v>
      </c>
      <c r="AO144" s="66" t="n">
        <f aca="false">AO227</f>
        <v>-234428.688</v>
      </c>
      <c r="AP144" s="66" t="n">
        <f aca="false">AP227</f>
        <v>-234428.688</v>
      </c>
      <c r="AQ144" s="66" t="n">
        <f aca="false">AQ227</f>
        <v>-234428.688</v>
      </c>
      <c r="AR144" s="66" t="n">
        <f aca="false">AR227</f>
        <v>-234428.688</v>
      </c>
      <c r="AS144" s="66" t="n">
        <f aca="false">AS227</f>
        <v>-234428.688</v>
      </c>
      <c r="AT144" s="66" t="n">
        <f aca="false">AT227</f>
        <v>-234428.688</v>
      </c>
      <c r="AU144" s="66" t="n">
        <f aca="false">AU227</f>
        <v>-234428.688</v>
      </c>
      <c r="AV144" s="66" t="n">
        <f aca="false">AV227</f>
        <v>-234428.688</v>
      </c>
      <c r="AW144" s="66" t="n">
        <f aca="false">AW227</f>
        <v>-234428.688</v>
      </c>
      <c r="AX144" s="66" t="n">
        <f aca="false">AX227</f>
        <v>-234428.688</v>
      </c>
      <c r="AY144" s="66" t="n">
        <f aca="false">AY227</f>
        <v>-365708.75328</v>
      </c>
      <c r="AZ144" s="66" t="n">
        <f aca="false">AZ227</f>
        <v>-365708.75328</v>
      </c>
      <c r="BA144" s="66" t="n">
        <f aca="false">BA227</f>
        <v>-365708.75328</v>
      </c>
      <c r="BB144" s="66" t="n">
        <f aca="false">BB227</f>
        <v>-365708.75328</v>
      </c>
      <c r="BC144" s="66" t="n">
        <f aca="false">BC227</f>
        <v>-365708.75328</v>
      </c>
      <c r="BD144" s="66" t="n">
        <f aca="false">BD227</f>
        <v>-365708.75328</v>
      </c>
      <c r="BE144" s="66" t="n">
        <f aca="false">BE227</f>
        <v>-365708.75328</v>
      </c>
      <c r="BF144" s="66" t="n">
        <f aca="false">BF227</f>
        <v>-365708.75328</v>
      </c>
      <c r="BG144" s="66" t="n">
        <f aca="false">BG227</f>
        <v>-365708.75328</v>
      </c>
      <c r="BH144" s="66" t="n">
        <f aca="false">BH227</f>
        <v>-365708.75328</v>
      </c>
      <c r="BI144" s="66" t="n">
        <f aca="false">BI227</f>
        <v>-365708.75328</v>
      </c>
      <c r="BJ144" s="66" t="n">
        <f aca="false">BJ227</f>
        <v>-365708.75328</v>
      </c>
    </row>
    <row r="145" customFormat="false" ht="15" hidden="false" customHeight="false" outlineLevel="0" collapsed="false">
      <c r="A145" s="6" t="s">
        <v>319</v>
      </c>
      <c r="C145" s="66" t="n">
        <f aca="false">-Inputs!$C$14*(1+Inputs!$C$15)^(C$120-1)*1</f>
        <v>-8000</v>
      </c>
      <c r="D145" s="66" t="n">
        <f aca="false">-Inputs!$C$14*(1+Inputs!$C$15)^(D$120-1)*1</f>
        <v>-8000</v>
      </c>
      <c r="E145" s="66" t="n">
        <f aca="false">-Inputs!$C$14*(1+Inputs!$C$15)^(E$120-1)*1</f>
        <v>-8000</v>
      </c>
      <c r="F145" s="66" t="n">
        <f aca="false">-Inputs!$C$14*(1+Inputs!$C$15)^(F$120-1)*1</f>
        <v>-8000</v>
      </c>
      <c r="G145" s="66" t="n">
        <f aca="false">-Inputs!$C$14*(1+Inputs!$C$15)^(G$120-1)*1</f>
        <v>-8000</v>
      </c>
      <c r="H145" s="66" t="n">
        <f aca="false">-Inputs!$C$14*(1+Inputs!$C$15)^(H$120-1)*1</f>
        <v>-8000</v>
      </c>
      <c r="I145" s="66" t="n">
        <f aca="false">-Inputs!$C$14*(1+Inputs!$C$15)^(I$120-1)*1</f>
        <v>-8000</v>
      </c>
      <c r="J145" s="66" t="n">
        <f aca="false">-Inputs!$C$14*(1+Inputs!$C$15)^(J$120-1)*1</f>
        <v>-8000</v>
      </c>
      <c r="K145" s="66" t="n">
        <f aca="false">-Inputs!$C$14*(1+Inputs!$C$15)^(K$120-1)*1</f>
        <v>-8000</v>
      </c>
      <c r="L145" s="66" t="n">
        <f aca="false">-Inputs!$C$14*(1+Inputs!$C$15)^(L$120-1)*1</f>
        <v>-8000</v>
      </c>
      <c r="M145" s="66" t="n">
        <f aca="false">-Inputs!$C$14*(1+Inputs!$C$15)^(M$120-1)*1</f>
        <v>-8000</v>
      </c>
      <c r="N145" s="66" t="n">
        <f aca="false">-Inputs!$C$14*(1+Inputs!$C$15)^(N$120-1)*1</f>
        <v>-8000</v>
      </c>
      <c r="O145" s="66" t="n">
        <f aca="false">-Inputs!$C$14*(1+Inputs!$C$15)^(O$120-1)*1</f>
        <v>-9600</v>
      </c>
      <c r="P145" s="66" t="n">
        <f aca="false">-Inputs!$C$14*(1+Inputs!$C$15)^(P$120-1)*1</f>
        <v>-9600</v>
      </c>
      <c r="Q145" s="66" t="n">
        <f aca="false">-Inputs!$C$14*(1+Inputs!$C$15)^(Q$120-1)*1</f>
        <v>-9600</v>
      </c>
      <c r="R145" s="66" t="n">
        <f aca="false">-Inputs!$C$14*(1+Inputs!$C$15)^(R$120-1)*1</f>
        <v>-9600</v>
      </c>
      <c r="S145" s="66" t="n">
        <f aca="false">-Inputs!$C$14*(1+Inputs!$C$15)^(S$120-1)*1</f>
        <v>-9600</v>
      </c>
      <c r="T145" s="66" t="n">
        <f aca="false">-Inputs!$C$14*(1+Inputs!$C$15)^(T$120-1)*1</f>
        <v>-9600</v>
      </c>
      <c r="U145" s="66" t="n">
        <f aca="false">-Inputs!$C$14*(1+Inputs!$C$15)^(U$120-1)*1</f>
        <v>-9600</v>
      </c>
      <c r="V145" s="66" t="n">
        <f aca="false">-Inputs!$C$14*(1+Inputs!$C$15)^(V$120-1)*1</f>
        <v>-9600</v>
      </c>
      <c r="W145" s="66" t="n">
        <f aca="false">-Inputs!$C$14*(1+Inputs!$C$15)^(W$120-1)*1</f>
        <v>-9600</v>
      </c>
      <c r="X145" s="66" t="n">
        <f aca="false">-Inputs!$C$14*(1+Inputs!$C$15)^(X$120-1)*1</f>
        <v>-9600</v>
      </c>
      <c r="Y145" s="66" t="n">
        <f aca="false">-Inputs!$C$14*(1+Inputs!$C$15)^(Y$120-1)*1</f>
        <v>-9600</v>
      </c>
      <c r="Z145" s="66" t="n">
        <f aca="false">-Inputs!$C$14*(1+Inputs!$C$15)^(Z$120-1)*1</f>
        <v>-9600</v>
      </c>
      <c r="AA145" s="66" t="n">
        <f aca="false">-Inputs!$C$14*(1+Inputs!$C$15)^(AA$120-1)*1</f>
        <v>-11520</v>
      </c>
      <c r="AB145" s="66" t="n">
        <f aca="false">-Inputs!$C$14*(1+Inputs!$C$15)^(AB$120-1)*1</f>
        <v>-11520</v>
      </c>
      <c r="AC145" s="66" t="n">
        <f aca="false">-Inputs!$C$14*(1+Inputs!$C$15)^(AC$120-1)*1</f>
        <v>-11520</v>
      </c>
      <c r="AD145" s="66" t="n">
        <f aca="false">-Inputs!$C$14*(1+Inputs!$C$15)^(AD$120-1)*1</f>
        <v>-11520</v>
      </c>
      <c r="AE145" s="66" t="n">
        <f aca="false">-Inputs!$C$14*(1+Inputs!$C$15)^(AE$120-1)*1</f>
        <v>-11520</v>
      </c>
      <c r="AF145" s="66" t="n">
        <f aca="false">-Inputs!$C$14*(1+Inputs!$C$15)^(AF$120-1)*1</f>
        <v>-11520</v>
      </c>
      <c r="AG145" s="66" t="n">
        <f aca="false">-Inputs!$C$14*(1+Inputs!$C$15)^(AG$120-1)*1</f>
        <v>-11520</v>
      </c>
      <c r="AH145" s="66" t="n">
        <f aca="false">-Inputs!$C$14*(1+Inputs!$C$15)^(AH$120-1)*1</f>
        <v>-11520</v>
      </c>
      <c r="AI145" s="66" t="n">
        <f aca="false">-Inputs!$C$14*(1+Inputs!$C$15)^(AI$120-1)*1</f>
        <v>-11520</v>
      </c>
      <c r="AJ145" s="66" t="n">
        <f aca="false">-Inputs!$C$14*(1+Inputs!$C$15)^(AJ$120-1)*1</f>
        <v>-11520</v>
      </c>
      <c r="AK145" s="66" t="n">
        <f aca="false">-Inputs!$C$14*(1+Inputs!$C$15)^(AK$120-1)*1</f>
        <v>-11520</v>
      </c>
      <c r="AL145" s="66" t="n">
        <f aca="false">-Inputs!$C$14*(1+Inputs!$C$15)^(AL$120-1)*1</f>
        <v>-11520</v>
      </c>
      <c r="AM145" s="66" t="n">
        <f aca="false">-Inputs!$C$14*(1+Inputs!$C$15)^(AM$120-1)*1</f>
        <v>-13824</v>
      </c>
      <c r="AN145" s="66" t="n">
        <f aca="false">-Inputs!$C$14*(1+Inputs!$C$15)^(AN$120-1)*1</f>
        <v>-13824</v>
      </c>
      <c r="AO145" s="66" t="n">
        <f aca="false">-Inputs!$C$14*(1+Inputs!$C$15)^(AO$120-1)*1</f>
        <v>-13824</v>
      </c>
      <c r="AP145" s="66" t="n">
        <f aca="false">-Inputs!$C$14*(1+Inputs!$C$15)^(AP$120-1)*1</f>
        <v>-13824</v>
      </c>
      <c r="AQ145" s="66" t="n">
        <f aca="false">-Inputs!$C$14*(1+Inputs!$C$15)^(AQ$120-1)*1</f>
        <v>-13824</v>
      </c>
      <c r="AR145" s="66" t="n">
        <f aca="false">-Inputs!$C$14*(1+Inputs!$C$15)^(AR$120-1)*1</f>
        <v>-13824</v>
      </c>
      <c r="AS145" s="66" t="n">
        <f aca="false">-Inputs!$C$14*(1+Inputs!$C$15)^(AS$120-1)*1</f>
        <v>-13824</v>
      </c>
      <c r="AT145" s="66" t="n">
        <f aca="false">-Inputs!$C$14*(1+Inputs!$C$15)^(AT$120-1)*1</f>
        <v>-13824</v>
      </c>
      <c r="AU145" s="66" t="n">
        <f aca="false">-Inputs!$C$14*(1+Inputs!$C$15)^(AU$120-1)*1</f>
        <v>-13824</v>
      </c>
      <c r="AV145" s="66" t="n">
        <f aca="false">-Inputs!$C$14*(1+Inputs!$C$15)^(AV$120-1)*1</f>
        <v>-13824</v>
      </c>
      <c r="AW145" s="66" t="n">
        <f aca="false">-Inputs!$C$14*(1+Inputs!$C$15)^(AW$120-1)*1</f>
        <v>-13824</v>
      </c>
      <c r="AX145" s="66" t="n">
        <f aca="false">-Inputs!$C$14*(1+Inputs!$C$15)^(AX$120-1)*1</f>
        <v>-13824</v>
      </c>
      <c r="AY145" s="66" t="n">
        <f aca="false">-Inputs!$C$14*(1+Inputs!$C$15)^(AY$120-1)*1</f>
        <v>-16588.8</v>
      </c>
      <c r="AZ145" s="66" t="n">
        <f aca="false">-Inputs!$C$14*(1+Inputs!$C$15)^(AZ$120-1)*1</f>
        <v>-16588.8</v>
      </c>
      <c r="BA145" s="66" t="n">
        <f aca="false">-Inputs!$C$14*(1+Inputs!$C$15)^(BA$120-1)*1</f>
        <v>-16588.8</v>
      </c>
      <c r="BB145" s="66" t="n">
        <f aca="false">-Inputs!$C$14*(1+Inputs!$C$15)^(BB$120-1)*1</f>
        <v>-16588.8</v>
      </c>
      <c r="BC145" s="66" t="n">
        <f aca="false">-Inputs!$C$14*(1+Inputs!$C$15)^(BC$120-1)*1</f>
        <v>-16588.8</v>
      </c>
      <c r="BD145" s="66" t="n">
        <f aca="false">-Inputs!$C$14*(1+Inputs!$C$15)^(BD$120-1)*1</f>
        <v>-16588.8</v>
      </c>
      <c r="BE145" s="66" t="n">
        <f aca="false">-Inputs!$C$14*(1+Inputs!$C$15)^(BE$120-1)*1</f>
        <v>-16588.8</v>
      </c>
      <c r="BF145" s="66" t="n">
        <f aca="false">-Inputs!$C$14*(1+Inputs!$C$15)^(BF$120-1)*1</f>
        <v>-16588.8</v>
      </c>
      <c r="BG145" s="66" t="n">
        <f aca="false">-Inputs!$C$14*(1+Inputs!$C$15)^(BG$120-1)*1</f>
        <v>-16588.8</v>
      </c>
      <c r="BH145" s="66" t="n">
        <f aca="false">-Inputs!$C$14*(1+Inputs!$C$15)^(BH$120-1)*1</f>
        <v>-16588.8</v>
      </c>
      <c r="BI145" s="66" t="n">
        <f aca="false">-Inputs!$C$14*(1+Inputs!$C$15)^(BI$120-1)*1</f>
        <v>-16588.8</v>
      </c>
      <c r="BJ145" s="66" t="n">
        <f aca="false">-Inputs!$C$14*(1+Inputs!$C$15)^(BJ$120-1)*1</f>
        <v>-16588.8</v>
      </c>
    </row>
    <row r="146" customFormat="false" ht="15" hidden="false" customHeight="false" outlineLevel="0" collapsed="false">
      <c r="A146" s="6" t="s">
        <v>320</v>
      </c>
      <c r="C146" s="66" t="n">
        <f aca="false">-C220*Inputs!$C$20*1</f>
        <v>-900</v>
      </c>
      <c r="D146" s="66" t="n">
        <f aca="false">-D220*Inputs!$C$20*1</f>
        <v>-900</v>
      </c>
      <c r="E146" s="66" t="n">
        <f aca="false">-E220*Inputs!$C$20*1</f>
        <v>-900</v>
      </c>
      <c r="F146" s="66" t="n">
        <f aca="false">-F220*Inputs!$C$20*1</f>
        <v>-900</v>
      </c>
      <c r="G146" s="66" t="n">
        <f aca="false">-G220*Inputs!$C$20*1</f>
        <v>-900</v>
      </c>
      <c r="H146" s="66" t="n">
        <f aca="false">-H220*Inputs!$C$20*1</f>
        <v>-900</v>
      </c>
      <c r="I146" s="66" t="n">
        <f aca="false">-I220*Inputs!$C$20*1</f>
        <v>-900</v>
      </c>
      <c r="J146" s="66" t="n">
        <f aca="false">-J220*Inputs!$C$20*1</f>
        <v>-900</v>
      </c>
      <c r="K146" s="66" t="n">
        <f aca="false">-K220*Inputs!$C$20*1</f>
        <v>-900</v>
      </c>
      <c r="L146" s="66" t="n">
        <f aca="false">-L220*Inputs!$C$20*1</f>
        <v>-900</v>
      </c>
      <c r="M146" s="66" t="n">
        <f aca="false">-M220*Inputs!$C$20*1</f>
        <v>-900</v>
      </c>
      <c r="N146" s="66" t="n">
        <f aca="false">-N220*Inputs!$C$20*1</f>
        <v>-900</v>
      </c>
      <c r="O146" s="66" t="n">
        <f aca="false">-O220*Inputs!$C$20*1</f>
        <v>-1350</v>
      </c>
      <c r="P146" s="66" t="n">
        <f aca="false">-P220*Inputs!$C$20*1</f>
        <v>-1350</v>
      </c>
      <c r="Q146" s="66" t="n">
        <f aca="false">-Q220*Inputs!$C$20*1</f>
        <v>-1350</v>
      </c>
      <c r="R146" s="66" t="n">
        <f aca="false">-R220*Inputs!$C$20*1</f>
        <v>-1350</v>
      </c>
      <c r="S146" s="66" t="n">
        <f aca="false">-S220*Inputs!$C$20*1</f>
        <v>-1350</v>
      </c>
      <c r="T146" s="66" t="n">
        <f aca="false">-T220*Inputs!$C$20*1</f>
        <v>-1350</v>
      </c>
      <c r="U146" s="66" t="n">
        <f aca="false">-U220*Inputs!$C$20*1</f>
        <v>-1350</v>
      </c>
      <c r="V146" s="66" t="n">
        <f aca="false">-V220*Inputs!$C$20*1</f>
        <v>-1350</v>
      </c>
      <c r="W146" s="66" t="n">
        <f aca="false">-W220*Inputs!$C$20*1</f>
        <v>-1350</v>
      </c>
      <c r="X146" s="66" t="n">
        <f aca="false">-X220*Inputs!$C$20*1</f>
        <v>-1350</v>
      </c>
      <c r="Y146" s="66" t="n">
        <f aca="false">-Y220*Inputs!$C$20*1</f>
        <v>-1350</v>
      </c>
      <c r="Z146" s="66" t="n">
        <f aca="false">-Z220*Inputs!$C$20*1</f>
        <v>-1350</v>
      </c>
      <c r="AA146" s="66" t="n">
        <f aca="false">-AA220*Inputs!$C$20*1</f>
        <v>-2025</v>
      </c>
      <c r="AB146" s="66" t="n">
        <f aca="false">-AB220*Inputs!$C$20*1</f>
        <v>-2025</v>
      </c>
      <c r="AC146" s="66" t="n">
        <f aca="false">-AC220*Inputs!$C$20*1</f>
        <v>-2025</v>
      </c>
      <c r="AD146" s="66" t="n">
        <f aca="false">-AD220*Inputs!$C$20*1</f>
        <v>-2025</v>
      </c>
      <c r="AE146" s="66" t="n">
        <f aca="false">-AE220*Inputs!$C$20*1</f>
        <v>-2025</v>
      </c>
      <c r="AF146" s="66" t="n">
        <f aca="false">-AF220*Inputs!$C$20*1</f>
        <v>-2025</v>
      </c>
      <c r="AG146" s="66" t="n">
        <f aca="false">-AG220*Inputs!$C$20*1</f>
        <v>-2025</v>
      </c>
      <c r="AH146" s="66" t="n">
        <f aca="false">-AH220*Inputs!$C$20*1</f>
        <v>-2025</v>
      </c>
      <c r="AI146" s="66" t="n">
        <f aca="false">-AI220*Inputs!$C$20*1</f>
        <v>-2025</v>
      </c>
      <c r="AJ146" s="66" t="n">
        <f aca="false">-AJ220*Inputs!$C$20*1</f>
        <v>-2025</v>
      </c>
      <c r="AK146" s="66" t="n">
        <f aca="false">-AK220*Inputs!$C$20*1</f>
        <v>-2025</v>
      </c>
      <c r="AL146" s="66" t="n">
        <f aca="false">-AL220*Inputs!$C$20*1</f>
        <v>-2025</v>
      </c>
      <c r="AM146" s="66" t="n">
        <f aca="false">-AM220*Inputs!$C$20*1</f>
        <v>-3037.5</v>
      </c>
      <c r="AN146" s="66" t="n">
        <f aca="false">-AN220*Inputs!$C$20*1</f>
        <v>-3037.5</v>
      </c>
      <c r="AO146" s="66" t="n">
        <f aca="false">-AO220*Inputs!$C$20*1</f>
        <v>-3037.5</v>
      </c>
      <c r="AP146" s="66" t="n">
        <f aca="false">-AP220*Inputs!$C$20*1</f>
        <v>-3037.5</v>
      </c>
      <c r="AQ146" s="66" t="n">
        <f aca="false">-AQ220*Inputs!$C$20*1</f>
        <v>-3037.5</v>
      </c>
      <c r="AR146" s="66" t="n">
        <f aca="false">-AR220*Inputs!$C$20*1</f>
        <v>-3037.5</v>
      </c>
      <c r="AS146" s="66" t="n">
        <f aca="false">-AS220*Inputs!$C$20*1</f>
        <v>-3037.5</v>
      </c>
      <c r="AT146" s="66" t="n">
        <f aca="false">-AT220*Inputs!$C$20*1</f>
        <v>-3037.5</v>
      </c>
      <c r="AU146" s="66" t="n">
        <f aca="false">-AU220*Inputs!$C$20*1</f>
        <v>-3037.5</v>
      </c>
      <c r="AV146" s="66" t="n">
        <f aca="false">-AV220*Inputs!$C$20*1</f>
        <v>-3037.5</v>
      </c>
      <c r="AW146" s="66" t="n">
        <f aca="false">-AW220*Inputs!$C$20*1</f>
        <v>-3037.5</v>
      </c>
      <c r="AX146" s="66" t="n">
        <f aca="false">-AX220*Inputs!$C$20*1</f>
        <v>-3037.5</v>
      </c>
      <c r="AY146" s="66" t="n">
        <f aca="false">-AY220*Inputs!$C$20*1</f>
        <v>-4556.25</v>
      </c>
      <c r="AZ146" s="66" t="n">
        <f aca="false">-AZ220*Inputs!$C$20*1</f>
        <v>-4556.25</v>
      </c>
      <c r="BA146" s="66" t="n">
        <f aca="false">-BA220*Inputs!$C$20*1</f>
        <v>-4556.25</v>
      </c>
      <c r="BB146" s="66" t="n">
        <f aca="false">-BB220*Inputs!$C$20*1</f>
        <v>-4556.25</v>
      </c>
      <c r="BC146" s="66" t="n">
        <f aca="false">-BC220*Inputs!$C$20*1</f>
        <v>-4556.25</v>
      </c>
      <c r="BD146" s="66" t="n">
        <f aca="false">-BD220*Inputs!$C$20*1</f>
        <v>-4556.25</v>
      </c>
      <c r="BE146" s="66" t="n">
        <f aca="false">-BE220*Inputs!$C$20*1</f>
        <v>-4556.25</v>
      </c>
      <c r="BF146" s="66" t="n">
        <f aca="false">-BF220*Inputs!$C$20*1</f>
        <v>-4556.25</v>
      </c>
      <c r="BG146" s="66" t="n">
        <f aca="false">-BG220*Inputs!$C$20*1</f>
        <v>-4556.25</v>
      </c>
      <c r="BH146" s="66" t="n">
        <f aca="false">-BH220*Inputs!$C$20*1</f>
        <v>-4556.25</v>
      </c>
      <c r="BI146" s="66" t="n">
        <f aca="false">-BI220*Inputs!$C$20*1</f>
        <v>-4556.25</v>
      </c>
      <c r="BJ146" s="66" t="n">
        <f aca="false">-BJ220*Inputs!$C$20*1</f>
        <v>-4556.25</v>
      </c>
    </row>
    <row r="147" customFormat="false" ht="15" hidden="false" customHeight="false" outlineLevel="0" collapsed="false">
      <c r="A147" s="6" t="s">
        <v>321</v>
      </c>
      <c r="C147" s="66" t="n">
        <f aca="false">-Inputs!$C$21*1</f>
        <v>-1500</v>
      </c>
      <c r="D147" s="66" t="n">
        <f aca="false">-Inputs!$C$21*1</f>
        <v>-1500</v>
      </c>
      <c r="E147" s="66" t="n">
        <f aca="false">-Inputs!$C$21*1</f>
        <v>-1500</v>
      </c>
      <c r="F147" s="66" t="n">
        <f aca="false">-Inputs!$C$21*1</f>
        <v>-1500</v>
      </c>
      <c r="G147" s="66" t="n">
        <f aca="false">-Inputs!$C$21*1</f>
        <v>-1500</v>
      </c>
      <c r="H147" s="66" t="n">
        <f aca="false">-Inputs!$C$21*1</f>
        <v>-1500</v>
      </c>
      <c r="I147" s="66" t="n">
        <f aca="false">-Inputs!$C$21*1</f>
        <v>-1500</v>
      </c>
      <c r="J147" s="66" t="n">
        <f aca="false">-Inputs!$C$21*1</f>
        <v>-1500</v>
      </c>
      <c r="K147" s="66" t="n">
        <f aca="false">-Inputs!$C$21*1</f>
        <v>-1500</v>
      </c>
      <c r="L147" s="66" t="n">
        <f aca="false">-Inputs!$C$21*1</f>
        <v>-1500</v>
      </c>
      <c r="M147" s="66" t="n">
        <f aca="false">-Inputs!$C$21*1</f>
        <v>-1500</v>
      </c>
      <c r="N147" s="66" t="n">
        <f aca="false">-Inputs!$C$21*1</f>
        <v>-1500</v>
      </c>
      <c r="O147" s="66" t="n">
        <f aca="false">-Inputs!$C$21*1</f>
        <v>-1500</v>
      </c>
      <c r="P147" s="66" t="n">
        <f aca="false">-Inputs!$C$21*1</f>
        <v>-1500</v>
      </c>
      <c r="Q147" s="66" t="n">
        <f aca="false">-Inputs!$C$21*1</f>
        <v>-1500</v>
      </c>
      <c r="R147" s="66" t="n">
        <f aca="false">-Inputs!$C$21*1</f>
        <v>-1500</v>
      </c>
      <c r="S147" s="66" t="n">
        <f aca="false">-Inputs!$C$21*1</f>
        <v>-1500</v>
      </c>
      <c r="T147" s="66" t="n">
        <f aca="false">-Inputs!$C$21*1</f>
        <v>-1500</v>
      </c>
      <c r="U147" s="66" t="n">
        <f aca="false">-Inputs!$C$21*1</f>
        <v>-1500</v>
      </c>
      <c r="V147" s="66" t="n">
        <f aca="false">-Inputs!$C$21*1</f>
        <v>-1500</v>
      </c>
      <c r="W147" s="66" t="n">
        <f aca="false">-Inputs!$C$21*1</f>
        <v>-1500</v>
      </c>
      <c r="X147" s="66" t="n">
        <f aca="false">-Inputs!$C$21*1</f>
        <v>-1500</v>
      </c>
      <c r="Y147" s="66" t="n">
        <f aca="false">-Inputs!$C$21*1</f>
        <v>-1500</v>
      </c>
      <c r="Z147" s="66" t="n">
        <f aca="false">-Inputs!$C$21*1</f>
        <v>-1500</v>
      </c>
      <c r="AA147" s="66" t="n">
        <f aca="false">-Inputs!$C$21*1</f>
        <v>-1500</v>
      </c>
      <c r="AB147" s="66" t="n">
        <f aca="false">-Inputs!$C$21*1</f>
        <v>-1500</v>
      </c>
      <c r="AC147" s="66" t="n">
        <f aca="false">-Inputs!$C$21*1</f>
        <v>-1500</v>
      </c>
      <c r="AD147" s="66" t="n">
        <f aca="false">-Inputs!$C$21*1</f>
        <v>-1500</v>
      </c>
      <c r="AE147" s="66" t="n">
        <f aca="false">-Inputs!$C$21*1</f>
        <v>-1500</v>
      </c>
      <c r="AF147" s="66" t="n">
        <f aca="false">-Inputs!$C$21*1</f>
        <v>-1500</v>
      </c>
      <c r="AG147" s="66" t="n">
        <f aca="false">-Inputs!$C$21*1</f>
        <v>-1500</v>
      </c>
      <c r="AH147" s="66" t="n">
        <f aca="false">-Inputs!$C$21*1</f>
        <v>-1500</v>
      </c>
      <c r="AI147" s="66" t="n">
        <f aca="false">-Inputs!$C$21*1</f>
        <v>-1500</v>
      </c>
      <c r="AJ147" s="66" t="n">
        <f aca="false">-Inputs!$C$21*1</f>
        <v>-1500</v>
      </c>
      <c r="AK147" s="66" t="n">
        <f aca="false">-Inputs!$C$21*1</f>
        <v>-1500</v>
      </c>
      <c r="AL147" s="66" t="n">
        <f aca="false">-Inputs!$C$21*1</f>
        <v>-1500</v>
      </c>
      <c r="AM147" s="66" t="n">
        <f aca="false">-Inputs!$C$21*1</f>
        <v>-1500</v>
      </c>
      <c r="AN147" s="66" t="n">
        <f aca="false">-Inputs!$C$21*1</f>
        <v>-1500</v>
      </c>
      <c r="AO147" s="66" t="n">
        <f aca="false">-Inputs!$C$21*1</f>
        <v>-1500</v>
      </c>
      <c r="AP147" s="66" t="n">
        <f aca="false">-Inputs!$C$21*1</f>
        <v>-1500</v>
      </c>
      <c r="AQ147" s="66" t="n">
        <f aca="false">-Inputs!$C$21*1</f>
        <v>-1500</v>
      </c>
      <c r="AR147" s="66" t="n">
        <f aca="false">-Inputs!$C$21*1</f>
        <v>-1500</v>
      </c>
      <c r="AS147" s="66" t="n">
        <f aca="false">-Inputs!$C$21*1</f>
        <v>-1500</v>
      </c>
      <c r="AT147" s="66" t="n">
        <f aca="false">-Inputs!$C$21*1</f>
        <v>-1500</v>
      </c>
      <c r="AU147" s="66" t="n">
        <f aca="false">-Inputs!$C$21*1</f>
        <v>-1500</v>
      </c>
      <c r="AV147" s="66" t="n">
        <f aca="false">-Inputs!$C$21*1</f>
        <v>-1500</v>
      </c>
      <c r="AW147" s="66" t="n">
        <f aca="false">-Inputs!$C$21*1</f>
        <v>-1500</v>
      </c>
      <c r="AX147" s="66" t="n">
        <f aca="false">-Inputs!$C$21*1</f>
        <v>-1500</v>
      </c>
      <c r="AY147" s="66" t="n">
        <f aca="false">-Inputs!$C$21*1</f>
        <v>-1500</v>
      </c>
      <c r="AZ147" s="66" t="n">
        <f aca="false">-Inputs!$C$21*1</f>
        <v>-1500</v>
      </c>
      <c r="BA147" s="66" t="n">
        <f aca="false">-Inputs!$C$21*1</f>
        <v>-1500</v>
      </c>
      <c r="BB147" s="66" t="n">
        <f aca="false">-Inputs!$C$21*1</f>
        <v>-1500</v>
      </c>
      <c r="BC147" s="66" t="n">
        <f aca="false">-Inputs!$C$21*1</f>
        <v>-1500</v>
      </c>
      <c r="BD147" s="66" t="n">
        <f aca="false">-Inputs!$C$21*1</f>
        <v>-1500</v>
      </c>
      <c r="BE147" s="66" t="n">
        <f aca="false">-Inputs!$C$21*1</f>
        <v>-1500</v>
      </c>
      <c r="BF147" s="66" t="n">
        <f aca="false">-Inputs!$C$21*1</f>
        <v>-1500</v>
      </c>
      <c r="BG147" s="66" t="n">
        <f aca="false">-Inputs!$C$21*1</f>
        <v>-1500</v>
      </c>
      <c r="BH147" s="66" t="n">
        <f aca="false">-Inputs!$C$21*1</f>
        <v>-1500</v>
      </c>
      <c r="BI147" s="66" t="n">
        <f aca="false">-Inputs!$C$21*1</f>
        <v>-1500</v>
      </c>
      <c r="BJ147" s="66" t="n">
        <f aca="false">-Inputs!$C$21*1</f>
        <v>-1500</v>
      </c>
    </row>
    <row r="148" customFormat="false" ht="15" hidden="false" customHeight="false" outlineLevel="0" collapsed="false">
      <c r="A148" s="6" t="s">
        <v>322</v>
      </c>
      <c r="C148" s="66" t="n">
        <f aca="false">-Inputs!$C$22*1</f>
        <v>-3000</v>
      </c>
      <c r="D148" s="66" t="n">
        <f aca="false">-Inputs!$C$22*1</f>
        <v>-3000</v>
      </c>
      <c r="E148" s="66" t="n">
        <f aca="false">-Inputs!$C$22*1</f>
        <v>-3000</v>
      </c>
      <c r="F148" s="66" t="n">
        <f aca="false">-Inputs!$C$22*1</f>
        <v>-3000</v>
      </c>
      <c r="G148" s="66" t="n">
        <f aca="false">-Inputs!$C$22*1</f>
        <v>-3000</v>
      </c>
      <c r="H148" s="66" t="n">
        <f aca="false">-Inputs!$C$22*1</f>
        <v>-3000</v>
      </c>
      <c r="I148" s="66" t="n">
        <f aca="false">-Inputs!$C$22*1</f>
        <v>-3000</v>
      </c>
      <c r="J148" s="66" t="n">
        <f aca="false">-Inputs!$C$22*1</f>
        <v>-3000</v>
      </c>
      <c r="K148" s="66" t="n">
        <f aca="false">-Inputs!$C$22*1</f>
        <v>-3000</v>
      </c>
      <c r="L148" s="66" t="n">
        <f aca="false">-Inputs!$C$22*1</f>
        <v>-3000</v>
      </c>
      <c r="M148" s="66" t="n">
        <f aca="false">-Inputs!$C$22*1</f>
        <v>-3000</v>
      </c>
      <c r="N148" s="66" t="n">
        <f aca="false">-Inputs!$C$22*1</f>
        <v>-3000</v>
      </c>
      <c r="O148" s="66" t="n">
        <f aca="false">-Inputs!$C$22*1</f>
        <v>-3000</v>
      </c>
      <c r="P148" s="66" t="n">
        <f aca="false">-Inputs!$C$22*1</f>
        <v>-3000</v>
      </c>
      <c r="Q148" s="66" t="n">
        <f aca="false">-Inputs!$C$22*1</f>
        <v>-3000</v>
      </c>
      <c r="R148" s="66" t="n">
        <f aca="false">-Inputs!$C$22*1</f>
        <v>-3000</v>
      </c>
      <c r="S148" s="66" t="n">
        <f aca="false">-Inputs!$C$22*1</f>
        <v>-3000</v>
      </c>
      <c r="T148" s="66" t="n">
        <f aca="false">-Inputs!$C$22*1</f>
        <v>-3000</v>
      </c>
      <c r="U148" s="66" t="n">
        <f aca="false">-Inputs!$C$22*1</f>
        <v>-3000</v>
      </c>
      <c r="V148" s="66" t="n">
        <f aca="false">-Inputs!$C$22*1</f>
        <v>-3000</v>
      </c>
      <c r="W148" s="66" t="n">
        <f aca="false">-Inputs!$C$22*1</f>
        <v>-3000</v>
      </c>
      <c r="X148" s="66" t="n">
        <f aca="false">-Inputs!$C$22*1</f>
        <v>-3000</v>
      </c>
      <c r="Y148" s="66" t="n">
        <f aca="false">-Inputs!$C$22*1</f>
        <v>-3000</v>
      </c>
      <c r="Z148" s="66" t="n">
        <f aca="false">-Inputs!$C$22*1</f>
        <v>-3000</v>
      </c>
      <c r="AA148" s="66" t="n">
        <f aca="false">-Inputs!$C$22*1</f>
        <v>-3000</v>
      </c>
      <c r="AB148" s="66" t="n">
        <f aca="false">-Inputs!$C$22*1</f>
        <v>-3000</v>
      </c>
      <c r="AC148" s="66" t="n">
        <f aca="false">-Inputs!$C$22*1</f>
        <v>-3000</v>
      </c>
      <c r="AD148" s="66" t="n">
        <f aca="false">-Inputs!$C$22*1</f>
        <v>-3000</v>
      </c>
      <c r="AE148" s="66" t="n">
        <f aca="false">-Inputs!$C$22*1</f>
        <v>-3000</v>
      </c>
      <c r="AF148" s="66" t="n">
        <f aca="false">-Inputs!$C$22*1</f>
        <v>-3000</v>
      </c>
      <c r="AG148" s="66" t="n">
        <f aca="false">-Inputs!$C$22*1</f>
        <v>-3000</v>
      </c>
      <c r="AH148" s="66" t="n">
        <f aca="false">-Inputs!$C$22*1</f>
        <v>-3000</v>
      </c>
      <c r="AI148" s="66" t="n">
        <f aca="false">-Inputs!$C$22*1</f>
        <v>-3000</v>
      </c>
      <c r="AJ148" s="66" t="n">
        <f aca="false">-Inputs!$C$22*1</f>
        <v>-3000</v>
      </c>
      <c r="AK148" s="66" t="n">
        <f aca="false">-Inputs!$C$22*1</f>
        <v>-3000</v>
      </c>
      <c r="AL148" s="66" t="n">
        <f aca="false">-Inputs!$C$22*1</f>
        <v>-3000</v>
      </c>
      <c r="AM148" s="66" t="n">
        <f aca="false">-Inputs!$C$22*1</f>
        <v>-3000</v>
      </c>
      <c r="AN148" s="66" t="n">
        <f aca="false">-Inputs!$C$22*1</f>
        <v>-3000</v>
      </c>
      <c r="AO148" s="66" t="n">
        <f aca="false">-Inputs!$C$22*1</f>
        <v>-3000</v>
      </c>
      <c r="AP148" s="66" t="n">
        <f aca="false">-Inputs!$C$22*1</f>
        <v>-3000</v>
      </c>
      <c r="AQ148" s="66" t="n">
        <f aca="false">-Inputs!$C$22*1</f>
        <v>-3000</v>
      </c>
      <c r="AR148" s="66" t="n">
        <f aca="false">-Inputs!$C$22*1</f>
        <v>-3000</v>
      </c>
      <c r="AS148" s="66" t="n">
        <f aca="false">-Inputs!$C$22*1</f>
        <v>-3000</v>
      </c>
      <c r="AT148" s="66" t="n">
        <f aca="false">-Inputs!$C$22*1</f>
        <v>-3000</v>
      </c>
      <c r="AU148" s="66" t="n">
        <f aca="false">-Inputs!$C$22*1</f>
        <v>-3000</v>
      </c>
      <c r="AV148" s="66" t="n">
        <f aca="false">-Inputs!$C$22*1</f>
        <v>-3000</v>
      </c>
      <c r="AW148" s="66" t="n">
        <f aca="false">-Inputs!$C$22*1</f>
        <v>-3000</v>
      </c>
      <c r="AX148" s="66" t="n">
        <f aca="false">-Inputs!$C$22*1</f>
        <v>-3000</v>
      </c>
      <c r="AY148" s="66" t="n">
        <f aca="false">-Inputs!$C$22*1</f>
        <v>-3000</v>
      </c>
      <c r="AZ148" s="66" t="n">
        <f aca="false">-Inputs!$C$22*1</f>
        <v>-3000</v>
      </c>
      <c r="BA148" s="66" t="n">
        <f aca="false">-Inputs!$C$22*1</f>
        <v>-3000</v>
      </c>
      <c r="BB148" s="66" t="n">
        <f aca="false">-Inputs!$C$22*1</f>
        <v>-3000</v>
      </c>
      <c r="BC148" s="66" t="n">
        <f aca="false">-Inputs!$C$22*1</f>
        <v>-3000</v>
      </c>
      <c r="BD148" s="66" t="n">
        <f aca="false">-Inputs!$C$22*1</f>
        <v>-3000</v>
      </c>
      <c r="BE148" s="66" t="n">
        <f aca="false">-Inputs!$C$22*1</f>
        <v>-3000</v>
      </c>
      <c r="BF148" s="66" t="n">
        <f aca="false">-Inputs!$C$22*1</f>
        <v>-3000</v>
      </c>
      <c r="BG148" s="66" t="n">
        <f aca="false">-Inputs!$C$22*1</f>
        <v>-3000</v>
      </c>
      <c r="BH148" s="66" t="n">
        <f aca="false">-Inputs!$C$22*1</f>
        <v>-3000</v>
      </c>
      <c r="BI148" s="66" t="n">
        <f aca="false">-Inputs!$C$22*1</f>
        <v>-3000</v>
      </c>
      <c r="BJ148" s="66" t="n">
        <f aca="false">-Inputs!$C$22*1</f>
        <v>-3000</v>
      </c>
    </row>
    <row r="149" customFormat="false" ht="15" hidden="false" customHeight="false" outlineLevel="0" collapsed="false">
      <c r="A149" s="111" t="s">
        <v>76</v>
      </c>
      <c r="C149" s="67" t="n">
        <f aca="false">C144+C145+C146+C147+C148</f>
        <v>-75150</v>
      </c>
      <c r="D149" s="67" t="n">
        <f aca="false">D144+D145+D146+D147+D148</f>
        <v>-75150</v>
      </c>
      <c r="E149" s="67" t="n">
        <f aca="false">E144+E145+E146+E147+E148</f>
        <v>-75150</v>
      </c>
      <c r="F149" s="67" t="n">
        <f aca="false">F144+F145+F146+F147+F148</f>
        <v>-75150</v>
      </c>
      <c r="G149" s="67" t="n">
        <f aca="false">G144+G145+G146+G147+G148</f>
        <v>-75150</v>
      </c>
      <c r="H149" s="67" t="n">
        <f aca="false">H144+H145+H146+H147+H148</f>
        <v>-75150</v>
      </c>
      <c r="I149" s="67" t="n">
        <f aca="false">I144+I145+I146+I147+I148</f>
        <v>-75150</v>
      </c>
      <c r="J149" s="67" t="n">
        <f aca="false">J144+J145+J146+J147+J148</f>
        <v>-75150</v>
      </c>
      <c r="K149" s="67" t="n">
        <f aca="false">K144+K145+K146+K147+K148</f>
        <v>-75150</v>
      </c>
      <c r="L149" s="67" t="n">
        <f aca="false">L144+L145+L146+L147+L148</f>
        <v>-75150</v>
      </c>
      <c r="M149" s="67" t="n">
        <f aca="false">M144+M145+M146+M147+M148</f>
        <v>-75150</v>
      </c>
      <c r="N149" s="67" t="n">
        <f aca="false">N144+N145+N146+N147+N148</f>
        <v>-75150</v>
      </c>
      <c r="O149" s="67" t="n">
        <f aca="false">O144+O145+O146+O147+O148</f>
        <v>-111780</v>
      </c>
      <c r="P149" s="67" t="n">
        <f aca="false">P144+P145+P146+P147+P148</f>
        <v>-111780</v>
      </c>
      <c r="Q149" s="67" t="n">
        <f aca="false">Q144+Q145+Q146+Q147+Q148</f>
        <v>-111780</v>
      </c>
      <c r="R149" s="67" t="n">
        <f aca="false">R144+R145+R146+R147+R148</f>
        <v>-111780</v>
      </c>
      <c r="S149" s="67" t="n">
        <f aca="false">S144+S145+S146+S147+S148</f>
        <v>-111780</v>
      </c>
      <c r="T149" s="67" t="n">
        <f aca="false">T144+T145+T146+T147+T148</f>
        <v>-111780</v>
      </c>
      <c r="U149" s="67" t="n">
        <f aca="false">U144+U145+U146+U147+U148</f>
        <v>-111780</v>
      </c>
      <c r="V149" s="67" t="n">
        <f aca="false">V144+V145+V146+V147+V148</f>
        <v>-111780</v>
      </c>
      <c r="W149" s="67" t="n">
        <f aca="false">W144+W145+W146+W147+W148</f>
        <v>-111780</v>
      </c>
      <c r="X149" s="67" t="n">
        <f aca="false">X144+X145+X146+X147+X148</f>
        <v>-111780</v>
      </c>
      <c r="Y149" s="67" t="n">
        <f aca="false">Y144+Y145+Y146+Y147+Y148</f>
        <v>-111780</v>
      </c>
      <c r="Z149" s="67" t="n">
        <f aca="false">Z144+Z145+Z146+Z147+Z148</f>
        <v>-111780</v>
      </c>
      <c r="AA149" s="67" t="n">
        <f aca="false">AA144+AA145+AA146+AA147+AA148</f>
        <v>-168319.8</v>
      </c>
      <c r="AB149" s="67" t="n">
        <f aca="false">AB144+AB145+AB146+AB147+AB148</f>
        <v>-168319.8</v>
      </c>
      <c r="AC149" s="67" t="n">
        <f aca="false">AC144+AC145+AC146+AC147+AC148</f>
        <v>-168319.8</v>
      </c>
      <c r="AD149" s="67" t="n">
        <f aca="false">AD144+AD145+AD146+AD147+AD148</f>
        <v>-168319.8</v>
      </c>
      <c r="AE149" s="67" t="n">
        <f aca="false">AE144+AE145+AE146+AE147+AE148</f>
        <v>-168319.8</v>
      </c>
      <c r="AF149" s="67" t="n">
        <f aca="false">AF144+AF145+AF146+AF147+AF148</f>
        <v>-168319.8</v>
      </c>
      <c r="AG149" s="67" t="n">
        <f aca="false">AG144+AG145+AG146+AG147+AG148</f>
        <v>-168319.8</v>
      </c>
      <c r="AH149" s="67" t="n">
        <f aca="false">AH144+AH145+AH146+AH147+AH148</f>
        <v>-168319.8</v>
      </c>
      <c r="AI149" s="67" t="n">
        <f aca="false">AI144+AI145+AI146+AI147+AI148</f>
        <v>-168319.8</v>
      </c>
      <c r="AJ149" s="67" t="n">
        <f aca="false">AJ144+AJ145+AJ146+AJ147+AJ148</f>
        <v>-168319.8</v>
      </c>
      <c r="AK149" s="67" t="n">
        <f aca="false">AK144+AK145+AK146+AK147+AK148</f>
        <v>-168319.8</v>
      </c>
      <c r="AL149" s="67" t="n">
        <f aca="false">AL144+AL145+AL146+AL147+AL148</f>
        <v>-168319.8</v>
      </c>
      <c r="AM149" s="67" t="n">
        <f aca="false">AM144+AM145+AM146+AM147+AM148</f>
        <v>-255790.188</v>
      </c>
      <c r="AN149" s="67" t="n">
        <f aca="false">AN144+AN145+AN146+AN147+AN148</f>
        <v>-255790.188</v>
      </c>
      <c r="AO149" s="67" t="n">
        <f aca="false">AO144+AO145+AO146+AO147+AO148</f>
        <v>-255790.188</v>
      </c>
      <c r="AP149" s="67" t="n">
        <f aca="false">AP144+AP145+AP146+AP147+AP148</f>
        <v>-255790.188</v>
      </c>
      <c r="AQ149" s="67" t="n">
        <f aca="false">AQ144+AQ145+AQ146+AQ147+AQ148</f>
        <v>-255790.188</v>
      </c>
      <c r="AR149" s="67" t="n">
        <f aca="false">AR144+AR145+AR146+AR147+AR148</f>
        <v>-255790.188</v>
      </c>
      <c r="AS149" s="67" t="n">
        <f aca="false">AS144+AS145+AS146+AS147+AS148</f>
        <v>-255790.188</v>
      </c>
      <c r="AT149" s="67" t="n">
        <f aca="false">AT144+AT145+AT146+AT147+AT148</f>
        <v>-255790.188</v>
      </c>
      <c r="AU149" s="67" t="n">
        <f aca="false">AU144+AU145+AU146+AU147+AU148</f>
        <v>-255790.188</v>
      </c>
      <c r="AV149" s="67" t="n">
        <f aca="false">AV144+AV145+AV146+AV147+AV148</f>
        <v>-255790.188</v>
      </c>
      <c r="AW149" s="67" t="n">
        <f aca="false">AW144+AW145+AW146+AW147+AW148</f>
        <v>-255790.188</v>
      </c>
      <c r="AX149" s="67" t="n">
        <f aca="false">AX144+AX145+AX146+AX147+AX148</f>
        <v>-255790.188</v>
      </c>
      <c r="AY149" s="67" t="n">
        <f aca="false">AY144+AY145+AY146+AY147+AY148</f>
        <v>-391353.80328</v>
      </c>
      <c r="AZ149" s="67" t="n">
        <f aca="false">AZ144+AZ145+AZ146+AZ147+AZ148</f>
        <v>-391353.80328</v>
      </c>
      <c r="BA149" s="67" t="n">
        <f aca="false">BA144+BA145+BA146+BA147+BA148</f>
        <v>-391353.80328</v>
      </c>
      <c r="BB149" s="67" t="n">
        <f aca="false">BB144+BB145+BB146+BB147+BB148</f>
        <v>-391353.80328</v>
      </c>
      <c r="BC149" s="67" t="n">
        <f aca="false">BC144+BC145+BC146+BC147+BC148</f>
        <v>-391353.80328</v>
      </c>
      <c r="BD149" s="67" t="n">
        <f aca="false">BD144+BD145+BD146+BD147+BD148</f>
        <v>-391353.80328</v>
      </c>
      <c r="BE149" s="67" t="n">
        <f aca="false">BE144+BE145+BE146+BE147+BE148</f>
        <v>-391353.80328</v>
      </c>
      <c r="BF149" s="67" t="n">
        <f aca="false">BF144+BF145+BF146+BF147+BF148</f>
        <v>-391353.80328</v>
      </c>
      <c r="BG149" s="67" t="n">
        <f aca="false">BG144+BG145+BG146+BG147+BG148</f>
        <v>-391353.80328</v>
      </c>
      <c r="BH149" s="67" t="n">
        <f aca="false">BH144+BH145+BH146+BH147+BH148</f>
        <v>-391353.80328</v>
      </c>
      <c r="BI149" s="67" t="n">
        <f aca="false">BI144+BI145+BI146+BI147+BI148</f>
        <v>-391353.80328</v>
      </c>
      <c r="BJ149" s="67" t="n">
        <f aca="false">BJ144+BJ145+BJ146+BJ147+BJ148</f>
        <v>-391353.80328</v>
      </c>
    </row>
    <row r="150" customFormat="false" ht="15" hidden="false" customHeight="false" outlineLevel="0" collapsed="false">
      <c r="A150" s="111" t="s">
        <v>48</v>
      </c>
      <c r="C150" s="67" t="n">
        <f aca="false">C141+C149</f>
        <v>-71272.6902777778</v>
      </c>
      <c r="D150" s="67" t="n">
        <f aca="false">D141+D149</f>
        <v>-68775.5341875</v>
      </c>
      <c r="E150" s="67" t="n">
        <f aca="false">E141+E149</f>
        <v>-66340.5225533681</v>
      </c>
      <c r="F150" s="67" t="n">
        <f aca="false">F141+F149</f>
        <v>-63966.1102973616</v>
      </c>
      <c r="G150" s="67" t="n">
        <f aca="false">G141+G149</f>
        <v>-61650.7907124094</v>
      </c>
      <c r="H150" s="67" t="n">
        <f aca="false">H141+H149</f>
        <v>-59393.0945107955</v>
      </c>
      <c r="I150" s="67" t="n">
        <f aca="false">I141+I149</f>
        <v>-57191.5888961248</v>
      </c>
      <c r="J150" s="67" t="n">
        <f aca="false">J141+J149</f>
        <v>-55044.8766582669</v>
      </c>
      <c r="K150" s="67" t="n">
        <f aca="false">K141+K149</f>
        <v>-52951.5952907079</v>
      </c>
      <c r="L150" s="67" t="n">
        <f aca="false">L141+L149</f>
        <v>-50910.4161297599</v>
      </c>
      <c r="M150" s="67" t="n">
        <f aca="false">M141+M149</f>
        <v>-48920.0435150849</v>
      </c>
      <c r="N150" s="67" t="n">
        <f aca="false">N141+N149</f>
        <v>-46979.2139710086</v>
      </c>
      <c r="O150" s="67" t="n">
        <f aca="false">O141+O149</f>
        <v>-81355.7095636645</v>
      </c>
      <c r="P150" s="67" t="n">
        <f aca="false">P141+P149</f>
        <v>-78797.3176795795</v>
      </c>
      <c r="Q150" s="67" t="n">
        <f aca="false">Q141+Q149</f>
        <v>-76302.6177496131</v>
      </c>
      <c r="R150" s="67" t="n">
        <f aca="false">R141+R149</f>
        <v>-73870.0255102018</v>
      </c>
      <c r="S150" s="67" t="n">
        <f aca="false">S141+S149</f>
        <v>-71497.9960633127</v>
      </c>
      <c r="T150" s="67" t="n">
        <f aca="false">T141+T149</f>
        <v>-69185.0228995364</v>
      </c>
      <c r="U150" s="67" t="n">
        <f aca="false">U141+U149</f>
        <v>-66929.636945387</v>
      </c>
      <c r="V150" s="67" t="n">
        <f aca="false">V141+V149</f>
        <v>-64730.4056342078</v>
      </c>
      <c r="W150" s="67" t="n">
        <f aca="false">W141+W149</f>
        <v>-62585.9320001011</v>
      </c>
      <c r="X150" s="67" t="n">
        <f aca="false">X141+X149</f>
        <v>-60494.8537943113</v>
      </c>
      <c r="Y150" s="67" t="n">
        <f aca="false">Y141+Y149</f>
        <v>-58455.8426235065</v>
      </c>
      <c r="Z150" s="67" t="n">
        <f aca="false">Z141+Z149</f>
        <v>-56467.6031094169</v>
      </c>
      <c r="AA150" s="67" t="n">
        <f aca="false">AA141+AA149</f>
        <v>-110603.929337368</v>
      </c>
      <c r="AB150" s="67" t="n">
        <f aca="false">AB141+AB149</f>
        <v>-107795.563355892</v>
      </c>
      <c r="AC150" s="67" t="n">
        <f aca="false">AC141+AC149</f>
        <v>-105057.132558478</v>
      </c>
      <c r="AD150" s="67" t="n">
        <f aca="false">AD141+AD149</f>
        <v>-102386.896784488</v>
      </c>
      <c r="AE150" s="67" t="n">
        <f aca="false">AE141+AE149</f>
        <v>-99783.1591307335</v>
      </c>
      <c r="AF150" s="67" t="n">
        <f aca="false">AF141+AF149</f>
        <v>-97244.2648774309</v>
      </c>
      <c r="AG150" s="67" t="n">
        <f aca="false">AG141+AG149</f>
        <v>-94768.6004407959</v>
      </c>
      <c r="AH150" s="67" t="n">
        <f aca="false">AH141+AH149</f>
        <v>-92354.5923516018</v>
      </c>
      <c r="AI150" s="67" t="n">
        <f aca="false">AI141+AI149</f>
        <v>-90000.7062590667</v>
      </c>
      <c r="AJ150" s="67" t="n">
        <f aca="false">AJ141+AJ149</f>
        <v>-87705.4459594414</v>
      </c>
      <c r="AK150" s="67" t="n">
        <f aca="false">AK141+AK149</f>
        <v>-85467.3524486851</v>
      </c>
      <c r="AL150" s="67" t="n">
        <f aca="false">AL141+AL149</f>
        <v>-83285.0029986349</v>
      </c>
      <c r="AM150" s="67" t="n">
        <f aca="false">AM141+AM149</f>
        <v>-168028.127544256</v>
      </c>
      <c r="AN150" s="67" t="n">
        <f aca="false">AN141+AN149</f>
        <v>-164769.522976518</v>
      </c>
      <c r="AO150" s="67" t="n">
        <f aca="false">AO141+AO149</f>
        <v>-161592.083074722</v>
      </c>
      <c r="AP150" s="67" t="n">
        <f aca="false">AP141+AP149</f>
        <v>-158493.787735666</v>
      </c>
      <c r="AQ150" s="67" t="n">
        <f aca="false">AQ141+AQ149</f>
        <v>-155472.667088327</v>
      </c>
      <c r="AR150" s="67" t="n">
        <f aca="false">AR141+AR149</f>
        <v>-152526.800246164</v>
      </c>
      <c r="AS150" s="67" t="n">
        <f aca="false">AS141+AS149</f>
        <v>-149654.314090378</v>
      </c>
      <c r="AT150" s="67" t="n">
        <f aca="false">AT141+AT149</f>
        <v>-146853.382083349</v>
      </c>
      <c r="AU150" s="67" t="n">
        <f aca="false">AU141+AU149</f>
        <v>-144122.223111514</v>
      </c>
      <c r="AV150" s="67" t="n">
        <f aca="false">AV141+AV149</f>
        <v>-141459.100356941</v>
      </c>
      <c r="AW150" s="67" t="n">
        <f aca="false">AW141+AW149</f>
        <v>-138862.320196911</v>
      </c>
      <c r="AX150" s="67" t="n">
        <f aca="false">AX141+AX149</f>
        <v>-136330.231130788</v>
      </c>
      <c r="AY150" s="67" t="n">
        <f aca="false">AY141+AY149</f>
        <v>-268650.876680009</v>
      </c>
      <c r="AZ150" s="67" t="n">
        <f aca="false">AZ141+AZ149</f>
        <v>-264714.734681923</v>
      </c>
      <c r="BA150" s="67" t="n">
        <f aca="false">BA141+BA149</f>
        <v>-260876.649346045</v>
      </c>
      <c r="BB150" s="67" t="n">
        <f aca="false">BB141+BB149</f>
        <v>-257134.179662452</v>
      </c>
      <c r="BC150" s="67" t="n">
        <f aca="false">BC141+BC149</f>
        <v>-253484.94533427</v>
      </c>
      <c r="BD150" s="67" t="n">
        <f aca="false">BD141+BD149</f>
        <v>-249926.625269214</v>
      </c>
      <c r="BE150" s="67" t="n">
        <f aca="false">BE141+BE149</f>
        <v>-246456.956108559</v>
      </c>
      <c r="BF150" s="67" t="n">
        <f aca="false">BF141+BF149</f>
        <v>-243073.73079261</v>
      </c>
      <c r="BG150" s="67" t="n">
        <f aca="false">BG141+BG149</f>
        <v>-239774.797161781</v>
      </c>
      <c r="BH150" s="67" t="n">
        <f aca="false">BH141+BH149</f>
        <v>-236558.056592375</v>
      </c>
      <c r="BI150" s="67" t="n">
        <f aca="false">BI141+BI149</f>
        <v>-233421.462666239</v>
      </c>
      <c r="BJ150" s="67" t="n">
        <f aca="false">BJ141+BJ149</f>
        <v>-230363.019873419</v>
      </c>
    </row>
    <row r="152" customFormat="false" ht="15.75" hidden="false" customHeight="true" outlineLevel="0" collapsed="false">
      <c r="A152" s="7" t="s">
        <v>410</v>
      </c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</row>
    <row r="153" customFormat="false" ht="15" hidden="false" customHeight="false" outlineLevel="0" collapsed="false">
      <c r="A153" s="4" t="s">
        <v>78</v>
      </c>
      <c r="C153" s="72" t="n">
        <f aca="false">C150+C164</f>
        <v>-71828.2458333333</v>
      </c>
      <c r="D153" s="72" t="n">
        <f aca="false">D150+D164</f>
        <v>-69331.0897430556</v>
      </c>
      <c r="E153" s="72" t="n">
        <f aca="false">E150+E164</f>
        <v>-66896.0781089236</v>
      </c>
      <c r="F153" s="72" t="n">
        <f aca="false">F150+F164</f>
        <v>-64521.6658529172</v>
      </c>
      <c r="G153" s="72" t="n">
        <f aca="false">G150+G164</f>
        <v>-62206.346267965</v>
      </c>
      <c r="H153" s="72" t="n">
        <f aca="false">H150+H164</f>
        <v>-59948.650066351</v>
      </c>
      <c r="I153" s="72" t="n">
        <f aca="false">I150+I164</f>
        <v>-57747.1444516804</v>
      </c>
      <c r="J153" s="72" t="n">
        <f aca="false">J150+J164</f>
        <v>-55600.4322138224</v>
      </c>
      <c r="K153" s="72" t="n">
        <f aca="false">K150+K164</f>
        <v>-53507.1508462635</v>
      </c>
      <c r="L153" s="72" t="n">
        <f aca="false">L150+L164</f>
        <v>-51465.9716853155</v>
      </c>
      <c r="M153" s="72" t="n">
        <f aca="false">M150+M164</f>
        <v>-49475.5990706404</v>
      </c>
      <c r="N153" s="72" t="n">
        <f aca="false">N150+N164</f>
        <v>-47534.7695265641</v>
      </c>
      <c r="O153" s="72" t="n">
        <f aca="false">O150+O164</f>
        <v>-81911.2651192201</v>
      </c>
      <c r="P153" s="72" t="n">
        <f aca="false">P150+P164</f>
        <v>-79352.8732351351</v>
      </c>
      <c r="Q153" s="72" t="n">
        <f aca="false">Q150+Q164</f>
        <v>-76858.1733051687</v>
      </c>
      <c r="R153" s="72" t="n">
        <f aca="false">R150+R164</f>
        <v>-74425.5810657574</v>
      </c>
      <c r="S153" s="72" t="n">
        <f aca="false">S150+S164</f>
        <v>-72053.5516188682</v>
      </c>
      <c r="T153" s="72" t="n">
        <f aca="false">T150+T164</f>
        <v>-69740.5784550919</v>
      </c>
      <c r="U153" s="72" t="n">
        <f aca="false">U150+U164</f>
        <v>-67485.1925009425</v>
      </c>
      <c r="V153" s="72" t="n">
        <f aca="false">V150+V164</f>
        <v>-65285.9611897633</v>
      </c>
      <c r="W153" s="72" t="n">
        <f aca="false">W150+W164</f>
        <v>-63141.4875556567</v>
      </c>
      <c r="X153" s="72" t="n">
        <f aca="false">X150+X164</f>
        <v>-61050.4093498668</v>
      </c>
      <c r="Y153" s="72" t="n">
        <f aca="false">Y150+Y164</f>
        <v>-59011.3981790621</v>
      </c>
      <c r="Z153" s="72" t="n">
        <f aca="false">Z150+Z164</f>
        <v>-57023.1586649725</v>
      </c>
      <c r="AA153" s="72" t="n">
        <f aca="false">AA150+AA164</f>
        <v>-111159.484892924</v>
      </c>
      <c r="AB153" s="72" t="n">
        <f aca="false">AB150+AB164</f>
        <v>-108351.118911447</v>
      </c>
      <c r="AC153" s="72" t="n">
        <f aca="false">AC150+AC164</f>
        <v>-105612.688114033</v>
      </c>
      <c r="AD153" s="72" t="n">
        <f aca="false">AD150+AD164</f>
        <v>-102942.452340044</v>
      </c>
      <c r="AE153" s="72" t="n">
        <f aca="false">AE150+AE164</f>
        <v>-100338.714686289</v>
      </c>
      <c r="AF153" s="72" t="n">
        <f aca="false">AF150+AF164</f>
        <v>-97799.8204329865</v>
      </c>
      <c r="AG153" s="72" t="n">
        <f aca="false">AG150+AG164</f>
        <v>-95324.1559963515</v>
      </c>
      <c r="AH153" s="72" t="n">
        <f aca="false">AH150+AH164</f>
        <v>-92910.1479071573</v>
      </c>
      <c r="AI153" s="72" t="n">
        <f aca="false">AI150+AI164</f>
        <v>-90556.2618146223</v>
      </c>
      <c r="AJ153" s="72" t="n">
        <f aca="false">AJ150+AJ164</f>
        <v>-88261.0015149969</v>
      </c>
      <c r="AK153" s="72" t="n">
        <f aca="false">AK150+AK164</f>
        <v>-86022.9080042407</v>
      </c>
      <c r="AL153" s="72" t="n">
        <f aca="false">AL150+AL164</f>
        <v>-83840.5585541905</v>
      </c>
      <c r="AM153" s="72" t="n">
        <f aca="false">AM150+AM164</f>
        <v>-168028.127544256</v>
      </c>
      <c r="AN153" s="72" t="n">
        <f aca="false">AN150+AN164</f>
        <v>-164769.522976518</v>
      </c>
      <c r="AO153" s="72" t="n">
        <f aca="false">AO150+AO164</f>
        <v>-161592.083074722</v>
      </c>
      <c r="AP153" s="72" t="n">
        <f aca="false">AP150+AP164</f>
        <v>-158493.787735666</v>
      </c>
      <c r="AQ153" s="72" t="n">
        <f aca="false">AQ150+AQ164</f>
        <v>-155472.667088327</v>
      </c>
      <c r="AR153" s="72" t="n">
        <f aca="false">AR150+AR164</f>
        <v>-152526.800246164</v>
      </c>
      <c r="AS153" s="72" t="n">
        <f aca="false">AS150+AS164</f>
        <v>-149654.314090378</v>
      </c>
      <c r="AT153" s="72" t="n">
        <f aca="false">AT150+AT164</f>
        <v>-146853.382083349</v>
      </c>
      <c r="AU153" s="72" t="n">
        <f aca="false">AU150+AU164</f>
        <v>-144122.223111514</v>
      </c>
      <c r="AV153" s="72" t="n">
        <f aca="false">AV150+AV164</f>
        <v>-141459.100356941</v>
      </c>
      <c r="AW153" s="72" t="n">
        <f aca="false">AW150+AW164</f>
        <v>-138862.320196911</v>
      </c>
      <c r="AX153" s="72" t="n">
        <f aca="false">AX150+AX164</f>
        <v>-136330.231130788</v>
      </c>
      <c r="AY153" s="72" t="n">
        <f aca="false">AY150+AY164</f>
        <v>-268650.876680009</v>
      </c>
      <c r="AZ153" s="72" t="n">
        <f aca="false">AZ150+AZ164</f>
        <v>-264714.734681923</v>
      </c>
      <c r="BA153" s="72" t="n">
        <f aca="false">BA150+BA164</f>
        <v>-260876.649346045</v>
      </c>
      <c r="BB153" s="72" t="n">
        <f aca="false">BB150+BB164</f>
        <v>-257134.179662452</v>
      </c>
      <c r="BC153" s="72" t="n">
        <f aca="false">BC150+BC164</f>
        <v>-253484.94533427</v>
      </c>
      <c r="BD153" s="72" t="n">
        <f aca="false">BD150+BD164</f>
        <v>-249926.625269214</v>
      </c>
      <c r="BE153" s="72" t="n">
        <f aca="false">BE150+BE164</f>
        <v>-246456.956108559</v>
      </c>
      <c r="BF153" s="72" t="n">
        <f aca="false">BF150+BF164</f>
        <v>-243073.73079261</v>
      </c>
      <c r="BG153" s="72" t="n">
        <f aca="false">BG150+BG164</f>
        <v>-239774.797161781</v>
      </c>
      <c r="BH153" s="72" t="n">
        <f aca="false">BH150+BH164</f>
        <v>-236558.056592375</v>
      </c>
      <c r="BI153" s="72" t="n">
        <f aca="false">BI150+BI164</f>
        <v>-233421.462666239</v>
      </c>
      <c r="BJ153" s="72" t="n">
        <f aca="false">BJ150+BJ164</f>
        <v>-230363.019873419</v>
      </c>
    </row>
    <row r="154" customFormat="false" ht="15" hidden="false" customHeight="false" outlineLevel="0" collapsed="false">
      <c r="A154" s="6" t="s">
        <v>411</v>
      </c>
      <c r="C154" s="66" t="n">
        <f aca="false">-(C169+C170+C172)/2*Inputs!$C$48/12</f>
        <v>-0</v>
      </c>
      <c r="D154" s="66" t="n">
        <f aca="false">-(D169+D170+D172)/2*Inputs!$C$48/12</f>
        <v>-0</v>
      </c>
      <c r="E154" s="66" t="n">
        <f aca="false">-(E169+E170+E172)/2*Inputs!$C$48/12</f>
        <v>-0</v>
      </c>
      <c r="F154" s="66" t="n">
        <f aca="false">-(F169+F170+F172)/2*Inputs!$C$48/12</f>
        <v>-0</v>
      </c>
      <c r="G154" s="66" t="n">
        <f aca="false">-(G169+G170+G172)/2*Inputs!$C$48/12</f>
        <v>-0</v>
      </c>
      <c r="H154" s="66" t="n">
        <f aca="false">-(H169+H170+H172)/2*Inputs!$C$48/12</f>
        <v>-0</v>
      </c>
      <c r="I154" s="66" t="n">
        <f aca="false">-(I169+I170+I172)/2*Inputs!$C$48/12</f>
        <v>-0</v>
      </c>
      <c r="J154" s="66" t="n">
        <f aca="false">-(J169+J170+J172)/2*Inputs!$C$48/12</f>
        <v>-0</v>
      </c>
      <c r="K154" s="66" t="n">
        <f aca="false">-(K169+K170+K172)/2*Inputs!$C$48/12</f>
        <v>-0</v>
      </c>
      <c r="L154" s="66" t="n">
        <f aca="false">-(L169+L170+L172)/2*Inputs!$C$48/12</f>
        <v>-0</v>
      </c>
      <c r="M154" s="66" t="n">
        <f aca="false">-(M169+M170+M172)/2*Inputs!$C$48/12</f>
        <v>-0</v>
      </c>
      <c r="N154" s="66" t="n">
        <f aca="false">-(N169+N170+N172)/2*Inputs!$C$48/12</f>
        <v>-0</v>
      </c>
      <c r="O154" s="66" t="n">
        <f aca="false">-(O169+O170+O172)/2*Inputs!$C$48/12</f>
        <v>-0</v>
      </c>
      <c r="P154" s="66" t="n">
        <f aca="false">-(P169+P170+P172)/2*Inputs!$C$48/12</f>
        <v>-0</v>
      </c>
      <c r="Q154" s="66" t="n">
        <f aca="false">-(Q169+Q170+Q172)/2*Inputs!$C$48/12</f>
        <v>-0</v>
      </c>
      <c r="R154" s="66" t="n">
        <f aca="false">-(R169+R170+R172)/2*Inputs!$C$48/12</f>
        <v>-0</v>
      </c>
      <c r="S154" s="66" t="n">
        <f aca="false">-(S169+S170+S172)/2*Inputs!$C$48/12</f>
        <v>-0</v>
      </c>
      <c r="T154" s="66" t="n">
        <f aca="false">-(T169+T170+T172)/2*Inputs!$C$48/12</f>
        <v>-0</v>
      </c>
      <c r="U154" s="66" t="n">
        <f aca="false">-(U169+U170+U172)/2*Inputs!$C$48/12</f>
        <v>-0</v>
      </c>
      <c r="V154" s="66" t="n">
        <f aca="false">-(V169+V170+V172)/2*Inputs!$C$48/12</f>
        <v>-0</v>
      </c>
      <c r="W154" s="66" t="n">
        <f aca="false">-(W169+W170+W172)/2*Inputs!$C$48/12</f>
        <v>-0</v>
      </c>
      <c r="X154" s="66" t="n">
        <f aca="false">-(X169+X170+X172)/2*Inputs!$C$48/12</f>
        <v>-0</v>
      </c>
      <c r="Y154" s="66" t="n">
        <f aca="false">-(Y169+Y170+Y172)/2*Inputs!$C$48/12</f>
        <v>-0</v>
      </c>
      <c r="Z154" s="66" t="n">
        <f aca="false">-(Z169+Z170+Z172)/2*Inputs!$C$48/12</f>
        <v>-0</v>
      </c>
      <c r="AA154" s="66" t="n">
        <f aca="false">-(AA169+AA170+AA172)/2*Inputs!$C$48/12</f>
        <v>-0</v>
      </c>
      <c r="AB154" s="66" t="n">
        <f aca="false">-(AB169+AB170+AB172)/2*Inputs!$C$48/12</f>
        <v>-0</v>
      </c>
      <c r="AC154" s="66" t="n">
        <f aca="false">-(AC169+AC170+AC172)/2*Inputs!$C$48/12</f>
        <v>-0</v>
      </c>
      <c r="AD154" s="66" t="n">
        <f aca="false">-(AD169+AD170+AD172)/2*Inputs!$C$48/12</f>
        <v>-0</v>
      </c>
      <c r="AE154" s="66" t="n">
        <f aca="false">-(AE169+AE170+AE172)/2*Inputs!$C$48/12</f>
        <v>-0</v>
      </c>
      <c r="AF154" s="66" t="n">
        <f aca="false">-(AF169+AF170+AF172)/2*Inputs!$C$48/12</f>
        <v>-0</v>
      </c>
      <c r="AG154" s="66" t="n">
        <f aca="false">-(AG169+AG170+AG172)/2*Inputs!$C$48/12</f>
        <v>-0</v>
      </c>
      <c r="AH154" s="66" t="n">
        <f aca="false">-(AH169+AH170+AH172)/2*Inputs!$C$48/12</f>
        <v>-0</v>
      </c>
      <c r="AI154" s="66" t="n">
        <f aca="false">-(AI169+AI170+AI172)/2*Inputs!$C$48/12</f>
        <v>-0</v>
      </c>
      <c r="AJ154" s="66" t="n">
        <f aca="false">-(AJ169+AJ170+AJ172)/2*Inputs!$C$48/12</f>
        <v>-0</v>
      </c>
      <c r="AK154" s="66" t="n">
        <f aca="false">-(AK169+AK170+AK172)/2*Inputs!$C$48/12</f>
        <v>-0</v>
      </c>
      <c r="AL154" s="66" t="n">
        <f aca="false">-(AL169+AL170+AL172)/2*Inputs!$C$48/12</f>
        <v>-0</v>
      </c>
      <c r="AM154" s="66" t="n">
        <f aca="false">-(AM169+AM170+AM172)/2*Inputs!$C$48/12</f>
        <v>-0</v>
      </c>
      <c r="AN154" s="66" t="n">
        <f aca="false">-(AN169+AN170+AN172)/2*Inputs!$C$48/12</f>
        <v>-0</v>
      </c>
      <c r="AO154" s="66" t="n">
        <f aca="false">-(AO169+AO170+AO172)/2*Inputs!$C$48/12</f>
        <v>-0</v>
      </c>
      <c r="AP154" s="66" t="n">
        <f aca="false">-(AP169+AP170+AP172)/2*Inputs!$C$48/12</f>
        <v>-0</v>
      </c>
      <c r="AQ154" s="66" t="n">
        <f aca="false">-(AQ169+AQ170+AQ172)/2*Inputs!$C$48/12</f>
        <v>-0</v>
      </c>
      <c r="AR154" s="66" t="n">
        <f aca="false">-(AR169+AR170+AR172)/2*Inputs!$C$48/12</f>
        <v>-0</v>
      </c>
      <c r="AS154" s="66" t="n">
        <f aca="false">-(AS169+AS170+AS172)/2*Inputs!$C$48/12</f>
        <v>-0</v>
      </c>
      <c r="AT154" s="66" t="n">
        <f aca="false">-(AT169+AT170+AT172)/2*Inputs!$C$48/12</f>
        <v>-0</v>
      </c>
      <c r="AU154" s="66" t="n">
        <f aca="false">-(AU169+AU170+AU172)/2*Inputs!$C$48/12</f>
        <v>-0</v>
      </c>
      <c r="AV154" s="66" t="n">
        <f aca="false">-(AV169+AV170+AV172)/2*Inputs!$C$48/12</f>
        <v>-0</v>
      </c>
      <c r="AW154" s="66" t="n">
        <f aca="false">-(AW169+AW170+AW172)/2*Inputs!$C$48/12</f>
        <v>-0</v>
      </c>
      <c r="AX154" s="66" t="n">
        <f aca="false">-(AX169+AX170+AX172)/2*Inputs!$C$48/12</f>
        <v>-0</v>
      </c>
      <c r="AY154" s="66" t="n">
        <f aca="false">-(AY169+AY170+AY172)/2*Inputs!$C$48/12</f>
        <v>-0</v>
      </c>
      <c r="AZ154" s="66" t="n">
        <f aca="false">-(AZ169+AZ170+AZ172)/2*Inputs!$C$48/12</f>
        <v>-0</v>
      </c>
      <c r="BA154" s="66" t="n">
        <f aca="false">-(BA169+BA170+BA172)/2*Inputs!$C$48/12</f>
        <v>-0</v>
      </c>
      <c r="BB154" s="66" t="n">
        <f aca="false">-(BB169+BB170+BB172)/2*Inputs!$C$48/12</f>
        <v>-0</v>
      </c>
      <c r="BC154" s="66" t="n">
        <f aca="false">-(BC169+BC170+BC172)/2*Inputs!$C$48/12</f>
        <v>-0</v>
      </c>
      <c r="BD154" s="66" t="n">
        <f aca="false">-(BD169+BD170+BD172)/2*Inputs!$C$48/12</f>
        <v>-0</v>
      </c>
      <c r="BE154" s="66" t="n">
        <f aca="false">-(BE169+BE170+BE172)/2*Inputs!$C$48/12</f>
        <v>-0</v>
      </c>
      <c r="BF154" s="66" t="n">
        <f aca="false">-(BF169+BF170+BF172)/2*Inputs!$C$48/12</f>
        <v>-0</v>
      </c>
      <c r="BG154" s="66" t="n">
        <f aca="false">-(BG169+BG170+BG172)/2*Inputs!$C$48/12</f>
        <v>-0</v>
      </c>
      <c r="BH154" s="66" t="n">
        <f aca="false">-(BH169+BH170+BH172)/2*Inputs!$C$48/12</f>
        <v>-0</v>
      </c>
      <c r="BI154" s="66" t="n">
        <f aca="false">-(BI169+BI170+BI172)/2*Inputs!$C$48/12</f>
        <v>-0</v>
      </c>
      <c r="BJ154" s="66" t="n">
        <f aca="false">-(BJ169+BJ170+BJ172)/2*Inputs!$C$48/12</f>
        <v>-0</v>
      </c>
    </row>
    <row r="155" customFormat="false" ht="15" hidden="false" customHeight="false" outlineLevel="0" collapsed="false">
      <c r="A155" s="111" t="s">
        <v>80</v>
      </c>
      <c r="C155" s="67" t="n">
        <f aca="false">C153+C154</f>
        <v>-71828.2458333333</v>
      </c>
      <c r="D155" s="67" t="n">
        <f aca="false">D153+D154</f>
        <v>-69331.0897430556</v>
      </c>
      <c r="E155" s="67" t="n">
        <f aca="false">E153+E154</f>
        <v>-66896.0781089236</v>
      </c>
      <c r="F155" s="67" t="n">
        <f aca="false">F153+F154</f>
        <v>-64521.6658529172</v>
      </c>
      <c r="G155" s="67" t="n">
        <f aca="false">G153+G154</f>
        <v>-62206.346267965</v>
      </c>
      <c r="H155" s="67" t="n">
        <f aca="false">H153+H154</f>
        <v>-59948.650066351</v>
      </c>
      <c r="I155" s="67" t="n">
        <f aca="false">I153+I154</f>
        <v>-57747.1444516804</v>
      </c>
      <c r="J155" s="67" t="n">
        <f aca="false">J153+J154</f>
        <v>-55600.4322138224</v>
      </c>
      <c r="K155" s="67" t="n">
        <f aca="false">K153+K154</f>
        <v>-53507.1508462635</v>
      </c>
      <c r="L155" s="67" t="n">
        <f aca="false">L153+L154</f>
        <v>-51465.9716853155</v>
      </c>
      <c r="M155" s="67" t="n">
        <f aca="false">M153+M154</f>
        <v>-49475.5990706404</v>
      </c>
      <c r="N155" s="67" t="n">
        <f aca="false">N153+N154</f>
        <v>-47534.7695265641</v>
      </c>
      <c r="O155" s="67" t="n">
        <f aca="false">O153+O154</f>
        <v>-81911.2651192201</v>
      </c>
      <c r="P155" s="67" t="n">
        <f aca="false">P153+P154</f>
        <v>-79352.8732351351</v>
      </c>
      <c r="Q155" s="67" t="n">
        <f aca="false">Q153+Q154</f>
        <v>-76858.1733051687</v>
      </c>
      <c r="R155" s="67" t="n">
        <f aca="false">R153+R154</f>
        <v>-74425.5810657574</v>
      </c>
      <c r="S155" s="67" t="n">
        <f aca="false">S153+S154</f>
        <v>-72053.5516188682</v>
      </c>
      <c r="T155" s="67" t="n">
        <f aca="false">T153+T154</f>
        <v>-69740.5784550919</v>
      </c>
      <c r="U155" s="67" t="n">
        <f aca="false">U153+U154</f>
        <v>-67485.1925009425</v>
      </c>
      <c r="V155" s="67" t="n">
        <f aca="false">V153+V154</f>
        <v>-65285.9611897633</v>
      </c>
      <c r="W155" s="67" t="n">
        <f aca="false">W153+W154</f>
        <v>-63141.4875556567</v>
      </c>
      <c r="X155" s="67" t="n">
        <f aca="false">X153+X154</f>
        <v>-61050.4093498668</v>
      </c>
      <c r="Y155" s="67" t="n">
        <f aca="false">Y153+Y154</f>
        <v>-59011.3981790621</v>
      </c>
      <c r="Z155" s="67" t="n">
        <f aca="false">Z153+Z154</f>
        <v>-57023.1586649725</v>
      </c>
      <c r="AA155" s="67" t="n">
        <f aca="false">AA153+AA154</f>
        <v>-111159.484892924</v>
      </c>
      <c r="AB155" s="67" t="n">
        <f aca="false">AB153+AB154</f>
        <v>-108351.118911447</v>
      </c>
      <c r="AC155" s="67" t="n">
        <f aca="false">AC153+AC154</f>
        <v>-105612.688114033</v>
      </c>
      <c r="AD155" s="67" t="n">
        <f aca="false">AD153+AD154</f>
        <v>-102942.452340044</v>
      </c>
      <c r="AE155" s="67" t="n">
        <f aca="false">AE153+AE154</f>
        <v>-100338.714686289</v>
      </c>
      <c r="AF155" s="67" t="n">
        <f aca="false">AF153+AF154</f>
        <v>-97799.8204329865</v>
      </c>
      <c r="AG155" s="67" t="n">
        <f aca="false">AG153+AG154</f>
        <v>-95324.1559963515</v>
      </c>
      <c r="AH155" s="67" t="n">
        <f aca="false">AH153+AH154</f>
        <v>-92910.1479071573</v>
      </c>
      <c r="AI155" s="67" t="n">
        <f aca="false">AI153+AI154</f>
        <v>-90556.2618146223</v>
      </c>
      <c r="AJ155" s="67" t="n">
        <f aca="false">AJ153+AJ154</f>
        <v>-88261.0015149969</v>
      </c>
      <c r="AK155" s="67" t="n">
        <f aca="false">AK153+AK154</f>
        <v>-86022.9080042407</v>
      </c>
      <c r="AL155" s="67" t="n">
        <f aca="false">AL153+AL154</f>
        <v>-83840.5585541905</v>
      </c>
      <c r="AM155" s="67" t="n">
        <f aca="false">AM153+AM154</f>
        <v>-168028.127544256</v>
      </c>
      <c r="AN155" s="67" t="n">
        <f aca="false">AN153+AN154</f>
        <v>-164769.522976518</v>
      </c>
      <c r="AO155" s="67" t="n">
        <f aca="false">AO153+AO154</f>
        <v>-161592.083074722</v>
      </c>
      <c r="AP155" s="67" t="n">
        <f aca="false">AP153+AP154</f>
        <v>-158493.787735666</v>
      </c>
      <c r="AQ155" s="67" t="n">
        <f aca="false">AQ153+AQ154</f>
        <v>-155472.667088327</v>
      </c>
      <c r="AR155" s="67" t="n">
        <f aca="false">AR153+AR154</f>
        <v>-152526.800246164</v>
      </c>
      <c r="AS155" s="67" t="n">
        <f aca="false">AS153+AS154</f>
        <v>-149654.314090378</v>
      </c>
      <c r="AT155" s="67" t="n">
        <f aca="false">AT153+AT154</f>
        <v>-146853.382083349</v>
      </c>
      <c r="AU155" s="67" t="n">
        <f aca="false">AU153+AU154</f>
        <v>-144122.223111514</v>
      </c>
      <c r="AV155" s="67" t="n">
        <f aca="false">AV153+AV154</f>
        <v>-141459.100356941</v>
      </c>
      <c r="AW155" s="67" t="n">
        <f aca="false">AW153+AW154</f>
        <v>-138862.320196911</v>
      </c>
      <c r="AX155" s="67" t="n">
        <f aca="false">AX153+AX154</f>
        <v>-136330.231130788</v>
      </c>
      <c r="AY155" s="67" t="n">
        <f aca="false">AY153+AY154</f>
        <v>-268650.876680009</v>
      </c>
      <c r="AZ155" s="67" t="n">
        <f aca="false">AZ153+AZ154</f>
        <v>-264714.734681923</v>
      </c>
      <c r="BA155" s="67" t="n">
        <f aca="false">BA153+BA154</f>
        <v>-260876.649346045</v>
      </c>
      <c r="BB155" s="67" t="n">
        <f aca="false">BB153+BB154</f>
        <v>-257134.179662452</v>
      </c>
      <c r="BC155" s="67" t="n">
        <f aca="false">BC153+BC154</f>
        <v>-253484.94533427</v>
      </c>
      <c r="BD155" s="67" t="n">
        <f aca="false">BD153+BD154</f>
        <v>-249926.625269214</v>
      </c>
      <c r="BE155" s="67" t="n">
        <f aca="false">BE153+BE154</f>
        <v>-246456.956108559</v>
      </c>
      <c r="BF155" s="67" t="n">
        <f aca="false">BF153+BF154</f>
        <v>-243073.73079261</v>
      </c>
      <c r="BG155" s="67" t="n">
        <f aca="false">BG153+BG154</f>
        <v>-239774.797161781</v>
      </c>
      <c r="BH155" s="67" t="n">
        <f aca="false">BH153+BH154</f>
        <v>-236558.056592375</v>
      </c>
      <c r="BI155" s="67" t="n">
        <f aca="false">BI153+BI154</f>
        <v>-233421.462666239</v>
      </c>
      <c r="BJ155" s="67" t="n">
        <f aca="false">BJ153+BJ154</f>
        <v>-230363.019873419</v>
      </c>
    </row>
    <row r="156" customFormat="false" ht="15" hidden="false" customHeight="false" outlineLevel="0" collapsed="false">
      <c r="A156" s="119" t="s">
        <v>412</v>
      </c>
      <c r="C156" s="66" t="n">
        <f aca="false">C155</f>
        <v>-71828.2458333333</v>
      </c>
      <c r="D156" s="66" t="n">
        <f aca="false">C156+D155</f>
        <v>-141159.335576389</v>
      </c>
      <c r="E156" s="66" t="n">
        <f aca="false">D156+E155</f>
        <v>-208055.413685313</v>
      </c>
      <c r="F156" s="66" t="n">
        <f aca="false">E156+F155</f>
        <v>-272577.07953823</v>
      </c>
      <c r="G156" s="66" t="n">
        <f aca="false">F156+G155</f>
        <v>-334783.425806195</v>
      </c>
      <c r="H156" s="66" t="n">
        <f aca="false">G156+H155</f>
        <v>-394732.075872546</v>
      </c>
      <c r="I156" s="66" t="n">
        <f aca="false">H156+I155</f>
        <v>-452479.220324226</v>
      </c>
      <c r="J156" s="66" t="n">
        <f aca="false">I156+J155</f>
        <v>-508079.652538049</v>
      </c>
      <c r="K156" s="66" t="n">
        <f aca="false">J156+K155</f>
        <v>-561586.803384312</v>
      </c>
      <c r="L156" s="66" t="n">
        <f aca="false">K156+L155</f>
        <v>-613052.775069627</v>
      </c>
      <c r="M156" s="66" t="n">
        <f aca="false">L156+M155</f>
        <v>-662528.374140268</v>
      </c>
      <c r="N156" s="66" t="n">
        <f aca="false">M156+N155</f>
        <v>-710063.143666832</v>
      </c>
      <c r="O156" s="66" t="n">
        <f aca="false">N156+O155</f>
        <v>-791974.408786052</v>
      </c>
      <c r="P156" s="66" t="n">
        <f aca="false">O156+P155</f>
        <v>-871327.282021187</v>
      </c>
      <c r="Q156" s="66" t="n">
        <f aca="false">P156+Q155</f>
        <v>-948185.455326356</v>
      </c>
      <c r="R156" s="66" t="n">
        <f aca="false">Q156+R155</f>
        <v>-1022611.03639211</v>
      </c>
      <c r="S156" s="66" t="n">
        <f aca="false">R156+S155</f>
        <v>-1094664.58801098</v>
      </c>
      <c r="T156" s="66" t="n">
        <f aca="false">S156+T155</f>
        <v>-1164405.16646607</v>
      </c>
      <c r="U156" s="66" t="n">
        <f aca="false">T156+U155</f>
        <v>-1231890.35896702</v>
      </c>
      <c r="V156" s="66" t="n">
        <f aca="false">U156+V155</f>
        <v>-1297176.32015678</v>
      </c>
      <c r="W156" s="66" t="n">
        <f aca="false">V156+W155</f>
        <v>-1360317.80771244</v>
      </c>
      <c r="X156" s="66" t="n">
        <f aca="false">W156+X155</f>
        <v>-1421368.2170623</v>
      </c>
      <c r="Y156" s="66" t="n">
        <f aca="false">X156+Y155</f>
        <v>-1480379.61524137</v>
      </c>
      <c r="Z156" s="66" t="n">
        <f aca="false">Y156+Z155</f>
        <v>-1537402.77390634</v>
      </c>
      <c r="AA156" s="66" t="n">
        <f aca="false">Z156+AA155</f>
        <v>-1648562.25879926</v>
      </c>
      <c r="AB156" s="66" t="n">
        <f aca="false">AA156+AB155</f>
        <v>-1756913.37771071</v>
      </c>
      <c r="AC156" s="66" t="n">
        <f aca="false">AB156+AC155</f>
        <v>-1862526.06582474</v>
      </c>
      <c r="AD156" s="66" t="n">
        <f aca="false">AC156+AD155</f>
        <v>-1965468.51816479</v>
      </c>
      <c r="AE156" s="66" t="n">
        <f aca="false">AD156+AE155</f>
        <v>-2065807.23285107</v>
      </c>
      <c r="AF156" s="66" t="n">
        <f aca="false">AE156+AF155</f>
        <v>-2163607.05328406</v>
      </c>
      <c r="AG156" s="66" t="n">
        <f aca="false">AF156+AG155</f>
        <v>-2258931.20928041</v>
      </c>
      <c r="AH156" s="66" t="n">
        <f aca="false">AG156+AH155</f>
        <v>-2351841.35718757</v>
      </c>
      <c r="AI156" s="66" t="n">
        <f aca="false">AH156+AI155</f>
        <v>-2442397.61900219</v>
      </c>
      <c r="AJ156" s="66" t="n">
        <f aca="false">AI156+AJ155</f>
        <v>-2530658.62051719</v>
      </c>
      <c r="AK156" s="66" t="n">
        <f aca="false">AJ156+AK155</f>
        <v>-2616681.52852143</v>
      </c>
      <c r="AL156" s="66" t="n">
        <f aca="false">AK156+AL155</f>
        <v>-2700522.08707562</v>
      </c>
      <c r="AM156" s="66" t="n">
        <f aca="false">AL156+AM155</f>
        <v>-2868550.21461988</v>
      </c>
      <c r="AN156" s="66" t="n">
        <f aca="false">AM156+AN155</f>
        <v>-3033319.73759639</v>
      </c>
      <c r="AO156" s="66" t="n">
        <f aca="false">AN156+AO155</f>
        <v>-3194911.82067111</v>
      </c>
      <c r="AP156" s="66" t="n">
        <f aca="false">AO156+AP155</f>
        <v>-3353405.60840678</v>
      </c>
      <c r="AQ156" s="66" t="n">
        <f aca="false">AP156+AQ155</f>
        <v>-3508878.27549511</v>
      </c>
      <c r="AR156" s="66" t="n">
        <f aca="false">AQ156+AR155</f>
        <v>-3661405.07574127</v>
      </c>
      <c r="AS156" s="66" t="n">
        <f aca="false">AR156+AS155</f>
        <v>-3811059.38983165</v>
      </c>
      <c r="AT156" s="66" t="n">
        <f aca="false">AS156+AT155</f>
        <v>-3957912.771915</v>
      </c>
      <c r="AU156" s="66" t="n">
        <f aca="false">AT156+AU155</f>
        <v>-4102034.99502651</v>
      </c>
      <c r="AV156" s="66" t="n">
        <f aca="false">AU156+AV155</f>
        <v>-4243494.09538345</v>
      </c>
      <c r="AW156" s="66" t="n">
        <f aca="false">AV156+AW155</f>
        <v>-4382356.41558036</v>
      </c>
      <c r="AX156" s="66" t="n">
        <f aca="false">AW156+AX155</f>
        <v>-4518686.64671115</v>
      </c>
      <c r="AY156" s="66" t="n">
        <f aca="false">AX156+AY155</f>
        <v>-4787337.52339116</v>
      </c>
      <c r="AZ156" s="66" t="n">
        <f aca="false">AY156+AZ155</f>
        <v>-5052052.25807308</v>
      </c>
      <c r="BA156" s="66" t="n">
        <f aca="false">AZ156+BA155</f>
        <v>-5312928.90741913</v>
      </c>
      <c r="BB156" s="66" t="n">
        <f aca="false">BA156+BB155</f>
        <v>-5570063.08708158</v>
      </c>
      <c r="BC156" s="66" t="n">
        <f aca="false">BB156+BC155</f>
        <v>-5823548.03241585</v>
      </c>
      <c r="BD156" s="66" t="n">
        <f aca="false">BC156+BD155</f>
        <v>-6073474.65768507</v>
      </c>
      <c r="BE156" s="66" t="n">
        <f aca="false">BD156+BE155</f>
        <v>-6319931.61379362</v>
      </c>
      <c r="BF156" s="66" t="n">
        <f aca="false">BE156+BF155</f>
        <v>-6563005.34458623</v>
      </c>
      <c r="BG156" s="66" t="n">
        <f aca="false">BF156+BG155</f>
        <v>-6802780.14174801</v>
      </c>
      <c r="BH156" s="66" t="n">
        <f aca="false">BG156+BH155</f>
        <v>-7039338.19834039</v>
      </c>
      <c r="BI156" s="66" t="n">
        <f aca="false">BH156+BI155</f>
        <v>-7272759.66100663</v>
      </c>
      <c r="BJ156" s="66" t="n">
        <f aca="false">BI156+BJ155</f>
        <v>-7503122.68088005</v>
      </c>
    </row>
    <row r="157" customFormat="false" ht="15" hidden="false" customHeight="false" outlineLevel="0" collapsed="false">
      <c r="A157" s="119" t="s">
        <v>413</v>
      </c>
      <c r="C157" s="66" t="n">
        <f aca="false">MAX(0,C156)</f>
        <v>0</v>
      </c>
      <c r="D157" s="66" t="n">
        <f aca="false">MAX(C157,D156)</f>
        <v>0</v>
      </c>
      <c r="E157" s="66" t="n">
        <f aca="false">MAX(D157,E156)</f>
        <v>0</v>
      </c>
      <c r="F157" s="66" t="n">
        <f aca="false">MAX(E157,F156)</f>
        <v>0</v>
      </c>
      <c r="G157" s="66" t="n">
        <f aca="false">MAX(F157,G156)</f>
        <v>0</v>
      </c>
      <c r="H157" s="66" t="n">
        <f aca="false">MAX(G157,H156)</f>
        <v>0</v>
      </c>
      <c r="I157" s="66" t="n">
        <f aca="false">MAX(H157,I156)</f>
        <v>0</v>
      </c>
      <c r="J157" s="66" t="n">
        <f aca="false">MAX(I157,J156)</f>
        <v>0</v>
      </c>
      <c r="K157" s="66" t="n">
        <f aca="false">MAX(J157,K156)</f>
        <v>0</v>
      </c>
      <c r="L157" s="66" t="n">
        <f aca="false">MAX(K157,L156)</f>
        <v>0</v>
      </c>
      <c r="M157" s="66" t="n">
        <f aca="false">MAX(L157,M156)</f>
        <v>0</v>
      </c>
      <c r="N157" s="66" t="n">
        <f aca="false">MAX(M157,N156)</f>
        <v>0</v>
      </c>
      <c r="O157" s="66" t="n">
        <f aca="false">MAX(N157,O156)</f>
        <v>0</v>
      </c>
      <c r="P157" s="66" t="n">
        <f aca="false">MAX(O157,P156)</f>
        <v>0</v>
      </c>
      <c r="Q157" s="66" t="n">
        <f aca="false">MAX(P157,Q156)</f>
        <v>0</v>
      </c>
      <c r="R157" s="66" t="n">
        <f aca="false">MAX(Q157,R156)</f>
        <v>0</v>
      </c>
      <c r="S157" s="66" t="n">
        <f aca="false">MAX(R157,S156)</f>
        <v>0</v>
      </c>
      <c r="T157" s="66" t="n">
        <f aca="false">MAX(S157,T156)</f>
        <v>0</v>
      </c>
      <c r="U157" s="66" t="n">
        <f aca="false">MAX(T157,U156)</f>
        <v>0</v>
      </c>
      <c r="V157" s="66" t="n">
        <f aca="false">MAX(U157,V156)</f>
        <v>0</v>
      </c>
      <c r="W157" s="66" t="n">
        <f aca="false">MAX(V157,W156)</f>
        <v>0</v>
      </c>
      <c r="X157" s="66" t="n">
        <f aca="false">MAX(W157,X156)</f>
        <v>0</v>
      </c>
      <c r="Y157" s="66" t="n">
        <f aca="false">MAX(X157,Y156)</f>
        <v>0</v>
      </c>
      <c r="Z157" s="66" t="n">
        <f aca="false">MAX(Y157,Z156)</f>
        <v>0</v>
      </c>
      <c r="AA157" s="66" t="n">
        <f aca="false">MAX(Z157,AA156)</f>
        <v>0</v>
      </c>
      <c r="AB157" s="66" t="n">
        <f aca="false">MAX(AA157,AB156)</f>
        <v>0</v>
      </c>
      <c r="AC157" s="66" t="n">
        <f aca="false">MAX(AB157,AC156)</f>
        <v>0</v>
      </c>
      <c r="AD157" s="66" t="n">
        <f aca="false">MAX(AC157,AD156)</f>
        <v>0</v>
      </c>
      <c r="AE157" s="66" t="n">
        <f aca="false">MAX(AD157,AE156)</f>
        <v>0</v>
      </c>
      <c r="AF157" s="66" t="n">
        <f aca="false">MAX(AE157,AF156)</f>
        <v>0</v>
      </c>
      <c r="AG157" s="66" t="n">
        <f aca="false">MAX(AF157,AG156)</f>
        <v>0</v>
      </c>
      <c r="AH157" s="66" t="n">
        <f aca="false">MAX(AG157,AH156)</f>
        <v>0</v>
      </c>
      <c r="AI157" s="66" t="n">
        <f aca="false">MAX(AH157,AI156)</f>
        <v>0</v>
      </c>
      <c r="AJ157" s="66" t="n">
        <f aca="false">MAX(AI157,AJ156)</f>
        <v>0</v>
      </c>
      <c r="AK157" s="66" t="n">
        <f aca="false">MAX(AJ157,AK156)</f>
        <v>0</v>
      </c>
      <c r="AL157" s="66" t="n">
        <f aca="false">MAX(AK157,AL156)</f>
        <v>0</v>
      </c>
      <c r="AM157" s="66" t="n">
        <f aca="false">MAX(AL157,AM156)</f>
        <v>0</v>
      </c>
      <c r="AN157" s="66" t="n">
        <f aca="false">MAX(AM157,AN156)</f>
        <v>0</v>
      </c>
      <c r="AO157" s="66" t="n">
        <f aca="false">MAX(AN157,AO156)</f>
        <v>0</v>
      </c>
      <c r="AP157" s="66" t="n">
        <f aca="false">MAX(AO157,AP156)</f>
        <v>0</v>
      </c>
      <c r="AQ157" s="66" t="n">
        <f aca="false">MAX(AP157,AQ156)</f>
        <v>0</v>
      </c>
      <c r="AR157" s="66" t="n">
        <f aca="false">MAX(AQ157,AR156)</f>
        <v>0</v>
      </c>
      <c r="AS157" s="66" t="n">
        <f aca="false">MAX(AR157,AS156)</f>
        <v>0</v>
      </c>
      <c r="AT157" s="66" t="n">
        <f aca="false">MAX(AS157,AT156)</f>
        <v>0</v>
      </c>
      <c r="AU157" s="66" t="n">
        <f aca="false">MAX(AT157,AU156)</f>
        <v>0</v>
      </c>
      <c r="AV157" s="66" t="n">
        <f aca="false">MAX(AU157,AV156)</f>
        <v>0</v>
      </c>
      <c r="AW157" s="66" t="n">
        <f aca="false">MAX(AV157,AW156)</f>
        <v>0</v>
      </c>
      <c r="AX157" s="66" t="n">
        <f aca="false">MAX(AW157,AX156)</f>
        <v>0</v>
      </c>
      <c r="AY157" s="66" t="n">
        <f aca="false">MAX(AX157,AY156)</f>
        <v>0</v>
      </c>
      <c r="AZ157" s="66" t="n">
        <f aca="false">MAX(AY157,AZ156)</f>
        <v>0</v>
      </c>
      <c r="BA157" s="66" t="n">
        <f aca="false">MAX(AZ157,BA156)</f>
        <v>0</v>
      </c>
      <c r="BB157" s="66" t="n">
        <f aca="false">MAX(BA157,BB156)</f>
        <v>0</v>
      </c>
      <c r="BC157" s="66" t="n">
        <f aca="false">MAX(BB157,BC156)</f>
        <v>0</v>
      </c>
      <c r="BD157" s="66" t="n">
        <f aca="false">MAX(BC157,BD156)</f>
        <v>0</v>
      </c>
      <c r="BE157" s="66" t="n">
        <f aca="false">MAX(BD157,BE156)</f>
        <v>0</v>
      </c>
      <c r="BF157" s="66" t="n">
        <f aca="false">MAX(BE157,BF156)</f>
        <v>0</v>
      </c>
      <c r="BG157" s="66" t="n">
        <f aca="false">MAX(BF157,BG156)</f>
        <v>0</v>
      </c>
      <c r="BH157" s="66" t="n">
        <f aca="false">MAX(BG157,BH156)</f>
        <v>0</v>
      </c>
      <c r="BI157" s="66" t="n">
        <f aca="false">MAX(BH157,BI156)</f>
        <v>0</v>
      </c>
      <c r="BJ157" s="66" t="n">
        <f aca="false">MAX(BI157,BJ156)</f>
        <v>0</v>
      </c>
    </row>
    <row r="158" customFormat="false" ht="15" hidden="false" customHeight="false" outlineLevel="0" collapsed="false">
      <c r="A158" s="6" t="s">
        <v>81</v>
      </c>
      <c r="C158" s="66" t="n">
        <f aca="false">-C157*Inputs!$C$58</f>
        <v>-0</v>
      </c>
      <c r="D158" s="66" t="n">
        <f aca="false">-(D157-C157)*Inputs!$C$58</f>
        <v>-0</v>
      </c>
      <c r="E158" s="66" t="n">
        <f aca="false">-(E157-D157)*Inputs!$C$58</f>
        <v>-0</v>
      </c>
      <c r="F158" s="66" t="n">
        <f aca="false">-(F157-E157)*Inputs!$C$58</f>
        <v>-0</v>
      </c>
      <c r="G158" s="66" t="n">
        <f aca="false">-(G157-F157)*Inputs!$C$58</f>
        <v>-0</v>
      </c>
      <c r="H158" s="66" t="n">
        <f aca="false">-(H157-G157)*Inputs!$C$58</f>
        <v>-0</v>
      </c>
      <c r="I158" s="66" t="n">
        <f aca="false">-(I157-H157)*Inputs!$C$58</f>
        <v>-0</v>
      </c>
      <c r="J158" s="66" t="n">
        <f aca="false">-(J157-I157)*Inputs!$C$58</f>
        <v>-0</v>
      </c>
      <c r="K158" s="66" t="n">
        <f aca="false">-(K157-J157)*Inputs!$C$58</f>
        <v>-0</v>
      </c>
      <c r="L158" s="66" t="n">
        <f aca="false">-(L157-K157)*Inputs!$C$58</f>
        <v>-0</v>
      </c>
      <c r="M158" s="66" t="n">
        <f aca="false">-(M157-L157)*Inputs!$C$58</f>
        <v>-0</v>
      </c>
      <c r="N158" s="66" t="n">
        <f aca="false">-(N157-M157)*Inputs!$C$58</f>
        <v>-0</v>
      </c>
      <c r="O158" s="66" t="n">
        <f aca="false">-(O157-N157)*Inputs!$C$58</f>
        <v>-0</v>
      </c>
      <c r="P158" s="66" t="n">
        <f aca="false">-(P157-O157)*Inputs!$C$58</f>
        <v>-0</v>
      </c>
      <c r="Q158" s="66" t="n">
        <f aca="false">-(Q157-P157)*Inputs!$C$58</f>
        <v>-0</v>
      </c>
      <c r="R158" s="66" t="n">
        <f aca="false">-(R157-Q157)*Inputs!$C$58</f>
        <v>-0</v>
      </c>
      <c r="S158" s="66" t="n">
        <f aca="false">-(S157-R157)*Inputs!$C$58</f>
        <v>-0</v>
      </c>
      <c r="T158" s="66" t="n">
        <f aca="false">-(T157-S157)*Inputs!$C$58</f>
        <v>-0</v>
      </c>
      <c r="U158" s="66" t="n">
        <f aca="false">-(U157-T157)*Inputs!$C$58</f>
        <v>-0</v>
      </c>
      <c r="V158" s="66" t="n">
        <f aca="false">-(V157-U157)*Inputs!$C$58</f>
        <v>-0</v>
      </c>
      <c r="W158" s="66" t="n">
        <f aca="false">-(W157-V157)*Inputs!$C$58</f>
        <v>-0</v>
      </c>
      <c r="X158" s="66" t="n">
        <f aca="false">-(X157-W157)*Inputs!$C$58</f>
        <v>-0</v>
      </c>
      <c r="Y158" s="66" t="n">
        <f aca="false">-(Y157-X157)*Inputs!$C$58</f>
        <v>-0</v>
      </c>
      <c r="Z158" s="66" t="n">
        <f aca="false">-(Z157-Y157)*Inputs!$C$58</f>
        <v>-0</v>
      </c>
      <c r="AA158" s="66" t="n">
        <f aca="false">-(AA157-Z157)*Inputs!$C$58</f>
        <v>-0</v>
      </c>
      <c r="AB158" s="66" t="n">
        <f aca="false">-(AB157-AA157)*Inputs!$C$58</f>
        <v>-0</v>
      </c>
      <c r="AC158" s="66" t="n">
        <f aca="false">-(AC157-AB157)*Inputs!$C$58</f>
        <v>-0</v>
      </c>
      <c r="AD158" s="66" t="n">
        <f aca="false">-(AD157-AC157)*Inputs!$C$58</f>
        <v>-0</v>
      </c>
      <c r="AE158" s="66" t="n">
        <f aca="false">-(AE157-AD157)*Inputs!$C$58</f>
        <v>-0</v>
      </c>
      <c r="AF158" s="66" t="n">
        <f aca="false">-(AF157-AE157)*Inputs!$C$58</f>
        <v>-0</v>
      </c>
      <c r="AG158" s="66" t="n">
        <f aca="false">-(AG157-AF157)*Inputs!$C$58</f>
        <v>-0</v>
      </c>
      <c r="AH158" s="66" t="n">
        <f aca="false">-(AH157-AG157)*Inputs!$C$58</f>
        <v>-0</v>
      </c>
      <c r="AI158" s="66" t="n">
        <f aca="false">-(AI157-AH157)*Inputs!$C$58</f>
        <v>-0</v>
      </c>
      <c r="AJ158" s="66" t="n">
        <f aca="false">-(AJ157-AI157)*Inputs!$C$58</f>
        <v>-0</v>
      </c>
      <c r="AK158" s="66" t="n">
        <f aca="false">-(AK157-AJ157)*Inputs!$C$58</f>
        <v>-0</v>
      </c>
      <c r="AL158" s="66" t="n">
        <f aca="false">-(AL157-AK157)*Inputs!$C$58</f>
        <v>-0</v>
      </c>
      <c r="AM158" s="66" t="n">
        <f aca="false">-(AM157-AL157)*Inputs!$C$58</f>
        <v>-0</v>
      </c>
      <c r="AN158" s="66" t="n">
        <f aca="false">-(AN157-AM157)*Inputs!$C$58</f>
        <v>-0</v>
      </c>
      <c r="AO158" s="66" t="n">
        <f aca="false">-(AO157-AN157)*Inputs!$C$58</f>
        <v>-0</v>
      </c>
      <c r="AP158" s="66" t="n">
        <f aca="false">-(AP157-AO157)*Inputs!$C$58</f>
        <v>-0</v>
      </c>
      <c r="AQ158" s="66" t="n">
        <f aca="false">-(AQ157-AP157)*Inputs!$C$58</f>
        <v>-0</v>
      </c>
      <c r="AR158" s="66" t="n">
        <f aca="false">-(AR157-AQ157)*Inputs!$C$58</f>
        <v>-0</v>
      </c>
      <c r="AS158" s="66" t="n">
        <f aca="false">-(AS157-AR157)*Inputs!$C$58</f>
        <v>-0</v>
      </c>
      <c r="AT158" s="66" t="n">
        <f aca="false">-(AT157-AS157)*Inputs!$C$58</f>
        <v>-0</v>
      </c>
      <c r="AU158" s="66" t="n">
        <f aca="false">-(AU157-AT157)*Inputs!$C$58</f>
        <v>-0</v>
      </c>
      <c r="AV158" s="66" t="n">
        <f aca="false">-(AV157-AU157)*Inputs!$C$58</f>
        <v>-0</v>
      </c>
      <c r="AW158" s="66" t="n">
        <f aca="false">-(AW157-AV157)*Inputs!$C$58</f>
        <v>-0</v>
      </c>
      <c r="AX158" s="66" t="n">
        <f aca="false">-(AX157-AW157)*Inputs!$C$58</f>
        <v>-0</v>
      </c>
      <c r="AY158" s="66" t="n">
        <f aca="false">-(AY157-AX157)*Inputs!$C$58</f>
        <v>-0</v>
      </c>
      <c r="AZ158" s="66" t="n">
        <f aca="false">-(AZ157-AY157)*Inputs!$C$58</f>
        <v>-0</v>
      </c>
      <c r="BA158" s="66" t="n">
        <f aca="false">-(BA157-AZ157)*Inputs!$C$58</f>
        <v>-0</v>
      </c>
      <c r="BB158" s="66" t="n">
        <f aca="false">-(BB157-BA157)*Inputs!$C$58</f>
        <v>-0</v>
      </c>
      <c r="BC158" s="66" t="n">
        <f aca="false">-(BC157-BB157)*Inputs!$C$58</f>
        <v>-0</v>
      </c>
      <c r="BD158" s="66" t="n">
        <f aca="false">-(BD157-BC157)*Inputs!$C$58</f>
        <v>-0</v>
      </c>
      <c r="BE158" s="66" t="n">
        <f aca="false">-(BE157-BD157)*Inputs!$C$58</f>
        <v>-0</v>
      </c>
      <c r="BF158" s="66" t="n">
        <f aca="false">-(BF157-BE157)*Inputs!$C$58</f>
        <v>-0</v>
      </c>
      <c r="BG158" s="66" t="n">
        <f aca="false">-(BG157-BF157)*Inputs!$C$58</f>
        <v>-0</v>
      </c>
      <c r="BH158" s="66" t="n">
        <f aca="false">-(BH157-BG157)*Inputs!$C$58</f>
        <v>-0</v>
      </c>
      <c r="BI158" s="66" t="n">
        <f aca="false">-(BI157-BH157)*Inputs!$C$58</f>
        <v>-0</v>
      </c>
      <c r="BJ158" s="66" t="n">
        <f aca="false">-(BJ157-BI157)*Inputs!$C$58</f>
        <v>-0</v>
      </c>
    </row>
    <row r="159" customFormat="false" ht="15" hidden="false" customHeight="false" outlineLevel="0" collapsed="false">
      <c r="A159" s="111" t="s">
        <v>50</v>
      </c>
      <c r="C159" s="67" t="n">
        <f aca="false">C155+C158</f>
        <v>-71828.2458333333</v>
      </c>
      <c r="D159" s="67" t="n">
        <f aca="false">D155+D158</f>
        <v>-69331.0897430556</v>
      </c>
      <c r="E159" s="67" t="n">
        <f aca="false">E155+E158</f>
        <v>-66896.0781089236</v>
      </c>
      <c r="F159" s="67" t="n">
        <f aca="false">F155+F158</f>
        <v>-64521.6658529172</v>
      </c>
      <c r="G159" s="67" t="n">
        <f aca="false">G155+G158</f>
        <v>-62206.346267965</v>
      </c>
      <c r="H159" s="67" t="n">
        <f aca="false">H155+H158</f>
        <v>-59948.650066351</v>
      </c>
      <c r="I159" s="67" t="n">
        <f aca="false">I155+I158</f>
        <v>-57747.1444516804</v>
      </c>
      <c r="J159" s="67" t="n">
        <f aca="false">J155+J158</f>
        <v>-55600.4322138224</v>
      </c>
      <c r="K159" s="67" t="n">
        <f aca="false">K155+K158</f>
        <v>-53507.1508462635</v>
      </c>
      <c r="L159" s="67" t="n">
        <f aca="false">L155+L158</f>
        <v>-51465.9716853155</v>
      </c>
      <c r="M159" s="67" t="n">
        <f aca="false">M155+M158</f>
        <v>-49475.5990706404</v>
      </c>
      <c r="N159" s="67" t="n">
        <f aca="false">N155+N158</f>
        <v>-47534.7695265641</v>
      </c>
      <c r="O159" s="67" t="n">
        <f aca="false">O155+O158</f>
        <v>-81911.2651192201</v>
      </c>
      <c r="P159" s="67" t="n">
        <f aca="false">P155+P158</f>
        <v>-79352.8732351351</v>
      </c>
      <c r="Q159" s="67" t="n">
        <f aca="false">Q155+Q158</f>
        <v>-76858.1733051687</v>
      </c>
      <c r="R159" s="67" t="n">
        <f aca="false">R155+R158</f>
        <v>-74425.5810657574</v>
      </c>
      <c r="S159" s="67" t="n">
        <f aca="false">S155+S158</f>
        <v>-72053.5516188682</v>
      </c>
      <c r="T159" s="67" t="n">
        <f aca="false">T155+T158</f>
        <v>-69740.5784550919</v>
      </c>
      <c r="U159" s="67" t="n">
        <f aca="false">U155+U158</f>
        <v>-67485.1925009425</v>
      </c>
      <c r="V159" s="67" t="n">
        <f aca="false">V155+V158</f>
        <v>-65285.9611897633</v>
      </c>
      <c r="W159" s="67" t="n">
        <f aca="false">W155+W158</f>
        <v>-63141.4875556567</v>
      </c>
      <c r="X159" s="67" t="n">
        <f aca="false">X155+X158</f>
        <v>-61050.4093498668</v>
      </c>
      <c r="Y159" s="67" t="n">
        <f aca="false">Y155+Y158</f>
        <v>-59011.3981790621</v>
      </c>
      <c r="Z159" s="67" t="n">
        <f aca="false">Z155+Z158</f>
        <v>-57023.1586649725</v>
      </c>
      <c r="AA159" s="67" t="n">
        <f aca="false">AA155+AA158</f>
        <v>-111159.484892924</v>
      </c>
      <c r="AB159" s="67" t="n">
        <f aca="false">AB155+AB158</f>
        <v>-108351.118911447</v>
      </c>
      <c r="AC159" s="67" t="n">
        <f aca="false">AC155+AC158</f>
        <v>-105612.688114033</v>
      </c>
      <c r="AD159" s="67" t="n">
        <f aca="false">AD155+AD158</f>
        <v>-102942.452340044</v>
      </c>
      <c r="AE159" s="67" t="n">
        <f aca="false">AE155+AE158</f>
        <v>-100338.714686289</v>
      </c>
      <c r="AF159" s="67" t="n">
        <f aca="false">AF155+AF158</f>
        <v>-97799.8204329865</v>
      </c>
      <c r="AG159" s="67" t="n">
        <f aca="false">AG155+AG158</f>
        <v>-95324.1559963515</v>
      </c>
      <c r="AH159" s="67" t="n">
        <f aca="false">AH155+AH158</f>
        <v>-92910.1479071573</v>
      </c>
      <c r="AI159" s="67" t="n">
        <f aca="false">AI155+AI158</f>
        <v>-90556.2618146223</v>
      </c>
      <c r="AJ159" s="67" t="n">
        <f aca="false">AJ155+AJ158</f>
        <v>-88261.0015149969</v>
      </c>
      <c r="AK159" s="67" t="n">
        <f aca="false">AK155+AK158</f>
        <v>-86022.9080042407</v>
      </c>
      <c r="AL159" s="67" t="n">
        <f aca="false">AL155+AL158</f>
        <v>-83840.5585541905</v>
      </c>
      <c r="AM159" s="67" t="n">
        <f aca="false">AM155+AM158</f>
        <v>-168028.127544256</v>
      </c>
      <c r="AN159" s="67" t="n">
        <f aca="false">AN155+AN158</f>
        <v>-164769.522976518</v>
      </c>
      <c r="AO159" s="67" t="n">
        <f aca="false">AO155+AO158</f>
        <v>-161592.083074722</v>
      </c>
      <c r="AP159" s="67" t="n">
        <f aca="false">AP155+AP158</f>
        <v>-158493.787735666</v>
      </c>
      <c r="AQ159" s="67" t="n">
        <f aca="false">AQ155+AQ158</f>
        <v>-155472.667088327</v>
      </c>
      <c r="AR159" s="67" t="n">
        <f aca="false">AR155+AR158</f>
        <v>-152526.800246164</v>
      </c>
      <c r="AS159" s="67" t="n">
        <f aca="false">AS155+AS158</f>
        <v>-149654.314090378</v>
      </c>
      <c r="AT159" s="67" t="n">
        <f aca="false">AT155+AT158</f>
        <v>-146853.382083349</v>
      </c>
      <c r="AU159" s="67" t="n">
        <f aca="false">AU155+AU158</f>
        <v>-144122.223111514</v>
      </c>
      <c r="AV159" s="67" t="n">
        <f aca="false">AV155+AV158</f>
        <v>-141459.100356941</v>
      </c>
      <c r="AW159" s="67" t="n">
        <f aca="false">AW155+AW158</f>
        <v>-138862.320196911</v>
      </c>
      <c r="AX159" s="67" t="n">
        <f aca="false">AX155+AX158</f>
        <v>-136330.231130788</v>
      </c>
      <c r="AY159" s="67" t="n">
        <f aca="false">AY155+AY158</f>
        <v>-268650.876680009</v>
      </c>
      <c r="AZ159" s="67" t="n">
        <f aca="false">AZ155+AZ158</f>
        <v>-264714.734681923</v>
      </c>
      <c r="BA159" s="67" t="n">
        <f aca="false">BA155+BA158</f>
        <v>-260876.649346045</v>
      </c>
      <c r="BB159" s="67" t="n">
        <f aca="false">BB155+BB158</f>
        <v>-257134.179662452</v>
      </c>
      <c r="BC159" s="67" t="n">
        <f aca="false">BC155+BC158</f>
        <v>-253484.94533427</v>
      </c>
      <c r="BD159" s="67" t="n">
        <f aca="false">BD155+BD158</f>
        <v>-249926.625269214</v>
      </c>
      <c r="BE159" s="67" t="n">
        <f aca="false">BE155+BE158</f>
        <v>-246456.956108559</v>
      </c>
      <c r="BF159" s="67" t="n">
        <f aca="false">BF155+BF158</f>
        <v>-243073.73079261</v>
      </c>
      <c r="BG159" s="67" t="n">
        <f aca="false">BG155+BG158</f>
        <v>-239774.797161781</v>
      </c>
      <c r="BH159" s="67" t="n">
        <f aca="false">BH155+BH158</f>
        <v>-236558.056592375</v>
      </c>
      <c r="BI159" s="67" t="n">
        <f aca="false">BI155+BI158</f>
        <v>-233421.462666239</v>
      </c>
      <c r="BJ159" s="67" t="n">
        <f aca="false">BJ155+BJ158</f>
        <v>-230363.019873419</v>
      </c>
    </row>
    <row r="161" customFormat="false" ht="15.75" hidden="false" customHeight="true" outlineLevel="0" collapsed="false">
      <c r="A161" s="7" t="s">
        <v>414</v>
      </c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</row>
    <row r="162" customFormat="false" ht="15" hidden="false" customHeight="false" outlineLevel="0" collapsed="false">
      <c r="A162" s="6" t="s">
        <v>83</v>
      </c>
      <c r="C162" s="66" t="n">
        <f aca="false">IF(C$119=1,Inputs!$C$23,0)</f>
        <v>20000</v>
      </c>
      <c r="D162" s="66" t="n">
        <f aca="false">IF(D$119=1,Inputs!$C$23,0)</f>
        <v>0</v>
      </c>
      <c r="E162" s="66" t="n">
        <f aca="false">IF(E$119=1,Inputs!$C$23,0)</f>
        <v>0</v>
      </c>
      <c r="F162" s="66" t="n">
        <f aca="false">IF(F$119=1,Inputs!$C$23,0)</f>
        <v>0</v>
      </c>
      <c r="G162" s="66" t="n">
        <f aca="false">IF(G$119=1,Inputs!$C$23,0)</f>
        <v>0</v>
      </c>
      <c r="H162" s="66" t="n">
        <f aca="false">IF(H$119=1,Inputs!$C$23,0)</f>
        <v>0</v>
      </c>
      <c r="I162" s="66" t="n">
        <f aca="false">IF(I$119=1,Inputs!$C$23,0)</f>
        <v>0</v>
      </c>
      <c r="J162" s="66" t="n">
        <f aca="false">IF(J$119=1,Inputs!$C$23,0)</f>
        <v>0</v>
      </c>
      <c r="K162" s="66" t="n">
        <f aca="false">IF(K$119=1,Inputs!$C$23,0)</f>
        <v>0</v>
      </c>
      <c r="L162" s="66" t="n">
        <f aca="false">IF(L$119=1,Inputs!$C$23,0)</f>
        <v>0</v>
      </c>
      <c r="M162" s="66" t="n">
        <f aca="false">IF(M$119=1,Inputs!$C$23,0)</f>
        <v>0</v>
      </c>
      <c r="N162" s="66" t="n">
        <f aca="false">IF(N$119=1,Inputs!$C$23,0)</f>
        <v>0</v>
      </c>
      <c r="O162" s="66" t="n">
        <f aca="false">IF(O$119=1,Inputs!$C$23,0)</f>
        <v>0</v>
      </c>
      <c r="P162" s="66" t="n">
        <f aca="false">IF(P$119=1,Inputs!$C$23,0)</f>
        <v>0</v>
      </c>
      <c r="Q162" s="66" t="n">
        <f aca="false">IF(Q$119=1,Inputs!$C$23,0)</f>
        <v>0</v>
      </c>
      <c r="R162" s="66" t="n">
        <f aca="false">IF(R$119=1,Inputs!$C$23,0)</f>
        <v>0</v>
      </c>
      <c r="S162" s="66" t="n">
        <f aca="false">IF(S$119=1,Inputs!$C$23,0)</f>
        <v>0</v>
      </c>
      <c r="T162" s="66" t="n">
        <f aca="false">IF(T$119=1,Inputs!$C$23,0)</f>
        <v>0</v>
      </c>
      <c r="U162" s="66" t="n">
        <f aca="false">IF(U$119=1,Inputs!$C$23,0)</f>
        <v>0</v>
      </c>
      <c r="V162" s="66" t="n">
        <f aca="false">IF(V$119=1,Inputs!$C$23,0)</f>
        <v>0</v>
      </c>
      <c r="W162" s="66" t="n">
        <f aca="false">IF(W$119=1,Inputs!$C$23,0)</f>
        <v>0</v>
      </c>
      <c r="X162" s="66" t="n">
        <f aca="false">IF(X$119=1,Inputs!$C$23,0)</f>
        <v>0</v>
      </c>
      <c r="Y162" s="66" t="n">
        <f aca="false">IF(Y$119=1,Inputs!$C$23,0)</f>
        <v>0</v>
      </c>
      <c r="Z162" s="66" t="n">
        <f aca="false">IF(Z$119=1,Inputs!$C$23,0)</f>
        <v>0</v>
      </c>
      <c r="AA162" s="66" t="n">
        <f aca="false">IF(AA$119=1,Inputs!$C$23,0)</f>
        <v>0</v>
      </c>
      <c r="AB162" s="66" t="n">
        <f aca="false">IF(AB$119=1,Inputs!$C$23,0)</f>
        <v>0</v>
      </c>
      <c r="AC162" s="66" t="n">
        <f aca="false">IF(AC$119=1,Inputs!$C$23,0)</f>
        <v>0</v>
      </c>
      <c r="AD162" s="66" t="n">
        <f aca="false">IF(AD$119=1,Inputs!$C$23,0)</f>
        <v>0</v>
      </c>
      <c r="AE162" s="66" t="n">
        <f aca="false">IF(AE$119=1,Inputs!$C$23,0)</f>
        <v>0</v>
      </c>
      <c r="AF162" s="66" t="n">
        <f aca="false">IF(AF$119=1,Inputs!$C$23,0)</f>
        <v>0</v>
      </c>
      <c r="AG162" s="66" t="n">
        <f aca="false">IF(AG$119=1,Inputs!$C$23,0)</f>
        <v>0</v>
      </c>
      <c r="AH162" s="66" t="n">
        <f aca="false">IF(AH$119=1,Inputs!$C$23,0)</f>
        <v>0</v>
      </c>
      <c r="AI162" s="66" t="n">
        <f aca="false">IF(AI$119=1,Inputs!$C$23,0)</f>
        <v>0</v>
      </c>
      <c r="AJ162" s="66" t="n">
        <f aca="false">IF(AJ$119=1,Inputs!$C$23,0)</f>
        <v>0</v>
      </c>
      <c r="AK162" s="66" t="n">
        <f aca="false">IF(AK$119=1,Inputs!$C$23,0)</f>
        <v>0</v>
      </c>
      <c r="AL162" s="66" t="n">
        <f aca="false">IF(AL$119=1,Inputs!$C$23,0)</f>
        <v>0</v>
      </c>
      <c r="AM162" s="66" t="n">
        <f aca="false">IF(AM$119=1,Inputs!$C$23,0)</f>
        <v>0</v>
      </c>
      <c r="AN162" s="66" t="n">
        <f aca="false">IF(AN$119=1,Inputs!$C$23,0)</f>
        <v>0</v>
      </c>
      <c r="AO162" s="66" t="n">
        <f aca="false">IF(AO$119=1,Inputs!$C$23,0)</f>
        <v>0</v>
      </c>
      <c r="AP162" s="66" t="n">
        <f aca="false">IF(AP$119=1,Inputs!$C$23,0)</f>
        <v>0</v>
      </c>
      <c r="AQ162" s="66" t="n">
        <f aca="false">IF(AQ$119=1,Inputs!$C$23,0)</f>
        <v>0</v>
      </c>
      <c r="AR162" s="66" t="n">
        <f aca="false">IF(AR$119=1,Inputs!$C$23,0)</f>
        <v>0</v>
      </c>
      <c r="AS162" s="66" t="n">
        <f aca="false">IF(AS$119=1,Inputs!$C$23,0)</f>
        <v>0</v>
      </c>
      <c r="AT162" s="66" t="n">
        <f aca="false">IF(AT$119=1,Inputs!$C$23,0)</f>
        <v>0</v>
      </c>
      <c r="AU162" s="66" t="n">
        <f aca="false">IF(AU$119=1,Inputs!$C$23,0)</f>
        <v>0</v>
      </c>
      <c r="AV162" s="66" t="n">
        <f aca="false">IF(AV$119=1,Inputs!$C$23,0)</f>
        <v>0</v>
      </c>
      <c r="AW162" s="66" t="n">
        <f aca="false">IF(AW$119=1,Inputs!$C$23,0)</f>
        <v>0</v>
      </c>
      <c r="AX162" s="66" t="n">
        <f aca="false">IF(AX$119=1,Inputs!$C$23,0)</f>
        <v>0</v>
      </c>
      <c r="AY162" s="66" t="n">
        <f aca="false">IF(AY$119=1,Inputs!$C$23,0)</f>
        <v>0</v>
      </c>
      <c r="AZ162" s="66" t="n">
        <f aca="false">IF(AZ$119=1,Inputs!$C$23,0)</f>
        <v>0</v>
      </c>
      <c r="BA162" s="66" t="n">
        <f aca="false">IF(BA$119=1,Inputs!$C$23,0)</f>
        <v>0</v>
      </c>
      <c r="BB162" s="66" t="n">
        <f aca="false">IF(BB$119=1,Inputs!$C$23,0)</f>
        <v>0</v>
      </c>
      <c r="BC162" s="66" t="n">
        <f aca="false">IF(BC$119=1,Inputs!$C$23,0)</f>
        <v>0</v>
      </c>
      <c r="BD162" s="66" t="n">
        <f aca="false">IF(BD$119=1,Inputs!$C$23,0)</f>
        <v>0</v>
      </c>
      <c r="BE162" s="66" t="n">
        <f aca="false">IF(BE$119=1,Inputs!$C$23,0)</f>
        <v>0</v>
      </c>
      <c r="BF162" s="66" t="n">
        <f aca="false">IF(BF$119=1,Inputs!$C$23,0)</f>
        <v>0</v>
      </c>
      <c r="BG162" s="66" t="n">
        <f aca="false">IF(BG$119=1,Inputs!$C$23,0)</f>
        <v>0</v>
      </c>
      <c r="BH162" s="66" t="n">
        <f aca="false">IF(BH$119=1,Inputs!$C$23,0)</f>
        <v>0</v>
      </c>
      <c r="BI162" s="66" t="n">
        <f aca="false">IF(BI$119=1,Inputs!$C$23,0)</f>
        <v>0</v>
      </c>
      <c r="BJ162" s="66" t="n">
        <f aca="false">IF(BJ$119=1,Inputs!$C$23,0)</f>
        <v>0</v>
      </c>
    </row>
    <row r="163" customFormat="false" ht="15" hidden="false" customHeight="false" outlineLevel="0" collapsed="false">
      <c r="A163" s="6" t="s">
        <v>415</v>
      </c>
      <c r="C163" s="66" t="n">
        <f aca="false">C162</f>
        <v>20000</v>
      </c>
      <c r="D163" s="66" t="n">
        <f aca="false">C163+D162</f>
        <v>20000</v>
      </c>
      <c r="E163" s="66" t="n">
        <f aca="false">D163+E162</f>
        <v>20000</v>
      </c>
      <c r="F163" s="66" t="n">
        <f aca="false">E163+F162</f>
        <v>20000</v>
      </c>
      <c r="G163" s="66" t="n">
        <f aca="false">F163+G162</f>
        <v>20000</v>
      </c>
      <c r="H163" s="66" t="n">
        <f aca="false">G163+H162</f>
        <v>20000</v>
      </c>
      <c r="I163" s="66" t="n">
        <f aca="false">H163+I162</f>
        <v>20000</v>
      </c>
      <c r="J163" s="66" t="n">
        <f aca="false">I163+J162</f>
        <v>20000</v>
      </c>
      <c r="K163" s="66" t="n">
        <f aca="false">J163+K162</f>
        <v>20000</v>
      </c>
      <c r="L163" s="66" t="n">
        <f aca="false">K163+L162</f>
        <v>20000</v>
      </c>
      <c r="M163" s="66" t="n">
        <f aca="false">L163+M162</f>
        <v>20000</v>
      </c>
      <c r="N163" s="66" t="n">
        <f aca="false">M163+N162</f>
        <v>20000</v>
      </c>
      <c r="O163" s="66" t="n">
        <f aca="false">N163+O162</f>
        <v>20000</v>
      </c>
      <c r="P163" s="66" t="n">
        <f aca="false">O163+P162</f>
        <v>20000</v>
      </c>
      <c r="Q163" s="66" t="n">
        <f aca="false">P163+Q162</f>
        <v>20000</v>
      </c>
      <c r="R163" s="66" t="n">
        <f aca="false">Q163+R162</f>
        <v>20000</v>
      </c>
      <c r="S163" s="66" t="n">
        <f aca="false">R163+S162</f>
        <v>20000</v>
      </c>
      <c r="T163" s="66" t="n">
        <f aca="false">S163+T162</f>
        <v>20000</v>
      </c>
      <c r="U163" s="66" t="n">
        <f aca="false">T163+U162</f>
        <v>20000</v>
      </c>
      <c r="V163" s="66" t="n">
        <f aca="false">U163+V162</f>
        <v>20000</v>
      </c>
      <c r="W163" s="66" t="n">
        <f aca="false">V163+W162</f>
        <v>20000</v>
      </c>
      <c r="X163" s="66" t="n">
        <f aca="false">W163+X162</f>
        <v>20000</v>
      </c>
      <c r="Y163" s="66" t="n">
        <f aca="false">X163+Y162</f>
        <v>20000</v>
      </c>
      <c r="Z163" s="66" t="n">
        <f aca="false">Y163+Z162</f>
        <v>20000</v>
      </c>
      <c r="AA163" s="66" t="n">
        <f aca="false">Z163+AA162</f>
        <v>20000</v>
      </c>
      <c r="AB163" s="66" t="n">
        <f aca="false">AA163+AB162</f>
        <v>20000</v>
      </c>
      <c r="AC163" s="66" t="n">
        <f aca="false">AB163+AC162</f>
        <v>20000</v>
      </c>
      <c r="AD163" s="66" t="n">
        <f aca="false">AC163+AD162</f>
        <v>20000</v>
      </c>
      <c r="AE163" s="66" t="n">
        <f aca="false">AD163+AE162</f>
        <v>20000</v>
      </c>
      <c r="AF163" s="66" t="n">
        <f aca="false">AE163+AF162</f>
        <v>20000</v>
      </c>
      <c r="AG163" s="66" t="n">
        <f aca="false">AF163+AG162</f>
        <v>20000</v>
      </c>
      <c r="AH163" s="66" t="n">
        <f aca="false">AG163+AH162</f>
        <v>20000</v>
      </c>
      <c r="AI163" s="66" t="n">
        <f aca="false">AH163+AI162</f>
        <v>20000</v>
      </c>
      <c r="AJ163" s="66" t="n">
        <f aca="false">AI163+AJ162</f>
        <v>20000</v>
      </c>
      <c r="AK163" s="66" t="n">
        <f aca="false">AJ163+AK162</f>
        <v>20000</v>
      </c>
      <c r="AL163" s="66" t="n">
        <f aca="false">AK163+AL162</f>
        <v>20000</v>
      </c>
      <c r="AM163" s="66" t="n">
        <f aca="false">AL163+AM162</f>
        <v>20000</v>
      </c>
      <c r="AN163" s="66" t="n">
        <f aca="false">AM163+AN162</f>
        <v>20000</v>
      </c>
      <c r="AO163" s="66" t="n">
        <f aca="false">AN163+AO162</f>
        <v>20000</v>
      </c>
      <c r="AP163" s="66" t="n">
        <f aca="false">AO163+AP162</f>
        <v>20000</v>
      </c>
      <c r="AQ163" s="66" t="n">
        <f aca="false">AP163+AQ162</f>
        <v>20000</v>
      </c>
      <c r="AR163" s="66" t="n">
        <f aca="false">AQ163+AR162</f>
        <v>20000</v>
      </c>
      <c r="AS163" s="66" t="n">
        <f aca="false">AR163+AS162</f>
        <v>20000</v>
      </c>
      <c r="AT163" s="66" t="n">
        <f aca="false">AS163+AT162</f>
        <v>20000</v>
      </c>
      <c r="AU163" s="66" t="n">
        <f aca="false">AT163+AU162</f>
        <v>20000</v>
      </c>
      <c r="AV163" s="66" t="n">
        <f aca="false">AU163+AV162</f>
        <v>20000</v>
      </c>
      <c r="AW163" s="66" t="n">
        <f aca="false">AV163+AW162</f>
        <v>20000</v>
      </c>
      <c r="AX163" s="66" t="n">
        <f aca="false">AW163+AX162</f>
        <v>20000</v>
      </c>
      <c r="AY163" s="66" t="n">
        <f aca="false">AX163+AY162</f>
        <v>20000</v>
      </c>
      <c r="AZ163" s="66" t="n">
        <f aca="false">AY163+AZ162</f>
        <v>20000</v>
      </c>
      <c r="BA163" s="66" t="n">
        <f aca="false">AZ163+BA162</f>
        <v>20000</v>
      </c>
      <c r="BB163" s="66" t="n">
        <f aca="false">BA163+BB162</f>
        <v>20000</v>
      </c>
      <c r="BC163" s="66" t="n">
        <f aca="false">BB163+BC162</f>
        <v>20000</v>
      </c>
      <c r="BD163" s="66" t="n">
        <f aca="false">BC163+BD162</f>
        <v>20000</v>
      </c>
      <c r="BE163" s="66" t="n">
        <f aca="false">BD163+BE162</f>
        <v>20000</v>
      </c>
      <c r="BF163" s="66" t="n">
        <f aca="false">BE163+BF162</f>
        <v>20000</v>
      </c>
      <c r="BG163" s="66" t="n">
        <f aca="false">BF163+BG162</f>
        <v>20000</v>
      </c>
      <c r="BH163" s="66" t="n">
        <f aca="false">BG163+BH162</f>
        <v>20000</v>
      </c>
      <c r="BI163" s="66" t="n">
        <f aca="false">BH163+BI162</f>
        <v>20000</v>
      </c>
      <c r="BJ163" s="66" t="n">
        <f aca="false">BI163+BJ162</f>
        <v>20000</v>
      </c>
    </row>
    <row r="164" customFormat="false" ht="15" hidden="false" customHeight="false" outlineLevel="0" collapsed="false">
      <c r="A164" s="6" t="s">
        <v>77</v>
      </c>
      <c r="C164" s="66" t="n">
        <f aca="false">-MIN(C163/MAX(1,Inputs!$C$57*12),C162)</f>
        <v>-555.555555555556</v>
      </c>
      <c r="D164" s="66" t="n">
        <f aca="false">-MIN(D163/MAX(1,Inputs!$C$57*12),C166+D162)</f>
        <v>-555.555555555556</v>
      </c>
      <c r="E164" s="66" t="n">
        <f aca="false">-MIN(E163/MAX(1,Inputs!$C$57*12),D166+E162)</f>
        <v>-555.555555555556</v>
      </c>
      <c r="F164" s="66" t="n">
        <f aca="false">-MIN(F163/MAX(1,Inputs!$C$57*12),E166+F162)</f>
        <v>-555.555555555556</v>
      </c>
      <c r="G164" s="66" t="n">
        <f aca="false">-MIN(G163/MAX(1,Inputs!$C$57*12),F166+G162)</f>
        <v>-555.555555555556</v>
      </c>
      <c r="H164" s="66" t="n">
        <f aca="false">-MIN(H163/MAX(1,Inputs!$C$57*12),G166+H162)</f>
        <v>-555.555555555556</v>
      </c>
      <c r="I164" s="66" t="n">
        <f aca="false">-MIN(I163/MAX(1,Inputs!$C$57*12),H166+I162)</f>
        <v>-555.555555555556</v>
      </c>
      <c r="J164" s="66" t="n">
        <f aca="false">-MIN(J163/MAX(1,Inputs!$C$57*12),I166+J162)</f>
        <v>-555.555555555556</v>
      </c>
      <c r="K164" s="66" t="n">
        <f aca="false">-MIN(K163/MAX(1,Inputs!$C$57*12),J166+K162)</f>
        <v>-555.555555555556</v>
      </c>
      <c r="L164" s="66" t="n">
        <f aca="false">-MIN(L163/MAX(1,Inputs!$C$57*12),K166+L162)</f>
        <v>-555.555555555556</v>
      </c>
      <c r="M164" s="66" t="n">
        <f aca="false">-MIN(M163/MAX(1,Inputs!$C$57*12),L166+M162)</f>
        <v>-555.555555555556</v>
      </c>
      <c r="N164" s="66" t="n">
        <f aca="false">-MIN(N163/MAX(1,Inputs!$C$57*12),M166+N162)</f>
        <v>-555.555555555556</v>
      </c>
      <c r="O164" s="66" t="n">
        <f aca="false">-MIN(O163/MAX(1,Inputs!$C$57*12),N166+O162)</f>
        <v>-555.555555555556</v>
      </c>
      <c r="P164" s="66" t="n">
        <f aca="false">-MIN(P163/MAX(1,Inputs!$C$57*12),O166+P162)</f>
        <v>-555.555555555556</v>
      </c>
      <c r="Q164" s="66" t="n">
        <f aca="false">-MIN(Q163/MAX(1,Inputs!$C$57*12),P166+Q162)</f>
        <v>-555.555555555556</v>
      </c>
      <c r="R164" s="66" t="n">
        <f aca="false">-MIN(R163/MAX(1,Inputs!$C$57*12),Q166+R162)</f>
        <v>-555.555555555556</v>
      </c>
      <c r="S164" s="66" t="n">
        <f aca="false">-MIN(S163/MAX(1,Inputs!$C$57*12),R166+S162)</f>
        <v>-555.555555555556</v>
      </c>
      <c r="T164" s="66" t="n">
        <f aca="false">-MIN(T163/MAX(1,Inputs!$C$57*12),S166+T162)</f>
        <v>-555.555555555556</v>
      </c>
      <c r="U164" s="66" t="n">
        <f aca="false">-MIN(U163/MAX(1,Inputs!$C$57*12),T166+U162)</f>
        <v>-555.555555555556</v>
      </c>
      <c r="V164" s="66" t="n">
        <f aca="false">-MIN(V163/MAX(1,Inputs!$C$57*12),U166+V162)</f>
        <v>-555.555555555556</v>
      </c>
      <c r="W164" s="66" t="n">
        <f aca="false">-MIN(W163/MAX(1,Inputs!$C$57*12),V166+W162)</f>
        <v>-555.555555555556</v>
      </c>
      <c r="X164" s="66" t="n">
        <f aca="false">-MIN(X163/MAX(1,Inputs!$C$57*12),W166+X162)</f>
        <v>-555.555555555556</v>
      </c>
      <c r="Y164" s="66" t="n">
        <f aca="false">-MIN(Y163/MAX(1,Inputs!$C$57*12),X166+Y162)</f>
        <v>-555.555555555556</v>
      </c>
      <c r="Z164" s="66" t="n">
        <f aca="false">-MIN(Z163/MAX(1,Inputs!$C$57*12),Y166+Z162)</f>
        <v>-555.555555555556</v>
      </c>
      <c r="AA164" s="66" t="n">
        <f aca="false">-MIN(AA163/MAX(1,Inputs!$C$57*12),Z166+AA162)</f>
        <v>-555.555555555556</v>
      </c>
      <c r="AB164" s="66" t="n">
        <f aca="false">-MIN(AB163/MAX(1,Inputs!$C$57*12),AA166+AB162)</f>
        <v>-555.555555555556</v>
      </c>
      <c r="AC164" s="66" t="n">
        <f aca="false">-MIN(AC163/MAX(1,Inputs!$C$57*12),AB166+AC162)</f>
        <v>-555.555555555556</v>
      </c>
      <c r="AD164" s="66" t="n">
        <f aca="false">-MIN(AD163/MAX(1,Inputs!$C$57*12),AC166+AD162)</f>
        <v>-555.555555555556</v>
      </c>
      <c r="AE164" s="66" t="n">
        <f aca="false">-MIN(AE163/MAX(1,Inputs!$C$57*12),AD166+AE162)</f>
        <v>-555.555555555556</v>
      </c>
      <c r="AF164" s="66" t="n">
        <f aca="false">-MIN(AF163/MAX(1,Inputs!$C$57*12),AE166+AF162)</f>
        <v>-555.555555555556</v>
      </c>
      <c r="AG164" s="66" t="n">
        <f aca="false">-MIN(AG163/MAX(1,Inputs!$C$57*12),AF166+AG162)</f>
        <v>-555.555555555556</v>
      </c>
      <c r="AH164" s="66" t="n">
        <f aca="false">-MIN(AH163/MAX(1,Inputs!$C$57*12),AG166+AH162)</f>
        <v>-555.555555555556</v>
      </c>
      <c r="AI164" s="66" t="n">
        <f aca="false">-MIN(AI163/MAX(1,Inputs!$C$57*12),AH166+AI162)</f>
        <v>-555.555555555556</v>
      </c>
      <c r="AJ164" s="66" t="n">
        <f aca="false">-MIN(AJ163/MAX(1,Inputs!$C$57*12),AI166+AJ162)</f>
        <v>-555.555555555556</v>
      </c>
      <c r="AK164" s="66" t="n">
        <f aca="false">-MIN(AK163/MAX(1,Inputs!$C$57*12),AJ166+AK162)</f>
        <v>-555.555555555556</v>
      </c>
      <c r="AL164" s="66" t="n">
        <f aca="false">-MIN(AL163/MAX(1,Inputs!$C$57*12),AK166+AL162)</f>
        <v>-555.555555555556</v>
      </c>
      <c r="AM164" s="66" t="n">
        <f aca="false">-MIN(AM163/MAX(1,Inputs!$C$57*12),AL166+AM162)</f>
        <v>-0</v>
      </c>
      <c r="AN164" s="66" t="n">
        <f aca="false">-MIN(AN163/MAX(1,Inputs!$C$57*12),AM166+AN162)</f>
        <v>-0</v>
      </c>
      <c r="AO164" s="66" t="n">
        <f aca="false">-MIN(AO163/MAX(1,Inputs!$C$57*12),AN166+AO162)</f>
        <v>-0</v>
      </c>
      <c r="AP164" s="66" t="n">
        <f aca="false">-MIN(AP163/MAX(1,Inputs!$C$57*12),AO166+AP162)</f>
        <v>-0</v>
      </c>
      <c r="AQ164" s="66" t="n">
        <f aca="false">-MIN(AQ163/MAX(1,Inputs!$C$57*12),AP166+AQ162)</f>
        <v>-0</v>
      </c>
      <c r="AR164" s="66" t="n">
        <f aca="false">-MIN(AR163/MAX(1,Inputs!$C$57*12),AQ166+AR162)</f>
        <v>-0</v>
      </c>
      <c r="AS164" s="66" t="n">
        <f aca="false">-MIN(AS163/MAX(1,Inputs!$C$57*12),AR166+AS162)</f>
        <v>-0</v>
      </c>
      <c r="AT164" s="66" t="n">
        <f aca="false">-MIN(AT163/MAX(1,Inputs!$C$57*12),AS166+AT162)</f>
        <v>-0</v>
      </c>
      <c r="AU164" s="66" t="n">
        <f aca="false">-MIN(AU163/MAX(1,Inputs!$C$57*12),AT166+AU162)</f>
        <v>-0</v>
      </c>
      <c r="AV164" s="66" t="n">
        <f aca="false">-MIN(AV163/MAX(1,Inputs!$C$57*12),AU166+AV162)</f>
        <v>-0</v>
      </c>
      <c r="AW164" s="66" t="n">
        <f aca="false">-MIN(AW163/MAX(1,Inputs!$C$57*12),AV166+AW162)</f>
        <v>-0</v>
      </c>
      <c r="AX164" s="66" t="n">
        <f aca="false">-MIN(AX163/MAX(1,Inputs!$C$57*12),AW166+AX162)</f>
        <v>-0</v>
      </c>
      <c r="AY164" s="66" t="n">
        <f aca="false">-MIN(AY163/MAX(1,Inputs!$C$57*12),AX166+AY162)</f>
        <v>-0</v>
      </c>
      <c r="AZ164" s="66" t="n">
        <f aca="false">-MIN(AZ163/MAX(1,Inputs!$C$57*12),AY166+AZ162)</f>
        <v>-0</v>
      </c>
      <c r="BA164" s="66" t="n">
        <f aca="false">-MIN(BA163/MAX(1,Inputs!$C$57*12),AZ166+BA162)</f>
        <v>-0</v>
      </c>
      <c r="BB164" s="66" t="n">
        <f aca="false">-MIN(BB163/MAX(1,Inputs!$C$57*12),BA166+BB162)</f>
        <v>-0</v>
      </c>
      <c r="BC164" s="66" t="n">
        <f aca="false">-MIN(BC163/MAX(1,Inputs!$C$57*12),BB166+BC162)</f>
        <v>-0</v>
      </c>
      <c r="BD164" s="66" t="n">
        <f aca="false">-MIN(BD163/MAX(1,Inputs!$C$57*12),BC166+BD162)</f>
        <v>-0</v>
      </c>
      <c r="BE164" s="66" t="n">
        <f aca="false">-MIN(BE163/MAX(1,Inputs!$C$57*12),BD166+BE162)</f>
        <v>-0</v>
      </c>
      <c r="BF164" s="66" t="n">
        <f aca="false">-MIN(BF163/MAX(1,Inputs!$C$57*12),BE166+BF162)</f>
        <v>-0</v>
      </c>
      <c r="BG164" s="66" t="n">
        <f aca="false">-MIN(BG163/MAX(1,Inputs!$C$57*12),BF166+BG162)</f>
        <v>-0</v>
      </c>
      <c r="BH164" s="66" t="n">
        <f aca="false">-MIN(BH163/MAX(1,Inputs!$C$57*12),BG166+BH162)</f>
        <v>-0</v>
      </c>
      <c r="BI164" s="66" t="n">
        <f aca="false">-MIN(BI163/MAX(1,Inputs!$C$57*12),BH166+BI162)</f>
        <v>-0</v>
      </c>
      <c r="BJ164" s="66" t="n">
        <f aca="false">-MIN(BJ163/MAX(1,Inputs!$C$57*12),BI166+BJ162)</f>
        <v>-0</v>
      </c>
    </row>
    <row r="165" customFormat="false" ht="15" hidden="false" customHeight="false" outlineLevel="0" collapsed="false">
      <c r="A165" s="6" t="s">
        <v>416</v>
      </c>
      <c r="C165" s="66" t="n">
        <f aca="false">C164</f>
        <v>-555.555555555556</v>
      </c>
      <c r="D165" s="66" t="n">
        <f aca="false">C165+D164</f>
        <v>-1111.11111111111</v>
      </c>
      <c r="E165" s="66" t="n">
        <f aca="false">D165+E164</f>
        <v>-1666.66666666667</v>
      </c>
      <c r="F165" s="66" t="n">
        <f aca="false">E165+F164</f>
        <v>-2222.22222222222</v>
      </c>
      <c r="G165" s="66" t="n">
        <f aca="false">F165+G164</f>
        <v>-2777.77777777778</v>
      </c>
      <c r="H165" s="66" t="n">
        <f aca="false">G165+H164</f>
        <v>-3333.33333333333</v>
      </c>
      <c r="I165" s="66" t="n">
        <f aca="false">H165+I164</f>
        <v>-3888.88888888889</v>
      </c>
      <c r="J165" s="66" t="n">
        <f aca="false">I165+J164</f>
        <v>-4444.44444444444</v>
      </c>
      <c r="K165" s="66" t="n">
        <f aca="false">J165+K164</f>
        <v>-5000</v>
      </c>
      <c r="L165" s="66" t="n">
        <f aca="false">K165+L164</f>
        <v>-5555.55555555556</v>
      </c>
      <c r="M165" s="66" t="n">
        <f aca="false">L165+M164</f>
        <v>-6111.11111111111</v>
      </c>
      <c r="N165" s="66" t="n">
        <f aca="false">M165+N164</f>
        <v>-6666.66666666667</v>
      </c>
      <c r="O165" s="66" t="n">
        <f aca="false">N165+O164</f>
        <v>-7222.22222222222</v>
      </c>
      <c r="P165" s="66" t="n">
        <f aca="false">O165+P164</f>
        <v>-7777.77777777778</v>
      </c>
      <c r="Q165" s="66" t="n">
        <f aca="false">P165+Q164</f>
        <v>-8333.33333333333</v>
      </c>
      <c r="R165" s="66" t="n">
        <f aca="false">Q165+R164</f>
        <v>-8888.88888888889</v>
      </c>
      <c r="S165" s="66" t="n">
        <f aca="false">R165+S164</f>
        <v>-9444.44444444444</v>
      </c>
      <c r="T165" s="66" t="n">
        <f aca="false">S165+T164</f>
        <v>-10000</v>
      </c>
      <c r="U165" s="66" t="n">
        <f aca="false">T165+U164</f>
        <v>-10555.5555555556</v>
      </c>
      <c r="V165" s="66" t="n">
        <f aca="false">U165+V164</f>
        <v>-11111.1111111111</v>
      </c>
      <c r="W165" s="66" t="n">
        <f aca="false">V165+W164</f>
        <v>-11666.6666666667</v>
      </c>
      <c r="X165" s="66" t="n">
        <f aca="false">W165+X164</f>
        <v>-12222.2222222222</v>
      </c>
      <c r="Y165" s="66" t="n">
        <f aca="false">X165+Y164</f>
        <v>-12777.7777777778</v>
      </c>
      <c r="Z165" s="66" t="n">
        <f aca="false">Y165+Z164</f>
        <v>-13333.3333333333</v>
      </c>
      <c r="AA165" s="66" t="n">
        <f aca="false">Z165+AA164</f>
        <v>-13888.8888888889</v>
      </c>
      <c r="AB165" s="66" t="n">
        <f aca="false">AA165+AB164</f>
        <v>-14444.4444444444</v>
      </c>
      <c r="AC165" s="66" t="n">
        <f aca="false">AB165+AC164</f>
        <v>-15000</v>
      </c>
      <c r="AD165" s="66" t="n">
        <f aca="false">AC165+AD164</f>
        <v>-15555.5555555555</v>
      </c>
      <c r="AE165" s="66" t="n">
        <f aca="false">AD165+AE164</f>
        <v>-16111.1111111111</v>
      </c>
      <c r="AF165" s="66" t="n">
        <f aca="false">AE165+AF164</f>
        <v>-16666.6666666667</v>
      </c>
      <c r="AG165" s="66" t="n">
        <f aca="false">AF165+AG164</f>
        <v>-17222.2222222222</v>
      </c>
      <c r="AH165" s="66" t="n">
        <f aca="false">AG165+AH164</f>
        <v>-17777.7777777778</v>
      </c>
      <c r="AI165" s="66" t="n">
        <f aca="false">AH165+AI164</f>
        <v>-18333.3333333333</v>
      </c>
      <c r="AJ165" s="66" t="n">
        <f aca="false">AI165+AJ164</f>
        <v>-18888.8888888889</v>
      </c>
      <c r="AK165" s="66" t="n">
        <f aca="false">AJ165+AK164</f>
        <v>-19444.4444444444</v>
      </c>
      <c r="AL165" s="66" t="n">
        <f aca="false">AK165+AL164</f>
        <v>-20000</v>
      </c>
      <c r="AM165" s="66" t="n">
        <f aca="false">AL165+AM164</f>
        <v>-20000</v>
      </c>
      <c r="AN165" s="66" t="n">
        <f aca="false">AM165+AN164</f>
        <v>-20000</v>
      </c>
      <c r="AO165" s="66" t="n">
        <f aca="false">AN165+AO164</f>
        <v>-20000</v>
      </c>
      <c r="AP165" s="66" t="n">
        <f aca="false">AO165+AP164</f>
        <v>-20000</v>
      </c>
      <c r="AQ165" s="66" t="n">
        <f aca="false">AP165+AQ164</f>
        <v>-20000</v>
      </c>
      <c r="AR165" s="66" t="n">
        <f aca="false">AQ165+AR164</f>
        <v>-20000</v>
      </c>
      <c r="AS165" s="66" t="n">
        <f aca="false">AR165+AS164</f>
        <v>-20000</v>
      </c>
      <c r="AT165" s="66" t="n">
        <f aca="false">AS165+AT164</f>
        <v>-20000</v>
      </c>
      <c r="AU165" s="66" t="n">
        <f aca="false">AT165+AU164</f>
        <v>-20000</v>
      </c>
      <c r="AV165" s="66" t="n">
        <f aca="false">AU165+AV164</f>
        <v>-20000</v>
      </c>
      <c r="AW165" s="66" t="n">
        <f aca="false">AV165+AW164</f>
        <v>-20000</v>
      </c>
      <c r="AX165" s="66" t="n">
        <f aca="false">AW165+AX164</f>
        <v>-20000</v>
      </c>
      <c r="AY165" s="66" t="n">
        <f aca="false">AX165+AY164</f>
        <v>-20000</v>
      </c>
      <c r="AZ165" s="66" t="n">
        <f aca="false">AY165+AZ164</f>
        <v>-20000</v>
      </c>
      <c r="BA165" s="66" t="n">
        <f aca="false">AZ165+BA164</f>
        <v>-20000</v>
      </c>
      <c r="BB165" s="66" t="n">
        <f aca="false">BA165+BB164</f>
        <v>-20000</v>
      </c>
      <c r="BC165" s="66" t="n">
        <f aca="false">BB165+BC164</f>
        <v>-20000</v>
      </c>
      <c r="BD165" s="66" t="n">
        <f aca="false">BC165+BD164</f>
        <v>-20000</v>
      </c>
      <c r="BE165" s="66" t="n">
        <f aca="false">BD165+BE164</f>
        <v>-20000</v>
      </c>
      <c r="BF165" s="66" t="n">
        <f aca="false">BE165+BF164</f>
        <v>-20000</v>
      </c>
      <c r="BG165" s="66" t="n">
        <f aca="false">BF165+BG164</f>
        <v>-20000</v>
      </c>
      <c r="BH165" s="66" t="n">
        <f aca="false">BG165+BH164</f>
        <v>-20000</v>
      </c>
      <c r="BI165" s="66" t="n">
        <f aca="false">BH165+BI164</f>
        <v>-20000</v>
      </c>
      <c r="BJ165" s="66" t="n">
        <f aca="false">BI165+BJ164</f>
        <v>-20000</v>
      </c>
    </row>
    <row r="166" customFormat="false" ht="15" hidden="false" customHeight="false" outlineLevel="0" collapsed="false">
      <c r="A166" s="4" t="s">
        <v>91</v>
      </c>
      <c r="C166" s="72" t="n">
        <f aca="false">C163+C165</f>
        <v>19444.4444444444</v>
      </c>
      <c r="D166" s="72" t="n">
        <f aca="false">D163+D165</f>
        <v>18888.8888888889</v>
      </c>
      <c r="E166" s="72" t="n">
        <f aca="false">E163+E165</f>
        <v>18333.3333333333</v>
      </c>
      <c r="F166" s="72" t="n">
        <f aca="false">F163+F165</f>
        <v>17777.7777777778</v>
      </c>
      <c r="G166" s="72" t="n">
        <f aca="false">G163+G165</f>
        <v>17222.2222222222</v>
      </c>
      <c r="H166" s="72" t="n">
        <f aca="false">H163+H165</f>
        <v>16666.6666666667</v>
      </c>
      <c r="I166" s="72" t="n">
        <f aca="false">I163+I165</f>
        <v>16111.1111111111</v>
      </c>
      <c r="J166" s="72" t="n">
        <f aca="false">J163+J165</f>
        <v>15555.5555555556</v>
      </c>
      <c r="K166" s="72" t="n">
        <f aca="false">K163+K165</f>
        <v>15000</v>
      </c>
      <c r="L166" s="72" t="n">
        <f aca="false">L163+L165</f>
        <v>14444.4444444444</v>
      </c>
      <c r="M166" s="72" t="n">
        <f aca="false">M163+M165</f>
        <v>13888.8888888889</v>
      </c>
      <c r="N166" s="72" t="n">
        <f aca="false">N163+N165</f>
        <v>13333.3333333333</v>
      </c>
      <c r="O166" s="72" t="n">
        <f aca="false">O163+O165</f>
        <v>12777.7777777778</v>
      </c>
      <c r="P166" s="72" t="n">
        <f aca="false">P163+P165</f>
        <v>12222.2222222222</v>
      </c>
      <c r="Q166" s="72" t="n">
        <f aca="false">Q163+Q165</f>
        <v>11666.6666666667</v>
      </c>
      <c r="R166" s="72" t="n">
        <f aca="false">R163+R165</f>
        <v>11111.1111111111</v>
      </c>
      <c r="S166" s="72" t="n">
        <f aca="false">S163+S165</f>
        <v>10555.5555555556</v>
      </c>
      <c r="T166" s="72" t="n">
        <f aca="false">T163+T165</f>
        <v>10000</v>
      </c>
      <c r="U166" s="72" t="n">
        <f aca="false">U163+U165</f>
        <v>9444.44444444445</v>
      </c>
      <c r="V166" s="72" t="n">
        <f aca="false">V163+V165</f>
        <v>8888.88888888889</v>
      </c>
      <c r="W166" s="72" t="n">
        <f aca="false">W163+W165</f>
        <v>8333.33333333334</v>
      </c>
      <c r="X166" s="72" t="n">
        <f aca="false">X163+X165</f>
        <v>7777.77777777778</v>
      </c>
      <c r="Y166" s="72" t="n">
        <f aca="false">Y163+Y165</f>
        <v>7222.22222222223</v>
      </c>
      <c r="Z166" s="72" t="n">
        <f aca="false">Z163+Z165</f>
        <v>6666.66666666667</v>
      </c>
      <c r="AA166" s="72" t="n">
        <f aca="false">AA163+AA165</f>
        <v>6111.11111111112</v>
      </c>
      <c r="AB166" s="72" t="n">
        <f aca="false">AB163+AB165</f>
        <v>5555.55555555556</v>
      </c>
      <c r="AC166" s="72" t="n">
        <f aca="false">AC163+AC165</f>
        <v>5000.00000000001</v>
      </c>
      <c r="AD166" s="72" t="n">
        <f aca="false">AD163+AD165</f>
        <v>4444.44444444445</v>
      </c>
      <c r="AE166" s="72" t="n">
        <f aca="false">AE163+AE165</f>
        <v>3888.8888888889</v>
      </c>
      <c r="AF166" s="72" t="n">
        <f aca="false">AF163+AF165</f>
        <v>3333.33333333334</v>
      </c>
      <c r="AG166" s="72" t="n">
        <f aca="false">AG163+AG165</f>
        <v>2777.77777777779</v>
      </c>
      <c r="AH166" s="72" t="n">
        <f aca="false">AH163+AH165</f>
        <v>2222.22222222223</v>
      </c>
      <c r="AI166" s="72" t="n">
        <f aca="false">AI163+AI165</f>
        <v>1666.66666666668</v>
      </c>
      <c r="AJ166" s="72" t="n">
        <f aca="false">AJ163+AJ165</f>
        <v>1111.11111111112</v>
      </c>
      <c r="AK166" s="72" t="n">
        <f aca="false">AK163+AK165</f>
        <v>555.555555555569</v>
      </c>
      <c r="AL166" s="72" t="n">
        <f aca="false">AL163+AL165</f>
        <v>0</v>
      </c>
      <c r="AM166" s="72" t="n">
        <f aca="false">AM163+AM165</f>
        <v>0</v>
      </c>
      <c r="AN166" s="72" t="n">
        <f aca="false">AN163+AN165</f>
        <v>0</v>
      </c>
      <c r="AO166" s="72" t="n">
        <f aca="false">AO163+AO165</f>
        <v>0</v>
      </c>
      <c r="AP166" s="72" t="n">
        <f aca="false">AP163+AP165</f>
        <v>0</v>
      </c>
      <c r="AQ166" s="72" t="n">
        <f aca="false">AQ163+AQ165</f>
        <v>0</v>
      </c>
      <c r="AR166" s="72" t="n">
        <f aca="false">AR163+AR165</f>
        <v>0</v>
      </c>
      <c r="AS166" s="72" t="n">
        <f aca="false">AS163+AS165</f>
        <v>0</v>
      </c>
      <c r="AT166" s="72" t="n">
        <f aca="false">AT163+AT165</f>
        <v>0</v>
      </c>
      <c r="AU166" s="72" t="n">
        <f aca="false">AU163+AU165</f>
        <v>0</v>
      </c>
      <c r="AV166" s="72" t="n">
        <f aca="false">AV163+AV165</f>
        <v>0</v>
      </c>
      <c r="AW166" s="72" t="n">
        <f aca="false">AW163+AW165</f>
        <v>0</v>
      </c>
      <c r="AX166" s="72" t="n">
        <f aca="false">AX163+AX165</f>
        <v>0</v>
      </c>
      <c r="AY166" s="72" t="n">
        <f aca="false">AY163+AY165</f>
        <v>0</v>
      </c>
      <c r="AZ166" s="72" t="n">
        <f aca="false">AZ163+AZ165</f>
        <v>0</v>
      </c>
      <c r="BA166" s="72" t="n">
        <f aca="false">BA163+BA165</f>
        <v>0</v>
      </c>
      <c r="BB166" s="72" t="n">
        <f aca="false">BB163+BB165</f>
        <v>0</v>
      </c>
      <c r="BC166" s="72" t="n">
        <f aca="false">BC163+BC165</f>
        <v>0</v>
      </c>
      <c r="BD166" s="72" t="n">
        <f aca="false">BD163+BD165</f>
        <v>0</v>
      </c>
      <c r="BE166" s="72" t="n">
        <f aca="false">BE163+BE165</f>
        <v>0</v>
      </c>
      <c r="BF166" s="72" t="n">
        <f aca="false">BF163+BF165</f>
        <v>0</v>
      </c>
      <c r="BG166" s="72" t="n">
        <f aca="false">BG163+BG165</f>
        <v>0</v>
      </c>
      <c r="BH166" s="72" t="n">
        <f aca="false">BH163+BH165</f>
        <v>0</v>
      </c>
      <c r="BI166" s="72" t="n">
        <f aca="false">BI163+BI165</f>
        <v>0</v>
      </c>
      <c r="BJ166" s="72" t="n">
        <f aca="false">BJ163+BJ165</f>
        <v>0</v>
      </c>
    </row>
    <row r="168" customFormat="false" ht="15.75" hidden="false" customHeight="true" outlineLevel="0" collapsed="false">
      <c r="A168" s="7" t="s">
        <v>417</v>
      </c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</row>
    <row r="169" customFormat="false" ht="15" hidden="false" customHeight="false" outlineLevel="0" collapsed="false">
      <c r="A169" s="6" t="s">
        <v>418</v>
      </c>
      <c r="C169" s="66" t="n">
        <f aca="false">0</f>
        <v>0</v>
      </c>
      <c r="D169" s="66" t="n">
        <f aca="false">C172</f>
        <v>0</v>
      </c>
      <c r="E169" s="66" t="n">
        <f aca="false">D172</f>
        <v>0</v>
      </c>
      <c r="F169" s="66" t="n">
        <f aca="false">E172</f>
        <v>0</v>
      </c>
      <c r="G169" s="66" t="n">
        <f aca="false">F172</f>
        <v>0</v>
      </c>
      <c r="H169" s="66" t="n">
        <f aca="false">G172</f>
        <v>0</v>
      </c>
      <c r="I169" s="66" t="n">
        <f aca="false">H172</f>
        <v>0</v>
      </c>
      <c r="J169" s="66" t="n">
        <f aca="false">I172</f>
        <v>0</v>
      </c>
      <c r="K169" s="66" t="n">
        <f aca="false">J172</f>
        <v>0</v>
      </c>
      <c r="L169" s="66" t="n">
        <f aca="false">K172</f>
        <v>0</v>
      </c>
      <c r="M169" s="66" t="n">
        <f aca="false">L172</f>
        <v>0</v>
      </c>
      <c r="N169" s="66" t="n">
        <f aca="false">M172</f>
        <v>0</v>
      </c>
      <c r="O169" s="66" t="n">
        <f aca="false">N172</f>
        <v>0</v>
      </c>
      <c r="P169" s="66" t="n">
        <f aca="false">O172</f>
        <v>0</v>
      </c>
      <c r="Q169" s="66" t="n">
        <f aca="false">P172</f>
        <v>0</v>
      </c>
      <c r="R169" s="66" t="n">
        <f aca="false">Q172</f>
        <v>0</v>
      </c>
      <c r="S169" s="66" t="n">
        <f aca="false">R172</f>
        <v>0</v>
      </c>
      <c r="T169" s="66" t="n">
        <f aca="false">S172</f>
        <v>0</v>
      </c>
      <c r="U169" s="66" t="n">
        <f aca="false">T172</f>
        <v>0</v>
      </c>
      <c r="V169" s="66" t="n">
        <f aca="false">U172</f>
        <v>0</v>
      </c>
      <c r="W169" s="66" t="n">
        <f aca="false">V172</f>
        <v>0</v>
      </c>
      <c r="X169" s="66" t="n">
        <f aca="false">W172</f>
        <v>0</v>
      </c>
      <c r="Y169" s="66" t="n">
        <f aca="false">X172</f>
        <v>0</v>
      </c>
      <c r="Z169" s="66" t="n">
        <f aca="false">Y172</f>
        <v>0</v>
      </c>
      <c r="AA169" s="66" t="n">
        <f aca="false">Z172</f>
        <v>0</v>
      </c>
      <c r="AB169" s="66" t="n">
        <f aca="false">AA172</f>
        <v>0</v>
      </c>
      <c r="AC169" s="66" t="n">
        <f aca="false">AB172</f>
        <v>0</v>
      </c>
      <c r="AD169" s="66" t="n">
        <f aca="false">AC172</f>
        <v>0</v>
      </c>
      <c r="AE169" s="66" t="n">
        <f aca="false">AD172</f>
        <v>0</v>
      </c>
      <c r="AF169" s="66" t="n">
        <f aca="false">AE172</f>
        <v>0</v>
      </c>
      <c r="AG169" s="66" t="n">
        <f aca="false">AF172</f>
        <v>0</v>
      </c>
      <c r="AH169" s="66" t="n">
        <f aca="false">AG172</f>
        <v>0</v>
      </c>
      <c r="AI169" s="66" t="n">
        <f aca="false">AH172</f>
        <v>0</v>
      </c>
      <c r="AJ169" s="66" t="n">
        <f aca="false">AI172</f>
        <v>0</v>
      </c>
      <c r="AK169" s="66" t="n">
        <f aca="false">AJ172</f>
        <v>0</v>
      </c>
      <c r="AL169" s="66" t="n">
        <f aca="false">AK172</f>
        <v>0</v>
      </c>
      <c r="AM169" s="66" t="n">
        <f aca="false">AL172</f>
        <v>0</v>
      </c>
      <c r="AN169" s="66" t="n">
        <f aca="false">AM172</f>
        <v>0</v>
      </c>
      <c r="AO169" s="66" t="n">
        <f aca="false">AN172</f>
        <v>0</v>
      </c>
      <c r="AP169" s="66" t="n">
        <f aca="false">AO172</f>
        <v>0</v>
      </c>
      <c r="AQ169" s="66" t="n">
        <f aca="false">AP172</f>
        <v>0</v>
      </c>
      <c r="AR169" s="66" t="n">
        <f aca="false">AQ172</f>
        <v>0</v>
      </c>
      <c r="AS169" s="66" t="n">
        <f aca="false">AR172</f>
        <v>0</v>
      </c>
      <c r="AT169" s="66" t="n">
        <f aca="false">AS172</f>
        <v>0</v>
      </c>
      <c r="AU169" s="66" t="n">
        <f aca="false">AT172</f>
        <v>0</v>
      </c>
      <c r="AV169" s="66" t="n">
        <f aca="false">AU172</f>
        <v>0</v>
      </c>
      <c r="AW169" s="66" t="n">
        <f aca="false">AV172</f>
        <v>0</v>
      </c>
      <c r="AX169" s="66" t="n">
        <f aca="false">AW172</f>
        <v>0</v>
      </c>
      <c r="AY169" s="66" t="n">
        <f aca="false">AX172</f>
        <v>0</v>
      </c>
      <c r="AZ169" s="66" t="n">
        <f aca="false">AY172</f>
        <v>0</v>
      </c>
      <c r="BA169" s="66" t="n">
        <f aca="false">AZ172</f>
        <v>0</v>
      </c>
      <c r="BB169" s="66" t="n">
        <f aca="false">BA172</f>
        <v>0</v>
      </c>
      <c r="BC169" s="66" t="n">
        <f aca="false">BB172</f>
        <v>0</v>
      </c>
      <c r="BD169" s="66" t="n">
        <f aca="false">BC172</f>
        <v>0</v>
      </c>
      <c r="BE169" s="66" t="n">
        <f aca="false">BD172</f>
        <v>0</v>
      </c>
      <c r="BF169" s="66" t="n">
        <f aca="false">BE172</f>
        <v>0</v>
      </c>
      <c r="BG169" s="66" t="n">
        <f aca="false">BF172</f>
        <v>0</v>
      </c>
      <c r="BH169" s="66" t="n">
        <f aca="false">BG172</f>
        <v>0</v>
      </c>
      <c r="BI169" s="66" t="n">
        <f aca="false">BH172</f>
        <v>0</v>
      </c>
      <c r="BJ169" s="66" t="n">
        <f aca="false">BI172</f>
        <v>0</v>
      </c>
    </row>
    <row r="170" customFormat="false" ht="15" hidden="false" customHeight="false" outlineLevel="0" collapsed="false">
      <c r="A170" s="6" t="s">
        <v>84</v>
      </c>
      <c r="C170" s="66" t="n">
        <f aca="false">IF(C$119=1,Inputs!$C$47,0)</f>
        <v>0</v>
      </c>
      <c r="D170" s="66" t="n">
        <f aca="false">IF(D$119=1,Inputs!$C$47,0)</f>
        <v>0</v>
      </c>
      <c r="E170" s="66" t="n">
        <f aca="false">IF(E$119=1,Inputs!$C$47,0)</f>
        <v>0</v>
      </c>
      <c r="F170" s="66" t="n">
        <f aca="false">IF(F$119=1,Inputs!$C$47,0)</f>
        <v>0</v>
      </c>
      <c r="G170" s="66" t="n">
        <f aca="false">IF(G$119=1,Inputs!$C$47,0)</f>
        <v>0</v>
      </c>
      <c r="H170" s="66" t="n">
        <f aca="false">IF(H$119=1,Inputs!$C$47,0)</f>
        <v>0</v>
      </c>
      <c r="I170" s="66" t="n">
        <f aca="false">IF(I$119=1,Inputs!$C$47,0)</f>
        <v>0</v>
      </c>
      <c r="J170" s="66" t="n">
        <f aca="false">IF(J$119=1,Inputs!$C$47,0)</f>
        <v>0</v>
      </c>
      <c r="K170" s="66" t="n">
        <f aca="false">IF(K$119=1,Inputs!$C$47,0)</f>
        <v>0</v>
      </c>
      <c r="L170" s="66" t="n">
        <f aca="false">IF(L$119=1,Inputs!$C$47,0)</f>
        <v>0</v>
      </c>
      <c r="M170" s="66" t="n">
        <f aca="false">IF(M$119=1,Inputs!$C$47,0)</f>
        <v>0</v>
      </c>
      <c r="N170" s="66" t="n">
        <f aca="false">IF(N$119=1,Inputs!$C$47,0)</f>
        <v>0</v>
      </c>
      <c r="O170" s="66" t="n">
        <f aca="false">IF(O$119=1,Inputs!$C$47,0)</f>
        <v>0</v>
      </c>
      <c r="P170" s="66" t="n">
        <f aca="false">IF(P$119=1,Inputs!$C$47,0)</f>
        <v>0</v>
      </c>
      <c r="Q170" s="66" t="n">
        <f aca="false">IF(Q$119=1,Inputs!$C$47,0)</f>
        <v>0</v>
      </c>
      <c r="R170" s="66" t="n">
        <f aca="false">IF(R$119=1,Inputs!$C$47,0)</f>
        <v>0</v>
      </c>
      <c r="S170" s="66" t="n">
        <f aca="false">IF(S$119=1,Inputs!$C$47,0)</f>
        <v>0</v>
      </c>
      <c r="T170" s="66" t="n">
        <f aca="false">IF(T$119=1,Inputs!$C$47,0)</f>
        <v>0</v>
      </c>
      <c r="U170" s="66" t="n">
        <f aca="false">IF(U$119=1,Inputs!$C$47,0)</f>
        <v>0</v>
      </c>
      <c r="V170" s="66" t="n">
        <f aca="false">IF(V$119=1,Inputs!$C$47,0)</f>
        <v>0</v>
      </c>
      <c r="W170" s="66" t="n">
        <f aca="false">IF(W$119=1,Inputs!$C$47,0)</f>
        <v>0</v>
      </c>
      <c r="X170" s="66" t="n">
        <f aca="false">IF(X$119=1,Inputs!$C$47,0)</f>
        <v>0</v>
      </c>
      <c r="Y170" s="66" t="n">
        <f aca="false">IF(Y$119=1,Inputs!$C$47,0)</f>
        <v>0</v>
      </c>
      <c r="Z170" s="66" t="n">
        <f aca="false">IF(Z$119=1,Inputs!$C$47,0)</f>
        <v>0</v>
      </c>
      <c r="AA170" s="66" t="n">
        <f aca="false">IF(AA$119=1,Inputs!$C$47,0)</f>
        <v>0</v>
      </c>
      <c r="AB170" s="66" t="n">
        <f aca="false">IF(AB$119=1,Inputs!$C$47,0)</f>
        <v>0</v>
      </c>
      <c r="AC170" s="66" t="n">
        <f aca="false">IF(AC$119=1,Inputs!$C$47,0)</f>
        <v>0</v>
      </c>
      <c r="AD170" s="66" t="n">
        <f aca="false">IF(AD$119=1,Inputs!$C$47,0)</f>
        <v>0</v>
      </c>
      <c r="AE170" s="66" t="n">
        <f aca="false">IF(AE$119=1,Inputs!$C$47,0)</f>
        <v>0</v>
      </c>
      <c r="AF170" s="66" t="n">
        <f aca="false">IF(AF$119=1,Inputs!$C$47,0)</f>
        <v>0</v>
      </c>
      <c r="AG170" s="66" t="n">
        <f aca="false">IF(AG$119=1,Inputs!$C$47,0)</f>
        <v>0</v>
      </c>
      <c r="AH170" s="66" t="n">
        <f aca="false">IF(AH$119=1,Inputs!$C$47,0)</f>
        <v>0</v>
      </c>
      <c r="AI170" s="66" t="n">
        <f aca="false">IF(AI$119=1,Inputs!$C$47,0)</f>
        <v>0</v>
      </c>
      <c r="AJ170" s="66" t="n">
        <f aca="false">IF(AJ$119=1,Inputs!$C$47,0)</f>
        <v>0</v>
      </c>
      <c r="AK170" s="66" t="n">
        <f aca="false">IF(AK$119=1,Inputs!$C$47,0)</f>
        <v>0</v>
      </c>
      <c r="AL170" s="66" t="n">
        <f aca="false">IF(AL$119=1,Inputs!$C$47,0)</f>
        <v>0</v>
      </c>
      <c r="AM170" s="66" t="n">
        <f aca="false">IF(AM$119=1,Inputs!$C$47,0)</f>
        <v>0</v>
      </c>
      <c r="AN170" s="66" t="n">
        <f aca="false">IF(AN$119=1,Inputs!$C$47,0)</f>
        <v>0</v>
      </c>
      <c r="AO170" s="66" t="n">
        <f aca="false">IF(AO$119=1,Inputs!$C$47,0)</f>
        <v>0</v>
      </c>
      <c r="AP170" s="66" t="n">
        <f aca="false">IF(AP$119=1,Inputs!$C$47,0)</f>
        <v>0</v>
      </c>
      <c r="AQ170" s="66" t="n">
        <f aca="false">IF(AQ$119=1,Inputs!$C$47,0)</f>
        <v>0</v>
      </c>
      <c r="AR170" s="66" t="n">
        <f aca="false">IF(AR$119=1,Inputs!$C$47,0)</f>
        <v>0</v>
      </c>
      <c r="AS170" s="66" t="n">
        <f aca="false">IF(AS$119=1,Inputs!$C$47,0)</f>
        <v>0</v>
      </c>
      <c r="AT170" s="66" t="n">
        <f aca="false">IF(AT$119=1,Inputs!$C$47,0)</f>
        <v>0</v>
      </c>
      <c r="AU170" s="66" t="n">
        <f aca="false">IF(AU$119=1,Inputs!$C$47,0)</f>
        <v>0</v>
      </c>
      <c r="AV170" s="66" t="n">
        <f aca="false">IF(AV$119=1,Inputs!$C$47,0)</f>
        <v>0</v>
      </c>
      <c r="AW170" s="66" t="n">
        <f aca="false">IF(AW$119=1,Inputs!$C$47,0)</f>
        <v>0</v>
      </c>
      <c r="AX170" s="66" t="n">
        <f aca="false">IF(AX$119=1,Inputs!$C$47,0)</f>
        <v>0</v>
      </c>
      <c r="AY170" s="66" t="n">
        <f aca="false">IF(AY$119=1,Inputs!$C$47,0)</f>
        <v>0</v>
      </c>
      <c r="AZ170" s="66" t="n">
        <f aca="false">IF(AZ$119=1,Inputs!$C$47,0)</f>
        <v>0</v>
      </c>
      <c r="BA170" s="66" t="n">
        <f aca="false">IF(BA$119=1,Inputs!$C$47,0)</f>
        <v>0</v>
      </c>
      <c r="BB170" s="66" t="n">
        <f aca="false">IF(BB$119=1,Inputs!$C$47,0)</f>
        <v>0</v>
      </c>
      <c r="BC170" s="66" t="n">
        <f aca="false">IF(BC$119=1,Inputs!$C$47,0)</f>
        <v>0</v>
      </c>
      <c r="BD170" s="66" t="n">
        <f aca="false">IF(BD$119=1,Inputs!$C$47,0)</f>
        <v>0</v>
      </c>
      <c r="BE170" s="66" t="n">
        <f aca="false">IF(BE$119=1,Inputs!$C$47,0)</f>
        <v>0</v>
      </c>
      <c r="BF170" s="66" t="n">
        <f aca="false">IF(BF$119=1,Inputs!$C$47,0)</f>
        <v>0</v>
      </c>
      <c r="BG170" s="66" t="n">
        <f aca="false">IF(BG$119=1,Inputs!$C$47,0)</f>
        <v>0</v>
      </c>
      <c r="BH170" s="66" t="n">
        <f aca="false">IF(BH$119=1,Inputs!$C$47,0)</f>
        <v>0</v>
      </c>
      <c r="BI170" s="66" t="n">
        <f aca="false">IF(BI$119=1,Inputs!$C$47,0)</f>
        <v>0</v>
      </c>
      <c r="BJ170" s="66" t="n">
        <f aca="false">IF(BJ$119=1,Inputs!$C$47,0)</f>
        <v>0</v>
      </c>
    </row>
    <row r="171" customFormat="false" ht="15" hidden="false" customHeight="false" outlineLevel="0" collapsed="false">
      <c r="A171" s="6" t="s">
        <v>85</v>
      </c>
      <c r="C171" s="66" t="n">
        <f aca="false">-MIN(C169,Inputs!$C$47/MAX(1,Inputs!$C$49*12))</f>
        <v>-0</v>
      </c>
      <c r="D171" s="66" t="n">
        <f aca="false">-MIN(D169,Inputs!$C$47/MAX(1,Inputs!$C$49*12))</f>
        <v>-0</v>
      </c>
      <c r="E171" s="66" t="n">
        <f aca="false">-MIN(E169,Inputs!$C$47/MAX(1,Inputs!$C$49*12))</f>
        <v>-0</v>
      </c>
      <c r="F171" s="66" t="n">
        <f aca="false">-MIN(F169,Inputs!$C$47/MAX(1,Inputs!$C$49*12))</f>
        <v>-0</v>
      </c>
      <c r="G171" s="66" t="n">
        <f aca="false">-MIN(G169,Inputs!$C$47/MAX(1,Inputs!$C$49*12))</f>
        <v>-0</v>
      </c>
      <c r="H171" s="66" t="n">
        <f aca="false">-MIN(H169,Inputs!$C$47/MAX(1,Inputs!$C$49*12))</f>
        <v>-0</v>
      </c>
      <c r="I171" s="66" t="n">
        <f aca="false">-MIN(I169,Inputs!$C$47/MAX(1,Inputs!$C$49*12))</f>
        <v>-0</v>
      </c>
      <c r="J171" s="66" t="n">
        <f aca="false">-MIN(J169,Inputs!$C$47/MAX(1,Inputs!$C$49*12))</f>
        <v>-0</v>
      </c>
      <c r="K171" s="66" t="n">
        <f aca="false">-MIN(K169,Inputs!$C$47/MAX(1,Inputs!$C$49*12))</f>
        <v>-0</v>
      </c>
      <c r="L171" s="66" t="n">
        <f aca="false">-MIN(L169,Inputs!$C$47/MAX(1,Inputs!$C$49*12))</f>
        <v>-0</v>
      </c>
      <c r="M171" s="66" t="n">
        <f aca="false">-MIN(M169,Inputs!$C$47/MAX(1,Inputs!$C$49*12))</f>
        <v>-0</v>
      </c>
      <c r="N171" s="66" t="n">
        <f aca="false">-MIN(N169,Inputs!$C$47/MAX(1,Inputs!$C$49*12))</f>
        <v>-0</v>
      </c>
      <c r="O171" s="66" t="n">
        <f aca="false">-MIN(O169,Inputs!$C$47/MAX(1,Inputs!$C$49*12))</f>
        <v>-0</v>
      </c>
      <c r="P171" s="66" t="n">
        <f aca="false">-MIN(P169,Inputs!$C$47/MAX(1,Inputs!$C$49*12))</f>
        <v>-0</v>
      </c>
      <c r="Q171" s="66" t="n">
        <f aca="false">-MIN(Q169,Inputs!$C$47/MAX(1,Inputs!$C$49*12))</f>
        <v>-0</v>
      </c>
      <c r="R171" s="66" t="n">
        <f aca="false">-MIN(R169,Inputs!$C$47/MAX(1,Inputs!$C$49*12))</f>
        <v>-0</v>
      </c>
      <c r="S171" s="66" t="n">
        <f aca="false">-MIN(S169,Inputs!$C$47/MAX(1,Inputs!$C$49*12))</f>
        <v>-0</v>
      </c>
      <c r="T171" s="66" t="n">
        <f aca="false">-MIN(T169,Inputs!$C$47/MAX(1,Inputs!$C$49*12))</f>
        <v>-0</v>
      </c>
      <c r="U171" s="66" t="n">
        <f aca="false">-MIN(U169,Inputs!$C$47/MAX(1,Inputs!$C$49*12))</f>
        <v>-0</v>
      </c>
      <c r="V171" s="66" t="n">
        <f aca="false">-MIN(V169,Inputs!$C$47/MAX(1,Inputs!$C$49*12))</f>
        <v>-0</v>
      </c>
      <c r="W171" s="66" t="n">
        <f aca="false">-MIN(W169,Inputs!$C$47/MAX(1,Inputs!$C$49*12))</f>
        <v>-0</v>
      </c>
      <c r="X171" s="66" t="n">
        <f aca="false">-MIN(X169,Inputs!$C$47/MAX(1,Inputs!$C$49*12))</f>
        <v>-0</v>
      </c>
      <c r="Y171" s="66" t="n">
        <f aca="false">-MIN(Y169,Inputs!$C$47/MAX(1,Inputs!$C$49*12))</f>
        <v>-0</v>
      </c>
      <c r="Z171" s="66" t="n">
        <f aca="false">-MIN(Z169,Inputs!$C$47/MAX(1,Inputs!$C$49*12))</f>
        <v>-0</v>
      </c>
      <c r="AA171" s="66" t="n">
        <f aca="false">-MIN(AA169,Inputs!$C$47/MAX(1,Inputs!$C$49*12))</f>
        <v>-0</v>
      </c>
      <c r="AB171" s="66" t="n">
        <f aca="false">-MIN(AB169,Inputs!$C$47/MAX(1,Inputs!$C$49*12))</f>
        <v>-0</v>
      </c>
      <c r="AC171" s="66" t="n">
        <f aca="false">-MIN(AC169,Inputs!$C$47/MAX(1,Inputs!$C$49*12))</f>
        <v>-0</v>
      </c>
      <c r="AD171" s="66" t="n">
        <f aca="false">-MIN(AD169,Inputs!$C$47/MAX(1,Inputs!$C$49*12))</f>
        <v>-0</v>
      </c>
      <c r="AE171" s="66" t="n">
        <f aca="false">-MIN(AE169,Inputs!$C$47/MAX(1,Inputs!$C$49*12))</f>
        <v>-0</v>
      </c>
      <c r="AF171" s="66" t="n">
        <f aca="false">-MIN(AF169,Inputs!$C$47/MAX(1,Inputs!$C$49*12))</f>
        <v>-0</v>
      </c>
      <c r="AG171" s="66" t="n">
        <f aca="false">-MIN(AG169,Inputs!$C$47/MAX(1,Inputs!$C$49*12))</f>
        <v>-0</v>
      </c>
      <c r="AH171" s="66" t="n">
        <f aca="false">-MIN(AH169,Inputs!$C$47/MAX(1,Inputs!$C$49*12))</f>
        <v>-0</v>
      </c>
      <c r="AI171" s="66" t="n">
        <f aca="false">-MIN(AI169,Inputs!$C$47/MAX(1,Inputs!$C$49*12))</f>
        <v>-0</v>
      </c>
      <c r="AJ171" s="66" t="n">
        <f aca="false">-MIN(AJ169,Inputs!$C$47/MAX(1,Inputs!$C$49*12))</f>
        <v>-0</v>
      </c>
      <c r="AK171" s="66" t="n">
        <f aca="false">-MIN(AK169,Inputs!$C$47/MAX(1,Inputs!$C$49*12))</f>
        <v>-0</v>
      </c>
      <c r="AL171" s="66" t="n">
        <f aca="false">-MIN(AL169,Inputs!$C$47/MAX(1,Inputs!$C$49*12))</f>
        <v>-0</v>
      </c>
      <c r="AM171" s="66" t="n">
        <f aca="false">-MIN(AM169,Inputs!$C$47/MAX(1,Inputs!$C$49*12))</f>
        <v>-0</v>
      </c>
      <c r="AN171" s="66" t="n">
        <f aca="false">-MIN(AN169,Inputs!$C$47/MAX(1,Inputs!$C$49*12))</f>
        <v>-0</v>
      </c>
      <c r="AO171" s="66" t="n">
        <f aca="false">-MIN(AO169,Inputs!$C$47/MAX(1,Inputs!$C$49*12))</f>
        <v>-0</v>
      </c>
      <c r="AP171" s="66" t="n">
        <f aca="false">-MIN(AP169,Inputs!$C$47/MAX(1,Inputs!$C$49*12))</f>
        <v>-0</v>
      </c>
      <c r="AQ171" s="66" t="n">
        <f aca="false">-MIN(AQ169,Inputs!$C$47/MAX(1,Inputs!$C$49*12))</f>
        <v>-0</v>
      </c>
      <c r="AR171" s="66" t="n">
        <f aca="false">-MIN(AR169,Inputs!$C$47/MAX(1,Inputs!$C$49*12))</f>
        <v>-0</v>
      </c>
      <c r="AS171" s="66" t="n">
        <f aca="false">-MIN(AS169,Inputs!$C$47/MAX(1,Inputs!$C$49*12))</f>
        <v>-0</v>
      </c>
      <c r="AT171" s="66" t="n">
        <f aca="false">-MIN(AT169,Inputs!$C$47/MAX(1,Inputs!$C$49*12))</f>
        <v>-0</v>
      </c>
      <c r="AU171" s="66" t="n">
        <f aca="false">-MIN(AU169,Inputs!$C$47/MAX(1,Inputs!$C$49*12))</f>
        <v>-0</v>
      </c>
      <c r="AV171" s="66" t="n">
        <f aca="false">-MIN(AV169,Inputs!$C$47/MAX(1,Inputs!$C$49*12))</f>
        <v>-0</v>
      </c>
      <c r="AW171" s="66" t="n">
        <f aca="false">-MIN(AW169,Inputs!$C$47/MAX(1,Inputs!$C$49*12))</f>
        <v>-0</v>
      </c>
      <c r="AX171" s="66" t="n">
        <f aca="false">-MIN(AX169,Inputs!$C$47/MAX(1,Inputs!$C$49*12))</f>
        <v>-0</v>
      </c>
      <c r="AY171" s="66" t="n">
        <f aca="false">-MIN(AY169,Inputs!$C$47/MAX(1,Inputs!$C$49*12))</f>
        <v>-0</v>
      </c>
      <c r="AZ171" s="66" t="n">
        <f aca="false">-MIN(AZ169,Inputs!$C$47/MAX(1,Inputs!$C$49*12))</f>
        <v>-0</v>
      </c>
      <c r="BA171" s="66" t="n">
        <f aca="false">-MIN(BA169,Inputs!$C$47/MAX(1,Inputs!$C$49*12))</f>
        <v>-0</v>
      </c>
      <c r="BB171" s="66" t="n">
        <f aca="false">-MIN(BB169,Inputs!$C$47/MAX(1,Inputs!$C$49*12))</f>
        <v>-0</v>
      </c>
      <c r="BC171" s="66" t="n">
        <f aca="false">-MIN(BC169,Inputs!$C$47/MAX(1,Inputs!$C$49*12))</f>
        <v>-0</v>
      </c>
      <c r="BD171" s="66" t="n">
        <f aca="false">-MIN(BD169,Inputs!$C$47/MAX(1,Inputs!$C$49*12))</f>
        <v>-0</v>
      </c>
      <c r="BE171" s="66" t="n">
        <f aca="false">-MIN(BE169,Inputs!$C$47/MAX(1,Inputs!$C$49*12))</f>
        <v>-0</v>
      </c>
      <c r="BF171" s="66" t="n">
        <f aca="false">-MIN(BF169,Inputs!$C$47/MAX(1,Inputs!$C$49*12))</f>
        <v>-0</v>
      </c>
      <c r="BG171" s="66" t="n">
        <f aca="false">-MIN(BG169,Inputs!$C$47/MAX(1,Inputs!$C$49*12))</f>
        <v>-0</v>
      </c>
      <c r="BH171" s="66" t="n">
        <f aca="false">-MIN(BH169,Inputs!$C$47/MAX(1,Inputs!$C$49*12))</f>
        <v>-0</v>
      </c>
      <c r="BI171" s="66" t="n">
        <f aca="false">-MIN(BI169,Inputs!$C$47/MAX(1,Inputs!$C$49*12))</f>
        <v>-0</v>
      </c>
      <c r="BJ171" s="66" t="n">
        <f aca="false">-MIN(BJ169,Inputs!$C$47/MAX(1,Inputs!$C$49*12))</f>
        <v>-0</v>
      </c>
    </row>
    <row r="172" customFormat="false" ht="15" hidden="false" customHeight="false" outlineLevel="0" collapsed="false">
      <c r="A172" s="4" t="s">
        <v>419</v>
      </c>
      <c r="C172" s="72" t="n">
        <f aca="false">C169+C170+C171</f>
        <v>0</v>
      </c>
      <c r="D172" s="72" t="n">
        <f aca="false">D169+D170+D171</f>
        <v>0</v>
      </c>
      <c r="E172" s="72" t="n">
        <f aca="false">E169+E170+E171</f>
        <v>0</v>
      </c>
      <c r="F172" s="72" t="n">
        <f aca="false">F169+F170+F171</f>
        <v>0</v>
      </c>
      <c r="G172" s="72" t="n">
        <f aca="false">G169+G170+G171</f>
        <v>0</v>
      </c>
      <c r="H172" s="72" t="n">
        <f aca="false">H169+H170+H171</f>
        <v>0</v>
      </c>
      <c r="I172" s="72" t="n">
        <f aca="false">I169+I170+I171</f>
        <v>0</v>
      </c>
      <c r="J172" s="72" t="n">
        <f aca="false">J169+J170+J171</f>
        <v>0</v>
      </c>
      <c r="K172" s="72" t="n">
        <f aca="false">K169+K170+K171</f>
        <v>0</v>
      </c>
      <c r="L172" s="72" t="n">
        <f aca="false">L169+L170+L171</f>
        <v>0</v>
      </c>
      <c r="M172" s="72" t="n">
        <f aca="false">M169+M170+M171</f>
        <v>0</v>
      </c>
      <c r="N172" s="72" t="n">
        <f aca="false">N169+N170+N171</f>
        <v>0</v>
      </c>
      <c r="O172" s="72" t="n">
        <f aca="false">O169+O170+O171</f>
        <v>0</v>
      </c>
      <c r="P172" s="72" t="n">
        <f aca="false">P169+P170+P171</f>
        <v>0</v>
      </c>
      <c r="Q172" s="72" t="n">
        <f aca="false">Q169+Q170+Q171</f>
        <v>0</v>
      </c>
      <c r="R172" s="72" t="n">
        <f aca="false">R169+R170+R171</f>
        <v>0</v>
      </c>
      <c r="S172" s="72" t="n">
        <f aca="false">S169+S170+S171</f>
        <v>0</v>
      </c>
      <c r="T172" s="72" t="n">
        <f aca="false">T169+T170+T171</f>
        <v>0</v>
      </c>
      <c r="U172" s="72" t="n">
        <f aca="false">U169+U170+U171</f>
        <v>0</v>
      </c>
      <c r="V172" s="72" t="n">
        <f aca="false">V169+V170+V171</f>
        <v>0</v>
      </c>
      <c r="W172" s="72" t="n">
        <f aca="false">W169+W170+W171</f>
        <v>0</v>
      </c>
      <c r="X172" s="72" t="n">
        <f aca="false">X169+X170+X171</f>
        <v>0</v>
      </c>
      <c r="Y172" s="72" t="n">
        <f aca="false">Y169+Y170+Y171</f>
        <v>0</v>
      </c>
      <c r="Z172" s="72" t="n">
        <f aca="false">Z169+Z170+Z171</f>
        <v>0</v>
      </c>
      <c r="AA172" s="72" t="n">
        <f aca="false">AA169+AA170+AA171</f>
        <v>0</v>
      </c>
      <c r="AB172" s="72" t="n">
        <f aca="false">AB169+AB170+AB171</f>
        <v>0</v>
      </c>
      <c r="AC172" s="72" t="n">
        <f aca="false">AC169+AC170+AC171</f>
        <v>0</v>
      </c>
      <c r="AD172" s="72" t="n">
        <f aca="false">AD169+AD170+AD171</f>
        <v>0</v>
      </c>
      <c r="AE172" s="72" t="n">
        <f aca="false">AE169+AE170+AE171</f>
        <v>0</v>
      </c>
      <c r="AF172" s="72" t="n">
        <f aca="false">AF169+AF170+AF171</f>
        <v>0</v>
      </c>
      <c r="AG172" s="72" t="n">
        <f aca="false">AG169+AG170+AG171</f>
        <v>0</v>
      </c>
      <c r="AH172" s="72" t="n">
        <f aca="false">AH169+AH170+AH171</f>
        <v>0</v>
      </c>
      <c r="AI172" s="72" t="n">
        <f aca="false">AI169+AI170+AI171</f>
        <v>0</v>
      </c>
      <c r="AJ172" s="72" t="n">
        <f aca="false">AJ169+AJ170+AJ171</f>
        <v>0</v>
      </c>
      <c r="AK172" s="72" t="n">
        <f aca="false">AK169+AK170+AK171</f>
        <v>0</v>
      </c>
      <c r="AL172" s="72" t="n">
        <f aca="false">AL169+AL170+AL171</f>
        <v>0</v>
      </c>
      <c r="AM172" s="72" t="n">
        <f aca="false">AM169+AM170+AM171</f>
        <v>0</v>
      </c>
      <c r="AN172" s="72" t="n">
        <f aca="false">AN169+AN170+AN171</f>
        <v>0</v>
      </c>
      <c r="AO172" s="72" t="n">
        <f aca="false">AO169+AO170+AO171</f>
        <v>0</v>
      </c>
      <c r="AP172" s="72" t="n">
        <f aca="false">AP169+AP170+AP171</f>
        <v>0</v>
      </c>
      <c r="AQ172" s="72" t="n">
        <f aca="false">AQ169+AQ170+AQ171</f>
        <v>0</v>
      </c>
      <c r="AR172" s="72" t="n">
        <f aca="false">AR169+AR170+AR171</f>
        <v>0</v>
      </c>
      <c r="AS172" s="72" t="n">
        <f aca="false">AS169+AS170+AS171</f>
        <v>0</v>
      </c>
      <c r="AT172" s="72" t="n">
        <f aca="false">AT169+AT170+AT171</f>
        <v>0</v>
      </c>
      <c r="AU172" s="72" t="n">
        <f aca="false">AU169+AU170+AU171</f>
        <v>0</v>
      </c>
      <c r="AV172" s="72" t="n">
        <f aca="false">AV169+AV170+AV171</f>
        <v>0</v>
      </c>
      <c r="AW172" s="72" t="n">
        <f aca="false">AW169+AW170+AW171</f>
        <v>0</v>
      </c>
      <c r="AX172" s="72" t="n">
        <f aca="false">AX169+AX170+AX171</f>
        <v>0</v>
      </c>
      <c r="AY172" s="72" t="n">
        <f aca="false">AY169+AY170+AY171</f>
        <v>0</v>
      </c>
      <c r="AZ172" s="72" t="n">
        <f aca="false">AZ169+AZ170+AZ171</f>
        <v>0</v>
      </c>
      <c r="BA172" s="72" t="n">
        <f aca="false">BA169+BA170+BA171</f>
        <v>0</v>
      </c>
      <c r="BB172" s="72" t="n">
        <f aca="false">BB169+BB170+BB171</f>
        <v>0</v>
      </c>
      <c r="BC172" s="72" t="n">
        <f aca="false">BC169+BC170+BC171</f>
        <v>0</v>
      </c>
      <c r="BD172" s="72" t="n">
        <f aca="false">BD169+BD170+BD171</f>
        <v>0</v>
      </c>
      <c r="BE172" s="72" t="n">
        <f aca="false">BE169+BE170+BE171</f>
        <v>0</v>
      </c>
      <c r="BF172" s="72" t="n">
        <f aca="false">BF169+BF170+BF171</f>
        <v>0</v>
      </c>
      <c r="BG172" s="72" t="n">
        <f aca="false">BG169+BG170+BG171</f>
        <v>0</v>
      </c>
      <c r="BH172" s="72" t="n">
        <f aca="false">BH169+BH170+BH171</f>
        <v>0</v>
      </c>
      <c r="BI172" s="72" t="n">
        <f aca="false">BI169+BI170+BI171</f>
        <v>0</v>
      </c>
      <c r="BJ172" s="72" t="n">
        <f aca="false">BJ169+BJ170+BJ171</f>
        <v>0</v>
      </c>
    </row>
    <row r="174" customFormat="false" ht="15.75" hidden="false" customHeight="true" outlineLevel="0" collapsed="false">
      <c r="A174" s="7" t="s">
        <v>301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</row>
    <row r="175" customFormat="false" ht="15" hidden="false" customHeight="false" outlineLevel="0" collapsed="false">
      <c r="A175" s="6" t="s">
        <v>89</v>
      </c>
      <c r="C175" s="66" t="n">
        <f aca="false">C139*Inputs!$C$52/30</f>
        <v>734.479166666667</v>
      </c>
      <c r="D175" s="66" t="n">
        <f aca="false">D139*Inputs!$C$52/30</f>
        <v>1207.45052083333</v>
      </c>
      <c r="E175" s="66" t="n">
        <f aca="false">E139*Inputs!$C$52/30</f>
        <v>1668.59759114583</v>
      </c>
      <c r="F175" s="66" t="n">
        <f aca="false">F139*Inputs!$C$52/30</f>
        <v>2118.21598470052</v>
      </c>
      <c r="G175" s="66" t="n">
        <f aca="false">G139*Inputs!$C$52/30</f>
        <v>2556.59391841634</v>
      </c>
      <c r="H175" s="66" t="n">
        <f aca="false">H139*Inputs!$C$52/30</f>
        <v>2984.01240378927</v>
      </c>
      <c r="I175" s="66" t="n">
        <f aca="false">I139*Inputs!$C$52/30</f>
        <v>3400.74542702787</v>
      </c>
      <c r="J175" s="66" t="n">
        <f aca="false">J139*Inputs!$C$52/30</f>
        <v>3807.06012468551</v>
      </c>
      <c r="K175" s="66" t="n">
        <f aca="false">K139*Inputs!$C$52/30</f>
        <v>4203.2169549017</v>
      </c>
      <c r="L175" s="66" t="n">
        <f aca="false">L139*Inputs!$C$52/30</f>
        <v>4589.46986436249</v>
      </c>
      <c r="M175" s="66" t="n">
        <f aca="false">M139*Inputs!$C$52/30</f>
        <v>4966.06645108676</v>
      </c>
      <c r="N175" s="66" t="n">
        <f aca="false">N139*Inputs!$C$52/30</f>
        <v>5333.24812314293</v>
      </c>
      <c r="O175" s="66" t="n">
        <f aca="false">O139*Inputs!$C$52/30</f>
        <v>5759.42458673102</v>
      </c>
      <c r="P175" s="66" t="n">
        <f aca="false">P139*Inputs!$C$52/30</f>
        <v>6243.12097206274</v>
      </c>
      <c r="Q175" s="66" t="n">
        <f aca="false">Q139*Inputs!$C$52/30</f>
        <v>6714.72494776118</v>
      </c>
      <c r="R175" s="66" t="n">
        <f aca="false">R139*Inputs!$C$52/30</f>
        <v>7174.53882406715</v>
      </c>
      <c r="S175" s="66" t="n">
        <f aca="false">S139*Inputs!$C$52/30</f>
        <v>7622.85735346547</v>
      </c>
      <c r="T175" s="66" t="n">
        <f aca="false">T139*Inputs!$C$52/30</f>
        <v>8059.96791962883</v>
      </c>
      <c r="U175" s="66" t="n">
        <f aca="false">U139*Inputs!$C$52/30</f>
        <v>8486.15072163811</v>
      </c>
      <c r="V175" s="66" t="n">
        <f aca="false">V139*Inputs!$C$52/30</f>
        <v>8901.67895359716</v>
      </c>
      <c r="W175" s="66" t="n">
        <f aca="false">W139*Inputs!$C$52/30</f>
        <v>9306.81897975723</v>
      </c>
      <c r="X175" s="66" t="n">
        <f aca="false">X139*Inputs!$C$52/30</f>
        <v>9701.8305052633</v>
      </c>
      <c r="Y175" s="66" t="n">
        <f aca="false">Y139*Inputs!$C$52/30</f>
        <v>10086.9667426317</v>
      </c>
      <c r="Z175" s="66" t="n">
        <f aca="false">Z139*Inputs!$C$52/30</f>
        <v>10462.4745740659</v>
      </c>
      <c r="AA175" s="66" t="n">
        <f aca="false">AA139*Inputs!$C$52/30</f>
        <v>10916.3149687143</v>
      </c>
      <c r="AB175" s="66" t="n">
        <f aca="false">AB139*Inputs!$C$52/30</f>
        <v>11446.5296124964</v>
      </c>
      <c r="AC175" s="66" t="n">
        <f aca="false">AC139*Inputs!$C$52/30</f>
        <v>11963.488890184</v>
      </c>
      <c r="AD175" s="66" t="n">
        <f aca="false">AD139*Inputs!$C$52/30</f>
        <v>12467.5241859294</v>
      </c>
      <c r="AE175" s="66" t="n">
        <f aca="false">AE139*Inputs!$C$52/30</f>
        <v>12958.9585992812</v>
      </c>
      <c r="AF175" s="66" t="n">
        <f aca="false">AF139*Inputs!$C$52/30</f>
        <v>13438.1071522991</v>
      </c>
      <c r="AG175" s="66" t="n">
        <f aca="false">AG139*Inputs!$C$52/30</f>
        <v>13905.2769914917</v>
      </c>
      <c r="AH175" s="66" t="n">
        <f aca="false">AH139*Inputs!$C$52/30</f>
        <v>14360.7675847044</v>
      </c>
      <c r="AI175" s="66" t="n">
        <f aca="false">AI139*Inputs!$C$52/30</f>
        <v>14804.8709130868</v>
      </c>
      <c r="AJ175" s="66" t="n">
        <f aca="false">AJ139*Inputs!$C$52/30</f>
        <v>15237.8716582596</v>
      </c>
      <c r="AK175" s="66" t="n">
        <f aca="false">AK139*Inputs!$C$52/30</f>
        <v>15660.0473848031</v>
      </c>
      <c r="AL175" s="66" t="n">
        <f aca="false">AL139*Inputs!$C$52/30</f>
        <v>16071.668718183</v>
      </c>
      <c r="AM175" s="66" t="n">
        <f aca="false">AM139*Inputs!$C$52/30</f>
        <v>16586.0503907894</v>
      </c>
      <c r="AN175" s="66" t="n">
        <f aca="false">AN139*Inputs!$C$52/30</f>
        <v>17200.6233941417</v>
      </c>
      <c r="AO175" s="66" t="n">
        <f aca="false">AO139*Inputs!$C$52/30</f>
        <v>17799.8320724102</v>
      </c>
      <c r="AP175" s="66" t="n">
        <f aca="false">AP139*Inputs!$C$52/30</f>
        <v>18384.0605337219</v>
      </c>
      <c r="AQ175" s="66" t="n">
        <f aca="false">AQ139*Inputs!$C$52/30</f>
        <v>18953.6832835009</v>
      </c>
      <c r="AR175" s="66" t="n">
        <f aca="false">AR139*Inputs!$C$52/30</f>
        <v>19509.0654645353</v>
      </c>
      <c r="AS175" s="66" t="n">
        <f aca="false">AS139*Inputs!$C$52/30</f>
        <v>20050.563091044</v>
      </c>
      <c r="AT175" s="66" t="n">
        <f aca="false">AT139*Inputs!$C$52/30</f>
        <v>20578.5232768899</v>
      </c>
      <c r="AU175" s="66" t="n">
        <f aca="false">AU139*Inputs!$C$52/30</f>
        <v>21093.2844580896</v>
      </c>
      <c r="AV175" s="66" t="n">
        <f aca="false">AV139*Inputs!$C$52/30</f>
        <v>21595.1766097594</v>
      </c>
      <c r="AW175" s="66" t="n">
        <f aca="false">AW139*Inputs!$C$52/30</f>
        <v>22084.5214576374</v>
      </c>
      <c r="AX175" s="66" t="n">
        <f aca="false">AX139*Inputs!$C$52/30</f>
        <v>22561.6326843184</v>
      </c>
      <c r="AY175" s="66" t="n">
        <f aca="false">AY139*Inputs!$C$52/30</f>
        <v>23172.744747651</v>
      </c>
      <c r="AZ175" s="66" t="n">
        <f aca="false">AZ139*Inputs!$C$52/30</f>
        <v>23914.5076267188</v>
      </c>
      <c r="BA175" s="66" t="n">
        <f aca="false">BA139*Inputs!$C$52/30</f>
        <v>24637.7264338099</v>
      </c>
      <c r="BB175" s="66" t="n">
        <f aca="false">BB139*Inputs!$C$52/30</f>
        <v>25342.8647707238</v>
      </c>
      <c r="BC175" s="66" t="n">
        <f aca="false">BC139*Inputs!$C$52/30</f>
        <v>26030.3746492147</v>
      </c>
      <c r="BD175" s="66" t="n">
        <f aca="false">BD139*Inputs!$C$52/30</f>
        <v>26700.6967807435</v>
      </c>
      <c r="BE175" s="66" t="n">
        <f aca="false">BE139*Inputs!$C$52/30</f>
        <v>27354.2608589839</v>
      </c>
      <c r="BF175" s="66" t="n">
        <f aca="false">BF139*Inputs!$C$52/30</f>
        <v>27991.4858352684</v>
      </c>
      <c r="BG175" s="66" t="n">
        <f aca="false">BG139*Inputs!$C$52/30</f>
        <v>28612.7801871458</v>
      </c>
      <c r="BH175" s="66" t="n">
        <f aca="false">BH139*Inputs!$C$52/30</f>
        <v>29218.5421802262</v>
      </c>
      <c r="BI175" s="66" t="n">
        <f aca="false">BI139*Inputs!$C$52/30</f>
        <v>29809.1601234796</v>
      </c>
      <c r="BJ175" s="66" t="n">
        <f aca="false">BJ139*Inputs!$C$52/30</f>
        <v>30385.0126181517</v>
      </c>
    </row>
    <row r="176" customFormat="false" ht="15" hidden="false" customHeight="false" outlineLevel="0" collapsed="false">
      <c r="A176" s="6" t="s">
        <v>90</v>
      </c>
      <c r="C176" s="66" t="n">
        <f aca="false">-C140*Inputs!$C$53/30</f>
        <v>0</v>
      </c>
      <c r="D176" s="66" t="n">
        <f aca="false">-D140*Inputs!$C$53/30</f>
        <v>0</v>
      </c>
      <c r="E176" s="66" t="n">
        <f aca="false">-E140*Inputs!$C$53/30</f>
        <v>0</v>
      </c>
      <c r="F176" s="66" t="n">
        <f aca="false">-F140*Inputs!$C$53/30</f>
        <v>0</v>
      </c>
      <c r="G176" s="66" t="n">
        <f aca="false">-G140*Inputs!$C$53/30</f>
        <v>0</v>
      </c>
      <c r="H176" s="66" t="n">
        <f aca="false">-H140*Inputs!$C$53/30</f>
        <v>0</v>
      </c>
      <c r="I176" s="66" t="n">
        <f aca="false">-I140*Inputs!$C$53/30</f>
        <v>0</v>
      </c>
      <c r="J176" s="66" t="n">
        <f aca="false">-J140*Inputs!$C$53/30</f>
        <v>0</v>
      </c>
      <c r="K176" s="66" t="n">
        <f aca="false">-K140*Inputs!$C$53/30</f>
        <v>0</v>
      </c>
      <c r="L176" s="66" t="n">
        <f aca="false">-L140*Inputs!$C$53/30</f>
        <v>0</v>
      </c>
      <c r="M176" s="66" t="n">
        <f aca="false">-M140*Inputs!$C$53/30</f>
        <v>0</v>
      </c>
      <c r="N176" s="66" t="n">
        <f aca="false">-N140*Inputs!$C$53/30</f>
        <v>0</v>
      </c>
      <c r="O176" s="66" t="n">
        <f aca="false">-O140*Inputs!$C$53/30</f>
        <v>0</v>
      </c>
      <c r="P176" s="66" t="n">
        <f aca="false">-P140*Inputs!$C$53/30</f>
        <v>0</v>
      </c>
      <c r="Q176" s="66" t="n">
        <f aca="false">-Q140*Inputs!$C$53/30</f>
        <v>0</v>
      </c>
      <c r="R176" s="66" t="n">
        <f aca="false">-R140*Inputs!$C$53/30</f>
        <v>0</v>
      </c>
      <c r="S176" s="66" t="n">
        <f aca="false">-S140*Inputs!$C$53/30</f>
        <v>0</v>
      </c>
      <c r="T176" s="66" t="n">
        <f aca="false">-T140*Inputs!$C$53/30</f>
        <v>0</v>
      </c>
      <c r="U176" s="66" t="n">
        <f aca="false">-U140*Inputs!$C$53/30</f>
        <v>0</v>
      </c>
      <c r="V176" s="66" t="n">
        <f aca="false">-V140*Inputs!$C$53/30</f>
        <v>0</v>
      </c>
      <c r="W176" s="66" t="n">
        <f aca="false">-W140*Inputs!$C$53/30</f>
        <v>0</v>
      </c>
      <c r="X176" s="66" t="n">
        <f aca="false">-X140*Inputs!$C$53/30</f>
        <v>0</v>
      </c>
      <c r="Y176" s="66" t="n">
        <f aca="false">-Y140*Inputs!$C$53/30</f>
        <v>0</v>
      </c>
      <c r="Z176" s="66" t="n">
        <f aca="false">-Z140*Inputs!$C$53/30</f>
        <v>0</v>
      </c>
      <c r="AA176" s="66" t="n">
        <f aca="false">-AA140*Inputs!$C$53/30</f>
        <v>0</v>
      </c>
      <c r="AB176" s="66" t="n">
        <f aca="false">-AB140*Inputs!$C$53/30</f>
        <v>0</v>
      </c>
      <c r="AC176" s="66" t="n">
        <f aca="false">-AC140*Inputs!$C$53/30</f>
        <v>0</v>
      </c>
      <c r="AD176" s="66" t="n">
        <f aca="false">-AD140*Inputs!$C$53/30</f>
        <v>0</v>
      </c>
      <c r="AE176" s="66" t="n">
        <f aca="false">-AE140*Inputs!$C$53/30</f>
        <v>0</v>
      </c>
      <c r="AF176" s="66" t="n">
        <f aca="false">-AF140*Inputs!$C$53/30</f>
        <v>0</v>
      </c>
      <c r="AG176" s="66" t="n">
        <f aca="false">-AG140*Inputs!$C$53/30</f>
        <v>0</v>
      </c>
      <c r="AH176" s="66" t="n">
        <f aca="false">-AH140*Inputs!$C$53/30</f>
        <v>0</v>
      </c>
      <c r="AI176" s="66" t="n">
        <f aca="false">-AI140*Inputs!$C$53/30</f>
        <v>0</v>
      </c>
      <c r="AJ176" s="66" t="n">
        <f aca="false">-AJ140*Inputs!$C$53/30</f>
        <v>0</v>
      </c>
      <c r="AK176" s="66" t="n">
        <f aca="false">-AK140*Inputs!$C$53/30</f>
        <v>0</v>
      </c>
      <c r="AL176" s="66" t="n">
        <f aca="false">-AL140*Inputs!$C$53/30</f>
        <v>0</v>
      </c>
      <c r="AM176" s="66" t="n">
        <f aca="false">-AM140*Inputs!$C$53/30</f>
        <v>0</v>
      </c>
      <c r="AN176" s="66" t="n">
        <f aca="false">-AN140*Inputs!$C$53/30</f>
        <v>0</v>
      </c>
      <c r="AO176" s="66" t="n">
        <f aca="false">-AO140*Inputs!$C$53/30</f>
        <v>0</v>
      </c>
      <c r="AP176" s="66" t="n">
        <f aca="false">-AP140*Inputs!$C$53/30</f>
        <v>0</v>
      </c>
      <c r="AQ176" s="66" t="n">
        <f aca="false">-AQ140*Inputs!$C$53/30</f>
        <v>0</v>
      </c>
      <c r="AR176" s="66" t="n">
        <f aca="false">-AR140*Inputs!$C$53/30</f>
        <v>0</v>
      </c>
      <c r="AS176" s="66" t="n">
        <f aca="false">-AS140*Inputs!$C$53/30</f>
        <v>0</v>
      </c>
      <c r="AT176" s="66" t="n">
        <f aca="false">-AT140*Inputs!$C$53/30</f>
        <v>0</v>
      </c>
      <c r="AU176" s="66" t="n">
        <f aca="false">-AU140*Inputs!$C$53/30</f>
        <v>0</v>
      </c>
      <c r="AV176" s="66" t="n">
        <f aca="false">-AV140*Inputs!$C$53/30</f>
        <v>0</v>
      </c>
      <c r="AW176" s="66" t="n">
        <f aca="false">-AW140*Inputs!$C$53/30</f>
        <v>0</v>
      </c>
      <c r="AX176" s="66" t="n">
        <f aca="false">-AX140*Inputs!$C$53/30</f>
        <v>0</v>
      </c>
      <c r="AY176" s="66" t="n">
        <f aca="false">-AY140*Inputs!$C$53/30</f>
        <v>0</v>
      </c>
      <c r="AZ176" s="66" t="n">
        <f aca="false">-AZ140*Inputs!$C$53/30</f>
        <v>0</v>
      </c>
      <c r="BA176" s="66" t="n">
        <f aca="false">-BA140*Inputs!$C$53/30</f>
        <v>0</v>
      </c>
      <c r="BB176" s="66" t="n">
        <f aca="false">-BB140*Inputs!$C$53/30</f>
        <v>0</v>
      </c>
      <c r="BC176" s="66" t="n">
        <f aca="false">-BC140*Inputs!$C$53/30</f>
        <v>0</v>
      </c>
      <c r="BD176" s="66" t="n">
        <f aca="false">-BD140*Inputs!$C$53/30</f>
        <v>0</v>
      </c>
      <c r="BE176" s="66" t="n">
        <f aca="false">-BE140*Inputs!$C$53/30</f>
        <v>0</v>
      </c>
      <c r="BF176" s="66" t="n">
        <f aca="false">-BF140*Inputs!$C$53/30</f>
        <v>0</v>
      </c>
      <c r="BG176" s="66" t="n">
        <f aca="false">-BG140*Inputs!$C$53/30</f>
        <v>0</v>
      </c>
      <c r="BH176" s="66" t="n">
        <f aca="false">-BH140*Inputs!$C$53/30</f>
        <v>0</v>
      </c>
      <c r="BI176" s="66" t="n">
        <f aca="false">-BI140*Inputs!$C$53/30</f>
        <v>0</v>
      </c>
      <c r="BJ176" s="66" t="n">
        <f aca="false">-BJ140*Inputs!$C$53/30</f>
        <v>0</v>
      </c>
    </row>
    <row r="177" customFormat="false" ht="15" hidden="false" customHeight="false" outlineLevel="0" collapsed="false">
      <c r="A177" s="6" t="s">
        <v>93</v>
      </c>
      <c r="C177" s="66" t="n">
        <f aca="false">-C140*Inputs!$C$54/30</f>
        <v>529.565277777778</v>
      </c>
      <c r="D177" s="66" t="n">
        <f aca="false">-D140*Inputs!$C$54/30</f>
        <v>870.2373125</v>
      </c>
      <c r="E177" s="66" t="n">
        <f aca="false">-E140*Inputs!$C$54/30</f>
        <v>1202.10810024306</v>
      </c>
      <c r="F177" s="66" t="n">
        <f aca="false">-F140*Inputs!$C$54/30</f>
        <v>1525.40620556476</v>
      </c>
      <c r="G177" s="66" t="n">
        <f aca="false">-G140*Inputs!$C$54/30</f>
        <v>1840.35422290747</v>
      </c>
      <c r="H177" s="66" t="n">
        <f aca="false">-H140*Inputs!$C$54/30</f>
        <v>2147.16893353105</v>
      </c>
      <c r="I177" s="66" t="n">
        <f aca="false">-I140*Inputs!$C$54/30</f>
        <v>2446.06145829204</v>
      </c>
      <c r="J177" s="66" t="n">
        <f aca="false">-J140*Inputs!$C$54/30</f>
        <v>2737.23740637992</v>
      </c>
      <c r="K177" s="66" t="n">
        <f aca="false">-K140*Inputs!$C$54/30</f>
        <v>3020.89702011814</v>
      </c>
      <c r="L177" s="66" t="n">
        <f aca="false">-L140*Inputs!$C$54/30</f>
        <v>3297.23531593485</v>
      </c>
      <c r="M177" s="66" t="n">
        <f aca="false">-M140*Inputs!$C$54/30</f>
        <v>3566.44222160545</v>
      </c>
      <c r="N177" s="66" t="n">
        <f aca="false">-N140*Inputs!$C$54/30</f>
        <v>3828.7027098661</v>
      </c>
      <c r="O177" s="66" t="n">
        <f aca="false">-O140*Inputs!$C$54/30</f>
        <v>4132.25708405066</v>
      </c>
      <c r="P177" s="66" t="n">
        <f aca="false">-P140*Inputs!$C$54/30</f>
        <v>4476.043511956</v>
      </c>
      <c r="Q177" s="66" t="n">
        <f aca="false">-Q140*Inputs!$C$54/30</f>
        <v>4810.96743618017</v>
      </c>
      <c r="R177" s="66" t="n">
        <f aca="false">-R140*Inputs!$C$54/30</f>
        <v>5137.25845460472</v>
      </c>
      <c r="S177" s="66" t="n">
        <f aca="false">-S140*Inputs!$C$54/30</f>
        <v>5455.14018410545</v>
      </c>
      <c r="T177" s="66" t="n">
        <f aca="false">-T140*Inputs!$C$54/30</f>
        <v>5764.83041730935</v>
      </c>
      <c r="U177" s="66" t="n">
        <f aca="false">-U140*Inputs!$C$54/30</f>
        <v>6066.54127521562</v>
      </c>
      <c r="V177" s="66" t="n">
        <f aca="false">-V140*Inputs!$C$54/30</f>
        <v>6360.47935579073</v>
      </c>
      <c r="W177" s="66" t="n">
        <f aca="false">-W140*Inputs!$C$54/30</f>
        <v>6646.84587864447</v>
      </c>
      <c r="X177" s="66" t="n">
        <f aca="false">-X140*Inputs!$C$54/30</f>
        <v>6925.83682589107</v>
      </c>
      <c r="Y177" s="66" t="n">
        <f aca="false">-Y140*Inputs!$C$54/30</f>
        <v>7197.64307929679</v>
      </c>
      <c r="Z177" s="66" t="n">
        <f aca="false">-Z140*Inputs!$C$54/30</f>
        <v>7462.45055381245</v>
      </c>
      <c r="AA177" s="66" t="n">
        <f aca="false">-AA140*Inputs!$C$54/30</f>
        <v>7782.01914965361</v>
      </c>
      <c r="AB177" s="66" t="n">
        <f aca="false">-AB140*Inputs!$C$54/30</f>
        <v>8154.94103087014</v>
      </c>
      <c r="AC177" s="66" t="n">
        <f aca="false">-AC140*Inputs!$C$54/30</f>
        <v>8518.26589958153</v>
      </c>
      <c r="AD177" s="66" t="n">
        <f aca="false">-AD140*Inputs!$C$54/30</f>
        <v>8872.24190006463</v>
      </c>
      <c r="AE177" s="66" t="n">
        <f aca="false">-AE140*Inputs!$C$54/30</f>
        <v>9217.11072642048</v>
      </c>
      <c r="AF177" s="66" t="n">
        <f aca="false">-AF140*Inputs!$C$54/30</f>
        <v>9553.10779122571</v>
      </c>
      <c r="AG177" s="66" t="n">
        <f aca="false">-AG140*Inputs!$C$54/30</f>
        <v>9880.46238974584</v>
      </c>
      <c r="AH177" s="66" t="n">
        <f aca="false">-AH140*Inputs!$C$54/30</f>
        <v>10199.3978598279</v>
      </c>
      <c r="AI177" s="66" t="n">
        <f aca="false">-AI140*Inputs!$C$54/30</f>
        <v>10510.1317375872</v>
      </c>
      <c r="AJ177" s="66" t="n">
        <f aca="false">-AJ140*Inputs!$C$54/30</f>
        <v>10812.8759089989</v>
      </c>
      <c r="AK177" s="66" t="n">
        <f aca="false">-AK140*Inputs!$C$54/30</f>
        <v>11107.8367575037</v>
      </c>
      <c r="AL177" s="66" t="n">
        <f aca="false">-AL140*Inputs!$C$54/30</f>
        <v>11395.215307733</v>
      </c>
      <c r="AM177" s="66" t="n">
        <f aca="false">-AM140*Inputs!$C$54/30</f>
        <v>11754.2418889921</v>
      </c>
      <c r="AN177" s="66" t="n">
        <f aca="false">-AN140*Inputs!$C$54/30</f>
        <v>12183.0753413679</v>
      </c>
      <c r="AO177" s="66" t="n">
        <f aca="false">-AO140*Inputs!$C$54/30</f>
        <v>12600.8875091825</v>
      </c>
      <c r="AP177" s="66" t="n">
        <f aca="false">-AP140*Inputs!$C$54/30</f>
        <v>13007.9629379975</v>
      </c>
      <c r="AQ177" s="66" t="n">
        <f aca="false">-AQ140*Inputs!$C$54/30</f>
        <v>13404.5787893319</v>
      </c>
      <c r="AR177" s="66" t="n">
        <f aca="false">-AR140*Inputs!$C$54/30</f>
        <v>13791.0050333757</v>
      </c>
      <c r="AS177" s="66" t="n">
        <f aca="false">-AS140*Inputs!$C$54/30</f>
        <v>14167.5046366412</v>
      </c>
      <c r="AT177" s="66" t="n">
        <f aca="false">-AT140*Inputs!$C$54/30</f>
        <v>14534.3337446883</v>
      </c>
      <c r="AU177" s="66" t="n">
        <f aca="false">-AU140*Inputs!$C$54/30</f>
        <v>14891.7418600515</v>
      </c>
      <c r="AV177" s="66" t="n">
        <f aca="false">-AV140*Inputs!$C$54/30</f>
        <v>15239.9720154974</v>
      </c>
      <c r="AW177" s="66" t="n">
        <f aca="false">-AW140*Inputs!$C$54/30</f>
        <v>15579.260942735</v>
      </c>
      <c r="AX177" s="66" t="n">
        <f aca="false">-AX140*Inputs!$C$54/30</f>
        <v>15909.8392366991</v>
      </c>
      <c r="AY177" s="66" t="n">
        <f aca="false">-AY140*Inputs!$C$54/30</f>
        <v>16333.5418859154</v>
      </c>
      <c r="AZ177" s="66" t="n">
        <f aca="false">-AZ140*Inputs!$C$54/30</f>
        <v>16847.9771622363</v>
      </c>
      <c r="BA177" s="66" t="n">
        <f aca="false">-BA140*Inputs!$C$54/30</f>
        <v>17349.2046689048</v>
      </c>
      <c r="BB177" s="66" t="n">
        <f aca="false">-BB140*Inputs!$C$54/30</f>
        <v>17837.5650067945</v>
      </c>
      <c r="BC177" s="66" t="n">
        <f aca="false">-BC140*Inputs!$C$54/30</f>
        <v>18313.3899495583</v>
      </c>
      <c r="BD177" s="66" t="n">
        <f aca="false">-BD140*Inputs!$C$54/30</f>
        <v>18777.0026736747</v>
      </c>
      <c r="BE177" s="66" t="n">
        <f aca="false">-BE140*Inputs!$C$54/30</f>
        <v>19228.7179824621</v>
      </c>
      <c r="BF177" s="66" t="n">
        <f aca="false">-BF140*Inputs!$C$54/30</f>
        <v>19668.8425242206</v>
      </c>
      <c r="BG177" s="66" t="n">
        <f aca="false">-BG140*Inputs!$C$54/30</f>
        <v>20097.6750046553</v>
      </c>
      <c r="BH177" s="66" t="n">
        <f aca="false">-BH140*Inputs!$C$54/30</f>
        <v>20515.5063937325</v>
      </c>
      <c r="BI177" s="66" t="n">
        <f aca="false">-BI140*Inputs!$C$54/30</f>
        <v>20922.6201271166</v>
      </c>
      <c r="BJ177" s="66" t="n">
        <f aca="false">-BJ140*Inputs!$C$54/30</f>
        <v>21319.292302329</v>
      </c>
    </row>
    <row r="178" customFormat="false" ht="15" hidden="false" customHeight="false" outlineLevel="0" collapsed="false">
      <c r="A178" s="6" t="s">
        <v>324</v>
      </c>
      <c r="C178" s="66" t="n">
        <f aca="false">-C175</f>
        <v>-734.479166666667</v>
      </c>
      <c r="D178" s="66" t="n">
        <f aca="false">C175-D175</f>
        <v>-472.971354166667</v>
      </c>
      <c r="E178" s="66" t="n">
        <f aca="false">D175-E175</f>
        <v>-461.1470703125</v>
      </c>
      <c r="F178" s="66" t="n">
        <f aca="false">E175-F175</f>
        <v>-449.618393554688</v>
      </c>
      <c r="G178" s="66" t="n">
        <f aca="false">F175-G175</f>
        <v>-438.377933715821</v>
      </c>
      <c r="H178" s="66" t="n">
        <f aca="false">G175-H175</f>
        <v>-427.418485372925</v>
      </c>
      <c r="I178" s="66" t="n">
        <f aca="false">H175-I175</f>
        <v>-416.733023238602</v>
      </c>
      <c r="J178" s="66" t="n">
        <f aca="false">I175-J175</f>
        <v>-406.314697657637</v>
      </c>
      <c r="K178" s="66" t="n">
        <f aca="false">J175-K175</f>
        <v>-396.156830216195</v>
      </c>
      <c r="L178" s="66" t="n">
        <f aca="false">K175-L175</f>
        <v>-386.252909460791</v>
      </c>
      <c r="M178" s="66" t="n">
        <f aca="false">L175-M175</f>
        <v>-376.596586724271</v>
      </c>
      <c r="N178" s="66" t="n">
        <f aca="false">M175-N175</f>
        <v>-367.181672056164</v>
      </c>
      <c r="O178" s="66" t="n">
        <f aca="false">N175-O175</f>
        <v>-426.176463588095</v>
      </c>
      <c r="P178" s="66" t="n">
        <f aca="false">O175-P175</f>
        <v>-483.696385331723</v>
      </c>
      <c r="Q178" s="66" t="n">
        <f aca="false">P175-Q175</f>
        <v>-471.603975698432</v>
      </c>
      <c r="R178" s="66" t="n">
        <f aca="false">Q175-R175</f>
        <v>-459.81387630597</v>
      </c>
      <c r="S178" s="66" t="n">
        <f aca="false">R175-S175</f>
        <v>-448.318529398322</v>
      </c>
      <c r="T178" s="66" t="n">
        <f aca="false">S175-T175</f>
        <v>-437.110566163364</v>
      </c>
      <c r="U178" s="66" t="n">
        <f aca="false">T175-U175</f>
        <v>-426.182802009278</v>
      </c>
      <c r="V178" s="66" t="n">
        <f aca="false">U175-V175</f>
        <v>-415.528231959048</v>
      </c>
      <c r="W178" s="66" t="n">
        <f aca="false">V175-W175</f>
        <v>-405.140026160072</v>
      </c>
      <c r="X178" s="66" t="n">
        <f aca="false">W175-X175</f>
        <v>-395.011525506068</v>
      </c>
      <c r="Y178" s="66" t="n">
        <f aca="false">X175-Y175</f>
        <v>-385.136237368419</v>
      </c>
      <c r="Z178" s="66" t="n">
        <f aca="false">Y175-Z175</f>
        <v>-375.507831434205</v>
      </c>
      <c r="AA178" s="66" t="n">
        <f aca="false">Z175-AA175</f>
        <v>-453.84039464835</v>
      </c>
      <c r="AB178" s="66" t="n">
        <f aca="false">AA175-AB175</f>
        <v>-530.214643782143</v>
      </c>
      <c r="AC178" s="66" t="n">
        <f aca="false">AB175-AC175</f>
        <v>-516.959277687589</v>
      </c>
      <c r="AD178" s="66" t="n">
        <f aca="false">AC175-AD175</f>
        <v>-504.035295745396</v>
      </c>
      <c r="AE178" s="66" t="n">
        <f aca="false">AD175-AE175</f>
        <v>-491.434413351768</v>
      </c>
      <c r="AF178" s="66" t="n">
        <f aca="false">AE175-AF175</f>
        <v>-479.148553017971</v>
      </c>
      <c r="AG178" s="66" t="n">
        <f aca="false">AF175-AG175</f>
        <v>-467.169839192518</v>
      </c>
      <c r="AH178" s="66" t="n">
        <f aca="false">AG175-AH175</f>
        <v>-455.490593212708</v>
      </c>
      <c r="AI178" s="66" t="n">
        <f aca="false">AH175-AI175</f>
        <v>-444.103328382391</v>
      </c>
      <c r="AJ178" s="66" t="n">
        <f aca="false">AI175-AJ175</f>
        <v>-433.000745172831</v>
      </c>
      <c r="AK178" s="66" t="n">
        <f aca="false">AJ175-AK175</f>
        <v>-422.175726543506</v>
      </c>
      <c r="AL178" s="66" t="n">
        <f aca="false">AK175-AL175</f>
        <v>-411.621333379922</v>
      </c>
      <c r="AM178" s="66" t="n">
        <f aca="false">AL175-AM175</f>
        <v>-514.381672606425</v>
      </c>
      <c r="AN178" s="66" t="n">
        <f aca="false">AM175-AN175</f>
        <v>-614.573003352263</v>
      </c>
      <c r="AO178" s="66" t="n">
        <f aca="false">AN175-AO175</f>
        <v>-599.208678268456</v>
      </c>
      <c r="AP178" s="66" t="n">
        <f aca="false">AO175-AP175</f>
        <v>-584.228461311752</v>
      </c>
      <c r="AQ178" s="66" t="n">
        <f aca="false">AP175-AQ175</f>
        <v>-569.622749778948</v>
      </c>
      <c r="AR178" s="66" t="n">
        <f aca="false">AQ175-AR175</f>
        <v>-555.382181034478</v>
      </c>
      <c r="AS178" s="66" t="n">
        <f aca="false">AR175-AS175</f>
        <v>-541.497626508615</v>
      </c>
      <c r="AT178" s="66" t="n">
        <f aca="false">AS175-AT175</f>
        <v>-527.960185845903</v>
      </c>
      <c r="AU178" s="66" t="n">
        <f aca="false">AT175-AU175</f>
        <v>-514.761181199752</v>
      </c>
      <c r="AV178" s="66" t="n">
        <f aca="false">AU175-AV175</f>
        <v>-501.892151669763</v>
      </c>
      <c r="AW178" s="66" t="n">
        <f aca="false">AV175-AW175</f>
        <v>-489.344847878016</v>
      </c>
      <c r="AX178" s="66" t="n">
        <f aca="false">AW175-AX175</f>
        <v>-477.111226681063</v>
      </c>
      <c r="AY178" s="66" t="n">
        <f aca="false">AX175-AY175</f>
        <v>-611.112063332577</v>
      </c>
      <c r="AZ178" s="66" t="n">
        <f aca="false">AY175-AZ175</f>
        <v>-741.762879067803</v>
      </c>
      <c r="BA178" s="66" t="n">
        <f aca="false">AZ175-BA175</f>
        <v>-723.218807091103</v>
      </c>
      <c r="BB178" s="66" t="n">
        <f aca="false">BA175-BB175</f>
        <v>-705.138336913831</v>
      </c>
      <c r="BC178" s="66" t="n">
        <f aca="false">BB175-BC175</f>
        <v>-687.509878490986</v>
      </c>
      <c r="BD178" s="66" t="n">
        <f aca="false">BC175-BD175</f>
        <v>-670.322131528712</v>
      </c>
      <c r="BE178" s="66" t="n">
        <f aca="false">BD175-BE175</f>
        <v>-653.564078240488</v>
      </c>
      <c r="BF178" s="66" t="n">
        <f aca="false">BE175-BF175</f>
        <v>-637.224976284484</v>
      </c>
      <c r="BG178" s="66" t="n">
        <f aca="false">BF175-BG175</f>
        <v>-621.294351877368</v>
      </c>
      <c r="BH178" s="66" t="n">
        <f aca="false">BG175-BH175</f>
        <v>-605.761993080425</v>
      </c>
      <c r="BI178" s="66" t="n">
        <f aca="false">BH175-BI175</f>
        <v>-590.617943253423</v>
      </c>
      <c r="BJ178" s="66" t="n">
        <f aca="false">BI175-BJ175</f>
        <v>-575.852494672079</v>
      </c>
    </row>
    <row r="179" customFormat="false" ht="15" hidden="false" customHeight="false" outlineLevel="0" collapsed="false">
      <c r="A179" s="6" t="s">
        <v>325</v>
      </c>
      <c r="C179" s="66" t="n">
        <f aca="false">-C176</f>
        <v>-0</v>
      </c>
      <c r="D179" s="66" t="n">
        <f aca="false">C176-D176</f>
        <v>0</v>
      </c>
      <c r="E179" s="66" t="n">
        <f aca="false">D176-E176</f>
        <v>0</v>
      </c>
      <c r="F179" s="66" t="n">
        <f aca="false">E176-F176</f>
        <v>0</v>
      </c>
      <c r="G179" s="66" t="n">
        <f aca="false">F176-G176</f>
        <v>0</v>
      </c>
      <c r="H179" s="66" t="n">
        <f aca="false">G176-H176</f>
        <v>0</v>
      </c>
      <c r="I179" s="66" t="n">
        <f aca="false">H176-I176</f>
        <v>0</v>
      </c>
      <c r="J179" s="66" t="n">
        <f aca="false">I176-J176</f>
        <v>0</v>
      </c>
      <c r="K179" s="66" t="n">
        <f aca="false">J176-K176</f>
        <v>0</v>
      </c>
      <c r="L179" s="66" t="n">
        <f aca="false">K176-L176</f>
        <v>0</v>
      </c>
      <c r="M179" s="66" t="n">
        <f aca="false">L176-M176</f>
        <v>0</v>
      </c>
      <c r="N179" s="66" t="n">
        <f aca="false">M176-N176</f>
        <v>0</v>
      </c>
      <c r="O179" s="66" t="n">
        <f aca="false">N176-O176</f>
        <v>0</v>
      </c>
      <c r="P179" s="66" t="n">
        <f aca="false">O176-P176</f>
        <v>0</v>
      </c>
      <c r="Q179" s="66" t="n">
        <f aca="false">P176-Q176</f>
        <v>0</v>
      </c>
      <c r="R179" s="66" t="n">
        <f aca="false">Q176-R176</f>
        <v>0</v>
      </c>
      <c r="S179" s="66" t="n">
        <f aca="false">R176-S176</f>
        <v>0</v>
      </c>
      <c r="T179" s="66" t="n">
        <f aca="false">S176-T176</f>
        <v>0</v>
      </c>
      <c r="U179" s="66" t="n">
        <f aca="false">T176-U176</f>
        <v>0</v>
      </c>
      <c r="V179" s="66" t="n">
        <f aca="false">U176-V176</f>
        <v>0</v>
      </c>
      <c r="W179" s="66" t="n">
        <f aca="false">V176-W176</f>
        <v>0</v>
      </c>
      <c r="X179" s="66" t="n">
        <f aca="false">W176-X176</f>
        <v>0</v>
      </c>
      <c r="Y179" s="66" t="n">
        <f aca="false">X176-Y176</f>
        <v>0</v>
      </c>
      <c r="Z179" s="66" t="n">
        <f aca="false">Y176-Z176</f>
        <v>0</v>
      </c>
      <c r="AA179" s="66" t="n">
        <f aca="false">Z176-AA176</f>
        <v>0</v>
      </c>
      <c r="AB179" s="66" t="n">
        <f aca="false">AA176-AB176</f>
        <v>0</v>
      </c>
      <c r="AC179" s="66" t="n">
        <f aca="false">AB176-AC176</f>
        <v>0</v>
      </c>
      <c r="AD179" s="66" t="n">
        <f aca="false">AC176-AD176</f>
        <v>0</v>
      </c>
      <c r="AE179" s="66" t="n">
        <f aca="false">AD176-AE176</f>
        <v>0</v>
      </c>
      <c r="AF179" s="66" t="n">
        <f aca="false">AE176-AF176</f>
        <v>0</v>
      </c>
      <c r="AG179" s="66" t="n">
        <f aca="false">AF176-AG176</f>
        <v>0</v>
      </c>
      <c r="AH179" s="66" t="n">
        <f aca="false">AG176-AH176</f>
        <v>0</v>
      </c>
      <c r="AI179" s="66" t="n">
        <f aca="false">AH176-AI176</f>
        <v>0</v>
      </c>
      <c r="AJ179" s="66" t="n">
        <f aca="false">AI176-AJ176</f>
        <v>0</v>
      </c>
      <c r="AK179" s="66" t="n">
        <f aca="false">AJ176-AK176</f>
        <v>0</v>
      </c>
      <c r="AL179" s="66" t="n">
        <f aca="false">AK176-AL176</f>
        <v>0</v>
      </c>
      <c r="AM179" s="66" t="n">
        <f aca="false">AL176-AM176</f>
        <v>0</v>
      </c>
      <c r="AN179" s="66" t="n">
        <f aca="false">AM176-AN176</f>
        <v>0</v>
      </c>
      <c r="AO179" s="66" t="n">
        <f aca="false">AN176-AO176</f>
        <v>0</v>
      </c>
      <c r="AP179" s="66" t="n">
        <f aca="false">AO176-AP176</f>
        <v>0</v>
      </c>
      <c r="AQ179" s="66" t="n">
        <f aca="false">AP176-AQ176</f>
        <v>0</v>
      </c>
      <c r="AR179" s="66" t="n">
        <f aca="false">AQ176-AR176</f>
        <v>0</v>
      </c>
      <c r="AS179" s="66" t="n">
        <f aca="false">AR176-AS176</f>
        <v>0</v>
      </c>
      <c r="AT179" s="66" t="n">
        <f aca="false">AS176-AT176</f>
        <v>0</v>
      </c>
      <c r="AU179" s="66" t="n">
        <f aca="false">AT176-AU176</f>
        <v>0</v>
      </c>
      <c r="AV179" s="66" t="n">
        <f aca="false">AU176-AV176</f>
        <v>0</v>
      </c>
      <c r="AW179" s="66" t="n">
        <f aca="false">AV176-AW176</f>
        <v>0</v>
      </c>
      <c r="AX179" s="66" t="n">
        <f aca="false">AW176-AX176</f>
        <v>0</v>
      </c>
      <c r="AY179" s="66" t="n">
        <f aca="false">AX176-AY176</f>
        <v>0</v>
      </c>
      <c r="AZ179" s="66" t="n">
        <f aca="false">AY176-AZ176</f>
        <v>0</v>
      </c>
      <c r="BA179" s="66" t="n">
        <f aca="false">AZ176-BA176</f>
        <v>0</v>
      </c>
      <c r="BB179" s="66" t="n">
        <f aca="false">BA176-BB176</f>
        <v>0</v>
      </c>
      <c r="BC179" s="66" t="n">
        <f aca="false">BB176-BC176</f>
        <v>0</v>
      </c>
      <c r="BD179" s="66" t="n">
        <f aca="false">BC176-BD176</f>
        <v>0</v>
      </c>
      <c r="BE179" s="66" t="n">
        <f aca="false">BD176-BE176</f>
        <v>0</v>
      </c>
      <c r="BF179" s="66" t="n">
        <f aca="false">BE176-BF176</f>
        <v>0</v>
      </c>
      <c r="BG179" s="66" t="n">
        <f aca="false">BF176-BG176</f>
        <v>0</v>
      </c>
      <c r="BH179" s="66" t="n">
        <f aca="false">BG176-BH176</f>
        <v>0</v>
      </c>
      <c r="BI179" s="66" t="n">
        <f aca="false">BH176-BI176</f>
        <v>0</v>
      </c>
      <c r="BJ179" s="66" t="n">
        <f aca="false">BI176-BJ176</f>
        <v>0</v>
      </c>
    </row>
    <row r="180" customFormat="false" ht="15" hidden="false" customHeight="false" outlineLevel="0" collapsed="false">
      <c r="A180" s="6" t="s">
        <v>326</v>
      </c>
      <c r="C180" s="66" t="n">
        <f aca="false">C177</f>
        <v>529.565277777778</v>
      </c>
      <c r="D180" s="66" t="n">
        <f aca="false">D177-C177</f>
        <v>340.672034722222</v>
      </c>
      <c r="E180" s="66" t="n">
        <f aca="false">E177-D177</f>
        <v>331.870787743055</v>
      </c>
      <c r="F180" s="66" t="n">
        <f aca="false">F177-E177</f>
        <v>323.298105321701</v>
      </c>
      <c r="G180" s="66" t="n">
        <f aca="false">G177-F177</f>
        <v>314.948017342715</v>
      </c>
      <c r="H180" s="66" t="n">
        <f aca="false">H177-G177</f>
        <v>306.814710623581</v>
      </c>
      <c r="I180" s="66" t="n">
        <f aca="false">I177-H177</f>
        <v>298.892524760992</v>
      </c>
      <c r="J180" s="66" t="n">
        <f aca="false">J177-I177</f>
        <v>291.175948087878</v>
      </c>
      <c r="K180" s="66" t="n">
        <f aca="false">K177-J177</f>
        <v>283.659613738214</v>
      </c>
      <c r="L180" s="66" t="n">
        <f aca="false">L177-K177</f>
        <v>276.338295816716</v>
      </c>
      <c r="M180" s="66" t="n">
        <f aca="false">M177-L177</f>
        <v>269.206905670598</v>
      </c>
      <c r="N180" s="66" t="n">
        <f aca="false">N177-M177</f>
        <v>262.260488260652</v>
      </c>
      <c r="O180" s="66" t="n">
        <f aca="false">O177-N177</f>
        <v>303.554374184558</v>
      </c>
      <c r="P180" s="66" t="n">
        <f aca="false">P177-O177</f>
        <v>343.786427905339</v>
      </c>
      <c r="Q180" s="66" t="n">
        <f aca="false">Q177-P177</f>
        <v>334.923924224174</v>
      </c>
      <c r="R180" s="66" t="n">
        <f aca="false">R177-Q177</f>
        <v>326.291018424546</v>
      </c>
      <c r="S180" s="66" t="n">
        <f aca="false">S177-R177</f>
        <v>317.881729500726</v>
      </c>
      <c r="T180" s="66" t="n">
        <f aca="false">T177-S177</f>
        <v>309.690233203901</v>
      </c>
      <c r="U180" s="66" t="n">
        <f aca="false">U177-T177</f>
        <v>301.710857906272</v>
      </c>
      <c r="V180" s="66" t="n">
        <f aca="false">V177-U177</f>
        <v>293.938080575113</v>
      </c>
      <c r="W180" s="66" t="n">
        <f aca="false">W177-V177</f>
        <v>286.366522853738</v>
      </c>
      <c r="X180" s="66" t="n">
        <f aca="false">X177-W177</f>
        <v>278.990947246603</v>
      </c>
      <c r="Y180" s="66" t="n">
        <f aca="false">Y177-X177</f>
        <v>271.806253405723</v>
      </c>
      <c r="Z180" s="66" t="n">
        <f aca="false">Z177-Y177</f>
        <v>264.807474515658</v>
      </c>
      <c r="AA180" s="66" t="n">
        <f aca="false">AA177-Z177</f>
        <v>319.568595841158</v>
      </c>
      <c r="AB180" s="66" t="n">
        <f aca="false">AB177-AA177</f>
        <v>372.921881216533</v>
      </c>
      <c r="AC180" s="66" t="n">
        <f aca="false">AC177-AB177</f>
        <v>363.324868711385</v>
      </c>
      <c r="AD180" s="66" t="n">
        <f aca="false">AD177-AC177</f>
        <v>353.976000483104</v>
      </c>
      <c r="AE180" s="66" t="n">
        <f aca="false">AE177-AD177</f>
        <v>344.868826355851</v>
      </c>
      <c r="AF180" s="66" t="n">
        <f aca="false">AF177-AE177</f>
        <v>335.997064805229</v>
      </c>
      <c r="AG180" s="66" t="n">
        <f aca="false">AG177-AF177</f>
        <v>327.354598520125</v>
      </c>
      <c r="AH180" s="66" t="n">
        <f aca="false">AH177-AG177</f>
        <v>318.935470082099</v>
      </c>
      <c r="AI180" s="66" t="n">
        <f aca="false">AI177-AH177</f>
        <v>310.733877759274</v>
      </c>
      <c r="AJ180" s="66" t="n">
        <f aca="false">AJ177-AI177</f>
        <v>302.744171411643</v>
      </c>
      <c r="AK180" s="66" t="n">
        <f aca="false">AK177-AJ177</f>
        <v>294.960848504812</v>
      </c>
      <c r="AL180" s="66" t="n">
        <f aca="false">AL177-AK177</f>
        <v>287.378550229299</v>
      </c>
      <c r="AM180" s="66" t="n">
        <f aca="false">AM177-AL177</f>
        <v>359.026581259159</v>
      </c>
      <c r="AN180" s="66" t="n">
        <f aca="false">AN177-AM177</f>
        <v>428.833452375806</v>
      </c>
      <c r="AO180" s="66" t="n">
        <f aca="false">AO177-AN177</f>
        <v>417.812167814587</v>
      </c>
      <c r="AP180" s="66" t="n">
        <f aca="false">AP177-AO177</f>
        <v>407.075428814956</v>
      </c>
      <c r="AQ180" s="66" t="n">
        <f aca="false">AQ177-AP177</f>
        <v>396.61585133444</v>
      </c>
      <c r="AR180" s="66" t="n">
        <f aca="false">AR177-AQ177</f>
        <v>386.426244043745</v>
      </c>
      <c r="AS180" s="66" t="n">
        <f aca="false">AS177-AR177</f>
        <v>376.499603265534</v>
      </c>
      <c r="AT180" s="66" t="n">
        <f aca="false">AT177-AS177</f>
        <v>366.829108047097</v>
      </c>
      <c r="AU180" s="66" t="n">
        <f aca="false">AU177-AT177</f>
        <v>357.408115363223</v>
      </c>
      <c r="AV180" s="66" t="n">
        <f aca="false">AV177-AU177</f>
        <v>348.230155445921</v>
      </c>
      <c r="AW180" s="66" t="n">
        <f aca="false">AW177-AV177</f>
        <v>339.288927237556</v>
      </c>
      <c r="AX180" s="66" t="n">
        <f aca="false">AX177-AW177</f>
        <v>330.578293964063</v>
      </c>
      <c r="AY180" s="66" t="n">
        <f aca="false">AY177-AX177</f>
        <v>423.702649216306</v>
      </c>
      <c r="AZ180" s="66" t="n">
        <f aca="false">AZ177-AY177</f>
        <v>514.435276320939</v>
      </c>
      <c r="BA180" s="66" t="n">
        <f aca="false">BA177-AZ177</f>
        <v>501.227506668518</v>
      </c>
      <c r="BB180" s="66" t="n">
        <f aca="false">BB177-BA177</f>
        <v>488.360337889731</v>
      </c>
      <c r="BC180" s="66" t="n">
        <f aca="false">BC177-BB177</f>
        <v>475.824942763778</v>
      </c>
      <c r="BD180" s="66" t="n">
        <f aca="false">BD177-BC177</f>
        <v>463.612724116341</v>
      </c>
      <c r="BE180" s="66" t="n">
        <f aca="false">BE177-BD177</f>
        <v>451.715308787439</v>
      </c>
      <c r="BF180" s="66" t="n">
        <f aca="false">BF177-BE177</f>
        <v>440.124541758538</v>
      </c>
      <c r="BG180" s="66" t="n">
        <f aca="false">BG177-BF177</f>
        <v>428.83248043463</v>
      </c>
      <c r="BH180" s="66" t="n">
        <f aca="false">BH177-BG177</f>
        <v>417.831389077222</v>
      </c>
      <c r="BI180" s="66" t="n">
        <f aca="false">BI177-BH177</f>
        <v>407.113733384151</v>
      </c>
      <c r="BJ180" s="66" t="n">
        <f aca="false">BJ177-BI177</f>
        <v>396.672175212385</v>
      </c>
    </row>
    <row r="181" customFormat="false" ht="15" hidden="false" customHeight="false" outlineLevel="0" collapsed="false">
      <c r="A181" s="6" t="s">
        <v>94</v>
      </c>
      <c r="C181" s="66" t="n">
        <f aca="false">C136*Inputs!$C$17*6</f>
        <v>7012.5</v>
      </c>
      <c r="D181" s="66" t="n">
        <f aca="false">D136*Inputs!$C$17*6</f>
        <v>10374.7875</v>
      </c>
      <c r="E181" s="66" t="n">
        <f aca="false">E136*Inputs!$C$17*6</f>
        <v>13653.0178125</v>
      </c>
      <c r="F181" s="66" t="n">
        <f aca="false">F136*Inputs!$C$17*6</f>
        <v>16849.2923671875</v>
      </c>
      <c r="G181" s="66" t="n">
        <f aca="false">G136*Inputs!$C$17*6</f>
        <v>19965.6600580078</v>
      </c>
      <c r="H181" s="66" t="n">
        <f aca="false">H136*Inputs!$C$17*6</f>
        <v>23004.1185565576</v>
      </c>
      <c r="I181" s="66" t="n">
        <f aca="false">I136*Inputs!$C$17*6</f>
        <v>25966.6155926437</v>
      </c>
      <c r="J181" s="66" t="n">
        <f aca="false">J136*Inputs!$C$17*6</f>
        <v>28855.0502028276</v>
      </c>
      <c r="K181" s="66" t="n">
        <f aca="false">K136*Inputs!$C$17*6</f>
        <v>31671.2739477569</v>
      </c>
      <c r="L181" s="66" t="n">
        <f aca="false">L136*Inputs!$C$17*6</f>
        <v>34417.092099063</v>
      </c>
      <c r="M181" s="66" t="n">
        <f aca="false">M136*Inputs!$C$17*6</f>
        <v>37094.2647965864</v>
      </c>
      <c r="N181" s="66" t="n">
        <f aca="false">N136*Inputs!$C$17*6</f>
        <v>39704.5081766718</v>
      </c>
      <c r="O181" s="66" t="n">
        <f aca="false">O136*Inputs!$C$17*6</f>
        <v>43231.205872255</v>
      </c>
      <c r="P181" s="66" t="n">
        <f aca="false">P136*Inputs!$C$17*6</f>
        <v>46669.7361254486</v>
      </c>
      <c r="Q181" s="66" t="n">
        <f aca="false">Q136*Inputs!$C$17*6</f>
        <v>50022.3031223124</v>
      </c>
      <c r="R181" s="66" t="n">
        <f aca="false">R136*Inputs!$C$17*6</f>
        <v>53291.0559442546</v>
      </c>
      <c r="S181" s="66" t="n">
        <f aca="false">S136*Inputs!$C$17*6</f>
        <v>56478.0899456482</v>
      </c>
      <c r="T181" s="66" t="n">
        <f aca="false">T136*Inputs!$C$17*6</f>
        <v>59585.448097007</v>
      </c>
      <c r="U181" s="66" t="n">
        <f aca="false">U136*Inputs!$C$17*6</f>
        <v>62615.1222945818</v>
      </c>
      <c r="V181" s="66" t="n">
        <f aca="false">V136*Inputs!$C$17*6</f>
        <v>65569.0546372173</v>
      </c>
      <c r="W181" s="66" t="n">
        <f aca="false">W136*Inputs!$C$17*6</f>
        <v>68449.1386712868</v>
      </c>
      <c r="X181" s="66" t="n">
        <f aca="false">X136*Inputs!$C$17*6</f>
        <v>71257.2206045047</v>
      </c>
      <c r="Y181" s="66" t="n">
        <f aca="false">Y136*Inputs!$C$17*6</f>
        <v>73995.100489392</v>
      </c>
      <c r="Z181" s="66" t="n">
        <f aca="false">Z136*Inputs!$C$17*6</f>
        <v>76664.5333771572</v>
      </c>
      <c r="AA181" s="66" t="n">
        <f aca="false">AA136*Inputs!$C$17*6</f>
        <v>80530.4021723283</v>
      </c>
      <c r="AB181" s="66" t="n">
        <f aca="false">AB136*Inputs!$C$17*6</f>
        <v>84299.6242476201</v>
      </c>
      <c r="AC181" s="66" t="n">
        <f aca="false">AC136*Inputs!$C$17*6</f>
        <v>87974.6157710296</v>
      </c>
      <c r="AD181" s="66" t="n">
        <f aca="false">AD136*Inputs!$C$17*6</f>
        <v>91557.7325063538</v>
      </c>
      <c r="AE181" s="66" t="n">
        <f aca="false">AE136*Inputs!$C$17*6</f>
        <v>95051.271323295</v>
      </c>
      <c r="AF181" s="66" t="n">
        <f aca="false">AF136*Inputs!$C$17*6</f>
        <v>98457.4716698126</v>
      </c>
      <c r="AG181" s="66" t="n">
        <f aca="false">AG136*Inputs!$C$17*6</f>
        <v>101778.517007667</v>
      </c>
      <c r="AH181" s="66" t="n">
        <f aca="false">AH136*Inputs!$C$17*6</f>
        <v>105016.536212076</v>
      </c>
      <c r="AI181" s="66" t="n">
        <f aca="false">AI136*Inputs!$C$17*6</f>
        <v>108173.604936374</v>
      </c>
      <c r="AJ181" s="66" t="n">
        <f aca="false">AJ136*Inputs!$C$17*6</f>
        <v>111251.746942564</v>
      </c>
      <c r="AK181" s="66" t="n">
        <f aca="false">AK136*Inputs!$C$17*6</f>
        <v>114252.9353986</v>
      </c>
      <c r="AL181" s="66" t="n">
        <f aca="false">AL136*Inputs!$C$17*6</f>
        <v>117179.094143235</v>
      </c>
      <c r="AM181" s="66" t="n">
        <f aca="false">AM136*Inputs!$C$17*6</f>
        <v>121660.031484133</v>
      </c>
      <c r="AN181" s="66" t="n">
        <f aca="false">AN136*Inputs!$C$17*6</f>
        <v>126028.945391508</v>
      </c>
      <c r="AO181" s="66" t="n">
        <f aca="false">AO136*Inputs!$C$17*6</f>
        <v>130288.636451199</v>
      </c>
      <c r="AP181" s="66" t="n">
        <f aca="false">AP136*Inputs!$C$17*6</f>
        <v>134441.835234397</v>
      </c>
      <c r="AQ181" s="66" t="n">
        <f aca="false">AQ136*Inputs!$C$17*6</f>
        <v>138491.204048015</v>
      </c>
      <c r="AR181" s="66" t="n">
        <f aca="false">AR136*Inputs!$C$17*6</f>
        <v>142439.338641293</v>
      </c>
      <c r="AS181" s="66" t="n">
        <f aca="false">AS136*Inputs!$C$17*6</f>
        <v>146288.769869739</v>
      </c>
      <c r="AT181" s="66" t="n">
        <f aca="false">AT136*Inputs!$C$17*6</f>
        <v>150041.965317474</v>
      </c>
      <c r="AU181" s="66" t="n">
        <f aca="false">AU136*Inputs!$C$17*6</f>
        <v>153701.330879016</v>
      </c>
      <c r="AV181" s="66" t="n">
        <f aca="false">AV136*Inputs!$C$17*6</f>
        <v>157269.212301519</v>
      </c>
      <c r="AW181" s="66" t="n">
        <f aca="false">AW136*Inputs!$C$17*6</f>
        <v>160747.896688459</v>
      </c>
      <c r="AX181" s="66" t="n">
        <f aca="false">AX136*Inputs!$C$17*6</f>
        <v>164139.613965726</v>
      </c>
      <c r="AY181" s="66" t="n">
        <f aca="false">AY136*Inputs!$C$17*6</f>
        <v>169547.910400448</v>
      </c>
      <c r="AZ181" s="66" t="n">
        <f aca="false">AZ136*Inputs!$C$17*6</f>
        <v>174820.999424303</v>
      </c>
      <c r="BA181" s="66" t="n">
        <f aca="false">BA136*Inputs!$C$17*6</f>
        <v>179962.26122256</v>
      </c>
      <c r="BB181" s="66" t="n">
        <f aca="false">BB136*Inputs!$C$17*6</f>
        <v>184974.991475862</v>
      </c>
      <c r="BC181" s="66" t="n">
        <f aca="false">BC136*Inputs!$C$17*6</f>
        <v>189862.403472831</v>
      </c>
      <c r="BD181" s="66" t="n">
        <f aca="false">BD136*Inputs!$C$17*6</f>
        <v>194627.630169875</v>
      </c>
      <c r="BE181" s="66" t="n">
        <f aca="false">BE136*Inputs!$C$17*6</f>
        <v>199273.726199494</v>
      </c>
      <c r="BF181" s="66" t="n">
        <f aca="false">BF136*Inputs!$C$17*6</f>
        <v>203803.669828372</v>
      </c>
      <c r="BG181" s="66" t="n">
        <f aca="false">BG136*Inputs!$C$17*6</f>
        <v>208220.364866528</v>
      </c>
      <c r="BH181" s="66" t="n">
        <f aca="false">BH136*Inputs!$C$17*6</f>
        <v>212526.64252873</v>
      </c>
      <c r="BI181" s="66" t="n">
        <f aca="false">BI136*Inputs!$C$17*6</f>
        <v>216725.263249377</v>
      </c>
      <c r="BJ181" s="66" t="n">
        <f aca="false">BJ136*Inputs!$C$17*6</f>
        <v>220818.918452008</v>
      </c>
    </row>
    <row r="182" customFormat="false" ht="15" hidden="false" customHeight="false" outlineLevel="0" collapsed="false">
      <c r="A182" s="6" t="s">
        <v>327</v>
      </c>
      <c r="C182" s="66" t="n">
        <f aca="false">C181</f>
        <v>7012.5</v>
      </c>
      <c r="D182" s="66" t="n">
        <f aca="false">D181-C181</f>
        <v>3362.2875</v>
      </c>
      <c r="E182" s="66" t="n">
        <f aca="false">E181-D181</f>
        <v>3278.2303125</v>
      </c>
      <c r="F182" s="66" t="n">
        <f aca="false">F181-E181</f>
        <v>3196.2745546875</v>
      </c>
      <c r="G182" s="66" t="n">
        <f aca="false">G181-F181</f>
        <v>3116.36769082031</v>
      </c>
      <c r="H182" s="66" t="n">
        <f aca="false">H181-G181</f>
        <v>3038.45849854981</v>
      </c>
      <c r="I182" s="66" t="n">
        <f aca="false">I181-H181</f>
        <v>2962.49703608606</v>
      </c>
      <c r="J182" s="66" t="n">
        <f aca="false">J181-I181</f>
        <v>2888.43461018391</v>
      </c>
      <c r="K182" s="66" t="n">
        <f aca="false">K181-J181</f>
        <v>2816.22374492931</v>
      </c>
      <c r="L182" s="66" t="n">
        <f aca="false">L181-K181</f>
        <v>2745.81815130608</v>
      </c>
      <c r="M182" s="66" t="n">
        <f aca="false">M181-L181</f>
        <v>2677.17269752342</v>
      </c>
      <c r="N182" s="66" t="n">
        <f aca="false">N181-M181</f>
        <v>2610.24338008535</v>
      </c>
      <c r="O182" s="66" t="n">
        <f aca="false">O181-N181</f>
        <v>3526.69769558321</v>
      </c>
      <c r="P182" s="66" t="n">
        <f aca="false">P181-O181</f>
        <v>3438.53025319362</v>
      </c>
      <c r="Q182" s="66" t="n">
        <f aca="false">Q181-P181</f>
        <v>3352.56699686379</v>
      </c>
      <c r="R182" s="66" t="n">
        <f aca="false">R181-Q181</f>
        <v>3268.75282194219</v>
      </c>
      <c r="S182" s="66" t="n">
        <f aca="false">S181-R181</f>
        <v>3187.03400139364</v>
      </c>
      <c r="T182" s="66" t="n">
        <f aca="false">T181-S181</f>
        <v>3107.3581513588</v>
      </c>
      <c r="U182" s="66" t="n">
        <f aca="false">U181-T181</f>
        <v>3029.67419757482</v>
      </c>
      <c r="V182" s="66" t="n">
        <f aca="false">V181-U181</f>
        <v>2953.93234263546</v>
      </c>
      <c r="W182" s="66" t="n">
        <f aca="false">W181-V181</f>
        <v>2880.08403406957</v>
      </c>
      <c r="X182" s="66" t="n">
        <f aca="false">X181-W181</f>
        <v>2808.08193321782</v>
      </c>
      <c r="Y182" s="66" t="n">
        <f aca="false">Y181-X181</f>
        <v>2737.87988488737</v>
      </c>
      <c r="Z182" s="66" t="n">
        <f aca="false">Z181-Y181</f>
        <v>2669.4328877652</v>
      </c>
      <c r="AA182" s="66" t="n">
        <f aca="false">AA181-Z181</f>
        <v>3865.86879517106</v>
      </c>
      <c r="AB182" s="66" t="n">
        <f aca="false">AB181-AA181</f>
        <v>3769.22207529178</v>
      </c>
      <c r="AC182" s="66" t="n">
        <f aca="false">AC181-AB181</f>
        <v>3674.99152340948</v>
      </c>
      <c r="AD182" s="66" t="n">
        <f aca="false">AD181-AC181</f>
        <v>3583.11673532426</v>
      </c>
      <c r="AE182" s="66" t="n">
        <f aca="false">AE181-AD181</f>
        <v>3493.53881694116</v>
      </c>
      <c r="AF182" s="66" t="n">
        <f aca="false">AF181-AE181</f>
        <v>3406.20034651762</v>
      </c>
      <c r="AG182" s="66" t="n">
        <f aca="false">AG181-AF181</f>
        <v>3321.04533785467</v>
      </c>
      <c r="AH182" s="66" t="n">
        <f aca="false">AH181-AG181</f>
        <v>3238.01920440832</v>
      </c>
      <c r="AI182" s="66" t="n">
        <f aca="false">AI181-AH181</f>
        <v>3157.06872429809</v>
      </c>
      <c r="AJ182" s="66" t="n">
        <f aca="false">AJ181-AI181</f>
        <v>3078.14200619064</v>
      </c>
      <c r="AK182" s="66" t="n">
        <f aca="false">AK181-AJ181</f>
        <v>3001.18845603586</v>
      </c>
      <c r="AL182" s="66" t="n">
        <f aca="false">AL181-AK181</f>
        <v>2926.158744635</v>
      </c>
      <c r="AM182" s="66" t="n">
        <f aca="false">AM181-AL181</f>
        <v>4480.93734089754</v>
      </c>
      <c r="AN182" s="66" t="n">
        <f aca="false">AN181-AM181</f>
        <v>4368.9139073751</v>
      </c>
      <c r="AO182" s="66" t="n">
        <f aca="false">AO181-AN181</f>
        <v>4259.6910596907</v>
      </c>
      <c r="AP182" s="66" t="n">
        <f aca="false">AP181-AO181</f>
        <v>4153.19878319843</v>
      </c>
      <c r="AQ182" s="66" t="n">
        <f aca="false">AQ181-AP181</f>
        <v>4049.36881361849</v>
      </c>
      <c r="AR182" s="66" t="n">
        <f aca="false">AR181-AQ181</f>
        <v>3948.134593278</v>
      </c>
      <c r="AS182" s="66" t="n">
        <f aca="false">AS181-AR181</f>
        <v>3849.43122844605</v>
      </c>
      <c r="AT182" s="66" t="n">
        <f aca="false">AT181-AS181</f>
        <v>3753.19544773491</v>
      </c>
      <c r="AU182" s="66" t="n">
        <f aca="false">AU181-AT181</f>
        <v>3659.36556154155</v>
      </c>
      <c r="AV182" s="66" t="n">
        <f aca="false">AV181-AU181</f>
        <v>3567.88142250301</v>
      </c>
      <c r="AW182" s="66" t="n">
        <f aca="false">AW181-AV181</f>
        <v>3478.68438694044</v>
      </c>
      <c r="AX182" s="66" t="n">
        <f aca="false">AX181-AW181</f>
        <v>3391.7172772669</v>
      </c>
      <c r="AY182" s="66" t="n">
        <f aca="false">AY181-AX181</f>
        <v>5408.2964347222</v>
      </c>
      <c r="AZ182" s="66" t="n">
        <f aca="false">AZ181-AY181</f>
        <v>5273.08902385415</v>
      </c>
      <c r="BA182" s="66" t="n">
        <f aca="false">BA181-AZ181</f>
        <v>5141.26179825779</v>
      </c>
      <c r="BB182" s="66" t="n">
        <f aca="false">BB181-BA181</f>
        <v>5012.73025330136</v>
      </c>
      <c r="BC182" s="66" t="n">
        <f aca="false">BC181-BB181</f>
        <v>4887.41199696882</v>
      </c>
      <c r="BD182" s="66" t="n">
        <f aca="false">BD181-BC181</f>
        <v>4765.22669704459</v>
      </c>
      <c r="BE182" s="66" t="n">
        <f aca="false">BE181-BD181</f>
        <v>4646.09602961849</v>
      </c>
      <c r="BF182" s="66" t="n">
        <f aca="false">BF181-BE181</f>
        <v>4529.94362887798</v>
      </c>
      <c r="BG182" s="66" t="n">
        <f aca="false">BG181-BF181</f>
        <v>4416.69503815606</v>
      </c>
      <c r="BH182" s="66" t="n">
        <f aca="false">BH181-BG181</f>
        <v>4306.27766220219</v>
      </c>
      <c r="BI182" s="66" t="n">
        <f aca="false">BI181-BH181</f>
        <v>4198.62072064704</v>
      </c>
      <c r="BJ182" s="66" t="n">
        <f aca="false">BJ181-BI181</f>
        <v>4093.65520263097</v>
      </c>
    </row>
    <row r="184" customFormat="false" ht="15.75" hidden="false" customHeight="true" outlineLevel="0" collapsed="false">
      <c r="A184" s="7" t="s">
        <v>420</v>
      </c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</row>
    <row r="185" customFormat="false" ht="15" hidden="false" customHeight="false" outlineLevel="0" collapsed="false">
      <c r="A185" s="4" t="s">
        <v>52</v>
      </c>
      <c r="C185" s="72" t="n">
        <f aca="false">C159-C164+C178+C179+C180+C182</f>
        <v>-64465.1041666667</v>
      </c>
      <c r="D185" s="72" t="n">
        <f aca="false">D159-D164+D178+D179+D180+D182</f>
        <v>-65545.5460069444</v>
      </c>
      <c r="E185" s="72" t="n">
        <f aca="false">E159-E164+E178+E179+E180+E182</f>
        <v>-63191.5685234375</v>
      </c>
      <c r="F185" s="72" t="n">
        <f aca="false">F159-F164+F178+F179+F180+F182</f>
        <v>-60896.1560309071</v>
      </c>
      <c r="G185" s="72" t="n">
        <f aca="false">G159-G164+G178+G179+G180+G182</f>
        <v>-58657.8529379622</v>
      </c>
      <c r="H185" s="72" t="n">
        <f aca="false">H159-H164+H178+H179+H180+H182</f>
        <v>-56475.239786995</v>
      </c>
      <c r="I185" s="72" t="n">
        <f aca="false">I159-I164+I178+I179+I180+I182</f>
        <v>-54346.9323585164</v>
      </c>
      <c r="J185" s="72" t="n">
        <f aca="false">J159-J164+J178+J179+J180+J182</f>
        <v>-52271.5807976527</v>
      </c>
      <c r="K185" s="72" t="n">
        <f aca="false">K159-K164+K178+K179+K180+K182</f>
        <v>-50247.8687622566</v>
      </c>
      <c r="L185" s="72" t="n">
        <f aca="false">L159-L164+L178+L179+L180+L182</f>
        <v>-48274.5125920979</v>
      </c>
      <c r="M185" s="72" t="n">
        <f aca="false">M159-M164+M178+M179+M180+M182</f>
        <v>-46350.2604986151</v>
      </c>
      <c r="N185" s="72" t="n">
        <f aca="false">N159-N164+N178+N179+N180+N182</f>
        <v>-44473.8917747187</v>
      </c>
      <c r="O185" s="72" t="n">
        <f aca="false">O159-O164+O178+O179+O180+O182</f>
        <v>-77951.6339574849</v>
      </c>
      <c r="P185" s="72" t="n">
        <f aca="false">P159-P164+P178+P179+P180+P182</f>
        <v>-75498.6973838123</v>
      </c>
      <c r="Q185" s="72" t="n">
        <f aca="false">Q159-Q164+Q178+Q179+Q180+Q182</f>
        <v>-73086.7308042236</v>
      </c>
      <c r="R185" s="72" t="n">
        <f aca="false">R159-R164+R178+R179+R180+R182</f>
        <v>-70734.7955461411</v>
      </c>
      <c r="S185" s="72" t="n">
        <f aca="false">S159-S164+S178+S179+S180+S182</f>
        <v>-68441.3988618166</v>
      </c>
      <c r="T185" s="72" t="n">
        <f aca="false">T159-T164+T178+T179+T180+T182</f>
        <v>-66205.085081137</v>
      </c>
      <c r="U185" s="72" t="n">
        <f aca="false">U159-U164+U178+U179+U180+U182</f>
        <v>-64024.4346919152</v>
      </c>
      <c r="V185" s="72" t="n">
        <f aca="false">V159-V164+V178+V179+V180+V182</f>
        <v>-61898.0634429563</v>
      </c>
      <c r="W185" s="72" t="n">
        <f aca="false">W159-W164+W178+W179+W180+W182</f>
        <v>-59824.6214693379</v>
      </c>
      <c r="X185" s="72" t="n">
        <f aca="false">X159-X164+X178+X179+X180+X182</f>
        <v>-57802.7924393529</v>
      </c>
      <c r="Y185" s="72" t="n">
        <f aca="false">Y159-Y164+Y178+Y179+Y180+Y182</f>
        <v>-55831.2927225818</v>
      </c>
      <c r="Z185" s="72" t="n">
        <f aca="false">Z159-Z164+Z178+Z179+Z180+Z182</f>
        <v>-53908.8705785703</v>
      </c>
      <c r="AA185" s="72" t="n">
        <f aca="false">AA159-AA164+AA178+AA179+AA180+AA182</f>
        <v>-106872.332341004</v>
      </c>
      <c r="AB185" s="72" t="n">
        <f aca="false">AB159-AB164+AB178+AB179+AB180+AB182</f>
        <v>-104183.634043166</v>
      </c>
      <c r="AC185" s="72" t="n">
        <f aca="false">AC159-AC164+AC178+AC179+AC180+AC182</f>
        <v>-101535.775444044</v>
      </c>
      <c r="AD185" s="72" t="n">
        <f aca="false">AD159-AD164+AD178+AD179+AD180+AD182</f>
        <v>-98953.8393444263</v>
      </c>
      <c r="AE185" s="72" t="n">
        <f aca="false">AE159-AE164+AE178+AE179+AE180+AE182</f>
        <v>-96436.1859007883</v>
      </c>
      <c r="AF185" s="72" t="n">
        <f aca="false">AF159-AF164+AF178+AF179+AF180+AF182</f>
        <v>-93981.216019126</v>
      </c>
      <c r="AG185" s="72" t="n">
        <f aca="false">AG159-AG164+AG178+AG179+AG180+AG182</f>
        <v>-91587.3703436136</v>
      </c>
      <c r="AH185" s="72" t="n">
        <f aca="false">AH159-AH164+AH178+AH179+AH180+AH182</f>
        <v>-89253.1282703241</v>
      </c>
      <c r="AI185" s="72" t="n">
        <f aca="false">AI159-AI164+AI178+AI179+AI180+AI182</f>
        <v>-86977.0069853917</v>
      </c>
      <c r="AJ185" s="72" t="n">
        <f aca="false">AJ159-AJ164+AJ178+AJ179+AJ180+AJ182</f>
        <v>-84757.5605270119</v>
      </c>
      <c r="AK185" s="72" t="n">
        <f aca="false">AK159-AK164+AK178+AK179+AK180+AK182</f>
        <v>-82593.378870688</v>
      </c>
      <c r="AL185" s="72" t="n">
        <f aca="false">AL159-AL164+AL178+AL179+AL180+AL182</f>
        <v>-80483.0870371505</v>
      </c>
      <c r="AM185" s="72" t="n">
        <f aca="false">AM159-AM164+AM178+AM179+AM180+AM182</f>
        <v>-163702.545294705</v>
      </c>
      <c r="AN185" s="72" t="n">
        <f aca="false">AN159-AN164+AN178+AN179+AN180+AN182</f>
        <v>-160586.348620119</v>
      </c>
      <c r="AO185" s="72" t="n">
        <f aca="false">AO159-AO164+AO178+AO179+AO180+AO182</f>
        <v>-157513.788525485</v>
      </c>
      <c r="AP185" s="72" t="n">
        <f aca="false">AP159-AP164+AP178+AP179+AP180+AP182</f>
        <v>-154517.741984964</v>
      </c>
      <c r="AQ185" s="72" t="n">
        <f aca="false">AQ159-AQ164+AQ178+AQ179+AQ180+AQ182</f>
        <v>-151596.305173153</v>
      </c>
      <c r="AR185" s="72" t="n">
        <f aca="false">AR159-AR164+AR178+AR179+AR180+AR182</f>
        <v>-148747.621589876</v>
      </c>
      <c r="AS185" s="72" t="n">
        <f aca="false">AS159-AS164+AS178+AS179+AS180+AS182</f>
        <v>-145969.880885175</v>
      </c>
      <c r="AT185" s="72" t="n">
        <f aca="false">AT159-AT164+AT178+AT179+AT180+AT182</f>
        <v>-143261.317713413</v>
      </c>
      <c r="AU185" s="72" t="n">
        <f aca="false">AU159-AU164+AU178+AU179+AU180+AU182</f>
        <v>-140620.210615809</v>
      </c>
      <c r="AV185" s="72" t="n">
        <f aca="false">AV159-AV164+AV178+AV179+AV180+AV182</f>
        <v>-138044.880930662</v>
      </c>
      <c r="AW185" s="72" t="n">
        <f aca="false">AW159-AW164+AW178+AW179+AW180+AW182</f>
        <v>-135533.691730611</v>
      </c>
      <c r="AX185" s="72" t="n">
        <f aca="false">AX159-AX164+AX178+AX179+AX180+AX182</f>
        <v>-133085.046786239</v>
      </c>
      <c r="AY185" s="72" t="n">
        <f aca="false">AY159-AY164+AY178+AY179+AY180+AY182</f>
        <v>-263429.989659403</v>
      </c>
      <c r="AZ185" s="72" t="n">
        <f aca="false">AZ159-AZ164+AZ178+AZ179+AZ180+AZ182</f>
        <v>-259668.973260816</v>
      </c>
      <c r="BA185" s="72" t="n">
        <f aca="false">BA159-BA164+BA178+BA179+BA180+BA182</f>
        <v>-255957.37884821</v>
      </c>
      <c r="BB185" s="72" t="n">
        <f aca="false">BB159-BB164+BB178+BB179+BB180+BB182</f>
        <v>-252338.227408175</v>
      </c>
      <c r="BC185" s="72" t="n">
        <f aca="false">BC159-BC164+BC178+BC179+BC180+BC182</f>
        <v>-248809.218273028</v>
      </c>
      <c r="BD185" s="72" t="n">
        <f aca="false">BD159-BD164+BD178+BD179+BD180+BD182</f>
        <v>-245368.107979582</v>
      </c>
      <c r="BE185" s="72" t="n">
        <f aca="false">BE159-BE164+BE178+BE179+BE180+BE182</f>
        <v>-242012.708848393</v>
      </c>
      <c r="BF185" s="72" t="n">
        <f aca="false">BF159-BF164+BF178+BF179+BF180+BF182</f>
        <v>-238740.887598258</v>
      </c>
      <c r="BG185" s="72" t="n">
        <f aca="false">BG159-BG164+BG178+BG179+BG180+BG182</f>
        <v>-235550.563995067</v>
      </c>
      <c r="BH185" s="72" t="n">
        <f aca="false">BH159-BH164+BH178+BH179+BH180+BH182</f>
        <v>-232439.709534176</v>
      </c>
      <c r="BI185" s="72" t="n">
        <f aca="false">BI159-BI164+BI178+BI179+BI180+BI182</f>
        <v>-229406.346155461</v>
      </c>
      <c r="BJ185" s="72" t="n">
        <f aca="false">BJ159-BJ164+BJ178+BJ179+BJ180+BJ182</f>
        <v>-226448.544990247</v>
      </c>
    </row>
    <row r="186" customFormat="false" ht="15" hidden="false" customHeight="false" outlineLevel="0" collapsed="false">
      <c r="A186" s="6" t="s">
        <v>421</v>
      </c>
      <c r="C186" s="66" t="n">
        <f aca="false">-C162</f>
        <v>-20000</v>
      </c>
      <c r="D186" s="66" t="n">
        <f aca="false">-D162</f>
        <v>-0</v>
      </c>
      <c r="E186" s="66" t="n">
        <f aca="false">-E162</f>
        <v>-0</v>
      </c>
      <c r="F186" s="66" t="n">
        <f aca="false">-F162</f>
        <v>-0</v>
      </c>
      <c r="G186" s="66" t="n">
        <f aca="false">-G162</f>
        <v>-0</v>
      </c>
      <c r="H186" s="66" t="n">
        <f aca="false">-H162</f>
        <v>-0</v>
      </c>
      <c r="I186" s="66" t="n">
        <f aca="false">-I162</f>
        <v>-0</v>
      </c>
      <c r="J186" s="66" t="n">
        <f aca="false">-J162</f>
        <v>-0</v>
      </c>
      <c r="K186" s="66" t="n">
        <f aca="false">-K162</f>
        <v>-0</v>
      </c>
      <c r="L186" s="66" t="n">
        <f aca="false">-L162</f>
        <v>-0</v>
      </c>
      <c r="M186" s="66" t="n">
        <f aca="false">-M162</f>
        <v>-0</v>
      </c>
      <c r="N186" s="66" t="n">
        <f aca="false">-N162</f>
        <v>-0</v>
      </c>
      <c r="O186" s="66" t="n">
        <f aca="false">-O162</f>
        <v>-0</v>
      </c>
      <c r="P186" s="66" t="n">
        <f aca="false">-P162</f>
        <v>-0</v>
      </c>
      <c r="Q186" s="66" t="n">
        <f aca="false">-Q162</f>
        <v>-0</v>
      </c>
      <c r="R186" s="66" t="n">
        <f aca="false">-R162</f>
        <v>-0</v>
      </c>
      <c r="S186" s="66" t="n">
        <f aca="false">-S162</f>
        <v>-0</v>
      </c>
      <c r="T186" s="66" t="n">
        <f aca="false">-T162</f>
        <v>-0</v>
      </c>
      <c r="U186" s="66" t="n">
        <f aca="false">-U162</f>
        <v>-0</v>
      </c>
      <c r="V186" s="66" t="n">
        <f aca="false">-V162</f>
        <v>-0</v>
      </c>
      <c r="W186" s="66" t="n">
        <f aca="false">-W162</f>
        <v>-0</v>
      </c>
      <c r="X186" s="66" t="n">
        <f aca="false">-X162</f>
        <v>-0</v>
      </c>
      <c r="Y186" s="66" t="n">
        <f aca="false">-Y162</f>
        <v>-0</v>
      </c>
      <c r="Z186" s="66" t="n">
        <f aca="false">-Z162</f>
        <v>-0</v>
      </c>
      <c r="AA186" s="66" t="n">
        <f aca="false">-AA162</f>
        <v>-0</v>
      </c>
      <c r="AB186" s="66" t="n">
        <f aca="false">-AB162</f>
        <v>-0</v>
      </c>
      <c r="AC186" s="66" t="n">
        <f aca="false">-AC162</f>
        <v>-0</v>
      </c>
      <c r="AD186" s="66" t="n">
        <f aca="false">-AD162</f>
        <v>-0</v>
      </c>
      <c r="AE186" s="66" t="n">
        <f aca="false">-AE162</f>
        <v>-0</v>
      </c>
      <c r="AF186" s="66" t="n">
        <f aca="false">-AF162</f>
        <v>-0</v>
      </c>
      <c r="AG186" s="66" t="n">
        <f aca="false">-AG162</f>
        <v>-0</v>
      </c>
      <c r="AH186" s="66" t="n">
        <f aca="false">-AH162</f>
        <v>-0</v>
      </c>
      <c r="AI186" s="66" t="n">
        <f aca="false">-AI162</f>
        <v>-0</v>
      </c>
      <c r="AJ186" s="66" t="n">
        <f aca="false">-AJ162</f>
        <v>-0</v>
      </c>
      <c r="AK186" s="66" t="n">
        <f aca="false">-AK162</f>
        <v>-0</v>
      </c>
      <c r="AL186" s="66" t="n">
        <f aca="false">-AL162</f>
        <v>-0</v>
      </c>
      <c r="AM186" s="66" t="n">
        <f aca="false">-AM162</f>
        <v>-0</v>
      </c>
      <c r="AN186" s="66" t="n">
        <f aca="false">-AN162</f>
        <v>-0</v>
      </c>
      <c r="AO186" s="66" t="n">
        <f aca="false">-AO162</f>
        <v>-0</v>
      </c>
      <c r="AP186" s="66" t="n">
        <f aca="false">-AP162</f>
        <v>-0</v>
      </c>
      <c r="AQ186" s="66" t="n">
        <f aca="false">-AQ162</f>
        <v>-0</v>
      </c>
      <c r="AR186" s="66" t="n">
        <f aca="false">-AR162</f>
        <v>-0</v>
      </c>
      <c r="AS186" s="66" t="n">
        <f aca="false">-AS162</f>
        <v>-0</v>
      </c>
      <c r="AT186" s="66" t="n">
        <f aca="false">-AT162</f>
        <v>-0</v>
      </c>
      <c r="AU186" s="66" t="n">
        <f aca="false">-AU162</f>
        <v>-0</v>
      </c>
      <c r="AV186" s="66" t="n">
        <f aca="false">-AV162</f>
        <v>-0</v>
      </c>
      <c r="AW186" s="66" t="n">
        <f aca="false">-AW162</f>
        <v>-0</v>
      </c>
      <c r="AX186" s="66" t="n">
        <f aca="false">-AX162</f>
        <v>-0</v>
      </c>
      <c r="AY186" s="66" t="n">
        <f aca="false">-AY162</f>
        <v>-0</v>
      </c>
      <c r="AZ186" s="66" t="n">
        <f aca="false">-AZ162</f>
        <v>-0</v>
      </c>
      <c r="BA186" s="66" t="n">
        <f aca="false">-BA162</f>
        <v>-0</v>
      </c>
      <c r="BB186" s="66" t="n">
        <f aca="false">-BB162</f>
        <v>-0</v>
      </c>
      <c r="BC186" s="66" t="n">
        <f aca="false">-BC162</f>
        <v>-0</v>
      </c>
      <c r="BD186" s="66" t="n">
        <f aca="false">-BD162</f>
        <v>-0</v>
      </c>
      <c r="BE186" s="66" t="n">
        <f aca="false">-BE162</f>
        <v>-0</v>
      </c>
      <c r="BF186" s="66" t="n">
        <f aca="false">-BF162</f>
        <v>-0</v>
      </c>
      <c r="BG186" s="66" t="n">
        <f aca="false">-BG162</f>
        <v>-0</v>
      </c>
      <c r="BH186" s="66" t="n">
        <f aca="false">-BH162</f>
        <v>-0</v>
      </c>
      <c r="BI186" s="66" t="n">
        <f aca="false">-BI162</f>
        <v>-0</v>
      </c>
      <c r="BJ186" s="66" t="n">
        <f aca="false">-BJ162</f>
        <v>-0</v>
      </c>
    </row>
    <row r="187" customFormat="false" ht="15" hidden="false" customHeight="false" outlineLevel="0" collapsed="false">
      <c r="A187" s="6" t="s">
        <v>63</v>
      </c>
      <c r="C187" s="66" t="n">
        <f aca="false">IF(C$119=1,Inputs!$C$46,0)</f>
        <v>3000000</v>
      </c>
      <c r="D187" s="66" t="n">
        <f aca="false">IF(D$119=1,Inputs!$C$46,0)</f>
        <v>0</v>
      </c>
      <c r="E187" s="66" t="n">
        <f aca="false">IF(E$119=1,Inputs!$C$46,0)</f>
        <v>0</v>
      </c>
      <c r="F187" s="66" t="n">
        <f aca="false">IF(F$119=1,Inputs!$C$46,0)</f>
        <v>0</v>
      </c>
      <c r="G187" s="66" t="n">
        <f aca="false">IF(G$119=1,Inputs!$C$46,0)</f>
        <v>0</v>
      </c>
      <c r="H187" s="66" t="n">
        <f aca="false">IF(H$119=1,Inputs!$C$46,0)</f>
        <v>0</v>
      </c>
      <c r="I187" s="66" t="n">
        <f aca="false">IF(I$119=1,Inputs!$C$46,0)</f>
        <v>0</v>
      </c>
      <c r="J187" s="66" t="n">
        <f aca="false">IF(J$119=1,Inputs!$C$46,0)</f>
        <v>0</v>
      </c>
      <c r="K187" s="66" t="n">
        <f aca="false">IF(K$119=1,Inputs!$C$46,0)</f>
        <v>0</v>
      </c>
      <c r="L187" s="66" t="n">
        <f aca="false">IF(L$119=1,Inputs!$C$46,0)</f>
        <v>0</v>
      </c>
      <c r="M187" s="66" t="n">
        <f aca="false">IF(M$119=1,Inputs!$C$46,0)</f>
        <v>0</v>
      </c>
      <c r="N187" s="66" t="n">
        <f aca="false">IF(N$119=1,Inputs!$C$46,0)</f>
        <v>0</v>
      </c>
      <c r="O187" s="66" t="n">
        <f aca="false">IF(O$119=1,Inputs!$C$46,0)</f>
        <v>0</v>
      </c>
      <c r="P187" s="66" t="n">
        <f aca="false">IF(P$119=1,Inputs!$C$46,0)</f>
        <v>0</v>
      </c>
      <c r="Q187" s="66" t="n">
        <f aca="false">IF(Q$119=1,Inputs!$C$46,0)</f>
        <v>0</v>
      </c>
      <c r="R187" s="66" t="n">
        <f aca="false">IF(R$119=1,Inputs!$C$46,0)</f>
        <v>0</v>
      </c>
      <c r="S187" s="66" t="n">
        <f aca="false">IF(S$119=1,Inputs!$C$46,0)</f>
        <v>0</v>
      </c>
      <c r="T187" s="66" t="n">
        <f aca="false">IF(T$119=1,Inputs!$C$46,0)</f>
        <v>0</v>
      </c>
      <c r="U187" s="66" t="n">
        <f aca="false">IF(U$119=1,Inputs!$C$46,0)</f>
        <v>0</v>
      </c>
      <c r="V187" s="66" t="n">
        <f aca="false">IF(V$119=1,Inputs!$C$46,0)</f>
        <v>0</v>
      </c>
      <c r="W187" s="66" t="n">
        <f aca="false">IF(W$119=1,Inputs!$C$46,0)</f>
        <v>0</v>
      </c>
      <c r="X187" s="66" t="n">
        <f aca="false">IF(X$119=1,Inputs!$C$46,0)</f>
        <v>0</v>
      </c>
      <c r="Y187" s="66" t="n">
        <f aca="false">IF(Y$119=1,Inputs!$C$46,0)</f>
        <v>0</v>
      </c>
      <c r="Z187" s="66" t="n">
        <f aca="false">IF(Z$119=1,Inputs!$C$46,0)</f>
        <v>0</v>
      </c>
      <c r="AA187" s="66" t="n">
        <f aca="false">IF(AA$119=1,Inputs!$C$46,0)</f>
        <v>0</v>
      </c>
      <c r="AB187" s="66" t="n">
        <f aca="false">IF(AB$119=1,Inputs!$C$46,0)</f>
        <v>0</v>
      </c>
      <c r="AC187" s="66" t="n">
        <f aca="false">IF(AC$119=1,Inputs!$C$46,0)</f>
        <v>0</v>
      </c>
      <c r="AD187" s="66" t="n">
        <f aca="false">IF(AD$119=1,Inputs!$C$46,0)</f>
        <v>0</v>
      </c>
      <c r="AE187" s="66" t="n">
        <f aca="false">IF(AE$119=1,Inputs!$C$46,0)</f>
        <v>0</v>
      </c>
      <c r="AF187" s="66" t="n">
        <f aca="false">IF(AF$119=1,Inputs!$C$46,0)</f>
        <v>0</v>
      </c>
      <c r="AG187" s="66" t="n">
        <f aca="false">IF(AG$119=1,Inputs!$C$46,0)</f>
        <v>0</v>
      </c>
      <c r="AH187" s="66" t="n">
        <f aca="false">IF(AH$119=1,Inputs!$C$46,0)</f>
        <v>0</v>
      </c>
      <c r="AI187" s="66" t="n">
        <f aca="false">IF(AI$119=1,Inputs!$C$46,0)</f>
        <v>0</v>
      </c>
      <c r="AJ187" s="66" t="n">
        <f aca="false">IF(AJ$119=1,Inputs!$C$46,0)</f>
        <v>0</v>
      </c>
      <c r="AK187" s="66" t="n">
        <f aca="false">IF(AK$119=1,Inputs!$C$46,0)</f>
        <v>0</v>
      </c>
      <c r="AL187" s="66" t="n">
        <f aca="false">IF(AL$119=1,Inputs!$C$46,0)</f>
        <v>0</v>
      </c>
      <c r="AM187" s="66" t="n">
        <f aca="false">IF(AM$119=1,Inputs!$C$46,0)</f>
        <v>0</v>
      </c>
      <c r="AN187" s="66" t="n">
        <f aca="false">IF(AN$119=1,Inputs!$C$46,0)</f>
        <v>0</v>
      </c>
      <c r="AO187" s="66" t="n">
        <f aca="false">IF(AO$119=1,Inputs!$C$46,0)</f>
        <v>0</v>
      </c>
      <c r="AP187" s="66" t="n">
        <f aca="false">IF(AP$119=1,Inputs!$C$46,0)</f>
        <v>0</v>
      </c>
      <c r="AQ187" s="66" t="n">
        <f aca="false">IF(AQ$119=1,Inputs!$C$46,0)</f>
        <v>0</v>
      </c>
      <c r="AR187" s="66" t="n">
        <f aca="false">IF(AR$119=1,Inputs!$C$46,0)</f>
        <v>0</v>
      </c>
      <c r="AS187" s="66" t="n">
        <f aca="false">IF(AS$119=1,Inputs!$C$46,0)</f>
        <v>0</v>
      </c>
      <c r="AT187" s="66" t="n">
        <f aca="false">IF(AT$119=1,Inputs!$C$46,0)</f>
        <v>0</v>
      </c>
      <c r="AU187" s="66" t="n">
        <f aca="false">IF(AU$119=1,Inputs!$C$46,0)</f>
        <v>0</v>
      </c>
      <c r="AV187" s="66" t="n">
        <f aca="false">IF(AV$119=1,Inputs!$C$46,0)</f>
        <v>0</v>
      </c>
      <c r="AW187" s="66" t="n">
        <f aca="false">IF(AW$119=1,Inputs!$C$46,0)</f>
        <v>0</v>
      </c>
      <c r="AX187" s="66" t="n">
        <f aca="false">IF(AX$119=1,Inputs!$C$46,0)</f>
        <v>0</v>
      </c>
      <c r="AY187" s="66" t="n">
        <f aca="false">IF(AY$119=1,Inputs!$C$46,0)</f>
        <v>0</v>
      </c>
      <c r="AZ187" s="66" t="n">
        <f aca="false">IF(AZ$119=1,Inputs!$C$46,0)</f>
        <v>0</v>
      </c>
      <c r="BA187" s="66" t="n">
        <f aca="false">IF(BA$119=1,Inputs!$C$46,0)</f>
        <v>0</v>
      </c>
      <c r="BB187" s="66" t="n">
        <f aca="false">IF(BB$119=1,Inputs!$C$46,0)</f>
        <v>0</v>
      </c>
      <c r="BC187" s="66" t="n">
        <f aca="false">IF(BC$119=1,Inputs!$C$46,0)</f>
        <v>0</v>
      </c>
      <c r="BD187" s="66" t="n">
        <f aca="false">IF(BD$119=1,Inputs!$C$46,0)</f>
        <v>0</v>
      </c>
      <c r="BE187" s="66" t="n">
        <f aca="false">IF(BE$119=1,Inputs!$C$46,0)</f>
        <v>0</v>
      </c>
      <c r="BF187" s="66" t="n">
        <f aca="false">IF(BF$119=1,Inputs!$C$46,0)</f>
        <v>0</v>
      </c>
      <c r="BG187" s="66" t="n">
        <f aca="false">IF(BG$119=1,Inputs!$C$46,0)</f>
        <v>0</v>
      </c>
      <c r="BH187" s="66" t="n">
        <f aca="false">IF(BH$119=1,Inputs!$C$46,0)</f>
        <v>0</v>
      </c>
      <c r="BI187" s="66" t="n">
        <f aca="false">IF(BI$119=1,Inputs!$C$46,0)</f>
        <v>0</v>
      </c>
      <c r="BJ187" s="66" t="n">
        <f aca="false">IF(BJ$119=1,Inputs!$C$46,0)</f>
        <v>0</v>
      </c>
    </row>
    <row r="188" customFormat="false" ht="15" hidden="false" customHeight="false" outlineLevel="0" collapsed="false">
      <c r="A188" s="6" t="s">
        <v>54</v>
      </c>
      <c r="C188" s="66" t="n">
        <f aca="false">C187+C170+C171</f>
        <v>3000000</v>
      </c>
      <c r="D188" s="66" t="n">
        <f aca="false">D187+D170+D171</f>
        <v>0</v>
      </c>
      <c r="E188" s="66" t="n">
        <f aca="false">E187+E170+E171</f>
        <v>0</v>
      </c>
      <c r="F188" s="66" t="n">
        <f aca="false">F187+F170+F171</f>
        <v>0</v>
      </c>
      <c r="G188" s="66" t="n">
        <f aca="false">G187+G170+G171</f>
        <v>0</v>
      </c>
      <c r="H188" s="66" t="n">
        <f aca="false">H187+H170+H171</f>
        <v>0</v>
      </c>
      <c r="I188" s="66" t="n">
        <f aca="false">I187+I170+I171</f>
        <v>0</v>
      </c>
      <c r="J188" s="66" t="n">
        <f aca="false">J187+J170+J171</f>
        <v>0</v>
      </c>
      <c r="K188" s="66" t="n">
        <f aca="false">K187+K170+K171</f>
        <v>0</v>
      </c>
      <c r="L188" s="66" t="n">
        <f aca="false">L187+L170+L171</f>
        <v>0</v>
      </c>
      <c r="M188" s="66" t="n">
        <f aca="false">M187+M170+M171</f>
        <v>0</v>
      </c>
      <c r="N188" s="66" t="n">
        <f aca="false">N187+N170+N171</f>
        <v>0</v>
      </c>
      <c r="O188" s="66" t="n">
        <f aca="false">O187+O170+O171</f>
        <v>0</v>
      </c>
      <c r="P188" s="66" t="n">
        <f aca="false">P187+P170+P171</f>
        <v>0</v>
      </c>
      <c r="Q188" s="66" t="n">
        <f aca="false">Q187+Q170+Q171</f>
        <v>0</v>
      </c>
      <c r="R188" s="66" t="n">
        <f aca="false">R187+R170+R171</f>
        <v>0</v>
      </c>
      <c r="S188" s="66" t="n">
        <f aca="false">S187+S170+S171</f>
        <v>0</v>
      </c>
      <c r="T188" s="66" t="n">
        <f aca="false">T187+T170+T171</f>
        <v>0</v>
      </c>
      <c r="U188" s="66" t="n">
        <f aca="false">U187+U170+U171</f>
        <v>0</v>
      </c>
      <c r="V188" s="66" t="n">
        <f aca="false">V187+V170+V171</f>
        <v>0</v>
      </c>
      <c r="W188" s="66" t="n">
        <f aca="false">W187+W170+W171</f>
        <v>0</v>
      </c>
      <c r="X188" s="66" t="n">
        <f aca="false">X187+X170+X171</f>
        <v>0</v>
      </c>
      <c r="Y188" s="66" t="n">
        <f aca="false">Y187+Y170+Y171</f>
        <v>0</v>
      </c>
      <c r="Z188" s="66" t="n">
        <f aca="false">Z187+Z170+Z171</f>
        <v>0</v>
      </c>
      <c r="AA188" s="66" t="n">
        <f aca="false">AA187+AA170+AA171</f>
        <v>0</v>
      </c>
      <c r="AB188" s="66" t="n">
        <f aca="false">AB187+AB170+AB171</f>
        <v>0</v>
      </c>
      <c r="AC188" s="66" t="n">
        <f aca="false">AC187+AC170+AC171</f>
        <v>0</v>
      </c>
      <c r="AD188" s="66" t="n">
        <f aca="false">AD187+AD170+AD171</f>
        <v>0</v>
      </c>
      <c r="AE188" s="66" t="n">
        <f aca="false">AE187+AE170+AE171</f>
        <v>0</v>
      </c>
      <c r="AF188" s="66" t="n">
        <f aca="false">AF187+AF170+AF171</f>
        <v>0</v>
      </c>
      <c r="AG188" s="66" t="n">
        <f aca="false">AG187+AG170+AG171</f>
        <v>0</v>
      </c>
      <c r="AH188" s="66" t="n">
        <f aca="false">AH187+AH170+AH171</f>
        <v>0</v>
      </c>
      <c r="AI188" s="66" t="n">
        <f aca="false">AI187+AI170+AI171</f>
        <v>0</v>
      </c>
      <c r="AJ188" s="66" t="n">
        <f aca="false">AJ187+AJ170+AJ171</f>
        <v>0</v>
      </c>
      <c r="AK188" s="66" t="n">
        <f aca="false">AK187+AK170+AK171</f>
        <v>0</v>
      </c>
      <c r="AL188" s="66" t="n">
        <f aca="false">AL187+AL170+AL171</f>
        <v>0</v>
      </c>
      <c r="AM188" s="66" t="n">
        <f aca="false">AM187+AM170+AM171</f>
        <v>0</v>
      </c>
      <c r="AN188" s="66" t="n">
        <f aca="false">AN187+AN170+AN171</f>
        <v>0</v>
      </c>
      <c r="AO188" s="66" t="n">
        <f aca="false">AO187+AO170+AO171</f>
        <v>0</v>
      </c>
      <c r="AP188" s="66" t="n">
        <f aca="false">AP187+AP170+AP171</f>
        <v>0</v>
      </c>
      <c r="AQ188" s="66" t="n">
        <f aca="false">AQ187+AQ170+AQ171</f>
        <v>0</v>
      </c>
      <c r="AR188" s="66" t="n">
        <f aca="false">AR187+AR170+AR171</f>
        <v>0</v>
      </c>
      <c r="AS188" s="66" t="n">
        <f aca="false">AS187+AS170+AS171</f>
        <v>0</v>
      </c>
      <c r="AT188" s="66" t="n">
        <f aca="false">AT187+AT170+AT171</f>
        <v>0</v>
      </c>
      <c r="AU188" s="66" t="n">
        <f aca="false">AU187+AU170+AU171</f>
        <v>0</v>
      </c>
      <c r="AV188" s="66" t="n">
        <f aca="false">AV187+AV170+AV171</f>
        <v>0</v>
      </c>
      <c r="AW188" s="66" t="n">
        <f aca="false">AW187+AW170+AW171</f>
        <v>0</v>
      </c>
      <c r="AX188" s="66" t="n">
        <f aca="false">AX187+AX170+AX171</f>
        <v>0</v>
      </c>
      <c r="AY188" s="66" t="n">
        <f aca="false">AY187+AY170+AY171</f>
        <v>0</v>
      </c>
      <c r="AZ188" s="66" t="n">
        <f aca="false">AZ187+AZ170+AZ171</f>
        <v>0</v>
      </c>
      <c r="BA188" s="66" t="n">
        <f aca="false">BA187+BA170+BA171</f>
        <v>0</v>
      </c>
      <c r="BB188" s="66" t="n">
        <f aca="false">BB187+BB170+BB171</f>
        <v>0</v>
      </c>
      <c r="BC188" s="66" t="n">
        <f aca="false">BC187+BC170+BC171</f>
        <v>0</v>
      </c>
      <c r="BD188" s="66" t="n">
        <f aca="false">BD187+BD170+BD171</f>
        <v>0</v>
      </c>
      <c r="BE188" s="66" t="n">
        <f aca="false">BE187+BE170+BE171</f>
        <v>0</v>
      </c>
      <c r="BF188" s="66" t="n">
        <f aca="false">BF187+BF170+BF171</f>
        <v>0</v>
      </c>
      <c r="BG188" s="66" t="n">
        <f aca="false">BG187+BG170+BG171</f>
        <v>0</v>
      </c>
      <c r="BH188" s="66" t="n">
        <f aca="false">BH187+BH170+BH171</f>
        <v>0</v>
      </c>
      <c r="BI188" s="66" t="n">
        <f aca="false">BI187+BI170+BI171</f>
        <v>0</v>
      </c>
      <c r="BJ188" s="66" t="n">
        <f aca="false">BJ187+BJ170+BJ171</f>
        <v>0</v>
      </c>
    </row>
    <row r="189" customFormat="false" ht="15" hidden="false" customHeight="false" outlineLevel="0" collapsed="false">
      <c r="A189" s="111" t="s">
        <v>422</v>
      </c>
      <c r="C189" s="67" t="n">
        <f aca="false">C185+C186+C188</f>
        <v>2915534.89583333</v>
      </c>
      <c r="D189" s="67" t="n">
        <f aca="false">D185+D186+D188</f>
        <v>-65545.5460069444</v>
      </c>
      <c r="E189" s="67" t="n">
        <f aca="false">E185+E186+E188</f>
        <v>-63191.5685234375</v>
      </c>
      <c r="F189" s="67" t="n">
        <f aca="false">F185+F186+F188</f>
        <v>-60896.1560309071</v>
      </c>
      <c r="G189" s="67" t="n">
        <f aca="false">G185+G186+G188</f>
        <v>-58657.8529379622</v>
      </c>
      <c r="H189" s="67" t="n">
        <f aca="false">H185+H186+H188</f>
        <v>-56475.239786995</v>
      </c>
      <c r="I189" s="67" t="n">
        <f aca="false">I185+I186+I188</f>
        <v>-54346.9323585164</v>
      </c>
      <c r="J189" s="67" t="n">
        <f aca="false">J185+J186+J188</f>
        <v>-52271.5807976527</v>
      </c>
      <c r="K189" s="67" t="n">
        <f aca="false">K185+K186+K188</f>
        <v>-50247.8687622566</v>
      </c>
      <c r="L189" s="67" t="n">
        <f aca="false">L185+L186+L188</f>
        <v>-48274.5125920979</v>
      </c>
      <c r="M189" s="67" t="n">
        <f aca="false">M185+M186+M188</f>
        <v>-46350.2604986151</v>
      </c>
      <c r="N189" s="67" t="n">
        <f aca="false">N185+N186+N188</f>
        <v>-44473.8917747187</v>
      </c>
      <c r="O189" s="67" t="n">
        <f aca="false">O185+O186+O188</f>
        <v>-77951.6339574849</v>
      </c>
      <c r="P189" s="67" t="n">
        <f aca="false">P185+P186+P188</f>
        <v>-75498.6973838123</v>
      </c>
      <c r="Q189" s="67" t="n">
        <f aca="false">Q185+Q186+Q188</f>
        <v>-73086.7308042236</v>
      </c>
      <c r="R189" s="67" t="n">
        <f aca="false">R185+R186+R188</f>
        <v>-70734.7955461411</v>
      </c>
      <c r="S189" s="67" t="n">
        <f aca="false">S185+S186+S188</f>
        <v>-68441.3988618166</v>
      </c>
      <c r="T189" s="67" t="n">
        <f aca="false">T185+T186+T188</f>
        <v>-66205.085081137</v>
      </c>
      <c r="U189" s="67" t="n">
        <f aca="false">U185+U186+U188</f>
        <v>-64024.4346919152</v>
      </c>
      <c r="V189" s="67" t="n">
        <f aca="false">V185+V186+V188</f>
        <v>-61898.0634429563</v>
      </c>
      <c r="W189" s="67" t="n">
        <f aca="false">W185+W186+W188</f>
        <v>-59824.6214693379</v>
      </c>
      <c r="X189" s="67" t="n">
        <f aca="false">X185+X186+X188</f>
        <v>-57802.7924393529</v>
      </c>
      <c r="Y189" s="67" t="n">
        <f aca="false">Y185+Y186+Y188</f>
        <v>-55831.2927225818</v>
      </c>
      <c r="Z189" s="67" t="n">
        <f aca="false">Z185+Z186+Z188</f>
        <v>-53908.8705785703</v>
      </c>
      <c r="AA189" s="67" t="n">
        <f aca="false">AA185+AA186+AA188</f>
        <v>-106872.332341004</v>
      </c>
      <c r="AB189" s="67" t="n">
        <f aca="false">AB185+AB186+AB188</f>
        <v>-104183.634043166</v>
      </c>
      <c r="AC189" s="67" t="n">
        <f aca="false">AC185+AC186+AC188</f>
        <v>-101535.775444044</v>
      </c>
      <c r="AD189" s="67" t="n">
        <f aca="false">AD185+AD186+AD188</f>
        <v>-98953.8393444263</v>
      </c>
      <c r="AE189" s="67" t="n">
        <f aca="false">AE185+AE186+AE188</f>
        <v>-96436.1859007883</v>
      </c>
      <c r="AF189" s="67" t="n">
        <f aca="false">AF185+AF186+AF188</f>
        <v>-93981.216019126</v>
      </c>
      <c r="AG189" s="67" t="n">
        <f aca="false">AG185+AG186+AG188</f>
        <v>-91587.3703436136</v>
      </c>
      <c r="AH189" s="67" t="n">
        <f aca="false">AH185+AH186+AH188</f>
        <v>-89253.1282703241</v>
      </c>
      <c r="AI189" s="67" t="n">
        <f aca="false">AI185+AI186+AI188</f>
        <v>-86977.0069853917</v>
      </c>
      <c r="AJ189" s="67" t="n">
        <f aca="false">AJ185+AJ186+AJ188</f>
        <v>-84757.5605270119</v>
      </c>
      <c r="AK189" s="67" t="n">
        <f aca="false">AK185+AK186+AK188</f>
        <v>-82593.378870688</v>
      </c>
      <c r="AL189" s="67" t="n">
        <f aca="false">AL185+AL186+AL188</f>
        <v>-80483.0870371505</v>
      </c>
      <c r="AM189" s="67" t="n">
        <f aca="false">AM185+AM186+AM188</f>
        <v>-163702.545294705</v>
      </c>
      <c r="AN189" s="67" t="n">
        <f aca="false">AN185+AN186+AN188</f>
        <v>-160586.348620119</v>
      </c>
      <c r="AO189" s="67" t="n">
        <f aca="false">AO185+AO186+AO188</f>
        <v>-157513.788525485</v>
      </c>
      <c r="AP189" s="67" t="n">
        <f aca="false">AP185+AP186+AP188</f>
        <v>-154517.741984964</v>
      </c>
      <c r="AQ189" s="67" t="n">
        <f aca="false">AQ185+AQ186+AQ188</f>
        <v>-151596.305173153</v>
      </c>
      <c r="AR189" s="67" t="n">
        <f aca="false">AR185+AR186+AR188</f>
        <v>-148747.621589876</v>
      </c>
      <c r="AS189" s="67" t="n">
        <f aca="false">AS185+AS186+AS188</f>
        <v>-145969.880885175</v>
      </c>
      <c r="AT189" s="67" t="n">
        <f aca="false">AT185+AT186+AT188</f>
        <v>-143261.317713413</v>
      </c>
      <c r="AU189" s="67" t="n">
        <f aca="false">AU185+AU186+AU188</f>
        <v>-140620.210615809</v>
      </c>
      <c r="AV189" s="67" t="n">
        <f aca="false">AV185+AV186+AV188</f>
        <v>-138044.880930662</v>
      </c>
      <c r="AW189" s="67" t="n">
        <f aca="false">AW185+AW186+AW188</f>
        <v>-135533.691730611</v>
      </c>
      <c r="AX189" s="67" t="n">
        <f aca="false">AX185+AX186+AX188</f>
        <v>-133085.046786239</v>
      </c>
      <c r="AY189" s="67" t="n">
        <f aca="false">AY185+AY186+AY188</f>
        <v>-263429.989659403</v>
      </c>
      <c r="AZ189" s="67" t="n">
        <f aca="false">AZ185+AZ186+AZ188</f>
        <v>-259668.973260816</v>
      </c>
      <c r="BA189" s="67" t="n">
        <f aca="false">BA185+BA186+BA188</f>
        <v>-255957.37884821</v>
      </c>
      <c r="BB189" s="67" t="n">
        <f aca="false">BB185+BB186+BB188</f>
        <v>-252338.227408175</v>
      </c>
      <c r="BC189" s="67" t="n">
        <f aca="false">BC185+BC186+BC188</f>
        <v>-248809.218273028</v>
      </c>
      <c r="BD189" s="67" t="n">
        <f aca="false">BD185+BD186+BD188</f>
        <v>-245368.107979582</v>
      </c>
      <c r="BE189" s="67" t="n">
        <f aca="false">BE185+BE186+BE188</f>
        <v>-242012.708848393</v>
      </c>
      <c r="BF189" s="67" t="n">
        <f aca="false">BF185+BF186+BF188</f>
        <v>-238740.887598258</v>
      </c>
      <c r="BG189" s="67" t="n">
        <f aca="false">BG185+BG186+BG188</f>
        <v>-235550.563995067</v>
      </c>
      <c r="BH189" s="67" t="n">
        <f aca="false">BH185+BH186+BH188</f>
        <v>-232439.709534176</v>
      </c>
      <c r="BI189" s="67" t="n">
        <f aca="false">BI185+BI186+BI188</f>
        <v>-229406.346155461</v>
      </c>
      <c r="BJ189" s="67" t="n">
        <f aca="false">BJ185+BJ186+BJ188</f>
        <v>-226448.544990247</v>
      </c>
    </row>
    <row r="190" customFormat="false" ht="15" hidden="false" customHeight="false" outlineLevel="0" collapsed="false">
      <c r="A190" s="6" t="s">
        <v>328</v>
      </c>
      <c r="C190" s="66" t="n">
        <f aca="false">0</f>
        <v>0</v>
      </c>
      <c r="D190" s="66" t="n">
        <f aca="false">C191</f>
        <v>2915534.89583333</v>
      </c>
      <c r="E190" s="66" t="n">
        <f aca="false">D191</f>
        <v>2849989.34982639</v>
      </c>
      <c r="F190" s="66" t="n">
        <f aca="false">E191</f>
        <v>2786797.78130295</v>
      </c>
      <c r="G190" s="66" t="n">
        <f aca="false">F191</f>
        <v>2725901.62527204</v>
      </c>
      <c r="H190" s="66" t="n">
        <f aca="false">G191</f>
        <v>2667243.77233408</v>
      </c>
      <c r="I190" s="66" t="n">
        <f aca="false">H191</f>
        <v>2610768.53254709</v>
      </c>
      <c r="J190" s="66" t="n">
        <f aca="false">I191</f>
        <v>2556421.60018857</v>
      </c>
      <c r="K190" s="66" t="n">
        <f aca="false">J191</f>
        <v>2504150.01939092</v>
      </c>
      <c r="L190" s="66" t="n">
        <f aca="false">K191</f>
        <v>2453902.15062866</v>
      </c>
      <c r="M190" s="66" t="n">
        <f aca="false">L191</f>
        <v>2405627.63803656</v>
      </c>
      <c r="N190" s="66" t="n">
        <f aca="false">M191</f>
        <v>2359277.37753795</v>
      </c>
      <c r="O190" s="66" t="n">
        <f aca="false">N191</f>
        <v>2314803.48576323</v>
      </c>
      <c r="P190" s="66" t="n">
        <f aca="false">O191</f>
        <v>2236851.85180574</v>
      </c>
      <c r="Q190" s="66" t="n">
        <f aca="false">P191</f>
        <v>2161353.15442193</v>
      </c>
      <c r="R190" s="66" t="n">
        <f aca="false">Q191</f>
        <v>2088266.42361771</v>
      </c>
      <c r="S190" s="66" t="n">
        <f aca="false">R191</f>
        <v>2017531.62807157</v>
      </c>
      <c r="T190" s="66" t="n">
        <f aca="false">S191</f>
        <v>1949090.22920975</v>
      </c>
      <c r="U190" s="66" t="n">
        <f aca="false">T191</f>
        <v>1882885.14412861</v>
      </c>
      <c r="V190" s="66" t="n">
        <f aca="false">U191</f>
        <v>1818860.7094367</v>
      </c>
      <c r="W190" s="66" t="n">
        <f aca="false">V191</f>
        <v>1756962.64599374</v>
      </c>
      <c r="X190" s="66" t="n">
        <f aca="false">W191</f>
        <v>1697138.02452441</v>
      </c>
      <c r="Y190" s="66" t="n">
        <f aca="false">X191</f>
        <v>1639335.23208505</v>
      </c>
      <c r="Z190" s="66" t="n">
        <f aca="false">Y191</f>
        <v>1583503.93936247</v>
      </c>
      <c r="AA190" s="66" t="n">
        <f aca="false">Z191</f>
        <v>1529595.0687839</v>
      </c>
      <c r="AB190" s="66" t="n">
        <f aca="false">AA191</f>
        <v>1422722.7364429</v>
      </c>
      <c r="AC190" s="66" t="n">
        <f aca="false">AB191</f>
        <v>1318539.10239973</v>
      </c>
      <c r="AD190" s="66" t="n">
        <f aca="false">AC191</f>
        <v>1217003.32695569</v>
      </c>
      <c r="AE190" s="66" t="n">
        <f aca="false">AD191</f>
        <v>1118049.48761126</v>
      </c>
      <c r="AF190" s="66" t="n">
        <f aca="false">AE191</f>
        <v>1021613.30171047</v>
      </c>
      <c r="AG190" s="66" t="n">
        <f aca="false">AF191</f>
        <v>927632.085691346</v>
      </c>
      <c r="AH190" s="66" t="n">
        <f aca="false">AG191</f>
        <v>836044.715347732</v>
      </c>
      <c r="AI190" s="66" t="n">
        <f aca="false">AH191</f>
        <v>746791.587077408</v>
      </c>
      <c r="AJ190" s="66" t="n">
        <f aca="false">AI191</f>
        <v>659814.580092016</v>
      </c>
      <c r="AK190" s="66" t="n">
        <f aca="false">AJ191</f>
        <v>575057.019565004</v>
      </c>
      <c r="AL190" s="66" t="n">
        <f aca="false">AK191</f>
        <v>492463.640694316</v>
      </c>
      <c r="AM190" s="66" t="n">
        <f aca="false">AL191</f>
        <v>411980.553657166</v>
      </c>
      <c r="AN190" s="66" t="n">
        <f aca="false">AM191</f>
        <v>248278.00836246</v>
      </c>
      <c r="AO190" s="66" t="n">
        <f aca="false">AN191</f>
        <v>87691.6597423413</v>
      </c>
      <c r="AP190" s="66" t="n">
        <f aca="false">AO191</f>
        <v>-69822.1287831434</v>
      </c>
      <c r="AQ190" s="66" t="n">
        <f aca="false">AP191</f>
        <v>-224339.870768108</v>
      </c>
      <c r="AR190" s="66" t="n">
        <f aca="false">AQ191</f>
        <v>-375936.175941261</v>
      </c>
      <c r="AS190" s="66" t="n">
        <f aca="false">AR191</f>
        <v>-524683.797531137</v>
      </c>
      <c r="AT190" s="66" t="n">
        <f aca="false">AS191</f>
        <v>-670653.678416312</v>
      </c>
      <c r="AU190" s="66" t="n">
        <f aca="false">AT191</f>
        <v>-813914.996129725</v>
      </c>
      <c r="AV190" s="66" t="n">
        <f aca="false">AU191</f>
        <v>-954535.206745534</v>
      </c>
      <c r="AW190" s="66" t="n">
        <f aca="false">AV191</f>
        <v>-1092580.0876762</v>
      </c>
      <c r="AX190" s="66" t="n">
        <f aca="false">AW191</f>
        <v>-1228113.77940681</v>
      </c>
      <c r="AY190" s="66" t="n">
        <f aca="false">AX191</f>
        <v>-1361198.82619305</v>
      </c>
      <c r="AZ190" s="66" t="n">
        <f aca="false">AY191</f>
        <v>-1624628.81585245</v>
      </c>
      <c r="BA190" s="66" t="n">
        <f aca="false">AZ191</f>
        <v>-1884297.78911326</v>
      </c>
      <c r="BB190" s="66" t="n">
        <f aca="false">BA191</f>
        <v>-2140255.16796147</v>
      </c>
      <c r="BC190" s="66" t="n">
        <f aca="false">BB191</f>
        <v>-2392593.39536965</v>
      </c>
      <c r="BD190" s="66" t="n">
        <f aca="false">BC191</f>
        <v>-2641402.61364268</v>
      </c>
      <c r="BE190" s="66" t="n">
        <f aca="false">BD191</f>
        <v>-2886770.72162226</v>
      </c>
      <c r="BF190" s="66" t="n">
        <f aca="false">BE191</f>
        <v>-3128783.43047065</v>
      </c>
      <c r="BG190" s="66" t="n">
        <f aca="false">BF191</f>
        <v>-3367524.31806891</v>
      </c>
      <c r="BH190" s="66" t="n">
        <f aca="false">BG191</f>
        <v>-3603074.88206398</v>
      </c>
      <c r="BI190" s="66" t="n">
        <f aca="false">BH191</f>
        <v>-3835514.59159815</v>
      </c>
      <c r="BJ190" s="66" t="n">
        <f aca="false">BI191</f>
        <v>-4064920.93775361</v>
      </c>
    </row>
    <row r="191" customFormat="false" ht="15" hidden="false" customHeight="false" outlineLevel="0" collapsed="false">
      <c r="A191" s="111" t="s">
        <v>86</v>
      </c>
      <c r="C191" s="67" t="n">
        <f aca="false">C190+C189</f>
        <v>2915534.89583333</v>
      </c>
      <c r="D191" s="67" t="n">
        <f aca="false">D190+D189</f>
        <v>2849989.34982639</v>
      </c>
      <c r="E191" s="67" t="n">
        <f aca="false">E190+E189</f>
        <v>2786797.78130295</v>
      </c>
      <c r="F191" s="67" t="n">
        <f aca="false">F190+F189</f>
        <v>2725901.62527204</v>
      </c>
      <c r="G191" s="67" t="n">
        <f aca="false">G190+G189</f>
        <v>2667243.77233408</v>
      </c>
      <c r="H191" s="67" t="n">
        <f aca="false">H190+H189</f>
        <v>2610768.53254709</v>
      </c>
      <c r="I191" s="67" t="n">
        <f aca="false">I190+I189</f>
        <v>2556421.60018857</v>
      </c>
      <c r="J191" s="67" t="n">
        <f aca="false">J190+J189</f>
        <v>2504150.01939092</v>
      </c>
      <c r="K191" s="67" t="n">
        <f aca="false">K190+K189</f>
        <v>2453902.15062866</v>
      </c>
      <c r="L191" s="67" t="n">
        <f aca="false">L190+L189</f>
        <v>2405627.63803656</v>
      </c>
      <c r="M191" s="67" t="n">
        <f aca="false">M190+M189</f>
        <v>2359277.37753795</v>
      </c>
      <c r="N191" s="67" t="n">
        <f aca="false">N190+N189</f>
        <v>2314803.48576323</v>
      </c>
      <c r="O191" s="67" t="n">
        <f aca="false">O190+O189</f>
        <v>2236851.85180574</v>
      </c>
      <c r="P191" s="67" t="n">
        <f aca="false">P190+P189</f>
        <v>2161353.15442193</v>
      </c>
      <c r="Q191" s="67" t="n">
        <f aca="false">Q190+Q189</f>
        <v>2088266.42361771</v>
      </c>
      <c r="R191" s="67" t="n">
        <f aca="false">R190+R189</f>
        <v>2017531.62807157</v>
      </c>
      <c r="S191" s="67" t="n">
        <f aca="false">S190+S189</f>
        <v>1949090.22920975</v>
      </c>
      <c r="T191" s="67" t="n">
        <f aca="false">T190+T189</f>
        <v>1882885.14412861</v>
      </c>
      <c r="U191" s="67" t="n">
        <f aca="false">U190+U189</f>
        <v>1818860.7094367</v>
      </c>
      <c r="V191" s="67" t="n">
        <f aca="false">V190+V189</f>
        <v>1756962.64599374</v>
      </c>
      <c r="W191" s="67" t="n">
        <f aca="false">W190+W189</f>
        <v>1697138.02452441</v>
      </c>
      <c r="X191" s="67" t="n">
        <f aca="false">X190+X189</f>
        <v>1639335.23208505</v>
      </c>
      <c r="Y191" s="67" t="n">
        <f aca="false">Y190+Y189</f>
        <v>1583503.93936247</v>
      </c>
      <c r="Z191" s="67" t="n">
        <f aca="false">Z190+Z189</f>
        <v>1529595.0687839</v>
      </c>
      <c r="AA191" s="67" t="n">
        <f aca="false">AA190+AA189</f>
        <v>1422722.7364429</v>
      </c>
      <c r="AB191" s="67" t="n">
        <f aca="false">AB190+AB189</f>
        <v>1318539.10239973</v>
      </c>
      <c r="AC191" s="67" t="n">
        <f aca="false">AC190+AC189</f>
        <v>1217003.32695569</v>
      </c>
      <c r="AD191" s="67" t="n">
        <f aca="false">AD190+AD189</f>
        <v>1118049.48761126</v>
      </c>
      <c r="AE191" s="67" t="n">
        <f aca="false">AE190+AE189</f>
        <v>1021613.30171047</v>
      </c>
      <c r="AF191" s="67" t="n">
        <f aca="false">AF190+AF189</f>
        <v>927632.085691346</v>
      </c>
      <c r="AG191" s="67" t="n">
        <f aca="false">AG190+AG189</f>
        <v>836044.715347732</v>
      </c>
      <c r="AH191" s="67" t="n">
        <f aca="false">AH190+AH189</f>
        <v>746791.587077408</v>
      </c>
      <c r="AI191" s="67" t="n">
        <f aca="false">AI190+AI189</f>
        <v>659814.580092016</v>
      </c>
      <c r="AJ191" s="67" t="n">
        <f aca="false">AJ190+AJ189</f>
        <v>575057.019565004</v>
      </c>
      <c r="AK191" s="67" t="n">
        <f aca="false">AK190+AK189</f>
        <v>492463.640694316</v>
      </c>
      <c r="AL191" s="67" t="n">
        <f aca="false">AL190+AL189</f>
        <v>411980.553657166</v>
      </c>
      <c r="AM191" s="67" t="n">
        <f aca="false">AM190+AM189</f>
        <v>248278.00836246</v>
      </c>
      <c r="AN191" s="67" t="n">
        <f aca="false">AN190+AN189</f>
        <v>87691.6597423413</v>
      </c>
      <c r="AO191" s="67" t="n">
        <f aca="false">AO190+AO189</f>
        <v>-69822.1287831434</v>
      </c>
      <c r="AP191" s="67" t="n">
        <f aca="false">AP190+AP189</f>
        <v>-224339.870768108</v>
      </c>
      <c r="AQ191" s="67" t="n">
        <f aca="false">AQ190+AQ189</f>
        <v>-375936.175941261</v>
      </c>
      <c r="AR191" s="67" t="n">
        <f aca="false">AR190+AR189</f>
        <v>-524683.797531137</v>
      </c>
      <c r="AS191" s="67" t="n">
        <f aca="false">AS190+AS189</f>
        <v>-670653.678416312</v>
      </c>
      <c r="AT191" s="67" t="n">
        <f aca="false">AT190+AT189</f>
        <v>-813914.996129725</v>
      </c>
      <c r="AU191" s="67" t="n">
        <f aca="false">AU190+AU189</f>
        <v>-954535.206745534</v>
      </c>
      <c r="AV191" s="67" t="n">
        <f aca="false">AV190+AV189</f>
        <v>-1092580.0876762</v>
      </c>
      <c r="AW191" s="67" t="n">
        <f aca="false">AW190+AW189</f>
        <v>-1228113.77940681</v>
      </c>
      <c r="AX191" s="67" t="n">
        <f aca="false">AX190+AX189</f>
        <v>-1361198.82619305</v>
      </c>
      <c r="AY191" s="67" t="n">
        <f aca="false">AY190+AY189</f>
        <v>-1624628.81585245</v>
      </c>
      <c r="AZ191" s="67" t="n">
        <f aca="false">AZ190+AZ189</f>
        <v>-1884297.78911326</v>
      </c>
      <c r="BA191" s="67" t="n">
        <f aca="false">BA190+BA189</f>
        <v>-2140255.16796147</v>
      </c>
      <c r="BB191" s="67" t="n">
        <f aca="false">BB190+BB189</f>
        <v>-2392593.39536965</v>
      </c>
      <c r="BC191" s="67" t="n">
        <f aca="false">BC190+BC189</f>
        <v>-2641402.61364268</v>
      </c>
      <c r="BD191" s="67" t="n">
        <f aca="false">BD190+BD189</f>
        <v>-2886770.72162226</v>
      </c>
      <c r="BE191" s="67" t="n">
        <f aca="false">BE190+BE189</f>
        <v>-3128783.43047065</v>
      </c>
      <c r="BF191" s="67" t="n">
        <f aca="false">BF190+BF189</f>
        <v>-3367524.31806891</v>
      </c>
      <c r="BG191" s="67" t="n">
        <f aca="false">BG190+BG189</f>
        <v>-3603074.88206398</v>
      </c>
      <c r="BH191" s="67" t="n">
        <f aca="false">BH190+BH189</f>
        <v>-3835514.59159815</v>
      </c>
      <c r="BI191" s="67" t="n">
        <f aca="false">BI190+BI189</f>
        <v>-4064920.93775361</v>
      </c>
      <c r="BJ191" s="67" t="n">
        <f aca="false">BJ190+BJ189</f>
        <v>-4291369.48274386</v>
      </c>
    </row>
    <row r="192" customFormat="false" ht="15" hidden="false" customHeight="false" outlineLevel="0" collapsed="false">
      <c r="A192" s="119" t="s">
        <v>423</v>
      </c>
      <c r="C192" s="120" t="n">
        <f aca="false">IF(C150&gt;0,1,0)</f>
        <v>0</v>
      </c>
      <c r="D192" s="120" t="n">
        <f aca="false">IF(D150&gt;0,1,0)</f>
        <v>0</v>
      </c>
      <c r="E192" s="120" t="n">
        <f aca="false">IF(E150&gt;0,1,0)</f>
        <v>0</v>
      </c>
      <c r="F192" s="120" t="n">
        <f aca="false">IF(F150&gt;0,1,0)</f>
        <v>0</v>
      </c>
      <c r="G192" s="120" t="n">
        <f aca="false">IF(G150&gt;0,1,0)</f>
        <v>0</v>
      </c>
      <c r="H192" s="120" t="n">
        <f aca="false">IF(H150&gt;0,1,0)</f>
        <v>0</v>
      </c>
      <c r="I192" s="120" t="n">
        <f aca="false">IF(I150&gt;0,1,0)</f>
        <v>0</v>
      </c>
      <c r="J192" s="120" t="n">
        <f aca="false">IF(J150&gt;0,1,0)</f>
        <v>0</v>
      </c>
      <c r="K192" s="120" t="n">
        <f aca="false">IF(K150&gt;0,1,0)</f>
        <v>0</v>
      </c>
      <c r="L192" s="120" t="n">
        <f aca="false">IF(L150&gt;0,1,0)</f>
        <v>0</v>
      </c>
      <c r="M192" s="120" t="n">
        <f aca="false">IF(M150&gt;0,1,0)</f>
        <v>0</v>
      </c>
      <c r="N192" s="120" t="n">
        <f aca="false">IF(N150&gt;0,1,0)</f>
        <v>0</v>
      </c>
      <c r="O192" s="120" t="n">
        <f aca="false">IF(O150&gt;0,1,0)</f>
        <v>0</v>
      </c>
      <c r="P192" s="120" t="n">
        <f aca="false">IF(P150&gt;0,1,0)</f>
        <v>0</v>
      </c>
      <c r="Q192" s="120" t="n">
        <f aca="false">IF(Q150&gt;0,1,0)</f>
        <v>0</v>
      </c>
      <c r="R192" s="120" t="n">
        <f aca="false">IF(R150&gt;0,1,0)</f>
        <v>0</v>
      </c>
      <c r="S192" s="120" t="n">
        <f aca="false">IF(S150&gt;0,1,0)</f>
        <v>0</v>
      </c>
      <c r="T192" s="120" t="n">
        <f aca="false">IF(T150&gt;0,1,0)</f>
        <v>0</v>
      </c>
      <c r="U192" s="120" t="n">
        <f aca="false">IF(U150&gt;0,1,0)</f>
        <v>0</v>
      </c>
      <c r="V192" s="120" t="n">
        <f aca="false">IF(V150&gt;0,1,0)</f>
        <v>0</v>
      </c>
      <c r="W192" s="120" t="n">
        <f aca="false">IF(W150&gt;0,1,0)</f>
        <v>0</v>
      </c>
      <c r="X192" s="120" t="n">
        <f aca="false">IF(X150&gt;0,1,0)</f>
        <v>0</v>
      </c>
      <c r="Y192" s="120" t="n">
        <f aca="false">IF(Y150&gt;0,1,0)</f>
        <v>0</v>
      </c>
      <c r="Z192" s="120" t="n">
        <f aca="false">IF(Z150&gt;0,1,0)</f>
        <v>0</v>
      </c>
      <c r="AA192" s="120" t="n">
        <f aca="false">IF(AA150&gt;0,1,0)</f>
        <v>0</v>
      </c>
      <c r="AB192" s="120" t="n">
        <f aca="false">IF(AB150&gt;0,1,0)</f>
        <v>0</v>
      </c>
      <c r="AC192" s="120" t="n">
        <f aca="false">IF(AC150&gt;0,1,0)</f>
        <v>0</v>
      </c>
      <c r="AD192" s="120" t="n">
        <f aca="false">IF(AD150&gt;0,1,0)</f>
        <v>0</v>
      </c>
      <c r="AE192" s="120" t="n">
        <f aca="false">IF(AE150&gt;0,1,0)</f>
        <v>0</v>
      </c>
      <c r="AF192" s="120" t="n">
        <f aca="false">IF(AF150&gt;0,1,0)</f>
        <v>0</v>
      </c>
      <c r="AG192" s="120" t="n">
        <f aca="false">IF(AG150&gt;0,1,0)</f>
        <v>0</v>
      </c>
      <c r="AH192" s="120" t="n">
        <f aca="false">IF(AH150&gt;0,1,0)</f>
        <v>0</v>
      </c>
      <c r="AI192" s="120" t="n">
        <f aca="false">IF(AI150&gt;0,1,0)</f>
        <v>0</v>
      </c>
      <c r="AJ192" s="120" t="n">
        <f aca="false">IF(AJ150&gt;0,1,0)</f>
        <v>0</v>
      </c>
      <c r="AK192" s="120" t="n">
        <f aca="false">IF(AK150&gt;0,1,0)</f>
        <v>0</v>
      </c>
      <c r="AL192" s="120" t="n">
        <f aca="false">IF(AL150&gt;0,1,0)</f>
        <v>0</v>
      </c>
      <c r="AM192" s="120" t="n">
        <f aca="false">IF(AM150&gt;0,1,0)</f>
        <v>0</v>
      </c>
      <c r="AN192" s="120" t="n">
        <f aca="false">IF(AN150&gt;0,1,0)</f>
        <v>0</v>
      </c>
      <c r="AO192" s="120" t="n">
        <f aca="false">IF(AO150&gt;0,1,0)</f>
        <v>0</v>
      </c>
      <c r="AP192" s="120" t="n">
        <f aca="false">IF(AP150&gt;0,1,0)</f>
        <v>0</v>
      </c>
      <c r="AQ192" s="120" t="n">
        <f aca="false">IF(AQ150&gt;0,1,0)</f>
        <v>0</v>
      </c>
      <c r="AR192" s="120" t="n">
        <f aca="false">IF(AR150&gt;0,1,0)</f>
        <v>0</v>
      </c>
      <c r="AS192" s="120" t="n">
        <f aca="false">IF(AS150&gt;0,1,0)</f>
        <v>0</v>
      </c>
      <c r="AT192" s="120" t="n">
        <f aca="false">IF(AT150&gt;0,1,0)</f>
        <v>0</v>
      </c>
      <c r="AU192" s="120" t="n">
        <f aca="false">IF(AU150&gt;0,1,0)</f>
        <v>0</v>
      </c>
      <c r="AV192" s="120" t="n">
        <f aca="false">IF(AV150&gt;0,1,0)</f>
        <v>0</v>
      </c>
      <c r="AW192" s="120" t="n">
        <f aca="false">IF(AW150&gt;0,1,0)</f>
        <v>0</v>
      </c>
      <c r="AX192" s="120" t="n">
        <f aca="false">IF(AX150&gt;0,1,0)</f>
        <v>0</v>
      </c>
      <c r="AY192" s="120" t="n">
        <f aca="false">IF(AY150&gt;0,1,0)</f>
        <v>0</v>
      </c>
      <c r="AZ192" s="120" t="n">
        <f aca="false">IF(AZ150&gt;0,1,0)</f>
        <v>0</v>
      </c>
      <c r="BA192" s="120" t="n">
        <f aca="false">IF(BA150&gt;0,1,0)</f>
        <v>0</v>
      </c>
      <c r="BB192" s="120" t="n">
        <f aca="false">IF(BB150&gt;0,1,0)</f>
        <v>0</v>
      </c>
      <c r="BC192" s="120" t="n">
        <f aca="false">IF(BC150&gt;0,1,0)</f>
        <v>0</v>
      </c>
      <c r="BD192" s="120" t="n">
        <f aca="false">IF(BD150&gt;0,1,0)</f>
        <v>0</v>
      </c>
      <c r="BE192" s="120" t="n">
        <f aca="false">IF(BE150&gt;0,1,0)</f>
        <v>0</v>
      </c>
      <c r="BF192" s="120" t="n">
        <f aca="false">IF(BF150&gt;0,1,0)</f>
        <v>0</v>
      </c>
      <c r="BG192" s="120" t="n">
        <f aca="false">IF(BG150&gt;0,1,0)</f>
        <v>0</v>
      </c>
      <c r="BH192" s="120" t="n">
        <f aca="false">IF(BH150&gt;0,1,0)</f>
        <v>0</v>
      </c>
      <c r="BI192" s="120" t="n">
        <f aca="false">IF(BI150&gt;0,1,0)</f>
        <v>0</v>
      </c>
      <c r="BJ192" s="120" t="n">
        <f aca="false">IF(BJ150&gt;0,1,0)</f>
        <v>0</v>
      </c>
    </row>
    <row r="194" customFormat="false" ht="15.75" hidden="false" customHeight="true" outlineLevel="0" collapsed="false">
      <c r="A194" s="7" t="s">
        <v>424</v>
      </c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</row>
    <row r="195" customFormat="false" ht="15" hidden="false" customHeight="false" outlineLevel="0" collapsed="false">
      <c r="A195" s="6" t="s">
        <v>425</v>
      </c>
      <c r="C195" s="66" t="n">
        <f aca="false">-(C185+C186)/1</f>
        <v>84465.1041666667</v>
      </c>
      <c r="D195" s="66" t="n">
        <f aca="false">-(D185+D186)/1</f>
        <v>65545.5460069444</v>
      </c>
      <c r="E195" s="66" t="n">
        <f aca="false">-(E185+E186)/1</f>
        <v>63191.5685234375</v>
      </c>
      <c r="F195" s="66" t="n">
        <f aca="false">-(F185+F186)/1</f>
        <v>60896.1560309071</v>
      </c>
      <c r="G195" s="66" t="n">
        <f aca="false">-(G185+G186)/1</f>
        <v>58657.8529379622</v>
      </c>
      <c r="H195" s="66" t="n">
        <f aca="false">-(H185+H186)/1</f>
        <v>56475.239786995</v>
      </c>
      <c r="I195" s="66" t="n">
        <f aca="false">-(I185+I186)/1</f>
        <v>54346.9323585164</v>
      </c>
      <c r="J195" s="66" t="n">
        <f aca="false">-(J185+J186)/1</f>
        <v>52271.5807976527</v>
      </c>
      <c r="K195" s="66" t="n">
        <f aca="false">-(K185+K186)/1</f>
        <v>50247.8687622566</v>
      </c>
      <c r="L195" s="66" t="n">
        <f aca="false">-(L185+L186)/1</f>
        <v>48274.5125920979</v>
      </c>
      <c r="M195" s="66" t="n">
        <f aca="false">-(M185+M186)/1</f>
        <v>46350.2604986151</v>
      </c>
      <c r="N195" s="66" t="n">
        <f aca="false">-(N185+N186)/1</f>
        <v>44473.8917747187</v>
      </c>
      <c r="O195" s="66" t="n">
        <f aca="false">-(O185+O186)/1</f>
        <v>77951.6339574849</v>
      </c>
      <c r="P195" s="66" t="n">
        <f aca="false">-(P185+P186)/1</f>
        <v>75498.6973838123</v>
      </c>
      <c r="Q195" s="66" t="n">
        <f aca="false">-(Q185+Q186)/1</f>
        <v>73086.7308042236</v>
      </c>
      <c r="R195" s="66" t="n">
        <f aca="false">-(R185+R186)/1</f>
        <v>70734.7955461411</v>
      </c>
      <c r="S195" s="66" t="n">
        <f aca="false">-(S185+S186)/1</f>
        <v>68441.3988618166</v>
      </c>
      <c r="T195" s="66" t="n">
        <f aca="false">-(T185+T186)/1</f>
        <v>66205.085081137</v>
      </c>
      <c r="U195" s="66" t="n">
        <f aca="false">-(U185+U186)/1</f>
        <v>64024.4346919152</v>
      </c>
      <c r="V195" s="66" t="n">
        <f aca="false">-(V185+V186)/1</f>
        <v>61898.0634429563</v>
      </c>
      <c r="W195" s="66" t="n">
        <f aca="false">-(W185+W186)/1</f>
        <v>59824.6214693379</v>
      </c>
      <c r="X195" s="66" t="n">
        <f aca="false">-(X185+X186)/1</f>
        <v>57802.7924393529</v>
      </c>
      <c r="Y195" s="66" t="n">
        <f aca="false">-(Y185+Y186)/1</f>
        <v>55831.2927225818</v>
      </c>
      <c r="Z195" s="66" t="n">
        <f aca="false">-(Z185+Z186)/1</f>
        <v>53908.8705785703</v>
      </c>
      <c r="AA195" s="66" t="n">
        <f aca="false">-(AA185+AA186)/1</f>
        <v>106872.332341004</v>
      </c>
      <c r="AB195" s="66" t="n">
        <f aca="false">-(AB185+AB186)/1</f>
        <v>104183.634043166</v>
      </c>
      <c r="AC195" s="66" t="n">
        <f aca="false">-(AC185+AC186)/1</f>
        <v>101535.775444044</v>
      </c>
      <c r="AD195" s="66" t="n">
        <f aca="false">-(AD185+AD186)/1</f>
        <v>98953.8393444263</v>
      </c>
      <c r="AE195" s="66" t="n">
        <f aca="false">-(AE185+AE186)/1</f>
        <v>96436.1859007883</v>
      </c>
      <c r="AF195" s="66" t="n">
        <f aca="false">-(AF185+AF186)/1</f>
        <v>93981.216019126</v>
      </c>
      <c r="AG195" s="66" t="n">
        <f aca="false">-(AG185+AG186)/1</f>
        <v>91587.3703436136</v>
      </c>
      <c r="AH195" s="66" t="n">
        <f aca="false">-(AH185+AH186)/1</f>
        <v>89253.1282703241</v>
      </c>
      <c r="AI195" s="66" t="n">
        <f aca="false">-(AI185+AI186)/1</f>
        <v>86977.0069853917</v>
      </c>
      <c r="AJ195" s="66" t="n">
        <f aca="false">-(AJ185+AJ186)/1</f>
        <v>84757.5605270119</v>
      </c>
      <c r="AK195" s="66" t="n">
        <f aca="false">-(AK185+AK186)/1</f>
        <v>82593.378870688</v>
      </c>
      <c r="AL195" s="66" t="n">
        <f aca="false">-(AL185+AL186)/1</f>
        <v>80483.0870371505</v>
      </c>
      <c r="AM195" s="66" t="n">
        <f aca="false">-(AM185+AM186)/1</f>
        <v>163702.545294705</v>
      </c>
      <c r="AN195" s="66" t="n">
        <f aca="false">-(AN185+AN186)/1</f>
        <v>160586.348620119</v>
      </c>
      <c r="AO195" s="66" t="n">
        <f aca="false">-(AO185+AO186)/1</f>
        <v>157513.788525485</v>
      </c>
      <c r="AP195" s="66" t="n">
        <f aca="false">-(AP185+AP186)/1</f>
        <v>154517.741984964</v>
      </c>
      <c r="AQ195" s="66" t="n">
        <f aca="false">-(AQ185+AQ186)/1</f>
        <v>151596.305173153</v>
      </c>
      <c r="AR195" s="66" t="n">
        <f aca="false">-(AR185+AR186)/1</f>
        <v>148747.621589876</v>
      </c>
      <c r="AS195" s="66" t="n">
        <f aca="false">-(AS185+AS186)/1</f>
        <v>145969.880885175</v>
      </c>
      <c r="AT195" s="66" t="n">
        <f aca="false">-(AT185+AT186)/1</f>
        <v>143261.317713413</v>
      </c>
      <c r="AU195" s="66" t="n">
        <f aca="false">-(AU185+AU186)/1</f>
        <v>140620.210615809</v>
      </c>
      <c r="AV195" s="66" t="n">
        <f aca="false">-(AV185+AV186)/1</f>
        <v>138044.880930662</v>
      </c>
      <c r="AW195" s="66" t="n">
        <f aca="false">-(AW185+AW186)/1</f>
        <v>135533.691730611</v>
      </c>
      <c r="AX195" s="66" t="n">
        <f aca="false">-(AX185+AX186)/1</f>
        <v>133085.046786239</v>
      </c>
      <c r="AY195" s="66" t="n">
        <f aca="false">-(AY185+AY186)/1</f>
        <v>263429.989659403</v>
      </c>
      <c r="AZ195" s="66" t="n">
        <f aca="false">-(AZ185+AZ186)/1</f>
        <v>259668.973260816</v>
      </c>
      <c r="BA195" s="66" t="n">
        <f aca="false">-(BA185+BA186)/1</f>
        <v>255957.37884821</v>
      </c>
      <c r="BB195" s="66" t="n">
        <f aca="false">-(BB185+BB186)/1</f>
        <v>252338.227408175</v>
      </c>
      <c r="BC195" s="66" t="n">
        <f aca="false">-(BC185+BC186)/1</f>
        <v>248809.218273028</v>
      </c>
      <c r="BD195" s="66" t="n">
        <f aca="false">-(BD185+BD186)/1</f>
        <v>245368.107979582</v>
      </c>
      <c r="BE195" s="66" t="n">
        <f aca="false">-(BE185+BE186)/1</f>
        <v>242012.708848393</v>
      </c>
      <c r="BF195" s="66" t="n">
        <f aca="false">-(BF185+BF186)/1</f>
        <v>238740.887598258</v>
      </c>
      <c r="BG195" s="66" t="n">
        <f aca="false">-(BG185+BG186)/1</f>
        <v>235550.563995067</v>
      </c>
      <c r="BH195" s="66" t="n">
        <f aca="false">-(BH185+BH186)/1</f>
        <v>232439.709534176</v>
      </c>
      <c r="BI195" s="66" t="n">
        <f aca="false">-(BI185+BI186)/1</f>
        <v>229406.346155461</v>
      </c>
      <c r="BJ195" s="66" t="n">
        <f aca="false">-(BJ185+BJ186)/1</f>
        <v>226448.544990247</v>
      </c>
    </row>
    <row r="196" customFormat="false" ht="15" hidden="false" customHeight="false" outlineLevel="0" collapsed="false">
      <c r="A196" s="38" t="s">
        <v>240</v>
      </c>
      <c r="C196" s="74" t="n">
        <f aca="false">Inputs!$C$10</f>
        <v>0.03</v>
      </c>
      <c r="D196" s="74" t="n">
        <f aca="false">Inputs!$C$10</f>
        <v>0.03</v>
      </c>
      <c r="E196" s="74" t="n">
        <f aca="false">Inputs!$C$10</f>
        <v>0.03</v>
      </c>
      <c r="F196" s="74" t="n">
        <f aca="false">Inputs!$C$10</f>
        <v>0.03</v>
      </c>
      <c r="G196" s="74" t="n">
        <f aca="false">Inputs!$C$10</f>
        <v>0.03</v>
      </c>
      <c r="H196" s="74" t="n">
        <f aca="false">Inputs!$C$10</f>
        <v>0.03</v>
      </c>
      <c r="I196" s="74" t="n">
        <f aca="false">Inputs!$C$10</f>
        <v>0.03</v>
      </c>
      <c r="J196" s="74" t="n">
        <f aca="false">Inputs!$C$10</f>
        <v>0.03</v>
      </c>
      <c r="K196" s="74" t="n">
        <f aca="false">Inputs!$C$10</f>
        <v>0.03</v>
      </c>
      <c r="L196" s="74" t="n">
        <f aca="false">Inputs!$C$10</f>
        <v>0.03</v>
      </c>
      <c r="M196" s="74" t="n">
        <f aca="false">Inputs!$C$10</f>
        <v>0.03</v>
      </c>
      <c r="N196" s="74" t="n">
        <f aca="false">Inputs!$C$10</f>
        <v>0.03</v>
      </c>
      <c r="O196" s="74" t="n">
        <f aca="false">Inputs!$C$10</f>
        <v>0.03</v>
      </c>
      <c r="P196" s="74" t="n">
        <f aca="false">Inputs!$C$10</f>
        <v>0.03</v>
      </c>
      <c r="Q196" s="74" t="n">
        <f aca="false">Inputs!$C$10</f>
        <v>0.03</v>
      </c>
      <c r="R196" s="74" t="n">
        <f aca="false">Inputs!$C$10</f>
        <v>0.03</v>
      </c>
      <c r="S196" s="74" t="n">
        <f aca="false">Inputs!$C$10</f>
        <v>0.03</v>
      </c>
      <c r="T196" s="74" t="n">
        <f aca="false">Inputs!$C$10</f>
        <v>0.03</v>
      </c>
      <c r="U196" s="74" t="n">
        <f aca="false">Inputs!$C$10</f>
        <v>0.03</v>
      </c>
      <c r="V196" s="74" t="n">
        <f aca="false">Inputs!$C$10</f>
        <v>0.03</v>
      </c>
      <c r="W196" s="74" t="n">
        <f aca="false">Inputs!$C$10</f>
        <v>0.03</v>
      </c>
      <c r="X196" s="74" t="n">
        <f aca="false">Inputs!$C$10</f>
        <v>0.03</v>
      </c>
      <c r="Y196" s="74" t="n">
        <f aca="false">Inputs!$C$10</f>
        <v>0.03</v>
      </c>
      <c r="Z196" s="74" t="n">
        <f aca="false">Inputs!$C$10</f>
        <v>0.03</v>
      </c>
      <c r="AA196" s="74" t="n">
        <f aca="false">Inputs!$C$10</f>
        <v>0.03</v>
      </c>
      <c r="AB196" s="74" t="n">
        <f aca="false">Inputs!$C$10</f>
        <v>0.03</v>
      </c>
      <c r="AC196" s="74" t="n">
        <f aca="false">Inputs!$C$10</f>
        <v>0.03</v>
      </c>
      <c r="AD196" s="74" t="n">
        <f aca="false">Inputs!$C$10</f>
        <v>0.03</v>
      </c>
      <c r="AE196" s="74" t="n">
        <f aca="false">Inputs!$C$10</f>
        <v>0.03</v>
      </c>
      <c r="AF196" s="74" t="n">
        <f aca="false">Inputs!$C$10</f>
        <v>0.03</v>
      </c>
      <c r="AG196" s="74" t="n">
        <f aca="false">Inputs!$C$10</f>
        <v>0.03</v>
      </c>
      <c r="AH196" s="74" t="n">
        <f aca="false">Inputs!$C$10</f>
        <v>0.03</v>
      </c>
      <c r="AI196" s="74" t="n">
        <f aca="false">Inputs!$C$10</f>
        <v>0.03</v>
      </c>
      <c r="AJ196" s="74" t="n">
        <f aca="false">Inputs!$C$10</f>
        <v>0.03</v>
      </c>
      <c r="AK196" s="74" t="n">
        <f aca="false">Inputs!$C$10</f>
        <v>0.03</v>
      </c>
      <c r="AL196" s="74" t="n">
        <f aca="false">Inputs!$C$10</f>
        <v>0.03</v>
      </c>
      <c r="AM196" s="74" t="n">
        <f aca="false">Inputs!$C$10</f>
        <v>0.03</v>
      </c>
      <c r="AN196" s="74" t="n">
        <f aca="false">Inputs!$C$10</f>
        <v>0.03</v>
      </c>
      <c r="AO196" s="74" t="n">
        <f aca="false">Inputs!$C$10</f>
        <v>0.03</v>
      </c>
      <c r="AP196" s="74" t="n">
        <f aca="false">Inputs!$C$10</f>
        <v>0.03</v>
      </c>
      <c r="AQ196" s="74" t="n">
        <f aca="false">Inputs!$C$10</f>
        <v>0.03</v>
      </c>
      <c r="AR196" s="74" t="n">
        <f aca="false">Inputs!$C$10</f>
        <v>0.03</v>
      </c>
      <c r="AS196" s="74" t="n">
        <f aca="false">Inputs!$C$10</f>
        <v>0.03</v>
      </c>
      <c r="AT196" s="74" t="n">
        <f aca="false">Inputs!$C$10</f>
        <v>0.03</v>
      </c>
      <c r="AU196" s="74" t="n">
        <f aca="false">Inputs!$C$10</f>
        <v>0.03</v>
      </c>
      <c r="AV196" s="74" t="n">
        <f aca="false">Inputs!$C$10</f>
        <v>0.03</v>
      </c>
      <c r="AW196" s="74" t="n">
        <f aca="false">Inputs!$C$10</f>
        <v>0.03</v>
      </c>
      <c r="AX196" s="74" t="n">
        <f aca="false">Inputs!$C$10</f>
        <v>0.03</v>
      </c>
      <c r="AY196" s="74" t="n">
        <f aca="false">Inputs!$C$10</f>
        <v>0.03</v>
      </c>
      <c r="AZ196" s="74" t="n">
        <f aca="false">Inputs!$C$10</f>
        <v>0.03</v>
      </c>
      <c r="BA196" s="74" t="n">
        <f aca="false">Inputs!$C$10</f>
        <v>0.03</v>
      </c>
      <c r="BB196" s="74" t="n">
        <f aca="false">Inputs!$C$10</f>
        <v>0.03</v>
      </c>
      <c r="BC196" s="74" t="n">
        <f aca="false">Inputs!$C$10</f>
        <v>0.03</v>
      </c>
      <c r="BD196" s="74" t="n">
        <f aca="false">Inputs!$C$10</f>
        <v>0.03</v>
      </c>
      <c r="BE196" s="74" t="n">
        <f aca="false">Inputs!$C$10</f>
        <v>0.03</v>
      </c>
      <c r="BF196" s="74" t="n">
        <f aca="false">Inputs!$C$10</f>
        <v>0.03</v>
      </c>
      <c r="BG196" s="74" t="n">
        <f aca="false">Inputs!$C$10</f>
        <v>0.03</v>
      </c>
      <c r="BH196" s="74" t="n">
        <f aca="false">Inputs!$C$10</f>
        <v>0.03</v>
      </c>
      <c r="BI196" s="74" t="n">
        <f aca="false">Inputs!$C$10</f>
        <v>0.03</v>
      </c>
      <c r="BJ196" s="74" t="n">
        <f aca="false">Inputs!$C$10</f>
        <v>0.03</v>
      </c>
    </row>
    <row r="198" customFormat="false" ht="15.75" hidden="false" customHeight="true" outlineLevel="0" collapsed="false">
      <c r="A198" s="7" t="s">
        <v>426</v>
      </c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</row>
    <row r="199" customFormat="false" ht="15" hidden="false" customHeight="false" outlineLevel="0" collapsed="false">
      <c r="A199" s="119" t="s">
        <v>427</v>
      </c>
      <c r="C199" s="120" t="n">
        <f aca="false">IF(C159&gt;0,1,0)</f>
        <v>0</v>
      </c>
      <c r="D199" s="120" t="n">
        <f aca="false">IF(D159&gt;0,1,0)</f>
        <v>0</v>
      </c>
      <c r="E199" s="120" t="n">
        <f aca="false">IF(E159&gt;0,1,0)</f>
        <v>0</v>
      </c>
      <c r="F199" s="120" t="n">
        <f aca="false">IF(F159&gt;0,1,0)</f>
        <v>0</v>
      </c>
      <c r="G199" s="120" t="n">
        <f aca="false">IF(G159&gt;0,1,0)</f>
        <v>0</v>
      </c>
      <c r="H199" s="120" t="n">
        <f aca="false">IF(H159&gt;0,1,0)</f>
        <v>0</v>
      </c>
      <c r="I199" s="120" t="n">
        <f aca="false">IF(I159&gt;0,1,0)</f>
        <v>0</v>
      </c>
      <c r="J199" s="120" t="n">
        <f aca="false">IF(J159&gt;0,1,0)</f>
        <v>0</v>
      </c>
      <c r="K199" s="120" t="n">
        <f aca="false">IF(K159&gt;0,1,0)</f>
        <v>0</v>
      </c>
      <c r="L199" s="120" t="n">
        <f aca="false">IF(L159&gt;0,1,0)</f>
        <v>0</v>
      </c>
      <c r="M199" s="120" t="n">
        <f aca="false">IF(M159&gt;0,1,0)</f>
        <v>0</v>
      </c>
      <c r="N199" s="120" t="n">
        <f aca="false">IF(N159&gt;0,1,0)</f>
        <v>0</v>
      </c>
      <c r="O199" s="120" t="n">
        <f aca="false">IF(O159&gt;0,1,0)</f>
        <v>0</v>
      </c>
      <c r="P199" s="120" t="n">
        <f aca="false">IF(P159&gt;0,1,0)</f>
        <v>0</v>
      </c>
      <c r="Q199" s="120" t="n">
        <f aca="false">IF(Q159&gt;0,1,0)</f>
        <v>0</v>
      </c>
      <c r="R199" s="120" t="n">
        <f aca="false">IF(R159&gt;0,1,0)</f>
        <v>0</v>
      </c>
      <c r="S199" s="120" t="n">
        <f aca="false">IF(S159&gt;0,1,0)</f>
        <v>0</v>
      </c>
      <c r="T199" s="120" t="n">
        <f aca="false">IF(T159&gt;0,1,0)</f>
        <v>0</v>
      </c>
      <c r="U199" s="120" t="n">
        <f aca="false">IF(U159&gt;0,1,0)</f>
        <v>0</v>
      </c>
      <c r="V199" s="120" t="n">
        <f aca="false">IF(V159&gt;0,1,0)</f>
        <v>0</v>
      </c>
      <c r="W199" s="120" t="n">
        <f aca="false">IF(W159&gt;0,1,0)</f>
        <v>0</v>
      </c>
      <c r="X199" s="120" t="n">
        <f aca="false">IF(X159&gt;0,1,0)</f>
        <v>0</v>
      </c>
      <c r="Y199" s="120" t="n">
        <f aca="false">IF(Y159&gt;0,1,0)</f>
        <v>0</v>
      </c>
      <c r="Z199" s="120" t="n">
        <f aca="false">IF(Z159&gt;0,1,0)</f>
        <v>0</v>
      </c>
      <c r="AA199" s="120" t="n">
        <f aca="false">IF(AA159&gt;0,1,0)</f>
        <v>0</v>
      </c>
      <c r="AB199" s="120" t="n">
        <f aca="false">IF(AB159&gt;0,1,0)</f>
        <v>0</v>
      </c>
      <c r="AC199" s="120" t="n">
        <f aca="false">IF(AC159&gt;0,1,0)</f>
        <v>0</v>
      </c>
      <c r="AD199" s="120" t="n">
        <f aca="false">IF(AD159&gt;0,1,0)</f>
        <v>0</v>
      </c>
      <c r="AE199" s="120" t="n">
        <f aca="false">IF(AE159&gt;0,1,0)</f>
        <v>0</v>
      </c>
      <c r="AF199" s="120" t="n">
        <f aca="false">IF(AF159&gt;0,1,0)</f>
        <v>0</v>
      </c>
      <c r="AG199" s="120" t="n">
        <f aca="false">IF(AG159&gt;0,1,0)</f>
        <v>0</v>
      </c>
      <c r="AH199" s="120" t="n">
        <f aca="false">IF(AH159&gt;0,1,0)</f>
        <v>0</v>
      </c>
      <c r="AI199" s="120" t="n">
        <f aca="false">IF(AI159&gt;0,1,0)</f>
        <v>0</v>
      </c>
      <c r="AJ199" s="120" t="n">
        <f aca="false">IF(AJ159&gt;0,1,0)</f>
        <v>0</v>
      </c>
      <c r="AK199" s="120" t="n">
        <f aca="false">IF(AK159&gt;0,1,0)</f>
        <v>0</v>
      </c>
      <c r="AL199" s="120" t="n">
        <f aca="false">IF(AL159&gt;0,1,0)</f>
        <v>0</v>
      </c>
      <c r="AM199" s="120" t="n">
        <f aca="false">IF(AM159&gt;0,1,0)</f>
        <v>0</v>
      </c>
      <c r="AN199" s="120" t="n">
        <f aca="false">IF(AN159&gt;0,1,0)</f>
        <v>0</v>
      </c>
      <c r="AO199" s="120" t="n">
        <f aca="false">IF(AO159&gt;0,1,0)</f>
        <v>0</v>
      </c>
      <c r="AP199" s="120" t="n">
        <f aca="false">IF(AP159&gt;0,1,0)</f>
        <v>0</v>
      </c>
      <c r="AQ199" s="120" t="n">
        <f aca="false">IF(AQ159&gt;0,1,0)</f>
        <v>0</v>
      </c>
      <c r="AR199" s="120" t="n">
        <f aca="false">IF(AR159&gt;0,1,0)</f>
        <v>0</v>
      </c>
      <c r="AS199" s="120" t="n">
        <f aca="false">IF(AS159&gt;0,1,0)</f>
        <v>0</v>
      </c>
      <c r="AT199" s="120" t="n">
        <f aca="false">IF(AT159&gt;0,1,0)</f>
        <v>0</v>
      </c>
      <c r="AU199" s="120" t="n">
        <f aca="false">IF(AU159&gt;0,1,0)</f>
        <v>0</v>
      </c>
      <c r="AV199" s="120" t="n">
        <f aca="false">IF(AV159&gt;0,1,0)</f>
        <v>0</v>
      </c>
      <c r="AW199" s="120" t="n">
        <f aca="false">IF(AW159&gt;0,1,0)</f>
        <v>0</v>
      </c>
      <c r="AX199" s="120" t="n">
        <f aca="false">IF(AX159&gt;0,1,0)</f>
        <v>0</v>
      </c>
      <c r="AY199" s="120" t="n">
        <f aca="false">IF(AY159&gt;0,1,0)</f>
        <v>0</v>
      </c>
      <c r="AZ199" s="120" t="n">
        <f aca="false">IF(AZ159&gt;0,1,0)</f>
        <v>0</v>
      </c>
      <c r="BA199" s="120" t="n">
        <f aca="false">IF(BA159&gt;0,1,0)</f>
        <v>0</v>
      </c>
      <c r="BB199" s="120" t="n">
        <f aca="false">IF(BB159&gt;0,1,0)</f>
        <v>0</v>
      </c>
      <c r="BC199" s="120" t="n">
        <f aca="false">IF(BC159&gt;0,1,0)</f>
        <v>0</v>
      </c>
      <c r="BD199" s="120" t="n">
        <f aca="false">IF(BD159&gt;0,1,0)</f>
        <v>0</v>
      </c>
      <c r="BE199" s="120" t="n">
        <f aca="false">IF(BE159&gt;0,1,0)</f>
        <v>0</v>
      </c>
      <c r="BF199" s="120" t="n">
        <f aca="false">IF(BF159&gt;0,1,0)</f>
        <v>0</v>
      </c>
      <c r="BG199" s="120" t="n">
        <f aca="false">IF(BG159&gt;0,1,0)</f>
        <v>0</v>
      </c>
      <c r="BH199" s="120" t="n">
        <f aca="false">IF(BH159&gt;0,1,0)</f>
        <v>0</v>
      </c>
      <c r="BI199" s="120" t="n">
        <f aca="false">IF(BI159&gt;0,1,0)</f>
        <v>0</v>
      </c>
      <c r="BJ199" s="120" t="n">
        <f aca="false">IF(BJ159&gt;0,1,0)</f>
        <v>0</v>
      </c>
    </row>
    <row r="200" customFormat="false" ht="15" hidden="false" customHeight="false" outlineLevel="0" collapsed="false">
      <c r="A200" s="6" t="s">
        <v>428</v>
      </c>
      <c r="C200" s="66" t="n">
        <f aca="false">C185+C186</f>
        <v>-84465.1041666667</v>
      </c>
      <c r="D200" s="66" t="n">
        <f aca="false">D185+D186</f>
        <v>-65545.5460069444</v>
      </c>
      <c r="E200" s="66" t="n">
        <f aca="false">E185+E186</f>
        <v>-63191.5685234375</v>
      </c>
      <c r="F200" s="66" t="n">
        <f aca="false">F185+F186</f>
        <v>-60896.1560309071</v>
      </c>
      <c r="G200" s="66" t="n">
        <f aca="false">G185+G186</f>
        <v>-58657.8529379622</v>
      </c>
      <c r="H200" s="66" t="n">
        <f aca="false">H185+H186</f>
        <v>-56475.239786995</v>
      </c>
      <c r="I200" s="66" t="n">
        <f aca="false">I185+I186</f>
        <v>-54346.9323585164</v>
      </c>
      <c r="J200" s="66" t="n">
        <f aca="false">J185+J186</f>
        <v>-52271.5807976527</v>
      </c>
      <c r="K200" s="66" t="n">
        <f aca="false">K185+K186</f>
        <v>-50247.8687622566</v>
      </c>
      <c r="L200" s="66" t="n">
        <f aca="false">L185+L186</f>
        <v>-48274.5125920979</v>
      </c>
      <c r="M200" s="66" t="n">
        <f aca="false">M185+M186</f>
        <v>-46350.2604986151</v>
      </c>
      <c r="N200" s="66" t="n">
        <f aca="false">N185+N186</f>
        <v>-44473.8917747187</v>
      </c>
      <c r="O200" s="66" t="n">
        <f aca="false">O185+O186</f>
        <v>-77951.6339574849</v>
      </c>
      <c r="P200" s="66" t="n">
        <f aca="false">P185+P186</f>
        <v>-75498.6973838123</v>
      </c>
      <c r="Q200" s="66" t="n">
        <f aca="false">Q185+Q186</f>
        <v>-73086.7308042236</v>
      </c>
      <c r="R200" s="66" t="n">
        <f aca="false">R185+R186</f>
        <v>-70734.7955461411</v>
      </c>
      <c r="S200" s="66" t="n">
        <f aca="false">S185+S186</f>
        <v>-68441.3988618166</v>
      </c>
      <c r="T200" s="66" t="n">
        <f aca="false">T185+T186</f>
        <v>-66205.085081137</v>
      </c>
      <c r="U200" s="66" t="n">
        <f aca="false">U185+U186</f>
        <v>-64024.4346919152</v>
      </c>
      <c r="V200" s="66" t="n">
        <f aca="false">V185+V186</f>
        <v>-61898.0634429563</v>
      </c>
      <c r="W200" s="66" t="n">
        <f aca="false">W185+W186</f>
        <v>-59824.6214693379</v>
      </c>
      <c r="X200" s="66" t="n">
        <f aca="false">X185+X186</f>
        <v>-57802.7924393529</v>
      </c>
      <c r="Y200" s="66" t="n">
        <f aca="false">Y185+Y186</f>
        <v>-55831.2927225818</v>
      </c>
      <c r="Z200" s="66" t="n">
        <f aca="false">Z185+Z186</f>
        <v>-53908.8705785703</v>
      </c>
      <c r="AA200" s="66" t="n">
        <f aca="false">AA185+AA186</f>
        <v>-106872.332341004</v>
      </c>
      <c r="AB200" s="66" t="n">
        <f aca="false">AB185+AB186</f>
        <v>-104183.634043166</v>
      </c>
      <c r="AC200" s="66" t="n">
        <f aca="false">AC185+AC186</f>
        <v>-101535.775444044</v>
      </c>
      <c r="AD200" s="66" t="n">
        <f aca="false">AD185+AD186</f>
        <v>-98953.8393444263</v>
      </c>
      <c r="AE200" s="66" t="n">
        <f aca="false">AE185+AE186</f>
        <v>-96436.1859007883</v>
      </c>
      <c r="AF200" s="66" t="n">
        <f aca="false">AF185+AF186</f>
        <v>-93981.216019126</v>
      </c>
      <c r="AG200" s="66" t="n">
        <f aca="false">AG185+AG186</f>
        <v>-91587.3703436136</v>
      </c>
      <c r="AH200" s="66" t="n">
        <f aca="false">AH185+AH186</f>
        <v>-89253.1282703241</v>
      </c>
      <c r="AI200" s="66" t="n">
        <f aca="false">AI185+AI186</f>
        <v>-86977.0069853917</v>
      </c>
      <c r="AJ200" s="66" t="n">
        <f aca="false">AJ185+AJ186</f>
        <v>-84757.5605270119</v>
      </c>
      <c r="AK200" s="66" t="n">
        <f aca="false">AK185+AK186</f>
        <v>-82593.378870688</v>
      </c>
      <c r="AL200" s="66" t="n">
        <f aca="false">AL185+AL186</f>
        <v>-80483.0870371505</v>
      </c>
      <c r="AM200" s="66" t="n">
        <f aca="false">AM185+AM186</f>
        <v>-163702.545294705</v>
      </c>
      <c r="AN200" s="66" t="n">
        <f aca="false">AN185+AN186</f>
        <v>-160586.348620119</v>
      </c>
      <c r="AO200" s="66" t="n">
        <f aca="false">AO185+AO186</f>
        <v>-157513.788525485</v>
      </c>
      <c r="AP200" s="66" t="n">
        <f aca="false">AP185+AP186</f>
        <v>-154517.741984964</v>
      </c>
      <c r="AQ200" s="66" t="n">
        <f aca="false">AQ185+AQ186</f>
        <v>-151596.305173153</v>
      </c>
      <c r="AR200" s="66" t="n">
        <f aca="false">AR185+AR186</f>
        <v>-148747.621589876</v>
      </c>
      <c r="AS200" s="66" t="n">
        <f aca="false">AS185+AS186</f>
        <v>-145969.880885175</v>
      </c>
      <c r="AT200" s="66" t="n">
        <f aca="false">AT185+AT186</f>
        <v>-143261.317713413</v>
      </c>
      <c r="AU200" s="66" t="n">
        <f aca="false">AU185+AU186</f>
        <v>-140620.210615809</v>
      </c>
      <c r="AV200" s="66" t="n">
        <f aca="false">AV185+AV186</f>
        <v>-138044.880930662</v>
      </c>
      <c r="AW200" s="66" t="n">
        <f aca="false">AW185+AW186</f>
        <v>-135533.691730611</v>
      </c>
      <c r="AX200" s="66" t="n">
        <f aca="false">AX185+AX186</f>
        <v>-133085.046786239</v>
      </c>
      <c r="AY200" s="66" t="n">
        <f aca="false">AY185+AY186</f>
        <v>-263429.989659403</v>
      </c>
      <c r="AZ200" s="66" t="n">
        <f aca="false">AZ185+AZ186</f>
        <v>-259668.973260816</v>
      </c>
      <c r="BA200" s="66" t="n">
        <f aca="false">BA185+BA186</f>
        <v>-255957.37884821</v>
      </c>
      <c r="BB200" s="66" t="n">
        <f aca="false">BB185+BB186</f>
        <v>-252338.227408175</v>
      </c>
      <c r="BC200" s="66" t="n">
        <f aca="false">BC185+BC186</f>
        <v>-248809.218273028</v>
      </c>
      <c r="BD200" s="66" t="n">
        <f aca="false">BD185+BD186</f>
        <v>-245368.107979582</v>
      </c>
      <c r="BE200" s="66" t="n">
        <f aca="false">BE185+BE186</f>
        <v>-242012.708848393</v>
      </c>
      <c r="BF200" s="66" t="n">
        <f aca="false">BF185+BF186</f>
        <v>-238740.887598258</v>
      </c>
      <c r="BG200" s="66" t="n">
        <f aca="false">BG185+BG186</f>
        <v>-235550.563995067</v>
      </c>
      <c r="BH200" s="66" t="n">
        <f aca="false">BH185+BH186</f>
        <v>-232439.709534176</v>
      </c>
      <c r="BI200" s="66" t="n">
        <f aca="false">BI185+BI186</f>
        <v>-229406.346155461</v>
      </c>
      <c r="BJ200" s="66" t="n">
        <f aca="false">BJ185+BJ186</f>
        <v>-226448.544990247</v>
      </c>
    </row>
    <row r="201" customFormat="false" ht="15" hidden="false" customHeight="false" outlineLevel="0" collapsed="false">
      <c r="A201" s="6" t="s">
        <v>429</v>
      </c>
      <c r="C201" s="66" t="n">
        <f aca="false">C200</f>
        <v>-84465.1041666667</v>
      </c>
      <c r="D201" s="66" t="n">
        <f aca="false">C201+D200</f>
        <v>-150010.650173611</v>
      </c>
      <c r="E201" s="66" t="n">
        <f aca="false">D201+E200</f>
        <v>-213202.218697049</v>
      </c>
      <c r="F201" s="66" t="n">
        <f aca="false">E201+F200</f>
        <v>-274098.374727956</v>
      </c>
      <c r="G201" s="66" t="n">
        <f aca="false">F201+G200</f>
        <v>-332756.227665918</v>
      </c>
      <c r="H201" s="66" t="n">
        <f aca="false">G201+H200</f>
        <v>-389231.467452913</v>
      </c>
      <c r="I201" s="66" t="n">
        <f aca="false">H201+I200</f>
        <v>-443578.399811429</v>
      </c>
      <c r="J201" s="66" t="n">
        <f aca="false">I201+J200</f>
        <v>-495849.980609082</v>
      </c>
      <c r="K201" s="66" t="n">
        <f aca="false">J201+K200</f>
        <v>-546097.849371339</v>
      </c>
      <c r="L201" s="66" t="n">
        <f aca="false">K201+L200</f>
        <v>-594372.361963437</v>
      </c>
      <c r="M201" s="66" t="n">
        <f aca="false">L201+M200</f>
        <v>-640722.622462052</v>
      </c>
      <c r="N201" s="66" t="n">
        <f aca="false">M201+N200</f>
        <v>-685196.51423677</v>
      </c>
      <c r="O201" s="66" t="n">
        <f aca="false">N201+O200</f>
        <v>-763148.148194255</v>
      </c>
      <c r="P201" s="66" t="n">
        <f aca="false">O201+P200</f>
        <v>-838646.845578068</v>
      </c>
      <c r="Q201" s="66" t="n">
        <f aca="false">P201+Q200</f>
        <v>-911733.576382291</v>
      </c>
      <c r="R201" s="66" t="n">
        <f aca="false">Q201+R200</f>
        <v>-982468.371928432</v>
      </c>
      <c r="S201" s="66" t="n">
        <f aca="false">R201+S200</f>
        <v>-1050909.77079025</v>
      </c>
      <c r="T201" s="66" t="n">
        <f aca="false">S201+T200</f>
        <v>-1117114.85587139</v>
      </c>
      <c r="U201" s="66" t="n">
        <f aca="false">T201+U200</f>
        <v>-1181139.2905633</v>
      </c>
      <c r="V201" s="66" t="n">
        <f aca="false">U201+V200</f>
        <v>-1243037.35400626</v>
      </c>
      <c r="W201" s="66" t="n">
        <f aca="false">V201+W200</f>
        <v>-1302861.97547559</v>
      </c>
      <c r="X201" s="66" t="n">
        <f aca="false">W201+X200</f>
        <v>-1360664.76791495</v>
      </c>
      <c r="Y201" s="66" t="n">
        <f aca="false">X201+Y200</f>
        <v>-1416496.06063753</v>
      </c>
      <c r="Z201" s="66" t="n">
        <f aca="false">Y201+Z200</f>
        <v>-1470404.9312161</v>
      </c>
      <c r="AA201" s="66" t="n">
        <f aca="false">Z201+AA200</f>
        <v>-1577277.2635571</v>
      </c>
      <c r="AB201" s="66" t="n">
        <f aca="false">AA201+AB200</f>
        <v>-1681460.89760027</v>
      </c>
      <c r="AC201" s="66" t="n">
        <f aca="false">AB201+AC200</f>
        <v>-1782996.67304431</v>
      </c>
      <c r="AD201" s="66" t="n">
        <f aca="false">AC201+AD200</f>
        <v>-1881950.51238874</v>
      </c>
      <c r="AE201" s="66" t="n">
        <f aca="false">AD201+AE200</f>
        <v>-1978386.69828953</v>
      </c>
      <c r="AF201" s="66" t="n">
        <f aca="false">AE201+AF200</f>
        <v>-2072367.91430865</v>
      </c>
      <c r="AG201" s="66" t="n">
        <f aca="false">AF201+AG200</f>
        <v>-2163955.28465227</v>
      </c>
      <c r="AH201" s="66" t="n">
        <f aca="false">AG201+AH200</f>
        <v>-2253208.41292259</v>
      </c>
      <c r="AI201" s="66" t="n">
        <f aca="false">AH201+AI200</f>
        <v>-2340185.41990798</v>
      </c>
      <c r="AJ201" s="66" t="n">
        <f aca="false">AI201+AJ200</f>
        <v>-2424942.980435</v>
      </c>
      <c r="AK201" s="66" t="n">
        <f aca="false">AJ201+AK200</f>
        <v>-2507536.35930568</v>
      </c>
      <c r="AL201" s="66" t="n">
        <f aca="false">AK201+AL200</f>
        <v>-2588019.44634283</v>
      </c>
      <c r="AM201" s="66" t="n">
        <f aca="false">AL201+AM200</f>
        <v>-2751721.99163754</v>
      </c>
      <c r="AN201" s="66" t="n">
        <f aca="false">AM201+AN200</f>
        <v>-2912308.34025766</v>
      </c>
      <c r="AO201" s="66" t="n">
        <f aca="false">AN201+AO200</f>
        <v>-3069822.12878314</v>
      </c>
      <c r="AP201" s="66" t="n">
        <f aca="false">AO201+AP200</f>
        <v>-3224339.87076811</v>
      </c>
      <c r="AQ201" s="66" t="n">
        <f aca="false">AP201+AQ200</f>
        <v>-3375936.17594126</v>
      </c>
      <c r="AR201" s="66" t="n">
        <f aca="false">AQ201+AR200</f>
        <v>-3524683.79753114</v>
      </c>
      <c r="AS201" s="66" t="n">
        <f aca="false">AR201+AS200</f>
        <v>-3670653.67841631</v>
      </c>
      <c r="AT201" s="66" t="n">
        <f aca="false">AS201+AT200</f>
        <v>-3813914.99612972</v>
      </c>
      <c r="AU201" s="66" t="n">
        <f aca="false">AT201+AU200</f>
        <v>-3954535.20674553</v>
      </c>
      <c r="AV201" s="66" t="n">
        <f aca="false">AU201+AV200</f>
        <v>-4092580.0876762</v>
      </c>
      <c r="AW201" s="66" t="n">
        <f aca="false">AV201+AW200</f>
        <v>-4228113.77940681</v>
      </c>
      <c r="AX201" s="66" t="n">
        <f aca="false">AW201+AX200</f>
        <v>-4361198.82619304</v>
      </c>
      <c r="AY201" s="66" t="n">
        <f aca="false">AX201+AY200</f>
        <v>-4624628.81585245</v>
      </c>
      <c r="AZ201" s="66" t="n">
        <f aca="false">AY201+AZ200</f>
        <v>-4884297.78911326</v>
      </c>
      <c r="BA201" s="66" t="n">
        <f aca="false">AZ201+BA200</f>
        <v>-5140255.16796147</v>
      </c>
      <c r="BB201" s="66" t="n">
        <f aca="false">BA201+BB200</f>
        <v>-5392593.39536965</v>
      </c>
      <c r="BC201" s="66" t="n">
        <f aca="false">BB201+BC200</f>
        <v>-5641402.61364268</v>
      </c>
      <c r="BD201" s="66" t="n">
        <f aca="false">BC201+BD200</f>
        <v>-5886770.72162226</v>
      </c>
      <c r="BE201" s="66" t="n">
        <f aca="false">BD201+BE200</f>
        <v>-6128783.43047065</v>
      </c>
      <c r="BF201" s="66" t="n">
        <f aca="false">BE201+BF200</f>
        <v>-6367524.31806891</v>
      </c>
      <c r="BG201" s="66" t="n">
        <f aca="false">BF201+BG200</f>
        <v>-6603074.88206398</v>
      </c>
      <c r="BH201" s="66" t="n">
        <f aca="false">BG201+BH200</f>
        <v>-6835514.59159815</v>
      </c>
      <c r="BI201" s="66" t="n">
        <f aca="false">BH201+BI200</f>
        <v>-7064920.93775361</v>
      </c>
      <c r="BJ201" s="66" t="n">
        <f aca="false">BI201+BJ200</f>
        <v>-7291369.48274386</v>
      </c>
    </row>
    <row r="202" customFormat="false" ht="15" hidden="false" customHeight="false" outlineLevel="0" collapsed="false">
      <c r="A202" s="119" t="s">
        <v>430</v>
      </c>
      <c r="C202" s="66" t="n">
        <f aca="false">C201</f>
        <v>-84465.1041666667</v>
      </c>
      <c r="D202" s="66" t="n">
        <f aca="false">MIN(C202,D201)</f>
        <v>-150010.650173611</v>
      </c>
      <c r="E202" s="66" t="n">
        <f aca="false">MIN(D202,E201)</f>
        <v>-213202.218697049</v>
      </c>
      <c r="F202" s="66" t="n">
        <f aca="false">MIN(E202,F201)</f>
        <v>-274098.374727956</v>
      </c>
      <c r="G202" s="66" t="n">
        <f aca="false">MIN(F202,G201)</f>
        <v>-332756.227665918</v>
      </c>
      <c r="H202" s="66" t="n">
        <f aca="false">MIN(G202,H201)</f>
        <v>-389231.467452913</v>
      </c>
      <c r="I202" s="66" t="n">
        <f aca="false">MIN(H202,I201)</f>
        <v>-443578.399811429</v>
      </c>
      <c r="J202" s="66" t="n">
        <f aca="false">MIN(I202,J201)</f>
        <v>-495849.980609082</v>
      </c>
      <c r="K202" s="66" t="n">
        <f aca="false">MIN(J202,K201)</f>
        <v>-546097.849371339</v>
      </c>
      <c r="L202" s="66" t="n">
        <f aca="false">MIN(K202,L201)</f>
        <v>-594372.361963437</v>
      </c>
      <c r="M202" s="66" t="n">
        <f aca="false">MIN(L202,M201)</f>
        <v>-640722.622462052</v>
      </c>
      <c r="N202" s="66" t="n">
        <f aca="false">MIN(M202,N201)</f>
        <v>-685196.51423677</v>
      </c>
      <c r="O202" s="66" t="n">
        <f aca="false">MIN(N202,O201)</f>
        <v>-763148.148194255</v>
      </c>
      <c r="P202" s="66" t="n">
        <f aca="false">MIN(O202,P201)</f>
        <v>-838646.845578068</v>
      </c>
      <c r="Q202" s="66" t="n">
        <f aca="false">MIN(P202,Q201)</f>
        <v>-911733.576382291</v>
      </c>
      <c r="R202" s="66" t="n">
        <f aca="false">MIN(Q202,R201)</f>
        <v>-982468.371928432</v>
      </c>
      <c r="S202" s="66" t="n">
        <f aca="false">MIN(R202,S201)</f>
        <v>-1050909.77079025</v>
      </c>
      <c r="T202" s="66" t="n">
        <f aca="false">MIN(S202,T201)</f>
        <v>-1117114.85587139</v>
      </c>
      <c r="U202" s="66" t="n">
        <f aca="false">MIN(T202,U201)</f>
        <v>-1181139.2905633</v>
      </c>
      <c r="V202" s="66" t="n">
        <f aca="false">MIN(U202,V201)</f>
        <v>-1243037.35400626</v>
      </c>
      <c r="W202" s="66" t="n">
        <f aca="false">MIN(V202,W201)</f>
        <v>-1302861.97547559</v>
      </c>
      <c r="X202" s="66" t="n">
        <f aca="false">MIN(W202,X201)</f>
        <v>-1360664.76791495</v>
      </c>
      <c r="Y202" s="66" t="n">
        <f aca="false">MIN(X202,Y201)</f>
        <v>-1416496.06063753</v>
      </c>
      <c r="Z202" s="66" t="n">
        <f aca="false">MIN(Y202,Z201)</f>
        <v>-1470404.9312161</v>
      </c>
      <c r="AA202" s="66" t="n">
        <f aca="false">MIN(Z202,AA201)</f>
        <v>-1577277.2635571</v>
      </c>
      <c r="AB202" s="66" t="n">
        <f aca="false">MIN(AA202,AB201)</f>
        <v>-1681460.89760027</v>
      </c>
      <c r="AC202" s="66" t="n">
        <f aca="false">MIN(AB202,AC201)</f>
        <v>-1782996.67304431</v>
      </c>
      <c r="AD202" s="66" t="n">
        <f aca="false">MIN(AC202,AD201)</f>
        <v>-1881950.51238874</v>
      </c>
      <c r="AE202" s="66" t="n">
        <f aca="false">MIN(AD202,AE201)</f>
        <v>-1978386.69828953</v>
      </c>
      <c r="AF202" s="66" t="n">
        <f aca="false">MIN(AE202,AF201)</f>
        <v>-2072367.91430865</v>
      </c>
      <c r="AG202" s="66" t="n">
        <f aca="false">MIN(AF202,AG201)</f>
        <v>-2163955.28465227</v>
      </c>
      <c r="AH202" s="66" t="n">
        <f aca="false">MIN(AG202,AH201)</f>
        <v>-2253208.41292259</v>
      </c>
      <c r="AI202" s="66" t="n">
        <f aca="false">MIN(AH202,AI201)</f>
        <v>-2340185.41990798</v>
      </c>
      <c r="AJ202" s="66" t="n">
        <f aca="false">MIN(AI202,AJ201)</f>
        <v>-2424942.980435</v>
      </c>
      <c r="AK202" s="66" t="n">
        <f aca="false">MIN(AJ202,AK201)</f>
        <v>-2507536.35930568</v>
      </c>
      <c r="AL202" s="66" t="n">
        <f aca="false">MIN(AK202,AL201)</f>
        <v>-2588019.44634283</v>
      </c>
      <c r="AM202" s="66" t="n">
        <f aca="false">MIN(AL202,AM201)</f>
        <v>-2751721.99163754</v>
      </c>
      <c r="AN202" s="66" t="n">
        <f aca="false">MIN(AM202,AN201)</f>
        <v>-2912308.34025766</v>
      </c>
      <c r="AO202" s="66" t="n">
        <f aca="false">MIN(AN202,AO201)</f>
        <v>-3069822.12878314</v>
      </c>
      <c r="AP202" s="66" t="n">
        <f aca="false">MIN(AO202,AP201)</f>
        <v>-3224339.87076811</v>
      </c>
      <c r="AQ202" s="66" t="n">
        <f aca="false">MIN(AP202,AQ201)</f>
        <v>-3375936.17594126</v>
      </c>
      <c r="AR202" s="66" t="n">
        <f aca="false">MIN(AQ202,AR201)</f>
        <v>-3524683.79753114</v>
      </c>
      <c r="AS202" s="66" t="n">
        <f aca="false">MIN(AR202,AS201)</f>
        <v>-3670653.67841631</v>
      </c>
      <c r="AT202" s="66" t="n">
        <f aca="false">MIN(AS202,AT201)</f>
        <v>-3813914.99612972</v>
      </c>
      <c r="AU202" s="66" t="n">
        <f aca="false">MIN(AT202,AU201)</f>
        <v>-3954535.20674553</v>
      </c>
      <c r="AV202" s="66" t="n">
        <f aca="false">MIN(AU202,AV201)</f>
        <v>-4092580.0876762</v>
      </c>
      <c r="AW202" s="66" t="n">
        <f aca="false">MIN(AV202,AW201)</f>
        <v>-4228113.77940681</v>
      </c>
      <c r="AX202" s="66" t="n">
        <f aca="false">MIN(AW202,AX201)</f>
        <v>-4361198.82619304</v>
      </c>
      <c r="AY202" s="66" t="n">
        <f aca="false">MIN(AX202,AY201)</f>
        <v>-4624628.81585245</v>
      </c>
      <c r="AZ202" s="66" t="n">
        <f aca="false">MIN(AY202,AZ201)</f>
        <v>-4884297.78911326</v>
      </c>
      <c r="BA202" s="66" t="n">
        <f aca="false">MIN(AZ202,BA201)</f>
        <v>-5140255.16796147</v>
      </c>
      <c r="BB202" s="66" t="n">
        <f aca="false">MIN(BA202,BB201)</f>
        <v>-5392593.39536965</v>
      </c>
      <c r="BC202" s="66" t="n">
        <f aca="false">MIN(BB202,BC201)</f>
        <v>-5641402.61364268</v>
      </c>
      <c r="BD202" s="66" t="n">
        <f aca="false">MIN(BC202,BD201)</f>
        <v>-5886770.72162226</v>
      </c>
      <c r="BE202" s="66" t="n">
        <f aca="false">MIN(BD202,BE201)</f>
        <v>-6128783.43047065</v>
      </c>
      <c r="BF202" s="66" t="n">
        <f aca="false">MIN(BE202,BF201)</f>
        <v>-6367524.31806891</v>
      </c>
      <c r="BG202" s="66" t="n">
        <f aca="false">MIN(BF202,BG201)</f>
        <v>-6603074.88206398</v>
      </c>
      <c r="BH202" s="66" t="n">
        <f aca="false">MIN(BG202,BH201)</f>
        <v>-6835514.59159815</v>
      </c>
      <c r="BI202" s="66" t="n">
        <f aca="false">MIN(BH202,BI201)</f>
        <v>-7064920.93775361</v>
      </c>
      <c r="BJ202" s="66" t="n">
        <f aca="false">MIN(BI202,BJ201)</f>
        <v>-7291369.48274386</v>
      </c>
    </row>
    <row r="203" customFormat="false" ht="15" hidden="false" customHeight="false" outlineLevel="0" collapsed="false">
      <c r="A203" s="119" t="s">
        <v>431</v>
      </c>
      <c r="C203" s="120" t="n">
        <f aca="false">IF(AND(C201&gt;=0,C202&lt;0),1,0)</f>
        <v>0</v>
      </c>
      <c r="D203" s="120" t="n">
        <f aca="false">IF(AND(D201&gt;=0,D202&lt;0),1,0)</f>
        <v>0</v>
      </c>
      <c r="E203" s="120" t="n">
        <f aca="false">IF(AND(E201&gt;=0,E202&lt;0),1,0)</f>
        <v>0</v>
      </c>
      <c r="F203" s="120" t="n">
        <f aca="false">IF(AND(F201&gt;=0,F202&lt;0),1,0)</f>
        <v>0</v>
      </c>
      <c r="G203" s="120" t="n">
        <f aca="false">IF(AND(G201&gt;=0,G202&lt;0),1,0)</f>
        <v>0</v>
      </c>
      <c r="H203" s="120" t="n">
        <f aca="false">IF(AND(H201&gt;=0,H202&lt;0),1,0)</f>
        <v>0</v>
      </c>
      <c r="I203" s="120" t="n">
        <f aca="false">IF(AND(I201&gt;=0,I202&lt;0),1,0)</f>
        <v>0</v>
      </c>
      <c r="J203" s="120" t="n">
        <f aca="false">IF(AND(J201&gt;=0,J202&lt;0),1,0)</f>
        <v>0</v>
      </c>
      <c r="K203" s="120" t="n">
        <f aca="false">IF(AND(K201&gt;=0,K202&lt;0),1,0)</f>
        <v>0</v>
      </c>
      <c r="L203" s="120" t="n">
        <f aca="false">IF(AND(L201&gt;=0,L202&lt;0),1,0)</f>
        <v>0</v>
      </c>
      <c r="M203" s="120" t="n">
        <f aca="false">IF(AND(M201&gt;=0,M202&lt;0),1,0)</f>
        <v>0</v>
      </c>
      <c r="N203" s="120" t="n">
        <f aca="false">IF(AND(N201&gt;=0,N202&lt;0),1,0)</f>
        <v>0</v>
      </c>
      <c r="O203" s="120" t="n">
        <f aca="false">IF(AND(O201&gt;=0,O202&lt;0),1,0)</f>
        <v>0</v>
      </c>
      <c r="P203" s="120" t="n">
        <f aca="false">IF(AND(P201&gt;=0,P202&lt;0),1,0)</f>
        <v>0</v>
      </c>
      <c r="Q203" s="120" t="n">
        <f aca="false">IF(AND(Q201&gt;=0,Q202&lt;0),1,0)</f>
        <v>0</v>
      </c>
      <c r="R203" s="120" t="n">
        <f aca="false">IF(AND(R201&gt;=0,R202&lt;0),1,0)</f>
        <v>0</v>
      </c>
      <c r="S203" s="120" t="n">
        <f aca="false">IF(AND(S201&gt;=0,S202&lt;0),1,0)</f>
        <v>0</v>
      </c>
      <c r="T203" s="120" t="n">
        <f aca="false">IF(AND(T201&gt;=0,T202&lt;0),1,0)</f>
        <v>0</v>
      </c>
      <c r="U203" s="120" t="n">
        <f aca="false">IF(AND(U201&gt;=0,U202&lt;0),1,0)</f>
        <v>0</v>
      </c>
      <c r="V203" s="120" t="n">
        <f aca="false">IF(AND(V201&gt;=0,V202&lt;0),1,0)</f>
        <v>0</v>
      </c>
      <c r="W203" s="120" t="n">
        <f aca="false">IF(AND(W201&gt;=0,W202&lt;0),1,0)</f>
        <v>0</v>
      </c>
      <c r="X203" s="120" t="n">
        <f aca="false">IF(AND(X201&gt;=0,X202&lt;0),1,0)</f>
        <v>0</v>
      </c>
      <c r="Y203" s="120" t="n">
        <f aca="false">IF(AND(Y201&gt;=0,Y202&lt;0),1,0)</f>
        <v>0</v>
      </c>
      <c r="Z203" s="120" t="n">
        <f aca="false">IF(AND(Z201&gt;=0,Z202&lt;0),1,0)</f>
        <v>0</v>
      </c>
      <c r="AA203" s="120" t="n">
        <f aca="false">IF(AND(AA201&gt;=0,AA202&lt;0),1,0)</f>
        <v>0</v>
      </c>
      <c r="AB203" s="120" t="n">
        <f aca="false">IF(AND(AB201&gt;=0,AB202&lt;0),1,0)</f>
        <v>0</v>
      </c>
      <c r="AC203" s="120" t="n">
        <f aca="false">IF(AND(AC201&gt;=0,AC202&lt;0),1,0)</f>
        <v>0</v>
      </c>
      <c r="AD203" s="120" t="n">
        <f aca="false">IF(AND(AD201&gt;=0,AD202&lt;0),1,0)</f>
        <v>0</v>
      </c>
      <c r="AE203" s="120" t="n">
        <f aca="false">IF(AND(AE201&gt;=0,AE202&lt;0),1,0)</f>
        <v>0</v>
      </c>
      <c r="AF203" s="120" t="n">
        <f aca="false">IF(AND(AF201&gt;=0,AF202&lt;0),1,0)</f>
        <v>0</v>
      </c>
      <c r="AG203" s="120" t="n">
        <f aca="false">IF(AND(AG201&gt;=0,AG202&lt;0),1,0)</f>
        <v>0</v>
      </c>
      <c r="AH203" s="120" t="n">
        <f aca="false">IF(AND(AH201&gt;=0,AH202&lt;0),1,0)</f>
        <v>0</v>
      </c>
      <c r="AI203" s="120" t="n">
        <f aca="false">IF(AND(AI201&gt;=0,AI202&lt;0),1,0)</f>
        <v>0</v>
      </c>
      <c r="AJ203" s="120" t="n">
        <f aca="false">IF(AND(AJ201&gt;=0,AJ202&lt;0),1,0)</f>
        <v>0</v>
      </c>
      <c r="AK203" s="120" t="n">
        <f aca="false">IF(AND(AK201&gt;=0,AK202&lt;0),1,0)</f>
        <v>0</v>
      </c>
      <c r="AL203" s="120" t="n">
        <f aca="false">IF(AND(AL201&gt;=0,AL202&lt;0),1,0)</f>
        <v>0</v>
      </c>
      <c r="AM203" s="120" t="n">
        <f aca="false">IF(AND(AM201&gt;=0,AM202&lt;0),1,0)</f>
        <v>0</v>
      </c>
      <c r="AN203" s="120" t="n">
        <f aca="false">IF(AND(AN201&gt;=0,AN202&lt;0),1,0)</f>
        <v>0</v>
      </c>
      <c r="AO203" s="120" t="n">
        <f aca="false">IF(AND(AO201&gt;=0,AO202&lt;0),1,0)</f>
        <v>0</v>
      </c>
      <c r="AP203" s="120" t="n">
        <f aca="false">IF(AND(AP201&gt;=0,AP202&lt;0),1,0)</f>
        <v>0</v>
      </c>
      <c r="AQ203" s="120" t="n">
        <f aca="false">IF(AND(AQ201&gt;=0,AQ202&lt;0),1,0)</f>
        <v>0</v>
      </c>
      <c r="AR203" s="120" t="n">
        <f aca="false">IF(AND(AR201&gt;=0,AR202&lt;0),1,0)</f>
        <v>0</v>
      </c>
      <c r="AS203" s="120" t="n">
        <f aca="false">IF(AND(AS201&gt;=0,AS202&lt;0),1,0)</f>
        <v>0</v>
      </c>
      <c r="AT203" s="120" t="n">
        <f aca="false">IF(AND(AT201&gt;=0,AT202&lt;0),1,0)</f>
        <v>0</v>
      </c>
      <c r="AU203" s="120" t="n">
        <f aca="false">IF(AND(AU201&gt;=0,AU202&lt;0),1,0)</f>
        <v>0</v>
      </c>
      <c r="AV203" s="120" t="n">
        <f aca="false">IF(AND(AV201&gt;=0,AV202&lt;0),1,0)</f>
        <v>0</v>
      </c>
      <c r="AW203" s="120" t="n">
        <f aca="false">IF(AND(AW201&gt;=0,AW202&lt;0),1,0)</f>
        <v>0</v>
      </c>
      <c r="AX203" s="120" t="n">
        <f aca="false">IF(AND(AX201&gt;=0,AX202&lt;0),1,0)</f>
        <v>0</v>
      </c>
      <c r="AY203" s="120" t="n">
        <f aca="false">IF(AND(AY201&gt;=0,AY202&lt;0),1,0)</f>
        <v>0</v>
      </c>
      <c r="AZ203" s="120" t="n">
        <f aca="false">IF(AND(AZ201&gt;=0,AZ202&lt;0),1,0)</f>
        <v>0</v>
      </c>
      <c r="BA203" s="120" t="n">
        <f aca="false">IF(AND(BA201&gt;=0,BA202&lt;0),1,0)</f>
        <v>0</v>
      </c>
      <c r="BB203" s="120" t="n">
        <f aca="false">IF(AND(BB201&gt;=0,BB202&lt;0),1,0)</f>
        <v>0</v>
      </c>
      <c r="BC203" s="120" t="n">
        <f aca="false">IF(AND(BC201&gt;=0,BC202&lt;0),1,0)</f>
        <v>0</v>
      </c>
      <c r="BD203" s="120" t="n">
        <f aca="false">IF(AND(BD201&gt;=0,BD202&lt;0),1,0)</f>
        <v>0</v>
      </c>
      <c r="BE203" s="120" t="n">
        <f aca="false">IF(AND(BE201&gt;=0,BE202&lt;0),1,0)</f>
        <v>0</v>
      </c>
      <c r="BF203" s="120" t="n">
        <f aca="false">IF(AND(BF201&gt;=0,BF202&lt;0),1,0)</f>
        <v>0</v>
      </c>
      <c r="BG203" s="120" t="n">
        <f aca="false">IF(AND(BG201&gt;=0,BG202&lt;0),1,0)</f>
        <v>0</v>
      </c>
      <c r="BH203" s="120" t="n">
        <f aca="false">IF(AND(BH201&gt;=0,BH202&lt;0),1,0)</f>
        <v>0</v>
      </c>
      <c r="BI203" s="120" t="n">
        <f aca="false">IF(AND(BI201&gt;=0,BI202&lt;0),1,0)</f>
        <v>0</v>
      </c>
      <c r="BJ203" s="120" t="n">
        <f aca="false">IF(AND(BJ201&gt;=0,BJ202&lt;0),1,0)</f>
        <v>0</v>
      </c>
    </row>
    <row r="204" customFormat="false" ht="15" hidden="false" customHeight="false" outlineLevel="0" collapsed="false">
      <c r="A204" s="6" t="s">
        <v>432</v>
      </c>
      <c r="C204" s="66" t="n">
        <f aca="false">C185-C154*(1-Inputs!$C$58)+C186</f>
        <v>-84465.1041666667</v>
      </c>
      <c r="D204" s="66" t="n">
        <f aca="false">D185-D154*(1-Inputs!$C$58)+D186</f>
        <v>-65545.5460069444</v>
      </c>
      <c r="E204" s="66" t="n">
        <f aca="false">E185-E154*(1-Inputs!$C$58)+E186</f>
        <v>-63191.5685234375</v>
      </c>
      <c r="F204" s="66" t="n">
        <f aca="false">F185-F154*(1-Inputs!$C$58)+F186</f>
        <v>-60896.1560309071</v>
      </c>
      <c r="G204" s="66" t="n">
        <f aca="false">G185-G154*(1-Inputs!$C$58)+G186</f>
        <v>-58657.8529379622</v>
      </c>
      <c r="H204" s="66" t="n">
        <f aca="false">H185-H154*(1-Inputs!$C$58)+H186</f>
        <v>-56475.239786995</v>
      </c>
      <c r="I204" s="66" t="n">
        <f aca="false">I185-I154*(1-Inputs!$C$58)+I186</f>
        <v>-54346.9323585164</v>
      </c>
      <c r="J204" s="66" t="n">
        <f aca="false">J185-J154*(1-Inputs!$C$58)+J186</f>
        <v>-52271.5807976527</v>
      </c>
      <c r="K204" s="66" t="n">
        <f aca="false">K185-K154*(1-Inputs!$C$58)+K186</f>
        <v>-50247.8687622566</v>
      </c>
      <c r="L204" s="66" t="n">
        <f aca="false">L185-L154*(1-Inputs!$C$58)+L186</f>
        <v>-48274.5125920979</v>
      </c>
      <c r="M204" s="66" t="n">
        <f aca="false">M185-M154*(1-Inputs!$C$58)+M186</f>
        <v>-46350.2604986151</v>
      </c>
      <c r="N204" s="66" t="n">
        <f aca="false">N185-N154*(1-Inputs!$C$58)+N186</f>
        <v>-44473.8917747187</v>
      </c>
      <c r="O204" s="66" t="n">
        <f aca="false">O185-O154*(1-Inputs!$C$58)+O186</f>
        <v>-77951.6339574849</v>
      </c>
      <c r="P204" s="66" t="n">
        <f aca="false">P185-P154*(1-Inputs!$C$58)+P186</f>
        <v>-75498.6973838123</v>
      </c>
      <c r="Q204" s="66" t="n">
        <f aca="false">Q185-Q154*(1-Inputs!$C$58)+Q186</f>
        <v>-73086.7308042236</v>
      </c>
      <c r="R204" s="66" t="n">
        <f aca="false">R185-R154*(1-Inputs!$C$58)+R186</f>
        <v>-70734.7955461411</v>
      </c>
      <c r="S204" s="66" t="n">
        <f aca="false">S185-S154*(1-Inputs!$C$58)+S186</f>
        <v>-68441.3988618166</v>
      </c>
      <c r="T204" s="66" t="n">
        <f aca="false">T185-T154*(1-Inputs!$C$58)+T186</f>
        <v>-66205.085081137</v>
      </c>
      <c r="U204" s="66" t="n">
        <f aca="false">U185-U154*(1-Inputs!$C$58)+U186</f>
        <v>-64024.4346919152</v>
      </c>
      <c r="V204" s="66" t="n">
        <f aca="false">V185-V154*(1-Inputs!$C$58)+V186</f>
        <v>-61898.0634429563</v>
      </c>
      <c r="W204" s="66" t="n">
        <f aca="false">W185-W154*(1-Inputs!$C$58)+W186</f>
        <v>-59824.6214693379</v>
      </c>
      <c r="X204" s="66" t="n">
        <f aca="false">X185-X154*(1-Inputs!$C$58)+X186</f>
        <v>-57802.7924393529</v>
      </c>
      <c r="Y204" s="66" t="n">
        <f aca="false">Y185-Y154*(1-Inputs!$C$58)+Y186</f>
        <v>-55831.2927225818</v>
      </c>
      <c r="Z204" s="66" t="n">
        <f aca="false">Z185-Z154*(1-Inputs!$C$58)+Z186</f>
        <v>-53908.8705785703</v>
      </c>
      <c r="AA204" s="66" t="n">
        <f aca="false">AA185-AA154*(1-Inputs!$C$58)+AA186</f>
        <v>-106872.332341004</v>
      </c>
      <c r="AB204" s="66" t="n">
        <f aca="false">AB185-AB154*(1-Inputs!$C$58)+AB186</f>
        <v>-104183.634043166</v>
      </c>
      <c r="AC204" s="66" t="n">
        <f aca="false">AC185-AC154*(1-Inputs!$C$58)+AC186</f>
        <v>-101535.775444044</v>
      </c>
      <c r="AD204" s="66" t="n">
        <f aca="false">AD185-AD154*(1-Inputs!$C$58)+AD186</f>
        <v>-98953.8393444263</v>
      </c>
      <c r="AE204" s="66" t="n">
        <f aca="false">AE185-AE154*(1-Inputs!$C$58)+AE186</f>
        <v>-96436.1859007883</v>
      </c>
      <c r="AF204" s="66" t="n">
        <f aca="false">AF185-AF154*(1-Inputs!$C$58)+AF186</f>
        <v>-93981.216019126</v>
      </c>
      <c r="AG204" s="66" t="n">
        <f aca="false">AG185-AG154*(1-Inputs!$C$58)+AG186</f>
        <v>-91587.3703436136</v>
      </c>
      <c r="AH204" s="66" t="n">
        <f aca="false">AH185-AH154*(1-Inputs!$C$58)+AH186</f>
        <v>-89253.1282703241</v>
      </c>
      <c r="AI204" s="66" t="n">
        <f aca="false">AI185-AI154*(1-Inputs!$C$58)+AI186</f>
        <v>-86977.0069853917</v>
      </c>
      <c r="AJ204" s="66" t="n">
        <f aca="false">AJ185-AJ154*(1-Inputs!$C$58)+AJ186</f>
        <v>-84757.5605270119</v>
      </c>
      <c r="AK204" s="66" t="n">
        <f aca="false">AK185-AK154*(1-Inputs!$C$58)+AK186</f>
        <v>-82593.378870688</v>
      </c>
      <c r="AL204" s="66" t="n">
        <f aca="false">AL185-AL154*(1-Inputs!$C$58)+AL186</f>
        <v>-80483.0870371505</v>
      </c>
      <c r="AM204" s="66" t="n">
        <f aca="false">AM185-AM154*(1-Inputs!$C$58)+AM186</f>
        <v>-163702.545294705</v>
      </c>
      <c r="AN204" s="66" t="n">
        <f aca="false">AN185-AN154*(1-Inputs!$C$58)+AN186</f>
        <v>-160586.348620119</v>
      </c>
      <c r="AO204" s="66" t="n">
        <f aca="false">AO185-AO154*(1-Inputs!$C$58)+AO186</f>
        <v>-157513.788525485</v>
      </c>
      <c r="AP204" s="66" t="n">
        <f aca="false">AP185-AP154*(1-Inputs!$C$58)+AP186</f>
        <v>-154517.741984964</v>
      </c>
      <c r="AQ204" s="66" t="n">
        <f aca="false">AQ185-AQ154*(1-Inputs!$C$58)+AQ186</f>
        <v>-151596.305173153</v>
      </c>
      <c r="AR204" s="66" t="n">
        <f aca="false">AR185-AR154*(1-Inputs!$C$58)+AR186</f>
        <v>-148747.621589876</v>
      </c>
      <c r="AS204" s="66" t="n">
        <f aca="false">AS185-AS154*(1-Inputs!$C$58)+AS186</f>
        <v>-145969.880885175</v>
      </c>
      <c r="AT204" s="66" t="n">
        <f aca="false">AT185-AT154*(1-Inputs!$C$58)+AT186</f>
        <v>-143261.317713413</v>
      </c>
      <c r="AU204" s="66" t="n">
        <f aca="false">AU185-AU154*(1-Inputs!$C$58)+AU186</f>
        <v>-140620.210615809</v>
      </c>
      <c r="AV204" s="66" t="n">
        <f aca="false">AV185-AV154*(1-Inputs!$C$58)+AV186</f>
        <v>-138044.880930662</v>
      </c>
      <c r="AW204" s="66" t="n">
        <f aca="false">AW185-AW154*(1-Inputs!$C$58)+AW186</f>
        <v>-135533.691730611</v>
      </c>
      <c r="AX204" s="66" t="n">
        <f aca="false">AX185-AX154*(1-Inputs!$C$58)+AX186</f>
        <v>-133085.046786239</v>
      </c>
      <c r="AY204" s="66" t="n">
        <f aca="false">AY185-AY154*(1-Inputs!$C$58)+AY186</f>
        <v>-263429.989659403</v>
      </c>
      <c r="AZ204" s="66" t="n">
        <f aca="false">AZ185-AZ154*(1-Inputs!$C$58)+AZ186</f>
        <v>-259668.973260816</v>
      </c>
      <c r="BA204" s="66" t="n">
        <f aca="false">BA185-BA154*(1-Inputs!$C$58)+BA186</f>
        <v>-255957.37884821</v>
      </c>
      <c r="BB204" s="66" t="n">
        <f aca="false">BB185-BB154*(1-Inputs!$C$58)+BB186</f>
        <v>-252338.227408175</v>
      </c>
      <c r="BC204" s="66" t="n">
        <f aca="false">BC185-BC154*(1-Inputs!$C$58)+BC186</f>
        <v>-248809.218273028</v>
      </c>
      <c r="BD204" s="66" t="n">
        <f aca="false">BD185-BD154*(1-Inputs!$C$58)+BD186</f>
        <v>-245368.107979582</v>
      </c>
      <c r="BE204" s="66" t="n">
        <f aca="false">BE185-BE154*(1-Inputs!$C$58)+BE186</f>
        <v>-242012.708848393</v>
      </c>
      <c r="BF204" s="66" t="n">
        <f aca="false">BF185-BF154*(1-Inputs!$C$58)+BF186</f>
        <v>-238740.887598258</v>
      </c>
      <c r="BG204" s="66" t="n">
        <f aca="false">BG185-BG154*(1-Inputs!$C$58)+BG186</f>
        <v>-235550.563995067</v>
      </c>
      <c r="BH204" s="66" t="n">
        <f aca="false">BH185-BH154*(1-Inputs!$C$58)+BH186</f>
        <v>-232439.709534176</v>
      </c>
      <c r="BI204" s="66" t="n">
        <f aca="false">BI185-BI154*(1-Inputs!$C$58)+BI186</f>
        <v>-229406.346155461</v>
      </c>
      <c r="BJ204" s="66" t="n">
        <f aca="false">BJ185-BJ154*(1-Inputs!$C$58)+BJ186</f>
        <v>-226448.544990247</v>
      </c>
    </row>
    <row r="206" customFormat="false" ht="15.75" hidden="false" customHeight="true" outlineLevel="0" collapsed="false">
      <c r="A206" s="7" t="s">
        <v>433</v>
      </c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</row>
    <row r="207" customFormat="false" ht="15" hidden="false" customHeight="false" outlineLevel="0" collapsed="false">
      <c r="A207" s="6" t="s">
        <v>97</v>
      </c>
      <c r="C207" s="66" t="n">
        <f aca="false">C187</f>
        <v>3000000</v>
      </c>
      <c r="D207" s="66" t="n">
        <f aca="false">C207+D187</f>
        <v>3000000</v>
      </c>
      <c r="E207" s="66" t="n">
        <f aca="false">D207+E187</f>
        <v>3000000</v>
      </c>
      <c r="F207" s="66" t="n">
        <f aca="false">E207+F187</f>
        <v>3000000</v>
      </c>
      <c r="G207" s="66" t="n">
        <f aca="false">F207+G187</f>
        <v>3000000</v>
      </c>
      <c r="H207" s="66" t="n">
        <f aca="false">G207+H187</f>
        <v>3000000</v>
      </c>
      <c r="I207" s="66" t="n">
        <f aca="false">H207+I187</f>
        <v>3000000</v>
      </c>
      <c r="J207" s="66" t="n">
        <f aca="false">I207+J187</f>
        <v>3000000</v>
      </c>
      <c r="K207" s="66" t="n">
        <f aca="false">J207+K187</f>
        <v>3000000</v>
      </c>
      <c r="L207" s="66" t="n">
        <f aca="false">K207+L187</f>
        <v>3000000</v>
      </c>
      <c r="M207" s="66" t="n">
        <f aca="false">L207+M187</f>
        <v>3000000</v>
      </c>
      <c r="N207" s="66" t="n">
        <f aca="false">M207+N187</f>
        <v>3000000</v>
      </c>
      <c r="O207" s="66" t="n">
        <f aca="false">N207+O187</f>
        <v>3000000</v>
      </c>
      <c r="P207" s="66" t="n">
        <f aca="false">O207+P187</f>
        <v>3000000</v>
      </c>
      <c r="Q207" s="66" t="n">
        <f aca="false">P207+Q187</f>
        <v>3000000</v>
      </c>
      <c r="R207" s="66" t="n">
        <f aca="false">Q207+R187</f>
        <v>3000000</v>
      </c>
      <c r="S207" s="66" t="n">
        <f aca="false">R207+S187</f>
        <v>3000000</v>
      </c>
      <c r="T207" s="66" t="n">
        <f aca="false">S207+T187</f>
        <v>3000000</v>
      </c>
      <c r="U207" s="66" t="n">
        <f aca="false">T207+U187</f>
        <v>3000000</v>
      </c>
      <c r="V207" s="66" t="n">
        <f aca="false">U207+V187</f>
        <v>3000000</v>
      </c>
      <c r="W207" s="66" t="n">
        <f aca="false">V207+W187</f>
        <v>3000000</v>
      </c>
      <c r="X207" s="66" t="n">
        <f aca="false">W207+X187</f>
        <v>3000000</v>
      </c>
      <c r="Y207" s="66" t="n">
        <f aca="false">X207+Y187</f>
        <v>3000000</v>
      </c>
      <c r="Z207" s="66" t="n">
        <f aca="false">Y207+Z187</f>
        <v>3000000</v>
      </c>
      <c r="AA207" s="66" t="n">
        <f aca="false">Z207+AA187</f>
        <v>3000000</v>
      </c>
      <c r="AB207" s="66" t="n">
        <f aca="false">AA207+AB187</f>
        <v>3000000</v>
      </c>
      <c r="AC207" s="66" t="n">
        <f aca="false">AB207+AC187</f>
        <v>3000000</v>
      </c>
      <c r="AD207" s="66" t="n">
        <f aca="false">AC207+AD187</f>
        <v>3000000</v>
      </c>
      <c r="AE207" s="66" t="n">
        <f aca="false">AD207+AE187</f>
        <v>3000000</v>
      </c>
      <c r="AF207" s="66" t="n">
        <f aca="false">AE207+AF187</f>
        <v>3000000</v>
      </c>
      <c r="AG207" s="66" t="n">
        <f aca="false">AF207+AG187</f>
        <v>3000000</v>
      </c>
      <c r="AH207" s="66" t="n">
        <f aca="false">AG207+AH187</f>
        <v>3000000</v>
      </c>
      <c r="AI207" s="66" t="n">
        <f aca="false">AH207+AI187</f>
        <v>3000000</v>
      </c>
      <c r="AJ207" s="66" t="n">
        <f aca="false">AI207+AJ187</f>
        <v>3000000</v>
      </c>
      <c r="AK207" s="66" t="n">
        <f aca="false">AJ207+AK187</f>
        <v>3000000</v>
      </c>
      <c r="AL207" s="66" t="n">
        <f aca="false">AK207+AL187</f>
        <v>3000000</v>
      </c>
      <c r="AM207" s="66" t="n">
        <f aca="false">AL207+AM187</f>
        <v>3000000</v>
      </c>
      <c r="AN207" s="66" t="n">
        <f aca="false">AM207+AN187</f>
        <v>3000000</v>
      </c>
      <c r="AO207" s="66" t="n">
        <f aca="false">AN207+AO187</f>
        <v>3000000</v>
      </c>
      <c r="AP207" s="66" t="n">
        <f aca="false">AO207+AP187</f>
        <v>3000000</v>
      </c>
      <c r="AQ207" s="66" t="n">
        <f aca="false">AP207+AQ187</f>
        <v>3000000</v>
      </c>
      <c r="AR207" s="66" t="n">
        <f aca="false">AQ207+AR187</f>
        <v>3000000</v>
      </c>
      <c r="AS207" s="66" t="n">
        <f aca="false">AR207+AS187</f>
        <v>3000000</v>
      </c>
      <c r="AT207" s="66" t="n">
        <f aca="false">AS207+AT187</f>
        <v>3000000</v>
      </c>
      <c r="AU207" s="66" t="n">
        <f aca="false">AT207+AU187</f>
        <v>3000000</v>
      </c>
      <c r="AV207" s="66" t="n">
        <f aca="false">AU207+AV187</f>
        <v>3000000</v>
      </c>
      <c r="AW207" s="66" t="n">
        <f aca="false">AV207+AW187</f>
        <v>3000000</v>
      </c>
      <c r="AX207" s="66" t="n">
        <f aca="false">AW207+AX187</f>
        <v>3000000</v>
      </c>
      <c r="AY207" s="66" t="n">
        <f aca="false">AX207+AY187</f>
        <v>3000000</v>
      </c>
      <c r="AZ207" s="66" t="n">
        <f aca="false">AY207+AZ187</f>
        <v>3000000</v>
      </c>
      <c r="BA207" s="66" t="n">
        <f aca="false">AZ207+BA187</f>
        <v>3000000</v>
      </c>
      <c r="BB207" s="66" t="n">
        <f aca="false">BA207+BB187</f>
        <v>3000000</v>
      </c>
      <c r="BC207" s="66" t="n">
        <f aca="false">BB207+BC187</f>
        <v>3000000</v>
      </c>
      <c r="BD207" s="66" t="n">
        <f aca="false">BC207+BD187</f>
        <v>3000000</v>
      </c>
      <c r="BE207" s="66" t="n">
        <f aca="false">BD207+BE187</f>
        <v>3000000</v>
      </c>
      <c r="BF207" s="66" t="n">
        <f aca="false">BE207+BF187</f>
        <v>3000000</v>
      </c>
      <c r="BG207" s="66" t="n">
        <f aca="false">BF207+BG187</f>
        <v>3000000</v>
      </c>
      <c r="BH207" s="66" t="n">
        <f aca="false">BG207+BH187</f>
        <v>3000000</v>
      </c>
      <c r="BI207" s="66" t="n">
        <f aca="false">BH207+BI187</f>
        <v>3000000</v>
      </c>
      <c r="BJ207" s="66" t="n">
        <f aca="false">BI207+BJ187</f>
        <v>3000000</v>
      </c>
    </row>
    <row r="208" customFormat="false" ht="15" hidden="false" customHeight="false" outlineLevel="0" collapsed="false">
      <c r="A208" s="6" t="s">
        <v>98</v>
      </c>
      <c r="C208" s="66" t="n">
        <f aca="false">C159</f>
        <v>-71828.2458333333</v>
      </c>
      <c r="D208" s="66" t="n">
        <f aca="false">C208+D159</f>
        <v>-141159.335576389</v>
      </c>
      <c r="E208" s="66" t="n">
        <f aca="false">D208+E159</f>
        <v>-208055.413685313</v>
      </c>
      <c r="F208" s="66" t="n">
        <f aca="false">E208+F159</f>
        <v>-272577.07953823</v>
      </c>
      <c r="G208" s="66" t="n">
        <f aca="false">F208+G159</f>
        <v>-334783.425806195</v>
      </c>
      <c r="H208" s="66" t="n">
        <f aca="false">G208+H159</f>
        <v>-394732.075872546</v>
      </c>
      <c r="I208" s="66" t="n">
        <f aca="false">H208+I159</f>
        <v>-452479.220324226</v>
      </c>
      <c r="J208" s="66" t="n">
        <f aca="false">I208+J159</f>
        <v>-508079.652538049</v>
      </c>
      <c r="K208" s="66" t="n">
        <f aca="false">J208+K159</f>
        <v>-561586.803384312</v>
      </c>
      <c r="L208" s="66" t="n">
        <f aca="false">K208+L159</f>
        <v>-613052.775069627</v>
      </c>
      <c r="M208" s="66" t="n">
        <f aca="false">L208+M159</f>
        <v>-662528.374140268</v>
      </c>
      <c r="N208" s="66" t="n">
        <f aca="false">M208+N159</f>
        <v>-710063.143666832</v>
      </c>
      <c r="O208" s="66" t="n">
        <f aca="false">N208+O159</f>
        <v>-791974.408786052</v>
      </c>
      <c r="P208" s="66" t="n">
        <f aca="false">O208+P159</f>
        <v>-871327.282021187</v>
      </c>
      <c r="Q208" s="66" t="n">
        <f aca="false">P208+Q159</f>
        <v>-948185.455326356</v>
      </c>
      <c r="R208" s="66" t="n">
        <f aca="false">Q208+R159</f>
        <v>-1022611.03639211</v>
      </c>
      <c r="S208" s="66" t="n">
        <f aca="false">R208+S159</f>
        <v>-1094664.58801098</v>
      </c>
      <c r="T208" s="66" t="n">
        <f aca="false">S208+T159</f>
        <v>-1164405.16646607</v>
      </c>
      <c r="U208" s="66" t="n">
        <f aca="false">T208+U159</f>
        <v>-1231890.35896702</v>
      </c>
      <c r="V208" s="66" t="n">
        <f aca="false">U208+V159</f>
        <v>-1297176.32015678</v>
      </c>
      <c r="W208" s="66" t="n">
        <f aca="false">V208+W159</f>
        <v>-1360317.80771244</v>
      </c>
      <c r="X208" s="66" t="n">
        <f aca="false">W208+X159</f>
        <v>-1421368.2170623</v>
      </c>
      <c r="Y208" s="66" t="n">
        <f aca="false">X208+Y159</f>
        <v>-1480379.61524137</v>
      </c>
      <c r="Z208" s="66" t="n">
        <f aca="false">Y208+Z159</f>
        <v>-1537402.77390634</v>
      </c>
      <c r="AA208" s="66" t="n">
        <f aca="false">Z208+AA159</f>
        <v>-1648562.25879926</v>
      </c>
      <c r="AB208" s="66" t="n">
        <f aca="false">AA208+AB159</f>
        <v>-1756913.37771071</v>
      </c>
      <c r="AC208" s="66" t="n">
        <f aca="false">AB208+AC159</f>
        <v>-1862526.06582474</v>
      </c>
      <c r="AD208" s="66" t="n">
        <f aca="false">AC208+AD159</f>
        <v>-1965468.51816479</v>
      </c>
      <c r="AE208" s="66" t="n">
        <f aca="false">AD208+AE159</f>
        <v>-2065807.23285107</v>
      </c>
      <c r="AF208" s="66" t="n">
        <f aca="false">AE208+AF159</f>
        <v>-2163607.05328406</v>
      </c>
      <c r="AG208" s="66" t="n">
        <f aca="false">AF208+AG159</f>
        <v>-2258931.20928041</v>
      </c>
      <c r="AH208" s="66" t="n">
        <f aca="false">AG208+AH159</f>
        <v>-2351841.35718757</v>
      </c>
      <c r="AI208" s="66" t="n">
        <f aca="false">AH208+AI159</f>
        <v>-2442397.61900219</v>
      </c>
      <c r="AJ208" s="66" t="n">
        <f aca="false">AI208+AJ159</f>
        <v>-2530658.62051719</v>
      </c>
      <c r="AK208" s="66" t="n">
        <f aca="false">AJ208+AK159</f>
        <v>-2616681.52852143</v>
      </c>
      <c r="AL208" s="66" t="n">
        <f aca="false">AK208+AL159</f>
        <v>-2700522.08707562</v>
      </c>
      <c r="AM208" s="66" t="n">
        <f aca="false">AL208+AM159</f>
        <v>-2868550.21461988</v>
      </c>
      <c r="AN208" s="66" t="n">
        <f aca="false">AM208+AN159</f>
        <v>-3033319.73759639</v>
      </c>
      <c r="AO208" s="66" t="n">
        <f aca="false">AN208+AO159</f>
        <v>-3194911.82067111</v>
      </c>
      <c r="AP208" s="66" t="n">
        <f aca="false">AO208+AP159</f>
        <v>-3353405.60840678</v>
      </c>
      <c r="AQ208" s="66" t="n">
        <f aca="false">AP208+AQ159</f>
        <v>-3508878.27549511</v>
      </c>
      <c r="AR208" s="66" t="n">
        <f aca="false">AQ208+AR159</f>
        <v>-3661405.07574127</v>
      </c>
      <c r="AS208" s="66" t="n">
        <f aca="false">AR208+AS159</f>
        <v>-3811059.38983165</v>
      </c>
      <c r="AT208" s="66" t="n">
        <f aca="false">AS208+AT159</f>
        <v>-3957912.771915</v>
      </c>
      <c r="AU208" s="66" t="n">
        <f aca="false">AT208+AU159</f>
        <v>-4102034.99502651</v>
      </c>
      <c r="AV208" s="66" t="n">
        <f aca="false">AU208+AV159</f>
        <v>-4243494.09538345</v>
      </c>
      <c r="AW208" s="66" t="n">
        <f aca="false">AV208+AW159</f>
        <v>-4382356.41558036</v>
      </c>
      <c r="AX208" s="66" t="n">
        <f aca="false">AW208+AX159</f>
        <v>-4518686.64671115</v>
      </c>
      <c r="AY208" s="66" t="n">
        <f aca="false">AX208+AY159</f>
        <v>-4787337.52339116</v>
      </c>
      <c r="AZ208" s="66" t="n">
        <f aca="false">AY208+AZ159</f>
        <v>-5052052.25807308</v>
      </c>
      <c r="BA208" s="66" t="n">
        <f aca="false">AZ208+BA159</f>
        <v>-5312928.90741913</v>
      </c>
      <c r="BB208" s="66" t="n">
        <f aca="false">BA208+BB159</f>
        <v>-5570063.08708158</v>
      </c>
      <c r="BC208" s="66" t="n">
        <f aca="false">BB208+BC159</f>
        <v>-5823548.03241585</v>
      </c>
      <c r="BD208" s="66" t="n">
        <f aca="false">BC208+BD159</f>
        <v>-6073474.65768507</v>
      </c>
      <c r="BE208" s="66" t="n">
        <f aca="false">BD208+BE159</f>
        <v>-6319931.61379362</v>
      </c>
      <c r="BF208" s="66" t="n">
        <f aca="false">BE208+BF159</f>
        <v>-6563005.34458623</v>
      </c>
      <c r="BG208" s="66" t="n">
        <f aca="false">BF208+BG159</f>
        <v>-6802780.14174801</v>
      </c>
      <c r="BH208" s="66" t="n">
        <f aca="false">BG208+BH159</f>
        <v>-7039338.19834039</v>
      </c>
      <c r="BI208" s="66" t="n">
        <f aca="false">BH208+BI159</f>
        <v>-7272759.66100663</v>
      </c>
      <c r="BJ208" s="66" t="n">
        <f aca="false">BI208+BJ159</f>
        <v>-7503122.68088005</v>
      </c>
    </row>
    <row r="209" customFormat="false" ht="15" hidden="false" customHeight="false" outlineLevel="0" collapsed="false">
      <c r="A209" s="4" t="s">
        <v>92</v>
      </c>
      <c r="C209" s="72" t="n">
        <f aca="false">C191+C175+C176+C166</f>
        <v>2935713.81944444</v>
      </c>
      <c r="D209" s="72" t="n">
        <f aca="false">D191+D175+D176+D166</f>
        <v>2870085.68923611</v>
      </c>
      <c r="E209" s="72" t="n">
        <f aca="false">E191+E175+E176+E166</f>
        <v>2806799.71222743</v>
      </c>
      <c r="F209" s="72" t="n">
        <f aca="false">F191+F175+F176+F166</f>
        <v>2745797.61903452</v>
      </c>
      <c r="G209" s="72" t="n">
        <f aca="false">G191+G175+G176+G166</f>
        <v>2687022.58847472</v>
      </c>
      <c r="H209" s="72" t="n">
        <f aca="false">H191+H175+H176+H166</f>
        <v>2630419.21161754</v>
      </c>
      <c r="I209" s="72" t="n">
        <f aca="false">I191+I175+I176+I166</f>
        <v>2575933.45672671</v>
      </c>
      <c r="J209" s="72" t="n">
        <f aca="false">J191+J175+J176+J166</f>
        <v>2523512.63507116</v>
      </c>
      <c r="K209" s="72" t="n">
        <f aca="false">K191+K175+K176+K166</f>
        <v>2473105.36758356</v>
      </c>
      <c r="L209" s="72" t="n">
        <f aca="false">L191+L175+L176+L166</f>
        <v>2424661.55234537</v>
      </c>
      <c r="M209" s="72" t="n">
        <f aca="false">M191+M175+M176+M166</f>
        <v>2378132.33287792</v>
      </c>
      <c r="N209" s="72" t="n">
        <f aca="false">N191+N175+N176+N166</f>
        <v>2333470.06721971</v>
      </c>
      <c r="O209" s="72" t="n">
        <f aca="false">O191+O175+O176+O166</f>
        <v>2255389.05417025</v>
      </c>
      <c r="P209" s="72" t="n">
        <f aca="false">P191+P175+P176+P166</f>
        <v>2179818.49761622</v>
      </c>
      <c r="Q209" s="72" t="n">
        <f aca="false">Q191+Q175+Q176+Q166</f>
        <v>2106647.81523214</v>
      </c>
      <c r="R209" s="72" t="n">
        <f aca="false">R191+R175+R176+R166</f>
        <v>2035817.27800675</v>
      </c>
      <c r="S209" s="72" t="n">
        <f aca="false">S191+S175+S176+S166</f>
        <v>1967268.64211877</v>
      </c>
      <c r="T209" s="72" t="n">
        <f aca="false">T191+T175+T176+T166</f>
        <v>1900945.11204824</v>
      </c>
      <c r="U209" s="72" t="n">
        <f aca="false">U191+U175+U176+U166</f>
        <v>1836791.30460278</v>
      </c>
      <c r="V209" s="72" t="n">
        <f aca="false">V191+V175+V176+V166</f>
        <v>1774753.21383623</v>
      </c>
      <c r="W209" s="72" t="n">
        <f aca="false">W191+W175+W176+W166</f>
        <v>1714778.1768375</v>
      </c>
      <c r="X209" s="72" t="n">
        <f aca="false">X191+X175+X176+X166</f>
        <v>1656814.84036809</v>
      </c>
      <c r="Y209" s="72" t="n">
        <f aca="false">Y191+Y175+Y176+Y166</f>
        <v>1600813.12832732</v>
      </c>
      <c r="Z209" s="72" t="n">
        <f aca="false">Z191+Z175+Z176+Z166</f>
        <v>1546724.21002463</v>
      </c>
      <c r="AA209" s="72" t="n">
        <f aca="false">AA191+AA175+AA176+AA166</f>
        <v>1439750.16252272</v>
      </c>
      <c r="AB209" s="72" t="n">
        <f aca="false">AB191+AB175+AB176+AB166</f>
        <v>1335541.18756778</v>
      </c>
      <c r="AC209" s="72" t="n">
        <f aca="false">AC191+AC175+AC176+AC166</f>
        <v>1233966.81584587</v>
      </c>
      <c r="AD209" s="72" t="n">
        <f aca="false">AD191+AD175+AD176+AD166</f>
        <v>1134961.45624163</v>
      </c>
      <c r="AE209" s="72" t="n">
        <f aca="false">AE191+AE175+AE176+AE166</f>
        <v>1038461.14919864</v>
      </c>
      <c r="AF209" s="72" t="n">
        <f aca="false">AF191+AF175+AF176+AF166</f>
        <v>944403.526176978</v>
      </c>
      <c r="AG209" s="72" t="n">
        <f aca="false">AG191+AG175+AG176+AG166</f>
        <v>852727.770117001</v>
      </c>
      <c r="AH209" s="72" t="n">
        <f aca="false">AH191+AH175+AH176+AH166</f>
        <v>763374.576884334</v>
      </c>
      <c r="AI209" s="72" t="n">
        <f aca="false">AI191+AI175+AI176+AI166</f>
        <v>676286.11767177</v>
      </c>
      <c r="AJ209" s="72" t="n">
        <f aca="false">AJ191+AJ175+AJ176+AJ166</f>
        <v>591406.002334375</v>
      </c>
      <c r="AK209" s="72" t="n">
        <f aca="false">AK191+AK175+AK176+AK166</f>
        <v>508679.243634675</v>
      </c>
      <c r="AL209" s="72" t="n">
        <f aca="false">AL191+AL175+AL176+AL166</f>
        <v>428052.222375349</v>
      </c>
      <c r="AM209" s="72" t="n">
        <f aca="false">AM191+AM175+AM176+AM166</f>
        <v>264864.05875325</v>
      </c>
      <c r="AN209" s="72" t="n">
        <f aca="false">AN191+AN175+AN176+AN166</f>
        <v>104892.283136483</v>
      </c>
      <c r="AO209" s="72" t="n">
        <f aca="false">AO191+AO175+AO176+AO166</f>
        <v>-52022.2967107333</v>
      </c>
      <c r="AP209" s="72" t="n">
        <f aca="false">AP191+AP175+AP176+AP166</f>
        <v>-205955.810234386</v>
      </c>
      <c r="AQ209" s="72" t="n">
        <f aca="false">AQ191+AQ175+AQ176+AQ166</f>
        <v>-356982.49265776</v>
      </c>
      <c r="AR209" s="72" t="n">
        <f aca="false">AR191+AR175+AR176+AR166</f>
        <v>-505174.732066602</v>
      </c>
      <c r="AS209" s="72" t="n">
        <f aca="false">AS191+AS175+AS176+AS166</f>
        <v>-650603.115325268</v>
      </c>
      <c r="AT209" s="72" t="n">
        <f aca="false">AT191+AT175+AT176+AT166</f>
        <v>-793336.472852835</v>
      </c>
      <c r="AU209" s="72" t="n">
        <f aca="false">AU191+AU175+AU176+AU166</f>
        <v>-933441.922287444</v>
      </c>
      <c r="AV209" s="72" t="n">
        <f aca="false">AV191+AV175+AV176+AV166</f>
        <v>-1070984.91106644</v>
      </c>
      <c r="AW209" s="72" t="n">
        <f aca="false">AW191+AW175+AW176+AW166</f>
        <v>-1206029.25794917</v>
      </c>
      <c r="AX209" s="72" t="n">
        <f aca="false">AX191+AX175+AX176+AX166</f>
        <v>-1338637.19350873</v>
      </c>
      <c r="AY209" s="72" t="n">
        <f aca="false">AY191+AY175+AY176+AY166</f>
        <v>-1601456.0711048</v>
      </c>
      <c r="AZ209" s="72" t="n">
        <f aca="false">AZ191+AZ175+AZ176+AZ166</f>
        <v>-1860383.28148655</v>
      </c>
      <c r="BA209" s="72" t="n">
        <f aca="false">BA191+BA175+BA176+BA166</f>
        <v>-2115617.44152766</v>
      </c>
      <c r="BB209" s="72" t="n">
        <f aca="false">BB191+BB175+BB176+BB166</f>
        <v>-2367250.53059893</v>
      </c>
      <c r="BC209" s="72" t="n">
        <f aca="false">BC191+BC175+BC176+BC166</f>
        <v>-2615372.23899346</v>
      </c>
      <c r="BD209" s="72" t="n">
        <f aca="false">BD191+BD175+BD176+BD166</f>
        <v>-2860070.02484152</v>
      </c>
      <c r="BE209" s="72" t="n">
        <f aca="false">BE191+BE175+BE176+BE166</f>
        <v>-3101429.16961167</v>
      </c>
      <c r="BF209" s="72" t="n">
        <f aca="false">BF191+BF175+BF176+BF166</f>
        <v>-3339532.83223364</v>
      </c>
      <c r="BG209" s="72" t="n">
        <f aca="false">BG191+BG175+BG176+BG166</f>
        <v>-3574462.10187683</v>
      </c>
      <c r="BH209" s="72" t="n">
        <f aca="false">BH191+BH175+BH176+BH166</f>
        <v>-3806296.04941793</v>
      </c>
      <c r="BI209" s="72" t="n">
        <f aca="false">BI191+BI175+BI176+BI166</f>
        <v>-4035111.77763014</v>
      </c>
      <c r="BJ209" s="72" t="n">
        <f aca="false">BJ191+BJ175+BJ176+BJ166</f>
        <v>-4260984.47012571</v>
      </c>
    </row>
    <row r="210" customFormat="false" ht="15" hidden="false" customHeight="false" outlineLevel="0" collapsed="false">
      <c r="A210" s="6" t="s">
        <v>96</v>
      </c>
      <c r="C210" s="66" t="n">
        <f aca="false">C177+C172+C181</f>
        <v>7542.06527777778</v>
      </c>
      <c r="D210" s="66" t="n">
        <f aca="false">D177+D172+D181</f>
        <v>11245.0248125</v>
      </c>
      <c r="E210" s="66" t="n">
        <f aca="false">E177+E172+E181</f>
        <v>14855.1259127431</v>
      </c>
      <c r="F210" s="66" t="n">
        <f aca="false">F177+F172+F181</f>
        <v>18374.6985727523</v>
      </c>
      <c r="G210" s="66" t="n">
        <f aca="false">G177+G172+G181</f>
        <v>21806.0142809153</v>
      </c>
      <c r="H210" s="66" t="n">
        <f aca="false">H177+H172+H181</f>
        <v>25151.2874900887</v>
      </c>
      <c r="I210" s="66" t="n">
        <f aca="false">I177+I172+I181</f>
        <v>28412.6770509357</v>
      </c>
      <c r="J210" s="66" t="n">
        <f aca="false">J177+J172+J181</f>
        <v>31592.2876092075</v>
      </c>
      <c r="K210" s="66" t="n">
        <f aca="false">K177+K172+K181</f>
        <v>34692.170967875</v>
      </c>
      <c r="L210" s="66" t="n">
        <f aca="false">L177+L172+L181</f>
        <v>37714.3274149978</v>
      </c>
      <c r="M210" s="66" t="n">
        <f aca="false">M177+M172+M181</f>
        <v>40660.7070181919</v>
      </c>
      <c r="N210" s="66" t="n">
        <f aca="false">N177+N172+N181</f>
        <v>43533.2108865379</v>
      </c>
      <c r="O210" s="66" t="n">
        <f aca="false">O177+O172+O181</f>
        <v>47363.4629563056</v>
      </c>
      <c r="P210" s="66" t="n">
        <f aca="false">P177+P172+P181</f>
        <v>51145.7796374046</v>
      </c>
      <c r="Q210" s="66" t="n">
        <f aca="false">Q177+Q172+Q181</f>
        <v>54833.2705584925</v>
      </c>
      <c r="R210" s="66" t="n">
        <f aca="false">R177+R172+R181</f>
        <v>58428.3143988593</v>
      </c>
      <c r="S210" s="66" t="n">
        <f aca="false">S177+S172+S181</f>
        <v>61933.2301297536</v>
      </c>
      <c r="T210" s="66" t="n">
        <f aca="false">T177+T172+T181</f>
        <v>65350.2785143163</v>
      </c>
      <c r="U210" s="66" t="n">
        <f aca="false">U177+U172+U181</f>
        <v>68681.6635697974</v>
      </c>
      <c r="V210" s="66" t="n">
        <f aca="false">V177+V172+V181</f>
        <v>71929.533993008</v>
      </c>
      <c r="W210" s="66" t="n">
        <f aca="false">W177+W172+W181</f>
        <v>75095.9845499313</v>
      </c>
      <c r="X210" s="66" t="n">
        <f aca="false">X177+X172+X181</f>
        <v>78183.0574303957</v>
      </c>
      <c r="Y210" s="66" t="n">
        <f aca="false">Y177+Y172+Y181</f>
        <v>81192.7435686888</v>
      </c>
      <c r="Z210" s="66" t="n">
        <f aca="false">Z177+Z172+Z181</f>
        <v>84126.9839309697</v>
      </c>
      <c r="AA210" s="66" t="n">
        <f aca="false">AA177+AA172+AA181</f>
        <v>88312.4213219819</v>
      </c>
      <c r="AB210" s="66" t="n">
        <f aca="false">AB177+AB172+AB181</f>
        <v>92454.5652784902</v>
      </c>
      <c r="AC210" s="66" t="n">
        <f aca="false">AC177+AC172+AC181</f>
        <v>96492.8816706111</v>
      </c>
      <c r="AD210" s="66" t="n">
        <f aca="false">AD177+AD172+AD181</f>
        <v>100429.974406418</v>
      </c>
      <c r="AE210" s="66" t="n">
        <f aca="false">AE177+AE172+AE181</f>
        <v>104268.382049715</v>
      </c>
      <c r="AF210" s="66" t="n">
        <f aca="false">AF177+AF172+AF181</f>
        <v>108010.579461038</v>
      </c>
      <c r="AG210" s="66" t="n">
        <f aca="false">AG177+AG172+AG181</f>
        <v>111658.979397413</v>
      </c>
      <c r="AH210" s="66" t="n">
        <f aca="false">AH177+AH172+AH181</f>
        <v>115215.934071904</v>
      </c>
      <c r="AI210" s="66" t="n">
        <f aca="false">AI177+AI172+AI181</f>
        <v>118683.736673961</v>
      </c>
      <c r="AJ210" s="66" t="n">
        <f aca="false">AJ177+AJ172+AJ181</f>
        <v>122064.622851563</v>
      </c>
      <c r="AK210" s="66" t="n">
        <f aca="false">AK177+AK172+AK181</f>
        <v>125360.772156104</v>
      </c>
      <c r="AL210" s="66" t="n">
        <f aca="false">AL177+AL172+AL181</f>
        <v>128574.309450968</v>
      </c>
      <c r="AM210" s="66" t="n">
        <f aca="false">AM177+AM172+AM181</f>
        <v>133414.273373125</v>
      </c>
      <c r="AN210" s="66" t="n">
        <f aca="false">AN177+AN172+AN181</f>
        <v>138212.020732876</v>
      </c>
      <c r="AO210" s="66" t="n">
        <f aca="false">AO177+AO172+AO181</f>
        <v>142889.523960381</v>
      </c>
      <c r="AP210" s="66" t="n">
        <f aca="false">AP177+AP172+AP181</f>
        <v>147449.798172394</v>
      </c>
      <c r="AQ210" s="66" t="n">
        <f aca="false">AQ177+AQ172+AQ181</f>
        <v>151895.782837347</v>
      </c>
      <c r="AR210" s="66" t="n">
        <f aca="false">AR177+AR172+AR181</f>
        <v>156230.343674669</v>
      </c>
      <c r="AS210" s="66" t="n">
        <f aca="false">AS177+AS172+AS181</f>
        <v>160456.274506381</v>
      </c>
      <c r="AT210" s="66" t="n">
        <f aca="false">AT177+AT172+AT181</f>
        <v>164576.299062163</v>
      </c>
      <c r="AU210" s="66" t="n">
        <f aca="false">AU177+AU172+AU181</f>
        <v>168593.072739067</v>
      </c>
      <c r="AV210" s="66" t="n">
        <f aca="false">AV177+AV172+AV181</f>
        <v>172509.184317016</v>
      </c>
      <c r="AW210" s="66" t="n">
        <f aca="false">AW177+AW172+AW181</f>
        <v>176327.157631194</v>
      </c>
      <c r="AX210" s="66" t="n">
        <f aca="false">AX177+AX172+AX181</f>
        <v>180049.453202425</v>
      </c>
      <c r="AY210" s="66" t="n">
        <f aca="false">AY177+AY172+AY181</f>
        <v>185881.452286364</v>
      </c>
      <c r="AZ210" s="66" t="n">
        <f aca="false">AZ177+AZ172+AZ181</f>
        <v>191668.976586539</v>
      </c>
      <c r="BA210" s="66" t="n">
        <f aca="false">BA177+BA172+BA181</f>
        <v>197311.465891465</v>
      </c>
      <c r="BB210" s="66" t="n">
        <f aca="false">BB177+BB172+BB181</f>
        <v>202812.556482656</v>
      </c>
      <c r="BC210" s="66" t="n">
        <f aca="false">BC177+BC172+BC181</f>
        <v>208175.793422389</v>
      </c>
      <c r="BD210" s="66" t="n">
        <f aca="false">BD177+BD172+BD181</f>
        <v>213404.63284355</v>
      </c>
      <c r="BE210" s="66" t="n">
        <f aca="false">BE177+BE172+BE181</f>
        <v>218502.444181956</v>
      </c>
      <c r="BF210" s="66" t="n">
        <f aca="false">BF177+BF172+BF181</f>
        <v>223472.512352592</v>
      </c>
      <c r="BG210" s="66" t="n">
        <f aca="false">BG177+BG172+BG181</f>
        <v>228318.039871183</v>
      </c>
      <c r="BH210" s="66" t="n">
        <f aca="false">BH177+BH172+BH181</f>
        <v>233042.148922462</v>
      </c>
      <c r="BI210" s="66" t="n">
        <f aca="false">BI177+BI172+BI181</f>
        <v>237647.883376494</v>
      </c>
      <c r="BJ210" s="66" t="n">
        <f aca="false">BJ177+BJ172+BJ181</f>
        <v>242138.210754337</v>
      </c>
    </row>
    <row r="211" customFormat="false" ht="15" hidden="false" customHeight="false" outlineLevel="0" collapsed="false">
      <c r="A211" s="6" t="s">
        <v>99</v>
      </c>
      <c r="C211" s="66" t="n">
        <f aca="false">C207+C208</f>
        <v>2928171.75416667</v>
      </c>
      <c r="D211" s="66" t="n">
        <f aca="false">D207+D208</f>
        <v>2858840.66442361</v>
      </c>
      <c r="E211" s="66" t="n">
        <f aca="false">E207+E208</f>
        <v>2791944.58631469</v>
      </c>
      <c r="F211" s="66" t="n">
        <f aca="false">F207+F208</f>
        <v>2727422.92046177</v>
      </c>
      <c r="G211" s="66" t="n">
        <f aca="false">G207+G208</f>
        <v>2665216.57419381</v>
      </c>
      <c r="H211" s="66" t="n">
        <f aca="false">H207+H208</f>
        <v>2605267.92412745</v>
      </c>
      <c r="I211" s="66" t="n">
        <f aca="false">I207+I208</f>
        <v>2547520.77967577</v>
      </c>
      <c r="J211" s="66" t="n">
        <f aca="false">J207+J208</f>
        <v>2491920.34746195</v>
      </c>
      <c r="K211" s="66" t="n">
        <f aca="false">K207+K208</f>
        <v>2438413.19661569</v>
      </c>
      <c r="L211" s="66" t="n">
        <f aca="false">L207+L208</f>
        <v>2386947.22493037</v>
      </c>
      <c r="M211" s="66" t="n">
        <f aca="false">M207+M208</f>
        <v>2337471.62585973</v>
      </c>
      <c r="N211" s="66" t="n">
        <f aca="false">N207+N208</f>
        <v>2289936.85633317</v>
      </c>
      <c r="O211" s="66" t="n">
        <f aca="false">O207+O208</f>
        <v>2208025.59121395</v>
      </c>
      <c r="P211" s="66" t="n">
        <f aca="false">P207+P208</f>
        <v>2128672.71797881</v>
      </c>
      <c r="Q211" s="66" t="n">
        <f aca="false">Q207+Q208</f>
        <v>2051814.54467364</v>
      </c>
      <c r="R211" s="66" t="n">
        <f aca="false">R207+R208</f>
        <v>1977388.96360789</v>
      </c>
      <c r="S211" s="66" t="n">
        <f aca="false">S207+S208</f>
        <v>1905335.41198902</v>
      </c>
      <c r="T211" s="66" t="n">
        <f aca="false">T207+T208</f>
        <v>1835594.83353393</v>
      </c>
      <c r="U211" s="66" t="n">
        <f aca="false">U207+U208</f>
        <v>1768109.64103298</v>
      </c>
      <c r="V211" s="66" t="n">
        <f aca="false">V207+V208</f>
        <v>1702823.67984322</v>
      </c>
      <c r="W211" s="66" t="n">
        <f aca="false">W207+W208</f>
        <v>1639682.19228756</v>
      </c>
      <c r="X211" s="66" t="n">
        <f aca="false">X207+X208</f>
        <v>1578631.7829377</v>
      </c>
      <c r="Y211" s="66" t="n">
        <f aca="false">Y207+Y208</f>
        <v>1519620.38475864</v>
      </c>
      <c r="Z211" s="66" t="n">
        <f aca="false">Z207+Z208</f>
        <v>1462597.22609366</v>
      </c>
      <c r="AA211" s="66" t="n">
        <f aca="false">AA207+AA208</f>
        <v>1351437.74120074</v>
      </c>
      <c r="AB211" s="66" t="n">
        <f aca="false">AB207+AB208</f>
        <v>1243086.62228929</v>
      </c>
      <c r="AC211" s="66" t="n">
        <f aca="false">AC207+AC208</f>
        <v>1137473.93417526</v>
      </c>
      <c r="AD211" s="66" t="n">
        <f aca="false">AD207+AD208</f>
        <v>1034531.48183521</v>
      </c>
      <c r="AE211" s="66" t="n">
        <f aca="false">AE207+AE208</f>
        <v>934192.767148926</v>
      </c>
      <c r="AF211" s="66" t="n">
        <f aca="false">AF207+AF208</f>
        <v>836392.946715939</v>
      </c>
      <c r="AG211" s="66" t="n">
        <f aca="false">AG207+AG208</f>
        <v>741068.790719588</v>
      </c>
      <c r="AH211" s="66" t="n">
        <f aca="false">AH207+AH208</f>
        <v>648158.64281243</v>
      </c>
      <c r="AI211" s="66" t="n">
        <f aca="false">AI207+AI208</f>
        <v>557602.380997808</v>
      </c>
      <c r="AJ211" s="66" t="n">
        <f aca="false">AJ207+AJ208</f>
        <v>469341.379482811</v>
      </c>
      <c r="AK211" s="66" t="n">
        <f aca="false">AK207+AK208</f>
        <v>383318.471478571</v>
      </c>
      <c r="AL211" s="66" t="n">
        <f aca="false">AL207+AL208</f>
        <v>299477.91292438</v>
      </c>
      <c r="AM211" s="66" t="n">
        <f aca="false">AM207+AM208</f>
        <v>131449.785380125</v>
      </c>
      <c r="AN211" s="66" t="n">
        <f aca="false">AN207+AN208</f>
        <v>-33319.7375963931</v>
      </c>
      <c r="AO211" s="66" t="n">
        <f aca="false">AO207+AO208</f>
        <v>-194911.820671115</v>
      </c>
      <c r="AP211" s="66" t="n">
        <f aca="false">AP207+AP208</f>
        <v>-353405.608406781</v>
      </c>
      <c r="AQ211" s="66" t="n">
        <f aca="false">AQ207+AQ208</f>
        <v>-508878.275495107</v>
      </c>
      <c r="AR211" s="66" t="n">
        <f aca="false">AR207+AR208</f>
        <v>-661405.075741271</v>
      </c>
      <c r="AS211" s="66" t="n">
        <f aca="false">AS207+AS208</f>
        <v>-811059.389831649</v>
      </c>
      <c r="AT211" s="66" t="n">
        <f aca="false">AT207+AT208</f>
        <v>-957912.771914998</v>
      </c>
      <c r="AU211" s="66" t="n">
        <f aca="false">AU207+AU208</f>
        <v>-1102034.99502651</v>
      </c>
      <c r="AV211" s="66" t="n">
        <f aca="false">AV207+AV208</f>
        <v>-1243494.09538345</v>
      </c>
      <c r="AW211" s="66" t="n">
        <f aca="false">AW207+AW208</f>
        <v>-1382356.41558036</v>
      </c>
      <c r="AX211" s="66" t="n">
        <f aca="false">AX207+AX208</f>
        <v>-1518686.64671115</v>
      </c>
      <c r="AY211" s="66" t="n">
        <f aca="false">AY207+AY208</f>
        <v>-1787337.52339116</v>
      </c>
      <c r="AZ211" s="66" t="n">
        <f aca="false">AZ207+AZ208</f>
        <v>-2052052.25807308</v>
      </c>
      <c r="BA211" s="66" t="n">
        <f aca="false">BA207+BA208</f>
        <v>-2312928.90741913</v>
      </c>
      <c r="BB211" s="66" t="n">
        <f aca="false">BB207+BB208</f>
        <v>-2570063.08708158</v>
      </c>
      <c r="BC211" s="66" t="n">
        <f aca="false">BC207+BC208</f>
        <v>-2823548.03241585</v>
      </c>
      <c r="BD211" s="66" t="n">
        <f aca="false">BD207+BD208</f>
        <v>-3073474.65768506</v>
      </c>
      <c r="BE211" s="66" t="n">
        <f aca="false">BE207+BE208</f>
        <v>-3319931.61379362</v>
      </c>
      <c r="BF211" s="66" t="n">
        <f aca="false">BF207+BF208</f>
        <v>-3563005.34458623</v>
      </c>
      <c r="BG211" s="66" t="n">
        <f aca="false">BG207+BG208</f>
        <v>-3802780.14174801</v>
      </c>
      <c r="BH211" s="66" t="n">
        <f aca="false">BH207+BH208</f>
        <v>-4039338.19834039</v>
      </c>
      <c r="BI211" s="66" t="n">
        <f aca="false">BI207+BI208</f>
        <v>-4272759.66100663</v>
      </c>
      <c r="BJ211" s="66" t="n">
        <f aca="false">BJ207+BJ208</f>
        <v>-4503122.68088005</v>
      </c>
    </row>
    <row r="212" customFormat="false" ht="15" hidden="false" customHeight="false" outlineLevel="0" collapsed="false">
      <c r="A212" s="4" t="s">
        <v>100</v>
      </c>
      <c r="C212" s="72" t="n">
        <f aca="false">C210+C211</f>
        <v>2935713.81944444</v>
      </c>
      <c r="D212" s="72" t="n">
        <f aca="false">D210+D211</f>
        <v>2870085.68923611</v>
      </c>
      <c r="E212" s="72" t="n">
        <f aca="false">E210+E211</f>
        <v>2806799.71222743</v>
      </c>
      <c r="F212" s="72" t="n">
        <f aca="false">F210+F211</f>
        <v>2745797.61903452</v>
      </c>
      <c r="G212" s="72" t="n">
        <f aca="false">G210+G211</f>
        <v>2687022.58847472</v>
      </c>
      <c r="H212" s="72" t="n">
        <f aca="false">H210+H211</f>
        <v>2630419.21161754</v>
      </c>
      <c r="I212" s="72" t="n">
        <f aca="false">I210+I211</f>
        <v>2575933.45672671</v>
      </c>
      <c r="J212" s="72" t="n">
        <f aca="false">J210+J211</f>
        <v>2523512.63507116</v>
      </c>
      <c r="K212" s="72" t="n">
        <f aca="false">K210+K211</f>
        <v>2473105.36758356</v>
      </c>
      <c r="L212" s="72" t="n">
        <f aca="false">L210+L211</f>
        <v>2424661.55234537</v>
      </c>
      <c r="M212" s="72" t="n">
        <f aca="false">M210+M211</f>
        <v>2378132.33287792</v>
      </c>
      <c r="N212" s="72" t="n">
        <f aca="false">N210+N211</f>
        <v>2333470.06721971</v>
      </c>
      <c r="O212" s="72" t="n">
        <f aca="false">O210+O211</f>
        <v>2255389.05417025</v>
      </c>
      <c r="P212" s="72" t="n">
        <f aca="false">P210+P211</f>
        <v>2179818.49761622</v>
      </c>
      <c r="Q212" s="72" t="n">
        <f aca="false">Q210+Q211</f>
        <v>2106647.81523214</v>
      </c>
      <c r="R212" s="72" t="n">
        <f aca="false">R210+R211</f>
        <v>2035817.27800675</v>
      </c>
      <c r="S212" s="72" t="n">
        <f aca="false">S210+S211</f>
        <v>1967268.64211877</v>
      </c>
      <c r="T212" s="72" t="n">
        <f aca="false">T210+T211</f>
        <v>1900945.11204824</v>
      </c>
      <c r="U212" s="72" t="n">
        <f aca="false">U210+U211</f>
        <v>1836791.30460278</v>
      </c>
      <c r="V212" s="72" t="n">
        <f aca="false">V210+V211</f>
        <v>1774753.21383623</v>
      </c>
      <c r="W212" s="72" t="n">
        <f aca="false">W210+W211</f>
        <v>1714778.1768375</v>
      </c>
      <c r="X212" s="72" t="n">
        <f aca="false">X210+X211</f>
        <v>1656814.84036809</v>
      </c>
      <c r="Y212" s="72" t="n">
        <f aca="false">Y210+Y211</f>
        <v>1600813.12832732</v>
      </c>
      <c r="Z212" s="72" t="n">
        <f aca="false">Z210+Z211</f>
        <v>1546724.21002463</v>
      </c>
      <c r="AA212" s="72" t="n">
        <f aca="false">AA210+AA211</f>
        <v>1439750.16252272</v>
      </c>
      <c r="AB212" s="72" t="n">
        <f aca="false">AB210+AB211</f>
        <v>1335541.18756778</v>
      </c>
      <c r="AC212" s="72" t="n">
        <f aca="false">AC210+AC211</f>
        <v>1233966.81584587</v>
      </c>
      <c r="AD212" s="72" t="n">
        <f aca="false">AD210+AD211</f>
        <v>1134961.45624163</v>
      </c>
      <c r="AE212" s="72" t="n">
        <f aca="false">AE210+AE211</f>
        <v>1038461.14919864</v>
      </c>
      <c r="AF212" s="72" t="n">
        <f aca="false">AF210+AF211</f>
        <v>944403.526176978</v>
      </c>
      <c r="AG212" s="72" t="n">
        <f aca="false">AG210+AG211</f>
        <v>852727.770117001</v>
      </c>
      <c r="AH212" s="72" t="n">
        <f aca="false">AH210+AH211</f>
        <v>763374.576884334</v>
      </c>
      <c r="AI212" s="72" t="n">
        <f aca="false">AI210+AI211</f>
        <v>676286.117671769</v>
      </c>
      <c r="AJ212" s="72" t="n">
        <f aca="false">AJ210+AJ211</f>
        <v>591406.002334375</v>
      </c>
      <c r="AK212" s="72" t="n">
        <f aca="false">AK210+AK211</f>
        <v>508679.243634675</v>
      </c>
      <c r="AL212" s="72" t="n">
        <f aca="false">AL210+AL211</f>
        <v>428052.222375348</v>
      </c>
      <c r="AM212" s="72" t="n">
        <f aca="false">AM210+AM211</f>
        <v>264864.058753249</v>
      </c>
      <c r="AN212" s="72" t="n">
        <f aca="false">AN210+AN211</f>
        <v>104892.283136483</v>
      </c>
      <c r="AO212" s="72" t="n">
        <f aca="false">AO210+AO211</f>
        <v>-52022.2967107336</v>
      </c>
      <c r="AP212" s="72" t="n">
        <f aca="false">AP210+AP211</f>
        <v>-205955.810234386</v>
      </c>
      <c r="AQ212" s="72" t="n">
        <f aca="false">AQ210+AQ211</f>
        <v>-356982.49265776</v>
      </c>
      <c r="AR212" s="72" t="n">
        <f aca="false">AR210+AR211</f>
        <v>-505174.732066602</v>
      </c>
      <c r="AS212" s="72" t="n">
        <f aca="false">AS210+AS211</f>
        <v>-650603.115325268</v>
      </c>
      <c r="AT212" s="72" t="n">
        <f aca="false">AT210+AT211</f>
        <v>-793336.472852835</v>
      </c>
      <c r="AU212" s="72" t="n">
        <f aca="false">AU210+AU211</f>
        <v>-933441.922287445</v>
      </c>
      <c r="AV212" s="72" t="n">
        <f aca="false">AV210+AV211</f>
        <v>-1070984.91106644</v>
      </c>
      <c r="AW212" s="72" t="n">
        <f aca="false">AW210+AW211</f>
        <v>-1206029.25794917</v>
      </c>
      <c r="AX212" s="72" t="n">
        <f aca="false">AX210+AX211</f>
        <v>-1338637.19350873</v>
      </c>
      <c r="AY212" s="72" t="n">
        <f aca="false">AY210+AY211</f>
        <v>-1601456.0711048</v>
      </c>
      <c r="AZ212" s="72" t="n">
        <f aca="false">AZ210+AZ211</f>
        <v>-1860383.28148655</v>
      </c>
      <c r="BA212" s="72" t="n">
        <f aca="false">BA210+BA211</f>
        <v>-2115617.44152766</v>
      </c>
      <c r="BB212" s="72" t="n">
        <f aca="false">BB210+BB211</f>
        <v>-2367250.53059893</v>
      </c>
      <c r="BC212" s="72" t="n">
        <f aca="false">BC210+BC211</f>
        <v>-2615372.23899346</v>
      </c>
      <c r="BD212" s="72" t="n">
        <f aca="false">BD210+BD211</f>
        <v>-2860070.02484152</v>
      </c>
      <c r="BE212" s="72" t="n">
        <f aca="false">BE210+BE211</f>
        <v>-3101429.16961167</v>
      </c>
      <c r="BF212" s="72" t="n">
        <f aca="false">BF210+BF211</f>
        <v>-3339532.83223364</v>
      </c>
      <c r="BG212" s="72" t="n">
        <f aca="false">BG210+BG211</f>
        <v>-3574462.10187683</v>
      </c>
      <c r="BH212" s="72" t="n">
        <f aca="false">BH210+BH211</f>
        <v>-3806296.04941793</v>
      </c>
      <c r="BI212" s="72" t="n">
        <f aca="false">BI210+BI211</f>
        <v>-4035111.77763013</v>
      </c>
      <c r="BJ212" s="72" t="n">
        <f aca="false">BJ210+BJ211</f>
        <v>-4260984.47012571</v>
      </c>
    </row>
    <row r="213" customFormat="false" ht="15" hidden="false" customHeight="false" outlineLevel="0" collapsed="false">
      <c r="A213" s="6" t="s">
        <v>434</v>
      </c>
      <c r="C213" s="66" t="n">
        <f aca="false">C209-C212</f>
        <v>0</v>
      </c>
      <c r="D213" s="66" t="n">
        <f aca="false">D209-D212</f>
        <v>0</v>
      </c>
      <c r="E213" s="66" t="n">
        <f aca="false">E209-E212</f>
        <v>0</v>
      </c>
      <c r="F213" s="66" t="n">
        <f aca="false">F209-F212</f>
        <v>0</v>
      </c>
      <c r="G213" s="66" t="n">
        <f aca="false">G209-G212</f>
        <v>0</v>
      </c>
      <c r="H213" s="66" t="n">
        <f aca="false">H209-H212</f>
        <v>0</v>
      </c>
      <c r="I213" s="66" t="n">
        <f aca="false">I209-I212</f>
        <v>0</v>
      </c>
      <c r="J213" s="66" t="n">
        <f aca="false">J209-J212</f>
        <v>0</v>
      </c>
      <c r="K213" s="66" t="n">
        <f aca="false">K209-K212</f>
        <v>0</v>
      </c>
      <c r="L213" s="66" t="n">
        <f aca="false">L209-L212</f>
        <v>0</v>
      </c>
      <c r="M213" s="66" t="n">
        <f aca="false">M209-M212</f>
        <v>0</v>
      </c>
      <c r="N213" s="66" t="n">
        <f aca="false">N209-N212</f>
        <v>0</v>
      </c>
      <c r="O213" s="66" t="n">
        <f aca="false">O209-O212</f>
        <v>0</v>
      </c>
      <c r="P213" s="66" t="n">
        <f aca="false">P209-P212</f>
        <v>0</v>
      </c>
      <c r="Q213" s="66" t="n">
        <f aca="false">Q209-Q212</f>
        <v>0</v>
      </c>
      <c r="R213" s="66" t="n">
        <f aca="false">R209-R212</f>
        <v>0</v>
      </c>
      <c r="S213" s="66" t="n">
        <f aca="false">S209-S212</f>
        <v>0</v>
      </c>
      <c r="T213" s="66" t="n">
        <f aca="false">T209-T212</f>
        <v>0</v>
      </c>
      <c r="U213" s="66" t="n">
        <f aca="false">U209-U212</f>
        <v>0</v>
      </c>
      <c r="V213" s="66" t="n">
        <f aca="false">V209-V212</f>
        <v>0</v>
      </c>
      <c r="W213" s="66" t="n">
        <f aca="false">W209-W212</f>
        <v>0</v>
      </c>
      <c r="X213" s="66" t="n">
        <f aca="false">X209-X212</f>
        <v>0</v>
      </c>
      <c r="Y213" s="66" t="n">
        <f aca="false">Y209-Y212</f>
        <v>0</v>
      </c>
      <c r="Z213" s="66" t="n">
        <f aca="false">Z209-Z212</f>
        <v>0</v>
      </c>
      <c r="AA213" s="66" t="n">
        <f aca="false">AA209-AA212</f>
        <v>0</v>
      </c>
      <c r="AB213" s="66" t="n">
        <f aca="false">AB209-AB212</f>
        <v>0</v>
      </c>
      <c r="AC213" s="66" t="n">
        <f aca="false">AC209-AC212</f>
        <v>0</v>
      </c>
      <c r="AD213" s="66" t="n">
        <f aca="false">AD209-AD212</f>
        <v>0</v>
      </c>
      <c r="AE213" s="66" t="n">
        <f aca="false">AE209-AE212</f>
        <v>0</v>
      </c>
      <c r="AF213" s="66" t="n">
        <f aca="false">AF209-AF212</f>
        <v>0</v>
      </c>
      <c r="AG213" s="66" t="n">
        <f aca="false">AG209-AG212</f>
        <v>0</v>
      </c>
      <c r="AH213" s="66" t="n">
        <f aca="false">AH209-AH212</f>
        <v>0</v>
      </c>
      <c r="AI213" s="66" t="n">
        <f aca="false">AI209-AI212</f>
        <v>0</v>
      </c>
      <c r="AJ213" s="66" t="n">
        <f aca="false">AJ209-AJ212</f>
        <v>0</v>
      </c>
      <c r="AK213" s="66" t="n">
        <f aca="false">AK209-AK212</f>
        <v>0</v>
      </c>
      <c r="AL213" s="66" t="n">
        <f aca="false">AL209-AL212</f>
        <v>0</v>
      </c>
      <c r="AM213" s="66" t="n">
        <f aca="false">AM209-AM212</f>
        <v>0</v>
      </c>
      <c r="AN213" s="66" t="n">
        <f aca="false">AN209-AN212</f>
        <v>3.78349795937538E-010</v>
      </c>
      <c r="AO213" s="66" t="n">
        <f aca="false">AO209-AO212</f>
        <v>3.27418092638254E-010</v>
      </c>
      <c r="AP213" s="66" t="n">
        <f aca="false">AP209-AP212</f>
        <v>0</v>
      </c>
      <c r="AQ213" s="66" t="n">
        <f aca="false">AQ209-AQ212</f>
        <v>0</v>
      </c>
      <c r="AR213" s="66" t="n">
        <f aca="false">AR209-AR212</f>
        <v>0</v>
      </c>
      <c r="AS213" s="66" t="n">
        <f aca="false">AS209-AS212</f>
        <v>0</v>
      </c>
      <c r="AT213" s="66" t="n">
        <f aca="false">AT209-AT212</f>
        <v>0</v>
      </c>
      <c r="AU213" s="66" t="n">
        <f aca="false">AU209-AU212</f>
        <v>0</v>
      </c>
      <c r="AV213" s="66" t="n">
        <f aca="false">AV209-AV212</f>
        <v>0</v>
      </c>
      <c r="AW213" s="66" t="n">
        <f aca="false">AW209-AW212</f>
        <v>0</v>
      </c>
      <c r="AX213" s="66" t="n">
        <f aca="false">AX209-AX212</f>
        <v>0</v>
      </c>
      <c r="AY213" s="66" t="n">
        <f aca="false">AY209-AY212</f>
        <v>0</v>
      </c>
      <c r="AZ213" s="66" t="n">
        <f aca="false">AZ209-AZ212</f>
        <v>0</v>
      </c>
      <c r="BA213" s="66" t="n">
        <f aca="false">BA209-BA212</f>
        <v>0</v>
      </c>
      <c r="BB213" s="66" t="n">
        <f aca="false">BB209-BB212</f>
        <v>0</v>
      </c>
      <c r="BC213" s="66" t="n">
        <f aca="false">BC209-BC212</f>
        <v>0</v>
      </c>
      <c r="BD213" s="66" t="n">
        <f aca="false">BD209-BD212</f>
        <v>0</v>
      </c>
      <c r="BE213" s="66" t="n">
        <f aca="false">BE209-BE212</f>
        <v>0</v>
      </c>
      <c r="BF213" s="66" t="n">
        <f aca="false">BF209-BF212</f>
        <v>0</v>
      </c>
      <c r="BG213" s="66" t="n">
        <f aca="false">BG209-BG212</f>
        <v>0</v>
      </c>
      <c r="BH213" s="66" t="n">
        <f aca="false">BH209-BH212</f>
        <v>0</v>
      </c>
      <c r="BI213" s="66" t="n">
        <f aca="false">BI209-BI212</f>
        <v>0</v>
      </c>
      <c r="BJ213" s="66" t="n">
        <f aca="false">BJ209-BJ212</f>
        <v>0</v>
      </c>
    </row>
    <row r="215" customFormat="false" ht="15.75" hidden="false" customHeight="true" outlineLevel="0" collapsed="false">
      <c r="A215" s="7" t="s">
        <v>436</v>
      </c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</row>
    <row r="216" customFormat="false" ht="15" hidden="false" customHeight="false" outlineLevel="0" collapsed="false">
      <c r="A216" s="6" t="s">
        <v>437</v>
      </c>
      <c r="C216" s="114" t="n">
        <f aca="false">Inputs!$C$26*(1+Inputs!$C$28)^(C$120-1)*MAX(0,MIN(1,C$119*1-Inputs!$C$29+1))/1</f>
        <v>3</v>
      </c>
      <c r="D216" s="114" t="n">
        <f aca="false">Inputs!$C$26*(1+Inputs!$C$28)^(D$120-1)*MAX(0,MIN(1,D$119*1-Inputs!$C$29+1))/1</f>
        <v>3</v>
      </c>
      <c r="E216" s="114" t="n">
        <f aca="false">Inputs!$C$26*(1+Inputs!$C$28)^(E$120-1)*MAX(0,MIN(1,E$119*1-Inputs!$C$29+1))/1</f>
        <v>3</v>
      </c>
      <c r="F216" s="114" t="n">
        <f aca="false">Inputs!$C$26*(1+Inputs!$C$28)^(F$120-1)*MAX(0,MIN(1,F$119*1-Inputs!$C$29+1))/1</f>
        <v>3</v>
      </c>
      <c r="G216" s="114" t="n">
        <f aca="false">Inputs!$C$26*(1+Inputs!$C$28)^(G$120-1)*MAX(0,MIN(1,G$119*1-Inputs!$C$29+1))/1</f>
        <v>3</v>
      </c>
      <c r="H216" s="114" t="n">
        <f aca="false">Inputs!$C$26*(1+Inputs!$C$28)^(H$120-1)*MAX(0,MIN(1,H$119*1-Inputs!$C$29+1))/1</f>
        <v>3</v>
      </c>
      <c r="I216" s="114" t="n">
        <f aca="false">Inputs!$C$26*(1+Inputs!$C$28)^(I$120-1)*MAX(0,MIN(1,I$119*1-Inputs!$C$29+1))/1</f>
        <v>3</v>
      </c>
      <c r="J216" s="114" t="n">
        <f aca="false">Inputs!$C$26*(1+Inputs!$C$28)^(J$120-1)*MAX(0,MIN(1,J$119*1-Inputs!$C$29+1))/1</f>
        <v>3</v>
      </c>
      <c r="K216" s="114" t="n">
        <f aca="false">Inputs!$C$26*(1+Inputs!$C$28)^(K$120-1)*MAX(0,MIN(1,K$119*1-Inputs!$C$29+1))/1</f>
        <v>3</v>
      </c>
      <c r="L216" s="114" t="n">
        <f aca="false">Inputs!$C$26*(1+Inputs!$C$28)^(L$120-1)*MAX(0,MIN(1,L$119*1-Inputs!$C$29+1))/1</f>
        <v>3</v>
      </c>
      <c r="M216" s="114" t="n">
        <f aca="false">Inputs!$C$26*(1+Inputs!$C$28)^(M$120-1)*MAX(0,MIN(1,M$119*1-Inputs!$C$29+1))/1</f>
        <v>3</v>
      </c>
      <c r="N216" s="114" t="n">
        <f aca="false">Inputs!$C$26*(1+Inputs!$C$28)^(N$120-1)*MAX(0,MIN(1,N$119*1-Inputs!$C$29+1))/1</f>
        <v>3</v>
      </c>
      <c r="O216" s="114" t="n">
        <f aca="false">Inputs!$C$26*(1+Inputs!$C$28)^(O$120-1)*MAX(0,MIN(1,O$119*1-Inputs!$C$29+1))/1</f>
        <v>4.5</v>
      </c>
      <c r="P216" s="114" t="n">
        <f aca="false">Inputs!$C$26*(1+Inputs!$C$28)^(P$120-1)*MAX(0,MIN(1,P$119*1-Inputs!$C$29+1))/1</f>
        <v>4.5</v>
      </c>
      <c r="Q216" s="114" t="n">
        <f aca="false">Inputs!$C$26*(1+Inputs!$C$28)^(Q$120-1)*MAX(0,MIN(1,Q$119*1-Inputs!$C$29+1))/1</f>
        <v>4.5</v>
      </c>
      <c r="R216" s="114" t="n">
        <f aca="false">Inputs!$C$26*(1+Inputs!$C$28)^(R$120-1)*MAX(0,MIN(1,R$119*1-Inputs!$C$29+1))/1</f>
        <v>4.5</v>
      </c>
      <c r="S216" s="114" t="n">
        <f aca="false">Inputs!$C$26*(1+Inputs!$C$28)^(S$120-1)*MAX(0,MIN(1,S$119*1-Inputs!$C$29+1))/1</f>
        <v>4.5</v>
      </c>
      <c r="T216" s="114" t="n">
        <f aca="false">Inputs!$C$26*(1+Inputs!$C$28)^(T$120-1)*MAX(0,MIN(1,T$119*1-Inputs!$C$29+1))/1</f>
        <v>4.5</v>
      </c>
      <c r="U216" s="114" t="n">
        <f aca="false">Inputs!$C$26*(1+Inputs!$C$28)^(U$120-1)*MAX(0,MIN(1,U$119*1-Inputs!$C$29+1))/1</f>
        <v>4.5</v>
      </c>
      <c r="V216" s="114" t="n">
        <f aca="false">Inputs!$C$26*(1+Inputs!$C$28)^(V$120-1)*MAX(0,MIN(1,V$119*1-Inputs!$C$29+1))/1</f>
        <v>4.5</v>
      </c>
      <c r="W216" s="114" t="n">
        <f aca="false">Inputs!$C$26*(1+Inputs!$C$28)^(W$120-1)*MAX(0,MIN(1,W$119*1-Inputs!$C$29+1))/1</f>
        <v>4.5</v>
      </c>
      <c r="X216" s="114" t="n">
        <f aca="false">Inputs!$C$26*(1+Inputs!$C$28)^(X$120-1)*MAX(0,MIN(1,X$119*1-Inputs!$C$29+1))/1</f>
        <v>4.5</v>
      </c>
      <c r="Y216" s="114" t="n">
        <f aca="false">Inputs!$C$26*(1+Inputs!$C$28)^(Y$120-1)*MAX(0,MIN(1,Y$119*1-Inputs!$C$29+1))/1</f>
        <v>4.5</v>
      </c>
      <c r="Z216" s="114" t="n">
        <f aca="false">Inputs!$C$26*(1+Inputs!$C$28)^(Z$120-1)*MAX(0,MIN(1,Z$119*1-Inputs!$C$29+1))/1</f>
        <v>4.5</v>
      </c>
      <c r="AA216" s="114" t="n">
        <f aca="false">Inputs!$C$26*(1+Inputs!$C$28)^(AA$120-1)*MAX(0,MIN(1,AA$119*1-Inputs!$C$29+1))/1</f>
        <v>6.75</v>
      </c>
      <c r="AB216" s="114" t="n">
        <f aca="false">Inputs!$C$26*(1+Inputs!$C$28)^(AB$120-1)*MAX(0,MIN(1,AB$119*1-Inputs!$C$29+1))/1</f>
        <v>6.75</v>
      </c>
      <c r="AC216" s="114" t="n">
        <f aca="false">Inputs!$C$26*(1+Inputs!$C$28)^(AC$120-1)*MAX(0,MIN(1,AC$119*1-Inputs!$C$29+1))/1</f>
        <v>6.75</v>
      </c>
      <c r="AD216" s="114" t="n">
        <f aca="false">Inputs!$C$26*(1+Inputs!$C$28)^(AD$120-1)*MAX(0,MIN(1,AD$119*1-Inputs!$C$29+1))/1</f>
        <v>6.75</v>
      </c>
      <c r="AE216" s="114" t="n">
        <f aca="false">Inputs!$C$26*(1+Inputs!$C$28)^(AE$120-1)*MAX(0,MIN(1,AE$119*1-Inputs!$C$29+1))/1</f>
        <v>6.75</v>
      </c>
      <c r="AF216" s="114" t="n">
        <f aca="false">Inputs!$C$26*(1+Inputs!$C$28)^(AF$120-1)*MAX(0,MIN(1,AF$119*1-Inputs!$C$29+1))/1</f>
        <v>6.75</v>
      </c>
      <c r="AG216" s="114" t="n">
        <f aca="false">Inputs!$C$26*(1+Inputs!$C$28)^(AG$120-1)*MAX(0,MIN(1,AG$119*1-Inputs!$C$29+1))/1</f>
        <v>6.75</v>
      </c>
      <c r="AH216" s="114" t="n">
        <f aca="false">Inputs!$C$26*(1+Inputs!$C$28)^(AH$120-1)*MAX(0,MIN(1,AH$119*1-Inputs!$C$29+1))/1</f>
        <v>6.75</v>
      </c>
      <c r="AI216" s="114" t="n">
        <f aca="false">Inputs!$C$26*(1+Inputs!$C$28)^(AI$120-1)*MAX(0,MIN(1,AI$119*1-Inputs!$C$29+1))/1</f>
        <v>6.75</v>
      </c>
      <c r="AJ216" s="114" t="n">
        <f aca="false">Inputs!$C$26*(1+Inputs!$C$28)^(AJ$120-1)*MAX(0,MIN(1,AJ$119*1-Inputs!$C$29+1))/1</f>
        <v>6.75</v>
      </c>
      <c r="AK216" s="114" t="n">
        <f aca="false">Inputs!$C$26*(1+Inputs!$C$28)^(AK$120-1)*MAX(0,MIN(1,AK$119*1-Inputs!$C$29+1))/1</f>
        <v>6.75</v>
      </c>
      <c r="AL216" s="114" t="n">
        <f aca="false">Inputs!$C$26*(1+Inputs!$C$28)^(AL$120-1)*MAX(0,MIN(1,AL$119*1-Inputs!$C$29+1))/1</f>
        <v>6.75</v>
      </c>
      <c r="AM216" s="114" t="n">
        <f aca="false">Inputs!$C$26*(1+Inputs!$C$28)^(AM$120-1)*MAX(0,MIN(1,AM$119*1-Inputs!$C$29+1))/1</f>
        <v>10.125</v>
      </c>
      <c r="AN216" s="114" t="n">
        <f aca="false">Inputs!$C$26*(1+Inputs!$C$28)^(AN$120-1)*MAX(0,MIN(1,AN$119*1-Inputs!$C$29+1))/1</f>
        <v>10.125</v>
      </c>
      <c r="AO216" s="114" t="n">
        <f aca="false">Inputs!$C$26*(1+Inputs!$C$28)^(AO$120-1)*MAX(0,MIN(1,AO$119*1-Inputs!$C$29+1))/1</f>
        <v>10.125</v>
      </c>
      <c r="AP216" s="114" t="n">
        <f aca="false">Inputs!$C$26*(1+Inputs!$C$28)^(AP$120-1)*MAX(0,MIN(1,AP$119*1-Inputs!$C$29+1))/1</f>
        <v>10.125</v>
      </c>
      <c r="AQ216" s="114" t="n">
        <f aca="false">Inputs!$C$26*(1+Inputs!$C$28)^(AQ$120-1)*MAX(0,MIN(1,AQ$119*1-Inputs!$C$29+1))/1</f>
        <v>10.125</v>
      </c>
      <c r="AR216" s="114" t="n">
        <f aca="false">Inputs!$C$26*(1+Inputs!$C$28)^(AR$120-1)*MAX(0,MIN(1,AR$119*1-Inputs!$C$29+1))/1</f>
        <v>10.125</v>
      </c>
      <c r="AS216" s="114" t="n">
        <f aca="false">Inputs!$C$26*(1+Inputs!$C$28)^(AS$120-1)*MAX(0,MIN(1,AS$119*1-Inputs!$C$29+1))/1</f>
        <v>10.125</v>
      </c>
      <c r="AT216" s="114" t="n">
        <f aca="false">Inputs!$C$26*(1+Inputs!$C$28)^(AT$120-1)*MAX(0,MIN(1,AT$119*1-Inputs!$C$29+1))/1</f>
        <v>10.125</v>
      </c>
      <c r="AU216" s="114" t="n">
        <f aca="false">Inputs!$C$26*(1+Inputs!$C$28)^(AU$120-1)*MAX(0,MIN(1,AU$119*1-Inputs!$C$29+1))/1</f>
        <v>10.125</v>
      </c>
      <c r="AV216" s="114" t="n">
        <f aca="false">Inputs!$C$26*(1+Inputs!$C$28)^(AV$120-1)*MAX(0,MIN(1,AV$119*1-Inputs!$C$29+1))/1</f>
        <v>10.125</v>
      </c>
      <c r="AW216" s="114" t="n">
        <f aca="false">Inputs!$C$26*(1+Inputs!$C$28)^(AW$120-1)*MAX(0,MIN(1,AW$119*1-Inputs!$C$29+1))/1</f>
        <v>10.125</v>
      </c>
      <c r="AX216" s="114" t="n">
        <f aca="false">Inputs!$C$26*(1+Inputs!$C$28)^(AX$120-1)*MAX(0,MIN(1,AX$119*1-Inputs!$C$29+1))/1</f>
        <v>10.125</v>
      </c>
      <c r="AY216" s="114" t="n">
        <f aca="false">Inputs!$C$26*(1+Inputs!$C$28)^(AY$120-1)*MAX(0,MIN(1,AY$119*1-Inputs!$C$29+1))/1</f>
        <v>15.1875</v>
      </c>
      <c r="AZ216" s="114" t="n">
        <f aca="false">Inputs!$C$26*(1+Inputs!$C$28)^(AZ$120-1)*MAX(0,MIN(1,AZ$119*1-Inputs!$C$29+1))/1</f>
        <v>15.1875</v>
      </c>
      <c r="BA216" s="114" t="n">
        <f aca="false">Inputs!$C$26*(1+Inputs!$C$28)^(BA$120-1)*MAX(0,MIN(1,BA$119*1-Inputs!$C$29+1))/1</f>
        <v>15.1875</v>
      </c>
      <c r="BB216" s="114" t="n">
        <f aca="false">Inputs!$C$26*(1+Inputs!$C$28)^(BB$120-1)*MAX(0,MIN(1,BB$119*1-Inputs!$C$29+1))/1</f>
        <v>15.1875</v>
      </c>
      <c r="BC216" s="114" t="n">
        <f aca="false">Inputs!$C$26*(1+Inputs!$C$28)^(BC$120-1)*MAX(0,MIN(1,BC$119*1-Inputs!$C$29+1))/1</f>
        <v>15.1875</v>
      </c>
      <c r="BD216" s="114" t="n">
        <f aca="false">Inputs!$C$26*(1+Inputs!$C$28)^(BD$120-1)*MAX(0,MIN(1,BD$119*1-Inputs!$C$29+1))/1</f>
        <v>15.1875</v>
      </c>
      <c r="BE216" s="114" t="n">
        <f aca="false">Inputs!$C$26*(1+Inputs!$C$28)^(BE$120-1)*MAX(0,MIN(1,BE$119*1-Inputs!$C$29+1))/1</f>
        <v>15.1875</v>
      </c>
      <c r="BF216" s="114" t="n">
        <f aca="false">Inputs!$C$26*(1+Inputs!$C$28)^(BF$120-1)*MAX(0,MIN(1,BF$119*1-Inputs!$C$29+1))/1</f>
        <v>15.1875</v>
      </c>
      <c r="BG216" s="114" t="n">
        <f aca="false">Inputs!$C$26*(1+Inputs!$C$28)^(BG$120-1)*MAX(0,MIN(1,BG$119*1-Inputs!$C$29+1))/1</f>
        <v>15.1875</v>
      </c>
      <c r="BH216" s="114" t="n">
        <f aca="false">Inputs!$C$26*(1+Inputs!$C$28)^(BH$120-1)*MAX(0,MIN(1,BH$119*1-Inputs!$C$29+1))/1</f>
        <v>15.1875</v>
      </c>
      <c r="BI216" s="114" t="n">
        <f aca="false">Inputs!$C$26*(1+Inputs!$C$28)^(BI$120-1)*MAX(0,MIN(1,BI$119*1-Inputs!$C$29+1))/1</f>
        <v>15.1875</v>
      </c>
      <c r="BJ216" s="114" t="n">
        <f aca="false">Inputs!$C$26*(1+Inputs!$C$28)^(BJ$120-1)*MAX(0,MIN(1,BJ$119*1-Inputs!$C$29+1))/1</f>
        <v>15.1875</v>
      </c>
    </row>
    <row r="217" customFormat="false" ht="15" hidden="false" customHeight="false" outlineLevel="0" collapsed="false">
      <c r="A217" s="6" t="s">
        <v>438</v>
      </c>
      <c r="C217" s="114" t="n">
        <f aca="false">Inputs!$C$30*(1+Inputs!$C$32)^(C$120-1)*MAX(0,MIN(1,C$119*1-Inputs!$C$33+1))/1</f>
        <v>1.5</v>
      </c>
      <c r="D217" s="114" t="n">
        <f aca="false">Inputs!$C$30*(1+Inputs!$C$32)^(D$120-1)*MAX(0,MIN(1,D$119*1-Inputs!$C$33+1))/1</f>
        <v>1.5</v>
      </c>
      <c r="E217" s="114" t="n">
        <f aca="false">Inputs!$C$30*(1+Inputs!$C$32)^(E$120-1)*MAX(0,MIN(1,E$119*1-Inputs!$C$33+1))/1</f>
        <v>1.5</v>
      </c>
      <c r="F217" s="114" t="n">
        <f aca="false">Inputs!$C$30*(1+Inputs!$C$32)^(F$120-1)*MAX(0,MIN(1,F$119*1-Inputs!$C$33+1))/1</f>
        <v>1.5</v>
      </c>
      <c r="G217" s="114" t="n">
        <f aca="false">Inputs!$C$30*(1+Inputs!$C$32)^(G$120-1)*MAX(0,MIN(1,G$119*1-Inputs!$C$33+1))/1</f>
        <v>1.5</v>
      </c>
      <c r="H217" s="114" t="n">
        <f aca="false">Inputs!$C$30*(1+Inputs!$C$32)^(H$120-1)*MAX(0,MIN(1,H$119*1-Inputs!$C$33+1))/1</f>
        <v>1.5</v>
      </c>
      <c r="I217" s="114" t="n">
        <f aca="false">Inputs!$C$30*(1+Inputs!$C$32)^(I$120-1)*MAX(0,MIN(1,I$119*1-Inputs!$C$33+1))/1</f>
        <v>1.5</v>
      </c>
      <c r="J217" s="114" t="n">
        <f aca="false">Inputs!$C$30*(1+Inputs!$C$32)^(J$120-1)*MAX(0,MIN(1,J$119*1-Inputs!$C$33+1))/1</f>
        <v>1.5</v>
      </c>
      <c r="K217" s="114" t="n">
        <f aca="false">Inputs!$C$30*(1+Inputs!$C$32)^(K$120-1)*MAX(0,MIN(1,K$119*1-Inputs!$C$33+1))/1</f>
        <v>1.5</v>
      </c>
      <c r="L217" s="114" t="n">
        <f aca="false">Inputs!$C$30*(1+Inputs!$C$32)^(L$120-1)*MAX(0,MIN(1,L$119*1-Inputs!$C$33+1))/1</f>
        <v>1.5</v>
      </c>
      <c r="M217" s="114" t="n">
        <f aca="false">Inputs!$C$30*(1+Inputs!$C$32)^(M$120-1)*MAX(0,MIN(1,M$119*1-Inputs!$C$33+1))/1</f>
        <v>1.5</v>
      </c>
      <c r="N217" s="114" t="n">
        <f aca="false">Inputs!$C$30*(1+Inputs!$C$32)^(N$120-1)*MAX(0,MIN(1,N$119*1-Inputs!$C$33+1))/1</f>
        <v>1.5</v>
      </c>
      <c r="O217" s="114" t="n">
        <f aca="false">Inputs!$C$30*(1+Inputs!$C$32)^(O$120-1)*MAX(0,MIN(1,O$119*1-Inputs!$C$33+1))/1</f>
        <v>2.25</v>
      </c>
      <c r="P217" s="114" t="n">
        <f aca="false">Inputs!$C$30*(1+Inputs!$C$32)^(P$120-1)*MAX(0,MIN(1,P$119*1-Inputs!$C$33+1))/1</f>
        <v>2.25</v>
      </c>
      <c r="Q217" s="114" t="n">
        <f aca="false">Inputs!$C$30*(1+Inputs!$C$32)^(Q$120-1)*MAX(0,MIN(1,Q$119*1-Inputs!$C$33+1))/1</f>
        <v>2.25</v>
      </c>
      <c r="R217" s="114" t="n">
        <f aca="false">Inputs!$C$30*(1+Inputs!$C$32)^(R$120-1)*MAX(0,MIN(1,R$119*1-Inputs!$C$33+1))/1</f>
        <v>2.25</v>
      </c>
      <c r="S217" s="114" t="n">
        <f aca="false">Inputs!$C$30*(1+Inputs!$C$32)^(S$120-1)*MAX(0,MIN(1,S$119*1-Inputs!$C$33+1))/1</f>
        <v>2.25</v>
      </c>
      <c r="T217" s="114" t="n">
        <f aca="false">Inputs!$C$30*(1+Inputs!$C$32)^(T$120-1)*MAX(0,MIN(1,T$119*1-Inputs!$C$33+1))/1</f>
        <v>2.25</v>
      </c>
      <c r="U217" s="114" t="n">
        <f aca="false">Inputs!$C$30*(1+Inputs!$C$32)^(U$120-1)*MAX(0,MIN(1,U$119*1-Inputs!$C$33+1))/1</f>
        <v>2.25</v>
      </c>
      <c r="V217" s="114" t="n">
        <f aca="false">Inputs!$C$30*(1+Inputs!$C$32)^(V$120-1)*MAX(0,MIN(1,V$119*1-Inputs!$C$33+1))/1</f>
        <v>2.25</v>
      </c>
      <c r="W217" s="114" t="n">
        <f aca="false">Inputs!$C$30*(1+Inputs!$C$32)^(W$120-1)*MAX(0,MIN(1,W$119*1-Inputs!$C$33+1))/1</f>
        <v>2.25</v>
      </c>
      <c r="X217" s="114" t="n">
        <f aca="false">Inputs!$C$30*(1+Inputs!$C$32)^(X$120-1)*MAX(0,MIN(1,X$119*1-Inputs!$C$33+1))/1</f>
        <v>2.25</v>
      </c>
      <c r="Y217" s="114" t="n">
        <f aca="false">Inputs!$C$30*(1+Inputs!$C$32)^(Y$120-1)*MAX(0,MIN(1,Y$119*1-Inputs!$C$33+1))/1</f>
        <v>2.25</v>
      </c>
      <c r="Z217" s="114" t="n">
        <f aca="false">Inputs!$C$30*(1+Inputs!$C$32)^(Z$120-1)*MAX(0,MIN(1,Z$119*1-Inputs!$C$33+1))/1</f>
        <v>2.25</v>
      </c>
      <c r="AA217" s="114" t="n">
        <f aca="false">Inputs!$C$30*(1+Inputs!$C$32)^(AA$120-1)*MAX(0,MIN(1,AA$119*1-Inputs!$C$33+1))/1</f>
        <v>3.375</v>
      </c>
      <c r="AB217" s="114" t="n">
        <f aca="false">Inputs!$C$30*(1+Inputs!$C$32)^(AB$120-1)*MAX(0,MIN(1,AB$119*1-Inputs!$C$33+1))/1</f>
        <v>3.375</v>
      </c>
      <c r="AC217" s="114" t="n">
        <f aca="false">Inputs!$C$30*(1+Inputs!$C$32)^(AC$120-1)*MAX(0,MIN(1,AC$119*1-Inputs!$C$33+1))/1</f>
        <v>3.375</v>
      </c>
      <c r="AD217" s="114" t="n">
        <f aca="false">Inputs!$C$30*(1+Inputs!$C$32)^(AD$120-1)*MAX(0,MIN(1,AD$119*1-Inputs!$C$33+1))/1</f>
        <v>3.375</v>
      </c>
      <c r="AE217" s="114" t="n">
        <f aca="false">Inputs!$C$30*(1+Inputs!$C$32)^(AE$120-1)*MAX(0,MIN(1,AE$119*1-Inputs!$C$33+1))/1</f>
        <v>3.375</v>
      </c>
      <c r="AF217" s="114" t="n">
        <f aca="false">Inputs!$C$30*(1+Inputs!$C$32)^(AF$120-1)*MAX(0,MIN(1,AF$119*1-Inputs!$C$33+1))/1</f>
        <v>3.375</v>
      </c>
      <c r="AG217" s="114" t="n">
        <f aca="false">Inputs!$C$30*(1+Inputs!$C$32)^(AG$120-1)*MAX(0,MIN(1,AG$119*1-Inputs!$C$33+1))/1</f>
        <v>3.375</v>
      </c>
      <c r="AH217" s="114" t="n">
        <f aca="false">Inputs!$C$30*(1+Inputs!$C$32)^(AH$120-1)*MAX(0,MIN(1,AH$119*1-Inputs!$C$33+1))/1</f>
        <v>3.375</v>
      </c>
      <c r="AI217" s="114" t="n">
        <f aca="false">Inputs!$C$30*(1+Inputs!$C$32)^(AI$120-1)*MAX(0,MIN(1,AI$119*1-Inputs!$C$33+1))/1</f>
        <v>3.375</v>
      </c>
      <c r="AJ217" s="114" t="n">
        <f aca="false">Inputs!$C$30*(1+Inputs!$C$32)^(AJ$120-1)*MAX(0,MIN(1,AJ$119*1-Inputs!$C$33+1))/1</f>
        <v>3.375</v>
      </c>
      <c r="AK217" s="114" t="n">
        <f aca="false">Inputs!$C$30*(1+Inputs!$C$32)^(AK$120-1)*MAX(0,MIN(1,AK$119*1-Inputs!$C$33+1))/1</f>
        <v>3.375</v>
      </c>
      <c r="AL217" s="114" t="n">
        <f aca="false">Inputs!$C$30*(1+Inputs!$C$32)^(AL$120-1)*MAX(0,MIN(1,AL$119*1-Inputs!$C$33+1))/1</f>
        <v>3.375</v>
      </c>
      <c r="AM217" s="114" t="n">
        <f aca="false">Inputs!$C$30*(1+Inputs!$C$32)^(AM$120-1)*MAX(0,MIN(1,AM$119*1-Inputs!$C$33+1))/1</f>
        <v>5.0625</v>
      </c>
      <c r="AN217" s="114" t="n">
        <f aca="false">Inputs!$C$30*(1+Inputs!$C$32)^(AN$120-1)*MAX(0,MIN(1,AN$119*1-Inputs!$C$33+1))/1</f>
        <v>5.0625</v>
      </c>
      <c r="AO217" s="114" t="n">
        <f aca="false">Inputs!$C$30*(1+Inputs!$C$32)^(AO$120-1)*MAX(0,MIN(1,AO$119*1-Inputs!$C$33+1))/1</f>
        <v>5.0625</v>
      </c>
      <c r="AP217" s="114" t="n">
        <f aca="false">Inputs!$C$30*(1+Inputs!$C$32)^(AP$120-1)*MAX(0,MIN(1,AP$119*1-Inputs!$C$33+1))/1</f>
        <v>5.0625</v>
      </c>
      <c r="AQ217" s="114" t="n">
        <f aca="false">Inputs!$C$30*(1+Inputs!$C$32)^(AQ$120-1)*MAX(0,MIN(1,AQ$119*1-Inputs!$C$33+1))/1</f>
        <v>5.0625</v>
      </c>
      <c r="AR217" s="114" t="n">
        <f aca="false">Inputs!$C$30*(1+Inputs!$C$32)^(AR$120-1)*MAX(0,MIN(1,AR$119*1-Inputs!$C$33+1))/1</f>
        <v>5.0625</v>
      </c>
      <c r="AS217" s="114" t="n">
        <f aca="false">Inputs!$C$30*(1+Inputs!$C$32)^(AS$120-1)*MAX(0,MIN(1,AS$119*1-Inputs!$C$33+1))/1</f>
        <v>5.0625</v>
      </c>
      <c r="AT217" s="114" t="n">
        <f aca="false">Inputs!$C$30*(1+Inputs!$C$32)^(AT$120-1)*MAX(0,MIN(1,AT$119*1-Inputs!$C$33+1))/1</f>
        <v>5.0625</v>
      </c>
      <c r="AU217" s="114" t="n">
        <f aca="false">Inputs!$C$30*(1+Inputs!$C$32)^(AU$120-1)*MAX(0,MIN(1,AU$119*1-Inputs!$C$33+1))/1</f>
        <v>5.0625</v>
      </c>
      <c r="AV217" s="114" t="n">
        <f aca="false">Inputs!$C$30*(1+Inputs!$C$32)^(AV$120-1)*MAX(0,MIN(1,AV$119*1-Inputs!$C$33+1))/1</f>
        <v>5.0625</v>
      </c>
      <c r="AW217" s="114" t="n">
        <f aca="false">Inputs!$C$30*(1+Inputs!$C$32)^(AW$120-1)*MAX(0,MIN(1,AW$119*1-Inputs!$C$33+1))/1</f>
        <v>5.0625</v>
      </c>
      <c r="AX217" s="114" t="n">
        <f aca="false">Inputs!$C$30*(1+Inputs!$C$32)^(AX$120-1)*MAX(0,MIN(1,AX$119*1-Inputs!$C$33+1))/1</f>
        <v>5.0625</v>
      </c>
      <c r="AY217" s="114" t="n">
        <f aca="false">Inputs!$C$30*(1+Inputs!$C$32)^(AY$120-1)*MAX(0,MIN(1,AY$119*1-Inputs!$C$33+1))/1</f>
        <v>7.59375</v>
      </c>
      <c r="AZ217" s="114" t="n">
        <f aca="false">Inputs!$C$30*(1+Inputs!$C$32)^(AZ$120-1)*MAX(0,MIN(1,AZ$119*1-Inputs!$C$33+1))/1</f>
        <v>7.59375</v>
      </c>
      <c r="BA217" s="114" t="n">
        <f aca="false">Inputs!$C$30*(1+Inputs!$C$32)^(BA$120-1)*MAX(0,MIN(1,BA$119*1-Inputs!$C$33+1))/1</f>
        <v>7.59375</v>
      </c>
      <c r="BB217" s="114" t="n">
        <f aca="false">Inputs!$C$30*(1+Inputs!$C$32)^(BB$120-1)*MAX(0,MIN(1,BB$119*1-Inputs!$C$33+1))/1</f>
        <v>7.59375</v>
      </c>
      <c r="BC217" s="114" t="n">
        <f aca="false">Inputs!$C$30*(1+Inputs!$C$32)^(BC$120-1)*MAX(0,MIN(1,BC$119*1-Inputs!$C$33+1))/1</f>
        <v>7.59375</v>
      </c>
      <c r="BD217" s="114" t="n">
        <f aca="false">Inputs!$C$30*(1+Inputs!$C$32)^(BD$120-1)*MAX(0,MIN(1,BD$119*1-Inputs!$C$33+1))/1</f>
        <v>7.59375</v>
      </c>
      <c r="BE217" s="114" t="n">
        <f aca="false">Inputs!$C$30*(1+Inputs!$C$32)^(BE$120-1)*MAX(0,MIN(1,BE$119*1-Inputs!$C$33+1))/1</f>
        <v>7.59375</v>
      </c>
      <c r="BF217" s="114" t="n">
        <f aca="false">Inputs!$C$30*(1+Inputs!$C$32)^(BF$120-1)*MAX(0,MIN(1,BF$119*1-Inputs!$C$33+1))/1</f>
        <v>7.59375</v>
      </c>
      <c r="BG217" s="114" t="n">
        <f aca="false">Inputs!$C$30*(1+Inputs!$C$32)^(BG$120-1)*MAX(0,MIN(1,BG$119*1-Inputs!$C$33+1))/1</f>
        <v>7.59375</v>
      </c>
      <c r="BH217" s="114" t="n">
        <f aca="false">Inputs!$C$30*(1+Inputs!$C$32)^(BH$120-1)*MAX(0,MIN(1,BH$119*1-Inputs!$C$33+1))/1</f>
        <v>7.59375</v>
      </c>
      <c r="BI217" s="114" t="n">
        <f aca="false">Inputs!$C$30*(1+Inputs!$C$32)^(BI$120-1)*MAX(0,MIN(1,BI$119*1-Inputs!$C$33+1))/1</f>
        <v>7.59375</v>
      </c>
      <c r="BJ217" s="114" t="n">
        <f aca="false">Inputs!$C$30*(1+Inputs!$C$32)^(BJ$120-1)*MAX(0,MIN(1,BJ$119*1-Inputs!$C$33+1))/1</f>
        <v>7.59375</v>
      </c>
    </row>
    <row r="218" customFormat="false" ht="15" hidden="false" customHeight="false" outlineLevel="0" collapsed="false">
      <c r="A218" s="6" t="s">
        <v>439</v>
      </c>
      <c r="C218" s="114" t="n">
        <f aca="false">Inputs!$C$34*(1+Inputs!$C$36)^(C$120-1)*MAX(0,MIN(1,C$119*1-Inputs!$C$37+1))/1</f>
        <v>1</v>
      </c>
      <c r="D218" s="114" t="n">
        <f aca="false">Inputs!$C$34*(1+Inputs!$C$36)^(D$120-1)*MAX(0,MIN(1,D$119*1-Inputs!$C$37+1))/1</f>
        <v>1</v>
      </c>
      <c r="E218" s="114" t="n">
        <f aca="false">Inputs!$C$34*(1+Inputs!$C$36)^(E$120-1)*MAX(0,MIN(1,E$119*1-Inputs!$C$37+1))/1</f>
        <v>1</v>
      </c>
      <c r="F218" s="114" t="n">
        <f aca="false">Inputs!$C$34*(1+Inputs!$C$36)^(F$120-1)*MAX(0,MIN(1,F$119*1-Inputs!$C$37+1))/1</f>
        <v>1</v>
      </c>
      <c r="G218" s="114" t="n">
        <f aca="false">Inputs!$C$34*(1+Inputs!$C$36)^(G$120-1)*MAX(0,MIN(1,G$119*1-Inputs!$C$37+1))/1</f>
        <v>1</v>
      </c>
      <c r="H218" s="114" t="n">
        <f aca="false">Inputs!$C$34*(1+Inputs!$C$36)^(H$120-1)*MAX(0,MIN(1,H$119*1-Inputs!$C$37+1))/1</f>
        <v>1</v>
      </c>
      <c r="I218" s="114" t="n">
        <f aca="false">Inputs!$C$34*(1+Inputs!$C$36)^(I$120-1)*MAX(0,MIN(1,I$119*1-Inputs!$C$37+1))/1</f>
        <v>1</v>
      </c>
      <c r="J218" s="114" t="n">
        <f aca="false">Inputs!$C$34*(1+Inputs!$C$36)^(J$120-1)*MAX(0,MIN(1,J$119*1-Inputs!$C$37+1))/1</f>
        <v>1</v>
      </c>
      <c r="K218" s="114" t="n">
        <f aca="false">Inputs!$C$34*(1+Inputs!$C$36)^(K$120-1)*MAX(0,MIN(1,K$119*1-Inputs!$C$37+1))/1</f>
        <v>1</v>
      </c>
      <c r="L218" s="114" t="n">
        <f aca="false">Inputs!$C$34*(1+Inputs!$C$36)^(L$120-1)*MAX(0,MIN(1,L$119*1-Inputs!$C$37+1))/1</f>
        <v>1</v>
      </c>
      <c r="M218" s="114" t="n">
        <f aca="false">Inputs!$C$34*(1+Inputs!$C$36)^(M$120-1)*MAX(0,MIN(1,M$119*1-Inputs!$C$37+1))/1</f>
        <v>1</v>
      </c>
      <c r="N218" s="114" t="n">
        <f aca="false">Inputs!$C$34*(1+Inputs!$C$36)^(N$120-1)*MAX(0,MIN(1,N$119*1-Inputs!$C$37+1))/1</f>
        <v>1</v>
      </c>
      <c r="O218" s="114" t="n">
        <f aca="false">Inputs!$C$34*(1+Inputs!$C$36)^(O$120-1)*MAX(0,MIN(1,O$119*1-Inputs!$C$37+1))/1</f>
        <v>1.5</v>
      </c>
      <c r="P218" s="114" t="n">
        <f aca="false">Inputs!$C$34*(1+Inputs!$C$36)^(P$120-1)*MAX(0,MIN(1,P$119*1-Inputs!$C$37+1))/1</f>
        <v>1.5</v>
      </c>
      <c r="Q218" s="114" t="n">
        <f aca="false">Inputs!$C$34*(1+Inputs!$C$36)^(Q$120-1)*MAX(0,MIN(1,Q$119*1-Inputs!$C$37+1))/1</f>
        <v>1.5</v>
      </c>
      <c r="R218" s="114" t="n">
        <f aca="false">Inputs!$C$34*(1+Inputs!$C$36)^(R$120-1)*MAX(0,MIN(1,R$119*1-Inputs!$C$37+1))/1</f>
        <v>1.5</v>
      </c>
      <c r="S218" s="114" t="n">
        <f aca="false">Inputs!$C$34*(1+Inputs!$C$36)^(S$120-1)*MAX(0,MIN(1,S$119*1-Inputs!$C$37+1))/1</f>
        <v>1.5</v>
      </c>
      <c r="T218" s="114" t="n">
        <f aca="false">Inputs!$C$34*(1+Inputs!$C$36)^(T$120-1)*MAX(0,MIN(1,T$119*1-Inputs!$C$37+1))/1</f>
        <v>1.5</v>
      </c>
      <c r="U218" s="114" t="n">
        <f aca="false">Inputs!$C$34*(1+Inputs!$C$36)^(U$120-1)*MAX(0,MIN(1,U$119*1-Inputs!$C$37+1))/1</f>
        <v>1.5</v>
      </c>
      <c r="V218" s="114" t="n">
        <f aca="false">Inputs!$C$34*(1+Inputs!$C$36)^(V$120-1)*MAX(0,MIN(1,V$119*1-Inputs!$C$37+1))/1</f>
        <v>1.5</v>
      </c>
      <c r="W218" s="114" t="n">
        <f aca="false">Inputs!$C$34*(1+Inputs!$C$36)^(W$120-1)*MAX(0,MIN(1,W$119*1-Inputs!$C$37+1))/1</f>
        <v>1.5</v>
      </c>
      <c r="X218" s="114" t="n">
        <f aca="false">Inputs!$C$34*(1+Inputs!$C$36)^(X$120-1)*MAX(0,MIN(1,X$119*1-Inputs!$C$37+1))/1</f>
        <v>1.5</v>
      </c>
      <c r="Y218" s="114" t="n">
        <f aca="false">Inputs!$C$34*(1+Inputs!$C$36)^(Y$120-1)*MAX(0,MIN(1,Y$119*1-Inputs!$C$37+1))/1</f>
        <v>1.5</v>
      </c>
      <c r="Z218" s="114" t="n">
        <f aca="false">Inputs!$C$34*(1+Inputs!$C$36)^(Z$120-1)*MAX(0,MIN(1,Z$119*1-Inputs!$C$37+1))/1</f>
        <v>1.5</v>
      </c>
      <c r="AA218" s="114" t="n">
        <f aca="false">Inputs!$C$34*(1+Inputs!$C$36)^(AA$120-1)*MAX(0,MIN(1,AA$119*1-Inputs!$C$37+1))/1</f>
        <v>2.25</v>
      </c>
      <c r="AB218" s="114" t="n">
        <f aca="false">Inputs!$C$34*(1+Inputs!$C$36)^(AB$120-1)*MAX(0,MIN(1,AB$119*1-Inputs!$C$37+1))/1</f>
        <v>2.25</v>
      </c>
      <c r="AC218" s="114" t="n">
        <f aca="false">Inputs!$C$34*(1+Inputs!$C$36)^(AC$120-1)*MAX(0,MIN(1,AC$119*1-Inputs!$C$37+1))/1</f>
        <v>2.25</v>
      </c>
      <c r="AD218" s="114" t="n">
        <f aca="false">Inputs!$C$34*(1+Inputs!$C$36)^(AD$120-1)*MAX(0,MIN(1,AD$119*1-Inputs!$C$37+1))/1</f>
        <v>2.25</v>
      </c>
      <c r="AE218" s="114" t="n">
        <f aca="false">Inputs!$C$34*(1+Inputs!$C$36)^(AE$120-1)*MAX(0,MIN(1,AE$119*1-Inputs!$C$37+1))/1</f>
        <v>2.25</v>
      </c>
      <c r="AF218" s="114" t="n">
        <f aca="false">Inputs!$C$34*(1+Inputs!$C$36)^(AF$120-1)*MAX(0,MIN(1,AF$119*1-Inputs!$C$37+1))/1</f>
        <v>2.25</v>
      </c>
      <c r="AG218" s="114" t="n">
        <f aca="false">Inputs!$C$34*(1+Inputs!$C$36)^(AG$120-1)*MAX(0,MIN(1,AG$119*1-Inputs!$C$37+1))/1</f>
        <v>2.25</v>
      </c>
      <c r="AH218" s="114" t="n">
        <f aca="false">Inputs!$C$34*(1+Inputs!$C$36)^(AH$120-1)*MAX(0,MIN(1,AH$119*1-Inputs!$C$37+1))/1</f>
        <v>2.25</v>
      </c>
      <c r="AI218" s="114" t="n">
        <f aca="false">Inputs!$C$34*(1+Inputs!$C$36)^(AI$120-1)*MAX(0,MIN(1,AI$119*1-Inputs!$C$37+1))/1</f>
        <v>2.25</v>
      </c>
      <c r="AJ218" s="114" t="n">
        <f aca="false">Inputs!$C$34*(1+Inputs!$C$36)^(AJ$120-1)*MAX(0,MIN(1,AJ$119*1-Inputs!$C$37+1))/1</f>
        <v>2.25</v>
      </c>
      <c r="AK218" s="114" t="n">
        <f aca="false">Inputs!$C$34*(1+Inputs!$C$36)^(AK$120-1)*MAX(0,MIN(1,AK$119*1-Inputs!$C$37+1))/1</f>
        <v>2.25</v>
      </c>
      <c r="AL218" s="114" t="n">
        <f aca="false">Inputs!$C$34*(1+Inputs!$C$36)^(AL$120-1)*MAX(0,MIN(1,AL$119*1-Inputs!$C$37+1))/1</f>
        <v>2.25</v>
      </c>
      <c r="AM218" s="114" t="n">
        <f aca="false">Inputs!$C$34*(1+Inputs!$C$36)^(AM$120-1)*MAX(0,MIN(1,AM$119*1-Inputs!$C$37+1))/1</f>
        <v>3.375</v>
      </c>
      <c r="AN218" s="114" t="n">
        <f aca="false">Inputs!$C$34*(1+Inputs!$C$36)^(AN$120-1)*MAX(0,MIN(1,AN$119*1-Inputs!$C$37+1))/1</f>
        <v>3.375</v>
      </c>
      <c r="AO218" s="114" t="n">
        <f aca="false">Inputs!$C$34*(1+Inputs!$C$36)^(AO$120-1)*MAX(0,MIN(1,AO$119*1-Inputs!$C$37+1))/1</f>
        <v>3.375</v>
      </c>
      <c r="AP218" s="114" t="n">
        <f aca="false">Inputs!$C$34*(1+Inputs!$C$36)^(AP$120-1)*MAX(0,MIN(1,AP$119*1-Inputs!$C$37+1))/1</f>
        <v>3.375</v>
      </c>
      <c r="AQ218" s="114" t="n">
        <f aca="false">Inputs!$C$34*(1+Inputs!$C$36)^(AQ$120-1)*MAX(0,MIN(1,AQ$119*1-Inputs!$C$37+1))/1</f>
        <v>3.375</v>
      </c>
      <c r="AR218" s="114" t="n">
        <f aca="false">Inputs!$C$34*(1+Inputs!$C$36)^(AR$120-1)*MAX(0,MIN(1,AR$119*1-Inputs!$C$37+1))/1</f>
        <v>3.375</v>
      </c>
      <c r="AS218" s="114" t="n">
        <f aca="false">Inputs!$C$34*(1+Inputs!$C$36)^(AS$120-1)*MAX(0,MIN(1,AS$119*1-Inputs!$C$37+1))/1</f>
        <v>3.375</v>
      </c>
      <c r="AT218" s="114" t="n">
        <f aca="false">Inputs!$C$34*(1+Inputs!$C$36)^(AT$120-1)*MAX(0,MIN(1,AT$119*1-Inputs!$C$37+1))/1</f>
        <v>3.375</v>
      </c>
      <c r="AU218" s="114" t="n">
        <f aca="false">Inputs!$C$34*(1+Inputs!$C$36)^(AU$120-1)*MAX(0,MIN(1,AU$119*1-Inputs!$C$37+1))/1</f>
        <v>3.375</v>
      </c>
      <c r="AV218" s="114" t="n">
        <f aca="false">Inputs!$C$34*(1+Inputs!$C$36)^(AV$120-1)*MAX(0,MIN(1,AV$119*1-Inputs!$C$37+1))/1</f>
        <v>3.375</v>
      </c>
      <c r="AW218" s="114" t="n">
        <f aca="false">Inputs!$C$34*(1+Inputs!$C$36)^(AW$120-1)*MAX(0,MIN(1,AW$119*1-Inputs!$C$37+1))/1</f>
        <v>3.375</v>
      </c>
      <c r="AX218" s="114" t="n">
        <f aca="false">Inputs!$C$34*(1+Inputs!$C$36)^(AX$120-1)*MAX(0,MIN(1,AX$119*1-Inputs!$C$37+1))/1</f>
        <v>3.375</v>
      </c>
      <c r="AY218" s="114" t="n">
        <f aca="false">Inputs!$C$34*(1+Inputs!$C$36)^(AY$120-1)*MAX(0,MIN(1,AY$119*1-Inputs!$C$37+1))/1</f>
        <v>5.0625</v>
      </c>
      <c r="AZ218" s="114" t="n">
        <f aca="false">Inputs!$C$34*(1+Inputs!$C$36)^(AZ$120-1)*MAX(0,MIN(1,AZ$119*1-Inputs!$C$37+1))/1</f>
        <v>5.0625</v>
      </c>
      <c r="BA218" s="114" t="n">
        <f aca="false">Inputs!$C$34*(1+Inputs!$C$36)^(BA$120-1)*MAX(0,MIN(1,BA$119*1-Inputs!$C$37+1))/1</f>
        <v>5.0625</v>
      </c>
      <c r="BB218" s="114" t="n">
        <f aca="false">Inputs!$C$34*(1+Inputs!$C$36)^(BB$120-1)*MAX(0,MIN(1,BB$119*1-Inputs!$C$37+1))/1</f>
        <v>5.0625</v>
      </c>
      <c r="BC218" s="114" t="n">
        <f aca="false">Inputs!$C$34*(1+Inputs!$C$36)^(BC$120-1)*MAX(0,MIN(1,BC$119*1-Inputs!$C$37+1))/1</f>
        <v>5.0625</v>
      </c>
      <c r="BD218" s="114" t="n">
        <f aca="false">Inputs!$C$34*(1+Inputs!$C$36)^(BD$120-1)*MAX(0,MIN(1,BD$119*1-Inputs!$C$37+1))/1</f>
        <v>5.0625</v>
      </c>
      <c r="BE218" s="114" t="n">
        <f aca="false">Inputs!$C$34*(1+Inputs!$C$36)^(BE$120-1)*MAX(0,MIN(1,BE$119*1-Inputs!$C$37+1))/1</f>
        <v>5.0625</v>
      </c>
      <c r="BF218" s="114" t="n">
        <f aca="false">Inputs!$C$34*(1+Inputs!$C$36)^(BF$120-1)*MAX(0,MIN(1,BF$119*1-Inputs!$C$37+1))/1</f>
        <v>5.0625</v>
      </c>
      <c r="BG218" s="114" t="n">
        <f aca="false">Inputs!$C$34*(1+Inputs!$C$36)^(BG$120-1)*MAX(0,MIN(1,BG$119*1-Inputs!$C$37+1))/1</f>
        <v>5.0625</v>
      </c>
      <c r="BH218" s="114" t="n">
        <f aca="false">Inputs!$C$34*(1+Inputs!$C$36)^(BH$120-1)*MAX(0,MIN(1,BH$119*1-Inputs!$C$37+1))/1</f>
        <v>5.0625</v>
      </c>
      <c r="BI218" s="114" t="n">
        <f aca="false">Inputs!$C$34*(1+Inputs!$C$36)^(BI$120-1)*MAX(0,MIN(1,BI$119*1-Inputs!$C$37+1))/1</f>
        <v>5.0625</v>
      </c>
      <c r="BJ218" s="114" t="n">
        <f aca="false">Inputs!$C$34*(1+Inputs!$C$36)^(BJ$120-1)*MAX(0,MIN(1,BJ$119*1-Inputs!$C$37+1))/1</f>
        <v>5.0625</v>
      </c>
    </row>
    <row r="219" customFormat="false" ht="15" hidden="false" customHeight="false" outlineLevel="0" collapsed="false">
      <c r="A219" s="6" t="s">
        <v>440</v>
      </c>
      <c r="C219" s="114" t="n">
        <f aca="false">Inputs!$C$38*(1+Inputs!$C$40)^(C$120-1)*MAX(0,MIN(1,C$119*1-Inputs!$C$41+1))/1</f>
        <v>0.5</v>
      </c>
      <c r="D219" s="114" t="n">
        <f aca="false">Inputs!$C$38*(1+Inputs!$C$40)^(D$120-1)*MAX(0,MIN(1,D$119*1-Inputs!$C$41+1))/1</f>
        <v>0.5</v>
      </c>
      <c r="E219" s="114" t="n">
        <f aca="false">Inputs!$C$38*(1+Inputs!$C$40)^(E$120-1)*MAX(0,MIN(1,E$119*1-Inputs!$C$41+1))/1</f>
        <v>0.5</v>
      </c>
      <c r="F219" s="114" t="n">
        <f aca="false">Inputs!$C$38*(1+Inputs!$C$40)^(F$120-1)*MAX(0,MIN(1,F$119*1-Inputs!$C$41+1))/1</f>
        <v>0.5</v>
      </c>
      <c r="G219" s="114" t="n">
        <f aca="false">Inputs!$C$38*(1+Inputs!$C$40)^(G$120-1)*MAX(0,MIN(1,G$119*1-Inputs!$C$41+1))/1</f>
        <v>0.5</v>
      </c>
      <c r="H219" s="114" t="n">
        <f aca="false">Inputs!$C$38*(1+Inputs!$C$40)^(H$120-1)*MAX(0,MIN(1,H$119*1-Inputs!$C$41+1))/1</f>
        <v>0.5</v>
      </c>
      <c r="I219" s="114" t="n">
        <f aca="false">Inputs!$C$38*(1+Inputs!$C$40)^(I$120-1)*MAX(0,MIN(1,I$119*1-Inputs!$C$41+1))/1</f>
        <v>0.5</v>
      </c>
      <c r="J219" s="114" t="n">
        <f aca="false">Inputs!$C$38*(1+Inputs!$C$40)^(J$120-1)*MAX(0,MIN(1,J$119*1-Inputs!$C$41+1))/1</f>
        <v>0.5</v>
      </c>
      <c r="K219" s="114" t="n">
        <f aca="false">Inputs!$C$38*(1+Inputs!$C$40)^(K$120-1)*MAX(0,MIN(1,K$119*1-Inputs!$C$41+1))/1</f>
        <v>0.5</v>
      </c>
      <c r="L219" s="114" t="n">
        <f aca="false">Inputs!$C$38*(1+Inputs!$C$40)^(L$120-1)*MAX(0,MIN(1,L$119*1-Inputs!$C$41+1))/1</f>
        <v>0.5</v>
      </c>
      <c r="M219" s="114" t="n">
        <f aca="false">Inputs!$C$38*(1+Inputs!$C$40)^(M$120-1)*MAX(0,MIN(1,M$119*1-Inputs!$C$41+1))/1</f>
        <v>0.5</v>
      </c>
      <c r="N219" s="114" t="n">
        <f aca="false">Inputs!$C$38*(1+Inputs!$C$40)^(N$120-1)*MAX(0,MIN(1,N$119*1-Inputs!$C$41+1))/1</f>
        <v>0.5</v>
      </c>
      <c r="O219" s="114" t="n">
        <f aca="false">Inputs!$C$38*(1+Inputs!$C$40)^(O$120-1)*MAX(0,MIN(1,O$119*1-Inputs!$C$41+1))/1</f>
        <v>0.75</v>
      </c>
      <c r="P219" s="114" t="n">
        <f aca="false">Inputs!$C$38*(1+Inputs!$C$40)^(P$120-1)*MAX(0,MIN(1,P$119*1-Inputs!$C$41+1))/1</f>
        <v>0.75</v>
      </c>
      <c r="Q219" s="114" t="n">
        <f aca="false">Inputs!$C$38*(1+Inputs!$C$40)^(Q$120-1)*MAX(0,MIN(1,Q$119*1-Inputs!$C$41+1))/1</f>
        <v>0.75</v>
      </c>
      <c r="R219" s="114" t="n">
        <f aca="false">Inputs!$C$38*(1+Inputs!$C$40)^(R$120-1)*MAX(0,MIN(1,R$119*1-Inputs!$C$41+1))/1</f>
        <v>0.75</v>
      </c>
      <c r="S219" s="114" t="n">
        <f aca="false">Inputs!$C$38*(1+Inputs!$C$40)^(S$120-1)*MAX(0,MIN(1,S$119*1-Inputs!$C$41+1))/1</f>
        <v>0.75</v>
      </c>
      <c r="T219" s="114" t="n">
        <f aca="false">Inputs!$C$38*(1+Inputs!$C$40)^(T$120-1)*MAX(0,MIN(1,T$119*1-Inputs!$C$41+1))/1</f>
        <v>0.75</v>
      </c>
      <c r="U219" s="114" t="n">
        <f aca="false">Inputs!$C$38*(1+Inputs!$C$40)^(U$120-1)*MAX(0,MIN(1,U$119*1-Inputs!$C$41+1))/1</f>
        <v>0.75</v>
      </c>
      <c r="V219" s="114" t="n">
        <f aca="false">Inputs!$C$38*(1+Inputs!$C$40)^(V$120-1)*MAX(0,MIN(1,V$119*1-Inputs!$C$41+1))/1</f>
        <v>0.75</v>
      </c>
      <c r="W219" s="114" t="n">
        <f aca="false">Inputs!$C$38*(1+Inputs!$C$40)^(W$120-1)*MAX(0,MIN(1,W$119*1-Inputs!$C$41+1))/1</f>
        <v>0.75</v>
      </c>
      <c r="X219" s="114" t="n">
        <f aca="false">Inputs!$C$38*(1+Inputs!$C$40)^(X$120-1)*MAX(0,MIN(1,X$119*1-Inputs!$C$41+1))/1</f>
        <v>0.75</v>
      </c>
      <c r="Y219" s="114" t="n">
        <f aca="false">Inputs!$C$38*(1+Inputs!$C$40)^(Y$120-1)*MAX(0,MIN(1,Y$119*1-Inputs!$C$41+1))/1</f>
        <v>0.75</v>
      </c>
      <c r="Z219" s="114" t="n">
        <f aca="false">Inputs!$C$38*(1+Inputs!$C$40)^(Z$120-1)*MAX(0,MIN(1,Z$119*1-Inputs!$C$41+1))/1</f>
        <v>0.75</v>
      </c>
      <c r="AA219" s="114" t="n">
        <f aca="false">Inputs!$C$38*(1+Inputs!$C$40)^(AA$120-1)*MAX(0,MIN(1,AA$119*1-Inputs!$C$41+1))/1</f>
        <v>1.125</v>
      </c>
      <c r="AB219" s="114" t="n">
        <f aca="false">Inputs!$C$38*(1+Inputs!$C$40)^(AB$120-1)*MAX(0,MIN(1,AB$119*1-Inputs!$C$41+1))/1</f>
        <v>1.125</v>
      </c>
      <c r="AC219" s="114" t="n">
        <f aca="false">Inputs!$C$38*(1+Inputs!$C$40)^(AC$120-1)*MAX(0,MIN(1,AC$119*1-Inputs!$C$41+1))/1</f>
        <v>1.125</v>
      </c>
      <c r="AD219" s="114" t="n">
        <f aca="false">Inputs!$C$38*(1+Inputs!$C$40)^(AD$120-1)*MAX(0,MIN(1,AD$119*1-Inputs!$C$41+1))/1</f>
        <v>1.125</v>
      </c>
      <c r="AE219" s="114" t="n">
        <f aca="false">Inputs!$C$38*(1+Inputs!$C$40)^(AE$120-1)*MAX(0,MIN(1,AE$119*1-Inputs!$C$41+1))/1</f>
        <v>1.125</v>
      </c>
      <c r="AF219" s="114" t="n">
        <f aca="false">Inputs!$C$38*(1+Inputs!$C$40)^(AF$120-1)*MAX(0,MIN(1,AF$119*1-Inputs!$C$41+1))/1</f>
        <v>1.125</v>
      </c>
      <c r="AG219" s="114" t="n">
        <f aca="false">Inputs!$C$38*(1+Inputs!$C$40)^(AG$120-1)*MAX(0,MIN(1,AG$119*1-Inputs!$C$41+1))/1</f>
        <v>1.125</v>
      </c>
      <c r="AH219" s="114" t="n">
        <f aca="false">Inputs!$C$38*(1+Inputs!$C$40)^(AH$120-1)*MAX(0,MIN(1,AH$119*1-Inputs!$C$41+1))/1</f>
        <v>1.125</v>
      </c>
      <c r="AI219" s="114" t="n">
        <f aca="false">Inputs!$C$38*(1+Inputs!$C$40)^(AI$120-1)*MAX(0,MIN(1,AI$119*1-Inputs!$C$41+1))/1</f>
        <v>1.125</v>
      </c>
      <c r="AJ219" s="114" t="n">
        <f aca="false">Inputs!$C$38*(1+Inputs!$C$40)^(AJ$120-1)*MAX(0,MIN(1,AJ$119*1-Inputs!$C$41+1))/1</f>
        <v>1.125</v>
      </c>
      <c r="AK219" s="114" t="n">
        <f aca="false">Inputs!$C$38*(1+Inputs!$C$40)^(AK$120-1)*MAX(0,MIN(1,AK$119*1-Inputs!$C$41+1))/1</f>
        <v>1.125</v>
      </c>
      <c r="AL219" s="114" t="n">
        <f aca="false">Inputs!$C$38*(1+Inputs!$C$40)^(AL$120-1)*MAX(0,MIN(1,AL$119*1-Inputs!$C$41+1))/1</f>
        <v>1.125</v>
      </c>
      <c r="AM219" s="114" t="n">
        <f aca="false">Inputs!$C$38*(1+Inputs!$C$40)^(AM$120-1)*MAX(0,MIN(1,AM$119*1-Inputs!$C$41+1))/1</f>
        <v>1.6875</v>
      </c>
      <c r="AN219" s="114" t="n">
        <f aca="false">Inputs!$C$38*(1+Inputs!$C$40)^(AN$120-1)*MAX(0,MIN(1,AN$119*1-Inputs!$C$41+1))/1</f>
        <v>1.6875</v>
      </c>
      <c r="AO219" s="114" t="n">
        <f aca="false">Inputs!$C$38*(1+Inputs!$C$40)^(AO$120-1)*MAX(0,MIN(1,AO$119*1-Inputs!$C$41+1))/1</f>
        <v>1.6875</v>
      </c>
      <c r="AP219" s="114" t="n">
        <f aca="false">Inputs!$C$38*(1+Inputs!$C$40)^(AP$120-1)*MAX(0,MIN(1,AP$119*1-Inputs!$C$41+1))/1</f>
        <v>1.6875</v>
      </c>
      <c r="AQ219" s="114" t="n">
        <f aca="false">Inputs!$C$38*(1+Inputs!$C$40)^(AQ$120-1)*MAX(0,MIN(1,AQ$119*1-Inputs!$C$41+1))/1</f>
        <v>1.6875</v>
      </c>
      <c r="AR219" s="114" t="n">
        <f aca="false">Inputs!$C$38*(1+Inputs!$C$40)^(AR$120-1)*MAX(0,MIN(1,AR$119*1-Inputs!$C$41+1))/1</f>
        <v>1.6875</v>
      </c>
      <c r="AS219" s="114" t="n">
        <f aca="false">Inputs!$C$38*(1+Inputs!$C$40)^(AS$120-1)*MAX(0,MIN(1,AS$119*1-Inputs!$C$41+1))/1</f>
        <v>1.6875</v>
      </c>
      <c r="AT219" s="114" t="n">
        <f aca="false">Inputs!$C$38*(1+Inputs!$C$40)^(AT$120-1)*MAX(0,MIN(1,AT$119*1-Inputs!$C$41+1))/1</f>
        <v>1.6875</v>
      </c>
      <c r="AU219" s="114" t="n">
        <f aca="false">Inputs!$C$38*(1+Inputs!$C$40)^(AU$120-1)*MAX(0,MIN(1,AU$119*1-Inputs!$C$41+1))/1</f>
        <v>1.6875</v>
      </c>
      <c r="AV219" s="114" t="n">
        <f aca="false">Inputs!$C$38*(1+Inputs!$C$40)^(AV$120-1)*MAX(0,MIN(1,AV$119*1-Inputs!$C$41+1))/1</f>
        <v>1.6875</v>
      </c>
      <c r="AW219" s="114" t="n">
        <f aca="false">Inputs!$C$38*(1+Inputs!$C$40)^(AW$120-1)*MAX(0,MIN(1,AW$119*1-Inputs!$C$41+1))/1</f>
        <v>1.6875</v>
      </c>
      <c r="AX219" s="114" t="n">
        <f aca="false">Inputs!$C$38*(1+Inputs!$C$40)^(AX$120-1)*MAX(0,MIN(1,AX$119*1-Inputs!$C$41+1))/1</f>
        <v>1.6875</v>
      </c>
      <c r="AY219" s="114" t="n">
        <f aca="false">Inputs!$C$38*(1+Inputs!$C$40)^(AY$120-1)*MAX(0,MIN(1,AY$119*1-Inputs!$C$41+1))/1</f>
        <v>2.53125</v>
      </c>
      <c r="AZ219" s="114" t="n">
        <f aca="false">Inputs!$C$38*(1+Inputs!$C$40)^(AZ$120-1)*MAX(0,MIN(1,AZ$119*1-Inputs!$C$41+1))/1</f>
        <v>2.53125</v>
      </c>
      <c r="BA219" s="114" t="n">
        <f aca="false">Inputs!$C$38*(1+Inputs!$C$40)^(BA$120-1)*MAX(0,MIN(1,BA$119*1-Inputs!$C$41+1))/1</f>
        <v>2.53125</v>
      </c>
      <c r="BB219" s="114" t="n">
        <f aca="false">Inputs!$C$38*(1+Inputs!$C$40)^(BB$120-1)*MAX(0,MIN(1,BB$119*1-Inputs!$C$41+1))/1</f>
        <v>2.53125</v>
      </c>
      <c r="BC219" s="114" t="n">
        <f aca="false">Inputs!$C$38*(1+Inputs!$C$40)^(BC$120-1)*MAX(0,MIN(1,BC$119*1-Inputs!$C$41+1))/1</f>
        <v>2.53125</v>
      </c>
      <c r="BD219" s="114" t="n">
        <f aca="false">Inputs!$C$38*(1+Inputs!$C$40)^(BD$120-1)*MAX(0,MIN(1,BD$119*1-Inputs!$C$41+1))/1</f>
        <v>2.53125</v>
      </c>
      <c r="BE219" s="114" t="n">
        <f aca="false">Inputs!$C$38*(1+Inputs!$C$40)^(BE$120-1)*MAX(0,MIN(1,BE$119*1-Inputs!$C$41+1))/1</f>
        <v>2.53125</v>
      </c>
      <c r="BF219" s="114" t="n">
        <f aca="false">Inputs!$C$38*(1+Inputs!$C$40)^(BF$120-1)*MAX(0,MIN(1,BF$119*1-Inputs!$C$41+1))/1</f>
        <v>2.53125</v>
      </c>
      <c r="BG219" s="114" t="n">
        <f aca="false">Inputs!$C$38*(1+Inputs!$C$40)^(BG$120-1)*MAX(0,MIN(1,BG$119*1-Inputs!$C$41+1))/1</f>
        <v>2.53125</v>
      </c>
      <c r="BH219" s="114" t="n">
        <f aca="false">Inputs!$C$38*(1+Inputs!$C$40)^(BH$120-1)*MAX(0,MIN(1,BH$119*1-Inputs!$C$41+1))/1</f>
        <v>2.53125</v>
      </c>
      <c r="BI219" s="114" t="n">
        <f aca="false">Inputs!$C$38*(1+Inputs!$C$40)^(BI$120-1)*MAX(0,MIN(1,BI$119*1-Inputs!$C$41+1))/1</f>
        <v>2.53125</v>
      </c>
      <c r="BJ219" s="114" t="n">
        <f aca="false">Inputs!$C$38*(1+Inputs!$C$40)^(BJ$120-1)*MAX(0,MIN(1,BJ$119*1-Inputs!$C$41+1))/1</f>
        <v>2.53125</v>
      </c>
    </row>
    <row r="220" customFormat="false" ht="15" hidden="false" customHeight="false" outlineLevel="0" collapsed="false">
      <c r="A220" s="111" t="s">
        <v>441</v>
      </c>
      <c r="C220" s="117" t="n">
        <f aca="false">C216+C217+C218+C219</f>
        <v>6</v>
      </c>
      <c r="D220" s="117" t="n">
        <f aca="false">D216+D217+D218+D219</f>
        <v>6</v>
      </c>
      <c r="E220" s="117" t="n">
        <f aca="false">E216+E217+E218+E219</f>
        <v>6</v>
      </c>
      <c r="F220" s="117" t="n">
        <f aca="false">F216+F217+F218+F219</f>
        <v>6</v>
      </c>
      <c r="G220" s="117" t="n">
        <f aca="false">G216+G217+G218+G219</f>
        <v>6</v>
      </c>
      <c r="H220" s="117" t="n">
        <f aca="false">H216+H217+H218+H219</f>
        <v>6</v>
      </c>
      <c r="I220" s="117" t="n">
        <f aca="false">I216+I217+I218+I219</f>
        <v>6</v>
      </c>
      <c r="J220" s="117" t="n">
        <f aca="false">J216+J217+J218+J219</f>
        <v>6</v>
      </c>
      <c r="K220" s="117" t="n">
        <f aca="false">K216+K217+K218+K219</f>
        <v>6</v>
      </c>
      <c r="L220" s="117" t="n">
        <f aca="false">L216+L217+L218+L219</f>
        <v>6</v>
      </c>
      <c r="M220" s="117" t="n">
        <f aca="false">M216+M217+M218+M219</f>
        <v>6</v>
      </c>
      <c r="N220" s="117" t="n">
        <f aca="false">N216+N217+N218+N219</f>
        <v>6</v>
      </c>
      <c r="O220" s="117" t="n">
        <f aca="false">O216+O217+O218+O219</f>
        <v>9</v>
      </c>
      <c r="P220" s="117" t="n">
        <f aca="false">P216+P217+P218+P219</f>
        <v>9</v>
      </c>
      <c r="Q220" s="117" t="n">
        <f aca="false">Q216+Q217+Q218+Q219</f>
        <v>9</v>
      </c>
      <c r="R220" s="117" t="n">
        <f aca="false">R216+R217+R218+R219</f>
        <v>9</v>
      </c>
      <c r="S220" s="117" t="n">
        <f aca="false">S216+S217+S218+S219</f>
        <v>9</v>
      </c>
      <c r="T220" s="117" t="n">
        <f aca="false">T216+T217+T218+T219</f>
        <v>9</v>
      </c>
      <c r="U220" s="117" t="n">
        <f aca="false">U216+U217+U218+U219</f>
        <v>9</v>
      </c>
      <c r="V220" s="117" t="n">
        <f aca="false">V216+V217+V218+V219</f>
        <v>9</v>
      </c>
      <c r="W220" s="117" t="n">
        <f aca="false">W216+W217+W218+W219</f>
        <v>9</v>
      </c>
      <c r="X220" s="117" t="n">
        <f aca="false">X216+X217+X218+X219</f>
        <v>9</v>
      </c>
      <c r="Y220" s="117" t="n">
        <f aca="false">Y216+Y217+Y218+Y219</f>
        <v>9</v>
      </c>
      <c r="Z220" s="117" t="n">
        <f aca="false">Z216+Z217+Z218+Z219</f>
        <v>9</v>
      </c>
      <c r="AA220" s="117" t="n">
        <f aca="false">AA216+AA217+AA218+AA219</f>
        <v>13.5</v>
      </c>
      <c r="AB220" s="117" t="n">
        <f aca="false">AB216+AB217+AB218+AB219</f>
        <v>13.5</v>
      </c>
      <c r="AC220" s="117" t="n">
        <f aca="false">AC216+AC217+AC218+AC219</f>
        <v>13.5</v>
      </c>
      <c r="AD220" s="117" t="n">
        <f aca="false">AD216+AD217+AD218+AD219</f>
        <v>13.5</v>
      </c>
      <c r="AE220" s="117" t="n">
        <f aca="false">AE216+AE217+AE218+AE219</f>
        <v>13.5</v>
      </c>
      <c r="AF220" s="117" t="n">
        <f aca="false">AF216+AF217+AF218+AF219</f>
        <v>13.5</v>
      </c>
      <c r="AG220" s="117" t="n">
        <f aca="false">AG216+AG217+AG218+AG219</f>
        <v>13.5</v>
      </c>
      <c r="AH220" s="117" t="n">
        <f aca="false">AH216+AH217+AH218+AH219</f>
        <v>13.5</v>
      </c>
      <c r="AI220" s="117" t="n">
        <f aca="false">AI216+AI217+AI218+AI219</f>
        <v>13.5</v>
      </c>
      <c r="AJ220" s="117" t="n">
        <f aca="false">AJ216+AJ217+AJ218+AJ219</f>
        <v>13.5</v>
      </c>
      <c r="AK220" s="117" t="n">
        <f aca="false">AK216+AK217+AK218+AK219</f>
        <v>13.5</v>
      </c>
      <c r="AL220" s="117" t="n">
        <f aca="false">AL216+AL217+AL218+AL219</f>
        <v>13.5</v>
      </c>
      <c r="AM220" s="117" t="n">
        <f aca="false">AM216+AM217+AM218+AM219</f>
        <v>20.25</v>
      </c>
      <c r="AN220" s="117" t="n">
        <f aca="false">AN216+AN217+AN218+AN219</f>
        <v>20.25</v>
      </c>
      <c r="AO220" s="117" t="n">
        <f aca="false">AO216+AO217+AO218+AO219</f>
        <v>20.25</v>
      </c>
      <c r="AP220" s="117" t="n">
        <f aca="false">AP216+AP217+AP218+AP219</f>
        <v>20.25</v>
      </c>
      <c r="AQ220" s="117" t="n">
        <f aca="false">AQ216+AQ217+AQ218+AQ219</f>
        <v>20.25</v>
      </c>
      <c r="AR220" s="117" t="n">
        <f aca="false">AR216+AR217+AR218+AR219</f>
        <v>20.25</v>
      </c>
      <c r="AS220" s="117" t="n">
        <f aca="false">AS216+AS217+AS218+AS219</f>
        <v>20.25</v>
      </c>
      <c r="AT220" s="117" t="n">
        <f aca="false">AT216+AT217+AT218+AT219</f>
        <v>20.25</v>
      </c>
      <c r="AU220" s="117" t="n">
        <f aca="false">AU216+AU217+AU218+AU219</f>
        <v>20.25</v>
      </c>
      <c r="AV220" s="117" t="n">
        <f aca="false">AV216+AV217+AV218+AV219</f>
        <v>20.25</v>
      </c>
      <c r="AW220" s="117" t="n">
        <f aca="false">AW216+AW217+AW218+AW219</f>
        <v>20.25</v>
      </c>
      <c r="AX220" s="117" t="n">
        <f aca="false">AX216+AX217+AX218+AX219</f>
        <v>20.25</v>
      </c>
      <c r="AY220" s="117" t="n">
        <f aca="false">AY216+AY217+AY218+AY219</f>
        <v>30.375</v>
      </c>
      <c r="AZ220" s="117" t="n">
        <f aca="false">AZ216+AZ217+AZ218+AZ219</f>
        <v>30.375</v>
      </c>
      <c r="BA220" s="117" t="n">
        <f aca="false">BA216+BA217+BA218+BA219</f>
        <v>30.375</v>
      </c>
      <c r="BB220" s="117" t="n">
        <f aca="false">BB216+BB217+BB218+BB219</f>
        <v>30.375</v>
      </c>
      <c r="BC220" s="117" t="n">
        <f aca="false">BC216+BC217+BC218+BC219</f>
        <v>30.375</v>
      </c>
      <c r="BD220" s="117" t="n">
        <f aca="false">BD216+BD217+BD218+BD219</f>
        <v>30.375</v>
      </c>
      <c r="BE220" s="117" t="n">
        <f aca="false">BE216+BE217+BE218+BE219</f>
        <v>30.375</v>
      </c>
      <c r="BF220" s="117" t="n">
        <f aca="false">BF216+BF217+BF218+BF219</f>
        <v>30.375</v>
      </c>
      <c r="BG220" s="117" t="n">
        <f aca="false">BG216+BG217+BG218+BG219</f>
        <v>30.375</v>
      </c>
      <c r="BH220" s="117" t="n">
        <f aca="false">BH216+BH217+BH218+BH219</f>
        <v>30.375</v>
      </c>
      <c r="BI220" s="117" t="n">
        <f aca="false">BI216+BI217+BI218+BI219</f>
        <v>30.375</v>
      </c>
      <c r="BJ220" s="117" t="n">
        <f aca="false">BJ216+BJ217+BJ218+BJ219</f>
        <v>30.375</v>
      </c>
    </row>
    <row r="222" customFormat="false" ht="15.75" hidden="false" customHeight="true" outlineLevel="0" collapsed="false">
      <c r="A222" s="7" t="s">
        <v>442</v>
      </c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</row>
    <row r="223" customFormat="false" ht="15" hidden="false" customHeight="false" outlineLevel="0" collapsed="false">
      <c r="A223" s="6" t="s">
        <v>443</v>
      </c>
      <c r="C223" s="66" t="n">
        <f aca="false">-C216*Inputs!$C$27/12*1*(1+Inputs!$C$42)*(1+Inputs!$C$43)^(C$120-1)</f>
        <v>-37500</v>
      </c>
      <c r="D223" s="66" t="n">
        <f aca="false">-D216*Inputs!$C$27/12*1*(1+Inputs!$C$42)*(1+Inputs!$C$43)^(D$120-1)</f>
        <v>-37500</v>
      </c>
      <c r="E223" s="66" t="n">
        <f aca="false">-E216*Inputs!$C$27/12*1*(1+Inputs!$C$42)*(1+Inputs!$C$43)^(E$120-1)</f>
        <v>-37500</v>
      </c>
      <c r="F223" s="66" t="n">
        <f aca="false">-F216*Inputs!$C$27/12*1*(1+Inputs!$C$42)*(1+Inputs!$C$43)^(F$120-1)</f>
        <v>-37500</v>
      </c>
      <c r="G223" s="66" t="n">
        <f aca="false">-G216*Inputs!$C$27/12*1*(1+Inputs!$C$42)*(1+Inputs!$C$43)^(G$120-1)</f>
        <v>-37500</v>
      </c>
      <c r="H223" s="66" t="n">
        <f aca="false">-H216*Inputs!$C$27/12*1*(1+Inputs!$C$42)*(1+Inputs!$C$43)^(H$120-1)</f>
        <v>-37500</v>
      </c>
      <c r="I223" s="66" t="n">
        <f aca="false">-I216*Inputs!$C$27/12*1*(1+Inputs!$C$42)*(1+Inputs!$C$43)^(I$120-1)</f>
        <v>-37500</v>
      </c>
      <c r="J223" s="66" t="n">
        <f aca="false">-J216*Inputs!$C$27/12*1*(1+Inputs!$C$42)*(1+Inputs!$C$43)^(J$120-1)</f>
        <v>-37500</v>
      </c>
      <c r="K223" s="66" t="n">
        <f aca="false">-K216*Inputs!$C$27/12*1*(1+Inputs!$C$42)*(1+Inputs!$C$43)^(K$120-1)</f>
        <v>-37500</v>
      </c>
      <c r="L223" s="66" t="n">
        <f aca="false">-L216*Inputs!$C$27/12*1*(1+Inputs!$C$42)*(1+Inputs!$C$43)^(L$120-1)</f>
        <v>-37500</v>
      </c>
      <c r="M223" s="66" t="n">
        <f aca="false">-M216*Inputs!$C$27/12*1*(1+Inputs!$C$42)*(1+Inputs!$C$43)^(M$120-1)</f>
        <v>-37500</v>
      </c>
      <c r="N223" s="66" t="n">
        <f aca="false">-N216*Inputs!$C$27/12*1*(1+Inputs!$C$42)*(1+Inputs!$C$43)^(N$120-1)</f>
        <v>-37500</v>
      </c>
      <c r="O223" s="66" t="n">
        <f aca="false">-O216*Inputs!$C$27/12*1*(1+Inputs!$C$42)*(1+Inputs!$C$43)^(O$120-1)</f>
        <v>-58500</v>
      </c>
      <c r="P223" s="66" t="n">
        <f aca="false">-P216*Inputs!$C$27/12*1*(1+Inputs!$C$42)*(1+Inputs!$C$43)^(P$120-1)</f>
        <v>-58500</v>
      </c>
      <c r="Q223" s="66" t="n">
        <f aca="false">-Q216*Inputs!$C$27/12*1*(1+Inputs!$C$42)*(1+Inputs!$C$43)^(Q$120-1)</f>
        <v>-58500</v>
      </c>
      <c r="R223" s="66" t="n">
        <f aca="false">-R216*Inputs!$C$27/12*1*(1+Inputs!$C$42)*(1+Inputs!$C$43)^(R$120-1)</f>
        <v>-58500</v>
      </c>
      <c r="S223" s="66" t="n">
        <f aca="false">-S216*Inputs!$C$27/12*1*(1+Inputs!$C$42)*(1+Inputs!$C$43)^(S$120-1)</f>
        <v>-58500</v>
      </c>
      <c r="T223" s="66" t="n">
        <f aca="false">-T216*Inputs!$C$27/12*1*(1+Inputs!$C$42)*(1+Inputs!$C$43)^(T$120-1)</f>
        <v>-58500</v>
      </c>
      <c r="U223" s="66" t="n">
        <f aca="false">-U216*Inputs!$C$27/12*1*(1+Inputs!$C$42)*(1+Inputs!$C$43)^(U$120-1)</f>
        <v>-58500</v>
      </c>
      <c r="V223" s="66" t="n">
        <f aca="false">-V216*Inputs!$C$27/12*1*(1+Inputs!$C$42)*(1+Inputs!$C$43)^(V$120-1)</f>
        <v>-58500</v>
      </c>
      <c r="W223" s="66" t="n">
        <f aca="false">-W216*Inputs!$C$27/12*1*(1+Inputs!$C$42)*(1+Inputs!$C$43)^(W$120-1)</f>
        <v>-58500</v>
      </c>
      <c r="X223" s="66" t="n">
        <f aca="false">-X216*Inputs!$C$27/12*1*(1+Inputs!$C$42)*(1+Inputs!$C$43)^(X$120-1)</f>
        <v>-58500</v>
      </c>
      <c r="Y223" s="66" t="n">
        <f aca="false">-Y216*Inputs!$C$27/12*1*(1+Inputs!$C$42)*(1+Inputs!$C$43)^(Y$120-1)</f>
        <v>-58500</v>
      </c>
      <c r="Z223" s="66" t="n">
        <f aca="false">-Z216*Inputs!$C$27/12*1*(1+Inputs!$C$42)*(1+Inputs!$C$43)^(Z$120-1)</f>
        <v>-58500</v>
      </c>
      <c r="AA223" s="66" t="n">
        <f aca="false">-AA216*Inputs!$C$27/12*1*(1+Inputs!$C$42)*(1+Inputs!$C$43)^(AA$120-1)</f>
        <v>-91260</v>
      </c>
      <c r="AB223" s="66" t="n">
        <f aca="false">-AB216*Inputs!$C$27/12*1*(1+Inputs!$C$42)*(1+Inputs!$C$43)^(AB$120-1)</f>
        <v>-91260</v>
      </c>
      <c r="AC223" s="66" t="n">
        <f aca="false">-AC216*Inputs!$C$27/12*1*(1+Inputs!$C$42)*(1+Inputs!$C$43)^(AC$120-1)</f>
        <v>-91260</v>
      </c>
      <c r="AD223" s="66" t="n">
        <f aca="false">-AD216*Inputs!$C$27/12*1*(1+Inputs!$C$42)*(1+Inputs!$C$43)^(AD$120-1)</f>
        <v>-91260</v>
      </c>
      <c r="AE223" s="66" t="n">
        <f aca="false">-AE216*Inputs!$C$27/12*1*(1+Inputs!$C$42)*(1+Inputs!$C$43)^(AE$120-1)</f>
        <v>-91260</v>
      </c>
      <c r="AF223" s="66" t="n">
        <f aca="false">-AF216*Inputs!$C$27/12*1*(1+Inputs!$C$42)*(1+Inputs!$C$43)^(AF$120-1)</f>
        <v>-91260</v>
      </c>
      <c r="AG223" s="66" t="n">
        <f aca="false">-AG216*Inputs!$C$27/12*1*(1+Inputs!$C$42)*(1+Inputs!$C$43)^(AG$120-1)</f>
        <v>-91260</v>
      </c>
      <c r="AH223" s="66" t="n">
        <f aca="false">-AH216*Inputs!$C$27/12*1*(1+Inputs!$C$42)*(1+Inputs!$C$43)^(AH$120-1)</f>
        <v>-91260</v>
      </c>
      <c r="AI223" s="66" t="n">
        <f aca="false">-AI216*Inputs!$C$27/12*1*(1+Inputs!$C$42)*(1+Inputs!$C$43)^(AI$120-1)</f>
        <v>-91260</v>
      </c>
      <c r="AJ223" s="66" t="n">
        <f aca="false">-AJ216*Inputs!$C$27/12*1*(1+Inputs!$C$42)*(1+Inputs!$C$43)^(AJ$120-1)</f>
        <v>-91260</v>
      </c>
      <c r="AK223" s="66" t="n">
        <f aca="false">-AK216*Inputs!$C$27/12*1*(1+Inputs!$C$42)*(1+Inputs!$C$43)^(AK$120-1)</f>
        <v>-91260</v>
      </c>
      <c r="AL223" s="66" t="n">
        <f aca="false">-AL216*Inputs!$C$27/12*1*(1+Inputs!$C$42)*(1+Inputs!$C$43)^(AL$120-1)</f>
        <v>-91260</v>
      </c>
      <c r="AM223" s="66" t="n">
        <f aca="false">-AM216*Inputs!$C$27/12*1*(1+Inputs!$C$42)*(1+Inputs!$C$43)^(AM$120-1)</f>
        <v>-142365.6</v>
      </c>
      <c r="AN223" s="66" t="n">
        <f aca="false">-AN216*Inputs!$C$27/12*1*(1+Inputs!$C$42)*(1+Inputs!$C$43)^(AN$120-1)</f>
        <v>-142365.6</v>
      </c>
      <c r="AO223" s="66" t="n">
        <f aca="false">-AO216*Inputs!$C$27/12*1*(1+Inputs!$C$42)*(1+Inputs!$C$43)^(AO$120-1)</f>
        <v>-142365.6</v>
      </c>
      <c r="AP223" s="66" t="n">
        <f aca="false">-AP216*Inputs!$C$27/12*1*(1+Inputs!$C$42)*(1+Inputs!$C$43)^(AP$120-1)</f>
        <v>-142365.6</v>
      </c>
      <c r="AQ223" s="66" t="n">
        <f aca="false">-AQ216*Inputs!$C$27/12*1*(1+Inputs!$C$42)*(1+Inputs!$C$43)^(AQ$120-1)</f>
        <v>-142365.6</v>
      </c>
      <c r="AR223" s="66" t="n">
        <f aca="false">-AR216*Inputs!$C$27/12*1*(1+Inputs!$C$42)*(1+Inputs!$C$43)^(AR$120-1)</f>
        <v>-142365.6</v>
      </c>
      <c r="AS223" s="66" t="n">
        <f aca="false">-AS216*Inputs!$C$27/12*1*(1+Inputs!$C$42)*(1+Inputs!$C$43)^(AS$120-1)</f>
        <v>-142365.6</v>
      </c>
      <c r="AT223" s="66" t="n">
        <f aca="false">-AT216*Inputs!$C$27/12*1*(1+Inputs!$C$42)*(1+Inputs!$C$43)^(AT$120-1)</f>
        <v>-142365.6</v>
      </c>
      <c r="AU223" s="66" t="n">
        <f aca="false">-AU216*Inputs!$C$27/12*1*(1+Inputs!$C$42)*(1+Inputs!$C$43)^(AU$120-1)</f>
        <v>-142365.6</v>
      </c>
      <c r="AV223" s="66" t="n">
        <f aca="false">-AV216*Inputs!$C$27/12*1*(1+Inputs!$C$42)*(1+Inputs!$C$43)^(AV$120-1)</f>
        <v>-142365.6</v>
      </c>
      <c r="AW223" s="66" t="n">
        <f aca="false">-AW216*Inputs!$C$27/12*1*(1+Inputs!$C$42)*(1+Inputs!$C$43)^(AW$120-1)</f>
        <v>-142365.6</v>
      </c>
      <c r="AX223" s="66" t="n">
        <f aca="false">-AX216*Inputs!$C$27/12*1*(1+Inputs!$C$42)*(1+Inputs!$C$43)^(AX$120-1)</f>
        <v>-142365.6</v>
      </c>
      <c r="AY223" s="66" t="n">
        <f aca="false">-AY216*Inputs!$C$27/12*1*(1+Inputs!$C$42)*(1+Inputs!$C$43)^(AY$120-1)</f>
        <v>-222090.336</v>
      </c>
      <c r="AZ223" s="66" t="n">
        <f aca="false">-AZ216*Inputs!$C$27/12*1*(1+Inputs!$C$42)*(1+Inputs!$C$43)^(AZ$120-1)</f>
        <v>-222090.336</v>
      </c>
      <c r="BA223" s="66" t="n">
        <f aca="false">-BA216*Inputs!$C$27/12*1*(1+Inputs!$C$42)*(1+Inputs!$C$43)^(BA$120-1)</f>
        <v>-222090.336</v>
      </c>
      <c r="BB223" s="66" t="n">
        <f aca="false">-BB216*Inputs!$C$27/12*1*(1+Inputs!$C$42)*(1+Inputs!$C$43)^(BB$120-1)</f>
        <v>-222090.336</v>
      </c>
      <c r="BC223" s="66" t="n">
        <f aca="false">-BC216*Inputs!$C$27/12*1*(1+Inputs!$C$42)*(1+Inputs!$C$43)^(BC$120-1)</f>
        <v>-222090.336</v>
      </c>
      <c r="BD223" s="66" t="n">
        <f aca="false">-BD216*Inputs!$C$27/12*1*(1+Inputs!$C$42)*(1+Inputs!$C$43)^(BD$120-1)</f>
        <v>-222090.336</v>
      </c>
      <c r="BE223" s="66" t="n">
        <f aca="false">-BE216*Inputs!$C$27/12*1*(1+Inputs!$C$42)*(1+Inputs!$C$43)^(BE$120-1)</f>
        <v>-222090.336</v>
      </c>
      <c r="BF223" s="66" t="n">
        <f aca="false">-BF216*Inputs!$C$27/12*1*(1+Inputs!$C$42)*(1+Inputs!$C$43)^(BF$120-1)</f>
        <v>-222090.336</v>
      </c>
      <c r="BG223" s="66" t="n">
        <f aca="false">-BG216*Inputs!$C$27/12*1*(1+Inputs!$C$42)*(1+Inputs!$C$43)^(BG$120-1)</f>
        <v>-222090.336</v>
      </c>
      <c r="BH223" s="66" t="n">
        <f aca="false">-BH216*Inputs!$C$27/12*1*(1+Inputs!$C$42)*(1+Inputs!$C$43)^(BH$120-1)</f>
        <v>-222090.336</v>
      </c>
      <c r="BI223" s="66" t="n">
        <f aca="false">-BI216*Inputs!$C$27/12*1*(1+Inputs!$C$42)*(1+Inputs!$C$43)^(BI$120-1)</f>
        <v>-222090.336</v>
      </c>
      <c r="BJ223" s="66" t="n">
        <f aca="false">-BJ216*Inputs!$C$27/12*1*(1+Inputs!$C$42)*(1+Inputs!$C$43)^(BJ$120-1)</f>
        <v>-222090.336</v>
      </c>
    </row>
    <row r="224" customFormat="false" ht="15" hidden="false" customHeight="false" outlineLevel="0" collapsed="false">
      <c r="A224" s="6" t="s">
        <v>444</v>
      </c>
      <c r="C224" s="66" t="n">
        <f aca="false">-C217*Inputs!$C$31/12*1*(1+Inputs!$C$42)*(1+Inputs!$C$43)^(C$120-1)</f>
        <v>-14250</v>
      </c>
      <c r="D224" s="66" t="n">
        <f aca="false">-D217*Inputs!$C$31/12*1*(1+Inputs!$C$42)*(1+Inputs!$C$43)^(D$120-1)</f>
        <v>-14250</v>
      </c>
      <c r="E224" s="66" t="n">
        <f aca="false">-E217*Inputs!$C$31/12*1*(1+Inputs!$C$42)*(1+Inputs!$C$43)^(E$120-1)</f>
        <v>-14250</v>
      </c>
      <c r="F224" s="66" t="n">
        <f aca="false">-F217*Inputs!$C$31/12*1*(1+Inputs!$C$42)*(1+Inputs!$C$43)^(F$120-1)</f>
        <v>-14250</v>
      </c>
      <c r="G224" s="66" t="n">
        <f aca="false">-G217*Inputs!$C$31/12*1*(1+Inputs!$C$42)*(1+Inputs!$C$43)^(G$120-1)</f>
        <v>-14250</v>
      </c>
      <c r="H224" s="66" t="n">
        <f aca="false">-H217*Inputs!$C$31/12*1*(1+Inputs!$C$42)*(1+Inputs!$C$43)^(H$120-1)</f>
        <v>-14250</v>
      </c>
      <c r="I224" s="66" t="n">
        <f aca="false">-I217*Inputs!$C$31/12*1*(1+Inputs!$C$42)*(1+Inputs!$C$43)^(I$120-1)</f>
        <v>-14250</v>
      </c>
      <c r="J224" s="66" t="n">
        <f aca="false">-J217*Inputs!$C$31/12*1*(1+Inputs!$C$42)*(1+Inputs!$C$43)^(J$120-1)</f>
        <v>-14250</v>
      </c>
      <c r="K224" s="66" t="n">
        <f aca="false">-K217*Inputs!$C$31/12*1*(1+Inputs!$C$42)*(1+Inputs!$C$43)^(K$120-1)</f>
        <v>-14250</v>
      </c>
      <c r="L224" s="66" t="n">
        <f aca="false">-L217*Inputs!$C$31/12*1*(1+Inputs!$C$42)*(1+Inputs!$C$43)^(L$120-1)</f>
        <v>-14250</v>
      </c>
      <c r="M224" s="66" t="n">
        <f aca="false">-M217*Inputs!$C$31/12*1*(1+Inputs!$C$42)*(1+Inputs!$C$43)^(M$120-1)</f>
        <v>-14250</v>
      </c>
      <c r="N224" s="66" t="n">
        <f aca="false">-N217*Inputs!$C$31/12*1*(1+Inputs!$C$42)*(1+Inputs!$C$43)^(N$120-1)</f>
        <v>-14250</v>
      </c>
      <c r="O224" s="66" t="n">
        <f aca="false">-O217*Inputs!$C$31/12*1*(1+Inputs!$C$42)*(1+Inputs!$C$43)^(O$120-1)</f>
        <v>-22230</v>
      </c>
      <c r="P224" s="66" t="n">
        <f aca="false">-P217*Inputs!$C$31/12*1*(1+Inputs!$C$42)*(1+Inputs!$C$43)^(P$120-1)</f>
        <v>-22230</v>
      </c>
      <c r="Q224" s="66" t="n">
        <f aca="false">-Q217*Inputs!$C$31/12*1*(1+Inputs!$C$42)*(1+Inputs!$C$43)^(Q$120-1)</f>
        <v>-22230</v>
      </c>
      <c r="R224" s="66" t="n">
        <f aca="false">-R217*Inputs!$C$31/12*1*(1+Inputs!$C$42)*(1+Inputs!$C$43)^(R$120-1)</f>
        <v>-22230</v>
      </c>
      <c r="S224" s="66" t="n">
        <f aca="false">-S217*Inputs!$C$31/12*1*(1+Inputs!$C$42)*(1+Inputs!$C$43)^(S$120-1)</f>
        <v>-22230</v>
      </c>
      <c r="T224" s="66" t="n">
        <f aca="false">-T217*Inputs!$C$31/12*1*(1+Inputs!$C$42)*(1+Inputs!$C$43)^(T$120-1)</f>
        <v>-22230</v>
      </c>
      <c r="U224" s="66" t="n">
        <f aca="false">-U217*Inputs!$C$31/12*1*(1+Inputs!$C$42)*(1+Inputs!$C$43)^(U$120-1)</f>
        <v>-22230</v>
      </c>
      <c r="V224" s="66" t="n">
        <f aca="false">-V217*Inputs!$C$31/12*1*(1+Inputs!$C$42)*(1+Inputs!$C$43)^(V$120-1)</f>
        <v>-22230</v>
      </c>
      <c r="W224" s="66" t="n">
        <f aca="false">-W217*Inputs!$C$31/12*1*(1+Inputs!$C$42)*(1+Inputs!$C$43)^(W$120-1)</f>
        <v>-22230</v>
      </c>
      <c r="X224" s="66" t="n">
        <f aca="false">-X217*Inputs!$C$31/12*1*(1+Inputs!$C$42)*(1+Inputs!$C$43)^(X$120-1)</f>
        <v>-22230</v>
      </c>
      <c r="Y224" s="66" t="n">
        <f aca="false">-Y217*Inputs!$C$31/12*1*(1+Inputs!$C$42)*(1+Inputs!$C$43)^(Y$120-1)</f>
        <v>-22230</v>
      </c>
      <c r="Z224" s="66" t="n">
        <f aca="false">-Z217*Inputs!$C$31/12*1*(1+Inputs!$C$42)*(1+Inputs!$C$43)^(Z$120-1)</f>
        <v>-22230</v>
      </c>
      <c r="AA224" s="66" t="n">
        <f aca="false">-AA217*Inputs!$C$31/12*1*(1+Inputs!$C$42)*(1+Inputs!$C$43)^(AA$120-1)</f>
        <v>-34678.8</v>
      </c>
      <c r="AB224" s="66" t="n">
        <f aca="false">-AB217*Inputs!$C$31/12*1*(1+Inputs!$C$42)*(1+Inputs!$C$43)^(AB$120-1)</f>
        <v>-34678.8</v>
      </c>
      <c r="AC224" s="66" t="n">
        <f aca="false">-AC217*Inputs!$C$31/12*1*(1+Inputs!$C$42)*(1+Inputs!$C$43)^(AC$120-1)</f>
        <v>-34678.8</v>
      </c>
      <c r="AD224" s="66" t="n">
        <f aca="false">-AD217*Inputs!$C$31/12*1*(1+Inputs!$C$42)*(1+Inputs!$C$43)^(AD$120-1)</f>
        <v>-34678.8</v>
      </c>
      <c r="AE224" s="66" t="n">
        <f aca="false">-AE217*Inputs!$C$31/12*1*(1+Inputs!$C$42)*(1+Inputs!$C$43)^(AE$120-1)</f>
        <v>-34678.8</v>
      </c>
      <c r="AF224" s="66" t="n">
        <f aca="false">-AF217*Inputs!$C$31/12*1*(1+Inputs!$C$42)*(1+Inputs!$C$43)^(AF$120-1)</f>
        <v>-34678.8</v>
      </c>
      <c r="AG224" s="66" t="n">
        <f aca="false">-AG217*Inputs!$C$31/12*1*(1+Inputs!$C$42)*(1+Inputs!$C$43)^(AG$120-1)</f>
        <v>-34678.8</v>
      </c>
      <c r="AH224" s="66" t="n">
        <f aca="false">-AH217*Inputs!$C$31/12*1*(1+Inputs!$C$42)*(1+Inputs!$C$43)^(AH$120-1)</f>
        <v>-34678.8</v>
      </c>
      <c r="AI224" s="66" t="n">
        <f aca="false">-AI217*Inputs!$C$31/12*1*(1+Inputs!$C$42)*(1+Inputs!$C$43)^(AI$120-1)</f>
        <v>-34678.8</v>
      </c>
      <c r="AJ224" s="66" t="n">
        <f aca="false">-AJ217*Inputs!$C$31/12*1*(1+Inputs!$C$42)*(1+Inputs!$C$43)^(AJ$120-1)</f>
        <v>-34678.8</v>
      </c>
      <c r="AK224" s="66" t="n">
        <f aca="false">-AK217*Inputs!$C$31/12*1*(1+Inputs!$C$42)*(1+Inputs!$C$43)^(AK$120-1)</f>
        <v>-34678.8</v>
      </c>
      <c r="AL224" s="66" t="n">
        <f aca="false">-AL217*Inputs!$C$31/12*1*(1+Inputs!$C$42)*(1+Inputs!$C$43)^(AL$120-1)</f>
        <v>-34678.8</v>
      </c>
      <c r="AM224" s="66" t="n">
        <f aca="false">-AM217*Inputs!$C$31/12*1*(1+Inputs!$C$42)*(1+Inputs!$C$43)^(AM$120-1)</f>
        <v>-54098.928</v>
      </c>
      <c r="AN224" s="66" t="n">
        <f aca="false">-AN217*Inputs!$C$31/12*1*(1+Inputs!$C$42)*(1+Inputs!$C$43)^(AN$120-1)</f>
        <v>-54098.928</v>
      </c>
      <c r="AO224" s="66" t="n">
        <f aca="false">-AO217*Inputs!$C$31/12*1*(1+Inputs!$C$42)*(1+Inputs!$C$43)^(AO$120-1)</f>
        <v>-54098.928</v>
      </c>
      <c r="AP224" s="66" t="n">
        <f aca="false">-AP217*Inputs!$C$31/12*1*(1+Inputs!$C$42)*(1+Inputs!$C$43)^(AP$120-1)</f>
        <v>-54098.928</v>
      </c>
      <c r="AQ224" s="66" t="n">
        <f aca="false">-AQ217*Inputs!$C$31/12*1*(1+Inputs!$C$42)*(1+Inputs!$C$43)^(AQ$120-1)</f>
        <v>-54098.928</v>
      </c>
      <c r="AR224" s="66" t="n">
        <f aca="false">-AR217*Inputs!$C$31/12*1*(1+Inputs!$C$42)*(1+Inputs!$C$43)^(AR$120-1)</f>
        <v>-54098.928</v>
      </c>
      <c r="AS224" s="66" t="n">
        <f aca="false">-AS217*Inputs!$C$31/12*1*(1+Inputs!$C$42)*(1+Inputs!$C$43)^(AS$120-1)</f>
        <v>-54098.928</v>
      </c>
      <c r="AT224" s="66" t="n">
        <f aca="false">-AT217*Inputs!$C$31/12*1*(1+Inputs!$C$42)*(1+Inputs!$C$43)^(AT$120-1)</f>
        <v>-54098.928</v>
      </c>
      <c r="AU224" s="66" t="n">
        <f aca="false">-AU217*Inputs!$C$31/12*1*(1+Inputs!$C$42)*(1+Inputs!$C$43)^(AU$120-1)</f>
        <v>-54098.928</v>
      </c>
      <c r="AV224" s="66" t="n">
        <f aca="false">-AV217*Inputs!$C$31/12*1*(1+Inputs!$C$42)*(1+Inputs!$C$43)^(AV$120-1)</f>
        <v>-54098.928</v>
      </c>
      <c r="AW224" s="66" t="n">
        <f aca="false">-AW217*Inputs!$C$31/12*1*(1+Inputs!$C$42)*(1+Inputs!$C$43)^(AW$120-1)</f>
        <v>-54098.928</v>
      </c>
      <c r="AX224" s="66" t="n">
        <f aca="false">-AX217*Inputs!$C$31/12*1*(1+Inputs!$C$42)*(1+Inputs!$C$43)^(AX$120-1)</f>
        <v>-54098.928</v>
      </c>
      <c r="AY224" s="66" t="n">
        <f aca="false">-AY217*Inputs!$C$31/12*1*(1+Inputs!$C$42)*(1+Inputs!$C$43)^(AY$120-1)</f>
        <v>-84394.32768</v>
      </c>
      <c r="AZ224" s="66" t="n">
        <f aca="false">-AZ217*Inputs!$C$31/12*1*(1+Inputs!$C$42)*(1+Inputs!$C$43)^(AZ$120-1)</f>
        <v>-84394.32768</v>
      </c>
      <c r="BA224" s="66" t="n">
        <f aca="false">-BA217*Inputs!$C$31/12*1*(1+Inputs!$C$42)*(1+Inputs!$C$43)^(BA$120-1)</f>
        <v>-84394.32768</v>
      </c>
      <c r="BB224" s="66" t="n">
        <f aca="false">-BB217*Inputs!$C$31/12*1*(1+Inputs!$C$42)*(1+Inputs!$C$43)^(BB$120-1)</f>
        <v>-84394.32768</v>
      </c>
      <c r="BC224" s="66" t="n">
        <f aca="false">-BC217*Inputs!$C$31/12*1*(1+Inputs!$C$42)*(1+Inputs!$C$43)^(BC$120-1)</f>
        <v>-84394.32768</v>
      </c>
      <c r="BD224" s="66" t="n">
        <f aca="false">-BD217*Inputs!$C$31/12*1*(1+Inputs!$C$42)*(1+Inputs!$C$43)^(BD$120-1)</f>
        <v>-84394.32768</v>
      </c>
      <c r="BE224" s="66" t="n">
        <f aca="false">-BE217*Inputs!$C$31/12*1*(1+Inputs!$C$42)*(1+Inputs!$C$43)^(BE$120-1)</f>
        <v>-84394.32768</v>
      </c>
      <c r="BF224" s="66" t="n">
        <f aca="false">-BF217*Inputs!$C$31/12*1*(1+Inputs!$C$42)*(1+Inputs!$C$43)^(BF$120-1)</f>
        <v>-84394.32768</v>
      </c>
      <c r="BG224" s="66" t="n">
        <f aca="false">-BG217*Inputs!$C$31/12*1*(1+Inputs!$C$42)*(1+Inputs!$C$43)^(BG$120-1)</f>
        <v>-84394.32768</v>
      </c>
      <c r="BH224" s="66" t="n">
        <f aca="false">-BH217*Inputs!$C$31/12*1*(1+Inputs!$C$42)*(1+Inputs!$C$43)^(BH$120-1)</f>
        <v>-84394.32768</v>
      </c>
      <c r="BI224" s="66" t="n">
        <f aca="false">-BI217*Inputs!$C$31/12*1*(1+Inputs!$C$42)*(1+Inputs!$C$43)^(BI$120-1)</f>
        <v>-84394.32768</v>
      </c>
      <c r="BJ224" s="66" t="n">
        <f aca="false">-BJ217*Inputs!$C$31/12*1*(1+Inputs!$C$42)*(1+Inputs!$C$43)^(BJ$120-1)</f>
        <v>-84394.32768</v>
      </c>
    </row>
    <row r="225" customFormat="false" ht="15" hidden="false" customHeight="false" outlineLevel="0" collapsed="false">
      <c r="A225" s="6" t="s">
        <v>445</v>
      </c>
      <c r="C225" s="66" t="n">
        <f aca="false">-C218*Inputs!$C$35/12*1*(1+Inputs!$C$42)*(1+Inputs!$C$43)^(C$120-1)</f>
        <v>-6000</v>
      </c>
      <c r="D225" s="66" t="n">
        <f aca="false">-D218*Inputs!$C$35/12*1*(1+Inputs!$C$42)*(1+Inputs!$C$43)^(D$120-1)</f>
        <v>-6000</v>
      </c>
      <c r="E225" s="66" t="n">
        <f aca="false">-E218*Inputs!$C$35/12*1*(1+Inputs!$C$42)*(1+Inputs!$C$43)^(E$120-1)</f>
        <v>-6000</v>
      </c>
      <c r="F225" s="66" t="n">
        <f aca="false">-F218*Inputs!$C$35/12*1*(1+Inputs!$C$42)*(1+Inputs!$C$43)^(F$120-1)</f>
        <v>-6000</v>
      </c>
      <c r="G225" s="66" t="n">
        <f aca="false">-G218*Inputs!$C$35/12*1*(1+Inputs!$C$42)*(1+Inputs!$C$43)^(G$120-1)</f>
        <v>-6000</v>
      </c>
      <c r="H225" s="66" t="n">
        <f aca="false">-H218*Inputs!$C$35/12*1*(1+Inputs!$C$42)*(1+Inputs!$C$43)^(H$120-1)</f>
        <v>-6000</v>
      </c>
      <c r="I225" s="66" t="n">
        <f aca="false">-I218*Inputs!$C$35/12*1*(1+Inputs!$C$42)*(1+Inputs!$C$43)^(I$120-1)</f>
        <v>-6000</v>
      </c>
      <c r="J225" s="66" t="n">
        <f aca="false">-J218*Inputs!$C$35/12*1*(1+Inputs!$C$42)*(1+Inputs!$C$43)^(J$120-1)</f>
        <v>-6000</v>
      </c>
      <c r="K225" s="66" t="n">
        <f aca="false">-K218*Inputs!$C$35/12*1*(1+Inputs!$C$42)*(1+Inputs!$C$43)^(K$120-1)</f>
        <v>-6000</v>
      </c>
      <c r="L225" s="66" t="n">
        <f aca="false">-L218*Inputs!$C$35/12*1*(1+Inputs!$C$42)*(1+Inputs!$C$43)^(L$120-1)</f>
        <v>-6000</v>
      </c>
      <c r="M225" s="66" t="n">
        <f aca="false">-M218*Inputs!$C$35/12*1*(1+Inputs!$C$42)*(1+Inputs!$C$43)^(M$120-1)</f>
        <v>-6000</v>
      </c>
      <c r="N225" s="66" t="n">
        <f aca="false">-N218*Inputs!$C$35/12*1*(1+Inputs!$C$42)*(1+Inputs!$C$43)^(N$120-1)</f>
        <v>-6000</v>
      </c>
      <c r="O225" s="66" t="n">
        <f aca="false">-O218*Inputs!$C$35/12*1*(1+Inputs!$C$42)*(1+Inputs!$C$43)^(O$120-1)</f>
        <v>-9360</v>
      </c>
      <c r="P225" s="66" t="n">
        <f aca="false">-P218*Inputs!$C$35/12*1*(1+Inputs!$C$42)*(1+Inputs!$C$43)^(P$120-1)</f>
        <v>-9360</v>
      </c>
      <c r="Q225" s="66" t="n">
        <f aca="false">-Q218*Inputs!$C$35/12*1*(1+Inputs!$C$42)*(1+Inputs!$C$43)^(Q$120-1)</f>
        <v>-9360</v>
      </c>
      <c r="R225" s="66" t="n">
        <f aca="false">-R218*Inputs!$C$35/12*1*(1+Inputs!$C$42)*(1+Inputs!$C$43)^(R$120-1)</f>
        <v>-9360</v>
      </c>
      <c r="S225" s="66" t="n">
        <f aca="false">-S218*Inputs!$C$35/12*1*(1+Inputs!$C$42)*(1+Inputs!$C$43)^(S$120-1)</f>
        <v>-9360</v>
      </c>
      <c r="T225" s="66" t="n">
        <f aca="false">-T218*Inputs!$C$35/12*1*(1+Inputs!$C$42)*(1+Inputs!$C$43)^(T$120-1)</f>
        <v>-9360</v>
      </c>
      <c r="U225" s="66" t="n">
        <f aca="false">-U218*Inputs!$C$35/12*1*(1+Inputs!$C$42)*(1+Inputs!$C$43)^(U$120-1)</f>
        <v>-9360</v>
      </c>
      <c r="V225" s="66" t="n">
        <f aca="false">-V218*Inputs!$C$35/12*1*(1+Inputs!$C$42)*(1+Inputs!$C$43)^(V$120-1)</f>
        <v>-9360</v>
      </c>
      <c r="W225" s="66" t="n">
        <f aca="false">-W218*Inputs!$C$35/12*1*(1+Inputs!$C$42)*(1+Inputs!$C$43)^(W$120-1)</f>
        <v>-9360</v>
      </c>
      <c r="X225" s="66" t="n">
        <f aca="false">-X218*Inputs!$C$35/12*1*(1+Inputs!$C$42)*(1+Inputs!$C$43)^(X$120-1)</f>
        <v>-9360</v>
      </c>
      <c r="Y225" s="66" t="n">
        <f aca="false">-Y218*Inputs!$C$35/12*1*(1+Inputs!$C$42)*(1+Inputs!$C$43)^(Y$120-1)</f>
        <v>-9360</v>
      </c>
      <c r="Z225" s="66" t="n">
        <f aca="false">-Z218*Inputs!$C$35/12*1*(1+Inputs!$C$42)*(1+Inputs!$C$43)^(Z$120-1)</f>
        <v>-9360</v>
      </c>
      <c r="AA225" s="66" t="n">
        <f aca="false">-AA218*Inputs!$C$35/12*1*(1+Inputs!$C$42)*(1+Inputs!$C$43)^(AA$120-1)</f>
        <v>-14601.6</v>
      </c>
      <c r="AB225" s="66" t="n">
        <f aca="false">-AB218*Inputs!$C$35/12*1*(1+Inputs!$C$42)*(1+Inputs!$C$43)^(AB$120-1)</f>
        <v>-14601.6</v>
      </c>
      <c r="AC225" s="66" t="n">
        <f aca="false">-AC218*Inputs!$C$35/12*1*(1+Inputs!$C$42)*(1+Inputs!$C$43)^(AC$120-1)</f>
        <v>-14601.6</v>
      </c>
      <c r="AD225" s="66" t="n">
        <f aca="false">-AD218*Inputs!$C$35/12*1*(1+Inputs!$C$42)*(1+Inputs!$C$43)^(AD$120-1)</f>
        <v>-14601.6</v>
      </c>
      <c r="AE225" s="66" t="n">
        <f aca="false">-AE218*Inputs!$C$35/12*1*(1+Inputs!$C$42)*(1+Inputs!$C$43)^(AE$120-1)</f>
        <v>-14601.6</v>
      </c>
      <c r="AF225" s="66" t="n">
        <f aca="false">-AF218*Inputs!$C$35/12*1*(1+Inputs!$C$42)*(1+Inputs!$C$43)^(AF$120-1)</f>
        <v>-14601.6</v>
      </c>
      <c r="AG225" s="66" t="n">
        <f aca="false">-AG218*Inputs!$C$35/12*1*(1+Inputs!$C$42)*(1+Inputs!$C$43)^(AG$120-1)</f>
        <v>-14601.6</v>
      </c>
      <c r="AH225" s="66" t="n">
        <f aca="false">-AH218*Inputs!$C$35/12*1*(1+Inputs!$C$42)*(1+Inputs!$C$43)^(AH$120-1)</f>
        <v>-14601.6</v>
      </c>
      <c r="AI225" s="66" t="n">
        <f aca="false">-AI218*Inputs!$C$35/12*1*(1+Inputs!$C$42)*(1+Inputs!$C$43)^(AI$120-1)</f>
        <v>-14601.6</v>
      </c>
      <c r="AJ225" s="66" t="n">
        <f aca="false">-AJ218*Inputs!$C$35/12*1*(1+Inputs!$C$42)*(1+Inputs!$C$43)^(AJ$120-1)</f>
        <v>-14601.6</v>
      </c>
      <c r="AK225" s="66" t="n">
        <f aca="false">-AK218*Inputs!$C$35/12*1*(1+Inputs!$C$42)*(1+Inputs!$C$43)^(AK$120-1)</f>
        <v>-14601.6</v>
      </c>
      <c r="AL225" s="66" t="n">
        <f aca="false">-AL218*Inputs!$C$35/12*1*(1+Inputs!$C$42)*(1+Inputs!$C$43)^(AL$120-1)</f>
        <v>-14601.6</v>
      </c>
      <c r="AM225" s="66" t="n">
        <f aca="false">-AM218*Inputs!$C$35/12*1*(1+Inputs!$C$42)*(1+Inputs!$C$43)^(AM$120-1)</f>
        <v>-22778.496</v>
      </c>
      <c r="AN225" s="66" t="n">
        <f aca="false">-AN218*Inputs!$C$35/12*1*(1+Inputs!$C$42)*(1+Inputs!$C$43)^(AN$120-1)</f>
        <v>-22778.496</v>
      </c>
      <c r="AO225" s="66" t="n">
        <f aca="false">-AO218*Inputs!$C$35/12*1*(1+Inputs!$C$42)*(1+Inputs!$C$43)^(AO$120-1)</f>
        <v>-22778.496</v>
      </c>
      <c r="AP225" s="66" t="n">
        <f aca="false">-AP218*Inputs!$C$35/12*1*(1+Inputs!$C$42)*(1+Inputs!$C$43)^(AP$120-1)</f>
        <v>-22778.496</v>
      </c>
      <c r="AQ225" s="66" t="n">
        <f aca="false">-AQ218*Inputs!$C$35/12*1*(1+Inputs!$C$42)*(1+Inputs!$C$43)^(AQ$120-1)</f>
        <v>-22778.496</v>
      </c>
      <c r="AR225" s="66" t="n">
        <f aca="false">-AR218*Inputs!$C$35/12*1*(1+Inputs!$C$42)*(1+Inputs!$C$43)^(AR$120-1)</f>
        <v>-22778.496</v>
      </c>
      <c r="AS225" s="66" t="n">
        <f aca="false">-AS218*Inputs!$C$35/12*1*(1+Inputs!$C$42)*(1+Inputs!$C$43)^(AS$120-1)</f>
        <v>-22778.496</v>
      </c>
      <c r="AT225" s="66" t="n">
        <f aca="false">-AT218*Inputs!$C$35/12*1*(1+Inputs!$C$42)*(1+Inputs!$C$43)^(AT$120-1)</f>
        <v>-22778.496</v>
      </c>
      <c r="AU225" s="66" t="n">
        <f aca="false">-AU218*Inputs!$C$35/12*1*(1+Inputs!$C$42)*(1+Inputs!$C$43)^(AU$120-1)</f>
        <v>-22778.496</v>
      </c>
      <c r="AV225" s="66" t="n">
        <f aca="false">-AV218*Inputs!$C$35/12*1*(1+Inputs!$C$42)*(1+Inputs!$C$43)^(AV$120-1)</f>
        <v>-22778.496</v>
      </c>
      <c r="AW225" s="66" t="n">
        <f aca="false">-AW218*Inputs!$C$35/12*1*(1+Inputs!$C$42)*(1+Inputs!$C$43)^(AW$120-1)</f>
        <v>-22778.496</v>
      </c>
      <c r="AX225" s="66" t="n">
        <f aca="false">-AX218*Inputs!$C$35/12*1*(1+Inputs!$C$42)*(1+Inputs!$C$43)^(AX$120-1)</f>
        <v>-22778.496</v>
      </c>
      <c r="AY225" s="66" t="n">
        <f aca="false">-AY218*Inputs!$C$35/12*1*(1+Inputs!$C$42)*(1+Inputs!$C$43)^(AY$120-1)</f>
        <v>-35534.45376</v>
      </c>
      <c r="AZ225" s="66" t="n">
        <f aca="false">-AZ218*Inputs!$C$35/12*1*(1+Inputs!$C$42)*(1+Inputs!$C$43)^(AZ$120-1)</f>
        <v>-35534.45376</v>
      </c>
      <c r="BA225" s="66" t="n">
        <f aca="false">-BA218*Inputs!$C$35/12*1*(1+Inputs!$C$42)*(1+Inputs!$C$43)^(BA$120-1)</f>
        <v>-35534.45376</v>
      </c>
      <c r="BB225" s="66" t="n">
        <f aca="false">-BB218*Inputs!$C$35/12*1*(1+Inputs!$C$42)*(1+Inputs!$C$43)^(BB$120-1)</f>
        <v>-35534.45376</v>
      </c>
      <c r="BC225" s="66" t="n">
        <f aca="false">-BC218*Inputs!$C$35/12*1*(1+Inputs!$C$42)*(1+Inputs!$C$43)^(BC$120-1)</f>
        <v>-35534.45376</v>
      </c>
      <c r="BD225" s="66" t="n">
        <f aca="false">-BD218*Inputs!$C$35/12*1*(1+Inputs!$C$42)*(1+Inputs!$C$43)^(BD$120-1)</f>
        <v>-35534.45376</v>
      </c>
      <c r="BE225" s="66" t="n">
        <f aca="false">-BE218*Inputs!$C$35/12*1*(1+Inputs!$C$42)*(1+Inputs!$C$43)^(BE$120-1)</f>
        <v>-35534.45376</v>
      </c>
      <c r="BF225" s="66" t="n">
        <f aca="false">-BF218*Inputs!$C$35/12*1*(1+Inputs!$C$42)*(1+Inputs!$C$43)^(BF$120-1)</f>
        <v>-35534.45376</v>
      </c>
      <c r="BG225" s="66" t="n">
        <f aca="false">-BG218*Inputs!$C$35/12*1*(1+Inputs!$C$42)*(1+Inputs!$C$43)^(BG$120-1)</f>
        <v>-35534.45376</v>
      </c>
      <c r="BH225" s="66" t="n">
        <f aca="false">-BH218*Inputs!$C$35/12*1*(1+Inputs!$C$42)*(1+Inputs!$C$43)^(BH$120-1)</f>
        <v>-35534.45376</v>
      </c>
      <c r="BI225" s="66" t="n">
        <f aca="false">-BI218*Inputs!$C$35/12*1*(1+Inputs!$C$42)*(1+Inputs!$C$43)^(BI$120-1)</f>
        <v>-35534.45376</v>
      </c>
      <c r="BJ225" s="66" t="n">
        <f aca="false">-BJ218*Inputs!$C$35/12*1*(1+Inputs!$C$42)*(1+Inputs!$C$43)^(BJ$120-1)</f>
        <v>-35534.45376</v>
      </c>
    </row>
    <row r="226" customFormat="false" ht="15" hidden="false" customHeight="false" outlineLevel="0" collapsed="false">
      <c r="A226" s="6" t="s">
        <v>446</v>
      </c>
      <c r="C226" s="66" t="n">
        <f aca="false">-C219*Inputs!$C$39/12*1*(1+Inputs!$C$42)*(1+Inputs!$C$43)^(C$120-1)</f>
        <v>-4000</v>
      </c>
      <c r="D226" s="66" t="n">
        <f aca="false">-D219*Inputs!$C$39/12*1*(1+Inputs!$C$42)*(1+Inputs!$C$43)^(D$120-1)</f>
        <v>-4000</v>
      </c>
      <c r="E226" s="66" t="n">
        <f aca="false">-E219*Inputs!$C$39/12*1*(1+Inputs!$C$42)*(1+Inputs!$C$43)^(E$120-1)</f>
        <v>-4000</v>
      </c>
      <c r="F226" s="66" t="n">
        <f aca="false">-F219*Inputs!$C$39/12*1*(1+Inputs!$C$42)*(1+Inputs!$C$43)^(F$120-1)</f>
        <v>-4000</v>
      </c>
      <c r="G226" s="66" t="n">
        <f aca="false">-G219*Inputs!$C$39/12*1*(1+Inputs!$C$42)*(1+Inputs!$C$43)^(G$120-1)</f>
        <v>-4000</v>
      </c>
      <c r="H226" s="66" t="n">
        <f aca="false">-H219*Inputs!$C$39/12*1*(1+Inputs!$C$42)*(1+Inputs!$C$43)^(H$120-1)</f>
        <v>-4000</v>
      </c>
      <c r="I226" s="66" t="n">
        <f aca="false">-I219*Inputs!$C$39/12*1*(1+Inputs!$C$42)*(1+Inputs!$C$43)^(I$120-1)</f>
        <v>-4000</v>
      </c>
      <c r="J226" s="66" t="n">
        <f aca="false">-J219*Inputs!$C$39/12*1*(1+Inputs!$C$42)*(1+Inputs!$C$43)^(J$120-1)</f>
        <v>-4000</v>
      </c>
      <c r="K226" s="66" t="n">
        <f aca="false">-K219*Inputs!$C$39/12*1*(1+Inputs!$C$42)*(1+Inputs!$C$43)^(K$120-1)</f>
        <v>-4000</v>
      </c>
      <c r="L226" s="66" t="n">
        <f aca="false">-L219*Inputs!$C$39/12*1*(1+Inputs!$C$42)*(1+Inputs!$C$43)^(L$120-1)</f>
        <v>-4000</v>
      </c>
      <c r="M226" s="66" t="n">
        <f aca="false">-M219*Inputs!$C$39/12*1*(1+Inputs!$C$42)*(1+Inputs!$C$43)^(M$120-1)</f>
        <v>-4000</v>
      </c>
      <c r="N226" s="66" t="n">
        <f aca="false">-N219*Inputs!$C$39/12*1*(1+Inputs!$C$42)*(1+Inputs!$C$43)^(N$120-1)</f>
        <v>-4000</v>
      </c>
      <c r="O226" s="66" t="n">
        <f aca="false">-O219*Inputs!$C$39/12*1*(1+Inputs!$C$42)*(1+Inputs!$C$43)^(O$120-1)</f>
        <v>-6240</v>
      </c>
      <c r="P226" s="66" t="n">
        <f aca="false">-P219*Inputs!$C$39/12*1*(1+Inputs!$C$42)*(1+Inputs!$C$43)^(P$120-1)</f>
        <v>-6240</v>
      </c>
      <c r="Q226" s="66" t="n">
        <f aca="false">-Q219*Inputs!$C$39/12*1*(1+Inputs!$C$42)*(1+Inputs!$C$43)^(Q$120-1)</f>
        <v>-6240</v>
      </c>
      <c r="R226" s="66" t="n">
        <f aca="false">-R219*Inputs!$C$39/12*1*(1+Inputs!$C$42)*(1+Inputs!$C$43)^(R$120-1)</f>
        <v>-6240</v>
      </c>
      <c r="S226" s="66" t="n">
        <f aca="false">-S219*Inputs!$C$39/12*1*(1+Inputs!$C$42)*(1+Inputs!$C$43)^(S$120-1)</f>
        <v>-6240</v>
      </c>
      <c r="T226" s="66" t="n">
        <f aca="false">-T219*Inputs!$C$39/12*1*(1+Inputs!$C$42)*(1+Inputs!$C$43)^(T$120-1)</f>
        <v>-6240</v>
      </c>
      <c r="U226" s="66" t="n">
        <f aca="false">-U219*Inputs!$C$39/12*1*(1+Inputs!$C$42)*(1+Inputs!$C$43)^(U$120-1)</f>
        <v>-6240</v>
      </c>
      <c r="V226" s="66" t="n">
        <f aca="false">-V219*Inputs!$C$39/12*1*(1+Inputs!$C$42)*(1+Inputs!$C$43)^(V$120-1)</f>
        <v>-6240</v>
      </c>
      <c r="W226" s="66" t="n">
        <f aca="false">-W219*Inputs!$C$39/12*1*(1+Inputs!$C$42)*(1+Inputs!$C$43)^(W$120-1)</f>
        <v>-6240</v>
      </c>
      <c r="X226" s="66" t="n">
        <f aca="false">-X219*Inputs!$C$39/12*1*(1+Inputs!$C$42)*(1+Inputs!$C$43)^(X$120-1)</f>
        <v>-6240</v>
      </c>
      <c r="Y226" s="66" t="n">
        <f aca="false">-Y219*Inputs!$C$39/12*1*(1+Inputs!$C$42)*(1+Inputs!$C$43)^(Y$120-1)</f>
        <v>-6240</v>
      </c>
      <c r="Z226" s="66" t="n">
        <f aca="false">-Z219*Inputs!$C$39/12*1*(1+Inputs!$C$42)*(1+Inputs!$C$43)^(Z$120-1)</f>
        <v>-6240</v>
      </c>
      <c r="AA226" s="66" t="n">
        <f aca="false">-AA219*Inputs!$C$39/12*1*(1+Inputs!$C$42)*(1+Inputs!$C$43)^(AA$120-1)</f>
        <v>-9734.4</v>
      </c>
      <c r="AB226" s="66" t="n">
        <f aca="false">-AB219*Inputs!$C$39/12*1*(1+Inputs!$C$42)*(1+Inputs!$C$43)^(AB$120-1)</f>
        <v>-9734.4</v>
      </c>
      <c r="AC226" s="66" t="n">
        <f aca="false">-AC219*Inputs!$C$39/12*1*(1+Inputs!$C$42)*(1+Inputs!$C$43)^(AC$120-1)</f>
        <v>-9734.4</v>
      </c>
      <c r="AD226" s="66" t="n">
        <f aca="false">-AD219*Inputs!$C$39/12*1*(1+Inputs!$C$42)*(1+Inputs!$C$43)^(AD$120-1)</f>
        <v>-9734.4</v>
      </c>
      <c r="AE226" s="66" t="n">
        <f aca="false">-AE219*Inputs!$C$39/12*1*(1+Inputs!$C$42)*(1+Inputs!$C$43)^(AE$120-1)</f>
        <v>-9734.4</v>
      </c>
      <c r="AF226" s="66" t="n">
        <f aca="false">-AF219*Inputs!$C$39/12*1*(1+Inputs!$C$42)*(1+Inputs!$C$43)^(AF$120-1)</f>
        <v>-9734.4</v>
      </c>
      <c r="AG226" s="66" t="n">
        <f aca="false">-AG219*Inputs!$C$39/12*1*(1+Inputs!$C$42)*(1+Inputs!$C$43)^(AG$120-1)</f>
        <v>-9734.4</v>
      </c>
      <c r="AH226" s="66" t="n">
        <f aca="false">-AH219*Inputs!$C$39/12*1*(1+Inputs!$C$42)*(1+Inputs!$C$43)^(AH$120-1)</f>
        <v>-9734.4</v>
      </c>
      <c r="AI226" s="66" t="n">
        <f aca="false">-AI219*Inputs!$C$39/12*1*(1+Inputs!$C$42)*(1+Inputs!$C$43)^(AI$120-1)</f>
        <v>-9734.4</v>
      </c>
      <c r="AJ226" s="66" t="n">
        <f aca="false">-AJ219*Inputs!$C$39/12*1*(1+Inputs!$C$42)*(1+Inputs!$C$43)^(AJ$120-1)</f>
        <v>-9734.4</v>
      </c>
      <c r="AK226" s="66" t="n">
        <f aca="false">-AK219*Inputs!$C$39/12*1*(1+Inputs!$C$42)*(1+Inputs!$C$43)^(AK$120-1)</f>
        <v>-9734.4</v>
      </c>
      <c r="AL226" s="66" t="n">
        <f aca="false">-AL219*Inputs!$C$39/12*1*(1+Inputs!$C$42)*(1+Inputs!$C$43)^(AL$120-1)</f>
        <v>-9734.4</v>
      </c>
      <c r="AM226" s="66" t="n">
        <f aca="false">-AM219*Inputs!$C$39/12*1*(1+Inputs!$C$42)*(1+Inputs!$C$43)^(AM$120-1)</f>
        <v>-15185.664</v>
      </c>
      <c r="AN226" s="66" t="n">
        <f aca="false">-AN219*Inputs!$C$39/12*1*(1+Inputs!$C$42)*(1+Inputs!$C$43)^(AN$120-1)</f>
        <v>-15185.664</v>
      </c>
      <c r="AO226" s="66" t="n">
        <f aca="false">-AO219*Inputs!$C$39/12*1*(1+Inputs!$C$42)*(1+Inputs!$C$43)^(AO$120-1)</f>
        <v>-15185.664</v>
      </c>
      <c r="AP226" s="66" t="n">
        <f aca="false">-AP219*Inputs!$C$39/12*1*(1+Inputs!$C$42)*(1+Inputs!$C$43)^(AP$120-1)</f>
        <v>-15185.664</v>
      </c>
      <c r="AQ226" s="66" t="n">
        <f aca="false">-AQ219*Inputs!$C$39/12*1*(1+Inputs!$C$42)*(1+Inputs!$C$43)^(AQ$120-1)</f>
        <v>-15185.664</v>
      </c>
      <c r="AR226" s="66" t="n">
        <f aca="false">-AR219*Inputs!$C$39/12*1*(1+Inputs!$C$42)*(1+Inputs!$C$43)^(AR$120-1)</f>
        <v>-15185.664</v>
      </c>
      <c r="AS226" s="66" t="n">
        <f aca="false">-AS219*Inputs!$C$39/12*1*(1+Inputs!$C$42)*(1+Inputs!$C$43)^(AS$120-1)</f>
        <v>-15185.664</v>
      </c>
      <c r="AT226" s="66" t="n">
        <f aca="false">-AT219*Inputs!$C$39/12*1*(1+Inputs!$C$42)*(1+Inputs!$C$43)^(AT$120-1)</f>
        <v>-15185.664</v>
      </c>
      <c r="AU226" s="66" t="n">
        <f aca="false">-AU219*Inputs!$C$39/12*1*(1+Inputs!$C$42)*(1+Inputs!$C$43)^(AU$120-1)</f>
        <v>-15185.664</v>
      </c>
      <c r="AV226" s="66" t="n">
        <f aca="false">-AV219*Inputs!$C$39/12*1*(1+Inputs!$C$42)*(1+Inputs!$C$43)^(AV$120-1)</f>
        <v>-15185.664</v>
      </c>
      <c r="AW226" s="66" t="n">
        <f aca="false">-AW219*Inputs!$C$39/12*1*(1+Inputs!$C$42)*(1+Inputs!$C$43)^(AW$120-1)</f>
        <v>-15185.664</v>
      </c>
      <c r="AX226" s="66" t="n">
        <f aca="false">-AX219*Inputs!$C$39/12*1*(1+Inputs!$C$42)*(1+Inputs!$C$43)^(AX$120-1)</f>
        <v>-15185.664</v>
      </c>
      <c r="AY226" s="66" t="n">
        <f aca="false">-AY219*Inputs!$C$39/12*1*(1+Inputs!$C$42)*(1+Inputs!$C$43)^(AY$120-1)</f>
        <v>-23689.63584</v>
      </c>
      <c r="AZ226" s="66" t="n">
        <f aca="false">-AZ219*Inputs!$C$39/12*1*(1+Inputs!$C$42)*(1+Inputs!$C$43)^(AZ$120-1)</f>
        <v>-23689.63584</v>
      </c>
      <c r="BA226" s="66" t="n">
        <f aca="false">-BA219*Inputs!$C$39/12*1*(1+Inputs!$C$42)*(1+Inputs!$C$43)^(BA$120-1)</f>
        <v>-23689.63584</v>
      </c>
      <c r="BB226" s="66" t="n">
        <f aca="false">-BB219*Inputs!$C$39/12*1*(1+Inputs!$C$42)*(1+Inputs!$C$43)^(BB$120-1)</f>
        <v>-23689.63584</v>
      </c>
      <c r="BC226" s="66" t="n">
        <f aca="false">-BC219*Inputs!$C$39/12*1*(1+Inputs!$C$42)*(1+Inputs!$C$43)^(BC$120-1)</f>
        <v>-23689.63584</v>
      </c>
      <c r="BD226" s="66" t="n">
        <f aca="false">-BD219*Inputs!$C$39/12*1*(1+Inputs!$C$42)*(1+Inputs!$C$43)^(BD$120-1)</f>
        <v>-23689.63584</v>
      </c>
      <c r="BE226" s="66" t="n">
        <f aca="false">-BE219*Inputs!$C$39/12*1*(1+Inputs!$C$42)*(1+Inputs!$C$43)^(BE$120-1)</f>
        <v>-23689.63584</v>
      </c>
      <c r="BF226" s="66" t="n">
        <f aca="false">-BF219*Inputs!$C$39/12*1*(1+Inputs!$C$42)*(1+Inputs!$C$43)^(BF$120-1)</f>
        <v>-23689.63584</v>
      </c>
      <c r="BG226" s="66" t="n">
        <f aca="false">-BG219*Inputs!$C$39/12*1*(1+Inputs!$C$42)*(1+Inputs!$C$43)^(BG$120-1)</f>
        <v>-23689.63584</v>
      </c>
      <c r="BH226" s="66" t="n">
        <f aca="false">-BH219*Inputs!$C$39/12*1*(1+Inputs!$C$42)*(1+Inputs!$C$43)^(BH$120-1)</f>
        <v>-23689.63584</v>
      </c>
      <c r="BI226" s="66" t="n">
        <f aca="false">-BI219*Inputs!$C$39/12*1*(1+Inputs!$C$42)*(1+Inputs!$C$43)^(BI$120-1)</f>
        <v>-23689.63584</v>
      </c>
      <c r="BJ226" s="66" t="n">
        <f aca="false">-BJ219*Inputs!$C$39/12*1*(1+Inputs!$C$42)*(1+Inputs!$C$43)^(BJ$120-1)</f>
        <v>-23689.63584</v>
      </c>
    </row>
    <row r="227" customFormat="false" ht="15" hidden="false" customHeight="false" outlineLevel="0" collapsed="false">
      <c r="A227" s="111" t="s">
        <v>447</v>
      </c>
      <c r="C227" s="67" t="n">
        <f aca="false">C223+C224+C225+C226</f>
        <v>-61750</v>
      </c>
      <c r="D227" s="67" t="n">
        <f aca="false">D223+D224+D225+D226</f>
        <v>-61750</v>
      </c>
      <c r="E227" s="67" t="n">
        <f aca="false">E223+E224+E225+E226</f>
        <v>-61750</v>
      </c>
      <c r="F227" s="67" t="n">
        <f aca="false">F223+F224+F225+F226</f>
        <v>-61750</v>
      </c>
      <c r="G227" s="67" t="n">
        <f aca="false">G223+G224+G225+G226</f>
        <v>-61750</v>
      </c>
      <c r="H227" s="67" t="n">
        <f aca="false">H223+H224+H225+H226</f>
        <v>-61750</v>
      </c>
      <c r="I227" s="67" t="n">
        <f aca="false">I223+I224+I225+I226</f>
        <v>-61750</v>
      </c>
      <c r="J227" s="67" t="n">
        <f aca="false">J223+J224+J225+J226</f>
        <v>-61750</v>
      </c>
      <c r="K227" s="67" t="n">
        <f aca="false">K223+K224+K225+K226</f>
        <v>-61750</v>
      </c>
      <c r="L227" s="67" t="n">
        <f aca="false">L223+L224+L225+L226</f>
        <v>-61750</v>
      </c>
      <c r="M227" s="67" t="n">
        <f aca="false">M223+M224+M225+M226</f>
        <v>-61750</v>
      </c>
      <c r="N227" s="67" t="n">
        <f aca="false">N223+N224+N225+N226</f>
        <v>-61750</v>
      </c>
      <c r="O227" s="67" t="n">
        <f aca="false">O223+O224+O225+O226</f>
        <v>-96330</v>
      </c>
      <c r="P227" s="67" t="n">
        <f aca="false">P223+P224+P225+P226</f>
        <v>-96330</v>
      </c>
      <c r="Q227" s="67" t="n">
        <f aca="false">Q223+Q224+Q225+Q226</f>
        <v>-96330</v>
      </c>
      <c r="R227" s="67" t="n">
        <f aca="false">R223+R224+R225+R226</f>
        <v>-96330</v>
      </c>
      <c r="S227" s="67" t="n">
        <f aca="false">S223+S224+S225+S226</f>
        <v>-96330</v>
      </c>
      <c r="T227" s="67" t="n">
        <f aca="false">T223+T224+T225+T226</f>
        <v>-96330</v>
      </c>
      <c r="U227" s="67" t="n">
        <f aca="false">U223+U224+U225+U226</f>
        <v>-96330</v>
      </c>
      <c r="V227" s="67" t="n">
        <f aca="false">V223+V224+V225+V226</f>
        <v>-96330</v>
      </c>
      <c r="W227" s="67" t="n">
        <f aca="false">W223+W224+W225+W226</f>
        <v>-96330</v>
      </c>
      <c r="X227" s="67" t="n">
        <f aca="false">X223+X224+X225+X226</f>
        <v>-96330</v>
      </c>
      <c r="Y227" s="67" t="n">
        <f aca="false">Y223+Y224+Y225+Y226</f>
        <v>-96330</v>
      </c>
      <c r="Z227" s="67" t="n">
        <f aca="false">Z223+Z224+Z225+Z226</f>
        <v>-96330</v>
      </c>
      <c r="AA227" s="67" t="n">
        <f aca="false">AA223+AA224+AA225+AA226</f>
        <v>-150274.8</v>
      </c>
      <c r="AB227" s="67" t="n">
        <f aca="false">AB223+AB224+AB225+AB226</f>
        <v>-150274.8</v>
      </c>
      <c r="AC227" s="67" t="n">
        <f aca="false">AC223+AC224+AC225+AC226</f>
        <v>-150274.8</v>
      </c>
      <c r="AD227" s="67" t="n">
        <f aca="false">AD223+AD224+AD225+AD226</f>
        <v>-150274.8</v>
      </c>
      <c r="AE227" s="67" t="n">
        <f aca="false">AE223+AE224+AE225+AE226</f>
        <v>-150274.8</v>
      </c>
      <c r="AF227" s="67" t="n">
        <f aca="false">AF223+AF224+AF225+AF226</f>
        <v>-150274.8</v>
      </c>
      <c r="AG227" s="67" t="n">
        <f aca="false">AG223+AG224+AG225+AG226</f>
        <v>-150274.8</v>
      </c>
      <c r="AH227" s="67" t="n">
        <f aca="false">AH223+AH224+AH225+AH226</f>
        <v>-150274.8</v>
      </c>
      <c r="AI227" s="67" t="n">
        <f aca="false">AI223+AI224+AI225+AI226</f>
        <v>-150274.8</v>
      </c>
      <c r="AJ227" s="67" t="n">
        <f aca="false">AJ223+AJ224+AJ225+AJ226</f>
        <v>-150274.8</v>
      </c>
      <c r="AK227" s="67" t="n">
        <f aca="false">AK223+AK224+AK225+AK226</f>
        <v>-150274.8</v>
      </c>
      <c r="AL227" s="67" t="n">
        <f aca="false">AL223+AL224+AL225+AL226</f>
        <v>-150274.8</v>
      </c>
      <c r="AM227" s="67" t="n">
        <f aca="false">AM223+AM224+AM225+AM226</f>
        <v>-234428.688</v>
      </c>
      <c r="AN227" s="67" t="n">
        <f aca="false">AN223+AN224+AN225+AN226</f>
        <v>-234428.688</v>
      </c>
      <c r="AO227" s="67" t="n">
        <f aca="false">AO223+AO224+AO225+AO226</f>
        <v>-234428.688</v>
      </c>
      <c r="AP227" s="67" t="n">
        <f aca="false">AP223+AP224+AP225+AP226</f>
        <v>-234428.688</v>
      </c>
      <c r="AQ227" s="67" t="n">
        <f aca="false">AQ223+AQ224+AQ225+AQ226</f>
        <v>-234428.688</v>
      </c>
      <c r="AR227" s="67" t="n">
        <f aca="false">AR223+AR224+AR225+AR226</f>
        <v>-234428.688</v>
      </c>
      <c r="AS227" s="67" t="n">
        <f aca="false">AS223+AS224+AS225+AS226</f>
        <v>-234428.688</v>
      </c>
      <c r="AT227" s="67" t="n">
        <f aca="false">AT223+AT224+AT225+AT226</f>
        <v>-234428.688</v>
      </c>
      <c r="AU227" s="67" t="n">
        <f aca="false">AU223+AU224+AU225+AU226</f>
        <v>-234428.688</v>
      </c>
      <c r="AV227" s="67" t="n">
        <f aca="false">AV223+AV224+AV225+AV226</f>
        <v>-234428.688</v>
      </c>
      <c r="AW227" s="67" t="n">
        <f aca="false">AW223+AW224+AW225+AW226</f>
        <v>-234428.688</v>
      </c>
      <c r="AX227" s="67" t="n">
        <f aca="false">AX223+AX224+AX225+AX226</f>
        <v>-234428.688</v>
      </c>
      <c r="AY227" s="67" t="n">
        <f aca="false">AY223+AY224+AY225+AY226</f>
        <v>-365708.75328</v>
      </c>
      <c r="AZ227" s="67" t="n">
        <f aca="false">AZ223+AZ224+AZ225+AZ226</f>
        <v>-365708.75328</v>
      </c>
      <c r="BA227" s="67" t="n">
        <f aca="false">BA223+BA224+BA225+BA226</f>
        <v>-365708.75328</v>
      </c>
      <c r="BB227" s="67" t="n">
        <f aca="false">BB223+BB224+BB225+BB226</f>
        <v>-365708.75328</v>
      </c>
      <c r="BC227" s="67" t="n">
        <f aca="false">BC223+BC224+BC225+BC226</f>
        <v>-365708.75328</v>
      </c>
      <c r="BD227" s="67" t="n">
        <f aca="false">BD223+BD224+BD225+BD226</f>
        <v>-365708.75328</v>
      </c>
      <c r="BE227" s="67" t="n">
        <f aca="false">BE223+BE224+BE225+BE226</f>
        <v>-365708.75328</v>
      </c>
      <c r="BF227" s="67" t="n">
        <f aca="false">BF223+BF224+BF225+BF226</f>
        <v>-365708.75328</v>
      </c>
      <c r="BG227" s="67" t="n">
        <f aca="false">BG223+BG224+BG225+BG226</f>
        <v>-365708.75328</v>
      </c>
      <c r="BH227" s="67" t="n">
        <f aca="false">BH223+BH224+BH225+BH226</f>
        <v>-365708.75328</v>
      </c>
      <c r="BI227" s="67" t="n">
        <f aca="false">BI223+BI224+BI225+BI226</f>
        <v>-365708.75328</v>
      </c>
      <c r="BJ227" s="67" t="n">
        <f aca="false">BJ223+BJ224+BJ225+BJ226</f>
        <v>-365708.75328</v>
      </c>
    </row>
    <row r="230" customFormat="false" ht="15.75" hidden="false" customHeight="true" outlineLevel="0" collapsed="false">
      <c r="A230" s="7" t="s">
        <v>452</v>
      </c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</row>
    <row r="231" customFormat="false" ht="15" hidden="false" customHeight="false" outlineLevel="0" collapsed="false">
      <c r="A231" s="33" t="s">
        <v>332</v>
      </c>
      <c r="C231" s="51" t="s">
        <v>333</v>
      </c>
      <c r="D231" s="51" t="s">
        <v>334</v>
      </c>
      <c r="E231" s="51" t="s">
        <v>335</v>
      </c>
      <c r="F231" s="51" t="s">
        <v>336</v>
      </c>
      <c r="G231" s="51" t="s">
        <v>337</v>
      </c>
      <c r="H231" s="51" t="s">
        <v>338</v>
      </c>
      <c r="I231" s="51" t="s">
        <v>339</v>
      </c>
      <c r="J231" s="51" t="s">
        <v>340</v>
      </c>
      <c r="K231" s="51" t="s">
        <v>341</v>
      </c>
      <c r="L231" s="51" t="s">
        <v>342</v>
      </c>
      <c r="M231" s="51" t="s">
        <v>343</v>
      </c>
      <c r="N231" s="51" t="s">
        <v>344</v>
      </c>
      <c r="O231" s="51" t="s">
        <v>345</v>
      </c>
      <c r="P231" s="51" t="s">
        <v>346</v>
      </c>
      <c r="Q231" s="51" t="s">
        <v>347</v>
      </c>
      <c r="R231" s="51" t="s">
        <v>348</v>
      </c>
      <c r="S231" s="51" t="s">
        <v>349</v>
      </c>
      <c r="T231" s="51" t="s">
        <v>350</v>
      </c>
      <c r="U231" s="51" t="s">
        <v>351</v>
      </c>
      <c r="V231" s="51" t="s">
        <v>352</v>
      </c>
      <c r="W231" s="51" t="s">
        <v>353</v>
      </c>
      <c r="X231" s="51" t="s">
        <v>354</v>
      </c>
      <c r="Y231" s="51" t="s">
        <v>355</v>
      </c>
      <c r="Z231" s="51" t="s">
        <v>356</v>
      </c>
      <c r="AA231" s="51" t="s">
        <v>357</v>
      </c>
      <c r="AB231" s="51" t="s">
        <v>358</v>
      </c>
      <c r="AC231" s="51" t="s">
        <v>359</v>
      </c>
      <c r="AD231" s="51" t="s">
        <v>360</v>
      </c>
      <c r="AE231" s="51" t="s">
        <v>361</v>
      </c>
      <c r="AF231" s="51" t="s">
        <v>362</v>
      </c>
      <c r="AG231" s="51" t="s">
        <v>363</v>
      </c>
      <c r="AH231" s="51" t="s">
        <v>364</v>
      </c>
      <c r="AI231" s="51" t="s">
        <v>365</v>
      </c>
      <c r="AJ231" s="51" t="s">
        <v>366</v>
      </c>
      <c r="AK231" s="51" t="s">
        <v>367</v>
      </c>
      <c r="AL231" s="51" t="s">
        <v>368</v>
      </c>
      <c r="AM231" s="51" t="s">
        <v>369</v>
      </c>
      <c r="AN231" s="51" t="s">
        <v>370</v>
      </c>
      <c r="AO231" s="51" t="s">
        <v>371</v>
      </c>
      <c r="AP231" s="51" t="s">
        <v>372</v>
      </c>
      <c r="AQ231" s="51" t="s">
        <v>373</v>
      </c>
      <c r="AR231" s="51" t="s">
        <v>374</v>
      </c>
      <c r="AS231" s="51" t="s">
        <v>375</v>
      </c>
      <c r="AT231" s="51" t="s">
        <v>376</v>
      </c>
      <c r="AU231" s="51" t="s">
        <v>377</v>
      </c>
      <c r="AV231" s="51" t="s">
        <v>378</v>
      </c>
      <c r="AW231" s="51" t="s">
        <v>379</v>
      </c>
      <c r="AX231" s="51" t="s">
        <v>380</v>
      </c>
      <c r="AY231" s="51" t="s">
        <v>381</v>
      </c>
      <c r="AZ231" s="51" t="s">
        <v>382</v>
      </c>
      <c r="BA231" s="51" t="s">
        <v>383</v>
      </c>
      <c r="BB231" s="51" t="s">
        <v>384</v>
      </c>
      <c r="BC231" s="51" t="s">
        <v>385</v>
      </c>
      <c r="BD231" s="51" t="s">
        <v>386</v>
      </c>
      <c r="BE231" s="51" t="s">
        <v>387</v>
      </c>
      <c r="BF231" s="51" t="s">
        <v>388</v>
      </c>
      <c r="BG231" s="51" t="s">
        <v>389</v>
      </c>
      <c r="BH231" s="51" t="s">
        <v>390</v>
      </c>
      <c r="BI231" s="51" t="s">
        <v>391</v>
      </c>
      <c r="BJ231" s="51" t="s">
        <v>392</v>
      </c>
    </row>
    <row r="232" customFormat="false" ht="15" hidden="false" customHeight="false" outlineLevel="0" collapsed="false">
      <c r="A232" s="71" t="s">
        <v>393</v>
      </c>
      <c r="C232" s="71" t="n">
        <v>1</v>
      </c>
      <c r="D232" s="71" t="n">
        <v>2</v>
      </c>
      <c r="E232" s="71" t="n">
        <v>3</v>
      </c>
      <c r="F232" s="71" t="n">
        <v>4</v>
      </c>
      <c r="G232" s="71" t="n">
        <v>5</v>
      </c>
      <c r="H232" s="71" t="n">
        <v>6</v>
      </c>
      <c r="I232" s="71" t="n">
        <v>7</v>
      </c>
      <c r="J232" s="71" t="n">
        <v>8</v>
      </c>
      <c r="K232" s="71" t="n">
        <v>9</v>
      </c>
      <c r="L232" s="71" t="n">
        <v>10</v>
      </c>
      <c r="M232" s="71" t="n">
        <v>11</v>
      </c>
      <c r="N232" s="71" t="n">
        <v>12</v>
      </c>
      <c r="O232" s="71" t="n">
        <v>13</v>
      </c>
      <c r="P232" s="71" t="n">
        <v>14</v>
      </c>
      <c r="Q232" s="71" t="n">
        <v>15</v>
      </c>
      <c r="R232" s="71" t="n">
        <v>16</v>
      </c>
      <c r="S232" s="71" t="n">
        <v>17</v>
      </c>
      <c r="T232" s="71" t="n">
        <v>18</v>
      </c>
      <c r="U232" s="71" t="n">
        <v>19</v>
      </c>
      <c r="V232" s="71" t="n">
        <v>20</v>
      </c>
      <c r="W232" s="71" t="n">
        <v>21</v>
      </c>
      <c r="X232" s="71" t="n">
        <v>22</v>
      </c>
      <c r="Y232" s="71" t="n">
        <v>23</v>
      </c>
      <c r="Z232" s="71" t="n">
        <v>24</v>
      </c>
      <c r="AA232" s="71" t="n">
        <v>25</v>
      </c>
      <c r="AB232" s="71" t="n">
        <v>26</v>
      </c>
      <c r="AC232" s="71" t="n">
        <v>27</v>
      </c>
      <c r="AD232" s="71" t="n">
        <v>28</v>
      </c>
      <c r="AE232" s="71" t="n">
        <v>29</v>
      </c>
      <c r="AF232" s="71" t="n">
        <v>30</v>
      </c>
      <c r="AG232" s="71" t="n">
        <v>31</v>
      </c>
      <c r="AH232" s="71" t="n">
        <v>32</v>
      </c>
      <c r="AI232" s="71" t="n">
        <v>33</v>
      </c>
      <c r="AJ232" s="71" t="n">
        <v>34</v>
      </c>
      <c r="AK232" s="71" t="n">
        <v>35</v>
      </c>
      <c r="AL232" s="71" t="n">
        <v>36</v>
      </c>
      <c r="AM232" s="71" t="n">
        <v>37</v>
      </c>
      <c r="AN232" s="71" t="n">
        <v>38</v>
      </c>
      <c r="AO232" s="71" t="n">
        <v>39</v>
      </c>
      <c r="AP232" s="71" t="n">
        <v>40</v>
      </c>
      <c r="AQ232" s="71" t="n">
        <v>41</v>
      </c>
      <c r="AR232" s="71" t="n">
        <v>42</v>
      </c>
      <c r="AS232" s="71" t="n">
        <v>43</v>
      </c>
      <c r="AT232" s="71" t="n">
        <v>44</v>
      </c>
      <c r="AU232" s="71" t="n">
        <v>45</v>
      </c>
      <c r="AV232" s="71" t="n">
        <v>46</v>
      </c>
      <c r="AW232" s="71" t="n">
        <v>47</v>
      </c>
      <c r="AX232" s="71" t="n">
        <v>48</v>
      </c>
      <c r="AY232" s="71" t="n">
        <v>49</v>
      </c>
      <c r="AZ232" s="71" t="n">
        <v>50</v>
      </c>
      <c r="BA232" s="71" t="n">
        <v>51</v>
      </c>
      <c r="BB232" s="71" t="n">
        <v>52</v>
      </c>
      <c r="BC232" s="71" t="n">
        <v>53</v>
      </c>
      <c r="BD232" s="71" t="n">
        <v>54</v>
      </c>
      <c r="BE232" s="71" t="n">
        <v>55</v>
      </c>
      <c r="BF232" s="71" t="n">
        <v>56</v>
      </c>
      <c r="BG232" s="71" t="n">
        <v>57</v>
      </c>
      <c r="BH232" s="71" t="n">
        <v>58</v>
      </c>
      <c r="BI232" s="71" t="n">
        <v>59</v>
      </c>
      <c r="BJ232" s="71" t="n">
        <v>60</v>
      </c>
    </row>
    <row r="233" customFormat="false" ht="15" hidden="false" customHeight="false" outlineLevel="0" collapsed="false">
      <c r="A233" s="71" t="s">
        <v>154</v>
      </c>
      <c r="C233" s="71" t="n">
        <f aca="false">ROUNDUP(C232*1/12,0)</f>
        <v>1</v>
      </c>
      <c r="D233" s="71" t="n">
        <f aca="false">ROUNDUP(D232*1/12,0)</f>
        <v>1</v>
      </c>
      <c r="E233" s="71" t="n">
        <f aca="false">ROUNDUP(E232*1/12,0)</f>
        <v>1</v>
      </c>
      <c r="F233" s="71" t="n">
        <f aca="false">ROUNDUP(F232*1/12,0)</f>
        <v>1</v>
      </c>
      <c r="G233" s="71" t="n">
        <f aca="false">ROUNDUP(G232*1/12,0)</f>
        <v>1</v>
      </c>
      <c r="H233" s="71" t="n">
        <f aca="false">ROUNDUP(H232*1/12,0)</f>
        <v>1</v>
      </c>
      <c r="I233" s="71" t="n">
        <f aca="false">ROUNDUP(I232*1/12,0)</f>
        <v>1</v>
      </c>
      <c r="J233" s="71" t="n">
        <f aca="false">ROUNDUP(J232*1/12,0)</f>
        <v>1</v>
      </c>
      <c r="K233" s="71" t="n">
        <f aca="false">ROUNDUP(K232*1/12,0)</f>
        <v>1</v>
      </c>
      <c r="L233" s="71" t="n">
        <f aca="false">ROUNDUP(L232*1/12,0)</f>
        <v>1</v>
      </c>
      <c r="M233" s="71" t="n">
        <f aca="false">ROUNDUP(M232*1/12,0)</f>
        <v>1</v>
      </c>
      <c r="N233" s="71" t="n">
        <f aca="false">ROUNDUP(N232*1/12,0)</f>
        <v>1</v>
      </c>
      <c r="O233" s="71" t="n">
        <f aca="false">ROUNDUP(O232*1/12,0)</f>
        <v>2</v>
      </c>
      <c r="P233" s="71" t="n">
        <f aca="false">ROUNDUP(P232*1/12,0)</f>
        <v>2</v>
      </c>
      <c r="Q233" s="71" t="n">
        <f aca="false">ROUNDUP(Q232*1/12,0)</f>
        <v>2</v>
      </c>
      <c r="R233" s="71" t="n">
        <f aca="false">ROUNDUP(R232*1/12,0)</f>
        <v>2</v>
      </c>
      <c r="S233" s="71" t="n">
        <f aca="false">ROUNDUP(S232*1/12,0)</f>
        <v>2</v>
      </c>
      <c r="T233" s="71" t="n">
        <f aca="false">ROUNDUP(T232*1/12,0)</f>
        <v>2</v>
      </c>
      <c r="U233" s="71" t="n">
        <f aca="false">ROUNDUP(U232*1/12,0)</f>
        <v>2</v>
      </c>
      <c r="V233" s="71" t="n">
        <f aca="false">ROUNDUP(V232*1/12,0)</f>
        <v>2</v>
      </c>
      <c r="W233" s="71" t="n">
        <f aca="false">ROUNDUP(W232*1/12,0)</f>
        <v>2</v>
      </c>
      <c r="X233" s="71" t="n">
        <f aca="false">ROUNDUP(X232*1/12,0)</f>
        <v>2</v>
      </c>
      <c r="Y233" s="71" t="n">
        <f aca="false">ROUNDUP(Y232*1/12,0)</f>
        <v>2</v>
      </c>
      <c r="Z233" s="71" t="n">
        <f aca="false">ROUNDUP(Z232*1/12,0)</f>
        <v>2</v>
      </c>
      <c r="AA233" s="71" t="n">
        <f aca="false">ROUNDUP(AA232*1/12,0)</f>
        <v>3</v>
      </c>
      <c r="AB233" s="71" t="n">
        <f aca="false">ROUNDUP(AB232*1/12,0)</f>
        <v>3</v>
      </c>
      <c r="AC233" s="71" t="n">
        <f aca="false">ROUNDUP(AC232*1/12,0)</f>
        <v>3</v>
      </c>
      <c r="AD233" s="71" t="n">
        <f aca="false">ROUNDUP(AD232*1/12,0)</f>
        <v>3</v>
      </c>
      <c r="AE233" s="71" t="n">
        <f aca="false">ROUNDUP(AE232*1/12,0)</f>
        <v>3</v>
      </c>
      <c r="AF233" s="71" t="n">
        <f aca="false">ROUNDUP(AF232*1/12,0)</f>
        <v>3</v>
      </c>
      <c r="AG233" s="71" t="n">
        <f aca="false">ROUNDUP(AG232*1/12,0)</f>
        <v>3</v>
      </c>
      <c r="AH233" s="71" t="n">
        <f aca="false">ROUNDUP(AH232*1/12,0)</f>
        <v>3</v>
      </c>
      <c r="AI233" s="71" t="n">
        <f aca="false">ROUNDUP(AI232*1/12,0)</f>
        <v>3</v>
      </c>
      <c r="AJ233" s="71" t="n">
        <f aca="false">ROUNDUP(AJ232*1/12,0)</f>
        <v>3</v>
      </c>
      <c r="AK233" s="71" t="n">
        <f aca="false">ROUNDUP(AK232*1/12,0)</f>
        <v>3</v>
      </c>
      <c r="AL233" s="71" t="n">
        <f aca="false">ROUNDUP(AL232*1/12,0)</f>
        <v>3</v>
      </c>
      <c r="AM233" s="71" t="n">
        <f aca="false">ROUNDUP(AM232*1/12,0)</f>
        <v>4</v>
      </c>
      <c r="AN233" s="71" t="n">
        <f aca="false">ROUNDUP(AN232*1/12,0)</f>
        <v>4</v>
      </c>
      <c r="AO233" s="71" t="n">
        <f aca="false">ROUNDUP(AO232*1/12,0)</f>
        <v>4</v>
      </c>
      <c r="AP233" s="71" t="n">
        <f aca="false">ROUNDUP(AP232*1/12,0)</f>
        <v>4</v>
      </c>
      <c r="AQ233" s="71" t="n">
        <f aca="false">ROUNDUP(AQ232*1/12,0)</f>
        <v>4</v>
      </c>
      <c r="AR233" s="71" t="n">
        <f aca="false">ROUNDUP(AR232*1/12,0)</f>
        <v>4</v>
      </c>
      <c r="AS233" s="71" t="n">
        <f aca="false">ROUNDUP(AS232*1/12,0)</f>
        <v>4</v>
      </c>
      <c r="AT233" s="71" t="n">
        <f aca="false">ROUNDUP(AT232*1/12,0)</f>
        <v>4</v>
      </c>
      <c r="AU233" s="71" t="n">
        <f aca="false">ROUNDUP(AU232*1/12,0)</f>
        <v>4</v>
      </c>
      <c r="AV233" s="71" t="n">
        <f aca="false">ROUNDUP(AV232*1/12,0)</f>
        <v>4</v>
      </c>
      <c r="AW233" s="71" t="n">
        <f aca="false">ROUNDUP(AW232*1/12,0)</f>
        <v>4</v>
      </c>
      <c r="AX233" s="71" t="n">
        <f aca="false">ROUNDUP(AX232*1/12,0)</f>
        <v>4</v>
      </c>
      <c r="AY233" s="71" t="n">
        <f aca="false">ROUNDUP(AY232*1/12,0)</f>
        <v>5</v>
      </c>
      <c r="AZ233" s="71" t="n">
        <f aca="false">ROUNDUP(AZ232*1/12,0)</f>
        <v>5</v>
      </c>
      <c r="BA233" s="71" t="n">
        <f aca="false">ROUNDUP(BA232*1/12,0)</f>
        <v>5</v>
      </c>
      <c r="BB233" s="71" t="n">
        <f aca="false">ROUNDUP(BB232*1/12,0)</f>
        <v>5</v>
      </c>
      <c r="BC233" s="71" t="n">
        <f aca="false">ROUNDUP(BC232*1/12,0)</f>
        <v>5</v>
      </c>
      <c r="BD233" s="71" t="n">
        <f aca="false">ROUNDUP(BD232*1/12,0)</f>
        <v>5</v>
      </c>
      <c r="BE233" s="71" t="n">
        <f aca="false">ROUNDUP(BE232*1/12,0)</f>
        <v>5</v>
      </c>
      <c r="BF233" s="71" t="n">
        <f aca="false">ROUNDUP(BF232*1/12,0)</f>
        <v>5</v>
      </c>
      <c r="BG233" s="71" t="n">
        <f aca="false">ROUNDUP(BG232*1/12,0)</f>
        <v>5</v>
      </c>
      <c r="BH233" s="71" t="n">
        <f aca="false">ROUNDUP(BH232*1/12,0)</f>
        <v>5</v>
      </c>
      <c r="BI233" s="71" t="n">
        <f aca="false">ROUNDUP(BI232*1/12,0)</f>
        <v>5</v>
      </c>
      <c r="BJ233" s="71" t="n">
        <f aca="false">ROUNDUP(BJ232*1/12,0)</f>
        <v>5</v>
      </c>
    </row>
    <row r="235" customFormat="false" ht="15.75" hidden="false" customHeight="true" outlineLevel="0" collapsed="false">
      <c r="A235" s="7" t="s">
        <v>394</v>
      </c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</row>
    <row r="236" customFormat="false" ht="15" hidden="false" customHeight="false" outlineLevel="0" collapsed="false">
      <c r="A236" s="6" t="s">
        <v>395</v>
      </c>
      <c r="C236" s="114" t="n">
        <f aca="false">Inputs!$D$12*(1+Inputs!$D$13)^(C$233-1)*1</f>
        <v>18</v>
      </c>
      <c r="D236" s="114" t="n">
        <f aca="false">Inputs!$D$12*(1+Inputs!$D$13)^(D$233-1)*1</f>
        <v>18</v>
      </c>
      <c r="E236" s="114" t="n">
        <f aca="false">Inputs!$D$12*(1+Inputs!$D$13)^(E$233-1)*1</f>
        <v>18</v>
      </c>
      <c r="F236" s="114" t="n">
        <f aca="false">Inputs!$D$12*(1+Inputs!$D$13)^(F$233-1)*1</f>
        <v>18</v>
      </c>
      <c r="G236" s="114" t="n">
        <f aca="false">Inputs!$D$12*(1+Inputs!$D$13)^(G$233-1)*1</f>
        <v>18</v>
      </c>
      <c r="H236" s="114" t="n">
        <f aca="false">Inputs!$D$12*(1+Inputs!$D$13)^(H$233-1)*1</f>
        <v>18</v>
      </c>
      <c r="I236" s="114" t="n">
        <f aca="false">Inputs!$D$12*(1+Inputs!$D$13)^(I$233-1)*1</f>
        <v>18</v>
      </c>
      <c r="J236" s="114" t="n">
        <f aca="false">Inputs!$D$12*(1+Inputs!$D$13)^(J$233-1)*1</f>
        <v>18</v>
      </c>
      <c r="K236" s="114" t="n">
        <f aca="false">Inputs!$D$12*(1+Inputs!$D$13)^(K$233-1)*1</f>
        <v>18</v>
      </c>
      <c r="L236" s="114" t="n">
        <f aca="false">Inputs!$D$12*(1+Inputs!$D$13)^(L$233-1)*1</f>
        <v>18</v>
      </c>
      <c r="M236" s="114" t="n">
        <f aca="false">Inputs!$D$12*(1+Inputs!$D$13)^(M$233-1)*1</f>
        <v>18</v>
      </c>
      <c r="N236" s="114" t="n">
        <f aca="false">Inputs!$D$12*(1+Inputs!$D$13)^(N$233-1)*1</f>
        <v>18</v>
      </c>
      <c r="O236" s="114" t="n">
        <f aca="false">Inputs!$D$12*(1+Inputs!$D$13)^(O$233-1)*1</f>
        <v>27</v>
      </c>
      <c r="P236" s="114" t="n">
        <f aca="false">Inputs!$D$12*(1+Inputs!$D$13)^(P$233-1)*1</f>
        <v>27</v>
      </c>
      <c r="Q236" s="114" t="n">
        <f aca="false">Inputs!$D$12*(1+Inputs!$D$13)^(Q$233-1)*1</f>
        <v>27</v>
      </c>
      <c r="R236" s="114" t="n">
        <f aca="false">Inputs!$D$12*(1+Inputs!$D$13)^(R$233-1)*1</f>
        <v>27</v>
      </c>
      <c r="S236" s="114" t="n">
        <f aca="false">Inputs!$D$12*(1+Inputs!$D$13)^(S$233-1)*1</f>
        <v>27</v>
      </c>
      <c r="T236" s="114" t="n">
        <f aca="false">Inputs!$D$12*(1+Inputs!$D$13)^(T$233-1)*1</f>
        <v>27</v>
      </c>
      <c r="U236" s="114" t="n">
        <f aca="false">Inputs!$D$12*(1+Inputs!$D$13)^(U$233-1)*1</f>
        <v>27</v>
      </c>
      <c r="V236" s="114" t="n">
        <f aca="false">Inputs!$D$12*(1+Inputs!$D$13)^(V$233-1)*1</f>
        <v>27</v>
      </c>
      <c r="W236" s="114" t="n">
        <f aca="false">Inputs!$D$12*(1+Inputs!$D$13)^(W$233-1)*1</f>
        <v>27</v>
      </c>
      <c r="X236" s="114" t="n">
        <f aca="false">Inputs!$D$12*(1+Inputs!$D$13)^(X$233-1)*1</f>
        <v>27</v>
      </c>
      <c r="Y236" s="114" t="n">
        <f aca="false">Inputs!$D$12*(1+Inputs!$D$13)^(Y$233-1)*1</f>
        <v>27</v>
      </c>
      <c r="Z236" s="114" t="n">
        <f aca="false">Inputs!$D$12*(1+Inputs!$D$13)^(Z$233-1)*1</f>
        <v>27</v>
      </c>
      <c r="AA236" s="114" t="n">
        <f aca="false">Inputs!$D$12*(1+Inputs!$D$13)^(AA$233-1)*1</f>
        <v>40.5</v>
      </c>
      <c r="AB236" s="114" t="n">
        <f aca="false">Inputs!$D$12*(1+Inputs!$D$13)^(AB$233-1)*1</f>
        <v>40.5</v>
      </c>
      <c r="AC236" s="114" t="n">
        <f aca="false">Inputs!$D$12*(1+Inputs!$D$13)^(AC$233-1)*1</f>
        <v>40.5</v>
      </c>
      <c r="AD236" s="114" t="n">
        <f aca="false">Inputs!$D$12*(1+Inputs!$D$13)^(AD$233-1)*1</f>
        <v>40.5</v>
      </c>
      <c r="AE236" s="114" t="n">
        <f aca="false">Inputs!$D$12*(1+Inputs!$D$13)^(AE$233-1)*1</f>
        <v>40.5</v>
      </c>
      <c r="AF236" s="114" t="n">
        <f aca="false">Inputs!$D$12*(1+Inputs!$D$13)^(AF$233-1)*1</f>
        <v>40.5</v>
      </c>
      <c r="AG236" s="114" t="n">
        <f aca="false">Inputs!$D$12*(1+Inputs!$D$13)^(AG$233-1)*1</f>
        <v>40.5</v>
      </c>
      <c r="AH236" s="114" t="n">
        <f aca="false">Inputs!$D$12*(1+Inputs!$D$13)^(AH$233-1)*1</f>
        <v>40.5</v>
      </c>
      <c r="AI236" s="114" t="n">
        <f aca="false">Inputs!$D$12*(1+Inputs!$D$13)^(AI$233-1)*1</f>
        <v>40.5</v>
      </c>
      <c r="AJ236" s="114" t="n">
        <f aca="false">Inputs!$D$12*(1+Inputs!$D$13)^(AJ$233-1)*1</f>
        <v>40.5</v>
      </c>
      <c r="AK236" s="114" t="n">
        <f aca="false">Inputs!$D$12*(1+Inputs!$D$13)^(AK$233-1)*1</f>
        <v>40.5</v>
      </c>
      <c r="AL236" s="114" t="n">
        <f aca="false">Inputs!$D$12*(1+Inputs!$D$13)^(AL$233-1)*1</f>
        <v>40.5</v>
      </c>
      <c r="AM236" s="114" t="n">
        <f aca="false">Inputs!$D$12*(1+Inputs!$D$13)^(AM$233-1)*1</f>
        <v>60.75</v>
      </c>
      <c r="AN236" s="114" t="n">
        <f aca="false">Inputs!$D$12*(1+Inputs!$D$13)^(AN$233-1)*1</f>
        <v>60.75</v>
      </c>
      <c r="AO236" s="114" t="n">
        <f aca="false">Inputs!$D$12*(1+Inputs!$D$13)^(AO$233-1)*1</f>
        <v>60.75</v>
      </c>
      <c r="AP236" s="114" t="n">
        <f aca="false">Inputs!$D$12*(1+Inputs!$D$13)^(AP$233-1)*1</f>
        <v>60.75</v>
      </c>
      <c r="AQ236" s="114" t="n">
        <f aca="false">Inputs!$D$12*(1+Inputs!$D$13)^(AQ$233-1)*1</f>
        <v>60.75</v>
      </c>
      <c r="AR236" s="114" t="n">
        <f aca="false">Inputs!$D$12*(1+Inputs!$D$13)^(AR$233-1)*1</f>
        <v>60.75</v>
      </c>
      <c r="AS236" s="114" t="n">
        <f aca="false">Inputs!$D$12*(1+Inputs!$D$13)^(AS$233-1)*1</f>
        <v>60.75</v>
      </c>
      <c r="AT236" s="114" t="n">
        <f aca="false">Inputs!$D$12*(1+Inputs!$D$13)^(AT$233-1)*1</f>
        <v>60.75</v>
      </c>
      <c r="AU236" s="114" t="n">
        <f aca="false">Inputs!$D$12*(1+Inputs!$D$13)^(AU$233-1)*1</f>
        <v>60.75</v>
      </c>
      <c r="AV236" s="114" t="n">
        <f aca="false">Inputs!$D$12*(1+Inputs!$D$13)^(AV$233-1)*1</f>
        <v>60.75</v>
      </c>
      <c r="AW236" s="114" t="n">
        <f aca="false">Inputs!$D$12*(1+Inputs!$D$13)^(AW$233-1)*1</f>
        <v>60.75</v>
      </c>
      <c r="AX236" s="114" t="n">
        <f aca="false">Inputs!$D$12*(1+Inputs!$D$13)^(AX$233-1)*1</f>
        <v>60.75</v>
      </c>
      <c r="AY236" s="114" t="n">
        <f aca="false">Inputs!$D$12*(1+Inputs!$D$13)^(AY$233-1)*1</f>
        <v>91.125</v>
      </c>
      <c r="AZ236" s="114" t="n">
        <f aca="false">Inputs!$D$12*(1+Inputs!$D$13)^(AZ$233-1)*1</f>
        <v>91.125</v>
      </c>
      <c r="BA236" s="114" t="n">
        <f aca="false">Inputs!$D$12*(1+Inputs!$D$13)^(BA$233-1)*1</f>
        <v>91.125</v>
      </c>
      <c r="BB236" s="114" t="n">
        <f aca="false">Inputs!$D$12*(1+Inputs!$D$13)^(BB$233-1)*1</f>
        <v>91.125</v>
      </c>
      <c r="BC236" s="114" t="n">
        <f aca="false">Inputs!$D$12*(1+Inputs!$D$13)^(BC$233-1)*1</f>
        <v>91.125</v>
      </c>
      <c r="BD236" s="114" t="n">
        <f aca="false">Inputs!$D$12*(1+Inputs!$D$13)^(BD$233-1)*1</f>
        <v>91.125</v>
      </c>
      <c r="BE236" s="114" t="n">
        <f aca="false">Inputs!$D$12*(1+Inputs!$D$13)^(BE$233-1)*1</f>
        <v>91.125</v>
      </c>
      <c r="BF236" s="114" t="n">
        <f aca="false">Inputs!$D$12*(1+Inputs!$D$13)^(BF$233-1)*1</f>
        <v>91.125</v>
      </c>
      <c r="BG236" s="114" t="n">
        <f aca="false">Inputs!$D$12*(1+Inputs!$D$13)^(BG$233-1)*1</f>
        <v>91.125</v>
      </c>
      <c r="BH236" s="114" t="n">
        <f aca="false">Inputs!$D$12*(1+Inputs!$D$13)^(BH$233-1)*1</f>
        <v>91.125</v>
      </c>
      <c r="BI236" s="114" t="n">
        <f aca="false">Inputs!$D$12*(1+Inputs!$D$13)^(BI$233-1)*1</f>
        <v>91.125</v>
      </c>
      <c r="BJ236" s="114" t="n">
        <f aca="false">Inputs!$D$12*(1+Inputs!$D$13)^(BJ$233-1)*1</f>
        <v>91.125</v>
      </c>
    </row>
    <row r="237" customFormat="false" ht="15" hidden="false" customHeight="false" outlineLevel="0" collapsed="false">
      <c r="A237" s="6" t="s">
        <v>396</v>
      </c>
      <c r="C237" s="114" t="n">
        <f aca="false">-C258/MAX(1,Inputs!$D$16)</f>
        <v>22.8571428571429</v>
      </c>
      <c r="D237" s="114" t="n">
        <f aca="false">-D258/MAX(1,Inputs!$D$16)</f>
        <v>22.8571428571429</v>
      </c>
      <c r="E237" s="114" t="n">
        <f aca="false">-E258/MAX(1,Inputs!$D$16)</f>
        <v>22.8571428571429</v>
      </c>
      <c r="F237" s="114" t="n">
        <f aca="false">-F258/MAX(1,Inputs!$D$16)</f>
        <v>22.8571428571429</v>
      </c>
      <c r="G237" s="114" t="n">
        <f aca="false">-G258/MAX(1,Inputs!$D$16)</f>
        <v>22.8571428571429</v>
      </c>
      <c r="H237" s="114" t="n">
        <f aca="false">-H258/MAX(1,Inputs!$D$16)</f>
        <v>22.8571428571429</v>
      </c>
      <c r="I237" s="114" t="n">
        <f aca="false">-I258/MAX(1,Inputs!$D$16)</f>
        <v>22.8571428571429</v>
      </c>
      <c r="J237" s="114" t="n">
        <f aca="false">-J258/MAX(1,Inputs!$D$16)</f>
        <v>22.8571428571429</v>
      </c>
      <c r="K237" s="114" t="n">
        <f aca="false">-K258/MAX(1,Inputs!$D$16)</f>
        <v>22.8571428571429</v>
      </c>
      <c r="L237" s="114" t="n">
        <f aca="false">-L258/MAX(1,Inputs!$D$16)</f>
        <v>22.8571428571429</v>
      </c>
      <c r="M237" s="114" t="n">
        <f aca="false">-M258/MAX(1,Inputs!$D$16)</f>
        <v>22.8571428571429</v>
      </c>
      <c r="N237" s="114" t="n">
        <f aca="false">-N258/MAX(1,Inputs!$D$16)</f>
        <v>22.8571428571429</v>
      </c>
      <c r="O237" s="114" t="n">
        <f aca="false">-O258/MAX(1,Inputs!$D$16)</f>
        <v>27.4285714285714</v>
      </c>
      <c r="P237" s="114" t="n">
        <f aca="false">-P258/MAX(1,Inputs!$D$16)</f>
        <v>27.4285714285714</v>
      </c>
      <c r="Q237" s="114" t="n">
        <f aca="false">-Q258/MAX(1,Inputs!$D$16)</f>
        <v>27.4285714285714</v>
      </c>
      <c r="R237" s="114" t="n">
        <f aca="false">-R258/MAX(1,Inputs!$D$16)</f>
        <v>27.4285714285714</v>
      </c>
      <c r="S237" s="114" t="n">
        <f aca="false">-S258/MAX(1,Inputs!$D$16)</f>
        <v>27.4285714285714</v>
      </c>
      <c r="T237" s="114" t="n">
        <f aca="false">-T258/MAX(1,Inputs!$D$16)</f>
        <v>27.4285714285714</v>
      </c>
      <c r="U237" s="114" t="n">
        <f aca="false">-U258/MAX(1,Inputs!$D$16)</f>
        <v>27.4285714285714</v>
      </c>
      <c r="V237" s="114" t="n">
        <f aca="false">-V258/MAX(1,Inputs!$D$16)</f>
        <v>27.4285714285714</v>
      </c>
      <c r="W237" s="114" t="n">
        <f aca="false">-W258/MAX(1,Inputs!$D$16)</f>
        <v>27.4285714285714</v>
      </c>
      <c r="X237" s="114" t="n">
        <f aca="false">-X258/MAX(1,Inputs!$D$16)</f>
        <v>27.4285714285714</v>
      </c>
      <c r="Y237" s="114" t="n">
        <f aca="false">-Y258/MAX(1,Inputs!$D$16)</f>
        <v>27.4285714285714</v>
      </c>
      <c r="Z237" s="114" t="n">
        <f aca="false">-Z258/MAX(1,Inputs!$D$16)</f>
        <v>27.4285714285714</v>
      </c>
      <c r="AA237" s="114" t="n">
        <f aca="false">-AA258/MAX(1,Inputs!$D$16)</f>
        <v>32.9142857142857</v>
      </c>
      <c r="AB237" s="114" t="n">
        <f aca="false">-AB258/MAX(1,Inputs!$D$16)</f>
        <v>32.9142857142857</v>
      </c>
      <c r="AC237" s="114" t="n">
        <f aca="false">-AC258/MAX(1,Inputs!$D$16)</f>
        <v>32.9142857142857</v>
      </c>
      <c r="AD237" s="114" t="n">
        <f aca="false">-AD258/MAX(1,Inputs!$D$16)</f>
        <v>32.9142857142857</v>
      </c>
      <c r="AE237" s="114" t="n">
        <f aca="false">-AE258/MAX(1,Inputs!$D$16)</f>
        <v>32.9142857142857</v>
      </c>
      <c r="AF237" s="114" t="n">
        <f aca="false">-AF258/MAX(1,Inputs!$D$16)</f>
        <v>32.9142857142857</v>
      </c>
      <c r="AG237" s="114" t="n">
        <f aca="false">-AG258/MAX(1,Inputs!$D$16)</f>
        <v>32.9142857142857</v>
      </c>
      <c r="AH237" s="114" t="n">
        <f aca="false">-AH258/MAX(1,Inputs!$D$16)</f>
        <v>32.9142857142857</v>
      </c>
      <c r="AI237" s="114" t="n">
        <f aca="false">-AI258/MAX(1,Inputs!$D$16)</f>
        <v>32.9142857142857</v>
      </c>
      <c r="AJ237" s="114" t="n">
        <f aca="false">-AJ258/MAX(1,Inputs!$D$16)</f>
        <v>32.9142857142857</v>
      </c>
      <c r="AK237" s="114" t="n">
        <f aca="false">-AK258/MAX(1,Inputs!$D$16)</f>
        <v>32.9142857142857</v>
      </c>
      <c r="AL237" s="114" t="n">
        <f aca="false">-AL258/MAX(1,Inputs!$D$16)</f>
        <v>32.9142857142857</v>
      </c>
      <c r="AM237" s="114" t="n">
        <f aca="false">-AM258/MAX(1,Inputs!$D$16)</f>
        <v>39.4971428571429</v>
      </c>
      <c r="AN237" s="114" t="n">
        <f aca="false">-AN258/MAX(1,Inputs!$D$16)</f>
        <v>39.4971428571429</v>
      </c>
      <c r="AO237" s="114" t="n">
        <f aca="false">-AO258/MAX(1,Inputs!$D$16)</f>
        <v>39.4971428571429</v>
      </c>
      <c r="AP237" s="114" t="n">
        <f aca="false">-AP258/MAX(1,Inputs!$D$16)</f>
        <v>39.4971428571429</v>
      </c>
      <c r="AQ237" s="114" t="n">
        <f aca="false">-AQ258/MAX(1,Inputs!$D$16)</f>
        <v>39.4971428571429</v>
      </c>
      <c r="AR237" s="114" t="n">
        <f aca="false">-AR258/MAX(1,Inputs!$D$16)</f>
        <v>39.4971428571429</v>
      </c>
      <c r="AS237" s="114" t="n">
        <f aca="false">-AS258/MAX(1,Inputs!$D$16)</f>
        <v>39.4971428571429</v>
      </c>
      <c r="AT237" s="114" t="n">
        <f aca="false">-AT258/MAX(1,Inputs!$D$16)</f>
        <v>39.4971428571429</v>
      </c>
      <c r="AU237" s="114" t="n">
        <f aca="false">-AU258/MAX(1,Inputs!$D$16)</f>
        <v>39.4971428571429</v>
      </c>
      <c r="AV237" s="114" t="n">
        <f aca="false">-AV258/MAX(1,Inputs!$D$16)</f>
        <v>39.4971428571429</v>
      </c>
      <c r="AW237" s="114" t="n">
        <f aca="false">-AW258/MAX(1,Inputs!$D$16)</f>
        <v>39.4971428571429</v>
      </c>
      <c r="AX237" s="114" t="n">
        <f aca="false">-AX258/MAX(1,Inputs!$D$16)</f>
        <v>39.4971428571429</v>
      </c>
      <c r="AY237" s="114" t="n">
        <f aca="false">-AY258/MAX(1,Inputs!$D$16)</f>
        <v>47.3965714285714</v>
      </c>
      <c r="AZ237" s="114" t="n">
        <f aca="false">-AZ258/MAX(1,Inputs!$D$16)</f>
        <v>47.3965714285714</v>
      </c>
      <c r="BA237" s="114" t="n">
        <f aca="false">-BA258/MAX(1,Inputs!$D$16)</f>
        <v>47.3965714285714</v>
      </c>
      <c r="BB237" s="114" t="n">
        <f aca="false">-BB258/MAX(1,Inputs!$D$16)</f>
        <v>47.3965714285714</v>
      </c>
      <c r="BC237" s="114" t="n">
        <f aca="false">-BC258/MAX(1,Inputs!$D$16)</f>
        <v>47.3965714285714</v>
      </c>
      <c r="BD237" s="114" t="n">
        <f aca="false">-BD258/MAX(1,Inputs!$D$16)</f>
        <v>47.3965714285714</v>
      </c>
      <c r="BE237" s="114" t="n">
        <f aca="false">-BE258/MAX(1,Inputs!$D$16)</f>
        <v>47.3965714285714</v>
      </c>
      <c r="BF237" s="114" t="n">
        <f aca="false">-BF258/MAX(1,Inputs!$D$16)</f>
        <v>47.3965714285714</v>
      </c>
      <c r="BG237" s="114" t="n">
        <f aca="false">-BG258/MAX(1,Inputs!$D$16)</f>
        <v>47.3965714285714</v>
      </c>
      <c r="BH237" s="114" t="n">
        <f aca="false">-BH258/MAX(1,Inputs!$D$16)</f>
        <v>47.3965714285714</v>
      </c>
      <c r="BI237" s="114" t="n">
        <f aca="false">-BI258/MAX(1,Inputs!$D$16)</f>
        <v>47.3965714285714</v>
      </c>
      <c r="BJ237" s="114" t="n">
        <f aca="false">-BJ258/MAX(1,Inputs!$D$16)</f>
        <v>47.3965714285714</v>
      </c>
    </row>
    <row r="238" customFormat="false" ht="15" hidden="false" customHeight="false" outlineLevel="0" collapsed="false">
      <c r="A238" s="4" t="s">
        <v>397</v>
      </c>
      <c r="C238" s="115" t="n">
        <f aca="false">C236+C237</f>
        <v>40.8571428571429</v>
      </c>
      <c r="D238" s="115" t="n">
        <f aca="false">D236+D237</f>
        <v>40.8571428571429</v>
      </c>
      <c r="E238" s="115" t="n">
        <f aca="false">E236+E237</f>
        <v>40.8571428571429</v>
      </c>
      <c r="F238" s="115" t="n">
        <f aca="false">F236+F237</f>
        <v>40.8571428571429</v>
      </c>
      <c r="G238" s="115" t="n">
        <f aca="false">G236+G237</f>
        <v>40.8571428571429</v>
      </c>
      <c r="H238" s="115" t="n">
        <f aca="false">H236+H237</f>
        <v>40.8571428571429</v>
      </c>
      <c r="I238" s="115" t="n">
        <f aca="false">I236+I237</f>
        <v>40.8571428571429</v>
      </c>
      <c r="J238" s="115" t="n">
        <f aca="false">J236+J237</f>
        <v>40.8571428571429</v>
      </c>
      <c r="K238" s="115" t="n">
        <f aca="false">K236+K237</f>
        <v>40.8571428571429</v>
      </c>
      <c r="L238" s="115" t="n">
        <f aca="false">L236+L237</f>
        <v>40.8571428571429</v>
      </c>
      <c r="M238" s="115" t="n">
        <f aca="false">M236+M237</f>
        <v>40.8571428571429</v>
      </c>
      <c r="N238" s="115" t="n">
        <f aca="false">N236+N237</f>
        <v>40.8571428571429</v>
      </c>
      <c r="O238" s="115" t="n">
        <f aca="false">O236+O237</f>
        <v>54.4285714285714</v>
      </c>
      <c r="P238" s="115" t="n">
        <f aca="false">P236+P237</f>
        <v>54.4285714285714</v>
      </c>
      <c r="Q238" s="115" t="n">
        <f aca="false">Q236+Q237</f>
        <v>54.4285714285714</v>
      </c>
      <c r="R238" s="115" t="n">
        <f aca="false">R236+R237</f>
        <v>54.4285714285714</v>
      </c>
      <c r="S238" s="115" t="n">
        <f aca="false">S236+S237</f>
        <v>54.4285714285714</v>
      </c>
      <c r="T238" s="115" t="n">
        <f aca="false">T236+T237</f>
        <v>54.4285714285714</v>
      </c>
      <c r="U238" s="115" t="n">
        <f aca="false">U236+U237</f>
        <v>54.4285714285714</v>
      </c>
      <c r="V238" s="115" t="n">
        <f aca="false">V236+V237</f>
        <v>54.4285714285714</v>
      </c>
      <c r="W238" s="115" t="n">
        <f aca="false">W236+W237</f>
        <v>54.4285714285714</v>
      </c>
      <c r="X238" s="115" t="n">
        <f aca="false">X236+X237</f>
        <v>54.4285714285714</v>
      </c>
      <c r="Y238" s="115" t="n">
        <f aca="false">Y236+Y237</f>
        <v>54.4285714285714</v>
      </c>
      <c r="Z238" s="115" t="n">
        <f aca="false">Z236+Z237</f>
        <v>54.4285714285714</v>
      </c>
      <c r="AA238" s="115" t="n">
        <f aca="false">AA236+AA237</f>
        <v>73.4142857142857</v>
      </c>
      <c r="AB238" s="115" t="n">
        <f aca="false">AB236+AB237</f>
        <v>73.4142857142857</v>
      </c>
      <c r="AC238" s="115" t="n">
        <f aca="false">AC236+AC237</f>
        <v>73.4142857142857</v>
      </c>
      <c r="AD238" s="115" t="n">
        <f aca="false">AD236+AD237</f>
        <v>73.4142857142857</v>
      </c>
      <c r="AE238" s="115" t="n">
        <f aca="false">AE236+AE237</f>
        <v>73.4142857142857</v>
      </c>
      <c r="AF238" s="115" t="n">
        <f aca="false">AF236+AF237</f>
        <v>73.4142857142857</v>
      </c>
      <c r="AG238" s="115" t="n">
        <f aca="false">AG236+AG237</f>
        <v>73.4142857142857</v>
      </c>
      <c r="AH238" s="115" t="n">
        <f aca="false">AH236+AH237</f>
        <v>73.4142857142857</v>
      </c>
      <c r="AI238" s="115" t="n">
        <f aca="false">AI236+AI237</f>
        <v>73.4142857142857</v>
      </c>
      <c r="AJ238" s="115" t="n">
        <f aca="false">AJ236+AJ237</f>
        <v>73.4142857142857</v>
      </c>
      <c r="AK238" s="115" t="n">
        <f aca="false">AK236+AK237</f>
        <v>73.4142857142857</v>
      </c>
      <c r="AL238" s="115" t="n">
        <f aca="false">AL236+AL237</f>
        <v>73.4142857142857</v>
      </c>
      <c r="AM238" s="115" t="n">
        <f aca="false">AM236+AM237</f>
        <v>100.247142857143</v>
      </c>
      <c r="AN238" s="115" t="n">
        <f aca="false">AN236+AN237</f>
        <v>100.247142857143</v>
      </c>
      <c r="AO238" s="115" t="n">
        <f aca="false">AO236+AO237</f>
        <v>100.247142857143</v>
      </c>
      <c r="AP238" s="115" t="n">
        <f aca="false">AP236+AP237</f>
        <v>100.247142857143</v>
      </c>
      <c r="AQ238" s="115" t="n">
        <f aca="false">AQ236+AQ237</f>
        <v>100.247142857143</v>
      </c>
      <c r="AR238" s="115" t="n">
        <f aca="false">AR236+AR237</f>
        <v>100.247142857143</v>
      </c>
      <c r="AS238" s="115" t="n">
        <f aca="false">AS236+AS237</f>
        <v>100.247142857143</v>
      </c>
      <c r="AT238" s="115" t="n">
        <f aca="false">AT236+AT237</f>
        <v>100.247142857143</v>
      </c>
      <c r="AU238" s="115" t="n">
        <f aca="false">AU236+AU237</f>
        <v>100.247142857143</v>
      </c>
      <c r="AV238" s="115" t="n">
        <f aca="false">AV236+AV237</f>
        <v>100.247142857143</v>
      </c>
      <c r="AW238" s="115" t="n">
        <f aca="false">AW236+AW237</f>
        <v>100.247142857143</v>
      </c>
      <c r="AX238" s="115" t="n">
        <f aca="false">AX236+AX237</f>
        <v>100.247142857143</v>
      </c>
      <c r="AY238" s="115" t="n">
        <f aca="false">AY236+AY237</f>
        <v>138.521571428571</v>
      </c>
      <c r="AZ238" s="115" t="n">
        <f aca="false">AZ236+AZ237</f>
        <v>138.521571428571</v>
      </c>
      <c r="BA238" s="115" t="n">
        <f aca="false">BA236+BA237</f>
        <v>138.521571428571</v>
      </c>
      <c r="BB238" s="115" t="n">
        <f aca="false">BB236+BB237</f>
        <v>138.521571428571</v>
      </c>
      <c r="BC238" s="115" t="n">
        <f aca="false">BC236+BC237</f>
        <v>138.521571428571</v>
      </c>
      <c r="BD238" s="115" t="n">
        <f aca="false">BD236+BD237</f>
        <v>138.521571428571</v>
      </c>
      <c r="BE238" s="115" t="n">
        <f aca="false">BE236+BE237</f>
        <v>138.521571428571</v>
      </c>
      <c r="BF238" s="115" t="n">
        <f aca="false">BF236+BF237</f>
        <v>138.521571428571</v>
      </c>
      <c r="BG238" s="115" t="n">
        <f aca="false">BG236+BG237</f>
        <v>138.521571428571</v>
      </c>
      <c r="BH238" s="115" t="n">
        <f aca="false">BH236+BH237</f>
        <v>138.521571428571</v>
      </c>
      <c r="BI238" s="115" t="n">
        <f aca="false">BI236+BI237</f>
        <v>138.521571428571</v>
      </c>
      <c r="BJ238" s="115" t="n">
        <f aca="false">BJ236+BJ237</f>
        <v>138.521571428571</v>
      </c>
    </row>
    <row r="239" customFormat="false" ht="15" hidden="false" customHeight="false" outlineLevel="0" collapsed="false">
      <c r="A239" s="6" t="s">
        <v>398</v>
      </c>
      <c r="C239" s="116" t="n">
        <f aca="false">Inputs!$D$7</f>
        <v>30</v>
      </c>
      <c r="D239" s="114" t="n">
        <f aca="false">C241</f>
        <v>70.2571428571429</v>
      </c>
      <c r="E239" s="114" t="n">
        <f aca="false">D241</f>
        <v>109.709142857143</v>
      </c>
      <c r="F239" s="114" t="n">
        <f aca="false">E241</f>
        <v>148.372102857143</v>
      </c>
      <c r="G239" s="114" t="n">
        <f aca="false">F241</f>
        <v>186.261803657143</v>
      </c>
      <c r="H239" s="114" t="n">
        <f aca="false">G241</f>
        <v>223.393710441143</v>
      </c>
      <c r="I239" s="114" t="n">
        <f aca="false">H241</f>
        <v>259.782979089463</v>
      </c>
      <c r="J239" s="114" t="n">
        <f aca="false">I241</f>
        <v>295.444462364817</v>
      </c>
      <c r="K239" s="114" t="n">
        <f aca="false">J241</f>
        <v>330.392715974663</v>
      </c>
      <c r="L239" s="114" t="n">
        <f aca="false">K241</f>
        <v>364.642004512313</v>
      </c>
      <c r="M239" s="114" t="n">
        <f aca="false">L241</f>
        <v>398.206307279209</v>
      </c>
      <c r="N239" s="114" t="n">
        <f aca="false">M241</f>
        <v>431.099323990768</v>
      </c>
      <c r="O239" s="114" t="n">
        <f aca="false">N241</f>
        <v>463.334480368095</v>
      </c>
      <c r="P239" s="114" t="n">
        <f aca="false">O241</f>
        <v>508.496362189305</v>
      </c>
      <c r="Q239" s="114" t="n">
        <f aca="false">P241</f>
        <v>552.75500637409</v>
      </c>
      <c r="R239" s="114" t="n">
        <f aca="false">Q241</f>
        <v>596.12847767518</v>
      </c>
      <c r="S239" s="114" t="n">
        <f aca="false">R241</f>
        <v>638.634479550248</v>
      </c>
      <c r="T239" s="114" t="n">
        <f aca="false">S241</f>
        <v>680.290361387814</v>
      </c>
      <c r="U239" s="114" t="n">
        <f aca="false">T241</f>
        <v>721.113125588629</v>
      </c>
      <c r="V239" s="114" t="n">
        <f aca="false">U241</f>
        <v>761.119434505428</v>
      </c>
      <c r="W239" s="114" t="n">
        <f aca="false">V241</f>
        <v>800.325617243891</v>
      </c>
      <c r="X239" s="114" t="n">
        <f aca="false">W241</f>
        <v>838.747676327585</v>
      </c>
      <c r="Y239" s="114" t="n">
        <f aca="false">X241</f>
        <v>876.401294229604</v>
      </c>
      <c r="Z239" s="114" t="n">
        <f aca="false">Y241</f>
        <v>913.301839773584</v>
      </c>
      <c r="AA239" s="114" t="n">
        <f aca="false">Z241</f>
        <v>949.464374406684</v>
      </c>
      <c r="AB239" s="114" t="n">
        <f aca="false">AA241</f>
        <v>1003.88937263284</v>
      </c>
      <c r="AC239" s="114" t="n">
        <f aca="false">AB241</f>
        <v>1057.22587089446</v>
      </c>
      <c r="AD239" s="114" t="n">
        <f aca="false">AC241</f>
        <v>1109.49563919086</v>
      </c>
      <c r="AE239" s="114" t="n">
        <f aca="false">AD241</f>
        <v>1160.72001212133</v>
      </c>
      <c r="AF239" s="114" t="n">
        <f aca="false">AE241</f>
        <v>1210.91989759319</v>
      </c>
      <c r="AG239" s="114" t="n">
        <f aca="false">AF241</f>
        <v>1260.11578535561</v>
      </c>
      <c r="AH239" s="114" t="n">
        <f aca="false">AG241</f>
        <v>1308.32775536278</v>
      </c>
      <c r="AI239" s="114" t="n">
        <f aca="false">AH241</f>
        <v>1355.57548596981</v>
      </c>
      <c r="AJ239" s="114" t="n">
        <f aca="false">AI241</f>
        <v>1401.8782619647</v>
      </c>
      <c r="AK239" s="114" t="n">
        <f aca="false">AJ241</f>
        <v>1447.2549824397</v>
      </c>
      <c r="AL239" s="114" t="n">
        <f aca="false">AK241</f>
        <v>1491.72416850519</v>
      </c>
      <c r="AM239" s="114" t="n">
        <f aca="false">AL241</f>
        <v>1535.30397084937</v>
      </c>
      <c r="AN239" s="114" t="n">
        <f aca="false">AM241</f>
        <v>1604.84503428952</v>
      </c>
      <c r="AO239" s="114" t="n">
        <f aca="false">AN241</f>
        <v>1672.99527646088</v>
      </c>
      <c r="AP239" s="114" t="n">
        <f aca="false">AO241</f>
        <v>1739.7825137888</v>
      </c>
      <c r="AQ239" s="114" t="n">
        <f aca="false">AP241</f>
        <v>1805.23400637017</v>
      </c>
      <c r="AR239" s="114" t="n">
        <f aca="false">AQ241</f>
        <v>1869.37646909991</v>
      </c>
      <c r="AS239" s="114" t="n">
        <f aca="false">AR241</f>
        <v>1932.23608257505</v>
      </c>
      <c r="AT239" s="114" t="n">
        <f aca="false">AS241</f>
        <v>1993.83850378069</v>
      </c>
      <c r="AU239" s="114" t="n">
        <f aca="false">AT241</f>
        <v>2054.20887656222</v>
      </c>
      <c r="AV239" s="114" t="n">
        <f aca="false">AU241</f>
        <v>2113.37184188812</v>
      </c>
      <c r="AW239" s="114" t="n">
        <f aca="false">AV241</f>
        <v>2171.3515479075</v>
      </c>
      <c r="AX239" s="114" t="n">
        <f aca="false">AW241</f>
        <v>2228.17165980649</v>
      </c>
      <c r="AY239" s="114" t="n">
        <f aca="false">AX241</f>
        <v>2283.85536946751</v>
      </c>
      <c r="AZ239" s="114" t="n">
        <f aca="false">AY241</f>
        <v>2376.69983350673</v>
      </c>
      <c r="BA239" s="114" t="n">
        <f aca="false">AZ241</f>
        <v>2467.68740826517</v>
      </c>
      <c r="BB239" s="114" t="n">
        <f aca="false">BA241</f>
        <v>2556.85523152843</v>
      </c>
      <c r="BC239" s="114" t="n">
        <f aca="false">BB241</f>
        <v>2644.23969832644</v>
      </c>
      <c r="BD239" s="114" t="n">
        <f aca="false">BC241</f>
        <v>2729.87647578848</v>
      </c>
      <c r="BE239" s="114" t="n">
        <f aca="false">BD241</f>
        <v>2813.80051770128</v>
      </c>
      <c r="BF239" s="114" t="n">
        <f aca="false">BE241</f>
        <v>2896.04607877583</v>
      </c>
      <c r="BG239" s="114" t="n">
        <f aca="false">BF241</f>
        <v>2976.64672862888</v>
      </c>
      <c r="BH239" s="114" t="n">
        <f aca="false">BG241</f>
        <v>3055.63536548488</v>
      </c>
      <c r="BI239" s="114" t="n">
        <f aca="false">BH241</f>
        <v>3133.04422960375</v>
      </c>
      <c r="BJ239" s="114" t="n">
        <f aca="false">BI241</f>
        <v>3208.90491644025</v>
      </c>
    </row>
    <row r="240" customFormat="false" ht="15" hidden="false" customHeight="false" outlineLevel="0" collapsed="false">
      <c r="A240" s="6" t="s">
        <v>399</v>
      </c>
      <c r="C240" s="114" t="n">
        <f aca="false">-C239*Inputs!$D$10</f>
        <v>-0.6</v>
      </c>
      <c r="D240" s="114" t="n">
        <f aca="false">-D239*Inputs!$D$10</f>
        <v>-1.40514285714286</v>
      </c>
      <c r="E240" s="114" t="n">
        <f aca="false">-E239*Inputs!$D$10</f>
        <v>-2.19418285714286</v>
      </c>
      <c r="F240" s="114" t="n">
        <f aca="false">-F239*Inputs!$D$10</f>
        <v>-2.96744205714286</v>
      </c>
      <c r="G240" s="114" t="n">
        <f aca="false">-G239*Inputs!$D$10</f>
        <v>-3.72523607314286</v>
      </c>
      <c r="H240" s="114" t="n">
        <f aca="false">-H239*Inputs!$D$10</f>
        <v>-4.46787420882286</v>
      </c>
      <c r="I240" s="114" t="n">
        <f aca="false">-I239*Inputs!$D$10</f>
        <v>-5.19565958178926</v>
      </c>
      <c r="J240" s="114" t="n">
        <f aca="false">-J239*Inputs!$D$10</f>
        <v>-5.90888924729633</v>
      </c>
      <c r="K240" s="114" t="n">
        <f aca="false">-K239*Inputs!$D$10</f>
        <v>-6.60785431949326</v>
      </c>
      <c r="L240" s="114" t="n">
        <f aca="false">-L239*Inputs!$D$10</f>
        <v>-7.29284009024625</v>
      </c>
      <c r="M240" s="114" t="n">
        <f aca="false">-M239*Inputs!$D$10</f>
        <v>-7.96412614558419</v>
      </c>
      <c r="N240" s="114" t="n">
        <f aca="false">-N239*Inputs!$D$10</f>
        <v>-8.62198647981536</v>
      </c>
      <c r="O240" s="114" t="n">
        <f aca="false">-O239*Inputs!$D$10</f>
        <v>-9.26668960736191</v>
      </c>
      <c r="P240" s="114" t="n">
        <f aca="false">-P239*Inputs!$D$10</f>
        <v>-10.1699272437861</v>
      </c>
      <c r="Q240" s="114" t="n">
        <f aca="false">-Q239*Inputs!$D$10</f>
        <v>-11.0551001274818</v>
      </c>
      <c r="R240" s="114" t="n">
        <f aca="false">-R239*Inputs!$D$10</f>
        <v>-11.9225695535036</v>
      </c>
      <c r="S240" s="114" t="n">
        <f aca="false">-S239*Inputs!$D$10</f>
        <v>-12.772689591005</v>
      </c>
      <c r="T240" s="114" t="n">
        <f aca="false">-T239*Inputs!$D$10</f>
        <v>-13.6058072277563</v>
      </c>
      <c r="U240" s="114" t="n">
        <f aca="false">-U239*Inputs!$D$10</f>
        <v>-14.4222625117726</v>
      </c>
      <c r="V240" s="114" t="n">
        <f aca="false">-V239*Inputs!$D$10</f>
        <v>-15.2223886901086</v>
      </c>
      <c r="W240" s="114" t="n">
        <f aca="false">-W239*Inputs!$D$10</f>
        <v>-16.0065123448778</v>
      </c>
      <c r="X240" s="114" t="n">
        <f aca="false">-X239*Inputs!$D$10</f>
        <v>-16.7749535265517</v>
      </c>
      <c r="Y240" s="114" t="n">
        <f aca="false">-Y239*Inputs!$D$10</f>
        <v>-17.5280258845921</v>
      </c>
      <c r="Z240" s="114" t="n">
        <f aca="false">-Z239*Inputs!$D$10</f>
        <v>-18.2660367954717</v>
      </c>
      <c r="AA240" s="114" t="n">
        <f aca="false">-AA239*Inputs!$D$10</f>
        <v>-18.9892874881337</v>
      </c>
      <c r="AB240" s="114" t="n">
        <f aca="false">-AB239*Inputs!$D$10</f>
        <v>-20.0777874526567</v>
      </c>
      <c r="AC240" s="114" t="n">
        <f aca="false">-AC239*Inputs!$D$10</f>
        <v>-21.1445174178893</v>
      </c>
      <c r="AD240" s="114" t="n">
        <f aca="false">-AD239*Inputs!$D$10</f>
        <v>-22.1899127838172</v>
      </c>
      <c r="AE240" s="114" t="n">
        <f aca="false">-AE239*Inputs!$D$10</f>
        <v>-23.2144002424266</v>
      </c>
      <c r="AF240" s="114" t="n">
        <f aca="false">-AF239*Inputs!$D$10</f>
        <v>-24.2183979518638</v>
      </c>
      <c r="AG240" s="114" t="n">
        <f aca="false">-AG239*Inputs!$D$10</f>
        <v>-25.2023157071122</v>
      </c>
      <c r="AH240" s="114" t="n">
        <f aca="false">-AH239*Inputs!$D$10</f>
        <v>-26.1665551072557</v>
      </c>
      <c r="AI240" s="114" t="n">
        <f aca="false">-AI239*Inputs!$D$10</f>
        <v>-27.1115097193963</v>
      </c>
      <c r="AJ240" s="114" t="n">
        <f aca="false">-AJ239*Inputs!$D$10</f>
        <v>-28.0375652392941</v>
      </c>
      <c r="AK240" s="114" t="n">
        <f aca="false">-AK239*Inputs!$D$10</f>
        <v>-28.9450996487939</v>
      </c>
      <c r="AL240" s="114" t="n">
        <f aca="false">-AL239*Inputs!$D$10</f>
        <v>-29.8344833701037</v>
      </c>
      <c r="AM240" s="114" t="n">
        <f aca="false">-AM239*Inputs!$D$10</f>
        <v>-30.7060794169874</v>
      </c>
      <c r="AN240" s="114" t="n">
        <f aca="false">-AN239*Inputs!$D$10</f>
        <v>-32.0969006857905</v>
      </c>
      <c r="AO240" s="114" t="n">
        <f aca="false">-AO239*Inputs!$D$10</f>
        <v>-33.4599055292175</v>
      </c>
      <c r="AP240" s="114" t="n">
        <f aca="false">-AP239*Inputs!$D$10</f>
        <v>-34.795650275776</v>
      </c>
      <c r="AQ240" s="114" t="n">
        <f aca="false">-AQ239*Inputs!$D$10</f>
        <v>-36.1046801274034</v>
      </c>
      <c r="AR240" s="114" t="n">
        <f aca="false">-AR239*Inputs!$D$10</f>
        <v>-37.3875293819982</v>
      </c>
      <c r="AS240" s="114" t="n">
        <f aca="false">-AS239*Inputs!$D$10</f>
        <v>-38.644721651501</v>
      </c>
      <c r="AT240" s="114" t="n">
        <f aca="false">-AT239*Inputs!$D$10</f>
        <v>-39.8767700756139</v>
      </c>
      <c r="AU240" s="114" t="n">
        <f aca="false">-AU239*Inputs!$D$10</f>
        <v>-41.0841775312445</v>
      </c>
      <c r="AV240" s="114" t="n">
        <f aca="false">-AV239*Inputs!$D$10</f>
        <v>-42.2674368377624</v>
      </c>
      <c r="AW240" s="114" t="n">
        <f aca="false">-AW239*Inputs!$D$10</f>
        <v>-43.42703095815</v>
      </c>
      <c r="AX240" s="114" t="n">
        <f aca="false">-AX239*Inputs!$D$10</f>
        <v>-44.5634331961299</v>
      </c>
      <c r="AY240" s="114" t="n">
        <f aca="false">-AY239*Inputs!$D$10</f>
        <v>-45.6771073893502</v>
      </c>
      <c r="AZ240" s="114" t="n">
        <f aca="false">-AZ239*Inputs!$D$10</f>
        <v>-47.5339966701346</v>
      </c>
      <c r="BA240" s="114" t="n">
        <f aca="false">-BA239*Inputs!$D$10</f>
        <v>-49.3537481653033</v>
      </c>
      <c r="BB240" s="114" t="n">
        <f aca="false">-BB239*Inputs!$D$10</f>
        <v>-51.1371046305687</v>
      </c>
      <c r="BC240" s="114" t="n">
        <f aca="false">-BC239*Inputs!$D$10</f>
        <v>-52.8847939665287</v>
      </c>
      <c r="BD240" s="114" t="n">
        <f aca="false">-BD239*Inputs!$D$10</f>
        <v>-54.5975295157696</v>
      </c>
      <c r="BE240" s="114" t="n">
        <f aca="false">-BE239*Inputs!$D$10</f>
        <v>-56.2760103540256</v>
      </c>
      <c r="BF240" s="114" t="n">
        <f aca="false">-BF239*Inputs!$D$10</f>
        <v>-57.9209215755165</v>
      </c>
      <c r="BG240" s="114" t="n">
        <f aca="false">-BG239*Inputs!$D$10</f>
        <v>-59.5329345725776</v>
      </c>
      <c r="BH240" s="114" t="n">
        <f aca="false">-BH239*Inputs!$D$10</f>
        <v>-61.1127073096975</v>
      </c>
      <c r="BI240" s="114" t="n">
        <f aca="false">-BI239*Inputs!$D$10</f>
        <v>-62.660884592075</v>
      </c>
      <c r="BJ240" s="114" t="n">
        <f aca="false">-BJ239*Inputs!$D$10</f>
        <v>-64.1780983288049</v>
      </c>
    </row>
    <row r="241" customFormat="false" ht="15" hidden="false" customHeight="false" outlineLevel="0" collapsed="false">
      <c r="A241" s="111" t="s">
        <v>400</v>
      </c>
      <c r="C241" s="117" t="n">
        <f aca="false">C239+C238+C240</f>
        <v>70.2571428571429</v>
      </c>
      <c r="D241" s="117" t="n">
        <f aca="false">D239+D238+D240</f>
        <v>109.709142857143</v>
      </c>
      <c r="E241" s="117" t="n">
        <f aca="false">E239+E238+E240</f>
        <v>148.372102857143</v>
      </c>
      <c r="F241" s="117" t="n">
        <f aca="false">F239+F238+F240</f>
        <v>186.261803657143</v>
      </c>
      <c r="G241" s="117" t="n">
        <f aca="false">G239+G238+G240</f>
        <v>223.393710441143</v>
      </c>
      <c r="H241" s="117" t="n">
        <f aca="false">H239+H238+H240</f>
        <v>259.782979089463</v>
      </c>
      <c r="I241" s="117" t="n">
        <f aca="false">I239+I238+I240</f>
        <v>295.444462364817</v>
      </c>
      <c r="J241" s="117" t="n">
        <f aca="false">J239+J238+J240</f>
        <v>330.392715974663</v>
      </c>
      <c r="K241" s="117" t="n">
        <f aca="false">K239+K238+K240</f>
        <v>364.642004512313</v>
      </c>
      <c r="L241" s="117" t="n">
        <f aca="false">L239+L238+L240</f>
        <v>398.206307279209</v>
      </c>
      <c r="M241" s="117" t="n">
        <f aca="false">M239+M238+M240</f>
        <v>431.099323990768</v>
      </c>
      <c r="N241" s="117" t="n">
        <f aca="false">N239+N238+N240</f>
        <v>463.334480368095</v>
      </c>
      <c r="O241" s="117" t="n">
        <f aca="false">O239+O238+O240</f>
        <v>508.496362189305</v>
      </c>
      <c r="P241" s="117" t="n">
        <f aca="false">P239+P238+P240</f>
        <v>552.75500637409</v>
      </c>
      <c r="Q241" s="117" t="n">
        <f aca="false">Q239+Q238+Q240</f>
        <v>596.12847767518</v>
      </c>
      <c r="R241" s="117" t="n">
        <f aca="false">R239+R238+R240</f>
        <v>638.634479550248</v>
      </c>
      <c r="S241" s="117" t="n">
        <f aca="false">S239+S238+S240</f>
        <v>680.290361387814</v>
      </c>
      <c r="T241" s="117" t="n">
        <f aca="false">T239+T238+T240</f>
        <v>721.113125588629</v>
      </c>
      <c r="U241" s="117" t="n">
        <f aca="false">U239+U238+U240</f>
        <v>761.119434505428</v>
      </c>
      <c r="V241" s="117" t="n">
        <f aca="false">V239+V238+V240</f>
        <v>800.325617243891</v>
      </c>
      <c r="W241" s="117" t="n">
        <f aca="false">W239+W238+W240</f>
        <v>838.747676327585</v>
      </c>
      <c r="X241" s="117" t="n">
        <f aca="false">X239+X238+X240</f>
        <v>876.401294229604</v>
      </c>
      <c r="Y241" s="117" t="n">
        <f aca="false">Y239+Y238+Y240</f>
        <v>913.301839773584</v>
      </c>
      <c r="Z241" s="117" t="n">
        <f aca="false">Z239+Z238+Z240</f>
        <v>949.464374406684</v>
      </c>
      <c r="AA241" s="117" t="n">
        <f aca="false">AA239+AA238+AA240</f>
        <v>1003.88937263284</v>
      </c>
      <c r="AB241" s="117" t="n">
        <f aca="false">AB239+AB238+AB240</f>
        <v>1057.22587089446</v>
      </c>
      <c r="AC241" s="117" t="n">
        <f aca="false">AC239+AC238+AC240</f>
        <v>1109.49563919086</v>
      </c>
      <c r="AD241" s="117" t="n">
        <f aca="false">AD239+AD238+AD240</f>
        <v>1160.72001212133</v>
      </c>
      <c r="AE241" s="117" t="n">
        <f aca="false">AE239+AE238+AE240</f>
        <v>1210.91989759319</v>
      </c>
      <c r="AF241" s="117" t="n">
        <f aca="false">AF239+AF238+AF240</f>
        <v>1260.11578535561</v>
      </c>
      <c r="AG241" s="117" t="n">
        <f aca="false">AG239+AG238+AG240</f>
        <v>1308.32775536278</v>
      </c>
      <c r="AH241" s="117" t="n">
        <f aca="false">AH239+AH238+AH240</f>
        <v>1355.57548596981</v>
      </c>
      <c r="AI241" s="117" t="n">
        <f aca="false">AI239+AI238+AI240</f>
        <v>1401.8782619647</v>
      </c>
      <c r="AJ241" s="117" t="n">
        <f aca="false">AJ239+AJ238+AJ240</f>
        <v>1447.2549824397</v>
      </c>
      <c r="AK241" s="117" t="n">
        <f aca="false">AK239+AK238+AK240</f>
        <v>1491.72416850519</v>
      </c>
      <c r="AL241" s="117" t="n">
        <f aca="false">AL239+AL238+AL240</f>
        <v>1535.30397084937</v>
      </c>
      <c r="AM241" s="117" t="n">
        <f aca="false">AM239+AM238+AM240</f>
        <v>1604.84503428952</v>
      </c>
      <c r="AN241" s="117" t="n">
        <f aca="false">AN239+AN238+AN240</f>
        <v>1672.99527646088</v>
      </c>
      <c r="AO241" s="117" t="n">
        <f aca="false">AO239+AO238+AO240</f>
        <v>1739.7825137888</v>
      </c>
      <c r="AP241" s="117" t="n">
        <f aca="false">AP239+AP238+AP240</f>
        <v>1805.23400637017</v>
      </c>
      <c r="AQ241" s="117" t="n">
        <f aca="false">AQ239+AQ238+AQ240</f>
        <v>1869.37646909991</v>
      </c>
      <c r="AR241" s="117" t="n">
        <f aca="false">AR239+AR238+AR240</f>
        <v>1932.23608257505</v>
      </c>
      <c r="AS241" s="117" t="n">
        <f aca="false">AS239+AS238+AS240</f>
        <v>1993.83850378069</v>
      </c>
      <c r="AT241" s="117" t="n">
        <f aca="false">AT239+AT238+AT240</f>
        <v>2054.20887656222</v>
      </c>
      <c r="AU241" s="117" t="n">
        <f aca="false">AU239+AU238+AU240</f>
        <v>2113.37184188812</v>
      </c>
      <c r="AV241" s="117" t="n">
        <f aca="false">AV239+AV238+AV240</f>
        <v>2171.3515479075</v>
      </c>
      <c r="AW241" s="117" t="n">
        <f aca="false">AW239+AW238+AW240</f>
        <v>2228.17165980649</v>
      </c>
      <c r="AX241" s="117" t="n">
        <f aca="false">AX239+AX238+AX240</f>
        <v>2283.85536946751</v>
      </c>
      <c r="AY241" s="117" t="n">
        <f aca="false">AY239+AY238+AY240</f>
        <v>2376.69983350673</v>
      </c>
      <c r="AZ241" s="117" t="n">
        <f aca="false">AZ239+AZ238+AZ240</f>
        <v>2467.68740826517</v>
      </c>
      <c r="BA241" s="117" t="n">
        <f aca="false">BA239+BA238+BA240</f>
        <v>2556.85523152843</v>
      </c>
      <c r="BB241" s="117" t="n">
        <f aca="false">BB239+BB238+BB240</f>
        <v>2644.23969832644</v>
      </c>
      <c r="BC241" s="117" t="n">
        <f aca="false">BC239+BC238+BC240</f>
        <v>2729.87647578848</v>
      </c>
      <c r="BD241" s="117" t="n">
        <f aca="false">BD239+BD238+BD240</f>
        <v>2813.80051770128</v>
      </c>
      <c r="BE241" s="117" t="n">
        <f aca="false">BE239+BE238+BE240</f>
        <v>2896.04607877583</v>
      </c>
      <c r="BF241" s="117" t="n">
        <f aca="false">BF239+BF238+BF240</f>
        <v>2976.64672862888</v>
      </c>
      <c r="BG241" s="117" t="n">
        <f aca="false">BG239+BG238+BG240</f>
        <v>3055.63536548488</v>
      </c>
      <c r="BH241" s="117" t="n">
        <f aca="false">BH239+BH238+BH240</f>
        <v>3133.04422960375</v>
      </c>
      <c r="BI241" s="117" t="n">
        <f aca="false">BI239+BI238+BI240</f>
        <v>3208.90491644025</v>
      </c>
      <c r="BJ241" s="117" t="n">
        <f aca="false">BJ239+BJ238+BJ240</f>
        <v>3283.24838954001</v>
      </c>
    </row>
    <row r="242" customFormat="false" ht="15" hidden="false" customHeight="false" outlineLevel="0" collapsed="false">
      <c r="A242" s="6" t="s">
        <v>401</v>
      </c>
      <c r="C242" s="118" t="n">
        <f aca="false">Inputs!$D$8*(1+Inputs!$D$9)^(C$233-1)</f>
        <v>119</v>
      </c>
      <c r="D242" s="118" t="n">
        <f aca="false">Inputs!$D$8*(1+Inputs!$D$9)^(D$233-1)</f>
        <v>119</v>
      </c>
      <c r="E242" s="118" t="n">
        <f aca="false">Inputs!$D$8*(1+Inputs!$D$9)^(E$233-1)</f>
        <v>119</v>
      </c>
      <c r="F242" s="118" t="n">
        <f aca="false">Inputs!$D$8*(1+Inputs!$D$9)^(F$233-1)</f>
        <v>119</v>
      </c>
      <c r="G242" s="118" t="n">
        <f aca="false">Inputs!$D$8*(1+Inputs!$D$9)^(G$233-1)</f>
        <v>119</v>
      </c>
      <c r="H242" s="118" t="n">
        <f aca="false">Inputs!$D$8*(1+Inputs!$D$9)^(H$233-1)</f>
        <v>119</v>
      </c>
      <c r="I242" s="118" t="n">
        <f aca="false">Inputs!$D$8*(1+Inputs!$D$9)^(I$233-1)</f>
        <v>119</v>
      </c>
      <c r="J242" s="118" t="n">
        <f aca="false">Inputs!$D$8*(1+Inputs!$D$9)^(J$233-1)</f>
        <v>119</v>
      </c>
      <c r="K242" s="118" t="n">
        <f aca="false">Inputs!$D$8*(1+Inputs!$D$9)^(K$233-1)</f>
        <v>119</v>
      </c>
      <c r="L242" s="118" t="n">
        <f aca="false">Inputs!$D$8*(1+Inputs!$D$9)^(L$233-1)</f>
        <v>119</v>
      </c>
      <c r="M242" s="118" t="n">
        <f aca="false">Inputs!$D$8*(1+Inputs!$D$9)^(M$233-1)</f>
        <v>119</v>
      </c>
      <c r="N242" s="118" t="n">
        <f aca="false">Inputs!$D$8*(1+Inputs!$D$9)^(N$233-1)</f>
        <v>119</v>
      </c>
      <c r="O242" s="118" t="n">
        <f aca="false">Inputs!$D$8*(1+Inputs!$D$9)^(O$233-1)</f>
        <v>124.95</v>
      </c>
      <c r="P242" s="118" t="n">
        <f aca="false">Inputs!$D$8*(1+Inputs!$D$9)^(P$233-1)</f>
        <v>124.95</v>
      </c>
      <c r="Q242" s="118" t="n">
        <f aca="false">Inputs!$D$8*(1+Inputs!$D$9)^(Q$233-1)</f>
        <v>124.95</v>
      </c>
      <c r="R242" s="118" t="n">
        <f aca="false">Inputs!$D$8*(1+Inputs!$D$9)^(R$233-1)</f>
        <v>124.95</v>
      </c>
      <c r="S242" s="118" t="n">
        <f aca="false">Inputs!$D$8*(1+Inputs!$D$9)^(S$233-1)</f>
        <v>124.95</v>
      </c>
      <c r="T242" s="118" t="n">
        <f aca="false">Inputs!$D$8*(1+Inputs!$D$9)^(T$233-1)</f>
        <v>124.95</v>
      </c>
      <c r="U242" s="118" t="n">
        <f aca="false">Inputs!$D$8*(1+Inputs!$D$9)^(U$233-1)</f>
        <v>124.95</v>
      </c>
      <c r="V242" s="118" t="n">
        <f aca="false">Inputs!$D$8*(1+Inputs!$D$9)^(V$233-1)</f>
        <v>124.95</v>
      </c>
      <c r="W242" s="118" t="n">
        <f aca="false">Inputs!$D$8*(1+Inputs!$D$9)^(W$233-1)</f>
        <v>124.95</v>
      </c>
      <c r="X242" s="118" t="n">
        <f aca="false">Inputs!$D$8*(1+Inputs!$D$9)^(X$233-1)</f>
        <v>124.95</v>
      </c>
      <c r="Y242" s="118" t="n">
        <f aca="false">Inputs!$D$8*(1+Inputs!$D$9)^(Y$233-1)</f>
        <v>124.95</v>
      </c>
      <c r="Z242" s="118" t="n">
        <f aca="false">Inputs!$D$8*(1+Inputs!$D$9)^(Z$233-1)</f>
        <v>124.95</v>
      </c>
      <c r="AA242" s="118" t="n">
        <f aca="false">Inputs!$D$8*(1+Inputs!$D$9)^(AA$233-1)</f>
        <v>131.1975</v>
      </c>
      <c r="AB242" s="118" t="n">
        <f aca="false">Inputs!$D$8*(1+Inputs!$D$9)^(AB$233-1)</f>
        <v>131.1975</v>
      </c>
      <c r="AC242" s="118" t="n">
        <f aca="false">Inputs!$D$8*(1+Inputs!$D$9)^(AC$233-1)</f>
        <v>131.1975</v>
      </c>
      <c r="AD242" s="118" t="n">
        <f aca="false">Inputs!$D$8*(1+Inputs!$D$9)^(AD$233-1)</f>
        <v>131.1975</v>
      </c>
      <c r="AE242" s="118" t="n">
        <f aca="false">Inputs!$D$8*(1+Inputs!$D$9)^(AE$233-1)</f>
        <v>131.1975</v>
      </c>
      <c r="AF242" s="118" t="n">
        <f aca="false">Inputs!$D$8*(1+Inputs!$D$9)^(AF$233-1)</f>
        <v>131.1975</v>
      </c>
      <c r="AG242" s="118" t="n">
        <f aca="false">Inputs!$D$8*(1+Inputs!$D$9)^(AG$233-1)</f>
        <v>131.1975</v>
      </c>
      <c r="AH242" s="118" t="n">
        <f aca="false">Inputs!$D$8*(1+Inputs!$D$9)^(AH$233-1)</f>
        <v>131.1975</v>
      </c>
      <c r="AI242" s="118" t="n">
        <f aca="false">Inputs!$D$8*(1+Inputs!$D$9)^(AI$233-1)</f>
        <v>131.1975</v>
      </c>
      <c r="AJ242" s="118" t="n">
        <f aca="false">Inputs!$D$8*(1+Inputs!$D$9)^(AJ$233-1)</f>
        <v>131.1975</v>
      </c>
      <c r="AK242" s="118" t="n">
        <f aca="false">Inputs!$D$8*(1+Inputs!$D$9)^(AK$233-1)</f>
        <v>131.1975</v>
      </c>
      <c r="AL242" s="118" t="n">
        <f aca="false">Inputs!$D$8*(1+Inputs!$D$9)^(AL$233-1)</f>
        <v>131.1975</v>
      </c>
      <c r="AM242" s="118" t="n">
        <f aca="false">Inputs!$D$8*(1+Inputs!$D$9)^(AM$233-1)</f>
        <v>137.757375</v>
      </c>
      <c r="AN242" s="118" t="n">
        <f aca="false">Inputs!$D$8*(1+Inputs!$D$9)^(AN$233-1)</f>
        <v>137.757375</v>
      </c>
      <c r="AO242" s="118" t="n">
        <f aca="false">Inputs!$D$8*(1+Inputs!$D$9)^(AO$233-1)</f>
        <v>137.757375</v>
      </c>
      <c r="AP242" s="118" t="n">
        <f aca="false">Inputs!$D$8*(1+Inputs!$D$9)^(AP$233-1)</f>
        <v>137.757375</v>
      </c>
      <c r="AQ242" s="118" t="n">
        <f aca="false">Inputs!$D$8*(1+Inputs!$D$9)^(AQ$233-1)</f>
        <v>137.757375</v>
      </c>
      <c r="AR242" s="118" t="n">
        <f aca="false">Inputs!$D$8*(1+Inputs!$D$9)^(AR$233-1)</f>
        <v>137.757375</v>
      </c>
      <c r="AS242" s="118" t="n">
        <f aca="false">Inputs!$D$8*(1+Inputs!$D$9)^(AS$233-1)</f>
        <v>137.757375</v>
      </c>
      <c r="AT242" s="118" t="n">
        <f aca="false">Inputs!$D$8*(1+Inputs!$D$9)^(AT$233-1)</f>
        <v>137.757375</v>
      </c>
      <c r="AU242" s="118" t="n">
        <f aca="false">Inputs!$D$8*(1+Inputs!$D$9)^(AU$233-1)</f>
        <v>137.757375</v>
      </c>
      <c r="AV242" s="118" t="n">
        <f aca="false">Inputs!$D$8*(1+Inputs!$D$9)^(AV$233-1)</f>
        <v>137.757375</v>
      </c>
      <c r="AW242" s="118" t="n">
        <f aca="false">Inputs!$D$8*(1+Inputs!$D$9)^(AW$233-1)</f>
        <v>137.757375</v>
      </c>
      <c r="AX242" s="118" t="n">
        <f aca="false">Inputs!$D$8*(1+Inputs!$D$9)^(AX$233-1)</f>
        <v>137.757375</v>
      </c>
      <c r="AY242" s="118" t="n">
        <f aca="false">Inputs!$D$8*(1+Inputs!$D$9)^(AY$233-1)</f>
        <v>144.64524375</v>
      </c>
      <c r="AZ242" s="118" t="n">
        <f aca="false">Inputs!$D$8*(1+Inputs!$D$9)^(AZ$233-1)</f>
        <v>144.64524375</v>
      </c>
      <c r="BA242" s="118" t="n">
        <f aca="false">Inputs!$D$8*(1+Inputs!$D$9)^(BA$233-1)</f>
        <v>144.64524375</v>
      </c>
      <c r="BB242" s="118" t="n">
        <f aca="false">Inputs!$D$8*(1+Inputs!$D$9)^(BB$233-1)</f>
        <v>144.64524375</v>
      </c>
      <c r="BC242" s="118" t="n">
        <f aca="false">Inputs!$D$8*(1+Inputs!$D$9)^(BC$233-1)</f>
        <v>144.64524375</v>
      </c>
      <c r="BD242" s="118" t="n">
        <f aca="false">Inputs!$D$8*(1+Inputs!$D$9)^(BD$233-1)</f>
        <v>144.64524375</v>
      </c>
      <c r="BE242" s="118" t="n">
        <f aca="false">Inputs!$D$8*(1+Inputs!$D$9)^(BE$233-1)</f>
        <v>144.64524375</v>
      </c>
      <c r="BF242" s="118" t="n">
        <f aca="false">Inputs!$D$8*(1+Inputs!$D$9)^(BF$233-1)</f>
        <v>144.64524375</v>
      </c>
      <c r="BG242" s="118" t="n">
        <f aca="false">Inputs!$D$8*(1+Inputs!$D$9)^(BG$233-1)</f>
        <v>144.64524375</v>
      </c>
      <c r="BH242" s="118" t="n">
        <f aca="false">Inputs!$D$8*(1+Inputs!$D$9)^(BH$233-1)</f>
        <v>144.64524375</v>
      </c>
      <c r="BI242" s="118" t="n">
        <f aca="false">Inputs!$D$8*(1+Inputs!$D$9)^(BI$233-1)</f>
        <v>144.64524375</v>
      </c>
      <c r="BJ242" s="118" t="n">
        <f aca="false">Inputs!$D$8*(1+Inputs!$D$9)^(BJ$233-1)</f>
        <v>144.64524375</v>
      </c>
    </row>
    <row r="244" customFormat="false" ht="15.75" hidden="false" customHeight="true" outlineLevel="0" collapsed="false">
      <c r="A244" s="7" t="s">
        <v>402</v>
      </c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</row>
    <row r="245" customFormat="false" ht="15" hidden="false" customHeight="false" outlineLevel="0" collapsed="false">
      <c r="A245" s="6" t="s">
        <v>403</v>
      </c>
      <c r="C245" s="66" t="n">
        <f aca="false">Inputs!$D$7*Inputs!$D$8</f>
        <v>3570</v>
      </c>
      <c r="D245" s="66" t="n">
        <f aca="false">C249</f>
        <v>8396.3</v>
      </c>
      <c r="E245" s="66" t="n">
        <f aca="false">D249</f>
        <v>13174.337</v>
      </c>
      <c r="F245" s="66" t="n">
        <f aca="false">E249</f>
        <v>17904.59363</v>
      </c>
      <c r="G245" s="66" t="n">
        <f aca="false">F249</f>
        <v>22587.5476937</v>
      </c>
      <c r="H245" s="66" t="n">
        <f aca="false">G249</f>
        <v>27223.672216763</v>
      </c>
      <c r="I245" s="66" t="n">
        <f aca="false">H249</f>
        <v>31813.4354945954</v>
      </c>
      <c r="J245" s="66" t="n">
        <f aca="false">I249</f>
        <v>36357.3011396494</v>
      </c>
      <c r="K245" s="66" t="n">
        <f aca="false">J249</f>
        <v>40855.7281282529</v>
      </c>
      <c r="L245" s="66" t="n">
        <f aca="false">K249</f>
        <v>45309.1708469704</v>
      </c>
      <c r="M245" s="66" t="n">
        <f aca="false">L249</f>
        <v>49718.0791385007</v>
      </c>
      <c r="N245" s="66" t="n">
        <f aca="false">M249</f>
        <v>54082.8983471157</v>
      </c>
      <c r="O245" s="66" t="n">
        <f aca="false">N249</f>
        <v>58404.0693636445</v>
      </c>
      <c r="P245" s="66" t="n">
        <f aca="false">O249</f>
        <v>64620.8786700081</v>
      </c>
      <c r="Q245" s="66" t="n">
        <f aca="false">P249</f>
        <v>70775.519883308</v>
      </c>
      <c r="R245" s="66" t="n">
        <f aca="false">Q249</f>
        <v>76868.6146844749</v>
      </c>
      <c r="S245" s="66" t="n">
        <f aca="false">R249</f>
        <v>82900.7785376302</v>
      </c>
      <c r="T245" s="66" t="n">
        <f aca="false">S249</f>
        <v>88872.6207522539</v>
      </c>
      <c r="U245" s="66" t="n">
        <f aca="false">T249</f>
        <v>94784.7445447314</v>
      </c>
      <c r="V245" s="66" t="n">
        <f aca="false">U249</f>
        <v>100637.747099284</v>
      </c>
      <c r="W245" s="66" t="n">
        <f aca="false">V249</f>
        <v>106432.219628291</v>
      </c>
      <c r="X245" s="66" t="n">
        <f aca="false">W249</f>
        <v>112168.747432008</v>
      </c>
      <c r="Y245" s="66" t="n">
        <f aca="false">X249</f>
        <v>117847.909957688</v>
      </c>
      <c r="Z245" s="66" t="n">
        <f aca="false">Y249</f>
        <v>123470.280858111</v>
      </c>
      <c r="AA245" s="66" t="n">
        <f aca="false">Z249</f>
        <v>129036.42804953</v>
      </c>
      <c r="AB245" s="66" t="n">
        <f aca="false">AA249</f>
        <v>137377.834519035</v>
      </c>
      <c r="AC245" s="66" t="n">
        <f aca="false">AB249</f>
        <v>145635.826923845</v>
      </c>
      <c r="AD245" s="66" t="n">
        <f aca="false">AC249</f>
        <v>153811.239404606</v>
      </c>
      <c r="AE245" s="66" t="n">
        <f aca="false">AD249</f>
        <v>161904.89776056</v>
      </c>
      <c r="AF245" s="66" t="n">
        <f aca="false">AE249</f>
        <v>169917.619532954</v>
      </c>
      <c r="AG245" s="66" t="n">
        <f aca="false">AF249</f>
        <v>177850.214087625</v>
      </c>
      <c r="AH245" s="66" t="n">
        <f aca="false">AG249</f>
        <v>185703.482696749</v>
      </c>
      <c r="AI245" s="66" t="n">
        <f aca="false">AH249</f>
        <v>193478.218619781</v>
      </c>
      <c r="AJ245" s="66" t="n">
        <f aca="false">AI249</f>
        <v>201175.207183583</v>
      </c>
      <c r="AK245" s="66" t="n">
        <f aca="false">AJ249</f>
        <v>208795.225861748</v>
      </c>
      <c r="AL245" s="66" t="n">
        <f aca="false">AK249</f>
        <v>216339.04435313</v>
      </c>
      <c r="AM245" s="66" t="n">
        <f aca="false">AL249</f>
        <v>223807.424659599</v>
      </c>
      <c r="AN245" s="66" t="n">
        <f aca="false">AM249</f>
        <v>235379.133664253</v>
      </c>
      <c r="AO245" s="66" t="n">
        <f aca="false">AN249</f>
        <v>246835.12557886</v>
      </c>
      <c r="AP245" s="66" t="n">
        <f aca="false">AO249</f>
        <v>258176.557574322</v>
      </c>
      <c r="AQ245" s="66" t="n">
        <f aca="false">AP249</f>
        <v>269404.575249828</v>
      </c>
      <c r="AR245" s="66" t="n">
        <f aca="false">AQ249</f>
        <v>280520.31274858</v>
      </c>
      <c r="AS245" s="66" t="n">
        <f aca="false">AR249</f>
        <v>291524.892872344</v>
      </c>
      <c r="AT245" s="66" t="n">
        <f aca="false">AS249</f>
        <v>302419.427194871</v>
      </c>
      <c r="AU245" s="66" t="n">
        <f aca="false">AT249</f>
        <v>313205.016174172</v>
      </c>
      <c r="AV245" s="66" t="n">
        <f aca="false">AU249</f>
        <v>323882.74926368</v>
      </c>
      <c r="AW245" s="66" t="n">
        <f aca="false">AV249</f>
        <v>334453.705022294</v>
      </c>
      <c r="AX245" s="66" t="n">
        <f aca="false">AW249</f>
        <v>344918.951223321</v>
      </c>
      <c r="AY245" s="66" t="n">
        <f aca="false">AX249</f>
        <v>355279.544962337</v>
      </c>
      <c r="AZ245" s="66" t="n">
        <f aca="false">AY249</f>
        <v>371763.235976633</v>
      </c>
      <c r="BA245" s="66" t="n">
        <f aca="false">AZ249</f>
        <v>388082.090080785</v>
      </c>
      <c r="BB245" s="66" t="n">
        <f aca="false">BA249</f>
        <v>404237.755643896</v>
      </c>
      <c r="BC245" s="66" t="n">
        <f aca="false">BB249</f>
        <v>420231.864551376</v>
      </c>
      <c r="BD245" s="66" t="n">
        <f aca="false">BC249</f>
        <v>436066.032369781</v>
      </c>
      <c r="BE245" s="66" t="n">
        <f aca="false">BD249</f>
        <v>451741.858510002</v>
      </c>
      <c r="BF245" s="66" t="n">
        <f aca="false">BE249</f>
        <v>467260.926388821</v>
      </c>
      <c r="BG245" s="66" t="n">
        <f aca="false">BF249</f>
        <v>482624.803588851</v>
      </c>
      <c r="BH245" s="66" t="n">
        <f aca="false">BG249</f>
        <v>497835.042016881</v>
      </c>
      <c r="BI245" s="66" t="n">
        <f aca="false">BH249</f>
        <v>512893.178060631</v>
      </c>
      <c r="BJ245" s="66" t="n">
        <f aca="false">BI249</f>
        <v>527800.732743944</v>
      </c>
    </row>
    <row r="246" customFormat="false" ht="15" hidden="false" customHeight="false" outlineLevel="0" collapsed="false">
      <c r="A246" s="6" t="s">
        <v>404</v>
      </c>
      <c r="C246" s="66" t="n">
        <f aca="false">C238*C242</f>
        <v>4862</v>
      </c>
      <c r="D246" s="66" t="n">
        <f aca="false">D238*D242</f>
        <v>4862</v>
      </c>
      <c r="E246" s="66" t="n">
        <f aca="false">E238*E242</f>
        <v>4862</v>
      </c>
      <c r="F246" s="66" t="n">
        <f aca="false">F238*F242</f>
        <v>4862</v>
      </c>
      <c r="G246" s="66" t="n">
        <f aca="false">G238*G242</f>
        <v>4862</v>
      </c>
      <c r="H246" s="66" t="n">
        <f aca="false">H238*H242</f>
        <v>4862</v>
      </c>
      <c r="I246" s="66" t="n">
        <f aca="false">I238*I242</f>
        <v>4862</v>
      </c>
      <c r="J246" s="66" t="n">
        <f aca="false">J238*J242</f>
        <v>4862</v>
      </c>
      <c r="K246" s="66" t="n">
        <f aca="false">K238*K242</f>
        <v>4862</v>
      </c>
      <c r="L246" s="66" t="n">
        <f aca="false">L238*L242</f>
        <v>4862</v>
      </c>
      <c r="M246" s="66" t="n">
        <f aca="false">M238*M242</f>
        <v>4862</v>
      </c>
      <c r="N246" s="66" t="n">
        <f aca="false">N238*N242</f>
        <v>4862</v>
      </c>
      <c r="O246" s="66" t="n">
        <f aca="false">O238*O242</f>
        <v>6800.85</v>
      </c>
      <c r="P246" s="66" t="n">
        <f aca="false">P238*P242</f>
        <v>6800.85</v>
      </c>
      <c r="Q246" s="66" t="n">
        <f aca="false">Q238*Q242</f>
        <v>6800.85</v>
      </c>
      <c r="R246" s="66" t="n">
        <f aca="false">R238*R242</f>
        <v>6800.85</v>
      </c>
      <c r="S246" s="66" t="n">
        <f aca="false">S238*S242</f>
        <v>6800.85</v>
      </c>
      <c r="T246" s="66" t="n">
        <f aca="false">T238*T242</f>
        <v>6800.85</v>
      </c>
      <c r="U246" s="66" t="n">
        <f aca="false">U238*U242</f>
        <v>6800.85</v>
      </c>
      <c r="V246" s="66" t="n">
        <f aca="false">V238*V242</f>
        <v>6800.85</v>
      </c>
      <c r="W246" s="66" t="n">
        <f aca="false">W238*W242</f>
        <v>6800.85</v>
      </c>
      <c r="X246" s="66" t="n">
        <f aca="false">X238*X242</f>
        <v>6800.85</v>
      </c>
      <c r="Y246" s="66" t="n">
        <f aca="false">Y238*Y242</f>
        <v>6800.85</v>
      </c>
      <c r="Z246" s="66" t="n">
        <f aca="false">Z238*Z242</f>
        <v>6800.85</v>
      </c>
      <c r="AA246" s="66" t="n">
        <f aca="false">AA238*AA242</f>
        <v>9631.77075</v>
      </c>
      <c r="AB246" s="66" t="n">
        <f aca="false">AB238*AB242</f>
        <v>9631.77075</v>
      </c>
      <c r="AC246" s="66" t="n">
        <f aca="false">AC238*AC242</f>
        <v>9631.77075</v>
      </c>
      <c r="AD246" s="66" t="n">
        <f aca="false">AD238*AD242</f>
        <v>9631.77075</v>
      </c>
      <c r="AE246" s="66" t="n">
        <f aca="false">AE238*AE242</f>
        <v>9631.77075</v>
      </c>
      <c r="AF246" s="66" t="n">
        <f aca="false">AF238*AF242</f>
        <v>9631.77075</v>
      </c>
      <c r="AG246" s="66" t="n">
        <f aca="false">AG238*AG242</f>
        <v>9631.77075</v>
      </c>
      <c r="AH246" s="66" t="n">
        <f aca="false">AH238*AH242</f>
        <v>9631.77075</v>
      </c>
      <c r="AI246" s="66" t="n">
        <f aca="false">AI238*AI242</f>
        <v>9631.77075</v>
      </c>
      <c r="AJ246" s="66" t="n">
        <f aca="false">AJ238*AJ242</f>
        <v>9631.77075</v>
      </c>
      <c r="AK246" s="66" t="n">
        <f aca="false">AK238*AK242</f>
        <v>9631.77075</v>
      </c>
      <c r="AL246" s="66" t="n">
        <f aca="false">AL238*AL242</f>
        <v>9631.77075</v>
      </c>
      <c r="AM246" s="66" t="n">
        <f aca="false">AM238*AM242</f>
        <v>13809.78325125</v>
      </c>
      <c r="AN246" s="66" t="n">
        <f aca="false">AN238*AN242</f>
        <v>13809.78325125</v>
      </c>
      <c r="AO246" s="66" t="n">
        <f aca="false">AO238*AO242</f>
        <v>13809.78325125</v>
      </c>
      <c r="AP246" s="66" t="n">
        <f aca="false">AP238*AP242</f>
        <v>13809.78325125</v>
      </c>
      <c r="AQ246" s="66" t="n">
        <f aca="false">AQ238*AQ242</f>
        <v>13809.78325125</v>
      </c>
      <c r="AR246" s="66" t="n">
        <f aca="false">AR238*AR242</f>
        <v>13809.78325125</v>
      </c>
      <c r="AS246" s="66" t="n">
        <f aca="false">AS238*AS242</f>
        <v>13809.78325125</v>
      </c>
      <c r="AT246" s="66" t="n">
        <f aca="false">AT238*AT242</f>
        <v>13809.78325125</v>
      </c>
      <c r="AU246" s="66" t="n">
        <f aca="false">AU238*AU242</f>
        <v>13809.78325125</v>
      </c>
      <c r="AV246" s="66" t="n">
        <f aca="false">AV238*AV242</f>
        <v>13809.78325125</v>
      </c>
      <c r="AW246" s="66" t="n">
        <f aca="false">AW238*AW242</f>
        <v>13809.78325125</v>
      </c>
      <c r="AX246" s="66" t="n">
        <f aca="false">AX238*AX242</f>
        <v>13809.78325125</v>
      </c>
      <c r="AY246" s="66" t="n">
        <f aca="false">AY238*AY242</f>
        <v>20036.4864639188</v>
      </c>
      <c r="AZ246" s="66" t="n">
        <f aca="false">AZ238*AZ242</f>
        <v>20036.4864639188</v>
      </c>
      <c r="BA246" s="66" t="n">
        <f aca="false">BA238*BA242</f>
        <v>20036.4864639188</v>
      </c>
      <c r="BB246" s="66" t="n">
        <f aca="false">BB238*BB242</f>
        <v>20036.4864639188</v>
      </c>
      <c r="BC246" s="66" t="n">
        <f aca="false">BC238*BC242</f>
        <v>20036.4864639188</v>
      </c>
      <c r="BD246" s="66" t="n">
        <f aca="false">BD238*BD242</f>
        <v>20036.4864639188</v>
      </c>
      <c r="BE246" s="66" t="n">
        <f aca="false">BE238*BE242</f>
        <v>20036.4864639188</v>
      </c>
      <c r="BF246" s="66" t="n">
        <f aca="false">BF238*BF242</f>
        <v>20036.4864639188</v>
      </c>
      <c r="BG246" s="66" t="n">
        <f aca="false">BG238*BG242</f>
        <v>20036.4864639188</v>
      </c>
      <c r="BH246" s="66" t="n">
        <f aca="false">BH238*BH242</f>
        <v>20036.4864639188</v>
      </c>
      <c r="BI246" s="66" t="n">
        <f aca="false">BI238*BI242</f>
        <v>20036.4864639188</v>
      </c>
      <c r="BJ246" s="66" t="n">
        <f aca="false">BJ238*BJ242</f>
        <v>20036.4864639188</v>
      </c>
    </row>
    <row r="247" customFormat="false" ht="15" hidden="false" customHeight="false" outlineLevel="0" collapsed="false">
      <c r="A247" s="6" t="s">
        <v>405</v>
      </c>
      <c r="C247" s="66" t="n">
        <f aca="false">C245*Inputs!$D$11</f>
        <v>35.7</v>
      </c>
      <c r="D247" s="66" t="n">
        <f aca="false">D245*Inputs!$D$11</f>
        <v>83.963</v>
      </c>
      <c r="E247" s="66" t="n">
        <f aca="false">E245*Inputs!$D$11</f>
        <v>131.74337</v>
      </c>
      <c r="F247" s="66" t="n">
        <f aca="false">F245*Inputs!$D$11</f>
        <v>179.0459363</v>
      </c>
      <c r="G247" s="66" t="n">
        <f aca="false">G245*Inputs!$D$11</f>
        <v>225.875476937</v>
      </c>
      <c r="H247" s="66" t="n">
        <f aca="false">H245*Inputs!$D$11</f>
        <v>272.23672216763</v>
      </c>
      <c r="I247" s="66" t="n">
        <f aca="false">I245*Inputs!$D$11</f>
        <v>318.134354945954</v>
      </c>
      <c r="J247" s="66" t="n">
        <f aca="false">J245*Inputs!$D$11</f>
        <v>363.573011396494</v>
      </c>
      <c r="K247" s="66" t="n">
        <f aca="false">K245*Inputs!$D$11</f>
        <v>408.557281282529</v>
      </c>
      <c r="L247" s="66" t="n">
        <f aca="false">L245*Inputs!$D$11</f>
        <v>453.091708469704</v>
      </c>
      <c r="M247" s="66" t="n">
        <f aca="false">M245*Inputs!$D$11</f>
        <v>497.180791385007</v>
      </c>
      <c r="N247" s="66" t="n">
        <f aca="false">N245*Inputs!$D$11</f>
        <v>540.828983471157</v>
      </c>
      <c r="O247" s="66" t="n">
        <f aca="false">O245*Inputs!$D$11</f>
        <v>584.040693636445</v>
      </c>
      <c r="P247" s="66" t="n">
        <f aca="false">P245*Inputs!$D$11</f>
        <v>646.208786700081</v>
      </c>
      <c r="Q247" s="66" t="n">
        <f aca="false">Q245*Inputs!$D$11</f>
        <v>707.75519883308</v>
      </c>
      <c r="R247" s="66" t="n">
        <f aca="false">R245*Inputs!$D$11</f>
        <v>768.686146844749</v>
      </c>
      <c r="S247" s="66" t="n">
        <f aca="false">S245*Inputs!$D$11</f>
        <v>829.007785376302</v>
      </c>
      <c r="T247" s="66" t="n">
        <f aca="false">T245*Inputs!$D$11</f>
        <v>888.726207522539</v>
      </c>
      <c r="U247" s="66" t="n">
        <f aca="false">U245*Inputs!$D$11</f>
        <v>947.847445447314</v>
      </c>
      <c r="V247" s="66" t="n">
        <f aca="false">V245*Inputs!$D$11</f>
        <v>1006.37747099284</v>
      </c>
      <c r="W247" s="66" t="n">
        <f aca="false">W245*Inputs!$D$11</f>
        <v>1064.32219628291</v>
      </c>
      <c r="X247" s="66" t="n">
        <f aca="false">X245*Inputs!$D$11</f>
        <v>1121.68747432008</v>
      </c>
      <c r="Y247" s="66" t="n">
        <f aca="false">Y245*Inputs!$D$11</f>
        <v>1178.47909957688</v>
      </c>
      <c r="Z247" s="66" t="n">
        <f aca="false">Z245*Inputs!$D$11</f>
        <v>1234.70280858111</v>
      </c>
      <c r="AA247" s="66" t="n">
        <f aca="false">AA245*Inputs!$D$11</f>
        <v>1290.3642804953</v>
      </c>
      <c r="AB247" s="66" t="n">
        <f aca="false">AB245*Inputs!$D$11</f>
        <v>1373.77834519035</v>
      </c>
      <c r="AC247" s="66" t="n">
        <f aca="false">AC245*Inputs!$D$11</f>
        <v>1456.35826923845</v>
      </c>
      <c r="AD247" s="66" t="n">
        <f aca="false">AD245*Inputs!$D$11</f>
        <v>1538.11239404606</v>
      </c>
      <c r="AE247" s="66" t="n">
        <f aca="false">AE245*Inputs!$D$11</f>
        <v>1619.0489776056</v>
      </c>
      <c r="AF247" s="66" t="n">
        <f aca="false">AF245*Inputs!$D$11</f>
        <v>1699.17619532954</v>
      </c>
      <c r="AG247" s="66" t="n">
        <f aca="false">AG245*Inputs!$D$11</f>
        <v>1778.50214087625</v>
      </c>
      <c r="AH247" s="66" t="n">
        <f aca="false">AH245*Inputs!$D$11</f>
        <v>1857.03482696749</v>
      </c>
      <c r="AI247" s="66" t="n">
        <f aca="false">AI245*Inputs!$D$11</f>
        <v>1934.78218619781</v>
      </c>
      <c r="AJ247" s="66" t="n">
        <f aca="false">AJ245*Inputs!$D$11</f>
        <v>2011.75207183583</v>
      </c>
      <c r="AK247" s="66" t="n">
        <f aca="false">AK245*Inputs!$D$11</f>
        <v>2087.95225861748</v>
      </c>
      <c r="AL247" s="66" t="n">
        <f aca="false">AL245*Inputs!$D$11</f>
        <v>2163.3904435313</v>
      </c>
      <c r="AM247" s="66" t="n">
        <f aca="false">AM245*Inputs!$D$11</f>
        <v>2238.07424659599</v>
      </c>
      <c r="AN247" s="66" t="n">
        <f aca="false">AN245*Inputs!$D$11</f>
        <v>2353.79133664253</v>
      </c>
      <c r="AO247" s="66" t="n">
        <f aca="false">AO245*Inputs!$D$11</f>
        <v>2468.3512557886</v>
      </c>
      <c r="AP247" s="66" t="n">
        <f aca="false">AP245*Inputs!$D$11</f>
        <v>2581.76557574322</v>
      </c>
      <c r="AQ247" s="66" t="n">
        <f aca="false">AQ245*Inputs!$D$11</f>
        <v>2694.04575249828</v>
      </c>
      <c r="AR247" s="66" t="n">
        <f aca="false">AR245*Inputs!$D$11</f>
        <v>2805.2031274858</v>
      </c>
      <c r="AS247" s="66" t="n">
        <f aca="false">AS245*Inputs!$D$11</f>
        <v>2915.24892872344</v>
      </c>
      <c r="AT247" s="66" t="n">
        <f aca="false">AT245*Inputs!$D$11</f>
        <v>3024.19427194871</v>
      </c>
      <c r="AU247" s="66" t="n">
        <f aca="false">AU245*Inputs!$D$11</f>
        <v>3132.05016174172</v>
      </c>
      <c r="AV247" s="66" t="n">
        <f aca="false">AV245*Inputs!$D$11</f>
        <v>3238.8274926368</v>
      </c>
      <c r="AW247" s="66" t="n">
        <f aca="false">AW245*Inputs!$D$11</f>
        <v>3344.53705022294</v>
      </c>
      <c r="AX247" s="66" t="n">
        <f aca="false">AX245*Inputs!$D$11</f>
        <v>3449.18951223321</v>
      </c>
      <c r="AY247" s="66" t="n">
        <f aca="false">AY245*Inputs!$D$11</f>
        <v>3552.79544962337</v>
      </c>
      <c r="AZ247" s="66" t="n">
        <f aca="false">AZ245*Inputs!$D$11</f>
        <v>3717.63235976633</v>
      </c>
      <c r="BA247" s="66" t="n">
        <f aca="false">BA245*Inputs!$D$11</f>
        <v>3880.82090080785</v>
      </c>
      <c r="BB247" s="66" t="n">
        <f aca="false">BB245*Inputs!$D$11</f>
        <v>4042.37755643896</v>
      </c>
      <c r="BC247" s="66" t="n">
        <f aca="false">BC245*Inputs!$D$11</f>
        <v>4202.31864551376</v>
      </c>
      <c r="BD247" s="66" t="n">
        <f aca="false">BD245*Inputs!$D$11</f>
        <v>4360.66032369781</v>
      </c>
      <c r="BE247" s="66" t="n">
        <f aca="false">BE245*Inputs!$D$11</f>
        <v>4517.41858510002</v>
      </c>
      <c r="BF247" s="66" t="n">
        <f aca="false">BF245*Inputs!$D$11</f>
        <v>4672.60926388821</v>
      </c>
      <c r="BG247" s="66" t="n">
        <f aca="false">BG245*Inputs!$D$11</f>
        <v>4826.24803588851</v>
      </c>
      <c r="BH247" s="66" t="n">
        <f aca="false">BH245*Inputs!$D$11</f>
        <v>4978.35042016881</v>
      </c>
      <c r="BI247" s="66" t="n">
        <f aca="false">BI245*Inputs!$D$11</f>
        <v>5128.93178060631</v>
      </c>
      <c r="BJ247" s="66" t="n">
        <f aca="false">BJ245*Inputs!$D$11</f>
        <v>5278.00732743944</v>
      </c>
    </row>
    <row r="248" customFormat="false" ht="15" hidden="false" customHeight="false" outlineLevel="0" collapsed="false">
      <c r="A248" s="6" t="s">
        <v>406</v>
      </c>
      <c r="C248" s="66" t="n">
        <f aca="false">-C245*Inputs!$D$10</f>
        <v>-71.4</v>
      </c>
      <c r="D248" s="66" t="n">
        <f aca="false">-D245*Inputs!$D$10</f>
        <v>-167.926</v>
      </c>
      <c r="E248" s="66" t="n">
        <f aca="false">-E245*Inputs!$D$10</f>
        <v>-263.48674</v>
      </c>
      <c r="F248" s="66" t="n">
        <f aca="false">-F245*Inputs!$D$10</f>
        <v>-358.0918726</v>
      </c>
      <c r="G248" s="66" t="n">
        <f aca="false">-G245*Inputs!$D$10</f>
        <v>-451.750953874</v>
      </c>
      <c r="H248" s="66" t="n">
        <f aca="false">-H245*Inputs!$D$10</f>
        <v>-544.47344433526</v>
      </c>
      <c r="I248" s="66" t="n">
        <f aca="false">-I245*Inputs!$D$10</f>
        <v>-636.268709891907</v>
      </c>
      <c r="J248" s="66" t="n">
        <f aca="false">-J245*Inputs!$D$10</f>
        <v>-727.146022792988</v>
      </c>
      <c r="K248" s="66" t="n">
        <f aca="false">-K245*Inputs!$D$10</f>
        <v>-817.114562565059</v>
      </c>
      <c r="L248" s="66" t="n">
        <f aca="false">-L245*Inputs!$D$10</f>
        <v>-906.183416939408</v>
      </c>
      <c r="M248" s="66" t="n">
        <f aca="false">-M245*Inputs!$D$10</f>
        <v>-994.361582770014</v>
      </c>
      <c r="N248" s="66" t="n">
        <f aca="false">-N245*Inputs!$D$10</f>
        <v>-1081.65796694231</v>
      </c>
      <c r="O248" s="66" t="n">
        <f aca="false">-O245*Inputs!$D$10</f>
        <v>-1168.08138727289</v>
      </c>
      <c r="P248" s="66" t="n">
        <f aca="false">-P245*Inputs!$D$10</f>
        <v>-1292.41757340016</v>
      </c>
      <c r="Q248" s="66" t="n">
        <f aca="false">-Q245*Inputs!$D$10</f>
        <v>-1415.51039766616</v>
      </c>
      <c r="R248" s="66" t="n">
        <f aca="false">-R245*Inputs!$D$10</f>
        <v>-1537.3722936895</v>
      </c>
      <c r="S248" s="66" t="n">
        <f aca="false">-S245*Inputs!$D$10</f>
        <v>-1658.0155707526</v>
      </c>
      <c r="T248" s="66" t="n">
        <f aca="false">-T245*Inputs!$D$10</f>
        <v>-1777.45241504508</v>
      </c>
      <c r="U248" s="66" t="n">
        <f aca="false">-U245*Inputs!$D$10</f>
        <v>-1895.69489089463</v>
      </c>
      <c r="V248" s="66" t="n">
        <f aca="false">-V245*Inputs!$D$10</f>
        <v>-2012.75494198568</v>
      </c>
      <c r="W248" s="66" t="n">
        <f aca="false">-W245*Inputs!$D$10</f>
        <v>-2128.64439256583</v>
      </c>
      <c r="X248" s="66" t="n">
        <f aca="false">-X245*Inputs!$D$10</f>
        <v>-2243.37494864017</v>
      </c>
      <c r="Y248" s="66" t="n">
        <f aca="false">-Y245*Inputs!$D$10</f>
        <v>-2356.95819915377</v>
      </c>
      <c r="Z248" s="66" t="n">
        <f aca="false">-Z245*Inputs!$D$10</f>
        <v>-2469.40561716223</v>
      </c>
      <c r="AA248" s="66" t="n">
        <f aca="false">-AA245*Inputs!$D$10</f>
        <v>-2580.72856099061</v>
      </c>
      <c r="AB248" s="66" t="n">
        <f aca="false">-AB245*Inputs!$D$10</f>
        <v>-2747.5566903807</v>
      </c>
      <c r="AC248" s="66" t="n">
        <f aca="false">-AC245*Inputs!$D$10</f>
        <v>-2912.71653847689</v>
      </c>
      <c r="AD248" s="66" t="n">
        <f aca="false">-AD245*Inputs!$D$10</f>
        <v>-3076.22478809212</v>
      </c>
      <c r="AE248" s="66" t="n">
        <f aca="false">-AE245*Inputs!$D$10</f>
        <v>-3238.0979552112</v>
      </c>
      <c r="AF248" s="66" t="n">
        <f aca="false">-AF245*Inputs!$D$10</f>
        <v>-3398.35239065909</v>
      </c>
      <c r="AG248" s="66" t="n">
        <f aca="false">-AG245*Inputs!$D$10</f>
        <v>-3557.0042817525</v>
      </c>
      <c r="AH248" s="66" t="n">
        <f aca="false">-AH245*Inputs!$D$10</f>
        <v>-3714.06965393497</v>
      </c>
      <c r="AI248" s="66" t="n">
        <f aca="false">-AI245*Inputs!$D$10</f>
        <v>-3869.56437239562</v>
      </c>
      <c r="AJ248" s="66" t="n">
        <f aca="false">-AJ245*Inputs!$D$10</f>
        <v>-4023.50414367167</v>
      </c>
      <c r="AK248" s="66" t="n">
        <f aca="false">-AK245*Inputs!$D$10</f>
        <v>-4175.90451723495</v>
      </c>
      <c r="AL248" s="66" t="n">
        <f aca="false">-AL245*Inputs!$D$10</f>
        <v>-4326.7808870626</v>
      </c>
      <c r="AM248" s="66" t="n">
        <f aca="false">-AM245*Inputs!$D$10</f>
        <v>-4476.14849319198</v>
      </c>
      <c r="AN248" s="66" t="n">
        <f aca="false">-AN245*Inputs!$D$10</f>
        <v>-4707.58267328506</v>
      </c>
      <c r="AO248" s="66" t="n">
        <f aca="false">-AO245*Inputs!$D$10</f>
        <v>-4936.7025115772</v>
      </c>
      <c r="AP248" s="66" t="n">
        <f aca="false">-AP245*Inputs!$D$10</f>
        <v>-5163.53115148643</v>
      </c>
      <c r="AQ248" s="66" t="n">
        <f aca="false">-AQ245*Inputs!$D$10</f>
        <v>-5388.09150499657</v>
      </c>
      <c r="AR248" s="66" t="n">
        <f aca="false">-AR245*Inputs!$D$10</f>
        <v>-5610.4062549716</v>
      </c>
      <c r="AS248" s="66" t="n">
        <f aca="false">-AS245*Inputs!$D$10</f>
        <v>-5830.49785744689</v>
      </c>
      <c r="AT248" s="66" t="n">
        <f aca="false">-AT245*Inputs!$D$10</f>
        <v>-6048.38854389742</v>
      </c>
      <c r="AU248" s="66" t="n">
        <f aca="false">-AU245*Inputs!$D$10</f>
        <v>-6264.10032348344</v>
      </c>
      <c r="AV248" s="66" t="n">
        <f aca="false">-AV245*Inputs!$D$10</f>
        <v>-6477.65498527361</v>
      </c>
      <c r="AW248" s="66" t="n">
        <f aca="false">-AW245*Inputs!$D$10</f>
        <v>-6689.07410044587</v>
      </c>
      <c r="AX248" s="66" t="n">
        <f aca="false">-AX245*Inputs!$D$10</f>
        <v>-6898.37902446641</v>
      </c>
      <c r="AY248" s="66" t="n">
        <f aca="false">-AY245*Inputs!$D$10</f>
        <v>-7105.59089924675</v>
      </c>
      <c r="AZ248" s="66" t="n">
        <f aca="false">-AZ245*Inputs!$D$10</f>
        <v>-7435.26471953265</v>
      </c>
      <c r="BA248" s="66" t="n">
        <f aca="false">-BA245*Inputs!$D$10</f>
        <v>-7761.6418016157</v>
      </c>
      <c r="BB248" s="66" t="n">
        <f aca="false">-BB245*Inputs!$D$10</f>
        <v>-8084.75511287792</v>
      </c>
      <c r="BC248" s="66" t="n">
        <f aca="false">-BC245*Inputs!$D$10</f>
        <v>-8404.63729102752</v>
      </c>
      <c r="BD248" s="66" t="n">
        <f aca="false">-BD245*Inputs!$D$10</f>
        <v>-8721.32064739562</v>
      </c>
      <c r="BE248" s="66" t="n">
        <f aca="false">-BE245*Inputs!$D$10</f>
        <v>-9034.83717020004</v>
      </c>
      <c r="BF248" s="66" t="n">
        <f aca="false">-BF245*Inputs!$D$10</f>
        <v>-9345.21852777641</v>
      </c>
      <c r="BG248" s="66" t="n">
        <f aca="false">-BG245*Inputs!$D$10</f>
        <v>-9652.49607177702</v>
      </c>
      <c r="BH248" s="66" t="n">
        <f aca="false">-BH245*Inputs!$D$10</f>
        <v>-9956.70084033763</v>
      </c>
      <c r="BI248" s="66" t="n">
        <f aca="false">-BI245*Inputs!$D$10</f>
        <v>-10257.8635612126</v>
      </c>
      <c r="BJ248" s="66" t="n">
        <f aca="false">-BJ245*Inputs!$D$10</f>
        <v>-10556.0146548789</v>
      </c>
    </row>
    <row r="249" customFormat="false" ht="15" hidden="false" customHeight="false" outlineLevel="0" collapsed="false">
      <c r="A249" s="111" t="s">
        <v>407</v>
      </c>
      <c r="C249" s="67" t="n">
        <f aca="false">C245+C246+C247+C248</f>
        <v>8396.3</v>
      </c>
      <c r="D249" s="67" t="n">
        <f aca="false">D245+D246+D247+D248</f>
        <v>13174.337</v>
      </c>
      <c r="E249" s="67" t="n">
        <f aca="false">E245+E246+E247+E248</f>
        <v>17904.59363</v>
      </c>
      <c r="F249" s="67" t="n">
        <f aca="false">F245+F246+F247+F248</f>
        <v>22587.5476937</v>
      </c>
      <c r="G249" s="67" t="n">
        <f aca="false">G245+G246+G247+G248</f>
        <v>27223.672216763</v>
      </c>
      <c r="H249" s="67" t="n">
        <f aca="false">H245+H246+H247+H248</f>
        <v>31813.4354945954</v>
      </c>
      <c r="I249" s="67" t="n">
        <f aca="false">I245+I246+I247+I248</f>
        <v>36357.3011396494</v>
      </c>
      <c r="J249" s="67" t="n">
        <f aca="false">J245+J246+J247+J248</f>
        <v>40855.7281282529</v>
      </c>
      <c r="K249" s="67" t="n">
        <f aca="false">K245+K246+K247+K248</f>
        <v>45309.1708469704</v>
      </c>
      <c r="L249" s="67" t="n">
        <f aca="false">L245+L246+L247+L248</f>
        <v>49718.0791385007</v>
      </c>
      <c r="M249" s="67" t="n">
        <f aca="false">M245+M246+M247+M248</f>
        <v>54082.8983471157</v>
      </c>
      <c r="N249" s="67" t="n">
        <f aca="false">N245+N246+N247+N248</f>
        <v>58404.0693636445</v>
      </c>
      <c r="O249" s="67" t="n">
        <f aca="false">O245+O246+O247+O248</f>
        <v>64620.8786700081</v>
      </c>
      <c r="P249" s="67" t="n">
        <f aca="false">P245+P246+P247+P248</f>
        <v>70775.519883308</v>
      </c>
      <c r="Q249" s="67" t="n">
        <f aca="false">Q245+Q246+Q247+Q248</f>
        <v>76868.6146844749</v>
      </c>
      <c r="R249" s="67" t="n">
        <f aca="false">R245+R246+R247+R248</f>
        <v>82900.7785376302</v>
      </c>
      <c r="S249" s="67" t="n">
        <f aca="false">S245+S246+S247+S248</f>
        <v>88872.6207522539</v>
      </c>
      <c r="T249" s="67" t="n">
        <f aca="false">T245+T246+T247+T248</f>
        <v>94784.7445447314</v>
      </c>
      <c r="U249" s="67" t="n">
        <f aca="false">U245+U246+U247+U248</f>
        <v>100637.747099284</v>
      </c>
      <c r="V249" s="67" t="n">
        <f aca="false">V245+V246+V247+V248</f>
        <v>106432.219628291</v>
      </c>
      <c r="W249" s="67" t="n">
        <f aca="false">W245+W246+W247+W248</f>
        <v>112168.747432008</v>
      </c>
      <c r="X249" s="67" t="n">
        <f aca="false">X245+X246+X247+X248</f>
        <v>117847.909957688</v>
      </c>
      <c r="Y249" s="67" t="n">
        <f aca="false">Y245+Y246+Y247+Y248</f>
        <v>123470.280858111</v>
      </c>
      <c r="Z249" s="67" t="n">
        <f aca="false">Z245+Z246+Z247+Z248</f>
        <v>129036.42804953</v>
      </c>
      <c r="AA249" s="67" t="n">
        <f aca="false">AA245+AA246+AA247+AA248</f>
        <v>137377.834519035</v>
      </c>
      <c r="AB249" s="67" t="n">
        <f aca="false">AB245+AB246+AB247+AB248</f>
        <v>145635.826923845</v>
      </c>
      <c r="AC249" s="67" t="n">
        <f aca="false">AC245+AC246+AC247+AC248</f>
        <v>153811.239404606</v>
      </c>
      <c r="AD249" s="67" t="n">
        <f aca="false">AD245+AD246+AD247+AD248</f>
        <v>161904.89776056</v>
      </c>
      <c r="AE249" s="67" t="n">
        <f aca="false">AE245+AE246+AE247+AE248</f>
        <v>169917.619532954</v>
      </c>
      <c r="AF249" s="67" t="n">
        <f aca="false">AF245+AF246+AF247+AF248</f>
        <v>177850.214087625</v>
      </c>
      <c r="AG249" s="67" t="n">
        <f aca="false">AG245+AG246+AG247+AG248</f>
        <v>185703.482696749</v>
      </c>
      <c r="AH249" s="67" t="n">
        <f aca="false">AH245+AH246+AH247+AH248</f>
        <v>193478.218619781</v>
      </c>
      <c r="AI249" s="67" t="n">
        <f aca="false">AI245+AI246+AI247+AI248</f>
        <v>201175.207183583</v>
      </c>
      <c r="AJ249" s="67" t="n">
        <f aca="false">AJ245+AJ246+AJ247+AJ248</f>
        <v>208795.225861748</v>
      </c>
      <c r="AK249" s="67" t="n">
        <f aca="false">AK245+AK246+AK247+AK248</f>
        <v>216339.04435313</v>
      </c>
      <c r="AL249" s="67" t="n">
        <f aca="false">AL245+AL246+AL247+AL248</f>
        <v>223807.424659599</v>
      </c>
      <c r="AM249" s="67" t="n">
        <f aca="false">AM245+AM246+AM247+AM248</f>
        <v>235379.133664253</v>
      </c>
      <c r="AN249" s="67" t="n">
        <f aca="false">AN245+AN246+AN247+AN248</f>
        <v>246835.12557886</v>
      </c>
      <c r="AO249" s="67" t="n">
        <f aca="false">AO245+AO246+AO247+AO248</f>
        <v>258176.557574322</v>
      </c>
      <c r="AP249" s="67" t="n">
        <f aca="false">AP245+AP246+AP247+AP248</f>
        <v>269404.575249828</v>
      </c>
      <c r="AQ249" s="67" t="n">
        <f aca="false">AQ245+AQ246+AQ247+AQ248</f>
        <v>280520.31274858</v>
      </c>
      <c r="AR249" s="67" t="n">
        <f aca="false">AR245+AR246+AR247+AR248</f>
        <v>291524.892872344</v>
      </c>
      <c r="AS249" s="67" t="n">
        <f aca="false">AS245+AS246+AS247+AS248</f>
        <v>302419.427194871</v>
      </c>
      <c r="AT249" s="67" t="n">
        <f aca="false">AT245+AT246+AT247+AT248</f>
        <v>313205.016174172</v>
      </c>
      <c r="AU249" s="67" t="n">
        <f aca="false">AU245+AU246+AU247+AU248</f>
        <v>323882.74926368</v>
      </c>
      <c r="AV249" s="67" t="n">
        <f aca="false">AV245+AV246+AV247+AV248</f>
        <v>334453.705022294</v>
      </c>
      <c r="AW249" s="67" t="n">
        <f aca="false">AW245+AW246+AW247+AW248</f>
        <v>344918.951223321</v>
      </c>
      <c r="AX249" s="67" t="n">
        <f aca="false">AX245+AX246+AX247+AX248</f>
        <v>355279.544962337</v>
      </c>
      <c r="AY249" s="67" t="n">
        <f aca="false">AY245+AY246+AY247+AY248</f>
        <v>371763.235976633</v>
      </c>
      <c r="AZ249" s="67" t="n">
        <f aca="false">AZ245+AZ246+AZ247+AZ248</f>
        <v>388082.090080785</v>
      </c>
      <c r="BA249" s="67" t="n">
        <f aca="false">BA245+BA246+BA247+BA248</f>
        <v>404237.755643896</v>
      </c>
      <c r="BB249" s="67" t="n">
        <f aca="false">BB245+BB246+BB247+BB248</f>
        <v>420231.864551376</v>
      </c>
      <c r="BC249" s="67" t="n">
        <f aca="false">BC245+BC246+BC247+BC248</f>
        <v>436066.032369781</v>
      </c>
      <c r="BD249" s="67" t="n">
        <f aca="false">BD245+BD246+BD247+BD248</f>
        <v>451741.858510002</v>
      </c>
      <c r="BE249" s="67" t="n">
        <f aca="false">BE245+BE246+BE247+BE248</f>
        <v>467260.926388821</v>
      </c>
      <c r="BF249" s="67" t="n">
        <f aca="false">BF245+BF246+BF247+BF248</f>
        <v>482624.803588851</v>
      </c>
      <c r="BG249" s="67" t="n">
        <f aca="false">BG245+BG246+BG247+BG248</f>
        <v>497835.042016881</v>
      </c>
      <c r="BH249" s="67" t="n">
        <f aca="false">BH245+BH246+BH247+BH248</f>
        <v>512893.178060631</v>
      </c>
      <c r="BI249" s="67" t="n">
        <f aca="false">BI245+BI246+BI247+BI248</f>
        <v>527800.732743944</v>
      </c>
      <c r="BJ249" s="67" t="n">
        <f aca="false">BJ245+BJ246+BJ247+BJ248</f>
        <v>542559.211880423</v>
      </c>
    </row>
    <row r="251" customFormat="false" ht="15.75" hidden="false" customHeight="true" outlineLevel="0" collapsed="false">
      <c r="A251" s="7" t="s">
        <v>408</v>
      </c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</row>
    <row r="252" customFormat="false" ht="15" hidden="false" customHeight="false" outlineLevel="0" collapsed="false">
      <c r="A252" s="111" t="s">
        <v>409</v>
      </c>
      <c r="C252" s="67" t="n">
        <f aca="false">(C245+C249)/2*1</f>
        <v>5983.15</v>
      </c>
      <c r="D252" s="67" t="n">
        <f aca="false">(D245+D249)/2*1</f>
        <v>10785.3185</v>
      </c>
      <c r="E252" s="67" t="n">
        <f aca="false">(E245+E249)/2*1</f>
        <v>15539.465315</v>
      </c>
      <c r="F252" s="67" t="n">
        <f aca="false">(F245+F249)/2*1</f>
        <v>20246.07066185</v>
      </c>
      <c r="G252" s="67" t="n">
        <f aca="false">(G245+G249)/2*1</f>
        <v>24905.6099552315</v>
      </c>
      <c r="H252" s="67" t="n">
        <f aca="false">(H245+H249)/2*1</f>
        <v>29518.5538556792</v>
      </c>
      <c r="I252" s="67" t="n">
        <f aca="false">(I245+I249)/2*1</f>
        <v>34085.3683171224</v>
      </c>
      <c r="J252" s="67" t="n">
        <f aca="false">(J245+J249)/2*1</f>
        <v>38606.5146339512</v>
      </c>
      <c r="K252" s="67" t="n">
        <f aca="false">(K245+K249)/2*1</f>
        <v>43082.4494876117</v>
      </c>
      <c r="L252" s="67" t="n">
        <f aca="false">(L245+L249)/2*1</f>
        <v>47513.6249927355</v>
      </c>
      <c r="M252" s="67" t="n">
        <f aca="false">(M245+M249)/2*1</f>
        <v>51900.4887428082</v>
      </c>
      <c r="N252" s="67" t="n">
        <f aca="false">(N245+N249)/2*1</f>
        <v>56243.4838553801</v>
      </c>
      <c r="O252" s="67" t="n">
        <f aca="false">(O245+O249)/2*1</f>
        <v>61512.4740168263</v>
      </c>
      <c r="P252" s="67" t="n">
        <f aca="false">(P245+P249)/2*1</f>
        <v>67698.199276658</v>
      </c>
      <c r="Q252" s="67" t="n">
        <f aca="false">(Q245+Q249)/2*1</f>
        <v>73822.0672838915</v>
      </c>
      <c r="R252" s="67" t="n">
        <f aca="false">(R245+R249)/2*1</f>
        <v>79884.6966110526</v>
      </c>
      <c r="S252" s="67" t="n">
        <f aca="false">(S245+S249)/2*1</f>
        <v>85886.699644942</v>
      </c>
      <c r="T252" s="67" t="n">
        <f aca="false">(T245+T249)/2*1</f>
        <v>91828.6826484926</v>
      </c>
      <c r="U252" s="67" t="n">
        <f aca="false">(U245+U249)/2*1</f>
        <v>97711.2458220077</v>
      </c>
      <c r="V252" s="67" t="n">
        <f aca="false">(V245+V249)/2*1</f>
        <v>103534.983363788</v>
      </c>
      <c r="W252" s="67" t="n">
        <f aca="false">(W245+W249)/2*1</f>
        <v>109300.48353015</v>
      </c>
      <c r="X252" s="67" t="n">
        <f aca="false">(X245+X249)/2*1</f>
        <v>115008.328694848</v>
      </c>
      <c r="Y252" s="67" t="n">
        <f aca="false">(Y245+Y249)/2*1</f>
        <v>120659.0954079</v>
      </c>
      <c r="Z252" s="67" t="n">
        <f aca="false">(Z245+Z249)/2*1</f>
        <v>126253.354453821</v>
      </c>
      <c r="AA252" s="67" t="n">
        <f aca="false">(AA245+AA249)/2*1</f>
        <v>133207.131284283</v>
      </c>
      <c r="AB252" s="67" t="n">
        <f aca="false">(AB245+AB249)/2*1</f>
        <v>141506.83072144</v>
      </c>
      <c r="AC252" s="67" t="n">
        <f aca="false">(AC245+AC249)/2*1</f>
        <v>149723.533164225</v>
      </c>
      <c r="AD252" s="67" t="n">
        <f aca="false">(AD245+AD249)/2*1</f>
        <v>157858.068582583</v>
      </c>
      <c r="AE252" s="67" t="n">
        <f aca="false">(AE245+AE249)/2*1</f>
        <v>165911.258646757</v>
      </c>
      <c r="AF252" s="67" t="n">
        <f aca="false">(AF245+AF249)/2*1</f>
        <v>173883.91681029</v>
      </c>
      <c r="AG252" s="67" t="n">
        <f aca="false">(AG245+AG249)/2*1</f>
        <v>181776.848392187</v>
      </c>
      <c r="AH252" s="67" t="n">
        <f aca="false">(AH245+AH249)/2*1</f>
        <v>189590.850658265</v>
      </c>
      <c r="AI252" s="67" t="n">
        <f aca="false">(AI245+AI249)/2*1</f>
        <v>197326.712901682</v>
      </c>
      <c r="AJ252" s="67" t="n">
        <f aca="false">(AJ245+AJ249)/2*1</f>
        <v>204985.216522665</v>
      </c>
      <c r="AK252" s="67" t="n">
        <f aca="false">(AK245+AK249)/2*1</f>
        <v>212567.135107439</v>
      </c>
      <c r="AL252" s="67" t="n">
        <f aca="false">(AL245+AL249)/2*1</f>
        <v>220073.234506364</v>
      </c>
      <c r="AM252" s="67" t="n">
        <f aca="false">(AM245+AM249)/2*1</f>
        <v>229593.279161926</v>
      </c>
      <c r="AN252" s="67" t="n">
        <f aca="false">(AN245+AN249)/2*1</f>
        <v>241107.129621556</v>
      </c>
      <c r="AO252" s="67" t="n">
        <f aca="false">(AO245+AO249)/2*1</f>
        <v>252505.841576591</v>
      </c>
      <c r="AP252" s="67" t="n">
        <f aca="false">(AP245+AP249)/2*1</f>
        <v>263790.566412075</v>
      </c>
      <c r="AQ252" s="67" t="n">
        <f aca="false">(AQ245+AQ249)/2*1</f>
        <v>274962.443999204</v>
      </c>
      <c r="AR252" s="67" t="n">
        <f aca="false">(AR245+AR249)/2*1</f>
        <v>286022.602810462</v>
      </c>
      <c r="AS252" s="67" t="n">
        <f aca="false">(AS245+AS249)/2*1</f>
        <v>296972.160033608</v>
      </c>
      <c r="AT252" s="67" t="n">
        <f aca="false">(AT245+AT249)/2*1</f>
        <v>307812.221684521</v>
      </c>
      <c r="AU252" s="67" t="n">
        <f aca="false">(AU245+AU249)/2*1</f>
        <v>318543.882718926</v>
      </c>
      <c r="AV252" s="67" t="n">
        <f aca="false">(AV245+AV249)/2*1</f>
        <v>329168.227142987</v>
      </c>
      <c r="AW252" s="67" t="n">
        <f aca="false">(AW245+AW249)/2*1</f>
        <v>339686.328122807</v>
      </c>
      <c r="AX252" s="67" t="n">
        <f aca="false">(AX245+AX249)/2*1</f>
        <v>350099.248092829</v>
      </c>
      <c r="AY252" s="67" t="n">
        <f aca="false">(AY245+AY249)/2*1</f>
        <v>363521.390469485</v>
      </c>
      <c r="AZ252" s="67" t="n">
        <f aca="false">(AZ245+AZ249)/2*1</f>
        <v>379922.663028709</v>
      </c>
      <c r="BA252" s="67" t="n">
        <f aca="false">(BA245+BA249)/2*1</f>
        <v>396159.922862341</v>
      </c>
      <c r="BB252" s="67" t="n">
        <f aca="false">(BB245+BB249)/2*1</f>
        <v>412234.810097636</v>
      </c>
      <c r="BC252" s="67" t="n">
        <f aca="false">(BC245+BC249)/2*1</f>
        <v>428148.948460578</v>
      </c>
      <c r="BD252" s="67" t="n">
        <f aca="false">(BD245+BD249)/2*1</f>
        <v>443903.945439891</v>
      </c>
      <c r="BE252" s="67" t="n">
        <f aca="false">(BE245+BE249)/2*1</f>
        <v>459501.392449411</v>
      </c>
      <c r="BF252" s="67" t="n">
        <f aca="false">(BF245+BF249)/2*1</f>
        <v>474942.864988836</v>
      </c>
      <c r="BG252" s="67" t="n">
        <f aca="false">(BG245+BG249)/2*1</f>
        <v>490229.922802866</v>
      </c>
      <c r="BH252" s="67" t="n">
        <f aca="false">(BH245+BH249)/2*1</f>
        <v>505364.110038756</v>
      </c>
      <c r="BI252" s="67" t="n">
        <f aca="false">(BI245+BI249)/2*1</f>
        <v>520346.955402288</v>
      </c>
      <c r="BJ252" s="67" t="n">
        <f aca="false">(BJ245+BJ249)/2*1</f>
        <v>535179.972312183</v>
      </c>
    </row>
    <row r="253" customFormat="false" ht="15" hidden="false" customHeight="false" outlineLevel="0" collapsed="false">
      <c r="A253" s="6" t="s">
        <v>75</v>
      </c>
      <c r="C253" s="66" t="n">
        <f aca="false">-(C252*Inputs!$D$18+(C239+C241)/2*Inputs!$D$19*1)</f>
        <v>-553.844857142857</v>
      </c>
      <c r="D253" s="66" t="n">
        <f aca="false">-(D252*Inputs!$D$18+(D239+D241)/2*Inputs!$D$19*1)</f>
        <v>-997.800194285714</v>
      </c>
      <c r="E253" s="66" t="n">
        <f aca="false">-(E252*Inputs!$D$18+(E239+E241)/2*Inputs!$D$19*1)</f>
        <v>-1436.71815948571</v>
      </c>
      <c r="F253" s="66" t="n">
        <f aca="false">-(F252*Inputs!$D$18+(F239+F241)/2*Inputs!$D$19*1)</f>
        <v>-1870.66108283371</v>
      </c>
      <c r="G253" s="66" t="n">
        <f aca="false">-(G252*Inputs!$D$18+(G239+G241)/2*Inputs!$D$19*1)</f>
        <v>-2299.69043199223</v>
      </c>
      <c r="H253" s="66" t="n">
        <f aca="false">-(H252*Inputs!$D$18+(H239+H241)/2*Inputs!$D$19*1)</f>
        <v>-2723.86682560229</v>
      </c>
      <c r="I253" s="66" t="n">
        <f aca="false">-(I252*Inputs!$D$18+(I239+I241)/2*Inputs!$D$19*1)</f>
        <v>-3143.2500464605</v>
      </c>
      <c r="J253" s="66" t="n">
        <f aca="false">-(J252*Inputs!$D$18+(J239+J241)/2*Inputs!$D$19*1)</f>
        <v>-3557.8990544707</v>
      </c>
      <c r="K253" s="66" t="n">
        <f aca="false">-(K252*Inputs!$D$18+(K239+K241)/2*Inputs!$D$19*1)</f>
        <v>-3967.87199937417</v>
      </c>
      <c r="L253" s="66" t="n">
        <f aca="false">-(L252*Inputs!$D$18+(L239+L241)/2*Inputs!$D$19*1)</f>
        <v>-4373.22623326249</v>
      </c>
      <c r="M253" s="66" t="n">
        <f aca="false">-(M252*Inputs!$D$18+(M239+M241)/2*Inputs!$D$19*1)</f>
        <v>-4774.01832287714</v>
      </c>
      <c r="N253" s="66" t="n">
        <f aca="false">-(N252*Inputs!$D$18+(N239+N241)/2*Inputs!$D$19*1)</f>
        <v>-5170.30406169956</v>
      </c>
      <c r="O253" s="66" t="n">
        <f aca="false">-(O252*Inputs!$D$18+(O239+O241)/2*Inputs!$D$19*1)</f>
        <v>-5649.87105326415</v>
      </c>
      <c r="P253" s="66" t="n">
        <f aca="false">-(P252*Inputs!$D$18+(P239+P241)/2*Inputs!$D$19*1)</f>
        <v>-6211.79446855519</v>
      </c>
      <c r="Q253" s="66" t="n">
        <f aca="false">-(Q252*Inputs!$D$18+(Q239+Q241)/2*Inputs!$D$19*1)</f>
        <v>-6767.42799574827</v>
      </c>
      <c r="R253" s="66" t="n">
        <f aca="false">-(R252*Inputs!$D$18+(R239+R241)/2*Inputs!$D$19*1)</f>
        <v>-7316.84794680328</v>
      </c>
      <c r="S253" s="66" t="n">
        <f aca="false">-(S252*Inputs!$D$18+(S239+S241)/2*Inputs!$D$19*1)</f>
        <v>-7860.12960229891</v>
      </c>
      <c r="T253" s="66" t="n">
        <f aca="false">-(T252*Inputs!$D$18+(T239+T241)/2*Inputs!$D$19*1)</f>
        <v>-8397.34722711174</v>
      </c>
      <c r="U253" s="66" t="n">
        <f aca="false">-(U252*Inputs!$D$18+(U239+U241)/2*Inputs!$D$19*1)</f>
        <v>-8928.57408583116</v>
      </c>
      <c r="V253" s="66" t="n">
        <f aca="false">-(V252*Inputs!$D$18+(V239+V241)/2*Inputs!$D$19*1)</f>
        <v>-9453.882457915</v>
      </c>
      <c r="W253" s="66" t="n">
        <f aca="false">-(W252*Inputs!$D$18+(W239+W241)/2*Inputs!$D$19*1)</f>
        <v>-9973.34365259059</v>
      </c>
      <c r="X253" s="66" t="n">
        <f aca="false">-(X252*Inputs!$D$18+(X239+X241)/2*Inputs!$D$19*1)</f>
        <v>-10487.0280235058</v>
      </c>
      <c r="Y253" s="66" t="n">
        <f aca="false">-(Y252*Inputs!$D$18+(Y239+Y241)/2*Inputs!$D$19*1)</f>
        <v>-10995.0049831344</v>
      </c>
      <c r="Z253" s="66" t="n">
        <f aca="false">-(Z252*Inputs!$D$18+(Z239+Z241)/2*Inputs!$D$19*1)</f>
        <v>-11497.3430169409</v>
      </c>
      <c r="AA253" s="66" t="n">
        <f aca="false">-(AA252*Inputs!$D$18+(AA239+AA241)/2*Inputs!$D$19*1)</f>
        <v>-12121.5858130223</v>
      </c>
      <c r="AB253" s="66" t="n">
        <f aca="false">-(AB252*Inputs!$D$18+(AB239+AB241)/2*Inputs!$D$19*1)</f>
        <v>-12866.3828903607</v>
      </c>
      <c r="AC253" s="66" t="n">
        <f aca="false">-(AC252*Inputs!$D$18+(AC239+AC241)/2*Inputs!$D$19*1)</f>
        <v>-13602.923785702</v>
      </c>
      <c r="AD253" s="66" t="n">
        <f aca="false">-(AD252*Inputs!$D$18+(AD239+AD241)/2*Inputs!$D$19*1)</f>
        <v>-14331.3072250908</v>
      </c>
      <c r="AE253" s="66" t="n">
        <f aca="false">-(AE252*Inputs!$D$18+(AE239+AE241)/2*Inputs!$D$19*1)</f>
        <v>-15051.6306240265</v>
      </c>
      <c r="AF253" s="66" t="n">
        <f aca="false">-(AF252*Inputs!$D$18+(AF239+AF241)/2*Inputs!$D$19*1)</f>
        <v>-15763.9901070348</v>
      </c>
      <c r="AG253" s="66" t="n">
        <f aca="false">-(AG252*Inputs!$D$18+(AG239+AG241)/2*Inputs!$D$19*1)</f>
        <v>-16468.4805269137</v>
      </c>
      <c r="AH253" s="66" t="n">
        <f aca="false">-(AH252*Inputs!$D$18+(AH239+AH241)/2*Inputs!$D$19*1)</f>
        <v>-17165.1954836606</v>
      </c>
      <c r="AI253" s="66" t="n">
        <f aca="false">-(AI252*Inputs!$D$18+(AI239+AI241)/2*Inputs!$D$19*1)</f>
        <v>-17854.2273430855</v>
      </c>
      <c r="AJ253" s="66" t="n">
        <f aca="false">-(AJ252*Inputs!$D$18+(AJ239+AJ241)/2*Inputs!$D$19*1)</f>
        <v>-18535.6672551165</v>
      </c>
      <c r="AK253" s="66" t="n">
        <f aca="false">-(AK252*Inputs!$D$18+(AK239+AK241)/2*Inputs!$D$19*1)</f>
        <v>-19209.6051718038</v>
      </c>
      <c r="AL253" s="66" t="n">
        <f aca="false">-(AL252*Inputs!$D$18+(AL239+AL241)/2*Inputs!$D$19*1)</f>
        <v>-19876.1298650251</v>
      </c>
      <c r="AM253" s="66" t="n">
        <f aca="false">-(AM252*Inputs!$D$18+(AM239+AM241)/2*Inputs!$D$19*1)</f>
        <v>-20722.5740868082</v>
      </c>
      <c r="AN253" s="66" t="n">
        <f aca="false">-(AN252*Inputs!$D$18+(AN239+AN241)/2*Inputs!$D$19*1)</f>
        <v>-21746.9506027873</v>
      </c>
      <c r="AO253" s="66" t="n">
        <f aca="false">-(AO252*Inputs!$D$18+(AO239+AO241)/2*Inputs!$D$19*1)</f>
        <v>-22760.0506688145</v>
      </c>
      <c r="AP253" s="66" t="n">
        <f aca="false">-(AP252*Inputs!$D$18+(AP239+AP241)/2*Inputs!$D$19*1)</f>
        <v>-23762.0077030852</v>
      </c>
      <c r="AQ253" s="66" t="n">
        <f aca="false">-(AQ252*Inputs!$D$18+(AQ239+AQ241)/2*Inputs!$D$19*1)</f>
        <v>-24752.9533765389</v>
      </c>
      <c r="AR253" s="66" t="n">
        <f aca="false">-(AR252*Inputs!$D$18+(AR239+AR241)/2*Inputs!$D$19*1)</f>
        <v>-25733.0176385932</v>
      </c>
      <c r="AS253" s="66" t="n">
        <f aca="false">-(AS252*Inputs!$D$18+(AS239+AS241)/2*Inputs!$D$19*1)</f>
        <v>-26702.3287424554</v>
      </c>
      <c r="AT253" s="66" t="n">
        <f aca="false">-(AT252*Inputs!$D$18+(AT239+AT241)/2*Inputs!$D$19*1)</f>
        <v>-27661.0132700189</v>
      </c>
      <c r="AU253" s="66" t="n">
        <f aca="false">-(AU252*Inputs!$D$18+(AU239+AU241)/2*Inputs!$D$19*1)</f>
        <v>-28609.1961563519</v>
      </c>
      <c r="AV253" s="66" t="n">
        <f aca="false">-(AV252*Inputs!$D$18+(AV239+AV241)/2*Inputs!$D$19*1)</f>
        <v>-29547.0007137857</v>
      </c>
      <c r="AW253" s="66" t="n">
        <f aca="false">-(AW252*Inputs!$D$18+(AW239+AW241)/2*Inputs!$D$19*1)</f>
        <v>-30474.5486556101</v>
      </c>
      <c r="AX253" s="66" t="n">
        <f aca="false">-(AX252*Inputs!$D$18+(AX239+AX241)/2*Inputs!$D$19*1)</f>
        <v>-31391.9601193818</v>
      </c>
      <c r="AY253" s="66" t="n">
        <f aca="false">-(AY252*Inputs!$D$18+(AY239+AY241)/2*Inputs!$D$19*1)</f>
        <v>-32577.1276397895</v>
      </c>
      <c r="AZ253" s="66" t="n">
        <f aca="false">-(AZ252*Inputs!$D$18+(AZ239+AZ241)/2*Inputs!$D$19*1)</f>
        <v>-34027.1034736256</v>
      </c>
      <c r="BA253" s="66" t="n">
        <f aca="false">-(BA252*Inputs!$D$18+(BA239+BA241)/2*Inputs!$D$19*1)</f>
        <v>-35461.2008088324</v>
      </c>
      <c r="BB253" s="66" t="n">
        <f aca="false">-(BB252*Inputs!$D$18+(BB239+BB241)/2*Inputs!$D$19*1)</f>
        <v>-36879.606005202</v>
      </c>
      <c r="BC253" s="66" t="n">
        <f aca="false">-(BC252*Inputs!$D$18+(BC239+BC241)/2*Inputs!$D$19*1)</f>
        <v>-38282.5030074325</v>
      </c>
      <c r="BD253" s="66" t="n">
        <f aca="false">-(BD252*Inputs!$D$18+(BD239+BD241)/2*Inputs!$D$19*1)</f>
        <v>-39670.0733803086</v>
      </c>
      <c r="BE253" s="66" t="n">
        <f aca="false">-(BE252*Inputs!$D$18+(BE239+BE241)/2*Inputs!$D$19*1)</f>
        <v>-41042.4963433107</v>
      </c>
      <c r="BF253" s="66" t="n">
        <f aca="false">-(BF252*Inputs!$D$18+(BF239+BF241)/2*Inputs!$D$19*1)</f>
        <v>-42399.9488046604</v>
      </c>
      <c r="BG253" s="66" t="n">
        <f aca="false">-(BG252*Inputs!$D$18+(BG239+BG241)/2*Inputs!$D$19*1)</f>
        <v>-43742.6053948146</v>
      </c>
      <c r="BH253" s="66" t="n">
        <f aca="false">-(BH252*Inputs!$D$18+(BH239+BH241)/2*Inputs!$D$19*1)</f>
        <v>-45070.638499417</v>
      </c>
      <c r="BI253" s="66" t="n">
        <f aca="false">-(BI252*Inputs!$D$18+(BI239+BI241)/2*Inputs!$D$19*1)</f>
        <v>-46384.218291716</v>
      </c>
      <c r="BJ253" s="66" t="n">
        <f aca="false">-(BJ252*Inputs!$D$18+(BJ239+BJ241)/2*Inputs!$D$19*1)</f>
        <v>-47683.5127644599</v>
      </c>
    </row>
    <row r="254" customFormat="false" ht="15" hidden="false" customHeight="false" outlineLevel="0" collapsed="false">
      <c r="A254" s="111" t="s">
        <v>45</v>
      </c>
      <c r="C254" s="67" t="n">
        <f aca="false">C252+C253</f>
        <v>5429.30514285714</v>
      </c>
      <c r="D254" s="67" t="n">
        <f aca="false">D252+D253</f>
        <v>9787.51830571429</v>
      </c>
      <c r="E254" s="67" t="n">
        <f aca="false">E252+E253</f>
        <v>14102.7471555143</v>
      </c>
      <c r="F254" s="67" t="n">
        <f aca="false">F252+F253</f>
        <v>18375.4095790163</v>
      </c>
      <c r="G254" s="67" t="n">
        <f aca="false">G252+G253</f>
        <v>22605.9195232393</v>
      </c>
      <c r="H254" s="67" t="n">
        <f aca="false">H252+H253</f>
        <v>26794.6870300769</v>
      </c>
      <c r="I254" s="67" t="n">
        <f aca="false">I252+I253</f>
        <v>30942.1182706619</v>
      </c>
      <c r="J254" s="67" t="n">
        <f aca="false">J252+J253</f>
        <v>35048.6155794805</v>
      </c>
      <c r="K254" s="67" t="n">
        <f aca="false">K252+K253</f>
        <v>39114.5774882375</v>
      </c>
      <c r="L254" s="67" t="n">
        <f aca="false">L252+L253</f>
        <v>43140.3987594731</v>
      </c>
      <c r="M254" s="67" t="n">
        <f aca="false">M252+M253</f>
        <v>47126.4704199311</v>
      </c>
      <c r="N254" s="67" t="n">
        <f aca="false">N252+N253</f>
        <v>51073.1797936806</v>
      </c>
      <c r="O254" s="67" t="n">
        <f aca="false">O252+O253</f>
        <v>55862.6029635622</v>
      </c>
      <c r="P254" s="67" t="n">
        <f aca="false">P252+P253</f>
        <v>61486.4048081028</v>
      </c>
      <c r="Q254" s="67" t="n">
        <f aca="false">Q252+Q253</f>
        <v>67054.6392881432</v>
      </c>
      <c r="R254" s="67" t="n">
        <f aca="false">R252+R253</f>
        <v>72567.8486642493</v>
      </c>
      <c r="S254" s="67" t="n">
        <f aca="false">S252+S253</f>
        <v>78026.5700426431</v>
      </c>
      <c r="T254" s="67" t="n">
        <f aca="false">T252+T253</f>
        <v>83431.3354213809</v>
      </c>
      <c r="U254" s="67" t="n">
        <f aca="false">U252+U253</f>
        <v>88782.6717361766</v>
      </c>
      <c r="V254" s="67" t="n">
        <f aca="false">V252+V253</f>
        <v>94081.1009058727</v>
      </c>
      <c r="W254" s="67" t="n">
        <f aca="false">W252+W253</f>
        <v>99327.1398775592</v>
      </c>
      <c r="X254" s="67" t="n">
        <f aca="false">X252+X253</f>
        <v>104521.300671343</v>
      </c>
      <c r="Y254" s="67" t="n">
        <f aca="false">Y252+Y253</f>
        <v>109664.090424765</v>
      </c>
      <c r="Z254" s="67" t="n">
        <f aca="false">Z252+Z253</f>
        <v>114756.01143688</v>
      </c>
      <c r="AA254" s="67" t="n">
        <f aca="false">AA252+AA253</f>
        <v>121085.54547126</v>
      </c>
      <c r="AB254" s="67" t="n">
        <f aca="false">AB252+AB253</f>
        <v>128640.447831079</v>
      </c>
      <c r="AC254" s="67" t="n">
        <f aca="false">AC252+AC253</f>
        <v>136120.609378523</v>
      </c>
      <c r="AD254" s="67" t="n">
        <f aca="false">AD252+AD253</f>
        <v>143526.761357492</v>
      </c>
      <c r="AE254" s="67" t="n">
        <f aca="false">AE252+AE253</f>
        <v>150859.628022731</v>
      </c>
      <c r="AF254" s="67" t="n">
        <f aca="false">AF252+AF253</f>
        <v>158119.926703255</v>
      </c>
      <c r="AG254" s="67" t="n">
        <f aca="false">AG252+AG253</f>
        <v>165308.367865273</v>
      </c>
      <c r="AH254" s="67" t="n">
        <f aca="false">AH252+AH253</f>
        <v>172425.655174604</v>
      </c>
      <c r="AI254" s="67" t="n">
        <f aca="false">AI252+AI253</f>
        <v>179472.485558597</v>
      </c>
      <c r="AJ254" s="67" t="n">
        <f aca="false">AJ252+AJ253</f>
        <v>186449.549267549</v>
      </c>
      <c r="AK254" s="67" t="n">
        <f aca="false">AK252+AK253</f>
        <v>193357.529935635</v>
      </c>
      <c r="AL254" s="67" t="n">
        <f aca="false">AL252+AL253</f>
        <v>200197.104641339</v>
      </c>
      <c r="AM254" s="67" t="n">
        <f aca="false">AM252+AM253</f>
        <v>208870.705075118</v>
      </c>
      <c r="AN254" s="67" t="n">
        <f aca="false">AN252+AN253</f>
        <v>219360.179018769</v>
      </c>
      <c r="AO254" s="67" t="n">
        <f aca="false">AO252+AO253</f>
        <v>229745.790907776</v>
      </c>
      <c r="AP254" s="67" t="n">
        <f aca="false">AP252+AP253</f>
        <v>240028.55870899</v>
      </c>
      <c r="AQ254" s="67" t="n">
        <f aca="false">AQ252+AQ253</f>
        <v>250209.490622665</v>
      </c>
      <c r="AR254" s="67" t="n">
        <f aca="false">AR252+AR253</f>
        <v>260289.585171869</v>
      </c>
      <c r="AS254" s="67" t="n">
        <f aca="false">AS252+AS253</f>
        <v>270269.831291152</v>
      </c>
      <c r="AT254" s="67" t="n">
        <f aca="false">AT252+AT253</f>
        <v>280151.208414503</v>
      </c>
      <c r="AU254" s="67" t="n">
        <f aca="false">AU252+AU253</f>
        <v>289934.686562574</v>
      </c>
      <c r="AV254" s="67" t="n">
        <f aca="false">AV252+AV253</f>
        <v>299621.226429201</v>
      </c>
      <c r="AW254" s="67" t="n">
        <f aca="false">AW252+AW253</f>
        <v>309211.779467197</v>
      </c>
      <c r="AX254" s="67" t="n">
        <f aca="false">AX252+AX253</f>
        <v>318707.287973447</v>
      </c>
      <c r="AY254" s="67" t="n">
        <f aca="false">AY252+AY253</f>
        <v>330944.262829696</v>
      </c>
      <c r="AZ254" s="67" t="n">
        <f aca="false">AZ252+AZ253</f>
        <v>345895.559555083</v>
      </c>
      <c r="BA254" s="67" t="n">
        <f aca="false">BA252+BA253</f>
        <v>360698.722053508</v>
      </c>
      <c r="BB254" s="67" t="n">
        <f aca="false">BB252+BB253</f>
        <v>375355.204092434</v>
      </c>
      <c r="BC254" s="67" t="n">
        <f aca="false">BC252+BC253</f>
        <v>389866.445453146</v>
      </c>
      <c r="BD254" s="67" t="n">
        <f aca="false">BD252+BD253</f>
        <v>404233.872059583</v>
      </c>
      <c r="BE254" s="67" t="n">
        <f aca="false">BE252+BE253</f>
        <v>418458.8961061</v>
      </c>
      <c r="BF254" s="67" t="n">
        <f aca="false">BF252+BF253</f>
        <v>432542.916184175</v>
      </c>
      <c r="BG254" s="67" t="n">
        <f aca="false">BG252+BG253</f>
        <v>446487.317408052</v>
      </c>
      <c r="BH254" s="67" t="n">
        <f aca="false">BH252+BH253</f>
        <v>460293.471539339</v>
      </c>
      <c r="BI254" s="67" t="n">
        <f aca="false">BI252+BI253</f>
        <v>473962.737110572</v>
      </c>
      <c r="BJ254" s="67" t="n">
        <f aca="false">BJ252+BJ253</f>
        <v>487496.459547723</v>
      </c>
    </row>
    <row r="256" customFormat="false" ht="15.75" hidden="false" customHeight="true" outlineLevel="0" collapsed="false">
      <c r="A256" s="7" t="s">
        <v>47</v>
      </c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</row>
    <row r="257" customFormat="false" ht="15" hidden="false" customHeight="false" outlineLevel="0" collapsed="false">
      <c r="A257" s="6" t="s">
        <v>318</v>
      </c>
      <c r="C257" s="66" t="n">
        <f aca="false">C340</f>
        <v>-61750</v>
      </c>
      <c r="D257" s="66" t="n">
        <f aca="false">D340</f>
        <v>-61750</v>
      </c>
      <c r="E257" s="66" t="n">
        <f aca="false">E340</f>
        <v>-61750</v>
      </c>
      <c r="F257" s="66" t="n">
        <f aca="false">F340</f>
        <v>-61750</v>
      </c>
      <c r="G257" s="66" t="n">
        <f aca="false">G340</f>
        <v>-61750</v>
      </c>
      <c r="H257" s="66" t="n">
        <f aca="false">H340</f>
        <v>-61750</v>
      </c>
      <c r="I257" s="66" t="n">
        <f aca="false">I340</f>
        <v>-61750</v>
      </c>
      <c r="J257" s="66" t="n">
        <f aca="false">J340</f>
        <v>-61750</v>
      </c>
      <c r="K257" s="66" t="n">
        <f aca="false">K340</f>
        <v>-61750</v>
      </c>
      <c r="L257" s="66" t="n">
        <f aca="false">L340</f>
        <v>-61750</v>
      </c>
      <c r="M257" s="66" t="n">
        <f aca="false">M340</f>
        <v>-61750</v>
      </c>
      <c r="N257" s="66" t="n">
        <f aca="false">N340</f>
        <v>-61750</v>
      </c>
      <c r="O257" s="66" t="n">
        <f aca="false">O340</f>
        <v>-96330</v>
      </c>
      <c r="P257" s="66" t="n">
        <f aca="false">P340</f>
        <v>-96330</v>
      </c>
      <c r="Q257" s="66" t="n">
        <f aca="false">Q340</f>
        <v>-96330</v>
      </c>
      <c r="R257" s="66" t="n">
        <f aca="false">R340</f>
        <v>-96330</v>
      </c>
      <c r="S257" s="66" t="n">
        <f aca="false">S340</f>
        <v>-96330</v>
      </c>
      <c r="T257" s="66" t="n">
        <f aca="false">T340</f>
        <v>-96330</v>
      </c>
      <c r="U257" s="66" t="n">
        <f aca="false">U340</f>
        <v>-96330</v>
      </c>
      <c r="V257" s="66" t="n">
        <f aca="false">V340</f>
        <v>-96330</v>
      </c>
      <c r="W257" s="66" t="n">
        <f aca="false">W340</f>
        <v>-96330</v>
      </c>
      <c r="X257" s="66" t="n">
        <f aca="false">X340</f>
        <v>-96330</v>
      </c>
      <c r="Y257" s="66" t="n">
        <f aca="false">Y340</f>
        <v>-96330</v>
      </c>
      <c r="Z257" s="66" t="n">
        <f aca="false">Z340</f>
        <v>-96330</v>
      </c>
      <c r="AA257" s="66" t="n">
        <f aca="false">AA340</f>
        <v>-150274.8</v>
      </c>
      <c r="AB257" s="66" t="n">
        <f aca="false">AB340</f>
        <v>-150274.8</v>
      </c>
      <c r="AC257" s="66" t="n">
        <f aca="false">AC340</f>
        <v>-150274.8</v>
      </c>
      <c r="AD257" s="66" t="n">
        <f aca="false">AD340</f>
        <v>-150274.8</v>
      </c>
      <c r="AE257" s="66" t="n">
        <f aca="false">AE340</f>
        <v>-150274.8</v>
      </c>
      <c r="AF257" s="66" t="n">
        <f aca="false">AF340</f>
        <v>-150274.8</v>
      </c>
      <c r="AG257" s="66" t="n">
        <f aca="false">AG340</f>
        <v>-150274.8</v>
      </c>
      <c r="AH257" s="66" t="n">
        <f aca="false">AH340</f>
        <v>-150274.8</v>
      </c>
      <c r="AI257" s="66" t="n">
        <f aca="false">AI340</f>
        <v>-150274.8</v>
      </c>
      <c r="AJ257" s="66" t="n">
        <f aca="false">AJ340</f>
        <v>-150274.8</v>
      </c>
      <c r="AK257" s="66" t="n">
        <f aca="false">AK340</f>
        <v>-150274.8</v>
      </c>
      <c r="AL257" s="66" t="n">
        <f aca="false">AL340</f>
        <v>-150274.8</v>
      </c>
      <c r="AM257" s="66" t="n">
        <f aca="false">AM340</f>
        <v>-234428.688</v>
      </c>
      <c r="AN257" s="66" t="n">
        <f aca="false">AN340</f>
        <v>-234428.688</v>
      </c>
      <c r="AO257" s="66" t="n">
        <f aca="false">AO340</f>
        <v>-234428.688</v>
      </c>
      <c r="AP257" s="66" t="n">
        <f aca="false">AP340</f>
        <v>-234428.688</v>
      </c>
      <c r="AQ257" s="66" t="n">
        <f aca="false">AQ340</f>
        <v>-234428.688</v>
      </c>
      <c r="AR257" s="66" t="n">
        <f aca="false">AR340</f>
        <v>-234428.688</v>
      </c>
      <c r="AS257" s="66" t="n">
        <f aca="false">AS340</f>
        <v>-234428.688</v>
      </c>
      <c r="AT257" s="66" t="n">
        <f aca="false">AT340</f>
        <v>-234428.688</v>
      </c>
      <c r="AU257" s="66" t="n">
        <f aca="false">AU340</f>
        <v>-234428.688</v>
      </c>
      <c r="AV257" s="66" t="n">
        <f aca="false">AV340</f>
        <v>-234428.688</v>
      </c>
      <c r="AW257" s="66" t="n">
        <f aca="false">AW340</f>
        <v>-234428.688</v>
      </c>
      <c r="AX257" s="66" t="n">
        <f aca="false">AX340</f>
        <v>-234428.688</v>
      </c>
      <c r="AY257" s="66" t="n">
        <f aca="false">AY340</f>
        <v>-365708.75328</v>
      </c>
      <c r="AZ257" s="66" t="n">
        <f aca="false">AZ340</f>
        <v>-365708.75328</v>
      </c>
      <c r="BA257" s="66" t="n">
        <f aca="false">BA340</f>
        <v>-365708.75328</v>
      </c>
      <c r="BB257" s="66" t="n">
        <f aca="false">BB340</f>
        <v>-365708.75328</v>
      </c>
      <c r="BC257" s="66" t="n">
        <f aca="false">BC340</f>
        <v>-365708.75328</v>
      </c>
      <c r="BD257" s="66" t="n">
        <f aca="false">BD340</f>
        <v>-365708.75328</v>
      </c>
      <c r="BE257" s="66" t="n">
        <f aca="false">BE340</f>
        <v>-365708.75328</v>
      </c>
      <c r="BF257" s="66" t="n">
        <f aca="false">BF340</f>
        <v>-365708.75328</v>
      </c>
      <c r="BG257" s="66" t="n">
        <f aca="false">BG340</f>
        <v>-365708.75328</v>
      </c>
      <c r="BH257" s="66" t="n">
        <f aca="false">BH340</f>
        <v>-365708.75328</v>
      </c>
      <c r="BI257" s="66" t="n">
        <f aca="false">BI340</f>
        <v>-365708.75328</v>
      </c>
      <c r="BJ257" s="66" t="n">
        <f aca="false">BJ340</f>
        <v>-365708.75328</v>
      </c>
    </row>
    <row r="258" customFormat="false" ht="15" hidden="false" customHeight="false" outlineLevel="0" collapsed="false">
      <c r="A258" s="6" t="s">
        <v>319</v>
      </c>
      <c r="C258" s="66" t="n">
        <f aca="false">-Inputs!$D$14*(1+Inputs!$D$15)^(C$233-1)*1</f>
        <v>-8000</v>
      </c>
      <c r="D258" s="66" t="n">
        <f aca="false">-Inputs!$D$14*(1+Inputs!$D$15)^(D$233-1)*1</f>
        <v>-8000</v>
      </c>
      <c r="E258" s="66" t="n">
        <f aca="false">-Inputs!$D$14*(1+Inputs!$D$15)^(E$233-1)*1</f>
        <v>-8000</v>
      </c>
      <c r="F258" s="66" t="n">
        <f aca="false">-Inputs!$D$14*(1+Inputs!$D$15)^(F$233-1)*1</f>
        <v>-8000</v>
      </c>
      <c r="G258" s="66" t="n">
        <f aca="false">-Inputs!$D$14*(1+Inputs!$D$15)^(G$233-1)*1</f>
        <v>-8000</v>
      </c>
      <c r="H258" s="66" t="n">
        <f aca="false">-Inputs!$D$14*(1+Inputs!$D$15)^(H$233-1)*1</f>
        <v>-8000</v>
      </c>
      <c r="I258" s="66" t="n">
        <f aca="false">-Inputs!$D$14*(1+Inputs!$D$15)^(I$233-1)*1</f>
        <v>-8000</v>
      </c>
      <c r="J258" s="66" t="n">
        <f aca="false">-Inputs!$D$14*(1+Inputs!$D$15)^(J$233-1)*1</f>
        <v>-8000</v>
      </c>
      <c r="K258" s="66" t="n">
        <f aca="false">-Inputs!$D$14*(1+Inputs!$D$15)^(K$233-1)*1</f>
        <v>-8000</v>
      </c>
      <c r="L258" s="66" t="n">
        <f aca="false">-Inputs!$D$14*(1+Inputs!$D$15)^(L$233-1)*1</f>
        <v>-8000</v>
      </c>
      <c r="M258" s="66" t="n">
        <f aca="false">-Inputs!$D$14*(1+Inputs!$D$15)^(M$233-1)*1</f>
        <v>-8000</v>
      </c>
      <c r="N258" s="66" t="n">
        <f aca="false">-Inputs!$D$14*(1+Inputs!$D$15)^(N$233-1)*1</f>
        <v>-8000</v>
      </c>
      <c r="O258" s="66" t="n">
        <f aca="false">-Inputs!$D$14*(1+Inputs!$D$15)^(O$233-1)*1</f>
        <v>-9600</v>
      </c>
      <c r="P258" s="66" t="n">
        <f aca="false">-Inputs!$D$14*(1+Inputs!$D$15)^(P$233-1)*1</f>
        <v>-9600</v>
      </c>
      <c r="Q258" s="66" t="n">
        <f aca="false">-Inputs!$D$14*(1+Inputs!$D$15)^(Q$233-1)*1</f>
        <v>-9600</v>
      </c>
      <c r="R258" s="66" t="n">
        <f aca="false">-Inputs!$D$14*(1+Inputs!$D$15)^(R$233-1)*1</f>
        <v>-9600</v>
      </c>
      <c r="S258" s="66" t="n">
        <f aca="false">-Inputs!$D$14*(1+Inputs!$D$15)^(S$233-1)*1</f>
        <v>-9600</v>
      </c>
      <c r="T258" s="66" t="n">
        <f aca="false">-Inputs!$D$14*(1+Inputs!$D$15)^(T$233-1)*1</f>
        <v>-9600</v>
      </c>
      <c r="U258" s="66" t="n">
        <f aca="false">-Inputs!$D$14*(1+Inputs!$D$15)^(U$233-1)*1</f>
        <v>-9600</v>
      </c>
      <c r="V258" s="66" t="n">
        <f aca="false">-Inputs!$D$14*(1+Inputs!$D$15)^(V$233-1)*1</f>
        <v>-9600</v>
      </c>
      <c r="W258" s="66" t="n">
        <f aca="false">-Inputs!$D$14*(1+Inputs!$D$15)^(W$233-1)*1</f>
        <v>-9600</v>
      </c>
      <c r="X258" s="66" t="n">
        <f aca="false">-Inputs!$D$14*(1+Inputs!$D$15)^(X$233-1)*1</f>
        <v>-9600</v>
      </c>
      <c r="Y258" s="66" t="n">
        <f aca="false">-Inputs!$D$14*(1+Inputs!$D$15)^(Y$233-1)*1</f>
        <v>-9600</v>
      </c>
      <c r="Z258" s="66" t="n">
        <f aca="false">-Inputs!$D$14*(1+Inputs!$D$15)^(Z$233-1)*1</f>
        <v>-9600</v>
      </c>
      <c r="AA258" s="66" t="n">
        <f aca="false">-Inputs!$D$14*(1+Inputs!$D$15)^(AA$233-1)*1</f>
        <v>-11520</v>
      </c>
      <c r="AB258" s="66" t="n">
        <f aca="false">-Inputs!$D$14*(1+Inputs!$D$15)^(AB$233-1)*1</f>
        <v>-11520</v>
      </c>
      <c r="AC258" s="66" t="n">
        <f aca="false">-Inputs!$D$14*(1+Inputs!$D$15)^(AC$233-1)*1</f>
        <v>-11520</v>
      </c>
      <c r="AD258" s="66" t="n">
        <f aca="false">-Inputs!$D$14*(1+Inputs!$D$15)^(AD$233-1)*1</f>
        <v>-11520</v>
      </c>
      <c r="AE258" s="66" t="n">
        <f aca="false">-Inputs!$D$14*(1+Inputs!$D$15)^(AE$233-1)*1</f>
        <v>-11520</v>
      </c>
      <c r="AF258" s="66" t="n">
        <f aca="false">-Inputs!$D$14*(1+Inputs!$D$15)^(AF$233-1)*1</f>
        <v>-11520</v>
      </c>
      <c r="AG258" s="66" t="n">
        <f aca="false">-Inputs!$D$14*(1+Inputs!$D$15)^(AG$233-1)*1</f>
        <v>-11520</v>
      </c>
      <c r="AH258" s="66" t="n">
        <f aca="false">-Inputs!$D$14*(1+Inputs!$D$15)^(AH$233-1)*1</f>
        <v>-11520</v>
      </c>
      <c r="AI258" s="66" t="n">
        <f aca="false">-Inputs!$D$14*(1+Inputs!$D$15)^(AI$233-1)*1</f>
        <v>-11520</v>
      </c>
      <c r="AJ258" s="66" t="n">
        <f aca="false">-Inputs!$D$14*(1+Inputs!$D$15)^(AJ$233-1)*1</f>
        <v>-11520</v>
      </c>
      <c r="AK258" s="66" t="n">
        <f aca="false">-Inputs!$D$14*(1+Inputs!$D$15)^(AK$233-1)*1</f>
        <v>-11520</v>
      </c>
      <c r="AL258" s="66" t="n">
        <f aca="false">-Inputs!$D$14*(1+Inputs!$D$15)^(AL$233-1)*1</f>
        <v>-11520</v>
      </c>
      <c r="AM258" s="66" t="n">
        <f aca="false">-Inputs!$D$14*(1+Inputs!$D$15)^(AM$233-1)*1</f>
        <v>-13824</v>
      </c>
      <c r="AN258" s="66" t="n">
        <f aca="false">-Inputs!$D$14*(1+Inputs!$D$15)^(AN$233-1)*1</f>
        <v>-13824</v>
      </c>
      <c r="AO258" s="66" t="n">
        <f aca="false">-Inputs!$D$14*(1+Inputs!$D$15)^(AO$233-1)*1</f>
        <v>-13824</v>
      </c>
      <c r="AP258" s="66" t="n">
        <f aca="false">-Inputs!$D$14*(1+Inputs!$D$15)^(AP$233-1)*1</f>
        <v>-13824</v>
      </c>
      <c r="AQ258" s="66" t="n">
        <f aca="false">-Inputs!$D$14*(1+Inputs!$D$15)^(AQ$233-1)*1</f>
        <v>-13824</v>
      </c>
      <c r="AR258" s="66" t="n">
        <f aca="false">-Inputs!$D$14*(1+Inputs!$D$15)^(AR$233-1)*1</f>
        <v>-13824</v>
      </c>
      <c r="AS258" s="66" t="n">
        <f aca="false">-Inputs!$D$14*(1+Inputs!$D$15)^(AS$233-1)*1</f>
        <v>-13824</v>
      </c>
      <c r="AT258" s="66" t="n">
        <f aca="false">-Inputs!$D$14*(1+Inputs!$D$15)^(AT$233-1)*1</f>
        <v>-13824</v>
      </c>
      <c r="AU258" s="66" t="n">
        <f aca="false">-Inputs!$D$14*(1+Inputs!$D$15)^(AU$233-1)*1</f>
        <v>-13824</v>
      </c>
      <c r="AV258" s="66" t="n">
        <f aca="false">-Inputs!$D$14*(1+Inputs!$D$15)^(AV$233-1)*1</f>
        <v>-13824</v>
      </c>
      <c r="AW258" s="66" t="n">
        <f aca="false">-Inputs!$D$14*(1+Inputs!$D$15)^(AW$233-1)*1</f>
        <v>-13824</v>
      </c>
      <c r="AX258" s="66" t="n">
        <f aca="false">-Inputs!$D$14*(1+Inputs!$D$15)^(AX$233-1)*1</f>
        <v>-13824</v>
      </c>
      <c r="AY258" s="66" t="n">
        <f aca="false">-Inputs!$D$14*(1+Inputs!$D$15)^(AY$233-1)*1</f>
        <v>-16588.8</v>
      </c>
      <c r="AZ258" s="66" t="n">
        <f aca="false">-Inputs!$D$14*(1+Inputs!$D$15)^(AZ$233-1)*1</f>
        <v>-16588.8</v>
      </c>
      <c r="BA258" s="66" t="n">
        <f aca="false">-Inputs!$D$14*(1+Inputs!$D$15)^(BA$233-1)*1</f>
        <v>-16588.8</v>
      </c>
      <c r="BB258" s="66" t="n">
        <f aca="false">-Inputs!$D$14*(1+Inputs!$D$15)^(BB$233-1)*1</f>
        <v>-16588.8</v>
      </c>
      <c r="BC258" s="66" t="n">
        <f aca="false">-Inputs!$D$14*(1+Inputs!$D$15)^(BC$233-1)*1</f>
        <v>-16588.8</v>
      </c>
      <c r="BD258" s="66" t="n">
        <f aca="false">-Inputs!$D$14*(1+Inputs!$D$15)^(BD$233-1)*1</f>
        <v>-16588.8</v>
      </c>
      <c r="BE258" s="66" t="n">
        <f aca="false">-Inputs!$D$14*(1+Inputs!$D$15)^(BE$233-1)*1</f>
        <v>-16588.8</v>
      </c>
      <c r="BF258" s="66" t="n">
        <f aca="false">-Inputs!$D$14*(1+Inputs!$D$15)^(BF$233-1)*1</f>
        <v>-16588.8</v>
      </c>
      <c r="BG258" s="66" t="n">
        <f aca="false">-Inputs!$D$14*(1+Inputs!$D$15)^(BG$233-1)*1</f>
        <v>-16588.8</v>
      </c>
      <c r="BH258" s="66" t="n">
        <f aca="false">-Inputs!$D$14*(1+Inputs!$D$15)^(BH$233-1)*1</f>
        <v>-16588.8</v>
      </c>
      <c r="BI258" s="66" t="n">
        <f aca="false">-Inputs!$D$14*(1+Inputs!$D$15)^(BI$233-1)*1</f>
        <v>-16588.8</v>
      </c>
      <c r="BJ258" s="66" t="n">
        <f aca="false">-Inputs!$D$14*(1+Inputs!$D$15)^(BJ$233-1)*1</f>
        <v>-16588.8</v>
      </c>
    </row>
    <row r="259" customFormat="false" ht="15" hidden="false" customHeight="false" outlineLevel="0" collapsed="false">
      <c r="A259" s="6" t="s">
        <v>320</v>
      </c>
      <c r="C259" s="66" t="n">
        <f aca="false">-C333*Inputs!$D$20*1</f>
        <v>-900</v>
      </c>
      <c r="D259" s="66" t="n">
        <f aca="false">-D333*Inputs!$D$20*1</f>
        <v>-900</v>
      </c>
      <c r="E259" s="66" t="n">
        <f aca="false">-E333*Inputs!$D$20*1</f>
        <v>-900</v>
      </c>
      <c r="F259" s="66" t="n">
        <f aca="false">-F333*Inputs!$D$20*1</f>
        <v>-900</v>
      </c>
      <c r="G259" s="66" t="n">
        <f aca="false">-G333*Inputs!$D$20*1</f>
        <v>-900</v>
      </c>
      <c r="H259" s="66" t="n">
        <f aca="false">-H333*Inputs!$D$20*1</f>
        <v>-900</v>
      </c>
      <c r="I259" s="66" t="n">
        <f aca="false">-I333*Inputs!$D$20*1</f>
        <v>-900</v>
      </c>
      <c r="J259" s="66" t="n">
        <f aca="false">-J333*Inputs!$D$20*1</f>
        <v>-900</v>
      </c>
      <c r="K259" s="66" t="n">
        <f aca="false">-K333*Inputs!$D$20*1</f>
        <v>-900</v>
      </c>
      <c r="L259" s="66" t="n">
        <f aca="false">-L333*Inputs!$D$20*1</f>
        <v>-900</v>
      </c>
      <c r="M259" s="66" t="n">
        <f aca="false">-M333*Inputs!$D$20*1</f>
        <v>-900</v>
      </c>
      <c r="N259" s="66" t="n">
        <f aca="false">-N333*Inputs!$D$20*1</f>
        <v>-900</v>
      </c>
      <c r="O259" s="66" t="n">
        <f aca="false">-O333*Inputs!$D$20*1</f>
        <v>-1350</v>
      </c>
      <c r="P259" s="66" t="n">
        <f aca="false">-P333*Inputs!$D$20*1</f>
        <v>-1350</v>
      </c>
      <c r="Q259" s="66" t="n">
        <f aca="false">-Q333*Inputs!$D$20*1</f>
        <v>-1350</v>
      </c>
      <c r="R259" s="66" t="n">
        <f aca="false">-R333*Inputs!$D$20*1</f>
        <v>-1350</v>
      </c>
      <c r="S259" s="66" t="n">
        <f aca="false">-S333*Inputs!$D$20*1</f>
        <v>-1350</v>
      </c>
      <c r="T259" s="66" t="n">
        <f aca="false">-T333*Inputs!$D$20*1</f>
        <v>-1350</v>
      </c>
      <c r="U259" s="66" t="n">
        <f aca="false">-U333*Inputs!$D$20*1</f>
        <v>-1350</v>
      </c>
      <c r="V259" s="66" t="n">
        <f aca="false">-V333*Inputs!$D$20*1</f>
        <v>-1350</v>
      </c>
      <c r="W259" s="66" t="n">
        <f aca="false">-W333*Inputs!$D$20*1</f>
        <v>-1350</v>
      </c>
      <c r="X259" s="66" t="n">
        <f aca="false">-X333*Inputs!$D$20*1</f>
        <v>-1350</v>
      </c>
      <c r="Y259" s="66" t="n">
        <f aca="false">-Y333*Inputs!$D$20*1</f>
        <v>-1350</v>
      </c>
      <c r="Z259" s="66" t="n">
        <f aca="false">-Z333*Inputs!$D$20*1</f>
        <v>-1350</v>
      </c>
      <c r="AA259" s="66" t="n">
        <f aca="false">-AA333*Inputs!$D$20*1</f>
        <v>-2025</v>
      </c>
      <c r="AB259" s="66" t="n">
        <f aca="false">-AB333*Inputs!$D$20*1</f>
        <v>-2025</v>
      </c>
      <c r="AC259" s="66" t="n">
        <f aca="false">-AC333*Inputs!$D$20*1</f>
        <v>-2025</v>
      </c>
      <c r="AD259" s="66" t="n">
        <f aca="false">-AD333*Inputs!$D$20*1</f>
        <v>-2025</v>
      </c>
      <c r="AE259" s="66" t="n">
        <f aca="false">-AE333*Inputs!$D$20*1</f>
        <v>-2025</v>
      </c>
      <c r="AF259" s="66" t="n">
        <f aca="false">-AF333*Inputs!$D$20*1</f>
        <v>-2025</v>
      </c>
      <c r="AG259" s="66" t="n">
        <f aca="false">-AG333*Inputs!$D$20*1</f>
        <v>-2025</v>
      </c>
      <c r="AH259" s="66" t="n">
        <f aca="false">-AH333*Inputs!$D$20*1</f>
        <v>-2025</v>
      </c>
      <c r="AI259" s="66" t="n">
        <f aca="false">-AI333*Inputs!$D$20*1</f>
        <v>-2025</v>
      </c>
      <c r="AJ259" s="66" t="n">
        <f aca="false">-AJ333*Inputs!$D$20*1</f>
        <v>-2025</v>
      </c>
      <c r="AK259" s="66" t="n">
        <f aca="false">-AK333*Inputs!$D$20*1</f>
        <v>-2025</v>
      </c>
      <c r="AL259" s="66" t="n">
        <f aca="false">-AL333*Inputs!$D$20*1</f>
        <v>-2025</v>
      </c>
      <c r="AM259" s="66" t="n">
        <f aca="false">-AM333*Inputs!$D$20*1</f>
        <v>-3037.5</v>
      </c>
      <c r="AN259" s="66" t="n">
        <f aca="false">-AN333*Inputs!$D$20*1</f>
        <v>-3037.5</v>
      </c>
      <c r="AO259" s="66" t="n">
        <f aca="false">-AO333*Inputs!$D$20*1</f>
        <v>-3037.5</v>
      </c>
      <c r="AP259" s="66" t="n">
        <f aca="false">-AP333*Inputs!$D$20*1</f>
        <v>-3037.5</v>
      </c>
      <c r="AQ259" s="66" t="n">
        <f aca="false">-AQ333*Inputs!$D$20*1</f>
        <v>-3037.5</v>
      </c>
      <c r="AR259" s="66" t="n">
        <f aca="false">-AR333*Inputs!$D$20*1</f>
        <v>-3037.5</v>
      </c>
      <c r="AS259" s="66" t="n">
        <f aca="false">-AS333*Inputs!$D$20*1</f>
        <v>-3037.5</v>
      </c>
      <c r="AT259" s="66" t="n">
        <f aca="false">-AT333*Inputs!$D$20*1</f>
        <v>-3037.5</v>
      </c>
      <c r="AU259" s="66" t="n">
        <f aca="false">-AU333*Inputs!$D$20*1</f>
        <v>-3037.5</v>
      </c>
      <c r="AV259" s="66" t="n">
        <f aca="false">-AV333*Inputs!$D$20*1</f>
        <v>-3037.5</v>
      </c>
      <c r="AW259" s="66" t="n">
        <f aca="false">-AW333*Inputs!$D$20*1</f>
        <v>-3037.5</v>
      </c>
      <c r="AX259" s="66" t="n">
        <f aca="false">-AX333*Inputs!$D$20*1</f>
        <v>-3037.5</v>
      </c>
      <c r="AY259" s="66" t="n">
        <f aca="false">-AY333*Inputs!$D$20*1</f>
        <v>-4556.25</v>
      </c>
      <c r="AZ259" s="66" t="n">
        <f aca="false">-AZ333*Inputs!$D$20*1</f>
        <v>-4556.25</v>
      </c>
      <c r="BA259" s="66" t="n">
        <f aca="false">-BA333*Inputs!$D$20*1</f>
        <v>-4556.25</v>
      </c>
      <c r="BB259" s="66" t="n">
        <f aca="false">-BB333*Inputs!$D$20*1</f>
        <v>-4556.25</v>
      </c>
      <c r="BC259" s="66" t="n">
        <f aca="false">-BC333*Inputs!$D$20*1</f>
        <v>-4556.25</v>
      </c>
      <c r="BD259" s="66" t="n">
        <f aca="false">-BD333*Inputs!$D$20*1</f>
        <v>-4556.25</v>
      </c>
      <c r="BE259" s="66" t="n">
        <f aca="false">-BE333*Inputs!$D$20*1</f>
        <v>-4556.25</v>
      </c>
      <c r="BF259" s="66" t="n">
        <f aca="false">-BF333*Inputs!$D$20*1</f>
        <v>-4556.25</v>
      </c>
      <c r="BG259" s="66" t="n">
        <f aca="false">-BG333*Inputs!$D$20*1</f>
        <v>-4556.25</v>
      </c>
      <c r="BH259" s="66" t="n">
        <f aca="false">-BH333*Inputs!$D$20*1</f>
        <v>-4556.25</v>
      </c>
      <c r="BI259" s="66" t="n">
        <f aca="false">-BI333*Inputs!$D$20*1</f>
        <v>-4556.25</v>
      </c>
      <c r="BJ259" s="66" t="n">
        <f aca="false">-BJ333*Inputs!$D$20*1</f>
        <v>-4556.25</v>
      </c>
    </row>
    <row r="260" customFormat="false" ht="15" hidden="false" customHeight="false" outlineLevel="0" collapsed="false">
      <c r="A260" s="6" t="s">
        <v>321</v>
      </c>
      <c r="C260" s="66" t="n">
        <f aca="false">-Inputs!$D$21*1</f>
        <v>-1500</v>
      </c>
      <c r="D260" s="66" t="n">
        <f aca="false">-Inputs!$D$21*1</f>
        <v>-1500</v>
      </c>
      <c r="E260" s="66" t="n">
        <f aca="false">-Inputs!$D$21*1</f>
        <v>-1500</v>
      </c>
      <c r="F260" s="66" t="n">
        <f aca="false">-Inputs!$D$21*1</f>
        <v>-1500</v>
      </c>
      <c r="G260" s="66" t="n">
        <f aca="false">-Inputs!$D$21*1</f>
        <v>-1500</v>
      </c>
      <c r="H260" s="66" t="n">
        <f aca="false">-Inputs!$D$21*1</f>
        <v>-1500</v>
      </c>
      <c r="I260" s="66" t="n">
        <f aca="false">-Inputs!$D$21*1</f>
        <v>-1500</v>
      </c>
      <c r="J260" s="66" t="n">
        <f aca="false">-Inputs!$D$21*1</f>
        <v>-1500</v>
      </c>
      <c r="K260" s="66" t="n">
        <f aca="false">-Inputs!$D$21*1</f>
        <v>-1500</v>
      </c>
      <c r="L260" s="66" t="n">
        <f aca="false">-Inputs!$D$21*1</f>
        <v>-1500</v>
      </c>
      <c r="M260" s="66" t="n">
        <f aca="false">-Inputs!$D$21*1</f>
        <v>-1500</v>
      </c>
      <c r="N260" s="66" t="n">
        <f aca="false">-Inputs!$D$21*1</f>
        <v>-1500</v>
      </c>
      <c r="O260" s="66" t="n">
        <f aca="false">-Inputs!$D$21*1</f>
        <v>-1500</v>
      </c>
      <c r="P260" s="66" t="n">
        <f aca="false">-Inputs!$D$21*1</f>
        <v>-1500</v>
      </c>
      <c r="Q260" s="66" t="n">
        <f aca="false">-Inputs!$D$21*1</f>
        <v>-1500</v>
      </c>
      <c r="R260" s="66" t="n">
        <f aca="false">-Inputs!$D$21*1</f>
        <v>-1500</v>
      </c>
      <c r="S260" s="66" t="n">
        <f aca="false">-Inputs!$D$21*1</f>
        <v>-1500</v>
      </c>
      <c r="T260" s="66" t="n">
        <f aca="false">-Inputs!$D$21*1</f>
        <v>-1500</v>
      </c>
      <c r="U260" s="66" t="n">
        <f aca="false">-Inputs!$D$21*1</f>
        <v>-1500</v>
      </c>
      <c r="V260" s="66" t="n">
        <f aca="false">-Inputs!$D$21*1</f>
        <v>-1500</v>
      </c>
      <c r="W260" s="66" t="n">
        <f aca="false">-Inputs!$D$21*1</f>
        <v>-1500</v>
      </c>
      <c r="X260" s="66" t="n">
        <f aca="false">-Inputs!$D$21*1</f>
        <v>-1500</v>
      </c>
      <c r="Y260" s="66" t="n">
        <f aca="false">-Inputs!$D$21*1</f>
        <v>-1500</v>
      </c>
      <c r="Z260" s="66" t="n">
        <f aca="false">-Inputs!$D$21*1</f>
        <v>-1500</v>
      </c>
      <c r="AA260" s="66" t="n">
        <f aca="false">-Inputs!$D$21*1</f>
        <v>-1500</v>
      </c>
      <c r="AB260" s="66" t="n">
        <f aca="false">-Inputs!$D$21*1</f>
        <v>-1500</v>
      </c>
      <c r="AC260" s="66" t="n">
        <f aca="false">-Inputs!$D$21*1</f>
        <v>-1500</v>
      </c>
      <c r="AD260" s="66" t="n">
        <f aca="false">-Inputs!$D$21*1</f>
        <v>-1500</v>
      </c>
      <c r="AE260" s="66" t="n">
        <f aca="false">-Inputs!$D$21*1</f>
        <v>-1500</v>
      </c>
      <c r="AF260" s="66" t="n">
        <f aca="false">-Inputs!$D$21*1</f>
        <v>-1500</v>
      </c>
      <c r="AG260" s="66" t="n">
        <f aca="false">-Inputs!$D$21*1</f>
        <v>-1500</v>
      </c>
      <c r="AH260" s="66" t="n">
        <f aca="false">-Inputs!$D$21*1</f>
        <v>-1500</v>
      </c>
      <c r="AI260" s="66" t="n">
        <f aca="false">-Inputs!$D$21*1</f>
        <v>-1500</v>
      </c>
      <c r="AJ260" s="66" t="n">
        <f aca="false">-Inputs!$D$21*1</f>
        <v>-1500</v>
      </c>
      <c r="AK260" s="66" t="n">
        <f aca="false">-Inputs!$D$21*1</f>
        <v>-1500</v>
      </c>
      <c r="AL260" s="66" t="n">
        <f aca="false">-Inputs!$D$21*1</f>
        <v>-1500</v>
      </c>
      <c r="AM260" s="66" t="n">
        <f aca="false">-Inputs!$D$21*1</f>
        <v>-1500</v>
      </c>
      <c r="AN260" s="66" t="n">
        <f aca="false">-Inputs!$D$21*1</f>
        <v>-1500</v>
      </c>
      <c r="AO260" s="66" t="n">
        <f aca="false">-Inputs!$D$21*1</f>
        <v>-1500</v>
      </c>
      <c r="AP260" s="66" t="n">
        <f aca="false">-Inputs!$D$21*1</f>
        <v>-1500</v>
      </c>
      <c r="AQ260" s="66" t="n">
        <f aca="false">-Inputs!$D$21*1</f>
        <v>-1500</v>
      </c>
      <c r="AR260" s="66" t="n">
        <f aca="false">-Inputs!$D$21*1</f>
        <v>-1500</v>
      </c>
      <c r="AS260" s="66" t="n">
        <f aca="false">-Inputs!$D$21*1</f>
        <v>-1500</v>
      </c>
      <c r="AT260" s="66" t="n">
        <f aca="false">-Inputs!$D$21*1</f>
        <v>-1500</v>
      </c>
      <c r="AU260" s="66" t="n">
        <f aca="false">-Inputs!$D$21*1</f>
        <v>-1500</v>
      </c>
      <c r="AV260" s="66" t="n">
        <f aca="false">-Inputs!$D$21*1</f>
        <v>-1500</v>
      </c>
      <c r="AW260" s="66" t="n">
        <f aca="false">-Inputs!$D$21*1</f>
        <v>-1500</v>
      </c>
      <c r="AX260" s="66" t="n">
        <f aca="false">-Inputs!$D$21*1</f>
        <v>-1500</v>
      </c>
      <c r="AY260" s="66" t="n">
        <f aca="false">-Inputs!$D$21*1</f>
        <v>-1500</v>
      </c>
      <c r="AZ260" s="66" t="n">
        <f aca="false">-Inputs!$D$21*1</f>
        <v>-1500</v>
      </c>
      <c r="BA260" s="66" t="n">
        <f aca="false">-Inputs!$D$21*1</f>
        <v>-1500</v>
      </c>
      <c r="BB260" s="66" t="n">
        <f aca="false">-Inputs!$D$21*1</f>
        <v>-1500</v>
      </c>
      <c r="BC260" s="66" t="n">
        <f aca="false">-Inputs!$D$21*1</f>
        <v>-1500</v>
      </c>
      <c r="BD260" s="66" t="n">
        <f aca="false">-Inputs!$D$21*1</f>
        <v>-1500</v>
      </c>
      <c r="BE260" s="66" t="n">
        <f aca="false">-Inputs!$D$21*1</f>
        <v>-1500</v>
      </c>
      <c r="BF260" s="66" t="n">
        <f aca="false">-Inputs!$D$21*1</f>
        <v>-1500</v>
      </c>
      <c r="BG260" s="66" t="n">
        <f aca="false">-Inputs!$D$21*1</f>
        <v>-1500</v>
      </c>
      <c r="BH260" s="66" t="n">
        <f aca="false">-Inputs!$D$21*1</f>
        <v>-1500</v>
      </c>
      <c r="BI260" s="66" t="n">
        <f aca="false">-Inputs!$D$21*1</f>
        <v>-1500</v>
      </c>
      <c r="BJ260" s="66" t="n">
        <f aca="false">-Inputs!$D$21*1</f>
        <v>-1500</v>
      </c>
    </row>
    <row r="261" customFormat="false" ht="15" hidden="false" customHeight="false" outlineLevel="0" collapsed="false">
      <c r="A261" s="6" t="s">
        <v>322</v>
      </c>
      <c r="C261" s="66" t="n">
        <f aca="false">-Inputs!$D$22*1</f>
        <v>-3000</v>
      </c>
      <c r="D261" s="66" t="n">
        <f aca="false">-Inputs!$D$22*1</f>
        <v>-3000</v>
      </c>
      <c r="E261" s="66" t="n">
        <f aca="false">-Inputs!$D$22*1</f>
        <v>-3000</v>
      </c>
      <c r="F261" s="66" t="n">
        <f aca="false">-Inputs!$D$22*1</f>
        <v>-3000</v>
      </c>
      <c r="G261" s="66" t="n">
        <f aca="false">-Inputs!$D$22*1</f>
        <v>-3000</v>
      </c>
      <c r="H261" s="66" t="n">
        <f aca="false">-Inputs!$D$22*1</f>
        <v>-3000</v>
      </c>
      <c r="I261" s="66" t="n">
        <f aca="false">-Inputs!$D$22*1</f>
        <v>-3000</v>
      </c>
      <c r="J261" s="66" t="n">
        <f aca="false">-Inputs!$D$22*1</f>
        <v>-3000</v>
      </c>
      <c r="K261" s="66" t="n">
        <f aca="false">-Inputs!$D$22*1</f>
        <v>-3000</v>
      </c>
      <c r="L261" s="66" t="n">
        <f aca="false">-Inputs!$D$22*1</f>
        <v>-3000</v>
      </c>
      <c r="M261" s="66" t="n">
        <f aca="false">-Inputs!$D$22*1</f>
        <v>-3000</v>
      </c>
      <c r="N261" s="66" t="n">
        <f aca="false">-Inputs!$D$22*1</f>
        <v>-3000</v>
      </c>
      <c r="O261" s="66" t="n">
        <f aca="false">-Inputs!$D$22*1</f>
        <v>-3000</v>
      </c>
      <c r="P261" s="66" t="n">
        <f aca="false">-Inputs!$D$22*1</f>
        <v>-3000</v>
      </c>
      <c r="Q261" s="66" t="n">
        <f aca="false">-Inputs!$D$22*1</f>
        <v>-3000</v>
      </c>
      <c r="R261" s="66" t="n">
        <f aca="false">-Inputs!$D$22*1</f>
        <v>-3000</v>
      </c>
      <c r="S261" s="66" t="n">
        <f aca="false">-Inputs!$D$22*1</f>
        <v>-3000</v>
      </c>
      <c r="T261" s="66" t="n">
        <f aca="false">-Inputs!$D$22*1</f>
        <v>-3000</v>
      </c>
      <c r="U261" s="66" t="n">
        <f aca="false">-Inputs!$D$22*1</f>
        <v>-3000</v>
      </c>
      <c r="V261" s="66" t="n">
        <f aca="false">-Inputs!$D$22*1</f>
        <v>-3000</v>
      </c>
      <c r="W261" s="66" t="n">
        <f aca="false">-Inputs!$D$22*1</f>
        <v>-3000</v>
      </c>
      <c r="X261" s="66" t="n">
        <f aca="false">-Inputs!$D$22*1</f>
        <v>-3000</v>
      </c>
      <c r="Y261" s="66" t="n">
        <f aca="false">-Inputs!$D$22*1</f>
        <v>-3000</v>
      </c>
      <c r="Z261" s="66" t="n">
        <f aca="false">-Inputs!$D$22*1</f>
        <v>-3000</v>
      </c>
      <c r="AA261" s="66" t="n">
        <f aca="false">-Inputs!$D$22*1</f>
        <v>-3000</v>
      </c>
      <c r="AB261" s="66" t="n">
        <f aca="false">-Inputs!$D$22*1</f>
        <v>-3000</v>
      </c>
      <c r="AC261" s="66" t="n">
        <f aca="false">-Inputs!$D$22*1</f>
        <v>-3000</v>
      </c>
      <c r="AD261" s="66" t="n">
        <f aca="false">-Inputs!$D$22*1</f>
        <v>-3000</v>
      </c>
      <c r="AE261" s="66" t="n">
        <f aca="false">-Inputs!$D$22*1</f>
        <v>-3000</v>
      </c>
      <c r="AF261" s="66" t="n">
        <f aca="false">-Inputs!$D$22*1</f>
        <v>-3000</v>
      </c>
      <c r="AG261" s="66" t="n">
        <f aca="false">-Inputs!$D$22*1</f>
        <v>-3000</v>
      </c>
      <c r="AH261" s="66" t="n">
        <f aca="false">-Inputs!$D$22*1</f>
        <v>-3000</v>
      </c>
      <c r="AI261" s="66" t="n">
        <f aca="false">-Inputs!$D$22*1</f>
        <v>-3000</v>
      </c>
      <c r="AJ261" s="66" t="n">
        <f aca="false">-Inputs!$D$22*1</f>
        <v>-3000</v>
      </c>
      <c r="AK261" s="66" t="n">
        <f aca="false">-Inputs!$D$22*1</f>
        <v>-3000</v>
      </c>
      <c r="AL261" s="66" t="n">
        <f aca="false">-Inputs!$D$22*1</f>
        <v>-3000</v>
      </c>
      <c r="AM261" s="66" t="n">
        <f aca="false">-Inputs!$D$22*1</f>
        <v>-3000</v>
      </c>
      <c r="AN261" s="66" t="n">
        <f aca="false">-Inputs!$D$22*1</f>
        <v>-3000</v>
      </c>
      <c r="AO261" s="66" t="n">
        <f aca="false">-Inputs!$D$22*1</f>
        <v>-3000</v>
      </c>
      <c r="AP261" s="66" t="n">
        <f aca="false">-Inputs!$D$22*1</f>
        <v>-3000</v>
      </c>
      <c r="AQ261" s="66" t="n">
        <f aca="false">-Inputs!$D$22*1</f>
        <v>-3000</v>
      </c>
      <c r="AR261" s="66" t="n">
        <f aca="false">-Inputs!$D$22*1</f>
        <v>-3000</v>
      </c>
      <c r="AS261" s="66" t="n">
        <f aca="false">-Inputs!$D$22*1</f>
        <v>-3000</v>
      </c>
      <c r="AT261" s="66" t="n">
        <f aca="false">-Inputs!$D$22*1</f>
        <v>-3000</v>
      </c>
      <c r="AU261" s="66" t="n">
        <f aca="false">-Inputs!$D$22*1</f>
        <v>-3000</v>
      </c>
      <c r="AV261" s="66" t="n">
        <f aca="false">-Inputs!$D$22*1</f>
        <v>-3000</v>
      </c>
      <c r="AW261" s="66" t="n">
        <f aca="false">-Inputs!$D$22*1</f>
        <v>-3000</v>
      </c>
      <c r="AX261" s="66" t="n">
        <f aca="false">-Inputs!$D$22*1</f>
        <v>-3000</v>
      </c>
      <c r="AY261" s="66" t="n">
        <f aca="false">-Inputs!$D$22*1</f>
        <v>-3000</v>
      </c>
      <c r="AZ261" s="66" t="n">
        <f aca="false">-Inputs!$D$22*1</f>
        <v>-3000</v>
      </c>
      <c r="BA261" s="66" t="n">
        <f aca="false">-Inputs!$D$22*1</f>
        <v>-3000</v>
      </c>
      <c r="BB261" s="66" t="n">
        <f aca="false">-Inputs!$D$22*1</f>
        <v>-3000</v>
      </c>
      <c r="BC261" s="66" t="n">
        <f aca="false">-Inputs!$D$22*1</f>
        <v>-3000</v>
      </c>
      <c r="BD261" s="66" t="n">
        <f aca="false">-Inputs!$D$22*1</f>
        <v>-3000</v>
      </c>
      <c r="BE261" s="66" t="n">
        <f aca="false">-Inputs!$D$22*1</f>
        <v>-3000</v>
      </c>
      <c r="BF261" s="66" t="n">
        <f aca="false">-Inputs!$D$22*1</f>
        <v>-3000</v>
      </c>
      <c r="BG261" s="66" t="n">
        <f aca="false">-Inputs!$D$22*1</f>
        <v>-3000</v>
      </c>
      <c r="BH261" s="66" t="n">
        <f aca="false">-Inputs!$D$22*1</f>
        <v>-3000</v>
      </c>
      <c r="BI261" s="66" t="n">
        <f aca="false">-Inputs!$D$22*1</f>
        <v>-3000</v>
      </c>
      <c r="BJ261" s="66" t="n">
        <f aca="false">-Inputs!$D$22*1</f>
        <v>-3000</v>
      </c>
    </row>
    <row r="262" customFormat="false" ht="15" hidden="false" customHeight="false" outlineLevel="0" collapsed="false">
      <c r="A262" s="111" t="s">
        <v>76</v>
      </c>
      <c r="C262" s="67" t="n">
        <f aca="false">C257+C258+C259+C260+C261</f>
        <v>-75150</v>
      </c>
      <c r="D262" s="67" t="n">
        <f aca="false">D257+D258+D259+D260+D261</f>
        <v>-75150</v>
      </c>
      <c r="E262" s="67" t="n">
        <f aca="false">E257+E258+E259+E260+E261</f>
        <v>-75150</v>
      </c>
      <c r="F262" s="67" t="n">
        <f aca="false">F257+F258+F259+F260+F261</f>
        <v>-75150</v>
      </c>
      <c r="G262" s="67" t="n">
        <f aca="false">G257+G258+G259+G260+G261</f>
        <v>-75150</v>
      </c>
      <c r="H262" s="67" t="n">
        <f aca="false">H257+H258+H259+H260+H261</f>
        <v>-75150</v>
      </c>
      <c r="I262" s="67" t="n">
        <f aca="false">I257+I258+I259+I260+I261</f>
        <v>-75150</v>
      </c>
      <c r="J262" s="67" t="n">
        <f aca="false">J257+J258+J259+J260+J261</f>
        <v>-75150</v>
      </c>
      <c r="K262" s="67" t="n">
        <f aca="false">K257+K258+K259+K260+K261</f>
        <v>-75150</v>
      </c>
      <c r="L262" s="67" t="n">
        <f aca="false">L257+L258+L259+L260+L261</f>
        <v>-75150</v>
      </c>
      <c r="M262" s="67" t="n">
        <f aca="false">M257+M258+M259+M260+M261</f>
        <v>-75150</v>
      </c>
      <c r="N262" s="67" t="n">
        <f aca="false">N257+N258+N259+N260+N261</f>
        <v>-75150</v>
      </c>
      <c r="O262" s="67" t="n">
        <f aca="false">O257+O258+O259+O260+O261</f>
        <v>-111780</v>
      </c>
      <c r="P262" s="67" t="n">
        <f aca="false">P257+P258+P259+P260+P261</f>
        <v>-111780</v>
      </c>
      <c r="Q262" s="67" t="n">
        <f aca="false">Q257+Q258+Q259+Q260+Q261</f>
        <v>-111780</v>
      </c>
      <c r="R262" s="67" t="n">
        <f aca="false">R257+R258+R259+R260+R261</f>
        <v>-111780</v>
      </c>
      <c r="S262" s="67" t="n">
        <f aca="false">S257+S258+S259+S260+S261</f>
        <v>-111780</v>
      </c>
      <c r="T262" s="67" t="n">
        <f aca="false">T257+T258+T259+T260+T261</f>
        <v>-111780</v>
      </c>
      <c r="U262" s="67" t="n">
        <f aca="false">U257+U258+U259+U260+U261</f>
        <v>-111780</v>
      </c>
      <c r="V262" s="67" t="n">
        <f aca="false">V257+V258+V259+V260+V261</f>
        <v>-111780</v>
      </c>
      <c r="W262" s="67" t="n">
        <f aca="false">W257+W258+W259+W260+W261</f>
        <v>-111780</v>
      </c>
      <c r="X262" s="67" t="n">
        <f aca="false">X257+X258+X259+X260+X261</f>
        <v>-111780</v>
      </c>
      <c r="Y262" s="67" t="n">
        <f aca="false">Y257+Y258+Y259+Y260+Y261</f>
        <v>-111780</v>
      </c>
      <c r="Z262" s="67" t="n">
        <f aca="false">Z257+Z258+Z259+Z260+Z261</f>
        <v>-111780</v>
      </c>
      <c r="AA262" s="67" t="n">
        <f aca="false">AA257+AA258+AA259+AA260+AA261</f>
        <v>-168319.8</v>
      </c>
      <c r="AB262" s="67" t="n">
        <f aca="false">AB257+AB258+AB259+AB260+AB261</f>
        <v>-168319.8</v>
      </c>
      <c r="AC262" s="67" t="n">
        <f aca="false">AC257+AC258+AC259+AC260+AC261</f>
        <v>-168319.8</v>
      </c>
      <c r="AD262" s="67" t="n">
        <f aca="false">AD257+AD258+AD259+AD260+AD261</f>
        <v>-168319.8</v>
      </c>
      <c r="AE262" s="67" t="n">
        <f aca="false">AE257+AE258+AE259+AE260+AE261</f>
        <v>-168319.8</v>
      </c>
      <c r="AF262" s="67" t="n">
        <f aca="false">AF257+AF258+AF259+AF260+AF261</f>
        <v>-168319.8</v>
      </c>
      <c r="AG262" s="67" t="n">
        <f aca="false">AG257+AG258+AG259+AG260+AG261</f>
        <v>-168319.8</v>
      </c>
      <c r="AH262" s="67" t="n">
        <f aca="false">AH257+AH258+AH259+AH260+AH261</f>
        <v>-168319.8</v>
      </c>
      <c r="AI262" s="67" t="n">
        <f aca="false">AI257+AI258+AI259+AI260+AI261</f>
        <v>-168319.8</v>
      </c>
      <c r="AJ262" s="67" t="n">
        <f aca="false">AJ257+AJ258+AJ259+AJ260+AJ261</f>
        <v>-168319.8</v>
      </c>
      <c r="AK262" s="67" t="n">
        <f aca="false">AK257+AK258+AK259+AK260+AK261</f>
        <v>-168319.8</v>
      </c>
      <c r="AL262" s="67" t="n">
        <f aca="false">AL257+AL258+AL259+AL260+AL261</f>
        <v>-168319.8</v>
      </c>
      <c r="AM262" s="67" t="n">
        <f aca="false">AM257+AM258+AM259+AM260+AM261</f>
        <v>-255790.188</v>
      </c>
      <c r="AN262" s="67" t="n">
        <f aca="false">AN257+AN258+AN259+AN260+AN261</f>
        <v>-255790.188</v>
      </c>
      <c r="AO262" s="67" t="n">
        <f aca="false">AO257+AO258+AO259+AO260+AO261</f>
        <v>-255790.188</v>
      </c>
      <c r="AP262" s="67" t="n">
        <f aca="false">AP257+AP258+AP259+AP260+AP261</f>
        <v>-255790.188</v>
      </c>
      <c r="AQ262" s="67" t="n">
        <f aca="false">AQ257+AQ258+AQ259+AQ260+AQ261</f>
        <v>-255790.188</v>
      </c>
      <c r="AR262" s="67" t="n">
        <f aca="false">AR257+AR258+AR259+AR260+AR261</f>
        <v>-255790.188</v>
      </c>
      <c r="AS262" s="67" t="n">
        <f aca="false">AS257+AS258+AS259+AS260+AS261</f>
        <v>-255790.188</v>
      </c>
      <c r="AT262" s="67" t="n">
        <f aca="false">AT257+AT258+AT259+AT260+AT261</f>
        <v>-255790.188</v>
      </c>
      <c r="AU262" s="67" t="n">
        <f aca="false">AU257+AU258+AU259+AU260+AU261</f>
        <v>-255790.188</v>
      </c>
      <c r="AV262" s="67" t="n">
        <f aca="false">AV257+AV258+AV259+AV260+AV261</f>
        <v>-255790.188</v>
      </c>
      <c r="AW262" s="67" t="n">
        <f aca="false">AW257+AW258+AW259+AW260+AW261</f>
        <v>-255790.188</v>
      </c>
      <c r="AX262" s="67" t="n">
        <f aca="false">AX257+AX258+AX259+AX260+AX261</f>
        <v>-255790.188</v>
      </c>
      <c r="AY262" s="67" t="n">
        <f aca="false">AY257+AY258+AY259+AY260+AY261</f>
        <v>-391353.80328</v>
      </c>
      <c r="AZ262" s="67" t="n">
        <f aca="false">AZ257+AZ258+AZ259+AZ260+AZ261</f>
        <v>-391353.80328</v>
      </c>
      <c r="BA262" s="67" t="n">
        <f aca="false">BA257+BA258+BA259+BA260+BA261</f>
        <v>-391353.80328</v>
      </c>
      <c r="BB262" s="67" t="n">
        <f aca="false">BB257+BB258+BB259+BB260+BB261</f>
        <v>-391353.80328</v>
      </c>
      <c r="BC262" s="67" t="n">
        <f aca="false">BC257+BC258+BC259+BC260+BC261</f>
        <v>-391353.80328</v>
      </c>
      <c r="BD262" s="67" t="n">
        <f aca="false">BD257+BD258+BD259+BD260+BD261</f>
        <v>-391353.80328</v>
      </c>
      <c r="BE262" s="67" t="n">
        <f aca="false">BE257+BE258+BE259+BE260+BE261</f>
        <v>-391353.80328</v>
      </c>
      <c r="BF262" s="67" t="n">
        <f aca="false">BF257+BF258+BF259+BF260+BF261</f>
        <v>-391353.80328</v>
      </c>
      <c r="BG262" s="67" t="n">
        <f aca="false">BG257+BG258+BG259+BG260+BG261</f>
        <v>-391353.80328</v>
      </c>
      <c r="BH262" s="67" t="n">
        <f aca="false">BH257+BH258+BH259+BH260+BH261</f>
        <v>-391353.80328</v>
      </c>
      <c r="BI262" s="67" t="n">
        <f aca="false">BI257+BI258+BI259+BI260+BI261</f>
        <v>-391353.80328</v>
      </c>
      <c r="BJ262" s="67" t="n">
        <f aca="false">BJ257+BJ258+BJ259+BJ260+BJ261</f>
        <v>-391353.80328</v>
      </c>
    </row>
    <row r="263" customFormat="false" ht="15" hidden="false" customHeight="false" outlineLevel="0" collapsed="false">
      <c r="A263" s="111" t="s">
        <v>48</v>
      </c>
      <c r="C263" s="67" t="n">
        <f aca="false">C254+C262</f>
        <v>-69720.6948571429</v>
      </c>
      <c r="D263" s="67" t="n">
        <f aca="false">D254+D262</f>
        <v>-65362.4816942857</v>
      </c>
      <c r="E263" s="67" t="n">
        <f aca="false">E254+E262</f>
        <v>-61047.2528444857</v>
      </c>
      <c r="F263" s="67" t="n">
        <f aca="false">F254+F262</f>
        <v>-56774.5904209837</v>
      </c>
      <c r="G263" s="67" t="n">
        <f aca="false">G254+G262</f>
        <v>-52544.0804767607</v>
      </c>
      <c r="H263" s="67" t="n">
        <f aca="false">H254+H262</f>
        <v>-48355.3129699231</v>
      </c>
      <c r="I263" s="67" t="n">
        <f aca="false">I254+I262</f>
        <v>-44207.8817293381</v>
      </c>
      <c r="J263" s="67" t="n">
        <f aca="false">J254+J262</f>
        <v>-40101.3844205195</v>
      </c>
      <c r="K263" s="67" t="n">
        <f aca="false">K254+K262</f>
        <v>-36035.4225117625</v>
      </c>
      <c r="L263" s="67" t="n">
        <f aca="false">L254+L262</f>
        <v>-32009.6012405269</v>
      </c>
      <c r="M263" s="67" t="n">
        <f aca="false">M254+M262</f>
        <v>-28023.529580069</v>
      </c>
      <c r="N263" s="67" t="n">
        <f aca="false">N254+N262</f>
        <v>-24076.8202063194</v>
      </c>
      <c r="O263" s="67" t="n">
        <f aca="false">O254+O262</f>
        <v>-55917.3970364379</v>
      </c>
      <c r="P263" s="67" t="n">
        <f aca="false">P254+P262</f>
        <v>-50293.5951918972</v>
      </c>
      <c r="Q263" s="67" t="n">
        <f aca="false">Q254+Q262</f>
        <v>-44725.3607118568</v>
      </c>
      <c r="R263" s="67" t="n">
        <f aca="false">R254+R262</f>
        <v>-39212.1513357507</v>
      </c>
      <c r="S263" s="67" t="n">
        <f aca="false">S254+S262</f>
        <v>-33753.4299573569</v>
      </c>
      <c r="T263" s="67" t="n">
        <f aca="false">T254+T262</f>
        <v>-28348.6645786191</v>
      </c>
      <c r="U263" s="67" t="n">
        <f aca="false">U254+U262</f>
        <v>-22997.3282638234</v>
      </c>
      <c r="V263" s="67" t="n">
        <f aca="false">V254+V262</f>
        <v>-17698.8990941273</v>
      </c>
      <c r="W263" s="67" t="n">
        <f aca="false">W254+W262</f>
        <v>-12452.8601224408</v>
      </c>
      <c r="X263" s="67" t="n">
        <f aca="false">X254+X262</f>
        <v>-7258.69932865744</v>
      </c>
      <c r="Y263" s="67" t="n">
        <f aca="false">Y254+Y262</f>
        <v>-2115.90957523455</v>
      </c>
      <c r="Z263" s="67" t="n">
        <f aca="false">Z254+Z262</f>
        <v>2976.01143687998</v>
      </c>
      <c r="AA263" s="67" t="n">
        <f aca="false">AA254+AA262</f>
        <v>-47234.2545287396</v>
      </c>
      <c r="AB263" s="67" t="n">
        <f aca="false">AB254+AB262</f>
        <v>-39679.3521689209</v>
      </c>
      <c r="AC263" s="67" t="n">
        <f aca="false">AC254+AC262</f>
        <v>-32199.1906214767</v>
      </c>
      <c r="AD263" s="67" t="n">
        <f aca="false">AD254+AD262</f>
        <v>-24793.0386425077</v>
      </c>
      <c r="AE263" s="67" t="n">
        <f aca="false">AE254+AE262</f>
        <v>-17460.1719772692</v>
      </c>
      <c r="AF263" s="67" t="n">
        <f aca="false">AF254+AF262</f>
        <v>-10199.8732967451</v>
      </c>
      <c r="AG263" s="67" t="n">
        <f aca="false">AG254+AG262</f>
        <v>-3011.43213472696</v>
      </c>
      <c r="AH263" s="67" t="n">
        <f aca="false">AH254+AH262</f>
        <v>4105.85517460425</v>
      </c>
      <c r="AI263" s="67" t="n">
        <f aca="false">AI254+AI262</f>
        <v>11152.6855585968</v>
      </c>
      <c r="AJ263" s="67" t="n">
        <f aca="false">AJ254+AJ262</f>
        <v>18129.7492675489</v>
      </c>
      <c r="AK263" s="67" t="n">
        <f aca="false">AK254+AK262</f>
        <v>25037.729935635</v>
      </c>
      <c r="AL263" s="67" t="n">
        <f aca="false">AL254+AL262</f>
        <v>31877.3046413393</v>
      </c>
      <c r="AM263" s="67" t="n">
        <f aca="false">AM254+AM262</f>
        <v>-46919.4829248825</v>
      </c>
      <c r="AN263" s="67" t="n">
        <f aca="false">AN254+AN262</f>
        <v>-36430.0089812309</v>
      </c>
      <c r="AO263" s="67" t="n">
        <f aca="false">AO254+AO262</f>
        <v>-26044.3970922237</v>
      </c>
      <c r="AP263" s="67" t="n">
        <f aca="false">AP254+AP262</f>
        <v>-15761.6292910103</v>
      </c>
      <c r="AQ263" s="67" t="n">
        <f aca="false">AQ254+AQ262</f>
        <v>-5580.6973773347</v>
      </c>
      <c r="AR263" s="67" t="n">
        <f aca="false">AR254+AR262</f>
        <v>4499.39717186891</v>
      </c>
      <c r="AS263" s="67" t="n">
        <f aca="false">AS254+AS262</f>
        <v>14479.6432911521</v>
      </c>
      <c r="AT263" s="67" t="n">
        <f aca="false">AT254+AT262</f>
        <v>24361.0204145025</v>
      </c>
      <c r="AU263" s="67" t="n">
        <f aca="false">AU254+AU262</f>
        <v>34144.4985625743</v>
      </c>
      <c r="AV263" s="67" t="n">
        <f aca="false">AV254+AV262</f>
        <v>43831.0384292012</v>
      </c>
      <c r="AW263" s="67" t="n">
        <f aca="false">AW254+AW262</f>
        <v>53421.5914671969</v>
      </c>
      <c r="AX263" s="67" t="n">
        <f aca="false">AX254+AX262</f>
        <v>62917.099973447</v>
      </c>
      <c r="AY263" s="67" t="n">
        <f aca="false">AY254+AY262</f>
        <v>-60409.5404503046</v>
      </c>
      <c r="AZ263" s="67" t="n">
        <f aca="false">AZ254+AZ262</f>
        <v>-45458.2437249168</v>
      </c>
      <c r="BA263" s="67" t="n">
        <f aca="false">BA254+BA262</f>
        <v>-30655.0812264919</v>
      </c>
      <c r="BB263" s="67" t="n">
        <f aca="false">BB254+BB262</f>
        <v>-15998.5991875661</v>
      </c>
      <c r="BC263" s="67" t="n">
        <f aca="false">BC254+BC262</f>
        <v>-1487.35782685416</v>
      </c>
      <c r="BD263" s="67" t="n">
        <f aca="false">BD254+BD262</f>
        <v>12880.0687795826</v>
      </c>
      <c r="BE263" s="67" t="n">
        <f aca="false">BE254+BE262</f>
        <v>27105.0928261004</v>
      </c>
      <c r="BF263" s="67" t="n">
        <f aca="false">BF254+BF262</f>
        <v>41189.1129041753</v>
      </c>
      <c r="BG263" s="67" t="n">
        <f aca="false">BG254+BG262</f>
        <v>55133.5141280515</v>
      </c>
      <c r="BH263" s="67" t="n">
        <f aca="false">BH254+BH262</f>
        <v>68939.6682593393</v>
      </c>
      <c r="BI263" s="67" t="n">
        <f aca="false">BI254+BI262</f>
        <v>82608.9338305715</v>
      </c>
      <c r="BJ263" s="67" t="n">
        <f aca="false">BJ254+BJ262</f>
        <v>96142.6562677234</v>
      </c>
    </row>
    <row r="265" customFormat="false" ht="15.75" hidden="false" customHeight="true" outlineLevel="0" collapsed="false">
      <c r="A265" s="7" t="s">
        <v>410</v>
      </c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</row>
    <row r="266" customFormat="false" ht="15" hidden="false" customHeight="false" outlineLevel="0" collapsed="false">
      <c r="A266" s="4" t="s">
        <v>78</v>
      </c>
      <c r="C266" s="72" t="n">
        <f aca="false">C263+C277</f>
        <v>-70276.2504126984</v>
      </c>
      <c r="D266" s="72" t="n">
        <f aca="false">D263+D277</f>
        <v>-65918.0372498413</v>
      </c>
      <c r="E266" s="72" t="n">
        <f aca="false">E263+E277</f>
        <v>-61602.8084000413</v>
      </c>
      <c r="F266" s="72" t="n">
        <f aca="false">F263+F277</f>
        <v>-57330.1459765393</v>
      </c>
      <c r="G266" s="72" t="n">
        <f aca="false">G263+G277</f>
        <v>-53099.6360323163</v>
      </c>
      <c r="H266" s="72" t="n">
        <f aca="false">H263+H277</f>
        <v>-48910.8685254787</v>
      </c>
      <c r="I266" s="72" t="n">
        <f aca="false">I263+I277</f>
        <v>-44763.4372848937</v>
      </c>
      <c r="J266" s="72" t="n">
        <f aca="false">J263+J277</f>
        <v>-40656.9399760751</v>
      </c>
      <c r="K266" s="72" t="n">
        <f aca="false">K263+K277</f>
        <v>-36590.9780673181</v>
      </c>
      <c r="L266" s="72" t="n">
        <f aca="false">L263+L277</f>
        <v>-32565.1567960825</v>
      </c>
      <c r="M266" s="72" t="n">
        <f aca="false">M263+M277</f>
        <v>-28579.0851356245</v>
      </c>
      <c r="N266" s="72" t="n">
        <f aca="false">N263+N277</f>
        <v>-24632.375761875</v>
      </c>
      <c r="O266" s="72" t="n">
        <f aca="false">O263+O277</f>
        <v>-56472.9525919934</v>
      </c>
      <c r="P266" s="72" t="n">
        <f aca="false">P263+P277</f>
        <v>-50849.1507474527</v>
      </c>
      <c r="Q266" s="72" t="n">
        <f aca="false">Q263+Q277</f>
        <v>-45280.9162674124</v>
      </c>
      <c r="R266" s="72" t="n">
        <f aca="false">R263+R277</f>
        <v>-39767.7068913063</v>
      </c>
      <c r="S266" s="72" t="n">
        <f aca="false">S263+S277</f>
        <v>-34308.9855129124</v>
      </c>
      <c r="T266" s="72" t="n">
        <f aca="false">T263+T277</f>
        <v>-28904.2201341747</v>
      </c>
      <c r="U266" s="72" t="n">
        <f aca="false">U263+U277</f>
        <v>-23552.883819379</v>
      </c>
      <c r="V266" s="72" t="n">
        <f aca="false">V263+V277</f>
        <v>-18254.4546496829</v>
      </c>
      <c r="W266" s="72" t="n">
        <f aca="false">W263+W277</f>
        <v>-13008.4156779963</v>
      </c>
      <c r="X266" s="72" t="n">
        <f aca="false">X263+X277</f>
        <v>-7814.254884213</v>
      </c>
      <c r="Y266" s="72" t="n">
        <f aca="false">Y263+Y277</f>
        <v>-2671.4651307901</v>
      </c>
      <c r="Z266" s="72" t="n">
        <f aca="false">Z263+Z277</f>
        <v>2420.45588132443</v>
      </c>
      <c r="AA266" s="72" t="n">
        <f aca="false">AA263+AA277</f>
        <v>-47789.8100842952</v>
      </c>
      <c r="AB266" s="72" t="n">
        <f aca="false">AB263+AB277</f>
        <v>-40234.9077244764</v>
      </c>
      <c r="AC266" s="72" t="n">
        <f aca="false">AC263+AC277</f>
        <v>-32754.7461770322</v>
      </c>
      <c r="AD266" s="72" t="n">
        <f aca="false">AD263+AD277</f>
        <v>-25348.5941980632</v>
      </c>
      <c r="AE266" s="72" t="n">
        <f aca="false">AE263+AE277</f>
        <v>-18015.7275328248</v>
      </c>
      <c r="AF266" s="72" t="n">
        <f aca="false">AF263+AF277</f>
        <v>-10755.4288523006</v>
      </c>
      <c r="AG266" s="72" t="n">
        <f aca="false">AG263+AG277</f>
        <v>-3566.98769028251</v>
      </c>
      <c r="AH266" s="72" t="n">
        <f aca="false">AH263+AH277</f>
        <v>3550.29961904869</v>
      </c>
      <c r="AI266" s="72" t="n">
        <f aca="false">AI263+AI277</f>
        <v>10597.1300030412</v>
      </c>
      <c r="AJ266" s="72" t="n">
        <f aca="false">AJ263+AJ277</f>
        <v>17574.1937119933</v>
      </c>
      <c r="AK266" s="72" t="n">
        <f aca="false">AK263+AK277</f>
        <v>24482.1743800794</v>
      </c>
      <c r="AL266" s="72" t="n">
        <f aca="false">AL263+AL277</f>
        <v>31321.7490857838</v>
      </c>
      <c r="AM266" s="72" t="n">
        <f aca="false">AM263+AM277</f>
        <v>-46919.4829248825</v>
      </c>
      <c r="AN266" s="72" t="n">
        <f aca="false">AN263+AN277</f>
        <v>-36430.0089812309</v>
      </c>
      <c r="AO266" s="72" t="n">
        <f aca="false">AO263+AO277</f>
        <v>-26044.3970922237</v>
      </c>
      <c r="AP266" s="72" t="n">
        <f aca="false">AP263+AP277</f>
        <v>-15761.6292910103</v>
      </c>
      <c r="AQ266" s="72" t="n">
        <f aca="false">AQ263+AQ277</f>
        <v>-5580.6973773347</v>
      </c>
      <c r="AR266" s="72" t="n">
        <f aca="false">AR263+AR277</f>
        <v>4499.39717186891</v>
      </c>
      <c r="AS266" s="72" t="n">
        <f aca="false">AS263+AS277</f>
        <v>14479.6432911521</v>
      </c>
      <c r="AT266" s="72" t="n">
        <f aca="false">AT263+AT277</f>
        <v>24361.0204145025</v>
      </c>
      <c r="AU266" s="72" t="n">
        <f aca="false">AU263+AU277</f>
        <v>34144.4985625743</v>
      </c>
      <c r="AV266" s="72" t="n">
        <f aca="false">AV263+AV277</f>
        <v>43831.0384292012</v>
      </c>
      <c r="AW266" s="72" t="n">
        <f aca="false">AW263+AW277</f>
        <v>53421.5914671969</v>
      </c>
      <c r="AX266" s="72" t="n">
        <f aca="false">AX263+AX277</f>
        <v>62917.099973447</v>
      </c>
      <c r="AY266" s="72" t="n">
        <f aca="false">AY263+AY277</f>
        <v>-60409.5404503046</v>
      </c>
      <c r="AZ266" s="72" t="n">
        <f aca="false">AZ263+AZ277</f>
        <v>-45458.2437249168</v>
      </c>
      <c r="BA266" s="72" t="n">
        <f aca="false">BA263+BA277</f>
        <v>-30655.0812264919</v>
      </c>
      <c r="BB266" s="72" t="n">
        <f aca="false">BB263+BB277</f>
        <v>-15998.5991875661</v>
      </c>
      <c r="BC266" s="72" t="n">
        <f aca="false">BC263+BC277</f>
        <v>-1487.35782685416</v>
      </c>
      <c r="BD266" s="72" t="n">
        <f aca="false">BD263+BD277</f>
        <v>12880.0687795826</v>
      </c>
      <c r="BE266" s="72" t="n">
        <f aca="false">BE263+BE277</f>
        <v>27105.0928261004</v>
      </c>
      <c r="BF266" s="72" t="n">
        <f aca="false">BF263+BF277</f>
        <v>41189.1129041753</v>
      </c>
      <c r="BG266" s="72" t="n">
        <f aca="false">BG263+BG277</f>
        <v>55133.5141280515</v>
      </c>
      <c r="BH266" s="72" t="n">
        <f aca="false">BH263+BH277</f>
        <v>68939.6682593393</v>
      </c>
      <c r="BI266" s="72" t="n">
        <f aca="false">BI263+BI277</f>
        <v>82608.9338305715</v>
      </c>
      <c r="BJ266" s="72" t="n">
        <f aca="false">BJ263+BJ277</f>
        <v>96142.6562677234</v>
      </c>
    </row>
    <row r="267" customFormat="false" ht="15" hidden="false" customHeight="false" outlineLevel="0" collapsed="false">
      <c r="A267" s="6" t="s">
        <v>411</v>
      </c>
      <c r="C267" s="66" t="n">
        <f aca="false">-(C282+C283+C285)/2*Inputs!$D$48/12</f>
        <v>-0</v>
      </c>
      <c r="D267" s="66" t="n">
        <f aca="false">-(D282+D283+D285)/2*Inputs!$D$48/12</f>
        <v>-0</v>
      </c>
      <c r="E267" s="66" t="n">
        <f aca="false">-(E282+E283+E285)/2*Inputs!$D$48/12</f>
        <v>-0</v>
      </c>
      <c r="F267" s="66" t="n">
        <f aca="false">-(F282+F283+F285)/2*Inputs!$D$48/12</f>
        <v>-0</v>
      </c>
      <c r="G267" s="66" t="n">
        <f aca="false">-(G282+G283+G285)/2*Inputs!$D$48/12</f>
        <v>-0</v>
      </c>
      <c r="H267" s="66" t="n">
        <f aca="false">-(H282+H283+H285)/2*Inputs!$D$48/12</f>
        <v>-0</v>
      </c>
      <c r="I267" s="66" t="n">
        <f aca="false">-(I282+I283+I285)/2*Inputs!$D$48/12</f>
        <v>-0</v>
      </c>
      <c r="J267" s="66" t="n">
        <f aca="false">-(J282+J283+J285)/2*Inputs!$D$48/12</f>
        <v>-0</v>
      </c>
      <c r="K267" s="66" t="n">
        <f aca="false">-(K282+K283+K285)/2*Inputs!$D$48/12</f>
        <v>-0</v>
      </c>
      <c r="L267" s="66" t="n">
        <f aca="false">-(L282+L283+L285)/2*Inputs!$D$48/12</f>
        <v>-0</v>
      </c>
      <c r="M267" s="66" t="n">
        <f aca="false">-(M282+M283+M285)/2*Inputs!$D$48/12</f>
        <v>-0</v>
      </c>
      <c r="N267" s="66" t="n">
        <f aca="false">-(N282+N283+N285)/2*Inputs!$D$48/12</f>
        <v>-0</v>
      </c>
      <c r="O267" s="66" t="n">
        <f aca="false">-(O282+O283+O285)/2*Inputs!$D$48/12</f>
        <v>-0</v>
      </c>
      <c r="P267" s="66" t="n">
        <f aca="false">-(P282+P283+P285)/2*Inputs!$D$48/12</f>
        <v>-0</v>
      </c>
      <c r="Q267" s="66" t="n">
        <f aca="false">-(Q282+Q283+Q285)/2*Inputs!$D$48/12</f>
        <v>-0</v>
      </c>
      <c r="R267" s="66" t="n">
        <f aca="false">-(R282+R283+R285)/2*Inputs!$D$48/12</f>
        <v>-0</v>
      </c>
      <c r="S267" s="66" t="n">
        <f aca="false">-(S282+S283+S285)/2*Inputs!$D$48/12</f>
        <v>-0</v>
      </c>
      <c r="T267" s="66" t="n">
        <f aca="false">-(T282+T283+T285)/2*Inputs!$D$48/12</f>
        <v>-0</v>
      </c>
      <c r="U267" s="66" t="n">
        <f aca="false">-(U282+U283+U285)/2*Inputs!$D$48/12</f>
        <v>-0</v>
      </c>
      <c r="V267" s="66" t="n">
        <f aca="false">-(V282+V283+V285)/2*Inputs!$D$48/12</f>
        <v>-0</v>
      </c>
      <c r="W267" s="66" t="n">
        <f aca="false">-(W282+W283+W285)/2*Inputs!$D$48/12</f>
        <v>-0</v>
      </c>
      <c r="X267" s="66" t="n">
        <f aca="false">-(X282+X283+X285)/2*Inputs!$D$48/12</f>
        <v>-0</v>
      </c>
      <c r="Y267" s="66" t="n">
        <f aca="false">-(Y282+Y283+Y285)/2*Inputs!$D$48/12</f>
        <v>-0</v>
      </c>
      <c r="Z267" s="66" t="n">
        <f aca="false">-(Z282+Z283+Z285)/2*Inputs!$D$48/12</f>
        <v>-0</v>
      </c>
      <c r="AA267" s="66" t="n">
        <f aca="false">-(AA282+AA283+AA285)/2*Inputs!$D$48/12</f>
        <v>-0</v>
      </c>
      <c r="AB267" s="66" t="n">
        <f aca="false">-(AB282+AB283+AB285)/2*Inputs!$D$48/12</f>
        <v>-0</v>
      </c>
      <c r="AC267" s="66" t="n">
        <f aca="false">-(AC282+AC283+AC285)/2*Inputs!$D$48/12</f>
        <v>-0</v>
      </c>
      <c r="AD267" s="66" t="n">
        <f aca="false">-(AD282+AD283+AD285)/2*Inputs!$D$48/12</f>
        <v>-0</v>
      </c>
      <c r="AE267" s="66" t="n">
        <f aca="false">-(AE282+AE283+AE285)/2*Inputs!$D$48/12</f>
        <v>-0</v>
      </c>
      <c r="AF267" s="66" t="n">
        <f aca="false">-(AF282+AF283+AF285)/2*Inputs!$D$48/12</f>
        <v>-0</v>
      </c>
      <c r="AG267" s="66" t="n">
        <f aca="false">-(AG282+AG283+AG285)/2*Inputs!$D$48/12</f>
        <v>-0</v>
      </c>
      <c r="AH267" s="66" t="n">
        <f aca="false">-(AH282+AH283+AH285)/2*Inputs!$D$48/12</f>
        <v>-0</v>
      </c>
      <c r="AI267" s="66" t="n">
        <f aca="false">-(AI282+AI283+AI285)/2*Inputs!$D$48/12</f>
        <v>-0</v>
      </c>
      <c r="AJ267" s="66" t="n">
        <f aca="false">-(AJ282+AJ283+AJ285)/2*Inputs!$D$48/12</f>
        <v>-0</v>
      </c>
      <c r="AK267" s="66" t="n">
        <f aca="false">-(AK282+AK283+AK285)/2*Inputs!$D$48/12</f>
        <v>-0</v>
      </c>
      <c r="AL267" s="66" t="n">
        <f aca="false">-(AL282+AL283+AL285)/2*Inputs!$D$48/12</f>
        <v>-0</v>
      </c>
      <c r="AM267" s="66" t="n">
        <f aca="false">-(AM282+AM283+AM285)/2*Inputs!$D$48/12</f>
        <v>-0</v>
      </c>
      <c r="AN267" s="66" t="n">
        <f aca="false">-(AN282+AN283+AN285)/2*Inputs!$D$48/12</f>
        <v>-0</v>
      </c>
      <c r="AO267" s="66" t="n">
        <f aca="false">-(AO282+AO283+AO285)/2*Inputs!$D$48/12</f>
        <v>-0</v>
      </c>
      <c r="AP267" s="66" t="n">
        <f aca="false">-(AP282+AP283+AP285)/2*Inputs!$D$48/12</f>
        <v>-0</v>
      </c>
      <c r="AQ267" s="66" t="n">
        <f aca="false">-(AQ282+AQ283+AQ285)/2*Inputs!$D$48/12</f>
        <v>-0</v>
      </c>
      <c r="AR267" s="66" t="n">
        <f aca="false">-(AR282+AR283+AR285)/2*Inputs!$D$48/12</f>
        <v>-0</v>
      </c>
      <c r="AS267" s="66" t="n">
        <f aca="false">-(AS282+AS283+AS285)/2*Inputs!$D$48/12</f>
        <v>-0</v>
      </c>
      <c r="AT267" s="66" t="n">
        <f aca="false">-(AT282+AT283+AT285)/2*Inputs!$D$48/12</f>
        <v>-0</v>
      </c>
      <c r="AU267" s="66" t="n">
        <f aca="false">-(AU282+AU283+AU285)/2*Inputs!$D$48/12</f>
        <v>-0</v>
      </c>
      <c r="AV267" s="66" t="n">
        <f aca="false">-(AV282+AV283+AV285)/2*Inputs!$D$48/12</f>
        <v>-0</v>
      </c>
      <c r="AW267" s="66" t="n">
        <f aca="false">-(AW282+AW283+AW285)/2*Inputs!$D$48/12</f>
        <v>-0</v>
      </c>
      <c r="AX267" s="66" t="n">
        <f aca="false">-(AX282+AX283+AX285)/2*Inputs!$D$48/12</f>
        <v>-0</v>
      </c>
      <c r="AY267" s="66" t="n">
        <f aca="false">-(AY282+AY283+AY285)/2*Inputs!$D$48/12</f>
        <v>-0</v>
      </c>
      <c r="AZ267" s="66" t="n">
        <f aca="false">-(AZ282+AZ283+AZ285)/2*Inputs!$D$48/12</f>
        <v>-0</v>
      </c>
      <c r="BA267" s="66" t="n">
        <f aca="false">-(BA282+BA283+BA285)/2*Inputs!$D$48/12</f>
        <v>-0</v>
      </c>
      <c r="BB267" s="66" t="n">
        <f aca="false">-(BB282+BB283+BB285)/2*Inputs!$D$48/12</f>
        <v>-0</v>
      </c>
      <c r="BC267" s="66" t="n">
        <f aca="false">-(BC282+BC283+BC285)/2*Inputs!$D$48/12</f>
        <v>-0</v>
      </c>
      <c r="BD267" s="66" t="n">
        <f aca="false">-(BD282+BD283+BD285)/2*Inputs!$D$48/12</f>
        <v>-0</v>
      </c>
      <c r="BE267" s="66" t="n">
        <f aca="false">-(BE282+BE283+BE285)/2*Inputs!$D$48/12</f>
        <v>-0</v>
      </c>
      <c r="BF267" s="66" t="n">
        <f aca="false">-(BF282+BF283+BF285)/2*Inputs!$D$48/12</f>
        <v>-0</v>
      </c>
      <c r="BG267" s="66" t="n">
        <f aca="false">-(BG282+BG283+BG285)/2*Inputs!$D$48/12</f>
        <v>-0</v>
      </c>
      <c r="BH267" s="66" t="n">
        <f aca="false">-(BH282+BH283+BH285)/2*Inputs!$D$48/12</f>
        <v>-0</v>
      </c>
      <c r="BI267" s="66" t="n">
        <f aca="false">-(BI282+BI283+BI285)/2*Inputs!$D$48/12</f>
        <v>-0</v>
      </c>
      <c r="BJ267" s="66" t="n">
        <f aca="false">-(BJ282+BJ283+BJ285)/2*Inputs!$D$48/12</f>
        <v>-0</v>
      </c>
    </row>
    <row r="268" customFormat="false" ht="15" hidden="false" customHeight="false" outlineLevel="0" collapsed="false">
      <c r="A268" s="111" t="s">
        <v>80</v>
      </c>
      <c r="C268" s="67" t="n">
        <f aca="false">C266+C267</f>
        <v>-70276.2504126984</v>
      </c>
      <c r="D268" s="67" t="n">
        <f aca="false">D266+D267</f>
        <v>-65918.0372498413</v>
      </c>
      <c r="E268" s="67" t="n">
        <f aca="false">E266+E267</f>
        <v>-61602.8084000413</v>
      </c>
      <c r="F268" s="67" t="n">
        <f aca="false">F266+F267</f>
        <v>-57330.1459765393</v>
      </c>
      <c r="G268" s="67" t="n">
        <f aca="false">G266+G267</f>
        <v>-53099.6360323163</v>
      </c>
      <c r="H268" s="67" t="n">
        <f aca="false">H266+H267</f>
        <v>-48910.8685254787</v>
      </c>
      <c r="I268" s="67" t="n">
        <f aca="false">I266+I267</f>
        <v>-44763.4372848937</v>
      </c>
      <c r="J268" s="67" t="n">
        <f aca="false">J266+J267</f>
        <v>-40656.9399760751</v>
      </c>
      <c r="K268" s="67" t="n">
        <f aca="false">K266+K267</f>
        <v>-36590.9780673181</v>
      </c>
      <c r="L268" s="67" t="n">
        <f aca="false">L266+L267</f>
        <v>-32565.1567960825</v>
      </c>
      <c r="M268" s="67" t="n">
        <f aca="false">M266+M267</f>
        <v>-28579.0851356245</v>
      </c>
      <c r="N268" s="67" t="n">
        <f aca="false">N266+N267</f>
        <v>-24632.375761875</v>
      </c>
      <c r="O268" s="67" t="n">
        <f aca="false">O266+O267</f>
        <v>-56472.9525919934</v>
      </c>
      <c r="P268" s="67" t="n">
        <f aca="false">P266+P267</f>
        <v>-50849.1507474527</v>
      </c>
      <c r="Q268" s="67" t="n">
        <f aca="false">Q266+Q267</f>
        <v>-45280.9162674124</v>
      </c>
      <c r="R268" s="67" t="n">
        <f aca="false">R266+R267</f>
        <v>-39767.7068913063</v>
      </c>
      <c r="S268" s="67" t="n">
        <f aca="false">S266+S267</f>
        <v>-34308.9855129124</v>
      </c>
      <c r="T268" s="67" t="n">
        <f aca="false">T266+T267</f>
        <v>-28904.2201341747</v>
      </c>
      <c r="U268" s="67" t="n">
        <f aca="false">U266+U267</f>
        <v>-23552.883819379</v>
      </c>
      <c r="V268" s="67" t="n">
        <f aca="false">V266+V267</f>
        <v>-18254.4546496829</v>
      </c>
      <c r="W268" s="67" t="n">
        <f aca="false">W266+W267</f>
        <v>-13008.4156779963</v>
      </c>
      <c r="X268" s="67" t="n">
        <f aca="false">X266+X267</f>
        <v>-7814.254884213</v>
      </c>
      <c r="Y268" s="67" t="n">
        <f aca="false">Y266+Y267</f>
        <v>-2671.4651307901</v>
      </c>
      <c r="Z268" s="67" t="n">
        <f aca="false">Z266+Z267</f>
        <v>2420.45588132443</v>
      </c>
      <c r="AA268" s="67" t="n">
        <f aca="false">AA266+AA267</f>
        <v>-47789.8100842952</v>
      </c>
      <c r="AB268" s="67" t="n">
        <f aca="false">AB266+AB267</f>
        <v>-40234.9077244764</v>
      </c>
      <c r="AC268" s="67" t="n">
        <f aca="false">AC266+AC267</f>
        <v>-32754.7461770322</v>
      </c>
      <c r="AD268" s="67" t="n">
        <f aca="false">AD266+AD267</f>
        <v>-25348.5941980632</v>
      </c>
      <c r="AE268" s="67" t="n">
        <f aca="false">AE266+AE267</f>
        <v>-18015.7275328248</v>
      </c>
      <c r="AF268" s="67" t="n">
        <f aca="false">AF266+AF267</f>
        <v>-10755.4288523006</v>
      </c>
      <c r="AG268" s="67" t="n">
        <f aca="false">AG266+AG267</f>
        <v>-3566.98769028251</v>
      </c>
      <c r="AH268" s="67" t="n">
        <f aca="false">AH266+AH267</f>
        <v>3550.29961904869</v>
      </c>
      <c r="AI268" s="67" t="n">
        <f aca="false">AI266+AI267</f>
        <v>10597.1300030412</v>
      </c>
      <c r="AJ268" s="67" t="n">
        <f aca="false">AJ266+AJ267</f>
        <v>17574.1937119933</v>
      </c>
      <c r="AK268" s="67" t="n">
        <f aca="false">AK266+AK267</f>
        <v>24482.1743800794</v>
      </c>
      <c r="AL268" s="67" t="n">
        <f aca="false">AL266+AL267</f>
        <v>31321.7490857838</v>
      </c>
      <c r="AM268" s="67" t="n">
        <f aca="false">AM266+AM267</f>
        <v>-46919.4829248825</v>
      </c>
      <c r="AN268" s="67" t="n">
        <f aca="false">AN266+AN267</f>
        <v>-36430.0089812309</v>
      </c>
      <c r="AO268" s="67" t="n">
        <f aca="false">AO266+AO267</f>
        <v>-26044.3970922237</v>
      </c>
      <c r="AP268" s="67" t="n">
        <f aca="false">AP266+AP267</f>
        <v>-15761.6292910103</v>
      </c>
      <c r="AQ268" s="67" t="n">
        <f aca="false">AQ266+AQ267</f>
        <v>-5580.6973773347</v>
      </c>
      <c r="AR268" s="67" t="n">
        <f aca="false">AR266+AR267</f>
        <v>4499.39717186891</v>
      </c>
      <c r="AS268" s="67" t="n">
        <f aca="false">AS266+AS267</f>
        <v>14479.6432911521</v>
      </c>
      <c r="AT268" s="67" t="n">
        <f aca="false">AT266+AT267</f>
        <v>24361.0204145025</v>
      </c>
      <c r="AU268" s="67" t="n">
        <f aca="false">AU266+AU267</f>
        <v>34144.4985625743</v>
      </c>
      <c r="AV268" s="67" t="n">
        <f aca="false">AV266+AV267</f>
        <v>43831.0384292012</v>
      </c>
      <c r="AW268" s="67" t="n">
        <f aca="false">AW266+AW267</f>
        <v>53421.5914671969</v>
      </c>
      <c r="AX268" s="67" t="n">
        <f aca="false">AX266+AX267</f>
        <v>62917.099973447</v>
      </c>
      <c r="AY268" s="67" t="n">
        <f aca="false">AY266+AY267</f>
        <v>-60409.5404503046</v>
      </c>
      <c r="AZ268" s="67" t="n">
        <f aca="false">AZ266+AZ267</f>
        <v>-45458.2437249168</v>
      </c>
      <c r="BA268" s="67" t="n">
        <f aca="false">BA266+BA267</f>
        <v>-30655.0812264919</v>
      </c>
      <c r="BB268" s="67" t="n">
        <f aca="false">BB266+BB267</f>
        <v>-15998.5991875661</v>
      </c>
      <c r="BC268" s="67" t="n">
        <f aca="false">BC266+BC267</f>
        <v>-1487.35782685416</v>
      </c>
      <c r="BD268" s="67" t="n">
        <f aca="false">BD266+BD267</f>
        <v>12880.0687795826</v>
      </c>
      <c r="BE268" s="67" t="n">
        <f aca="false">BE266+BE267</f>
        <v>27105.0928261004</v>
      </c>
      <c r="BF268" s="67" t="n">
        <f aca="false">BF266+BF267</f>
        <v>41189.1129041753</v>
      </c>
      <c r="BG268" s="67" t="n">
        <f aca="false">BG266+BG267</f>
        <v>55133.5141280515</v>
      </c>
      <c r="BH268" s="67" t="n">
        <f aca="false">BH266+BH267</f>
        <v>68939.6682593393</v>
      </c>
      <c r="BI268" s="67" t="n">
        <f aca="false">BI266+BI267</f>
        <v>82608.9338305715</v>
      </c>
      <c r="BJ268" s="67" t="n">
        <f aca="false">BJ266+BJ267</f>
        <v>96142.6562677234</v>
      </c>
    </row>
    <row r="269" customFormat="false" ht="15" hidden="false" customHeight="false" outlineLevel="0" collapsed="false">
      <c r="A269" s="119" t="s">
        <v>412</v>
      </c>
      <c r="C269" s="66" t="n">
        <f aca="false">C268</f>
        <v>-70276.2504126984</v>
      </c>
      <c r="D269" s="66" t="n">
        <f aca="false">C269+D268</f>
        <v>-136194.28766254</v>
      </c>
      <c r="E269" s="66" t="n">
        <f aca="false">D269+E268</f>
        <v>-197797.096062581</v>
      </c>
      <c r="F269" s="66" t="n">
        <f aca="false">E269+F268</f>
        <v>-255127.24203912</v>
      </c>
      <c r="G269" s="66" t="n">
        <f aca="false">F269+G268</f>
        <v>-308226.878071437</v>
      </c>
      <c r="H269" s="66" t="n">
        <f aca="false">G269+H268</f>
        <v>-357137.746596915</v>
      </c>
      <c r="I269" s="66" t="n">
        <f aca="false">H269+I268</f>
        <v>-401901.183881809</v>
      </c>
      <c r="J269" s="66" t="n">
        <f aca="false">I269+J268</f>
        <v>-442558.123857884</v>
      </c>
      <c r="K269" s="66" t="n">
        <f aca="false">J269+K268</f>
        <v>-479149.101925202</v>
      </c>
      <c r="L269" s="66" t="n">
        <f aca="false">K269+L268</f>
        <v>-511714.258721284</v>
      </c>
      <c r="M269" s="66" t="n">
        <f aca="false">L269+M268</f>
        <v>-540293.343856909</v>
      </c>
      <c r="N269" s="66" t="n">
        <f aca="false">M269+N268</f>
        <v>-564925.719618784</v>
      </c>
      <c r="O269" s="66" t="n">
        <f aca="false">N269+O268</f>
        <v>-621398.672210777</v>
      </c>
      <c r="P269" s="66" t="n">
        <f aca="false">O269+P268</f>
        <v>-672247.82295823</v>
      </c>
      <c r="Q269" s="66" t="n">
        <f aca="false">P269+Q268</f>
        <v>-717528.739225642</v>
      </c>
      <c r="R269" s="66" t="n">
        <f aca="false">Q269+R268</f>
        <v>-757296.446116949</v>
      </c>
      <c r="S269" s="66" t="n">
        <f aca="false">R269+S268</f>
        <v>-791605.431629861</v>
      </c>
      <c r="T269" s="66" t="n">
        <f aca="false">S269+T268</f>
        <v>-820509.651764036</v>
      </c>
      <c r="U269" s="66" t="n">
        <f aca="false">T269+U268</f>
        <v>-844062.535583415</v>
      </c>
      <c r="V269" s="66" t="n">
        <f aca="false">U269+V268</f>
        <v>-862316.990233098</v>
      </c>
      <c r="W269" s="66" t="n">
        <f aca="false">V269+W268</f>
        <v>-875325.405911094</v>
      </c>
      <c r="X269" s="66" t="n">
        <f aca="false">W269+X268</f>
        <v>-883139.660795307</v>
      </c>
      <c r="Y269" s="66" t="n">
        <f aca="false">X269+Y268</f>
        <v>-885811.125926097</v>
      </c>
      <c r="Z269" s="66" t="n">
        <f aca="false">Y269+Z268</f>
        <v>-883390.670044773</v>
      </c>
      <c r="AA269" s="66" t="n">
        <f aca="false">Z269+AA268</f>
        <v>-931180.480129068</v>
      </c>
      <c r="AB269" s="66" t="n">
        <f aca="false">AA269+AB268</f>
        <v>-971415.387853544</v>
      </c>
      <c r="AC269" s="66" t="n">
        <f aca="false">AB269+AC268</f>
        <v>-1004170.13403058</v>
      </c>
      <c r="AD269" s="66" t="n">
        <f aca="false">AC269+AD268</f>
        <v>-1029518.72822864</v>
      </c>
      <c r="AE269" s="66" t="n">
        <f aca="false">AD269+AE268</f>
        <v>-1047534.45576146</v>
      </c>
      <c r="AF269" s="66" t="n">
        <f aca="false">AE269+AF268</f>
        <v>-1058289.88461377</v>
      </c>
      <c r="AG269" s="66" t="n">
        <f aca="false">AF269+AG268</f>
        <v>-1061856.87230405</v>
      </c>
      <c r="AH269" s="66" t="n">
        <f aca="false">AG269+AH268</f>
        <v>-1058306.572685</v>
      </c>
      <c r="AI269" s="66" t="n">
        <f aca="false">AH269+AI268</f>
        <v>-1047709.44268196</v>
      </c>
      <c r="AJ269" s="66" t="n">
        <f aca="false">AI269+AJ268</f>
        <v>-1030135.24896996</v>
      </c>
      <c r="AK269" s="66" t="n">
        <f aca="false">AJ269+AK268</f>
        <v>-1005653.07458988</v>
      </c>
      <c r="AL269" s="66" t="n">
        <f aca="false">AK269+AL268</f>
        <v>-974331.325504101</v>
      </c>
      <c r="AM269" s="66" t="n">
        <f aca="false">AL269+AM268</f>
        <v>-1021250.80842898</v>
      </c>
      <c r="AN269" s="66" t="n">
        <f aca="false">AM269+AN268</f>
        <v>-1057680.81741021</v>
      </c>
      <c r="AO269" s="66" t="n">
        <f aca="false">AN269+AO268</f>
        <v>-1083725.21450244</v>
      </c>
      <c r="AP269" s="66" t="n">
        <f aca="false">AO269+AP268</f>
        <v>-1099486.84379345</v>
      </c>
      <c r="AQ269" s="66" t="n">
        <f aca="false">AP269+AQ268</f>
        <v>-1105067.54117078</v>
      </c>
      <c r="AR269" s="66" t="n">
        <f aca="false">AQ269+AR268</f>
        <v>-1100568.14399891</v>
      </c>
      <c r="AS269" s="66" t="n">
        <f aca="false">AR269+AS268</f>
        <v>-1086088.50070776</v>
      </c>
      <c r="AT269" s="66" t="n">
        <f aca="false">AS269+AT268</f>
        <v>-1061727.48029326</v>
      </c>
      <c r="AU269" s="66" t="n">
        <f aca="false">AT269+AU268</f>
        <v>-1027582.98173069</v>
      </c>
      <c r="AV269" s="66" t="n">
        <f aca="false">AU269+AV268</f>
        <v>-983751.943301484</v>
      </c>
      <c r="AW269" s="66" t="n">
        <f aca="false">AV269+AW268</f>
        <v>-930330.351834287</v>
      </c>
      <c r="AX269" s="66" t="n">
        <f aca="false">AW269+AX268</f>
        <v>-867413.25186084</v>
      </c>
      <c r="AY269" s="66" t="n">
        <f aca="false">AX269+AY268</f>
        <v>-927822.792311145</v>
      </c>
      <c r="AZ269" s="66" t="n">
        <f aca="false">AY269+AZ268</f>
        <v>-973281.036036062</v>
      </c>
      <c r="BA269" s="66" t="n">
        <f aca="false">AZ269+BA268</f>
        <v>-1003936.11726255</v>
      </c>
      <c r="BB269" s="66" t="n">
        <f aca="false">BA269+BB268</f>
        <v>-1019934.71645012</v>
      </c>
      <c r="BC269" s="66" t="n">
        <f aca="false">BB269+BC268</f>
        <v>-1021422.07427697</v>
      </c>
      <c r="BD269" s="66" t="n">
        <f aca="false">BC269+BD268</f>
        <v>-1008542.00549739</v>
      </c>
      <c r="BE269" s="66" t="n">
        <f aca="false">BD269+BE268</f>
        <v>-981436.912671291</v>
      </c>
      <c r="BF269" s="66" t="n">
        <f aca="false">BE269+BF268</f>
        <v>-940247.799767116</v>
      </c>
      <c r="BG269" s="66" t="n">
        <f aca="false">BF269+BG268</f>
        <v>-885114.285639064</v>
      </c>
      <c r="BH269" s="66" t="n">
        <f aca="false">BG269+BH268</f>
        <v>-816174.617379725</v>
      </c>
      <c r="BI269" s="66" t="n">
        <f aca="false">BH269+BI268</f>
        <v>-733565.683549153</v>
      </c>
      <c r="BJ269" s="66" t="n">
        <f aca="false">BI269+BJ268</f>
        <v>-637423.02728143</v>
      </c>
    </row>
    <row r="270" customFormat="false" ht="15" hidden="false" customHeight="false" outlineLevel="0" collapsed="false">
      <c r="A270" s="119" t="s">
        <v>413</v>
      </c>
      <c r="C270" s="66" t="n">
        <f aca="false">MAX(0,C269)</f>
        <v>0</v>
      </c>
      <c r="D270" s="66" t="n">
        <f aca="false">MAX(C270,D269)</f>
        <v>0</v>
      </c>
      <c r="E270" s="66" t="n">
        <f aca="false">MAX(D270,E269)</f>
        <v>0</v>
      </c>
      <c r="F270" s="66" t="n">
        <f aca="false">MAX(E270,F269)</f>
        <v>0</v>
      </c>
      <c r="G270" s="66" t="n">
        <f aca="false">MAX(F270,G269)</f>
        <v>0</v>
      </c>
      <c r="H270" s="66" t="n">
        <f aca="false">MAX(G270,H269)</f>
        <v>0</v>
      </c>
      <c r="I270" s="66" t="n">
        <f aca="false">MAX(H270,I269)</f>
        <v>0</v>
      </c>
      <c r="J270" s="66" t="n">
        <f aca="false">MAX(I270,J269)</f>
        <v>0</v>
      </c>
      <c r="K270" s="66" t="n">
        <f aca="false">MAX(J270,K269)</f>
        <v>0</v>
      </c>
      <c r="L270" s="66" t="n">
        <f aca="false">MAX(K270,L269)</f>
        <v>0</v>
      </c>
      <c r="M270" s="66" t="n">
        <f aca="false">MAX(L270,M269)</f>
        <v>0</v>
      </c>
      <c r="N270" s="66" t="n">
        <f aca="false">MAX(M270,N269)</f>
        <v>0</v>
      </c>
      <c r="O270" s="66" t="n">
        <f aca="false">MAX(N270,O269)</f>
        <v>0</v>
      </c>
      <c r="P270" s="66" t="n">
        <f aca="false">MAX(O270,P269)</f>
        <v>0</v>
      </c>
      <c r="Q270" s="66" t="n">
        <f aca="false">MAX(P270,Q269)</f>
        <v>0</v>
      </c>
      <c r="R270" s="66" t="n">
        <f aca="false">MAX(Q270,R269)</f>
        <v>0</v>
      </c>
      <c r="S270" s="66" t="n">
        <f aca="false">MAX(R270,S269)</f>
        <v>0</v>
      </c>
      <c r="T270" s="66" t="n">
        <f aca="false">MAX(S270,T269)</f>
        <v>0</v>
      </c>
      <c r="U270" s="66" t="n">
        <f aca="false">MAX(T270,U269)</f>
        <v>0</v>
      </c>
      <c r="V270" s="66" t="n">
        <f aca="false">MAX(U270,V269)</f>
        <v>0</v>
      </c>
      <c r="W270" s="66" t="n">
        <f aca="false">MAX(V270,W269)</f>
        <v>0</v>
      </c>
      <c r="X270" s="66" t="n">
        <f aca="false">MAX(W270,X269)</f>
        <v>0</v>
      </c>
      <c r="Y270" s="66" t="n">
        <f aca="false">MAX(X270,Y269)</f>
        <v>0</v>
      </c>
      <c r="Z270" s="66" t="n">
        <f aca="false">MAX(Y270,Z269)</f>
        <v>0</v>
      </c>
      <c r="AA270" s="66" t="n">
        <f aca="false">MAX(Z270,AA269)</f>
        <v>0</v>
      </c>
      <c r="AB270" s="66" t="n">
        <f aca="false">MAX(AA270,AB269)</f>
        <v>0</v>
      </c>
      <c r="AC270" s="66" t="n">
        <f aca="false">MAX(AB270,AC269)</f>
        <v>0</v>
      </c>
      <c r="AD270" s="66" t="n">
        <f aca="false">MAX(AC270,AD269)</f>
        <v>0</v>
      </c>
      <c r="AE270" s="66" t="n">
        <f aca="false">MAX(AD270,AE269)</f>
        <v>0</v>
      </c>
      <c r="AF270" s="66" t="n">
        <f aca="false">MAX(AE270,AF269)</f>
        <v>0</v>
      </c>
      <c r="AG270" s="66" t="n">
        <f aca="false">MAX(AF270,AG269)</f>
        <v>0</v>
      </c>
      <c r="AH270" s="66" t="n">
        <f aca="false">MAX(AG270,AH269)</f>
        <v>0</v>
      </c>
      <c r="AI270" s="66" t="n">
        <f aca="false">MAX(AH270,AI269)</f>
        <v>0</v>
      </c>
      <c r="AJ270" s="66" t="n">
        <f aca="false">MAX(AI270,AJ269)</f>
        <v>0</v>
      </c>
      <c r="AK270" s="66" t="n">
        <f aca="false">MAX(AJ270,AK269)</f>
        <v>0</v>
      </c>
      <c r="AL270" s="66" t="n">
        <f aca="false">MAX(AK270,AL269)</f>
        <v>0</v>
      </c>
      <c r="AM270" s="66" t="n">
        <f aca="false">MAX(AL270,AM269)</f>
        <v>0</v>
      </c>
      <c r="AN270" s="66" t="n">
        <f aca="false">MAX(AM270,AN269)</f>
        <v>0</v>
      </c>
      <c r="AO270" s="66" t="n">
        <f aca="false">MAX(AN270,AO269)</f>
        <v>0</v>
      </c>
      <c r="AP270" s="66" t="n">
        <f aca="false">MAX(AO270,AP269)</f>
        <v>0</v>
      </c>
      <c r="AQ270" s="66" t="n">
        <f aca="false">MAX(AP270,AQ269)</f>
        <v>0</v>
      </c>
      <c r="AR270" s="66" t="n">
        <f aca="false">MAX(AQ270,AR269)</f>
        <v>0</v>
      </c>
      <c r="AS270" s="66" t="n">
        <f aca="false">MAX(AR270,AS269)</f>
        <v>0</v>
      </c>
      <c r="AT270" s="66" t="n">
        <f aca="false">MAX(AS270,AT269)</f>
        <v>0</v>
      </c>
      <c r="AU270" s="66" t="n">
        <f aca="false">MAX(AT270,AU269)</f>
        <v>0</v>
      </c>
      <c r="AV270" s="66" t="n">
        <f aca="false">MAX(AU270,AV269)</f>
        <v>0</v>
      </c>
      <c r="AW270" s="66" t="n">
        <f aca="false">MAX(AV270,AW269)</f>
        <v>0</v>
      </c>
      <c r="AX270" s="66" t="n">
        <f aca="false">MAX(AW270,AX269)</f>
        <v>0</v>
      </c>
      <c r="AY270" s="66" t="n">
        <f aca="false">MAX(AX270,AY269)</f>
        <v>0</v>
      </c>
      <c r="AZ270" s="66" t="n">
        <f aca="false">MAX(AY270,AZ269)</f>
        <v>0</v>
      </c>
      <c r="BA270" s="66" t="n">
        <f aca="false">MAX(AZ270,BA269)</f>
        <v>0</v>
      </c>
      <c r="BB270" s="66" t="n">
        <f aca="false">MAX(BA270,BB269)</f>
        <v>0</v>
      </c>
      <c r="BC270" s="66" t="n">
        <f aca="false">MAX(BB270,BC269)</f>
        <v>0</v>
      </c>
      <c r="BD270" s="66" t="n">
        <f aca="false">MAX(BC270,BD269)</f>
        <v>0</v>
      </c>
      <c r="BE270" s="66" t="n">
        <f aca="false">MAX(BD270,BE269)</f>
        <v>0</v>
      </c>
      <c r="BF270" s="66" t="n">
        <f aca="false">MAX(BE270,BF269)</f>
        <v>0</v>
      </c>
      <c r="BG270" s="66" t="n">
        <f aca="false">MAX(BF270,BG269)</f>
        <v>0</v>
      </c>
      <c r="BH270" s="66" t="n">
        <f aca="false">MAX(BG270,BH269)</f>
        <v>0</v>
      </c>
      <c r="BI270" s="66" t="n">
        <f aca="false">MAX(BH270,BI269)</f>
        <v>0</v>
      </c>
      <c r="BJ270" s="66" t="n">
        <f aca="false">MAX(BI270,BJ269)</f>
        <v>0</v>
      </c>
    </row>
    <row r="271" customFormat="false" ht="15" hidden="false" customHeight="false" outlineLevel="0" collapsed="false">
      <c r="A271" s="6" t="s">
        <v>81</v>
      </c>
      <c r="C271" s="66" t="n">
        <f aca="false">-C270*Inputs!$D$58</f>
        <v>-0</v>
      </c>
      <c r="D271" s="66" t="n">
        <f aca="false">-(D270-C270)*Inputs!$D$58</f>
        <v>-0</v>
      </c>
      <c r="E271" s="66" t="n">
        <f aca="false">-(E270-D270)*Inputs!$D$58</f>
        <v>-0</v>
      </c>
      <c r="F271" s="66" t="n">
        <f aca="false">-(F270-E270)*Inputs!$D$58</f>
        <v>-0</v>
      </c>
      <c r="G271" s="66" t="n">
        <f aca="false">-(G270-F270)*Inputs!$D$58</f>
        <v>-0</v>
      </c>
      <c r="H271" s="66" t="n">
        <f aca="false">-(H270-G270)*Inputs!$D$58</f>
        <v>-0</v>
      </c>
      <c r="I271" s="66" t="n">
        <f aca="false">-(I270-H270)*Inputs!$D$58</f>
        <v>-0</v>
      </c>
      <c r="J271" s="66" t="n">
        <f aca="false">-(J270-I270)*Inputs!$D$58</f>
        <v>-0</v>
      </c>
      <c r="K271" s="66" t="n">
        <f aca="false">-(K270-J270)*Inputs!$D$58</f>
        <v>-0</v>
      </c>
      <c r="L271" s="66" t="n">
        <f aca="false">-(L270-K270)*Inputs!$D$58</f>
        <v>-0</v>
      </c>
      <c r="M271" s="66" t="n">
        <f aca="false">-(M270-L270)*Inputs!$D$58</f>
        <v>-0</v>
      </c>
      <c r="N271" s="66" t="n">
        <f aca="false">-(N270-M270)*Inputs!$D$58</f>
        <v>-0</v>
      </c>
      <c r="O271" s="66" t="n">
        <f aca="false">-(O270-N270)*Inputs!$D$58</f>
        <v>-0</v>
      </c>
      <c r="P271" s="66" t="n">
        <f aca="false">-(P270-O270)*Inputs!$D$58</f>
        <v>-0</v>
      </c>
      <c r="Q271" s="66" t="n">
        <f aca="false">-(Q270-P270)*Inputs!$D$58</f>
        <v>-0</v>
      </c>
      <c r="R271" s="66" t="n">
        <f aca="false">-(R270-Q270)*Inputs!$D$58</f>
        <v>-0</v>
      </c>
      <c r="S271" s="66" t="n">
        <f aca="false">-(S270-R270)*Inputs!$D$58</f>
        <v>-0</v>
      </c>
      <c r="T271" s="66" t="n">
        <f aca="false">-(T270-S270)*Inputs!$D$58</f>
        <v>-0</v>
      </c>
      <c r="U271" s="66" t="n">
        <f aca="false">-(U270-T270)*Inputs!$D$58</f>
        <v>-0</v>
      </c>
      <c r="V271" s="66" t="n">
        <f aca="false">-(V270-U270)*Inputs!$D$58</f>
        <v>-0</v>
      </c>
      <c r="W271" s="66" t="n">
        <f aca="false">-(W270-V270)*Inputs!$D$58</f>
        <v>-0</v>
      </c>
      <c r="X271" s="66" t="n">
        <f aca="false">-(X270-W270)*Inputs!$D$58</f>
        <v>-0</v>
      </c>
      <c r="Y271" s="66" t="n">
        <f aca="false">-(Y270-X270)*Inputs!$D$58</f>
        <v>-0</v>
      </c>
      <c r="Z271" s="66" t="n">
        <f aca="false">-(Z270-Y270)*Inputs!$D$58</f>
        <v>-0</v>
      </c>
      <c r="AA271" s="66" t="n">
        <f aca="false">-(AA270-Z270)*Inputs!$D$58</f>
        <v>-0</v>
      </c>
      <c r="AB271" s="66" t="n">
        <f aca="false">-(AB270-AA270)*Inputs!$D$58</f>
        <v>-0</v>
      </c>
      <c r="AC271" s="66" t="n">
        <f aca="false">-(AC270-AB270)*Inputs!$D$58</f>
        <v>-0</v>
      </c>
      <c r="AD271" s="66" t="n">
        <f aca="false">-(AD270-AC270)*Inputs!$D$58</f>
        <v>-0</v>
      </c>
      <c r="AE271" s="66" t="n">
        <f aca="false">-(AE270-AD270)*Inputs!$D$58</f>
        <v>-0</v>
      </c>
      <c r="AF271" s="66" t="n">
        <f aca="false">-(AF270-AE270)*Inputs!$D$58</f>
        <v>-0</v>
      </c>
      <c r="AG271" s="66" t="n">
        <f aca="false">-(AG270-AF270)*Inputs!$D$58</f>
        <v>-0</v>
      </c>
      <c r="AH271" s="66" t="n">
        <f aca="false">-(AH270-AG270)*Inputs!$D$58</f>
        <v>-0</v>
      </c>
      <c r="AI271" s="66" t="n">
        <f aca="false">-(AI270-AH270)*Inputs!$D$58</f>
        <v>-0</v>
      </c>
      <c r="AJ271" s="66" t="n">
        <f aca="false">-(AJ270-AI270)*Inputs!$D$58</f>
        <v>-0</v>
      </c>
      <c r="AK271" s="66" t="n">
        <f aca="false">-(AK270-AJ270)*Inputs!$D$58</f>
        <v>-0</v>
      </c>
      <c r="AL271" s="66" t="n">
        <f aca="false">-(AL270-AK270)*Inputs!$D$58</f>
        <v>-0</v>
      </c>
      <c r="AM271" s="66" t="n">
        <f aca="false">-(AM270-AL270)*Inputs!$D$58</f>
        <v>-0</v>
      </c>
      <c r="AN271" s="66" t="n">
        <f aca="false">-(AN270-AM270)*Inputs!$D$58</f>
        <v>-0</v>
      </c>
      <c r="AO271" s="66" t="n">
        <f aca="false">-(AO270-AN270)*Inputs!$D$58</f>
        <v>-0</v>
      </c>
      <c r="AP271" s="66" t="n">
        <f aca="false">-(AP270-AO270)*Inputs!$D$58</f>
        <v>-0</v>
      </c>
      <c r="AQ271" s="66" t="n">
        <f aca="false">-(AQ270-AP270)*Inputs!$D$58</f>
        <v>-0</v>
      </c>
      <c r="AR271" s="66" t="n">
        <f aca="false">-(AR270-AQ270)*Inputs!$D$58</f>
        <v>-0</v>
      </c>
      <c r="AS271" s="66" t="n">
        <f aca="false">-(AS270-AR270)*Inputs!$D$58</f>
        <v>-0</v>
      </c>
      <c r="AT271" s="66" t="n">
        <f aca="false">-(AT270-AS270)*Inputs!$D$58</f>
        <v>-0</v>
      </c>
      <c r="AU271" s="66" t="n">
        <f aca="false">-(AU270-AT270)*Inputs!$D$58</f>
        <v>-0</v>
      </c>
      <c r="AV271" s="66" t="n">
        <f aca="false">-(AV270-AU270)*Inputs!$D$58</f>
        <v>-0</v>
      </c>
      <c r="AW271" s="66" t="n">
        <f aca="false">-(AW270-AV270)*Inputs!$D$58</f>
        <v>-0</v>
      </c>
      <c r="AX271" s="66" t="n">
        <f aca="false">-(AX270-AW270)*Inputs!$D$58</f>
        <v>-0</v>
      </c>
      <c r="AY271" s="66" t="n">
        <f aca="false">-(AY270-AX270)*Inputs!$D$58</f>
        <v>-0</v>
      </c>
      <c r="AZ271" s="66" t="n">
        <f aca="false">-(AZ270-AY270)*Inputs!$D$58</f>
        <v>-0</v>
      </c>
      <c r="BA271" s="66" t="n">
        <f aca="false">-(BA270-AZ270)*Inputs!$D$58</f>
        <v>-0</v>
      </c>
      <c r="BB271" s="66" t="n">
        <f aca="false">-(BB270-BA270)*Inputs!$D$58</f>
        <v>-0</v>
      </c>
      <c r="BC271" s="66" t="n">
        <f aca="false">-(BC270-BB270)*Inputs!$D$58</f>
        <v>-0</v>
      </c>
      <c r="BD271" s="66" t="n">
        <f aca="false">-(BD270-BC270)*Inputs!$D$58</f>
        <v>-0</v>
      </c>
      <c r="BE271" s="66" t="n">
        <f aca="false">-(BE270-BD270)*Inputs!$D$58</f>
        <v>-0</v>
      </c>
      <c r="BF271" s="66" t="n">
        <f aca="false">-(BF270-BE270)*Inputs!$D$58</f>
        <v>-0</v>
      </c>
      <c r="BG271" s="66" t="n">
        <f aca="false">-(BG270-BF270)*Inputs!$D$58</f>
        <v>-0</v>
      </c>
      <c r="BH271" s="66" t="n">
        <f aca="false">-(BH270-BG270)*Inputs!$D$58</f>
        <v>-0</v>
      </c>
      <c r="BI271" s="66" t="n">
        <f aca="false">-(BI270-BH270)*Inputs!$D$58</f>
        <v>-0</v>
      </c>
      <c r="BJ271" s="66" t="n">
        <f aca="false">-(BJ270-BI270)*Inputs!$D$58</f>
        <v>-0</v>
      </c>
    </row>
    <row r="272" customFormat="false" ht="15" hidden="false" customHeight="false" outlineLevel="0" collapsed="false">
      <c r="A272" s="111" t="s">
        <v>50</v>
      </c>
      <c r="C272" s="67" t="n">
        <f aca="false">C268+C271</f>
        <v>-70276.2504126984</v>
      </c>
      <c r="D272" s="67" t="n">
        <f aca="false">D268+D271</f>
        <v>-65918.0372498413</v>
      </c>
      <c r="E272" s="67" t="n">
        <f aca="false">E268+E271</f>
        <v>-61602.8084000413</v>
      </c>
      <c r="F272" s="67" t="n">
        <f aca="false">F268+F271</f>
        <v>-57330.1459765393</v>
      </c>
      <c r="G272" s="67" t="n">
        <f aca="false">G268+G271</f>
        <v>-53099.6360323163</v>
      </c>
      <c r="H272" s="67" t="n">
        <f aca="false">H268+H271</f>
        <v>-48910.8685254787</v>
      </c>
      <c r="I272" s="67" t="n">
        <f aca="false">I268+I271</f>
        <v>-44763.4372848937</v>
      </c>
      <c r="J272" s="67" t="n">
        <f aca="false">J268+J271</f>
        <v>-40656.9399760751</v>
      </c>
      <c r="K272" s="67" t="n">
        <f aca="false">K268+K271</f>
        <v>-36590.9780673181</v>
      </c>
      <c r="L272" s="67" t="n">
        <f aca="false">L268+L271</f>
        <v>-32565.1567960825</v>
      </c>
      <c r="M272" s="67" t="n">
        <f aca="false">M268+M271</f>
        <v>-28579.0851356245</v>
      </c>
      <c r="N272" s="67" t="n">
        <f aca="false">N268+N271</f>
        <v>-24632.375761875</v>
      </c>
      <c r="O272" s="67" t="n">
        <f aca="false">O268+O271</f>
        <v>-56472.9525919934</v>
      </c>
      <c r="P272" s="67" t="n">
        <f aca="false">P268+P271</f>
        <v>-50849.1507474527</v>
      </c>
      <c r="Q272" s="67" t="n">
        <f aca="false">Q268+Q271</f>
        <v>-45280.9162674124</v>
      </c>
      <c r="R272" s="67" t="n">
        <f aca="false">R268+R271</f>
        <v>-39767.7068913063</v>
      </c>
      <c r="S272" s="67" t="n">
        <f aca="false">S268+S271</f>
        <v>-34308.9855129124</v>
      </c>
      <c r="T272" s="67" t="n">
        <f aca="false">T268+T271</f>
        <v>-28904.2201341747</v>
      </c>
      <c r="U272" s="67" t="n">
        <f aca="false">U268+U271</f>
        <v>-23552.883819379</v>
      </c>
      <c r="V272" s="67" t="n">
        <f aca="false">V268+V271</f>
        <v>-18254.4546496829</v>
      </c>
      <c r="W272" s="67" t="n">
        <f aca="false">W268+W271</f>
        <v>-13008.4156779963</v>
      </c>
      <c r="X272" s="67" t="n">
        <f aca="false">X268+X271</f>
        <v>-7814.254884213</v>
      </c>
      <c r="Y272" s="67" t="n">
        <f aca="false">Y268+Y271</f>
        <v>-2671.4651307901</v>
      </c>
      <c r="Z272" s="67" t="n">
        <f aca="false">Z268+Z271</f>
        <v>2420.45588132443</v>
      </c>
      <c r="AA272" s="67" t="n">
        <f aca="false">AA268+AA271</f>
        <v>-47789.8100842952</v>
      </c>
      <c r="AB272" s="67" t="n">
        <f aca="false">AB268+AB271</f>
        <v>-40234.9077244764</v>
      </c>
      <c r="AC272" s="67" t="n">
        <f aca="false">AC268+AC271</f>
        <v>-32754.7461770322</v>
      </c>
      <c r="AD272" s="67" t="n">
        <f aca="false">AD268+AD271</f>
        <v>-25348.5941980632</v>
      </c>
      <c r="AE272" s="67" t="n">
        <f aca="false">AE268+AE271</f>
        <v>-18015.7275328248</v>
      </c>
      <c r="AF272" s="67" t="n">
        <f aca="false">AF268+AF271</f>
        <v>-10755.4288523006</v>
      </c>
      <c r="AG272" s="67" t="n">
        <f aca="false">AG268+AG271</f>
        <v>-3566.98769028251</v>
      </c>
      <c r="AH272" s="67" t="n">
        <f aca="false">AH268+AH271</f>
        <v>3550.29961904869</v>
      </c>
      <c r="AI272" s="67" t="n">
        <f aca="false">AI268+AI271</f>
        <v>10597.1300030412</v>
      </c>
      <c r="AJ272" s="67" t="n">
        <f aca="false">AJ268+AJ271</f>
        <v>17574.1937119933</v>
      </c>
      <c r="AK272" s="67" t="n">
        <f aca="false">AK268+AK271</f>
        <v>24482.1743800794</v>
      </c>
      <c r="AL272" s="67" t="n">
        <f aca="false">AL268+AL271</f>
        <v>31321.7490857838</v>
      </c>
      <c r="AM272" s="67" t="n">
        <f aca="false">AM268+AM271</f>
        <v>-46919.4829248825</v>
      </c>
      <c r="AN272" s="67" t="n">
        <f aca="false">AN268+AN271</f>
        <v>-36430.0089812309</v>
      </c>
      <c r="AO272" s="67" t="n">
        <f aca="false">AO268+AO271</f>
        <v>-26044.3970922237</v>
      </c>
      <c r="AP272" s="67" t="n">
        <f aca="false">AP268+AP271</f>
        <v>-15761.6292910103</v>
      </c>
      <c r="AQ272" s="67" t="n">
        <f aca="false">AQ268+AQ271</f>
        <v>-5580.6973773347</v>
      </c>
      <c r="AR272" s="67" t="n">
        <f aca="false">AR268+AR271</f>
        <v>4499.39717186891</v>
      </c>
      <c r="AS272" s="67" t="n">
        <f aca="false">AS268+AS271</f>
        <v>14479.6432911521</v>
      </c>
      <c r="AT272" s="67" t="n">
        <f aca="false">AT268+AT271</f>
        <v>24361.0204145025</v>
      </c>
      <c r="AU272" s="67" t="n">
        <f aca="false">AU268+AU271</f>
        <v>34144.4985625743</v>
      </c>
      <c r="AV272" s="67" t="n">
        <f aca="false">AV268+AV271</f>
        <v>43831.0384292012</v>
      </c>
      <c r="AW272" s="67" t="n">
        <f aca="false">AW268+AW271</f>
        <v>53421.5914671969</v>
      </c>
      <c r="AX272" s="67" t="n">
        <f aca="false">AX268+AX271</f>
        <v>62917.099973447</v>
      </c>
      <c r="AY272" s="67" t="n">
        <f aca="false">AY268+AY271</f>
        <v>-60409.5404503046</v>
      </c>
      <c r="AZ272" s="67" t="n">
        <f aca="false">AZ268+AZ271</f>
        <v>-45458.2437249168</v>
      </c>
      <c r="BA272" s="67" t="n">
        <f aca="false">BA268+BA271</f>
        <v>-30655.0812264919</v>
      </c>
      <c r="BB272" s="67" t="n">
        <f aca="false">BB268+BB271</f>
        <v>-15998.5991875661</v>
      </c>
      <c r="BC272" s="67" t="n">
        <f aca="false">BC268+BC271</f>
        <v>-1487.35782685416</v>
      </c>
      <c r="BD272" s="67" t="n">
        <f aca="false">BD268+BD271</f>
        <v>12880.0687795826</v>
      </c>
      <c r="BE272" s="67" t="n">
        <f aca="false">BE268+BE271</f>
        <v>27105.0928261004</v>
      </c>
      <c r="BF272" s="67" t="n">
        <f aca="false">BF268+BF271</f>
        <v>41189.1129041753</v>
      </c>
      <c r="BG272" s="67" t="n">
        <f aca="false">BG268+BG271</f>
        <v>55133.5141280515</v>
      </c>
      <c r="BH272" s="67" t="n">
        <f aca="false">BH268+BH271</f>
        <v>68939.6682593393</v>
      </c>
      <c r="BI272" s="67" t="n">
        <f aca="false">BI268+BI271</f>
        <v>82608.9338305715</v>
      </c>
      <c r="BJ272" s="67" t="n">
        <f aca="false">BJ268+BJ271</f>
        <v>96142.6562677234</v>
      </c>
    </row>
    <row r="274" customFormat="false" ht="15.75" hidden="false" customHeight="true" outlineLevel="0" collapsed="false">
      <c r="A274" s="7" t="s">
        <v>414</v>
      </c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</row>
    <row r="275" customFormat="false" ht="15" hidden="false" customHeight="false" outlineLevel="0" collapsed="false">
      <c r="A275" s="6" t="s">
        <v>83</v>
      </c>
      <c r="C275" s="66" t="n">
        <f aca="false">IF(C$232=1,Inputs!$D$23,0)</f>
        <v>20000</v>
      </c>
      <c r="D275" s="66" t="n">
        <f aca="false">IF(D$232=1,Inputs!$D$23,0)</f>
        <v>0</v>
      </c>
      <c r="E275" s="66" t="n">
        <f aca="false">IF(E$232=1,Inputs!$D$23,0)</f>
        <v>0</v>
      </c>
      <c r="F275" s="66" t="n">
        <f aca="false">IF(F$232=1,Inputs!$D$23,0)</f>
        <v>0</v>
      </c>
      <c r="G275" s="66" t="n">
        <f aca="false">IF(G$232=1,Inputs!$D$23,0)</f>
        <v>0</v>
      </c>
      <c r="H275" s="66" t="n">
        <f aca="false">IF(H$232=1,Inputs!$D$23,0)</f>
        <v>0</v>
      </c>
      <c r="I275" s="66" t="n">
        <f aca="false">IF(I$232=1,Inputs!$D$23,0)</f>
        <v>0</v>
      </c>
      <c r="J275" s="66" t="n">
        <f aca="false">IF(J$232=1,Inputs!$D$23,0)</f>
        <v>0</v>
      </c>
      <c r="K275" s="66" t="n">
        <f aca="false">IF(K$232=1,Inputs!$D$23,0)</f>
        <v>0</v>
      </c>
      <c r="L275" s="66" t="n">
        <f aca="false">IF(L$232=1,Inputs!$D$23,0)</f>
        <v>0</v>
      </c>
      <c r="M275" s="66" t="n">
        <f aca="false">IF(M$232=1,Inputs!$D$23,0)</f>
        <v>0</v>
      </c>
      <c r="N275" s="66" t="n">
        <f aca="false">IF(N$232=1,Inputs!$D$23,0)</f>
        <v>0</v>
      </c>
      <c r="O275" s="66" t="n">
        <f aca="false">IF(O$232=1,Inputs!$D$23,0)</f>
        <v>0</v>
      </c>
      <c r="P275" s="66" t="n">
        <f aca="false">IF(P$232=1,Inputs!$D$23,0)</f>
        <v>0</v>
      </c>
      <c r="Q275" s="66" t="n">
        <f aca="false">IF(Q$232=1,Inputs!$D$23,0)</f>
        <v>0</v>
      </c>
      <c r="R275" s="66" t="n">
        <f aca="false">IF(R$232=1,Inputs!$D$23,0)</f>
        <v>0</v>
      </c>
      <c r="S275" s="66" t="n">
        <f aca="false">IF(S$232=1,Inputs!$D$23,0)</f>
        <v>0</v>
      </c>
      <c r="T275" s="66" t="n">
        <f aca="false">IF(T$232=1,Inputs!$D$23,0)</f>
        <v>0</v>
      </c>
      <c r="U275" s="66" t="n">
        <f aca="false">IF(U$232=1,Inputs!$D$23,0)</f>
        <v>0</v>
      </c>
      <c r="V275" s="66" t="n">
        <f aca="false">IF(V$232=1,Inputs!$D$23,0)</f>
        <v>0</v>
      </c>
      <c r="W275" s="66" t="n">
        <f aca="false">IF(W$232=1,Inputs!$D$23,0)</f>
        <v>0</v>
      </c>
      <c r="X275" s="66" t="n">
        <f aca="false">IF(X$232=1,Inputs!$D$23,0)</f>
        <v>0</v>
      </c>
      <c r="Y275" s="66" t="n">
        <f aca="false">IF(Y$232=1,Inputs!$D$23,0)</f>
        <v>0</v>
      </c>
      <c r="Z275" s="66" t="n">
        <f aca="false">IF(Z$232=1,Inputs!$D$23,0)</f>
        <v>0</v>
      </c>
      <c r="AA275" s="66" t="n">
        <f aca="false">IF(AA$232=1,Inputs!$D$23,0)</f>
        <v>0</v>
      </c>
      <c r="AB275" s="66" t="n">
        <f aca="false">IF(AB$232=1,Inputs!$D$23,0)</f>
        <v>0</v>
      </c>
      <c r="AC275" s="66" t="n">
        <f aca="false">IF(AC$232=1,Inputs!$D$23,0)</f>
        <v>0</v>
      </c>
      <c r="AD275" s="66" t="n">
        <f aca="false">IF(AD$232=1,Inputs!$D$23,0)</f>
        <v>0</v>
      </c>
      <c r="AE275" s="66" t="n">
        <f aca="false">IF(AE$232=1,Inputs!$D$23,0)</f>
        <v>0</v>
      </c>
      <c r="AF275" s="66" t="n">
        <f aca="false">IF(AF$232=1,Inputs!$D$23,0)</f>
        <v>0</v>
      </c>
      <c r="AG275" s="66" t="n">
        <f aca="false">IF(AG$232=1,Inputs!$D$23,0)</f>
        <v>0</v>
      </c>
      <c r="AH275" s="66" t="n">
        <f aca="false">IF(AH$232=1,Inputs!$D$23,0)</f>
        <v>0</v>
      </c>
      <c r="AI275" s="66" t="n">
        <f aca="false">IF(AI$232=1,Inputs!$D$23,0)</f>
        <v>0</v>
      </c>
      <c r="AJ275" s="66" t="n">
        <f aca="false">IF(AJ$232=1,Inputs!$D$23,0)</f>
        <v>0</v>
      </c>
      <c r="AK275" s="66" t="n">
        <f aca="false">IF(AK$232=1,Inputs!$D$23,0)</f>
        <v>0</v>
      </c>
      <c r="AL275" s="66" t="n">
        <f aca="false">IF(AL$232=1,Inputs!$D$23,0)</f>
        <v>0</v>
      </c>
      <c r="AM275" s="66" t="n">
        <f aca="false">IF(AM$232=1,Inputs!$D$23,0)</f>
        <v>0</v>
      </c>
      <c r="AN275" s="66" t="n">
        <f aca="false">IF(AN$232=1,Inputs!$D$23,0)</f>
        <v>0</v>
      </c>
      <c r="AO275" s="66" t="n">
        <f aca="false">IF(AO$232=1,Inputs!$D$23,0)</f>
        <v>0</v>
      </c>
      <c r="AP275" s="66" t="n">
        <f aca="false">IF(AP$232=1,Inputs!$D$23,0)</f>
        <v>0</v>
      </c>
      <c r="AQ275" s="66" t="n">
        <f aca="false">IF(AQ$232=1,Inputs!$D$23,0)</f>
        <v>0</v>
      </c>
      <c r="AR275" s="66" t="n">
        <f aca="false">IF(AR$232=1,Inputs!$D$23,0)</f>
        <v>0</v>
      </c>
      <c r="AS275" s="66" t="n">
        <f aca="false">IF(AS$232=1,Inputs!$D$23,0)</f>
        <v>0</v>
      </c>
      <c r="AT275" s="66" t="n">
        <f aca="false">IF(AT$232=1,Inputs!$D$23,0)</f>
        <v>0</v>
      </c>
      <c r="AU275" s="66" t="n">
        <f aca="false">IF(AU$232=1,Inputs!$D$23,0)</f>
        <v>0</v>
      </c>
      <c r="AV275" s="66" t="n">
        <f aca="false">IF(AV$232=1,Inputs!$D$23,0)</f>
        <v>0</v>
      </c>
      <c r="AW275" s="66" t="n">
        <f aca="false">IF(AW$232=1,Inputs!$D$23,0)</f>
        <v>0</v>
      </c>
      <c r="AX275" s="66" t="n">
        <f aca="false">IF(AX$232=1,Inputs!$D$23,0)</f>
        <v>0</v>
      </c>
      <c r="AY275" s="66" t="n">
        <f aca="false">IF(AY$232=1,Inputs!$D$23,0)</f>
        <v>0</v>
      </c>
      <c r="AZ275" s="66" t="n">
        <f aca="false">IF(AZ$232=1,Inputs!$D$23,0)</f>
        <v>0</v>
      </c>
      <c r="BA275" s="66" t="n">
        <f aca="false">IF(BA$232=1,Inputs!$D$23,0)</f>
        <v>0</v>
      </c>
      <c r="BB275" s="66" t="n">
        <f aca="false">IF(BB$232=1,Inputs!$D$23,0)</f>
        <v>0</v>
      </c>
      <c r="BC275" s="66" t="n">
        <f aca="false">IF(BC$232=1,Inputs!$D$23,0)</f>
        <v>0</v>
      </c>
      <c r="BD275" s="66" t="n">
        <f aca="false">IF(BD$232=1,Inputs!$D$23,0)</f>
        <v>0</v>
      </c>
      <c r="BE275" s="66" t="n">
        <f aca="false">IF(BE$232=1,Inputs!$D$23,0)</f>
        <v>0</v>
      </c>
      <c r="BF275" s="66" t="n">
        <f aca="false">IF(BF$232=1,Inputs!$D$23,0)</f>
        <v>0</v>
      </c>
      <c r="BG275" s="66" t="n">
        <f aca="false">IF(BG$232=1,Inputs!$D$23,0)</f>
        <v>0</v>
      </c>
      <c r="BH275" s="66" t="n">
        <f aca="false">IF(BH$232=1,Inputs!$D$23,0)</f>
        <v>0</v>
      </c>
      <c r="BI275" s="66" t="n">
        <f aca="false">IF(BI$232=1,Inputs!$D$23,0)</f>
        <v>0</v>
      </c>
      <c r="BJ275" s="66" t="n">
        <f aca="false">IF(BJ$232=1,Inputs!$D$23,0)</f>
        <v>0</v>
      </c>
    </row>
    <row r="276" customFormat="false" ht="15" hidden="false" customHeight="false" outlineLevel="0" collapsed="false">
      <c r="A276" s="6" t="s">
        <v>415</v>
      </c>
      <c r="C276" s="66" t="n">
        <f aca="false">C275</f>
        <v>20000</v>
      </c>
      <c r="D276" s="66" t="n">
        <f aca="false">C276+D275</f>
        <v>20000</v>
      </c>
      <c r="E276" s="66" t="n">
        <f aca="false">D276+E275</f>
        <v>20000</v>
      </c>
      <c r="F276" s="66" t="n">
        <f aca="false">E276+F275</f>
        <v>20000</v>
      </c>
      <c r="G276" s="66" t="n">
        <f aca="false">F276+G275</f>
        <v>20000</v>
      </c>
      <c r="H276" s="66" t="n">
        <f aca="false">G276+H275</f>
        <v>20000</v>
      </c>
      <c r="I276" s="66" t="n">
        <f aca="false">H276+I275</f>
        <v>20000</v>
      </c>
      <c r="J276" s="66" t="n">
        <f aca="false">I276+J275</f>
        <v>20000</v>
      </c>
      <c r="K276" s="66" t="n">
        <f aca="false">J276+K275</f>
        <v>20000</v>
      </c>
      <c r="L276" s="66" t="n">
        <f aca="false">K276+L275</f>
        <v>20000</v>
      </c>
      <c r="M276" s="66" t="n">
        <f aca="false">L276+M275</f>
        <v>20000</v>
      </c>
      <c r="N276" s="66" t="n">
        <f aca="false">M276+N275</f>
        <v>20000</v>
      </c>
      <c r="O276" s="66" t="n">
        <f aca="false">N276+O275</f>
        <v>20000</v>
      </c>
      <c r="P276" s="66" t="n">
        <f aca="false">O276+P275</f>
        <v>20000</v>
      </c>
      <c r="Q276" s="66" t="n">
        <f aca="false">P276+Q275</f>
        <v>20000</v>
      </c>
      <c r="R276" s="66" t="n">
        <f aca="false">Q276+R275</f>
        <v>20000</v>
      </c>
      <c r="S276" s="66" t="n">
        <f aca="false">R276+S275</f>
        <v>20000</v>
      </c>
      <c r="T276" s="66" t="n">
        <f aca="false">S276+T275</f>
        <v>20000</v>
      </c>
      <c r="U276" s="66" t="n">
        <f aca="false">T276+U275</f>
        <v>20000</v>
      </c>
      <c r="V276" s="66" t="n">
        <f aca="false">U276+V275</f>
        <v>20000</v>
      </c>
      <c r="W276" s="66" t="n">
        <f aca="false">V276+W275</f>
        <v>20000</v>
      </c>
      <c r="X276" s="66" t="n">
        <f aca="false">W276+X275</f>
        <v>20000</v>
      </c>
      <c r="Y276" s="66" t="n">
        <f aca="false">X276+Y275</f>
        <v>20000</v>
      </c>
      <c r="Z276" s="66" t="n">
        <f aca="false">Y276+Z275</f>
        <v>20000</v>
      </c>
      <c r="AA276" s="66" t="n">
        <f aca="false">Z276+AA275</f>
        <v>20000</v>
      </c>
      <c r="AB276" s="66" t="n">
        <f aca="false">AA276+AB275</f>
        <v>20000</v>
      </c>
      <c r="AC276" s="66" t="n">
        <f aca="false">AB276+AC275</f>
        <v>20000</v>
      </c>
      <c r="AD276" s="66" t="n">
        <f aca="false">AC276+AD275</f>
        <v>20000</v>
      </c>
      <c r="AE276" s="66" t="n">
        <f aca="false">AD276+AE275</f>
        <v>20000</v>
      </c>
      <c r="AF276" s="66" t="n">
        <f aca="false">AE276+AF275</f>
        <v>20000</v>
      </c>
      <c r="AG276" s="66" t="n">
        <f aca="false">AF276+AG275</f>
        <v>20000</v>
      </c>
      <c r="AH276" s="66" t="n">
        <f aca="false">AG276+AH275</f>
        <v>20000</v>
      </c>
      <c r="AI276" s="66" t="n">
        <f aca="false">AH276+AI275</f>
        <v>20000</v>
      </c>
      <c r="AJ276" s="66" t="n">
        <f aca="false">AI276+AJ275</f>
        <v>20000</v>
      </c>
      <c r="AK276" s="66" t="n">
        <f aca="false">AJ276+AK275</f>
        <v>20000</v>
      </c>
      <c r="AL276" s="66" t="n">
        <f aca="false">AK276+AL275</f>
        <v>20000</v>
      </c>
      <c r="AM276" s="66" t="n">
        <f aca="false">AL276+AM275</f>
        <v>20000</v>
      </c>
      <c r="AN276" s="66" t="n">
        <f aca="false">AM276+AN275</f>
        <v>20000</v>
      </c>
      <c r="AO276" s="66" t="n">
        <f aca="false">AN276+AO275</f>
        <v>20000</v>
      </c>
      <c r="AP276" s="66" t="n">
        <f aca="false">AO276+AP275</f>
        <v>20000</v>
      </c>
      <c r="AQ276" s="66" t="n">
        <f aca="false">AP276+AQ275</f>
        <v>20000</v>
      </c>
      <c r="AR276" s="66" t="n">
        <f aca="false">AQ276+AR275</f>
        <v>20000</v>
      </c>
      <c r="AS276" s="66" t="n">
        <f aca="false">AR276+AS275</f>
        <v>20000</v>
      </c>
      <c r="AT276" s="66" t="n">
        <f aca="false">AS276+AT275</f>
        <v>20000</v>
      </c>
      <c r="AU276" s="66" t="n">
        <f aca="false">AT276+AU275</f>
        <v>20000</v>
      </c>
      <c r="AV276" s="66" t="n">
        <f aca="false">AU276+AV275</f>
        <v>20000</v>
      </c>
      <c r="AW276" s="66" t="n">
        <f aca="false">AV276+AW275</f>
        <v>20000</v>
      </c>
      <c r="AX276" s="66" t="n">
        <f aca="false">AW276+AX275</f>
        <v>20000</v>
      </c>
      <c r="AY276" s="66" t="n">
        <f aca="false">AX276+AY275</f>
        <v>20000</v>
      </c>
      <c r="AZ276" s="66" t="n">
        <f aca="false">AY276+AZ275</f>
        <v>20000</v>
      </c>
      <c r="BA276" s="66" t="n">
        <f aca="false">AZ276+BA275</f>
        <v>20000</v>
      </c>
      <c r="BB276" s="66" t="n">
        <f aca="false">BA276+BB275</f>
        <v>20000</v>
      </c>
      <c r="BC276" s="66" t="n">
        <f aca="false">BB276+BC275</f>
        <v>20000</v>
      </c>
      <c r="BD276" s="66" t="n">
        <f aca="false">BC276+BD275</f>
        <v>20000</v>
      </c>
      <c r="BE276" s="66" t="n">
        <f aca="false">BD276+BE275</f>
        <v>20000</v>
      </c>
      <c r="BF276" s="66" t="n">
        <f aca="false">BE276+BF275</f>
        <v>20000</v>
      </c>
      <c r="BG276" s="66" t="n">
        <f aca="false">BF276+BG275</f>
        <v>20000</v>
      </c>
      <c r="BH276" s="66" t="n">
        <f aca="false">BG276+BH275</f>
        <v>20000</v>
      </c>
      <c r="BI276" s="66" t="n">
        <f aca="false">BH276+BI275</f>
        <v>20000</v>
      </c>
      <c r="BJ276" s="66" t="n">
        <f aca="false">BI276+BJ275</f>
        <v>20000</v>
      </c>
    </row>
    <row r="277" customFormat="false" ht="15" hidden="false" customHeight="false" outlineLevel="0" collapsed="false">
      <c r="A277" s="6" t="s">
        <v>77</v>
      </c>
      <c r="C277" s="66" t="n">
        <f aca="false">-MIN(C276/MAX(1,Inputs!$D$57*12),C275)</f>
        <v>-555.555555555556</v>
      </c>
      <c r="D277" s="66" t="n">
        <f aca="false">-MIN(D276/MAX(1,Inputs!$D$57*12),C279+D275)</f>
        <v>-555.555555555556</v>
      </c>
      <c r="E277" s="66" t="n">
        <f aca="false">-MIN(E276/MAX(1,Inputs!$D$57*12),D279+E275)</f>
        <v>-555.555555555556</v>
      </c>
      <c r="F277" s="66" t="n">
        <f aca="false">-MIN(F276/MAX(1,Inputs!$D$57*12),E279+F275)</f>
        <v>-555.555555555556</v>
      </c>
      <c r="G277" s="66" t="n">
        <f aca="false">-MIN(G276/MAX(1,Inputs!$D$57*12),F279+G275)</f>
        <v>-555.555555555556</v>
      </c>
      <c r="H277" s="66" t="n">
        <f aca="false">-MIN(H276/MAX(1,Inputs!$D$57*12),G279+H275)</f>
        <v>-555.555555555556</v>
      </c>
      <c r="I277" s="66" t="n">
        <f aca="false">-MIN(I276/MAX(1,Inputs!$D$57*12),H279+I275)</f>
        <v>-555.555555555556</v>
      </c>
      <c r="J277" s="66" t="n">
        <f aca="false">-MIN(J276/MAX(1,Inputs!$D$57*12),I279+J275)</f>
        <v>-555.555555555556</v>
      </c>
      <c r="K277" s="66" t="n">
        <f aca="false">-MIN(K276/MAX(1,Inputs!$D$57*12),J279+K275)</f>
        <v>-555.555555555556</v>
      </c>
      <c r="L277" s="66" t="n">
        <f aca="false">-MIN(L276/MAX(1,Inputs!$D$57*12),K279+L275)</f>
        <v>-555.555555555556</v>
      </c>
      <c r="M277" s="66" t="n">
        <f aca="false">-MIN(M276/MAX(1,Inputs!$D$57*12),L279+M275)</f>
        <v>-555.555555555556</v>
      </c>
      <c r="N277" s="66" t="n">
        <f aca="false">-MIN(N276/MAX(1,Inputs!$D$57*12),M279+N275)</f>
        <v>-555.555555555556</v>
      </c>
      <c r="O277" s="66" t="n">
        <f aca="false">-MIN(O276/MAX(1,Inputs!$D$57*12),N279+O275)</f>
        <v>-555.555555555556</v>
      </c>
      <c r="P277" s="66" t="n">
        <f aca="false">-MIN(P276/MAX(1,Inputs!$D$57*12),O279+P275)</f>
        <v>-555.555555555556</v>
      </c>
      <c r="Q277" s="66" t="n">
        <f aca="false">-MIN(Q276/MAX(1,Inputs!$D$57*12),P279+Q275)</f>
        <v>-555.555555555556</v>
      </c>
      <c r="R277" s="66" t="n">
        <f aca="false">-MIN(R276/MAX(1,Inputs!$D$57*12),Q279+R275)</f>
        <v>-555.555555555556</v>
      </c>
      <c r="S277" s="66" t="n">
        <f aca="false">-MIN(S276/MAX(1,Inputs!$D$57*12),R279+S275)</f>
        <v>-555.555555555556</v>
      </c>
      <c r="T277" s="66" t="n">
        <f aca="false">-MIN(T276/MAX(1,Inputs!$D$57*12),S279+T275)</f>
        <v>-555.555555555556</v>
      </c>
      <c r="U277" s="66" t="n">
        <f aca="false">-MIN(U276/MAX(1,Inputs!$D$57*12),T279+U275)</f>
        <v>-555.555555555556</v>
      </c>
      <c r="V277" s="66" t="n">
        <f aca="false">-MIN(V276/MAX(1,Inputs!$D$57*12),U279+V275)</f>
        <v>-555.555555555556</v>
      </c>
      <c r="W277" s="66" t="n">
        <f aca="false">-MIN(W276/MAX(1,Inputs!$D$57*12),V279+W275)</f>
        <v>-555.555555555556</v>
      </c>
      <c r="X277" s="66" t="n">
        <f aca="false">-MIN(X276/MAX(1,Inputs!$D$57*12),W279+X275)</f>
        <v>-555.555555555556</v>
      </c>
      <c r="Y277" s="66" t="n">
        <f aca="false">-MIN(Y276/MAX(1,Inputs!$D$57*12),X279+Y275)</f>
        <v>-555.555555555556</v>
      </c>
      <c r="Z277" s="66" t="n">
        <f aca="false">-MIN(Z276/MAX(1,Inputs!$D$57*12),Y279+Z275)</f>
        <v>-555.555555555556</v>
      </c>
      <c r="AA277" s="66" t="n">
        <f aca="false">-MIN(AA276/MAX(1,Inputs!$D$57*12),Z279+AA275)</f>
        <v>-555.555555555556</v>
      </c>
      <c r="AB277" s="66" t="n">
        <f aca="false">-MIN(AB276/MAX(1,Inputs!$D$57*12),AA279+AB275)</f>
        <v>-555.555555555556</v>
      </c>
      <c r="AC277" s="66" t="n">
        <f aca="false">-MIN(AC276/MAX(1,Inputs!$D$57*12),AB279+AC275)</f>
        <v>-555.555555555556</v>
      </c>
      <c r="AD277" s="66" t="n">
        <f aca="false">-MIN(AD276/MAX(1,Inputs!$D$57*12),AC279+AD275)</f>
        <v>-555.555555555556</v>
      </c>
      <c r="AE277" s="66" t="n">
        <f aca="false">-MIN(AE276/MAX(1,Inputs!$D$57*12),AD279+AE275)</f>
        <v>-555.555555555556</v>
      </c>
      <c r="AF277" s="66" t="n">
        <f aca="false">-MIN(AF276/MAX(1,Inputs!$D$57*12),AE279+AF275)</f>
        <v>-555.555555555556</v>
      </c>
      <c r="AG277" s="66" t="n">
        <f aca="false">-MIN(AG276/MAX(1,Inputs!$D$57*12),AF279+AG275)</f>
        <v>-555.555555555556</v>
      </c>
      <c r="AH277" s="66" t="n">
        <f aca="false">-MIN(AH276/MAX(1,Inputs!$D$57*12),AG279+AH275)</f>
        <v>-555.555555555556</v>
      </c>
      <c r="AI277" s="66" t="n">
        <f aca="false">-MIN(AI276/MAX(1,Inputs!$D$57*12),AH279+AI275)</f>
        <v>-555.555555555556</v>
      </c>
      <c r="AJ277" s="66" t="n">
        <f aca="false">-MIN(AJ276/MAX(1,Inputs!$D$57*12),AI279+AJ275)</f>
        <v>-555.555555555556</v>
      </c>
      <c r="AK277" s="66" t="n">
        <f aca="false">-MIN(AK276/MAX(1,Inputs!$D$57*12),AJ279+AK275)</f>
        <v>-555.555555555556</v>
      </c>
      <c r="AL277" s="66" t="n">
        <f aca="false">-MIN(AL276/MAX(1,Inputs!$D$57*12),AK279+AL275)</f>
        <v>-555.555555555556</v>
      </c>
      <c r="AM277" s="66" t="n">
        <f aca="false">-MIN(AM276/MAX(1,Inputs!$D$57*12),AL279+AM275)</f>
        <v>-0</v>
      </c>
      <c r="AN277" s="66" t="n">
        <f aca="false">-MIN(AN276/MAX(1,Inputs!$D$57*12),AM279+AN275)</f>
        <v>-0</v>
      </c>
      <c r="AO277" s="66" t="n">
        <f aca="false">-MIN(AO276/MAX(1,Inputs!$D$57*12),AN279+AO275)</f>
        <v>-0</v>
      </c>
      <c r="AP277" s="66" t="n">
        <f aca="false">-MIN(AP276/MAX(1,Inputs!$D$57*12),AO279+AP275)</f>
        <v>-0</v>
      </c>
      <c r="AQ277" s="66" t="n">
        <f aca="false">-MIN(AQ276/MAX(1,Inputs!$D$57*12),AP279+AQ275)</f>
        <v>-0</v>
      </c>
      <c r="AR277" s="66" t="n">
        <f aca="false">-MIN(AR276/MAX(1,Inputs!$D$57*12),AQ279+AR275)</f>
        <v>-0</v>
      </c>
      <c r="AS277" s="66" t="n">
        <f aca="false">-MIN(AS276/MAX(1,Inputs!$D$57*12),AR279+AS275)</f>
        <v>-0</v>
      </c>
      <c r="AT277" s="66" t="n">
        <f aca="false">-MIN(AT276/MAX(1,Inputs!$D$57*12),AS279+AT275)</f>
        <v>-0</v>
      </c>
      <c r="AU277" s="66" t="n">
        <f aca="false">-MIN(AU276/MAX(1,Inputs!$D$57*12),AT279+AU275)</f>
        <v>-0</v>
      </c>
      <c r="AV277" s="66" t="n">
        <f aca="false">-MIN(AV276/MAX(1,Inputs!$D$57*12),AU279+AV275)</f>
        <v>-0</v>
      </c>
      <c r="AW277" s="66" t="n">
        <f aca="false">-MIN(AW276/MAX(1,Inputs!$D$57*12),AV279+AW275)</f>
        <v>-0</v>
      </c>
      <c r="AX277" s="66" t="n">
        <f aca="false">-MIN(AX276/MAX(1,Inputs!$D$57*12),AW279+AX275)</f>
        <v>-0</v>
      </c>
      <c r="AY277" s="66" t="n">
        <f aca="false">-MIN(AY276/MAX(1,Inputs!$D$57*12),AX279+AY275)</f>
        <v>-0</v>
      </c>
      <c r="AZ277" s="66" t="n">
        <f aca="false">-MIN(AZ276/MAX(1,Inputs!$D$57*12),AY279+AZ275)</f>
        <v>-0</v>
      </c>
      <c r="BA277" s="66" t="n">
        <f aca="false">-MIN(BA276/MAX(1,Inputs!$D$57*12),AZ279+BA275)</f>
        <v>-0</v>
      </c>
      <c r="BB277" s="66" t="n">
        <f aca="false">-MIN(BB276/MAX(1,Inputs!$D$57*12),BA279+BB275)</f>
        <v>-0</v>
      </c>
      <c r="BC277" s="66" t="n">
        <f aca="false">-MIN(BC276/MAX(1,Inputs!$D$57*12),BB279+BC275)</f>
        <v>-0</v>
      </c>
      <c r="BD277" s="66" t="n">
        <f aca="false">-MIN(BD276/MAX(1,Inputs!$D$57*12),BC279+BD275)</f>
        <v>-0</v>
      </c>
      <c r="BE277" s="66" t="n">
        <f aca="false">-MIN(BE276/MAX(1,Inputs!$D$57*12),BD279+BE275)</f>
        <v>-0</v>
      </c>
      <c r="BF277" s="66" t="n">
        <f aca="false">-MIN(BF276/MAX(1,Inputs!$D$57*12),BE279+BF275)</f>
        <v>-0</v>
      </c>
      <c r="BG277" s="66" t="n">
        <f aca="false">-MIN(BG276/MAX(1,Inputs!$D$57*12),BF279+BG275)</f>
        <v>-0</v>
      </c>
      <c r="BH277" s="66" t="n">
        <f aca="false">-MIN(BH276/MAX(1,Inputs!$D$57*12),BG279+BH275)</f>
        <v>-0</v>
      </c>
      <c r="BI277" s="66" t="n">
        <f aca="false">-MIN(BI276/MAX(1,Inputs!$D$57*12),BH279+BI275)</f>
        <v>-0</v>
      </c>
      <c r="BJ277" s="66" t="n">
        <f aca="false">-MIN(BJ276/MAX(1,Inputs!$D$57*12),BI279+BJ275)</f>
        <v>-0</v>
      </c>
    </row>
    <row r="278" customFormat="false" ht="15" hidden="false" customHeight="false" outlineLevel="0" collapsed="false">
      <c r="A278" s="6" t="s">
        <v>416</v>
      </c>
      <c r="C278" s="66" t="n">
        <f aca="false">C277</f>
        <v>-555.555555555556</v>
      </c>
      <c r="D278" s="66" t="n">
        <f aca="false">C278+D277</f>
        <v>-1111.11111111111</v>
      </c>
      <c r="E278" s="66" t="n">
        <f aca="false">D278+E277</f>
        <v>-1666.66666666667</v>
      </c>
      <c r="F278" s="66" t="n">
        <f aca="false">E278+F277</f>
        <v>-2222.22222222222</v>
      </c>
      <c r="G278" s="66" t="n">
        <f aca="false">F278+G277</f>
        <v>-2777.77777777778</v>
      </c>
      <c r="H278" s="66" t="n">
        <f aca="false">G278+H277</f>
        <v>-3333.33333333333</v>
      </c>
      <c r="I278" s="66" t="n">
        <f aca="false">H278+I277</f>
        <v>-3888.88888888889</v>
      </c>
      <c r="J278" s="66" t="n">
        <f aca="false">I278+J277</f>
        <v>-4444.44444444444</v>
      </c>
      <c r="K278" s="66" t="n">
        <f aca="false">J278+K277</f>
        <v>-5000</v>
      </c>
      <c r="L278" s="66" t="n">
        <f aca="false">K278+L277</f>
        <v>-5555.55555555556</v>
      </c>
      <c r="M278" s="66" t="n">
        <f aca="false">L278+M277</f>
        <v>-6111.11111111111</v>
      </c>
      <c r="N278" s="66" t="n">
        <f aca="false">M278+N277</f>
        <v>-6666.66666666667</v>
      </c>
      <c r="O278" s="66" t="n">
        <f aca="false">N278+O277</f>
        <v>-7222.22222222222</v>
      </c>
      <c r="P278" s="66" t="n">
        <f aca="false">O278+P277</f>
        <v>-7777.77777777778</v>
      </c>
      <c r="Q278" s="66" t="n">
        <f aca="false">P278+Q277</f>
        <v>-8333.33333333333</v>
      </c>
      <c r="R278" s="66" t="n">
        <f aca="false">Q278+R277</f>
        <v>-8888.88888888889</v>
      </c>
      <c r="S278" s="66" t="n">
        <f aca="false">R278+S277</f>
        <v>-9444.44444444444</v>
      </c>
      <c r="T278" s="66" t="n">
        <f aca="false">S278+T277</f>
        <v>-10000</v>
      </c>
      <c r="U278" s="66" t="n">
        <f aca="false">T278+U277</f>
        <v>-10555.5555555556</v>
      </c>
      <c r="V278" s="66" t="n">
        <f aca="false">U278+V277</f>
        <v>-11111.1111111111</v>
      </c>
      <c r="W278" s="66" t="n">
        <f aca="false">V278+W277</f>
        <v>-11666.6666666667</v>
      </c>
      <c r="X278" s="66" t="n">
        <f aca="false">W278+X277</f>
        <v>-12222.2222222222</v>
      </c>
      <c r="Y278" s="66" t="n">
        <f aca="false">X278+Y277</f>
        <v>-12777.7777777778</v>
      </c>
      <c r="Z278" s="66" t="n">
        <f aca="false">Y278+Z277</f>
        <v>-13333.3333333333</v>
      </c>
      <c r="AA278" s="66" t="n">
        <f aca="false">Z278+AA277</f>
        <v>-13888.8888888889</v>
      </c>
      <c r="AB278" s="66" t="n">
        <f aca="false">AA278+AB277</f>
        <v>-14444.4444444444</v>
      </c>
      <c r="AC278" s="66" t="n">
        <f aca="false">AB278+AC277</f>
        <v>-15000</v>
      </c>
      <c r="AD278" s="66" t="n">
        <f aca="false">AC278+AD277</f>
        <v>-15555.5555555555</v>
      </c>
      <c r="AE278" s="66" t="n">
        <f aca="false">AD278+AE277</f>
        <v>-16111.1111111111</v>
      </c>
      <c r="AF278" s="66" t="n">
        <f aca="false">AE278+AF277</f>
        <v>-16666.6666666667</v>
      </c>
      <c r="AG278" s="66" t="n">
        <f aca="false">AF278+AG277</f>
        <v>-17222.2222222222</v>
      </c>
      <c r="AH278" s="66" t="n">
        <f aca="false">AG278+AH277</f>
        <v>-17777.7777777778</v>
      </c>
      <c r="AI278" s="66" t="n">
        <f aca="false">AH278+AI277</f>
        <v>-18333.3333333333</v>
      </c>
      <c r="AJ278" s="66" t="n">
        <f aca="false">AI278+AJ277</f>
        <v>-18888.8888888889</v>
      </c>
      <c r="AK278" s="66" t="n">
        <f aca="false">AJ278+AK277</f>
        <v>-19444.4444444444</v>
      </c>
      <c r="AL278" s="66" t="n">
        <f aca="false">AK278+AL277</f>
        <v>-20000</v>
      </c>
      <c r="AM278" s="66" t="n">
        <f aca="false">AL278+AM277</f>
        <v>-20000</v>
      </c>
      <c r="AN278" s="66" t="n">
        <f aca="false">AM278+AN277</f>
        <v>-20000</v>
      </c>
      <c r="AO278" s="66" t="n">
        <f aca="false">AN278+AO277</f>
        <v>-20000</v>
      </c>
      <c r="AP278" s="66" t="n">
        <f aca="false">AO278+AP277</f>
        <v>-20000</v>
      </c>
      <c r="AQ278" s="66" t="n">
        <f aca="false">AP278+AQ277</f>
        <v>-20000</v>
      </c>
      <c r="AR278" s="66" t="n">
        <f aca="false">AQ278+AR277</f>
        <v>-20000</v>
      </c>
      <c r="AS278" s="66" t="n">
        <f aca="false">AR278+AS277</f>
        <v>-20000</v>
      </c>
      <c r="AT278" s="66" t="n">
        <f aca="false">AS278+AT277</f>
        <v>-20000</v>
      </c>
      <c r="AU278" s="66" t="n">
        <f aca="false">AT278+AU277</f>
        <v>-20000</v>
      </c>
      <c r="AV278" s="66" t="n">
        <f aca="false">AU278+AV277</f>
        <v>-20000</v>
      </c>
      <c r="AW278" s="66" t="n">
        <f aca="false">AV278+AW277</f>
        <v>-20000</v>
      </c>
      <c r="AX278" s="66" t="n">
        <f aca="false">AW278+AX277</f>
        <v>-20000</v>
      </c>
      <c r="AY278" s="66" t="n">
        <f aca="false">AX278+AY277</f>
        <v>-20000</v>
      </c>
      <c r="AZ278" s="66" t="n">
        <f aca="false">AY278+AZ277</f>
        <v>-20000</v>
      </c>
      <c r="BA278" s="66" t="n">
        <f aca="false">AZ278+BA277</f>
        <v>-20000</v>
      </c>
      <c r="BB278" s="66" t="n">
        <f aca="false">BA278+BB277</f>
        <v>-20000</v>
      </c>
      <c r="BC278" s="66" t="n">
        <f aca="false">BB278+BC277</f>
        <v>-20000</v>
      </c>
      <c r="BD278" s="66" t="n">
        <f aca="false">BC278+BD277</f>
        <v>-20000</v>
      </c>
      <c r="BE278" s="66" t="n">
        <f aca="false">BD278+BE277</f>
        <v>-20000</v>
      </c>
      <c r="BF278" s="66" t="n">
        <f aca="false">BE278+BF277</f>
        <v>-20000</v>
      </c>
      <c r="BG278" s="66" t="n">
        <f aca="false">BF278+BG277</f>
        <v>-20000</v>
      </c>
      <c r="BH278" s="66" t="n">
        <f aca="false">BG278+BH277</f>
        <v>-20000</v>
      </c>
      <c r="BI278" s="66" t="n">
        <f aca="false">BH278+BI277</f>
        <v>-20000</v>
      </c>
      <c r="BJ278" s="66" t="n">
        <f aca="false">BI278+BJ277</f>
        <v>-20000</v>
      </c>
    </row>
    <row r="279" customFormat="false" ht="15" hidden="false" customHeight="false" outlineLevel="0" collapsed="false">
      <c r="A279" s="4" t="s">
        <v>91</v>
      </c>
      <c r="C279" s="72" t="n">
        <f aca="false">C276+C278</f>
        <v>19444.4444444444</v>
      </c>
      <c r="D279" s="72" t="n">
        <f aca="false">D276+D278</f>
        <v>18888.8888888889</v>
      </c>
      <c r="E279" s="72" t="n">
        <f aca="false">E276+E278</f>
        <v>18333.3333333333</v>
      </c>
      <c r="F279" s="72" t="n">
        <f aca="false">F276+F278</f>
        <v>17777.7777777778</v>
      </c>
      <c r="G279" s="72" t="n">
        <f aca="false">G276+G278</f>
        <v>17222.2222222222</v>
      </c>
      <c r="H279" s="72" t="n">
        <f aca="false">H276+H278</f>
        <v>16666.6666666667</v>
      </c>
      <c r="I279" s="72" t="n">
        <f aca="false">I276+I278</f>
        <v>16111.1111111111</v>
      </c>
      <c r="J279" s="72" t="n">
        <f aca="false">J276+J278</f>
        <v>15555.5555555556</v>
      </c>
      <c r="K279" s="72" t="n">
        <f aca="false">K276+K278</f>
        <v>15000</v>
      </c>
      <c r="L279" s="72" t="n">
        <f aca="false">L276+L278</f>
        <v>14444.4444444444</v>
      </c>
      <c r="M279" s="72" t="n">
        <f aca="false">M276+M278</f>
        <v>13888.8888888889</v>
      </c>
      <c r="N279" s="72" t="n">
        <f aca="false">N276+N278</f>
        <v>13333.3333333333</v>
      </c>
      <c r="O279" s="72" t="n">
        <f aca="false">O276+O278</f>
        <v>12777.7777777778</v>
      </c>
      <c r="P279" s="72" t="n">
        <f aca="false">P276+P278</f>
        <v>12222.2222222222</v>
      </c>
      <c r="Q279" s="72" t="n">
        <f aca="false">Q276+Q278</f>
        <v>11666.6666666667</v>
      </c>
      <c r="R279" s="72" t="n">
        <f aca="false">R276+R278</f>
        <v>11111.1111111111</v>
      </c>
      <c r="S279" s="72" t="n">
        <f aca="false">S276+S278</f>
        <v>10555.5555555556</v>
      </c>
      <c r="T279" s="72" t="n">
        <f aca="false">T276+T278</f>
        <v>10000</v>
      </c>
      <c r="U279" s="72" t="n">
        <f aca="false">U276+U278</f>
        <v>9444.44444444445</v>
      </c>
      <c r="V279" s="72" t="n">
        <f aca="false">V276+V278</f>
        <v>8888.88888888889</v>
      </c>
      <c r="W279" s="72" t="n">
        <f aca="false">W276+W278</f>
        <v>8333.33333333334</v>
      </c>
      <c r="X279" s="72" t="n">
        <f aca="false">X276+X278</f>
        <v>7777.77777777778</v>
      </c>
      <c r="Y279" s="72" t="n">
        <f aca="false">Y276+Y278</f>
        <v>7222.22222222223</v>
      </c>
      <c r="Z279" s="72" t="n">
        <f aca="false">Z276+Z278</f>
        <v>6666.66666666667</v>
      </c>
      <c r="AA279" s="72" t="n">
        <f aca="false">AA276+AA278</f>
        <v>6111.11111111112</v>
      </c>
      <c r="AB279" s="72" t="n">
        <f aca="false">AB276+AB278</f>
        <v>5555.55555555556</v>
      </c>
      <c r="AC279" s="72" t="n">
        <f aca="false">AC276+AC278</f>
        <v>5000.00000000001</v>
      </c>
      <c r="AD279" s="72" t="n">
        <f aca="false">AD276+AD278</f>
        <v>4444.44444444445</v>
      </c>
      <c r="AE279" s="72" t="n">
        <f aca="false">AE276+AE278</f>
        <v>3888.8888888889</v>
      </c>
      <c r="AF279" s="72" t="n">
        <f aca="false">AF276+AF278</f>
        <v>3333.33333333334</v>
      </c>
      <c r="AG279" s="72" t="n">
        <f aca="false">AG276+AG278</f>
        <v>2777.77777777779</v>
      </c>
      <c r="AH279" s="72" t="n">
        <f aca="false">AH276+AH278</f>
        <v>2222.22222222223</v>
      </c>
      <c r="AI279" s="72" t="n">
        <f aca="false">AI276+AI278</f>
        <v>1666.66666666668</v>
      </c>
      <c r="AJ279" s="72" t="n">
        <f aca="false">AJ276+AJ278</f>
        <v>1111.11111111112</v>
      </c>
      <c r="AK279" s="72" t="n">
        <f aca="false">AK276+AK278</f>
        <v>555.555555555569</v>
      </c>
      <c r="AL279" s="72" t="n">
        <f aca="false">AL276+AL278</f>
        <v>0</v>
      </c>
      <c r="AM279" s="72" t="n">
        <f aca="false">AM276+AM278</f>
        <v>0</v>
      </c>
      <c r="AN279" s="72" t="n">
        <f aca="false">AN276+AN278</f>
        <v>0</v>
      </c>
      <c r="AO279" s="72" t="n">
        <f aca="false">AO276+AO278</f>
        <v>0</v>
      </c>
      <c r="AP279" s="72" t="n">
        <f aca="false">AP276+AP278</f>
        <v>0</v>
      </c>
      <c r="AQ279" s="72" t="n">
        <f aca="false">AQ276+AQ278</f>
        <v>0</v>
      </c>
      <c r="AR279" s="72" t="n">
        <f aca="false">AR276+AR278</f>
        <v>0</v>
      </c>
      <c r="AS279" s="72" t="n">
        <f aca="false">AS276+AS278</f>
        <v>0</v>
      </c>
      <c r="AT279" s="72" t="n">
        <f aca="false">AT276+AT278</f>
        <v>0</v>
      </c>
      <c r="AU279" s="72" t="n">
        <f aca="false">AU276+AU278</f>
        <v>0</v>
      </c>
      <c r="AV279" s="72" t="n">
        <f aca="false">AV276+AV278</f>
        <v>0</v>
      </c>
      <c r="AW279" s="72" t="n">
        <f aca="false">AW276+AW278</f>
        <v>0</v>
      </c>
      <c r="AX279" s="72" t="n">
        <f aca="false">AX276+AX278</f>
        <v>0</v>
      </c>
      <c r="AY279" s="72" t="n">
        <f aca="false">AY276+AY278</f>
        <v>0</v>
      </c>
      <c r="AZ279" s="72" t="n">
        <f aca="false">AZ276+AZ278</f>
        <v>0</v>
      </c>
      <c r="BA279" s="72" t="n">
        <f aca="false">BA276+BA278</f>
        <v>0</v>
      </c>
      <c r="BB279" s="72" t="n">
        <f aca="false">BB276+BB278</f>
        <v>0</v>
      </c>
      <c r="BC279" s="72" t="n">
        <f aca="false">BC276+BC278</f>
        <v>0</v>
      </c>
      <c r="BD279" s="72" t="n">
        <f aca="false">BD276+BD278</f>
        <v>0</v>
      </c>
      <c r="BE279" s="72" t="n">
        <f aca="false">BE276+BE278</f>
        <v>0</v>
      </c>
      <c r="BF279" s="72" t="n">
        <f aca="false">BF276+BF278</f>
        <v>0</v>
      </c>
      <c r="BG279" s="72" t="n">
        <f aca="false">BG276+BG278</f>
        <v>0</v>
      </c>
      <c r="BH279" s="72" t="n">
        <f aca="false">BH276+BH278</f>
        <v>0</v>
      </c>
      <c r="BI279" s="72" t="n">
        <f aca="false">BI276+BI278</f>
        <v>0</v>
      </c>
      <c r="BJ279" s="72" t="n">
        <f aca="false">BJ276+BJ278</f>
        <v>0</v>
      </c>
    </row>
    <row r="281" customFormat="false" ht="15.75" hidden="false" customHeight="true" outlineLevel="0" collapsed="false">
      <c r="A281" s="7" t="s">
        <v>417</v>
      </c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</row>
    <row r="282" customFormat="false" ht="15" hidden="false" customHeight="false" outlineLevel="0" collapsed="false">
      <c r="A282" s="6" t="s">
        <v>418</v>
      </c>
      <c r="C282" s="66" t="n">
        <f aca="false">0</f>
        <v>0</v>
      </c>
      <c r="D282" s="66" t="n">
        <f aca="false">C285</f>
        <v>0</v>
      </c>
      <c r="E282" s="66" t="n">
        <f aca="false">D285</f>
        <v>0</v>
      </c>
      <c r="F282" s="66" t="n">
        <f aca="false">E285</f>
        <v>0</v>
      </c>
      <c r="G282" s="66" t="n">
        <f aca="false">F285</f>
        <v>0</v>
      </c>
      <c r="H282" s="66" t="n">
        <f aca="false">G285</f>
        <v>0</v>
      </c>
      <c r="I282" s="66" t="n">
        <f aca="false">H285</f>
        <v>0</v>
      </c>
      <c r="J282" s="66" t="n">
        <f aca="false">I285</f>
        <v>0</v>
      </c>
      <c r="K282" s="66" t="n">
        <f aca="false">J285</f>
        <v>0</v>
      </c>
      <c r="L282" s="66" t="n">
        <f aca="false">K285</f>
        <v>0</v>
      </c>
      <c r="M282" s="66" t="n">
        <f aca="false">L285</f>
        <v>0</v>
      </c>
      <c r="N282" s="66" t="n">
        <f aca="false">M285</f>
        <v>0</v>
      </c>
      <c r="O282" s="66" t="n">
        <f aca="false">N285</f>
        <v>0</v>
      </c>
      <c r="P282" s="66" t="n">
        <f aca="false">O285</f>
        <v>0</v>
      </c>
      <c r="Q282" s="66" t="n">
        <f aca="false">P285</f>
        <v>0</v>
      </c>
      <c r="R282" s="66" t="n">
        <f aca="false">Q285</f>
        <v>0</v>
      </c>
      <c r="S282" s="66" t="n">
        <f aca="false">R285</f>
        <v>0</v>
      </c>
      <c r="T282" s="66" t="n">
        <f aca="false">S285</f>
        <v>0</v>
      </c>
      <c r="U282" s="66" t="n">
        <f aca="false">T285</f>
        <v>0</v>
      </c>
      <c r="V282" s="66" t="n">
        <f aca="false">U285</f>
        <v>0</v>
      </c>
      <c r="W282" s="66" t="n">
        <f aca="false">V285</f>
        <v>0</v>
      </c>
      <c r="X282" s="66" t="n">
        <f aca="false">W285</f>
        <v>0</v>
      </c>
      <c r="Y282" s="66" t="n">
        <f aca="false">X285</f>
        <v>0</v>
      </c>
      <c r="Z282" s="66" t="n">
        <f aca="false">Y285</f>
        <v>0</v>
      </c>
      <c r="AA282" s="66" t="n">
        <f aca="false">Z285</f>
        <v>0</v>
      </c>
      <c r="AB282" s="66" t="n">
        <f aca="false">AA285</f>
        <v>0</v>
      </c>
      <c r="AC282" s="66" t="n">
        <f aca="false">AB285</f>
        <v>0</v>
      </c>
      <c r="AD282" s="66" t="n">
        <f aca="false">AC285</f>
        <v>0</v>
      </c>
      <c r="AE282" s="66" t="n">
        <f aca="false">AD285</f>
        <v>0</v>
      </c>
      <c r="AF282" s="66" t="n">
        <f aca="false">AE285</f>
        <v>0</v>
      </c>
      <c r="AG282" s="66" t="n">
        <f aca="false">AF285</f>
        <v>0</v>
      </c>
      <c r="AH282" s="66" t="n">
        <f aca="false">AG285</f>
        <v>0</v>
      </c>
      <c r="AI282" s="66" t="n">
        <f aca="false">AH285</f>
        <v>0</v>
      </c>
      <c r="AJ282" s="66" t="n">
        <f aca="false">AI285</f>
        <v>0</v>
      </c>
      <c r="AK282" s="66" t="n">
        <f aca="false">AJ285</f>
        <v>0</v>
      </c>
      <c r="AL282" s="66" t="n">
        <f aca="false">AK285</f>
        <v>0</v>
      </c>
      <c r="AM282" s="66" t="n">
        <f aca="false">AL285</f>
        <v>0</v>
      </c>
      <c r="AN282" s="66" t="n">
        <f aca="false">AM285</f>
        <v>0</v>
      </c>
      <c r="AO282" s="66" t="n">
        <f aca="false">AN285</f>
        <v>0</v>
      </c>
      <c r="AP282" s="66" t="n">
        <f aca="false">AO285</f>
        <v>0</v>
      </c>
      <c r="AQ282" s="66" t="n">
        <f aca="false">AP285</f>
        <v>0</v>
      </c>
      <c r="AR282" s="66" t="n">
        <f aca="false">AQ285</f>
        <v>0</v>
      </c>
      <c r="AS282" s="66" t="n">
        <f aca="false">AR285</f>
        <v>0</v>
      </c>
      <c r="AT282" s="66" t="n">
        <f aca="false">AS285</f>
        <v>0</v>
      </c>
      <c r="AU282" s="66" t="n">
        <f aca="false">AT285</f>
        <v>0</v>
      </c>
      <c r="AV282" s="66" t="n">
        <f aca="false">AU285</f>
        <v>0</v>
      </c>
      <c r="AW282" s="66" t="n">
        <f aca="false">AV285</f>
        <v>0</v>
      </c>
      <c r="AX282" s="66" t="n">
        <f aca="false">AW285</f>
        <v>0</v>
      </c>
      <c r="AY282" s="66" t="n">
        <f aca="false">AX285</f>
        <v>0</v>
      </c>
      <c r="AZ282" s="66" t="n">
        <f aca="false">AY285</f>
        <v>0</v>
      </c>
      <c r="BA282" s="66" t="n">
        <f aca="false">AZ285</f>
        <v>0</v>
      </c>
      <c r="BB282" s="66" t="n">
        <f aca="false">BA285</f>
        <v>0</v>
      </c>
      <c r="BC282" s="66" t="n">
        <f aca="false">BB285</f>
        <v>0</v>
      </c>
      <c r="BD282" s="66" t="n">
        <f aca="false">BC285</f>
        <v>0</v>
      </c>
      <c r="BE282" s="66" t="n">
        <f aca="false">BD285</f>
        <v>0</v>
      </c>
      <c r="BF282" s="66" t="n">
        <f aca="false">BE285</f>
        <v>0</v>
      </c>
      <c r="BG282" s="66" t="n">
        <f aca="false">BF285</f>
        <v>0</v>
      </c>
      <c r="BH282" s="66" t="n">
        <f aca="false">BG285</f>
        <v>0</v>
      </c>
      <c r="BI282" s="66" t="n">
        <f aca="false">BH285</f>
        <v>0</v>
      </c>
      <c r="BJ282" s="66" t="n">
        <f aca="false">BI285</f>
        <v>0</v>
      </c>
    </row>
    <row r="283" customFormat="false" ht="15" hidden="false" customHeight="false" outlineLevel="0" collapsed="false">
      <c r="A283" s="6" t="s">
        <v>84</v>
      </c>
      <c r="C283" s="66" t="n">
        <f aca="false">IF(C$232=1,Inputs!$D$47,0)</f>
        <v>0</v>
      </c>
      <c r="D283" s="66" t="n">
        <f aca="false">IF(D$232=1,Inputs!$D$47,0)</f>
        <v>0</v>
      </c>
      <c r="E283" s="66" t="n">
        <f aca="false">IF(E$232=1,Inputs!$D$47,0)</f>
        <v>0</v>
      </c>
      <c r="F283" s="66" t="n">
        <f aca="false">IF(F$232=1,Inputs!$D$47,0)</f>
        <v>0</v>
      </c>
      <c r="G283" s="66" t="n">
        <f aca="false">IF(G$232=1,Inputs!$D$47,0)</f>
        <v>0</v>
      </c>
      <c r="H283" s="66" t="n">
        <f aca="false">IF(H$232=1,Inputs!$D$47,0)</f>
        <v>0</v>
      </c>
      <c r="I283" s="66" t="n">
        <f aca="false">IF(I$232=1,Inputs!$D$47,0)</f>
        <v>0</v>
      </c>
      <c r="J283" s="66" t="n">
        <f aca="false">IF(J$232=1,Inputs!$D$47,0)</f>
        <v>0</v>
      </c>
      <c r="K283" s="66" t="n">
        <f aca="false">IF(K$232=1,Inputs!$D$47,0)</f>
        <v>0</v>
      </c>
      <c r="L283" s="66" t="n">
        <f aca="false">IF(L$232=1,Inputs!$D$47,0)</f>
        <v>0</v>
      </c>
      <c r="M283" s="66" t="n">
        <f aca="false">IF(M$232=1,Inputs!$D$47,0)</f>
        <v>0</v>
      </c>
      <c r="N283" s="66" t="n">
        <f aca="false">IF(N$232=1,Inputs!$D$47,0)</f>
        <v>0</v>
      </c>
      <c r="O283" s="66" t="n">
        <f aca="false">IF(O$232=1,Inputs!$D$47,0)</f>
        <v>0</v>
      </c>
      <c r="P283" s="66" t="n">
        <f aca="false">IF(P$232=1,Inputs!$D$47,0)</f>
        <v>0</v>
      </c>
      <c r="Q283" s="66" t="n">
        <f aca="false">IF(Q$232=1,Inputs!$D$47,0)</f>
        <v>0</v>
      </c>
      <c r="R283" s="66" t="n">
        <f aca="false">IF(R$232=1,Inputs!$D$47,0)</f>
        <v>0</v>
      </c>
      <c r="S283" s="66" t="n">
        <f aca="false">IF(S$232=1,Inputs!$D$47,0)</f>
        <v>0</v>
      </c>
      <c r="T283" s="66" t="n">
        <f aca="false">IF(T$232=1,Inputs!$D$47,0)</f>
        <v>0</v>
      </c>
      <c r="U283" s="66" t="n">
        <f aca="false">IF(U$232=1,Inputs!$D$47,0)</f>
        <v>0</v>
      </c>
      <c r="V283" s="66" t="n">
        <f aca="false">IF(V$232=1,Inputs!$D$47,0)</f>
        <v>0</v>
      </c>
      <c r="W283" s="66" t="n">
        <f aca="false">IF(W$232=1,Inputs!$D$47,0)</f>
        <v>0</v>
      </c>
      <c r="X283" s="66" t="n">
        <f aca="false">IF(X$232=1,Inputs!$D$47,0)</f>
        <v>0</v>
      </c>
      <c r="Y283" s="66" t="n">
        <f aca="false">IF(Y$232=1,Inputs!$D$47,0)</f>
        <v>0</v>
      </c>
      <c r="Z283" s="66" t="n">
        <f aca="false">IF(Z$232=1,Inputs!$D$47,0)</f>
        <v>0</v>
      </c>
      <c r="AA283" s="66" t="n">
        <f aca="false">IF(AA$232=1,Inputs!$D$47,0)</f>
        <v>0</v>
      </c>
      <c r="AB283" s="66" t="n">
        <f aca="false">IF(AB$232=1,Inputs!$D$47,0)</f>
        <v>0</v>
      </c>
      <c r="AC283" s="66" t="n">
        <f aca="false">IF(AC$232=1,Inputs!$D$47,0)</f>
        <v>0</v>
      </c>
      <c r="AD283" s="66" t="n">
        <f aca="false">IF(AD$232=1,Inputs!$D$47,0)</f>
        <v>0</v>
      </c>
      <c r="AE283" s="66" t="n">
        <f aca="false">IF(AE$232=1,Inputs!$D$47,0)</f>
        <v>0</v>
      </c>
      <c r="AF283" s="66" t="n">
        <f aca="false">IF(AF$232=1,Inputs!$D$47,0)</f>
        <v>0</v>
      </c>
      <c r="AG283" s="66" t="n">
        <f aca="false">IF(AG$232=1,Inputs!$D$47,0)</f>
        <v>0</v>
      </c>
      <c r="AH283" s="66" t="n">
        <f aca="false">IF(AH$232=1,Inputs!$D$47,0)</f>
        <v>0</v>
      </c>
      <c r="AI283" s="66" t="n">
        <f aca="false">IF(AI$232=1,Inputs!$D$47,0)</f>
        <v>0</v>
      </c>
      <c r="AJ283" s="66" t="n">
        <f aca="false">IF(AJ$232=1,Inputs!$D$47,0)</f>
        <v>0</v>
      </c>
      <c r="AK283" s="66" t="n">
        <f aca="false">IF(AK$232=1,Inputs!$D$47,0)</f>
        <v>0</v>
      </c>
      <c r="AL283" s="66" t="n">
        <f aca="false">IF(AL$232=1,Inputs!$D$47,0)</f>
        <v>0</v>
      </c>
      <c r="AM283" s="66" t="n">
        <f aca="false">IF(AM$232=1,Inputs!$D$47,0)</f>
        <v>0</v>
      </c>
      <c r="AN283" s="66" t="n">
        <f aca="false">IF(AN$232=1,Inputs!$D$47,0)</f>
        <v>0</v>
      </c>
      <c r="AO283" s="66" t="n">
        <f aca="false">IF(AO$232=1,Inputs!$D$47,0)</f>
        <v>0</v>
      </c>
      <c r="AP283" s="66" t="n">
        <f aca="false">IF(AP$232=1,Inputs!$D$47,0)</f>
        <v>0</v>
      </c>
      <c r="AQ283" s="66" t="n">
        <f aca="false">IF(AQ$232=1,Inputs!$D$47,0)</f>
        <v>0</v>
      </c>
      <c r="AR283" s="66" t="n">
        <f aca="false">IF(AR$232=1,Inputs!$D$47,0)</f>
        <v>0</v>
      </c>
      <c r="AS283" s="66" t="n">
        <f aca="false">IF(AS$232=1,Inputs!$D$47,0)</f>
        <v>0</v>
      </c>
      <c r="AT283" s="66" t="n">
        <f aca="false">IF(AT$232=1,Inputs!$D$47,0)</f>
        <v>0</v>
      </c>
      <c r="AU283" s="66" t="n">
        <f aca="false">IF(AU$232=1,Inputs!$D$47,0)</f>
        <v>0</v>
      </c>
      <c r="AV283" s="66" t="n">
        <f aca="false">IF(AV$232=1,Inputs!$D$47,0)</f>
        <v>0</v>
      </c>
      <c r="AW283" s="66" t="n">
        <f aca="false">IF(AW$232=1,Inputs!$D$47,0)</f>
        <v>0</v>
      </c>
      <c r="AX283" s="66" t="n">
        <f aca="false">IF(AX$232=1,Inputs!$D$47,0)</f>
        <v>0</v>
      </c>
      <c r="AY283" s="66" t="n">
        <f aca="false">IF(AY$232=1,Inputs!$D$47,0)</f>
        <v>0</v>
      </c>
      <c r="AZ283" s="66" t="n">
        <f aca="false">IF(AZ$232=1,Inputs!$D$47,0)</f>
        <v>0</v>
      </c>
      <c r="BA283" s="66" t="n">
        <f aca="false">IF(BA$232=1,Inputs!$D$47,0)</f>
        <v>0</v>
      </c>
      <c r="BB283" s="66" t="n">
        <f aca="false">IF(BB$232=1,Inputs!$D$47,0)</f>
        <v>0</v>
      </c>
      <c r="BC283" s="66" t="n">
        <f aca="false">IF(BC$232=1,Inputs!$D$47,0)</f>
        <v>0</v>
      </c>
      <c r="BD283" s="66" t="n">
        <f aca="false">IF(BD$232=1,Inputs!$D$47,0)</f>
        <v>0</v>
      </c>
      <c r="BE283" s="66" t="n">
        <f aca="false">IF(BE$232=1,Inputs!$D$47,0)</f>
        <v>0</v>
      </c>
      <c r="BF283" s="66" t="n">
        <f aca="false">IF(BF$232=1,Inputs!$D$47,0)</f>
        <v>0</v>
      </c>
      <c r="BG283" s="66" t="n">
        <f aca="false">IF(BG$232=1,Inputs!$D$47,0)</f>
        <v>0</v>
      </c>
      <c r="BH283" s="66" t="n">
        <f aca="false">IF(BH$232=1,Inputs!$D$47,0)</f>
        <v>0</v>
      </c>
      <c r="BI283" s="66" t="n">
        <f aca="false">IF(BI$232=1,Inputs!$D$47,0)</f>
        <v>0</v>
      </c>
      <c r="BJ283" s="66" t="n">
        <f aca="false">IF(BJ$232=1,Inputs!$D$47,0)</f>
        <v>0</v>
      </c>
    </row>
    <row r="284" customFormat="false" ht="15" hidden="false" customHeight="false" outlineLevel="0" collapsed="false">
      <c r="A284" s="6" t="s">
        <v>85</v>
      </c>
      <c r="C284" s="66" t="n">
        <f aca="false">-MIN(C282,Inputs!$D$47/MAX(1,Inputs!$D$49*12))</f>
        <v>-0</v>
      </c>
      <c r="D284" s="66" t="n">
        <f aca="false">-MIN(D282,Inputs!$D$47/MAX(1,Inputs!$D$49*12))</f>
        <v>-0</v>
      </c>
      <c r="E284" s="66" t="n">
        <f aca="false">-MIN(E282,Inputs!$D$47/MAX(1,Inputs!$D$49*12))</f>
        <v>-0</v>
      </c>
      <c r="F284" s="66" t="n">
        <f aca="false">-MIN(F282,Inputs!$D$47/MAX(1,Inputs!$D$49*12))</f>
        <v>-0</v>
      </c>
      <c r="G284" s="66" t="n">
        <f aca="false">-MIN(G282,Inputs!$D$47/MAX(1,Inputs!$D$49*12))</f>
        <v>-0</v>
      </c>
      <c r="H284" s="66" t="n">
        <f aca="false">-MIN(H282,Inputs!$D$47/MAX(1,Inputs!$D$49*12))</f>
        <v>-0</v>
      </c>
      <c r="I284" s="66" t="n">
        <f aca="false">-MIN(I282,Inputs!$D$47/MAX(1,Inputs!$D$49*12))</f>
        <v>-0</v>
      </c>
      <c r="J284" s="66" t="n">
        <f aca="false">-MIN(J282,Inputs!$D$47/MAX(1,Inputs!$D$49*12))</f>
        <v>-0</v>
      </c>
      <c r="K284" s="66" t="n">
        <f aca="false">-MIN(K282,Inputs!$D$47/MAX(1,Inputs!$D$49*12))</f>
        <v>-0</v>
      </c>
      <c r="L284" s="66" t="n">
        <f aca="false">-MIN(L282,Inputs!$D$47/MAX(1,Inputs!$D$49*12))</f>
        <v>-0</v>
      </c>
      <c r="M284" s="66" t="n">
        <f aca="false">-MIN(M282,Inputs!$D$47/MAX(1,Inputs!$D$49*12))</f>
        <v>-0</v>
      </c>
      <c r="N284" s="66" t="n">
        <f aca="false">-MIN(N282,Inputs!$D$47/MAX(1,Inputs!$D$49*12))</f>
        <v>-0</v>
      </c>
      <c r="O284" s="66" t="n">
        <f aca="false">-MIN(O282,Inputs!$D$47/MAX(1,Inputs!$D$49*12))</f>
        <v>-0</v>
      </c>
      <c r="P284" s="66" t="n">
        <f aca="false">-MIN(P282,Inputs!$D$47/MAX(1,Inputs!$D$49*12))</f>
        <v>-0</v>
      </c>
      <c r="Q284" s="66" t="n">
        <f aca="false">-MIN(Q282,Inputs!$D$47/MAX(1,Inputs!$D$49*12))</f>
        <v>-0</v>
      </c>
      <c r="R284" s="66" t="n">
        <f aca="false">-MIN(R282,Inputs!$D$47/MAX(1,Inputs!$D$49*12))</f>
        <v>-0</v>
      </c>
      <c r="S284" s="66" t="n">
        <f aca="false">-MIN(S282,Inputs!$D$47/MAX(1,Inputs!$D$49*12))</f>
        <v>-0</v>
      </c>
      <c r="T284" s="66" t="n">
        <f aca="false">-MIN(T282,Inputs!$D$47/MAX(1,Inputs!$D$49*12))</f>
        <v>-0</v>
      </c>
      <c r="U284" s="66" t="n">
        <f aca="false">-MIN(U282,Inputs!$D$47/MAX(1,Inputs!$D$49*12))</f>
        <v>-0</v>
      </c>
      <c r="V284" s="66" t="n">
        <f aca="false">-MIN(V282,Inputs!$D$47/MAX(1,Inputs!$D$49*12))</f>
        <v>-0</v>
      </c>
      <c r="W284" s="66" t="n">
        <f aca="false">-MIN(W282,Inputs!$D$47/MAX(1,Inputs!$D$49*12))</f>
        <v>-0</v>
      </c>
      <c r="X284" s="66" t="n">
        <f aca="false">-MIN(X282,Inputs!$D$47/MAX(1,Inputs!$D$49*12))</f>
        <v>-0</v>
      </c>
      <c r="Y284" s="66" t="n">
        <f aca="false">-MIN(Y282,Inputs!$D$47/MAX(1,Inputs!$D$49*12))</f>
        <v>-0</v>
      </c>
      <c r="Z284" s="66" t="n">
        <f aca="false">-MIN(Z282,Inputs!$D$47/MAX(1,Inputs!$D$49*12))</f>
        <v>-0</v>
      </c>
      <c r="AA284" s="66" t="n">
        <f aca="false">-MIN(AA282,Inputs!$D$47/MAX(1,Inputs!$D$49*12))</f>
        <v>-0</v>
      </c>
      <c r="AB284" s="66" t="n">
        <f aca="false">-MIN(AB282,Inputs!$D$47/MAX(1,Inputs!$D$49*12))</f>
        <v>-0</v>
      </c>
      <c r="AC284" s="66" t="n">
        <f aca="false">-MIN(AC282,Inputs!$D$47/MAX(1,Inputs!$D$49*12))</f>
        <v>-0</v>
      </c>
      <c r="AD284" s="66" t="n">
        <f aca="false">-MIN(AD282,Inputs!$D$47/MAX(1,Inputs!$D$49*12))</f>
        <v>-0</v>
      </c>
      <c r="AE284" s="66" t="n">
        <f aca="false">-MIN(AE282,Inputs!$D$47/MAX(1,Inputs!$D$49*12))</f>
        <v>-0</v>
      </c>
      <c r="AF284" s="66" t="n">
        <f aca="false">-MIN(AF282,Inputs!$D$47/MAX(1,Inputs!$D$49*12))</f>
        <v>-0</v>
      </c>
      <c r="AG284" s="66" t="n">
        <f aca="false">-MIN(AG282,Inputs!$D$47/MAX(1,Inputs!$D$49*12))</f>
        <v>-0</v>
      </c>
      <c r="AH284" s="66" t="n">
        <f aca="false">-MIN(AH282,Inputs!$D$47/MAX(1,Inputs!$D$49*12))</f>
        <v>-0</v>
      </c>
      <c r="AI284" s="66" t="n">
        <f aca="false">-MIN(AI282,Inputs!$D$47/MAX(1,Inputs!$D$49*12))</f>
        <v>-0</v>
      </c>
      <c r="AJ284" s="66" t="n">
        <f aca="false">-MIN(AJ282,Inputs!$D$47/MAX(1,Inputs!$D$49*12))</f>
        <v>-0</v>
      </c>
      <c r="AK284" s="66" t="n">
        <f aca="false">-MIN(AK282,Inputs!$D$47/MAX(1,Inputs!$D$49*12))</f>
        <v>-0</v>
      </c>
      <c r="AL284" s="66" t="n">
        <f aca="false">-MIN(AL282,Inputs!$D$47/MAX(1,Inputs!$D$49*12))</f>
        <v>-0</v>
      </c>
      <c r="AM284" s="66" t="n">
        <f aca="false">-MIN(AM282,Inputs!$D$47/MAX(1,Inputs!$D$49*12))</f>
        <v>-0</v>
      </c>
      <c r="AN284" s="66" t="n">
        <f aca="false">-MIN(AN282,Inputs!$D$47/MAX(1,Inputs!$D$49*12))</f>
        <v>-0</v>
      </c>
      <c r="AO284" s="66" t="n">
        <f aca="false">-MIN(AO282,Inputs!$D$47/MAX(1,Inputs!$D$49*12))</f>
        <v>-0</v>
      </c>
      <c r="AP284" s="66" t="n">
        <f aca="false">-MIN(AP282,Inputs!$D$47/MAX(1,Inputs!$D$49*12))</f>
        <v>-0</v>
      </c>
      <c r="AQ284" s="66" t="n">
        <f aca="false">-MIN(AQ282,Inputs!$D$47/MAX(1,Inputs!$D$49*12))</f>
        <v>-0</v>
      </c>
      <c r="AR284" s="66" t="n">
        <f aca="false">-MIN(AR282,Inputs!$D$47/MAX(1,Inputs!$D$49*12))</f>
        <v>-0</v>
      </c>
      <c r="AS284" s="66" t="n">
        <f aca="false">-MIN(AS282,Inputs!$D$47/MAX(1,Inputs!$D$49*12))</f>
        <v>-0</v>
      </c>
      <c r="AT284" s="66" t="n">
        <f aca="false">-MIN(AT282,Inputs!$D$47/MAX(1,Inputs!$D$49*12))</f>
        <v>-0</v>
      </c>
      <c r="AU284" s="66" t="n">
        <f aca="false">-MIN(AU282,Inputs!$D$47/MAX(1,Inputs!$D$49*12))</f>
        <v>-0</v>
      </c>
      <c r="AV284" s="66" t="n">
        <f aca="false">-MIN(AV282,Inputs!$D$47/MAX(1,Inputs!$D$49*12))</f>
        <v>-0</v>
      </c>
      <c r="AW284" s="66" t="n">
        <f aca="false">-MIN(AW282,Inputs!$D$47/MAX(1,Inputs!$D$49*12))</f>
        <v>-0</v>
      </c>
      <c r="AX284" s="66" t="n">
        <f aca="false">-MIN(AX282,Inputs!$D$47/MAX(1,Inputs!$D$49*12))</f>
        <v>-0</v>
      </c>
      <c r="AY284" s="66" t="n">
        <f aca="false">-MIN(AY282,Inputs!$D$47/MAX(1,Inputs!$D$49*12))</f>
        <v>-0</v>
      </c>
      <c r="AZ284" s="66" t="n">
        <f aca="false">-MIN(AZ282,Inputs!$D$47/MAX(1,Inputs!$D$49*12))</f>
        <v>-0</v>
      </c>
      <c r="BA284" s="66" t="n">
        <f aca="false">-MIN(BA282,Inputs!$D$47/MAX(1,Inputs!$D$49*12))</f>
        <v>-0</v>
      </c>
      <c r="BB284" s="66" t="n">
        <f aca="false">-MIN(BB282,Inputs!$D$47/MAX(1,Inputs!$D$49*12))</f>
        <v>-0</v>
      </c>
      <c r="BC284" s="66" t="n">
        <f aca="false">-MIN(BC282,Inputs!$D$47/MAX(1,Inputs!$D$49*12))</f>
        <v>-0</v>
      </c>
      <c r="BD284" s="66" t="n">
        <f aca="false">-MIN(BD282,Inputs!$D$47/MAX(1,Inputs!$D$49*12))</f>
        <v>-0</v>
      </c>
      <c r="BE284" s="66" t="n">
        <f aca="false">-MIN(BE282,Inputs!$D$47/MAX(1,Inputs!$D$49*12))</f>
        <v>-0</v>
      </c>
      <c r="BF284" s="66" t="n">
        <f aca="false">-MIN(BF282,Inputs!$D$47/MAX(1,Inputs!$D$49*12))</f>
        <v>-0</v>
      </c>
      <c r="BG284" s="66" t="n">
        <f aca="false">-MIN(BG282,Inputs!$D$47/MAX(1,Inputs!$D$49*12))</f>
        <v>-0</v>
      </c>
      <c r="BH284" s="66" t="n">
        <f aca="false">-MIN(BH282,Inputs!$D$47/MAX(1,Inputs!$D$49*12))</f>
        <v>-0</v>
      </c>
      <c r="BI284" s="66" t="n">
        <f aca="false">-MIN(BI282,Inputs!$D$47/MAX(1,Inputs!$D$49*12))</f>
        <v>-0</v>
      </c>
      <c r="BJ284" s="66" t="n">
        <f aca="false">-MIN(BJ282,Inputs!$D$47/MAX(1,Inputs!$D$49*12))</f>
        <v>-0</v>
      </c>
    </row>
    <row r="285" customFormat="false" ht="15" hidden="false" customHeight="false" outlineLevel="0" collapsed="false">
      <c r="A285" s="4" t="s">
        <v>419</v>
      </c>
      <c r="C285" s="72" t="n">
        <f aca="false">C282+C283+C284</f>
        <v>0</v>
      </c>
      <c r="D285" s="72" t="n">
        <f aca="false">D282+D283+D284</f>
        <v>0</v>
      </c>
      <c r="E285" s="72" t="n">
        <f aca="false">E282+E283+E284</f>
        <v>0</v>
      </c>
      <c r="F285" s="72" t="n">
        <f aca="false">F282+F283+F284</f>
        <v>0</v>
      </c>
      <c r="G285" s="72" t="n">
        <f aca="false">G282+G283+G284</f>
        <v>0</v>
      </c>
      <c r="H285" s="72" t="n">
        <f aca="false">H282+H283+H284</f>
        <v>0</v>
      </c>
      <c r="I285" s="72" t="n">
        <f aca="false">I282+I283+I284</f>
        <v>0</v>
      </c>
      <c r="J285" s="72" t="n">
        <f aca="false">J282+J283+J284</f>
        <v>0</v>
      </c>
      <c r="K285" s="72" t="n">
        <f aca="false">K282+K283+K284</f>
        <v>0</v>
      </c>
      <c r="L285" s="72" t="n">
        <f aca="false">L282+L283+L284</f>
        <v>0</v>
      </c>
      <c r="M285" s="72" t="n">
        <f aca="false">M282+M283+M284</f>
        <v>0</v>
      </c>
      <c r="N285" s="72" t="n">
        <f aca="false">N282+N283+N284</f>
        <v>0</v>
      </c>
      <c r="O285" s="72" t="n">
        <f aca="false">O282+O283+O284</f>
        <v>0</v>
      </c>
      <c r="P285" s="72" t="n">
        <f aca="false">P282+P283+P284</f>
        <v>0</v>
      </c>
      <c r="Q285" s="72" t="n">
        <f aca="false">Q282+Q283+Q284</f>
        <v>0</v>
      </c>
      <c r="R285" s="72" t="n">
        <f aca="false">R282+R283+R284</f>
        <v>0</v>
      </c>
      <c r="S285" s="72" t="n">
        <f aca="false">S282+S283+S284</f>
        <v>0</v>
      </c>
      <c r="T285" s="72" t="n">
        <f aca="false">T282+T283+T284</f>
        <v>0</v>
      </c>
      <c r="U285" s="72" t="n">
        <f aca="false">U282+U283+U284</f>
        <v>0</v>
      </c>
      <c r="V285" s="72" t="n">
        <f aca="false">V282+V283+V284</f>
        <v>0</v>
      </c>
      <c r="W285" s="72" t="n">
        <f aca="false">W282+W283+W284</f>
        <v>0</v>
      </c>
      <c r="X285" s="72" t="n">
        <f aca="false">X282+X283+X284</f>
        <v>0</v>
      </c>
      <c r="Y285" s="72" t="n">
        <f aca="false">Y282+Y283+Y284</f>
        <v>0</v>
      </c>
      <c r="Z285" s="72" t="n">
        <f aca="false">Z282+Z283+Z284</f>
        <v>0</v>
      </c>
      <c r="AA285" s="72" t="n">
        <f aca="false">AA282+AA283+AA284</f>
        <v>0</v>
      </c>
      <c r="AB285" s="72" t="n">
        <f aca="false">AB282+AB283+AB284</f>
        <v>0</v>
      </c>
      <c r="AC285" s="72" t="n">
        <f aca="false">AC282+AC283+AC284</f>
        <v>0</v>
      </c>
      <c r="AD285" s="72" t="n">
        <f aca="false">AD282+AD283+AD284</f>
        <v>0</v>
      </c>
      <c r="AE285" s="72" t="n">
        <f aca="false">AE282+AE283+AE284</f>
        <v>0</v>
      </c>
      <c r="AF285" s="72" t="n">
        <f aca="false">AF282+AF283+AF284</f>
        <v>0</v>
      </c>
      <c r="AG285" s="72" t="n">
        <f aca="false">AG282+AG283+AG284</f>
        <v>0</v>
      </c>
      <c r="AH285" s="72" t="n">
        <f aca="false">AH282+AH283+AH284</f>
        <v>0</v>
      </c>
      <c r="AI285" s="72" t="n">
        <f aca="false">AI282+AI283+AI284</f>
        <v>0</v>
      </c>
      <c r="AJ285" s="72" t="n">
        <f aca="false">AJ282+AJ283+AJ284</f>
        <v>0</v>
      </c>
      <c r="AK285" s="72" t="n">
        <f aca="false">AK282+AK283+AK284</f>
        <v>0</v>
      </c>
      <c r="AL285" s="72" t="n">
        <f aca="false">AL282+AL283+AL284</f>
        <v>0</v>
      </c>
      <c r="AM285" s="72" t="n">
        <f aca="false">AM282+AM283+AM284</f>
        <v>0</v>
      </c>
      <c r="AN285" s="72" t="n">
        <f aca="false">AN282+AN283+AN284</f>
        <v>0</v>
      </c>
      <c r="AO285" s="72" t="n">
        <f aca="false">AO282+AO283+AO284</f>
        <v>0</v>
      </c>
      <c r="AP285" s="72" t="n">
        <f aca="false">AP282+AP283+AP284</f>
        <v>0</v>
      </c>
      <c r="AQ285" s="72" t="n">
        <f aca="false">AQ282+AQ283+AQ284</f>
        <v>0</v>
      </c>
      <c r="AR285" s="72" t="n">
        <f aca="false">AR282+AR283+AR284</f>
        <v>0</v>
      </c>
      <c r="AS285" s="72" t="n">
        <f aca="false">AS282+AS283+AS284</f>
        <v>0</v>
      </c>
      <c r="AT285" s="72" t="n">
        <f aca="false">AT282+AT283+AT284</f>
        <v>0</v>
      </c>
      <c r="AU285" s="72" t="n">
        <f aca="false">AU282+AU283+AU284</f>
        <v>0</v>
      </c>
      <c r="AV285" s="72" t="n">
        <f aca="false">AV282+AV283+AV284</f>
        <v>0</v>
      </c>
      <c r="AW285" s="72" t="n">
        <f aca="false">AW282+AW283+AW284</f>
        <v>0</v>
      </c>
      <c r="AX285" s="72" t="n">
        <f aca="false">AX282+AX283+AX284</f>
        <v>0</v>
      </c>
      <c r="AY285" s="72" t="n">
        <f aca="false">AY282+AY283+AY284</f>
        <v>0</v>
      </c>
      <c r="AZ285" s="72" t="n">
        <f aca="false">AZ282+AZ283+AZ284</f>
        <v>0</v>
      </c>
      <c r="BA285" s="72" t="n">
        <f aca="false">BA282+BA283+BA284</f>
        <v>0</v>
      </c>
      <c r="BB285" s="72" t="n">
        <f aca="false">BB282+BB283+BB284</f>
        <v>0</v>
      </c>
      <c r="BC285" s="72" t="n">
        <f aca="false">BC282+BC283+BC284</f>
        <v>0</v>
      </c>
      <c r="BD285" s="72" t="n">
        <f aca="false">BD282+BD283+BD284</f>
        <v>0</v>
      </c>
      <c r="BE285" s="72" t="n">
        <f aca="false">BE282+BE283+BE284</f>
        <v>0</v>
      </c>
      <c r="BF285" s="72" t="n">
        <f aca="false">BF282+BF283+BF284</f>
        <v>0</v>
      </c>
      <c r="BG285" s="72" t="n">
        <f aca="false">BG282+BG283+BG284</f>
        <v>0</v>
      </c>
      <c r="BH285" s="72" t="n">
        <f aca="false">BH282+BH283+BH284</f>
        <v>0</v>
      </c>
      <c r="BI285" s="72" t="n">
        <f aca="false">BI282+BI283+BI284</f>
        <v>0</v>
      </c>
      <c r="BJ285" s="72" t="n">
        <f aca="false">BJ282+BJ283+BJ284</f>
        <v>0</v>
      </c>
    </row>
    <row r="287" customFormat="false" ht="15.75" hidden="false" customHeight="true" outlineLevel="0" collapsed="false">
      <c r="A287" s="7" t="s">
        <v>301</v>
      </c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</row>
    <row r="288" customFormat="false" ht="15" hidden="false" customHeight="false" outlineLevel="0" collapsed="false">
      <c r="A288" s="6" t="s">
        <v>89</v>
      </c>
      <c r="C288" s="66" t="n">
        <f aca="false">C252*Inputs!$D$52/30</f>
        <v>997.191666666667</v>
      </c>
      <c r="D288" s="66" t="n">
        <f aca="false">D252*Inputs!$D$52/30</f>
        <v>1797.55308333333</v>
      </c>
      <c r="E288" s="66" t="n">
        <f aca="false">E252*Inputs!$D$52/30</f>
        <v>2589.91088583333</v>
      </c>
      <c r="F288" s="66" t="n">
        <f aca="false">F252*Inputs!$D$52/30</f>
        <v>3374.34511030833</v>
      </c>
      <c r="G288" s="66" t="n">
        <f aca="false">G252*Inputs!$D$52/30</f>
        <v>4150.93499253858</v>
      </c>
      <c r="H288" s="66" t="n">
        <f aca="false">H252*Inputs!$D$52/30</f>
        <v>4919.75897594653</v>
      </c>
      <c r="I288" s="66" t="n">
        <f aca="false">I252*Inputs!$D$52/30</f>
        <v>5680.8947195204</v>
      </c>
      <c r="J288" s="66" t="n">
        <f aca="false">J252*Inputs!$D$52/30</f>
        <v>6434.41910565853</v>
      </c>
      <c r="K288" s="66" t="n">
        <f aca="false">K252*Inputs!$D$52/30</f>
        <v>7180.40824793528</v>
      </c>
      <c r="L288" s="66" t="n">
        <f aca="false">L252*Inputs!$D$52/30</f>
        <v>7918.93749878926</v>
      </c>
      <c r="M288" s="66" t="n">
        <f aca="false">M252*Inputs!$D$52/30</f>
        <v>8650.0814571347</v>
      </c>
      <c r="N288" s="66" t="n">
        <f aca="false">N252*Inputs!$D$52/30</f>
        <v>9373.91397589669</v>
      </c>
      <c r="O288" s="66" t="n">
        <f aca="false">O252*Inputs!$D$52/30</f>
        <v>10252.0790028044</v>
      </c>
      <c r="P288" s="66" t="n">
        <f aca="false">P252*Inputs!$D$52/30</f>
        <v>11283.0332127763</v>
      </c>
      <c r="Q288" s="66" t="n">
        <f aca="false">Q252*Inputs!$D$52/30</f>
        <v>12303.6778806486</v>
      </c>
      <c r="R288" s="66" t="n">
        <f aca="false">R252*Inputs!$D$52/30</f>
        <v>13314.1161018421</v>
      </c>
      <c r="S288" s="66" t="n">
        <f aca="false">S252*Inputs!$D$52/30</f>
        <v>14314.4499408237</v>
      </c>
      <c r="T288" s="66" t="n">
        <f aca="false">T252*Inputs!$D$52/30</f>
        <v>15304.7804414154</v>
      </c>
      <c r="U288" s="66" t="n">
        <f aca="false">U252*Inputs!$D$52/30</f>
        <v>16285.2076370013</v>
      </c>
      <c r="V288" s="66" t="n">
        <f aca="false">V252*Inputs!$D$52/30</f>
        <v>17255.8305606313</v>
      </c>
      <c r="W288" s="66" t="n">
        <f aca="false">W252*Inputs!$D$52/30</f>
        <v>18216.747255025</v>
      </c>
      <c r="X288" s="66" t="n">
        <f aca="false">X252*Inputs!$D$52/30</f>
        <v>19168.0547824747</v>
      </c>
      <c r="Y288" s="66" t="n">
        <f aca="false">Y252*Inputs!$D$52/30</f>
        <v>20109.84923465</v>
      </c>
      <c r="Z288" s="66" t="n">
        <f aca="false">Z252*Inputs!$D$52/30</f>
        <v>21042.2257423035</v>
      </c>
      <c r="AA288" s="66" t="n">
        <f aca="false">AA252*Inputs!$D$52/30</f>
        <v>22201.1885473804</v>
      </c>
      <c r="AB288" s="66" t="n">
        <f aca="false">AB252*Inputs!$D$52/30</f>
        <v>23584.4717869066</v>
      </c>
      <c r="AC288" s="66" t="n">
        <f aca="false">AC252*Inputs!$D$52/30</f>
        <v>24953.9221940376</v>
      </c>
      <c r="AD288" s="66" t="n">
        <f aca="false">AD252*Inputs!$D$52/30</f>
        <v>26309.6780970972</v>
      </c>
      <c r="AE288" s="66" t="n">
        <f aca="false">AE252*Inputs!$D$52/30</f>
        <v>27651.8764411262</v>
      </c>
      <c r="AF288" s="66" t="n">
        <f aca="false">AF252*Inputs!$D$52/30</f>
        <v>28980.652801715</v>
      </c>
      <c r="AG288" s="66" t="n">
        <f aca="false">AG252*Inputs!$D$52/30</f>
        <v>30296.1413986978</v>
      </c>
      <c r="AH288" s="66" t="n">
        <f aca="false">AH252*Inputs!$D$52/30</f>
        <v>31598.4751097108</v>
      </c>
      <c r="AI288" s="66" t="n">
        <f aca="false">AI252*Inputs!$D$52/30</f>
        <v>32887.7854836137</v>
      </c>
      <c r="AJ288" s="66" t="n">
        <f aca="false">AJ252*Inputs!$D$52/30</f>
        <v>34164.2027537776</v>
      </c>
      <c r="AK288" s="66" t="n">
        <f aca="false">AK252*Inputs!$D$52/30</f>
        <v>35427.8558512398</v>
      </c>
      <c r="AL288" s="66" t="n">
        <f aca="false">AL252*Inputs!$D$52/30</f>
        <v>36678.8724177274</v>
      </c>
      <c r="AM288" s="66" t="n">
        <f aca="false">AM252*Inputs!$D$52/30</f>
        <v>38265.5465269876</v>
      </c>
      <c r="AN288" s="66" t="n">
        <f aca="false">AN252*Inputs!$D$52/30</f>
        <v>40184.5216035927</v>
      </c>
      <c r="AO288" s="66" t="n">
        <f aca="false">AO252*Inputs!$D$52/30</f>
        <v>42084.3069294318</v>
      </c>
      <c r="AP288" s="66" t="n">
        <f aca="false">AP252*Inputs!$D$52/30</f>
        <v>43965.0944020125</v>
      </c>
      <c r="AQ288" s="66" t="n">
        <f aca="false">AQ252*Inputs!$D$52/30</f>
        <v>45827.0739998674</v>
      </c>
      <c r="AR288" s="66" t="n">
        <f aca="false">AR252*Inputs!$D$52/30</f>
        <v>47670.4338017437</v>
      </c>
      <c r="AS288" s="66" t="n">
        <f aca="false">AS252*Inputs!$D$52/30</f>
        <v>49495.3600056012</v>
      </c>
      <c r="AT288" s="66" t="n">
        <f aca="false">AT252*Inputs!$D$52/30</f>
        <v>51302.0369474202</v>
      </c>
      <c r="AU288" s="66" t="n">
        <f aca="false">AU252*Inputs!$D$52/30</f>
        <v>53090.647119821</v>
      </c>
      <c r="AV288" s="66" t="n">
        <f aca="false">AV252*Inputs!$D$52/30</f>
        <v>54861.3711904978</v>
      </c>
      <c r="AW288" s="66" t="n">
        <f aca="false">AW252*Inputs!$D$52/30</f>
        <v>56614.3880204678</v>
      </c>
      <c r="AX288" s="66" t="n">
        <f aca="false">AX252*Inputs!$D$52/30</f>
        <v>58349.8746821381</v>
      </c>
      <c r="AY288" s="66" t="n">
        <f aca="false">AY252*Inputs!$D$52/30</f>
        <v>60586.8984115808</v>
      </c>
      <c r="AZ288" s="66" t="n">
        <f aca="false">AZ252*Inputs!$D$52/30</f>
        <v>63320.4438381181</v>
      </c>
      <c r="BA288" s="66" t="n">
        <f aca="false">BA252*Inputs!$D$52/30</f>
        <v>66026.6538103901</v>
      </c>
      <c r="BB288" s="66" t="n">
        <f aca="false">BB252*Inputs!$D$52/30</f>
        <v>68705.8016829393</v>
      </c>
      <c r="BC288" s="66" t="n">
        <f aca="false">BC252*Inputs!$D$52/30</f>
        <v>71358.1580767631</v>
      </c>
      <c r="BD288" s="66" t="n">
        <f aca="false">BD252*Inputs!$D$52/30</f>
        <v>73983.9909066486</v>
      </c>
      <c r="BE288" s="66" t="n">
        <f aca="false">BE252*Inputs!$D$52/30</f>
        <v>76583.5654082352</v>
      </c>
      <c r="BF288" s="66" t="n">
        <f aca="false">BF252*Inputs!$D$52/30</f>
        <v>79157.144164806</v>
      </c>
      <c r="BG288" s="66" t="n">
        <f aca="false">BG252*Inputs!$D$52/30</f>
        <v>81704.987133811</v>
      </c>
      <c r="BH288" s="66" t="n">
        <f aca="false">BH252*Inputs!$D$52/30</f>
        <v>84227.3516731261</v>
      </c>
      <c r="BI288" s="66" t="n">
        <f aca="false">BI252*Inputs!$D$52/30</f>
        <v>86724.4925670479</v>
      </c>
      <c r="BJ288" s="66" t="n">
        <f aca="false">BJ252*Inputs!$D$52/30</f>
        <v>89196.6620520305</v>
      </c>
    </row>
    <row r="289" customFormat="false" ht="15" hidden="false" customHeight="false" outlineLevel="0" collapsed="false">
      <c r="A289" s="6" t="s">
        <v>90</v>
      </c>
      <c r="C289" s="66" t="n">
        <f aca="false">-C253*Inputs!$D$53/30</f>
        <v>0</v>
      </c>
      <c r="D289" s="66" t="n">
        <f aca="false">-D253*Inputs!$D$53/30</f>
        <v>0</v>
      </c>
      <c r="E289" s="66" t="n">
        <f aca="false">-E253*Inputs!$D$53/30</f>
        <v>0</v>
      </c>
      <c r="F289" s="66" t="n">
        <f aca="false">-F253*Inputs!$D$53/30</f>
        <v>0</v>
      </c>
      <c r="G289" s="66" t="n">
        <f aca="false">-G253*Inputs!$D$53/30</f>
        <v>0</v>
      </c>
      <c r="H289" s="66" t="n">
        <f aca="false">-H253*Inputs!$D$53/30</f>
        <v>0</v>
      </c>
      <c r="I289" s="66" t="n">
        <f aca="false">-I253*Inputs!$D$53/30</f>
        <v>0</v>
      </c>
      <c r="J289" s="66" t="n">
        <f aca="false">-J253*Inputs!$D$53/30</f>
        <v>0</v>
      </c>
      <c r="K289" s="66" t="n">
        <f aca="false">-K253*Inputs!$D$53/30</f>
        <v>0</v>
      </c>
      <c r="L289" s="66" t="n">
        <f aca="false">-L253*Inputs!$D$53/30</f>
        <v>0</v>
      </c>
      <c r="M289" s="66" t="n">
        <f aca="false">-M253*Inputs!$D$53/30</f>
        <v>0</v>
      </c>
      <c r="N289" s="66" t="n">
        <f aca="false">-N253*Inputs!$D$53/30</f>
        <v>0</v>
      </c>
      <c r="O289" s="66" t="n">
        <f aca="false">-O253*Inputs!$D$53/30</f>
        <v>0</v>
      </c>
      <c r="P289" s="66" t="n">
        <f aca="false">-P253*Inputs!$D$53/30</f>
        <v>0</v>
      </c>
      <c r="Q289" s="66" t="n">
        <f aca="false">-Q253*Inputs!$D$53/30</f>
        <v>0</v>
      </c>
      <c r="R289" s="66" t="n">
        <f aca="false">-R253*Inputs!$D$53/30</f>
        <v>0</v>
      </c>
      <c r="S289" s="66" t="n">
        <f aca="false">-S253*Inputs!$D$53/30</f>
        <v>0</v>
      </c>
      <c r="T289" s="66" t="n">
        <f aca="false">-T253*Inputs!$D$53/30</f>
        <v>0</v>
      </c>
      <c r="U289" s="66" t="n">
        <f aca="false">-U253*Inputs!$D$53/30</f>
        <v>0</v>
      </c>
      <c r="V289" s="66" t="n">
        <f aca="false">-V253*Inputs!$D$53/30</f>
        <v>0</v>
      </c>
      <c r="W289" s="66" t="n">
        <f aca="false">-W253*Inputs!$D$53/30</f>
        <v>0</v>
      </c>
      <c r="X289" s="66" t="n">
        <f aca="false">-X253*Inputs!$D$53/30</f>
        <v>0</v>
      </c>
      <c r="Y289" s="66" t="n">
        <f aca="false">-Y253*Inputs!$D$53/30</f>
        <v>0</v>
      </c>
      <c r="Z289" s="66" t="n">
        <f aca="false">-Z253*Inputs!$D$53/30</f>
        <v>0</v>
      </c>
      <c r="AA289" s="66" t="n">
        <f aca="false">-AA253*Inputs!$D$53/30</f>
        <v>0</v>
      </c>
      <c r="AB289" s="66" t="n">
        <f aca="false">-AB253*Inputs!$D$53/30</f>
        <v>0</v>
      </c>
      <c r="AC289" s="66" t="n">
        <f aca="false">-AC253*Inputs!$D$53/30</f>
        <v>0</v>
      </c>
      <c r="AD289" s="66" t="n">
        <f aca="false">-AD253*Inputs!$D$53/30</f>
        <v>0</v>
      </c>
      <c r="AE289" s="66" t="n">
        <f aca="false">-AE253*Inputs!$D$53/30</f>
        <v>0</v>
      </c>
      <c r="AF289" s="66" t="n">
        <f aca="false">-AF253*Inputs!$D$53/30</f>
        <v>0</v>
      </c>
      <c r="AG289" s="66" t="n">
        <f aca="false">-AG253*Inputs!$D$53/30</f>
        <v>0</v>
      </c>
      <c r="AH289" s="66" t="n">
        <f aca="false">-AH253*Inputs!$D$53/30</f>
        <v>0</v>
      </c>
      <c r="AI289" s="66" t="n">
        <f aca="false">-AI253*Inputs!$D$53/30</f>
        <v>0</v>
      </c>
      <c r="AJ289" s="66" t="n">
        <f aca="false">-AJ253*Inputs!$D$53/30</f>
        <v>0</v>
      </c>
      <c r="AK289" s="66" t="n">
        <f aca="false">-AK253*Inputs!$D$53/30</f>
        <v>0</v>
      </c>
      <c r="AL289" s="66" t="n">
        <f aca="false">-AL253*Inputs!$D$53/30</f>
        <v>0</v>
      </c>
      <c r="AM289" s="66" t="n">
        <f aca="false">-AM253*Inputs!$D$53/30</f>
        <v>0</v>
      </c>
      <c r="AN289" s="66" t="n">
        <f aca="false">-AN253*Inputs!$D$53/30</f>
        <v>0</v>
      </c>
      <c r="AO289" s="66" t="n">
        <f aca="false">-AO253*Inputs!$D$53/30</f>
        <v>0</v>
      </c>
      <c r="AP289" s="66" t="n">
        <f aca="false">-AP253*Inputs!$D$53/30</f>
        <v>0</v>
      </c>
      <c r="AQ289" s="66" t="n">
        <f aca="false">-AQ253*Inputs!$D$53/30</f>
        <v>0</v>
      </c>
      <c r="AR289" s="66" t="n">
        <f aca="false">-AR253*Inputs!$D$53/30</f>
        <v>0</v>
      </c>
      <c r="AS289" s="66" t="n">
        <f aca="false">-AS253*Inputs!$D$53/30</f>
        <v>0</v>
      </c>
      <c r="AT289" s="66" t="n">
        <f aca="false">-AT253*Inputs!$D$53/30</f>
        <v>0</v>
      </c>
      <c r="AU289" s="66" t="n">
        <f aca="false">-AU253*Inputs!$D$53/30</f>
        <v>0</v>
      </c>
      <c r="AV289" s="66" t="n">
        <f aca="false">-AV253*Inputs!$D$53/30</f>
        <v>0</v>
      </c>
      <c r="AW289" s="66" t="n">
        <f aca="false">-AW253*Inputs!$D$53/30</f>
        <v>0</v>
      </c>
      <c r="AX289" s="66" t="n">
        <f aca="false">-AX253*Inputs!$D$53/30</f>
        <v>0</v>
      </c>
      <c r="AY289" s="66" t="n">
        <f aca="false">-AY253*Inputs!$D$53/30</f>
        <v>0</v>
      </c>
      <c r="AZ289" s="66" t="n">
        <f aca="false">-AZ253*Inputs!$D$53/30</f>
        <v>0</v>
      </c>
      <c r="BA289" s="66" t="n">
        <f aca="false">-BA253*Inputs!$D$53/30</f>
        <v>0</v>
      </c>
      <c r="BB289" s="66" t="n">
        <f aca="false">-BB253*Inputs!$D$53/30</f>
        <v>0</v>
      </c>
      <c r="BC289" s="66" t="n">
        <f aca="false">-BC253*Inputs!$D$53/30</f>
        <v>0</v>
      </c>
      <c r="BD289" s="66" t="n">
        <f aca="false">-BD253*Inputs!$D$53/30</f>
        <v>0</v>
      </c>
      <c r="BE289" s="66" t="n">
        <f aca="false">-BE253*Inputs!$D$53/30</f>
        <v>0</v>
      </c>
      <c r="BF289" s="66" t="n">
        <f aca="false">-BF253*Inputs!$D$53/30</f>
        <v>0</v>
      </c>
      <c r="BG289" s="66" t="n">
        <f aca="false">-BG253*Inputs!$D$53/30</f>
        <v>0</v>
      </c>
      <c r="BH289" s="66" t="n">
        <f aca="false">-BH253*Inputs!$D$53/30</f>
        <v>0</v>
      </c>
      <c r="BI289" s="66" t="n">
        <f aca="false">-BI253*Inputs!$D$53/30</f>
        <v>0</v>
      </c>
      <c r="BJ289" s="66" t="n">
        <f aca="false">-BJ253*Inputs!$D$53/30</f>
        <v>0</v>
      </c>
    </row>
    <row r="290" customFormat="false" ht="15" hidden="false" customHeight="false" outlineLevel="0" collapsed="false">
      <c r="A290" s="6" t="s">
        <v>93</v>
      </c>
      <c r="C290" s="66" t="n">
        <f aca="false">-C253*Inputs!$D$54/30</f>
        <v>553.844857142857</v>
      </c>
      <c r="D290" s="66" t="n">
        <f aca="false">-D253*Inputs!$D$54/30</f>
        <v>997.800194285714</v>
      </c>
      <c r="E290" s="66" t="n">
        <f aca="false">-E253*Inputs!$D$54/30</f>
        <v>1436.71815948571</v>
      </c>
      <c r="F290" s="66" t="n">
        <f aca="false">-F253*Inputs!$D$54/30</f>
        <v>1870.66108283371</v>
      </c>
      <c r="G290" s="66" t="n">
        <f aca="false">-G253*Inputs!$D$54/30</f>
        <v>2299.69043199223</v>
      </c>
      <c r="H290" s="66" t="n">
        <f aca="false">-H253*Inputs!$D$54/30</f>
        <v>2723.86682560229</v>
      </c>
      <c r="I290" s="66" t="n">
        <f aca="false">-I253*Inputs!$D$54/30</f>
        <v>3143.2500464605</v>
      </c>
      <c r="J290" s="66" t="n">
        <f aca="false">-J253*Inputs!$D$54/30</f>
        <v>3557.8990544707</v>
      </c>
      <c r="K290" s="66" t="n">
        <f aca="false">-K253*Inputs!$D$54/30</f>
        <v>3967.87199937416</v>
      </c>
      <c r="L290" s="66" t="n">
        <f aca="false">-L253*Inputs!$D$54/30</f>
        <v>4373.22623326249</v>
      </c>
      <c r="M290" s="66" t="n">
        <f aca="false">-M253*Inputs!$D$54/30</f>
        <v>4774.01832287714</v>
      </c>
      <c r="N290" s="66" t="n">
        <f aca="false">-N253*Inputs!$D$54/30</f>
        <v>5170.30406169956</v>
      </c>
      <c r="O290" s="66" t="n">
        <f aca="false">-O253*Inputs!$D$54/30</f>
        <v>5649.87105326415</v>
      </c>
      <c r="P290" s="66" t="n">
        <f aca="false">-P253*Inputs!$D$54/30</f>
        <v>6211.79446855519</v>
      </c>
      <c r="Q290" s="66" t="n">
        <f aca="false">-Q253*Inputs!$D$54/30</f>
        <v>6767.42799574827</v>
      </c>
      <c r="R290" s="66" t="n">
        <f aca="false">-R253*Inputs!$D$54/30</f>
        <v>7316.84794680328</v>
      </c>
      <c r="S290" s="66" t="n">
        <f aca="false">-S253*Inputs!$D$54/30</f>
        <v>7860.12960229891</v>
      </c>
      <c r="T290" s="66" t="n">
        <f aca="false">-T253*Inputs!$D$54/30</f>
        <v>8397.34722711174</v>
      </c>
      <c r="U290" s="66" t="n">
        <f aca="false">-U253*Inputs!$D$54/30</f>
        <v>8928.57408583116</v>
      </c>
      <c r="V290" s="66" t="n">
        <f aca="false">-V253*Inputs!$D$54/30</f>
        <v>9453.882457915</v>
      </c>
      <c r="W290" s="66" t="n">
        <f aca="false">-W253*Inputs!$D$54/30</f>
        <v>9973.34365259059</v>
      </c>
      <c r="X290" s="66" t="n">
        <f aca="false">-X253*Inputs!$D$54/30</f>
        <v>10487.0280235058</v>
      </c>
      <c r="Y290" s="66" t="n">
        <f aca="false">-Y253*Inputs!$D$54/30</f>
        <v>10995.0049831344</v>
      </c>
      <c r="Z290" s="66" t="n">
        <f aca="false">-Z253*Inputs!$D$54/30</f>
        <v>11497.3430169409</v>
      </c>
      <c r="AA290" s="66" t="n">
        <f aca="false">-AA253*Inputs!$D$54/30</f>
        <v>12121.5858130223</v>
      </c>
      <c r="AB290" s="66" t="n">
        <f aca="false">-AB253*Inputs!$D$54/30</f>
        <v>12866.3828903607</v>
      </c>
      <c r="AC290" s="66" t="n">
        <f aca="false">-AC253*Inputs!$D$54/30</f>
        <v>13602.923785702</v>
      </c>
      <c r="AD290" s="66" t="n">
        <f aca="false">-AD253*Inputs!$D$54/30</f>
        <v>14331.3072250908</v>
      </c>
      <c r="AE290" s="66" t="n">
        <f aca="false">-AE253*Inputs!$D$54/30</f>
        <v>15051.6306240265</v>
      </c>
      <c r="AF290" s="66" t="n">
        <f aca="false">-AF253*Inputs!$D$54/30</f>
        <v>15763.9901070348</v>
      </c>
      <c r="AG290" s="66" t="n">
        <f aca="false">-AG253*Inputs!$D$54/30</f>
        <v>16468.4805269137</v>
      </c>
      <c r="AH290" s="66" t="n">
        <f aca="false">-AH253*Inputs!$D$54/30</f>
        <v>17165.1954836606</v>
      </c>
      <c r="AI290" s="66" t="n">
        <f aca="false">-AI253*Inputs!$D$54/30</f>
        <v>17854.2273430855</v>
      </c>
      <c r="AJ290" s="66" t="n">
        <f aca="false">-AJ253*Inputs!$D$54/30</f>
        <v>18535.6672551165</v>
      </c>
      <c r="AK290" s="66" t="n">
        <f aca="false">-AK253*Inputs!$D$54/30</f>
        <v>19209.6051718038</v>
      </c>
      <c r="AL290" s="66" t="n">
        <f aca="false">-AL253*Inputs!$D$54/30</f>
        <v>19876.1298650251</v>
      </c>
      <c r="AM290" s="66" t="n">
        <f aca="false">-AM253*Inputs!$D$54/30</f>
        <v>20722.5740868082</v>
      </c>
      <c r="AN290" s="66" t="n">
        <f aca="false">-AN253*Inputs!$D$54/30</f>
        <v>21746.9506027873</v>
      </c>
      <c r="AO290" s="66" t="n">
        <f aca="false">-AO253*Inputs!$D$54/30</f>
        <v>22760.0506688145</v>
      </c>
      <c r="AP290" s="66" t="n">
        <f aca="false">-AP253*Inputs!$D$54/30</f>
        <v>23762.0077030852</v>
      </c>
      <c r="AQ290" s="66" t="n">
        <f aca="false">-AQ253*Inputs!$D$54/30</f>
        <v>24752.9533765389</v>
      </c>
      <c r="AR290" s="66" t="n">
        <f aca="false">-AR253*Inputs!$D$54/30</f>
        <v>25733.0176385932</v>
      </c>
      <c r="AS290" s="66" t="n">
        <f aca="false">-AS253*Inputs!$D$54/30</f>
        <v>26702.3287424554</v>
      </c>
      <c r="AT290" s="66" t="n">
        <f aca="false">-AT253*Inputs!$D$54/30</f>
        <v>27661.0132700189</v>
      </c>
      <c r="AU290" s="66" t="n">
        <f aca="false">-AU253*Inputs!$D$54/30</f>
        <v>28609.1961563519</v>
      </c>
      <c r="AV290" s="66" t="n">
        <f aca="false">-AV253*Inputs!$D$54/30</f>
        <v>29547.0007137857</v>
      </c>
      <c r="AW290" s="66" t="n">
        <f aca="false">-AW253*Inputs!$D$54/30</f>
        <v>30474.5486556101</v>
      </c>
      <c r="AX290" s="66" t="n">
        <f aca="false">-AX253*Inputs!$D$54/30</f>
        <v>31391.9601193818</v>
      </c>
      <c r="AY290" s="66" t="n">
        <f aca="false">-AY253*Inputs!$D$54/30</f>
        <v>32577.1276397895</v>
      </c>
      <c r="AZ290" s="66" t="n">
        <f aca="false">-AZ253*Inputs!$D$54/30</f>
        <v>34027.1034736256</v>
      </c>
      <c r="BA290" s="66" t="n">
        <f aca="false">-BA253*Inputs!$D$54/30</f>
        <v>35461.2008088324</v>
      </c>
      <c r="BB290" s="66" t="n">
        <f aca="false">-BB253*Inputs!$D$54/30</f>
        <v>36879.606005202</v>
      </c>
      <c r="BC290" s="66" t="n">
        <f aca="false">-BC253*Inputs!$D$54/30</f>
        <v>38282.5030074325</v>
      </c>
      <c r="BD290" s="66" t="n">
        <f aca="false">-BD253*Inputs!$D$54/30</f>
        <v>39670.0733803086</v>
      </c>
      <c r="BE290" s="66" t="n">
        <f aca="false">-BE253*Inputs!$D$54/30</f>
        <v>41042.4963433107</v>
      </c>
      <c r="BF290" s="66" t="n">
        <f aca="false">-BF253*Inputs!$D$54/30</f>
        <v>42399.9488046604</v>
      </c>
      <c r="BG290" s="66" t="n">
        <f aca="false">-BG253*Inputs!$D$54/30</f>
        <v>43742.6053948146</v>
      </c>
      <c r="BH290" s="66" t="n">
        <f aca="false">-BH253*Inputs!$D$54/30</f>
        <v>45070.638499417</v>
      </c>
      <c r="BI290" s="66" t="n">
        <f aca="false">-BI253*Inputs!$D$54/30</f>
        <v>46384.218291716</v>
      </c>
      <c r="BJ290" s="66" t="n">
        <f aca="false">-BJ253*Inputs!$D$54/30</f>
        <v>47683.5127644599</v>
      </c>
    </row>
    <row r="291" customFormat="false" ht="15" hidden="false" customHeight="false" outlineLevel="0" collapsed="false">
      <c r="A291" s="6" t="s">
        <v>324</v>
      </c>
      <c r="C291" s="66" t="n">
        <f aca="false">-C288</f>
        <v>-997.191666666667</v>
      </c>
      <c r="D291" s="66" t="n">
        <f aca="false">C288-D288</f>
        <v>-800.361416666667</v>
      </c>
      <c r="E291" s="66" t="n">
        <f aca="false">D288-E288</f>
        <v>-792.3578025</v>
      </c>
      <c r="F291" s="66" t="n">
        <f aca="false">E288-F288</f>
        <v>-784.434224475001</v>
      </c>
      <c r="G291" s="66" t="n">
        <f aca="false">F288-G288</f>
        <v>-776.589882230249</v>
      </c>
      <c r="H291" s="66" t="n">
        <f aca="false">G288-H288</f>
        <v>-768.823983407948</v>
      </c>
      <c r="I291" s="66" t="n">
        <f aca="false">H288-I288</f>
        <v>-761.135743573868</v>
      </c>
      <c r="J291" s="66" t="n">
        <f aca="false">I288-J288</f>
        <v>-753.52438613813</v>
      </c>
      <c r="K291" s="66" t="n">
        <f aca="false">J288-K288</f>
        <v>-745.989142276749</v>
      </c>
      <c r="L291" s="66" t="n">
        <f aca="false">K288-L288</f>
        <v>-738.52925085398</v>
      </c>
      <c r="M291" s="66" t="n">
        <f aca="false">L288-M288</f>
        <v>-731.143958345441</v>
      </c>
      <c r="N291" s="66" t="n">
        <f aca="false">M288-N288</f>
        <v>-723.832518761987</v>
      </c>
      <c r="O291" s="66" t="n">
        <f aca="false">N288-O288</f>
        <v>-878.1650269077</v>
      </c>
      <c r="P291" s="66" t="n">
        <f aca="false">O288-P288</f>
        <v>-1030.95420997195</v>
      </c>
      <c r="Q291" s="66" t="n">
        <f aca="false">P288-Q288</f>
        <v>-1020.64466787224</v>
      </c>
      <c r="R291" s="66" t="n">
        <f aca="false">Q288-R288</f>
        <v>-1010.43822119351</v>
      </c>
      <c r="S291" s="66" t="n">
        <f aca="false">R288-S288</f>
        <v>-1000.33383898158</v>
      </c>
      <c r="T291" s="66" t="n">
        <f aca="false">S288-T288</f>
        <v>-990.330500591765</v>
      </c>
      <c r="U291" s="66" t="n">
        <f aca="false">T288-U288</f>
        <v>-980.427195585851</v>
      </c>
      <c r="V291" s="66" t="n">
        <f aca="false">U288-V288</f>
        <v>-970.622923629988</v>
      </c>
      <c r="W291" s="66" t="n">
        <f aca="false">V288-W288</f>
        <v>-960.916694393687</v>
      </c>
      <c r="X291" s="66" t="n">
        <f aca="false">W288-X288</f>
        <v>-951.307527449753</v>
      </c>
      <c r="Y291" s="66" t="n">
        <f aca="false">X288-Y288</f>
        <v>-941.794452175254</v>
      </c>
      <c r="Z291" s="66" t="n">
        <f aca="false">Y288-Z288</f>
        <v>-932.376507653502</v>
      </c>
      <c r="AA291" s="66" t="n">
        <f aca="false">Z288-AA288</f>
        <v>-1158.96280507697</v>
      </c>
      <c r="AB291" s="66" t="n">
        <f aca="false">AA288-AB288</f>
        <v>-1383.28323952619</v>
      </c>
      <c r="AC291" s="66" t="n">
        <f aca="false">AB288-AC288</f>
        <v>-1369.45040713093</v>
      </c>
      <c r="AD291" s="66" t="n">
        <f aca="false">AC288-AD288</f>
        <v>-1355.75590305962</v>
      </c>
      <c r="AE291" s="66" t="n">
        <f aca="false">AD288-AE288</f>
        <v>-1342.19834402903</v>
      </c>
      <c r="AF291" s="66" t="n">
        <f aca="false">AE288-AF288</f>
        <v>-1328.77636058873</v>
      </c>
      <c r="AG291" s="66" t="n">
        <f aca="false">AF288-AG288</f>
        <v>-1315.48859698285</v>
      </c>
      <c r="AH291" s="66" t="n">
        <f aca="false">AG288-AH288</f>
        <v>-1302.33371101302</v>
      </c>
      <c r="AI291" s="66" t="n">
        <f aca="false">AH288-AI288</f>
        <v>-1289.31037390288</v>
      </c>
      <c r="AJ291" s="66" t="n">
        <f aca="false">AI288-AJ288</f>
        <v>-1276.41727016387</v>
      </c>
      <c r="AK291" s="66" t="n">
        <f aca="false">AJ288-AK288</f>
        <v>-1263.65309746222</v>
      </c>
      <c r="AL291" s="66" t="n">
        <f aca="false">AK288-AL288</f>
        <v>-1251.0165664876</v>
      </c>
      <c r="AM291" s="66" t="n">
        <f aca="false">AL288-AM288</f>
        <v>-1586.67410926022</v>
      </c>
      <c r="AN291" s="66" t="n">
        <f aca="false">AM288-AN288</f>
        <v>-1918.97507660513</v>
      </c>
      <c r="AO291" s="66" t="n">
        <f aca="false">AN288-AO288</f>
        <v>-1899.78532583907</v>
      </c>
      <c r="AP291" s="66" t="n">
        <f aca="false">AO288-AP288</f>
        <v>-1880.78747258068</v>
      </c>
      <c r="AQ291" s="66" t="n">
        <f aca="false">AP288-AQ288</f>
        <v>-1861.97959785488</v>
      </c>
      <c r="AR291" s="66" t="n">
        <f aca="false">AQ288-AR288</f>
        <v>-1843.35980187631</v>
      </c>
      <c r="AS291" s="66" t="n">
        <f aca="false">AR288-AS288</f>
        <v>-1824.92620385756</v>
      </c>
      <c r="AT291" s="66" t="n">
        <f aca="false">AS288-AT288</f>
        <v>-1806.67694181899</v>
      </c>
      <c r="AU291" s="66" t="n">
        <f aca="false">AT288-AU288</f>
        <v>-1788.6101724008</v>
      </c>
      <c r="AV291" s="66" t="n">
        <f aca="false">AU288-AV288</f>
        <v>-1770.72407067678</v>
      </c>
      <c r="AW291" s="66" t="n">
        <f aca="false">AV288-AW288</f>
        <v>-1753.01682997002</v>
      </c>
      <c r="AX291" s="66" t="n">
        <f aca="false">AW288-AX288</f>
        <v>-1735.48666167031</v>
      </c>
      <c r="AY291" s="66" t="n">
        <f aca="false">AX288-AY288</f>
        <v>-2237.02372944268</v>
      </c>
      <c r="AZ291" s="66" t="n">
        <f aca="false">AY288-AZ288</f>
        <v>-2733.54542653732</v>
      </c>
      <c r="BA291" s="66" t="n">
        <f aca="false">AZ288-BA288</f>
        <v>-2706.20997227195</v>
      </c>
      <c r="BB291" s="66" t="n">
        <f aca="false">BA288-BB288</f>
        <v>-2679.14787254923</v>
      </c>
      <c r="BC291" s="66" t="n">
        <f aca="false">BB288-BC288</f>
        <v>-2652.35639382374</v>
      </c>
      <c r="BD291" s="66" t="n">
        <f aca="false">BC288-BD288</f>
        <v>-2625.83282988549</v>
      </c>
      <c r="BE291" s="66" t="n">
        <f aca="false">BD288-BE288</f>
        <v>-2599.57450158663</v>
      </c>
      <c r="BF291" s="66" t="n">
        <f aca="false">BE288-BF288</f>
        <v>-2573.57875657077</v>
      </c>
      <c r="BG291" s="66" t="n">
        <f aca="false">BF288-BG288</f>
        <v>-2547.84296900508</v>
      </c>
      <c r="BH291" s="66" t="n">
        <f aca="false">BG288-BH288</f>
        <v>-2522.36453931501</v>
      </c>
      <c r="BI291" s="66" t="n">
        <f aca="false">BH288-BI288</f>
        <v>-2497.14089392188</v>
      </c>
      <c r="BJ291" s="66" t="n">
        <f aca="false">BI288-BJ288</f>
        <v>-2472.16948498262</v>
      </c>
    </row>
    <row r="292" customFormat="false" ht="15" hidden="false" customHeight="false" outlineLevel="0" collapsed="false">
      <c r="A292" s="6" t="s">
        <v>325</v>
      </c>
      <c r="C292" s="66" t="n">
        <f aca="false">-C289</f>
        <v>-0</v>
      </c>
      <c r="D292" s="66" t="n">
        <f aca="false">C289-D289</f>
        <v>0</v>
      </c>
      <c r="E292" s="66" t="n">
        <f aca="false">D289-E289</f>
        <v>0</v>
      </c>
      <c r="F292" s="66" t="n">
        <f aca="false">E289-F289</f>
        <v>0</v>
      </c>
      <c r="G292" s="66" t="n">
        <f aca="false">F289-G289</f>
        <v>0</v>
      </c>
      <c r="H292" s="66" t="n">
        <f aca="false">G289-H289</f>
        <v>0</v>
      </c>
      <c r="I292" s="66" t="n">
        <f aca="false">H289-I289</f>
        <v>0</v>
      </c>
      <c r="J292" s="66" t="n">
        <f aca="false">I289-J289</f>
        <v>0</v>
      </c>
      <c r="K292" s="66" t="n">
        <f aca="false">J289-K289</f>
        <v>0</v>
      </c>
      <c r="L292" s="66" t="n">
        <f aca="false">K289-L289</f>
        <v>0</v>
      </c>
      <c r="M292" s="66" t="n">
        <f aca="false">L289-M289</f>
        <v>0</v>
      </c>
      <c r="N292" s="66" t="n">
        <f aca="false">M289-N289</f>
        <v>0</v>
      </c>
      <c r="O292" s="66" t="n">
        <f aca="false">N289-O289</f>
        <v>0</v>
      </c>
      <c r="P292" s="66" t="n">
        <f aca="false">O289-P289</f>
        <v>0</v>
      </c>
      <c r="Q292" s="66" t="n">
        <f aca="false">P289-Q289</f>
        <v>0</v>
      </c>
      <c r="R292" s="66" t="n">
        <f aca="false">Q289-R289</f>
        <v>0</v>
      </c>
      <c r="S292" s="66" t="n">
        <f aca="false">R289-S289</f>
        <v>0</v>
      </c>
      <c r="T292" s="66" t="n">
        <f aca="false">S289-T289</f>
        <v>0</v>
      </c>
      <c r="U292" s="66" t="n">
        <f aca="false">T289-U289</f>
        <v>0</v>
      </c>
      <c r="V292" s="66" t="n">
        <f aca="false">U289-V289</f>
        <v>0</v>
      </c>
      <c r="W292" s="66" t="n">
        <f aca="false">V289-W289</f>
        <v>0</v>
      </c>
      <c r="X292" s="66" t="n">
        <f aca="false">W289-X289</f>
        <v>0</v>
      </c>
      <c r="Y292" s="66" t="n">
        <f aca="false">X289-Y289</f>
        <v>0</v>
      </c>
      <c r="Z292" s="66" t="n">
        <f aca="false">Y289-Z289</f>
        <v>0</v>
      </c>
      <c r="AA292" s="66" t="n">
        <f aca="false">Z289-AA289</f>
        <v>0</v>
      </c>
      <c r="AB292" s="66" t="n">
        <f aca="false">AA289-AB289</f>
        <v>0</v>
      </c>
      <c r="AC292" s="66" t="n">
        <f aca="false">AB289-AC289</f>
        <v>0</v>
      </c>
      <c r="AD292" s="66" t="n">
        <f aca="false">AC289-AD289</f>
        <v>0</v>
      </c>
      <c r="AE292" s="66" t="n">
        <f aca="false">AD289-AE289</f>
        <v>0</v>
      </c>
      <c r="AF292" s="66" t="n">
        <f aca="false">AE289-AF289</f>
        <v>0</v>
      </c>
      <c r="AG292" s="66" t="n">
        <f aca="false">AF289-AG289</f>
        <v>0</v>
      </c>
      <c r="AH292" s="66" t="n">
        <f aca="false">AG289-AH289</f>
        <v>0</v>
      </c>
      <c r="AI292" s="66" t="n">
        <f aca="false">AH289-AI289</f>
        <v>0</v>
      </c>
      <c r="AJ292" s="66" t="n">
        <f aca="false">AI289-AJ289</f>
        <v>0</v>
      </c>
      <c r="AK292" s="66" t="n">
        <f aca="false">AJ289-AK289</f>
        <v>0</v>
      </c>
      <c r="AL292" s="66" t="n">
        <f aca="false">AK289-AL289</f>
        <v>0</v>
      </c>
      <c r="AM292" s="66" t="n">
        <f aca="false">AL289-AM289</f>
        <v>0</v>
      </c>
      <c r="AN292" s="66" t="n">
        <f aca="false">AM289-AN289</f>
        <v>0</v>
      </c>
      <c r="AO292" s="66" t="n">
        <f aca="false">AN289-AO289</f>
        <v>0</v>
      </c>
      <c r="AP292" s="66" t="n">
        <f aca="false">AO289-AP289</f>
        <v>0</v>
      </c>
      <c r="AQ292" s="66" t="n">
        <f aca="false">AP289-AQ289</f>
        <v>0</v>
      </c>
      <c r="AR292" s="66" t="n">
        <f aca="false">AQ289-AR289</f>
        <v>0</v>
      </c>
      <c r="AS292" s="66" t="n">
        <f aca="false">AR289-AS289</f>
        <v>0</v>
      </c>
      <c r="AT292" s="66" t="n">
        <f aca="false">AS289-AT289</f>
        <v>0</v>
      </c>
      <c r="AU292" s="66" t="n">
        <f aca="false">AT289-AU289</f>
        <v>0</v>
      </c>
      <c r="AV292" s="66" t="n">
        <f aca="false">AU289-AV289</f>
        <v>0</v>
      </c>
      <c r="AW292" s="66" t="n">
        <f aca="false">AV289-AW289</f>
        <v>0</v>
      </c>
      <c r="AX292" s="66" t="n">
        <f aca="false">AW289-AX289</f>
        <v>0</v>
      </c>
      <c r="AY292" s="66" t="n">
        <f aca="false">AX289-AY289</f>
        <v>0</v>
      </c>
      <c r="AZ292" s="66" t="n">
        <f aca="false">AY289-AZ289</f>
        <v>0</v>
      </c>
      <c r="BA292" s="66" t="n">
        <f aca="false">AZ289-BA289</f>
        <v>0</v>
      </c>
      <c r="BB292" s="66" t="n">
        <f aca="false">BA289-BB289</f>
        <v>0</v>
      </c>
      <c r="BC292" s="66" t="n">
        <f aca="false">BB289-BC289</f>
        <v>0</v>
      </c>
      <c r="BD292" s="66" t="n">
        <f aca="false">BC289-BD289</f>
        <v>0</v>
      </c>
      <c r="BE292" s="66" t="n">
        <f aca="false">BD289-BE289</f>
        <v>0</v>
      </c>
      <c r="BF292" s="66" t="n">
        <f aca="false">BE289-BF289</f>
        <v>0</v>
      </c>
      <c r="BG292" s="66" t="n">
        <f aca="false">BF289-BG289</f>
        <v>0</v>
      </c>
      <c r="BH292" s="66" t="n">
        <f aca="false">BG289-BH289</f>
        <v>0</v>
      </c>
      <c r="BI292" s="66" t="n">
        <f aca="false">BH289-BI289</f>
        <v>0</v>
      </c>
      <c r="BJ292" s="66" t="n">
        <f aca="false">BI289-BJ289</f>
        <v>0</v>
      </c>
    </row>
    <row r="293" customFormat="false" ht="15" hidden="false" customHeight="false" outlineLevel="0" collapsed="false">
      <c r="A293" s="6" t="s">
        <v>326</v>
      </c>
      <c r="C293" s="66" t="n">
        <f aca="false">C290</f>
        <v>553.844857142857</v>
      </c>
      <c r="D293" s="66" t="n">
        <f aca="false">D290-C290</f>
        <v>443.955337142857</v>
      </c>
      <c r="E293" s="66" t="n">
        <f aca="false">E290-D290</f>
        <v>438.9179652</v>
      </c>
      <c r="F293" s="66" t="n">
        <f aca="false">F290-E290</f>
        <v>433.942923348</v>
      </c>
      <c r="G293" s="66" t="n">
        <f aca="false">G290-F290</f>
        <v>429.02934915852</v>
      </c>
      <c r="H293" s="66" t="n">
        <f aca="false">H290-G290</f>
        <v>424.176393610055</v>
      </c>
      <c r="I293" s="66" t="n">
        <f aca="false">I290-H290</f>
        <v>419.383220858212</v>
      </c>
      <c r="J293" s="66" t="n">
        <f aca="false">J290-I290</f>
        <v>414.649008010202</v>
      </c>
      <c r="K293" s="66" t="n">
        <f aca="false">K290-J290</f>
        <v>409.972944903461</v>
      </c>
      <c r="L293" s="66" t="n">
        <f aca="false">L290-K290</f>
        <v>405.35423388832</v>
      </c>
      <c r="M293" s="66" t="n">
        <f aca="false">M290-L290</f>
        <v>400.792089614653</v>
      </c>
      <c r="N293" s="66" t="n">
        <f aca="false">N290-M290</f>
        <v>396.285738822418</v>
      </c>
      <c r="O293" s="66" t="n">
        <f aca="false">O290-N290</f>
        <v>479.566991564598</v>
      </c>
      <c r="P293" s="66" t="n">
        <f aca="false">P290-O290</f>
        <v>561.923415291035</v>
      </c>
      <c r="Q293" s="66" t="n">
        <f aca="false">Q290-P290</f>
        <v>555.63352719308</v>
      </c>
      <c r="R293" s="66" t="n">
        <f aca="false">R290-Q290</f>
        <v>549.419951055005</v>
      </c>
      <c r="S293" s="66" t="n">
        <f aca="false">S290-R290</f>
        <v>543.281655495635</v>
      </c>
      <c r="T293" s="66" t="n">
        <f aca="false">T290-S290</f>
        <v>537.217624812834</v>
      </c>
      <c r="U293" s="66" t="n">
        <f aca="false">U290-T290</f>
        <v>531.226858719416</v>
      </c>
      <c r="V293" s="66" t="n">
        <f aca="false">V290-U290</f>
        <v>525.308372083844</v>
      </c>
      <c r="W293" s="66" t="n">
        <f aca="false">W290-V290</f>
        <v>519.461194675587</v>
      </c>
      <c r="X293" s="66" t="n">
        <f aca="false">X290-W290</f>
        <v>513.684370915167</v>
      </c>
      <c r="Y293" s="66" t="n">
        <f aca="false">Y290-X290</f>
        <v>507.976959628619</v>
      </c>
      <c r="Z293" s="66" t="n">
        <f aca="false">Z290-Y290</f>
        <v>502.338033806493</v>
      </c>
      <c r="AA293" s="66" t="n">
        <f aca="false">AA290-Z290</f>
        <v>624.242796081384</v>
      </c>
      <c r="AB293" s="66" t="n">
        <f aca="false">AB290-AA290</f>
        <v>744.797077338406</v>
      </c>
      <c r="AC293" s="66" t="n">
        <f aca="false">AC290-AB290</f>
        <v>736.540895341368</v>
      </c>
      <c r="AD293" s="66" t="n">
        <f aca="false">AD290-AC290</f>
        <v>728.383439388766</v>
      </c>
      <c r="AE293" s="66" t="n">
        <f aca="false">AE290-AD290</f>
        <v>720.323398935678</v>
      </c>
      <c r="AF293" s="66" t="n">
        <f aca="false">AF290-AE290</f>
        <v>712.359483008304</v>
      </c>
      <c r="AG293" s="66" t="n">
        <f aca="false">AG290-AF290</f>
        <v>704.490419878965</v>
      </c>
      <c r="AH293" s="66" t="n">
        <f aca="false">AH290-AG290</f>
        <v>696.714956746902</v>
      </c>
      <c r="AI293" s="66" t="n">
        <f aca="false">AI290-AH290</f>
        <v>689.031859424827</v>
      </c>
      <c r="AJ293" s="66" t="n">
        <f aca="false">AJ290-AI290</f>
        <v>681.439912031066</v>
      </c>
      <c r="AK293" s="66" t="n">
        <f aca="false">AK290-AJ290</f>
        <v>673.937916687231</v>
      </c>
      <c r="AL293" s="66" t="n">
        <f aca="false">AL290-AK290</f>
        <v>666.524693221301</v>
      </c>
      <c r="AM293" s="66" t="n">
        <f aca="false">AM290-AL290</f>
        <v>846.44422178316</v>
      </c>
      <c r="AN293" s="66" t="n">
        <f aca="false">AN290-AM290</f>
        <v>1024.37651597909</v>
      </c>
      <c r="AO293" s="66" t="n">
        <f aca="false">AO290-AN290</f>
        <v>1013.10006602721</v>
      </c>
      <c r="AP293" s="66" t="n">
        <f aca="false">AP290-AO290</f>
        <v>1001.95703427069</v>
      </c>
      <c r="AQ293" s="66" t="n">
        <f aca="false">AQ290-AP290</f>
        <v>990.945673453669</v>
      </c>
      <c r="AR293" s="66" t="n">
        <f aca="false">AR290-AQ290</f>
        <v>980.0642620543</v>
      </c>
      <c r="AS293" s="66" t="n">
        <f aca="false">AS290-AR290</f>
        <v>969.311103862219</v>
      </c>
      <c r="AT293" s="66" t="n">
        <f aca="false">AT290-AS290</f>
        <v>958.684527563488</v>
      </c>
      <c r="AU293" s="66" t="n">
        <f aca="false">AU290-AT290</f>
        <v>948.182886332954</v>
      </c>
      <c r="AV293" s="66" t="n">
        <f aca="false">AV290-AU290</f>
        <v>937.804557433818</v>
      </c>
      <c r="AW293" s="66" t="n">
        <f aca="false">AW290-AV290</f>
        <v>927.547941824385</v>
      </c>
      <c r="AX293" s="66" t="n">
        <f aca="false">AX290-AW290</f>
        <v>917.411463771761</v>
      </c>
      <c r="AY293" s="66" t="n">
        <f aca="false">AY290-AX290</f>
        <v>1185.16752040766</v>
      </c>
      <c r="AZ293" s="66" t="n">
        <f aca="false">AZ290-AY290</f>
        <v>1449.97583383616</v>
      </c>
      <c r="BA293" s="66" t="n">
        <f aca="false">BA290-AZ290</f>
        <v>1434.09733520681</v>
      </c>
      <c r="BB293" s="66" t="n">
        <f aca="false">BB290-BA290</f>
        <v>1418.40519636959</v>
      </c>
      <c r="BC293" s="66" t="n">
        <f aca="false">BC290-BB290</f>
        <v>1402.89700223042</v>
      </c>
      <c r="BD293" s="66" t="n">
        <f aca="false">BD290-BC290</f>
        <v>1387.57037287617</v>
      </c>
      <c r="BE293" s="66" t="n">
        <f aca="false">BE290-BD290</f>
        <v>1372.42296300209</v>
      </c>
      <c r="BF293" s="66" t="n">
        <f aca="false">BF290-BE290</f>
        <v>1357.45246134968</v>
      </c>
      <c r="BG293" s="66" t="n">
        <f aca="false">BG290-BF290</f>
        <v>1342.65659015423</v>
      </c>
      <c r="BH293" s="66" t="n">
        <f aca="false">BH290-BG290</f>
        <v>1328.03310460236</v>
      </c>
      <c r="BI293" s="66" t="n">
        <f aca="false">BI290-BH290</f>
        <v>1313.57979229902</v>
      </c>
      <c r="BJ293" s="66" t="n">
        <f aca="false">BJ290-BI290</f>
        <v>1299.29447274386</v>
      </c>
    </row>
    <row r="294" customFormat="false" ht="15" hidden="false" customHeight="false" outlineLevel="0" collapsed="false">
      <c r="A294" s="6" t="s">
        <v>94</v>
      </c>
      <c r="C294" s="66" t="n">
        <f aca="false">C249*Inputs!$D$17*6</f>
        <v>10075.56</v>
      </c>
      <c r="D294" s="66" t="n">
        <f aca="false">D249*Inputs!$D$17*6</f>
        <v>15809.2044</v>
      </c>
      <c r="E294" s="66" t="n">
        <f aca="false">E249*Inputs!$D$17*6</f>
        <v>21485.512356</v>
      </c>
      <c r="F294" s="66" t="n">
        <f aca="false">F249*Inputs!$D$17*6</f>
        <v>27105.05723244</v>
      </c>
      <c r="G294" s="66" t="n">
        <f aca="false">G249*Inputs!$D$17*6</f>
        <v>32668.4066601156</v>
      </c>
      <c r="H294" s="66" t="n">
        <f aca="false">H249*Inputs!$D$17*6</f>
        <v>38176.1225935145</v>
      </c>
      <c r="I294" s="66" t="n">
        <f aca="false">I249*Inputs!$D$17*6</f>
        <v>43628.7613675793</v>
      </c>
      <c r="J294" s="66" t="n">
        <f aca="false">J249*Inputs!$D$17*6</f>
        <v>49026.8737539035</v>
      </c>
      <c r="K294" s="66" t="n">
        <f aca="false">K249*Inputs!$D$17*6</f>
        <v>54371.0050163645</v>
      </c>
      <c r="L294" s="66" t="n">
        <f aca="false">L249*Inputs!$D$17*6</f>
        <v>59661.6949662008</v>
      </c>
      <c r="M294" s="66" t="n">
        <f aca="false">M249*Inputs!$D$17*6</f>
        <v>64899.4780165388</v>
      </c>
      <c r="N294" s="66" t="n">
        <f aca="false">N249*Inputs!$D$17*6</f>
        <v>70084.8832363734</v>
      </c>
      <c r="O294" s="66" t="n">
        <f aca="false">O249*Inputs!$D$17*6</f>
        <v>77545.0544040097</v>
      </c>
      <c r="P294" s="66" t="n">
        <f aca="false">P249*Inputs!$D$17*6</f>
        <v>84930.6238599696</v>
      </c>
      <c r="Q294" s="66" t="n">
        <f aca="false">Q249*Inputs!$D$17*6</f>
        <v>92242.3376213699</v>
      </c>
      <c r="R294" s="66" t="n">
        <f aca="false">R249*Inputs!$D$17*6</f>
        <v>99480.9342451562</v>
      </c>
      <c r="S294" s="66" t="n">
        <f aca="false">S249*Inputs!$D$17*6</f>
        <v>106647.144902705</v>
      </c>
      <c r="T294" s="66" t="n">
        <f aca="false">T249*Inputs!$D$17*6</f>
        <v>113741.693453678</v>
      </c>
      <c r="U294" s="66" t="n">
        <f aca="false">U249*Inputs!$D$17*6</f>
        <v>120765.296519141</v>
      </c>
      <c r="V294" s="66" t="n">
        <f aca="false">V249*Inputs!$D$17*6</f>
        <v>127718.66355395</v>
      </c>
      <c r="W294" s="66" t="n">
        <f aca="false">W249*Inputs!$D$17*6</f>
        <v>134602.49691841</v>
      </c>
      <c r="X294" s="66" t="n">
        <f aca="false">X249*Inputs!$D$17*6</f>
        <v>141417.491949226</v>
      </c>
      <c r="Y294" s="66" t="n">
        <f aca="false">Y249*Inputs!$D$17*6</f>
        <v>148164.337029734</v>
      </c>
      <c r="Z294" s="66" t="n">
        <f aca="false">Z249*Inputs!$D$17*6</f>
        <v>154843.713659436</v>
      </c>
      <c r="AA294" s="66" t="n">
        <f aca="false">AA249*Inputs!$D$17*6</f>
        <v>164853.401422842</v>
      </c>
      <c r="AB294" s="66" t="n">
        <f aca="false">AB249*Inputs!$D$17*6</f>
        <v>174762.992308614</v>
      </c>
      <c r="AC294" s="66" t="n">
        <f aca="false">AC249*Inputs!$D$17*6</f>
        <v>184573.487285527</v>
      </c>
      <c r="AD294" s="66" t="n">
        <f aca="false">AD249*Inputs!$D$17*6</f>
        <v>194285.877312672</v>
      </c>
      <c r="AE294" s="66" t="n">
        <f aca="false">AE249*Inputs!$D$17*6</f>
        <v>203901.143439545</v>
      </c>
      <c r="AF294" s="66" t="n">
        <f aca="false">AF249*Inputs!$D$17*6</f>
        <v>213420.25690515</v>
      </c>
      <c r="AG294" s="66" t="n">
        <f aca="false">AG249*Inputs!$D$17*6</f>
        <v>222844.179236098</v>
      </c>
      <c r="AH294" s="66" t="n">
        <f aca="false">AH249*Inputs!$D$17*6</f>
        <v>232173.862343737</v>
      </c>
      <c r="AI294" s="66" t="n">
        <f aca="false">AI249*Inputs!$D$17*6</f>
        <v>241410.2486203</v>
      </c>
      <c r="AJ294" s="66" t="n">
        <f aca="false">AJ249*Inputs!$D$17*6</f>
        <v>250554.271034097</v>
      </c>
      <c r="AK294" s="66" t="n">
        <f aca="false">AK249*Inputs!$D$17*6</f>
        <v>259606.853223756</v>
      </c>
      <c r="AL294" s="66" t="n">
        <f aca="false">AL249*Inputs!$D$17*6</f>
        <v>268568.909591519</v>
      </c>
      <c r="AM294" s="66" t="n">
        <f aca="false">AM249*Inputs!$D$17*6</f>
        <v>282454.960397103</v>
      </c>
      <c r="AN294" s="66" t="n">
        <f aca="false">AN249*Inputs!$D$17*6</f>
        <v>296202.150694632</v>
      </c>
      <c r="AO294" s="66" t="n">
        <f aca="false">AO249*Inputs!$D$17*6</f>
        <v>309811.869089186</v>
      </c>
      <c r="AP294" s="66" t="n">
        <f aca="false">AP249*Inputs!$D$17*6</f>
        <v>323285.490299794</v>
      </c>
      <c r="AQ294" s="66" t="n">
        <f aca="false">AQ249*Inputs!$D$17*6</f>
        <v>336624.375298296</v>
      </c>
      <c r="AR294" s="66" t="n">
        <f aca="false">AR249*Inputs!$D$17*6</f>
        <v>349829.871446813</v>
      </c>
      <c r="AS294" s="66" t="n">
        <f aca="false">AS249*Inputs!$D$17*6</f>
        <v>362903.312633845</v>
      </c>
      <c r="AT294" s="66" t="n">
        <f aca="false">AT249*Inputs!$D$17*6</f>
        <v>375846.019409006</v>
      </c>
      <c r="AU294" s="66" t="n">
        <f aca="false">AU249*Inputs!$D$17*6</f>
        <v>388659.299116416</v>
      </c>
      <c r="AV294" s="66" t="n">
        <f aca="false">AV249*Inputs!$D$17*6</f>
        <v>401344.446026752</v>
      </c>
      <c r="AW294" s="66" t="n">
        <f aca="false">AW249*Inputs!$D$17*6</f>
        <v>413902.741467985</v>
      </c>
      <c r="AX294" s="66" t="n">
        <f aca="false">AX249*Inputs!$D$17*6</f>
        <v>426335.453954805</v>
      </c>
      <c r="AY294" s="66" t="n">
        <f aca="false">AY249*Inputs!$D$17*6</f>
        <v>446115.883171959</v>
      </c>
      <c r="AZ294" s="66" t="n">
        <f aca="false">AZ249*Inputs!$D$17*6</f>
        <v>465698.508096942</v>
      </c>
      <c r="BA294" s="66" t="n">
        <f aca="false">BA249*Inputs!$D$17*6</f>
        <v>485085.306772675</v>
      </c>
      <c r="BB294" s="66" t="n">
        <f aca="false">BB249*Inputs!$D$17*6</f>
        <v>504278.237461651</v>
      </c>
      <c r="BC294" s="66" t="n">
        <f aca="false">BC249*Inputs!$D$17*6</f>
        <v>523279.238843737</v>
      </c>
      <c r="BD294" s="66" t="n">
        <f aca="false">BD249*Inputs!$D$17*6</f>
        <v>542090.230212002</v>
      </c>
      <c r="BE294" s="66" t="n">
        <f aca="false">BE249*Inputs!$D$17*6</f>
        <v>560713.111666585</v>
      </c>
      <c r="BF294" s="66" t="n">
        <f aca="false">BF249*Inputs!$D$17*6</f>
        <v>579149.764306621</v>
      </c>
      <c r="BG294" s="66" t="n">
        <f aca="false">BG249*Inputs!$D$17*6</f>
        <v>597402.050420258</v>
      </c>
      <c r="BH294" s="66" t="n">
        <f aca="false">BH249*Inputs!$D$17*6</f>
        <v>615471.813672758</v>
      </c>
      <c r="BI294" s="66" t="n">
        <f aca="false">BI249*Inputs!$D$17*6</f>
        <v>633360.879292733</v>
      </c>
      <c r="BJ294" s="66" t="n">
        <f aca="false">BJ249*Inputs!$D$17*6</f>
        <v>651071.054256508</v>
      </c>
    </row>
    <row r="295" customFormat="false" ht="15" hidden="false" customHeight="false" outlineLevel="0" collapsed="false">
      <c r="A295" s="6" t="s">
        <v>327</v>
      </c>
      <c r="C295" s="66" t="n">
        <f aca="false">C294</f>
        <v>10075.56</v>
      </c>
      <c r="D295" s="66" t="n">
        <f aca="false">D294-C294</f>
        <v>5733.64440000001</v>
      </c>
      <c r="E295" s="66" t="n">
        <f aca="false">E294-D294</f>
        <v>5676.307956</v>
      </c>
      <c r="F295" s="66" t="n">
        <f aca="false">F294-E294</f>
        <v>5619.54487644</v>
      </c>
      <c r="G295" s="66" t="n">
        <f aca="false">G294-F294</f>
        <v>5563.3494276756</v>
      </c>
      <c r="H295" s="66" t="n">
        <f aca="false">H294-G294</f>
        <v>5507.71593339885</v>
      </c>
      <c r="I295" s="66" t="n">
        <f aca="false">I294-H294</f>
        <v>5452.63877406486</v>
      </c>
      <c r="J295" s="66" t="n">
        <f aca="false">J294-I294</f>
        <v>5398.11238632422</v>
      </c>
      <c r="K295" s="66" t="n">
        <f aca="false">K294-J294</f>
        <v>5344.13126246096</v>
      </c>
      <c r="L295" s="66" t="n">
        <f aca="false">L294-K294</f>
        <v>5290.68994983636</v>
      </c>
      <c r="M295" s="66" t="n">
        <f aca="false">M294-L294</f>
        <v>5237.783050338</v>
      </c>
      <c r="N295" s="66" t="n">
        <f aca="false">N294-M294</f>
        <v>5185.4052198346</v>
      </c>
      <c r="O295" s="66" t="n">
        <f aca="false">O294-N294</f>
        <v>7460.17116763626</v>
      </c>
      <c r="P295" s="66" t="n">
        <f aca="false">P294-O294</f>
        <v>7385.56945595991</v>
      </c>
      <c r="Q295" s="66" t="n">
        <f aca="false">Q294-P294</f>
        <v>7311.71376140032</v>
      </c>
      <c r="R295" s="66" t="n">
        <f aca="false">R294-Q294</f>
        <v>7238.59662378632</v>
      </c>
      <c r="S295" s="66" t="n">
        <f aca="false">S294-R294</f>
        <v>7166.21065754845</v>
      </c>
      <c r="T295" s="66" t="n">
        <f aca="false">T294-S294</f>
        <v>7094.54855097298</v>
      </c>
      <c r="U295" s="66" t="n">
        <f aca="false">U294-T294</f>
        <v>7023.60306546325</v>
      </c>
      <c r="V295" s="66" t="n">
        <f aca="false">V294-U294</f>
        <v>6953.36703480859</v>
      </c>
      <c r="W295" s="66" t="n">
        <f aca="false">W294-V294</f>
        <v>6883.8333644605</v>
      </c>
      <c r="X295" s="66" t="n">
        <f aca="false">X294-W294</f>
        <v>6814.99503081595</v>
      </c>
      <c r="Y295" s="66" t="n">
        <f aca="false">Y294-X294</f>
        <v>6746.84508050775</v>
      </c>
      <c r="Z295" s="66" t="n">
        <f aca="false">Z294-Y294</f>
        <v>6679.37662970266</v>
      </c>
      <c r="AA295" s="66" t="n">
        <f aca="false">AA294-Z294</f>
        <v>10009.6877634057</v>
      </c>
      <c r="AB295" s="66" t="n">
        <f aca="false">AB294-AA294</f>
        <v>9909.59088577156</v>
      </c>
      <c r="AC295" s="66" t="n">
        <f aca="false">AC294-AB294</f>
        <v>9810.49497691382</v>
      </c>
      <c r="AD295" s="66" t="n">
        <f aca="false">AD294-AC294</f>
        <v>9712.39002714472</v>
      </c>
      <c r="AE295" s="66" t="n">
        <f aca="false">AE294-AD294</f>
        <v>9615.26612687326</v>
      </c>
      <c r="AF295" s="66" t="n">
        <f aca="false">AF294-AE294</f>
        <v>9519.11346560452</v>
      </c>
      <c r="AG295" s="66" t="n">
        <f aca="false">AG294-AF294</f>
        <v>9423.92233094847</v>
      </c>
      <c r="AH295" s="66" t="n">
        <f aca="false">AH294-AG294</f>
        <v>9329.68310763905</v>
      </c>
      <c r="AI295" s="66" t="n">
        <f aca="false">AI294-AH294</f>
        <v>9236.38627656261</v>
      </c>
      <c r="AJ295" s="66" t="n">
        <f aca="false">AJ294-AI294</f>
        <v>9144.02241379701</v>
      </c>
      <c r="AK295" s="66" t="n">
        <f aca="false">AK294-AJ294</f>
        <v>9052.58218965904</v>
      </c>
      <c r="AL295" s="66" t="n">
        <f aca="false">AL294-AK294</f>
        <v>8962.05636776245</v>
      </c>
      <c r="AM295" s="66" t="n">
        <f aca="false">AM294-AL294</f>
        <v>13886.0508055848</v>
      </c>
      <c r="AN295" s="66" t="n">
        <f aca="false">AN294-AM294</f>
        <v>13747.1902975289</v>
      </c>
      <c r="AO295" s="66" t="n">
        <f aca="false">AO294-AN294</f>
        <v>13609.7183945536</v>
      </c>
      <c r="AP295" s="66" t="n">
        <f aca="false">AP294-AO294</f>
        <v>13473.6212106082</v>
      </c>
      <c r="AQ295" s="66" t="n">
        <f aca="false">AQ294-AP294</f>
        <v>13338.884998502</v>
      </c>
      <c r="AR295" s="66" t="n">
        <f aca="false">AR294-AQ294</f>
        <v>13205.4961485171</v>
      </c>
      <c r="AS295" s="66" t="n">
        <f aca="false">AS294-AR294</f>
        <v>13073.4411870319</v>
      </c>
      <c r="AT295" s="66" t="n">
        <f aca="false">AT294-AS294</f>
        <v>12942.7067751615</v>
      </c>
      <c r="AU295" s="66" t="n">
        <f aca="false">AU294-AT294</f>
        <v>12813.2797074099</v>
      </c>
      <c r="AV295" s="66" t="n">
        <f aca="false">AV294-AU294</f>
        <v>12685.1469103359</v>
      </c>
      <c r="AW295" s="66" t="n">
        <f aca="false">AW294-AV294</f>
        <v>12558.2954412324</v>
      </c>
      <c r="AX295" s="66" t="n">
        <f aca="false">AX294-AW294</f>
        <v>12432.7124868202</v>
      </c>
      <c r="AY295" s="66" t="n">
        <f aca="false">AY294-AX294</f>
        <v>19780.4292171545</v>
      </c>
      <c r="AZ295" s="66" t="n">
        <f aca="false">AZ294-AY294</f>
        <v>19582.624924983</v>
      </c>
      <c r="BA295" s="66" t="n">
        <f aca="false">BA294-AZ294</f>
        <v>19386.7986757331</v>
      </c>
      <c r="BB295" s="66" t="n">
        <f aca="false">BB294-BA294</f>
        <v>19192.9306889758</v>
      </c>
      <c r="BC295" s="66" t="n">
        <f aca="false">BC294-BB294</f>
        <v>19001.001382086</v>
      </c>
      <c r="BD295" s="66" t="n">
        <f aca="false">BD294-BC294</f>
        <v>18810.991368265</v>
      </c>
      <c r="BE295" s="66" t="n">
        <f aca="false">BE294-BD294</f>
        <v>18622.8814545826</v>
      </c>
      <c r="BF295" s="66" t="n">
        <f aca="false">BF294-BE294</f>
        <v>18436.6526400367</v>
      </c>
      <c r="BG295" s="66" t="n">
        <f aca="false">BG294-BF294</f>
        <v>18252.2861136363</v>
      </c>
      <c r="BH295" s="66" t="n">
        <f aca="false">BH294-BG294</f>
        <v>18069.7632525</v>
      </c>
      <c r="BI295" s="66" t="n">
        <f aca="false">BI294-BH294</f>
        <v>17889.0656199749</v>
      </c>
      <c r="BJ295" s="66" t="n">
        <f aca="false">BJ294-BI294</f>
        <v>17710.1749637751</v>
      </c>
    </row>
    <row r="297" customFormat="false" ht="15.75" hidden="false" customHeight="true" outlineLevel="0" collapsed="false">
      <c r="A297" s="7" t="s">
        <v>420</v>
      </c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</row>
    <row r="298" customFormat="false" ht="15" hidden="false" customHeight="false" outlineLevel="0" collapsed="false">
      <c r="A298" s="4" t="s">
        <v>52</v>
      </c>
      <c r="C298" s="72" t="n">
        <f aca="false">C272-C277+C291+C292+C293+C295</f>
        <v>-60088.4816666667</v>
      </c>
      <c r="D298" s="72" t="n">
        <f aca="false">D272-D277+D291+D292+D293+D295</f>
        <v>-59985.2433738095</v>
      </c>
      <c r="E298" s="72" t="n">
        <f aca="false">E272-E277+E291+E292+E293+E295</f>
        <v>-55724.3847257857</v>
      </c>
      <c r="F298" s="72" t="n">
        <f aca="false">F272-F277+F291+F292+F293+F295</f>
        <v>-51505.5368456707</v>
      </c>
      <c r="G298" s="72" t="n">
        <f aca="false">G272-G277+G291+G292+G293+G295</f>
        <v>-47328.2915821569</v>
      </c>
      <c r="H298" s="72" t="n">
        <f aca="false">H272-H277+H291+H292+H293+H295</f>
        <v>-43192.2446263222</v>
      </c>
      <c r="I298" s="72" t="n">
        <f aca="false">I272-I277+I291+I292+I293+I295</f>
        <v>-39096.9954779889</v>
      </c>
      <c r="J298" s="72" t="n">
        <f aca="false">J272-J277+J291+J292+J293+J295</f>
        <v>-35042.1474123233</v>
      </c>
      <c r="K298" s="72" t="n">
        <f aca="false">K272-K277+K291+K292+K293+K295</f>
        <v>-31027.3074466748</v>
      </c>
      <c r="L298" s="72" t="n">
        <f aca="false">L272-L277+L291+L292+L293+L295</f>
        <v>-27052.0863076562</v>
      </c>
      <c r="M298" s="72" t="n">
        <f aca="false">M272-M277+M291+M292+M293+M295</f>
        <v>-23116.0983984617</v>
      </c>
      <c r="N298" s="72" t="n">
        <f aca="false">N272-N277+N291+N292+N293+N295</f>
        <v>-19218.9617664244</v>
      </c>
      <c r="O298" s="72" t="n">
        <f aca="false">O272-O277+O291+O292+O293+O295</f>
        <v>-48855.8239041447</v>
      </c>
      <c r="P298" s="72" t="n">
        <f aca="false">P272-P277+P291+P292+P293+P295</f>
        <v>-43377.0565306182</v>
      </c>
      <c r="Q298" s="72" t="n">
        <f aca="false">Q272-Q277+Q291+Q292+Q293+Q295</f>
        <v>-37878.6580911357</v>
      </c>
      <c r="R298" s="72" t="n">
        <f aca="false">R272-R277+R291+R292+R293+R295</f>
        <v>-32434.5729821029</v>
      </c>
      <c r="S298" s="72" t="n">
        <f aca="false">S272-S277+S291+S292+S293+S295</f>
        <v>-27044.2714832944</v>
      </c>
      <c r="T298" s="72" t="n">
        <f aca="false">T272-T277+T291+T292+T293+T295</f>
        <v>-21707.2289034251</v>
      </c>
      <c r="U298" s="72" t="n">
        <f aca="false">U272-U277+U291+U292+U293+U295</f>
        <v>-16422.9255352266</v>
      </c>
      <c r="V298" s="72" t="n">
        <f aca="false">V272-V277+V291+V292+V293+V295</f>
        <v>-11190.8466108649</v>
      </c>
      <c r="W298" s="72" t="n">
        <f aca="false">W272-W277+W291+W292+W293+W295</f>
        <v>-6010.48225769839</v>
      </c>
      <c r="X298" s="72" t="n">
        <f aca="false">X272-X277+X291+X292+X293+X295</f>
        <v>-881.327454376084</v>
      </c>
      <c r="Y298" s="72" t="n">
        <f aca="false">Y272-Y277+Y291+Y292+Y293+Y295</f>
        <v>4197.11801272656</v>
      </c>
      <c r="Z298" s="72" t="n">
        <f aca="false">Z272-Z277+Z291+Z292+Z293+Z295</f>
        <v>9225.34959273563</v>
      </c>
      <c r="AA298" s="72" t="n">
        <f aca="false">AA272-AA277+AA291+AA292+AA293+AA295</f>
        <v>-37759.2867743295</v>
      </c>
      <c r="AB298" s="72" t="n">
        <f aca="false">AB272-AB277+AB291+AB292+AB293+AB295</f>
        <v>-30408.2474453371</v>
      </c>
      <c r="AC298" s="72" t="n">
        <f aca="false">AC272-AC277+AC291+AC292+AC293+AC295</f>
        <v>-23021.6051563524</v>
      </c>
      <c r="AD298" s="72" t="n">
        <f aca="false">AD272-AD277+AD291+AD292+AD293+AD295</f>
        <v>-15708.0210790338</v>
      </c>
      <c r="AE298" s="72" t="n">
        <f aca="false">AE272-AE277+AE291+AE292+AE293+AE295</f>
        <v>-8466.78079548929</v>
      </c>
      <c r="AF298" s="72" t="n">
        <f aca="false">AF272-AF277+AF291+AF292+AF293+AF295</f>
        <v>-1297.176708721</v>
      </c>
      <c r="AG298" s="72" t="n">
        <f aca="false">AG272-AG277+AG291+AG292+AG293+AG295</f>
        <v>5801.49201911762</v>
      </c>
      <c r="AH298" s="72" t="n">
        <f aca="false">AH272-AH277+AH291+AH292+AH293+AH295</f>
        <v>12829.9195279772</v>
      </c>
      <c r="AI298" s="72" t="n">
        <f aca="false">AI272-AI277+AI291+AI292+AI293+AI295</f>
        <v>19788.7933206813</v>
      </c>
      <c r="AJ298" s="72" t="n">
        <f aca="false">AJ272-AJ277+AJ291+AJ292+AJ293+AJ295</f>
        <v>26678.7943232131</v>
      </c>
      <c r="AK298" s="72" t="n">
        <f aca="false">AK272-AK277+AK291+AK292+AK293+AK295</f>
        <v>33500.596944519</v>
      </c>
      <c r="AL298" s="72" t="n">
        <f aca="false">AL272-AL277+AL291+AL292+AL293+AL295</f>
        <v>40254.8691358355</v>
      </c>
      <c r="AM298" s="72" t="n">
        <f aca="false">AM272-AM277+AM291+AM292+AM293+AM295</f>
        <v>-33773.6620067748</v>
      </c>
      <c r="AN298" s="72" t="n">
        <f aca="false">AN272-AN277+AN291+AN292+AN293+AN295</f>
        <v>-23577.417244328</v>
      </c>
      <c r="AO298" s="72" t="n">
        <f aca="false">AO272-AO277+AO291+AO292+AO293+AO295</f>
        <v>-13321.3639574819</v>
      </c>
      <c r="AP298" s="72" t="n">
        <f aca="false">AP272-AP277+AP291+AP292+AP293+AP295</f>
        <v>-3166.83851871212</v>
      </c>
      <c r="AQ298" s="72" t="n">
        <f aca="false">AQ272-AQ277+AQ291+AQ292+AQ293+AQ295</f>
        <v>6887.15369676613</v>
      </c>
      <c r="AR298" s="72" t="n">
        <f aca="false">AR272-AR277+AR291+AR292+AR293+AR295</f>
        <v>16841.597780564</v>
      </c>
      <c r="AS298" s="72" t="n">
        <f aca="false">AS272-AS277+AS291+AS292+AS293+AS295</f>
        <v>26697.4693781886</v>
      </c>
      <c r="AT298" s="72" t="n">
        <f aca="false">AT272-AT277+AT291+AT292+AT293+AT295</f>
        <v>36455.7347754085</v>
      </c>
      <c r="AU298" s="72" t="n">
        <f aca="false">AU272-AU277+AU291+AU292+AU293+AU295</f>
        <v>46117.3509839164</v>
      </c>
      <c r="AV298" s="72" t="n">
        <f aca="false">AV272-AV277+AV291+AV292+AV293+AV295</f>
        <v>55683.2658262941</v>
      </c>
      <c r="AW298" s="72" t="n">
        <f aca="false">AW272-AW277+AW291+AW292+AW293+AW295</f>
        <v>65154.4180202836</v>
      </c>
      <c r="AX298" s="72" t="n">
        <f aca="false">AX272-AX277+AX291+AX292+AX293+AX295</f>
        <v>74531.7372623687</v>
      </c>
      <c r="AY298" s="72" t="n">
        <f aca="false">AY272-AY277+AY291+AY292+AY293+AY295</f>
        <v>-41680.9674421852</v>
      </c>
      <c r="AZ298" s="72" t="n">
        <f aca="false">AZ272-AZ277+AZ291+AZ292+AZ293+AZ295</f>
        <v>-27159.188392635</v>
      </c>
      <c r="BA298" s="72" t="n">
        <f aca="false">BA272-BA277+BA291+BA292+BA293+BA295</f>
        <v>-12540.3951878239</v>
      </c>
      <c r="BB298" s="72" t="n">
        <f aca="false">BB272-BB277+BB291+BB292+BB293+BB295</f>
        <v>1933.58882523</v>
      </c>
      <c r="BC298" s="72" t="n">
        <f aca="false">BC272-BC277+BC291+BC292+BC293+BC295</f>
        <v>16264.1841636385</v>
      </c>
      <c r="BD298" s="72" t="n">
        <f aca="false">BD272-BD277+BD291+BD292+BD293+BD295</f>
        <v>30452.7976908383</v>
      </c>
      <c r="BE298" s="72" t="n">
        <f aca="false">BE272-BE277+BE291+BE292+BE293+BE295</f>
        <v>44500.8227420984</v>
      </c>
      <c r="BF298" s="72" t="n">
        <f aca="false">BF272-BF277+BF291+BF292+BF293+BF295</f>
        <v>58409.6392489909</v>
      </c>
      <c r="BG298" s="72" t="n">
        <f aca="false">BG272-BG277+BG291+BG292+BG293+BG295</f>
        <v>72180.613862837</v>
      </c>
      <c r="BH298" s="72" t="n">
        <f aca="false">BH272-BH277+BH291+BH292+BH293+BH295</f>
        <v>85815.1000771266</v>
      </c>
      <c r="BI298" s="72" t="n">
        <f aca="false">BI272-BI277+BI291+BI292+BI293+BI295</f>
        <v>99314.4383489235</v>
      </c>
      <c r="BJ298" s="72" t="n">
        <f aca="false">BJ272-BJ277+BJ291+BJ292+BJ293+BJ295</f>
        <v>112679.95621926</v>
      </c>
    </row>
    <row r="299" customFormat="false" ht="15" hidden="false" customHeight="false" outlineLevel="0" collapsed="false">
      <c r="A299" s="6" t="s">
        <v>421</v>
      </c>
      <c r="C299" s="66" t="n">
        <f aca="false">-C275</f>
        <v>-20000</v>
      </c>
      <c r="D299" s="66" t="n">
        <f aca="false">-D275</f>
        <v>-0</v>
      </c>
      <c r="E299" s="66" t="n">
        <f aca="false">-E275</f>
        <v>-0</v>
      </c>
      <c r="F299" s="66" t="n">
        <f aca="false">-F275</f>
        <v>-0</v>
      </c>
      <c r="G299" s="66" t="n">
        <f aca="false">-G275</f>
        <v>-0</v>
      </c>
      <c r="H299" s="66" t="n">
        <f aca="false">-H275</f>
        <v>-0</v>
      </c>
      <c r="I299" s="66" t="n">
        <f aca="false">-I275</f>
        <v>-0</v>
      </c>
      <c r="J299" s="66" t="n">
        <f aca="false">-J275</f>
        <v>-0</v>
      </c>
      <c r="K299" s="66" t="n">
        <f aca="false">-K275</f>
        <v>-0</v>
      </c>
      <c r="L299" s="66" t="n">
        <f aca="false">-L275</f>
        <v>-0</v>
      </c>
      <c r="M299" s="66" t="n">
        <f aca="false">-M275</f>
        <v>-0</v>
      </c>
      <c r="N299" s="66" t="n">
        <f aca="false">-N275</f>
        <v>-0</v>
      </c>
      <c r="O299" s="66" t="n">
        <f aca="false">-O275</f>
        <v>-0</v>
      </c>
      <c r="P299" s="66" t="n">
        <f aca="false">-P275</f>
        <v>-0</v>
      </c>
      <c r="Q299" s="66" t="n">
        <f aca="false">-Q275</f>
        <v>-0</v>
      </c>
      <c r="R299" s="66" t="n">
        <f aca="false">-R275</f>
        <v>-0</v>
      </c>
      <c r="S299" s="66" t="n">
        <f aca="false">-S275</f>
        <v>-0</v>
      </c>
      <c r="T299" s="66" t="n">
        <f aca="false">-T275</f>
        <v>-0</v>
      </c>
      <c r="U299" s="66" t="n">
        <f aca="false">-U275</f>
        <v>-0</v>
      </c>
      <c r="V299" s="66" t="n">
        <f aca="false">-V275</f>
        <v>-0</v>
      </c>
      <c r="W299" s="66" t="n">
        <f aca="false">-W275</f>
        <v>-0</v>
      </c>
      <c r="X299" s="66" t="n">
        <f aca="false">-X275</f>
        <v>-0</v>
      </c>
      <c r="Y299" s="66" t="n">
        <f aca="false">-Y275</f>
        <v>-0</v>
      </c>
      <c r="Z299" s="66" t="n">
        <f aca="false">-Z275</f>
        <v>-0</v>
      </c>
      <c r="AA299" s="66" t="n">
        <f aca="false">-AA275</f>
        <v>-0</v>
      </c>
      <c r="AB299" s="66" t="n">
        <f aca="false">-AB275</f>
        <v>-0</v>
      </c>
      <c r="AC299" s="66" t="n">
        <f aca="false">-AC275</f>
        <v>-0</v>
      </c>
      <c r="AD299" s="66" t="n">
        <f aca="false">-AD275</f>
        <v>-0</v>
      </c>
      <c r="AE299" s="66" t="n">
        <f aca="false">-AE275</f>
        <v>-0</v>
      </c>
      <c r="AF299" s="66" t="n">
        <f aca="false">-AF275</f>
        <v>-0</v>
      </c>
      <c r="AG299" s="66" t="n">
        <f aca="false">-AG275</f>
        <v>-0</v>
      </c>
      <c r="AH299" s="66" t="n">
        <f aca="false">-AH275</f>
        <v>-0</v>
      </c>
      <c r="AI299" s="66" t="n">
        <f aca="false">-AI275</f>
        <v>-0</v>
      </c>
      <c r="AJ299" s="66" t="n">
        <f aca="false">-AJ275</f>
        <v>-0</v>
      </c>
      <c r="AK299" s="66" t="n">
        <f aca="false">-AK275</f>
        <v>-0</v>
      </c>
      <c r="AL299" s="66" t="n">
        <f aca="false">-AL275</f>
        <v>-0</v>
      </c>
      <c r="AM299" s="66" t="n">
        <f aca="false">-AM275</f>
        <v>-0</v>
      </c>
      <c r="AN299" s="66" t="n">
        <f aca="false">-AN275</f>
        <v>-0</v>
      </c>
      <c r="AO299" s="66" t="n">
        <f aca="false">-AO275</f>
        <v>-0</v>
      </c>
      <c r="AP299" s="66" t="n">
        <f aca="false">-AP275</f>
        <v>-0</v>
      </c>
      <c r="AQ299" s="66" t="n">
        <f aca="false">-AQ275</f>
        <v>-0</v>
      </c>
      <c r="AR299" s="66" t="n">
        <f aca="false">-AR275</f>
        <v>-0</v>
      </c>
      <c r="AS299" s="66" t="n">
        <f aca="false">-AS275</f>
        <v>-0</v>
      </c>
      <c r="AT299" s="66" t="n">
        <f aca="false">-AT275</f>
        <v>-0</v>
      </c>
      <c r="AU299" s="66" t="n">
        <f aca="false">-AU275</f>
        <v>-0</v>
      </c>
      <c r="AV299" s="66" t="n">
        <f aca="false">-AV275</f>
        <v>-0</v>
      </c>
      <c r="AW299" s="66" t="n">
        <f aca="false">-AW275</f>
        <v>-0</v>
      </c>
      <c r="AX299" s="66" t="n">
        <f aca="false">-AX275</f>
        <v>-0</v>
      </c>
      <c r="AY299" s="66" t="n">
        <f aca="false">-AY275</f>
        <v>-0</v>
      </c>
      <c r="AZ299" s="66" t="n">
        <f aca="false">-AZ275</f>
        <v>-0</v>
      </c>
      <c r="BA299" s="66" t="n">
        <f aca="false">-BA275</f>
        <v>-0</v>
      </c>
      <c r="BB299" s="66" t="n">
        <f aca="false">-BB275</f>
        <v>-0</v>
      </c>
      <c r="BC299" s="66" t="n">
        <f aca="false">-BC275</f>
        <v>-0</v>
      </c>
      <c r="BD299" s="66" t="n">
        <f aca="false">-BD275</f>
        <v>-0</v>
      </c>
      <c r="BE299" s="66" t="n">
        <f aca="false">-BE275</f>
        <v>-0</v>
      </c>
      <c r="BF299" s="66" t="n">
        <f aca="false">-BF275</f>
        <v>-0</v>
      </c>
      <c r="BG299" s="66" t="n">
        <f aca="false">-BG275</f>
        <v>-0</v>
      </c>
      <c r="BH299" s="66" t="n">
        <f aca="false">-BH275</f>
        <v>-0</v>
      </c>
      <c r="BI299" s="66" t="n">
        <f aca="false">-BI275</f>
        <v>-0</v>
      </c>
      <c r="BJ299" s="66" t="n">
        <f aca="false">-BJ275</f>
        <v>-0</v>
      </c>
    </row>
    <row r="300" customFormat="false" ht="15" hidden="false" customHeight="false" outlineLevel="0" collapsed="false">
      <c r="A300" s="6" t="s">
        <v>63</v>
      </c>
      <c r="C300" s="66" t="n">
        <f aca="false">IF(C$232=1,Inputs!$D$46,0)</f>
        <v>3000000</v>
      </c>
      <c r="D300" s="66" t="n">
        <f aca="false">IF(D$232=1,Inputs!$D$46,0)</f>
        <v>0</v>
      </c>
      <c r="E300" s="66" t="n">
        <f aca="false">IF(E$232=1,Inputs!$D$46,0)</f>
        <v>0</v>
      </c>
      <c r="F300" s="66" t="n">
        <f aca="false">IF(F$232=1,Inputs!$D$46,0)</f>
        <v>0</v>
      </c>
      <c r="G300" s="66" t="n">
        <f aca="false">IF(G$232=1,Inputs!$D$46,0)</f>
        <v>0</v>
      </c>
      <c r="H300" s="66" t="n">
        <f aca="false">IF(H$232=1,Inputs!$D$46,0)</f>
        <v>0</v>
      </c>
      <c r="I300" s="66" t="n">
        <f aca="false">IF(I$232=1,Inputs!$D$46,0)</f>
        <v>0</v>
      </c>
      <c r="J300" s="66" t="n">
        <f aca="false">IF(J$232=1,Inputs!$D$46,0)</f>
        <v>0</v>
      </c>
      <c r="K300" s="66" t="n">
        <f aca="false">IF(K$232=1,Inputs!$D$46,0)</f>
        <v>0</v>
      </c>
      <c r="L300" s="66" t="n">
        <f aca="false">IF(L$232=1,Inputs!$D$46,0)</f>
        <v>0</v>
      </c>
      <c r="M300" s="66" t="n">
        <f aca="false">IF(M$232=1,Inputs!$D$46,0)</f>
        <v>0</v>
      </c>
      <c r="N300" s="66" t="n">
        <f aca="false">IF(N$232=1,Inputs!$D$46,0)</f>
        <v>0</v>
      </c>
      <c r="O300" s="66" t="n">
        <f aca="false">IF(O$232=1,Inputs!$D$46,0)</f>
        <v>0</v>
      </c>
      <c r="P300" s="66" t="n">
        <f aca="false">IF(P$232=1,Inputs!$D$46,0)</f>
        <v>0</v>
      </c>
      <c r="Q300" s="66" t="n">
        <f aca="false">IF(Q$232=1,Inputs!$D$46,0)</f>
        <v>0</v>
      </c>
      <c r="R300" s="66" t="n">
        <f aca="false">IF(R$232=1,Inputs!$D$46,0)</f>
        <v>0</v>
      </c>
      <c r="S300" s="66" t="n">
        <f aca="false">IF(S$232=1,Inputs!$D$46,0)</f>
        <v>0</v>
      </c>
      <c r="T300" s="66" t="n">
        <f aca="false">IF(T$232=1,Inputs!$D$46,0)</f>
        <v>0</v>
      </c>
      <c r="U300" s="66" t="n">
        <f aca="false">IF(U$232=1,Inputs!$D$46,0)</f>
        <v>0</v>
      </c>
      <c r="V300" s="66" t="n">
        <f aca="false">IF(V$232=1,Inputs!$D$46,0)</f>
        <v>0</v>
      </c>
      <c r="W300" s="66" t="n">
        <f aca="false">IF(W$232=1,Inputs!$D$46,0)</f>
        <v>0</v>
      </c>
      <c r="X300" s="66" t="n">
        <f aca="false">IF(X$232=1,Inputs!$D$46,0)</f>
        <v>0</v>
      </c>
      <c r="Y300" s="66" t="n">
        <f aca="false">IF(Y$232=1,Inputs!$D$46,0)</f>
        <v>0</v>
      </c>
      <c r="Z300" s="66" t="n">
        <f aca="false">IF(Z$232=1,Inputs!$D$46,0)</f>
        <v>0</v>
      </c>
      <c r="AA300" s="66" t="n">
        <f aca="false">IF(AA$232=1,Inputs!$D$46,0)</f>
        <v>0</v>
      </c>
      <c r="AB300" s="66" t="n">
        <f aca="false">IF(AB$232=1,Inputs!$D$46,0)</f>
        <v>0</v>
      </c>
      <c r="AC300" s="66" t="n">
        <f aca="false">IF(AC$232=1,Inputs!$D$46,0)</f>
        <v>0</v>
      </c>
      <c r="AD300" s="66" t="n">
        <f aca="false">IF(AD$232=1,Inputs!$D$46,0)</f>
        <v>0</v>
      </c>
      <c r="AE300" s="66" t="n">
        <f aca="false">IF(AE$232=1,Inputs!$D$46,0)</f>
        <v>0</v>
      </c>
      <c r="AF300" s="66" t="n">
        <f aca="false">IF(AF$232=1,Inputs!$D$46,0)</f>
        <v>0</v>
      </c>
      <c r="AG300" s="66" t="n">
        <f aca="false">IF(AG$232=1,Inputs!$D$46,0)</f>
        <v>0</v>
      </c>
      <c r="AH300" s="66" t="n">
        <f aca="false">IF(AH$232=1,Inputs!$D$46,0)</f>
        <v>0</v>
      </c>
      <c r="AI300" s="66" t="n">
        <f aca="false">IF(AI$232=1,Inputs!$D$46,0)</f>
        <v>0</v>
      </c>
      <c r="AJ300" s="66" t="n">
        <f aca="false">IF(AJ$232=1,Inputs!$D$46,0)</f>
        <v>0</v>
      </c>
      <c r="AK300" s="66" t="n">
        <f aca="false">IF(AK$232=1,Inputs!$D$46,0)</f>
        <v>0</v>
      </c>
      <c r="AL300" s="66" t="n">
        <f aca="false">IF(AL$232=1,Inputs!$D$46,0)</f>
        <v>0</v>
      </c>
      <c r="AM300" s="66" t="n">
        <f aca="false">IF(AM$232=1,Inputs!$D$46,0)</f>
        <v>0</v>
      </c>
      <c r="AN300" s="66" t="n">
        <f aca="false">IF(AN$232=1,Inputs!$D$46,0)</f>
        <v>0</v>
      </c>
      <c r="AO300" s="66" t="n">
        <f aca="false">IF(AO$232=1,Inputs!$D$46,0)</f>
        <v>0</v>
      </c>
      <c r="AP300" s="66" t="n">
        <f aca="false">IF(AP$232=1,Inputs!$D$46,0)</f>
        <v>0</v>
      </c>
      <c r="AQ300" s="66" t="n">
        <f aca="false">IF(AQ$232=1,Inputs!$D$46,0)</f>
        <v>0</v>
      </c>
      <c r="AR300" s="66" t="n">
        <f aca="false">IF(AR$232=1,Inputs!$D$46,0)</f>
        <v>0</v>
      </c>
      <c r="AS300" s="66" t="n">
        <f aca="false">IF(AS$232=1,Inputs!$D$46,0)</f>
        <v>0</v>
      </c>
      <c r="AT300" s="66" t="n">
        <f aca="false">IF(AT$232=1,Inputs!$D$46,0)</f>
        <v>0</v>
      </c>
      <c r="AU300" s="66" t="n">
        <f aca="false">IF(AU$232=1,Inputs!$D$46,0)</f>
        <v>0</v>
      </c>
      <c r="AV300" s="66" t="n">
        <f aca="false">IF(AV$232=1,Inputs!$D$46,0)</f>
        <v>0</v>
      </c>
      <c r="AW300" s="66" t="n">
        <f aca="false">IF(AW$232=1,Inputs!$D$46,0)</f>
        <v>0</v>
      </c>
      <c r="AX300" s="66" t="n">
        <f aca="false">IF(AX$232=1,Inputs!$D$46,0)</f>
        <v>0</v>
      </c>
      <c r="AY300" s="66" t="n">
        <f aca="false">IF(AY$232=1,Inputs!$D$46,0)</f>
        <v>0</v>
      </c>
      <c r="AZ300" s="66" t="n">
        <f aca="false">IF(AZ$232=1,Inputs!$D$46,0)</f>
        <v>0</v>
      </c>
      <c r="BA300" s="66" t="n">
        <f aca="false">IF(BA$232=1,Inputs!$D$46,0)</f>
        <v>0</v>
      </c>
      <c r="BB300" s="66" t="n">
        <f aca="false">IF(BB$232=1,Inputs!$D$46,0)</f>
        <v>0</v>
      </c>
      <c r="BC300" s="66" t="n">
        <f aca="false">IF(BC$232=1,Inputs!$D$46,0)</f>
        <v>0</v>
      </c>
      <c r="BD300" s="66" t="n">
        <f aca="false">IF(BD$232=1,Inputs!$D$46,0)</f>
        <v>0</v>
      </c>
      <c r="BE300" s="66" t="n">
        <f aca="false">IF(BE$232=1,Inputs!$D$46,0)</f>
        <v>0</v>
      </c>
      <c r="BF300" s="66" t="n">
        <f aca="false">IF(BF$232=1,Inputs!$D$46,0)</f>
        <v>0</v>
      </c>
      <c r="BG300" s="66" t="n">
        <f aca="false">IF(BG$232=1,Inputs!$D$46,0)</f>
        <v>0</v>
      </c>
      <c r="BH300" s="66" t="n">
        <f aca="false">IF(BH$232=1,Inputs!$D$46,0)</f>
        <v>0</v>
      </c>
      <c r="BI300" s="66" t="n">
        <f aca="false">IF(BI$232=1,Inputs!$D$46,0)</f>
        <v>0</v>
      </c>
      <c r="BJ300" s="66" t="n">
        <f aca="false">IF(BJ$232=1,Inputs!$D$46,0)</f>
        <v>0</v>
      </c>
    </row>
    <row r="301" customFormat="false" ht="15" hidden="false" customHeight="false" outlineLevel="0" collapsed="false">
      <c r="A301" s="6" t="s">
        <v>54</v>
      </c>
      <c r="C301" s="66" t="n">
        <f aca="false">C300+C283+C284</f>
        <v>3000000</v>
      </c>
      <c r="D301" s="66" t="n">
        <f aca="false">D300+D283+D284</f>
        <v>0</v>
      </c>
      <c r="E301" s="66" t="n">
        <f aca="false">E300+E283+E284</f>
        <v>0</v>
      </c>
      <c r="F301" s="66" t="n">
        <f aca="false">F300+F283+F284</f>
        <v>0</v>
      </c>
      <c r="G301" s="66" t="n">
        <f aca="false">G300+G283+G284</f>
        <v>0</v>
      </c>
      <c r="H301" s="66" t="n">
        <f aca="false">H300+H283+H284</f>
        <v>0</v>
      </c>
      <c r="I301" s="66" t="n">
        <f aca="false">I300+I283+I284</f>
        <v>0</v>
      </c>
      <c r="J301" s="66" t="n">
        <f aca="false">J300+J283+J284</f>
        <v>0</v>
      </c>
      <c r="K301" s="66" t="n">
        <f aca="false">K300+K283+K284</f>
        <v>0</v>
      </c>
      <c r="L301" s="66" t="n">
        <f aca="false">L300+L283+L284</f>
        <v>0</v>
      </c>
      <c r="M301" s="66" t="n">
        <f aca="false">M300+M283+M284</f>
        <v>0</v>
      </c>
      <c r="N301" s="66" t="n">
        <f aca="false">N300+N283+N284</f>
        <v>0</v>
      </c>
      <c r="O301" s="66" t="n">
        <f aca="false">O300+O283+O284</f>
        <v>0</v>
      </c>
      <c r="P301" s="66" t="n">
        <f aca="false">P300+P283+P284</f>
        <v>0</v>
      </c>
      <c r="Q301" s="66" t="n">
        <f aca="false">Q300+Q283+Q284</f>
        <v>0</v>
      </c>
      <c r="R301" s="66" t="n">
        <f aca="false">R300+R283+R284</f>
        <v>0</v>
      </c>
      <c r="S301" s="66" t="n">
        <f aca="false">S300+S283+S284</f>
        <v>0</v>
      </c>
      <c r="T301" s="66" t="n">
        <f aca="false">T300+T283+T284</f>
        <v>0</v>
      </c>
      <c r="U301" s="66" t="n">
        <f aca="false">U300+U283+U284</f>
        <v>0</v>
      </c>
      <c r="V301" s="66" t="n">
        <f aca="false">V300+V283+V284</f>
        <v>0</v>
      </c>
      <c r="W301" s="66" t="n">
        <f aca="false">W300+W283+W284</f>
        <v>0</v>
      </c>
      <c r="X301" s="66" t="n">
        <f aca="false">X300+X283+X284</f>
        <v>0</v>
      </c>
      <c r="Y301" s="66" t="n">
        <f aca="false">Y300+Y283+Y284</f>
        <v>0</v>
      </c>
      <c r="Z301" s="66" t="n">
        <f aca="false">Z300+Z283+Z284</f>
        <v>0</v>
      </c>
      <c r="AA301" s="66" t="n">
        <f aca="false">AA300+AA283+AA284</f>
        <v>0</v>
      </c>
      <c r="AB301" s="66" t="n">
        <f aca="false">AB300+AB283+AB284</f>
        <v>0</v>
      </c>
      <c r="AC301" s="66" t="n">
        <f aca="false">AC300+AC283+AC284</f>
        <v>0</v>
      </c>
      <c r="AD301" s="66" t="n">
        <f aca="false">AD300+AD283+AD284</f>
        <v>0</v>
      </c>
      <c r="AE301" s="66" t="n">
        <f aca="false">AE300+AE283+AE284</f>
        <v>0</v>
      </c>
      <c r="AF301" s="66" t="n">
        <f aca="false">AF300+AF283+AF284</f>
        <v>0</v>
      </c>
      <c r="AG301" s="66" t="n">
        <f aca="false">AG300+AG283+AG284</f>
        <v>0</v>
      </c>
      <c r="AH301" s="66" t="n">
        <f aca="false">AH300+AH283+AH284</f>
        <v>0</v>
      </c>
      <c r="AI301" s="66" t="n">
        <f aca="false">AI300+AI283+AI284</f>
        <v>0</v>
      </c>
      <c r="AJ301" s="66" t="n">
        <f aca="false">AJ300+AJ283+AJ284</f>
        <v>0</v>
      </c>
      <c r="AK301" s="66" t="n">
        <f aca="false">AK300+AK283+AK284</f>
        <v>0</v>
      </c>
      <c r="AL301" s="66" t="n">
        <f aca="false">AL300+AL283+AL284</f>
        <v>0</v>
      </c>
      <c r="AM301" s="66" t="n">
        <f aca="false">AM300+AM283+AM284</f>
        <v>0</v>
      </c>
      <c r="AN301" s="66" t="n">
        <f aca="false">AN300+AN283+AN284</f>
        <v>0</v>
      </c>
      <c r="AO301" s="66" t="n">
        <f aca="false">AO300+AO283+AO284</f>
        <v>0</v>
      </c>
      <c r="AP301" s="66" t="n">
        <f aca="false">AP300+AP283+AP284</f>
        <v>0</v>
      </c>
      <c r="AQ301" s="66" t="n">
        <f aca="false">AQ300+AQ283+AQ284</f>
        <v>0</v>
      </c>
      <c r="AR301" s="66" t="n">
        <f aca="false">AR300+AR283+AR284</f>
        <v>0</v>
      </c>
      <c r="AS301" s="66" t="n">
        <f aca="false">AS300+AS283+AS284</f>
        <v>0</v>
      </c>
      <c r="AT301" s="66" t="n">
        <f aca="false">AT300+AT283+AT284</f>
        <v>0</v>
      </c>
      <c r="AU301" s="66" t="n">
        <f aca="false">AU300+AU283+AU284</f>
        <v>0</v>
      </c>
      <c r="AV301" s="66" t="n">
        <f aca="false">AV300+AV283+AV284</f>
        <v>0</v>
      </c>
      <c r="AW301" s="66" t="n">
        <f aca="false">AW300+AW283+AW284</f>
        <v>0</v>
      </c>
      <c r="AX301" s="66" t="n">
        <f aca="false">AX300+AX283+AX284</f>
        <v>0</v>
      </c>
      <c r="AY301" s="66" t="n">
        <f aca="false">AY300+AY283+AY284</f>
        <v>0</v>
      </c>
      <c r="AZ301" s="66" t="n">
        <f aca="false">AZ300+AZ283+AZ284</f>
        <v>0</v>
      </c>
      <c r="BA301" s="66" t="n">
        <f aca="false">BA300+BA283+BA284</f>
        <v>0</v>
      </c>
      <c r="BB301" s="66" t="n">
        <f aca="false">BB300+BB283+BB284</f>
        <v>0</v>
      </c>
      <c r="BC301" s="66" t="n">
        <f aca="false">BC300+BC283+BC284</f>
        <v>0</v>
      </c>
      <c r="BD301" s="66" t="n">
        <f aca="false">BD300+BD283+BD284</f>
        <v>0</v>
      </c>
      <c r="BE301" s="66" t="n">
        <f aca="false">BE300+BE283+BE284</f>
        <v>0</v>
      </c>
      <c r="BF301" s="66" t="n">
        <f aca="false">BF300+BF283+BF284</f>
        <v>0</v>
      </c>
      <c r="BG301" s="66" t="n">
        <f aca="false">BG300+BG283+BG284</f>
        <v>0</v>
      </c>
      <c r="BH301" s="66" t="n">
        <f aca="false">BH300+BH283+BH284</f>
        <v>0</v>
      </c>
      <c r="BI301" s="66" t="n">
        <f aca="false">BI300+BI283+BI284</f>
        <v>0</v>
      </c>
      <c r="BJ301" s="66" t="n">
        <f aca="false">BJ300+BJ283+BJ284</f>
        <v>0</v>
      </c>
    </row>
    <row r="302" customFormat="false" ht="15" hidden="false" customHeight="false" outlineLevel="0" collapsed="false">
      <c r="A302" s="111" t="s">
        <v>422</v>
      </c>
      <c r="C302" s="67" t="n">
        <f aca="false">C298+C299+C301</f>
        <v>2919911.51833333</v>
      </c>
      <c r="D302" s="67" t="n">
        <f aca="false">D298+D299+D301</f>
        <v>-59985.2433738095</v>
      </c>
      <c r="E302" s="67" t="n">
        <f aca="false">E298+E299+E301</f>
        <v>-55724.3847257857</v>
      </c>
      <c r="F302" s="67" t="n">
        <f aca="false">F298+F299+F301</f>
        <v>-51505.5368456707</v>
      </c>
      <c r="G302" s="67" t="n">
        <f aca="false">G298+G299+G301</f>
        <v>-47328.2915821569</v>
      </c>
      <c r="H302" s="67" t="n">
        <f aca="false">H298+H299+H301</f>
        <v>-43192.2446263222</v>
      </c>
      <c r="I302" s="67" t="n">
        <f aca="false">I298+I299+I301</f>
        <v>-39096.9954779889</v>
      </c>
      <c r="J302" s="67" t="n">
        <f aca="false">J298+J299+J301</f>
        <v>-35042.1474123233</v>
      </c>
      <c r="K302" s="67" t="n">
        <f aca="false">K298+K299+K301</f>
        <v>-31027.3074466748</v>
      </c>
      <c r="L302" s="67" t="n">
        <f aca="false">L298+L299+L301</f>
        <v>-27052.0863076562</v>
      </c>
      <c r="M302" s="67" t="n">
        <f aca="false">M298+M299+M301</f>
        <v>-23116.0983984617</v>
      </c>
      <c r="N302" s="67" t="n">
        <f aca="false">N298+N299+N301</f>
        <v>-19218.9617664244</v>
      </c>
      <c r="O302" s="67" t="n">
        <f aca="false">O298+O299+O301</f>
        <v>-48855.8239041447</v>
      </c>
      <c r="P302" s="67" t="n">
        <f aca="false">P298+P299+P301</f>
        <v>-43377.0565306182</v>
      </c>
      <c r="Q302" s="67" t="n">
        <f aca="false">Q298+Q299+Q301</f>
        <v>-37878.6580911357</v>
      </c>
      <c r="R302" s="67" t="n">
        <f aca="false">R298+R299+R301</f>
        <v>-32434.5729821029</v>
      </c>
      <c r="S302" s="67" t="n">
        <f aca="false">S298+S299+S301</f>
        <v>-27044.2714832944</v>
      </c>
      <c r="T302" s="67" t="n">
        <f aca="false">T298+T299+T301</f>
        <v>-21707.2289034251</v>
      </c>
      <c r="U302" s="67" t="n">
        <f aca="false">U298+U299+U301</f>
        <v>-16422.9255352266</v>
      </c>
      <c r="V302" s="67" t="n">
        <f aca="false">V298+V299+V301</f>
        <v>-11190.8466108649</v>
      </c>
      <c r="W302" s="67" t="n">
        <f aca="false">W298+W299+W301</f>
        <v>-6010.48225769839</v>
      </c>
      <c r="X302" s="67" t="n">
        <f aca="false">X298+X299+X301</f>
        <v>-881.327454376084</v>
      </c>
      <c r="Y302" s="67" t="n">
        <f aca="false">Y298+Y299+Y301</f>
        <v>4197.11801272656</v>
      </c>
      <c r="Z302" s="67" t="n">
        <f aca="false">Z298+Z299+Z301</f>
        <v>9225.34959273563</v>
      </c>
      <c r="AA302" s="67" t="n">
        <f aca="false">AA298+AA299+AA301</f>
        <v>-37759.2867743295</v>
      </c>
      <c r="AB302" s="67" t="n">
        <f aca="false">AB298+AB299+AB301</f>
        <v>-30408.2474453371</v>
      </c>
      <c r="AC302" s="67" t="n">
        <f aca="false">AC298+AC299+AC301</f>
        <v>-23021.6051563524</v>
      </c>
      <c r="AD302" s="67" t="n">
        <f aca="false">AD298+AD299+AD301</f>
        <v>-15708.0210790338</v>
      </c>
      <c r="AE302" s="67" t="n">
        <f aca="false">AE298+AE299+AE301</f>
        <v>-8466.78079548929</v>
      </c>
      <c r="AF302" s="67" t="n">
        <f aca="false">AF298+AF299+AF301</f>
        <v>-1297.176708721</v>
      </c>
      <c r="AG302" s="67" t="n">
        <f aca="false">AG298+AG299+AG301</f>
        <v>5801.49201911762</v>
      </c>
      <c r="AH302" s="67" t="n">
        <f aca="false">AH298+AH299+AH301</f>
        <v>12829.9195279772</v>
      </c>
      <c r="AI302" s="67" t="n">
        <f aca="false">AI298+AI299+AI301</f>
        <v>19788.7933206813</v>
      </c>
      <c r="AJ302" s="67" t="n">
        <f aca="false">AJ298+AJ299+AJ301</f>
        <v>26678.7943232131</v>
      </c>
      <c r="AK302" s="67" t="n">
        <f aca="false">AK298+AK299+AK301</f>
        <v>33500.596944519</v>
      </c>
      <c r="AL302" s="67" t="n">
        <f aca="false">AL298+AL299+AL301</f>
        <v>40254.8691358355</v>
      </c>
      <c r="AM302" s="67" t="n">
        <f aca="false">AM298+AM299+AM301</f>
        <v>-33773.6620067748</v>
      </c>
      <c r="AN302" s="67" t="n">
        <f aca="false">AN298+AN299+AN301</f>
        <v>-23577.417244328</v>
      </c>
      <c r="AO302" s="67" t="n">
        <f aca="false">AO298+AO299+AO301</f>
        <v>-13321.3639574819</v>
      </c>
      <c r="AP302" s="67" t="n">
        <f aca="false">AP298+AP299+AP301</f>
        <v>-3166.83851871212</v>
      </c>
      <c r="AQ302" s="67" t="n">
        <f aca="false">AQ298+AQ299+AQ301</f>
        <v>6887.15369676613</v>
      </c>
      <c r="AR302" s="67" t="n">
        <f aca="false">AR298+AR299+AR301</f>
        <v>16841.597780564</v>
      </c>
      <c r="AS302" s="67" t="n">
        <f aca="false">AS298+AS299+AS301</f>
        <v>26697.4693781886</v>
      </c>
      <c r="AT302" s="67" t="n">
        <f aca="false">AT298+AT299+AT301</f>
        <v>36455.7347754085</v>
      </c>
      <c r="AU302" s="67" t="n">
        <f aca="false">AU298+AU299+AU301</f>
        <v>46117.3509839164</v>
      </c>
      <c r="AV302" s="67" t="n">
        <f aca="false">AV298+AV299+AV301</f>
        <v>55683.2658262941</v>
      </c>
      <c r="AW302" s="67" t="n">
        <f aca="false">AW298+AW299+AW301</f>
        <v>65154.4180202836</v>
      </c>
      <c r="AX302" s="67" t="n">
        <f aca="false">AX298+AX299+AX301</f>
        <v>74531.7372623687</v>
      </c>
      <c r="AY302" s="67" t="n">
        <f aca="false">AY298+AY299+AY301</f>
        <v>-41680.9674421852</v>
      </c>
      <c r="AZ302" s="67" t="n">
        <f aca="false">AZ298+AZ299+AZ301</f>
        <v>-27159.188392635</v>
      </c>
      <c r="BA302" s="67" t="n">
        <f aca="false">BA298+BA299+BA301</f>
        <v>-12540.3951878239</v>
      </c>
      <c r="BB302" s="67" t="n">
        <f aca="false">BB298+BB299+BB301</f>
        <v>1933.58882523</v>
      </c>
      <c r="BC302" s="67" t="n">
        <f aca="false">BC298+BC299+BC301</f>
        <v>16264.1841636385</v>
      </c>
      <c r="BD302" s="67" t="n">
        <f aca="false">BD298+BD299+BD301</f>
        <v>30452.7976908383</v>
      </c>
      <c r="BE302" s="67" t="n">
        <f aca="false">BE298+BE299+BE301</f>
        <v>44500.8227420984</v>
      </c>
      <c r="BF302" s="67" t="n">
        <f aca="false">BF298+BF299+BF301</f>
        <v>58409.6392489909</v>
      </c>
      <c r="BG302" s="67" t="n">
        <f aca="false">BG298+BG299+BG301</f>
        <v>72180.613862837</v>
      </c>
      <c r="BH302" s="67" t="n">
        <f aca="false">BH298+BH299+BH301</f>
        <v>85815.1000771266</v>
      </c>
      <c r="BI302" s="67" t="n">
        <f aca="false">BI298+BI299+BI301</f>
        <v>99314.4383489235</v>
      </c>
      <c r="BJ302" s="67" t="n">
        <f aca="false">BJ298+BJ299+BJ301</f>
        <v>112679.95621926</v>
      </c>
    </row>
    <row r="303" customFormat="false" ht="15" hidden="false" customHeight="false" outlineLevel="0" collapsed="false">
      <c r="A303" s="6" t="s">
        <v>328</v>
      </c>
      <c r="C303" s="66" t="n">
        <f aca="false">0</f>
        <v>0</v>
      </c>
      <c r="D303" s="66" t="n">
        <f aca="false">C304</f>
        <v>2919911.51833333</v>
      </c>
      <c r="E303" s="66" t="n">
        <f aca="false">D304</f>
        <v>2859926.27495952</v>
      </c>
      <c r="F303" s="66" t="n">
        <f aca="false">E304</f>
        <v>2804201.89023374</v>
      </c>
      <c r="G303" s="66" t="n">
        <f aca="false">F304</f>
        <v>2752696.35338807</v>
      </c>
      <c r="H303" s="66" t="n">
        <f aca="false">G304</f>
        <v>2705368.06180591</v>
      </c>
      <c r="I303" s="66" t="n">
        <f aca="false">H304</f>
        <v>2662175.81717959</v>
      </c>
      <c r="J303" s="66" t="n">
        <f aca="false">I304</f>
        <v>2623078.8217016</v>
      </c>
      <c r="K303" s="66" t="n">
        <f aca="false">J304</f>
        <v>2588036.67428928</v>
      </c>
      <c r="L303" s="66" t="n">
        <f aca="false">K304</f>
        <v>2557009.3668426</v>
      </c>
      <c r="M303" s="66" t="n">
        <f aca="false">L304</f>
        <v>2529957.28053495</v>
      </c>
      <c r="N303" s="66" t="n">
        <f aca="false">M304</f>
        <v>2506841.18213648</v>
      </c>
      <c r="O303" s="66" t="n">
        <f aca="false">N304</f>
        <v>2487622.22037006</v>
      </c>
      <c r="P303" s="66" t="n">
        <f aca="false">O304</f>
        <v>2438766.39646591</v>
      </c>
      <c r="Q303" s="66" t="n">
        <f aca="false">P304</f>
        <v>2395389.3399353</v>
      </c>
      <c r="R303" s="66" t="n">
        <f aca="false">Q304</f>
        <v>2357510.68184416</v>
      </c>
      <c r="S303" s="66" t="n">
        <f aca="false">R304</f>
        <v>2325076.10886206</v>
      </c>
      <c r="T303" s="66" t="n">
        <f aca="false">S304</f>
        <v>2298031.83737876</v>
      </c>
      <c r="U303" s="66" t="n">
        <f aca="false">T304</f>
        <v>2276324.60847534</v>
      </c>
      <c r="V303" s="66" t="n">
        <f aca="false">U304</f>
        <v>2259901.68294011</v>
      </c>
      <c r="W303" s="66" t="n">
        <f aca="false">V304</f>
        <v>2248710.83632925</v>
      </c>
      <c r="X303" s="66" t="n">
        <f aca="false">W304</f>
        <v>2242700.35407155</v>
      </c>
      <c r="Y303" s="66" t="n">
        <f aca="false">X304</f>
        <v>2241819.02661717</v>
      </c>
      <c r="Z303" s="66" t="n">
        <f aca="false">Y304</f>
        <v>2246016.1446299</v>
      </c>
      <c r="AA303" s="66" t="n">
        <f aca="false">Z304</f>
        <v>2255241.49422263</v>
      </c>
      <c r="AB303" s="66" t="n">
        <f aca="false">AA304</f>
        <v>2217482.20744831</v>
      </c>
      <c r="AC303" s="66" t="n">
        <f aca="false">AB304</f>
        <v>2187073.96000297</v>
      </c>
      <c r="AD303" s="66" t="n">
        <f aca="false">AC304</f>
        <v>2164052.35484662</v>
      </c>
      <c r="AE303" s="66" t="n">
        <f aca="false">AD304</f>
        <v>2148344.33376758</v>
      </c>
      <c r="AF303" s="66" t="n">
        <f aca="false">AE304</f>
        <v>2139877.55297209</v>
      </c>
      <c r="AG303" s="66" t="n">
        <f aca="false">AF304</f>
        <v>2138580.37626337</v>
      </c>
      <c r="AH303" s="66" t="n">
        <f aca="false">AG304</f>
        <v>2144381.86828249</v>
      </c>
      <c r="AI303" s="66" t="n">
        <f aca="false">AH304</f>
        <v>2157211.78781047</v>
      </c>
      <c r="AJ303" s="66" t="n">
        <f aca="false">AI304</f>
        <v>2177000.58113115</v>
      </c>
      <c r="AK303" s="66" t="n">
        <f aca="false">AJ304</f>
        <v>2203679.37545436</v>
      </c>
      <c r="AL303" s="66" t="n">
        <f aca="false">AK304</f>
        <v>2237179.97239888</v>
      </c>
      <c r="AM303" s="66" t="n">
        <f aca="false">AL304</f>
        <v>2277434.84153472</v>
      </c>
      <c r="AN303" s="66" t="n">
        <f aca="false">AM304</f>
        <v>2243661.17952794</v>
      </c>
      <c r="AO303" s="66" t="n">
        <f aca="false">AN304</f>
        <v>2220083.76228361</v>
      </c>
      <c r="AP303" s="66" t="n">
        <f aca="false">AO304</f>
        <v>2206762.39832613</v>
      </c>
      <c r="AQ303" s="66" t="n">
        <f aca="false">AP304</f>
        <v>2203595.55980742</v>
      </c>
      <c r="AR303" s="66" t="n">
        <f aca="false">AQ304</f>
        <v>2210482.71350418</v>
      </c>
      <c r="AS303" s="66" t="n">
        <f aca="false">AR304</f>
        <v>2227324.31128475</v>
      </c>
      <c r="AT303" s="66" t="n">
        <f aca="false">AS304</f>
        <v>2254021.78066294</v>
      </c>
      <c r="AU303" s="66" t="n">
        <f aca="false">AT304</f>
        <v>2290477.51543835</v>
      </c>
      <c r="AV303" s="66" t="n">
        <f aca="false">AU304</f>
        <v>2336594.86642226</v>
      </c>
      <c r="AW303" s="66" t="n">
        <f aca="false">AV304</f>
        <v>2392278.13224856</v>
      </c>
      <c r="AX303" s="66" t="n">
        <f aca="false">AW304</f>
        <v>2457432.55026884</v>
      </c>
      <c r="AY303" s="66" t="n">
        <f aca="false">AX304</f>
        <v>2531964.28753121</v>
      </c>
      <c r="AZ303" s="66" t="n">
        <f aca="false">AY304</f>
        <v>2490283.32008902</v>
      </c>
      <c r="BA303" s="66" t="n">
        <f aca="false">AZ304</f>
        <v>2463124.13169639</v>
      </c>
      <c r="BB303" s="66" t="n">
        <f aca="false">BA304</f>
        <v>2450583.73650856</v>
      </c>
      <c r="BC303" s="66" t="n">
        <f aca="false">BB304</f>
        <v>2452517.32533379</v>
      </c>
      <c r="BD303" s="66" t="n">
        <f aca="false">BC304</f>
        <v>2468781.50949743</v>
      </c>
      <c r="BE303" s="66" t="n">
        <f aca="false">BD304</f>
        <v>2499234.30718827</v>
      </c>
      <c r="BF303" s="66" t="n">
        <f aca="false">BE304</f>
        <v>2543735.12993037</v>
      </c>
      <c r="BG303" s="66" t="n">
        <f aca="false">BF304</f>
        <v>2602144.76917936</v>
      </c>
      <c r="BH303" s="66" t="n">
        <f aca="false">BG304</f>
        <v>2674325.3830422</v>
      </c>
      <c r="BI303" s="66" t="n">
        <f aca="false">BH304</f>
        <v>2760140.48311932</v>
      </c>
      <c r="BJ303" s="66" t="n">
        <f aca="false">BI304</f>
        <v>2859454.92146825</v>
      </c>
    </row>
    <row r="304" customFormat="false" ht="15" hidden="false" customHeight="false" outlineLevel="0" collapsed="false">
      <c r="A304" s="111" t="s">
        <v>86</v>
      </c>
      <c r="C304" s="67" t="n">
        <f aca="false">C303+C302</f>
        <v>2919911.51833333</v>
      </c>
      <c r="D304" s="67" t="n">
        <f aca="false">D303+D302</f>
        <v>2859926.27495952</v>
      </c>
      <c r="E304" s="67" t="n">
        <f aca="false">E303+E302</f>
        <v>2804201.89023374</v>
      </c>
      <c r="F304" s="67" t="n">
        <f aca="false">F303+F302</f>
        <v>2752696.35338807</v>
      </c>
      <c r="G304" s="67" t="n">
        <f aca="false">G303+G302</f>
        <v>2705368.06180591</v>
      </c>
      <c r="H304" s="67" t="n">
        <f aca="false">H303+H302</f>
        <v>2662175.81717959</v>
      </c>
      <c r="I304" s="67" t="n">
        <f aca="false">I303+I302</f>
        <v>2623078.8217016</v>
      </c>
      <c r="J304" s="67" t="n">
        <f aca="false">J303+J302</f>
        <v>2588036.67428928</v>
      </c>
      <c r="K304" s="67" t="n">
        <f aca="false">K303+K302</f>
        <v>2557009.3668426</v>
      </c>
      <c r="L304" s="67" t="n">
        <f aca="false">L303+L302</f>
        <v>2529957.28053495</v>
      </c>
      <c r="M304" s="67" t="n">
        <f aca="false">M303+M302</f>
        <v>2506841.18213648</v>
      </c>
      <c r="N304" s="67" t="n">
        <f aca="false">N303+N302</f>
        <v>2487622.22037006</v>
      </c>
      <c r="O304" s="67" t="n">
        <f aca="false">O303+O302</f>
        <v>2438766.39646591</v>
      </c>
      <c r="P304" s="67" t="n">
        <f aca="false">P303+P302</f>
        <v>2395389.3399353</v>
      </c>
      <c r="Q304" s="67" t="n">
        <f aca="false">Q303+Q302</f>
        <v>2357510.68184416</v>
      </c>
      <c r="R304" s="67" t="n">
        <f aca="false">R303+R302</f>
        <v>2325076.10886206</v>
      </c>
      <c r="S304" s="67" t="n">
        <f aca="false">S303+S302</f>
        <v>2298031.83737876</v>
      </c>
      <c r="T304" s="67" t="n">
        <f aca="false">T303+T302</f>
        <v>2276324.60847534</v>
      </c>
      <c r="U304" s="67" t="n">
        <f aca="false">U303+U302</f>
        <v>2259901.68294011</v>
      </c>
      <c r="V304" s="67" t="n">
        <f aca="false">V303+V302</f>
        <v>2248710.83632925</v>
      </c>
      <c r="W304" s="67" t="n">
        <f aca="false">W303+W302</f>
        <v>2242700.35407155</v>
      </c>
      <c r="X304" s="67" t="n">
        <f aca="false">X303+X302</f>
        <v>2241819.02661717</v>
      </c>
      <c r="Y304" s="67" t="n">
        <f aca="false">Y303+Y302</f>
        <v>2246016.1446299</v>
      </c>
      <c r="Z304" s="67" t="n">
        <f aca="false">Z303+Z302</f>
        <v>2255241.49422263</v>
      </c>
      <c r="AA304" s="67" t="n">
        <f aca="false">AA303+AA302</f>
        <v>2217482.20744831</v>
      </c>
      <c r="AB304" s="67" t="n">
        <f aca="false">AB303+AB302</f>
        <v>2187073.96000297</v>
      </c>
      <c r="AC304" s="67" t="n">
        <f aca="false">AC303+AC302</f>
        <v>2164052.35484662</v>
      </c>
      <c r="AD304" s="67" t="n">
        <f aca="false">AD303+AD302</f>
        <v>2148344.33376758</v>
      </c>
      <c r="AE304" s="67" t="n">
        <f aca="false">AE303+AE302</f>
        <v>2139877.55297209</v>
      </c>
      <c r="AF304" s="67" t="n">
        <f aca="false">AF303+AF302</f>
        <v>2138580.37626337</v>
      </c>
      <c r="AG304" s="67" t="n">
        <f aca="false">AG303+AG302</f>
        <v>2144381.86828249</v>
      </c>
      <c r="AH304" s="67" t="n">
        <f aca="false">AH303+AH302</f>
        <v>2157211.78781047</v>
      </c>
      <c r="AI304" s="67" t="n">
        <f aca="false">AI303+AI302</f>
        <v>2177000.58113115</v>
      </c>
      <c r="AJ304" s="67" t="n">
        <f aca="false">AJ303+AJ302</f>
        <v>2203679.37545436</v>
      </c>
      <c r="AK304" s="67" t="n">
        <f aca="false">AK303+AK302</f>
        <v>2237179.97239888</v>
      </c>
      <c r="AL304" s="67" t="n">
        <f aca="false">AL303+AL302</f>
        <v>2277434.84153472</v>
      </c>
      <c r="AM304" s="67" t="n">
        <f aca="false">AM303+AM302</f>
        <v>2243661.17952794</v>
      </c>
      <c r="AN304" s="67" t="n">
        <f aca="false">AN303+AN302</f>
        <v>2220083.76228361</v>
      </c>
      <c r="AO304" s="67" t="n">
        <f aca="false">AO303+AO302</f>
        <v>2206762.39832613</v>
      </c>
      <c r="AP304" s="67" t="n">
        <f aca="false">AP303+AP302</f>
        <v>2203595.55980742</v>
      </c>
      <c r="AQ304" s="67" t="n">
        <f aca="false">AQ303+AQ302</f>
        <v>2210482.71350418</v>
      </c>
      <c r="AR304" s="67" t="n">
        <f aca="false">AR303+AR302</f>
        <v>2227324.31128475</v>
      </c>
      <c r="AS304" s="67" t="n">
        <f aca="false">AS303+AS302</f>
        <v>2254021.78066294</v>
      </c>
      <c r="AT304" s="67" t="n">
        <f aca="false">AT303+AT302</f>
        <v>2290477.51543835</v>
      </c>
      <c r="AU304" s="67" t="n">
        <f aca="false">AU303+AU302</f>
        <v>2336594.86642226</v>
      </c>
      <c r="AV304" s="67" t="n">
        <f aca="false">AV303+AV302</f>
        <v>2392278.13224856</v>
      </c>
      <c r="AW304" s="67" t="n">
        <f aca="false">AW303+AW302</f>
        <v>2457432.55026884</v>
      </c>
      <c r="AX304" s="67" t="n">
        <f aca="false">AX303+AX302</f>
        <v>2531964.28753121</v>
      </c>
      <c r="AY304" s="67" t="n">
        <f aca="false">AY303+AY302</f>
        <v>2490283.32008902</v>
      </c>
      <c r="AZ304" s="67" t="n">
        <f aca="false">AZ303+AZ302</f>
        <v>2463124.13169639</v>
      </c>
      <c r="BA304" s="67" t="n">
        <f aca="false">BA303+BA302</f>
        <v>2450583.73650856</v>
      </c>
      <c r="BB304" s="67" t="n">
        <f aca="false">BB303+BB302</f>
        <v>2452517.32533379</v>
      </c>
      <c r="BC304" s="67" t="n">
        <f aca="false">BC303+BC302</f>
        <v>2468781.50949743</v>
      </c>
      <c r="BD304" s="67" t="n">
        <f aca="false">BD303+BD302</f>
        <v>2499234.30718827</v>
      </c>
      <c r="BE304" s="67" t="n">
        <f aca="false">BE303+BE302</f>
        <v>2543735.12993037</v>
      </c>
      <c r="BF304" s="67" t="n">
        <f aca="false">BF303+BF302</f>
        <v>2602144.76917936</v>
      </c>
      <c r="BG304" s="67" t="n">
        <f aca="false">BG303+BG302</f>
        <v>2674325.3830422</v>
      </c>
      <c r="BH304" s="67" t="n">
        <f aca="false">BH303+BH302</f>
        <v>2760140.48311932</v>
      </c>
      <c r="BI304" s="67" t="n">
        <f aca="false">BI303+BI302</f>
        <v>2859454.92146825</v>
      </c>
      <c r="BJ304" s="67" t="n">
        <f aca="false">BJ303+BJ302</f>
        <v>2972134.87768751</v>
      </c>
    </row>
    <row r="305" customFormat="false" ht="15" hidden="false" customHeight="false" outlineLevel="0" collapsed="false">
      <c r="A305" s="119" t="s">
        <v>423</v>
      </c>
      <c r="C305" s="120" t="n">
        <f aca="false">IF(C263&gt;0,1,0)</f>
        <v>0</v>
      </c>
      <c r="D305" s="120" t="n">
        <f aca="false">IF(D263&gt;0,1,0)</f>
        <v>0</v>
      </c>
      <c r="E305" s="120" t="n">
        <f aca="false">IF(E263&gt;0,1,0)</f>
        <v>0</v>
      </c>
      <c r="F305" s="120" t="n">
        <f aca="false">IF(F263&gt;0,1,0)</f>
        <v>0</v>
      </c>
      <c r="G305" s="120" t="n">
        <f aca="false">IF(G263&gt;0,1,0)</f>
        <v>0</v>
      </c>
      <c r="H305" s="120" t="n">
        <f aca="false">IF(H263&gt;0,1,0)</f>
        <v>0</v>
      </c>
      <c r="I305" s="120" t="n">
        <f aca="false">IF(I263&gt;0,1,0)</f>
        <v>0</v>
      </c>
      <c r="J305" s="120" t="n">
        <f aca="false">IF(J263&gt;0,1,0)</f>
        <v>0</v>
      </c>
      <c r="K305" s="120" t="n">
        <f aca="false">IF(K263&gt;0,1,0)</f>
        <v>0</v>
      </c>
      <c r="L305" s="120" t="n">
        <f aca="false">IF(L263&gt;0,1,0)</f>
        <v>0</v>
      </c>
      <c r="M305" s="120" t="n">
        <f aca="false">IF(M263&gt;0,1,0)</f>
        <v>0</v>
      </c>
      <c r="N305" s="120" t="n">
        <f aca="false">IF(N263&gt;0,1,0)</f>
        <v>0</v>
      </c>
      <c r="O305" s="120" t="n">
        <f aca="false">IF(O263&gt;0,1,0)</f>
        <v>0</v>
      </c>
      <c r="P305" s="120" t="n">
        <f aca="false">IF(P263&gt;0,1,0)</f>
        <v>0</v>
      </c>
      <c r="Q305" s="120" t="n">
        <f aca="false">IF(Q263&gt;0,1,0)</f>
        <v>0</v>
      </c>
      <c r="R305" s="120" t="n">
        <f aca="false">IF(R263&gt;0,1,0)</f>
        <v>0</v>
      </c>
      <c r="S305" s="120" t="n">
        <f aca="false">IF(S263&gt;0,1,0)</f>
        <v>0</v>
      </c>
      <c r="T305" s="120" t="n">
        <f aca="false">IF(T263&gt;0,1,0)</f>
        <v>0</v>
      </c>
      <c r="U305" s="120" t="n">
        <f aca="false">IF(U263&gt;0,1,0)</f>
        <v>0</v>
      </c>
      <c r="V305" s="120" t="n">
        <f aca="false">IF(V263&gt;0,1,0)</f>
        <v>0</v>
      </c>
      <c r="W305" s="120" t="n">
        <f aca="false">IF(W263&gt;0,1,0)</f>
        <v>0</v>
      </c>
      <c r="X305" s="120" t="n">
        <f aca="false">IF(X263&gt;0,1,0)</f>
        <v>0</v>
      </c>
      <c r="Y305" s="120" t="n">
        <f aca="false">IF(Y263&gt;0,1,0)</f>
        <v>0</v>
      </c>
      <c r="Z305" s="120" t="n">
        <f aca="false">IF(Z263&gt;0,1,0)</f>
        <v>1</v>
      </c>
      <c r="AA305" s="120" t="n">
        <f aca="false">IF(AA263&gt;0,1,0)</f>
        <v>0</v>
      </c>
      <c r="AB305" s="120" t="n">
        <f aca="false">IF(AB263&gt;0,1,0)</f>
        <v>0</v>
      </c>
      <c r="AC305" s="120" t="n">
        <f aca="false">IF(AC263&gt;0,1,0)</f>
        <v>0</v>
      </c>
      <c r="AD305" s="120" t="n">
        <f aca="false">IF(AD263&gt;0,1,0)</f>
        <v>0</v>
      </c>
      <c r="AE305" s="120" t="n">
        <f aca="false">IF(AE263&gt;0,1,0)</f>
        <v>0</v>
      </c>
      <c r="AF305" s="120" t="n">
        <f aca="false">IF(AF263&gt;0,1,0)</f>
        <v>0</v>
      </c>
      <c r="AG305" s="120" t="n">
        <f aca="false">IF(AG263&gt;0,1,0)</f>
        <v>0</v>
      </c>
      <c r="AH305" s="120" t="n">
        <f aca="false">IF(AH263&gt;0,1,0)</f>
        <v>1</v>
      </c>
      <c r="AI305" s="120" t="n">
        <f aca="false">IF(AI263&gt;0,1,0)</f>
        <v>1</v>
      </c>
      <c r="AJ305" s="120" t="n">
        <f aca="false">IF(AJ263&gt;0,1,0)</f>
        <v>1</v>
      </c>
      <c r="AK305" s="120" t="n">
        <f aca="false">IF(AK263&gt;0,1,0)</f>
        <v>1</v>
      </c>
      <c r="AL305" s="120" t="n">
        <f aca="false">IF(AL263&gt;0,1,0)</f>
        <v>1</v>
      </c>
      <c r="AM305" s="120" t="n">
        <f aca="false">IF(AM263&gt;0,1,0)</f>
        <v>0</v>
      </c>
      <c r="AN305" s="120" t="n">
        <f aca="false">IF(AN263&gt;0,1,0)</f>
        <v>0</v>
      </c>
      <c r="AO305" s="120" t="n">
        <f aca="false">IF(AO263&gt;0,1,0)</f>
        <v>0</v>
      </c>
      <c r="AP305" s="120" t="n">
        <f aca="false">IF(AP263&gt;0,1,0)</f>
        <v>0</v>
      </c>
      <c r="AQ305" s="120" t="n">
        <f aca="false">IF(AQ263&gt;0,1,0)</f>
        <v>0</v>
      </c>
      <c r="AR305" s="120" t="n">
        <f aca="false">IF(AR263&gt;0,1,0)</f>
        <v>1</v>
      </c>
      <c r="AS305" s="120" t="n">
        <f aca="false">IF(AS263&gt;0,1,0)</f>
        <v>1</v>
      </c>
      <c r="AT305" s="120" t="n">
        <f aca="false">IF(AT263&gt;0,1,0)</f>
        <v>1</v>
      </c>
      <c r="AU305" s="120" t="n">
        <f aca="false">IF(AU263&gt;0,1,0)</f>
        <v>1</v>
      </c>
      <c r="AV305" s="120" t="n">
        <f aca="false">IF(AV263&gt;0,1,0)</f>
        <v>1</v>
      </c>
      <c r="AW305" s="120" t="n">
        <f aca="false">IF(AW263&gt;0,1,0)</f>
        <v>1</v>
      </c>
      <c r="AX305" s="120" t="n">
        <f aca="false">IF(AX263&gt;0,1,0)</f>
        <v>1</v>
      </c>
      <c r="AY305" s="120" t="n">
        <f aca="false">IF(AY263&gt;0,1,0)</f>
        <v>0</v>
      </c>
      <c r="AZ305" s="120" t="n">
        <f aca="false">IF(AZ263&gt;0,1,0)</f>
        <v>0</v>
      </c>
      <c r="BA305" s="120" t="n">
        <f aca="false">IF(BA263&gt;0,1,0)</f>
        <v>0</v>
      </c>
      <c r="BB305" s="120" t="n">
        <f aca="false">IF(BB263&gt;0,1,0)</f>
        <v>0</v>
      </c>
      <c r="BC305" s="120" t="n">
        <f aca="false">IF(BC263&gt;0,1,0)</f>
        <v>0</v>
      </c>
      <c r="BD305" s="120" t="n">
        <f aca="false">IF(BD263&gt;0,1,0)</f>
        <v>1</v>
      </c>
      <c r="BE305" s="120" t="n">
        <f aca="false">IF(BE263&gt;0,1,0)</f>
        <v>1</v>
      </c>
      <c r="BF305" s="120" t="n">
        <f aca="false">IF(BF263&gt;0,1,0)</f>
        <v>1</v>
      </c>
      <c r="BG305" s="120" t="n">
        <f aca="false">IF(BG263&gt;0,1,0)</f>
        <v>1</v>
      </c>
      <c r="BH305" s="120" t="n">
        <f aca="false">IF(BH263&gt;0,1,0)</f>
        <v>1</v>
      </c>
      <c r="BI305" s="120" t="n">
        <f aca="false">IF(BI263&gt;0,1,0)</f>
        <v>1</v>
      </c>
      <c r="BJ305" s="120" t="n">
        <f aca="false">IF(BJ263&gt;0,1,0)</f>
        <v>1</v>
      </c>
    </row>
    <row r="307" customFormat="false" ht="15.75" hidden="false" customHeight="true" outlineLevel="0" collapsed="false">
      <c r="A307" s="7" t="s">
        <v>424</v>
      </c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</row>
    <row r="308" customFormat="false" ht="15" hidden="false" customHeight="false" outlineLevel="0" collapsed="false">
      <c r="A308" s="6" t="s">
        <v>425</v>
      </c>
      <c r="C308" s="66" t="n">
        <f aca="false">-(C298+C299)/1</f>
        <v>80088.4816666667</v>
      </c>
      <c r="D308" s="66" t="n">
        <f aca="false">-(D298+D299)/1</f>
        <v>59985.2433738095</v>
      </c>
      <c r="E308" s="66" t="n">
        <f aca="false">-(E298+E299)/1</f>
        <v>55724.3847257857</v>
      </c>
      <c r="F308" s="66" t="n">
        <f aca="false">-(F298+F299)/1</f>
        <v>51505.5368456707</v>
      </c>
      <c r="G308" s="66" t="n">
        <f aca="false">-(G298+G299)/1</f>
        <v>47328.2915821569</v>
      </c>
      <c r="H308" s="66" t="n">
        <f aca="false">-(H298+H299)/1</f>
        <v>43192.2446263222</v>
      </c>
      <c r="I308" s="66" t="n">
        <f aca="false">-(I298+I299)/1</f>
        <v>39096.9954779889</v>
      </c>
      <c r="J308" s="66" t="n">
        <f aca="false">-(J298+J299)/1</f>
        <v>35042.1474123233</v>
      </c>
      <c r="K308" s="66" t="n">
        <f aca="false">-(K298+K299)/1</f>
        <v>31027.3074466748</v>
      </c>
      <c r="L308" s="66" t="n">
        <f aca="false">-(L298+L299)/1</f>
        <v>27052.0863076562</v>
      </c>
      <c r="M308" s="66" t="n">
        <f aca="false">-(M298+M299)/1</f>
        <v>23116.0983984617</v>
      </c>
      <c r="N308" s="66" t="n">
        <f aca="false">-(N298+N299)/1</f>
        <v>19218.9617664244</v>
      </c>
      <c r="O308" s="66" t="n">
        <f aca="false">-(O298+O299)/1</f>
        <v>48855.8239041447</v>
      </c>
      <c r="P308" s="66" t="n">
        <f aca="false">-(P298+P299)/1</f>
        <v>43377.0565306182</v>
      </c>
      <c r="Q308" s="66" t="n">
        <f aca="false">-(Q298+Q299)/1</f>
        <v>37878.6580911357</v>
      </c>
      <c r="R308" s="66" t="n">
        <f aca="false">-(R298+R299)/1</f>
        <v>32434.5729821029</v>
      </c>
      <c r="S308" s="66" t="n">
        <f aca="false">-(S298+S299)/1</f>
        <v>27044.2714832944</v>
      </c>
      <c r="T308" s="66" t="n">
        <f aca="false">-(T298+T299)/1</f>
        <v>21707.2289034251</v>
      </c>
      <c r="U308" s="66" t="n">
        <f aca="false">-(U298+U299)/1</f>
        <v>16422.9255352266</v>
      </c>
      <c r="V308" s="66" t="n">
        <f aca="false">-(V298+V299)/1</f>
        <v>11190.8466108649</v>
      </c>
      <c r="W308" s="66" t="n">
        <f aca="false">-(W298+W299)/1</f>
        <v>6010.48225769839</v>
      </c>
      <c r="X308" s="66" t="n">
        <f aca="false">-(X298+X299)/1</f>
        <v>881.327454376084</v>
      </c>
      <c r="Y308" s="66" t="n">
        <f aca="false">-(Y298+Y299)/1</f>
        <v>-4197.11801272656</v>
      </c>
      <c r="Z308" s="66" t="n">
        <f aca="false">-(Z298+Z299)/1</f>
        <v>-9225.34959273563</v>
      </c>
      <c r="AA308" s="66" t="n">
        <f aca="false">-(AA298+AA299)/1</f>
        <v>37759.2867743295</v>
      </c>
      <c r="AB308" s="66" t="n">
        <f aca="false">-(AB298+AB299)/1</f>
        <v>30408.2474453371</v>
      </c>
      <c r="AC308" s="66" t="n">
        <f aca="false">-(AC298+AC299)/1</f>
        <v>23021.6051563524</v>
      </c>
      <c r="AD308" s="66" t="n">
        <f aca="false">-(AD298+AD299)/1</f>
        <v>15708.0210790338</v>
      </c>
      <c r="AE308" s="66" t="n">
        <f aca="false">-(AE298+AE299)/1</f>
        <v>8466.78079548929</v>
      </c>
      <c r="AF308" s="66" t="n">
        <f aca="false">-(AF298+AF299)/1</f>
        <v>1297.176708721</v>
      </c>
      <c r="AG308" s="66" t="n">
        <f aca="false">-(AG298+AG299)/1</f>
        <v>-5801.49201911762</v>
      </c>
      <c r="AH308" s="66" t="n">
        <f aca="false">-(AH298+AH299)/1</f>
        <v>-12829.9195279772</v>
      </c>
      <c r="AI308" s="66" t="n">
        <f aca="false">-(AI298+AI299)/1</f>
        <v>-19788.7933206813</v>
      </c>
      <c r="AJ308" s="66" t="n">
        <f aca="false">-(AJ298+AJ299)/1</f>
        <v>-26678.7943232131</v>
      </c>
      <c r="AK308" s="66" t="n">
        <f aca="false">-(AK298+AK299)/1</f>
        <v>-33500.596944519</v>
      </c>
      <c r="AL308" s="66" t="n">
        <f aca="false">-(AL298+AL299)/1</f>
        <v>-40254.8691358355</v>
      </c>
      <c r="AM308" s="66" t="n">
        <f aca="false">-(AM298+AM299)/1</f>
        <v>33773.6620067748</v>
      </c>
      <c r="AN308" s="66" t="n">
        <f aca="false">-(AN298+AN299)/1</f>
        <v>23577.417244328</v>
      </c>
      <c r="AO308" s="66" t="n">
        <f aca="false">-(AO298+AO299)/1</f>
        <v>13321.3639574819</v>
      </c>
      <c r="AP308" s="66" t="n">
        <f aca="false">-(AP298+AP299)/1</f>
        <v>3166.83851871212</v>
      </c>
      <c r="AQ308" s="66" t="n">
        <f aca="false">-(AQ298+AQ299)/1</f>
        <v>-6887.15369676613</v>
      </c>
      <c r="AR308" s="66" t="n">
        <f aca="false">-(AR298+AR299)/1</f>
        <v>-16841.597780564</v>
      </c>
      <c r="AS308" s="66" t="n">
        <f aca="false">-(AS298+AS299)/1</f>
        <v>-26697.4693781886</v>
      </c>
      <c r="AT308" s="66" t="n">
        <f aca="false">-(AT298+AT299)/1</f>
        <v>-36455.7347754085</v>
      </c>
      <c r="AU308" s="66" t="n">
        <f aca="false">-(AU298+AU299)/1</f>
        <v>-46117.3509839164</v>
      </c>
      <c r="AV308" s="66" t="n">
        <f aca="false">-(AV298+AV299)/1</f>
        <v>-55683.2658262941</v>
      </c>
      <c r="AW308" s="66" t="n">
        <f aca="false">-(AW298+AW299)/1</f>
        <v>-65154.4180202836</v>
      </c>
      <c r="AX308" s="66" t="n">
        <f aca="false">-(AX298+AX299)/1</f>
        <v>-74531.7372623687</v>
      </c>
      <c r="AY308" s="66" t="n">
        <f aca="false">-(AY298+AY299)/1</f>
        <v>41680.9674421852</v>
      </c>
      <c r="AZ308" s="66" t="n">
        <f aca="false">-(AZ298+AZ299)/1</f>
        <v>27159.188392635</v>
      </c>
      <c r="BA308" s="66" t="n">
        <f aca="false">-(BA298+BA299)/1</f>
        <v>12540.3951878239</v>
      </c>
      <c r="BB308" s="66" t="n">
        <f aca="false">-(BB298+BB299)/1</f>
        <v>-1933.58882523</v>
      </c>
      <c r="BC308" s="66" t="n">
        <f aca="false">-(BC298+BC299)/1</f>
        <v>-16264.1841636385</v>
      </c>
      <c r="BD308" s="66" t="n">
        <f aca="false">-(BD298+BD299)/1</f>
        <v>-30452.7976908383</v>
      </c>
      <c r="BE308" s="66" t="n">
        <f aca="false">-(BE298+BE299)/1</f>
        <v>-44500.8227420984</v>
      </c>
      <c r="BF308" s="66" t="n">
        <f aca="false">-(BF298+BF299)/1</f>
        <v>-58409.6392489909</v>
      </c>
      <c r="BG308" s="66" t="n">
        <f aca="false">-(BG298+BG299)/1</f>
        <v>-72180.613862837</v>
      </c>
      <c r="BH308" s="66" t="n">
        <f aca="false">-(BH298+BH299)/1</f>
        <v>-85815.1000771266</v>
      </c>
      <c r="BI308" s="66" t="n">
        <f aca="false">-(BI298+BI299)/1</f>
        <v>-99314.4383489235</v>
      </c>
      <c r="BJ308" s="66" t="n">
        <f aca="false">-(BJ298+BJ299)/1</f>
        <v>-112679.95621926</v>
      </c>
    </row>
    <row r="309" customFormat="false" ht="15" hidden="false" customHeight="false" outlineLevel="0" collapsed="false">
      <c r="A309" s="38" t="s">
        <v>240</v>
      </c>
      <c r="C309" s="74" t="n">
        <f aca="false">Inputs!$D$10</f>
        <v>0.02</v>
      </c>
      <c r="D309" s="74" t="n">
        <f aca="false">Inputs!$D$10</f>
        <v>0.02</v>
      </c>
      <c r="E309" s="74" t="n">
        <f aca="false">Inputs!$D$10</f>
        <v>0.02</v>
      </c>
      <c r="F309" s="74" t="n">
        <f aca="false">Inputs!$D$10</f>
        <v>0.02</v>
      </c>
      <c r="G309" s="74" t="n">
        <f aca="false">Inputs!$D$10</f>
        <v>0.02</v>
      </c>
      <c r="H309" s="74" t="n">
        <f aca="false">Inputs!$D$10</f>
        <v>0.02</v>
      </c>
      <c r="I309" s="74" t="n">
        <f aca="false">Inputs!$D$10</f>
        <v>0.02</v>
      </c>
      <c r="J309" s="74" t="n">
        <f aca="false">Inputs!$D$10</f>
        <v>0.02</v>
      </c>
      <c r="K309" s="74" t="n">
        <f aca="false">Inputs!$D$10</f>
        <v>0.02</v>
      </c>
      <c r="L309" s="74" t="n">
        <f aca="false">Inputs!$D$10</f>
        <v>0.02</v>
      </c>
      <c r="M309" s="74" t="n">
        <f aca="false">Inputs!$D$10</f>
        <v>0.02</v>
      </c>
      <c r="N309" s="74" t="n">
        <f aca="false">Inputs!$D$10</f>
        <v>0.02</v>
      </c>
      <c r="O309" s="74" t="n">
        <f aca="false">Inputs!$D$10</f>
        <v>0.02</v>
      </c>
      <c r="P309" s="74" t="n">
        <f aca="false">Inputs!$D$10</f>
        <v>0.02</v>
      </c>
      <c r="Q309" s="74" t="n">
        <f aca="false">Inputs!$D$10</f>
        <v>0.02</v>
      </c>
      <c r="R309" s="74" t="n">
        <f aca="false">Inputs!$D$10</f>
        <v>0.02</v>
      </c>
      <c r="S309" s="74" t="n">
        <f aca="false">Inputs!$D$10</f>
        <v>0.02</v>
      </c>
      <c r="T309" s="74" t="n">
        <f aca="false">Inputs!$D$10</f>
        <v>0.02</v>
      </c>
      <c r="U309" s="74" t="n">
        <f aca="false">Inputs!$D$10</f>
        <v>0.02</v>
      </c>
      <c r="V309" s="74" t="n">
        <f aca="false">Inputs!$D$10</f>
        <v>0.02</v>
      </c>
      <c r="W309" s="74" t="n">
        <f aca="false">Inputs!$D$10</f>
        <v>0.02</v>
      </c>
      <c r="X309" s="74" t="n">
        <f aca="false">Inputs!$D$10</f>
        <v>0.02</v>
      </c>
      <c r="Y309" s="74" t="n">
        <f aca="false">Inputs!$D$10</f>
        <v>0.02</v>
      </c>
      <c r="Z309" s="74" t="n">
        <f aca="false">Inputs!$D$10</f>
        <v>0.02</v>
      </c>
      <c r="AA309" s="74" t="n">
        <f aca="false">Inputs!$D$10</f>
        <v>0.02</v>
      </c>
      <c r="AB309" s="74" t="n">
        <f aca="false">Inputs!$D$10</f>
        <v>0.02</v>
      </c>
      <c r="AC309" s="74" t="n">
        <f aca="false">Inputs!$D$10</f>
        <v>0.02</v>
      </c>
      <c r="AD309" s="74" t="n">
        <f aca="false">Inputs!$D$10</f>
        <v>0.02</v>
      </c>
      <c r="AE309" s="74" t="n">
        <f aca="false">Inputs!$D$10</f>
        <v>0.02</v>
      </c>
      <c r="AF309" s="74" t="n">
        <f aca="false">Inputs!$D$10</f>
        <v>0.02</v>
      </c>
      <c r="AG309" s="74" t="n">
        <f aca="false">Inputs!$D$10</f>
        <v>0.02</v>
      </c>
      <c r="AH309" s="74" t="n">
        <f aca="false">Inputs!$D$10</f>
        <v>0.02</v>
      </c>
      <c r="AI309" s="74" t="n">
        <f aca="false">Inputs!$D$10</f>
        <v>0.02</v>
      </c>
      <c r="AJ309" s="74" t="n">
        <f aca="false">Inputs!$D$10</f>
        <v>0.02</v>
      </c>
      <c r="AK309" s="74" t="n">
        <f aca="false">Inputs!$D$10</f>
        <v>0.02</v>
      </c>
      <c r="AL309" s="74" t="n">
        <f aca="false">Inputs!$D$10</f>
        <v>0.02</v>
      </c>
      <c r="AM309" s="74" t="n">
        <f aca="false">Inputs!$D$10</f>
        <v>0.02</v>
      </c>
      <c r="AN309" s="74" t="n">
        <f aca="false">Inputs!$D$10</f>
        <v>0.02</v>
      </c>
      <c r="AO309" s="74" t="n">
        <f aca="false">Inputs!$D$10</f>
        <v>0.02</v>
      </c>
      <c r="AP309" s="74" t="n">
        <f aca="false">Inputs!$D$10</f>
        <v>0.02</v>
      </c>
      <c r="AQ309" s="74" t="n">
        <f aca="false">Inputs!$D$10</f>
        <v>0.02</v>
      </c>
      <c r="AR309" s="74" t="n">
        <f aca="false">Inputs!$D$10</f>
        <v>0.02</v>
      </c>
      <c r="AS309" s="74" t="n">
        <f aca="false">Inputs!$D$10</f>
        <v>0.02</v>
      </c>
      <c r="AT309" s="74" t="n">
        <f aca="false">Inputs!$D$10</f>
        <v>0.02</v>
      </c>
      <c r="AU309" s="74" t="n">
        <f aca="false">Inputs!$D$10</f>
        <v>0.02</v>
      </c>
      <c r="AV309" s="74" t="n">
        <f aca="false">Inputs!$D$10</f>
        <v>0.02</v>
      </c>
      <c r="AW309" s="74" t="n">
        <f aca="false">Inputs!$D$10</f>
        <v>0.02</v>
      </c>
      <c r="AX309" s="74" t="n">
        <f aca="false">Inputs!$D$10</f>
        <v>0.02</v>
      </c>
      <c r="AY309" s="74" t="n">
        <f aca="false">Inputs!$D$10</f>
        <v>0.02</v>
      </c>
      <c r="AZ309" s="74" t="n">
        <f aca="false">Inputs!$D$10</f>
        <v>0.02</v>
      </c>
      <c r="BA309" s="74" t="n">
        <f aca="false">Inputs!$D$10</f>
        <v>0.02</v>
      </c>
      <c r="BB309" s="74" t="n">
        <f aca="false">Inputs!$D$10</f>
        <v>0.02</v>
      </c>
      <c r="BC309" s="74" t="n">
        <f aca="false">Inputs!$D$10</f>
        <v>0.02</v>
      </c>
      <c r="BD309" s="74" t="n">
        <f aca="false">Inputs!$D$10</f>
        <v>0.02</v>
      </c>
      <c r="BE309" s="74" t="n">
        <f aca="false">Inputs!$D$10</f>
        <v>0.02</v>
      </c>
      <c r="BF309" s="74" t="n">
        <f aca="false">Inputs!$D$10</f>
        <v>0.02</v>
      </c>
      <c r="BG309" s="74" t="n">
        <f aca="false">Inputs!$D$10</f>
        <v>0.02</v>
      </c>
      <c r="BH309" s="74" t="n">
        <f aca="false">Inputs!$D$10</f>
        <v>0.02</v>
      </c>
      <c r="BI309" s="74" t="n">
        <f aca="false">Inputs!$D$10</f>
        <v>0.02</v>
      </c>
      <c r="BJ309" s="74" t="n">
        <f aca="false">Inputs!$D$10</f>
        <v>0.02</v>
      </c>
    </row>
    <row r="311" customFormat="false" ht="15.75" hidden="false" customHeight="true" outlineLevel="0" collapsed="false">
      <c r="A311" s="7" t="s">
        <v>426</v>
      </c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</row>
    <row r="312" customFormat="false" ht="15" hidden="false" customHeight="false" outlineLevel="0" collapsed="false">
      <c r="A312" s="119" t="s">
        <v>427</v>
      </c>
      <c r="C312" s="120" t="n">
        <f aca="false">IF(C272&gt;0,1,0)</f>
        <v>0</v>
      </c>
      <c r="D312" s="120" t="n">
        <f aca="false">IF(D272&gt;0,1,0)</f>
        <v>0</v>
      </c>
      <c r="E312" s="120" t="n">
        <f aca="false">IF(E272&gt;0,1,0)</f>
        <v>0</v>
      </c>
      <c r="F312" s="120" t="n">
        <f aca="false">IF(F272&gt;0,1,0)</f>
        <v>0</v>
      </c>
      <c r="G312" s="120" t="n">
        <f aca="false">IF(G272&gt;0,1,0)</f>
        <v>0</v>
      </c>
      <c r="H312" s="120" t="n">
        <f aca="false">IF(H272&gt;0,1,0)</f>
        <v>0</v>
      </c>
      <c r="I312" s="120" t="n">
        <f aca="false">IF(I272&gt;0,1,0)</f>
        <v>0</v>
      </c>
      <c r="J312" s="120" t="n">
        <f aca="false">IF(J272&gt;0,1,0)</f>
        <v>0</v>
      </c>
      <c r="K312" s="120" t="n">
        <f aca="false">IF(K272&gt;0,1,0)</f>
        <v>0</v>
      </c>
      <c r="L312" s="120" t="n">
        <f aca="false">IF(L272&gt;0,1,0)</f>
        <v>0</v>
      </c>
      <c r="M312" s="120" t="n">
        <f aca="false">IF(M272&gt;0,1,0)</f>
        <v>0</v>
      </c>
      <c r="N312" s="120" t="n">
        <f aca="false">IF(N272&gt;0,1,0)</f>
        <v>0</v>
      </c>
      <c r="O312" s="120" t="n">
        <f aca="false">IF(O272&gt;0,1,0)</f>
        <v>0</v>
      </c>
      <c r="P312" s="120" t="n">
        <f aca="false">IF(P272&gt;0,1,0)</f>
        <v>0</v>
      </c>
      <c r="Q312" s="120" t="n">
        <f aca="false">IF(Q272&gt;0,1,0)</f>
        <v>0</v>
      </c>
      <c r="R312" s="120" t="n">
        <f aca="false">IF(R272&gt;0,1,0)</f>
        <v>0</v>
      </c>
      <c r="S312" s="120" t="n">
        <f aca="false">IF(S272&gt;0,1,0)</f>
        <v>0</v>
      </c>
      <c r="T312" s="120" t="n">
        <f aca="false">IF(T272&gt;0,1,0)</f>
        <v>0</v>
      </c>
      <c r="U312" s="120" t="n">
        <f aca="false">IF(U272&gt;0,1,0)</f>
        <v>0</v>
      </c>
      <c r="V312" s="120" t="n">
        <f aca="false">IF(V272&gt;0,1,0)</f>
        <v>0</v>
      </c>
      <c r="W312" s="120" t="n">
        <f aca="false">IF(W272&gt;0,1,0)</f>
        <v>0</v>
      </c>
      <c r="X312" s="120" t="n">
        <f aca="false">IF(X272&gt;0,1,0)</f>
        <v>0</v>
      </c>
      <c r="Y312" s="120" t="n">
        <f aca="false">IF(Y272&gt;0,1,0)</f>
        <v>0</v>
      </c>
      <c r="Z312" s="120" t="n">
        <f aca="false">IF(Z272&gt;0,1,0)</f>
        <v>1</v>
      </c>
      <c r="AA312" s="120" t="n">
        <f aca="false">IF(AA272&gt;0,1,0)</f>
        <v>0</v>
      </c>
      <c r="AB312" s="120" t="n">
        <f aca="false">IF(AB272&gt;0,1,0)</f>
        <v>0</v>
      </c>
      <c r="AC312" s="120" t="n">
        <f aca="false">IF(AC272&gt;0,1,0)</f>
        <v>0</v>
      </c>
      <c r="AD312" s="120" t="n">
        <f aca="false">IF(AD272&gt;0,1,0)</f>
        <v>0</v>
      </c>
      <c r="AE312" s="120" t="n">
        <f aca="false">IF(AE272&gt;0,1,0)</f>
        <v>0</v>
      </c>
      <c r="AF312" s="120" t="n">
        <f aca="false">IF(AF272&gt;0,1,0)</f>
        <v>0</v>
      </c>
      <c r="AG312" s="120" t="n">
        <f aca="false">IF(AG272&gt;0,1,0)</f>
        <v>0</v>
      </c>
      <c r="AH312" s="120" t="n">
        <f aca="false">IF(AH272&gt;0,1,0)</f>
        <v>1</v>
      </c>
      <c r="AI312" s="120" t="n">
        <f aca="false">IF(AI272&gt;0,1,0)</f>
        <v>1</v>
      </c>
      <c r="AJ312" s="120" t="n">
        <f aca="false">IF(AJ272&gt;0,1,0)</f>
        <v>1</v>
      </c>
      <c r="AK312" s="120" t="n">
        <f aca="false">IF(AK272&gt;0,1,0)</f>
        <v>1</v>
      </c>
      <c r="AL312" s="120" t="n">
        <f aca="false">IF(AL272&gt;0,1,0)</f>
        <v>1</v>
      </c>
      <c r="AM312" s="120" t="n">
        <f aca="false">IF(AM272&gt;0,1,0)</f>
        <v>0</v>
      </c>
      <c r="AN312" s="120" t="n">
        <f aca="false">IF(AN272&gt;0,1,0)</f>
        <v>0</v>
      </c>
      <c r="AO312" s="120" t="n">
        <f aca="false">IF(AO272&gt;0,1,0)</f>
        <v>0</v>
      </c>
      <c r="AP312" s="120" t="n">
        <f aca="false">IF(AP272&gt;0,1,0)</f>
        <v>0</v>
      </c>
      <c r="AQ312" s="120" t="n">
        <f aca="false">IF(AQ272&gt;0,1,0)</f>
        <v>0</v>
      </c>
      <c r="AR312" s="120" t="n">
        <f aca="false">IF(AR272&gt;0,1,0)</f>
        <v>1</v>
      </c>
      <c r="AS312" s="120" t="n">
        <f aca="false">IF(AS272&gt;0,1,0)</f>
        <v>1</v>
      </c>
      <c r="AT312" s="120" t="n">
        <f aca="false">IF(AT272&gt;0,1,0)</f>
        <v>1</v>
      </c>
      <c r="AU312" s="120" t="n">
        <f aca="false">IF(AU272&gt;0,1,0)</f>
        <v>1</v>
      </c>
      <c r="AV312" s="120" t="n">
        <f aca="false">IF(AV272&gt;0,1,0)</f>
        <v>1</v>
      </c>
      <c r="AW312" s="120" t="n">
        <f aca="false">IF(AW272&gt;0,1,0)</f>
        <v>1</v>
      </c>
      <c r="AX312" s="120" t="n">
        <f aca="false">IF(AX272&gt;0,1,0)</f>
        <v>1</v>
      </c>
      <c r="AY312" s="120" t="n">
        <f aca="false">IF(AY272&gt;0,1,0)</f>
        <v>0</v>
      </c>
      <c r="AZ312" s="120" t="n">
        <f aca="false">IF(AZ272&gt;0,1,0)</f>
        <v>0</v>
      </c>
      <c r="BA312" s="120" t="n">
        <f aca="false">IF(BA272&gt;0,1,0)</f>
        <v>0</v>
      </c>
      <c r="BB312" s="120" t="n">
        <f aca="false">IF(BB272&gt;0,1,0)</f>
        <v>0</v>
      </c>
      <c r="BC312" s="120" t="n">
        <f aca="false">IF(BC272&gt;0,1,0)</f>
        <v>0</v>
      </c>
      <c r="BD312" s="120" t="n">
        <f aca="false">IF(BD272&gt;0,1,0)</f>
        <v>1</v>
      </c>
      <c r="BE312" s="120" t="n">
        <f aca="false">IF(BE272&gt;0,1,0)</f>
        <v>1</v>
      </c>
      <c r="BF312" s="120" t="n">
        <f aca="false">IF(BF272&gt;0,1,0)</f>
        <v>1</v>
      </c>
      <c r="BG312" s="120" t="n">
        <f aca="false">IF(BG272&gt;0,1,0)</f>
        <v>1</v>
      </c>
      <c r="BH312" s="120" t="n">
        <f aca="false">IF(BH272&gt;0,1,0)</f>
        <v>1</v>
      </c>
      <c r="BI312" s="120" t="n">
        <f aca="false">IF(BI272&gt;0,1,0)</f>
        <v>1</v>
      </c>
      <c r="BJ312" s="120" t="n">
        <f aca="false">IF(BJ272&gt;0,1,0)</f>
        <v>1</v>
      </c>
    </row>
    <row r="313" customFormat="false" ht="15" hidden="false" customHeight="false" outlineLevel="0" collapsed="false">
      <c r="A313" s="6" t="s">
        <v>428</v>
      </c>
      <c r="C313" s="66" t="n">
        <f aca="false">C298+C299</f>
        <v>-80088.4816666667</v>
      </c>
      <c r="D313" s="66" t="n">
        <f aca="false">D298+D299</f>
        <v>-59985.2433738095</v>
      </c>
      <c r="E313" s="66" t="n">
        <f aca="false">E298+E299</f>
        <v>-55724.3847257857</v>
      </c>
      <c r="F313" s="66" t="n">
        <f aca="false">F298+F299</f>
        <v>-51505.5368456707</v>
      </c>
      <c r="G313" s="66" t="n">
        <f aca="false">G298+G299</f>
        <v>-47328.2915821569</v>
      </c>
      <c r="H313" s="66" t="n">
        <f aca="false">H298+H299</f>
        <v>-43192.2446263222</v>
      </c>
      <c r="I313" s="66" t="n">
        <f aca="false">I298+I299</f>
        <v>-39096.9954779889</v>
      </c>
      <c r="J313" s="66" t="n">
        <f aca="false">J298+J299</f>
        <v>-35042.1474123233</v>
      </c>
      <c r="K313" s="66" t="n">
        <f aca="false">K298+K299</f>
        <v>-31027.3074466748</v>
      </c>
      <c r="L313" s="66" t="n">
        <f aca="false">L298+L299</f>
        <v>-27052.0863076562</v>
      </c>
      <c r="M313" s="66" t="n">
        <f aca="false">M298+M299</f>
        <v>-23116.0983984617</v>
      </c>
      <c r="N313" s="66" t="n">
        <f aca="false">N298+N299</f>
        <v>-19218.9617664244</v>
      </c>
      <c r="O313" s="66" t="n">
        <f aca="false">O298+O299</f>
        <v>-48855.8239041447</v>
      </c>
      <c r="P313" s="66" t="n">
        <f aca="false">P298+P299</f>
        <v>-43377.0565306182</v>
      </c>
      <c r="Q313" s="66" t="n">
        <f aca="false">Q298+Q299</f>
        <v>-37878.6580911357</v>
      </c>
      <c r="R313" s="66" t="n">
        <f aca="false">R298+R299</f>
        <v>-32434.5729821029</v>
      </c>
      <c r="S313" s="66" t="n">
        <f aca="false">S298+S299</f>
        <v>-27044.2714832944</v>
      </c>
      <c r="T313" s="66" t="n">
        <f aca="false">T298+T299</f>
        <v>-21707.2289034251</v>
      </c>
      <c r="U313" s="66" t="n">
        <f aca="false">U298+U299</f>
        <v>-16422.9255352266</v>
      </c>
      <c r="V313" s="66" t="n">
        <f aca="false">V298+V299</f>
        <v>-11190.8466108649</v>
      </c>
      <c r="W313" s="66" t="n">
        <f aca="false">W298+W299</f>
        <v>-6010.48225769839</v>
      </c>
      <c r="X313" s="66" t="n">
        <f aca="false">X298+X299</f>
        <v>-881.327454376084</v>
      </c>
      <c r="Y313" s="66" t="n">
        <f aca="false">Y298+Y299</f>
        <v>4197.11801272656</v>
      </c>
      <c r="Z313" s="66" t="n">
        <f aca="false">Z298+Z299</f>
        <v>9225.34959273563</v>
      </c>
      <c r="AA313" s="66" t="n">
        <f aca="false">AA298+AA299</f>
        <v>-37759.2867743295</v>
      </c>
      <c r="AB313" s="66" t="n">
        <f aca="false">AB298+AB299</f>
        <v>-30408.2474453371</v>
      </c>
      <c r="AC313" s="66" t="n">
        <f aca="false">AC298+AC299</f>
        <v>-23021.6051563524</v>
      </c>
      <c r="AD313" s="66" t="n">
        <f aca="false">AD298+AD299</f>
        <v>-15708.0210790338</v>
      </c>
      <c r="AE313" s="66" t="n">
        <f aca="false">AE298+AE299</f>
        <v>-8466.78079548929</v>
      </c>
      <c r="AF313" s="66" t="n">
        <f aca="false">AF298+AF299</f>
        <v>-1297.176708721</v>
      </c>
      <c r="AG313" s="66" t="n">
        <f aca="false">AG298+AG299</f>
        <v>5801.49201911762</v>
      </c>
      <c r="AH313" s="66" t="n">
        <f aca="false">AH298+AH299</f>
        <v>12829.9195279772</v>
      </c>
      <c r="AI313" s="66" t="n">
        <f aca="false">AI298+AI299</f>
        <v>19788.7933206813</v>
      </c>
      <c r="AJ313" s="66" t="n">
        <f aca="false">AJ298+AJ299</f>
        <v>26678.7943232131</v>
      </c>
      <c r="AK313" s="66" t="n">
        <f aca="false">AK298+AK299</f>
        <v>33500.596944519</v>
      </c>
      <c r="AL313" s="66" t="n">
        <f aca="false">AL298+AL299</f>
        <v>40254.8691358355</v>
      </c>
      <c r="AM313" s="66" t="n">
        <f aca="false">AM298+AM299</f>
        <v>-33773.6620067748</v>
      </c>
      <c r="AN313" s="66" t="n">
        <f aca="false">AN298+AN299</f>
        <v>-23577.417244328</v>
      </c>
      <c r="AO313" s="66" t="n">
        <f aca="false">AO298+AO299</f>
        <v>-13321.3639574819</v>
      </c>
      <c r="AP313" s="66" t="n">
        <f aca="false">AP298+AP299</f>
        <v>-3166.83851871212</v>
      </c>
      <c r="AQ313" s="66" t="n">
        <f aca="false">AQ298+AQ299</f>
        <v>6887.15369676613</v>
      </c>
      <c r="AR313" s="66" t="n">
        <f aca="false">AR298+AR299</f>
        <v>16841.597780564</v>
      </c>
      <c r="AS313" s="66" t="n">
        <f aca="false">AS298+AS299</f>
        <v>26697.4693781886</v>
      </c>
      <c r="AT313" s="66" t="n">
        <f aca="false">AT298+AT299</f>
        <v>36455.7347754085</v>
      </c>
      <c r="AU313" s="66" t="n">
        <f aca="false">AU298+AU299</f>
        <v>46117.3509839164</v>
      </c>
      <c r="AV313" s="66" t="n">
        <f aca="false">AV298+AV299</f>
        <v>55683.2658262941</v>
      </c>
      <c r="AW313" s="66" t="n">
        <f aca="false">AW298+AW299</f>
        <v>65154.4180202836</v>
      </c>
      <c r="AX313" s="66" t="n">
        <f aca="false">AX298+AX299</f>
        <v>74531.7372623687</v>
      </c>
      <c r="AY313" s="66" t="n">
        <f aca="false">AY298+AY299</f>
        <v>-41680.9674421852</v>
      </c>
      <c r="AZ313" s="66" t="n">
        <f aca="false">AZ298+AZ299</f>
        <v>-27159.188392635</v>
      </c>
      <c r="BA313" s="66" t="n">
        <f aca="false">BA298+BA299</f>
        <v>-12540.3951878239</v>
      </c>
      <c r="BB313" s="66" t="n">
        <f aca="false">BB298+BB299</f>
        <v>1933.58882523</v>
      </c>
      <c r="BC313" s="66" t="n">
        <f aca="false">BC298+BC299</f>
        <v>16264.1841636385</v>
      </c>
      <c r="BD313" s="66" t="n">
        <f aca="false">BD298+BD299</f>
        <v>30452.7976908383</v>
      </c>
      <c r="BE313" s="66" t="n">
        <f aca="false">BE298+BE299</f>
        <v>44500.8227420984</v>
      </c>
      <c r="BF313" s="66" t="n">
        <f aca="false">BF298+BF299</f>
        <v>58409.6392489909</v>
      </c>
      <c r="BG313" s="66" t="n">
        <f aca="false">BG298+BG299</f>
        <v>72180.613862837</v>
      </c>
      <c r="BH313" s="66" t="n">
        <f aca="false">BH298+BH299</f>
        <v>85815.1000771266</v>
      </c>
      <c r="BI313" s="66" t="n">
        <f aca="false">BI298+BI299</f>
        <v>99314.4383489235</v>
      </c>
      <c r="BJ313" s="66" t="n">
        <f aca="false">BJ298+BJ299</f>
        <v>112679.95621926</v>
      </c>
    </row>
    <row r="314" customFormat="false" ht="15" hidden="false" customHeight="false" outlineLevel="0" collapsed="false">
      <c r="A314" s="6" t="s">
        <v>429</v>
      </c>
      <c r="C314" s="66" t="n">
        <f aca="false">C313</f>
        <v>-80088.4816666667</v>
      </c>
      <c r="D314" s="66" t="n">
        <f aca="false">C314+D313</f>
        <v>-140073.725040476</v>
      </c>
      <c r="E314" s="66" t="n">
        <f aca="false">D314+E313</f>
        <v>-195798.109766262</v>
      </c>
      <c r="F314" s="66" t="n">
        <f aca="false">E314+F313</f>
        <v>-247303.646611933</v>
      </c>
      <c r="G314" s="66" t="n">
        <f aca="false">F314+G313</f>
        <v>-294631.938194089</v>
      </c>
      <c r="H314" s="66" t="n">
        <f aca="false">G314+H313</f>
        <v>-337824.182820412</v>
      </c>
      <c r="I314" s="66" t="n">
        <f aca="false">H314+I313</f>
        <v>-376921.178298401</v>
      </c>
      <c r="J314" s="66" t="n">
        <f aca="false">I314+J313</f>
        <v>-411963.325710724</v>
      </c>
      <c r="K314" s="66" t="n">
        <f aca="false">J314+K313</f>
        <v>-442990.633157399</v>
      </c>
      <c r="L314" s="66" t="n">
        <f aca="false">K314+L313</f>
        <v>-470042.719465055</v>
      </c>
      <c r="M314" s="66" t="n">
        <f aca="false">L314+M313</f>
        <v>-493158.817863517</v>
      </c>
      <c r="N314" s="66" t="n">
        <f aca="false">M314+N313</f>
        <v>-512377.779629941</v>
      </c>
      <c r="O314" s="66" t="n">
        <f aca="false">N314+O313</f>
        <v>-561233.603534086</v>
      </c>
      <c r="P314" s="66" t="n">
        <f aca="false">O314+P313</f>
        <v>-604610.660064704</v>
      </c>
      <c r="Q314" s="66" t="n">
        <f aca="false">P314+Q313</f>
        <v>-642489.31815584</v>
      </c>
      <c r="R314" s="66" t="n">
        <f aca="false">Q314+R313</f>
        <v>-674923.891137942</v>
      </c>
      <c r="S314" s="66" t="n">
        <f aca="false">R314+S313</f>
        <v>-701968.162621237</v>
      </c>
      <c r="T314" s="66" t="n">
        <f aca="false">S314+T313</f>
        <v>-723675.391524662</v>
      </c>
      <c r="U314" s="66" t="n">
        <f aca="false">T314+U313</f>
        <v>-740098.317059888</v>
      </c>
      <c r="V314" s="66" t="n">
        <f aca="false">U314+V313</f>
        <v>-751289.163670753</v>
      </c>
      <c r="W314" s="66" t="n">
        <f aca="false">V314+W313</f>
        <v>-757299.645928452</v>
      </c>
      <c r="X314" s="66" t="n">
        <f aca="false">W314+X313</f>
        <v>-758180.973382828</v>
      </c>
      <c r="Y314" s="66" t="n">
        <f aca="false">X314+Y313</f>
        <v>-753983.855370101</v>
      </c>
      <c r="Z314" s="66" t="n">
        <f aca="false">Y314+Z313</f>
        <v>-744758.505777365</v>
      </c>
      <c r="AA314" s="66" t="n">
        <f aca="false">Z314+AA313</f>
        <v>-782517.792551695</v>
      </c>
      <c r="AB314" s="66" t="n">
        <f aca="false">AA314+AB313</f>
        <v>-812926.039997032</v>
      </c>
      <c r="AC314" s="66" t="n">
        <f aca="false">AB314+AC313</f>
        <v>-835947.645153384</v>
      </c>
      <c r="AD314" s="66" t="n">
        <f aca="false">AC314+AD313</f>
        <v>-851655.666232418</v>
      </c>
      <c r="AE314" s="66" t="n">
        <f aca="false">AD314+AE313</f>
        <v>-860122.447027908</v>
      </c>
      <c r="AF314" s="66" t="n">
        <f aca="false">AE314+AF313</f>
        <v>-861419.623736629</v>
      </c>
      <c r="AG314" s="66" t="n">
        <f aca="false">AF314+AG313</f>
        <v>-855618.131717511</v>
      </c>
      <c r="AH314" s="66" t="n">
        <f aca="false">AG314+AH313</f>
        <v>-842788.212189534</v>
      </c>
      <c r="AI314" s="66" t="n">
        <f aca="false">AH314+AI313</f>
        <v>-822999.418868852</v>
      </c>
      <c r="AJ314" s="66" t="n">
        <f aca="false">AI314+AJ313</f>
        <v>-796320.624545639</v>
      </c>
      <c r="AK314" s="66" t="n">
        <f aca="false">AJ314+AK313</f>
        <v>-762820.02760112</v>
      </c>
      <c r="AL314" s="66" t="n">
        <f aca="false">AK314+AL313</f>
        <v>-722565.158465285</v>
      </c>
      <c r="AM314" s="66" t="n">
        <f aca="false">AL314+AM313</f>
        <v>-756338.82047206</v>
      </c>
      <c r="AN314" s="66" t="n">
        <f aca="false">AM314+AN313</f>
        <v>-779916.237716388</v>
      </c>
      <c r="AO314" s="66" t="n">
        <f aca="false">AN314+AO313</f>
        <v>-793237.60167387</v>
      </c>
      <c r="AP314" s="66" t="n">
        <f aca="false">AO314+AP313</f>
        <v>-796404.440192582</v>
      </c>
      <c r="AQ314" s="66" t="n">
        <f aca="false">AP314+AQ313</f>
        <v>-789517.286495816</v>
      </c>
      <c r="AR314" s="66" t="n">
        <f aca="false">AQ314+AR313</f>
        <v>-772675.688715252</v>
      </c>
      <c r="AS314" s="66" t="n">
        <f aca="false">AR314+AS313</f>
        <v>-745978.219337063</v>
      </c>
      <c r="AT314" s="66" t="n">
        <f aca="false">AS314+AT313</f>
        <v>-709522.484561655</v>
      </c>
      <c r="AU314" s="66" t="n">
        <f aca="false">AT314+AU313</f>
        <v>-663405.133577738</v>
      </c>
      <c r="AV314" s="66" t="n">
        <f aca="false">AU314+AV313</f>
        <v>-607721.867751444</v>
      </c>
      <c r="AW314" s="66" t="n">
        <f aca="false">AV314+AW313</f>
        <v>-542567.44973116</v>
      </c>
      <c r="AX314" s="66" t="n">
        <f aca="false">AW314+AX313</f>
        <v>-468035.712468792</v>
      </c>
      <c r="AY314" s="66" t="n">
        <f aca="false">AX314+AY313</f>
        <v>-509716.679910977</v>
      </c>
      <c r="AZ314" s="66" t="n">
        <f aca="false">AY314+AZ313</f>
        <v>-536875.868303612</v>
      </c>
      <c r="BA314" s="66" t="n">
        <f aca="false">AZ314+BA313</f>
        <v>-549416.263491436</v>
      </c>
      <c r="BB314" s="66" t="n">
        <f aca="false">BA314+BB313</f>
        <v>-547482.674666206</v>
      </c>
      <c r="BC314" s="66" t="n">
        <f aca="false">BB314+BC313</f>
        <v>-531218.490502567</v>
      </c>
      <c r="BD314" s="66" t="n">
        <f aca="false">BC314+BD313</f>
        <v>-500765.692811729</v>
      </c>
      <c r="BE314" s="66" t="n">
        <f aca="false">BD314+BE313</f>
        <v>-456264.87006963</v>
      </c>
      <c r="BF314" s="66" t="n">
        <f aca="false">BE314+BF313</f>
        <v>-397855.23082064</v>
      </c>
      <c r="BG314" s="66" t="n">
        <f aca="false">BF314+BG313</f>
        <v>-325674.616957803</v>
      </c>
      <c r="BH314" s="66" t="n">
        <f aca="false">BG314+BH313</f>
        <v>-239859.516880676</v>
      </c>
      <c r="BI314" s="66" t="n">
        <f aca="false">BH314+BI313</f>
        <v>-140545.078531752</v>
      </c>
      <c r="BJ314" s="66" t="n">
        <f aca="false">BI314+BJ313</f>
        <v>-27865.1223124927</v>
      </c>
    </row>
    <row r="315" customFormat="false" ht="15" hidden="false" customHeight="false" outlineLevel="0" collapsed="false">
      <c r="A315" s="119" t="s">
        <v>430</v>
      </c>
      <c r="C315" s="66" t="n">
        <f aca="false">C314</f>
        <v>-80088.4816666667</v>
      </c>
      <c r="D315" s="66" t="n">
        <f aca="false">MIN(C315,D314)</f>
        <v>-140073.725040476</v>
      </c>
      <c r="E315" s="66" t="n">
        <f aca="false">MIN(D315,E314)</f>
        <v>-195798.109766262</v>
      </c>
      <c r="F315" s="66" t="n">
        <f aca="false">MIN(E315,F314)</f>
        <v>-247303.646611933</v>
      </c>
      <c r="G315" s="66" t="n">
        <f aca="false">MIN(F315,G314)</f>
        <v>-294631.938194089</v>
      </c>
      <c r="H315" s="66" t="n">
        <f aca="false">MIN(G315,H314)</f>
        <v>-337824.182820412</v>
      </c>
      <c r="I315" s="66" t="n">
        <f aca="false">MIN(H315,I314)</f>
        <v>-376921.178298401</v>
      </c>
      <c r="J315" s="66" t="n">
        <f aca="false">MIN(I315,J314)</f>
        <v>-411963.325710724</v>
      </c>
      <c r="K315" s="66" t="n">
        <f aca="false">MIN(J315,K314)</f>
        <v>-442990.633157399</v>
      </c>
      <c r="L315" s="66" t="n">
        <f aca="false">MIN(K315,L314)</f>
        <v>-470042.719465055</v>
      </c>
      <c r="M315" s="66" t="n">
        <f aca="false">MIN(L315,M314)</f>
        <v>-493158.817863517</v>
      </c>
      <c r="N315" s="66" t="n">
        <f aca="false">MIN(M315,N314)</f>
        <v>-512377.779629941</v>
      </c>
      <c r="O315" s="66" t="n">
        <f aca="false">MIN(N315,O314)</f>
        <v>-561233.603534086</v>
      </c>
      <c r="P315" s="66" t="n">
        <f aca="false">MIN(O315,P314)</f>
        <v>-604610.660064704</v>
      </c>
      <c r="Q315" s="66" t="n">
        <f aca="false">MIN(P315,Q314)</f>
        <v>-642489.31815584</v>
      </c>
      <c r="R315" s="66" t="n">
        <f aca="false">MIN(Q315,R314)</f>
        <v>-674923.891137942</v>
      </c>
      <c r="S315" s="66" t="n">
        <f aca="false">MIN(R315,S314)</f>
        <v>-701968.162621237</v>
      </c>
      <c r="T315" s="66" t="n">
        <f aca="false">MIN(S315,T314)</f>
        <v>-723675.391524662</v>
      </c>
      <c r="U315" s="66" t="n">
        <f aca="false">MIN(T315,U314)</f>
        <v>-740098.317059888</v>
      </c>
      <c r="V315" s="66" t="n">
        <f aca="false">MIN(U315,V314)</f>
        <v>-751289.163670753</v>
      </c>
      <c r="W315" s="66" t="n">
        <f aca="false">MIN(V315,W314)</f>
        <v>-757299.645928452</v>
      </c>
      <c r="X315" s="66" t="n">
        <f aca="false">MIN(W315,X314)</f>
        <v>-758180.973382828</v>
      </c>
      <c r="Y315" s="66" t="n">
        <f aca="false">MIN(X315,Y314)</f>
        <v>-758180.973382828</v>
      </c>
      <c r="Z315" s="66" t="n">
        <f aca="false">MIN(Y315,Z314)</f>
        <v>-758180.973382828</v>
      </c>
      <c r="AA315" s="66" t="n">
        <f aca="false">MIN(Z315,AA314)</f>
        <v>-782517.792551695</v>
      </c>
      <c r="AB315" s="66" t="n">
        <f aca="false">MIN(AA315,AB314)</f>
        <v>-812926.039997032</v>
      </c>
      <c r="AC315" s="66" t="n">
        <f aca="false">MIN(AB315,AC314)</f>
        <v>-835947.645153384</v>
      </c>
      <c r="AD315" s="66" t="n">
        <f aca="false">MIN(AC315,AD314)</f>
        <v>-851655.666232418</v>
      </c>
      <c r="AE315" s="66" t="n">
        <f aca="false">MIN(AD315,AE314)</f>
        <v>-860122.447027908</v>
      </c>
      <c r="AF315" s="66" t="n">
        <f aca="false">MIN(AE315,AF314)</f>
        <v>-861419.623736629</v>
      </c>
      <c r="AG315" s="66" t="n">
        <f aca="false">MIN(AF315,AG314)</f>
        <v>-861419.623736629</v>
      </c>
      <c r="AH315" s="66" t="n">
        <f aca="false">MIN(AG315,AH314)</f>
        <v>-861419.623736629</v>
      </c>
      <c r="AI315" s="66" t="n">
        <f aca="false">MIN(AH315,AI314)</f>
        <v>-861419.623736629</v>
      </c>
      <c r="AJ315" s="66" t="n">
        <f aca="false">MIN(AI315,AJ314)</f>
        <v>-861419.623736629</v>
      </c>
      <c r="AK315" s="66" t="n">
        <f aca="false">MIN(AJ315,AK314)</f>
        <v>-861419.623736629</v>
      </c>
      <c r="AL315" s="66" t="n">
        <f aca="false">MIN(AK315,AL314)</f>
        <v>-861419.623736629</v>
      </c>
      <c r="AM315" s="66" t="n">
        <f aca="false">MIN(AL315,AM314)</f>
        <v>-861419.623736629</v>
      </c>
      <c r="AN315" s="66" t="n">
        <f aca="false">MIN(AM315,AN314)</f>
        <v>-861419.623736629</v>
      </c>
      <c r="AO315" s="66" t="n">
        <f aca="false">MIN(AN315,AO314)</f>
        <v>-861419.623736629</v>
      </c>
      <c r="AP315" s="66" t="n">
        <f aca="false">MIN(AO315,AP314)</f>
        <v>-861419.623736629</v>
      </c>
      <c r="AQ315" s="66" t="n">
        <f aca="false">MIN(AP315,AQ314)</f>
        <v>-861419.623736629</v>
      </c>
      <c r="AR315" s="66" t="n">
        <f aca="false">MIN(AQ315,AR314)</f>
        <v>-861419.623736629</v>
      </c>
      <c r="AS315" s="66" t="n">
        <f aca="false">MIN(AR315,AS314)</f>
        <v>-861419.623736629</v>
      </c>
      <c r="AT315" s="66" t="n">
        <f aca="false">MIN(AS315,AT314)</f>
        <v>-861419.623736629</v>
      </c>
      <c r="AU315" s="66" t="n">
        <f aca="false">MIN(AT315,AU314)</f>
        <v>-861419.623736629</v>
      </c>
      <c r="AV315" s="66" t="n">
        <f aca="false">MIN(AU315,AV314)</f>
        <v>-861419.623736629</v>
      </c>
      <c r="AW315" s="66" t="n">
        <f aca="false">MIN(AV315,AW314)</f>
        <v>-861419.623736629</v>
      </c>
      <c r="AX315" s="66" t="n">
        <f aca="false">MIN(AW315,AX314)</f>
        <v>-861419.623736629</v>
      </c>
      <c r="AY315" s="66" t="n">
        <f aca="false">MIN(AX315,AY314)</f>
        <v>-861419.623736629</v>
      </c>
      <c r="AZ315" s="66" t="n">
        <f aca="false">MIN(AY315,AZ314)</f>
        <v>-861419.623736629</v>
      </c>
      <c r="BA315" s="66" t="n">
        <f aca="false">MIN(AZ315,BA314)</f>
        <v>-861419.623736629</v>
      </c>
      <c r="BB315" s="66" t="n">
        <f aca="false">MIN(BA315,BB314)</f>
        <v>-861419.623736629</v>
      </c>
      <c r="BC315" s="66" t="n">
        <f aca="false">MIN(BB315,BC314)</f>
        <v>-861419.623736629</v>
      </c>
      <c r="BD315" s="66" t="n">
        <f aca="false">MIN(BC315,BD314)</f>
        <v>-861419.623736629</v>
      </c>
      <c r="BE315" s="66" t="n">
        <f aca="false">MIN(BD315,BE314)</f>
        <v>-861419.623736629</v>
      </c>
      <c r="BF315" s="66" t="n">
        <f aca="false">MIN(BE315,BF314)</f>
        <v>-861419.623736629</v>
      </c>
      <c r="BG315" s="66" t="n">
        <f aca="false">MIN(BF315,BG314)</f>
        <v>-861419.623736629</v>
      </c>
      <c r="BH315" s="66" t="n">
        <f aca="false">MIN(BG315,BH314)</f>
        <v>-861419.623736629</v>
      </c>
      <c r="BI315" s="66" t="n">
        <f aca="false">MIN(BH315,BI314)</f>
        <v>-861419.623736629</v>
      </c>
      <c r="BJ315" s="66" t="n">
        <f aca="false">MIN(BI315,BJ314)</f>
        <v>-861419.623736629</v>
      </c>
    </row>
    <row r="316" customFormat="false" ht="15" hidden="false" customHeight="false" outlineLevel="0" collapsed="false">
      <c r="A316" s="119" t="s">
        <v>431</v>
      </c>
      <c r="C316" s="120" t="n">
        <f aca="false">IF(AND(C314&gt;=0,C315&lt;0),1,0)</f>
        <v>0</v>
      </c>
      <c r="D316" s="120" t="n">
        <f aca="false">IF(AND(D314&gt;=0,D315&lt;0),1,0)</f>
        <v>0</v>
      </c>
      <c r="E316" s="120" t="n">
        <f aca="false">IF(AND(E314&gt;=0,E315&lt;0),1,0)</f>
        <v>0</v>
      </c>
      <c r="F316" s="120" t="n">
        <f aca="false">IF(AND(F314&gt;=0,F315&lt;0),1,0)</f>
        <v>0</v>
      </c>
      <c r="G316" s="120" t="n">
        <f aca="false">IF(AND(G314&gt;=0,G315&lt;0),1,0)</f>
        <v>0</v>
      </c>
      <c r="H316" s="120" t="n">
        <f aca="false">IF(AND(H314&gt;=0,H315&lt;0),1,0)</f>
        <v>0</v>
      </c>
      <c r="I316" s="120" t="n">
        <f aca="false">IF(AND(I314&gt;=0,I315&lt;0),1,0)</f>
        <v>0</v>
      </c>
      <c r="J316" s="120" t="n">
        <f aca="false">IF(AND(J314&gt;=0,J315&lt;0),1,0)</f>
        <v>0</v>
      </c>
      <c r="K316" s="120" t="n">
        <f aca="false">IF(AND(K314&gt;=0,K315&lt;0),1,0)</f>
        <v>0</v>
      </c>
      <c r="L316" s="120" t="n">
        <f aca="false">IF(AND(L314&gt;=0,L315&lt;0),1,0)</f>
        <v>0</v>
      </c>
      <c r="M316" s="120" t="n">
        <f aca="false">IF(AND(M314&gt;=0,M315&lt;0),1,0)</f>
        <v>0</v>
      </c>
      <c r="N316" s="120" t="n">
        <f aca="false">IF(AND(N314&gt;=0,N315&lt;0),1,0)</f>
        <v>0</v>
      </c>
      <c r="O316" s="120" t="n">
        <f aca="false">IF(AND(O314&gt;=0,O315&lt;0),1,0)</f>
        <v>0</v>
      </c>
      <c r="P316" s="120" t="n">
        <f aca="false">IF(AND(P314&gt;=0,P315&lt;0),1,0)</f>
        <v>0</v>
      </c>
      <c r="Q316" s="120" t="n">
        <f aca="false">IF(AND(Q314&gt;=0,Q315&lt;0),1,0)</f>
        <v>0</v>
      </c>
      <c r="R316" s="120" t="n">
        <f aca="false">IF(AND(R314&gt;=0,R315&lt;0),1,0)</f>
        <v>0</v>
      </c>
      <c r="S316" s="120" t="n">
        <f aca="false">IF(AND(S314&gt;=0,S315&lt;0),1,0)</f>
        <v>0</v>
      </c>
      <c r="T316" s="120" t="n">
        <f aca="false">IF(AND(T314&gt;=0,T315&lt;0),1,0)</f>
        <v>0</v>
      </c>
      <c r="U316" s="120" t="n">
        <f aca="false">IF(AND(U314&gt;=0,U315&lt;0),1,0)</f>
        <v>0</v>
      </c>
      <c r="V316" s="120" t="n">
        <f aca="false">IF(AND(V314&gt;=0,V315&lt;0),1,0)</f>
        <v>0</v>
      </c>
      <c r="W316" s="120" t="n">
        <f aca="false">IF(AND(W314&gt;=0,W315&lt;0),1,0)</f>
        <v>0</v>
      </c>
      <c r="X316" s="120" t="n">
        <f aca="false">IF(AND(X314&gt;=0,X315&lt;0),1,0)</f>
        <v>0</v>
      </c>
      <c r="Y316" s="120" t="n">
        <f aca="false">IF(AND(Y314&gt;=0,Y315&lt;0),1,0)</f>
        <v>0</v>
      </c>
      <c r="Z316" s="120" t="n">
        <f aca="false">IF(AND(Z314&gt;=0,Z315&lt;0),1,0)</f>
        <v>0</v>
      </c>
      <c r="AA316" s="120" t="n">
        <f aca="false">IF(AND(AA314&gt;=0,AA315&lt;0),1,0)</f>
        <v>0</v>
      </c>
      <c r="AB316" s="120" t="n">
        <f aca="false">IF(AND(AB314&gt;=0,AB315&lt;0),1,0)</f>
        <v>0</v>
      </c>
      <c r="AC316" s="120" t="n">
        <f aca="false">IF(AND(AC314&gt;=0,AC315&lt;0),1,0)</f>
        <v>0</v>
      </c>
      <c r="AD316" s="120" t="n">
        <f aca="false">IF(AND(AD314&gt;=0,AD315&lt;0),1,0)</f>
        <v>0</v>
      </c>
      <c r="AE316" s="120" t="n">
        <f aca="false">IF(AND(AE314&gt;=0,AE315&lt;0),1,0)</f>
        <v>0</v>
      </c>
      <c r="AF316" s="120" t="n">
        <f aca="false">IF(AND(AF314&gt;=0,AF315&lt;0),1,0)</f>
        <v>0</v>
      </c>
      <c r="AG316" s="120" t="n">
        <f aca="false">IF(AND(AG314&gt;=0,AG315&lt;0),1,0)</f>
        <v>0</v>
      </c>
      <c r="AH316" s="120" t="n">
        <f aca="false">IF(AND(AH314&gt;=0,AH315&lt;0),1,0)</f>
        <v>0</v>
      </c>
      <c r="AI316" s="120" t="n">
        <f aca="false">IF(AND(AI314&gt;=0,AI315&lt;0),1,0)</f>
        <v>0</v>
      </c>
      <c r="AJ316" s="120" t="n">
        <f aca="false">IF(AND(AJ314&gt;=0,AJ315&lt;0),1,0)</f>
        <v>0</v>
      </c>
      <c r="AK316" s="120" t="n">
        <f aca="false">IF(AND(AK314&gt;=0,AK315&lt;0),1,0)</f>
        <v>0</v>
      </c>
      <c r="AL316" s="120" t="n">
        <f aca="false">IF(AND(AL314&gt;=0,AL315&lt;0),1,0)</f>
        <v>0</v>
      </c>
      <c r="AM316" s="120" t="n">
        <f aca="false">IF(AND(AM314&gt;=0,AM315&lt;0),1,0)</f>
        <v>0</v>
      </c>
      <c r="AN316" s="120" t="n">
        <f aca="false">IF(AND(AN314&gt;=0,AN315&lt;0),1,0)</f>
        <v>0</v>
      </c>
      <c r="AO316" s="120" t="n">
        <f aca="false">IF(AND(AO314&gt;=0,AO315&lt;0),1,0)</f>
        <v>0</v>
      </c>
      <c r="AP316" s="120" t="n">
        <f aca="false">IF(AND(AP314&gt;=0,AP315&lt;0),1,0)</f>
        <v>0</v>
      </c>
      <c r="AQ316" s="120" t="n">
        <f aca="false">IF(AND(AQ314&gt;=0,AQ315&lt;0),1,0)</f>
        <v>0</v>
      </c>
      <c r="AR316" s="120" t="n">
        <f aca="false">IF(AND(AR314&gt;=0,AR315&lt;0),1,0)</f>
        <v>0</v>
      </c>
      <c r="AS316" s="120" t="n">
        <f aca="false">IF(AND(AS314&gt;=0,AS315&lt;0),1,0)</f>
        <v>0</v>
      </c>
      <c r="AT316" s="120" t="n">
        <f aca="false">IF(AND(AT314&gt;=0,AT315&lt;0),1,0)</f>
        <v>0</v>
      </c>
      <c r="AU316" s="120" t="n">
        <f aca="false">IF(AND(AU314&gt;=0,AU315&lt;0),1,0)</f>
        <v>0</v>
      </c>
      <c r="AV316" s="120" t="n">
        <f aca="false">IF(AND(AV314&gt;=0,AV315&lt;0),1,0)</f>
        <v>0</v>
      </c>
      <c r="AW316" s="120" t="n">
        <f aca="false">IF(AND(AW314&gt;=0,AW315&lt;0),1,0)</f>
        <v>0</v>
      </c>
      <c r="AX316" s="120" t="n">
        <f aca="false">IF(AND(AX314&gt;=0,AX315&lt;0),1,0)</f>
        <v>0</v>
      </c>
      <c r="AY316" s="120" t="n">
        <f aca="false">IF(AND(AY314&gt;=0,AY315&lt;0),1,0)</f>
        <v>0</v>
      </c>
      <c r="AZ316" s="120" t="n">
        <f aca="false">IF(AND(AZ314&gt;=0,AZ315&lt;0),1,0)</f>
        <v>0</v>
      </c>
      <c r="BA316" s="120" t="n">
        <f aca="false">IF(AND(BA314&gt;=0,BA315&lt;0),1,0)</f>
        <v>0</v>
      </c>
      <c r="BB316" s="120" t="n">
        <f aca="false">IF(AND(BB314&gt;=0,BB315&lt;0),1,0)</f>
        <v>0</v>
      </c>
      <c r="BC316" s="120" t="n">
        <f aca="false">IF(AND(BC314&gt;=0,BC315&lt;0),1,0)</f>
        <v>0</v>
      </c>
      <c r="BD316" s="120" t="n">
        <f aca="false">IF(AND(BD314&gt;=0,BD315&lt;0),1,0)</f>
        <v>0</v>
      </c>
      <c r="BE316" s="120" t="n">
        <f aca="false">IF(AND(BE314&gt;=0,BE315&lt;0),1,0)</f>
        <v>0</v>
      </c>
      <c r="BF316" s="120" t="n">
        <f aca="false">IF(AND(BF314&gt;=0,BF315&lt;0),1,0)</f>
        <v>0</v>
      </c>
      <c r="BG316" s="120" t="n">
        <f aca="false">IF(AND(BG314&gt;=0,BG315&lt;0),1,0)</f>
        <v>0</v>
      </c>
      <c r="BH316" s="120" t="n">
        <f aca="false">IF(AND(BH314&gt;=0,BH315&lt;0),1,0)</f>
        <v>0</v>
      </c>
      <c r="BI316" s="120" t="n">
        <f aca="false">IF(AND(BI314&gt;=0,BI315&lt;0),1,0)</f>
        <v>0</v>
      </c>
      <c r="BJ316" s="120" t="n">
        <f aca="false">IF(AND(BJ314&gt;=0,BJ315&lt;0),1,0)</f>
        <v>0</v>
      </c>
    </row>
    <row r="317" customFormat="false" ht="15" hidden="false" customHeight="false" outlineLevel="0" collapsed="false">
      <c r="A317" s="6" t="s">
        <v>432</v>
      </c>
      <c r="C317" s="66" t="n">
        <f aca="false">C298-C267*(1-Inputs!$D$58)+C299</f>
        <v>-80088.4816666667</v>
      </c>
      <c r="D317" s="66" t="n">
        <f aca="false">D298-D267*(1-Inputs!$D$58)+D299</f>
        <v>-59985.2433738095</v>
      </c>
      <c r="E317" s="66" t="n">
        <f aca="false">E298-E267*(1-Inputs!$D$58)+E299</f>
        <v>-55724.3847257857</v>
      </c>
      <c r="F317" s="66" t="n">
        <f aca="false">F298-F267*(1-Inputs!$D$58)+F299</f>
        <v>-51505.5368456707</v>
      </c>
      <c r="G317" s="66" t="n">
        <f aca="false">G298-G267*(1-Inputs!$D$58)+G299</f>
        <v>-47328.2915821569</v>
      </c>
      <c r="H317" s="66" t="n">
        <f aca="false">H298-H267*(1-Inputs!$D$58)+H299</f>
        <v>-43192.2446263222</v>
      </c>
      <c r="I317" s="66" t="n">
        <f aca="false">I298-I267*(1-Inputs!$D$58)+I299</f>
        <v>-39096.9954779889</v>
      </c>
      <c r="J317" s="66" t="n">
        <f aca="false">J298-J267*(1-Inputs!$D$58)+J299</f>
        <v>-35042.1474123233</v>
      </c>
      <c r="K317" s="66" t="n">
        <f aca="false">K298-K267*(1-Inputs!$D$58)+K299</f>
        <v>-31027.3074466748</v>
      </c>
      <c r="L317" s="66" t="n">
        <f aca="false">L298-L267*(1-Inputs!$D$58)+L299</f>
        <v>-27052.0863076562</v>
      </c>
      <c r="M317" s="66" t="n">
        <f aca="false">M298-M267*(1-Inputs!$D$58)+M299</f>
        <v>-23116.0983984617</v>
      </c>
      <c r="N317" s="66" t="n">
        <f aca="false">N298-N267*(1-Inputs!$D$58)+N299</f>
        <v>-19218.9617664244</v>
      </c>
      <c r="O317" s="66" t="n">
        <f aca="false">O298-O267*(1-Inputs!$D$58)+O299</f>
        <v>-48855.8239041447</v>
      </c>
      <c r="P317" s="66" t="n">
        <f aca="false">P298-P267*(1-Inputs!$D$58)+P299</f>
        <v>-43377.0565306182</v>
      </c>
      <c r="Q317" s="66" t="n">
        <f aca="false">Q298-Q267*(1-Inputs!$D$58)+Q299</f>
        <v>-37878.6580911357</v>
      </c>
      <c r="R317" s="66" t="n">
        <f aca="false">R298-R267*(1-Inputs!$D$58)+R299</f>
        <v>-32434.5729821029</v>
      </c>
      <c r="S317" s="66" t="n">
        <f aca="false">S298-S267*(1-Inputs!$D$58)+S299</f>
        <v>-27044.2714832944</v>
      </c>
      <c r="T317" s="66" t="n">
        <f aca="false">T298-T267*(1-Inputs!$D$58)+T299</f>
        <v>-21707.2289034251</v>
      </c>
      <c r="U317" s="66" t="n">
        <f aca="false">U298-U267*(1-Inputs!$D$58)+U299</f>
        <v>-16422.9255352266</v>
      </c>
      <c r="V317" s="66" t="n">
        <f aca="false">V298-V267*(1-Inputs!$D$58)+V299</f>
        <v>-11190.8466108649</v>
      </c>
      <c r="W317" s="66" t="n">
        <f aca="false">W298-W267*(1-Inputs!$D$58)+W299</f>
        <v>-6010.48225769839</v>
      </c>
      <c r="X317" s="66" t="n">
        <f aca="false">X298-X267*(1-Inputs!$D$58)+X299</f>
        <v>-881.327454376084</v>
      </c>
      <c r="Y317" s="66" t="n">
        <f aca="false">Y298-Y267*(1-Inputs!$D$58)+Y299</f>
        <v>4197.11801272656</v>
      </c>
      <c r="Z317" s="66" t="n">
        <f aca="false">Z298-Z267*(1-Inputs!$D$58)+Z299</f>
        <v>9225.34959273563</v>
      </c>
      <c r="AA317" s="66" t="n">
        <f aca="false">AA298-AA267*(1-Inputs!$D$58)+AA299</f>
        <v>-37759.2867743295</v>
      </c>
      <c r="AB317" s="66" t="n">
        <f aca="false">AB298-AB267*(1-Inputs!$D$58)+AB299</f>
        <v>-30408.2474453371</v>
      </c>
      <c r="AC317" s="66" t="n">
        <f aca="false">AC298-AC267*(1-Inputs!$D$58)+AC299</f>
        <v>-23021.6051563524</v>
      </c>
      <c r="AD317" s="66" t="n">
        <f aca="false">AD298-AD267*(1-Inputs!$D$58)+AD299</f>
        <v>-15708.0210790338</v>
      </c>
      <c r="AE317" s="66" t="n">
        <f aca="false">AE298-AE267*(1-Inputs!$D$58)+AE299</f>
        <v>-8466.78079548929</v>
      </c>
      <c r="AF317" s="66" t="n">
        <f aca="false">AF298-AF267*(1-Inputs!$D$58)+AF299</f>
        <v>-1297.176708721</v>
      </c>
      <c r="AG317" s="66" t="n">
        <f aca="false">AG298-AG267*(1-Inputs!$D$58)+AG299</f>
        <v>5801.49201911762</v>
      </c>
      <c r="AH317" s="66" t="n">
        <f aca="false">AH298-AH267*(1-Inputs!$D$58)+AH299</f>
        <v>12829.9195279772</v>
      </c>
      <c r="AI317" s="66" t="n">
        <f aca="false">AI298-AI267*(1-Inputs!$D$58)+AI299</f>
        <v>19788.7933206813</v>
      </c>
      <c r="AJ317" s="66" t="n">
        <f aca="false">AJ298-AJ267*(1-Inputs!$D$58)+AJ299</f>
        <v>26678.7943232131</v>
      </c>
      <c r="AK317" s="66" t="n">
        <f aca="false">AK298-AK267*(1-Inputs!$D$58)+AK299</f>
        <v>33500.596944519</v>
      </c>
      <c r="AL317" s="66" t="n">
        <f aca="false">AL298-AL267*(1-Inputs!$D$58)+AL299</f>
        <v>40254.8691358355</v>
      </c>
      <c r="AM317" s="66" t="n">
        <f aca="false">AM298-AM267*(1-Inputs!$D$58)+AM299</f>
        <v>-33773.6620067748</v>
      </c>
      <c r="AN317" s="66" t="n">
        <f aca="false">AN298-AN267*(1-Inputs!$D$58)+AN299</f>
        <v>-23577.417244328</v>
      </c>
      <c r="AO317" s="66" t="n">
        <f aca="false">AO298-AO267*(1-Inputs!$D$58)+AO299</f>
        <v>-13321.3639574819</v>
      </c>
      <c r="AP317" s="66" t="n">
        <f aca="false">AP298-AP267*(1-Inputs!$D$58)+AP299</f>
        <v>-3166.83851871212</v>
      </c>
      <c r="AQ317" s="66" t="n">
        <f aca="false">AQ298-AQ267*(1-Inputs!$D$58)+AQ299</f>
        <v>6887.15369676613</v>
      </c>
      <c r="AR317" s="66" t="n">
        <f aca="false">AR298-AR267*(1-Inputs!$D$58)+AR299</f>
        <v>16841.597780564</v>
      </c>
      <c r="AS317" s="66" t="n">
        <f aca="false">AS298-AS267*(1-Inputs!$D$58)+AS299</f>
        <v>26697.4693781886</v>
      </c>
      <c r="AT317" s="66" t="n">
        <f aca="false">AT298-AT267*(1-Inputs!$D$58)+AT299</f>
        <v>36455.7347754085</v>
      </c>
      <c r="AU317" s="66" t="n">
        <f aca="false">AU298-AU267*(1-Inputs!$D$58)+AU299</f>
        <v>46117.3509839164</v>
      </c>
      <c r="AV317" s="66" t="n">
        <f aca="false">AV298-AV267*(1-Inputs!$D$58)+AV299</f>
        <v>55683.2658262941</v>
      </c>
      <c r="AW317" s="66" t="n">
        <f aca="false">AW298-AW267*(1-Inputs!$D$58)+AW299</f>
        <v>65154.4180202836</v>
      </c>
      <c r="AX317" s="66" t="n">
        <f aca="false">AX298-AX267*(1-Inputs!$D$58)+AX299</f>
        <v>74531.7372623687</v>
      </c>
      <c r="AY317" s="66" t="n">
        <f aca="false">AY298-AY267*(1-Inputs!$D$58)+AY299</f>
        <v>-41680.9674421852</v>
      </c>
      <c r="AZ317" s="66" t="n">
        <f aca="false">AZ298-AZ267*(1-Inputs!$D$58)+AZ299</f>
        <v>-27159.188392635</v>
      </c>
      <c r="BA317" s="66" t="n">
        <f aca="false">BA298-BA267*(1-Inputs!$D$58)+BA299</f>
        <v>-12540.3951878239</v>
      </c>
      <c r="BB317" s="66" t="n">
        <f aca="false">BB298-BB267*(1-Inputs!$D$58)+BB299</f>
        <v>1933.58882523</v>
      </c>
      <c r="BC317" s="66" t="n">
        <f aca="false">BC298-BC267*(1-Inputs!$D$58)+BC299</f>
        <v>16264.1841636385</v>
      </c>
      <c r="BD317" s="66" t="n">
        <f aca="false">BD298-BD267*(1-Inputs!$D$58)+BD299</f>
        <v>30452.7976908383</v>
      </c>
      <c r="BE317" s="66" t="n">
        <f aca="false">BE298-BE267*(1-Inputs!$D$58)+BE299</f>
        <v>44500.8227420984</v>
      </c>
      <c r="BF317" s="66" t="n">
        <f aca="false">BF298-BF267*(1-Inputs!$D$58)+BF299</f>
        <v>58409.6392489909</v>
      </c>
      <c r="BG317" s="66" t="n">
        <f aca="false">BG298-BG267*(1-Inputs!$D$58)+BG299</f>
        <v>72180.613862837</v>
      </c>
      <c r="BH317" s="66" t="n">
        <f aca="false">BH298-BH267*(1-Inputs!$D$58)+BH299</f>
        <v>85815.1000771266</v>
      </c>
      <c r="BI317" s="66" t="n">
        <f aca="false">BI298-BI267*(1-Inputs!$D$58)+BI299</f>
        <v>99314.4383489235</v>
      </c>
      <c r="BJ317" s="66" t="n">
        <f aca="false">BJ298-BJ267*(1-Inputs!$D$58)+BJ299</f>
        <v>112679.95621926</v>
      </c>
    </row>
    <row r="319" customFormat="false" ht="15.75" hidden="false" customHeight="true" outlineLevel="0" collapsed="false">
      <c r="A319" s="7" t="s">
        <v>433</v>
      </c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</row>
    <row r="320" customFormat="false" ht="15" hidden="false" customHeight="false" outlineLevel="0" collapsed="false">
      <c r="A320" s="6" t="s">
        <v>97</v>
      </c>
      <c r="C320" s="66" t="n">
        <f aca="false">C300</f>
        <v>3000000</v>
      </c>
      <c r="D320" s="66" t="n">
        <f aca="false">C320+D300</f>
        <v>3000000</v>
      </c>
      <c r="E320" s="66" t="n">
        <f aca="false">D320+E300</f>
        <v>3000000</v>
      </c>
      <c r="F320" s="66" t="n">
        <f aca="false">E320+F300</f>
        <v>3000000</v>
      </c>
      <c r="G320" s="66" t="n">
        <f aca="false">F320+G300</f>
        <v>3000000</v>
      </c>
      <c r="H320" s="66" t="n">
        <f aca="false">G320+H300</f>
        <v>3000000</v>
      </c>
      <c r="I320" s="66" t="n">
        <f aca="false">H320+I300</f>
        <v>3000000</v>
      </c>
      <c r="J320" s="66" t="n">
        <f aca="false">I320+J300</f>
        <v>3000000</v>
      </c>
      <c r="K320" s="66" t="n">
        <f aca="false">J320+K300</f>
        <v>3000000</v>
      </c>
      <c r="L320" s="66" t="n">
        <f aca="false">K320+L300</f>
        <v>3000000</v>
      </c>
      <c r="M320" s="66" t="n">
        <f aca="false">L320+M300</f>
        <v>3000000</v>
      </c>
      <c r="N320" s="66" t="n">
        <f aca="false">M320+N300</f>
        <v>3000000</v>
      </c>
      <c r="O320" s="66" t="n">
        <f aca="false">N320+O300</f>
        <v>3000000</v>
      </c>
      <c r="P320" s="66" t="n">
        <f aca="false">O320+P300</f>
        <v>3000000</v>
      </c>
      <c r="Q320" s="66" t="n">
        <f aca="false">P320+Q300</f>
        <v>3000000</v>
      </c>
      <c r="R320" s="66" t="n">
        <f aca="false">Q320+R300</f>
        <v>3000000</v>
      </c>
      <c r="S320" s="66" t="n">
        <f aca="false">R320+S300</f>
        <v>3000000</v>
      </c>
      <c r="T320" s="66" t="n">
        <f aca="false">S320+T300</f>
        <v>3000000</v>
      </c>
      <c r="U320" s="66" t="n">
        <f aca="false">T320+U300</f>
        <v>3000000</v>
      </c>
      <c r="V320" s="66" t="n">
        <f aca="false">U320+V300</f>
        <v>3000000</v>
      </c>
      <c r="W320" s="66" t="n">
        <f aca="false">V320+W300</f>
        <v>3000000</v>
      </c>
      <c r="X320" s="66" t="n">
        <f aca="false">W320+X300</f>
        <v>3000000</v>
      </c>
      <c r="Y320" s="66" t="n">
        <f aca="false">X320+Y300</f>
        <v>3000000</v>
      </c>
      <c r="Z320" s="66" t="n">
        <f aca="false">Y320+Z300</f>
        <v>3000000</v>
      </c>
      <c r="AA320" s="66" t="n">
        <f aca="false">Z320+AA300</f>
        <v>3000000</v>
      </c>
      <c r="AB320" s="66" t="n">
        <f aca="false">AA320+AB300</f>
        <v>3000000</v>
      </c>
      <c r="AC320" s="66" t="n">
        <f aca="false">AB320+AC300</f>
        <v>3000000</v>
      </c>
      <c r="AD320" s="66" t="n">
        <f aca="false">AC320+AD300</f>
        <v>3000000</v>
      </c>
      <c r="AE320" s="66" t="n">
        <f aca="false">AD320+AE300</f>
        <v>3000000</v>
      </c>
      <c r="AF320" s="66" t="n">
        <f aca="false">AE320+AF300</f>
        <v>3000000</v>
      </c>
      <c r="AG320" s="66" t="n">
        <f aca="false">AF320+AG300</f>
        <v>3000000</v>
      </c>
      <c r="AH320" s="66" t="n">
        <f aca="false">AG320+AH300</f>
        <v>3000000</v>
      </c>
      <c r="AI320" s="66" t="n">
        <f aca="false">AH320+AI300</f>
        <v>3000000</v>
      </c>
      <c r="AJ320" s="66" t="n">
        <f aca="false">AI320+AJ300</f>
        <v>3000000</v>
      </c>
      <c r="AK320" s="66" t="n">
        <f aca="false">AJ320+AK300</f>
        <v>3000000</v>
      </c>
      <c r="AL320" s="66" t="n">
        <f aca="false">AK320+AL300</f>
        <v>3000000</v>
      </c>
      <c r="AM320" s="66" t="n">
        <f aca="false">AL320+AM300</f>
        <v>3000000</v>
      </c>
      <c r="AN320" s="66" t="n">
        <f aca="false">AM320+AN300</f>
        <v>3000000</v>
      </c>
      <c r="AO320" s="66" t="n">
        <f aca="false">AN320+AO300</f>
        <v>3000000</v>
      </c>
      <c r="AP320" s="66" t="n">
        <f aca="false">AO320+AP300</f>
        <v>3000000</v>
      </c>
      <c r="AQ320" s="66" t="n">
        <f aca="false">AP320+AQ300</f>
        <v>3000000</v>
      </c>
      <c r="AR320" s="66" t="n">
        <f aca="false">AQ320+AR300</f>
        <v>3000000</v>
      </c>
      <c r="AS320" s="66" t="n">
        <f aca="false">AR320+AS300</f>
        <v>3000000</v>
      </c>
      <c r="AT320" s="66" t="n">
        <f aca="false">AS320+AT300</f>
        <v>3000000</v>
      </c>
      <c r="AU320" s="66" t="n">
        <f aca="false">AT320+AU300</f>
        <v>3000000</v>
      </c>
      <c r="AV320" s="66" t="n">
        <f aca="false">AU320+AV300</f>
        <v>3000000</v>
      </c>
      <c r="AW320" s="66" t="n">
        <f aca="false">AV320+AW300</f>
        <v>3000000</v>
      </c>
      <c r="AX320" s="66" t="n">
        <f aca="false">AW320+AX300</f>
        <v>3000000</v>
      </c>
      <c r="AY320" s="66" t="n">
        <f aca="false">AX320+AY300</f>
        <v>3000000</v>
      </c>
      <c r="AZ320" s="66" t="n">
        <f aca="false">AY320+AZ300</f>
        <v>3000000</v>
      </c>
      <c r="BA320" s="66" t="n">
        <f aca="false">AZ320+BA300</f>
        <v>3000000</v>
      </c>
      <c r="BB320" s="66" t="n">
        <f aca="false">BA320+BB300</f>
        <v>3000000</v>
      </c>
      <c r="BC320" s="66" t="n">
        <f aca="false">BB320+BC300</f>
        <v>3000000</v>
      </c>
      <c r="BD320" s="66" t="n">
        <f aca="false">BC320+BD300</f>
        <v>3000000</v>
      </c>
      <c r="BE320" s="66" t="n">
        <f aca="false">BD320+BE300</f>
        <v>3000000</v>
      </c>
      <c r="BF320" s="66" t="n">
        <f aca="false">BE320+BF300</f>
        <v>3000000</v>
      </c>
      <c r="BG320" s="66" t="n">
        <f aca="false">BF320+BG300</f>
        <v>3000000</v>
      </c>
      <c r="BH320" s="66" t="n">
        <f aca="false">BG320+BH300</f>
        <v>3000000</v>
      </c>
      <c r="BI320" s="66" t="n">
        <f aca="false">BH320+BI300</f>
        <v>3000000</v>
      </c>
      <c r="BJ320" s="66" t="n">
        <f aca="false">BI320+BJ300</f>
        <v>3000000</v>
      </c>
    </row>
    <row r="321" customFormat="false" ht="15" hidden="false" customHeight="false" outlineLevel="0" collapsed="false">
      <c r="A321" s="6" t="s">
        <v>98</v>
      </c>
      <c r="C321" s="66" t="n">
        <f aca="false">C272</f>
        <v>-70276.2504126984</v>
      </c>
      <c r="D321" s="66" t="n">
        <f aca="false">C321+D272</f>
        <v>-136194.28766254</v>
      </c>
      <c r="E321" s="66" t="n">
        <f aca="false">D321+E272</f>
        <v>-197797.096062581</v>
      </c>
      <c r="F321" s="66" t="n">
        <f aca="false">E321+F272</f>
        <v>-255127.24203912</v>
      </c>
      <c r="G321" s="66" t="n">
        <f aca="false">F321+G272</f>
        <v>-308226.878071437</v>
      </c>
      <c r="H321" s="66" t="n">
        <f aca="false">G321+H272</f>
        <v>-357137.746596915</v>
      </c>
      <c r="I321" s="66" t="n">
        <f aca="false">H321+I272</f>
        <v>-401901.183881809</v>
      </c>
      <c r="J321" s="66" t="n">
        <f aca="false">I321+J272</f>
        <v>-442558.123857884</v>
      </c>
      <c r="K321" s="66" t="n">
        <f aca="false">J321+K272</f>
        <v>-479149.101925202</v>
      </c>
      <c r="L321" s="66" t="n">
        <f aca="false">K321+L272</f>
        <v>-511714.258721284</v>
      </c>
      <c r="M321" s="66" t="n">
        <f aca="false">L321+M272</f>
        <v>-540293.343856909</v>
      </c>
      <c r="N321" s="66" t="n">
        <f aca="false">M321+N272</f>
        <v>-564925.719618784</v>
      </c>
      <c r="O321" s="66" t="n">
        <f aca="false">N321+O272</f>
        <v>-621398.672210777</v>
      </c>
      <c r="P321" s="66" t="n">
        <f aca="false">O321+P272</f>
        <v>-672247.82295823</v>
      </c>
      <c r="Q321" s="66" t="n">
        <f aca="false">P321+Q272</f>
        <v>-717528.739225642</v>
      </c>
      <c r="R321" s="66" t="n">
        <f aca="false">Q321+R272</f>
        <v>-757296.446116949</v>
      </c>
      <c r="S321" s="66" t="n">
        <f aca="false">R321+S272</f>
        <v>-791605.431629861</v>
      </c>
      <c r="T321" s="66" t="n">
        <f aca="false">S321+T272</f>
        <v>-820509.651764036</v>
      </c>
      <c r="U321" s="66" t="n">
        <f aca="false">T321+U272</f>
        <v>-844062.535583415</v>
      </c>
      <c r="V321" s="66" t="n">
        <f aca="false">U321+V272</f>
        <v>-862316.990233098</v>
      </c>
      <c r="W321" s="66" t="n">
        <f aca="false">V321+W272</f>
        <v>-875325.405911094</v>
      </c>
      <c r="X321" s="66" t="n">
        <f aca="false">W321+X272</f>
        <v>-883139.660795307</v>
      </c>
      <c r="Y321" s="66" t="n">
        <f aca="false">X321+Y272</f>
        <v>-885811.125926097</v>
      </c>
      <c r="Z321" s="66" t="n">
        <f aca="false">Y321+Z272</f>
        <v>-883390.670044773</v>
      </c>
      <c r="AA321" s="66" t="n">
        <f aca="false">Z321+AA272</f>
        <v>-931180.480129068</v>
      </c>
      <c r="AB321" s="66" t="n">
        <f aca="false">AA321+AB272</f>
        <v>-971415.387853544</v>
      </c>
      <c r="AC321" s="66" t="n">
        <f aca="false">AB321+AC272</f>
        <v>-1004170.13403058</v>
      </c>
      <c r="AD321" s="66" t="n">
        <f aca="false">AC321+AD272</f>
        <v>-1029518.72822864</v>
      </c>
      <c r="AE321" s="66" t="n">
        <f aca="false">AD321+AE272</f>
        <v>-1047534.45576146</v>
      </c>
      <c r="AF321" s="66" t="n">
        <f aca="false">AE321+AF272</f>
        <v>-1058289.88461377</v>
      </c>
      <c r="AG321" s="66" t="n">
        <f aca="false">AF321+AG272</f>
        <v>-1061856.87230405</v>
      </c>
      <c r="AH321" s="66" t="n">
        <f aca="false">AG321+AH272</f>
        <v>-1058306.572685</v>
      </c>
      <c r="AI321" s="66" t="n">
        <f aca="false">AH321+AI272</f>
        <v>-1047709.44268196</v>
      </c>
      <c r="AJ321" s="66" t="n">
        <f aca="false">AI321+AJ272</f>
        <v>-1030135.24896996</v>
      </c>
      <c r="AK321" s="66" t="n">
        <f aca="false">AJ321+AK272</f>
        <v>-1005653.07458988</v>
      </c>
      <c r="AL321" s="66" t="n">
        <f aca="false">AK321+AL272</f>
        <v>-974331.325504101</v>
      </c>
      <c r="AM321" s="66" t="n">
        <f aca="false">AL321+AM272</f>
        <v>-1021250.80842898</v>
      </c>
      <c r="AN321" s="66" t="n">
        <f aca="false">AM321+AN272</f>
        <v>-1057680.81741021</v>
      </c>
      <c r="AO321" s="66" t="n">
        <f aca="false">AN321+AO272</f>
        <v>-1083725.21450244</v>
      </c>
      <c r="AP321" s="66" t="n">
        <f aca="false">AO321+AP272</f>
        <v>-1099486.84379345</v>
      </c>
      <c r="AQ321" s="66" t="n">
        <f aca="false">AP321+AQ272</f>
        <v>-1105067.54117078</v>
      </c>
      <c r="AR321" s="66" t="n">
        <f aca="false">AQ321+AR272</f>
        <v>-1100568.14399891</v>
      </c>
      <c r="AS321" s="66" t="n">
        <f aca="false">AR321+AS272</f>
        <v>-1086088.50070776</v>
      </c>
      <c r="AT321" s="66" t="n">
        <f aca="false">AS321+AT272</f>
        <v>-1061727.48029326</v>
      </c>
      <c r="AU321" s="66" t="n">
        <f aca="false">AT321+AU272</f>
        <v>-1027582.98173069</v>
      </c>
      <c r="AV321" s="66" t="n">
        <f aca="false">AU321+AV272</f>
        <v>-983751.943301484</v>
      </c>
      <c r="AW321" s="66" t="n">
        <f aca="false">AV321+AW272</f>
        <v>-930330.351834287</v>
      </c>
      <c r="AX321" s="66" t="n">
        <f aca="false">AW321+AX272</f>
        <v>-867413.25186084</v>
      </c>
      <c r="AY321" s="66" t="n">
        <f aca="false">AX321+AY272</f>
        <v>-927822.792311145</v>
      </c>
      <c r="AZ321" s="66" t="n">
        <f aca="false">AY321+AZ272</f>
        <v>-973281.036036062</v>
      </c>
      <c r="BA321" s="66" t="n">
        <f aca="false">AZ321+BA272</f>
        <v>-1003936.11726255</v>
      </c>
      <c r="BB321" s="66" t="n">
        <f aca="false">BA321+BB272</f>
        <v>-1019934.71645012</v>
      </c>
      <c r="BC321" s="66" t="n">
        <f aca="false">BB321+BC272</f>
        <v>-1021422.07427697</v>
      </c>
      <c r="BD321" s="66" t="n">
        <f aca="false">BC321+BD272</f>
        <v>-1008542.00549739</v>
      </c>
      <c r="BE321" s="66" t="n">
        <f aca="false">BD321+BE272</f>
        <v>-981436.912671291</v>
      </c>
      <c r="BF321" s="66" t="n">
        <f aca="false">BE321+BF272</f>
        <v>-940247.799767116</v>
      </c>
      <c r="BG321" s="66" t="n">
        <f aca="false">BF321+BG272</f>
        <v>-885114.285639064</v>
      </c>
      <c r="BH321" s="66" t="n">
        <f aca="false">BG321+BH272</f>
        <v>-816174.617379725</v>
      </c>
      <c r="BI321" s="66" t="n">
        <f aca="false">BH321+BI272</f>
        <v>-733565.683549153</v>
      </c>
      <c r="BJ321" s="66" t="n">
        <f aca="false">BI321+BJ272</f>
        <v>-637423.02728143</v>
      </c>
    </row>
    <row r="322" customFormat="false" ht="15" hidden="false" customHeight="false" outlineLevel="0" collapsed="false">
      <c r="A322" s="4" t="s">
        <v>92</v>
      </c>
      <c r="C322" s="72" t="n">
        <f aca="false">C304+C288+C289+C279</f>
        <v>2940353.15444445</v>
      </c>
      <c r="D322" s="72" t="n">
        <f aca="false">D304+D288+D289+D279</f>
        <v>2880612.71693175</v>
      </c>
      <c r="E322" s="72" t="n">
        <f aca="false">E304+E288+E289+E279</f>
        <v>2825125.13445291</v>
      </c>
      <c r="F322" s="72" t="n">
        <f aca="false">F304+F288+F289+F279</f>
        <v>2773848.47627615</v>
      </c>
      <c r="G322" s="72" t="n">
        <f aca="false">G304+G288+G289+G279</f>
        <v>2726741.21902067</v>
      </c>
      <c r="H322" s="72" t="n">
        <f aca="false">H304+H288+H289+H279</f>
        <v>2683762.2428222</v>
      </c>
      <c r="I322" s="72" t="n">
        <f aca="false">I304+I288+I289+I279</f>
        <v>2644870.82753223</v>
      </c>
      <c r="J322" s="72" t="n">
        <f aca="false">J304+J288+J289+J279</f>
        <v>2610026.64895049</v>
      </c>
      <c r="K322" s="72" t="n">
        <f aca="false">K304+K288+K289+K279</f>
        <v>2579189.77509054</v>
      </c>
      <c r="L322" s="72" t="n">
        <f aca="false">L304+L288+L289+L279</f>
        <v>2552320.66247818</v>
      </c>
      <c r="M322" s="72" t="n">
        <f aca="false">M304+M288+M289+M279</f>
        <v>2529380.15248251</v>
      </c>
      <c r="N322" s="72" t="n">
        <f aca="false">N304+N288+N289+N279</f>
        <v>2510329.46767929</v>
      </c>
      <c r="O322" s="72" t="n">
        <f aca="false">O304+O288+O289+O279</f>
        <v>2461796.2532465</v>
      </c>
      <c r="P322" s="72" t="n">
        <f aca="false">P304+P288+P289+P279</f>
        <v>2418894.59537029</v>
      </c>
      <c r="Q322" s="72" t="n">
        <f aca="false">Q304+Q288+Q289+Q279</f>
        <v>2381481.02639148</v>
      </c>
      <c r="R322" s="72" t="n">
        <f aca="false">R304+R288+R289+R279</f>
        <v>2349501.33607501</v>
      </c>
      <c r="S322" s="72" t="n">
        <f aca="false">S304+S288+S289+S279</f>
        <v>2322901.84287514</v>
      </c>
      <c r="T322" s="72" t="n">
        <f aca="false">T304+T288+T289+T279</f>
        <v>2301629.38891675</v>
      </c>
      <c r="U322" s="72" t="n">
        <f aca="false">U304+U288+U289+U279</f>
        <v>2285631.33502156</v>
      </c>
      <c r="V322" s="72" t="n">
        <f aca="false">V304+V288+V289+V279</f>
        <v>2274855.55577877</v>
      </c>
      <c r="W322" s="72" t="n">
        <f aca="false">W304+W288+W289+W279</f>
        <v>2269250.43465991</v>
      </c>
      <c r="X322" s="72" t="n">
        <f aca="false">X304+X288+X289+X279</f>
        <v>2268764.85917743</v>
      </c>
      <c r="Y322" s="72" t="n">
        <f aca="false">Y304+Y288+Y289+Y279</f>
        <v>2273348.21608677</v>
      </c>
      <c r="Z322" s="72" t="n">
        <f aca="false">Z304+Z288+Z289+Z279</f>
        <v>2282950.3866316</v>
      </c>
      <c r="AA322" s="72" t="n">
        <f aca="false">AA304+AA288+AA289+AA279</f>
        <v>2245794.5071068</v>
      </c>
      <c r="AB322" s="72" t="n">
        <f aca="false">AB304+AB288+AB289+AB279</f>
        <v>2216213.98734543</v>
      </c>
      <c r="AC322" s="72" t="n">
        <f aca="false">AC304+AC288+AC289+AC279</f>
        <v>2194006.27704065</v>
      </c>
      <c r="AD322" s="72" t="n">
        <f aca="false">AD304+AD288+AD289+AD279</f>
        <v>2179098.45630912</v>
      </c>
      <c r="AE322" s="72" t="n">
        <f aca="false">AE304+AE288+AE289+AE279</f>
        <v>2171418.31830211</v>
      </c>
      <c r="AF322" s="72" t="n">
        <f aca="false">AF304+AF288+AF289+AF279</f>
        <v>2170894.36239842</v>
      </c>
      <c r="AG322" s="72" t="n">
        <f aca="false">AG304+AG288+AG289+AG279</f>
        <v>2177455.78745897</v>
      </c>
      <c r="AH322" s="72" t="n">
        <f aca="false">AH304+AH288+AH289+AH279</f>
        <v>2191032.4851424</v>
      </c>
      <c r="AI322" s="72" t="n">
        <f aca="false">AI304+AI288+AI289+AI279</f>
        <v>2211555.03328143</v>
      </c>
      <c r="AJ322" s="72" t="n">
        <f aca="false">AJ304+AJ288+AJ289+AJ279</f>
        <v>2238954.68931925</v>
      </c>
      <c r="AK322" s="72" t="n">
        <f aca="false">AK304+AK288+AK289+AK279</f>
        <v>2273163.38380568</v>
      </c>
      <c r="AL322" s="72" t="n">
        <f aca="false">AL304+AL288+AL289+AL279</f>
        <v>2314113.71395244</v>
      </c>
      <c r="AM322" s="72" t="n">
        <f aca="false">AM304+AM288+AM289+AM279</f>
        <v>2281926.72605493</v>
      </c>
      <c r="AN322" s="72" t="n">
        <f aca="false">AN304+AN288+AN289+AN279</f>
        <v>2260268.28388721</v>
      </c>
      <c r="AO322" s="72" t="n">
        <f aca="false">AO304+AO288+AO289+AO279</f>
        <v>2248846.70525556</v>
      </c>
      <c r="AP322" s="72" t="n">
        <f aca="false">AP304+AP288+AP289+AP279</f>
        <v>2247560.65420943</v>
      </c>
      <c r="AQ322" s="72" t="n">
        <f aca="false">AQ304+AQ288+AQ289+AQ279</f>
        <v>2256309.78750405</v>
      </c>
      <c r="AR322" s="72" t="n">
        <f aca="false">AR304+AR288+AR289+AR279</f>
        <v>2274994.74508649</v>
      </c>
      <c r="AS322" s="72" t="n">
        <f aca="false">AS304+AS288+AS289+AS279</f>
        <v>2303517.14066854</v>
      </c>
      <c r="AT322" s="72" t="n">
        <f aca="false">AT304+AT288+AT289+AT279</f>
        <v>2341779.55238577</v>
      </c>
      <c r="AU322" s="72" t="n">
        <f aca="false">AU304+AU288+AU289+AU279</f>
        <v>2389685.51354208</v>
      </c>
      <c r="AV322" s="72" t="n">
        <f aca="false">AV304+AV288+AV289+AV279</f>
        <v>2447139.50343905</v>
      </c>
      <c r="AW322" s="72" t="n">
        <f aca="false">AW304+AW288+AW289+AW279</f>
        <v>2514046.93828931</v>
      </c>
      <c r="AX322" s="72" t="n">
        <f aca="false">AX304+AX288+AX289+AX279</f>
        <v>2590314.16221335</v>
      </c>
      <c r="AY322" s="72" t="n">
        <f aca="false">AY304+AY288+AY289+AY279</f>
        <v>2550870.2185006</v>
      </c>
      <c r="AZ322" s="72" t="n">
        <f aca="false">AZ304+AZ288+AZ289+AZ279</f>
        <v>2526444.57553451</v>
      </c>
      <c r="BA322" s="72" t="n">
        <f aca="false">BA304+BA288+BA289+BA279</f>
        <v>2516610.39031896</v>
      </c>
      <c r="BB322" s="72" t="n">
        <f aca="false">BB304+BB288+BB289+BB279</f>
        <v>2521223.12701673</v>
      </c>
      <c r="BC322" s="72" t="n">
        <f aca="false">BC304+BC288+BC289+BC279</f>
        <v>2540139.6675742</v>
      </c>
      <c r="BD322" s="72" t="n">
        <f aca="false">BD304+BD288+BD289+BD279</f>
        <v>2573218.29809492</v>
      </c>
      <c r="BE322" s="72" t="n">
        <f aca="false">BE304+BE288+BE289+BE279</f>
        <v>2620318.69533861</v>
      </c>
      <c r="BF322" s="72" t="n">
        <f aca="false">BF304+BF288+BF289+BF279</f>
        <v>2681301.91334417</v>
      </c>
      <c r="BG322" s="72" t="n">
        <f aca="false">BG304+BG288+BG289+BG279</f>
        <v>2756030.37017601</v>
      </c>
      <c r="BH322" s="72" t="n">
        <f aca="false">BH304+BH288+BH289+BH279</f>
        <v>2844367.83479245</v>
      </c>
      <c r="BI322" s="72" t="n">
        <f aca="false">BI304+BI288+BI289+BI279</f>
        <v>2946179.4140353</v>
      </c>
      <c r="BJ322" s="72" t="n">
        <f aca="false">BJ304+BJ288+BJ289+BJ279</f>
        <v>3061331.53973954</v>
      </c>
    </row>
    <row r="323" customFormat="false" ht="15" hidden="false" customHeight="false" outlineLevel="0" collapsed="false">
      <c r="A323" s="6" t="s">
        <v>96</v>
      </c>
      <c r="C323" s="66" t="n">
        <f aca="false">C290+C285+C294</f>
        <v>10629.4048571429</v>
      </c>
      <c r="D323" s="66" t="n">
        <f aca="false">D290+D285+D294</f>
        <v>16807.0045942857</v>
      </c>
      <c r="E323" s="66" t="n">
        <f aca="false">E290+E285+E294</f>
        <v>22922.2305154857</v>
      </c>
      <c r="F323" s="66" t="n">
        <f aca="false">F290+F285+F294</f>
        <v>28975.7183152737</v>
      </c>
      <c r="G323" s="66" t="n">
        <f aca="false">G290+G285+G294</f>
        <v>34968.0970921078</v>
      </c>
      <c r="H323" s="66" t="n">
        <f aca="false">H290+H285+H294</f>
        <v>40899.9894191167</v>
      </c>
      <c r="I323" s="66" t="n">
        <f aca="false">I290+I285+I294</f>
        <v>46772.0114140398</v>
      </c>
      <c r="J323" s="66" t="n">
        <f aca="false">J290+J285+J294</f>
        <v>52584.7728083742</v>
      </c>
      <c r="K323" s="66" t="n">
        <f aca="false">K290+K285+K294</f>
        <v>58338.8770157386</v>
      </c>
      <c r="L323" s="66" t="n">
        <f aca="false">L290+L285+L294</f>
        <v>64034.9211994633</v>
      </c>
      <c r="M323" s="66" t="n">
        <f aca="false">M290+M285+M294</f>
        <v>69673.496339416</v>
      </c>
      <c r="N323" s="66" t="n">
        <f aca="false">N290+N285+N294</f>
        <v>75255.187298073</v>
      </c>
      <c r="O323" s="66" t="n">
        <f aca="false">O290+O285+O294</f>
        <v>83194.9254572739</v>
      </c>
      <c r="P323" s="66" t="n">
        <f aca="false">P290+P285+P294</f>
        <v>91142.4183285248</v>
      </c>
      <c r="Q323" s="66" t="n">
        <f aca="false">Q290+Q285+Q294</f>
        <v>99009.7656171182</v>
      </c>
      <c r="R323" s="66" t="n">
        <f aca="false">R290+R285+R294</f>
        <v>106797.78219196</v>
      </c>
      <c r="S323" s="66" t="n">
        <f aca="false">S290+S285+S294</f>
        <v>114507.274505004</v>
      </c>
      <c r="T323" s="66" t="n">
        <f aca="false">T290+T285+T294</f>
        <v>122139.040680789</v>
      </c>
      <c r="U323" s="66" t="n">
        <f aca="false">U290+U285+U294</f>
        <v>129693.870604972</v>
      </c>
      <c r="V323" s="66" t="n">
        <f aca="false">V290+V285+V294</f>
        <v>137172.546011865</v>
      </c>
      <c r="W323" s="66" t="n">
        <f aca="false">W290+W285+W294</f>
        <v>144575.840571001</v>
      </c>
      <c r="X323" s="66" t="n">
        <f aca="false">X290+X285+X294</f>
        <v>151904.519972732</v>
      </c>
      <c r="Y323" s="66" t="n">
        <f aca="false">Y290+Y285+Y294</f>
        <v>159159.342012868</v>
      </c>
      <c r="Z323" s="66" t="n">
        <f aca="false">Z290+Z285+Z294</f>
        <v>166341.056676377</v>
      </c>
      <c r="AA323" s="66" t="n">
        <f aca="false">AA290+AA285+AA294</f>
        <v>176974.987235864</v>
      </c>
      <c r="AB323" s="66" t="n">
        <f aca="false">AB290+AB285+AB294</f>
        <v>187629.375198974</v>
      </c>
      <c r="AC323" s="66" t="n">
        <f aca="false">AC290+AC285+AC294</f>
        <v>198176.411071229</v>
      </c>
      <c r="AD323" s="66" t="n">
        <f aca="false">AD290+AD285+AD294</f>
        <v>208617.184537763</v>
      </c>
      <c r="AE323" s="66" t="n">
        <f aca="false">AE290+AE285+AE294</f>
        <v>218952.774063572</v>
      </c>
      <c r="AF323" s="66" t="n">
        <f aca="false">AF290+AF285+AF294</f>
        <v>229184.247012185</v>
      </c>
      <c r="AG323" s="66" t="n">
        <f aca="false">AG290+AG285+AG294</f>
        <v>239312.659763012</v>
      </c>
      <c r="AH323" s="66" t="n">
        <f aca="false">AH290+AH285+AH294</f>
        <v>249339.057827398</v>
      </c>
      <c r="AI323" s="66" t="n">
        <f aca="false">AI290+AI285+AI294</f>
        <v>259264.475963385</v>
      </c>
      <c r="AJ323" s="66" t="n">
        <f aca="false">AJ290+AJ285+AJ294</f>
        <v>269089.938289214</v>
      </c>
      <c r="AK323" s="66" t="n">
        <f aca="false">AK290+AK285+AK294</f>
        <v>278816.45839556</v>
      </c>
      <c r="AL323" s="66" t="n">
        <f aca="false">AL290+AL285+AL294</f>
        <v>288445.039456544</v>
      </c>
      <c r="AM323" s="66" t="n">
        <f aca="false">AM290+AM285+AM294</f>
        <v>303177.534483912</v>
      </c>
      <c r="AN323" s="66" t="n">
        <f aca="false">AN290+AN285+AN294</f>
        <v>317949.10129742</v>
      </c>
      <c r="AO323" s="66" t="n">
        <f aca="false">AO290+AO285+AO294</f>
        <v>332571.919758</v>
      </c>
      <c r="AP323" s="66" t="n">
        <f aca="false">AP290+AP285+AP294</f>
        <v>347047.498002879</v>
      </c>
      <c r="AQ323" s="66" t="n">
        <f aca="false">AQ290+AQ285+AQ294</f>
        <v>361377.328674835</v>
      </c>
      <c r="AR323" s="66" t="n">
        <f aca="false">AR290+AR285+AR294</f>
        <v>375562.889085406</v>
      </c>
      <c r="AS323" s="66" t="n">
        <f aca="false">AS290+AS285+AS294</f>
        <v>389605.6413763</v>
      </c>
      <c r="AT323" s="66" t="n">
        <f aca="false">AT290+AT285+AT294</f>
        <v>403507.032679025</v>
      </c>
      <c r="AU323" s="66" t="n">
        <f aca="false">AU290+AU285+AU294</f>
        <v>417268.495272768</v>
      </c>
      <c r="AV323" s="66" t="n">
        <f aca="false">AV290+AV285+AV294</f>
        <v>430891.446740538</v>
      </c>
      <c r="AW323" s="66" t="n">
        <f aca="false">AW290+AW285+AW294</f>
        <v>444377.290123595</v>
      </c>
      <c r="AX323" s="66" t="n">
        <f aca="false">AX290+AX285+AX294</f>
        <v>457727.414074187</v>
      </c>
      <c r="AY323" s="66" t="n">
        <f aca="false">AY290+AY285+AY294</f>
        <v>478693.010811749</v>
      </c>
      <c r="AZ323" s="66" t="n">
        <f aca="false">AZ290+AZ285+AZ294</f>
        <v>499725.611570568</v>
      </c>
      <c r="BA323" s="66" t="n">
        <f aca="false">BA290+BA285+BA294</f>
        <v>520546.507581508</v>
      </c>
      <c r="BB323" s="66" t="n">
        <f aca="false">BB290+BB285+BB294</f>
        <v>541157.843466853</v>
      </c>
      <c r="BC323" s="66" t="n">
        <f aca="false">BC290+BC285+BC294</f>
        <v>561561.74185117</v>
      </c>
      <c r="BD323" s="66" t="n">
        <f aca="false">BD290+BD285+BD294</f>
        <v>581760.303592311</v>
      </c>
      <c r="BE323" s="66" t="n">
        <f aca="false">BE290+BE285+BE294</f>
        <v>601755.608009895</v>
      </c>
      <c r="BF323" s="66" t="n">
        <f aca="false">BF290+BF285+BF294</f>
        <v>621549.713111282</v>
      </c>
      <c r="BG323" s="66" t="n">
        <f aca="false">BG290+BG285+BG294</f>
        <v>641144.655815072</v>
      </c>
      <c r="BH323" s="66" t="n">
        <f aca="false">BH290+BH285+BH294</f>
        <v>660542.452172175</v>
      </c>
      <c r="BI323" s="66" t="n">
        <f aca="false">BI290+BI285+BI294</f>
        <v>679745.097584448</v>
      </c>
      <c r="BJ323" s="66" t="n">
        <f aca="false">BJ290+BJ285+BJ294</f>
        <v>698754.567020967</v>
      </c>
    </row>
    <row r="324" customFormat="false" ht="15" hidden="false" customHeight="false" outlineLevel="0" collapsed="false">
      <c r="A324" s="6" t="s">
        <v>99</v>
      </c>
      <c r="C324" s="66" t="n">
        <f aca="false">C320+C321</f>
        <v>2929723.7495873</v>
      </c>
      <c r="D324" s="66" t="n">
        <f aca="false">D320+D321</f>
        <v>2863805.71233746</v>
      </c>
      <c r="E324" s="66" t="n">
        <f aca="false">E320+E321</f>
        <v>2802202.90393742</v>
      </c>
      <c r="F324" s="66" t="n">
        <f aca="false">F320+F321</f>
        <v>2744872.75796088</v>
      </c>
      <c r="G324" s="66" t="n">
        <f aca="false">G320+G321</f>
        <v>2691773.12192856</v>
      </c>
      <c r="H324" s="66" t="n">
        <f aca="false">H320+H321</f>
        <v>2642862.25340309</v>
      </c>
      <c r="I324" s="66" t="n">
        <f aca="false">I320+I321</f>
        <v>2598098.81611819</v>
      </c>
      <c r="J324" s="66" t="n">
        <f aca="false">J320+J321</f>
        <v>2557441.87614212</v>
      </c>
      <c r="K324" s="66" t="n">
        <f aca="false">K320+K321</f>
        <v>2520850.8980748</v>
      </c>
      <c r="L324" s="66" t="n">
        <f aca="false">L320+L321</f>
        <v>2488285.74127872</v>
      </c>
      <c r="M324" s="66" t="n">
        <f aca="false">M320+M321</f>
        <v>2459706.65614309</v>
      </c>
      <c r="N324" s="66" t="n">
        <f aca="false">N320+N321</f>
        <v>2435074.28038122</v>
      </c>
      <c r="O324" s="66" t="n">
        <f aca="false">O320+O321</f>
        <v>2378601.32778922</v>
      </c>
      <c r="P324" s="66" t="n">
        <f aca="false">P320+P321</f>
        <v>2327752.17704177</v>
      </c>
      <c r="Q324" s="66" t="n">
        <f aca="false">Q320+Q321</f>
        <v>2282471.26077436</v>
      </c>
      <c r="R324" s="66" t="n">
        <f aca="false">R320+R321</f>
        <v>2242703.55388305</v>
      </c>
      <c r="S324" s="66" t="n">
        <f aca="false">S320+S321</f>
        <v>2208394.56837014</v>
      </c>
      <c r="T324" s="66" t="n">
        <f aca="false">T320+T321</f>
        <v>2179490.34823596</v>
      </c>
      <c r="U324" s="66" t="n">
        <f aca="false">U320+U321</f>
        <v>2155937.46441659</v>
      </c>
      <c r="V324" s="66" t="n">
        <f aca="false">V320+V321</f>
        <v>2137683.0097669</v>
      </c>
      <c r="W324" s="66" t="n">
        <f aca="false">W320+W321</f>
        <v>2124674.59408891</v>
      </c>
      <c r="X324" s="66" t="n">
        <f aca="false">X320+X321</f>
        <v>2116860.33920469</v>
      </c>
      <c r="Y324" s="66" t="n">
        <f aca="false">Y320+Y321</f>
        <v>2114188.8740739</v>
      </c>
      <c r="Z324" s="66" t="n">
        <f aca="false">Z320+Z321</f>
        <v>2116609.32995523</v>
      </c>
      <c r="AA324" s="66" t="n">
        <f aca="false">AA320+AA321</f>
        <v>2068819.51987093</v>
      </c>
      <c r="AB324" s="66" t="n">
        <f aca="false">AB320+AB321</f>
        <v>2028584.61214646</v>
      </c>
      <c r="AC324" s="66" t="n">
        <f aca="false">AC320+AC321</f>
        <v>1995829.86596942</v>
      </c>
      <c r="AD324" s="66" t="n">
        <f aca="false">AD320+AD321</f>
        <v>1970481.27177136</v>
      </c>
      <c r="AE324" s="66" t="n">
        <f aca="false">AE320+AE321</f>
        <v>1952465.54423854</v>
      </c>
      <c r="AF324" s="66" t="n">
        <f aca="false">AF320+AF321</f>
        <v>1941710.11538624</v>
      </c>
      <c r="AG324" s="66" t="n">
        <f aca="false">AG320+AG321</f>
        <v>1938143.12769595</v>
      </c>
      <c r="AH324" s="66" t="n">
        <f aca="false">AH320+AH321</f>
        <v>1941693.427315</v>
      </c>
      <c r="AI324" s="66" t="n">
        <f aca="false">AI320+AI321</f>
        <v>1952290.55731804</v>
      </c>
      <c r="AJ324" s="66" t="n">
        <f aca="false">AJ320+AJ321</f>
        <v>1969864.75103004</v>
      </c>
      <c r="AK324" s="66" t="n">
        <f aca="false">AK320+AK321</f>
        <v>1994346.92541012</v>
      </c>
      <c r="AL324" s="66" t="n">
        <f aca="false">AL320+AL321</f>
        <v>2025668.6744959</v>
      </c>
      <c r="AM324" s="66" t="n">
        <f aca="false">AM320+AM321</f>
        <v>1978749.19157102</v>
      </c>
      <c r="AN324" s="66" t="n">
        <f aca="false">AN320+AN321</f>
        <v>1942319.18258979</v>
      </c>
      <c r="AO324" s="66" t="n">
        <f aca="false">AO320+AO321</f>
        <v>1916274.78549756</v>
      </c>
      <c r="AP324" s="66" t="n">
        <f aca="false">AP320+AP321</f>
        <v>1900513.15620655</v>
      </c>
      <c r="AQ324" s="66" t="n">
        <f aca="false">AQ320+AQ321</f>
        <v>1894932.45882922</v>
      </c>
      <c r="AR324" s="66" t="n">
        <f aca="false">AR320+AR321</f>
        <v>1899431.85600109</v>
      </c>
      <c r="AS324" s="66" t="n">
        <f aca="false">AS320+AS321</f>
        <v>1913911.49929224</v>
      </c>
      <c r="AT324" s="66" t="n">
        <f aca="false">AT320+AT321</f>
        <v>1938272.51970674</v>
      </c>
      <c r="AU324" s="66" t="n">
        <f aca="false">AU320+AU321</f>
        <v>1972417.01826931</v>
      </c>
      <c r="AV324" s="66" t="n">
        <f aca="false">AV320+AV321</f>
        <v>2016248.05669852</v>
      </c>
      <c r="AW324" s="66" t="n">
        <f aca="false">AW320+AW321</f>
        <v>2069669.64816571</v>
      </c>
      <c r="AX324" s="66" t="n">
        <f aca="false">AX320+AX321</f>
        <v>2132586.74813916</v>
      </c>
      <c r="AY324" s="66" t="n">
        <f aca="false">AY320+AY321</f>
        <v>2072177.20768886</v>
      </c>
      <c r="AZ324" s="66" t="n">
        <f aca="false">AZ320+AZ321</f>
        <v>2026718.96396394</v>
      </c>
      <c r="BA324" s="66" t="n">
        <f aca="false">BA320+BA321</f>
        <v>1996063.88273745</v>
      </c>
      <c r="BB324" s="66" t="n">
        <f aca="false">BB320+BB321</f>
        <v>1980065.28354988</v>
      </c>
      <c r="BC324" s="66" t="n">
        <f aca="false">BC320+BC321</f>
        <v>1978577.92572303</v>
      </c>
      <c r="BD324" s="66" t="n">
        <f aca="false">BD320+BD321</f>
        <v>1991457.99450261</v>
      </c>
      <c r="BE324" s="66" t="n">
        <f aca="false">BE320+BE321</f>
        <v>2018563.08732871</v>
      </c>
      <c r="BF324" s="66" t="n">
        <f aca="false">BF320+BF321</f>
        <v>2059752.20023288</v>
      </c>
      <c r="BG324" s="66" t="n">
        <f aca="false">BG320+BG321</f>
        <v>2114885.71436094</v>
      </c>
      <c r="BH324" s="66" t="n">
        <f aca="false">BH320+BH321</f>
        <v>2183825.38262028</v>
      </c>
      <c r="BI324" s="66" t="n">
        <f aca="false">BI320+BI321</f>
        <v>2266434.31645085</v>
      </c>
      <c r="BJ324" s="66" t="n">
        <f aca="false">BJ320+BJ321</f>
        <v>2362576.97271857</v>
      </c>
    </row>
    <row r="325" customFormat="false" ht="15" hidden="false" customHeight="false" outlineLevel="0" collapsed="false">
      <c r="A325" s="4" t="s">
        <v>100</v>
      </c>
      <c r="C325" s="72" t="n">
        <f aca="false">C323+C324</f>
        <v>2940353.15444444</v>
      </c>
      <c r="D325" s="72" t="n">
        <f aca="false">D323+D324</f>
        <v>2880612.71693175</v>
      </c>
      <c r="E325" s="72" t="n">
        <f aca="false">E323+E324</f>
        <v>2825125.1344529</v>
      </c>
      <c r="F325" s="72" t="n">
        <f aca="false">F323+F324</f>
        <v>2773848.47627615</v>
      </c>
      <c r="G325" s="72" t="n">
        <f aca="false">G323+G324</f>
        <v>2726741.21902067</v>
      </c>
      <c r="H325" s="72" t="n">
        <f aca="false">H323+H324</f>
        <v>2683762.2428222</v>
      </c>
      <c r="I325" s="72" t="n">
        <f aca="false">I323+I324</f>
        <v>2644870.82753223</v>
      </c>
      <c r="J325" s="72" t="n">
        <f aca="false">J323+J324</f>
        <v>2610026.64895049</v>
      </c>
      <c r="K325" s="72" t="n">
        <f aca="false">K323+K324</f>
        <v>2579189.77509054</v>
      </c>
      <c r="L325" s="72" t="n">
        <f aca="false">L323+L324</f>
        <v>2552320.66247818</v>
      </c>
      <c r="M325" s="72" t="n">
        <f aca="false">M323+M324</f>
        <v>2529380.15248251</v>
      </c>
      <c r="N325" s="72" t="n">
        <f aca="false">N323+N324</f>
        <v>2510329.46767929</v>
      </c>
      <c r="O325" s="72" t="n">
        <f aca="false">O323+O324</f>
        <v>2461796.2532465</v>
      </c>
      <c r="P325" s="72" t="n">
        <f aca="false">P323+P324</f>
        <v>2418894.59537029</v>
      </c>
      <c r="Q325" s="72" t="n">
        <f aca="false">Q323+Q324</f>
        <v>2381481.02639148</v>
      </c>
      <c r="R325" s="72" t="n">
        <f aca="false">R323+R324</f>
        <v>2349501.33607501</v>
      </c>
      <c r="S325" s="72" t="n">
        <f aca="false">S323+S324</f>
        <v>2322901.84287514</v>
      </c>
      <c r="T325" s="72" t="n">
        <f aca="false">T323+T324</f>
        <v>2301629.38891675</v>
      </c>
      <c r="U325" s="72" t="n">
        <f aca="false">U323+U324</f>
        <v>2285631.33502156</v>
      </c>
      <c r="V325" s="72" t="n">
        <f aca="false">V323+V324</f>
        <v>2274855.55577877</v>
      </c>
      <c r="W325" s="72" t="n">
        <f aca="false">W323+W324</f>
        <v>2269250.43465991</v>
      </c>
      <c r="X325" s="72" t="n">
        <f aca="false">X323+X324</f>
        <v>2268764.85917743</v>
      </c>
      <c r="Y325" s="72" t="n">
        <f aca="false">Y323+Y324</f>
        <v>2273348.21608677</v>
      </c>
      <c r="Z325" s="72" t="n">
        <f aca="false">Z323+Z324</f>
        <v>2282950.3866316</v>
      </c>
      <c r="AA325" s="72" t="n">
        <f aca="false">AA323+AA324</f>
        <v>2245794.5071068</v>
      </c>
      <c r="AB325" s="72" t="n">
        <f aca="false">AB323+AB324</f>
        <v>2216213.98734543</v>
      </c>
      <c r="AC325" s="72" t="n">
        <f aca="false">AC323+AC324</f>
        <v>2194006.27704065</v>
      </c>
      <c r="AD325" s="72" t="n">
        <f aca="false">AD323+AD324</f>
        <v>2179098.45630912</v>
      </c>
      <c r="AE325" s="72" t="n">
        <f aca="false">AE323+AE324</f>
        <v>2171418.31830211</v>
      </c>
      <c r="AF325" s="72" t="n">
        <f aca="false">AF323+AF324</f>
        <v>2170894.36239842</v>
      </c>
      <c r="AG325" s="72" t="n">
        <f aca="false">AG323+AG324</f>
        <v>2177455.78745896</v>
      </c>
      <c r="AH325" s="72" t="n">
        <f aca="false">AH323+AH324</f>
        <v>2191032.4851424</v>
      </c>
      <c r="AI325" s="72" t="n">
        <f aca="false">AI323+AI324</f>
        <v>2211555.03328143</v>
      </c>
      <c r="AJ325" s="72" t="n">
        <f aca="false">AJ323+AJ324</f>
        <v>2238954.68931925</v>
      </c>
      <c r="AK325" s="72" t="n">
        <f aca="false">AK323+AK324</f>
        <v>2273163.38380568</v>
      </c>
      <c r="AL325" s="72" t="n">
        <f aca="false">AL323+AL324</f>
        <v>2314113.71395244</v>
      </c>
      <c r="AM325" s="72" t="n">
        <f aca="false">AM323+AM324</f>
        <v>2281926.72605493</v>
      </c>
      <c r="AN325" s="72" t="n">
        <f aca="false">AN323+AN324</f>
        <v>2260268.2838872</v>
      </c>
      <c r="AO325" s="72" t="n">
        <f aca="false">AO323+AO324</f>
        <v>2248846.70525556</v>
      </c>
      <c r="AP325" s="72" t="n">
        <f aca="false">AP323+AP324</f>
        <v>2247560.65420943</v>
      </c>
      <c r="AQ325" s="72" t="n">
        <f aca="false">AQ323+AQ324</f>
        <v>2256309.78750405</v>
      </c>
      <c r="AR325" s="72" t="n">
        <f aca="false">AR323+AR324</f>
        <v>2274994.74508649</v>
      </c>
      <c r="AS325" s="72" t="n">
        <f aca="false">AS323+AS324</f>
        <v>2303517.14066854</v>
      </c>
      <c r="AT325" s="72" t="n">
        <f aca="false">AT323+AT324</f>
        <v>2341779.55238577</v>
      </c>
      <c r="AU325" s="72" t="n">
        <f aca="false">AU323+AU324</f>
        <v>2389685.51354208</v>
      </c>
      <c r="AV325" s="72" t="n">
        <f aca="false">AV323+AV324</f>
        <v>2447139.50343905</v>
      </c>
      <c r="AW325" s="72" t="n">
        <f aca="false">AW323+AW324</f>
        <v>2514046.93828931</v>
      </c>
      <c r="AX325" s="72" t="n">
        <f aca="false">AX323+AX324</f>
        <v>2590314.16221335</v>
      </c>
      <c r="AY325" s="72" t="n">
        <f aca="false">AY323+AY324</f>
        <v>2550870.2185006</v>
      </c>
      <c r="AZ325" s="72" t="n">
        <f aca="false">AZ323+AZ324</f>
        <v>2526444.57553451</v>
      </c>
      <c r="BA325" s="72" t="n">
        <f aca="false">BA323+BA324</f>
        <v>2516610.39031895</v>
      </c>
      <c r="BB325" s="72" t="n">
        <f aca="false">BB323+BB324</f>
        <v>2521223.12701673</v>
      </c>
      <c r="BC325" s="72" t="n">
        <f aca="false">BC323+BC324</f>
        <v>2540139.6675742</v>
      </c>
      <c r="BD325" s="72" t="n">
        <f aca="false">BD323+BD324</f>
        <v>2573218.29809492</v>
      </c>
      <c r="BE325" s="72" t="n">
        <f aca="false">BE323+BE324</f>
        <v>2620318.6953386</v>
      </c>
      <c r="BF325" s="72" t="n">
        <f aca="false">BF323+BF324</f>
        <v>2681301.91334417</v>
      </c>
      <c r="BG325" s="72" t="n">
        <f aca="false">BG323+BG324</f>
        <v>2756030.37017601</v>
      </c>
      <c r="BH325" s="72" t="n">
        <f aca="false">BH323+BH324</f>
        <v>2844367.83479245</v>
      </c>
      <c r="BI325" s="72" t="n">
        <f aca="false">BI323+BI324</f>
        <v>2946179.41403529</v>
      </c>
      <c r="BJ325" s="72" t="n">
        <f aca="false">BJ323+BJ324</f>
        <v>3061331.53973954</v>
      </c>
    </row>
    <row r="326" customFormat="false" ht="15" hidden="false" customHeight="false" outlineLevel="0" collapsed="false">
      <c r="A326" s="6" t="s">
        <v>434</v>
      </c>
      <c r="C326" s="66" t="n">
        <f aca="false">C322-C325</f>
        <v>0</v>
      </c>
      <c r="D326" s="66" t="n">
        <f aca="false">D322-D325</f>
        <v>0</v>
      </c>
      <c r="E326" s="66" t="n">
        <f aca="false">E322-E325</f>
        <v>0</v>
      </c>
      <c r="F326" s="66" t="n">
        <f aca="false">F322-F325</f>
        <v>0</v>
      </c>
      <c r="G326" s="66" t="n">
        <f aca="false">G322-G325</f>
        <v>0</v>
      </c>
      <c r="H326" s="66" t="n">
        <f aca="false">H322-H325</f>
        <v>0</v>
      </c>
      <c r="I326" s="66" t="n">
        <f aca="false">I322-I325</f>
        <v>0</v>
      </c>
      <c r="J326" s="66" t="n">
        <f aca="false">J322-J325</f>
        <v>0</v>
      </c>
      <c r="K326" s="66" t="n">
        <f aca="false">K322-K325</f>
        <v>0</v>
      </c>
      <c r="L326" s="66" t="n">
        <f aca="false">L322-L325</f>
        <v>0</v>
      </c>
      <c r="M326" s="66" t="n">
        <f aca="false">M322-M325</f>
        <v>0</v>
      </c>
      <c r="N326" s="66" t="n">
        <f aca="false">N322-N325</f>
        <v>0</v>
      </c>
      <c r="O326" s="66" t="n">
        <f aca="false">O322-O325</f>
        <v>0</v>
      </c>
      <c r="P326" s="66" t="n">
        <f aca="false">P322-P325</f>
        <v>0</v>
      </c>
      <c r="Q326" s="66" t="n">
        <f aca="false">Q322-Q325</f>
        <v>0</v>
      </c>
      <c r="R326" s="66" t="n">
        <f aca="false">R322-R325</f>
        <v>0</v>
      </c>
      <c r="S326" s="66" t="n">
        <f aca="false">S322-S325</f>
        <v>0</v>
      </c>
      <c r="T326" s="66" t="n">
        <f aca="false">T322-T325</f>
        <v>0</v>
      </c>
      <c r="U326" s="66" t="n">
        <f aca="false">U322-U325</f>
        <v>0</v>
      </c>
      <c r="V326" s="66" t="n">
        <f aca="false">V322-V325</f>
        <v>0</v>
      </c>
      <c r="W326" s="66" t="n">
        <f aca="false">W322-W325</f>
        <v>0</v>
      </c>
      <c r="X326" s="66" t="n">
        <f aca="false">X322-X325</f>
        <v>0</v>
      </c>
      <c r="Y326" s="66" t="n">
        <f aca="false">Y322-Y325</f>
        <v>0</v>
      </c>
      <c r="Z326" s="66" t="n">
        <f aca="false">Z322-Z325</f>
        <v>0</v>
      </c>
      <c r="AA326" s="66" t="n">
        <f aca="false">AA322-AA325</f>
        <v>0</v>
      </c>
      <c r="AB326" s="66" t="n">
        <f aca="false">AB322-AB325</f>
        <v>0</v>
      </c>
      <c r="AC326" s="66" t="n">
        <f aca="false">AC322-AC325</f>
        <v>0</v>
      </c>
      <c r="AD326" s="66" t="n">
        <f aca="false">AD322-AD325</f>
        <v>0</v>
      </c>
      <c r="AE326" s="66" t="n">
        <f aca="false">AE322-AE325</f>
        <v>0</v>
      </c>
      <c r="AF326" s="66" t="n">
        <f aca="false">AF322-AF325</f>
        <v>0</v>
      </c>
      <c r="AG326" s="66" t="n">
        <f aca="false">AG322-AG325</f>
        <v>0</v>
      </c>
      <c r="AH326" s="66" t="n">
        <f aca="false">AH322-AH325</f>
        <v>0</v>
      </c>
      <c r="AI326" s="66" t="n">
        <f aca="false">AI322-AI325</f>
        <v>0</v>
      </c>
      <c r="AJ326" s="66" t="n">
        <f aca="false">AJ322-AJ325</f>
        <v>0</v>
      </c>
      <c r="AK326" s="66" t="n">
        <f aca="false">AK322-AK325</f>
        <v>0</v>
      </c>
      <c r="AL326" s="66" t="n">
        <f aca="false">AL322-AL325</f>
        <v>0</v>
      </c>
      <c r="AM326" s="66" t="n">
        <f aca="false">AM322-AM325</f>
        <v>0</v>
      </c>
      <c r="AN326" s="66" t="n">
        <f aca="false">AN322-AN325</f>
        <v>0</v>
      </c>
      <c r="AO326" s="66" t="n">
        <f aca="false">AO322-AO325</f>
        <v>0</v>
      </c>
      <c r="AP326" s="66" t="n">
        <f aca="false">AP322-AP325</f>
        <v>0</v>
      </c>
      <c r="AQ326" s="66" t="n">
        <f aca="false">AQ322-AQ325</f>
        <v>0</v>
      </c>
      <c r="AR326" s="66" t="n">
        <f aca="false">AR322-AR325</f>
        <v>0</v>
      </c>
      <c r="AS326" s="66" t="n">
        <f aca="false">AS322-AS325</f>
        <v>0</v>
      </c>
      <c r="AT326" s="66" t="n">
        <f aca="false">AT322-AT325</f>
        <v>0</v>
      </c>
      <c r="AU326" s="66" t="n">
        <f aca="false">AU322-AU325</f>
        <v>0</v>
      </c>
      <c r="AV326" s="66" t="n">
        <f aca="false">AV322-AV325</f>
        <v>0</v>
      </c>
      <c r="AW326" s="66" t="n">
        <f aca="false">AW322-AW325</f>
        <v>0</v>
      </c>
      <c r="AX326" s="66" t="n">
        <f aca="false">AX322-AX325</f>
        <v>0</v>
      </c>
      <c r="AY326" s="66" t="n">
        <f aca="false">AY322-AY325</f>
        <v>0</v>
      </c>
      <c r="AZ326" s="66" t="n">
        <f aca="false">AZ322-AZ325</f>
        <v>0</v>
      </c>
      <c r="BA326" s="66" t="n">
        <f aca="false">BA322-BA325</f>
        <v>0</v>
      </c>
      <c r="BB326" s="66" t="n">
        <f aca="false">BB322-BB325</f>
        <v>0</v>
      </c>
      <c r="BC326" s="66" t="n">
        <f aca="false">BC322-BC325</f>
        <v>0</v>
      </c>
      <c r="BD326" s="66" t="n">
        <f aca="false">BD322-BD325</f>
        <v>0</v>
      </c>
      <c r="BE326" s="66" t="n">
        <f aca="false">BE322-BE325</f>
        <v>0</v>
      </c>
      <c r="BF326" s="66" t="n">
        <f aca="false">BF322-BF325</f>
        <v>0</v>
      </c>
      <c r="BG326" s="66" t="n">
        <f aca="false">BG322-BG325</f>
        <v>0</v>
      </c>
      <c r="BH326" s="66" t="n">
        <f aca="false">BH322-BH325</f>
        <v>0</v>
      </c>
      <c r="BI326" s="66" t="n">
        <f aca="false">BI322-BI325</f>
        <v>0</v>
      </c>
      <c r="BJ326" s="66" t="n">
        <f aca="false">BJ322-BJ325</f>
        <v>0</v>
      </c>
    </row>
    <row r="328" customFormat="false" ht="15.75" hidden="false" customHeight="true" outlineLevel="0" collapsed="false">
      <c r="A328" s="7" t="s">
        <v>436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</row>
    <row r="329" customFormat="false" ht="15" hidden="false" customHeight="false" outlineLevel="0" collapsed="false">
      <c r="A329" s="6" t="s">
        <v>437</v>
      </c>
      <c r="C329" s="114" t="n">
        <f aca="false">Inputs!$D$26*(1+Inputs!$D$28)^(C$233-1)*MAX(0,MIN(1,C$232*1-Inputs!$D$29+1))/1</f>
        <v>3</v>
      </c>
      <c r="D329" s="114" t="n">
        <f aca="false">Inputs!$D$26*(1+Inputs!$D$28)^(D$233-1)*MAX(0,MIN(1,D$232*1-Inputs!$D$29+1))/1</f>
        <v>3</v>
      </c>
      <c r="E329" s="114" t="n">
        <f aca="false">Inputs!$D$26*(1+Inputs!$D$28)^(E$233-1)*MAX(0,MIN(1,E$232*1-Inputs!$D$29+1))/1</f>
        <v>3</v>
      </c>
      <c r="F329" s="114" t="n">
        <f aca="false">Inputs!$D$26*(1+Inputs!$D$28)^(F$233-1)*MAX(0,MIN(1,F$232*1-Inputs!$D$29+1))/1</f>
        <v>3</v>
      </c>
      <c r="G329" s="114" t="n">
        <f aca="false">Inputs!$D$26*(1+Inputs!$D$28)^(G$233-1)*MAX(0,MIN(1,G$232*1-Inputs!$D$29+1))/1</f>
        <v>3</v>
      </c>
      <c r="H329" s="114" t="n">
        <f aca="false">Inputs!$D$26*(1+Inputs!$D$28)^(H$233-1)*MAX(0,MIN(1,H$232*1-Inputs!$D$29+1))/1</f>
        <v>3</v>
      </c>
      <c r="I329" s="114" t="n">
        <f aca="false">Inputs!$D$26*(1+Inputs!$D$28)^(I$233-1)*MAX(0,MIN(1,I$232*1-Inputs!$D$29+1))/1</f>
        <v>3</v>
      </c>
      <c r="J329" s="114" t="n">
        <f aca="false">Inputs!$D$26*(1+Inputs!$D$28)^(J$233-1)*MAX(0,MIN(1,J$232*1-Inputs!$D$29+1))/1</f>
        <v>3</v>
      </c>
      <c r="K329" s="114" t="n">
        <f aca="false">Inputs!$D$26*(1+Inputs!$D$28)^(K$233-1)*MAX(0,MIN(1,K$232*1-Inputs!$D$29+1))/1</f>
        <v>3</v>
      </c>
      <c r="L329" s="114" t="n">
        <f aca="false">Inputs!$D$26*(1+Inputs!$D$28)^(L$233-1)*MAX(0,MIN(1,L$232*1-Inputs!$D$29+1))/1</f>
        <v>3</v>
      </c>
      <c r="M329" s="114" t="n">
        <f aca="false">Inputs!$D$26*(1+Inputs!$D$28)^(M$233-1)*MAX(0,MIN(1,M$232*1-Inputs!$D$29+1))/1</f>
        <v>3</v>
      </c>
      <c r="N329" s="114" t="n">
        <f aca="false">Inputs!$D$26*(1+Inputs!$D$28)^(N$233-1)*MAX(0,MIN(1,N$232*1-Inputs!$D$29+1))/1</f>
        <v>3</v>
      </c>
      <c r="O329" s="114" t="n">
        <f aca="false">Inputs!$D$26*(1+Inputs!$D$28)^(O$233-1)*MAX(0,MIN(1,O$232*1-Inputs!$D$29+1))/1</f>
        <v>4.5</v>
      </c>
      <c r="P329" s="114" t="n">
        <f aca="false">Inputs!$D$26*(1+Inputs!$D$28)^(P$233-1)*MAX(0,MIN(1,P$232*1-Inputs!$D$29+1))/1</f>
        <v>4.5</v>
      </c>
      <c r="Q329" s="114" t="n">
        <f aca="false">Inputs!$D$26*(1+Inputs!$D$28)^(Q$233-1)*MAX(0,MIN(1,Q$232*1-Inputs!$D$29+1))/1</f>
        <v>4.5</v>
      </c>
      <c r="R329" s="114" t="n">
        <f aca="false">Inputs!$D$26*(1+Inputs!$D$28)^(R$233-1)*MAX(0,MIN(1,R$232*1-Inputs!$D$29+1))/1</f>
        <v>4.5</v>
      </c>
      <c r="S329" s="114" t="n">
        <f aca="false">Inputs!$D$26*(1+Inputs!$D$28)^(S$233-1)*MAX(0,MIN(1,S$232*1-Inputs!$D$29+1))/1</f>
        <v>4.5</v>
      </c>
      <c r="T329" s="114" t="n">
        <f aca="false">Inputs!$D$26*(1+Inputs!$D$28)^(T$233-1)*MAX(0,MIN(1,T$232*1-Inputs!$D$29+1))/1</f>
        <v>4.5</v>
      </c>
      <c r="U329" s="114" t="n">
        <f aca="false">Inputs!$D$26*(1+Inputs!$D$28)^(U$233-1)*MAX(0,MIN(1,U$232*1-Inputs!$D$29+1))/1</f>
        <v>4.5</v>
      </c>
      <c r="V329" s="114" t="n">
        <f aca="false">Inputs!$D$26*(1+Inputs!$D$28)^(V$233-1)*MAX(0,MIN(1,V$232*1-Inputs!$D$29+1))/1</f>
        <v>4.5</v>
      </c>
      <c r="W329" s="114" t="n">
        <f aca="false">Inputs!$D$26*(1+Inputs!$D$28)^(W$233-1)*MAX(0,MIN(1,W$232*1-Inputs!$D$29+1))/1</f>
        <v>4.5</v>
      </c>
      <c r="X329" s="114" t="n">
        <f aca="false">Inputs!$D$26*(1+Inputs!$D$28)^(X$233-1)*MAX(0,MIN(1,X$232*1-Inputs!$D$29+1))/1</f>
        <v>4.5</v>
      </c>
      <c r="Y329" s="114" t="n">
        <f aca="false">Inputs!$D$26*(1+Inputs!$D$28)^(Y$233-1)*MAX(0,MIN(1,Y$232*1-Inputs!$D$29+1))/1</f>
        <v>4.5</v>
      </c>
      <c r="Z329" s="114" t="n">
        <f aca="false">Inputs!$D$26*(1+Inputs!$D$28)^(Z$233-1)*MAX(0,MIN(1,Z$232*1-Inputs!$D$29+1))/1</f>
        <v>4.5</v>
      </c>
      <c r="AA329" s="114" t="n">
        <f aca="false">Inputs!$D$26*(1+Inputs!$D$28)^(AA$233-1)*MAX(0,MIN(1,AA$232*1-Inputs!$D$29+1))/1</f>
        <v>6.75</v>
      </c>
      <c r="AB329" s="114" t="n">
        <f aca="false">Inputs!$D$26*(1+Inputs!$D$28)^(AB$233-1)*MAX(0,MIN(1,AB$232*1-Inputs!$D$29+1))/1</f>
        <v>6.75</v>
      </c>
      <c r="AC329" s="114" t="n">
        <f aca="false">Inputs!$D$26*(1+Inputs!$D$28)^(AC$233-1)*MAX(0,MIN(1,AC$232*1-Inputs!$D$29+1))/1</f>
        <v>6.75</v>
      </c>
      <c r="AD329" s="114" t="n">
        <f aca="false">Inputs!$D$26*(1+Inputs!$D$28)^(AD$233-1)*MAX(0,MIN(1,AD$232*1-Inputs!$D$29+1))/1</f>
        <v>6.75</v>
      </c>
      <c r="AE329" s="114" t="n">
        <f aca="false">Inputs!$D$26*(1+Inputs!$D$28)^(AE$233-1)*MAX(0,MIN(1,AE$232*1-Inputs!$D$29+1))/1</f>
        <v>6.75</v>
      </c>
      <c r="AF329" s="114" t="n">
        <f aca="false">Inputs!$D$26*(1+Inputs!$D$28)^(AF$233-1)*MAX(0,MIN(1,AF$232*1-Inputs!$D$29+1))/1</f>
        <v>6.75</v>
      </c>
      <c r="AG329" s="114" t="n">
        <f aca="false">Inputs!$D$26*(1+Inputs!$D$28)^(AG$233-1)*MAX(0,MIN(1,AG$232*1-Inputs!$D$29+1))/1</f>
        <v>6.75</v>
      </c>
      <c r="AH329" s="114" t="n">
        <f aca="false">Inputs!$D$26*(1+Inputs!$D$28)^(AH$233-1)*MAX(0,MIN(1,AH$232*1-Inputs!$D$29+1))/1</f>
        <v>6.75</v>
      </c>
      <c r="AI329" s="114" t="n">
        <f aca="false">Inputs!$D$26*(1+Inputs!$D$28)^(AI$233-1)*MAX(0,MIN(1,AI$232*1-Inputs!$D$29+1))/1</f>
        <v>6.75</v>
      </c>
      <c r="AJ329" s="114" t="n">
        <f aca="false">Inputs!$D$26*(1+Inputs!$D$28)^(AJ$233-1)*MAX(0,MIN(1,AJ$232*1-Inputs!$D$29+1))/1</f>
        <v>6.75</v>
      </c>
      <c r="AK329" s="114" t="n">
        <f aca="false">Inputs!$D$26*(1+Inputs!$D$28)^(AK$233-1)*MAX(0,MIN(1,AK$232*1-Inputs!$D$29+1))/1</f>
        <v>6.75</v>
      </c>
      <c r="AL329" s="114" t="n">
        <f aca="false">Inputs!$D$26*(1+Inputs!$D$28)^(AL$233-1)*MAX(0,MIN(1,AL$232*1-Inputs!$D$29+1))/1</f>
        <v>6.75</v>
      </c>
      <c r="AM329" s="114" t="n">
        <f aca="false">Inputs!$D$26*(1+Inputs!$D$28)^(AM$233-1)*MAX(0,MIN(1,AM$232*1-Inputs!$D$29+1))/1</f>
        <v>10.125</v>
      </c>
      <c r="AN329" s="114" t="n">
        <f aca="false">Inputs!$D$26*(1+Inputs!$D$28)^(AN$233-1)*MAX(0,MIN(1,AN$232*1-Inputs!$D$29+1))/1</f>
        <v>10.125</v>
      </c>
      <c r="AO329" s="114" t="n">
        <f aca="false">Inputs!$D$26*(1+Inputs!$D$28)^(AO$233-1)*MAX(0,MIN(1,AO$232*1-Inputs!$D$29+1))/1</f>
        <v>10.125</v>
      </c>
      <c r="AP329" s="114" t="n">
        <f aca="false">Inputs!$D$26*(1+Inputs!$D$28)^(AP$233-1)*MAX(0,MIN(1,AP$232*1-Inputs!$D$29+1))/1</f>
        <v>10.125</v>
      </c>
      <c r="AQ329" s="114" t="n">
        <f aca="false">Inputs!$D$26*(1+Inputs!$D$28)^(AQ$233-1)*MAX(0,MIN(1,AQ$232*1-Inputs!$D$29+1))/1</f>
        <v>10.125</v>
      </c>
      <c r="AR329" s="114" t="n">
        <f aca="false">Inputs!$D$26*(1+Inputs!$D$28)^(AR$233-1)*MAX(0,MIN(1,AR$232*1-Inputs!$D$29+1))/1</f>
        <v>10.125</v>
      </c>
      <c r="AS329" s="114" t="n">
        <f aca="false">Inputs!$D$26*(1+Inputs!$D$28)^(AS$233-1)*MAX(0,MIN(1,AS$232*1-Inputs!$D$29+1))/1</f>
        <v>10.125</v>
      </c>
      <c r="AT329" s="114" t="n">
        <f aca="false">Inputs!$D$26*(1+Inputs!$D$28)^(AT$233-1)*MAX(0,MIN(1,AT$232*1-Inputs!$D$29+1))/1</f>
        <v>10.125</v>
      </c>
      <c r="AU329" s="114" t="n">
        <f aca="false">Inputs!$D$26*(1+Inputs!$D$28)^(AU$233-1)*MAX(0,MIN(1,AU$232*1-Inputs!$D$29+1))/1</f>
        <v>10.125</v>
      </c>
      <c r="AV329" s="114" t="n">
        <f aca="false">Inputs!$D$26*(1+Inputs!$D$28)^(AV$233-1)*MAX(0,MIN(1,AV$232*1-Inputs!$D$29+1))/1</f>
        <v>10.125</v>
      </c>
      <c r="AW329" s="114" t="n">
        <f aca="false">Inputs!$D$26*(1+Inputs!$D$28)^(AW$233-1)*MAX(0,MIN(1,AW$232*1-Inputs!$D$29+1))/1</f>
        <v>10.125</v>
      </c>
      <c r="AX329" s="114" t="n">
        <f aca="false">Inputs!$D$26*(1+Inputs!$D$28)^(AX$233-1)*MAX(0,MIN(1,AX$232*1-Inputs!$D$29+1))/1</f>
        <v>10.125</v>
      </c>
      <c r="AY329" s="114" t="n">
        <f aca="false">Inputs!$D$26*(1+Inputs!$D$28)^(AY$233-1)*MAX(0,MIN(1,AY$232*1-Inputs!$D$29+1))/1</f>
        <v>15.1875</v>
      </c>
      <c r="AZ329" s="114" t="n">
        <f aca="false">Inputs!$D$26*(1+Inputs!$D$28)^(AZ$233-1)*MAX(0,MIN(1,AZ$232*1-Inputs!$D$29+1))/1</f>
        <v>15.1875</v>
      </c>
      <c r="BA329" s="114" t="n">
        <f aca="false">Inputs!$D$26*(1+Inputs!$D$28)^(BA$233-1)*MAX(0,MIN(1,BA$232*1-Inputs!$D$29+1))/1</f>
        <v>15.1875</v>
      </c>
      <c r="BB329" s="114" t="n">
        <f aca="false">Inputs!$D$26*(1+Inputs!$D$28)^(BB$233-1)*MAX(0,MIN(1,BB$232*1-Inputs!$D$29+1))/1</f>
        <v>15.1875</v>
      </c>
      <c r="BC329" s="114" t="n">
        <f aca="false">Inputs!$D$26*(1+Inputs!$D$28)^(BC$233-1)*MAX(0,MIN(1,BC$232*1-Inputs!$D$29+1))/1</f>
        <v>15.1875</v>
      </c>
      <c r="BD329" s="114" t="n">
        <f aca="false">Inputs!$D$26*(1+Inputs!$D$28)^(BD$233-1)*MAX(0,MIN(1,BD$232*1-Inputs!$D$29+1))/1</f>
        <v>15.1875</v>
      </c>
      <c r="BE329" s="114" t="n">
        <f aca="false">Inputs!$D$26*(1+Inputs!$D$28)^(BE$233-1)*MAX(0,MIN(1,BE$232*1-Inputs!$D$29+1))/1</f>
        <v>15.1875</v>
      </c>
      <c r="BF329" s="114" t="n">
        <f aca="false">Inputs!$D$26*(1+Inputs!$D$28)^(BF$233-1)*MAX(0,MIN(1,BF$232*1-Inputs!$D$29+1))/1</f>
        <v>15.1875</v>
      </c>
      <c r="BG329" s="114" t="n">
        <f aca="false">Inputs!$D$26*(1+Inputs!$D$28)^(BG$233-1)*MAX(0,MIN(1,BG$232*1-Inputs!$D$29+1))/1</f>
        <v>15.1875</v>
      </c>
      <c r="BH329" s="114" t="n">
        <f aca="false">Inputs!$D$26*(1+Inputs!$D$28)^(BH$233-1)*MAX(0,MIN(1,BH$232*1-Inputs!$D$29+1))/1</f>
        <v>15.1875</v>
      </c>
      <c r="BI329" s="114" t="n">
        <f aca="false">Inputs!$D$26*(1+Inputs!$D$28)^(BI$233-1)*MAX(0,MIN(1,BI$232*1-Inputs!$D$29+1))/1</f>
        <v>15.1875</v>
      </c>
      <c r="BJ329" s="114" t="n">
        <f aca="false">Inputs!$D$26*(1+Inputs!$D$28)^(BJ$233-1)*MAX(0,MIN(1,BJ$232*1-Inputs!$D$29+1))/1</f>
        <v>15.1875</v>
      </c>
    </row>
    <row r="330" customFormat="false" ht="15" hidden="false" customHeight="false" outlineLevel="0" collapsed="false">
      <c r="A330" s="6" t="s">
        <v>438</v>
      </c>
      <c r="C330" s="114" t="n">
        <f aca="false">Inputs!$D$30*(1+Inputs!$D$32)^(C$233-1)*MAX(0,MIN(1,C$232*1-Inputs!$D$33+1))/1</f>
        <v>1.5</v>
      </c>
      <c r="D330" s="114" t="n">
        <f aca="false">Inputs!$D$30*(1+Inputs!$D$32)^(D$233-1)*MAX(0,MIN(1,D$232*1-Inputs!$D$33+1))/1</f>
        <v>1.5</v>
      </c>
      <c r="E330" s="114" t="n">
        <f aca="false">Inputs!$D$30*(1+Inputs!$D$32)^(E$233-1)*MAX(0,MIN(1,E$232*1-Inputs!$D$33+1))/1</f>
        <v>1.5</v>
      </c>
      <c r="F330" s="114" t="n">
        <f aca="false">Inputs!$D$30*(1+Inputs!$D$32)^(F$233-1)*MAX(0,MIN(1,F$232*1-Inputs!$D$33+1))/1</f>
        <v>1.5</v>
      </c>
      <c r="G330" s="114" t="n">
        <f aca="false">Inputs!$D$30*(1+Inputs!$D$32)^(G$233-1)*MAX(0,MIN(1,G$232*1-Inputs!$D$33+1))/1</f>
        <v>1.5</v>
      </c>
      <c r="H330" s="114" t="n">
        <f aca="false">Inputs!$D$30*(1+Inputs!$D$32)^(H$233-1)*MAX(0,MIN(1,H$232*1-Inputs!$D$33+1))/1</f>
        <v>1.5</v>
      </c>
      <c r="I330" s="114" t="n">
        <f aca="false">Inputs!$D$30*(1+Inputs!$D$32)^(I$233-1)*MAX(0,MIN(1,I$232*1-Inputs!$D$33+1))/1</f>
        <v>1.5</v>
      </c>
      <c r="J330" s="114" t="n">
        <f aca="false">Inputs!$D$30*(1+Inputs!$D$32)^(J$233-1)*MAX(0,MIN(1,J$232*1-Inputs!$D$33+1))/1</f>
        <v>1.5</v>
      </c>
      <c r="K330" s="114" t="n">
        <f aca="false">Inputs!$D$30*(1+Inputs!$D$32)^(K$233-1)*MAX(0,MIN(1,K$232*1-Inputs!$D$33+1))/1</f>
        <v>1.5</v>
      </c>
      <c r="L330" s="114" t="n">
        <f aca="false">Inputs!$D$30*(1+Inputs!$D$32)^(L$233-1)*MAX(0,MIN(1,L$232*1-Inputs!$D$33+1))/1</f>
        <v>1.5</v>
      </c>
      <c r="M330" s="114" t="n">
        <f aca="false">Inputs!$D$30*(1+Inputs!$D$32)^(M$233-1)*MAX(0,MIN(1,M$232*1-Inputs!$D$33+1))/1</f>
        <v>1.5</v>
      </c>
      <c r="N330" s="114" t="n">
        <f aca="false">Inputs!$D$30*(1+Inputs!$D$32)^(N$233-1)*MAX(0,MIN(1,N$232*1-Inputs!$D$33+1))/1</f>
        <v>1.5</v>
      </c>
      <c r="O330" s="114" t="n">
        <f aca="false">Inputs!$D$30*(1+Inputs!$D$32)^(O$233-1)*MAX(0,MIN(1,O$232*1-Inputs!$D$33+1))/1</f>
        <v>2.25</v>
      </c>
      <c r="P330" s="114" t="n">
        <f aca="false">Inputs!$D$30*(1+Inputs!$D$32)^(P$233-1)*MAX(0,MIN(1,P$232*1-Inputs!$D$33+1))/1</f>
        <v>2.25</v>
      </c>
      <c r="Q330" s="114" t="n">
        <f aca="false">Inputs!$D$30*(1+Inputs!$D$32)^(Q$233-1)*MAX(0,MIN(1,Q$232*1-Inputs!$D$33+1))/1</f>
        <v>2.25</v>
      </c>
      <c r="R330" s="114" t="n">
        <f aca="false">Inputs!$D$30*(1+Inputs!$D$32)^(R$233-1)*MAX(0,MIN(1,R$232*1-Inputs!$D$33+1))/1</f>
        <v>2.25</v>
      </c>
      <c r="S330" s="114" t="n">
        <f aca="false">Inputs!$D$30*(1+Inputs!$D$32)^(S$233-1)*MAX(0,MIN(1,S$232*1-Inputs!$D$33+1))/1</f>
        <v>2.25</v>
      </c>
      <c r="T330" s="114" t="n">
        <f aca="false">Inputs!$D$30*(1+Inputs!$D$32)^(T$233-1)*MAX(0,MIN(1,T$232*1-Inputs!$D$33+1))/1</f>
        <v>2.25</v>
      </c>
      <c r="U330" s="114" t="n">
        <f aca="false">Inputs!$D$30*(1+Inputs!$D$32)^(U$233-1)*MAX(0,MIN(1,U$232*1-Inputs!$D$33+1))/1</f>
        <v>2.25</v>
      </c>
      <c r="V330" s="114" t="n">
        <f aca="false">Inputs!$D$30*(1+Inputs!$D$32)^(V$233-1)*MAX(0,MIN(1,V$232*1-Inputs!$D$33+1))/1</f>
        <v>2.25</v>
      </c>
      <c r="W330" s="114" t="n">
        <f aca="false">Inputs!$D$30*(1+Inputs!$D$32)^(W$233-1)*MAX(0,MIN(1,W$232*1-Inputs!$D$33+1))/1</f>
        <v>2.25</v>
      </c>
      <c r="X330" s="114" t="n">
        <f aca="false">Inputs!$D$30*(1+Inputs!$D$32)^(X$233-1)*MAX(0,MIN(1,X$232*1-Inputs!$D$33+1))/1</f>
        <v>2.25</v>
      </c>
      <c r="Y330" s="114" t="n">
        <f aca="false">Inputs!$D$30*(1+Inputs!$D$32)^(Y$233-1)*MAX(0,MIN(1,Y$232*1-Inputs!$D$33+1))/1</f>
        <v>2.25</v>
      </c>
      <c r="Z330" s="114" t="n">
        <f aca="false">Inputs!$D$30*(1+Inputs!$D$32)^(Z$233-1)*MAX(0,MIN(1,Z$232*1-Inputs!$D$33+1))/1</f>
        <v>2.25</v>
      </c>
      <c r="AA330" s="114" t="n">
        <f aca="false">Inputs!$D$30*(1+Inputs!$D$32)^(AA$233-1)*MAX(0,MIN(1,AA$232*1-Inputs!$D$33+1))/1</f>
        <v>3.375</v>
      </c>
      <c r="AB330" s="114" t="n">
        <f aca="false">Inputs!$D$30*(1+Inputs!$D$32)^(AB$233-1)*MAX(0,MIN(1,AB$232*1-Inputs!$D$33+1))/1</f>
        <v>3.375</v>
      </c>
      <c r="AC330" s="114" t="n">
        <f aca="false">Inputs!$D$30*(1+Inputs!$D$32)^(AC$233-1)*MAX(0,MIN(1,AC$232*1-Inputs!$D$33+1))/1</f>
        <v>3.375</v>
      </c>
      <c r="AD330" s="114" t="n">
        <f aca="false">Inputs!$D$30*(1+Inputs!$D$32)^(AD$233-1)*MAX(0,MIN(1,AD$232*1-Inputs!$D$33+1))/1</f>
        <v>3.375</v>
      </c>
      <c r="AE330" s="114" t="n">
        <f aca="false">Inputs!$D$30*(1+Inputs!$D$32)^(AE$233-1)*MAX(0,MIN(1,AE$232*1-Inputs!$D$33+1))/1</f>
        <v>3.375</v>
      </c>
      <c r="AF330" s="114" t="n">
        <f aca="false">Inputs!$D$30*(1+Inputs!$D$32)^(AF$233-1)*MAX(0,MIN(1,AF$232*1-Inputs!$D$33+1))/1</f>
        <v>3.375</v>
      </c>
      <c r="AG330" s="114" t="n">
        <f aca="false">Inputs!$D$30*(1+Inputs!$D$32)^(AG$233-1)*MAX(0,MIN(1,AG$232*1-Inputs!$D$33+1))/1</f>
        <v>3.375</v>
      </c>
      <c r="AH330" s="114" t="n">
        <f aca="false">Inputs!$D$30*(1+Inputs!$D$32)^(AH$233-1)*MAX(0,MIN(1,AH$232*1-Inputs!$D$33+1))/1</f>
        <v>3.375</v>
      </c>
      <c r="AI330" s="114" t="n">
        <f aca="false">Inputs!$D$30*(1+Inputs!$D$32)^(AI$233-1)*MAX(0,MIN(1,AI$232*1-Inputs!$D$33+1))/1</f>
        <v>3.375</v>
      </c>
      <c r="AJ330" s="114" t="n">
        <f aca="false">Inputs!$D$30*(1+Inputs!$D$32)^(AJ$233-1)*MAX(0,MIN(1,AJ$232*1-Inputs!$D$33+1))/1</f>
        <v>3.375</v>
      </c>
      <c r="AK330" s="114" t="n">
        <f aca="false">Inputs!$D$30*(1+Inputs!$D$32)^(AK$233-1)*MAX(0,MIN(1,AK$232*1-Inputs!$D$33+1))/1</f>
        <v>3.375</v>
      </c>
      <c r="AL330" s="114" t="n">
        <f aca="false">Inputs!$D$30*(1+Inputs!$D$32)^(AL$233-1)*MAX(0,MIN(1,AL$232*1-Inputs!$D$33+1))/1</f>
        <v>3.375</v>
      </c>
      <c r="AM330" s="114" t="n">
        <f aca="false">Inputs!$D$30*(1+Inputs!$D$32)^(AM$233-1)*MAX(0,MIN(1,AM$232*1-Inputs!$D$33+1))/1</f>
        <v>5.0625</v>
      </c>
      <c r="AN330" s="114" t="n">
        <f aca="false">Inputs!$D$30*(1+Inputs!$D$32)^(AN$233-1)*MAX(0,MIN(1,AN$232*1-Inputs!$D$33+1))/1</f>
        <v>5.0625</v>
      </c>
      <c r="AO330" s="114" t="n">
        <f aca="false">Inputs!$D$30*(1+Inputs!$D$32)^(AO$233-1)*MAX(0,MIN(1,AO$232*1-Inputs!$D$33+1))/1</f>
        <v>5.0625</v>
      </c>
      <c r="AP330" s="114" t="n">
        <f aca="false">Inputs!$D$30*(1+Inputs!$D$32)^(AP$233-1)*MAX(0,MIN(1,AP$232*1-Inputs!$D$33+1))/1</f>
        <v>5.0625</v>
      </c>
      <c r="AQ330" s="114" t="n">
        <f aca="false">Inputs!$D$30*(1+Inputs!$D$32)^(AQ$233-1)*MAX(0,MIN(1,AQ$232*1-Inputs!$D$33+1))/1</f>
        <v>5.0625</v>
      </c>
      <c r="AR330" s="114" t="n">
        <f aca="false">Inputs!$D$30*(1+Inputs!$D$32)^(AR$233-1)*MAX(0,MIN(1,AR$232*1-Inputs!$D$33+1))/1</f>
        <v>5.0625</v>
      </c>
      <c r="AS330" s="114" t="n">
        <f aca="false">Inputs!$D$30*(1+Inputs!$D$32)^(AS$233-1)*MAX(0,MIN(1,AS$232*1-Inputs!$D$33+1))/1</f>
        <v>5.0625</v>
      </c>
      <c r="AT330" s="114" t="n">
        <f aca="false">Inputs!$D$30*(1+Inputs!$D$32)^(AT$233-1)*MAX(0,MIN(1,AT$232*1-Inputs!$D$33+1))/1</f>
        <v>5.0625</v>
      </c>
      <c r="AU330" s="114" t="n">
        <f aca="false">Inputs!$D$30*(1+Inputs!$D$32)^(AU$233-1)*MAX(0,MIN(1,AU$232*1-Inputs!$D$33+1))/1</f>
        <v>5.0625</v>
      </c>
      <c r="AV330" s="114" t="n">
        <f aca="false">Inputs!$D$30*(1+Inputs!$D$32)^(AV$233-1)*MAX(0,MIN(1,AV$232*1-Inputs!$D$33+1))/1</f>
        <v>5.0625</v>
      </c>
      <c r="AW330" s="114" t="n">
        <f aca="false">Inputs!$D$30*(1+Inputs!$D$32)^(AW$233-1)*MAX(0,MIN(1,AW$232*1-Inputs!$D$33+1))/1</f>
        <v>5.0625</v>
      </c>
      <c r="AX330" s="114" t="n">
        <f aca="false">Inputs!$D$30*(1+Inputs!$D$32)^(AX$233-1)*MAX(0,MIN(1,AX$232*1-Inputs!$D$33+1))/1</f>
        <v>5.0625</v>
      </c>
      <c r="AY330" s="114" t="n">
        <f aca="false">Inputs!$D$30*(1+Inputs!$D$32)^(AY$233-1)*MAX(0,MIN(1,AY$232*1-Inputs!$D$33+1))/1</f>
        <v>7.59375</v>
      </c>
      <c r="AZ330" s="114" t="n">
        <f aca="false">Inputs!$D$30*(1+Inputs!$D$32)^(AZ$233-1)*MAX(0,MIN(1,AZ$232*1-Inputs!$D$33+1))/1</f>
        <v>7.59375</v>
      </c>
      <c r="BA330" s="114" t="n">
        <f aca="false">Inputs!$D$30*(1+Inputs!$D$32)^(BA$233-1)*MAX(0,MIN(1,BA$232*1-Inputs!$D$33+1))/1</f>
        <v>7.59375</v>
      </c>
      <c r="BB330" s="114" t="n">
        <f aca="false">Inputs!$D$30*(1+Inputs!$D$32)^(BB$233-1)*MAX(0,MIN(1,BB$232*1-Inputs!$D$33+1))/1</f>
        <v>7.59375</v>
      </c>
      <c r="BC330" s="114" t="n">
        <f aca="false">Inputs!$D$30*(1+Inputs!$D$32)^(BC$233-1)*MAX(0,MIN(1,BC$232*1-Inputs!$D$33+1))/1</f>
        <v>7.59375</v>
      </c>
      <c r="BD330" s="114" t="n">
        <f aca="false">Inputs!$D$30*(1+Inputs!$D$32)^(BD$233-1)*MAX(0,MIN(1,BD$232*1-Inputs!$D$33+1))/1</f>
        <v>7.59375</v>
      </c>
      <c r="BE330" s="114" t="n">
        <f aca="false">Inputs!$D$30*(1+Inputs!$D$32)^(BE$233-1)*MAX(0,MIN(1,BE$232*1-Inputs!$D$33+1))/1</f>
        <v>7.59375</v>
      </c>
      <c r="BF330" s="114" t="n">
        <f aca="false">Inputs!$D$30*(1+Inputs!$D$32)^(BF$233-1)*MAX(0,MIN(1,BF$232*1-Inputs!$D$33+1))/1</f>
        <v>7.59375</v>
      </c>
      <c r="BG330" s="114" t="n">
        <f aca="false">Inputs!$D$30*(1+Inputs!$D$32)^(BG$233-1)*MAX(0,MIN(1,BG$232*1-Inputs!$D$33+1))/1</f>
        <v>7.59375</v>
      </c>
      <c r="BH330" s="114" t="n">
        <f aca="false">Inputs!$D$30*(1+Inputs!$D$32)^(BH$233-1)*MAX(0,MIN(1,BH$232*1-Inputs!$D$33+1))/1</f>
        <v>7.59375</v>
      </c>
      <c r="BI330" s="114" t="n">
        <f aca="false">Inputs!$D$30*(1+Inputs!$D$32)^(BI$233-1)*MAX(0,MIN(1,BI$232*1-Inputs!$D$33+1))/1</f>
        <v>7.59375</v>
      </c>
      <c r="BJ330" s="114" t="n">
        <f aca="false">Inputs!$D$30*(1+Inputs!$D$32)^(BJ$233-1)*MAX(0,MIN(1,BJ$232*1-Inputs!$D$33+1))/1</f>
        <v>7.59375</v>
      </c>
    </row>
    <row r="331" customFormat="false" ht="15" hidden="false" customHeight="false" outlineLevel="0" collapsed="false">
      <c r="A331" s="6" t="s">
        <v>439</v>
      </c>
      <c r="C331" s="114" t="n">
        <f aca="false">Inputs!$D$34*(1+Inputs!$D$36)^(C$233-1)*MAX(0,MIN(1,C$232*1-Inputs!$D$37+1))/1</f>
        <v>1</v>
      </c>
      <c r="D331" s="114" t="n">
        <f aca="false">Inputs!$D$34*(1+Inputs!$D$36)^(D$233-1)*MAX(0,MIN(1,D$232*1-Inputs!$D$37+1))/1</f>
        <v>1</v>
      </c>
      <c r="E331" s="114" t="n">
        <f aca="false">Inputs!$D$34*(1+Inputs!$D$36)^(E$233-1)*MAX(0,MIN(1,E$232*1-Inputs!$D$37+1))/1</f>
        <v>1</v>
      </c>
      <c r="F331" s="114" t="n">
        <f aca="false">Inputs!$D$34*(1+Inputs!$D$36)^(F$233-1)*MAX(0,MIN(1,F$232*1-Inputs!$D$37+1))/1</f>
        <v>1</v>
      </c>
      <c r="G331" s="114" t="n">
        <f aca="false">Inputs!$D$34*(1+Inputs!$D$36)^(G$233-1)*MAX(0,MIN(1,G$232*1-Inputs!$D$37+1))/1</f>
        <v>1</v>
      </c>
      <c r="H331" s="114" t="n">
        <f aca="false">Inputs!$D$34*(1+Inputs!$D$36)^(H$233-1)*MAX(0,MIN(1,H$232*1-Inputs!$D$37+1))/1</f>
        <v>1</v>
      </c>
      <c r="I331" s="114" t="n">
        <f aca="false">Inputs!$D$34*(1+Inputs!$D$36)^(I$233-1)*MAX(0,MIN(1,I$232*1-Inputs!$D$37+1))/1</f>
        <v>1</v>
      </c>
      <c r="J331" s="114" t="n">
        <f aca="false">Inputs!$D$34*(1+Inputs!$D$36)^(J$233-1)*MAX(0,MIN(1,J$232*1-Inputs!$D$37+1))/1</f>
        <v>1</v>
      </c>
      <c r="K331" s="114" t="n">
        <f aca="false">Inputs!$D$34*(1+Inputs!$D$36)^(K$233-1)*MAX(0,MIN(1,K$232*1-Inputs!$D$37+1))/1</f>
        <v>1</v>
      </c>
      <c r="L331" s="114" t="n">
        <f aca="false">Inputs!$D$34*(1+Inputs!$D$36)^(L$233-1)*MAX(0,MIN(1,L$232*1-Inputs!$D$37+1))/1</f>
        <v>1</v>
      </c>
      <c r="M331" s="114" t="n">
        <f aca="false">Inputs!$D$34*(1+Inputs!$D$36)^(M$233-1)*MAX(0,MIN(1,M$232*1-Inputs!$D$37+1))/1</f>
        <v>1</v>
      </c>
      <c r="N331" s="114" t="n">
        <f aca="false">Inputs!$D$34*(1+Inputs!$D$36)^(N$233-1)*MAX(0,MIN(1,N$232*1-Inputs!$D$37+1))/1</f>
        <v>1</v>
      </c>
      <c r="O331" s="114" t="n">
        <f aca="false">Inputs!$D$34*(1+Inputs!$D$36)^(O$233-1)*MAX(0,MIN(1,O$232*1-Inputs!$D$37+1))/1</f>
        <v>1.5</v>
      </c>
      <c r="P331" s="114" t="n">
        <f aca="false">Inputs!$D$34*(1+Inputs!$D$36)^(P$233-1)*MAX(0,MIN(1,P$232*1-Inputs!$D$37+1))/1</f>
        <v>1.5</v>
      </c>
      <c r="Q331" s="114" t="n">
        <f aca="false">Inputs!$D$34*(1+Inputs!$D$36)^(Q$233-1)*MAX(0,MIN(1,Q$232*1-Inputs!$D$37+1))/1</f>
        <v>1.5</v>
      </c>
      <c r="R331" s="114" t="n">
        <f aca="false">Inputs!$D$34*(1+Inputs!$D$36)^(R$233-1)*MAX(0,MIN(1,R$232*1-Inputs!$D$37+1))/1</f>
        <v>1.5</v>
      </c>
      <c r="S331" s="114" t="n">
        <f aca="false">Inputs!$D$34*(1+Inputs!$D$36)^(S$233-1)*MAX(0,MIN(1,S$232*1-Inputs!$D$37+1))/1</f>
        <v>1.5</v>
      </c>
      <c r="T331" s="114" t="n">
        <f aca="false">Inputs!$D$34*(1+Inputs!$D$36)^(T$233-1)*MAX(0,MIN(1,T$232*1-Inputs!$D$37+1))/1</f>
        <v>1.5</v>
      </c>
      <c r="U331" s="114" t="n">
        <f aca="false">Inputs!$D$34*(1+Inputs!$D$36)^(U$233-1)*MAX(0,MIN(1,U$232*1-Inputs!$D$37+1))/1</f>
        <v>1.5</v>
      </c>
      <c r="V331" s="114" t="n">
        <f aca="false">Inputs!$D$34*(1+Inputs!$D$36)^(V$233-1)*MAX(0,MIN(1,V$232*1-Inputs!$D$37+1))/1</f>
        <v>1.5</v>
      </c>
      <c r="W331" s="114" t="n">
        <f aca="false">Inputs!$D$34*(1+Inputs!$D$36)^(W$233-1)*MAX(0,MIN(1,W$232*1-Inputs!$D$37+1))/1</f>
        <v>1.5</v>
      </c>
      <c r="X331" s="114" t="n">
        <f aca="false">Inputs!$D$34*(1+Inputs!$D$36)^(X$233-1)*MAX(0,MIN(1,X$232*1-Inputs!$D$37+1))/1</f>
        <v>1.5</v>
      </c>
      <c r="Y331" s="114" t="n">
        <f aca="false">Inputs!$D$34*(1+Inputs!$D$36)^(Y$233-1)*MAX(0,MIN(1,Y$232*1-Inputs!$D$37+1))/1</f>
        <v>1.5</v>
      </c>
      <c r="Z331" s="114" t="n">
        <f aca="false">Inputs!$D$34*(1+Inputs!$D$36)^(Z$233-1)*MAX(0,MIN(1,Z$232*1-Inputs!$D$37+1))/1</f>
        <v>1.5</v>
      </c>
      <c r="AA331" s="114" t="n">
        <f aca="false">Inputs!$D$34*(1+Inputs!$D$36)^(AA$233-1)*MAX(0,MIN(1,AA$232*1-Inputs!$D$37+1))/1</f>
        <v>2.25</v>
      </c>
      <c r="AB331" s="114" t="n">
        <f aca="false">Inputs!$D$34*(1+Inputs!$D$36)^(AB$233-1)*MAX(0,MIN(1,AB$232*1-Inputs!$D$37+1))/1</f>
        <v>2.25</v>
      </c>
      <c r="AC331" s="114" t="n">
        <f aca="false">Inputs!$D$34*(1+Inputs!$D$36)^(AC$233-1)*MAX(0,MIN(1,AC$232*1-Inputs!$D$37+1))/1</f>
        <v>2.25</v>
      </c>
      <c r="AD331" s="114" t="n">
        <f aca="false">Inputs!$D$34*(1+Inputs!$D$36)^(AD$233-1)*MAX(0,MIN(1,AD$232*1-Inputs!$D$37+1))/1</f>
        <v>2.25</v>
      </c>
      <c r="AE331" s="114" t="n">
        <f aca="false">Inputs!$D$34*(1+Inputs!$D$36)^(AE$233-1)*MAX(0,MIN(1,AE$232*1-Inputs!$D$37+1))/1</f>
        <v>2.25</v>
      </c>
      <c r="AF331" s="114" t="n">
        <f aca="false">Inputs!$D$34*(1+Inputs!$D$36)^(AF$233-1)*MAX(0,MIN(1,AF$232*1-Inputs!$D$37+1))/1</f>
        <v>2.25</v>
      </c>
      <c r="AG331" s="114" t="n">
        <f aca="false">Inputs!$D$34*(1+Inputs!$D$36)^(AG$233-1)*MAX(0,MIN(1,AG$232*1-Inputs!$D$37+1))/1</f>
        <v>2.25</v>
      </c>
      <c r="AH331" s="114" t="n">
        <f aca="false">Inputs!$D$34*(1+Inputs!$D$36)^(AH$233-1)*MAX(0,MIN(1,AH$232*1-Inputs!$D$37+1))/1</f>
        <v>2.25</v>
      </c>
      <c r="AI331" s="114" t="n">
        <f aca="false">Inputs!$D$34*(1+Inputs!$D$36)^(AI$233-1)*MAX(0,MIN(1,AI$232*1-Inputs!$D$37+1))/1</f>
        <v>2.25</v>
      </c>
      <c r="AJ331" s="114" t="n">
        <f aca="false">Inputs!$D$34*(1+Inputs!$D$36)^(AJ$233-1)*MAX(0,MIN(1,AJ$232*1-Inputs!$D$37+1))/1</f>
        <v>2.25</v>
      </c>
      <c r="AK331" s="114" t="n">
        <f aca="false">Inputs!$D$34*(1+Inputs!$D$36)^(AK$233-1)*MAX(0,MIN(1,AK$232*1-Inputs!$D$37+1))/1</f>
        <v>2.25</v>
      </c>
      <c r="AL331" s="114" t="n">
        <f aca="false">Inputs!$D$34*(1+Inputs!$D$36)^(AL$233-1)*MAX(0,MIN(1,AL$232*1-Inputs!$D$37+1))/1</f>
        <v>2.25</v>
      </c>
      <c r="AM331" s="114" t="n">
        <f aca="false">Inputs!$D$34*(1+Inputs!$D$36)^(AM$233-1)*MAX(0,MIN(1,AM$232*1-Inputs!$D$37+1))/1</f>
        <v>3.375</v>
      </c>
      <c r="AN331" s="114" t="n">
        <f aca="false">Inputs!$D$34*(1+Inputs!$D$36)^(AN$233-1)*MAX(0,MIN(1,AN$232*1-Inputs!$D$37+1))/1</f>
        <v>3.375</v>
      </c>
      <c r="AO331" s="114" t="n">
        <f aca="false">Inputs!$D$34*(1+Inputs!$D$36)^(AO$233-1)*MAX(0,MIN(1,AO$232*1-Inputs!$D$37+1))/1</f>
        <v>3.375</v>
      </c>
      <c r="AP331" s="114" t="n">
        <f aca="false">Inputs!$D$34*(1+Inputs!$D$36)^(AP$233-1)*MAX(0,MIN(1,AP$232*1-Inputs!$D$37+1))/1</f>
        <v>3.375</v>
      </c>
      <c r="AQ331" s="114" t="n">
        <f aca="false">Inputs!$D$34*(1+Inputs!$D$36)^(AQ$233-1)*MAX(0,MIN(1,AQ$232*1-Inputs!$D$37+1))/1</f>
        <v>3.375</v>
      </c>
      <c r="AR331" s="114" t="n">
        <f aca="false">Inputs!$D$34*(1+Inputs!$D$36)^(AR$233-1)*MAX(0,MIN(1,AR$232*1-Inputs!$D$37+1))/1</f>
        <v>3.375</v>
      </c>
      <c r="AS331" s="114" t="n">
        <f aca="false">Inputs!$D$34*(1+Inputs!$D$36)^(AS$233-1)*MAX(0,MIN(1,AS$232*1-Inputs!$D$37+1))/1</f>
        <v>3.375</v>
      </c>
      <c r="AT331" s="114" t="n">
        <f aca="false">Inputs!$D$34*(1+Inputs!$D$36)^(AT$233-1)*MAX(0,MIN(1,AT$232*1-Inputs!$D$37+1))/1</f>
        <v>3.375</v>
      </c>
      <c r="AU331" s="114" t="n">
        <f aca="false">Inputs!$D$34*(1+Inputs!$D$36)^(AU$233-1)*MAX(0,MIN(1,AU$232*1-Inputs!$D$37+1))/1</f>
        <v>3.375</v>
      </c>
      <c r="AV331" s="114" t="n">
        <f aca="false">Inputs!$D$34*(1+Inputs!$D$36)^(AV$233-1)*MAX(0,MIN(1,AV$232*1-Inputs!$D$37+1))/1</f>
        <v>3.375</v>
      </c>
      <c r="AW331" s="114" t="n">
        <f aca="false">Inputs!$D$34*(1+Inputs!$D$36)^(AW$233-1)*MAX(0,MIN(1,AW$232*1-Inputs!$D$37+1))/1</f>
        <v>3.375</v>
      </c>
      <c r="AX331" s="114" t="n">
        <f aca="false">Inputs!$D$34*(1+Inputs!$D$36)^(AX$233-1)*MAX(0,MIN(1,AX$232*1-Inputs!$D$37+1))/1</f>
        <v>3.375</v>
      </c>
      <c r="AY331" s="114" t="n">
        <f aca="false">Inputs!$D$34*(1+Inputs!$D$36)^(AY$233-1)*MAX(0,MIN(1,AY$232*1-Inputs!$D$37+1))/1</f>
        <v>5.0625</v>
      </c>
      <c r="AZ331" s="114" t="n">
        <f aca="false">Inputs!$D$34*(1+Inputs!$D$36)^(AZ$233-1)*MAX(0,MIN(1,AZ$232*1-Inputs!$D$37+1))/1</f>
        <v>5.0625</v>
      </c>
      <c r="BA331" s="114" t="n">
        <f aca="false">Inputs!$D$34*(1+Inputs!$D$36)^(BA$233-1)*MAX(0,MIN(1,BA$232*1-Inputs!$D$37+1))/1</f>
        <v>5.0625</v>
      </c>
      <c r="BB331" s="114" t="n">
        <f aca="false">Inputs!$D$34*(1+Inputs!$D$36)^(BB$233-1)*MAX(0,MIN(1,BB$232*1-Inputs!$D$37+1))/1</f>
        <v>5.0625</v>
      </c>
      <c r="BC331" s="114" t="n">
        <f aca="false">Inputs!$D$34*(1+Inputs!$D$36)^(BC$233-1)*MAX(0,MIN(1,BC$232*1-Inputs!$D$37+1))/1</f>
        <v>5.0625</v>
      </c>
      <c r="BD331" s="114" t="n">
        <f aca="false">Inputs!$D$34*(1+Inputs!$D$36)^(BD$233-1)*MAX(0,MIN(1,BD$232*1-Inputs!$D$37+1))/1</f>
        <v>5.0625</v>
      </c>
      <c r="BE331" s="114" t="n">
        <f aca="false">Inputs!$D$34*(1+Inputs!$D$36)^(BE$233-1)*MAX(0,MIN(1,BE$232*1-Inputs!$D$37+1))/1</f>
        <v>5.0625</v>
      </c>
      <c r="BF331" s="114" t="n">
        <f aca="false">Inputs!$D$34*(1+Inputs!$D$36)^(BF$233-1)*MAX(0,MIN(1,BF$232*1-Inputs!$D$37+1))/1</f>
        <v>5.0625</v>
      </c>
      <c r="BG331" s="114" t="n">
        <f aca="false">Inputs!$D$34*(1+Inputs!$D$36)^(BG$233-1)*MAX(0,MIN(1,BG$232*1-Inputs!$D$37+1))/1</f>
        <v>5.0625</v>
      </c>
      <c r="BH331" s="114" t="n">
        <f aca="false">Inputs!$D$34*(1+Inputs!$D$36)^(BH$233-1)*MAX(0,MIN(1,BH$232*1-Inputs!$D$37+1))/1</f>
        <v>5.0625</v>
      </c>
      <c r="BI331" s="114" t="n">
        <f aca="false">Inputs!$D$34*(1+Inputs!$D$36)^(BI$233-1)*MAX(0,MIN(1,BI$232*1-Inputs!$D$37+1))/1</f>
        <v>5.0625</v>
      </c>
      <c r="BJ331" s="114" t="n">
        <f aca="false">Inputs!$D$34*(1+Inputs!$D$36)^(BJ$233-1)*MAX(0,MIN(1,BJ$232*1-Inputs!$D$37+1))/1</f>
        <v>5.0625</v>
      </c>
    </row>
    <row r="332" customFormat="false" ht="15" hidden="false" customHeight="false" outlineLevel="0" collapsed="false">
      <c r="A332" s="6" t="s">
        <v>440</v>
      </c>
      <c r="C332" s="114" t="n">
        <f aca="false">Inputs!$D$38*(1+Inputs!$D$40)^(C$233-1)*MAX(0,MIN(1,C$232*1-Inputs!$D$41+1))/1</f>
        <v>0.5</v>
      </c>
      <c r="D332" s="114" t="n">
        <f aca="false">Inputs!$D$38*(1+Inputs!$D$40)^(D$233-1)*MAX(0,MIN(1,D$232*1-Inputs!$D$41+1))/1</f>
        <v>0.5</v>
      </c>
      <c r="E332" s="114" t="n">
        <f aca="false">Inputs!$D$38*(1+Inputs!$D$40)^(E$233-1)*MAX(0,MIN(1,E$232*1-Inputs!$D$41+1))/1</f>
        <v>0.5</v>
      </c>
      <c r="F332" s="114" t="n">
        <f aca="false">Inputs!$D$38*(1+Inputs!$D$40)^(F$233-1)*MAX(0,MIN(1,F$232*1-Inputs!$D$41+1))/1</f>
        <v>0.5</v>
      </c>
      <c r="G332" s="114" t="n">
        <f aca="false">Inputs!$D$38*(1+Inputs!$D$40)^(G$233-1)*MAX(0,MIN(1,G$232*1-Inputs!$D$41+1))/1</f>
        <v>0.5</v>
      </c>
      <c r="H332" s="114" t="n">
        <f aca="false">Inputs!$D$38*(1+Inputs!$D$40)^(H$233-1)*MAX(0,MIN(1,H$232*1-Inputs!$D$41+1))/1</f>
        <v>0.5</v>
      </c>
      <c r="I332" s="114" t="n">
        <f aca="false">Inputs!$D$38*(1+Inputs!$D$40)^(I$233-1)*MAX(0,MIN(1,I$232*1-Inputs!$D$41+1))/1</f>
        <v>0.5</v>
      </c>
      <c r="J332" s="114" t="n">
        <f aca="false">Inputs!$D$38*(1+Inputs!$D$40)^(J$233-1)*MAX(0,MIN(1,J$232*1-Inputs!$D$41+1))/1</f>
        <v>0.5</v>
      </c>
      <c r="K332" s="114" t="n">
        <f aca="false">Inputs!$D$38*(1+Inputs!$D$40)^(K$233-1)*MAX(0,MIN(1,K$232*1-Inputs!$D$41+1))/1</f>
        <v>0.5</v>
      </c>
      <c r="L332" s="114" t="n">
        <f aca="false">Inputs!$D$38*(1+Inputs!$D$40)^(L$233-1)*MAX(0,MIN(1,L$232*1-Inputs!$D$41+1))/1</f>
        <v>0.5</v>
      </c>
      <c r="M332" s="114" t="n">
        <f aca="false">Inputs!$D$38*(1+Inputs!$D$40)^(M$233-1)*MAX(0,MIN(1,M$232*1-Inputs!$D$41+1))/1</f>
        <v>0.5</v>
      </c>
      <c r="N332" s="114" t="n">
        <f aca="false">Inputs!$D$38*(1+Inputs!$D$40)^(N$233-1)*MAX(0,MIN(1,N$232*1-Inputs!$D$41+1))/1</f>
        <v>0.5</v>
      </c>
      <c r="O332" s="114" t="n">
        <f aca="false">Inputs!$D$38*(1+Inputs!$D$40)^(O$233-1)*MAX(0,MIN(1,O$232*1-Inputs!$D$41+1))/1</f>
        <v>0.75</v>
      </c>
      <c r="P332" s="114" t="n">
        <f aca="false">Inputs!$D$38*(1+Inputs!$D$40)^(P$233-1)*MAX(0,MIN(1,P$232*1-Inputs!$D$41+1))/1</f>
        <v>0.75</v>
      </c>
      <c r="Q332" s="114" t="n">
        <f aca="false">Inputs!$D$38*(1+Inputs!$D$40)^(Q$233-1)*MAX(0,MIN(1,Q$232*1-Inputs!$D$41+1))/1</f>
        <v>0.75</v>
      </c>
      <c r="R332" s="114" t="n">
        <f aca="false">Inputs!$D$38*(1+Inputs!$D$40)^(R$233-1)*MAX(0,MIN(1,R$232*1-Inputs!$D$41+1))/1</f>
        <v>0.75</v>
      </c>
      <c r="S332" s="114" t="n">
        <f aca="false">Inputs!$D$38*(1+Inputs!$D$40)^(S$233-1)*MAX(0,MIN(1,S$232*1-Inputs!$D$41+1))/1</f>
        <v>0.75</v>
      </c>
      <c r="T332" s="114" t="n">
        <f aca="false">Inputs!$D$38*(1+Inputs!$D$40)^(T$233-1)*MAX(0,MIN(1,T$232*1-Inputs!$D$41+1))/1</f>
        <v>0.75</v>
      </c>
      <c r="U332" s="114" t="n">
        <f aca="false">Inputs!$D$38*(1+Inputs!$D$40)^(U$233-1)*MAX(0,MIN(1,U$232*1-Inputs!$D$41+1))/1</f>
        <v>0.75</v>
      </c>
      <c r="V332" s="114" t="n">
        <f aca="false">Inputs!$D$38*(1+Inputs!$D$40)^(V$233-1)*MAX(0,MIN(1,V$232*1-Inputs!$D$41+1))/1</f>
        <v>0.75</v>
      </c>
      <c r="W332" s="114" t="n">
        <f aca="false">Inputs!$D$38*(1+Inputs!$D$40)^(W$233-1)*MAX(0,MIN(1,W$232*1-Inputs!$D$41+1))/1</f>
        <v>0.75</v>
      </c>
      <c r="X332" s="114" t="n">
        <f aca="false">Inputs!$D$38*(1+Inputs!$D$40)^(X$233-1)*MAX(0,MIN(1,X$232*1-Inputs!$D$41+1))/1</f>
        <v>0.75</v>
      </c>
      <c r="Y332" s="114" t="n">
        <f aca="false">Inputs!$D$38*(1+Inputs!$D$40)^(Y$233-1)*MAX(0,MIN(1,Y$232*1-Inputs!$D$41+1))/1</f>
        <v>0.75</v>
      </c>
      <c r="Z332" s="114" t="n">
        <f aca="false">Inputs!$D$38*(1+Inputs!$D$40)^(Z$233-1)*MAX(0,MIN(1,Z$232*1-Inputs!$D$41+1))/1</f>
        <v>0.75</v>
      </c>
      <c r="AA332" s="114" t="n">
        <f aca="false">Inputs!$D$38*(1+Inputs!$D$40)^(AA$233-1)*MAX(0,MIN(1,AA$232*1-Inputs!$D$41+1))/1</f>
        <v>1.125</v>
      </c>
      <c r="AB332" s="114" t="n">
        <f aca="false">Inputs!$D$38*(1+Inputs!$D$40)^(AB$233-1)*MAX(0,MIN(1,AB$232*1-Inputs!$D$41+1))/1</f>
        <v>1.125</v>
      </c>
      <c r="AC332" s="114" t="n">
        <f aca="false">Inputs!$D$38*(1+Inputs!$D$40)^(AC$233-1)*MAX(0,MIN(1,AC$232*1-Inputs!$D$41+1))/1</f>
        <v>1.125</v>
      </c>
      <c r="AD332" s="114" t="n">
        <f aca="false">Inputs!$D$38*(1+Inputs!$D$40)^(AD$233-1)*MAX(0,MIN(1,AD$232*1-Inputs!$D$41+1))/1</f>
        <v>1.125</v>
      </c>
      <c r="AE332" s="114" t="n">
        <f aca="false">Inputs!$D$38*(1+Inputs!$D$40)^(AE$233-1)*MAX(0,MIN(1,AE$232*1-Inputs!$D$41+1))/1</f>
        <v>1.125</v>
      </c>
      <c r="AF332" s="114" t="n">
        <f aca="false">Inputs!$D$38*(1+Inputs!$D$40)^(AF$233-1)*MAX(0,MIN(1,AF$232*1-Inputs!$D$41+1))/1</f>
        <v>1.125</v>
      </c>
      <c r="AG332" s="114" t="n">
        <f aca="false">Inputs!$D$38*(1+Inputs!$D$40)^(AG$233-1)*MAX(0,MIN(1,AG$232*1-Inputs!$D$41+1))/1</f>
        <v>1.125</v>
      </c>
      <c r="AH332" s="114" t="n">
        <f aca="false">Inputs!$D$38*(1+Inputs!$D$40)^(AH$233-1)*MAX(0,MIN(1,AH$232*1-Inputs!$D$41+1))/1</f>
        <v>1.125</v>
      </c>
      <c r="AI332" s="114" t="n">
        <f aca="false">Inputs!$D$38*(1+Inputs!$D$40)^(AI$233-1)*MAX(0,MIN(1,AI$232*1-Inputs!$D$41+1))/1</f>
        <v>1.125</v>
      </c>
      <c r="AJ332" s="114" t="n">
        <f aca="false">Inputs!$D$38*(1+Inputs!$D$40)^(AJ$233-1)*MAX(0,MIN(1,AJ$232*1-Inputs!$D$41+1))/1</f>
        <v>1.125</v>
      </c>
      <c r="AK332" s="114" t="n">
        <f aca="false">Inputs!$D$38*(1+Inputs!$D$40)^(AK$233-1)*MAX(0,MIN(1,AK$232*1-Inputs!$D$41+1))/1</f>
        <v>1.125</v>
      </c>
      <c r="AL332" s="114" t="n">
        <f aca="false">Inputs!$D$38*(1+Inputs!$D$40)^(AL$233-1)*MAX(0,MIN(1,AL$232*1-Inputs!$D$41+1))/1</f>
        <v>1.125</v>
      </c>
      <c r="AM332" s="114" t="n">
        <f aca="false">Inputs!$D$38*(1+Inputs!$D$40)^(AM$233-1)*MAX(0,MIN(1,AM$232*1-Inputs!$D$41+1))/1</f>
        <v>1.6875</v>
      </c>
      <c r="AN332" s="114" t="n">
        <f aca="false">Inputs!$D$38*(1+Inputs!$D$40)^(AN$233-1)*MAX(0,MIN(1,AN$232*1-Inputs!$D$41+1))/1</f>
        <v>1.6875</v>
      </c>
      <c r="AO332" s="114" t="n">
        <f aca="false">Inputs!$D$38*(1+Inputs!$D$40)^(AO$233-1)*MAX(0,MIN(1,AO$232*1-Inputs!$D$41+1))/1</f>
        <v>1.6875</v>
      </c>
      <c r="AP332" s="114" t="n">
        <f aca="false">Inputs!$D$38*(1+Inputs!$D$40)^(AP$233-1)*MAX(0,MIN(1,AP$232*1-Inputs!$D$41+1))/1</f>
        <v>1.6875</v>
      </c>
      <c r="AQ332" s="114" t="n">
        <f aca="false">Inputs!$D$38*(1+Inputs!$D$40)^(AQ$233-1)*MAX(0,MIN(1,AQ$232*1-Inputs!$D$41+1))/1</f>
        <v>1.6875</v>
      </c>
      <c r="AR332" s="114" t="n">
        <f aca="false">Inputs!$D$38*(1+Inputs!$D$40)^(AR$233-1)*MAX(0,MIN(1,AR$232*1-Inputs!$D$41+1))/1</f>
        <v>1.6875</v>
      </c>
      <c r="AS332" s="114" t="n">
        <f aca="false">Inputs!$D$38*(1+Inputs!$D$40)^(AS$233-1)*MAX(0,MIN(1,AS$232*1-Inputs!$D$41+1))/1</f>
        <v>1.6875</v>
      </c>
      <c r="AT332" s="114" t="n">
        <f aca="false">Inputs!$D$38*(1+Inputs!$D$40)^(AT$233-1)*MAX(0,MIN(1,AT$232*1-Inputs!$D$41+1))/1</f>
        <v>1.6875</v>
      </c>
      <c r="AU332" s="114" t="n">
        <f aca="false">Inputs!$D$38*(1+Inputs!$D$40)^(AU$233-1)*MAX(0,MIN(1,AU$232*1-Inputs!$D$41+1))/1</f>
        <v>1.6875</v>
      </c>
      <c r="AV332" s="114" t="n">
        <f aca="false">Inputs!$D$38*(1+Inputs!$D$40)^(AV$233-1)*MAX(0,MIN(1,AV$232*1-Inputs!$D$41+1))/1</f>
        <v>1.6875</v>
      </c>
      <c r="AW332" s="114" t="n">
        <f aca="false">Inputs!$D$38*(1+Inputs!$D$40)^(AW$233-1)*MAX(0,MIN(1,AW$232*1-Inputs!$D$41+1))/1</f>
        <v>1.6875</v>
      </c>
      <c r="AX332" s="114" t="n">
        <f aca="false">Inputs!$D$38*(1+Inputs!$D$40)^(AX$233-1)*MAX(0,MIN(1,AX$232*1-Inputs!$D$41+1))/1</f>
        <v>1.6875</v>
      </c>
      <c r="AY332" s="114" t="n">
        <f aca="false">Inputs!$D$38*(1+Inputs!$D$40)^(AY$233-1)*MAX(0,MIN(1,AY$232*1-Inputs!$D$41+1))/1</f>
        <v>2.53125</v>
      </c>
      <c r="AZ332" s="114" t="n">
        <f aca="false">Inputs!$D$38*(1+Inputs!$D$40)^(AZ$233-1)*MAX(0,MIN(1,AZ$232*1-Inputs!$D$41+1))/1</f>
        <v>2.53125</v>
      </c>
      <c r="BA332" s="114" t="n">
        <f aca="false">Inputs!$D$38*(1+Inputs!$D$40)^(BA$233-1)*MAX(0,MIN(1,BA$232*1-Inputs!$D$41+1))/1</f>
        <v>2.53125</v>
      </c>
      <c r="BB332" s="114" t="n">
        <f aca="false">Inputs!$D$38*(1+Inputs!$D$40)^(BB$233-1)*MAX(0,MIN(1,BB$232*1-Inputs!$D$41+1))/1</f>
        <v>2.53125</v>
      </c>
      <c r="BC332" s="114" t="n">
        <f aca="false">Inputs!$D$38*(1+Inputs!$D$40)^(BC$233-1)*MAX(0,MIN(1,BC$232*1-Inputs!$D$41+1))/1</f>
        <v>2.53125</v>
      </c>
      <c r="BD332" s="114" t="n">
        <f aca="false">Inputs!$D$38*(1+Inputs!$D$40)^(BD$233-1)*MAX(0,MIN(1,BD$232*1-Inputs!$D$41+1))/1</f>
        <v>2.53125</v>
      </c>
      <c r="BE332" s="114" t="n">
        <f aca="false">Inputs!$D$38*(1+Inputs!$D$40)^(BE$233-1)*MAX(0,MIN(1,BE$232*1-Inputs!$D$41+1))/1</f>
        <v>2.53125</v>
      </c>
      <c r="BF332" s="114" t="n">
        <f aca="false">Inputs!$D$38*(1+Inputs!$D$40)^(BF$233-1)*MAX(0,MIN(1,BF$232*1-Inputs!$D$41+1))/1</f>
        <v>2.53125</v>
      </c>
      <c r="BG332" s="114" t="n">
        <f aca="false">Inputs!$D$38*(1+Inputs!$D$40)^(BG$233-1)*MAX(0,MIN(1,BG$232*1-Inputs!$D$41+1))/1</f>
        <v>2.53125</v>
      </c>
      <c r="BH332" s="114" t="n">
        <f aca="false">Inputs!$D$38*(1+Inputs!$D$40)^(BH$233-1)*MAX(0,MIN(1,BH$232*1-Inputs!$D$41+1))/1</f>
        <v>2.53125</v>
      </c>
      <c r="BI332" s="114" t="n">
        <f aca="false">Inputs!$D$38*(1+Inputs!$D$40)^(BI$233-1)*MAX(0,MIN(1,BI$232*1-Inputs!$D$41+1))/1</f>
        <v>2.53125</v>
      </c>
      <c r="BJ332" s="114" t="n">
        <f aca="false">Inputs!$D$38*(1+Inputs!$D$40)^(BJ$233-1)*MAX(0,MIN(1,BJ$232*1-Inputs!$D$41+1))/1</f>
        <v>2.53125</v>
      </c>
    </row>
    <row r="333" customFormat="false" ht="15" hidden="false" customHeight="false" outlineLevel="0" collapsed="false">
      <c r="A333" s="111" t="s">
        <v>441</v>
      </c>
      <c r="C333" s="117" t="n">
        <f aca="false">C329+C330+C331+C332</f>
        <v>6</v>
      </c>
      <c r="D333" s="117" t="n">
        <f aca="false">D329+D330+D331+D332</f>
        <v>6</v>
      </c>
      <c r="E333" s="117" t="n">
        <f aca="false">E329+E330+E331+E332</f>
        <v>6</v>
      </c>
      <c r="F333" s="117" t="n">
        <f aca="false">F329+F330+F331+F332</f>
        <v>6</v>
      </c>
      <c r="G333" s="117" t="n">
        <f aca="false">G329+G330+G331+G332</f>
        <v>6</v>
      </c>
      <c r="H333" s="117" t="n">
        <f aca="false">H329+H330+H331+H332</f>
        <v>6</v>
      </c>
      <c r="I333" s="117" t="n">
        <f aca="false">I329+I330+I331+I332</f>
        <v>6</v>
      </c>
      <c r="J333" s="117" t="n">
        <f aca="false">J329+J330+J331+J332</f>
        <v>6</v>
      </c>
      <c r="K333" s="117" t="n">
        <f aca="false">K329+K330+K331+K332</f>
        <v>6</v>
      </c>
      <c r="L333" s="117" t="n">
        <f aca="false">L329+L330+L331+L332</f>
        <v>6</v>
      </c>
      <c r="M333" s="117" t="n">
        <f aca="false">M329+M330+M331+M332</f>
        <v>6</v>
      </c>
      <c r="N333" s="117" t="n">
        <f aca="false">N329+N330+N331+N332</f>
        <v>6</v>
      </c>
      <c r="O333" s="117" t="n">
        <f aca="false">O329+O330+O331+O332</f>
        <v>9</v>
      </c>
      <c r="P333" s="117" t="n">
        <f aca="false">P329+P330+P331+P332</f>
        <v>9</v>
      </c>
      <c r="Q333" s="117" t="n">
        <f aca="false">Q329+Q330+Q331+Q332</f>
        <v>9</v>
      </c>
      <c r="R333" s="117" t="n">
        <f aca="false">R329+R330+R331+R332</f>
        <v>9</v>
      </c>
      <c r="S333" s="117" t="n">
        <f aca="false">S329+S330+S331+S332</f>
        <v>9</v>
      </c>
      <c r="T333" s="117" t="n">
        <f aca="false">T329+T330+T331+T332</f>
        <v>9</v>
      </c>
      <c r="U333" s="117" t="n">
        <f aca="false">U329+U330+U331+U332</f>
        <v>9</v>
      </c>
      <c r="V333" s="117" t="n">
        <f aca="false">V329+V330+V331+V332</f>
        <v>9</v>
      </c>
      <c r="W333" s="117" t="n">
        <f aca="false">W329+W330+W331+W332</f>
        <v>9</v>
      </c>
      <c r="X333" s="117" t="n">
        <f aca="false">X329+X330+X331+X332</f>
        <v>9</v>
      </c>
      <c r="Y333" s="117" t="n">
        <f aca="false">Y329+Y330+Y331+Y332</f>
        <v>9</v>
      </c>
      <c r="Z333" s="117" t="n">
        <f aca="false">Z329+Z330+Z331+Z332</f>
        <v>9</v>
      </c>
      <c r="AA333" s="117" t="n">
        <f aca="false">AA329+AA330+AA331+AA332</f>
        <v>13.5</v>
      </c>
      <c r="AB333" s="117" t="n">
        <f aca="false">AB329+AB330+AB331+AB332</f>
        <v>13.5</v>
      </c>
      <c r="AC333" s="117" t="n">
        <f aca="false">AC329+AC330+AC331+AC332</f>
        <v>13.5</v>
      </c>
      <c r="AD333" s="117" t="n">
        <f aca="false">AD329+AD330+AD331+AD332</f>
        <v>13.5</v>
      </c>
      <c r="AE333" s="117" t="n">
        <f aca="false">AE329+AE330+AE331+AE332</f>
        <v>13.5</v>
      </c>
      <c r="AF333" s="117" t="n">
        <f aca="false">AF329+AF330+AF331+AF332</f>
        <v>13.5</v>
      </c>
      <c r="AG333" s="117" t="n">
        <f aca="false">AG329+AG330+AG331+AG332</f>
        <v>13.5</v>
      </c>
      <c r="AH333" s="117" t="n">
        <f aca="false">AH329+AH330+AH331+AH332</f>
        <v>13.5</v>
      </c>
      <c r="AI333" s="117" t="n">
        <f aca="false">AI329+AI330+AI331+AI332</f>
        <v>13.5</v>
      </c>
      <c r="AJ333" s="117" t="n">
        <f aca="false">AJ329+AJ330+AJ331+AJ332</f>
        <v>13.5</v>
      </c>
      <c r="AK333" s="117" t="n">
        <f aca="false">AK329+AK330+AK331+AK332</f>
        <v>13.5</v>
      </c>
      <c r="AL333" s="117" t="n">
        <f aca="false">AL329+AL330+AL331+AL332</f>
        <v>13.5</v>
      </c>
      <c r="AM333" s="117" t="n">
        <f aca="false">AM329+AM330+AM331+AM332</f>
        <v>20.25</v>
      </c>
      <c r="AN333" s="117" t="n">
        <f aca="false">AN329+AN330+AN331+AN332</f>
        <v>20.25</v>
      </c>
      <c r="AO333" s="117" t="n">
        <f aca="false">AO329+AO330+AO331+AO332</f>
        <v>20.25</v>
      </c>
      <c r="AP333" s="117" t="n">
        <f aca="false">AP329+AP330+AP331+AP332</f>
        <v>20.25</v>
      </c>
      <c r="AQ333" s="117" t="n">
        <f aca="false">AQ329+AQ330+AQ331+AQ332</f>
        <v>20.25</v>
      </c>
      <c r="AR333" s="117" t="n">
        <f aca="false">AR329+AR330+AR331+AR332</f>
        <v>20.25</v>
      </c>
      <c r="AS333" s="117" t="n">
        <f aca="false">AS329+AS330+AS331+AS332</f>
        <v>20.25</v>
      </c>
      <c r="AT333" s="117" t="n">
        <f aca="false">AT329+AT330+AT331+AT332</f>
        <v>20.25</v>
      </c>
      <c r="AU333" s="117" t="n">
        <f aca="false">AU329+AU330+AU331+AU332</f>
        <v>20.25</v>
      </c>
      <c r="AV333" s="117" t="n">
        <f aca="false">AV329+AV330+AV331+AV332</f>
        <v>20.25</v>
      </c>
      <c r="AW333" s="117" t="n">
        <f aca="false">AW329+AW330+AW331+AW332</f>
        <v>20.25</v>
      </c>
      <c r="AX333" s="117" t="n">
        <f aca="false">AX329+AX330+AX331+AX332</f>
        <v>20.25</v>
      </c>
      <c r="AY333" s="117" t="n">
        <f aca="false">AY329+AY330+AY331+AY332</f>
        <v>30.375</v>
      </c>
      <c r="AZ333" s="117" t="n">
        <f aca="false">AZ329+AZ330+AZ331+AZ332</f>
        <v>30.375</v>
      </c>
      <c r="BA333" s="117" t="n">
        <f aca="false">BA329+BA330+BA331+BA332</f>
        <v>30.375</v>
      </c>
      <c r="BB333" s="117" t="n">
        <f aca="false">BB329+BB330+BB331+BB332</f>
        <v>30.375</v>
      </c>
      <c r="BC333" s="117" t="n">
        <f aca="false">BC329+BC330+BC331+BC332</f>
        <v>30.375</v>
      </c>
      <c r="BD333" s="117" t="n">
        <f aca="false">BD329+BD330+BD331+BD332</f>
        <v>30.375</v>
      </c>
      <c r="BE333" s="117" t="n">
        <f aca="false">BE329+BE330+BE331+BE332</f>
        <v>30.375</v>
      </c>
      <c r="BF333" s="117" t="n">
        <f aca="false">BF329+BF330+BF331+BF332</f>
        <v>30.375</v>
      </c>
      <c r="BG333" s="117" t="n">
        <f aca="false">BG329+BG330+BG331+BG332</f>
        <v>30.375</v>
      </c>
      <c r="BH333" s="117" t="n">
        <f aca="false">BH329+BH330+BH331+BH332</f>
        <v>30.375</v>
      </c>
      <c r="BI333" s="117" t="n">
        <f aca="false">BI329+BI330+BI331+BI332</f>
        <v>30.375</v>
      </c>
      <c r="BJ333" s="117" t="n">
        <f aca="false">BJ329+BJ330+BJ331+BJ332</f>
        <v>30.375</v>
      </c>
    </row>
    <row r="335" customFormat="false" ht="15.75" hidden="false" customHeight="true" outlineLevel="0" collapsed="false">
      <c r="A335" s="7" t="s">
        <v>442</v>
      </c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</row>
    <row r="336" customFormat="false" ht="15" hidden="false" customHeight="false" outlineLevel="0" collapsed="false">
      <c r="A336" s="6" t="s">
        <v>443</v>
      </c>
      <c r="C336" s="66" t="n">
        <f aca="false">-C329*Inputs!$D$27/12*1*(1+Inputs!$D$42)*(1+Inputs!$D$43)^(C$233-1)</f>
        <v>-37500</v>
      </c>
      <c r="D336" s="66" t="n">
        <f aca="false">-D329*Inputs!$D$27/12*1*(1+Inputs!$D$42)*(1+Inputs!$D$43)^(D$233-1)</f>
        <v>-37500</v>
      </c>
      <c r="E336" s="66" t="n">
        <f aca="false">-E329*Inputs!$D$27/12*1*(1+Inputs!$D$42)*(1+Inputs!$D$43)^(E$233-1)</f>
        <v>-37500</v>
      </c>
      <c r="F336" s="66" t="n">
        <f aca="false">-F329*Inputs!$D$27/12*1*(1+Inputs!$D$42)*(1+Inputs!$D$43)^(F$233-1)</f>
        <v>-37500</v>
      </c>
      <c r="G336" s="66" t="n">
        <f aca="false">-G329*Inputs!$D$27/12*1*(1+Inputs!$D$42)*(1+Inputs!$D$43)^(G$233-1)</f>
        <v>-37500</v>
      </c>
      <c r="H336" s="66" t="n">
        <f aca="false">-H329*Inputs!$D$27/12*1*(1+Inputs!$D$42)*(1+Inputs!$D$43)^(H$233-1)</f>
        <v>-37500</v>
      </c>
      <c r="I336" s="66" t="n">
        <f aca="false">-I329*Inputs!$D$27/12*1*(1+Inputs!$D$42)*(1+Inputs!$D$43)^(I$233-1)</f>
        <v>-37500</v>
      </c>
      <c r="J336" s="66" t="n">
        <f aca="false">-J329*Inputs!$D$27/12*1*(1+Inputs!$D$42)*(1+Inputs!$D$43)^(J$233-1)</f>
        <v>-37500</v>
      </c>
      <c r="K336" s="66" t="n">
        <f aca="false">-K329*Inputs!$D$27/12*1*(1+Inputs!$D$42)*(1+Inputs!$D$43)^(K$233-1)</f>
        <v>-37500</v>
      </c>
      <c r="L336" s="66" t="n">
        <f aca="false">-L329*Inputs!$D$27/12*1*(1+Inputs!$D$42)*(1+Inputs!$D$43)^(L$233-1)</f>
        <v>-37500</v>
      </c>
      <c r="M336" s="66" t="n">
        <f aca="false">-M329*Inputs!$D$27/12*1*(1+Inputs!$D$42)*(1+Inputs!$D$43)^(M$233-1)</f>
        <v>-37500</v>
      </c>
      <c r="N336" s="66" t="n">
        <f aca="false">-N329*Inputs!$D$27/12*1*(1+Inputs!$D$42)*(1+Inputs!$D$43)^(N$233-1)</f>
        <v>-37500</v>
      </c>
      <c r="O336" s="66" t="n">
        <f aca="false">-O329*Inputs!$D$27/12*1*(1+Inputs!$D$42)*(1+Inputs!$D$43)^(O$233-1)</f>
        <v>-58500</v>
      </c>
      <c r="P336" s="66" t="n">
        <f aca="false">-P329*Inputs!$D$27/12*1*(1+Inputs!$D$42)*(1+Inputs!$D$43)^(P$233-1)</f>
        <v>-58500</v>
      </c>
      <c r="Q336" s="66" t="n">
        <f aca="false">-Q329*Inputs!$D$27/12*1*(1+Inputs!$D$42)*(1+Inputs!$D$43)^(Q$233-1)</f>
        <v>-58500</v>
      </c>
      <c r="R336" s="66" t="n">
        <f aca="false">-R329*Inputs!$D$27/12*1*(1+Inputs!$D$42)*(1+Inputs!$D$43)^(R$233-1)</f>
        <v>-58500</v>
      </c>
      <c r="S336" s="66" t="n">
        <f aca="false">-S329*Inputs!$D$27/12*1*(1+Inputs!$D$42)*(1+Inputs!$D$43)^(S$233-1)</f>
        <v>-58500</v>
      </c>
      <c r="T336" s="66" t="n">
        <f aca="false">-T329*Inputs!$D$27/12*1*(1+Inputs!$D$42)*(1+Inputs!$D$43)^(T$233-1)</f>
        <v>-58500</v>
      </c>
      <c r="U336" s="66" t="n">
        <f aca="false">-U329*Inputs!$D$27/12*1*(1+Inputs!$D$42)*(1+Inputs!$D$43)^(U$233-1)</f>
        <v>-58500</v>
      </c>
      <c r="V336" s="66" t="n">
        <f aca="false">-V329*Inputs!$D$27/12*1*(1+Inputs!$D$42)*(1+Inputs!$D$43)^(V$233-1)</f>
        <v>-58500</v>
      </c>
      <c r="W336" s="66" t="n">
        <f aca="false">-W329*Inputs!$D$27/12*1*(1+Inputs!$D$42)*(1+Inputs!$D$43)^(W$233-1)</f>
        <v>-58500</v>
      </c>
      <c r="X336" s="66" t="n">
        <f aca="false">-X329*Inputs!$D$27/12*1*(1+Inputs!$D$42)*(1+Inputs!$D$43)^(X$233-1)</f>
        <v>-58500</v>
      </c>
      <c r="Y336" s="66" t="n">
        <f aca="false">-Y329*Inputs!$D$27/12*1*(1+Inputs!$D$42)*(1+Inputs!$D$43)^(Y$233-1)</f>
        <v>-58500</v>
      </c>
      <c r="Z336" s="66" t="n">
        <f aca="false">-Z329*Inputs!$D$27/12*1*(1+Inputs!$D$42)*(1+Inputs!$D$43)^(Z$233-1)</f>
        <v>-58500</v>
      </c>
      <c r="AA336" s="66" t="n">
        <f aca="false">-AA329*Inputs!$D$27/12*1*(1+Inputs!$D$42)*(1+Inputs!$D$43)^(AA$233-1)</f>
        <v>-91260</v>
      </c>
      <c r="AB336" s="66" t="n">
        <f aca="false">-AB329*Inputs!$D$27/12*1*(1+Inputs!$D$42)*(1+Inputs!$D$43)^(AB$233-1)</f>
        <v>-91260</v>
      </c>
      <c r="AC336" s="66" t="n">
        <f aca="false">-AC329*Inputs!$D$27/12*1*(1+Inputs!$D$42)*(1+Inputs!$D$43)^(AC$233-1)</f>
        <v>-91260</v>
      </c>
      <c r="AD336" s="66" t="n">
        <f aca="false">-AD329*Inputs!$D$27/12*1*(1+Inputs!$D$42)*(1+Inputs!$D$43)^(AD$233-1)</f>
        <v>-91260</v>
      </c>
      <c r="AE336" s="66" t="n">
        <f aca="false">-AE329*Inputs!$D$27/12*1*(1+Inputs!$D$42)*(1+Inputs!$D$43)^(AE$233-1)</f>
        <v>-91260</v>
      </c>
      <c r="AF336" s="66" t="n">
        <f aca="false">-AF329*Inputs!$D$27/12*1*(1+Inputs!$D$42)*(1+Inputs!$D$43)^(AF$233-1)</f>
        <v>-91260</v>
      </c>
      <c r="AG336" s="66" t="n">
        <f aca="false">-AG329*Inputs!$D$27/12*1*(1+Inputs!$D$42)*(1+Inputs!$D$43)^(AG$233-1)</f>
        <v>-91260</v>
      </c>
      <c r="AH336" s="66" t="n">
        <f aca="false">-AH329*Inputs!$D$27/12*1*(1+Inputs!$D$42)*(1+Inputs!$D$43)^(AH$233-1)</f>
        <v>-91260</v>
      </c>
      <c r="AI336" s="66" t="n">
        <f aca="false">-AI329*Inputs!$D$27/12*1*(1+Inputs!$D$42)*(1+Inputs!$D$43)^(AI$233-1)</f>
        <v>-91260</v>
      </c>
      <c r="AJ336" s="66" t="n">
        <f aca="false">-AJ329*Inputs!$D$27/12*1*(1+Inputs!$D$42)*(1+Inputs!$D$43)^(AJ$233-1)</f>
        <v>-91260</v>
      </c>
      <c r="AK336" s="66" t="n">
        <f aca="false">-AK329*Inputs!$D$27/12*1*(1+Inputs!$D$42)*(1+Inputs!$D$43)^(AK$233-1)</f>
        <v>-91260</v>
      </c>
      <c r="AL336" s="66" t="n">
        <f aca="false">-AL329*Inputs!$D$27/12*1*(1+Inputs!$D$42)*(1+Inputs!$D$43)^(AL$233-1)</f>
        <v>-91260</v>
      </c>
      <c r="AM336" s="66" t="n">
        <f aca="false">-AM329*Inputs!$D$27/12*1*(1+Inputs!$D$42)*(1+Inputs!$D$43)^(AM$233-1)</f>
        <v>-142365.6</v>
      </c>
      <c r="AN336" s="66" t="n">
        <f aca="false">-AN329*Inputs!$D$27/12*1*(1+Inputs!$D$42)*(1+Inputs!$D$43)^(AN$233-1)</f>
        <v>-142365.6</v>
      </c>
      <c r="AO336" s="66" t="n">
        <f aca="false">-AO329*Inputs!$D$27/12*1*(1+Inputs!$D$42)*(1+Inputs!$D$43)^(AO$233-1)</f>
        <v>-142365.6</v>
      </c>
      <c r="AP336" s="66" t="n">
        <f aca="false">-AP329*Inputs!$D$27/12*1*(1+Inputs!$D$42)*(1+Inputs!$D$43)^(AP$233-1)</f>
        <v>-142365.6</v>
      </c>
      <c r="AQ336" s="66" t="n">
        <f aca="false">-AQ329*Inputs!$D$27/12*1*(1+Inputs!$D$42)*(1+Inputs!$D$43)^(AQ$233-1)</f>
        <v>-142365.6</v>
      </c>
      <c r="AR336" s="66" t="n">
        <f aca="false">-AR329*Inputs!$D$27/12*1*(1+Inputs!$D$42)*(1+Inputs!$D$43)^(AR$233-1)</f>
        <v>-142365.6</v>
      </c>
      <c r="AS336" s="66" t="n">
        <f aca="false">-AS329*Inputs!$D$27/12*1*(1+Inputs!$D$42)*(1+Inputs!$D$43)^(AS$233-1)</f>
        <v>-142365.6</v>
      </c>
      <c r="AT336" s="66" t="n">
        <f aca="false">-AT329*Inputs!$D$27/12*1*(1+Inputs!$D$42)*(1+Inputs!$D$43)^(AT$233-1)</f>
        <v>-142365.6</v>
      </c>
      <c r="AU336" s="66" t="n">
        <f aca="false">-AU329*Inputs!$D$27/12*1*(1+Inputs!$D$42)*(1+Inputs!$D$43)^(AU$233-1)</f>
        <v>-142365.6</v>
      </c>
      <c r="AV336" s="66" t="n">
        <f aca="false">-AV329*Inputs!$D$27/12*1*(1+Inputs!$D$42)*(1+Inputs!$D$43)^(AV$233-1)</f>
        <v>-142365.6</v>
      </c>
      <c r="AW336" s="66" t="n">
        <f aca="false">-AW329*Inputs!$D$27/12*1*(1+Inputs!$D$42)*(1+Inputs!$D$43)^(AW$233-1)</f>
        <v>-142365.6</v>
      </c>
      <c r="AX336" s="66" t="n">
        <f aca="false">-AX329*Inputs!$D$27/12*1*(1+Inputs!$D$42)*(1+Inputs!$D$43)^(AX$233-1)</f>
        <v>-142365.6</v>
      </c>
      <c r="AY336" s="66" t="n">
        <f aca="false">-AY329*Inputs!$D$27/12*1*(1+Inputs!$D$42)*(1+Inputs!$D$43)^(AY$233-1)</f>
        <v>-222090.336</v>
      </c>
      <c r="AZ336" s="66" t="n">
        <f aca="false">-AZ329*Inputs!$D$27/12*1*(1+Inputs!$D$42)*(1+Inputs!$D$43)^(AZ$233-1)</f>
        <v>-222090.336</v>
      </c>
      <c r="BA336" s="66" t="n">
        <f aca="false">-BA329*Inputs!$D$27/12*1*(1+Inputs!$D$42)*(1+Inputs!$D$43)^(BA$233-1)</f>
        <v>-222090.336</v>
      </c>
      <c r="BB336" s="66" t="n">
        <f aca="false">-BB329*Inputs!$D$27/12*1*(1+Inputs!$D$42)*(1+Inputs!$D$43)^(BB$233-1)</f>
        <v>-222090.336</v>
      </c>
      <c r="BC336" s="66" t="n">
        <f aca="false">-BC329*Inputs!$D$27/12*1*(1+Inputs!$D$42)*(1+Inputs!$D$43)^(BC$233-1)</f>
        <v>-222090.336</v>
      </c>
      <c r="BD336" s="66" t="n">
        <f aca="false">-BD329*Inputs!$D$27/12*1*(1+Inputs!$D$42)*(1+Inputs!$D$43)^(BD$233-1)</f>
        <v>-222090.336</v>
      </c>
      <c r="BE336" s="66" t="n">
        <f aca="false">-BE329*Inputs!$D$27/12*1*(1+Inputs!$D$42)*(1+Inputs!$D$43)^(BE$233-1)</f>
        <v>-222090.336</v>
      </c>
      <c r="BF336" s="66" t="n">
        <f aca="false">-BF329*Inputs!$D$27/12*1*(1+Inputs!$D$42)*(1+Inputs!$D$43)^(BF$233-1)</f>
        <v>-222090.336</v>
      </c>
      <c r="BG336" s="66" t="n">
        <f aca="false">-BG329*Inputs!$D$27/12*1*(1+Inputs!$D$42)*(1+Inputs!$D$43)^(BG$233-1)</f>
        <v>-222090.336</v>
      </c>
      <c r="BH336" s="66" t="n">
        <f aca="false">-BH329*Inputs!$D$27/12*1*(1+Inputs!$D$42)*(1+Inputs!$D$43)^(BH$233-1)</f>
        <v>-222090.336</v>
      </c>
      <c r="BI336" s="66" t="n">
        <f aca="false">-BI329*Inputs!$D$27/12*1*(1+Inputs!$D$42)*(1+Inputs!$D$43)^(BI$233-1)</f>
        <v>-222090.336</v>
      </c>
      <c r="BJ336" s="66" t="n">
        <f aca="false">-BJ329*Inputs!$D$27/12*1*(1+Inputs!$D$42)*(1+Inputs!$D$43)^(BJ$233-1)</f>
        <v>-222090.336</v>
      </c>
    </row>
    <row r="337" customFormat="false" ht="15" hidden="false" customHeight="false" outlineLevel="0" collapsed="false">
      <c r="A337" s="6" t="s">
        <v>444</v>
      </c>
      <c r="C337" s="66" t="n">
        <f aca="false">-C330*Inputs!$D$31/12*1*(1+Inputs!$D$42)*(1+Inputs!$D$43)^(C$233-1)</f>
        <v>-14250</v>
      </c>
      <c r="D337" s="66" t="n">
        <f aca="false">-D330*Inputs!$D$31/12*1*(1+Inputs!$D$42)*(1+Inputs!$D$43)^(D$233-1)</f>
        <v>-14250</v>
      </c>
      <c r="E337" s="66" t="n">
        <f aca="false">-E330*Inputs!$D$31/12*1*(1+Inputs!$D$42)*(1+Inputs!$D$43)^(E$233-1)</f>
        <v>-14250</v>
      </c>
      <c r="F337" s="66" t="n">
        <f aca="false">-F330*Inputs!$D$31/12*1*(1+Inputs!$D$42)*(1+Inputs!$D$43)^(F$233-1)</f>
        <v>-14250</v>
      </c>
      <c r="G337" s="66" t="n">
        <f aca="false">-G330*Inputs!$D$31/12*1*(1+Inputs!$D$42)*(1+Inputs!$D$43)^(G$233-1)</f>
        <v>-14250</v>
      </c>
      <c r="H337" s="66" t="n">
        <f aca="false">-H330*Inputs!$D$31/12*1*(1+Inputs!$D$42)*(1+Inputs!$D$43)^(H$233-1)</f>
        <v>-14250</v>
      </c>
      <c r="I337" s="66" t="n">
        <f aca="false">-I330*Inputs!$D$31/12*1*(1+Inputs!$D$42)*(1+Inputs!$D$43)^(I$233-1)</f>
        <v>-14250</v>
      </c>
      <c r="J337" s="66" t="n">
        <f aca="false">-J330*Inputs!$D$31/12*1*(1+Inputs!$D$42)*(1+Inputs!$D$43)^(J$233-1)</f>
        <v>-14250</v>
      </c>
      <c r="K337" s="66" t="n">
        <f aca="false">-K330*Inputs!$D$31/12*1*(1+Inputs!$D$42)*(1+Inputs!$D$43)^(K$233-1)</f>
        <v>-14250</v>
      </c>
      <c r="L337" s="66" t="n">
        <f aca="false">-L330*Inputs!$D$31/12*1*(1+Inputs!$D$42)*(1+Inputs!$D$43)^(L$233-1)</f>
        <v>-14250</v>
      </c>
      <c r="M337" s="66" t="n">
        <f aca="false">-M330*Inputs!$D$31/12*1*(1+Inputs!$D$42)*(1+Inputs!$D$43)^(M$233-1)</f>
        <v>-14250</v>
      </c>
      <c r="N337" s="66" t="n">
        <f aca="false">-N330*Inputs!$D$31/12*1*(1+Inputs!$D$42)*(1+Inputs!$D$43)^(N$233-1)</f>
        <v>-14250</v>
      </c>
      <c r="O337" s="66" t="n">
        <f aca="false">-O330*Inputs!$D$31/12*1*(1+Inputs!$D$42)*(1+Inputs!$D$43)^(O$233-1)</f>
        <v>-22230</v>
      </c>
      <c r="P337" s="66" t="n">
        <f aca="false">-P330*Inputs!$D$31/12*1*(1+Inputs!$D$42)*(1+Inputs!$D$43)^(P$233-1)</f>
        <v>-22230</v>
      </c>
      <c r="Q337" s="66" t="n">
        <f aca="false">-Q330*Inputs!$D$31/12*1*(1+Inputs!$D$42)*(1+Inputs!$D$43)^(Q$233-1)</f>
        <v>-22230</v>
      </c>
      <c r="R337" s="66" t="n">
        <f aca="false">-R330*Inputs!$D$31/12*1*(1+Inputs!$D$42)*(1+Inputs!$D$43)^(R$233-1)</f>
        <v>-22230</v>
      </c>
      <c r="S337" s="66" t="n">
        <f aca="false">-S330*Inputs!$D$31/12*1*(1+Inputs!$D$42)*(1+Inputs!$D$43)^(S$233-1)</f>
        <v>-22230</v>
      </c>
      <c r="T337" s="66" t="n">
        <f aca="false">-T330*Inputs!$D$31/12*1*(1+Inputs!$D$42)*(1+Inputs!$D$43)^(T$233-1)</f>
        <v>-22230</v>
      </c>
      <c r="U337" s="66" t="n">
        <f aca="false">-U330*Inputs!$D$31/12*1*(1+Inputs!$D$42)*(1+Inputs!$D$43)^(U$233-1)</f>
        <v>-22230</v>
      </c>
      <c r="V337" s="66" t="n">
        <f aca="false">-V330*Inputs!$D$31/12*1*(1+Inputs!$D$42)*(1+Inputs!$D$43)^(V$233-1)</f>
        <v>-22230</v>
      </c>
      <c r="W337" s="66" t="n">
        <f aca="false">-W330*Inputs!$D$31/12*1*(1+Inputs!$D$42)*(1+Inputs!$D$43)^(W$233-1)</f>
        <v>-22230</v>
      </c>
      <c r="X337" s="66" t="n">
        <f aca="false">-X330*Inputs!$D$31/12*1*(1+Inputs!$D$42)*(1+Inputs!$D$43)^(X$233-1)</f>
        <v>-22230</v>
      </c>
      <c r="Y337" s="66" t="n">
        <f aca="false">-Y330*Inputs!$D$31/12*1*(1+Inputs!$D$42)*(1+Inputs!$D$43)^(Y$233-1)</f>
        <v>-22230</v>
      </c>
      <c r="Z337" s="66" t="n">
        <f aca="false">-Z330*Inputs!$D$31/12*1*(1+Inputs!$D$42)*(1+Inputs!$D$43)^(Z$233-1)</f>
        <v>-22230</v>
      </c>
      <c r="AA337" s="66" t="n">
        <f aca="false">-AA330*Inputs!$D$31/12*1*(1+Inputs!$D$42)*(1+Inputs!$D$43)^(AA$233-1)</f>
        <v>-34678.8</v>
      </c>
      <c r="AB337" s="66" t="n">
        <f aca="false">-AB330*Inputs!$D$31/12*1*(1+Inputs!$D$42)*(1+Inputs!$D$43)^(AB$233-1)</f>
        <v>-34678.8</v>
      </c>
      <c r="AC337" s="66" t="n">
        <f aca="false">-AC330*Inputs!$D$31/12*1*(1+Inputs!$D$42)*(1+Inputs!$D$43)^(AC$233-1)</f>
        <v>-34678.8</v>
      </c>
      <c r="AD337" s="66" t="n">
        <f aca="false">-AD330*Inputs!$D$31/12*1*(1+Inputs!$D$42)*(1+Inputs!$D$43)^(AD$233-1)</f>
        <v>-34678.8</v>
      </c>
      <c r="AE337" s="66" t="n">
        <f aca="false">-AE330*Inputs!$D$31/12*1*(1+Inputs!$D$42)*(1+Inputs!$D$43)^(AE$233-1)</f>
        <v>-34678.8</v>
      </c>
      <c r="AF337" s="66" t="n">
        <f aca="false">-AF330*Inputs!$D$31/12*1*(1+Inputs!$D$42)*(1+Inputs!$D$43)^(AF$233-1)</f>
        <v>-34678.8</v>
      </c>
      <c r="AG337" s="66" t="n">
        <f aca="false">-AG330*Inputs!$D$31/12*1*(1+Inputs!$D$42)*(1+Inputs!$D$43)^(AG$233-1)</f>
        <v>-34678.8</v>
      </c>
      <c r="AH337" s="66" t="n">
        <f aca="false">-AH330*Inputs!$D$31/12*1*(1+Inputs!$D$42)*(1+Inputs!$D$43)^(AH$233-1)</f>
        <v>-34678.8</v>
      </c>
      <c r="AI337" s="66" t="n">
        <f aca="false">-AI330*Inputs!$D$31/12*1*(1+Inputs!$D$42)*(1+Inputs!$D$43)^(AI$233-1)</f>
        <v>-34678.8</v>
      </c>
      <c r="AJ337" s="66" t="n">
        <f aca="false">-AJ330*Inputs!$D$31/12*1*(1+Inputs!$D$42)*(1+Inputs!$D$43)^(AJ$233-1)</f>
        <v>-34678.8</v>
      </c>
      <c r="AK337" s="66" t="n">
        <f aca="false">-AK330*Inputs!$D$31/12*1*(1+Inputs!$D$42)*(1+Inputs!$D$43)^(AK$233-1)</f>
        <v>-34678.8</v>
      </c>
      <c r="AL337" s="66" t="n">
        <f aca="false">-AL330*Inputs!$D$31/12*1*(1+Inputs!$D$42)*(1+Inputs!$D$43)^(AL$233-1)</f>
        <v>-34678.8</v>
      </c>
      <c r="AM337" s="66" t="n">
        <f aca="false">-AM330*Inputs!$D$31/12*1*(1+Inputs!$D$42)*(1+Inputs!$D$43)^(AM$233-1)</f>
        <v>-54098.928</v>
      </c>
      <c r="AN337" s="66" t="n">
        <f aca="false">-AN330*Inputs!$D$31/12*1*(1+Inputs!$D$42)*(1+Inputs!$D$43)^(AN$233-1)</f>
        <v>-54098.928</v>
      </c>
      <c r="AO337" s="66" t="n">
        <f aca="false">-AO330*Inputs!$D$31/12*1*(1+Inputs!$D$42)*(1+Inputs!$D$43)^(AO$233-1)</f>
        <v>-54098.928</v>
      </c>
      <c r="AP337" s="66" t="n">
        <f aca="false">-AP330*Inputs!$D$31/12*1*(1+Inputs!$D$42)*(1+Inputs!$D$43)^(AP$233-1)</f>
        <v>-54098.928</v>
      </c>
      <c r="AQ337" s="66" t="n">
        <f aca="false">-AQ330*Inputs!$D$31/12*1*(1+Inputs!$D$42)*(1+Inputs!$D$43)^(AQ$233-1)</f>
        <v>-54098.928</v>
      </c>
      <c r="AR337" s="66" t="n">
        <f aca="false">-AR330*Inputs!$D$31/12*1*(1+Inputs!$D$42)*(1+Inputs!$D$43)^(AR$233-1)</f>
        <v>-54098.928</v>
      </c>
      <c r="AS337" s="66" t="n">
        <f aca="false">-AS330*Inputs!$D$31/12*1*(1+Inputs!$D$42)*(1+Inputs!$D$43)^(AS$233-1)</f>
        <v>-54098.928</v>
      </c>
      <c r="AT337" s="66" t="n">
        <f aca="false">-AT330*Inputs!$D$31/12*1*(1+Inputs!$D$42)*(1+Inputs!$D$43)^(AT$233-1)</f>
        <v>-54098.928</v>
      </c>
      <c r="AU337" s="66" t="n">
        <f aca="false">-AU330*Inputs!$D$31/12*1*(1+Inputs!$D$42)*(1+Inputs!$D$43)^(AU$233-1)</f>
        <v>-54098.928</v>
      </c>
      <c r="AV337" s="66" t="n">
        <f aca="false">-AV330*Inputs!$D$31/12*1*(1+Inputs!$D$42)*(1+Inputs!$D$43)^(AV$233-1)</f>
        <v>-54098.928</v>
      </c>
      <c r="AW337" s="66" t="n">
        <f aca="false">-AW330*Inputs!$D$31/12*1*(1+Inputs!$D$42)*(1+Inputs!$D$43)^(AW$233-1)</f>
        <v>-54098.928</v>
      </c>
      <c r="AX337" s="66" t="n">
        <f aca="false">-AX330*Inputs!$D$31/12*1*(1+Inputs!$D$42)*(1+Inputs!$D$43)^(AX$233-1)</f>
        <v>-54098.928</v>
      </c>
      <c r="AY337" s="66" t="n">
        <f aca="false">-AY330*Inputs!$D$31/12*1*(1+Inputs!$D$42)*(1+Inputs!$D$43)^(AY$233-1)</f>
        <v>-84394.32768</v>
      </c>
      <c r="AZ337" s="66" t="n">
        <f aca="false">-AZ330*Inputs!$D$31/12*1*(1+Inputs!$D$42)*(1+Inputs!$D$43)^(AZ$233-1)</f>
        <v>-84394.32768</v>
      </c>
      <c r="BA337" s="66" t="n">
        <f aca="false">-BA330*Inputs!$D$31/12*1*(1+Inputs!$D$42)*(1+Inputs!$D$43)^(BA$233-1)</f>
        <v>-84394.32768</v>
      </c>
      <c r="BB337" s="66" t="n">
        <f aca="false">-BB330*Inputs!$D$31/12*1*(1+Inputs!$D$42)*(1+Inputs!$D$43)^(BB$233-1)</f>
        <v>-84394.32768</v>
      </c>
      <c r="BC337" s="66" t="n">
        <f aca="false">-BC330*Inputs!$D$31/12*1*(1+Inputs!$D$42)*(1+Inputs!$D$43)^(BC$233-1)</f>
        <v>-84394.32768</v>
      </c>
      <c r="BD337" s="66" t="n">
        <f aca="false">-BD330*Inputs!$D$31/12*1*(1+Inputs!$D$42)*(1+Inputs!$D$43)^(BD$233-1)</f>
        <v>-84394.32768</v>
      </c>
      <c r="BE337" s="66" t="n">
        <f aca="false">-BE330*Inputs!$D$31/12*1*(1+Inputs!$D$42)*(1+Inputs!$D$43)^(BE$233-1)</f>
        <v>-84394.32768</v>
      </c>
      <c r="BF337" s="66" t="n">
        <f aca="false">-BF330*Inputs!$D$31/12*1*(1+Inputs!$D$42)*(1+Inputs!$D$43)^(BF$233-1)</f>
        <v>-84394.32768</v>
      </c>
      <c r="BG337" s="66" t="n">
        <f aca="false">-BG330*Inputs!$D$31/12*1*(1+Inputs!$D$42)*(1+Inputs!$D$43)^(BG$233-1)</f>
        <v>-84394.32768</v>
      </c>
      <c r="BH337" s="66" t="n">
        <f aca="false">-BH330*Inputs!$D$31/12*1*(1+Inputs!$D$42)*(1+Inputs!$D$43)^(BH$233-1)</f>
        <v>-84394.32768</v>
      </c>
      <c r="BI337" s="66" t="n">
        <f aca="false">-BI330*Inputs!$D$31/12*1*(1+Inputs!$D$42)*(1+Inputs!$D$43)^(BI$233-1)</f>
        <v>-84394.32768</v>
      </c>
      <c r="BJ337" s="66" t="n">
        <f aca="false">-BJ330*Inputs!$D$31/12*1*(1+Inputs!$D$42)*(1+Inputs!$D$43)^(BJ$233-1)</f>
        <v>-84394.32768</v>
      </c>
    </row>
    <row r="338" customFormat="false" ht="15" hidden="false" customHeight="false" outlineLevel="0" collapsed="false">
      <c r="A338" s="6" t="s">
        <v>445</v>
      </c>
      <c r="C338" s="66" t="n">
        <f aca="false">-C331*Inputs!$D$35/12*1*(1+Inputs!$D$42)*(1+Inputs!$D$43)^(C$233-1)</f>
        <v>-6000</v>
      </c>
      <c r="D338" s="66" t="n">
        <f aca="false">-D331*Inputs!$D$35/12*1*(1+Inputs!$D$42)*(1+Inputs!$D$43)^(D$233-1)</f>
        <v>-6000</v>
      </c>
      <c r="E338" s="66" t="n">
        <f aca="false">-E331*Inputs!$D$35/12*1*(1+Inputs!$D$42)*(1+Inputs!$D$43)^(E$233-1)</f>
        <v>-6000</v>
      </c>
      <c r="F338" s="66" t="n">
        <f aca="false">-F331*Inputs!$D$35/12*1*(1+Inputs!$D$42)*(1+Inputs!$D$43)^(F$233-1)</f>
        <v>-6000</v>
      </c>
      <c r="G338" s="66" t="n">
        <f aca="false">-G331*Inputs!$D$35/12*1*(1+Inputs!$D$42)*(1+Inputs!$D$43)^(G$233-1)</f>
        <v>-6000</v>
      </c>
      <c r="H338" s="66" t="n">
        <f aca="false">-H331*Inputs!$D$35/12*1*(1+Inputs!$D$42)*(1+Inputs!$D$43)^(H$233-1)</f>
        <v>-6000</v>
      </c>
      <c r="I338" s="66" t="n">
        <f aca="false">-I331*Inputs!$D$35/12*1*(1+Inputs!$D$42)*(1+Inputs!$D$43)^(I$233-1)</f>
        <v>-6000</v>
      </c>
      <c r="J338" s="66" t="n">
        <f aca="false">-J331*Inputs!$D$35/12*1*(1+Inputs!$D$42)*(1+Inputs!$D$43)^(J$233-1)</f>
        <v>-6000</v>
      </c>
      <c r="K338" s="66" t="n">
        <f aca="false">-K331*Inputs!$D$35/12*1*(1+Inputs!$D$42)*(1+Inputs!$D$43)^(K$233-1)</f>
        <v>-6000</v>
      </c>
      <c r="L338" s="66" t="n">
        <f aca="false">-L331*Inputs!$D$35/12*1*(1+Inputs!$D$42)*(1+Inputs!$D$43)^(L$233-1)</f>
        <v>-6000</v>
      </c>
      <c r="M338" s="66" t="n">
        <f aca="false">-M331*Inputs!$D$35/12*1*(1+Inputs!$D$42)*(1+Inputs!$D$43)^(M$233-1)</f>
        <v>-6000</v>
      </c>
      <c r="N338" s="66" t="n">
        <f aca="false">-N331*Inputs!$D$35/12*1*(1+Inputs!$D$42)*(1+Inputs!$D$43)^(N$233-1)</f>
        <v>-6000</v>
      </c>
      <c r="O338" s="66" t="n">
        <f aca="false">-O331*Inputs!$D$35/12*1*(1+Inputs!$D$42)*(1+Inputs!$D$43)^(O$233-1)</f>
        <v>-9360</v>
      </c>
      <c r="P338" s="66" t="n">
        <f aca="false">-P331*Inputs!$D$35/12*1*(1+Inputs!$D$42)*(1+Inputs!$D$43)^(P$233-1)</f>
        <v>-9360</v>
      </c>
      <c r="Q338" s="66" t="n">
        <f aca="false">-Q331*Inputs!$D$35/12*1*(1+Inputs!$D$42)*(1+Inputs!$D$43)^(Q$233-1)</f>
        <v>-9360</v>
      </c>
      <c r="R338" s="66" t="n">
        <f aca="false">-R331*Inputs!$D$35/12*1*(1+Inputs!$D$42)*(1+Inputs!$D$43)^(R$233-1)</f>
        <v>-9360</v>
      </c>
      <c r="S338" s="66" t="n">
        <f aca="false">-S331*Inputs!$D$35/12*1*(1+Inputs!$D$42)*(1+Inputs!$D$43)^(S$233-1)</f>
        <v>-9360</v>
      </c>
      <c r="T338" s="66" t="n">
        <f aca="false">-T331*Inputs!$D$35/12*1*(1+Inputs!$D$42)*(1+Inputs!$D$43)^(T$233-1)</f>
        <v>-9360</v>
      </c>
      <c r="U338" s="66" t="n">
        <f aca="false">-U331*Inputs!$D$35/12*1*(1+Inputs!$D$42)*(1+Inputs!$D$43)^(U$233-1)</f>
        <v>-9360</v>
      </c>
      <c r="V338" s="66" t="n">
        <f aca="false">-V331*Inputs!$D$35/12*1*(1+Inputs!$D$42)*(1+Inputs!$D$43)^(V$233-1)</f>
        <v>-9360</v>
      </c>
      <c r="W338" s="66" t="n">
        <f aca="false">-W331*Inputs!$D$35/12*1*(1+Inputs!$D$42)*(1+Inputs!$D$43)^(W$233-1)</f>
        <v>-9360</v>
      </c>
      <c r="X338" s="66" t="n">
        <f aca="false">-X331*Inputs!$D$35/12*1*(1+Inputs!$D$42)*(1+Inputs!$D$43)^(X$233-1)</f>
        <v>-9360</v>
      </c>
      <c r="Y338" s="66" t="n">
        <f aca="false">-Y331*Inputs!$D$35/12*1*(1+Inputs!$D$42)*(1+Inputs!$D$43)^(Y$233-1)</f>
        <v>-9360</v>
      </c>
      <c r="Z338" s="66" t="n">
        <f aca="false">-Z331*Inputs!$D$35/12*1*(1+Inputs!$D$42)*(1+Inputs!$D$43)^(Z$233-1)</f>
        <v>-9360</v>
      </c>
      <c r="AA338" s="66" t="n">
        <f aca="false">-AA331*Inputs!$D$35/12*1*(1+Inputs!$D$42)*(1+Inputs!$D$43)^(AA$233-1)</f>
        <v>-14601.6</v>
      </c>
      <c r="AB338" s="66" t="n">
        <f aca="false">-AB331*Inputs!$D$35/12*1*(1+Inputs!$D$42)*(1+Inputs!$D$43)^(AB$233-1)</f>
        <v>-14601.6</v>
      </c>
      <c r="AC338" s="66" t="n">
        <f aca="false">-AC331*Inputs!$D$35/12*1*(1+Inputs!$D$42)*(1+Inputs!$D$43)^(AC$233-1)</f>
        <v>-14601.6</v>
      </c>
      <c r="AD338" s="66" t="n">
        <f aca="false">-AD331*Inputs!$D$35/12*1*(1+Inputs!$D$42)*(1+Inputs!$D$43)^(AD$233-1)</f>
        <v>-14601.6</v>
      </c>
      <c r="AE338" s="66" t="n">
        <f aca="false">-AE331*Inputs!$D$35/12*1*(1+Inputs!$D$42)*(1+Inputs!$D$43)^(AE$233-1)</f>
        <v>-14601.6</v>
      </c>
      <c r="AF338" s="66" t="n">
        <f aca="false">-AF331*Inputs!$D$35/12*1*(1+Inputs!$D$42)*(1+Inputs!$D$43)^(AF$233-1)</f>
        <v>-14601.6</v>
      </c>
      <c r="AG338" s="66" t="n">
        <f aca="false">-AG331*Inputs!$D$35/12*1*(1+Inputs!$D$42)*(1+Inputs!$D$43)^(AG$233-1)</f>
        <v>-14601.6</v>
      </c>
      <c r="AH338" s="66" t="n">
        <f aca="false">-AH331*Inputs!$D$35/12*1*(1+Inputs!$D$42)*(1+Inputs!$D$43)^(AH$233-1)</f>
        <v>-14601.6</v>
      </c>
      <c r="AI338" s="66" t="n">
        <f aca="false">-AI331*Inputs!$D$35/12*1*(1+Inputs!$D$42)*(1+Inputs!$D$43)^(AI$233-1)</f>
        <v>-14601.6</v>
      </c>
      <c r="AJ338" s="66" t="n">
        <f aca="false">-AJ331*Inputs!$D$35/12*1*(1+Inputs!$D$42)*(1+Inputs!$D$43)^(AJ$233-1)</f>
        <v>-14601.6</v>
      </c>
      <c r="AK338" s="66" t="n">
        <f aca="false">-AK331*Inputs!$D$35/12*1*(1+Inputs!$D$42)*(1+Inputs!$D$43)^(AK$233-1)</f>
        <v>-14601.6</v>
      </c>
      <c r="AL338" s="66" t="n">
        <f aca="false">-AL331*Inputs!$D$35/12*1*(1+Inputs!$D$42)*(1+Inputs!$D$43)^(AL$233-1)</f>
        <v>-14601.6</v>
      </c>
      <c r="AM338" s="66" t="n">
        <f aca="false">-AM331*Inputs!$D$35/12*1*(1+Inputs!$D$42)*(1+Inputs!$D$43)^(AM$233-1)</f>
        <v>-22778.496</v>
      </c>
      <c r="AN338" s="66" t="n">
        <f aca="false">-AN331*Inputs!$D$35/12*1*(1+Inputs!$D$42)*(1+Inputs!$D$43)^(AN$233-1)</f>
        <v>-22778.496</v>
      </c>
      <c r="AO338" s="66" t="n">
        <f aca="false">-AO331*Inputs!$D$35/12*1*(1+Inputs!$D$42)*(1+Inputs!$D$43)^(AO$233-1)</f>
        <v>-22778.496</v>
      </c>
      <c r="AP338" s="66" t="n">
        <f aca="false">-AP331*Inputs!$D$35/12*1*(1+Inputs!$D$42)*(1+Inputs!$D$43)^(AP$233-1)</f>
        <v>-22778.496</v>
      </c>
      <c r="AQ338" s="66" t="n">
        <f aca="false">-AQ331*Inputs!$D$35/12*1*(1+Inputs!$D$42)*(1+Inputs!$D$43)^(AQ$233-1)</f>
        <v>-22778.496</v>
      </c>
      <c r="AR338" s="66" t="n">
        <f aca="false">-AR331*Inputs!$D$35/12*1*(1+Inputs!$D$42)*(1+Inputs!$D$43)^(AR$233-1)</f>
        <v>-22778.496</v>
      </c>
      <c r="AS338" s="66" t="n">
        <f aca="false">-AS331*Inputs!$D$35/12*1*(1+Inputs!$D$42)*(1+Inputs!$D$43)^(AS$233-1)</f>
        <v>-22778.496</v>
      </c>
      <c r="AT338" s="66" t="n">
        <f aca="false">-AT331*Inputs!$D$35/12*1*(1+Inputs!$D$42)*(1+Inputs!$D$43)^(AT$233-1)</f>
        <v>-22778.496</v>
      </c>
      <c r="AU338" s="66" t="n">
        <f aca="false">-AU331*Inputs!$D$35/12*1*(1+Inputs!$D$42)*(1+Inputs!$D$43)^(AU$233-1)</f>
        <v>-22778.496</v>
      </c>
      <c r="AV338" s="66" t="n">
        <f aca="false">-AV331*Inputs!$D$35/12*1*(1+Inputs!$D$42)*(1+Inputs!$D$43)^(AV$233-1)</f>
        <v>-22778.496</v>
      </c>
      <c r="AW338" s="66" t="n">
        <f aca="false">-AW331*Inputs!$D$35/12*1*(1+Inputs!$D$42)*(1+Inputs!$D$43)^(AW$233-1)</f>
        <v>-22778.496</v>
      </c>
      <c r="AX338" s="66" t="n">
        <f aca="false">-AX331*Inputs!$D$35/12*1*(1+Inputs!$D$42)*(1+Inputs!$D$43)^(AX$233-1)</f>
        <v>-22778.496</v>
      </c>
      <c r="AY338" s="66" t="n">
        <f aca="false">-AY331*Inputs!$D$35/12*1*(1+Inputs!$D$42)*(1+Inputs!$D$43)^(AY$233-1)</f>
        <v>-35534.45376</v>
      </c>
      <c r="AZ338" s="66" t="n">
        <f aca="false">-AZ331*Inputs!$D$35/12*1*(1+Inputs!$D$42)*(1+Inputs!$D$43)^(AZ$233-1)</f>
        <v>-35534.45376</v>
      </c>
      <c r="BA338" s="66" t="n">
        <f aca="false">-BA331*Inputs!$D$35/12*1*(1+Inputs!$D$42)*(1+Inputs!$D$43)^(BA$233-1)</f>
        <v>-35534.45376</v>
      </c>
      <c r="BB338" s="66" t="n">
        <f aca="false">-BB331*Inputs!$D$35/12*1*(1+Inputs!$D$42)*(1+Inputs!$D$43)^(BB$233-1)</f>
        <v>-35534.45376</v>
      </c>
      <c r="BC338" s="66" t="n">
        <f aca="false">-BC331*Inputs!$D$35/12*1*(1+Inputs!$D$42)*(1+Inputs!$D$43)^(BC$233-1)</f>
        <v>-35534.45376</v>
      </c>
      <c r="BD338" s="66" t="n">
        <f aca="false">-BD331*Inputs!$D$35/12*1*(1+Inputs!$D$42)*(1+Inputs!$D$43)^(BD$233-1)</f>
        <v>-35534.45376</v>
      </c>
      <c r="BE338" s="66" t="n">
        <f aca="false">-BE331*Inputs!$D$35/12*1*(1+Inputs!$D$42)*(1+Inputs!$D$43)^(BE$233-1)</f>
        <v>-35534.45376</v>
      </c>
      <c r="BF338" s="66" t="n">
        <f aca="false">-BF331*Inputs!$D$35/12*1*(1+Inputs!$D$42)*(1+Inputs!$D$43)^(BF$233-1)</f>
        <v>-35534.45376</v>
      </c>
      <c r="BG338" s="66" t="n">
        <f aca="false">-BG331*Inputs!$D$35/12*1*(1+Inputs!$D$42)*(1+Inputs!$D$43)^(BG$233-1)</f>
        <v>-35534.45376</v>
      </c>
      <c r="BH338" s="66" t="n">
        <f aca="false">-BH331*Inputs!$D$35/12*1*(1+Inputs!$D$42)*(1+Inputs!$D$43)^(BH$233-1)</f>
        <v>-35534.45376</v>
      </c>
      <c r="BI338" s="66" t="n">
        <f aca="false">-BI331*Inputs!$D$35/12*1*(1+Inputs!$D$42)*(1+Inputs!$D$43)^(BI$233-1)</f>
        <v>-35534.45376</v>
      </c>
      <c r="BJ338" s="66" t="n">
        <f aca="false">-BJ331*Inputs!$D$35/12*1*(1+Inputs!$D$42)*(1+Inputs!$D$43)^(BJ$233-1)</f>
        <v>-35534.45376</v>
      </c>
    </row>
    <row r="339" customFormat="false" ht="15" hidden="false" customHeight="false" outlineLevel="0" collapsed="false">
      <c r="A339" s="6" t="s">
        <v>446</v>
      </c>
      <c r="C339" s="66" t="n">
        <f aca="false">-C332*Inputs!$D$39/12*1*(1+Inputs!$D$42)*(1+Inputs!$D$43)^(C$233-1)</f>
        <v>-4000</v>
      </c>
      <c r="D339" s="66" t="n">
        <f aca="false">-D332*Inputs!$D$39/12*1*(1+Inputs!$D$42)*(1+Inputs!$D$43)^(D$233-1)</f>
        <v>-4000</v>
      </c>
      <c r="E339" s="66" t="n">
        <f aca="false">-E332*Inputs!$D$39/12*1*(1+Inputs!$D$42)*(1+Inputs!$D$43)^(E$233-1)</f>
        <v>-4000</v>
      </c>
      <c r="F339" s="66" t="n">
        <f aca="false">-F332*Inputs!$D$39/12*1*(1+Inputs!$D$42)*(1+Inputs!$D$43)^(F$233-1)</f>
        <v>-4000</v>
      </c>
      <c r="G339" s="66" t="n">
        <f aca="false">-G332*Inputs!$D$39/12*1*(1+Inputs!$D$42)*(1+Inputs!$D$43)^(G$233-1)</f>
        <v>-4000</v>
      </c>
      <c r="H339" s="66" t="n">
        <f aca="false">-H332*Inputs!$D$39/12*1*(1+Inputs!$D$42)*(1+Inputs!$D$43)^(H$233-1)</f>
        <v>-4000</v>
      </c>
      <c r="I339" s="66" t="n">
        <f aca="false">-I332*Inputs!$D$39/12*1*(1+Inputs!$D$42)*(1+Inputs!$D$43)^(I$233-1)</f>
        <v>-4000</v>
      </c>
      <c r="J339" s="66" t="n">
        <f aca="false">-J332*Inputs!$D$39/12*1*(1+Inputs!$D$42)*(1+Inputs!$D$43)^(J$233-1)</f>
        <v>-4000</v>
      </c>
      <c r="K339" s="66" t="n">
        <f aca="false">-K332*Inputs!$D$39/12*1*(1+Inputs!$D$42)*(1+Inputs!$D$43)^(K$233-1)</f>
        <v>-4000</v>
      </c>
      <c r="L339" s="66" t="n">
        <f aca="false">-L332*Inputs!$D$39/12*1*(1+Inputs!$D$42)*(1+Inputs!$D$43)^(L$233-1)</f>
        <v>-4000</v>
      </c>
      <c r="M339" s="66" t="n">
        <f aca="false">-M332*Inputs!$D$39/12*1*(1+Inputs!$D$42)*(1+Inputs!$D$43)^(M$233-1)</f>
        <v>-4000</v>
      </c>
      <c r="N339" s="66" t="n">
        <f aca="false">-N332*Inputs!$D$39/12*1*(1+Inputs!$D$42)*(1+Inputs!$D$43)^(N$233-1)</f>
        <v>-4000</v>
      </c>
      <c r="O339" s="66" t="n">
        <f aca="false">-O332*Inputs!$D$39/12*1*(1+Inputs!$D$42)*(1+Inputs!$D$43)^(O$233-1)</f>
        <v>-6240</v>
      </c>
      <c r="P339" s="66" t="n">
        <f aca="false">-P332*Inputs!$D$39/12*1*(1+Inputs!$D$42)*(1+Inputs!$D$43)^(P$233-1)</f>
        <v>-6240</v>
      </c>
      <c r="Q339" s="66" t="n">
        <f aca="false">-Q332*Inputs!$D$39/12*1*(1+Inputs!$D$42)*(1+Inputs!$D$43)^(Q$233-1)</f>
        <v>-6240</v>
      </c>
      <c r="R339" s="66" t="n">
        <f aca="false">-R332*Inputs!$D$39/12*1*(1+Inputs!$D$42)*(1+Inputs!$D$43)^(R$233-1)</f>
        <v>-6240</v>
      </c>
      <c r="S339" s="66" t="n">
        <f aca="false">-S332*Inputs!$D$39/12*1*(1+Inputs!$D$42)*(1+Inputs!$D$43)^(S$233-1)</f>
        <v>-6240</v>
      </c>
      <c r="T339" s="66" t="n">
        <f aca="false">-T332*Inputs!$D$39/12*1*(1+Inputs!$D$42)*(1+Inputs!$D$43)^(T$233-1)</f>
        <v>-6240</v>
      </c>
      <c r="U339" s="66" t="n">
        <f aca="false">-U332*Inputs!$D$39/12*1*(1+Inputs!$D$42)*(1+Inputs!$D$43)^(U$233-1)</f>
        <v>-6240</v>
      </c>
      <c r="V339" s="66" t="n">
        <f aca="false">-V332*Inputs!$D$39/12*1*(1+Inputs!$D$42)*(1+Inputs!$D$43)^(V$233-1)</f>
        <v>-6240</v>
      </c>
      <c r="W339" s="66" t="n">
        <f aca="false">-W332*Inputs!$D$39/12*1*(1+Inputs!$D$42)*(1+Inputs!$D$43)^(W$233-1)</f>
        <v>-6240</v>
      </c>
      <c r="X339" s="66" t="n">
        <f aca="false">-X332*Inputs!$D$39/12*1*(1+Inputs!$D$42)*(1+Inputs!$D$43)^(X$233-1)</f>
        <v>-6240</v>
      </c>
      <c r="Y339" s="66" t="n">
        <f aca="false">-Y332*Inputs!$D$39/12*1*(1+Inputs!$D$42)*(1+Inputs!$D$43)^(Y$233-1)</f>
        <v>-6240</v>
      </c>
      <c r="Z339" s="66" t="n">
        <f aca="false">-Z332*Inputs!$D$39/12*1*(1+Inputs!$D$42)*(1+Inputs!$D$43)^(Z$233-1)</f>
        <v>-6240</v>
      </c>
      <c r="AA339" s="66" t="n">
        <f aca="false">-AA332*Inputs!$D$39/12*1*(1+Inputs!$D$42)*(1+Inputs!$D$43)^(AA$233-1)</f>
        <v>-9734.4</v>
      </c>
      <c r="AB339" s="66" t="n">
        <f aca="false">-AB332*Inputs!$D$39/12*1*(1+Inputs!$D$42)*(1+Inputs!$D$43)^(AB$233-1)</f>
        <v>-9734.4</v>
      </c>
      <c r="AC339" s="66" t="n">
        <f aca="false">-AC332*Inputs!$D$39/12*1*(1+Inputs!$D$42)*(1+Inputs!$D$43)^(AC$233-1)</f>
        <v>-9734.4</v>
      </c>
      <c r="AD339" s="66" t="n">
        <f aca="false">-AD332*Inputs!$D$39/12*1*(1+Inputs!$D$42)*(1+Inputs!$D$43)^(AD$233-1)</f>
        <v>-9734.4</v>
      </c>
      <c r="AE339" s="66" t="n">
        <f aca="false">-AE332*Inputs!$D$39/12*1*(1+Inputs!$D$42)*(1+Inputs!$D$43)^(AE$233-1)</f>
        <v>-9734.4</v>
      </c>
      <c r="AF339" s="66" t="n">
        <f aca="false">-AF332*Inputs!$D$39/12*1*(1+Inputs!$D$42)*(1+Inputs!$D$43)^(AF$233-1)</f>
        <v>-9734.4</v>
      </c>
      <c r="AG339" s="66" t="n">
        <f aca="false">-AG332*Inputs!$D$39/12*1*(1+Inputs!$D$42)*(1+Inputs!$D$43)^(AG$233-1)</f>
        <v>-9734.4</v>
      </c>
      <c r="AH339" s="66" t="n">
        <f aca="false">-AH332*Inputs!$D$39/12*1*(1+Inputs!$D$42)*(1+Inputs!$D$43)^(AH$233-1)</f>
        <v>-9734.4</v>
      </c>
      <c r="AI339" s="66" t="n">
        <f aca="false">-AI332*Inputs!$D$39/12*1*(1+Inputs!$D$42)*(1+Inputs!$D$43)^(AI$233-1)</f>
        <v>-9734.4</v>
      </c>
      <c r="AJ339" s="66" t="n">
        <f aca="false">-AJ332*Inputs!$D$39/12*1*(1+Inputs!$D$42)*(1+Inputs!$D$43)^(AJ$233-1)</f>
        <v>-9734.4</v>
      </c>
      <c r="AK339" s="66" t="n">
        <f aca="false">-AK332*Inputs!$D$39/12*1*(1+Inputs!$D$42)*(1+Inputs!$D$43)^(AK$233-1)</f>
        <v>-9734.4</v>
      </c>
      <c r="AL339" s="66" t="n">
        <f aca="false">-AL332*Inputs!$D$39/12*1*(1+Inputs!$D$42)*(1+Inputs!$D$43)^(AL$233-1)</f>
        <v>-9734.4</v>
      </c>
      <c r="AM339" s="66" t="n">
        <f aca="false">-AM332*Inputs!$D$39/12*1*(1+Inputs!$D$42)*(1+Inputs!$D$43)^(AM$233-1)</f>
        <v>-15185.664</v>
      </c>
      <c r="AN339" s="66" t="n">
        <f aca="false">-AN332*Inputs!$D$39/12*1*(1+Inputs!$D$42)*(1+Inputs!$D$43)^(AN$233-1)</f>
        <v>-15185.664</v>
      </c>
      <c r="AO339" s="66" t="n">
        <f aca="false">-AO332*Inputs!$D$39/12*1*(1+Inputs!$D$42)*(1+Inputs!$D$43)^(AO$233-1)</f>
        <v>-15185.664</v>
      </c>
      <c r="AP339" s="66" t="n">
        <f aca="false">-AP332*Inputs!$D$39/12*1*(1+Inputs!$D$42)*(1+Inputs!$D$43)^(AP$233-1)</f>
        <v>-15185.664</v>
      </c>
      <c r="AQ339" s="66" t="n">
        <f aca="false">-AQ332*Inputs!$D$39/12*1*(1+Inputs!$D$42)*(1+Inputs!$D$43)^(AQ$233-1)</f>
        <v>-15185.664</v>
      </c>
      <c r="AR339" s="66" t="n">
        <f aca="false">-AR332*Inputs!$D$39/12*1*(1+Inputs!$D$42)*(1+Inputs!$D$43)^(AR$233-1)</f>
        <v>-15185.664</v>
      </c>
      <c r="AS339" s="66" t="n">
        <f aca="false">-AS332*Inputs!$D$39/12*1*(1+Inputs!$D$42)*(1+Inputs!$D$43)^(AS$233-1)</f>
        <v>-15185.664</v>
      </c>
      <c r="AT339" s="66" t="n">
        <f aca="false">-AT332*Inputs!$D$39/12*1*(1+Inputs!$D$42)*(1+Inputs!$D$43)^(AT$233-1)</f>
        <v>-15185.664</v>
      </c>
      <c r="AU339" s="66" t="n">
        <f aca="false">-AU332*Inputs!$D$39/12*1*(1+Inputs!$D$42)*(1+Inputs!$D$43)^(AU$233-1)</f>
        <v>-15185.664</v>
      </c>
      <c r="AV339" s="66" t="n">
        <f aca="false">-AV332*Inputs!$D$39/12*1*(1+Inputs!$D$42)*(1+Inputs!$D$43)^(AV$233-1)</f>
        <v>-15185.664</v>
      </c>
      <c r="AW339" s="66" t="n">
        <f aca="false">-AW332*Inputs!$D$39/12*1*(1+Inputs!$D$42)*(1+Inputs!$D$43)^(AW$233-1)</f>
        <v>-15185.664</v>
      </c>
      <c r="AX339" s="66" t="n">
        <f aca="false">-AX332*Inputs!$D$39/12*1*(1+Inputs!$D$42)*(1+Inputs!$D$43)^(AX$233-1)</f>
        <v>-15185.664</v>
      </c>
      <c r="AY339" s="66" t="n">
        <f aca="false">-AY332*Inputs!$D$39/12*1*(1+Inputs!$D$42)*(1+Inputs!$D$43)^(AY$233-1)</f>
        <v>-23689.63584</v>
      </c>
      <c r="AZ339" s="66" t="n">
        <f aca="false">-AZ332*Inputs!$D$39/12*1*(1+Inputs!$D$42)*(1+Inputs!$D$43)^(AZ$233-1)</f>
        <v>-23689.63584</v>
      </c>
      <c r="BA339" s="66" t="n">
        <f aca="false">-BA332*Inputs!$D$39/12*1*(1+Inputs!$D$42)*(1+Inputs!$D$43)^(BA$233-1)</f>
        <v>-23689.63584</v>
      </c>
      <c r="BB339" s="66" t="n">
        <f aca="false">-BB332*Inputs!$D$39/12*1*(1+Inputs!$D$42)*(1+Inputs!$D$43)^(BB$233-1)</f>
        <v>-23689.63584</v>
      </c>
      <c r="BC339" s="66" t="n">
        <f aca="false">-BC332*Inputs!$D$39/12*1*(1+Inputs!$D$42)*(1+Inputs!$D$43)^(BC$233-1)</f>
        <v>-23689.63584</v>
      </c>
      <c r="BD339" s="66" t="n">
        <f aca="false">-BD332*Inputs!$D$39/12*1*(1+Inputs!$D$42)*(1+Inputs!$D$43)^(BD$233-1)</f>
        <v>-23689.63584</v>
      </c>
      <c r="BE339" s="66" t="n">
        <f aca="false">-BE332*Inputs!$D$39/12*1*(1+Inputs!$D$42)*(1+Inputs!$D$43)^(BE$233-1)</f>
        <v>-23689.63584</v>
      </c>
      <c r="BF339" s="66" t="n">
        <f aca="false">-BF332*Inputs!$D$39/12*1*(1+Inputs!$D$42)*(1+Inputs!$D$43)^(BF$233-1)</f>
        <v>-23689.63584</v>
      </c>
      <c r="BG339" s="66" t="n">
        <f aca="false">-BG332*Inputs!$D$39/12*1*(1+Inputs!$D$42)*(1+Inputs!$D$43)^(BG$233-1)</f>
        <v>-23689.63584</v>
      </c>
      <c r="BH339" s="66" t="n">
        <f aca="false">-BH332*Inputs!$D$39/12*1*(1+Inputs!$D$42)*(1+Inputs!$D$43)^(BH$233-1)</f>
        <v>-23689.63584</v>
      </c>
      <c r="BI339" s="66" t="n">
        <f aca="false">-BI332*Inputs!$D$39/12*1*(1+Inputs!$D$42)*(1+Inputs!$D$43)^(BI$233-1)</f>
        <v>-23689.63584</v>
      </c>
      <c r="BJ339" s="66" t="n">
        <f aca="false">-BJ332*Inputs!$D$39/12*1*(1+Inputs!$D$42)*(1+Inputs!$D$43)^(BJ$233-1)</f>
        <v>-23689.63584</v>
      </c>
    </row>
    <row r="340" customFormat="false" ht="15" hidden="false" customHeight="false" outlineLevel="0" collapsed="false">
      <c r="A340" s="111" t="s">
        <v>447</v>
      </c>
      <c r="C340" s="67" t="n">
        <f aca="false">C336+C337+C338+C339</f>
        <v>-61750</v>
      </c>
      <c r="D340" s="67" t="n">
        <f aca="false">D336+D337+D338+D339</f>
        <v>-61750</v>
      </c>
      <c r="E340" s="67" t="n">
        <f aca="false">E336+E337+E338+E339</f>
        <v>-61750</v>
      </c>
      <c r="F340" s="67" t="n">
        <f aca="false">F336+F337+F338+F339</f>
        <v>-61750</v>
      </c>
      <c r="G340" s="67" t="n">
        <f aca="false">G336+G337+G338+G339</f>
        <v>-61750</v>
      </c>
      <c r="H340" s="67" t="n">
        <f aca="false">H336+H337+H338+H339</f>
        <v>-61750</v>
      </c>
      <c r="I340" s="67" t="n">
        <f aca="false">I336+I337+I338+I339</f>
        <v>-61750</v>
      </c>
      <c r="J340" s="67" t="n">
        <f aca="false">J336+J337+J338+J339</f>
        <v>-61750</v>
      </c>
      <c r="K340" s="67" t="n">
        <f aca="false">K336+K337+K338+K339</f>
        <v>-61750</v>
      </c>
      <c r="L340" s="67" t="n">
        <f aca="false">L336+L337+L338+L339</f>
        <v>-61750</v>
      </c>
      <c r="M340" s="67" t="n">
        <f aca="false">M336+M337+M338+M339</f>
        <v>-61750</v>
      </c>
      <c r="N340" s="67" t="n">
        <f aca="false">N336+N337+N338+N339</f>
        <v>-61750</v>
      </c>
      <c r="O340" s="67" t="n">
        <f aca="false">O336+O337+O338+O339</f>
        <v>-96330</v>
      </c>
      <c r="P340" s="67" t="n">
        <f aca="false">P336+P337+P338+P339</f>
        <v>-96330</v>
      </c>
      <c r="Q340" s="67" t="n">
        <f aca="false">Q336+Q337+Q338+Q339</f>
        <v>-96330</v>
      </c>
      <c r="R340" s="67" t="n">
        <f aca="false">R336+R337+R338+R339</f>
        <v>-96330</v>
      </c>
      <c r="S340" s="67" t="n">
        <f aca="false">S336+S337+S338+S339</f>
        <v>-96330</v>
      </c>
      <c r="T340" s="67" t="n">
        <f aca="false">T336+T337+T338+T339</f>
        <v>-96330</v>
      </c>
      <c r="U340" s="67" t="n">
        <f aca="false">U336+U337+U338+U339</f>
        <v>-96330</v>
      </c>
      <c r="V340" s="67" t="n">
        <f aca="false">V336+V337+V338+V339</f>
        <v>-96330</v>
      </c>
      <c r="W340" s="67" t="n">
        <f aca="false">W336+W337+W338+W339</f>
        <v>-96330</v>
      </c>
      <c r="X340" s="67" t="n">
        <f aca="false">X336+X337+X338+X339</f>
        <v>-96330</v>
      </c>
      <c r="Y340" s="67" t="n">
        <f aca="false">Y336+Y337+Y338+Y339</f>
        <v>-96330</v>
      </c>
      <c r="Z340" s="67" t="n">
        <f aca="false">Z336+Z337+Z338+Z339</f>
        <v>-96330</v>
      </c>
      <c r="AA340" s="67" t="n">
        <f aca="false">AA336+AA337+AA338+AA339</f>
        <v>-150274.8</v>
      </c>
      <c r="AB340" s="67" t="n">
        <f aca="false">AB336+AB337+AB338+AB339</f>
        <v>-150274.8</v>
      </c>
      <c r="AC340" s="67" t="n">
        <f aca="false">AC336+AC337+AC338+AC339</f>
        <v>-150274.8</v>
      </c>
      <c r="AD340" s="67" t="n">
        <f aca="false">AD336+AD337+AD338+AD339</f>
        <v>-150274.8</v>
      </c>
      <c r="AE340" s="67" t="n">
        <f aca="false">AE336+AE337+AE338+AE339</f>
        <v>-150274.8</v>
      </c>
      <c r="AF340" s="67" t="n">
        <f aca="false">AF336+AF337+AF338+AF339</f>
        <v>-150274.8</v>
      </c>
      <c r="AG340" s="67" t="n">
        <f aca="false">AG336+AG337+AG338+AG339</f>
        <v>-150274.8</v>
      </c>
      <c r="AH340" s="67" t="n">
        <f aca="false">AH336+AH337+AH338+AH339</f>
        <v>-150274.8</v>
      </c>
      <c r="AI340" s="67" t="n">
        <f aca="false">AI336+AI337+AI338+AI339</f>
        <v>-150274.8</v>
      </c>
      <c r="AJ340" s="67" t="n">
        <f aca="false">AJ336+AJ337+AJ338+AJ339</f>
        <v>-150274.8</v>
      </c>
      <c r="AK340" s="67" t="n">
        <f aca="false">AK336+AK337+AK338+AK339</f>
        <v>-150274.8</v>
      </c>
      <c r="AL340" s="67" t="n">
        <f aca="false">AL336+AL337+AL338+AL339</f>
        <v>-150274.8</v>
      </c>
      <c r="AM340" s="67" t="n">
        <f aca="false">AM336+AM337+AM338+AM339</f>
        <v>-234428.688</v>
      </c>
      <c r="AN340" s="67" t="n">
        <f aca="false">AN336+AN337+AN338+AN339</f>
        <v>-234428.688</v>
      </c>
      <c r="AO340" s="67" t="n">
        <f aca="false">AO336+AO337+AO338+AO339</f>
        <v>-234428.688</v>
      </c>
      <c r="AP340" s="67" t="n">
        <f aca="false">AP336+AP337+AP338+AP339</f>
        <v>-234428.688</v>
      </c>
      <c r="AQ340" s="67" t="n">
        <f aca="false">AQ336+AQ337+AQ338+AQ339</f>
        <v>-234428.688</v>
      </c>
      <c r="AR340" s="67" t="n">
        <f aca="false">AR336+AR337+AR338+AR339</f>
        <v>-234428.688</v>
      </c>
      <c r="AS340" s="67" t="n">
        <f aca="false">AS336+AS337+AS338+AS339</f>
        <v>-234428.688</v>
      </c>
      <c r="AT340" s="67" t="n">
        <f aca="false">AT336+AT337+AT338+AT339</f>
        <v>-234428.688</v>
      </c>
      <c r="AU340" s="67" t="n">
        <f aca="false">AU336+AU337+AU338+AU339</f>
        <v>-234428.688</v>
      </c>
      <c r="AV340" s="67" t="n">
        <f aca="false">AV336+AV337+AV338+AV339</f>
        <v>-234428.688</v>
      </c>
      <c r="AW340" s="67" t="n">
        <f aca="false">AW336+AW337+AW338+AW339</f>
        <v>-234428.688</v>
      </c>
      <c r="AX340" s="67" t="n">
        <f aca="false">AX336+AX337+AX338+AX339</f>
        <v>-234428.688</v>
      </c>
      <c r="AY340" s="67" t="n">
        <f aca="false">AY336+AY337+AY338+AY339</f>
        <v>-365708.75328</v>
      </c>
      <c r="AZ340" s="67" t="n">
        <f aca="false">AZ336+AZ337+AZ338+AZ339</f>
        <v>-365708.75328</v>
      </c>
      <c r="BA340" s="67" t="n">
        <f aca="false">BA336+BA337+BA338+BA339</f>
        <v>-365708.75328</v>
      </c>
      <c r="BB340" s="67" t="n">
        <f aca="false">BB336+BB337+BB338+BB339</f>
        <v>-365708.75328</v>
      </c>
      <c r="BC340" s="67" t="n">
        <f aca="false">BC336+BC337+BC338+BC339</f>
        <v>-365708.75328</v>
      </c>
      <c r="BD340" s="67" t="n">
        <f aca="false">BD336+BD337+BD338+BD339</f>
        <v>-365708.75328</v>
      </c>
      <c r="BE340" s="67" t="n">
        <f aca="false">BE336+BE337+BE338+BE339</f>
        <v>-365708.75328</v>
      </c>
      <c r="BF340" s="67" t="n">
        <f aca="false">BF336+BF337+BF338+BF339</f>
        <v>-365708.75328</v>
      </c>
      <c r="BG340" s="67" t="n">
        <f aca="false">BG336+BG337+BG338+BG339</f>
        <v>-365708.75328</v>
      </c>
      <c r="BH340" s="67" t="n">
        <f aca="false">BH336+BH337+BH338+BH339</f>
        <v>-365708.75328</v>
      </c>
      <c r="BI340" s="67" t="n">
        <f aca="false">BI336+BI337+BI338+BI339</f>
        <v>-365708.75328</v>
      </c>
      <c r="BJ340" s="67" t="n">
        <f aca="false">BJ336+BJ337+BJ338+BJ339</f>
        <v>-365708.75328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322A"/>
    <pageSetUpPr fitToPage="true"/>
  </sheetPr>
  <dimension ref="A1:E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2"/>
    <col collapsed="false" customWidth="true" hidden="false" outlineLevel="0" max="3" min="3" style="0" width="64"/>
  </cols>
  <sheetData>
    <row r="1" customFormat="false" ht="21.75" hidden="false" customHeight="true" outlineLevel="0" collapsed="false">
      <c r="A1" s="16" t="s">
        <v>5</v>
      </c>
      <c r="E1" s="17" t="str">
        <f aca="false">HYPERLINK("#'Cover'!A1","◂ Contents")</f>
        <v>◂ Contents</v>
      </c>
    </row>
    <row r="2" customFormat="false" ht="15" hidden="false" customHeight="false" outlineLevel="0" collapsed="false">
      <c r="A2" s="18" t="s">
        <v>453</v>
      </c>
    </row>
    <row r="3" customFormat="false" ht="15" hidden="false" customHeight="false" outlineLevel="0" collapsed="false">
      <c r="A3" s="33" t="s">
        <v>454</v>
      </c>
      <c r="B3" s="33" t="s">
        <v>455</v>
      </c>
      <c r="C3" s="33" t="s">
        <v>456</v>
      </c>
    </row>
    <row r="4" customFormat="false" ht="15" hidden="false" customHeight="false" outlineLevel="0" collapsed="false">
      <c r="A4" s="6" t="s">
        <v>457</v>
      </c>
      <c r="B4" s="4" t="str">
        <f aca="false">IF(ABS(SUM('P&amp;L'!$B$5:$F$5)-SUM(Monthly!$C$24:$BJ$24))&lt;0.5,"PASS","FAIL")</f>
        <v>PASS</v>
      </c>
      <c r="C4" s="18" t="s">
        <v>458</v>
      </c>
    </row>
    <row r="5" customFormat="false" ht="15" hidden="false" customHeight="false" outlineLevel="0" collapsed="false">
      <c r="A5" s="6" t="s">
        <v>459</v>
      </c>
      <c r="B5" s="4" t="str">
        <f aca="false">IF(ABS(SUM('P&amp;L'!$B$22:$F$22)-SUM(Monthly!$C$44:$BJ$44))&lt;0.5,"PASS","FAIL")</f>
        <v>PASS</v>
      </c>
      <c r="C5" s="18" t="s">
        <v>460</v>
      </c>
    </row>
    <row r="6" customFormat="false" ht="15" hidden="false" customHeight="false" outlineLevel="0" collapsed="false">
      <c r="A6" s="6" t="s">
        <v>461</v>
      </c>
      <c r="B6" s="4" t="str">
        <f aca="false">IF(ABS(SUM(Monthly!$C$35:$BJ$35)-SUM(Monthly!$C$26:$BJ$26)-SUM(Monthly!$C$34:$BJ$34))&lt;0.5,"PASS","FAIL")</f>
        <v>PASS</v>
      </c>
      <c r="C6" s="18" t="s">
        <v>462</v>
      </c>
    </row>
    <row r="7" customFormat="false" ht="15" hidden="false" customHeight="false" outlineLevel="0" collapsed="false">
      <c r="A7" s="6" t="s">
        <v>463</v>
      </c>
      <c r="B7" s="4" t="str">
        <f aca="false">IF(ABS(INDEX(Monthly!$C$76:$BJ$76,60)-SUM(Monthly!$C$74:$BJ$74))&lt;0.5,"PASS","FAIL")</f>
        <v>PASS</v>
      </c>
      <c r="C7" s="18" t="s">
        <v>464</v>
      </c>
    </row>
    <row r="8" customFormat="false" ht="15" hidden="false" customHeight="false" outlineLevel="0" collapsed="false">
      <c r="A8" s="6" t="s">
        <v>465</v>
      </c>
      <c r="B8" s="4" t="str">
        <f aca="false">IF(AND(ISNUMBER(Dashboard!B4),Dashboard!B4&gt;=1,Dashboard!B4&lt;=3,INT(Dashboard!B4)=Dashboard!B4),"PASS","FAIL")</f>
        <v>PASS</v>
      </c>
      <c r="C8" s="18" t="s">
        <v>466</v>
      </c>
    </row>
    <row r="9" customFormat="false" ht="15" hidden="false" customHeight="false" outlineLevel="0" collapsed="false">
      <c r="A9" s="6" t="s">
        <v>467</v>
      </c>
      <c r="B9" s="4" t="str">
        <f aca="false">IF(AND(Inputs!$B$7&lt;=Inputs!$C$7,Inputs!$C$7&lt;=Inputs!$D$7,Inputs!$B$8&lt;=Inputs!$C$8,Inputs!$C$8&lt;=Inputs!$D$8,Inputs!$B$9&lt;=Inputs!$C$9,Inputs!$C$9&lt;=Inputs!$D$9,Inputs!$B$10&gt;=Inputs!$C$10,Inputs!$C$10&gt;=Inputs!$D$10,Inputs!$B$11&lt;=Inputs!$C$11,Inputs!$C$11&lt;=Inputs!$D$11,Inputs!$B$12&lt;=Inputs!$C$12,Inputs!$C$12&lt;=Inputs!$D$12,Inputs!$B$13&lt;=Inputs!$C$13,Inputs!$C$13&lt;=Inputs!$D$13,Inputs!$B$16&gt;=Inputs!$C$16,Inputs!$C$16&gt;=Inputs!$D$16,Inputs!$B$18&gt;=Inputs!$C$18,Inputs!$C$18&gt;=Inputs!$D$18,Inputs!$B$19&gt;=Inputs!$C$19,Inputs!$C$19&gt;=Inputs!$D$19,Inputs!$B$26&lt;=Inputs!$C$26,Inputs!$C$26&lt;=Inputs!$D$26,Inputs!$B$28&lt;=Inputs!$C$28,Inputs!$C$28&lt;=Inputs!$D$28,Inputs!$B$30&lt;=Inputs!$C$30,Inputs!$C$30&lt;=Inputs!$D$30,Inputs!$B$32&lt;=Inputs!$C$32,Inputs!$C$32&lt;=Inputs!$D$32,Inputs!$B$34&lt;=Inputs!$C$34,Inputs!$C$34&lt;=Inputs!$D$34,Inputs!$B$36&lt;=Inputs!$C$36,Inputs!$C$36&lt;=Inputs!$D$36,Inputs!$B$38&lt;=Inputs!$C$38,Inputs!$C$38&lt;=Inputs!$D$38,Inputs!$B$40&lt;=Inputs!$C$40,Inputs!$C$40&lt;=Inputs!$D$40,Inputs!$B$64&gt;=Inputs!$C$64,Inputs!$C$64&gt;=Inputs!$D$64,Inputs!$B$65&lt;=Inputs!$C$65,Inputs!$C$65&lt;=Inputs!$D$65,Inputs!$B$66&lt;=Inputs!$C$66,Inputs!$C$66&lt;=Inputs!$D$66),"PASS","FAIL")</f>
        <v>PASS</v>
      </c>
      <c r="C9" s="18" t="s">
        <v>468</v>
      </c>
    </row>
    <row r="10" customFormat="false" ht="15" hidden="false" customHeight="false" outlineLevel="0" collapsed="false">
      <c r="A10" s="6" t="s">
        <v>469</v>
      </c>
      <c r="B10" s="4" t="str">
        <f aca="false">IF(AND(MIN('P&amp;L'!$B$8:$F$8)&gt;=0,MAX('P&amp;L'!$B$8:$F$8)&lt;=1),"PASS","FAIL")</f>
        <v>PASS</v>
      </c>
      <c r="C10" s="18" t="s">
        <v>470</v>
      </c>
    </row>
    <row r="11" customFormat="false" ht="15" hidden="false" customHeight="false" outlineLevel="0" collapsed="false">
      <c r="A11" s="6" t="s">
        <v>471</v>
      </c>
      <c r="B11" s="4" t="str">
        <f aca="false">IF(MIN(Monthly!$C$57:$BJ$57)&gt;=-0.5,"PASS","FAIL")</f>
        <v>PASS</v>
      </c>
      <c r="C11" s="18" t="s">
        <v>472</v>
      </c>
    </row>
    <row r="12" customFormat="false" ht="15" hidden="false" customHeight="false" outlineLevel="0" collapsed="false">
      <c r="A12" s="6" t="s">
        <v>473</v>
      </c>
      <c r="B12" s="4" t="str">
        <f aca="false">IF(ABS('Break-even'!B18-('Break-even'!B16-'Break-even'!B10))&lt;0.5,"PASS","FAIL")</f>
        <v>PASS</v>
      </c>
      <c r="C12" s="18" t="s">
        <v>474</v>
      </c>
    </row>
    <row r="13" customFormat="false" ht="15" hidden="false" customHeight="false" outlineLevel="0" collapsed="false">
      <c r="A13" s="6" t="s">
        <v>475</v>
      </c>
      <c r="B13" s="4" t="str">
        <f aca="false">IF(ABS(Valuation!B23-NPV(Valuation!B6,Valuation!$B$17:$F$17))&lt;0.5,"PASS","FAIL")</f>
        <v>PASS</v>
      </c>
      <c r="C13" s="18" t="s">
        <v>476</v>
      </c>
    </row>
    <row r="14" customFormat="false" ht="15" hidden="false" customHeight="false" outlineLevel="0" collapsed="false">
      <c r="A14" s="6" t="s">
        <v>477</v>
      </c>
      <c r="B14" s="4" t="str">
        <f aca="false">IF(Valuation!B6&gt;Valuation!B7,"PASS","FAIL")</f>
        <v>PASS</v>
      </c>
      <c r="C14" s="18" t="s">
        <v>478</v>
      </c>
    </row>
    <row r="15" customFormat="false" ht="15" hidden="false" customHeight="false" outlineLevel="0" collapsed="false">
      <c r="A15" s="6" t="s">
        <v>479</v>
      </c>
      <c r="B15" s="4" t="str">
        <f aca="false">IF(ABS(Valuation!D36-Valuation!B27)&lt;0.5,"PASS","FAIL")</f>
        <v>PASS</v>
      </c>
      <c r="C15" s="18" t="s">
        <v>480</v>
      </c>
    </row>
    <row r="16" customFormat="false" ht="15" hidden="false" customHeight="false" outlineLevel="0" collapsed="false">
      <c r="A16" s="6" t="s">
        <v>481</v>
      </c>
      <c r="B16" s="4" t="str">
        <f aca="false">IF(Valuation!$F$17&gt;0,"PASS","WARN")</f>
        <v>WARN</v>
      </c>
      <c r="C16" s="18" t="s">
        <v>482</v>
      </c>
    </row>
    <row r="17" customFormat="false" ht="15" hidden="false" customHeight="false" outlineLevel="0" collapsed="false">
      <c r="A17" s="6" t="s">
        <v>483</v>
      </c>
      <c r="B17" s="4" t="str">
        <f aca="false">IF(ABS('Sources &amp; Uses'!B21-'Sources &amp; Uses'!B28)&lt;0.5,"PASS","FAIL")</f>
        <v>PASS</v>
      </c>
      <c r="C17" s="18" t="s">
        <v>484</v>
      </c>
    </row>
    <row r="18" customFormat="false" ht="15" hidden="false" customHeight="false" outlineLevel="0" collapsed="false">
      <c r="A18" s="6" t="s">
        <v>485</v>
      </c>
      <c r="B18" s="4" t="str">
        <f aca="false">IF(SUMPRODUCT(--ISERROR(Monthly!$C$4:$BJ$98))+SUMPRODUCT(--ISERROR(Headcount!$C$4:$BJ$19))+SUMPRODUCT(--ISERROR('P&amp;L'!$B$3:$F$23))+SUMPRODUCT(--ISERROR('Cash Flow'!$B$3:$F$19))+SUMPRODUCT(--ISERROR('Balance Sheet'!$B$3:$F$18))+SUMPRODUCT(--ISERROR(KPIs!$B$27:$F$46))+SUMPRODUCT(--ISERROR('Break-even'!$B$26:$F$33))+SUMPRODUCT(--ISERROR(Valuation!$B$14:$F$19))+SUMPRODUCT(--ISERROR('Break-even'!$B$3:$F$35))+SUMPRODUCT(--ISERROR(Valuation!$A$3:$F$40))+SUMPRODUCT(--ISERROR('Sources &amp; Uses'!$B$3:$C$30))+SUMPRODUCT(--ISERROR(Dashboard!$A$6:$W$43))+SUMPRODUCT(--ISERROR(Summary!$A$5:$S$53))+SUMPRODUCT(--ISERROR(KPIs!$A$4:$G$46))+SUMPRODUCT(--ISERROR('Scenario calc'!$C$6:$BJ$114))+SUMPRODUCT(--ISERROR('Scenario calc'!$C$119:$BJ$227))+SUMPRODUCT(--ISERROR('Scenario calc'!$C$232:$BJ$340))+SUMPRODUCT(--ISERROR(Scenarios!$B$5:$F$50))=0,"PASS","FAIL")</f>
        <v>PASS</v>
      </c>
      <c r="C18" s="18" t="s">
        <v>486</v>
      </c>
    </row>
    <row r="19" customFormat="false" ht="15" hidden="false" customHeight="false" outlineLevel="0" collapsed="false">
      <c r="A19" s="6" t="s">
        <v>487</v>
      </c>
      <c r="B19" s="4" t="str">
        <f aca="false">IF(IFERROR(AND(SUMPRODUCT(--(ABS(Summary!$B$7:$F$7-'P&amp;L'!$B$5:$F$5)&gt;0.5))=0,SUMPRODUCT(--(ABS(Summary!$B$19:$F$19-'P&amp;L'!$B$22:$F$22)&gt;0.5))=0,SUMPRODUCT(--(ABS(Summary!$B$31:$F$31-'Cash Flow'!$B$19:$F$19)&gt;0.5))=0,SUMPRODUCT(--(ABS(Summary!$B$41:$F$41-'Balance Sheet'!$B$5:$F$5)&gt;0.5))=0,ABS(SUM(Summary!$H$7:$S$7)-INDEX(Summary!$B$7:$F$7,Summary!$R$2))&lt;0.5,ABS(SUM(Summary!$H$19:$S$19)-INDEX(Summary!$B$19:$F$19,Summary!$R$2))&lt;0.5,ABS(Summary!$S$31-INDEX(Summary!$B$31:$F$31,Summary!$R$2))&lt;0.5),FALSE()),"PASS","FAIL")</f>
        <v>PASS</v>
      </c>
      <c r="C19" s="18" t="s">
        <v>488</v>
      </c>
    </row>
    <row r="20" customFormat="false" ht="15" hidden="false" customHeight="false" outlineLevel="0" collapsed="false">
      <c r="A20" s="6" t="s">
        <v>489</v>
      </c>
      <c r="B20" s="4" t="str">
        <f aca="false">IF(SUMPRODUCT(--(ABS(KPIs!$B$24:$F$24)&gt;0.000000001))&gt;0,"FAIL",IF(SUMPRODUCT(ISNUMBER(KPIs!$B$23:$F$23)*ISNUMBER(KPIs!$B$16:$F$16))=0,"n/a","PASS"))</f>
        <v>PASS</v>
      </c>
      <c r="C20" s="18" t="s">
        <v>490</v>
      </c>
    </row>
    <row r="21" customFormat="false" ht="15" hidden="false" customHeight="false" outlineLevel="0" collapsed="false">
      <c r="A21" s="6" t="s">
        <v>491</v>
      </c>
      <c r="B21" s="4" t="str">
        <f aca="false">IF(IFERROR(AND(ABS(Scenarios!E17-INDEX(Scenarios!B17:D17,1,Dashboard!$B$4))&lt;0.5,ABS(Scenarios!E18-INDEX(Scenarios!B18:D18,1,Dashboard!$B$4))&lt;0.5,ABS(Scenarios!E19-INDEX(Scenarios!B19:D19,1,Dashboard!$B$4))&lt;0.5,ABS(Scenarios!E20-INDEX(Scenarios!B20:D20,1,Dashboard!$B$4))&lt;0.000001,ABS(Scenarios!E21-INDEX(Scenarios!B21:D21,1,Dashboard!$B$4))&lt;0.5,ABS(Scenarios!E22-INDEX(Scenarios!B22:D22,1,Dashboard!$B$4))&lt;0.5,ABS(Scenarios!E23-INDEX(Scenarios!B23:D23,1,Dashboard!$B$4))&lt;0.5,ABS(Scenarios!E24-INDEX(Scenarios!B24:D24,1,Dashboard!$B$4))&lt;0.5,ABS(Scenarios!E25-INDEX(Scenarios!B25:D25,1,Dashboard!$B$4))&lt;0.5,ABS(Scenarios!E26-INDEX(Scenarios!B26:D26,1,Dashboard!$B$4))&lt;0.5),FALSE()),"PASS","FAIL")</f>
        <v>PASS</v>
      </c>
      <c r="C21" s="18" t="s">
        <v>492</v>
      </c>
    </row>
    <row r="22" customFormat="false" ht="15" hidden="false" customHeight="false" outlineLevel="0" collapsed="false">
      <c r="A22" s="6" t="s">
        <v>493</v>
      </c>
      <c r="B22" s="4" t="str">
        <f aca="false">IF(SUMPRODUCT(--(ABS(Monthly!$C$98:$BJ$98)&gt;0.5))=0,"PASS","FAIL")</f>
        <v>PASS</v>
      </c>
      <c r="C22" s="18" t="s">
        <v>494</v>
      </c>
    </row>
    <row r="23" customFormat="false" ht="15" hidden="false" customHeight="false" outlineLevel="0" collapsed="false">
      <c r="A23" s="6" t="s">
        <v>495</v>
      </c>
      <c r="B23" s="4" t="str">
        <f aca="false">IF(MIN(Monthly!$C$76:$BJ$76)&gt;=0,"PASS","WARN")</f>
        <v>WARN</v>
      </c>
      <c r="C23" s="18" t="s">
        <v>496</v>
      </c>
    </row>
    <row r="25" customFormat="false" ht="15" hidden="false" customHeight="false" outlineLevel="0" collapsed="false">
      <c r="A25" s="69" t="s">
        <v>497</v>
      </c>
      <c r="B25" s="69" t="str">
        <f aca="false">IF(COUNTIF(B4:B23,"FAIL")&gt;0,"FAIL",IF(COUNTIF(B4:B23,"WARN")&gt;0,"PASS WITH WARNINGS","PASS"))</f>
        <v>PASS WITH WARNINGS</v>
      </c>
      <c r="C25" s="121"/>
    </row>
  </sheetData>
  <conditionalFormatting sqref="B4:B25">
    <cfRule type="expression" priority="2" aboveAverage="0" equalAverage="0" bottom="0" percent="0" rank="0" text="" dxfId="0">
      <formula>ISNUMBER(SEARCH("FAIL",B4))</formula>
    </cfRule>
    <cfRule type="expression" priority="3" aboveAverage="0" equalAverage="0" bottom="0" percent="0" rank="0" text="" dxfId="1">
      <formula>ISNUMBER(SEARCH("WARN",B4))</formula>
    </cfRule>
    <cfRule type="expression" priority="4" aboveAverage="0" equalAverage="0" bottom="0" percent="0" rank="0" text="" dxfId="2">
      <formula>B4="PASS"</formula>
    </cfRule>
  </conditionalFormatting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&amp;A&amp;R&amp;8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2026-10-21T14:34:05Z</dcterms:created>
  <dc:creator/>
  <dc:description/>
  <dc:language>en-US</dc:language>
  <cp:lastModifiedBy/>
  <dcterms:modified xsi:type="dcterms:W3CDTF">2026-10-21T14:34:08Z</dcterms:modified>
  <cp:revision>0</cp:revision>
  <dc:subject/>
  <dc:title>SaaS financial model (early)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