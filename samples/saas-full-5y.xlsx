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Inputs" sheetId="6" state="visible" r:id="rId8"/>
    <sheet name="P&amp;L" sheetId="7" state="visible" r:id="rId9"/>
    <sheet name="Cash Flow" sheetId="8" state="visible" r:id="rId10"/>
    <sheet name="Balance Sheet" sheetId="9" state="visible" r:id="rId11"/>
    <sheet name="Monthly" sheetId="10" state="visible" r:id="rId12"/>
    <sheet name="Headcount" sheetId="11" state="visible" r:id="rId13"/>
    <sheet name="Check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<sst xmlns="http://schemas.openxmlformats.org/spreadsheetml/2006/main" count="685" uniqueCount="417">
  <si>
    <t xml:space="preserve">SaaS financial model (early)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</si>
  <si>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</si>
  <si>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</si>
  <si>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</si>
  <si>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</si>
  <si>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</si>
  <si>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</si>
  <si>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20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</si>
  <si>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</si>
  <si>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</si>
  <si>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</si>
  <si>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</si>
  <si>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</si>
  <si>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</si>
  <si>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</si>
  <si>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</si>
  <si>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</si>
  <si>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</si>
  <si>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</si>
  <si>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</si>
  <si>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</si>
  <si>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</si>
  <si>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</si>
  <si>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</si>
  <si>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</si>
  <si>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</si>
  <si>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</si>
  <si>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</si>
  <si>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</si>
  <si>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</si>
  <si>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</si>
  <si>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</si>
  <si>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</si>
  <si>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</si>
  <si>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</si>
  <si>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</si>
  <si>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</si>
  <si>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</si>
  <si>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</si>
  <si>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</si>
  <si>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</si>
  <si>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</si>
  <si>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</si>
  <si>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</si>
  <si>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</si>
  <si>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</si>
  <si>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</si>
  <si>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</si>
  <si>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</si>
  <si>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</si>
  <si>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</si>
  <si>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</si>
  <si>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</si>
  <si>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SaaS metrics</t>
  </si>
  <si>
    <t xml:space="preserve">Paying customers (year end)</t>
  </si>
  <si>
    <t xml:space="preserve">ARR (year-end MRR × 12)</t>
  </si>
  <si>
    <t xml:space="preserve">LTV ÷ CAC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</si>
  <si>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</si>
  <si>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</si>
  <si>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</si>
  <si>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</si>
  <si>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</si>
  <si>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</si>
  <si>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</si>
  <si>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</si>
  <si>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</si>
  <si>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</si>
  <si>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</si>
  <si>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SaaS metrics — detail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</si>
  <si>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</si>
  <si>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</si>
  <si>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</si>
  <si>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</si>
  <si>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</si>
  <si>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</si>
  <si>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Customers (year end)</t>
  </si>
  <si>
    <t xml:space="preserve">New customers in the year</t>
  </si>
  <si>
    <t xml:space="preserve">Customers lost in the year</t>
  </si>
  <si>
    <t xml:space="preserve">MRR (year end)</t>
  </si>
  <si>
    <t xml:space="preserve">Average MRR per customer (year end)</t>
  </si>
  <si>
    <t xml:space="preserve">Paid marketing spend</t>
  </si>
  <si>
    <t xml:space="preserve">Blended CAC (paid spend ÷ all new customers)</t>
  </si>
  <si>
    <t xml:space="preserve">Customer churn per month</t>
  </si>
  <si>
    <t xml:space="preserve">Customer lifetime value (MRR × margin ÷ churn)</t>
  </si>
  <si>
    <t xml:space="preserve">CAC payback (months of gross profit)</t>
  </si>
  <si>
    <t xml:space="preserve">Net burn per month (year end)</t>
  </si>
  <si>
    <t xml:space="preserve">Cash (year end)</t>
  </si>
  <si>
    <t xml:space="preserve">Runway at year-end burn (months; - = not burning)</t>
  </si>
  <si>
    <t xml:space="preserve">Financial statements summary</t>
  </si>
  <si>
    <t xml:space="preserve">Select detailed year:</t>
  </si>
  <si>
    <t xml:space="preserve">Income statement ($'000) — by year</t>
  </si>
  <si>
    <t xml:space="preserve">Hosting, payment fees &amp; support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</si>
  <si>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</si>
  <si>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</si>
  <si>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</si>
  <si>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</si>
  <si>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</si>
  <si>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</si>
  <si>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</si>
  <si>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</si>
  <si>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</si>
  <si>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</si>
  <si>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</si>
  <si>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</si>
  <si>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</si>
  <si>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</si>
  <si>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</si>
  <si>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</si>
  <si>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</si>
  <si>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</si>
  <si>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Deferred revenue (annual plans, ~6 months unearned)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</si>
  <si>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</si>
  <si>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</si>
  <si>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</si>
  <si>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</si>
  <si>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</si>
  <si>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</si>
  <si>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</si>
  <si>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</si>
  <si>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</si>
  <si>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</si>
  <si>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</si>
  <si>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</si>
  <si>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</si>
  <si>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</si>
  <si>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</si>
  <si>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</si>
  <si>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</si>
  <si>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</si>
  <si>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</si>
  <si>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</si>
  <si>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</si>
  <si>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</si>
  <si>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</si>
  <si>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</si>
  <si>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</si>
  <si>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</si>
  <si>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</si>
  <si>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</si>
  <si>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</si>
  <si>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</si>
  <si>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</si>
  <si>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</si>
  <si>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</si>
  <si>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</si>
  <si>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</si>
  <si>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</si>
  <si>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</si>
  <si>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</si>
  <si>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</si>
  <si>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</si>
  <si>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</si>
  <si>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</si>
  <si>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</si>
  <si>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</si>
  <si>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</si>
  <si>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</si>
  <si>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</si>
  <si>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</si>
  <si>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</si>
  <si>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</si>
  <si>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</si>
  <si>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</si>
  <si>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</si>
  <si>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</si>
  <si>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</si>
  <si>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</si>
  <si>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</si>
  <si>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</si>
  <si>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</si>
  <si>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</si>
  <si>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</si>
  <si>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</si>
  <si>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</si>
  <si>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</si>
  <si>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</si>
  <si>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</si>
  <si>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</si>
  <si>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</si>
  <si>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</si>
  <si>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Business drivers</t>
  </si>
  <si>
    <t xml:space="preserve">Paying customers at start</t>
  </si>
  <si>
    <t xml:space="preserve">#</t>
  </si>
  <si>
    <t xml:space="preserve">Low ≤ Base ≤ High</t>
  </si>
  <si>
    <t xml:space="preserve">Average MRR per new customer (ARPA)</t>
  </si>
  <si>
    <t xml:space="preserve">$ / month</t>
  </si>
  <si>
    <t xml:space="preserve">Price increase per year for new customers</t>
  </si>
  <si>
    <t xml:space="preserve">%</t>
  </si>
  <si>
    <t xml:space="preserve">Low ≥ Base ≥ High (lower is better)</t>
  </si>
  <si>
    <t xml:space="preserve">Expansion MRR per month, % of opening MRR</t>
  </si>
  <si>
    <t xml:space="preserve">Organic / referral new customers per month (year 1)</t>
  </si>
  <si>
    <t xml:space="preserve"># / month</t>
  </si>
  <si>
    <t xml:space="preserve">Growth of organic new customers per year</t>
  </si>
  <si>
    <t xml:space="preserve">Paid marketing budget per month (year 1)</t>
  </si>
  <si>
    <t xml:space="preserve">Paid marketing budget growth per year</t>
  </si>
  <si>
    <t xml:space="preserve">Paid customer acquisition cost (CAC)</t>
  </si>
  <si>
    <t xml:space="preserve">$</t>
  </si>
  <si>
    <t xml:space="preserve">Share of MRR billed annually in advance</t>
  </si>
  <si>
    <t xml:space="preserve">Hosting &amp; payment fees, % of revenue</t>
  </si>
  <si>
    <t xml:space="preserve">Support &amp; onboarding cost per customer per month</t>
  </si>
  <si>
    <t xml:space="preserve">Software &amp; tools per FTE per month</t>
  </si>
  <si>
    <t xml:space="preserve">Office &amp; rent per month</t>
  </si>
  <si>
    <t xml:space="preserve">Other G&amp;A per month (legal, accounting, insurance)</t>
  </si>
  <si>
    <t xml:space="preserve">Start-up capex (equipment)</t>
  </si>
  <si>
    <t xml:space="preserve">Headcount</t>
  </si>
  <si>
    <t xml:space="preserve">Engineering &amp; product: headcount (FTE)</t>
  </si>
  <si>
    <t xml:space="preserve">FTE</t>
  </si>
  <si>
    <t xml:space="preserve">Engineering &amp; product: salary per FTE per year</t>
  </si>
  <si>
    <t xml:space="preserve">Engineering &amp; product: headcount growth per year</t>
  </si>
  <si>
    <t xml:space="preserve">Engineering &amp; product: first month on payroll</t>
  </si>
  <si>
    <t xml:space="preserve">month #</t>
  </si>
  <si>
    <t xml:space="preserve">Sales &amp; marketing: headcount (FTE)</t>
  </si>
  <si>
    <t xml:space="preserve">Sales &amp; marketing: salary per FTE per year</t>
  </si>
  <si>
    <t xml:space="preserve">Sales &amp; marketing: headcount growth per year</t>
  </si>
  <si>
    <t xml:space="preserve">Sales &amp; marketing: first month on payroll</t>
  </si>
  <si>
    <t xml:space="preserve">Customer success: headcount (FTE)</t>
  </si>
  <si>
    <t xml:space="preserve">Customer success: salary per FTE per year</t>
  </si>
  <si>
    <t xml:space="preserve">Customer success: headcount growth per year</t>
  </si>
  <si>
    <t xml:space="preserve">Customer success: first month on payroll</t>
  </si>
  <si>
    <t xml:space="preserve">G&amp;A (finance, ops): headcount (FTE)</t>
  </si>
  <si>
    <t xml:space="preserve">G&amp;A (finance, ops): salary per FTE per year</t>
  </si>
  <si>
    <t xml:space="preserve">G&amp;A (finance, ops): headcount growth per year</t>
  </si>
  <si>
    <t xml:space="preserve">G&amp;A (finance, ops):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</si>
  <si>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</si>
  <si>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</si>
  <si>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</si>
  <si>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</si>
  <si>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</si>
  <si>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</si>
  <si>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</si>
  <si>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</si>
  <si>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</si>
  <si>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</si>
  <si>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</si>
  <si>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</si>
  <si>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</si>
  <si>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</si>
  <si>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</si>
  <si>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</si>
  <si>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</si>
  <si>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</si>
  <si>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</si>
  <si>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</si>
  <si>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</si>
  <si>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</si>
  <si>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</si>
  <si>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</si>
  <si>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</si>
  <si>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</t>
  </si>
  <si>
    <t xml:space="preserve">Paid marketing</t>
  </si>
  <si>
    <t xml:space="preserve">Software &amp; tools</t>
  </si>
  <si>
    <t xml:space="preserve">Office &amp; rent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</si>
  <si>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</si>
  <si>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</si>
  <si>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</si>
  <si>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</si>
  <si>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</si>
  <si>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Increase / (decrease) in deferred revenue (annual plans, ~6 months unearned)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</si>
  <si>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</si>
  <si>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</si>
  <si>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</si>
  <si>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</si>
  <si>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</si>
  <si>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</si>
  <si>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</si>
  <si>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</si>
  <si>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</si>
  <si>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</si>
  <si>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</si>
  <si>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</si>
  <si>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</si>
  <si>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</si>
  <si>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</si>
  <si>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</si>
  <si>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</si>
  <si>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</si>
  <si>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</si>
  <si>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</si>
  <si>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</si>
  <si>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</si>
  <si>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</si>
  <si>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</si>
  <si>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</si>
  <si>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</si>
  <si>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</si>
  <si>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</si>
  <si>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</si>
  <si>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</si>
  <si>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</si>
  <si>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</si>
  <si>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</si>
  <si>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</si>
  <si>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</si>
  <si>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</si>
  <si>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</si>
  <si>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</si>
  <si>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</si>
  <si>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</si>
  <si>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</si>
  <si>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</si>
  <si>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</si>
  <si>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</si>
  <si>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</si>
  <si>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</si>
  <si>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</si>
  <si>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</si>
  <si>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</si>
  <si>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</si>
  <si>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</si>
  <si>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</si>
  <si>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</si>
  <si>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</si>
  <si>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</si>
  <si>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</si>
  <si>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</si>
  <si>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</si>
  <si>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</si>
  <si>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</si>
  <si>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</si>
  <si>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</si>
  <si>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</si>
  <si>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</si>
  <si>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</si>
  <si>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</si>
  <si>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Customers</t>
  </si>
  <si>
    <t xml:space="preserve">New customers — organic / referral</t>
  </si>
  <si>
    <t xml:space="preserve">New customers — paid marketing</t>
  </si>
  <si>
    <t xml:space="preserve">New customers — total</t>
  </si>
  <si>
    <t xml:space="preserve">Customers — opening</t>
  </si>
  <si>
    <t xml:space="preserve">Customers lost (churn)</t>
  </si>
  <si>
    <t xml:space="preserve">Customers — closing</t>
  </si>
  <si>
    <t xml:space="preserve">MRR per new customer</t>
  </si>
  <si>
    <t xml:space="preserve">MRR waterfall</t>
  </si>
  <si>
    <t xml:space="preserve">Opening MRR</t>
  </si>
  <si>
    <t xml:space="preserve">New MRR</t>
  </si>
  <si>
    <t xml:space="preserve">Expansion MRR</t>
  </si>
  <si>
    <t xml:space="preserve">Churned MRR</t>
  </si>
  <si>
    <t xml:space="preserve">Closing MRR</t>
  </si>
  <si>
    <t xml:space="preserve">Revenue &amp; cost of revenue</t>
  </si>
  <si>
    <t xml:space="preserve">Revenue (average MRR × months)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</si>
  <si>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</si>
  <si>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</si>
  <si>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</si>
  <si>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</si>
  <si>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</si>
  <si>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</si>
  <si>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</si>
  <si>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</si>
  <si>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</si>
  <si>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</si>
  <si>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</si>
  <si>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</si>
  <si>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</si>
  <si>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</si>
  <si>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SaaS metric helpers</t>
  </si>
  <si>
    <t xml:space="preserve">Net burn per month (operating + investing; negative = cash generative)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</si>
  <si>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</si>
  <si>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</si>
  <si>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</si>
  <si>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</si>
  <si>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</si>
  <si>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</si>
  <si>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</si>
  <si>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</si>
  <si>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</si>
  <si>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</si>
  <si>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</si>
  <si>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Engineering &amp; product — FTE</t>
  </si>
  <si>
    <t xml:space="preserve">Sales &amp; marketing — FTE</t>
  </si>
  <si>
    <t xml:space="preserve">Customer success — FTE</t>
  </si>
  <si>
    <t xml:space="preserve">G&amp;A (finance, ops) — FTE</t>
  </si>
  <si>
    <t xml:space="preserve">Total FTE</t>
  </si>
  <si>
    <t xml:space="preserve">Payroll cost (salary + taxes &amp; benefits)</t>
  </si>
  <si>
    <t xml:space="preserve">Engineering &amp; product — payroll cost</t>
  </si>
  <si>
    <t xml:space="preserve">Sales &amp; marketing — payroll cost</t>
  </si>
  <si>
    <t xml:space="preserve">Customer success — payroll cost</t>
  </si>
  <si>
    <t xml:space="preserve">G&amp;A (finance, ops)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</si>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</sst>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Year &quot;0"/>
    <numFmt numFmtId="173" formatCode="\$#,##0,;&quot;($&quot;#,##0,\);\-"/>
    <numFmt numFmtId="174" formatCode="#,##0;\(#,##0\);\-"/>
    <numFmt numFmtId="175" formatCode="0.0\x;\(0.0&quot;x)&quot;;\-"/>
    <numFmt numFmtId="176" formatCode="#,##0.0;\(#,##0.0\);\-"/>
    <numFmt numFmtId="177" formatCode="&quot;Month &quot;0"/>
    <numFmt numFmtId="178" formatCode="#,##0.0;\(#,##0.0\);\-"/>
    <numFmt numFmtId="179" formatCode="[&gt;=1000000]\$#,##0.0,,\M;[&gt;=1000]\$#,##0.0,\k;\$#,##0"/>
    <numFmt numFmtId="180" formatCode="0.0%;\(0.0%\);\-"/>
    <numFmt numFmtId="181" formatCode="0.0\x"/>
    <numFmt numFmtId="182" formatCode="\$#,##0.0,,\M"/>
    <numFmt numFmtId="183" formatCode="0%"/>
    <numFmt numFmtId="184" formatCode="\M0"/>
    <numFmt numFmtId="185" formatCode="\$#,##0,\K"/>
    <numFmt numFmtId="186" formatCode="0"/>
    <numFmt numFmtId="187" formatCode="\$#,##0;&quot;($&quot;#,##0\);\-"/>
    <numFmt numFmtId="188" formatCode="0.000"/>
    <numFmt numFmtId="189" formatCode="#,##0;\(#,##0\);\-"/>
    <numFmt numFmtId="190" formatCode="\$#,##0.00;&quot;($&quot;#,##0.00\);\-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sz val="7"/>
      <color rgb="FFA3ABA8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225414.939184555</c:v>
                </c:pt>
                <c:pt idx="1">
                  <c:v>591123.330484019</c:v>
                </c:pt>
                <c:pt idx="2">
                  <c:v>979388.559956597</c:v>
                </c:pt>
                <c:pt idx="3">
                  <c:v>1418382.10030103</c:v>
                </c:pt>
                <c:pt idx="4">
                  <c:v>1939020.94087271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-703396.477000165</c:v>
                </c:pt>
                <c:pt idx="1">
                  <c:v>-820672.963572839</c:v>
                </c:pt>
                <c:pt idx="2">
                  <c:v>-1156452.64650262</c:v>
                </c:pt>
                <c:pt idx="3">
                  <c:v>-1818164.55963553</c:v>
                </c:pt>
                <c:pt idx="4">
                  <c:v>-2984436.0341689</c:v>
                </c:pt>
              </c:numCache>
            </c:numRef>
          </c:val>
        </c:ser>
        <c:gapWidth val="60"/>
        <c:overlap val="0"/>
        <c:axId val="45582854"/>
        <c:axId val="13752917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-3.12045190768953</c:v>
                </c:pt>
                <c:pt idx="1">
                  <c:v>-1.38832781798827</c:v>
                </c:pt>
                <c:pt idx="2">
                  <c:v>-1.18079043781547</c:v>
                </c:pt>
                <c:pt idx="3">
                  <c:v>-1.2818580827054</c:v>
                </c:pt>
                <c:pt idx="4">
                  <c:v>-1.53914584998018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505025"/>
        <c:axId val="30665171"/>
      </c:lineChart>
      <c:catAx>
        <c:axId val="4558285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752917"/>
        <c:crosses val="autoZero"/>
        <c:auto val="1"/>
        <c:lblAlgn val="ctr"/>
        <c:lblOffset val="100"/>
        <c:noMultiLvlLbl val="0"/>
      </c:catAx>
      <c:valAx>
        <c:axId val="1375291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582854"/>
        <c:crosses val="autoZero"/>
        <c:crossBetween val="between"/>
      </c:valAx>
      <c:catAx>
        <c:axId val="150502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665171"/>
        <c:crosses val="autoZero"/>
        <c:auto val="1"/>
        <c:lblAlgn val="ctr"/>
        <c:lblOffset val="100"/>
        <c:noMultiLvlLbl val="0"/>
      </c:catAx>
      <c:valAx>
        <c:axId val="306651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0502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-665196.514236771</c:v>
                </c:pt>
                <c:pt idx="1">
                  <c:v>-785208.41697933</c:v>
                </c:pt>
                <c:pt idx="2">
                  <c:v>-1117614.51512673</c:v>
                </c:pt>
                <c:pt idx="3">
                  <c:v>-1773179.37985021</c:v>
                </c:pt>
                <c:pt idx="4">
                  <c:v>-2930170.65655082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-20000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3000000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60"/>
        <c:overlap val="0"/>
        <c:axId val="5688963"/>
        <c:axId val="28238608"/>
      </c:barChart>
      <c:catAx>
        <c:axId val="568896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238608"/>
        <c:crosses val="autoZero"/>
        <c:auto val="1"/>
        <c:lblAlgn val="ctr"/>
        <c:lblOffset val="100"/>
        <c:noMultiLvlLbl val="0"/>
      </c:catAx>
      <c:valAx>
        <c:axId val="2823860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8896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2314803.48576323</c:v>
                </c:pt>
                <c:pt idx="1">
                  <c:v>1529595.0687839</c:v>
                </c:pt>
                <c:pt idx="2">
                  <c:v>411980.553657166</c:v>
                </c:pt>
                <c:pt idx="3">
                  <c:v>-1361198.82619305</c:v>
                </c:pt>
                <c:pt idx="4">
                  <c:v>-4291369.48274386</c:v>
                </c:pt>
              </c:numCache>
            </c:numRef>
          </c:val>
        </c:ser>
        <c:gapWidth val="60"/>
        <c:overlap val="0"/>
        <c:axId val="40022412"/>
        <c:axId val="94916779"/>
      </c:barChart>
      <c:catAx>
        <c:axId val="4002241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916779"/>
        <c:crosses val="autoZero"/>
        <c:auto val="1"/>
        <c:lblAlgn val="ctr"/>
        <c:lblOffset val="100"/>
        <c:noMultiLvlLbl val="0"/>
      </c:catAx>
      <c:valAx>
        <c:axId val="9491677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0224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ARR &amp; paying customers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Dashboard!$A$29</c:f>
              <c:strCache>
                <c:ptCount val="1"/>
                <c:pt idx="0">
                  <c:v>ARR (year-end MRR × 12)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\$#,##0,;"($"#,##0,\);\-</c:formatCode>
                <c:ptCount val="5"/>
                <c:pt idx="0">
                  <c:v>397045.081766717</c:v>
                </c:pt>
                <c:pt idx="1">
                  <c:v>766645.333771572</c:v>
                </c:pt>
                <c:pt idx="2">
                  <c:v>1171790.94143235</c:v>
                </c:pt>
                <c:pt idx="3">
                  <c:v>1641396.13965726</c:v>
                </c:pt>
                <c:pt idx="4">
                  <c:v>2208189.18452008</c:v>
                </c:pt>
              </c:numCache>
            </c:numRef>
          </c:val>
        </c:ser>
        <c:gapWidth val="60"/>
        <c:overlap val="0"/>
        <c:axId val="18847767"/>
        <c:axId val="28353341"/>
      </c:barChart>
      <c:lineChart>
        <c:grouping val="standard"/>
        <c:varyColors val="0"/>
        <c:ser>
          <c:idx val="1"/>
          <c:order val="1"/>
          <c:tx>
            <c:strRef>
              <c:f>Dashboard!$A$28</c:f>
              <c:strCache>
                <c:ptCount val="1"/>
                <c:pt idx="0">
                  <c:v>Paying customers (year end)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324.705075471428</c:v>
                </c:pt>
                <c:pt idx="1">
                  <c:v>602.208207322359</c:v>
                </c:pt>
                <c:pt idx="2">
                  <c:v>886.054646963686</c:v>
                </c:pt>
                <c:pt idx="3">
                  <c:v>1197.33900371814</c:v>
                </c:pt>
                <c:pt idx="4">
                  <c:v>1556.7377611649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5127004"/>
        <c:axId val="58216236"/>
      </c:lineChart>
      <c:catAx>
        <c:axId val="1884776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353341"/>
        <c:crosses val="autoZero"/>
        <c:auto val="1"/>
        <c:lblAlgn val="ctr"/>
        <c:lblOffset val="100"/>
        <c:noMultiLvlLbl val="0"/>
      </c:catAx>
      <c:valAx>
        <c:axId val="2835334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847767"/>
        <c:crosses val="autoZero"/>
        <c:crossBetween val="between"/>
      </c:valAx>
      <c:catAx>
        <c:axId val="2512700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216236"/>
        <c:crosses val="autoZero"/>
        <c:auto val="1"/>
        <c:lblAlgn val="ctr"/>
        <c:lblOffset val="100"/>
        <c:noMultiLvlLbl val="0"/>
      </c:catAx>
      <c:valAx>
        <c:axId val="58216236"/>
        <c:scaling>
          <c:orientation val="minMax"/>
        </c:scaling>
        <c:delete val="0"/>
        <c:axPos val="r"/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12700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4406.875</c:v>
                </c:pt>
                <c:pt idx="1">
                  <c:v>7244.703125</c:v>
                </c:pt>
                <c:pt idx="2">
                  <c:v>10011.585546875</c:v>
                </c:pt>
                <c:pt idx="3">
                  <c:v>12709.2959082031</c:v>
                </c:pt>
                <c:pt idx="4">
                  <c:v>15339.563510498</c:v>
                </c:pt>
                <c:pt idx="5">
                  <c:v>17904.0744227356</c:v>
                </c:pt>
                <c:pt idx="6">
                  <c:v>20404.4725621672</c:v>
                </c:pt>
                <c:pt idx="7">
                  <c:v>22842.360748113</c:v>
                </c:pt>
                <c:pt idx="8">
                  <c:v>25219.3017294102</c:v>
                </c:pt>
                <c:pt idx="9">
                  <c:v>27536.819186175</c:v>
                </c:pt>
                <c:pt idx="10">
                  <c:v>29796.3987065206</c:v>
                </c:pt>
                <c:pt idx="11">
                  <c:v>31999.4887388576</c:v>
                </c:pt>
              </c:numCache>
            </c:numRef>
          </c:val>
        </c:ser>
        <c:gapWidth val="60"/>
        <c:overlap val="0"/>
        <c:axId val="97448727"/>
        <c:axId val="30324266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-71272.6902777778</c:v>
                </c:pt>
                <c:pt idx="1">
                  <c:v>-68775.5341875</c:v>
                </c:pt>
                <c:pt idx="2">
                  <c:v>-66340.5225533681</c:v>
                </c:pt>
                <c:pt idx="3">
                  <c:v>-63966.1102973616</c:v>
                </c:pt>
                <c:pt idx="4">
                  <c:v>-61650.7907124094</c:v>
                </c:pt>
                <c:pt idx="5">
                  <c:v>-59393.0945107955</c:v>
                </c:pt>
                <c:pt idx="6">
                  <c:v>-57191.5888961248</c:v>
                </c:pt>
                <c:pt idx="7">
                  <c:v>-55044.8766582669</c:v>
                </c:pt>
                <c:pt idx="8">
                  <c:v>-52951.5952907079</c:v>
                </c:pt>
                <c:pt idx="9">
                  <c:v>-50910.4161297599</c:v>
                </c:pt>
                <c:pt idx="10">
                  <c:v>-48920.0435150849</c:v>
                </c:pt>
                <c:pt idx="11">
                  <c:v>-46979.2139710086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-71828.2458333333</c:v>
                </c:pt>
                <c:pt idx="1">
                  <c:v>-69331.0897430556</c:v>
                </c:pt>
                <c:pt idx="2">
                  <c:v>-66896.0781089236</c:v>
                </c:pt>
                <c:pt idx="3">
                  <c:v>-64521.6658529172</c:v>
                </c:pt>
                <c:pt idx="4">
                  <c:v>-62206.346267965</c:v>
                </c:pt>
                <c:pt idx="5">
                  <c:v>-59948.650066351</c:v>
                </c:pt>
                <c:pt idx="6">
                  <c:v>-57747.1444516804</c:v>
                </c:pt>
                <c:pt idx="7">
                  <c:v>-55600.4322138224</c:v>
                </c:pt>
                <c:pt idx="8">
                  <c:v>-53507.1508462635</c:v>
                </c:pt>
                <c:pt idx="9">
                  <c:v>-51465.9716853155</c:v>
                </c:pt>
                <c:pt idx="10">
                  <c:v>-49475.5990706404</c:v>
                </c:pt>
                <c:pt idx="11">
                  <c:v>-47534.7695265641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7448727"/>
        <c:axId val="30324266"/>
      </c:lineChart>
      <c:catAx>
        <c:axId val="9744872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324266"/>
        <c:crosses val="autoZero"/>
        <c:auto val="1"/>
        <c:lblAlgn val="ctr"/>
        <c:lblOffset val="100"/>
        <c:noMultiLvlLbl val="0"/>
      </c:catAx>
      <c:valAx>
        <c:axId val="3032426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4487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-64465.1041666667</c:v>
                </c:pt>
                <c:pt idx="1">
                  <c:v>-65545.5460069444</c:v>
                </c:pt>
                <c:pt idx="2">
                  <c:v>-63191.5685234375</c:v>
                </c:pt>
                <c:pt idx="3">
                  <c:v>-60896.1560309071</c:v>
                </c:pt>
                <c:pt idx="4">
                  <c:v>-58657.8529379622</c:v>
                </c:pt>
                <c:pt idx="5">
                  <c:v>-56475.239786995</c:v>
                </c:pt>
                <c:pt idx="6">
                  <c:v>-54346.9323585164</c:v>
                </c:pt>
                <c:pt idx="7">
                  <c:v>-52271.5807976527</c:v>
                </c:pt>
                <c:pt idx="8">
                  <c:v>-50247.8687622566</c:v>
                </c:pt>
                <c:pt idx="9">
                  <c:v>-48274.5125920979</c:v>
                </c:pt>
                <c:pt idx="10">
                  <c:v>-46350.2604986151</c:v>
                </c:pt>
                <c:pt idx="11">
                  <c:v>-44473.8917747187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-20000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3000000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overlap val="0"/>
        <c:axId val="73566830"/>
        <c:axId val="94084109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2915534.89583333</c:v>
                </c:pt>
                <c:pt idx="1">
                  <c:v>2849989.34982639</c:v>
                </c:pt>
                <c:pt idx="2">
                  <c:v>2786797.78130295</c:v>
                </c:pt>
                <c:pt idx="3">
                  <c:v>2725901.62527204</c:v>
                </c:pt>
                <c:pt idx="4">
                  <c:v>2667243.77233408</c:v>
                </c:pt>
                <c:pt idx="5">
                  <c:v>2610768.53254709</c:v>
                </c:pt>
                <c:pt idx="6">
                  <c:v>2556421.60018857</c:v>
                </c:pt>
                <c:pt idx="7">
                  <c:v>2504150.01939092</c:v>
                </c:pt>
                <c:pt idx="8">
                  <c:v>2453902.15062866</c:v>
                </c:pt>
                <c:pt idx="9">
                  <c:v>2405627.63803656</c:v>
                </c:pt>
                <c:pt idx="10">
                  <c:v>2359277.37753795</c:v>
                </c:pt>
                <c:pt idx="11">
                  <c:v>2314803.48576323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819775"/>
        <c:axId val="20004147"/>
      </c:lineChart>
      <c:catAx>
        <c:axId val="7356683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084109"/>
        <c:crosses val="autoZero"/>
        <c:auto val="1"/>
        <c:lblAlgn val="ctr"/>
        <c:lblOffset val="100"/>
        <c:noMultiLvlLbl val="0"/>
      </c:catAx>
      <c:valAx>
        <c:axId val="9408410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566830"/>
        <c:crosses val="autoZero"/>
        <c:crossBetween val="between"/>
      </c:valAx>
      <c:catAx>
        <c:axId val="75819775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004147"/>
        <c:crosses val="autoZero"/>
        <c:auto val="1"/>
        <c:lblAlgn val="ctr"/>
        <c:lblOffset val="100"/>
        <c:noMultiLvlLbl val="0"/>
      </c:catAx>
      <c:valAx>
        <c:axId val="20004147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81977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2915534.89583333</c:v>
                </c:pt>
                <c:pt idx="1">
                  <c:v>2849989.34982639</c:v>
                </c:pt>
                <c:pt idx="2">
                  <c:v>2786797.78130295</c:v>
                </c:pt>
                <c:pt idx="3">
                  <c:v>2725901.62527204</c:v>
                </c:pt>
                <c:pt idx="4">
                  <c:v>2667243.77233408</c:v>
                </c:pt>
                <c:pt idx="5">
                  <c:v>2610768.53254709</c:v>
                </c:pt>
                <c:pt idx="6">
                  <c:v>2556421.60018857</c:v>
                </c:pt>
                <c:pt idx="7">
                  <c:v>2504150.01939092</c:v>
                </c:pt>
                <c:pt idx="8">
                  <c:v>2453902.15062866</c:v>
                </c:pt>
                <c:pt idx="9">
                  <c:v>2405627.63803656</c:v>
                </c:pt>
                <c:pt idx="10">
                  <c:v>2359277.37753795</c:v>
                </c:pt>
                <c:pt idx="11">
                  <c:v>2314803.48576323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734.479166666667</c:v>
                </c:pt>
                <c:pt idx="1">
                  <c:v>1207.45052083333</c:v>
                </c:pt>
                <c:pt idx="2">
                  <c:v>1668.59759114583</c:v>
                </c:pt>
                <c:pt idx="3">
                  <c:v>2118.21598470052</c:v>
                </c:pt>
                <c:pt idx="4">
                  <c:v>2556.59391841634</c:v>
                </c:pt>
                <c:pt idx="5">
                  <c:v>2984.01240378927</c:v>
                </c:pt>
                <c:pt idx="6">
                  <c:v>3400.74542702787</c:v>
                </c:pt>
                <c:pt idx="7">
                  <c:v>3807.06012468551</c:v>
                </c:pt>
                <c:pt idx="8">
                  <c:v>4203.2169549017</c:v>
                </c:pt>
                <c:pt idx="9">
                  <c:v>4589.46986436249</c:v>
                </c:pt>
                <c:pt idx="10">
                  <c:v>4966.06645108676</c:v>
                </c:pt>
                <c:pt idx="11">
                  <c:v>5333.24812314293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19444.4444444444</c:v>
                </c:pt>
                <c:pt idx="1">
                  <c:v>18888.8888888889</c:v>
                </c:pt>
                <c:pt idx="2">
                  <c:v>18333.3333333333</c:v>
                </c:pt>
                <c:pt idx="3">
                  <c:v>17777.7777777778</c:v>
                </c:pt>
                <c:pt idx="4">
                  <c:v>17222.2222222222</c:v>
                </c:pt>
                <c:pt idx="5">
                  <c:v>16666.6666666667</c:v>
                </c:pt>
                <c:pt idx="6">
                  <c:v>16111.1111111111</c:v>
                </c:pt>
                <c:pt idx="7">
                  <c:v>15555.5555555556</c:v>
                </c:pt>
                <c:pt idx="8">
                  <c:v>15000</c:v>
                </c:pt>
                <c:pt idx="9">
                  <c:v>14444.4444444444</c:v>
                </c:pt>
                <c:pt idx="10">
                  <c:v>13888.8888888889</c:v>
                </c:pt>
                <c:pt idx="11">
                  <c:v>13333.3333333333</c:v>
                </c:pt>
              </c:numCache>
            </c:numRef>
          </c:val>
        </c:ser>
        <c:gapWidth val="60"/>
        <c:overlap val="100"/>
        <c:axId val="55759637"/>
        <c:axId val="4921788"/>
      </c:barChart>
      <c:lineChart>
        <c:grouping val="stacked"/>
        <c:varyColors val="0"/>
        <c:ser>
          <c:idx val="3"/>
          <c:order val="3"/>
          <c:tx>
            <c:strRef>
              <c:f>Summary!$A$52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Summary!$H$52:$S$52</c:f>
              <c:numCache>
                <c:formatCode>\$#,##0,;"($"#,##0,\);\-</c:formatCode>
                <c:ptCount val="12"/>
                <c:pt idx="0">
                  <c:v>2928171.75416667</c:v>
                </c:pt>
                <c:pt idx="1">
                  <c:v>2858840.66442361</c:v>
                </c:pt>
                <c:pt idx="2">
                  <c:v>2791944.58631469</c:v>
                </c:pt>
                <c:pt idx="3">
                  <c:v>2727422.92046177</c:v>
                </c:pt>
                <c:pt idx="4">
                  <c:v>2665216.57419381</c:v>
                </c:pt>
                <c:pt idx="5">
                  <c:v>2605267.92412745</c:v>
                </c:pt>
                <c:pt idx="6">
                  <c:v>2547520.77967577</c:v>
                </c:pt>
                <c:pt idx="7">
                  <c:v>2491920.34746195</c:v>
                </c:pt>
                <c:pt idx="8">
                  <c:v>2438413.19661569</c:v>
                </c:pt>
                <c:pt idx="9">
                  <c:v>2386947.22493037</c:v>
                </c:pt>
                <c:pt idx="10">
                  <c:v>2337471.62585973</c:v>
                </c:pt>
                <c:pt idx="11">
                  <c:v>2289936.85633317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5759637"/>
        <c:axId val="4921788"/>
      </c:lineChart>
      <c:catAx>
        <c:axId val="5575963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21788"/>
        <c:crosses val="autoZero"/>
        <c:auto val="1"/>
        <c:lblAlgn val="ctr"/>
        <c:lblOffset val="100"/>
        <c:noMultiLvlLbl val="0"/>
      </c:catAx>
      <c:valAx>
        <c:axId val="492178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7596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Checks!B22</f>
        <v>PASS WITH WARNINGS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C16" s="8" t="s">
        <v>14</v>
      </c>
    </row>
    <row r="17" customFormat="false" ht="15" hidden="false" customHeight="false" outlineLevel="0" collapsed="false">
      <c r="B17" s="9" t="n">
        <v>5</v>
      </c>
      <c r="C17" s="10" t="str">
        <f aca="false">HYPERLINK("#Inputs!A1","Inputs")</f>
        <v>Inputs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6</v>
      </c>
      <c r="C19" s="10" t="str">
        <f aca="false">HYPERLINK("#'P&amp;L'!A1","P&amp;L")</f>
        <v>P&amp;L</v>
      </c>
      <c r="D19" s="11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HYPERLINK("#'Cash Flow'!A1","Cash Flow")</f>
        <v>Cash Flow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HYPERLINK("#'Balance Sheet'!A1","Balance Sheet")</f>
        <v>Balance Sheet</v>
      </c>
      <c r="D21" s="11" t="s">
        <v>19</v>
      </c>
    </row>
    <row r="22" customFormat="false" ht="15" hidden="false" customHeight="false" outlineLevel="0" collapsed="false">
      <c r="C22" s="8" t="s">
        <v>20</v>
      </c>
    </row>
    <row r="23" customFormat="false" ht="15" hidden="false" customHeight="false" outlineLevel="0" collapsed="false">
      <c r="B23" s="9" t="n">
        <v>9</v>
      </c>
      <c r="C23" s="10" t="str">
        <f aca="false">HYPERLINK("#Monthly!A1","Monthly")</f>
        <v>Monthly</v>
      </c>
      <c r="D23" s="11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HYPERLINK("#Headcount!A1","Headcount")</f>
        <v>Headcount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11</v>
      </c>
      <c r="C26" s="10" t="str">
        <f aca="false">HYPERLINK("#Checks!A1","Checks")</f>
        <v>Checks</v>
      </c>
      <c r="D26" s="11" t="s">
        <v>24</v>
      </c>
    </row>
    <row r="28" customFormat="false" ht="15" hidden="false" customHeight="false" outlineLevel="0" collapsed="false">
      <c r="B28" s="3" t="s">
        <v>25</v>
      </c>
    </row>
    <row r="29" customFormat="false" ht="15" hidden="false" customHeight="false" outlineLevel="0" collapsed="false">
      <c r="C29" s="12" t="n">
        <v>1000</v>
      </c>
      <c r="D29" s="6" t="s">
        <v>26</v>
      </c>
    </row>
    <row r="30" customFormat="false" ht="15" hidden="false" customHeight="false" outlineLevel="0" collapsed="false">
      <c r="C30" s="13" t="n">
        <v>1000</v>
      </c>
      <c r="D30" s="6" t="s">
        <v>27</v>
      </c>
    </row>
    <row r="31" customFormat="false" ht="15" hidden="false" customHeight="false" outlineLevel="0" collapsed="false">
      <c r="C31" s="14" t="n">
        <v>1000</v>
      </c>
      <c r="D31" s="6" t="s">
        <v>28</v>
      </c>
    </row>
    <row r="32" customFormat="false" ht="15" hidden="false" customHeight="false" outlineLevel="0" collapsed="false">
      <c r="C32" s="15" t="n">
        <v>1000</v>
      </c>
      <c r="D32" s="6" t="s">
        <v>29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30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31</v>
      </c>
      <c r="S4" s="22" t="s">
        <v>5</v>
      </c>
      <c r="T4" s="23" t="str">
        <f aca="false">Checks!B22</f>
        <v>PASS WITH WARNINGS</v>
      </c>
      <c r="U4" s="23"/>
      <c r="V4" s="23"/>
      <c r="W4" s="23"/>
    </row>
    <row r="6" customFormat="false" ht="15.75" hidden="false" customHeight="true" outlineLevel="0" collapsed="false">
      <c r="A6" s="24" t="s">
        <v>32</v>
      </c>
      <c r="B6" s="24"/>
      <c r="C6" s="24" t="s">
        <v>33</v>
      </c>
      <c r="D6" s="24"/>
      <c r="E6" s="24"/>
      <c r="F6" s="24"/>
      <c r="H6" s="24" t="s">
        <v>34</v>
      </c>
      <c r="I6" s="24"/>
      <c r="J6" s="24"/>
      <c r="K6" s="24"/>
      <c r="L6" s="24" t="s">
        <v>35</v>
      </c>
      <c r="M6" s="24"/>
      <c r="N6" s="24"/>
      <c r="O6" s="24"/>
      <c r="P6" s="24" t="s">
        <v>36</v>
      </c>
      <c r="Q6" s="24"/>
      <c r="R6" s="24"/>
      <c r="S6" s="24"/>
      <c r="T6" s="24" t="s">
        <v>37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1939020.94087271</v>
      </c>
      <c r="B7" s="25"/>
      <c r="C7" s="26" t="n">
        <f aca="false">F17</f>
        <v>-1.53914584998018</v>
      </c>
      <c r="D7" s="26"/>
      <c r="E7" s="26"/>
      <c r="F7" s="26"/>
      <c r="H7" s="25" t="n">
        <f aca="false">F18</f>
        <v>-2984436.0341689</v>
      </c>
      <c r="I7" s="25"/>
      <c r="J7" s="25"/>
      <c r="K7" s="25"/>
      <c r="L7" s="25" t="n">
        <f aca="false">F38</f>
        <v>-4291369.48274386</v>
      </c>
      <c r="M7" s="25"/>
      <c r="N7" s="25"/>
      <c r="O7" s="25"/>
      <c r="P7" s="25" t="n">
        <f aca="false">F36</f>
        <v>7516369.48274386</v>
      </c>
      <c r="Q7" s="25"/>
      <c r="R7" s="25"/>
      <c r="S7" s="25"/>
      <c r="T7" s="25" t="n">
        <f aca="false">F43</f>
        <v>-9830787.7286908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0.712576384530188</v>
      </c>
      <c r="B8" s="27"/>
      <c r="C8" s="28" t="n">
        <f aca="false">F16</f>
        <v>-2984436.0341689</v>
      </c>
      <c r="D8" s="28"/>
      <c r="E8" s="28"/>
      <c r="F8" s="28"/>
      <c r="H8" s="29" t="n">
        <f aca="false">F19</f>
        <v>-1.53914584998018</v>
      </c>
      <c r="I8" s="29"/>
      <c r="J8" s="29"/>
      <c r="K8" s="29"/>
      <c r="L8" s="30" t="n">
        <f aca="false">'Break-even'!B6</f>
        <v>60</v>
      </c>
      <c r="M8" s="30"/>
      <c r="N8" s="30"/>
      <c r="O8" s="30"/>
      <c r="P8" s="31" t="str">
        <f aca="false">IF(F37&gt;=0,"Covered by funding raised","Shortfall $"&amp;TEXT(-F37/1000000,"0.0")&amp;"M")</f>
        <v>Shortfall $4.5M</v>
      </c>
      <c r="Q8" s="31"/>
      <c r="R8" s="31"/>
      <c r="S8" s="31"/>
      <c r="T8" s="31" t="s">
        <v>38</v>
      </c>
      <c r="U8" s="31"/>
      <c r="V8" s="31"/>
      <c r="W8" s="31"/>
    </row>
    <row r="10" customFormat="false" ht="15.75" hidden="false" customHeight="true" outlineLevel="0" collapsed="false">
      <c r="A10" s="7" t="s">
        <v>39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2"/>
      <c r="B11" s="33" t="n">
        <v>1</v>
      </c>
      <c r="C11" s="33" t="n">
        <v>2</v>
      </c>
      <c r="D11" s="33" t="n">
        <v>3</v>
      </c>
      <c r="E11" s="33" t="n">
        <v>4</v>
      </c>
      <c r="F11" s="33" t="n">
        <v>5</v>
      </c>
    </row>
    <row r="12" customFormat="false" ht="15" hidden="false" customHeight="false" outlineLevel="0" collapsed="false">
      <c r="A12" s="6" t="s">
        <v>40</v>
      </c>
      <c r="B12" s="34" t="n">
        <f aca="false">SUMIF(Monthly!$C$5:$BJ$5,B$11,Monthly!$C$24:$BJ$24)</f>
        <v>225414.939184555</v>
      </c>
      <c r="C12" s="34" t="n">
        <f aca="false">SUMIF(Monthly!$C$5:$BJ$5,C$11,Monthly!$C$24:$BJ$24)</f>
        <v>591123.330484019</v>
      </c>
      <c r="D12" s="34" t="n">
        <f aca="false">SUMIF(Monthly!$C$5:$BJ$5,D$11,Monthly!$C$24:$BJ$24)</f>
        <v>979388.559956597</v>
      </c>
      <c r="E12" s="34" t="n">
        <f aca="false">SUMIF(Monthly!$C$5:$BJ$5,E$11,Monthly!$C$24:$BJ$24)</f>
        <v>1418382.10030103</v>
      </c>
      <c r="F12" s="34" t="n">
        <f aca="false">SUMIF(Monthly!$C$5:$BJ$5,F$11,Monthly!$C$24:$BJ$24)</f>
        <v>1939020.94087271</v>
      </c>
    </row>
    <row r="13" customFormat="false" ht="15" hidden="false" customHeight="false" outlineLevel="0" collapsed="false">
      <c r="A13" s="35" t="s">
        <v>41</v>
      </c>
      <c r="B13" s="36" t="n">
        <f aca="false">SUMIF(Monthly!$C$5:$BJ$5,B$11,Monthly!$C$26:$BJ$26)</f>
        <v>198403.522999835</v>
      </c>
      <c r="C13" s="36" t="n">
        <f aca="false">SUMIF(Monthly!$C$5:$BJ$5,C$11,Monthly!$C$26:$BJ$26)</f>
        <v>520687.036427161</v>
      </c>
      <c r="D13" s="36" t="n">
        <f aca="false">SUMIF(Monthly!$C$5:$BJ$5,D$11,Monthly!$C$26:$BJ$26)</f>
        <v>863384.953497385</v>
      </c>
      <c r="E13" s="36" t="n">
        <f aca="false">SUMIF(Monthly!$C$5:$BJ$5,E$11,Monthly!$C$26:$BJ$26)</f>
        <v>1251317.69636447</v>
      </c>
      <c r="F13" s="36" t="n">
        <f aca="false">SUMIF(Monthly!$C$5:$BJ$5,F$11,Monthly!$C$26:$BJ$26)</f>
        <v>1711809.6051911</v>
      </c>
    </row>
    <row r="14" customFormat="false" ht="15" hidden="false" customHeight="false" outlineLevel="0" collapsed="false">
      <c r="A14" s="37" t="s">
        <v>42</v>
      </c>
      <c r="B14" s="38" t="n">
        <f aca="false">IF(B12=0,0,B13/B12)</f>
        <v>0.880170248332097</v>
      </c>
      <c r="C14" s="38" t="n">
        <f aca="false">IF(C12=0,0,C13/C12)</f>
        <v>0.880843319110441</v>
      </c>
      <c r="D14" s="38" t="n">
        <f aca="false">IF(D12=0,0,D13/D12)</f>
        <v>0.881555073030102</v>
      </c>
      <c r="E14" s="38" t="n">
        <f aca="false">IF(E12=0,0,E13/E12)</f>
        <v>0.882214810874232</v>
      </c>
      <c r="F14" s="38" t="n">
        <f aca="false">IF(F12=0,0,F13/F12)</f>
        <v>0.882821618430104</v>
      </c>
    </row>
    <row r="15" customFormat="false" ht="15" hidden="false" customHeight="false" outlineLevel="0" collapsed="false">
      <c r="A15" s="6" t="s">
        <v>43</v>
      </c>
      <c r="B15" s="34" t="n">
        <f aca="false">SUMIF(Monthly!$C$5:$BJ$5,B$11,Monthly!$C$34:$BJ$34)</f>
        <v>-901800</v>
      </c>
      <c r="C15" s="34" t="n">
        <f aca="false">SUMIF(Monthly!$C$5:$BJ$5,C$11,Monthly!$C$34:$BJ$34)</f>
        <v>-1341360</v>
      </c>
      <c r="D15" s="34" t="n">
        <f aca="false">SUMIF(Monthly!$C$5:$BJ$5,D$11,Monthly!$C$34:$BJ$34)</f>
        <v>-2019837.6</v>
      </c>
      <c r="E15" s="34" t="n">
        <f aca="false">SUMIF(Monthly!$C$5:$BJ$5,E$11,Monthly!$C$34:$BJ$34)</f>
        <v>-3069482.256</v>
      </c>
      <c r="F15" s="34" t="n">
        <f aca="false">SUMIF(Monthly!$C$5:$BJ$5,F$11,Monthly!$C$34:$BJ$34)</f>
        <v>-4696245.63936</v>
      </c>
    </row>
    <row r="16" customFormat="false" ht="15" hidden="false" customHeight="false" outlineLevel="0" collapsed="false">
      <c r="A16" s="35" t="s">
        <v>44</v>
      </c>
      <c r="B16" s="36" t="n">
        <f aca="false">SUMIF(Monthly!$C$5:$BJ$5,B$11,Monthly!$C$35:$BJ$35)</f>
        <v>-703396.477000165</v>
      </c>
      <c r="C16" s="36" t="n">
        <f aca="false">SUMIF(Monthly!$C$5:$BJ$5,C$11,Monthly!$C$35:$BJ$35)</f>
        <v>-820672.963572839</v>
      </c>
      <c r="D16" s="36" t="n">
        <f aca="false">SUMIF(Monthly!$C$5:$BJ$5,D$11,Monthly!$C$35:$BJ$35)</f>
        <v>-1156452.64650262</v>
      </c>
      <c r="E16" s="36" t="n">
        <f aca="false">SUMIF(Monthly!$C$5:$BJ$5,E$11,Monthly!$C$35:$BJ$35)</f>
        <v>-1818164.55963553</v>
      </c>
      <c r="F16" s="36" t="n">
        <f aca="false">SUMIF(Monthly!$C$5:$BJ$5,F$11,Monthly!$C$35:$BJ$35)</f>
        <v>-2984436.0341689</v>
      </c>
    </row>
    <row r="17" customFormat="false" ht="15" hidden="false" customHeight="false" outlineLevel="0" collapsed="false">
      <c r="A17" s="37" t="s">
        <v>45</v>
      </c>
      <c r="B17" s="38" t="n">
        <f aca="false">IF(B12=0,0,B16/B12)</f>
        <v>-3.12045190768953</v>
      </c>
      <c r="C17" s="38" t="n">
        <f aca="false">IF(C12=0,0,C16/C12)</f>
        <v>-1.38832781798827</v>
      </c>
      <c r="D17" s="38" t="n">
        <f aca="false">IF(D12=0,0,D16/D12)</f>
        <v>-1.18079043781547</v>
      </c>
      <c r="E17" s="38" t="n">
        <f aca="false">IF(E12=0,0,E16/E12)</f>
        <v>-1.2818580827054</v>
      </c>
      <c r="F17" s="38" t="n">
        <f aca="false">IF(F12=0,0,F16/F12)</f>
        <v>-1.53914584998018</v>
      </c>
    </row>
    <row r="18" customFormat="false" ht="15" hidden="false" customHeight="false" outlineLevel="0" collapsed="false">
      <c r="A18" s="39" t="s">
        <v>46</v>
      </c>
      <c r="B18" s="40" t="n">
        <f aca="false">SUMIF(Monthly!$C$5:$BJ$5,B$11,Monthly!$C$44:$BJ$44)</f>
        <v>-710063.143666832</v>
      </c>
      <c r="C18" s="40" t="n">
        <f aca="false">SUMIF(Monthly!$C$5:$BJ$5,C$11,Monthly!$C$44:$BJ$44)</f>
        <v>-827339.630239505</v>
      </c>
      <c r="D18" s="40" t="n">
        <f aca="false">SUMIF(Monthly!$C$5:$BJ$5,D$11,Monthly!$C$44:$BJ$44)</f>
        <v>-1163119.31316928</v>
      </c>
      <c r="E18" s="40" t="n">
        <f aca="false">SUMIF(Monthly!$C$5:$BJ$5,E$11,Monthly!$C$44:$BJ$44)</f>
        <v>-1818164.55963553</v>
      </c>
      <c r="F18" s="40" t="n">
        <f aca="false">SUMIF(Monthly!$C$5:$BJ$5,F$11,Monthly!$C$44:$BJ$44)</f>
        <v>-2984436.0341689</v>
      </c>
    </row>
    <row r="19" customFormat="false" ht="15" hidden="false" customHeight="false" outlineLevel="0" collapsed="false">
      <c r="A19" s="37" t="s">
        <v>47</v>
      </c>
      <c r="B19" s="38" t="n">
        <f aca="false">IF(B12=0,0,B18/B12)</f>
        <v>-3.15002699570625</v>
      </c>
      <c r="C19" s="38" t="n">
        <f aca="false">IF(C12=0,0,C18/C12)</f>
        <v>-1.39960578034041</v>
      </c>
      <c r="D19" s="38" t="n">
        <f aca="false">IF(D12=0,0,D18/D12)</f>
        <v>-1.18759740589662</v>
      </c>
      <c r="E19" s="38" t="n">
        <f aca="false">IF(E12=0,0,E18/E12)</f>
        <v>-1.2818580827054</v>
      </c>
      <c r="F19" s="38" t="n">
        <f aca="false">IF(F12=0,0,F18/F12)</f>
        <v>-1.53914584998018</v>
      </c>
    </row>
    <row r="20" customFormat="false" ht="15" hidden="false" customHeight="false" outlineLevel="0" collapsed="false">
      <c r="A20" s="6" t="s">
        <v>48</v>
      </c>
      <c r="B20" s="34" t="n">
        <f aca="false">SUMIF(Monthly!$C$5:$BJ$5,B$11,Monthly!$C$70:$BJ$70)</f>
        <v>-665196.514236771</v>
      </c>
      <c r="C20" s="34" t="n">
        <f aca="false">SUMIF(Monthly!$C$5:$BJ$5,C$11,Monthly!$C$70:$BJ$70)</f>
        <v>-785208.41697933</v>
      </c>
      <c r="D20" s="34" t="n">
        <f aca="false">SUMIF(Monthly!$C$5:$BJ$5,D$11,Monthly!$C$70:$BJ$70)</f>
        <v>-1117614.51512673</v>
      </c>
      <c r="E20" s="34" t="n">
        <f aca="false">SUMIF(Monthly!$C$5:$BJ$5,E$11,Monthly!$C$70:$BJ$70)</f>
        <v>-1773179.37985021</v>
      </c>
      <c r="F20" s="34" t="n">
        <f aca="false">SUMIF(Monthly!$C$5:$BJ$5,F$11,Monthly!$C$70:$BJ$70)</f>
        <v>-2930170.65655082</v>
      </c>
    </row>
    <row r="21" customFormat="false" ht="15" hidden="false" customHeight="false" outlineLevel="0" collapsed="false">
      <c r="A21" s="6" t="s">
        <v>49</v>
      </c>
      <c r="B21" s="34" t="n">
        <f aca="false">SUMIF(Monthly!$C$5:$BJ$5,B$11,Monthly!$C$71:$BJ$71)</f>
        <v>-20000</v>
      </c>
      <c r="C21" s="34" t="n">
        <f aca="false">SUMIF(Monthly!$C$5:$BJ$5,C$11,Monthly!$C$71:$BJ$71)</f>
        <v>0</v>
      </c>
      <c r="D21" s="34" t="n">
        <f aca="false">SUMIF(Monthly!$C$5:$BJ$5,D$11,Monthly!$C$71:$BJ$71)</f>
        <v>0</v>
      </c>
      <c r="E21" s="34" t="n">
        <f aca="false">SUMIF(Monthly!$C$5:$BJ$5,E$11,Monthly!$C$71:$BJ$71)</f>
        <v>0</v>
      </c>
      <c r="F21" s="34" t="n">
        <f aca="false">SUMIF(Monthly!$C$5:$BJ$5,F$11,Monthly!$C$71:$BJ$71)</f>
        <v>0</v>
      </c>
    </row>
    <row r="22" customFormat="false" ht="15" hidden="false" customHeight="false" outlineLevel="0" collapsed="false">
      <c r="A22" s="6" t="s">
        <v>50</v>
      </c>
      <c r="B22" s="34" t="n">
        <f aca="false">SUMIF(Monthly!$C$5:$BJ$5,B$11,Monthly!$C$73:$BJ$73)</f>
        <v>3000000</v>
      </c>
      <c r="C22" s="34" t="n">
        <f aca="false">SUMIF(Monthly!$C$5:$BJ$5,C$11,Monthly!$C$73:$BJ$73)</f>
        <v>0</v>
      </c>
      <c r="D22" s="34" t="n">
        <f aca="false">SUMIF(Monthly!$C$5:$BJ$5,D$11,Monthly!$C$73:$BJ$73)</f>
        <v>0</v>
      </c>
      <c r="E22" s="34" t="n">
        <f aca="false">SUMIF(Monthly!$C$5:$BJ$5,E$11,Monthly!$C$73:$BJ$73)</f>
        <v>0</v>
      </c>
      <c r="F22" s="34" t="n">
        <f aca="false">SUMIF(Monthly!$C$5:$BJ$5,F$11,Monthly!$C$73:$BJ$73)</f>
        <v>0</v>
      </c>
    </row>
    <row r="23" customFormat="false" ht="15" hidden="false" customHeight="false" outlineLevel="0" collapsed="false">
      <c r="A23" s="35" t="s">
        <v>51</v>
      </c>
      <c r="B23" s="36" t="n">
        <f aca="false">SUMIF(Monthly!$C$5:$BJ$5,B$11,Monthly!$C$74:$BJ$74)</f>
        <v>2314803.48576323</v>
      </c>
      <c r="C23" s="36" t="n">
        <f aca="false">SUMIF(Monthly!$C$5:$BJ$5,C$11,Monthly!$C$74:$BJ$74)</f>
        <v>-785208.41697933</v>
      </c>
      <c r="D23" s="36" t="n">
        <f aca="false">SUMIF(Monthly!$C$5:$BJ$5,D$11,Monthly!$C$74:$BJ$74)</f>
        <v>-1117614.51512673</v>
      </c>
      <c r="E23" s="36" t="n">
        <f aca="false">SUMIF(Monthly!$C$5:$BJ$5,E$11,Monthly!$C$74:$BJ$74)</f>
        <v>-1773179.37985021</v>
      </c>
      <c r="F23" s="36" t="n">
        <f aca="false">SUMIF(Monthly!$C$5:$BJ$5,F$11,Monthly!$C$74:$BJ$74)</f>
        <v>-2930170.65655082</v>
      </c>
    </row>
    <row r="24" customFormat="false" ht="15" hidden="false" customHeight="false" outlineLevel="0" collapsed="false">
      <c r="A24" s="39" t="s">
        <v>52</v>
      </c>
      <c r="B24" s="40" t="n">
        <f aca="false">INDEX(Monthly!$C$76:$BJ$76,B$11*12)</f>
        <v>2314803.48576323</v>
      </c>
      <c r="C24" s="40" t="n">
        <f aca="false">INDEX(Monthly!$C$76:$BJ$76,C$11*12)</f>
        <v>1529595.0687839</v>
      </c>
      <c r="D24" s="40" t="n">
        <f aca="false">INDEX(Monthly!$C$76:$BJ$76,D$11*12)</f>
        <v>411980.553657166</v>
      </c>
      <c r="E24" s="40" t="n">
        <f aca="false">INDEX(Monthly!$C$76:$BJ$76,E$11*12)</f>
        <v>-1361198.82619305</v>
      </c>
      <c r="F24" s="40" t="n">
        <f aca="false">INDEX(Monthly!$C$76:$BJ$76,F$11*12)</f>
        <v>-4291369.48274386</v>
      </c>
    </row>
    <row r="26" customFormat="false" ht="15.75" hidden="false" customHeight="true" outlineLevel="0" collapsed="false">
      <c r="A26" s="7" t="s">
        <v>53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2"/>
      <c r="B27" s="33" t="n">
        <v>1</v>
      </c>
      <c r="C27" s="33" t="n">
        <v>2</v>
      </c>
      <c r="D27" s="33" t="n">
        <v>3</v>
      </c>
      <c r="E27" s="33" t="n">
        <v>4</v>
      </c>
      <c r="F27" s="33" t="n">
        <v>5</v>
      </c>
    </row>
    <row r="28" customFormat="false" ht="15" hidden="false" customHeight="false" outlineLevel="0" collapsed="false">
      <c r="A28" s="6" t="s">
        <v>54</v>
      </c>
      <c r="B28" s="41" t="n">
        <f aca="false">B49</f>
        <v>324.705075471428</v>
      </c>
      <c r="C28" s="41" t="n">
        <f aca="false">C49</f>
        <v>602.208207322359</v>
      </c>
      <c r="D28" s="41" t="n">
        <f aca="false">D49</f>
        <v>886.054646963686</v>
      </c>
      <c r="E28" s="41" t="n">
        <f aca="false">E49</f>
        <v>1197.33900371814</v>
      </c>
      <c r="F28" s="41" t="n">
        <f aca="false">F49</f>
        <v>1556.7377611649</v>
      </c>
    </row>
    <row r="29" customFormat="false" ht="15" hidden="false" customHeight="false" outlineLevel="0" collapsed="false">
      <c r="A29" s="6" t="s">
        <v>55</v>
      </c>
      <c r="B29" s="34" t="n">
        <f aca="false">B53</f>
        <v>397045.081766717</v>
      </c>
      <c r="C29" s="34" t="n">
        <f aca="false">C53</f>
        <v>766645.333771572</v>
      </c>
      <c r="D29" s="34" t="n">
        <f aca="false">D53</f>
        <v>1171790.94143235</v>
      </c>
      <c r="E29" s="34" t="n">
        <f aca="false">E53</f>
        <v>1641396.13965726</v>
      </c>
      <c r="F29" s="34" t="n">
        <f aca="false">F53</f>
        <v>2208189.18452008</v>
      </c>
    </row>
    <row r="30" customFormat="false" ht="15" hidden="false" customHeight="false" outlineLevel="0" collapsed="false">
      <c r="A30" s="6" t="s">
        <v>56</v>
      </c>
      <c r="B30" s="42" t="n">
        <f aca="false">B62</f>
        <v>11.1280027628016</v>
      </c>
      <c r="C30" s="42" t="n">
        <f aca="false">C62</f>
        <v>11.9837092380201</v>
      </c>
      <c r="D30" s="42" t="n">
        <f aca="false">D62</f>
        <v>12.8975585213057</v>
      </c>
      <c r="E30" s="42" t="n">
        <f aca="false">E62</f>
        <v>13.8723102719874</v>
      </c>
      <c r="F30" s="42" t="n">
        <f aca="false">F62</f>
        <v>14.9167109114323</v>
      </c>
    </row>
    <row r="31" customFormat="false" ht="15" hidden="false" customHeight="false" outlineLevel="0" collapsed="false">
      <c r="A31" s="6" t="s">
        <v>57</v>
      </c>
      <c r="B31" s="43" t="n">
        <f aca="false">INDEX(Headcount!$C$12:$BJ$12,B$27*12)</f>
        <v>6</v>
      </c>
      <c r="C31" s="43" t="n">
        <f aca="false">INDEX(Headcount!$C$12:$BJ$12,C$27*12)</f>
        <v>9</v>
      </c>
      <c r="D31" s="43" t="n">
        <f aca="false">INDEX(Headcount!$C$12:$BJ$12,D$27*12)</f>
        <v>13.5</v>
      </c>
      <c r="E31" s="43" t="n">
        <f aca="false">INDEX(Headcount!$C$12:$BJ$12,E$27*12)</f>
        <v>20.25</v>
      </c>
      <c r="F31" s="43" t="n">
        <f aca="false">INDEX(Headcount!$C$12:$BJ$12,F$27*12)</f>
        <v>30.375</v>
      </c>
    </row>
    <row r="33" customFormat="false" ht="15.75" hidden="false" customHeight="true" outlineLevel="0" collapsed="false">
      <c r="A33" s="7" t="s">
        <v>58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59</v>
      </c>
      <c r="B34" s="44"/>
      <c r="C34" s="44"/>
      <c r="D34" s="44"/>
      <c r="E34" s="44"/>
      <c r="F34" s="45" t="n">
        <f aca="false">Inputs!$E$46</f>
        <v>3000000</v>
      </c>
    </row>
    <row r="35" customFormat="false" ht="15" hidden="false" customHeight="false" outlineLevel="0" collapsed="false">
      <c r="A35" s="6" t="s">
        <v>60</v>
      </c>
      <c r="B35" s="44"/>
      <c r="C35" s="44"/>
      <c r="D35" s="44"/>
      <c r="E35" s="44"/>
      <c r="F35" s="45" t="n">
        <f aca="false">Inputs!$E$47</f>
        <v>0</v>
      </c>
    </row>
    <row r="36" customFormat="false" ht="15" hidden="false" customHeight="false" outlineLevel="0" collapsed="false">
      <c r="A36" s="6" t="s">
        <v>61</v>
      </c>
      <c r="B36" s="44"/>
      <c r="C36" s="44"/>
      <c r="D36" s="44"/>
      <c r="E36" s="44"/>
      <c r="F36" s="45" t="n">
        <f aca="false">'Break-even'!B12</f>
        <v>7516369.48274386</v>
      </c>
    </row>
    <row r="37" customFormat="false" ht="15" hidden="false" customHeight="false" outlineLevel="0" collapsed="false">
      <c r="A37" s="35" t="s">
        <v>62</v>
      </c>
      <c r="B37" s="35"/>
      <c r="C37" s="35"/>
      <c r="D37" s="35"/>
      <c r="E37" s="35"/>
      <c r="F37" s="36" t="n">
        <f aca="false">'Break-even'!B17</f>
        <v>-4516369.48274386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60)</v>
      </c>
      <c r="B38" s="44"/>
      <c r="C38" s="44"/>
      <c r="D38" s="44"/>
      <c r="E38" s="44"/>
      <c r="F38" s="45" t="n">
        <f aca="false">'Break-even'!B18</f>
        <v>-4291369.48274386</v>
      </c>
    </row>
    <row r="39" customFormat="false" ht="15" hidden="false" customHeight="false" outlineLevel="0" collapsed="false">
      <c r="A39" s="6" t="s">
        <v>63</v>
      </c>
      <c r="B39" s="44"/>
      <c r="C39" s="44"/>
      <c r="D39" s="44"/>
      <c r="E39" s="44"/>
      <c r="F39" s="46" t="str">
        <f aca="false">'Break-even'!B21</f>
        <v>Not within horizon</v>
      </c>
    </row>
    <row r="40" customFormat="false" ht="15" hidden="false" customHeight="false" outlineLevel="0" collapsed="false">
      <c r="A40" s="6" t="s">
        <v>64</v>
      </c>
      <c r="B40" s="44"/>
      <c r="C40" s="44"/>
      <c r="D40" s="44"/>
      <c r="E40" s="44"/>
      <c r="F40" s="46" t="str">
        <f aca="false">'Break-even'!B23</f>
        <v>Not within horizon</v>
      </c>
    </row>
    <row r="41" customFormat="false" ht="15" hidden="false" customHeight="false" outlineLevel="0" collapsed="false">
      <c r="A41" s="6" t="s">
        <v>65</v>
      </c>
      <c r="B41" s="44"/>
      <c r="C41" s="44"/>
      <c r="D41" s="44"/>
      <c r="E41" s="44"/>
      <c r="F41" s="45" t="n">
        <f aca="false">Valuation!B27</f>
        <v>-10468635.3996819</v>
      </c>
    </row>
    <row r="42" customFormat="false" ht="15" hidden="false" customHeight="false" outlineLevel="0" collapsed="false">
      <c r="A42" s="6" t="s">
        <v>66</v>
      </c>
      <c r="B42" s="44"/>
      <c r="C42" s="44"/>
      <c r="D42" s="44"/>
      <c r="E42" s="44"/>
      <c r="F42" s="45" t="n">
        <f aca="false">Valuation!C27</f>
        <v>-9192940.05769967</v>
      </c>
    </row>
    <row r="43" customFormat="false" ht="15" hidden="false" customHeight="false" outlineLevel="0" collapsed="false">
      <c r="A43" s="39" t="s">
        <v>67</v>
      </c>
      <c r="B43" s="39"/>
      <c r="C43" s="39"/>
      <c r="D43" s="39"/>
      <c r="E43" s="39"/>
      <c r="F43" s="40" t="n">
        <f aca="false">Valuation!B30</f>
        <v>-9830787.7286908</v>
      </c>
    </row>
    <row r="46" customFormat="false" ht="15.75" hidden="false" customHeight="true" outlineLevel="0" collapsed="false">
      <c r="A46" s="7" t="s">
        <v>68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47" t="s">
        <v>69</v>
      </c>
      <c r="B47" s="47" t="n">
        <v>1</v>
      </c>
      <c r="C47" s="47" t="n">
        <v>2</v>
      </c>
      <c r="D47" s="47" t="n">
        <v>3</v>
      </c>
      <c r="E47" s="47" t="n">
        <v>4</v>
      </c>
      <c r="F47" s="47" t="n">
        <v>5</v>
      </c>
    </row>
    <row r="48" customFormat="false" ht="15" hidden="false" customHeight="false" outlineLevel="0" collapsed="false">
      <c r="A48" s="32"/>
      <c r="B48" s="48" t="s">
        <v>70</v>
      </c>
      <c r="C48" s="48" t="s">
        <v>71</v>
      </c>
      <c r="D48" s="48" t="s">
        <v>72</v>
      </c>
      <c r="E48" s="48" t="s">
        <v>73</v>
      </c>
      <c r="F48" s="48" t="s">
        <v>74</v>
      </c>
    </row>
    <row r="49" customFormat="false" ht="15" hidden="false" customHeight="false" outlineLevel="0" collapsed="false">
      <c r="A49" s="4" t="s">
        <v>75</v>
      </c>
      <c r="B49" s="49" t="n">
        <f aca="false">INDEX(Monthly!$C$13:$BJ$13,B$47*12)</f>
        <v>324.705075471428</v>
      </c>
      <c r="C49" s="49" t="n">
        <f aca="false">INDEX(Monthly!$C$13:$BJ$13,C$47*12)</f>
        <v>602.208207322359</v>
      </c>
      <c r="D49" s="49" t="n">
        <f aca="false">INDEX(Monthly!$C$13:$BJ$13,D$47*12)</f>
        <v>886.054646963686</v>
      </c>
      <c r="E49" s="49" t="n">
        <f aca="false">INDEX(Monthly!$C$13:$BJ$13,E$47*12)</f>
        <v>1197.33900371814</v>
      </c>
      <c r="F49" s="49" t="n">
        <f aca="false">INDEX(Monthly!$C$13:$BJ$13,F$47*12)</f>
        <v>1556.7377611649</v>
      </c>
    </row>
    <row r="50" customFormat="false" ht="15" hidden="false" customHeight="false" outlineLevel="0" collapsed="false">
      <c r="A50" s="6" t="s">
        <v>76</v>
      </c>
      <c r="B50" s="50" t="n">
        <f aca="false">SUMIF(Monthly!$C$5:$BJ$5,B$47,Monthly!$C$10:$BJ$10)</f>
        <v>357.333333333333</v>
      </c>
      <c r="C50" s="50" t="n">
        <f aca="false">SUMIF(Monthly!$C$5:$BJ$5,C$47,Monthly!$C$10:$BJ$10)</f>
        <v>443.2</v>
      </c>
      <c r="D50" s="50" t="n">
        <f aca="false">SUMIF(Monthly!$C$5:$BJ$5,D$47,Monthly!$C$10:$BJ$10)</f>
        <v>550.56</v>
      </c>
      <c r="E50" s="50" t="n">
        <f aca="false">SUMIF(Monthly!$C$5:$BJ$5,E$47,Monthly!$C$10:$BJ$10)</f>
        <v>685.008</v>
      </c>
      <c r="F50" s="50" t="n">
        <f aca="false">SUMIF(Monthly!$C$5:$BJ$5,F$47,Monthly!$C$10:$BJ$10)</f>
        <v>853.6464</v>
      </c>
    </row>
    <row r="51" customFormat="false" ht="15" hidden="false" customHeight="false" outlineLevel="0" collapsed="false">
      <c r="A51" s="6" t="s">
        <v>77</v>
      </c>
      <c r="B51" s="50" t="n">
        <f aca="false">SUMIF(Monthly!$C$5:$BJ$5,B$47,Monthly!$C$12:$BJ$12)</f>
        <v>-62.628257861905</v>
      </c>
      <c r="C51" s="50" t="n">
        <f aca="false">SUMIF(Monthly!$C$5:$BJ$5,C$47,Monthly!$C$12:$BJ$12)</f>
        <v>-165.69686814907</v>
      </c>
      <c r="D51" s="50" t="n">
        <f aca="false">SUMIF(Monthly!$C$5:$BJ$5,D$47,Monthly!$C$12:$BJ$12)</f>
        <v>-266.713560358673</v>
      </c>
      <c r="E51" s="50" t="n">
        <f aca="false">SUMIF(Monthly!$C$5:$BJ$5,E$47,Monthly!$C$12:$BJ$12)</f>
        <v>-373.723643245542</v>
      </c>
      <c r="F51" s="50" t="n">
        <f aca="false">SUMIF(Monthly!$C$5:$BJ$5,F$47,Monthly!$C$12:$BJ$12)</f>
        <v>-494.247642553244</v>
      </c>
    </row>
    <row r="52" customFormat="false" ht="15" hidden="false" customHeight="false" outlineLevel="0" collapsed="false">
      <c r="A52" s="4" t="s">
        <v>78</v>
      </c>
      <c r="B52" s="51" t="n">
        <f aca="false">INDEX(Monthly!$C$21:$BJ$21,B$47*12)</f>
        <v>33087.0901472265</v>
      </c>
      <c r="C52" s="51" t="n">
        <f aca="false">INDEX(Monthly!$C$21:$BJ$21,C$47*12)</f>
        <v>63887.111147631</v>
      </c>
      <c r="D52" s="51" t="n">
        <f aca="false">INDEX(Monthly!$C$21:$BJ$21,D$47*12)</f>
        <v>97649.2451193627</v>
      </c>
      <c r="E52" s="51" t="n">
        <f aca="false">INDEX(Monthly!$C$21:$BJ$21,E$47*12)</f>
        <v>136783.011638105</v>
      </c>
      <c r="F52" s="51" t="n">
        <f aca="false">INDEX(Monthly!$C$21:$BJ$21,F$47*12)</f>
        <v>184015.765376673</v>
      </c>
    </row>
    <row r="53" customFormat="false" ht="15" hidden="false" customHeight="false" outlineLevel="0" collapsed="false">
      <c r="A53" s="4" t="s">
        <v>55</v>
      </c>
      <c r="B53" s="51" t="n">
        <f aca="false">B52*12</f>
        <v>397045.081766717</v>
      </c>
      <c r="C53" s="51" t="n">
        <f aca="false">C52*12</f>
        <v>766645.333771572</v>
      </c>
      <c r="D53" s="51" t="n">
        <f aca="false">D52*12</f>
        <v>1171790.94143235</v>
      </c>
      <c r="E53" s="51" t="n">
        <f aca="false">E52*12</f>
        <v>1641396.13965726</v>
      </c>
      <c r="F53" s="51" t="n">
        <f aca="false">F52*12</f>
        <v>2208189.18452008</v>
      </c>
    </row>
    <row r="54" customFormat="false" ht="15" hidden="false" customHeight="false" outlineLevel="0" collapsed="false">
      <c r="A54" s="6" t="s">
        <v>79</v>
      </c>
      <c r="B54" s="52" t="n">
        <f aca="false">IF(B49=0,0,B52/B49)</f>
        <v>101.898900407357</v>
      </c>
      <c r="C54" s="52" t="n">
        <f aca="false">IF(C49=0,0,C52/C49)</f>
        <v>106.088077795713</v>
      </c>
      <c r="D54" s="52" t="n">
        <f aca="false">IF(D49=0,0,D52/D49)</f>
        <v>110.206797576182</v>
      </c>
      <c r="E54" s="52" t="n">
        <f aca="false">IF(E49=0,0,E52/E49)</f>
        <v>114.239168032903</v>
      </c>
      <c r="F54" s="52" t="n">
        <f aca="false">IF(F49=0,0,F52/F49)</f>
        <v>118.206013862589</v>
      </c>
    </row>
    <row r="55" customFormat="false" ht="15" hidden="false" customHeight="false" outlineLevel="0" collapsed="false">
      <c r="A55" s="6" t="s">
        <v>40</v>
      </c>
      <c r="B55" s="52" t="n">
        <f aca="false">SUMIF(Monthly!$C$5:$BJ$5,B$47,Monthly!$C$24:$BJ$24)</f>
        <v>225414.939184555</v>
      </c>
      <c r="C55" s="52" t="n">
        <f aca="false">SUMIF(Monthly!$C$5:$BJ$5,C$47,Monthly!$C$24:$BJ$24)</f>
        <v>591123.330484019</v>
      </c>
      <c r="D55" s="52" t="n">
        <f aca="false">SUMIF(Monthly!$C$5:$BJ$5,D$47,Monthly!$C$24:$BJ$24)</f>
        <v>979388.559956597</v>
      </c>
      <c r="E55" s="52" t="n">
        <f aca="false">SUMIF(Monthly!$C$5:$BJ$5,E$47,Monthly!$C$24:$BJ$24)</f>
        <v>1418382.10030103</v>
      </c>
      <c r="F55" s="52" t="n">
        <f aca="false">SUMIF(Monthly!$C$5:$BJ$5,F$47,Monthly!$C$24:$BJ$24)</f>
        <v>1939020.94087271</v>
      </c>
    </row>
    <row r="56" customFormat="false" ht="15" hidden="false" customHeight="false" outlineLevel="0" collapsed="false">
      <c r="A56" s="6" t="s">
        <v>41</v>
      </c>
      <c r="B56" s="52" t="n">
        <f aca="false">SUMIF(Monthly!$C$5:$BJ$5,B$47,Monthly!$C$26:$BJ$26)</f>
        <v>198403.522999835</v>
      </c>
      <c r="C56" s="52" t="n">
        <f aca="false">SUMIF(Monthly!$C$5:$BJ$5,C$47,Monthly!$C$26:$BJ$26)</f>
        <v>520687.036427161</v>
      </c>
      <c r="D56" s="52" t="n">
        <f aca="false">SUMIF(Monthly!$C$5:$BJ$5,D$47,Monthly!$C$26:$BJ$26)</f>
        <v>863384.953497385</v>
      </c>
      <c r="E56" s="52" t="n">
        <f aca="false">SUMIF(Monthly!$C$5:$BJ$5,E$47,Monthly!$C$26:$BJ$26)</f>
        <v>1251317.69636447</v>
      </c>
      <c r="F56" s="52" t="n">
        <f aca="false">SUMIF(Monthly!$C$5:$BJ$5,F$47,Monthly!$C$26:$BJ$26)</f>
        <v>1711809.6051911</v>
      </c>
    </row>
    <row r="57" customFormat="false" ht="15" hidden="false" customHeight="false" outlineLevel="0" collapsed="false">
      <c r="A57" s="37" t="s">
        <v>42</v>
      </c>
      <c r="B57" s="53" t="n">
        <f aca="false">IF(B55=0,0,B56/B55)</f>
        <v>0.880170248332097</v>
      </c>
      <c r="C57" s="53" t="n">
        <f aca="false">IF(C55=0,0,C56/C55)</f>
        <v>0.880843319110441</v>
      </c>
      <c r="D57" s="53" t="n">
        <f aca="false">IF(D55=0,0,D56/D55)</f>
        <v>0.881555073030102</v>
      </c>
      <c r="E57" s="53" t="n">
        <f aca="false">IF(E55=0,0,E56/E55)</f>
        <v>0.882214810874232</v>
      </c>
      <c r="F57" s="53" t="n">
        <f aca="false">IF(F55=0,0,F56/F55)</f>
        <v>0.882821618430104</v>
      </c>
    </row>
    <row r="58" customFormat="false" ht="15" hidden="false" customHeight="false" outlineLevel="0" collapsed="false">
      <c r="A58" s="6" t="s">
        <v>80</v>
      </c>
      <c r="B58" s="52" t="n">
        <f aca="false">-SUMIF(Monthly!$C$5:$BJ$5,B$47,Monthly!$C$30:$BJ$30)</f>
        <v>96000</v>
      </c>
      <c r="C58" s="52" t="n">
        <f aca="false">-SUMIF(Monthly!$C$5:$BJ$5,C$47,Monthly!$C$30:$BJ$30)</f>
        <v>115200</v>
      </c>
      <c r="D58" s="52" t="n">
        <f aca="false">-SUMIF(Monthly!$C$5:$BJ$5,D$47,Monthly!$C$30:$BJ$30)</f>
        <v>138240</v>
      </c>
      <c r="E58" s="52" t="n">
        <f aca="false">-SUMIF(Monthly!$C$5:$BJ$5,E$47,Monthly!$C$30:$BJ$30)</f>
        <v>165888</v>
      </c>
      <c r="F58" s="52" t="n">
        <f aca="false">-SUMIF(Monthly!$C$5:$BJ$5,F$47,Monthly!$C$30:$BJ$30)</f>
        <v>199065.6</v>
      </c>
    </row>
    <row r="59" customFormat="false" ht="15" hidden="false" customHeight="false" outlineLevel="0" collapsed="false">
      <c r="A59" s="6" t="s">
        <v>81</v>
      </c>
      <c r="B59" s="52" t="n">
        <f aca="false">IF(B50=0,0,B58/B50)</f>
        <v>268.65671641791</v>
      </c>
      <c r="C59" s="52" t="n">
        <f aca="false">IF(C50=0,0,C58/C50)</f>
        <v>259.927797833935</v>
      </c>
      <c r="D59" s="52" t="n">
        <f aca="false">IF(D50=0,0,D58/D50)</f>
        <v>251.089799476896</v>
      </c>
      <c r="E59" s="52" t="n">
        <f aca="false">IF(E50=0,0,E58/E50)</f>
        <v>242.169434517553</v>
      </c>
      <c r="F59" s="52" t="n">
        <f aca="false">IF(F50=0,0,F58/F50)</f>
        <v>233.194446787335</v>
      </c>
    </row>
    <row r="60" customFormat="false" ht="15" hidden="false" customHeight="false" outlineLevel="0" collapsed="false">
      <c r="A60" s="37" t="s">
        <v>82</v>
      </c>
      <c r="B60" s="53" t="n">
        <f aca="false">INDEX(Monthly!$C$81:$BJ$81,B$47*12)</f>
        <v>0.03</v>
      </c>
      <c r="C60" s="53" t="n">
        <f aca="false">INDEX(Monthly!$C$81:$BJ$81,C$47*12)</f>
        <v>0.03</v>
      </c>
      <c r="D60" s="53" t="n">
        <f aca="false">INDEX(Monthly!$C$81:$BJ$81,D$47*12)</f>
        <v>0.03</v>
      </c>
      <c r="E60" s="53" t="n">
        <f aca="false">INDEX(Monthly!$C$81:$BJ$81,E$47*12)</f>
        <v>0.03</v>
      </c>
      <c r="F60" s="53" t="n">
        <f aca="false">INDEX(Monthly!$C$81:$BJ$81,F$47*12)</f>
        <v>0.03</v>
      </c>
    </row>
    <row r="61" customFormat="false" ht="15" hidden="false" customHeight="false" outlineLevel="0" collapsed="false">
      <c r="A61" s="6" t="s">
        <v>83</v>
      </c>
      <c r="B61" s="52" t="n">
        <f aca="false">IF(B60=0,0,B54*B57/B60)</f>
        <v>2989.61268254371</v>
      </c>
      <c r="C61" s="52" t="n">
        <f aca="false">IF(C60=0,0,C54*C57/C60)</f>
        <v>3114.89915212074</v>
      </c>
      <c r="D61" s="52" t="n">
        <f aca="false">IF(D60=0,0,D54*D57/D60)</f>
        <v>3238.44538285617</v>
      </c>
      <c r="E61" s="52" t="n">
        <f aca="false">IF(E60=0,0,E54*E57/E60)</f>
        <v>3359.44953401923</v>
      </c>
      <c r="F61" s="52" t="n">
        <f aca="false">IF(F60=0,0,F54*F57/F60)</f>
        <v>3478.49414887806</v>
      </c>
    </row>
    <row r="62" customFormat="false" ht="15" hidden="false" customHeight="false" outlineLevel="0" collapsed="false">
      <c r="A62" s="6" t="s">
        <v>56</v>
      </c>
      <c r="B62" s="54" t="n">
        <f aca="false">IF(B59=0,0,B61/B59)</f>
        <v>11.1280027628016</v>
      </c>
      <c r="C62" s="54" t="n">
        <f aca="false">IF(C59=0,0,C61/C59)</f>
        <v>11.9837092380201</v>
      </c>
      <c r="D62" s="54" t="n">
        <f aca="false">IF(D59=0,0,D61/D59)</f>
        <v>12.8975585213057</v>
      </c>
      <c r="E62" s="54" t="n">
        <f aca="false">IF(E59=0,0,E61/E59)</f>
        <v>13.8723102719874</v>
      </c>
      <c r="F62" s="54" t="n">
        <f aca="false">IF(F59=0,0,F61/F59)</f>
        <v>14.9167109114323</v>
      </c>
    </row>
    <row r="63" customFormat="false" ht="15" hidden="false" customHeight="false" outlineLevel="0" collapsed="false">
      <c r="A63" s="6" t="s">
        <v>84</v>
      </c>
      <c r="B63" s="50" t="n">
        <f aca="false">IF(B54*B57&lt;=0,0,B59/(B54*B57))</f>
        <v>2.99544617698687</v>
      </c>
      <c r="C63" s="50" t="n">
        <f aca="false">IF(C54*C57&lt;=0,0,C59/(C54*C57))</f>
        <v>2.78155391383984</v>
      </c>
      <c r="D63" s="50" t="n">
        <f aca="false">IF(D54*D57&lt;=0,0,D59/(D54*D57))</f>
        <v>2.58446846961536</v>
      </c>
      <c r="E63" s="50" t="n">
        <f aca="false">IF(E54*E57&lt;=0,0,E59/(E54*E57))</f>
        <v>2.40286820866773</v>
      </c>
      <c r="F63" s="50" t="n">
        <f aca="false">IF(F54*F57&lt;=0,0,F59/(F54*F57))</f>
        <v>2.2346302433056</v>
      </c>
    </row>
    <row r="64" customFormat="false" ht="15" hidden="false" customHeight="false" outlineLevel="0" collapsed="false">
      <c r="A64" s="6" t="s">
        <v>85</v>
      </c>
      <c r="B64" s="52" t="n">
        <f aca="false">INDEX(Monthly!$C$80:$BJ$80,B$47*12)</f>
        <v>44473.8917747187</v>
      </c>
      <c r="C64" s="52" t="n">
        <f aca="false">INDEX(Monthly!$C$80:$BJ$80,C$47*12)</f>
        <v>53908.8705785703</v>
      </c>
      <c r="D64" s="52" t="n">
        <f aca="false">INDEX(Monthly!$C$80:$BJ$80,D$47*12)</f>
        <v>80483.0870371505</v>
      </c>
      <c r="E64" s="52" t="n">
        <f aca="false">INDEX(Monthly!$C$80:$BJ$80,E$47*12)</f>
        <v>133085.046786239</v>
      </c>
      <c r="F64" s="52" t="n">
        <f aca="false">INDEX(Monthly!$C$80:$BJ$80,F$47*12)</f>
        <v>226448.544990247</v>
      </c>
    </row>
    <row r="65" customFormat="false" ht="15" hidden="false" customHeight="false" outlineLevel="0" collapsed="false">
      <c r="A65" s="6" t="s">
        <v>86</v>
      </c>
      <c r="B65" s="52" t="n">
        <f aca="false">INDEX(Monthly!$C$76:$BJ$76,B$47*12)</f>
        <v>2314803.48576323</v>
      </c>
      <c r="C65" s="52" t="n">
        <f aca="false">INDEX(Monthly!$C$76:$BJ$76,C$47*12)</f>
        <v>1529595.0687839</v>
      </c>
      <c r="D65" s="52" t="n">
        <f aca="false">INDEX(Monthly!$C$76:$BJ$76,D$47*12)</f>
        <v>411980.553657166</v>
      </c>
      <c r="E65" s="52" t="n">
        <f aca="false">INDEX(Monthly!$C$76:$BJ$76,E$47*12)</f>
        <v>-1361198.82619305</v>
      </c>
      <c r="F65" s="52" t="n">
        <f aca="false">INDEX(Monthly!$C$76:$BJ$76,F$47*12)</f>
        <v>-4291369.48274386</v>
      </c>
    </row>
    <row r="66" customFormat="false" ht="15" hidden="false" customHeight="false" outlineLevel="0" collapsed="false">
      <c r="A66" s="6" t="s">
        <v>87</v>
      </c>
      <c r="B66" s="50" t="n">
        <f aca="false">IF(B64&lt;=0,0,MAX(0,B65)/B64)</f>
        <v>52.0485928573286</v>
      </c>
      <c r="C66" s="50" t="n">
        <f aca="false">IF(C64&lt;=0,0,MAX(0,C65)/C64)</f>
        <v>28.3737175787159</v>
      </c>
      <c r="D66" s="50" t="n">
        <f aca="false">IF(D64&lt;=0,0,MAX(0,D65)/D64)</f>
        <v>5.1188463169535</v>
      </c>
      <c r="E66" s="50" t="n">
        <f aca="false">IF(E64&lt;=0,0,MAX(0,E65)/E64)</f>
        <v>0</v>
      </c>
      <c r="F66" s="50" t="n">
        <f aca="false">IF(F64&lt;=0,0,MAX(0,F65)/F64)</f>
        <v>0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88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89</v>
      </c>
      <c r="R2" s="55" t="n">
        <v>1</v>
      </c>
      <c r="S2" s="55"/>
    </row>
    <row r="5" customFormat="false" ht="15.75" hidden="false" customHeight="true" outlineLevel="0" collapsed="false">
      <c r="A5" s="7" t="s">
        <v>90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2"/>
      <c r="B6" s="33" t="n">
        <v>1</v>
      </c>
      <c r="C6" s="33" t="n">
        <v>2</v>
      </c>
      <c r="D6" s="33" t="n">
        <v>3</v>
      </c>
      <c r="E6" s="33" t="n">
        <v>4</v>
      </c>
      <c r="F6" s="33" t="n">
        <v>5</v>
      </c>
      <c r="H6" s="56" t="n">
        <f aca="false">INDEX(Monthly!$C$4:$BJ$4,($R$2-1)*12+1)</f>
        <v>1</v>
      </c>
      <c r="I6" s="56" t="n">
        <f aca="false">INDEX(Monthly!$C$4:$BJ$4,($R$2-1)*12+2)</f>
        <v>2</v>
      </c>
      <c r="J6" s="56" t="n">
        <f aca="false">INDEX(Monthly!$C$4:$BJ$4,($R$2-1)*12+3)</f>
        <v>3</v>
      </c>
      <c r="K6" s="56" t="n">
        <f aca="false">INDEX(Monthly!$C$4:$BJ$4,($R$2-1)*12+4)</f>
        <v>4</v>
      </c>
      <c r="L6" s="56" t="n">
        <f aca="false">INDEX(Monthly!$C$4:$BJ$4,($R$2-1)*12+5)</f>
        <v>5</v>
      </c>
      <c r="M6" s="56" t="n">
        <f aca="false">INDEX(Monthly!$C$4:$BJ$4,($R$2-1)*12+6)</f>
        <v>6</v>
      </c>
      <c r="N6" s="56" t="n">
        <f aca="false">INDEX(Monthly!$C$4:$BJ$4,($R$2-1)*12+7)</f>
        <v>7</v>
      </c>
      <c r="O6" s="56" t="n">
        <f aca="false">INDEX(Monthly!$C$4:$BJ$4,($R$2-1)*12+8)</f>
        <v>8</v>
      </c>
      <c r="P6" s="56" t="n">
        <f aca="false">INDEX(Monthly!$C$4:$BJ$4,($R$2-1)*12+9)</f>
        <v>9</v>
      </c>
      <c r="Q6" s="56" t="n">
        <f aca="false">INDEX(Monthly!$C$4:$BJ$4,($R$2-1)*12+10)</f>
        <v>10</v>
      </c>
      <c r="R6" s="56" t="n">
        <f aca="false">INDEX(Monthly!$C$4:$BJ$4,($R$2-1)*12+11)</f>
        <v>11</v>
      </c>
      <c r="S6" s="56" t="n">
        <f aca="false">INDEX(Monthly!$C$4:$BJ$4,($R$2-1)*12+12)</f>
        <v>12</v>
      </c>
    </row>
    <row r="7" customFormat="false" ht="15" hidden="false" customHeight="false" outlineLevel="0" collapsed="false">
      <c r="A7" s="57" t="s">
        <v>40</v>
      </c>
      <c r="B7" s="34" t="n">
        <f aca="false">'P&amp;L'!B5</f>
        <v>225414.939184555</v>
      </c>
      <c r="C7" s="34" t="n">
        <f aca="false">'P&amp;L'!C5</f>
        <v>591123.330484019</v>
      </c>
      <c r="D7" s="34" t="n">
        <f aca="false">'P&amp;L'!D5</f>
        <v>979388.559956597</v>
      </c>
      <c r="E7" s="34" t="n">
        <f aca="false">'P&amp;L'!E5</f>
        <v>1418382.10030103</v>
      </c>
      <c r="F7" s="34" t="n">
        <f aca="false">'P&amp;L'!F5</f>
        <v>1939020.94087271</v>
      </c>
      <c r="H7" s="34" t="n">
        <f aca="false">INDEX(Monthly!$C$24:$BJ$24,($R$2-1)*12+1)</f>
        <v>4406.875</v>
      </c>
      <c r="I7" s="34" t="n">
        <f aca="false">INDEX(Monthly!$C$24:$BJ$24,($R$2-1)*12+2)</f>
        <v>7244.703125</v>
      </c>
      <c r="J7" s="34" t="n">
        <f aca="false">INDEX(Monthly!$C$24:$BJ$24,($R$2-1)*12+3)</f>
        <v>10011.585546875</v>
      </c>
      <c r="K7" s="34" t="n">
        <f aca="false">INDEX(Monthly!$C$24:$BJ$24,($R$2-1)*12+4)</f>
        <v>12709.2959082031</v>
      </c>
      <c r="L7" s="34" t="n">
        <f aca="false">INDEX(Monthly!$C$24:$BJ$24,($R$2-1)*12+5)</f>
        <v>15339.563510498</v>
      </c>
      <c r="M7" s="34" t="n">
        <f aca="false">INDEX(Monthly!$C$24:$BJ$24,($R$2-1)*12+6)</f>
        <v>17904.0744227356</v>
      </c>
      <c r="N7" s="34" t="n">
        <f aca="false">INDEX(Monthly!$C$24:$BJ$24,($R$2-1)*12+7)</f>
        <v>20404.4725621672</v>
      </c>
      <c r="O7" s="34" t="n">
        <f aca="false">INDEX(Monthly!$C$24:$BJ$24,($R$2-1)*12+8)</f>
        <v>22842.360748113</v>
      </c>
      <c r="P7" s="34" t="n">
        <f aca="false">INDEX(Monthly!$C$24:$BJ$24,($R$2-1)*12+9)</f>
        <v>25219.3017294102</v>
      </c>
      <c r="Q7" s="34" t="n">
        <f aca="false">INDEX(Monthly!$C$24:$BJ$24,($R$2-1)*12+10)</f>
        <v>27536.819186175</v>
      </c>
      <c r="R7" s="34" t="n">
        <f aca="false">INDEX(Monthly!$C$24:$BJ$24,($R$2-1)*12+11)</f>
        <v>29796.3987065206</v>
      </c>
      <c r="S7" s="34" t="n">
        <f aca="false">INDEX(Monthly!$C$24:$BJ$24,($R$2-1)*12+12)</f>
        <v>31999.4887388576</v>
      </c>
    </row>
    <row r="8" customFormat="false" ht="15" hidden="false" customHeight="false" outlineLevel="0" collapsed="false">
      <c r="A8" s="57" t="s">
        <v>91</v>
      </c>
      <c r="B8" s="34" t="n">
        <f aca="false">'P&amp;L'!B6</f>
        <v>-27011.4161847206</v>
      </c>
      <c r="C8" s="34" t="n">
        <f aca="false">'P&amp;L'!C6</f>
        <v>-70436.2940568575</v>
      </c>
      <c r="D8" s="34" t="n">
        <f aca="false">'P&amp;L'!D6</f>
        <v>-116003.606459213</v>
      </c>
      <c r="E8" s="34" t="n">
        <f aca="false">'P&amp;L'!E6</f>
        <v>-167064.40393656</v>
      </c>
      <c r="F8" s="34" t="n">
        <f aca="false">'P&amp;L'!F6</f>
        <v>-227211.3356816</v>
      </c>
      <c r="H8" s="34" t="n">
        <f aca="false">INDEX(Monthly!$C$25:$BJ$25,($R$2-1)*12+1)</f>
        <v>-529.565277777778</v>
      </c>
      <c r="I8" s="34" t="n">
        <f aca="false">INDEX(Monthly!$C$25:$BJ$25,($R$2-1)*12+2)</f>
        <v>-870.2373125</v>
      </c>
      <c r="J8" s="34" t="n">
        <f aca="false">INDEX(Monthly!$C$25:$BJ$25,($R$2-1)*12+3)</f>
        <v>-1202.10810024306</v>
      </c>
      <c r="K8" s="34" t="n">
        <f aca="false">INDEX(Monthly!$C$25:$BJ$25,($R$2-1)*12+4)</f>
        <v>-1525.40620556476</v>
      </c>
      <c r="L8" s="34" t="n">
        <f aca="false">INDEX(Monthly!$C$25:$BJ$25,($R$2-1)*12+5)</f>
        <v>-1840.35422290747</v>
      </c>
      <c r="M8" s="34" t="n">
        <f aca="false">INDEX(Monthly!$C$25:$BJ$25,($R$2-1)*12+6)</f>
        <v>-2147.16893353105</v>
      </c>
      <c r="N8" s="34" t="n">
        <f aca="false">INDEX(Monthly!$C$25:$BJ$25,($R$2-1)*12+7)</f>
        <v>-2446.06145829204</v>
      </c>
      <c r="O8" s="34" t="n">
        <f aca="false">INDEX(Monthly!$C$25:$BJ$25,($R$2-1)*12+8)</f>
        <v>-2737.23740637992</v>
      </c>
      <c r="P8" s="34" t="n">
        <f aca="false">INDEX(Monthly!$C$25:$BJ$25,($R$2-1)*12+9)</f>
        <v>-3020.89702011814</v>
      </c>
      <c r="Q8" s="34" t="n">
        <f aca="false">INDEX(Monthly!$C$25:$BJ$25,($R$2-1)*12+10)</f>
        <v>-3297.23531593485</v>
      </c>
      <c r="R8" s="34" t="n">
        <f aca="false">INDEX(Monthly!$C$25:$BJ$25,($R$2-1)*12+11)</f>
        <v>-3566.44222160545</v>
      </c>
      <c r="S8" s="34" t="n">
        <f aca="false">INDEX(Monthly!$C$25:$BJ$25,($R$2-1)*12+12)</f>
        <v>-3828.7027098661</v>
      </c>
    </row>
    <row r="9" customFormat="false" ht="15" hidden="false" customHeight="false" outlineLevel="0" collapsed="false">
      <c r="A9" s="35" t="s">
        <v>41</v>
      </c>
      <c r="B9" s="36" t="n">
        <f aca="false">'P&amp;L'!B7</f>
        <v>198403.522999835</v>
      </c>
      <c r="C9" s="36" t="n">
        <f aca="false">'P&amp;L'!C7</f>
        <v>520687.036427161</v>
      </c>
      <c r="D9" s="36" t="n">
        <f aca="false">'P&amp;L'!D7</f>
        <v>863384.953497385</v>
      </c>
      <c r="E9" s="36" t="n">
        <f aca="false">'P&amp;L'!E7</f>
        <v>1251317.69636447</v>
      </c>
      <c r="F9" s="36" t="n">
        <f aca="false">'P&amp;L'!F7</f>
        <v>1711809.6051911</v>
      </c>
      <c r="H9" s="36" t="n">
        <f aca="false">INDEX(Monthly!$C$26:$BJ$26,($R$2-1)*12+1)</f>
        <v>3877.30972222222</v>
      </c>
      <c r="I9" s="36" t="n">
        <f aca="false">INDEX(Monthly!$C$26:$BJ$26,($R$2-1)*12+2)</f>
        <v>6374.4658125</v>
      </c>
      <c r="J9" s="36" t="n">
        <f aca="false">INDEX(Monthly!$C$26:$BJ$26,($R$2-1)*12+3)</f>
        <v>8809.47744663194</v>
      </c>
      <c r="K9" s="36" t="n">
        <f aca="false">INDEX(Monthly!$C$26:$BJ$26,($R$2-1)*12+4)</f>
        <v>11183.8897026384</v>
      </c>
      <c r="L9" s="36" t="n">
        <f aca="false">INDEX(Monthly!$C$26:$BJ$26,($R$2-1)*12+5)</f>
        <v>13499.2092875906</v>
      </c>
      <c r="M9" s="36" t="n">
        <f aca="false">INDEX(Monthly!$C$26:$BJ$26,($R$2-1)*12+6)</f>
        <v>15756.9054892045</v>
      </c>
      <c r="N9" s="36" t="n">
        <f aca="false">INDEX(Monthly!$C$26:$BJ$26,($R$2-1)*12+7)</f>
        <v>17958.4111038752</v>
      </c>
      <c r="O9" s="36" t="n">
        <f aca="false">INDEX(Monthly!$C$26:$BJ$26,($R$2-1)*12+8)</f>
        <v>20105.1233417331</v>
      </c>
      <c r="P9" s="36" t="n">
        <f aca="false">INDEX(Monthly!$C$26:$BJ$26,($R$2-1)*12+9)</f>
        <v>22198.4047092921</v>
      </c>
      <c r="Q9" s="36" t="n">
        <f aca="false">INDEX(Monthly!$C$26:$BJ$26,($R$2-1)*12+10)</f>
        <v>24239.5838702401</v>
      </c>
      <c r="R9" s="36" t="n">
        <f aca="false">INDEX(Monthly!$C$26:$BJ$26,($R$2-1)*12+11)</f>
        <v>26229.9564849151</v>
      </c>
      <c r="S9" s="36" t="n">
        <f aca="false">INDEX(Monthly!$C$26:$BJ$26,($R$2-1)*12+12)</f>
        <v>28170.7860289915</v>
      </c>
    </row>
    <row r="10" customFormat="false" ht="15" hidden="false" customHeight="false" outlineLevel="0" collapsed="false">
      <c r="A10" s="37" t="s">
        <v>42</v>
      </c>
      <c r="B10" s="38" t="n">
        <f aca="false">'P&amp;L'!B8</f>
        <v>0.880170248332097</v>
      </c>
      <c r="C10" s="38" t="n">
        <f aca="false">'P&amp;L'!C8</f>
        <v>0.880843319110441</v>
      </c>
      <c r="D10" s="38" t="n">
        <f aca="false">'P&amp;L'!D8</f>
        <v>0.881555073030102</v>
      </c>
      <c r="E10" s="38" t="n">
        <f aca="false">'P&amp;L'!E8</f>
        <v>0.882214810874232</v>
      </c>
      <c r="F10" s="38" t="n">
        <f aca="false">'P&amp;L'!F8</f>
        <v>0.882821618430104</v>
      </c>
      <c r="H10" s="38" t="n">
        <f aca="false">IF(H7=0,0,H9/H7)</f>
        <v>0.879832017523125</v>
      </c>
      <c r="I10" s="38" t="n">
        <f aca="false">IF(I7=0,0,I9/I7)</f>
        <v>0.879879506794835</v>
      </c>
      <c r="J10" s="38" t="n">
        <f aca="false">IF(J7=0,0,J9/J7)</f>
        <v>0.879928299607021</v>
      </c>
      <c r="K10" s="38" t="n">
        <f aca="false">IF(K7=0,0,K9/K7)</f>
        <v>0.879977127247451</v>
      </c>
      <c r="L10" s="38" t="n">
        <f aca="false">IF(L7=0,0,L9/L7)</f>
        <v>0.880025645993905</v>
      </c>
      <c r="M10" s="38" t="n">
        <f aca="false">IF(M7=0,0,M9/M7)</f>
        <v>0.880073726078548</v>
      </c>
      <c r="N10" s="38" t="n">
        <f aca="false">IF(N7=0,0,N9/N7)</f>
        <v>0.88012130914732</v>
      </c>
      <c r="O10" s="38" t="n">
        <f aca="false">IF(O7=0,0,O9/O7)</f>
        <v>0.880168366283855</v>
      </c>
      <c r="P10" s="38" t="n">
        <f aca="false">IF(P7=0,0,P9/P7)</f>
        <v>0.880214882532008</v>
      </c>
      <c r="Q10" s="38" t="n">
        <f aca="false">IF(Q7=0,0,Q9/Q7)</f>
        <v>0.880260850258615</v>
      </c>
      <c r="R10" s="38" t="n">
        <f aca="false">IF(R7=0,0,R9/R7)</f>
        <v>0.88030626597754</v>
      </c>
      <c r="S10" s="38" t="n">
        <f aca="false">IF(S7=0,0,S9/S7)</f>
        <v>0.880351128697352</v>
      </c>
    </row>
    <row r="11" customFormat="false" ht="15" hidden="false" customHeight="false" outlineLevel="0" collapsed="false">
      <c r="A11" s="57" t="s">
        <v>92</v>
      </c>
      <c r="B11" s="34" t="n">
        <f aca="false">'P&amp;L'!B14</f>
        <v>-901800</v>
      </c>
      <c r="C11" s="34" t="n">
        <f aca="false">'P&amp;L'!C14</f>
        <v>-1341360</v>
      </c>
      <c r="D11" s="34" t="n">
        <f aca="false">'P&amp;L'!D14</f>
        <v>-2019837.6</v>
      </c>
      <c r="E11" s="34" t="n">
        <f aca="false">'P&amp;L'!E14</f>
        <v>-3069482.256</v>
      </c>
      <c r="F11" s="34" t="n">
        <f aca="false">'P&amp;L'!F14</f>
        <v>-4696245.63936</v>
      </c>
      <c r="H11" s="34" t="n">
        <f aca="false">INDEX(Monthly!$C$34:$BJ$34,($R$2-1)*12+1)</f>
        <v>-75150</v>
      </c>
      <c r="I11" s="34" t="n">
        <f aca="false">INDEX(Monthly!$C$34:$BJ$34,($R$2-1)*12+2)</f>
        <v>-75150</v>
      </c>
      <c r="J11" s="34" t="n">
        <f aca="false">INDEX(Monthly!$C$34:$BJ$34,($R$2-1)*12+3)</f>
        <v>-75150</v>
      </c>
      <c r="K11" s="34" t="n">
        <f aca="false">INDEX(Monthly!$C$34:$BJ$34,($R$2-1)*12+4)</f>
        <v>-75150</v>
      </c>
      <c r="L11" s="34" t="n">
        <f aca="false">INDEX(Monthly!$C$34:$BJ$34,($R$2-1)*12+5)</f>
        <v>-75150</v>
      </c>
      <c r="M11" s="34" t="n">
        <f aca="false">INDEX(Monthly!$C$34:$BJ$34,($R$2-1)*12+6)</f>
        <v>-75150</v>
      </c>
      <c r="N11" s="34" t="n">
        <f aca="false">INDEX(Monthly!$C$34:$BJ$34,($R$2-1)*12+7)</f>
        <v>-75150</v>
      </c>
      <c r="O11" s="34" t="n">
        <f aca="false">INDEX(Monthly!$C$34:$BJ$34,($R$2-1)*12+8)</f>
        <v>-75150</v>
      </c>
      <c r="P11" s="34" t="n">
        <f aca="false">INDEX(Monthly!$C$34:$BJ$34,($R$2-1)*12+9)</f>
        <v>-75150</v>
      </c>
      <c r="Q11" s="34" t="n">
        <f aca="false">INDEX(Monthly!$C$34:$BJ$34,($R$2-1)*12+10)</f>
        <v>-75150</v>
      </c>
      <c r="R11" s="34" t="n">
        <f aca="false">INDEX(Monthly!$C$34:$BJ$34,($R$2-1)*12+11)</f>
        <v>-75150</v>
      </c>
      <c r="S11" s="34" t="n">
        <f aca="false">INDEX(Monthly!$C$34:$BJ$34,($R$2-1)*12+12)</f>
        <v>-75150</v>
      </c>
    </row>
    <row r="12" customFormat="false" ht="15" hidden="false" customHeight="false" outlineLevel="0" collapsed="false">
      <c r="A12" s="35" t="s">
        <v>44</v>
      </c>
      <c r="B12" s="36" t="n">
        <f aca="false">'P&amp;L'!B15</f>
        <v>-703396.477000165</v>
      </c>
      <c r="C12" s="36" t="n">
        <f aca="false">'P&amp;L'!C15</f>
        <v>-820672.963572839</v>
      </c>
      <c r="D12" s="36" t="n">
        <f aca="false">'P&amp;L'!D15</f>
        <v>-1156452.64650262</v>
      </c>
      <c r="E12" s="36" t="n">
        <f aca="false">'P&amp;L'!E15</f>
        <v>-1818164.55963553</v>
      </c>
      <c r="F12" s="36" t="n">
        <f aca="false">'P&amp;L'!F15</f>
        <v>-2984436.0341689</v>
      </c>
      <c r="H12" s="36" t="n">
        <f aca="false">INDEX(Monthly!$C$35:$BJ$35,($R$2-1)*12+1)</f>
        <v>-71272.6902777778</v>
      </c>
      <c r="I12" s="36" t="n">
        <f aca="false">INDEX(Monthly!$C$35:$BJ$35,($R$2-1)*12+2)</f>
        <v>-68775.5341875</v>
      </c>
      <c r="J12" s="36" t="n">
        <f aca="false">INDEX(Monthly!$C$35:$BJ$35,($R$2-1)*12+3)</f>
        <v>-66340.5225533681</v>
      </c>
      <c r="K12" s="36" t="n">
        <f aca="false">INDEX(Monthly!$C$35:$BJ$35,($R$2-1)*12+4)</f>
        <v>-63966.1102973616</v>
      </c>
      <c r="L12" s="36" t="n">
        <f aca="false">INDEX(Monthly!$C$35:$BJ$35,($R$2-1)*12+5)</f>
        <v>-61650.7907124094</v>
      </c>
      <c r="M12" s="36" t="n">
        <f aca="false">INDEX(Monthly!$C$35:$BJ$35,($R$2-1)*12+6)</f>
        <v>-59393.0945107955</v>
      </c>
      <c r="N12" s="36" t="n">
        <f aca="false">INDEX(Monthly!$C$35:$BJ$35,($R$2-1)*12+7)</f>
        <v>-57191.5888961248</v>
      </c>
      <c r="O12" s="36" t="n">
        <f aca="false">INDEX(Monthly!$C$35:$BJ$35,($R$2-1)*12+8)</f>
        <v>-55044.8766582669</v>
      </c>
      <c r="P12" s="36" t="n">
        <f aca="false">INDEX(Monthly!$C$35:$BJ$35,($R$2-1)*12+9)</f>
        <v>-52951.5952907079</v>
      </c>
      <c r="Q12" s="36" t="n">
        <f aca="false">INDEX(Monthly!$C$35:$BJ$35,($R$2-1)*12+10)</f>
        <v>-50910.4161297599</v>
      </c>
      <c r="R12" s="36" t="n">
        <f aca="false">INDEX(Monthly!$C$35:$BJ$35,($R$2-1)*12+11)</f>
        <v>-48920.0435150849</v>
      </c>
      <c r="S12" s="36" t="n">
        <f aca="false">INDEX(Monthly!$C$35:$BJ$35,($R$2-1)*12+12)</f>
        <v>-46979.2139710086</v>
      </c>
    </row>
    <row r="13" customFormat="false" ht="15" hidden="false" customHeight="false" outlineLevel="0" collapsed="false">
      <c r="A13" s="37" t="s">
        <v>45</v>
      </c>
      <c r="B13" s="38" t="n">
        <f aca="false">'P&amp;L'!B16</f>
        <v>-3.12045190768953</v>
      </c>
      <c r="C13" s="38" t="n">
        <f aca="false">'P&amp;L'!C16</f>
        <v>-1.38832781798827</v>
      </c>
      <c r="D13" s="38" t="n">
        <f aca="false">'P&amp;L'!D16</f>
        <v>-1.18079043781547</v>
      </c>
      <c r="E13" s="38" t="n">
        <f aca="false">'P&amp;L'!E16</f>
        <v>-1.2818580827054</v>
      </c>
      <c r="F13" s="38" t="n">
        <f aca="false">'P&amp;L'!F16</f>
        <v>-1.53914584998018</v>
      </c>
      <c r="H13" s="38" t="n">
        <f aca="false">IF(H7=0,0,H12/H7)</f>
        <v>-16.173068280307</v>
      </c>
      <c r="I13" s="38" t="n">
        <f aca="false">IF(I7=0,0,I12/I7)</f>
        <v>-9.49321635418981</v>
      </c>
      <c r="J13" s="38" t="n">
        <f aca="false">IF(J7=0,0,J12/J7)</f>
        <v>-6.62637523724456</v>
      </c>
      <c r="K13" s="38" t="n">
        <f aca="false">IF(K7=0,0,K12/K7)</f>
        <v>-5.03301762421592</v>
      </c>
      <c r="L13" s="38" t="n">
        <f aca="false">IF(L7=0,0,L12/L7)</f>
        <v>-4.0190707297647</v>
      </c>
      <c r="M13" s="38" t="n">
        <f aca="false">IF(M7=0,0,M12/M7)</f>
        <v>-3.31729488542422</v>
      </c>
      <c r="N13" s="38" t="n">
        <f aca="false">IF(N7=0,0,N12/N7)</f>
        <v>-2.80289474387915</v>
      </c>
      <c r="O13" s="38" t="n">
        <f aca="false">IF(O7=0,0,O12/O7)</f>
        <v>-2.40977179483579</v>
      </c>
      <c r="P13" s="38" t="n">
        <f aca="false">IF(P7=0,0,P12/P7)</f>
        <v>-2.09964557539501</v>
      </c>
      <c r="Q13" s="38" t="n">
        <f aca="false">IF(Q7=0,0,Q12/Q7)</f>
        <v>-1.84881252208388</v>
      </c>
      <c r="R13" s="38" t="n">
        <f aca="false">IF(R7=0,0,R12/R7)</f>
        <v>-1.64181060929284</v>
      </c>
      <c r="S13" s="38" t="n">
        <f aca="false">IF(S7=0,0,S12/S7)</f>
        <v>-1.46812389267835</v>
      </c>
    </row>
    <row r="14" customFormat="false" ht="15" hidden="false" customHeight="false" outlineLevel="0" collapsed="false">
      <c r="A14" s="57" t="s">
        <v>93</v>
      </c>
      <c r="B14" s="34" t="n">
        <f aca="false">'P&amp;L'!B17</f>
        <v>-6666.66666666667</v>
      </c>
      <c r="C14" s="34" t="n">
        <f aca="false">'P&amp;L'!C17</f>
        <v>-6666.66666666667</v>
      </c>
      <c r="D14" s="34" t="n">
        <f aca="false">'P&amp;L'!D17</f>
        <v>-6666.66666666667</v>
      </c>
      <c r="E14" s="34" t="n">
        <f aca="false">'P&amp;L'!E17</f>
        <v>0</v>
      </c>
      <c r="F14" s="34" t="n">
        <f aca="false">'P&amp;L'!F17</f>
        <v>0</v>
      </c>
      <c r="H14" s="34" t="n">
        <f aca="false">INDEX(Monthly!$C$49:$BJ$49,($R$2-1)*12+1)</f>
        <v>-555.555555555556</v>
      </c>
      <c r="I14" s="34" t="n">
        <f aca="false">INDEX(Monthly!$C$49:$BJ$49,($R$2-1)*12+2)</f>
        <v>-555.555555555556</v>
      </c>
      <c r="J14" s="34" t="n">
        <f aca="false">INDEX(Monthly!$C$49:$BJ$49,($R$2-1)*12+3)</f>
        <v>-555.555555555556</v>
      </c>
      <c r="K14" s="34" t="n">
        <f aca="false">INDEX(Monthly!$C$49:$BJ$49,($R$2-1)*12+4)</f>
        <v>-555.555555555556</v>
      </c>
      <c r="L14" s="34" t="n">
        <f aca="false">INDEX(Monthly!$C$49:$BJ$49,($R$2-1)*12+5)</f>
        <v>-555.555555555556</v>
      </c>
      <c r="M14" s="34" t="n">
        <f aca="false">INDEX(Monthly!$C$49:$BJ$49,($R$2-1)*12+6)</f>
        <v>-555.555555555556</v>
      </c>
      <c r="N14" s="34" t="n">
        <f aca="false">INDEX(Monthly!$C$49:$BJ$49,($R$2-1)*12+7)</f>
        <v>-555.555555555556</v>
      </c>
      <c r="O14" s="34" t="n">
        <f aca="false">INDEX(Monthly!$C$49:$BJ$49,($R$2-1)*12+8)</f>
        <v>-555.555555555556</v>
      </c>
      <c r="P14" s="34" t="n">
        <f aca="false">INDEX(Monthly!$C$49:$BJ$49,($R$2-1)*12+9)</f>
        <v>-555.555555555556</v>
      </c>
      <c r="Q14" s="34" t="n">
        <f aca="false">INDEX(Monthly!$C$49:$BJ$49,($R$2-1)*12+10)</f>
        <v>-555.555555555556</v>
      </c>
      <c r="R14" s="34" t="n">
        <f aca="false">INDEX(Monthly!$C$49:$BJ$49,($R$2-1)*12+11)</f>
        <v>-555.555555555556</v>
      </c>
      <c r="S14" s="34" t="n">
        <f aca="false">INDEX(Monthly!$C$49:$BJ$49,($R$2-1)*12+12)</f>
        <v>-555.555555555556</v>
      </c>
    </row>
    <row r="15" customFormat="false" ht="15" hidden="false" customHeight="false" outlineLevel="0" collapsed="false">
      <c r="A15" s="35" t="s">
        <v>94</v>
      </c>
      <c r="B15" s="36" t="n">
        <f aca="false">'P&amp;L'!B18</f>
        <v>-710063.143666832</v>
      </c>
      <c r="C15" s="36" t="n">
        <f aca="false">'P&amp;L'!C18</f>
        <v>-827339.630239505</v>
      </c>
      <c r="D15" s="36" t="n">
        <f aca="false">'P&amp;L'!D18</f>
        <v>-1163119.31316928</v>
      </c>
      <c r="E15" s="36" t="n">
        <f aca="false">'P&amp;L'!E18</f>
        <v>-1818164.55963553</v>
      </c>
      <c r="F15" s="36" t="n">
        <f aca="false">'P&amp;L'!F18</f>
        <v>-2984436.0341689</v>
      </c>
      <c r="H15" s="36" t="n">
        <f aca="false">INDEX(Monthly!$C$38:$BJ$38,($R$2-1)*12+1)</f>
        <v>-71828.2458333333</v>
      </c>
      <c r="I15" s="36" t="n">
        <f aca="false">INDEX(Monthly!$C$38:$BJ$38,($R$2-1)*12+2)</f>
        <v>-69331.0897430556</v>
      </c>
      <c r="J15" s="36" t="n">
        <f aca="false">INDEX(Monthly!$C$38:$BJ$38,($R$2-1)*12+3)</f>
        <v>-66896.0781089236</v>
      </c>
      <c r="K15" s="36" t="n">
        <f aca="false">INDEX(Monthly!$C$38:$BJ$38,($R$2-1)*12+4)</f>
        <v>-64521.6658529172</v>
      </c>
      <c r="L15" s="36" t="n">
        <f aca="false">INDEX(Monthly!$C$38:$BJ$38,($R$2-1)*12+5)</f>
        <v>-62206.346267965</v>
      </c>
      <c r="M15" s="36" t="n">
        <f aca="false">INDEX(Monthly!$C$38:$BJ$38,($R$2-1)*12+6)</f>
        <v>-59948.650066351</v>
      </c>
      <c r="N15" s="36" t="n">
        <f aca="false">INDEX(Monthly!$C$38:$BJ$38,($R$2-1)*12+7)</f>
        <v>-57747.1444516804</v>
      </c>
      <c r="O15" s="36" t="n">
        <f aca="false">INDEX(Monthly!$C$38:$BJ$38,($R$2-1)*12+8)</f>
        <v>-55600.4322138224</v>
      </c>
      <c r="P15" s="36" t="n">
        <f aca="false">INDEX(Monthly!$C$38:$BJ$38,($R$2-1)*12+9)</f>
        <v>-53507.1508462635</v>
      </c>
      <c r="Q15" s="36" t="n">
        <f aca="false">INDEX(Monthly!$C$38:$BJ$38,($R$2-1)*12+10)</f>
        <v>-51465.9716853155</v>
      </c>
      <c r="R15" s="36" t="n">
        <f aca="false">INDEX(Monthly!$C$38:$BJ$38,($R$2-1)*12+11)</f>
        <v>-49475.5990706404</v>
      </c>
      <c r="S15" s="36" t="n">
        <f aca="false">INDEX(Monthly!$C$38:$BJ$38,($R$2-1)*12+12)</f>
        <v>-47534.7695265641</v>
      </c>
    </row>
    <row r="16" customFormat="false" ht="15" hidden="false" customHeight="false" outlineLevel="0" collapsed="false">
      <c r="A16" s="57" t="s">
        <v>95</v>
      </c>
      <c r="B16" s="34" t="n">
        <f aca="false">'P&amp;L'!B19</f>
        <v>0</v>
      </c>
      <c r="C16" s="34" t="n">
        <f aca="false">'P&amp;L'!C19</f>
        <v>0</v>
      </c>
      <c r="D16" s="34" t="n">
        <f aca="false">'P&amp;L'!D19</f>
        <v>0</v>
      </c>
      <c r="E16" s="34" t="n">
        <f aca="false">'P&amp;L'!E19</f>
        <v>0</v>
      </c>
      <c r="F16" s="34" t="n">
        <f aca="false">'P&amp;L'!F19</f>
        <v>0</v>
      </c>
      <c r="H16" s="34" t="n">
        <f aca="false">INDEX(Monthly!$C$39:$BJ$39,($R$2-1)*12+1)</f>
        <v>-0</v>
      </c>
      <c r="I16" s="34" t="n">
        <f aca="false">INDEX(Monthly!$C$39:$BJ$39,($R$2-1)*12+2)</f>
        <v>-0</v>
      </c>
      <c r="J16" s="34" t="n">
        <f aca="false">INDEX(Monthly!$C$39:$BJ$39,($R$2-1)*12+3)</f>
        <v>-0</v>
      </c>
      <c r="K16" s="34" t="n">
        <f aca="false">INDEX(Monthly!$C$39:$BJ$39,($R$2-1)*12+4)</f>
        <v>-0</v>
      </c>
      <c r="L16" s="34" t="n">
        <f aca="false">INDEX(Monthly!$C$39:$BJ$39,($R$2-1)*12+5)</f>
        <v>-0</v>
      </c>
      <c r="M16" s="34" t="n">
        <f aca="false">INDEX(Monthly!$C$39:$BJ$39,($R$2-1)*12+6)</f>
        <v>-0</v>
      </c>
      <c r="N16" s="34" t="n">
        <f aca="false">INDEX(Monthly!$C$39:$BJ$39,($R$2-1)*12+7)</f>
        <v>-0</v>
      </c>
      <c r="O16" s="34" t="n">
        <f aca="false">INDEX(Monthly!$C$39:$BJ$39,($R$2-1)*12+8)</f>
        <v>-0</v>
      </c>
      <c r="P16" s="34" t="n">
        <f aca="false">INDEX(Monthly!$C$39:$BJ$39,($R$2-1)*12+9)</f>
        <v>-0</v>
      </c>
      <c r="Q16" s="34" t="n">
        <f aca="false">INDEX(Monthly!$C$39:$BJ$39,($R$2-1)*12+10)</f>
        <v>-0</v>
      </c>
      <c r="R16" s="34" t="n">
        <f aca="false">INDEX(Monthly!$C$39:$BJ$39,($R$2-1)*12+11)</f>
        <v>-0</v>
      </c>
      <c r="S16" s="34" t="n">
        <f aca="false">INDEX(Monthly!$C$39:$BJ$39,($R$2-1)*12+12)</f>
        <v>-0</v>
      </c>
    </row>
    <row r="17" customFormat="false" ht="15" hidden="false" customHeight="false" outlineLevel="0" collapsed="false">
      <c r="A17" s="57" t="s">
        <v>96</v>
      </c>
      <c r="B17" s="34" t="n">
        <f aca="false">'P&amp;L'!B20</f>
        <v>-710063.143666832</v>
      </c>
      <c r="C17" s="34" t="n">
        <f aca="false">'P&amp;L'!C20</f>
        <v>-827339.630239505</v>
      </c>
      <c r="D17" s="34" t="n">
        <f aca="false">'P&amp;L'!D20</f>
        <v>-1163119.31316928</v>
      </c>
      <c r="E17" s="34" t="n">
        <f aca="false">'P&amp;L'!E20</f>
        <v>-1818164.55963553</v>
      </c>
      <c r="F17" s="34" t="n">
        <f aca="false">'P&amp;L'!F20</f>
        <v>-2984436.0341689</v>
      </c>
      <c r="H17" s="34" t="n">
        <f aca="false">INDEX(Monthly!$C$40:$BJ$40,($R$2-1)*12+1)</f>
        <v>-71828.2458333333</v>
      </c>
      <c r="I17" s="34" t="n">
        <f aca="false">INDEX(Monthly!$C$40:$BJ$40,($R$2-1)*12+2)</f>
        <v>-69331.0897430556</v>
      </c>
      <c r="J17" s="34" t="n">
        <f aca="false">INDEX(Monthly!$C$40:$BJ$40,($R$2-1)*12+3)</f>
        <v>-66896.0781089236</v>
      </c>
      <c r="K17" s="34" t="n">
        <f aca="false">INDEX(Monthly!$C$40:$BJ$40,($R$2-1)*12+4)</f>
        <v>-64521.6658529172</v>
      </c>
      <c r="L17" s="34" t="n">
        <f aca="false">INDEX(Monthly!$C$40:$BJ$40,($R$2-1)*12+5)</f>
        <v>-62206.346267965</v>
      </c>
      <c r="M17" s="34" t="n">
        <f aca="false">INDEX(Monthly!$C$40:$BJ$40,($R$2-1)*12+6)</f>
        <v>-59948.650066351</v>
      </c>
      <c r="N17" s="34" t="n">
        <f aca="false">INDEX(Monthly!$C$40:$BJ$40,($R$2-1)*12+7)</f>
        <v>-57747.1444516804</v>
      </c>
      <c r="O17" s="34" t="n">
        <f aca="false">INDEX(Monthly!$C$40:$BJ$40,($R$2-1)*12+8)</f>
        <v>-55600.4322138224</v>
      </c>
      <c r="P17" s="34" t="n">
        <f aca="false">INDEX(Monthly!$C$40:$BJ$40,($R$2-1)*12+9)</f>
        <v>-53507.1508462635</v>
      </c>
      <c r="Q17" s="34" t="n">
        <f aca="false">INDEX(Monthly!$C$40:$BJ$40,($R$2-1)*12+10)</f>
        <v>-51465.9716853155</v>
      </c>
      <c r="R17" s="34" t="n">
        <f aca="false">INDEX(Monthly!$C$40:$BJ$40,($R$2-1)*12+11)</f>
        <v>-49475.5990706404</v>
      </c>
      <c r="S17" s="34" t="n">
        <f aca="false">INDEX(Monthly!$C$40:$BJ$40,($R$2-1)*12+12)</f>
        <v>-47534.7695265641</v>
      </c>
    </row>
    <row r="18" customFormat="false" ht="15" hidden="false" customHeight="false" outlineLevel="0" collapsed="false">
      <c r="A18" s="57" t="s">
        <v>97</v>
      </c>
      <c r="B18" s="34" t="n">
        <f aca="false">'P&amp;L'!B21</f>
        <v>0</v>
      </c>
      <c r="C18" s="34" t="n">
        <f aca="false">'P&amp;L'!C21</f>
        <v>0</v>
      </c>
      <c r="D18" s="34" t="n">
        <f aca="false">'P&amp;L'!D21</f>
        <v>0</v>
      </c>
      <c r="E18" s="34" t="n">
        <f aca="false">'P&amp;L'!E21</f>
        <v>0</v>
      </c>
      <c r="F18" s="34" t="n">
        <f aca="false">'P&amp;L'!F21</f>
        <v>0</v>
      </c>
      <c r="H18" s="34" t="n">
        <f aca="false">INDEX(Monthly!$C$43:$BJ$43,($R$2-1)*12+1)</f>
        <v>-0</v>
      </c>
      <c r="I18" s="34" t="n">
        <f aca="false">INDEX(Monthly!$C$43:$BJ$43,($R$2-1)*12+2)</f>
        <v>-0</v>
      </c>
      <c r="J18" s="34" t="n">
        <f aca="false">INDEX(Monthly!$C$43:$BJ$43,($R$2-1)*12+3)</f>
        <v>-0</v>
      </c>
      <c r="K18" s="34" t="n">
        <f aca="false">INDEX(Monthly!$C$43:$BJ$43,($R$2-1)*12+4)</f>
        <v>-0</v>
      </c>
      <c r="L18" s="34" t="n">
        <f aca="false">INDEX(Monthly!$C$43:$BJ$43,($R$2-1)*12+5)</f>
        <v>-0</v>
      </c>
      <c r="M18" s="34" t="n">
        <f aca="false">INDEX(Monthly!$C$43:$BJ$43,($R$2-1)*12+6)</f>
        <v>-0</v>
      </c>
      <c r="N18" s="34" t="n">
        <f aca="false">INDEX(Monthly!$C$43:$BJ$43,($R$2-1)*12+7)</f>
        <v>-0</v>
      </c>
      <c r="O18" s="34" t="n">
        <f aca="false">INDEX(Monthly!$C$43:$BJ$43,($R$2-1)*12+8)</f>
        <v>-0</v>
      </c>
      <c r="P18" s="34" t="n">
        <f aca="false">INDEX(Monthly!$C$43:$BJ$43,($R$2-1)*12+9)</f>
        <v>-0</v>
      </c>
      <c r="Q18" s="34" t="n">
        <f aca="false">INDEX(Monthly!$C$43:$BJ$43,($R$2-1)*12+10)</f>
        <v>-0</v>
      </c>
      <c r="R18" s="34" t="n">
        <f aca="false">INDEX(Monthly!$C$43:$BJ$43,($R$2-1)*12+11)</f>
        <v>-0</v>
      </c>
      <c r="S18" s="34" t="n">
        <f aca="false">INDEX(Monthly!$C$43:$BJ$43,($R$2-1)*12+12)</f>
        <v>-0</v>
      </c>
    </row>
    <row r="19" customFormat="false" ht="15" hidden="false" customHeight="false" outlineLevel="0" collapsed="false">
      <c r="A19" s="39" t="s">
        <v>46</v>
      </c>
      <c r="B19" s="40" t="n">
        <f aca="false">'P&amp;L'!B22</f>
        <v>-710063.143666832</v>
      </c>
      <c r="C19" s="40" t="n">
        <f aca="false">'P&amp;L'!C22</f>
        <v>-827339.630239505</v>
      </c>
      <c r="D19" s="40" t="n">
        <f aca="false">'P&amp;L'!D22</f>
        <v>-1163119.31316928</v>
      </c>
      <c r="E19" s="40" t="n">
        <f aca="false">'P&amp;L'!E22</f>
        <v>-1818164.55963553</v>
      </c>
      <c r="F19" s="40" t="n">
        <f aca="false">'P&amp;L'!F22</f>
        <v>-2984436.0341689</v>
      </c>
      <c r="H19" s="40" t="n">
        <f aca="false">INDEX(Monthly!$C$44:$BJ$44,($R$2-1)*12+1)</f>
        <v>-71828.2458333333</v>
      </c>
      <c r="I19" s="40" t="n">
        <f aca="false">INDEX(Monthly!$C$44:$BJ$44,($R$2-1)*12+2)</f>
        <v>-69331.0897430556</v>
      </c>
      <c r="J19" s="40" t="n">
        <f aca="false">INDEX(Monthly!$C$44:$BJ$44,($R$2-1)*12+3)</f>
        <v>-66896.0781089236</v>
      </c>
      <c r="K19" s="40" t="n">
        <f aca="false">INDEX(Monthly!$C$44:$BJ$44,($R$2-1)*12+4)</f>
        <v>-64521.6658529172</v>
      </c>
      <c r="L19" s="40" t="n">
        <f aca="false">INDEX(Monthly!$C$44:$BJ$44,($R$2-1)*12+5)</f>
        <v>-62206.346267965</v>
      </c>
      <c r="M19" s="40" t="n">
        <f aca="false">INDEX(Monthly!$C$44:$BJ$44,($R$2-1)*12+6)</f>
        <v>-59948.650066351</v>
      </c>
      <c r="N19" s="40" t="n">
        <f aca="false">INDEX(Monthly!$C$44:$BJ$44,($R$2-1)*12+7)</f>
        <v>-57747.1444516804</v>
      </c>
      <c r="O19" s="40" t="n">
        <f aca="false">INDEX(Monthly!$C$44:$BJ$44,($R$2-1)*12+8)</f>
        <v>-55600.4322138224</v>
      </c>
      <c r="P19" s="40" t="n">
        <f aca="false">INDEX(Monthly!$C$44:$BJ$44,($R$2-1)*12+9)</f>
        <v>-53507.1508462635</v>
      </c>
      <c r="Q19" s="40" t="n">
        <f aca="false">INDEX(Monthly!$C$44:$BJ$44,($R$2-1)*12+10)</f>
        <v>-51465.9716853155</v>
      </c>
      <c r="R19" s="40" t="n">
        <f aca="false">INDEX(Monthly!$C$44:$BJ$44,($R$2-1)*12+11)</f>
        <v>-49475.5990706404</v>
      </c>
      <c r="S19" s="40" t="n">
        <f aca="false">INDEX(Monthly!$C$44:$BJ$44,($R$2-1)*12+12)</f>
        <v>-47534.7695265641</v>
      </c>
    </row>
    <row r="20" customFormat="false" ht="15" hidden="false" customHeight="false" outlineLevel="0" collapsed="false">
      <c r="A20" s="37" t="s">
        <v>47</v>
      </c>
      <c r="B20" s="38" t="n">
        <f aca="false">'P&amp;L'!B23</f>
        <v>-3.15002699570625</v>
      </c>
      <c r="C20" s="38" t="n">
        <f aca="false">'P&amp;L'!C23</f>
        <v>-1.39960578034041</v>
      </c>
      <c r="D20" s="38" t="n">
        <f aca="false">'P&amp;L'!D23</f>
        <v>-1.18759740589662</v>
      </c>
      <c r="E20" s="38" t="n">
        <f aca="false">'P&amp;L'!E23</f>
        <v>-1.2818580827054</v>
      </c>
      <c r="F20" s="38" t="n">
        <f aca="false">'P&amp;L'!F23</f>
        <v>-1.53914584998018</v>
      </c>
      <c r="H20" s="38" t="n">
        <f aca="false">IF(H7=0,0,H19/H7)</f>
        <v>-16.2991339289935</v>
      </c>
      <c r="I20" s="38" t="n">
        <f aca="false">IF(I7=0,0,I19/I7)</f>
        <v>-9.56990073255149</v>
      </c>
      <c r="J20" s="38" t="n">
        <f aca="false">IF(J7=0,0,J19/J7)</f>
        <v>-6.68186650313391</v>
      </c>
      <c r="K20" s="38" t="n">
        <f aca="false">IF(K7=0,0,K19/K7)</f>
        <v>-5.07673016026577</v>
      </c>
      <c r="L20" s="38" t="n">
        <f aca="false">IF(L7=0,0,L19/L7)</f>
        <v>-4.05528789821121</v>
      </c>
      <c r="M20" s="38" t="n">
        <f aca="false">IF(M7=0,0,M19/M7)</f>
        <v>-3.34832444564824</v>
      </c>
      <c r="N20" s="38" t="n">
        <f aca="false">IF(N7=0,0,N19/N7)</f>
        <v>-2.83012188997974</v>
      </c>
      <c r="O20" s="38" t="n">
        <f aca="false">IF(O7=0,0,O19/O7)</f>
        <v>-2.43409307938609</v>
      </c>
      <c r="P20" s="38" t="n">
        <f aca="false">IF(P7=0,0,P19/P7)</f>
        <v>-2.12167455785917</v>
      </c>
      <c r="Q20" s="38" t="n">
        <f aca="false">IF(Q7=0,0,Q19/Q7)</f>
        <v>-1.86898753038093</v>
      </c>
      <c r="R20" s="38" t="n">
        <f aca="false">IF(R7=0,0,R19/R7)</f>
        <v>-1.66045566640284</v>
      </c>
      <c r="S20" s="38" t="n">
        <f aca="false">IF(S7=0,0,S19/S7)</f>
        <v>-1.48548528117081</v>
      </c>
    </row>
    <row r="22" customFormat="false" ht="15.75" hidden="false" customHeight="true" outlineLevel="0" collapsed="false">
      <c r="A22" s="7" t="s">
        <v>98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2"/>
      <c r="B23" s="33" t="n">
        <v>1</v>
      </c>
      <c r="C23" s="33" t="n">
        <v>2</v>
      </c>
      <c r="D23" s="33" t="n">
        <v>3</v>
      </c>
      <c r="E23" s="33" t="n">
        <v>4</v>
      </c>
      <c r="F23" s="33" t="n">
        <v>5</v>
      </c>
      <c r="H23" s="56" t="n">
        <f aca="false">INDEX(Monthly!$C$4:$BJ$4,($R$2-1)*12+1)</f>
        <v>1</v>
      </c>
      <c r="I23" s="56" t="n">
        <f aca="false">INDEX(Monthly!$C$4:$BJ$4,($R$2-1)*12+2)</f>
        <v>2</v>
      </c>
      <c r="J23" s="56" t="n">
        <f aca="false">INDEX(Monthly!$C$4:$BJ$4,($R$2-1)*12+3)</f>
        <v>3</v>
      </c>
      <c r="K23" s="56" t="n">
        <f aca="false">INDEX(Monthly!$C$4:$BJ$4,($R$2-1)*12+4)</f>
        <v>4</v>
      </c>
      <c r="L23" s="56" t="n">
        <f aca="false">INDEX(Monthly!$C$4:$BJ$4,($R$2-1)*12+5)</f>
        <v>5</v>
      </c>
      <c r="M23" s="56" t="n">
        <f aca="false">INDEX(Monthly!$C$4:$BJ$4,($R$2-1)*12+6)</f>
        <v>6</v>
      </c>
      <c r="N23" s="56" t="n">
        <f aca="false">INDEX(Monthly!$C$4:$BJ$4,($R$2-1)*12+7)</f>
        <v>7</v>
      </c>
      <c r="O23" s="56" t="n">
        <f aca="false">INDEX(Monthly!$C$4:$BJ$4,($R$2-1)*12+8)</f>
        <v>8</v>
      </c>
      <c r="P23" s="56" t="n">
        <f aca="false">INDEX(Monthly!$C$4:$BJ$4,($R$2-1)*12+9)</f>
        <v>9</v>
      </c>
      <c r="Q23" s="56" t="n">
        <f aca="false">INDEX(Monthly!$C$4:$BJ$4,($R$2-1)*12+10)</f>
        <v>10</v>
      </c>
      <c r="R23" s="56" t="n">
        <f aca="false">INDEX(Monthly!$C$4:$BJ$4,($R$2-1)*12+11)</f>
        <v>11</v>
      </c>
      <c r="S23" s="56" t="n">
        <f aca="false">INDEX(Monthly!$C$4:$BJ$4,($R$2-1)*12+12)</f>
        <v>12</v>
      </c>
    </row>
    <row r="24" customFormat="false" ht="15" hidden="false" customHeight="false" outlineLevel="0" collapsed="false">
      <c r="A24" s="35" t="s">
        <v>48</v>
      </c>
      <c r="B24" s="36" t="n">
        <f aca="false">'Cash Flow'!B11</f>
        <v>-665196.514236771</v>
      </c>
      <c r="C24" s="36" t="n">
        <f aca="false">'Cash Flow'!C11</f>
        <v>-785208.41697933</v>
      </c>
      <c r="D24" s="36" t="n">
        <f aca="false">'Cash Flow'!D11</f>
        <v>-1117614.51512673</v>
      </c>
      <c r="E24" s="36" t="n">
        <f aca="false">'Cash Flow'!E11</f>
        <v>-1773179.37985021</v>
      </c>
      <c r="F24" s="36" t="n">
        <f aca="false">'Cash Flow'!F11</f>
        <v>-2930170.65655082</v>
      </c>
      <c r="H24" s="36" t="n">
        <f aca="false">INDEX(Monthly!$C$70:$BJ$70,($R$2-1)*12+1)</f>
        <v>-64465.1041666667</v>
      </c>
      <c r="I24" s="36" t="n">
        <f aca="false">INDEX(Monthly!$C$70:$BJ$70,($R$2-1)*12+2)</f>
        <v>-65545.5460069444</v>
      </c>
      <c r="J24" s="36" t="n">
        <f aca="false">INDEX(Monthly!$C$70:$BJ$70,($R$2-1)*12+3)</f>
        <v>-63191.5685234375</v>
      </c>
      <c r="K24" s="36" t="n">
        <f aca="false">INDEX(Monthly!$C$70:$BJ$70,($R$2-1)*12+4)</f>
        <v>-60896.1560309071</v>
      </c>
      <c r="L24" s="36" t="n">
        <f aca="false">INDEX(Monthly!$C$70:$BJ$70,($R$2-1)*12+5)</f>
        <v>-58657.8529379622</v>
      </c>
      <c r="M24" s="36" t="n">
        <f aca="false">INDEX(Monthly!$C$70:$BJ$70,($R$2-1)*12+6)</f>
        <v>-56475.239786995</v>
      </c>
      <c r="N24" s="36" t="n">
        <f aca="false">INDEX(Monthly!$C$70:$BJ$70,($R$2-1)*12+7)</f>
        <v>-54346.9323585164</v>
      </c>
      <c r="O24" s="36" t="n">
        <f aca="false">INDEX(Monthly!$C$70:$BJ$70,($R$2-1)*12+8)</f>
        <v>-52271.5807976527</v>
      </c>
      <c r="P24" s="36" t="n">
        <f aca="false">INDEX(Monthly!$C$70:$BJ$70,($R$2-1)*12+9)</f>
        <v>-50247.8687622566</v>
      </c>
      <c r="Q24" s="36" t="n">
        <f aca="false">INDEX(Monthly!$C$70:$BJ$70,($R$2-1)*12+10)</f>
        <v>-48274.5125920979</v>
      </c>
      <c r="R24" s="36" t="n">
        <f aca="false">INDEX(Monthly!$C$70:$BJ$70,($R$2-1)*12+11)</f>
        <v>-46350.2604986151</v>
      </c>
      <c r="S24" s="36" t="n">
        <f aca="false">INDEX(Monthly!$C$70:$BJ$70,($R$2-1)*12+12)</f>
        <v>-44473.8917747187</v>
      </c>
    </row>
    <row r="25" customFormat="false" ht="15" hidden="false" customHeight="false" outlineLevel="0" collapsed="false">
      <c r="A25" s="57" t="s">
        <v>99</v>
      </c>
      <c r="B25" s="34" t="n">
        <f aca="false">'Cash Flow'!B12</f>
        <v>-20000</v>
      </c>
      <c r="C25" s="34" t="n">
        <f aca="false">'Cash Flow'!C12</f>
        <v>0</v>
      </c>
      <c r="D25" s="34" t="n">
        <f aca="false">'Cash Flow'!D12</f>
        <v>0</v>
      </c>
      <c r="E25" s="34" t="n">
        <f aca="false">'Cash Flow'!E12</f>
        <v>0</v>
      </c>
      <c r="F25" s="34" t="n">
        <f aca="false">'Cash Flow'!F12</f>
        <v>0</v>
      </c>
      <c r="H25" s="34" t="n">
        <f aca="false">INDEX(Monthly!$C$71:$BJ$71,($R$2-1)*12+1)</f>
        <v>-20000</v>
      </c>
      <c r="I25" s="34" t="n">
        <f aca="false">INDEX(Monthly!$C$71:$BJ$71,($R$2-1)*12+2)</f>
        <v>-0</v>
      </c>
      <c r="J25" s="34" t="n">
        <f aca="false">INDEX(Monthly!$C$71:$BJ$71,($R$2-1)*12+3)</f>
        <v>-0</v>
      </c>
      <c r="K25" s="34" t="n">
        <f aca="false">INDEX(Monthly!$C$71:$BJ$71,($R$2-1)*12+4)</f>
        <v>-0</v>
      </c>
      <c r="L25" s="34" t="n">
        <f aca="false">INDEX(Monthly!$C$71:$BJ$71,($R$2-1)*12+5)</f>
        <v>-0</v>
      </c>
      <c r="M25" s="34" t="n">
        <f aca="false">INDEX(Monthly!$C$71:$BJ$71,($R$2-1)*12+6)</f>
        <v>-0</v>
      </c>
      <c r="N25" s="34" t="n">
        <f aca="false">INDEX(Monthly!$C$71:$BJ$71,($R$2-1)*12+7)</f>
        <v>-0</v>
      </c>
      <c r="O25" s="34" t="n">
        <f aca="false">INDEX(Monthly!$C$71:$BJ$71,($R$2-1)*12+8)</f>
        <v>-0</v>
      </c>
      <c r="P25" s="34" t="n">
        <f aca="false">INDEX(Monthly!$C$71:$BJ$71,($R$2-1)*12+9)</f>
        <v>-0</v>
      </c>
      <c r="Q25" s="34" t="n">
        <f aca="false">INDEX(Monthly!$C$71:$BJ$71,($R$2-1)*12+10)</f>
        <v>-0</v>
      </c>
      <c r="R25" s="34" t="n">
        <f aca="false">INDEX(Monthly!$C$71:$BJ$71,($R$2-1)*12+11)</f>
        <v>-0</v>
      </c>
      <c r="S25" s="34" t="n">
        <f aca="false">INDEX(Monthly!$C$71:$BJ$71,($R$2-1)*12+12)</f>
        <v>-0</v>
      </c>
    </row>
    <row r="26" customFormat="false" ht="15" hidden="false" customHeight="false" outlineLevel="0" collapsed="false">
      <c r="A26" s="57" t="s">
        <v>59</v>
      </c>
      <c r="B26" s="34" t="n">
        <f aca="false">'Cash Flow'!B13</f>
        <v>3000000</v>
      </c>
      <c r="C26" s="34" t="n">
        <f aca="false">'Cash Flow'!C13</f>
        <v>0</v>
      </c>
      <c r="D26" s="34" t="n">
        <f aca="false">'Cash Flow'!D13</f>
        <v>0</v>
      </c>
      <c r="E26" s="34" t="n">
        <f aca="false">'Cash Flow'!E13</f>
        <v>0</v>
      </c>
      <c r="F26" s="34" t="n">
        <f aca="false">'Cash Flow'!F13</f>
        <v>0</v>
      </c>
      <c r="H26" s="34" t="n">
        <f aca="false">INDEX(Monthly!$C$72:$BJ$72,($R$2-1)*12+1)</f>
        <v>3000000</v>
      </c>
      <c r="I26" s="34" t="n">
        <f aca="false">INDEX(Monthly!$C$72:$BJ$72,($R$2-1)*12+2)</f>
        <v>0</v>
      </c>
      <c r="J26" s="34" t="n">
        <f aca="false">INDEX(Monthly!$C$72:$BJ$72,($R$2-1)*12+3)</f>
        <v>0</v>
      </c>
      <c r="K26" s="34" t="n">
        <f aca="false">INDEX(Monthly!$C$72:$BJ$72,($R$2-1)*12+4)</f>
        <v>0</v>
      </c>
      <c r="L26" s="34" t="n">
        <f aca="false">INDEX(Monthly!$C$72:$BJ$72,($R$2-1)*12+5)</f>
        <v>0</v>
      </c>
      <c r="M26" s="34" t="n">
        <f aca="false">INDEX(Monthly!$C$72:$BJ$72,($R$2-1)*12+6)</f>
        <v>0</v>
      </c>
      <c r="N26" s="34" t="n">
        <f aca="false">INDEX(Monthly!$C$72:$BJ$72,($R$2-1)*12+7)</f>
        <v>0</v>
      </c>
      <c r="O26" s="34" t="n">
        <f aca="false">INDEX(Monthly!$C$72:$BJ$72,($R$2-1)*12+8)</f>
        <v>0</v>
      </c>
      <c r="P26" s="34" t="n">
        <f aca="false">INDEX(Monthly!$C$72:$BJ$72,($R$2-1)*12+9)</f>
        <v>0</v>
      </c>
      <c r="Q26" s="34" t="n">
        <f aca="false">INDEX(Monthly!$C$72:$BJ$72,($R$2-1)*12+10)</f>
        <v>0</v>
      </c>
      <c r="R26" s="34" t="n">
        <f aca="false">INDEX(Monthly!$C$72:$BJ$72,($R$2-1)*12+11)</f>
        <v>0</v>
      </c>
      <c r="S26" s="34" t="n">
        <f aca="false">INDEX(Monthly!$C$72:$BJ$72,($R$2-1)*12+12)</f>
        <v>0</v>
      </c>
    </row>
    <row r="27" customFormat="false" ht="15" hidden="false" customHeight="false" outlineLevel="0" collapsed="false">
      <c r="A27" s="57" t="s">
        <v>100</v>
      </c>
      <c r="B27" s="34" t="n">
        <f aca="false">'Cash Flow'!B14</f>
        <v>0</v>
      </c>
      <c r="C27" s="34" t="n">
        <f aca="false">'Cash Flow'!C14</f>
        <v>0</v>
      </c>
      <c r="D27" s="34" t="n">
        <f aca="false">'Cash Flow'!D14</f>
        <v>0</v>
      </c>
      <c r="E27" s="34" t="n">
        <f aca="false">'Cash Flow'!E14</f>
        <v>0</v>
      </c>
      <c r="F27" s="34" t="n">
        <f aca="false">'Cash Flow'!F14</f>
        <v>0</v>
      </c>
      <c r="H27" s="34" t="n">
        <f aca="false">INDEX(Monthly!$C$55:$BJ$55,($R$2-1)*12+1)</f>
        <v>0</v>
      </c>
      <c r="I27" s="34" t="n">
        <f aca="false">INDEX(Monthly!$C$55:$BJ$55,($R$2-1)*12+2)</f>
        <v>0</v>
      </c>
      <c r="J27" s="34" t="n">
        <f aca="false">INDEX(Monthly!$C$55:$BJ$55,($R$2-1)*12+3)</f>
        <v>0</v>
      </c>
      <c r="K27" s="34" t="n">
        <f aca="false">INDEX(Monthly!$C$55:$BJ$55,($R$2-1)*12+4)</f>
        <v>0</v>
      </c>
      <c r="L27" s="34" t="n">
        <f aca="false">INDEX(Monthly!$C$55:$BJ$55,($R$2-1)*12+5)</f>
        <v>0</v>
      </c>
      <c r="M27" s="34" t="n">
        <f aca="false">INDEX(Monthly!$C$55:$BJ$55,($R$2-1)*12+6)</f>
        <v>0</v>
      </c>
      <c r="N27" s="34" t="n">
        <f aca="false">INDEX(Monthly!$C$55:$BJ$55,($R$2-1)*12+7)</f>
        <v>0</v>
      </c>
      <c r="O27" s="34" t="n">
        <f aca="false">INDEX(Monthly!$C$55:$BJ$55,($R$2-1)*12+8)</f>
        <v>0</v>
      </c>
      <c r="P27" s="34" t="n">
        <f aca="false">INDEX(Monthly!$C$55:$BJ$55,($R$2-1)*12+9)</f>
        <v>0</v>
      </c>
      <c r="Q27" s="34" t="n">
        <f aca="false">INDEX(Monthly!$C$55:$BJ$55,($R$2-1)*12+10)</f>
        <v>0</v>
      </c>
      <c r="R27" s="34" t="n">
        <f aca="false">INDEX(Monthly!$C$55:$BJ$55,($R$2-1)*12+11)</f>
        <v>0</v>
      </c>
      <c r="S27" s="34" t="n">
        <f aca="false">INDEX(Monthly!$C$55:$BJ$55,($R$2-1)*12+12)</f>
        <v>0</v>
      </c>
    </row>
    <row r="28" customFormat="false" ht="15" hidden="false" customHeight="false" outlineLevel="0" collapsed="false">
      <c r="A28" s="57" t="s">
        <v>101</v>
      </c>
      <c r="B28" s="34" t="n">
        <f aca="false">'Cash Flow'!B15</f>
        <v>0</v>
      </c>
      <c r="C28" s="34" t="n">
        <f aca="false">'Cash Flow'!C15</f>
        <v>0</v>
      </c>
      <c r="D28" s="34" t="n">
        <f aca="false">'Cash Flow'!D15</f>
        <v>0</v>
      </c>
      <c r="E28" s="34" t="n">
        <f aca="false">'Cash Flow'!E15</f>
        <v>0</v>
      </c>
      <c r="F28" s="34" t="n">
        <f aca="false">'Cash Flow'!F15</f>
        <v>0</v>
      </c>
      <c r="H28" s="34" t="n">
        <f aca="false">INDEX(Monthly!$C$56:$BJ$56,($R$2-1)*12+1)</f>
        <v>-0</v>
      </c>
      <c r="I28" s="34" t="n">
        <f aca="false">INDEX(Monthly!$C$56:$BJ$56,($R$2-1)*12+2)</f>
        <v>-0</v>
      </c>
      <c r="J28" s="34" t="n">
        <f aca="false">INDEX(Monthly!$C$56:$BJ$56,($R$2-1)*12+3)</f>
        <v>-0</v>
      </c>
      <c r="K28" s="34" t="n">
        <f aca="false">INDEX(Monthly!$C$56:$BJ$56,($R$2-1)*12+4)</f>
        <v>-0</v>
      </c>
      <c r="L28" s="34" t="n">
        <f aca="false">INDEX(Monthly!$C$56:$BJ$56,($R$2-1)*12+5)</f>
        <v>-0</v>
      </c>
      <c r="M28" s="34" t="n">
        <f aca="false">INDEX(Monthly!$C$56:$BJ$56,($R$2-1)*12+6)</f>
        <v>-0</v>
      </c>
      <c r="N28" s="34" t="n">
        <f aca="false">INDEX(Monthly!$C$56:$BJ$56,($R$2-1)*12+7)</f>
        <v>-0</v>
      </c>
      <c r="O28" s="34" t="n">
        <f aca="false">INDEX(Monthly!$C$56:$BJ$56,($R$2-1)*12+8)</f>
        <v>-0</v>
      </c>
      <c r="P28" s="34" t="n">
        <f aca="false">INDEX(Monthly!$C$56:$BJ$56,($R$2-1)*12+9)</f>
        <v>-0</v>
      </c>
      <c r="Q28" s="34" t="n">
        <f aca="false">INDEX(Monthly!$C$56:$BJ$56,($R$2-1)*12+10)</f>
        <v>-0</v>
      </c>
      <c r="R28" s="34" t="n">
        <f aca="false">INDEX(Monthly!$C$56:$BJ$56,($R$2-1)*12+11)</f>
        <v>-0</v>
      </c>
      <c r="S28" s="34" t="n">
        <f aca="false">INDEX(Monthly!$C$56:$BJ$56,($R$2-1)*12+12)</f>
        <v>-0</v>
      </c>
    </row>
    <row r="29" customFormat="false" ht="15" hidden="false" customHeight="false" outlineLevel="0" collapsed="false">
      <c r="A29" s="35" t="s">
        <v>50</v>
      </c>
      <c r="B29" s="36" t="n">
        <f aca="false">'Cash Flow'!B16</f>
        <v>3000000</v>
      </c>
      <c r="C29" s="36" t="n">
        <f aca="false">'Cash Flow'!C16</f>
        <v>0</v>
      </c>
      <c r="D29" s="36" t="n">
        <f aca="false">'Cash Flow'!D16</f>
        <v>0</v>
      </c>
      <c r="E29" s="36" t="n">
        <f aca="false">'Cash Flow'!E16</f>
        <v>0</v>
      </c>
      <c r="F29" s="36" t="n">
        <f aca="false">'Cash Flow'!F16</f>
        <v>0</v>
      </c>
      <c r="H29" s="36" t="n">
        <f aca="false">INDEX(Monthly!$C$73:$BJ$73,($R$2-1)*12+1)</f>
        <v>3000000</v>
      </c>
      <c r="I29" s="36" t="n">
        <f aca="false">INDEX(Monthly!$C$73:$BJ$73,($R$2-1)*12+2)</f>
        <v>0</v>
      </c>
      <c r="J29" s="36" t="n">
        <f aca="false">INDEX(Monthly!$C$73:$BJ$73,($R$2-1)*12+3)</f>
        <v>0</v>
      </c>
      <c r="K29" s="36" t="n">
        <f aca="false">INDEX(Monthly!$C$73:$BJ$73,($R$2-1)*12+4)</f>
        <v>0</v>
      </c>
      <c r="L29" s="36" t="n">
        <f aca="false">INDEX(Monthly!$C$73:$BJ$73,($R$2-1)*12+5)</f>
        <v>0</v>
      </c>
      <c r="M29" s="36" t="n">
        <f aca="false">INDEX(Monthly!$C$73:$BJ$73,($R$2-1)*12+6)</f>
        <v>0</v>
      </c>
      <c r="N29" s="36" t="n">
        <f aca="false">INDEX(Monthly!$C$73:$BJ$73,($R$2-1)*12+7)</f>
        <v>0</v>
      </c>
      <c r="O29" s="36" t="n">
        <f aca="false">INDEX(Monthly!$C$73:$BJ$73,($R$2-1)*12+8)</f>
        <v>0</v>
      </c>
      <c r="P29" s="36" t="n">
        <f aca="false">INDEX(Monthly!$C$73:$BJ$73,($R$2-1)*12+9)</f>
        <v>0</v>
      </c>
      <c r="Q29" s="36" t="n">
        <f aca="false">INDEX(Monthly!$C$73:$BJ$73,($R$2-1)*12+10)</f>
        <v>0</v>
      </c>
      <c r="R29" s="36" t="n">
        <f aca="false">INDEX(Monthly!$C$73:$BJ$73,($R$2-1)*12+11)</f>
        <v>0</v>
      </c>
      <c r="S29" s="36" t="n">
        <f aca="false">INDEX(Monthly!$C$73:$BJ$73,($R$2-1)*12+12)</f>
        <v>0</v>
      </c>
    </row>
    <row r="30" customFormat="false" ht="15" hidden="false" customHeight="false" outlineLevel="0" collapsed="false">
      <c r="A30" s="35" t="s">
        <v>51</v>
      </c>
      <c r="B30" s="36" t="n">
        <f aca="false">'Cash Flow'!B17</f>
        <v>2314803.48576323</v>
      </c>
      <c r="C30" s="36" t="n">
        <f aca="false">'Cash Flow'!C17</f>
        <v>-785208.41697933</v>
      </c>
      <c r="D30" s="36" t="n">
        <f aca="false">'Cash Flow'!D17</f>
        <v>-1117614.51512673</v>
      </c>
      <c r="E30" s="36" t="n">
        <f aca="false">'Cash Flow'!E17</f>
        <v>-1773179.37985021</v>
      </c>
      <c r="F30" s="36" t="n">
        <f aca="false">'Cash Flow'!F17</f>
        <v>-2930170.65655082</v>
      </c>
      <c r="H30" s="36" t="n">
        <f aca="false">INDEX(Monthly!$C$74:$BJ$74,($R$2-1)*12+1)</f>
        <v>2915534.89583333</v>
      </c>
      <c r="I30" s="36" t="n">
        <f aca="false">INDEX(Monthly!$C$74:$BJ$74,($R$2-1)*12+2)</f>
        <v>-65545.5460069444</v>
      </c>
      <c r="J30" s="36" t="n">
        <f aca="false">INDEX(Monthly!$C$74:$BJ$74,($R$2-1)*12+3)</f>
        <v>-63191.5685234375</v>
      </c>
      <c r="K30" s="36" t="n">
        <f aca="false">INDEX(Monthly!$C$74:$BJ$74,($R$2-1)*12+4)</f>
        <v>-60896.1560309071</v>
      </c>
      <c r="L30" s="36" t="n">
        <f aca="false">INDEX(Monthly!$C$74:$BJ$74,($R$2-1)*12+5)</f>
        <v>-58657.8529379622</v>
      </c>
      <c r="M30" s="36" t="n">
        <f aca="false">INDEX(Monthly!$C$74:$BJ$74,($R$2-1)*12+6)</f>
        <v>-56475.239786995</v>
      </c>
      <c r="N30" s="36" t="n">
        <f aca="false">INDEX(Monthly!$C$74:$BJ$74,($R$2-1)*12+7)</f>
        <v>-54346.9323585164</v>
      </c>
      <c r="O30" s="36" t="n">
        <f aca="false">INDEX(Monthly!$C$74:$BJ$74,($R$2-1)*12+8)</f>
        <v>-52271.5807976527</v>
      </c>
      <c r="P30" s="36" t="n">
        <f aca="false">INDEX(Monthly!$C$74:$BJ$74,($R$2-1)*12+9)</f>
        <v>-50247.8687622566</v>
      </c>
      <c r="Q30" s="36" t="n">
        <f aca="false">INDEX(Monthly!$C$74:$BJ$74,($R$2-1)*12+10)</f>
        <v>-48274.5125920979</v>
      </c>
      <c r="R30" s="36" t="n">
        <f aca="false">INDEX(Monthly!$C$74:$BJ$74,($R$2-1)*12+11)</f>
        <v>-46350.2604986151</v>
      </c>
      <c r="S30" s="36" t="n">
        <f aca="false">INDEX(Monthly!$C$74:$BJ$74,($R$2-1)*12+12)</f>
        <v>-44473.8917747187</v>
      </c>
    </row>
    <row r="31" customFormat="false" ht="15" hidden="false" customHeight="false" outlineLevel="0" collapsed="false">
      <c r="A31" s="39" t="s">
        <v>102</v>
      </c>
      <c r="B31" s="40" t="n">
        <f aca="false">'Cash Flow'!B19</f>
        <v>2314803.48576323</v>
      </c>
      <c r="C31" s="40" t="n">
        <f aca="false">'Cash Flow'!C19</f>
        <v>1529595.0687839</v>
      </c>
      <c r="D31" s="40" t="n">
        <f aca="false">'Cash Flow'!D19</f>
        <v>411980.553657166</v>
      </c>
      <c r="E31" s="40" t="n">
        <f aca="false">'Cash Flow'!E19</f>
        <v>-1361198.82619305</v>
      </c>
      <c r="F31" s="40" t="n">
        <f aca="false">'Cash Flow'!F19</f>
        <v>-4291369.48274386</v>
      </c>
      <c r="H31" s="40" t="n">
        <f aca="false">INDEX(Monthly!$C$76:$BJ$76,($R$2-1)*12+1)</f>
        <v>2915534.89583333</v>
      </c>
      <c r="I31" s="40" t="n">
        <f aca="false">INDEX(Monthly!$C$76:$BJ$76,($R$2-1)*12+2)</f>
        <v>2849989.34982639</v>
      </c>
      <c r="J31" s="40" t="n">
        <f aca="false">INDEX(Monthly!$C$76:$BJ$76,($R$2-1)*12+3)</f>
        <v>2786797.78130295</v>
      </c>
      <c r="K31" s="40" t="n">
        <f aca="false">INDEX(Monthly!$C$76:$BJ$76,($R$2-1)*12+4)</f>
        <v>2725901.62527204</v>
      </c>
      <c r="L31" s="40" t="n">
        <f aca="false">INDEX(Monthly!$C$76:$BJ$76,($R$2-1)*12+5)</f>
        <v>2667243.77233408</v>
      </c>
      <c r="M31" s="40" t="n">
        <f aca="false">INDEX(Monthly!$C$76:$BJ$76,($R$2-1)*12+6)</f>
        <v>2610768.53254709</v>
      </c>
      <c r="N31" s="40" t="n">
        <f aca="false">INDEX(Monthly!$C$76:$BJ$76,($R$2-1)*12+7)</f>
        <v>2556421.60018857</v>
      </c>
      <c r="O31" s="40" t="n">
        <f aca="false">INDEX(Monthly!$C$76:$BJ$76,($R$2-1)*12+8)</f>
        <v>2504150.01939092</v>
      </c>
      <c r="P31" s="40" t="n">
        <f aca="false">INDEX(Monthly!$C$76:$BJ$76,($R$2-1)*12+9)</f>
        <v>2453902.15062866</v>
      </c>
      <c r="Q31" s="40" t="n">
        <f aca="false">INDEX(Monthly!$C$76:$BJ$76,($R$2-1)*12+10)</f>
        <v>2405627.63803656</v>
      </c>
      <c r="R31" s="40" t="n">
        <f aca="false">INDEX(Monthly!$C$76:$BJ$76,($R$2-1)*12+11)</f>
        <v>2359277.37753795</v>
      </c>
      <c r="S31" s="40" t="n">
        <f aca="false">INDEX(Monthly!$C$76:$BJ$76,($R$2-1)*12+12)</f>
        <v>2314803.48576323</v>
      </c>
    </row>
    <row r="39" customFormat="false" ht="15.75" hidden="false" customHeight="true" outlineLevel="0" collapsed="false">
      <c r="A39" s="7" t="s">
        <v>103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2"/>
      <c r="B40" s="33" t="n">
        <v>1</v>
      </c>
      <c r="C40" s="33" t="n">
        <v>2</v>
      </c>
      <c r="D40" s="33" t="n">
        <v>3</v>
      </c>
      <c r="E40" s="33" t="n">
        <v>4</v>
      </c>
      <c r="F40" s="33" t="n">
        <v>5</v>
      </c>
      <c r="H40" s="56" t="n">
        <f aca="false">INDEX(Monthly!$C$4:$BJ$4,($R$2-1)*12+1)</f>
        <v>1</v>
      </c>
      <c r="I40" s="56" t="n">
        <f aca="false">INDEX(Monthly!$C$4:$BJ$4,($R$2-1)*12+2)</f>
        <v>2</v>
      </c>
      <c r="J40" s="56" t="n">
        <f aca="false">INDEX(Monthly!$C$4:$BJ$4,($R$2-1)*12+3)</f>
        <v>3</v>
      </c>
      <c r="K40" s="56" t="n">
        <f aca="false">INDEX(Monthly!$C$4:$BJ$4,($R$2-1)*12+4)</f>
        <v>4</v>
      </c>
      <c r="L40" s="56" t="n">
        <f aca="false">INDEX(Monthly!$C$4:$BJ$4,($R$2-1)*12+5)</f>
        <v>5</v>
      </c>
      <c r="M40" s="56" t="n">
        <f aca="false">INDEX(Monthly!$C$4:$BJ$4,($R$2-1)*12+6)</f>
        <v>6</v>
      </c>
      <c r="N40" s="56" t="n">
        <f aca="false">INDEX(Monthly!$C$4:$BJ$4,($R$2-1)*12+7)</f>
        <v>7</v>
      </c>
      <c r="O40" s="56" t="n">
        <f aca="false">INDEX(Monthly!$C$4:$BJ$4,($R$2-1)*12+8)</f>
        <v>8</v>
      </c>
      <c r="P40" s="56" t="n">
        <f aca="false">INDEX(Monthly!$C$4:$BJ$4,($R$2-1)*12+9)</f>
        <v>9</v>
      </c>
      <c r="Q40" s="56" t="n">
        <f aca="false">INDEX(Monthly!$C$4:$BJ$4,($R$2-1)*12+10)</f>
        <v>10</v>
      </c>
      <c r="R40" s="56" t="n">
        <f aca="false">INDEX(Monthly!$C$4:$BJ$4,($R$2-1)*12+11)</f>
        <v>11</v>
      </c>
      <c r="S40" s="56" t="n">
        <f aca="false">INDEX(Monthly!$C$4:$BJ$4,($R$2-1)*12+12)</f>
        <v>12</v>
      </c>
    </row>
    <row r="41" customFormat="false" ht="15" hidden="false" customHeight="false" outlineLevel="0" collapsed="false">
      <c r="A41" s="57" t="s">
        <v>104</v>
      </c>
      <c r="B41" s="34" t="n">
        <f aca="false">'Balance Sheet'!B5</f>
        <v>2314803.48576323</v>
      </c>
      <c r="C41" s="34" t="n">
        <f aca="false">'Balance Sheet'!C5</f>
        <v>1529595.0687839</v>
      </c>
      <c r="D41" s="34" t="n">
        <f aca="false">'Balance Sheet'!D5</f>
        <v>411980.553657166</v>
      </c>
      <c r="E41" s="34" t="n">
        <f aca="false">'Balance Sheet'!E5</f>
        <v>-1361198.82619305</v>
      </c>
      <c r="F41" s="34" t="n">
        <f aca="false">'Balance Sheet'!F5</f>
        <v>-4291369.48274386</v>
      </c>
      <c r="H41" s="34" t="n">
        <f aca="false">INDEX(Monthly!$C$76:$BJ$76,($R$2-1)*12+1)</f>
        <v>2915534.89583333</v>
      </c>
      <c r="I41" s="34" t="n">
        <f aca="false">INDEX(Monthly!$C$76:$BJ$76,($R$2-1)*12+2)</f>
        <v>2849989.34982639</v>
      </c>
      <c r="J41" s="34" t="n">
        <f aca="false">INDEX(Monthly!$C$76:$BJ$76,($R$2-1)*12+3)</f>
        <v>2786797.78130295</v>
      </c>
      <c r="K41" s="34" t="n">
        <f aca="false">INDEX(Monthly!$C$76:$BJ$76,($R$2-1)*12+4)</f>
        <v>2725901.62527204</v>
      </c>
      <c r="L41" s="34" t="n">
        <f aca="false">INDEX(Monthly!$C$76:$BJ$76,($R$2-1)*12+5)</f>
        <v>2667243.77233408</v>
      </c>
      <c r="M41" s="34" t="n">
        <f aca="false">INDEX(Monthly!$C$76:$BJ$76,($R$2-1)*12+6)</f>
        <v>2610768.53254709</v>
      </c>
      <c r="N41" s="34" t="n">
        <f aca="false">INDEX(Monthly!$C$76:$BJ$76,($R$2-1)*12+7)</f>
        <v>2556421.60018857</v>
      </c>
      <c r="O41" s="34" t="n">
        <f aca="false">INDEX(Monthly!$C$76:$BJ$76,($R$2-1)*12+8)</f>
        <v>2504150.01939092</v>
      </c>
      <c r="P41" s="34" t="n">
        <f aca="false">INDEX(Monthly!$C$76:$BJ$76,($R$2-1)*12+9)</f>
        <v>2453902.15062866</v>
      </c>
      <c r="Q41" s="34" t="n">
        <f aca="false">INDEX(Monthly!$C$76:$BJ$76,($R$2-1)*12+10)</f>
        <v>2405627.63803656</v>
      </c>
      <c r="R41" s="34" t="n">
        <f aca="false">INDEX(Monthly!$C$76:$BJ$76,($R$2-1)*12+11)</f>
        <v>2359277.37753795</v>
      </c>
      <c r="S41" s="34" t="n">
        <f aca="false">INDEX(Monthly!$C$76:$BJ$76,($R$2-1)*12+12)</f>
        <v>2314803.48576323</v>
      </c>
    </row>
    <row r="42" customFormat="false" ht="15" hidden="false" customHeight="false" outlineLevel="0" collapsed="false">
      <c r="A42" s="57" t="s">
        <v>105</v>
      </c>
      <c r="B42" s="34" t="n">
        <f aca="false">'Balance Sheet'!B6</f>
        <v>5333.24812314293</v>
      </c>
      <c r="C42" s="34" t="n">
        <f aca="false">'Balance Sheet'!C6</f>
        <v>10462.4745740659</v>
      </c>
      <c r="D42" s="34" t="n">
        <f aca="false">'Balance Sheet'!D6</f>
        <v>16071.668718183</v>
      </c>
      <c r="E42" s="34" t="n">
        <f aca="false">'Balance Sheet'!E6</f>
        <v>22561.6326843184</v>
      </c>
      <c r="F42" s="34" t="n">
        <f aca="false">'Balance Sheet'!F6</f>
        <v>30385.0126181517</v>
      </c>
      <c r="H42" s="34" t="n">
        <f aca="false">INDEX(Monthly!$C$60:$BJ$60,($R$2-1)*12+1)</f>
        <v>734.479166666667</v>
      </c>
      <c r="I42" s="34" t="n">
        <f aca="false">INDEX(Monthly!$C$60:$BJ$60,($R$2-1)*12+2)</f>
        <v>1207.45052083333</v>
      </c>
      <c r="J42" s="34" t="n">
        <f aca="false">INDEX(Monthly!$C$60:$BJ$60,($R$2-1)*12+3)</f>
        <v>1668.59759114583</v>
      </c>
      <c r="K42" s="34" t="n">
        <f aca="false">INDEX(Monthly!$C$60:$BJ$60,($R$2-1)*12+4)</f>
        <v>2118.21598470052</v>
      </c>
      <c r="L42" s="34" t="n">
        <f aca="false">INDEX(Monthly!$C$60:$BJ$60,($R$2-1)*12+5)</f>
        <v>2556.59391841634</v>
      </c>
      <c r="M42" s="34" t="n">
        <f aca="false">INDEX(Monthly!$C$60:$BJ$60,($R$2-1)*12+6)</f>
        <v>2984.01240378927</v>
      </c>
      <c r="N42" s="34" t="n">
        <f aca="false">INDEX(Monthly!$C$60:$BJ$60,($R$2-1)*12+7)</f>
        <v>3400.74542702787</v>
      </c>
      <c r="O42" s="34" t="n">
        <f aca="false">INDEX(Monthly!$C$60:$BJ$60,($R$2-1)*12+8)</f>
        <v>3807.06012468551</v>
      </c>
      <c r="P42" s="34" t="n">
        <f aca="false">INDEX(Monthly!$C$60:$BJ$60,($R$2-1)*12+9)</f>
        <v>4203.2169549017</v>
      </c>
      <c r="Q42" s="34" t="n">
        <f aca="false">INDEX(Monthly!$C$60:$BJ$60,($R$2-1)*12+10)</f>
        <v>4589.46986436249</v>
      </c>
      <c r="R42" s="34" t="n">
        <f aca="false">INDEX(Monthly!$C$60:$BJ$60,($R$2-1)*12+11)</f>
        <v>4966.06645108676</v>
      </c>
      <c r="S42" s="34" t="n">
        <f aca="false">INDEX(Monthly!$C$60:$BJ$60,($R$2-1)*12+12)</f>
        <v>5333.24812314293</v>
      </c>
    </row>
    <row r="43" customFormat="false" ht="15" hidden="false" customHeight="false" outlineLevel="0" collapsed="false">
      <c r="A43" s="57" t="s">
        <v>106</v>
      </c>
      <c r="B43" s="34" t="n">
        <f aca="false">'Balance Sheet'!B7</f>
        <v>0</v>
      </c>
      <c r="C43" s="34" t="n">
        <f aca="false">'Balance Sheet'!C7</f>
        <v>0</v>
      </c>
      <c r="D43" s="34" t="n">
        <f aca="false">'Balance Sheet'!D7</f>
        <v>0</v>
      </c>
      <c r="E43" s="34" t="n">
        <f aca="false">'Balance Sheet'!E7</f>
        <v>0</v>
      </c>
      <c r="F43" s="34" t="n">
        <f aca="false">'Balance Sheet'!F7</f>
        <v>0</v>
      </c>
      <c r="H43" s="34" t="n">
        <f aca="false">INDEX(Monthly!$C$61:$BJ$61,($R$2-1)*12+1)</f>
        <v>0</v>
      </c>
      <c r="I43" s="34" t="n">
        <f aca="false">INDEX(Monthly!$C$61:$BJ$61,($R$2-1)*12+2)</f>
        <v>0</v>
      </c>
      <c r="J43" s="34" t="n">
        <f aca="false">INDEX(Monthly!$C$61:$BJ$61,($R$2-1)*12+3)</f>
        <v>0</v>
      </c>
      <c r="K43" s="34" t="n">
        <f aca="false">INDEX(Monthly!$C$61:$BJ$61,($R$2-1)*12+4)</f>
        <v>0</v>
      </c>
      <c r="L43" s="34" t="n">
        <f aca="false">INDEX(Monthly!$C$61:$BJ$61,($R$2-1)*12+5)</f>
        <v>0</v>
      </c>
      <c r="M43" s="34" t="n">
        <f aca="false">INDEX(Monthly!$C$61:$BJ$61,($R$2-1)*12+6)</f>
        <v>0</v>
      </c>
      <c r="N43" s="34" t="n">
        <f aca="false">INDEX(Monthly!$C$61:$BJ$61,($R$2-1)*12+7)</f>
        <v>0</v>
      </c>
      <c r="O43" s="34" t="n">
        <f aca="false">INDEX(Monthly!$C$61:$BJ$61,($R$2-1)*12+8)</f>
        <v>0</v>
      </c>
      <c r="P43" s="34" t="n">
        <f aca="false">INDEX(Monthly!$C$61:$BJ$61,($R$2-1)*12+9)</f>
        <v>0</v>
      </c>
      <c r="Q43" s="34" t="n">
        <f aca="false">INDEX(Monthly!$C$61:$BJ$61,($R$2-1)*12+10)</f>
        <v>0</v>
      </c>
      <c r="R43" s="34" t="n">
        <f aca="false">INDEX(Monthly!$C$61:$BJ$61,($R$2-1)*12+11)</f>
        <v>0</v>
      </c>
      <c r="S43" s="34" t="n">
        <f aca="false">INDEX(Monthly!$C$61:$BJ$61,($R$2-1)*12+12)</f>
        <v>0</v>
      </c>
    </row>
    <row r="44" customFormat="false" ht="15" hidden="false" customHeight="false" outlineLevel="0" collapsed="false">
      <c r="A44" s="57" t="s">
        <v>107</v>
      </c>
      <c r="B44" s="34" t="n">
        <f aca="false">'Balance Sheet'!B8</f>
        <v>13333.3333333333</v>
      </c>
      <c r="C44" s="34" t="n">
        <f aca="false">'Balance Sheet'!C8</f>
        <v>6666.66666666667</v>
      </c>
      <c r="D44" s="34" t="n">
        <f aca="false">'Balance Sheet'!D8</f>
        <v>0</v>
      </c>
      <c r="E44" s="34" t="n">
        <f aca="false">'Balance Sheet'!E8</f>
        <v>0</v>
      </c>
      <c r="F44" s="34" t="n">
        <f aca="false">'Balance Sheet'!F8</f>
        <v>0</v>
      </c>
      <c r="H44" s="34" t="n">
        <f aca="false">INDEX(Monthly!$C$51:$BJ$51,($R$2-1)*12+1)</f>
        <v>19444.4444444444</v>
      </c>
      <c r="I44" s="34" t="n">
        <f aca="false">INDEX(Monthly!$C$51:$BJ$51,($R$2-1)*12+2)</f>
        <v>18888.8888888889</v>
      </c>
      <c r="J44" s="34" t="n">
        <f aca="false">INDEX(Monthly!$C$51:$BJ$51,($R$2-1)*12+3)</f>
        <v>18333.3333333333</v>
      </c>
      <c r="K44" s="34" t="n">
        <f aca="false">INDEX(Monthly!$C$51:$BJ$51,($R$2-1)*12+4)</f>
        <v>17777.7777777778</v>
      </c>
      <c r="L44" s="34" t="n">
        <f aca="false">INDEX(Monthly!$C$51:$BJ$51,($R$2-1)*12+5)</f>
        <v>17222.2222222222</v>
      </c>
      <c r="M44" s="34" t="n">
        <f aca="false">INDEX(Monthly!$C$51:$BJ$51,($R$2-1)*12+6)</f>
        <v>16666.6666666667</v>
      </c>
      <c r="N44" s="34" t="n">
        <f aca="false">INDEX(Monthly!$C$51:$BJ$51,($R$2-1)*12+7)</f>
        <v>16111.1111111111</v>
      </c>
      <c r="O44" s="34" t="n">
        <f aca="false">INDEX(Monthly!$C$51:$BJ$51,($R$2-1)*12+8)</f>
        <v>15555.5555555556</v>
      </c>
      <c r="P44" s="34" t="n">
        <f aca="false">INDEX(Monthly!$C$51:$BJ$51,($R$2-1)*12+9)</f>
        <v>15000</v>
      </c>
      <c r="Q44" s="34" t="n">
        <f aca="false">INDEX(Monthly!$C$51:$BJ$51,($R$2-1)*12+10)</f>
        <v>14444.4444444444</v>
      </c>
      <c r="R44" s="34" t="n">
        <f aca="false">INDEX(Monthly!$C$51:$BJ$51,($R$2-1)*12+11)</f>
        <v>13888.8888888889</v>
      </c>
      <c r="S44" s="34" t="n">
        <f aca="false">INDEX(Monthly!$C$51:$BJ$51,($R$2-1)*12+12)</f>
        <v>13333.3333333333</v>
      </c>
    </row>
    <row r="45" customFormat="false" ht="15" hidden="false" customHeight="false" outlineLevel="0" collapsed="false">
      <c r="A45" s="35" t="s">
        <v>108</v>
      </c>
      <c r="B45" s="36" t="n">
        <f aca="false">'Balance Sheet'!B9</f>
        <v>2333470.06721971</v>
      </c>
      <c r="C45" s="36" t="n">
        <f aca="false">'Balance Sheet'!C9</f>
        <v>1546724.21002463</v>
      </c>
      <c r="D45" s="36" t="n">
        <f aca="false">'Balance Sheet'!D9</f>
        <v>428052.222375349</v>
      </c>
      <c r="E45" s="36" t="n">
        <f aca="false">'Balance Sheet'!E9</f>
        <v>-1338637.19350873</v>
      </c>
      <c r="F45" s="36" t="n">
        <f aca="false">'Balance Sheet'!F9</f>
        <v>-4260984.47012571</v>
      </c>
      <c r="H45" s="36" t="n">
        <f aca="false">INDEX(Monthly!$C$94:$BJ$94,($R$2-1)*12+1)</f>
        <v>2935713.81944444</v>
      </c>
      <c r="I45" s="36" t="n">
        <f aca="false">INDEX(Monthly!$C$94:$BJ$94,($R$2-1)*12+2)</f>
        <v>2870085.68923611</v>
      </c>
      <c r="J45" s="36" t="n">
        <f aca="false">INDEX(Monthly!$C$94:$BJ$94,($R$2-1)*12+3)</f>
        <v>2806799.71222743</v>
      </c>
      <c r="K45" s="36" t="n">
        <f aca="false">INDEX(Monthly!$C$94:$BJ$94,($R$2-1)*12+4)</f>
        <v>2745797.61903452</v>
      </c>
      <c r="L45" s="36" t="n">
        <f aca="false">INDEX(Monthly!$C$94:$BJ$94,($R$2-1)*12+5)</f>
        <v>2687022.58847472</v>
      </c>
      <c r="M45" s="36" t="n">
        <f aca="false">INDEX(Monthly!$C$94:$BJ$94,($R$2-1)*12+6)</f>
        <v>2630419.21161754</v>
      </c>
      <c r="N45" s="36" t="n">
        <f aca="false">INDEX(Monthly!$C$94:$BJ$94,($R$2-1)*12+7)</f>
        <v>2575933.45672671</v>
      </c>
      <c r="O45" s="36" t="n">
        <f aca="false">INDEX(Monthly!$C$94:$BJ$94,($R$2-1)*12+8)</f>
        <v>2523512.63507116</v>
      </c>
      <c r="P45" s="36" t="n">
        <f aca="false">INDEX(Monthly!$C$94:$BJ$94,($R$2-1)*12+9)</f>
        <v>2473105.36758356</v>
      </c>
      <c r="Q45" s="36" t="n">
        <f aca="false">INDEX(Monthly!$C$94:$BJ$94,($R$2-1)*12+10)</f>
        <v>2424661.55234537</v>
      </c>
      <c r="R45" s="36" t="n">
        <f aca="false">INDEX(Monthly!$C$94:$BJ$94,($R$2-1)*12+11)</f>
        <v>2378132.33287792</v>
      </c>
      <c r="S45" s="36" t="n">
        <f aca="false">INDEX(Monthly!$C$94:$BJ$94,($R$2-1)*12+12)</f>
        <v>2333470.06721971</v>
      </c>
    </row>
    <row r="46" customFormat="false" ht="15" hidden="false" customHeight="false" outlineLevel="0" collapsed="false">
      <c r="A46" s="57" t="s">
        <v>109</v>
      </c>
      <c r="B46" s="34" t="n">
        <f aca="false">'Balance Sheet'!B10</f>
        <v>3828.7027098661</v>
      </c>
      <c r="C46" s="34" t="n">
        <f aca="false">'Balance Sheet'!C10</f>
        <v>7462.45055381245</v>
      </c>
      <c r="D46" s="34" t="n">
        <f aca="false">'Balance Sheet'!D10</f>
        <v>11395.215307733</v>
      </c>
      <c r="E46" s="34" t="n">
        <f aca="false">'Balance Sheet'!E10</f>
        <v>15909.8392366991</v>
      </c>
      <c r="F46" s="34" t="n">
        <f aca="false">'Balance Sheet'!F10</f>
        <v>21319.292302329</v>
      </c>
      <c r="H46" s="34" t="n">
        <f aca="false">INDEX(Monthly!$C$62:$BJ$62,($R$2-1)*12+1)</f>
        <v>529.565277777778</v>
      </c>
      <c r="I46" s="34" t="n">
        <f aca="false">INDEX(Monthly!$C$62:$BJ$62,($R$2-1)*12+2)</f>
        <v>870.2373125</v>
      </c>
      <c r="J46" s="34" t="n">
        <f aca="false">INDEX(Monthly!$C$62:$BJ$62,($R$2-1)*12+3)</f>
        <v>1202.10810024306</v>
      </c>
      <c r="K46" s="34" t="n">
        <f aca="false">INDEX(Monthly!$C$62:$BJ$62,($R$2-1)*12+4)</f>
        <v>1525.40620556476</v>
      </c>
      <c r="L46" s="34" t="n">
        <f aca="false">INDEX(Monthly!$C$62:$BJ$62,($R$2-1)*12+5)</f>
        <v>1840.35422290747</v>
      </c>
      <c r="M46" s="34" t="n">
        <f aca="false">INDEX(Monthly!$C$62:$BJ$62,($R$2-1)*12+6)</f>
        <v>2147.16893353105</v>
      </c>
      <c r="N46" s="34" t="n">
        <f aca="false">INDEX(Monthly!$C$62:$BJ$62,($R$2-1)*12+7)</f>
        <v>2446.06145829204</v>
      </c>
      <c r="O46" s="34" t="n">
        <f aca="false">INDEX(Monthly!$C$62:$BJ$62,($R$2-1)*12+8)</f>
        <v>2737.23740637992</v>
      </c>
      <c r="P46" s="34" t="n">
        <f aca="false">INDEX(Monthly!$C$62:$BJ$62,($R$2-1)*12+9)</f>
        <v>3020.89702011814</v>
      </c>
      <c r="Q46" s="34" t="n">
        <f aca="false">INDEX(Monthly!$C$62:$BJ$62,($R$2-1)*12+10)</f>
        <v>3297.23531593485</v>
      </c>
      <c r="R46" s="34" t="n">
        <f aca="false">INDEX(Monthly!$C$62:$BJ$62,($R$2-1)*12+11)</f>
        <v>3566.44222160545</v>
      </c>
      <c r="S46" s="34" t="n">
        <f aca="false">INDEX(Monthly!$C$62:$BJ$62,($R$2-1)*12+12)</f>
        <v>3828.7027098661</v>
      </c>
    </row>
    <row r="47" customFormat="false" ht="15" hidden="false" customHeight="false" outlineLevel="0" collapsed="false">
      <c r="A47" s="57" t="s">
        <v>110</v>
      </c>
      <c r="B47" s="34" t="n">
        <f aca="false">'Balance Sheet'!B11</f>
        <v>39704.5081766718</v>
      </c>
      <c r="C47" s="34" t="n">
        <f aca="false">'Balance Sheet'!C11</f>
        <v>76664.5333771572</v>
      </c>
      <c r="D47" s="34" t="n">
        <f aca="false">'Balance Sheet'!D11</f>
        <v>117179.094143235</v>
      </c>
      <c r="E47" s="34" t="n">
        <f aca="false">'Balance Sheet'!E11</f>
        <v>164139.613965726</v>
      </c>
      <c r="F47" s="34" t="n">
        <f aca="false">'Balance Sheet'!F11</f>
        <v>220818.918452008</v>
      </c>
      <c r="H47" s="34" t="n">
        <f aca="false">INDEX(Monthly!$C$66:$BJ$66,($R$2-1)*12+1)</f>
        <v>7012.5</v>
      </c>
      <c r="I47" s="34" t="n">
        <f aca="false">INDEX(Monthly!$C$66:$BJ$66,($R$2-1)*12+2)</f>
        <v>10374.7875</v>
      </c>
      <c r="J47" s="34" t="n">
        <f aca="false">INDEX(Monthly!$C$66:$BJ$66,($R$2-1)*12+3)</f>
        <v>13653.0178125</v>
      </c>
      <c r="K47" s="34" t="n">
        <f aca="false">INDEX(Monthly!$C$66:$BJ$66,($R$2-1)*12+4)</f>
        <v>16849.2923671875</v>
      </c>
      <c r="L47" s="34" t="n">
        <f aca="false">INDEX(Monthly!$C$66:$BJ$66,($R$2-1)*12+5)</f>
        <v>19965.6600580078</v>
      </c>
      <c r="M47" s="34" t="n">
        <f aca="false">INDEX(Monthly!$C$66:$BJ$66,($R$2-1)*12+6)</f>
        <v>23004.1185565576</v>
      </c>
      <c r="N47" s="34" t="n">
        <f aca="false">INDEX(Monthly!$C$66:$BJ$66,($R$2-1)*12+7)</f>
        <v>25966.6155926437</v>
      </c>
      <c r="O47" s="34" t="n">
        <f aca="false">INDEX(Monthly!$C$66:$BJ$66,($R$2-1)*12+8)</f>
        <v>28855.0502028276</v>
      </c>
      <c r="P47" s="34" t="n">
        <f aca="false">INDEX(Monthly!$C$66:$BJ$66,($R$2-1)*12+9)</f>
        <v>31671.2739477569</v>
      </c>
      <c r="Q47" s="34" t="n">
        <f aca="false">INDEX(Monthly!$C$66:$BJ$66,($R$2-1)*12+10)</f>
        <v>34417.092099063</v>
      </c>
      <c r="R47" s="34" t="n">
        <f aca="false">INDEX(Monthly!$C$66:$BJ$66,($R$2-1)*12+11)</f>
        <v>37094.2647965864</v>
      </c>
      <c r="S47" s="34" t="n">
        <f aca="false">INDEX(Monthly!$C$66:$BJ$66,($R$2-1)*12+12)</f>
        <v>39704.5081766718</v>
      </c>
    </row>
    <row r="48" customFormat="false" ht="15" hidden="false" customHeight="false" outlineLevel="0" collapsed="false">
      <c r="A48" s="57" t="s">
        <v>111</v>
      </c>
      <c r="B48" s="34" t="n">
        <f aca="false">'Balance Sheet'!B12</f>
        <v>0</v>
      </c>
      <c r="C48" s="34" t="n">
        <f aca="false">'Balance Sheet'!C12</f>
        <v>0</v>
      </c>
      <c r="D48" s="34" t="n">
        <f aca="false">'Balance Sheet'!D12</f>
        <v>0</v>
      </c>
      <c r="E48" s="34" t="n">
        <f aca="false">'Balance Sheet'!E12</f>
        <v>0</v>
      </c>
      <c r="F48" s="34" t="n">
        <f aca="false">'Balance Sheet'!F12</f>
        <v>0</v>
      </c>
      <c r="H48" s="34" t="n">
        <f aca="false">INDEX(Monthly!$C$57:$BJ$57,($R$2-1)*12+1)</f>
        <v>0</v>
      </c>
      <c r="I48" s="34" t="n">
        <f aca="false">INDEX(Monthly!$C$57:$BJ$57,($R$2-1)*12+2)</f>
        <v>0</v>
      </c>
      <c r="J48" s="34" t="n">
        <f aca="false">INDEX(Monthly!$C$57:$BJ$57,($R$2-1)*12+3)</f>
        <v>0</v>
      </c>
      <c r="K48" s="34" t="n">
        <f aca="false">INDEX(Monthly!$C$57:$BJ$57,($R$2-1)*12+4)</f>
        <v>0</v>
      </c>
      <c r="L48" s="34" t="n">
        <f aca="false">INDEX(Monthly!$C$57:$BJ$57,($R$2-1)*12+5)</f>
        <v>0</v>
      </c>
      <c r="M48" s="34" t="n">
        <f aca="false">INDEX(Monthly!$C$57:$BJ$57,($R$2-1)*12+6)</f>
        <v>0</v>
      </c>
      <c r="N48" s="34" t="n">
        <f aca="false">INDEX(Monthly!$C$57:$BJ$57,($R$2-1)*12+7)</f>
        <v>0</v>
      </c>
      <c r="O48" s="34" t="n">
        <f aca="false">INDEX(Monthly!$C$57:$BJ$57,($R$2-1)*12+8)</f>
        <v>0</v>
      </c>
      <c r="P48" s="34" t="n">
        <f aca="false">INDEX(Monthly!$C$57:$BJ$57,($R$2-1)*12+9)</f>
        <v>0</v>
      </c>
      <c r="Q48" s="34" t="n">
        <f aca="false">INDEX(Monthly!$C$57:$BJ$57,($R$2-1)*12+10)</f>
        <v>0</v>
      </c>
      <c r="R48" s="34" t="n">
        <f aca="false">INDEX(Monthly!$C$57:$BJ$57,($R$2-1)*12+11)</f>
        <v>0</v>
      </c>
      <c r="S48" s="34" t="n">
        <f aca="false">INDEX(Monthly!$C$57:$BJ$57,($R$2-1)*12+12)</f>
        <v>0</v>
      </c>
    </row>
    <row r="49" customFormat="false" ht="15" hidden="false" customHeight="false" outlineLevel="0" collapsed="false">
      <c r="A49" s="35" t="s">
        <v>112</v>
      </c>
      <c r="B49" s="36" t="n">
        <f aca="false">'Balance Sheet'!B13</f>
        <v>43533.2108865379</v>
      </c>
      <c r="C49" s="36" t="n">
        <f aca="false">'Balance Sheet'!C13</f>
        <v>84126.9839309697</v>
      </c>
      <c r="D49" s="36" t="n">
        <f aca="false">'Balance Sheet'!D13</f>
        <v>128574.309450968</v>
      </c>
      <c r="E49" s="36" t="n">
        <f aca="false">'Balance Sheet'!E13</f>
        <v>180049.453202425</v>
      </c>
      <c r="F49" s="36" t="n">
        <f aca="false">'Balance Sheet'!F13</f>
        <v>242138.210754337</v>
      </c>
      <c r="H49" s="36" t="n">
        <f aca="false">INDEX(Monthly!$C$95:$BJ$95,($R$2-1)*12+1)</f>
        <v>7542.06527777778</v>
      </c>
      <c r="I49" s="36" t="n">
        <f aca="false">INDEX(Monthly!$C$95:$BJ$95,($R$2-1)*12+2)</f>
        <v>11245.0248125</v>
      </c>
      <c r="J49" s="36" t="n">
        <f aca="false">INDEX(Monthly!$C$95:$BJ$95,($R$2-1)*12+3)</f>
        <v>14855.1259127431</v>
      </c>
      <c r="K49" s="36" t="n">
        <f aca="false">INDEX(Monthly!$C$95:$BJ$95,($R$2-1)*12+4)</f>
        <v>18374.6985727523</v>
      </c>
      <c r="L49" s="36" t="n">
        <f aca="false">INDEX(Monthly!$C$95:$BJ$95,($R$2-1)*12+5)</f>
        <v>21806.0142809153</v>
      </c>
      <c r="M49" s="36" t="n">
        <f aca="false">INDEX(Monthly!$C$95:$BJ$95,($R$2-1)*12+6)</f>
        <v>25151.2874900887</v>
      </c>
      <c r="N49" s="36" t="n">
        <f aca="false">INDEX(Monthly!$C$95:$BJ$95,($R$2-1)*12+7)</f>
        <v>28412.6770509357</v>
      </c>
      <c r="O49" s="36" t="n">
        <f aca="false">INDEX(Monthly!$C$95:$BJ$95,($R$2-1)*12+8)</f>
        <v>31592.2876092075</v>
      </c>
      <c r="P49" s="36" t="n">
        <f aca="false">INDEX(Monthly!$C$95:$BJ$95,($R$2-1)*12+9)</f>
        <v>34692.170967875</v>
      </c>
      <c r="Q49" s="36" t="n">
        <f aca="false">INDEX(Monthly!$C$95:$BJ$95,($R$2-1)*12+10)</f>
        <v>37714.3274149978</v>
      </c>
      <c r="R49" s="36" t="n">
        <f aca="false">INDEX(Monthly!$C$95:$BJ$95,($R$2-1)*12+11)</f>
        <v>40660.7070181919</v>
      </c>
      <c r="S49" s="36" t="n">
        <f aca="false">INDEX(Monthly!$C$95:$BJ$95,($R$2-1)*12+12)</f>
        <v>43533.2108865379</v>
      </c>
    </row>
    <row r="50" customFormat="false" ht="15" hidden="false" customHeight="false" outlineLevel="0" collapsed="false">
      <c r="A50" s="57" t="s">
        <v>113</v>
      </c>
      <c r="B50" s="34" t="n">
        <f aca="false">'Balance Sheet'!B14</f>
        <v>3000000</v>
      </c>
      <c r="C50" s="34" t="n">
        <f aca="false">'Balance Sheet'!C14</f>
        <v>3000000</v>
      </c>
      <c r="D50" s="34" t="n">
        <f aca="false">'Balance Sheet'!D14</f>
        <v>3000000</v>
      </c>
      <c r="E50" s="34" t="n">
        <f aca="false">'Balance Sheet'!E14</f>
        <v>3000000</v>
      </c>
      <c r="F50" s="34" t="n">
        <f aca="false">'Balance Sheet'!F14</f>
        <v>3000000</v>
      </c>
      <c r="H50" s="34" t="n">
        <f aca="false">INDEX(Monthly!$C$92:$BJ$92,($R$2-1)*12+1)</f>
        <v>3000000</v>
      </c>
      <c r="I50" s="34" t="n">
        <f aca="false">INDEX(Monthly!$C$92:$BJ$92,($R$2-1)*12+2)</f>
        <v>3000000</v>
      </c>
      <c r="J50" s="34" t="n">
        <f aca="false">INDEX(Monthly!$C$92:$BJ$92,($R$2-1)*12+3)</f>
        <v>3000000</v>
      </c>
      <c r="K50" s="34" t="n">
        <f aca="false">INDEX(Monthly!$C$92:$BJ$92,($R$2-1)*12+4)</f>
        <v>3000000</v>
      </c>
      <c r="L50" s="34" t="n">
        <f aca="false">INDEX(Monthly!$C$92:$BJ$92,($R$2-1)*12+5)</f>
        <v>3000000</v>
      </c>
      <c r="M50" s="34" t="n">
        <f aca="false">INDEX(Monthly!$C$92:$BJ$92,($R$2-1)*12+6)</f>
        <v>3000000</v>
      </c>
      <c r="N50" s="34" t="n">
        <f aca="false">INDEX(Monthly!$C$92:$BJ$92,($R$2-1)*12+7)</f>
        <v>3000000</v>
      </c>
      <c r="O50" s="34" t="n">
        <f aca="false">INDEX(Monthly!$C$92:$BJ$92,($R$2-1)*12+8)</f>
        <v>3000000</v>
      </c>
      <c r="P50" s="34" t="n">
        <f aca="false">INDEX(Monthly!$C$92:$BJ$92,($R$2-1)*12+9)</f>
        <v>3000000</v>
      </c>
      <c r="Q50" s="34" t="n">
        <f aca="false">INDEX(Monthly!$C$92:$BJ$92,($R$2-1)*12+10)</f>
        <v>3000000</v>
      </c>
      <c r="R50" s="34" t="n">
        <f aca="false">INDEX(Monthly!$C$92:$BJ$92,($R$2-1)*12+11)</f>
        <v>3000000</v>
      </c>
      <c r="S50" s="34" t="n">
        <f aca="false">INDEX(Monthly!$C$92:$BJ$92,($R$2-1)*12+12)</f>
        <v>3000000</v>
      </c>
    </row>
    <row r="51" customFormat="false" ht="15" hidden="false" customHeight="false" outlineLevel="0" collapsed="false">
      <c r="A51" s="57" t="s">
        <v>114</v>
      </c>
      <c r="B51" s="34" t="n">
        <f aca="false">'Balance Sheet'!B15</f>
        <v>-710063.143666832</v>
      </c>
      <c r="C51" s="34" t="n">
        <f aca="false">'Balance Sheet'!C15</f>
        <v>-1537402.77390634</v>
      </c>
      <c r="D51" s="34" t="n">
        <f aca="false">'Balance Sheet'!D15</f>
        <v>-2700522.08707562</v>
      </c>
      <c r="E51" s="34" t="n">
        <f aca="false">'Balance Sheet'!E15</f>
        <v>-4518686.64671115</v>
      </c>
      <c r="F51" s="34" t="n">
        <f aca="false">'Balance Sheet'!F15</f>
        <v>-7503122.68088005</v>
      </c>
      <c r="H51" s="34" t="n">
        <f aca="false">INDEX(Monthly!$C$93:$BJ$93,($R$2-1)*12+1)</f>
        <v>-71828.2458333333</v>
      </c>
      <c r="I51" s="34" t="n">
        <f aca="false">INDEX(Monthly!$C$93:$BJ$93,($R$2-1)*12+2)</f>
        <v>-141159.335576389</v>
      </c>
      <c r="J51" s="34" t="n">
        <f aca="false">INDEX(Monthly!$C$93:$BJ$93,($R$2-1)*12+3)</f>
        <v>-208055.413685313</v>
      </c>
      <c r="K51" s="34" t="n">
        <f aca="false">INDEX(Monthly!$C$93:$BJ$93,($R$2-1)*12+4)</f>
        <v>-272577.07953823</v>
      </c>
      <c r="L51" s="34" t="n">
        <f aca="false">INDEX(Monthly!$C$93:$BJ$93,($R$2-1)*12+5)</f>
        <v>-334783.425806195</v>
      </c>
      <c r="M51" s="34" t="n">
        <f aca="false">INDEX(Monthly!$C$93:$BJ$93,($R$2-1)*12+6)</f>
        <v>-394732.075872546</v>
      </c>
      <c r="N51" s="34" t="n">
        <f aca="false">INDEX(Monthly!$C$93:$BJ$93,($R$2-1)*12+7)</f>
        <v>-452479.220324226</v>
      </c>
      <c r="O51" s="34" t="n">
        <f aca="false">INDEX(Monthly!$C$93:$BJ$93,($R$2-1)*12+8)</f>
        <v>-508079.652538049</v>
      </c>
      <c r="P51" s="34" t="n">
        <f aca="false">INDEX(Monthly!$C$93:$BJ$93,($R$2-1)*12+9)</f>
        <v>-561586.803384312</v>
      </c>
      <c r="Q51" s="34" t="n">
        <f aca="false">INDEX(Monthly!$C$93:$BJ$93,($R$2-1)*12+10)</f>
        <v>-613052.775069627</v>
      </c>
      <c r="R51" s="34" t="n">
        <f aca="false">INDEX(Monthly!$C$93:$BJ$93,($R$2-1)*12+11)</f>
        <v>-662528.374140268</v>
      </c>
      <c r="S51" s="34" t="n">
        <f aca="false">INDEX(Monthly!$C$93:$BJ$93,($R$2-1)*12+12)</f>
        <v>-710063.143666832</v>
      </c>
    </row>
    <row r="52" customFormat="false" ht="15" hidden="false" customHeight="false" outlineLevel="0" collapsed="false">
      <c r="A52" s="35" t="s">
        <v>115</v>
      </c>
      <c r="B52" s="36" t="n">
        <f aca="false">'Balance Sheet'!B16</f>
        <v>2289936.85633317</v>
      </c>
      <c r="C52" s="36" t="n">
        <f aca="false">'Balance Sheet'!C16</f>
        <v>1462597.22609366</v>
      </c>
      <c r="D52" s="36" t="n">
        <f aca="false">'Balance Sheet'!D16</f>
        <v>299477.91292438</v>
      </c>
      <c r="E52" s="36" t="n">
        <f aca="false">'Balance Sheet'!E16</f>
        <v>-1518686.64671115</v>
      </c>
      <c r="F52" s="36" t="n">
        <f aca="false">'Balance Sheet'!F16</f>
        <v>-4503122.68088005</v>
      </c>
      <c r="H52" s="36" t="n">
        <f aca="false">INDEX(Monthly!$C$96:$BJ$96,($R$2-1)*12+1)</f>
        <v>2928171.75416667</v>
      </c>
      <c r="I52" s="36" t="n">
        <f aca="false">INDEX(Monthly!$C$96:$BJ$96,($R$2-1)*12+2)</f>
        <v>2858840.66442361</v>
      </c>
      <c r="J52" s="36" t="n">
        <f aca="false">INDEX(Monthly!$C$96:$BJ$96,($R$2-1)*12+3)</f>
        <v>2791944.58631469</v>
      </c>
      <c r="K52" s="36" t="n">
        <f aca="false">INDEX(Monthly!$C$96:$BJ$96,($R$2-1)*12+4)</f>
        <v>2727422.92046177</v>
      </c>
      <c r="L52" s="36" t="n">
        <f aca="false">INDEX(Monthly!$C$96:$BJ$96,($R$2-1)*12+5)</f>
        <v>2665216.57419381</v>
      </c>
      <c r="M52" s="36" t="n">
        <f aca="false">INDEX(Monthly!$C$96:$BJ$96,($R$2-1)*12+6)</f>
        <v>2605267.92412745</v>
      </c>
      <c r="N52" s="36" t="n">
        <f aca="false">INDEX(Monthly!$C$96:$BJ$96,($R$2-1)*12+7)</f>
        <v>2547520.77967577</v>
      </c>
      <c r="O52" s="36" t="n">
        <f aca="false">INDEX(Monthly!$C$96:$BJ$96,($R$2-1)*12+8)</f>
        <v>2491920.34746195</v>
      </c>
      <c r="P52" s="36" t="n">
        <f aca="false">INDEX(Monthly!$C$96:$BJ$96,($R$2-1)*12+9)</f>
        <v>2438413.19661569</v>
      </c>
      <c r="Q52" s="36" t="n">
        <f aca="false">INDEX(Monthly!$C$96:$BJ$96,($R$2-1)*12+10)</f>
        <v>2386947.22493037</v>
      </c>
      <c r="R52" s="36" t="n">
        <f aca="false">INDEX(Monthly!$C$96:$BJ$96,($R$2-1)*12+11)</f>
        <v>2337471.62585973</v>
      </c>
      <c r="S52" s="36" t="n">
        <f aca="false">INDEX(Monthly!$C$96:$BJ$96,($R$2-1)*12+12)</f>
        <v>2289936.85633317</v>
      </c>
    </row>
    <row r="53" customFormat="false" ht="15" hidden="false" customHeight="false" outlineLevel="0" collapsed="false">
      <c r="A53" s="39" t="s">
        <v>116</v>
      </c>
      <c r="B53" s="40" t="n">
        <f aca="false">'Balance Sheet'!B17</f>
        <v>2333470.06721971</v>
      </c>
      <c r="C53" s="40" t="n">
        <f aca="false">'Balance Sheet'!C17</f>
        <v>1546724.21002463</v>
      </c>
      <c r="D53" s="40" t="n">
        <f aca="false">'Balance Sheet'!D17</f>
        <v>428052.222375348</v>
      </c>
      <c r="E53" s="40" t="n">
        <f aca="false">'Balance Sheet'!E17</f>
        <v>-1338637.19350873</v>
      </c>
      <c r="F53" s="40" t="n">
        <f aca="false">'Balance Sheet'!F17</f>
        <v>-4260984.47012571</v>
      </c>
      <c r="H53" s="40" t="n">
        <f aca="false">INDEX(Monthly!$C$97:$BJ$97,($R$2-1)*12+1)</f>
        <v>2935713.81944444</v>
      </c>
      <c r="I53" s="40" t="n">
        <f aca="false">INDEX(Monthly!$C$97:$BJ$97,($R$2-1)*12+2)</f>
        <v>2870085.68923611</v>
      </c>
      <c r="J53" s="40" t="n">
        <f aca="false">INDEX(Monthly!$C$97:$BJ$97,($R$2-1)*12+3)</f>
        <v>2806799.71222743</v>
      </c>
      <c r="K53" s="40" t="n">
        <f aca="false">INDEX(Monthly!$C$97:$BJ$97,($R$2-1)*12+4)</f>
        <v>2745797.61903452</v>
      </c>
      <c r="L53" s="40" t="n">
        <f aca="false">INDEX(Monthly!$C$97:$BJ$97,($R$2-1)*12+5)</f>
        <v>2687022.58847472</v>
      </c>
      <c r="M53" s="40" t="n">
        <f aca="false">INDEX(Monthly!$C$97:$BJ$97,($R$2-1)*12+6)</f>
        <v>2630419.21161754</v>
      </c>
      <c r="N53" s="40" t="n">
        <f aca="false">INDEX(Monthly!$C$97:$BJ$97,($R$2-1)*12+7)</f>
        <v>2575933.45672671</v>
      </c>
      <c r="O53" s="40" t="n">
        <f aca="false">INDEX(Monthly!$C$97:$BJ$97,($R$2-1)*12+8)</f>
        <v>2523512.63507116</v>
      </c>
      <c r="P53" s="40" t="n">
        <f aca="false">INDEX(Monthly!$C$97:$BJ$97,($R$2-1)*12+9)</f>
        <v>2473105.36758356</v>
      </c>
      <c r="Q53" s="40" t="n">
        <f aca="false">INDEX(Monthly!$C$97:$BJ$97,($R$2-1)*12+10)</f>
        <v>2424661.55234537</v>
      </c>
      <c r="R53" s="40" t="n">
        <f aca="false">INDEX(Monthly!$C$97:$BJ$97,($R$2-1)*12+11)</f>
        <v>2378132.33287792</v>
      </c>
      <c r="S53" s="40" t="n">
        <f aca="false">INDEX(Monthly!$C$97:$BJ$97,($R$2-1)*12+12)</f>
        <v>2333470.06721971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117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118</v>
      </c>
    </row>
    <row r="3" customFormat="false" ht="15" hidden="false" customHeight="false" outlineLevel="0" collapsed="false">
      <c r="A3" s="4" t="s">
        <v>119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120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121</v>
      </c>
      <c r="B6" s="58" t="n">
        <f aca="false">MATCH(MIN(Monthly!$C$76:$BJ$76),Monthly!$C$76:$BJ$76,0)</f>
        <v>60</v>
      </c>
    </row>
    <row r="7" customFormat="false" ht="15" hidden="false" customHeight="false" outlineLevel="0" collapsed="false">
      <c r="A7" s="6" t="s">
        <v>122</v>
      </c>
      <c r="B7" s="59" t="n">
        <f aca="false">SUMPRODUCT(--(Monthly!$C$4:$BJ$4&lt;=$B$6),Monthly!$C$47:$BJ$47)</f>
        <v>20000</v>
      </c>
    </row>
    <row r="8" customFormat="false" ht="15" hidden="false" customHeight="false" outlineLevel="0" collapsed="false">
      <c r="A8" s="6" t="s">
        <v>123</v>
      </c>
      <c r="B8" s="59" t="n">
        <f aca="false">-SUMPRODUCT(--(Monthly!$C$4:$BJ$4&lt;=$B$6),Monthly!$C$70:$BJ$70)</f>
        <v>7271369.48274386</v>
      </c>
      <c r="D8" s="18" t="s">
        <v>124</v>
      </c>
    </row>
    <row r="9" customFormat="false" ht="15" hidden="false" customHeight="false" outlineLevel="0" collapsed="false">
      <c r="A9" s="6" t="s">
        <v>125</v>
      </c>
      <c r="B9" s="59" t="n">
        <f aca="false">-SUMPRODUCT(--(Monthly!$C$4:$BJ$4&lt;=$B$6),Monthly!$C$56:$BJ$56)</f>
        <v>-0</v>
      </c>
    </row>
    <row r="10" customFormat="false" ht="15" hidden="false" customHeight="false" outlineLevel="0" collapsed="false">
      <c r="A10" s="4" t="s">
        <v>126</v>
      </c>
      <c r="B10" s="60" t="n">
        <f aca="false">B7+B8+B9</f>
        <v>7291369.48274386</v>
      </c>
    </row>
    <row r="11" customFormat="false" ht="15" hidden="false" customHeight="false" outlineLevel="0" collapsed="false">
      <c r="A11" s="6" t="s">
        <v>127</v>
      </c>
      <c r="B11" s="61" t="n">
        <f aca="false">Inputs!$E$61</f>
        <v>225000</v>
      </c>
      <c r="D11" s="18" t="s">
        <v>128</v>
      </c>
    </row>
    <row r="12" customFormat="false" ht="15" hidden="false" customHeight="false" outlineLevel="0" collapsed="false">
      <c r="A12" s="4" t="s">
        <v>129</v>
      </c>
      <c r="B12" s="60" t="n">
        <f aca="false">B10+B11</f>
        <v>7516369.48274386</v>
      </c>
    </row>
    <row r="14" customFormat="false" ht="15" hidden="false" customHeight="false" outlineLevel="0" collapsed="false">
      <c r="A14" s="6" t="s">
        <v>59</v>
      </c>
      <c r="B14" s="61" t="n">
        <f aca="false">Inputs!$E$46</f>
        <v>3000000</v>
      </c>
    </row>
    <row r="15" customFormat="false" ht="15" hidden="false" customHeight="false" outlineLevel="0" collapsed="false">
      <c r="A15" s="6" t="s">
        <v>60</v>
      </c>
      <c r="B15" s="61" t="n">
        <f aca="false">Inputs!$E$47</f>
        <v>0</v>
      </c>
    </row>
    <row r="16" customFormat="false" ht="15" hidden="false" customHeight="false" outlineLevel="0" collapsed="false">
      <c r="A16" s="4" t="s">
        <v>130</v>
      </c>
      <c r="B16" s="60" t="n">
        <f aca="false">B14+B15</f>
        <v>3000000</v>
      </c>
    </row>
    <row r="17" customFormat="false" ht="15" hidden="false" customHeight="false" outlineLevel="0" collapsed="false">
      <c r="A17" s="62" t="s">
        <v>62</v>
      </c>
      <c r="B17" s="63" t="n">
        <f aca="false">B16-B12</f>
        <v>-4516369.48274386</v>
      </c>
      <c r="D17" s="18" t="s">
        <v>131</v>
      </c>
    </row>
    <row r="18" customFormat="false" ht="15" hidden="false" customHeight="false" outlineLevel="0" collapsed="false">
      <c r="A18" s="6" t="s">
        <v>132</v>
      </c>
      <c r="B18" s="59" t="n">
        <f aca="false">MIN(Monthly!$C$76:$BJ$76)</f>
        <v>-4291369.48274386</v>
      </c>
      <c r="D18" s="18" t="s">
        <v>133</v>
      </c>
    </row>
    <row r="20" customFormat="false" ht="15.75" hidden="false" customHeight="true" outlineLevel="0" collapsed="false">
      <c r="A20" s="7" t="s">
        <v>134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135</v>
      </c>
      <c r="B21" s="58" t="str">
        <f aca="false">IFERROR(MATCH(1,Monthly!$C$77:$BJ$77,0),"Not within horizon")</f>
        <v>Not within horizon</v>
      </c>
    </row>
    <row r="22" customFormat="false" ht="15" hidden="false" customHeight="false" outlineLevel="0" collapsed="false">
      <c r="A22" s="6" t="s">
        <v>136</v>
      </c>
      <c r="B22" s="58" t="str">
        <f aca="false">IFERROR(MATCH(1,Monthly!$C$84:$BJ$84,0),"Not within horizon")</f>
        <v>Not within horizon</v>
      </c>
    </row>
    <row r="23" customFormat="false" ht="15" hidden="false" customHeight="false" outlineLevel="0" collapsed="false">
      <c r="A23" s="6" t="s">
        <v>137</v>
      </c>
      <c r="B23" s="58" t="str">
        <f aca="false">IF(MIN(Monthly!$C$86:$BJ$86)&gt;=0,"No investment to pay back",IFERROR(MATCH(1,Monthly!$C$88:$BJ$88,0),"Not within horizon"))</f>
        <v>Not within horizon</v>
      </c>
      <c r="D23" s="18" t="s">
        <v>138</v>
      </c>
    </row>
    <row r="25" customFormat="false" ht="15.75" hidden="false" customHeight="true" outlineLevel="0" collapsed="false">
      <c r="A25" s="7" t="s">
        <v>139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47" t="s">
        <v>69</v>
      </c>
      <c r="B26" s="47" t="n">
        <v>1</v>
      </c>
      <c r="C26" s="47" t="n">
        <v>2</v>
      </c>
      <c r="D26" s="47" t="n">
        <v>3</v>
      </c>
      <c r="E26" s="47" t="n">
        <v>4</v>
      </c>
      <c r="F26" s="47" t="n">
        <v>5</v>
      </c>
    </row>
    <row r="27" customFormat="false" ht="15" hidden="false" customHeight="false" outlineLevel="0" collapsed="false">
      <c r="A27" s="32"/>
      <c r="B27" s="48" t="s">
        <v>70</v>
      </c>
      <c r="C27" s="48" t="s">
        <v>71</v>
      </c>
      <c r="D27" s="48" t="s">
        <v>72</v>
      </c>
      <c r="E27" s="48" t="s">
        <v>73</v>
      </c>
      <c r="F27" s="48" t="s">
        <v>74</v>
      </c>
    </row>
    <row r="28" customFormat="false" ht="15" hidden="false" customHeight="false" outlineLevel="0" collapsed="false">
      <c r="A28" s="4" t="s">
        <v>40</v>
      </c>
      <c r="B28" s="64" t="n">
        <f aca="false">SUMIF(Monthly!$C$5:$BJ$5,B$26,Monthly!$C$24:$BJ$24)</f>
        <v>225414.939184555</v>
      </c>
      <c r="C28" s="64" t="n">
        <f aca="false">SUMIF(Monthly!$C$5:$BJ$5,C$26,Monthly!$C$24:$BJ$24)</f>
        <v>591123.330484019</v>
      </c>
      <c r="D28" s="64" t="n">
        <f aca="false">SUMIF(Monthly!$C$5:$BJ$5,D$26,Monthly!$C$24:$BJ$24)</f>
        <v>979388.559956597</v>
      </c>
      <c r="E28" s="64" t="n">
        <f aca="false">SUMIF(Monthly!$C$5:$BJ$5,E$26,Monthly!$C$24:$BJ$24)</f>
        <v>1418382.10030103</v>
      </c>
      <c r="F28" s="64" t="n">
        <f aca="false">SUMIF(Monthly!$C$5:$BJ$5,F$26,Monthly!$C$24:$BJ$24)</f>
        <v>1939020.94087271</v>
      </c>
    </row>
    <row r="29" customFormat="false" ht="15" hidden="false" customHeight="false" outlineLevel="0" collapsed="false">
      <c r="A29" s="6" t="s">
        <v>41</v>
      </c>
      <c r="B29" s="59" t="n">
        <f aca="false">SUMIF(Monthly!$C$5:$BJ$5,B$26,Monthly!$C$26:$BJ$26)</f>
        <v>198403.522999835</v>
      </c>
      <c r="C29" s="59" t="n">
        <f aca="false">SUMIF(Monthly!$C$5:$BJ$5,C$26,Monthly!$C$26:$BJ$26)</f>
        <v>520687.036427161</v>
      </c>
      <c r="D29" s="59" t="n">
        <f aca="false">SUMIF(Monthly!$C$5:$BJ$5,D$26,Monthly!$C$26:$BJ$26)</f>
        <v>863384.953497385</v>
      </c>
      <c r="E29" s="59" t="n">
        <f aca="false">SUMIF(Monthly!$C$5:$BJ$5,E$26,Monthly!$C$26:$BJ$26)</f>
        <v>1251317.69636447</v>
      </c>
      <c r="F29" s="59" t="n">
        <f aca="false">SUMIF(Monthly!$C$5:$BJ$5,F$26,Monthly!$C$26:$BJ$26)</f>
        <v>1711809.6051911</v>
      </c>
    </row>
    <row r="30" customFormat="false" ht="15" hidden="false" customHeight="false" outlineLevel="0" collapsed="false">
      <c r="A30" s="37" t="s">
        <v>140</v>
      </c>
      <c r="B30" s="53" t="n">
        <f aca="false">IF(B28=0,0,B29/B28)</f>
        <v>0.880170248332097</v>
      </c>
      <c r="C30" s="53" t="n">
        <f aca="false">IF(C28=0,0,C29/C28)</f>
        <v>0.880843319110441</v>
      </c>
      <c r="D30" s="53" t="n">
        <f aca="false">IF(D28=0,0,D29/D28)</f>
        <v>0.881555073030102</v>
      </c>
      <c r="E30" s="53" t="n">
        <f aca="false">IF(E28=0,0,E29/E28)</f>
        <v>0.882214810874232</v>
      </c>
      <c r="F30" s="53" t="n">
        <f aca="false">IF(F28=0,0,F29/F28)</f>
        <v>0.882821618430104</v>
      </c>
    </row>
    <row r="31" customFormat="false" ht="15" hidden="false" customHeight="false" outlineLevel="0" collapsed="false">
      <c r="A31" s="6" t="s">
        <v>141</v>
      </c>
      <c r="B31" s="59" t="n">
        <f aca="false">-SUMIF(Monthly!$C$5:$BJ$5,B$26,Monthly!$C$34:$BJ$34)</f>
        <v>901800</v>
      </c>
      <c r="C31" s="59" t="n">
        <f aca="false">-SUMIF(Monthly!$C$5:$BJ$5,C$26,Monthly!$C$34:$BJ$34)</f>
        <v>1341360</v>
      </c>
      <c r="D31" s="59" t="n">
        <f aca="false">-SUMIF(Monthly!$C$5:$BJ$5,D$26,Monthly!$C$34:$BJ$34)</f>
        <v>2019837.6</v>
      </c>
      <c r="E31" s="59" t="n">
        <f aca="false">-SUMIF(Monthly!$C$5:$BJ$5,E$26,Monthly!$C$34:$BJ$34)</f>
        <v>3069482.256</v>
      </c>
      <c r="F31" s="59" t="n">
        <f aca="false">-SUMIF(Monthly!$C$5:$BJ$5,F$26,Monthly!$C$34:$BJ$34)</f>
        <v>4696245.63936</v>
      </c>
    </row>
    <row r="32" customFormat="false" ht="15" hidden="false" customHeight="false" outlineLevel="0" collapsed="false">
      <c r="A32" s="4" t="s">
        <v>142</v>
      </c>
      <c r="B32" s="64" t="n">
        <f aca="false">IF(B30&gt;0,B31/B30,"n/a")</f>
        <v>1024574.50897584</v>
      </c>
      <c r="C32" s="64" t="n">
        <f aca="false">IF(C30&gt;0,C31/C30,"n/a")</f>
        <v>1522813.38905384</v>
      </c>
      <c r="D32" s="64" t="n">
        <f aca="false">IF(D30&gt;0,D31/D30,"n/a")</f>
        <v>2291221.11799251</v>
      </c>
      <c r="E32" s="64" t="n">
        <f aca="false">IF(E30&gt;0,E31/E30,"n/a")</f>
        <v>3479291.23175601</v>
      </c>
      <c r="F32" s="64" t="n">
        <f aca="false">IF(F30&gt;0,F31/F30,"n/a")</f>
        <v>5319586.13305279</v>
      </c>
    </row>
    <row r="33" customFormat="false" ht="15" hidden="false" customHeight="false" outlineLevel="0" collapsed="false">
      <c r="A33" s="37" t="s">
        <v>143</v>
      </c>
      <c r="B33" s="53" t="n">
        <f aca="false">IF(AND(ISNUMBER(B32),B28&gt;0),(B28-B32)/B28,"n/a")</f>
        <v>-3.54528219239712</v>
      </c>
      <c r="C33" s="53" t="n">
        <f aca="false">IF(AND(ISNUMBER(C32),C28&gt;0),(C28-C32)/C28,"n/a")</f>
        <v>-1.57613481066115</v>
      </c>
      <c r="D33" s="53" t="n">
        <f aca="false">IF(AND(ISNUMBER(D32),D28&gt;0),(D28-D32)/D28,"n/a")</f>
        <v>-1.3394403525543</v>
      </c>
      <c r="E33" s="53" t="n">
        <f aca="false">IF(AND(ISNUMBER(E32),E28&gt;0),(E28-E32)/E28,"n/a")</f>
        <v>-1.45299995749917</v>
      </c>
      <c r="F33" s="53" t="n">
        <f aca="false">IF(AND(ISNUMBER(F32),F28&gt;0),(F28-F32)/F28,"n/a")</f>
        <v>-1.74343923828825</v>
      </c>
    </row>
    <row r="35" customFormat="false" ht="15" hidden="false" customHeight="false" outlineLevel="0" collapsed="false">
      <c r="A35" s="37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145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146</v>
      </c>
    </row>
    <row r="3" customFormat="false" ht="15" hidden="false" customHeight="false" outlineLevel="0" collapsed="false">
      <c r="A3" s="4" t="s">
        <v>119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147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7" t="s">
        <v>148</v>
      </c>
      <c r="B6" s="65" t="n">
        <f aca="false">Inputs!$E$64</f>
        <v>0.2</v>
      </c>
    </row>
    <row r="7" customFormat="false" ht="15" hidden="false" customHeight="false" outlineLevel="0" collapsed="false">
      <c r="A7" s="37" t="s">
        <v>149</v>
      </c>
      <c r="B7" s="65" t="n">
        <f aca="false">Inputs!$E$65</f>
        <v>0.02</v>
      </c>
    </row>
    <row r="8" customFormat="false" ht="15" hidden="false" customHeight="false" outlineLevel="0" collapsed="false">
      <c r="A8" s="6" t="s">
        <v>150</v>
      </c>
      <c r="B8" s="66" t="n">
        <f aca="false">Inputs!$E$66</f>
        <v>4.5</v>
      </c>
    </row>
    <row r="9" customFormat="false" ht="15" hidden="false" customHeight="false" outlineLevel="0" collapsed="false">
      <c r="A9" s="37" t="s">
        <v>151</v>
      </c>
      <c r="B9" s="65" t="n">
        <f aca="false">Inputs!$E$58</f>
        <v>0.21</v>
      </c>
    </row>
    <row r="10" customFormat="false" ht="15" hidden="false" customHeight="false" outlineLevel="0" collapsed="false">
      <c r="A10" s="37" t="s">
        <v>152</v>
      </c>
      <c r="B10" s="65" t="n">
        <f aca="false">Inputs!$E$67</f>
        <v>0.01</v>
      </c>
    </row>
    <row r="11" customFormat="false" ht="15" hidden="false" customHeight="false" outlineLevel="0" collapsed="false">
      <c r="A11" s="37" t="s">
        <v>153</v>
      </c>
      <c r="B11" s="65" t="n">
        <f aca="false">Inputs!$E$68</f>
        <v>0.005</v>
      </c>
    </row>
    <row r="13" customFormat="false" ht="15.75" hidden="false" customHeight="true" outlineLevel="0" collapsed="false">
      <c r="A13" s="7" t="s">
        <v>154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47" t="s">
        <v>69</v>
      </c>
      <c r="B14" s="47" t="n">
        <v>1</v>
      </c>
      <c r="C14" s="47" t="n">
        <v>2</v>
      </c>
      <c r="D14" s="47" t="n">
        <v>3</v>
      </c>
      <c r="E14" s="47" t="n">
        <v>4</v>
      </c>
      <c r="F14" s="47" t="n">
        <v>5</v>
      </c>
    </row>
    <row r="15" customFormat="false" ht="15" hidden="false" customHeight="false" outlineLevel="0" collapsed="false">
      <c r="A15" s="32"/>
      <c r="B15" s="48" t="s">
        <v>70</v>
      </c>
      <c r="C15" s="48" t="s">
        <v>71</v>
      </c>
      <c r="D15" s="48" t="s">
        <v>72</v>
      </c>
      <c r="E15" s="48" t="s">
        <v>73</v>
      </c>
      <c r="F15" s="48" t="s">
        <v>74</v>
      </c>
    </row>
    <row r="16" customFormat="false" ht="15" hidden="false" customHeight="false" outlineLevel="0" collapsed="false">
      <c r="A16" s="6" t="s">
        <v>44</v>
      </c>
      <c r="B16" s="59" t="n">
        <f aca="false">SUMIF(Monthly!$C$5:$BJ$5,B$14,Monthly!$C$35:$BJ$35)</f>
        <v>-703396.477000165</v>
      </c>
      <c r="C16" s="59" t="n">
        <f aca="false">SUMIF(Monthly!$C$5:$BJ$5,C$14,Monthly!$C$35:$BJ$35)</f>
        <v>-820672.963572839</v>
      </c>
      <c r="D16" s="59" t="n">
        <f aca="false">SUMIF(Monthly!$C$5:$BJ$5,D$14,Monthly!$C$35:$BJ$35)</f>
        <v>-1156452.64650262</v>
      </c>
      <c r="E16" s="59" t="n">
        <f aca="false">SUMIF(Monthly!$C$5:$BJ$5,E$14,Monthly!$C$35:$BJ$35)</f>
        <v>-1818164.55963553</v>
      </c>
      <c r="F16" s="59" t="n">
        <f aca="false">SUMIF(Monthly!$C$5:$BJ$5,F$14,Monthly!$C$35:$BJ$35)</f>
        <v>-2984436.0341689</v>
      </c>
    </row>
    <row r="17" customFormat="false" ht="15" hidden="false" customHeight="false" outlineLevel="0" collapsed="false">
      <c r="A17" s="4" t="s">
        <v>155</v>
      </c>
      <c r="B17" s="64" t="n">
        <f aca="false">SUMIF(Monthly!$C$5:$BJ$5,B$14,Monthly!$C$89:$BJ$89)</f>
        <v>-685196.514236771</v>
      </c>
      <c r="C17" s="64" t="n">
        <f aca="false">SUMIF(Monthly!$C$5:$BJ$5,C$14,Monthly!$C$89:$BJ$89)</f>
        <v>-785208.41697933</v>
      </c>
      <c r="D17" s="64" t="n">
        <f aca="false">SUMIF(Monthly!$C$5:$BJ$5,D$14,Monthly!$C$89:$BJ$89)</f>
        <v>-1117614.51512673</v>
      </c>
      <c r="E17" s="64" t="n">
        <f aca="false">SUMIF(Monthly!$C$5:$BJ$5,E$14,Monthly!$C$89:$BJ$89)</f>
        <v>-1773179.37985021</v>
      </c>
      <c r="F17" s="64" t="n">
        <f aca="false">SUMIF(Monthly!$C$5:$BJ$5,F$14,Monthly!$C$89:$BJ$89)</f>
        <v>-2930170.65655082</v>
      </c>
    </row>
    <row r="18" customFormat="false" ht="15" hidden="false" customHeight="false" outlineLevel="0" collapsed="false">
      <c r="A18" s="6" t="s">
        <v>156</v>
      </c>
      <c r="B18" s="67" t="n">
        <f aca="false">1/(1+Inputs!$E$64)^B$14</f>
        <v>0.833333333333333</v>
      </c>
      <c r="C18" s="67" t="n">
        <f aca="false">1/(1+Inputs!$E$64)^C$14</f>
        <v>0.694444444444444</v>
      </c>
      <c r="D18" s="67" t="n">
        <f aca="false">1/(1+Inputs!$E$64)^D$14</f>
        <v>0.578703703703704</v>
      </c>
      <c r="E18" s="67" t="n">
        <f aca="false">1/(1+Inputs!$E$64)^E$14</f>
        <v>0.482253086419753</v>
      </c>
      <c r="F18" s="67" t="n">
        <f aca="false">1/(1+Inputs!$E$64)^F$14</f>
        <v>0.401877572016461</v>
      </c>
    </row>
    <row r="19" customFormat="false" ht="15" hidden="false" customHeight="false" outlineLevel="0" collapsed="false">
      <c r="A19" s="6" t="s">
        <v>157</v>
      </c>
      <c r="B19" s="59" t="n">
        <f aca="false">B17*B18</f>
        <v>-570997.095197309</v>
      </c>
      <c r="C19" s="59" t="n">
        <f aca="false">C17*C18</f>
        <v>-545283.622902312</v>
      </c>
      <c r="D19" s="59" t="n">
        <f aca="false">D17*D18</f>
        <v>-646767.65921686</v>
      </c>
      <c r="E19" s="59" t="n">
        <f aca="false">E17*E18</f>
        <v>-855121.228708628</v>
      </c>
      <c r="F19" s="59" t="n">
        <f aca="false">F17*F18</f>
        <v>-1177569.86904852</v>
      </c>
    </row>
    <row r="21" customFormat="false" ht="15.75" hidden="false" customHeight="true" outlineLevel="0" collapsed="false">
      <c r="A21" s="7" t="s">
        <v>158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48" t="s">
        <v>159</v>
      </c>
      <c r="C22" s="48" t="s">
        <v>160</v>
      </c>
    </row>
    <row r="23" customFormat="false" ht="15" hidden="false" customHeight="false" outlineLevel="0" collapsed="false">
      <c r="A23" s="6" t="s">
        <v>161</v>
      </c>
      <c r="B23" s="59" t="n">
        <f aca="false">SUM($B$19:$F$19)</f>
        <v>-3795739.47507363</v>
      </c>
      <c r="C23" s="59" t="n">
        <f aca="false">B23</f>
        <v>-3795739.47507363</v>
      </c>
    </row>
    <row r="24" customFormat="false" ht="15" hidden="false" customHeight="false" outlineLevel="0" collapsed="false">
      <c r="A24" s="6" t="s">
        <v>162</v>
      </c>
      <c r="B24" s="59" t="n">
        <f aca="false">$F$17</f>
        <v>-2930170.65655082</v>
      </c>
      <c r="C24" s="59" t="n">
        <f aca="false">$F$16</f>
        <v>-2984436.0341689</v>
      </c>
    </row>
    <row r="25" customFormat="false" ht="15" hidden="false" customHeight="false" outlineLevel="0" collapsed="false">
      <c r="A25" s="6" t="s">
        <v>163</v>
      </c>
      <c r="B25" s="59" t="n">
        <f aca="false">IF($B$6&gt;$B$7,B24*(1+$B$7)/($B$6-$B$7),0)</f>
        <v>-16604300.3871213</v>
      </c>
      <c r="C25" s="59" t="n">
        <f aca="false">C24*$B$8</f>
        <v>-13429962.15376</v>
      </c>
    </row>
    <row r="26" customFormat="false" ht="15" hidden="false" customHeight="false" outlineLevel="0" collapsed="false">
      <c r="A26" s="6" t="s">
        <v>164</v>
      </c>
      <c r="B26" s="59" t="n">
        <f aca="false">B25/(1+$B$6)^$F$14</f>
        <v>-6672895.92460829</v>
      </c>
      <c r="C26" s="59" t="n">
        <f aca="false">C25/(1+$B$6)^$F$14</f>
        <v>-5397200.58262604</v>
      </c>
    </row>
    <row r="27" customFormat="false" ht="15" hidden="false" customHeight="false" outlineLevel="0" collapsed="false">
      <c r="A27" s="4" t="s">
        <v>158</v>
      </c>
      <c r="B27" s="60" t="n">
        <f aca="false">B23+B26</f>
        <v>-10468635.3996819</v>
      </c>
      <c r="C27" s="60" t="n">
        <f aca="false">C23+C26</f>
        <v>-9192940.05769967</v>
      </c>
    </row>
    <row r="28" customFormat="false" ht="15" hidden="false" customHeight="false" outlineLevel="0" collapsed="false">
      <c r="A28" s="37" t="s">
        <v>165</v>
      </c>
      <c r="B28" s="53" t="n">
        <f aca="false">IF(B27&lt;&gt;0,B26/B27,0)</f>
        <v>0.637417931740276</v>
      </c>
      <c r="C28" s="53" t="n">
        <f aca="false">IF(C27&lt;&gt;0,C26/C27,0)</f>
        <v>0.587102771121144</v>
      </c>
    </row>
    <row r="29" customFormat="false" ht="15" hidden="false" customHeight="false" outlineLevel="0" collapsed="false">
      <c r="A29" s="6" t="s">
        <v>166</v>
      </c>
      <c r="B29" s="54" t="str">
        <f aca="false">IF(C24&gt;0,B25/C24,"n/a")</f>
        <v>n/a</v>
      </c>
      <c r="C29" s="53" t="n">
        <f aca="false">IF(C25+B24&lt;&gt;0,(C25*$B$6-B24)/(C25+B24),"n/a")</f>
        <v>-0.01492519826275</v>
      </c>
    </row>
    <row r="30" customFormat="false" ht="15" hidden="false" customHeight="false" outlineLevel="0" collapsed="false">
      <c r="A30" s="62" t="s">
        <v>167</v>
      </c>
      <c r="B30" s="63" t="n">
        <f aca="false">AVERAGE(B27,C27)</f>
        <v>-9830787.7286908</v>
      </c>
    </row>
    <row r="32" customFormat="false" ht="15.75" hidden="false" customHeight="true" outlineLevel="0" collapsed="false">
      <c r="A32" s="7" t="s">
        <v>168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2" t="s">
        <v>169</v>
      </c>
      <c r="B33" s="68" t="n">
        <f aca="false">$B$7+(-2)*$B$11</f>
        <v>0.01</v>
      </c>
      <c r="C33" s="68" t="n">
        <f aca="false">$B$7+(-1)*$B$11</f>
        <v>0.015</v>
      </c>
      <c r="D33" s="68" t="n">
        <f aca="false">$B$7+(0)*$B$11</f>
        <v>0.02</v>
      </c>
      <c r="E33" s="68" t="n">
        <f aca="false">$B$7+(1)*$B$11</f>
        <v>0.025</v>
      </c>
      <c r="F33" s="68" t="n">
        <f aca="false">$B$7+(2)*$B$11</f>
        <v>0.03</v>
      </c>
    </row>
    <row r="34" customFormat="false" ht="15" hidden="false" customHeight="false" outlineLevel="0" collapsed="false">
      <c r="A34" s="53" t="n">
        <f aca="false">$B$6+(-2)*$B$10</f>
        <v>0.18</v>
      </c>
      <c r="B34" s="59" t="n">
        <f aca="false">IF($A34&gt;B$33,SUMPRODUCT($B$17:$F$17/(1+$A34)^$B$14:$F$14)+$F$17*(1+B$33)/($A34-B$33)/(1+$A34)^$F$14,"n/a")</f>
        <v>-11629691.1134322</v>
      </c>
      <c r="C34" s="59" t="n">
        <f aca="false">IF($A34&gt;C$33,SUMPRODUCT($B$17:$F$17/(1+$A34)^$B$14:$F$14)+$F$17*(1+C$33)/($A34-C$33)/(1+$A34)^$F$14,"n/a")</f>
        <v>-11899093.8633333</v>
      </c>
      <c r="D34" s="59" t="n">
        <f aca="false">IF($A34&gt;D$33,SUMPRODUCT($B$17:$F$17/(1+$A34)^$B$14:$F$14)+$F$17*(1+D$33)/($A34-D$33)/(1+$A34)^$F$14,"n/a")</f>
        <v>-12185334.2851033</v>
      </c>
      <c r="E34" s="59" t="n">
        <f aca="false">IF($A34&gt;E$33,SUMPRODUCT($B$17:$F$17/(1+$A34)^$B$14:$F$14)+$F$17*(1+E$33)/($A34-E$33)/(1+$A34)^$F$14,"n/a")</f>
        <v>-12490041.8308585</v>
      </c>
      <c r="F34" s="59" t="n">
        <f aca="false">IF($A34&gt;F$33,SUMPRODUCT($B$17:$F$17/(1+$A34)^$B$14:$F$14)+$F$17*(1+F$33)/($A34-F$33)/(1+$A34)^$F$14,"n/a")</f>
        <v>-12815063.2129973</v>
      </c>
    </row>
    <row r="35" customFormat="false" ht="15" hidden="false" customHeight="false" outlineLevel="0" collapsed="false">
      <c r="A35" s="53" t="n">
        <f aca="false">$B$6+(-1)*$B$10</f>
        <v>0.19</v>
      </c>
      <c r="B35" s="59" t="n">
        <f aca="false">IF($A35&gt;B$33,SUMPRODUCT($B$17:$F$17/(1+$A35)^$B$14:$F$14)+$F$17*(1+B$33)/($A35-B$33)/(1+$A35)^$F$14,"n/a")</f>
        <v>-10795413.1284337</v>
      </c>
      <c r="C35" s="59" t="n">
        <f aca="false">IF($A35&gt;C$33,SUMPRODUCT($B$17:$F$17/(1+$A35)^$B$14:$F$14)+$F$17*(1+C$33)/($A35-C$33)/(1+$A35)^$F$14,"n/a")</f>
        <v>-11027347.1828328</v>
      </c>
      <c r="D35" s="59" t="n">
        <f aca="false">IF($A35&gt;D$33,SUMPRODUCT($B$17:$F$17/(1+$A35)^$B$14:$F$14)+$F$17*(1+D$33)/($A35-D$33)/(1+$A35)^$F$14,"n/a")</f>
        <v>-11272924.4169025</v>
      </c>
      <c r="E35" s="59" t="n">
        <f aca="false">IF($A35&gt;E$33,SUMPRODUCT($B$17:$F$17/(1+$A35)^$B$14:$F$14)+$F$17*(1+E$33)/($A35-E$33)/(1+$A35)^$F$14,"n/a")</f>
        <v>-11533385.1197036</v>
      </c>
      <c r="F35" s="59" t="n">
        <f aca="false">IF($A35&gt;F$33,SUMPRODUCT($B$17:$F$17/(1+$A35)^$B$14:$F$14)+$F$17*(1+F$33)/($A35-F$33)/(1+$A35)^$F$14,"n/a")</f>
        <v>-11810124.6164298</v>
      </c>
    </row>
    <row r="36" customFormat="false" ht="15" hidden="false" customHeight="false" outlineLevel="0" collapsed="false">
      <c r="A36" s="53" t="n">
        <f aca="false">$B$6+(0)*$B$10</f>
        <v>0.2</v>
      </c>
      <c r="B36" s="59" t="n">
        <f aca="false">IF($A36&gt;B$33,SUMPRODUCT($B$17:$F$17/(1+$A36)^$B$14:$F$14)+$F$17*(1+B$33)/($A36-B$33)/(1+$A36)^$F$14,"n/a")</f>
        <v>-10055452.9894895</v>
      </c>
      <c r="C36" s="59" t="n">
        <f aca="false">IF($A36&gt;C$33,SUMPRODUCT($B$17:$F$17/(1+$A36)^$B$14:$F$14)+$F$17*(1+C$33)/($A36-C$33)/(1+$A36)^$F$14,"n/a")</f>
        <v>-10256460.648502</v>
      </c>
      <c r="D36" s="59" t="n">
        <f aca="false">IF($A36&gt;D$33,SUMPRODUCT($B$17:$F$17/(1+$A36)^$B$14:$F$14)+$F$17*(1+D$33)/($A36-D$33)/(1+$A36)^$F$14,"n/a")</f>
        <v>-10468635.3996819</v>
      </c>
      <c r="E36" s="59" t="n">
        <f aca="false">IF($A36&gt;E$33,SUMPRODUCT($B$17:$F$17/(1+$A36)^$B$14:$F$14)+$F$17*(1+E$33)/($A36-E$33)/(1+$A36)^$F$14,"n/a")</f>
        <v>-10692934.4223578</v>
      </c>
      <c r="F36" s="59" t="n">
        <f aca="false">IF($A36&gt;F$33,SUMPRODUCT($B$17:$F$17/(1+$A36)^$B$14:$F$14)+$F$17*(1+F$33)/($A36-F$33)/(1+$A36)^$F$14,"n/a")</f>
        <v>-10930427.5051911</v>
      </c>
    </row>
    <row r="37" customFormat="false" ht="15" hidden="false" customHeight="false" outlineLevel="0" collapsed="false">
      <c r="A37" s="53" t="n">
        <f aca="false">$B$6+(1)*$B$10</f>
        <v>0.21</v>
      </c>
      <c r="B37" s="59" t="n">
        <f aca="false">IF($A37&gt;B$33,SUMPRODUCT($B$17:$F$17/(1+$A37)^$B$14:$F$14)+$F$17*(1+B$33)/($A37-B$33)/(1+$A37)^$F$14,"n/a")</f>
        <v>-9395382.73255163</v>
      </c>
      <c r="C37" s="59" t="n">
        <f aca="false">IF($A37&gt;C$33,SUMPRODUCT($B$17:$F$17/(1+$A37)^$B$14:$F$14)+$F$17*(1+C$33)/($A37-C$33)/(1+$A37)^$F$14,"n/a")</f>
        <v>-9570632.25005867</v>
      </c>
      <c r="D37" s="59" t="n">
        <f aca="false">IF($A37&gt;D$33,SUMPRODUCT($B$17:$F$17/(1+$A37)^$B$14:$F$14)+$F$17*(1+D$33)/($A37-D$33)/(1+$A37)^$F$14,"n/a")</f>
        <v>-9755105.42638188</v>
      </c>
      <c r="E37" s="59" t="n">
        <f aca="false">IF($A37&gt;E$33,SUMPRODUCT($B$17:$F$17/(1+$A37)^$B$14:$F$14)+$F$17*(1+E$33)/($A37-E$33)/(1+$A37)^$F$14,"n/a")</f>
        <v>-9949550.12574958</v>
      </c>
      <c r="F37" s="59" t="n">
        <f aca="false">IF($A37&gt;F$33,SUMPRODUCT($B$17:$F$17/(1+$A37)^$B$14:$F$14)+$F$17*(1+F$33)/($A37-F$33)/(1+$A37)^$F$14,"n/a")</f>
        <v>-10154797.3084155</v>
      </c>
    </row>
    <row r="38" customFormat="false" ht="15" hidden="false" customHeight="false" outlineLevel="0" collapsed="false">
      <c r="A38" s="53" t="n">
        <f aca="false">$B$6+(2)*$B$10</f>
        <v>0.22</v>
      </c>
      <c r="B38" s="59" t="n">
        <f aca="false">IF($A38&gt;B$33,SUMPRODUCT($B$17:$F$17/(1+$A38)^$B$14:$F$14)+$F$17*(1+B$33)/($A38-B$33)/(1+$A38)^$F$14,"n/a")</f>
        <v>-8803536.93337571</v>
      </c>
      <c r="C38" s="59" t="n">
        <f aca="false">IF($A38&gt;C$33,SUMPRODUCT($B$17:$F$17/(1+$A38)^$B$14:$F$14)+$F$17*(1+C$33)/($A38-C$33)/(1+$A38)^$F$14,"n/a")</f>
        <v>-8957157.88134933</v>
      </c>
      <c r="D38" s="59" t="n">
        <f aca="false">IF($A38&gt;D$33,SUMPRODUCT($B$17:$F$17/(1+$A38)^$B$14:$F$14)+$F$17*(1+D$33)/($A38-D$33)/(1+$A38)^$F$14,"n/a")</f>
        <v>-9118459.87672163</v>
      </c>
      <c r="E38" s="59" t="n">
        <f aca="false">IF($A38&gt;E$33,SUMPRODUCT($B$17:$F$17/(1+$A38)^$B$14:$F$14)+$F$17*(1+E$33)/($A38-E$33)/(1+$A38)^$F$14,"n/a")</f>
        <v>-9288033.76929251</v>
      </c>
      <c r="F38" s="59" t="n">
        <f aca="false">IF($A38&gt;F$33,SUMPRODUCT($B$17:$F$17/(1+$A38)^$B$14:$F$14)+$F$17*(1+F$33)/($A38-F$33)/(1+$A38)^$F$14,"n/a")</f>
        <v>-9466532.60357765</v>
      </c>
    </row>
    <row r="40" customFormat="false" ht="15" hidden="false" customHeight="false" outlineLevel="0" collapsed="false">
      <c r="A40" s="37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171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172</v>
      </c>
    </row>
    <row r="5" customFormat="false" ht="15" hidden="false" customHeight="false" outlineLevel="0" collapsed="false">
      <c r="A5" s="32" t="s">
        <v>173</v>
      </c>
      <c r="B5" s="48" t="s">
        <v>174</v>
      </c>
      <c r="C5" s="48" t="s">
        <v>175</v>
      </c>
      <c r="D5" s="48" t="s">
        <v>176</v>
      </c>
      <c r="E5" s="48" t="s">
        <v>177</v>
      </c>
      <c r="F5" s="32" t="s">
        <v>178</v>
      </c>
      <c r="G5" s="32" t="s">
        <v>179</v>
      </c>
    </row>
    <row r="6" customFormat="false" ht="15.75" hidden="false" customHeight="true" outlineLevel="0" collapsed="false">
      <c r="A6" s="7" t="s">
        <v>180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181</v>
      </c>
      <c r="B7" s="69" t="n">
        <v>30</v>
      </c>
      <c r="C7" s="69" t="n">
        <v>30</v>
      </c>
      <c r="D7" s="69" t="n">
        <v>30</v>
      </c>
      <c r="E7" s="70" t="n">
        <f aca="false">CHOOSE(Dashboard!$B$4,B7,C7,D7)</f>
        <v>30</v>
      </c>
      <c r="F7" s="37" t="s">
        <v>182</v>
      </c>
      <c r="G7" s="71" t="s">
        <v>183</v>
      </c>
    </row>
    <row r="8" customFormat="false" ht="15" hidden="false" customHeight="false" outlineLevel="0" collapsed="false">
      <c r="A8" s="6" t="s">
        <v>184</v>
      </c>
      <c r="B8" s="72" t="n">
        <v>79</v>
      </c>
      <c r="C8" s="72" t="n">
        <v>99</v>
      </c>
      <c r="D8" s="72" t="n">
        <v>119</v>
      </c>
      <c r="E8" s="73" t="n">
        <f aca="false">CHOOSE(Dashboard!$B$4,B8,C8,D8)</f>
        <v>99</v>
      </c>
      <c r="F8" s="37" t="s">
        <v>185</v>
      </c>
      <c r="G8" s="71" t="s">
        <v>183</v>
      </c>
    </row>
    <row r="9" customFormat="false" ht="15" hidden="false" customHeight="false" outlineLevel="0" collapsed="false">
      <c r="A9" s="6" t="s">
        <v>186</v>
      </c>
      <c r="B9" s="74" t="n">
        <v>0</v>
      </c>
      <c r="C9" s="74" t="n">
        <v>0.03</v>
      </c>
      <c r="D9" s="74" t="n">
        <v>0.05</v>
      </c>
      <c r="E9" s="75" t="n">
        <f aca="false">CHOOSE(Dashboard!$B$4,B9,C9,D9)</f>
        <v>0.03</v>
      </c>
      <c r="F9" s="37" t="s">
        <v>187</v>
      </c>
      <c r="G9" s="71" t="s">
        <v>183</v>
      </c>
    </row>
    <row r="10" customFormat="false" ht="15" hidden="false" customHeight="false" outlineLevel="0" collapsed="false">
      <c r="A10" s="6" t="s">
        <v>82</v>
      </c>
      <c r="B10" s="74" t="n">
        <v>0.045</v>
      </c>
      <c r="C10" s="74" t="n">
        <v>0.03</v>
      </c>
      <c r="D10" s="74" t="n">
        <v>0.02</v>
      </c>
      <c r="E10" s="75" t="n">
        <f aca="false">CHOOSE(Dashboard!$B$4,B10,C10,D10)</f>
        <v>0.03</v>
      </c>
      <c r="F10" s="37" t="s">
        <v>187</v>
      </c>
      <c r="G10" s="71" t="s">
        <v>188</v>
      </c>
    </row>
    <row r="11" customFormat="false" ht="15" hidden="false" customHeight="false" outlineLevel="0" collapsed="false">
      <c r="A11" s="6" t="s">
        <v>189</v>
      </c>
      <c r="B11" s="74" t="n">
        <v>0</v>
      </c>
      <c r="C11" s="74" t="n">
        <v>0.005</v>
      </c>
      <c r="D11" s="74" t="n">
        <v>0.01</v>
      </c>
      <c r="E11" s="75" t="n">
        <f aca="false">CHOOSE(Dashboard!$B$4,B11,C11,D11)</f>
        <v>0.005</v>
      </c>
      <c r="F11" s="37" t="s">
        <v>187</v>
      </c>
      <c r="G11" s="71" t="s">
        <v>183</v>
      </c>
    </row>
    <row r="12" customFormat="false" ht="15" hidden="false" customHeight="false" outlineLevel="0" collapsed="false">
      <c r="A12" s="6" t="s">
        <v>190</v>
      </c>
      <c r="B12" s="76" t="n">
        <v>8</v>
      </c>
      <c r="C12" s="76" t="n">
        <v>12</v>
      </c>
      <c r="D12" s="76" t="n">
        <v>18</v>
      </c>
      <c r="E12" s="77" t="n">
        <f aca="false">CHOOSE(Dashboard!$B$4,B12,C12,D12)</f>
        <v>12</v>
      </c>
      <c r="F12" s="37" t="s">
        <v>191</v>
      </c>
      <c r="G12" s="71" t="s">
        <v>183</v>
      </c>
    </row>
    <row r="13" customFormat="false" ht="15" hidden="false" customHeight="false" outlineLevel="0" collapsed="false">
      <c r="A13" s="6" t="s">
        <v>192</v>
      </c>
      <c r="B13" s="74" t="n">
        <v>0.1</v>
      </c>
      <c r="C13" s="74" t="n">
        <v>0.3</v>
      </c>
      <c r="D13" s="74" t="n">
        <v>0.5</v>
      </c>
      <c r="E13" s="75" t="n">
        <f aca="false">CHOOSE(Dashboard!$B$4,B13,C13,D13)</f>
        <v>0.3</v>
      </c>
      <c r="F13" s="37" t="s">
        <v>187</v>
      </c>
      <c r="G13" s="71" t="s">
        <v>183</v>
      </c>
    </row>
    <row r="14" customFormat="false" ht="15" hidden="false" customHeight="false" outlineLevel="0" collapsed="false">
      <c r="A14" s="6" t="s">
        <v>193</v>
      </c>
      <c r="B14" s="72" t="n">
        <v>8000</v>
      </c>
      <c r="C14" s="72" t="n">
        <v>8000</v>
      </c>
      <c r="D14" s="72" t="n">
        <v>8000</v>
      </c>
      <c r="E14" s="73" t="n">
        <f aca="false">CHOOSE(Dashboard!$B$4,B14,C14,D14)</f>
        <v>8000</v>
      </c>
      <c r="F14" s="37" t="s">
        <v>185</v>
      </c>
      <c r="G14" s="71"/>
    </row>
    <row r="15" customFormat="false" ht="15" hidden="false" customHeight="false" outlineLevel="0" collapsed="false">
      <c r="A15" s="6" t="s">
        <v>194</v>
      </c>
      <c r="B15" s="74" t="n">
        <v>0.2</v>
      </c>
      <c r="C15" s="74" t="n">
        <v>0.2</v>
      </c>
      <c r="D15" s="74" t="n">
        <v>0.2</v>
      </c>
      <c r="E15" s="75" t="n">
        <f aca="false">CHOOSE(Dashboard!$B$4,B15,C15,D15)</f>
        <v>0.2</v>
      </c>
      <c r="F15" s="37" t="s">
        <v>187</v>
      </c>
      <c r="G15" s="71"/>
    </row>
    <row r="16" customFormat="false" ht="15" hidden="false" customHeight="false" outlineLevel="0" collapsed="false">
      <c r="A16" s="6" t="s">
        <v>195</v>
      </c>
      <c r="B16" s="72" t="n">
        <v>600</v>
      </c>
      <c r="C16" s="72" t="n">
        <v>450</v>
      </c>
      <c r="D16" s="72" t="n">
        <v>350</v>
      </c>
      <c r="E16" s="73" t="n">
        <f aca="false">CHOOSE(Dashboard!$B$4,B16,C16,D16)</f>
        <v>450</v>
      </c>
      <c r="F16" s="37" t="s">
        <v>196</v>
      </c>
      <c r="G16" s="71" t="s">
        <v>188</v>
      </c>
    </row>
    <row r="17" customFormat="false" ht="15" hidden="false" customHeight="false" outlineLevel="0" collapsed="false">
      <c r="A17" s="6" t="s">
        <v>197</v>
      </c>
      <c r="B17" s="74" t="n">
        <v>0.2</v>
      </c>
      <c r="C17" s="74" t="n">
        <v>0.2</v>
      </c>
      <c r="D17" s="74" t="n">
        <v>0.2</v>
      </c>
      <c r="E17" s="75" t="n">
        <f aca="false">CHOOSE(Dashboard!$B$4,B17,C17,D17)</f>
        <v>0.2</v>
      </c>
      <c r="F17" s="37" t="s">
        <v>187</v>
      </c>
      <c r="G17" s="71"/>
    </row>
    <row r="18" customFormat="false" ht="15" hidden="false" customHeight="false" outlineLevel="0" collapsed="false">
      <c r="A18" s="6" t="s">
        <v>198</v>
      </c>
      <c r="B18" s="74" t="n">
        <v>0.12</v>
      </c>
      <c r="C18" s="74" t="n">
        <v>0.1</v>
      </c>
      <c r="D18" s="74" t="n">
        <v>0.08</v>
      </c>
      <c r="E18" s="75" t="n">
        <f aca="false">CHOOSE(Dashboard!$B$4,B18,C18,D18)</f>
        <v>0.1</v>
      </c>
      <c r="F18" s="37" t="s">
        <v>187</v>
      </c>
      <c r="G18" s="71" t="s">
        <v>188</v>
      </c>
    </row>
    <row r="19" customFormat="false" ht="15" hidden="false" customHeight="false" outlineLevel="0" collapsed="false">
      <c r="A19" s="6" t="s">
        <v>199</v>
      </c>
      <c r="B19" s="78" t="n">
        <v>3</v>
      </c>
      <c r="C19" s="78" t="n">
        <v>2</v>
      </c>
      <c r="D19" s="78" t="n">
        <v>1.5</v>
      </c>
      <c r="E19" s="79" t="n">
        <f aca="false">CHOOSE(Dashboard!$B$4,B19,C19,D19)</f>
        <v>2</v>
      </c>
      <c r="F19" s="37" t="s">
        <v>196</v>
      </c>
      <c r="G19" s="71" t="s">
        <v>188</v>
      </c>
    </row>
    <row r="20" customFormat="false" ht="15" hidden="false" customHeight="false" outlineLevel="0" collapsed="false">
      <c r="A20" s="6" t="s">
        <v>200</v>
      </c>
      <c r="B20" s="72" t="n">
        <v>150</v>
      </c>
      <c r="C20" s="72" t="n">
        <v>150</v>
      </c>
      <c r="D20" s="72" t="n">
        <v>150</v>
      </c>
      <c r="E20" s="73" t="n">
        <f aca="false">CHOOSE(Dashboard!$B$4,B20,C20,D20)</f>
        <v>150</v>
      </c>
      <c r="F20" s="37" t="s">
        <v>196</v>
      </c>
      <c r="G20" s="71"/>
    </row>
    <row r="21" customFormat="false" ht="15" hidden="false" customHeight="false" outlineLevel="0" collapsed="false">
      <c r="A21" s="6" t="s">
        <v>201</v>
      </c>
      <c r="B21" s="72" t="n">
        <v>1500</v>
      </c>
      <c r="C21" s="72" t="n">
        <v>1500</v>
      </c>
      <c r="D21" s="72" t="n">
        <v>1500</v>
      </c>
      <c r="E21" s="73" t="n">
        <f aca="false">CHOOSE(Dashboard!$B$4,B21,C21,D21)</f>
        <v>1500</v>
      </c>
      <c r="F21" s="37" t="s">
        <v>196</v>
      </c>
      <c r="G21" s="71"/>
    </row>
    <row r="22" customFormat="false" ht="15" hidden="false" customHeight="false" outlineLevel="0" collapsed="false">
      <c r="A22" s="6" t="s">
        <v>202</v>
      </c>
      <c r="B22" s="72" t="n">
        <v>3000</v>
      </c>
      <c r="C22" s="72" t="n">
        <v>3000</v>
      </c>
      <c r="D22" s="72" t="n">
        <v>3000</v>
      </c>
      <c r="E22" s="73" t="n">
        <f aca="false">CHOOSE(Dashboard!$B$4,B22,C22,D22)</f>
        <v>3000</v>
      </c>
      <c r="F22" s="37" t="s">
        <v>196</v>
      </c>
      <c r="G22" s="71"/>
    </row>
    <row r="23" customFormat="false" ht="15" hidden="false" customHeight="false" outlineLevel="0" collapsed="false">
      <c r="A23" s="6" t="s">
        <v>203</v>
      </c>
      <c r="B23" s="72" t="n">
        <v>20000</v>
      </c>
      <c r="C23" s="72" t="n">
        <v>20000</v>
      </c>
      <c r="D23" s="72" t="n">
        <v>20000</v>
      </c>
      <c r="E23" s="73" t="n">
        <f aca="false">CHOOSE(Dashboard!$B$4,B23,C23,D23)</f>
        <v>20000</v>
      </c>
      <c r="F23" s="37" t="s">
        <v>196</v>
      </c>
      <c r="G23" s="71"/>
    </row>
    <row r="25" customFormat="false" ht="15.75" hidden="false" customHeight="true" outlineLevel="0" collapsed="false">
      <c r="A25" s="7" t="s">
        <v>204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6" t="s">
        <v>205</v>
      </c>
      <c r="B26" s="76" t="n">
        <v>3</v>
      </c>
      <c r="C26" s="76" t="n">
        <v>3</v>
      </c>
      <c r="D26" s="76" t="n">
        <v>3</v>
      </c>
      <c r="E26" s="77" t="n">
        <f aca="false">CHOOSE(Dashboard!$B$4,B26,C26,D26)</f>
        <v>3</v>
      </c>
      <c r="F26" s="37" t="s">
        <v>206</v>
      </c>
      <c r="G26" s="71" t="s">
        <v>183</v>
      </c>
    </row>
    <row r="27" customFormat="false" ht="15" hidden="false" customHeight="false" outlineLevel="0" collapsed="false">
      <c r="A27" s="6" t="s">
        <v>207</v>
      </c>
      <c r="B27" s="72" t="n">
        <v>125000</v>
      </c>
      <c r="C27" s="72" t="n">
        <v>125000</v>
      </c>
      <c r="D27" s="72" t="n">
        <v>125000</v>
      </c>
      <c r="E27" s="73" t="n">
        <f aca="false">CHOOSE(Dashboard!$B$4,B27,C27,D27)</f>
        <v>125000</v>
      </c>
      <c r="F27" s="37" t="s">
        <v>196</v>
      </c>
      <c r="G27" s="71"/>
    </row>
    <row r="28" customFormat="false" ht="15" hidden="false" customHeight="false" outlineLevel="0" collapsed="false">
      <c r="A28" s="6" t="s">
        <v>208</v>
      </c>
      <c r="B28" s="74" t="n">
        <v>0.5</v>
      </c>
      <c r="C28" s="74" t="n">
        <v>0.5</v>
      </c>
      <c r="D28" s="74" t="n">
        <v>0.5</v>
      </c>
      <c r="E28" s="75" t="n">
        <f aca="false">CHOOSE(Dashboard!$B$4,B28,C28,D28)</f>
        <v>0.5</v>
      </c>
      <c r="F28" s="37" t="s">
        <v>187</v>
      </c>
      <c r="G28" s="71" t="s">
        <v>183</v>
      </c>
    </row>
    <row r="29" customFormat="false" ht="15" hidden="false" customHeight="false" outlineLevel="0" collapsed="false">
      <c r="A29" s="6" t="s">
        <v>209</v>
      </c>
      <c r="B29" s="69" t="n">
        <v>1</v>
      </c>
      <c r="C29" s="69" t="n">
        <v>1</v>
      </c>
      <c r="D29" s="69" t="n">
        <v>1</v>
      </c>
      <c r="E29" s="70" t="n">
        <f aca="false">CHOOSE(Dashboard!$B$4,B29,C29,D29)</f>
        <v>1</v>
      </c>
      <c r="F29" s="37" t="s">
        <v>210</v>
      </c>
      <c r="G29" s="71"/>
    </row>
    <row r="30" customFormat="false" ht="15" hidden="false" customHeight="false" outlineLevel="0" collapsed="false">
      <c r="A30" s="6" t="s">
        <v>211</v>
      </c>
      <c r="B30" s="76" t="n">
        <v>1.5</v>
      </c>
      <c r="C30" s="76" t="n">
        <v>1.5</v>
      </c>
      <c r="D30" s="76" t="n">
        <v>1.5</v>
      </c>
      <c r="E30" s="77" t="n">
        <f aca="false">CHOOSE(Dashboard!$B$4,B30,C30,D30)</f>
        <v>1.5</v>
      </c>
      <c r="F30" s="37" t="s">
        <v>206</v>
      </c>
      <c r="G30" s="71" t="s">
        <v>183</v>
      </c>
    </row>
    <row r="31" customFormat="false" ht="15" hidden="false" customHeight="false" outlineLevel="0" collapsed="false">
      <c r="A31" s="6" t="s">
        <v>212</v>
      </c>
      <c r="B31" s="72" t="n">
        <v>95000</v>
      </c>
      <c r="C31" s="72" t="n">
        <v>95000</v>
      </c>
      <c r="D31" s="72" t="n">
        <v>95000</v>
      </c>
      <c r="E31" s="73" t="n">
        <f aca="false">CHOOSE(Dashboard!$B$4,B31,C31,D31)</f>
        <v>95000</v>
      </c>
      <c r="F31" s="37" t="s">
        <v>196</v>
      </c>
      <c r="G31" s="71"/>
    </row>
    <row r="32" customFormat="false" ht="15" hidden="false" customHeight="false" outlineLevel="0" collapsed="false">
      <c r="A32" s="6" t="s">
        <v>213</v>
      </c>
      <c r="B32" s="74" t="n">
        <v>0.5</v>
      </c>
      <c r="C32" s="74" t="n">
        <v>0.5</v>
      </c>
      <c r="D32" s="74" t="n">
        <v>0.5</v>
      </c>
      <c r="E32" s="75" t="n">
        <f aca="false">CHOOSE(Dashboard!$B$4,B32,C32,D32)</f>
        <v>0.5</v>
      </c>
      <c r="F32" s="37" t="s">
        <v>187</v>
      </c>
      <c r="G32" s="71" t="s">
        <v>183</v>
      </c>
    </row>
    <row r="33" customFormat="false" ht="15" hidden="false" customHeight="false" outlineLevel="0" collapsed="false">
      <c r="A33" s="6" t="s">
        <v>214</v>
      </c>
      <c r="B33" s="69" t="n">
        <v>1</v>
      </c>
      <c r="C33" s="69" t="n">
        <v>1</v>
      </c>
      <c r="D33" s="69" t="n">
        <v>1</v>
      </c>
      <c r="E33" s="70" t="n">
        <f aca="false">CHOOSE(Dashboard!$B$4,B33,C33,D33)</f>
        <v>1</v>
      </c>
      <c r="F33" s="37" t="s">
        <v>210</v>
      </c>
      <c r="G33" s="71"/>
    </row>
    <row r="34" customFormat="false" ht="15" hidden="false" customHeight="false" outlineLevel="0" collapsed="false">
      <c r="A34" s="6" t="s">
        <v>215</v>
      </c>
      <c r="B34" s="76" t="n">
        <v>1</v>
      </c>
      <c r="C34" s="76" t="n">
        <v>1</v>
      </c>
      <c r="D34" s="76" t="n">
        <v>1</v>
      </c>
      <c r="E34" s="77" t="n">
        <f aca="false">CHOOSE(Dashboard!$B$4,B34,C34,D34)</f>
        <v>1</v>
      </c>
      <c r="F34" s="37" t="s">
        <v>206</v>
      </c>
      <c r="G34" s="71" t="s">
        <v>183</v>
      </c>
    </row>
    <row r="35" customFormat="false" ht="15" hidden="false" customHeight="false" outlineLevel="0" collapsed="false">
      <c r="A35" s="6" t="s">
        <v>216</v>
      </c>
      <c r="B35" s="72" t="n">
        <v>60000</v>
      </c>
      <c r="C35" s="72" t="n">
        <v>60000</v>
      </c>
      <c r="D35" s="72" t="n">
        <v>60000</v>
      </c>
      <c r="E35" s="73" t="n">
        <f aca="false">CHOOSE(Dashboard!$B$4,B35,C35,D35)</f>
        <v>60000</v>
      </c>
      <c r="F35" s="37" t="s">
        <v>196</v>
      </c>
      <c r="G35" s="71"/>
    </row>
    <row r="36" customFormat="false" ht="15" hidden="false" customHeight="false" outlineLevel="0" collapsed="false">
      <c r="A36" s="6" t="s">
        <v>217</v>
      </c>
      <c r="B36" s="74" t="n">
        <v>0.5</v>
      </c>
      <c r="C36" s="74" t="n">
        <v>0.5</v>
      </c>
      <c r="D36" s="74" t="n">
        <v>0.5</v>
      </c>
      <c r="E36" s="75" t="n">
        <f aca="false">CHOOSE(Dashboard!$B$4,B36,C36,D36)</f>
        <v>0.5</v>
      </c>
      <c r="F36" s="37" t="s">
        <v>187</v>
      </c>
      <c r="G36" s="71" t="s">
        <v>183</v>
      </c>
    </row>
    <row r="37" customFormat="false" ht="15" hidden="false" customHeight="false" outlineLevel="0" collapsed="false">
      <c r="A37" s="6" t="s">
        <v>218</v>
      </c>
      <c r="B37" s="69" t="n">
        <v>1</v>
      </c>
      <c r="C37" s="69" t="n">
        <v>1</v>
      </c>
      <c r="D37" s="69" t="n">
        <v>1</v>
      </c>
      <c r="E37" s="70" t="n">
        <f aca="false">CHOOSE(Dashboard!$B$4,B37,C37,D37)</f>
        <v>1</v>
      </c>
      <c r="F37" s="37" t="s">
        <v>210</v>
      </c>
      <c r="G37" s="71"/>
    </row>
    <row r="38" customFormat="false" ht="15" hidden="false" customHeight="false" outlineLevel="0" collapsed="false">
      <c r="A38" s="6" t="s">
        <v>219</v>
      </c>
      <c r="B38" s="76" t="n">
        <v>0.5</v>
      </c>
      <c r="C38" s="76" t="n">
        <v>0.5</v>
      </c>
      <c r="D38" s="76" t="n">
        <v>0.5</v>
      </c>
      <c r="E38" s="77" t="n">
        <f aca="false">CHOOSE(Dashboard!$B$4,B38,C38,D38)</f>
        <v>0.5</v>
      </c>
      <c r="F38" s="37" t="s">
        <v>206</v>
      </c>
      <c r="G38" s="71" t="s">
        <v>183</v>
      </c>
    </row>
    <row r="39" customFormat="false" ht="15" hidden="false" customHeight="false" outlineLevel="0" collapsed="false">
      <c r="A39" s="6" t="s">
        <v>220</v>
      </c>
      <c r="B39" s="72" t="n">
        <v>80000</v>
      </c>
      <c r="C39" s="72" t="n">
        <v>80000</v>
      </c>
      <c r="D39" s="72" t="n">
        <v>80000</v>
      </c>
      <c r="E39" s="73" t="n">
        <f aca="false">CHOOSE(Dashboard!$B$4,B39,C39,D39)</f>
        <v>80000</v>
      </c>
      <c r="F39" s="37" t="s">
        <v>196</v>
      </c>
      <c r="G39" s="71"/>
    </row>
    <row r="40" customFormat="false" ht="15" hidden="false" customHeight="false" outlineLevel="0" collapsed="false">
      <c r="A40" s="6" t="s">
        <v>221</v>
      </c>
      <c r="B40" s="74" t="n">
        <v>0.5</v>
      </c>
      <c r="C40" s="74" t="n">
        <v>0.5</v>
      </c>
      <c r="D40" s="74" t="n">
        <v>0.5</v>
      </c>
      <c r="E40" s="75" t="n">
        <f aca="false">CHOOSE(Dashboard!$B$4,B40,C40,D40)</f>
        <v>0.5</v>
      </c>
      <c r="F40" s="37" t="s">
        <v>187</v>
      </c>
      <c r="G40" s="71" t="s">
        <v>183</v>
      </c>
    </row>
    <row r="41" customFormat="false" ht="15" hidden="false" customHeight="false" outlineLevel="0" collapsed="false">
      <c r="A41" s="6" t="s">
        <v>222</v>
      </c>
      <c r="B41" s="69" t="n">
        <v>1</v>
      </c>
      <c r="C41" s="69" t="n">
        <v>1</v>
      </c>
      <c r="D41" s="69" t="n">
        <v>1</v>
      </c>
      <c r="E41" s="70" t="n">
        <f aca="false">CHOOSE(Dashboard!$B$4,B41,C41,D41)</f>
        <v>1</v>
      </c>
      <c r="F41" s="37" t="s">
        <v>210</v>
      </c>
      <c r="G41" s="71"/>
    </row>
    <row r="42" customFormat="false" ht="15" hidden="false" customHeight="false" outlineLevel="0" collapsed="false">
      <c r="A42" s="6" t="s">
        <v>223</v>
      </c>
      <c r="B42" s="74" t="n">
        <v>0.2</v>
      </c>
      <c r="C42" s="74" t="n">
        <v>0.2</v>
      </c>
      <c r="D42" s="74" t="n">
        <v>0.2</v>
      </c>
      <c r="E42" s="75" t="n">
        <f aca="false">CHOOSE(Dashboard!$B$4,B42,C42,D42)</f>
        <v>0.2</v>
      </c>
      <c r="F42" s="37" t="s">
        <v>187</v>
      </c>
      <c r="G42" s="71"/>
    </row>
    <row r="43" customFormat="false" ht="15" hidden="false" customHeight="false" outlineLevel="0" collapsed="false">
      <c r="A43" s="6" t="s">
        <v>224</v>
      </c>
      <c r="B43" s="74" t="n">
        <v>0.04</v>
      </c>
      <c r="C43" s="74" t="n">
        <v>0.04</v>
      </c>
      <c r="D43" s="74" t="n">
        <v>0.04</v>
      </c>
      <c r="E43" s="75" t="n">
        <f aca="false">CHOOSE(Dashboard!$B$4,B43,C43,D43)</f>
        <v>0.04</v>
      </c>
      <c r="F43" s="37" t="s">
        <v>187</v>
      </c>
      <c r="G43" s="71"/>
    </row>
    <row r="45" customFormat="false" ht="15.75" hidden="false" customHeight="true" outlineLevel="0" collapsed="false">
      <c r="A45" s="7" t="s">
        <v>225</v>
      </c>
      <c r="B45" s="7"/>
      <c r="C45" s="7"/>
      <c r="D45" s="7"/>
      <c r="E45" s="7"/>
      <c r="F45" s="7"/>
      <c r="G45" s="7"/>
    </row>
    <row r="46" customFormat="false" ht="15" hidden="false" customHeight="false" outlineLevel="0" collapsed="false">
      <c r="A46" s="6" t="s">
        <v>226</v>
      </c>
      <c r="B46" s="72" t="n">
        <v>3000000</v>
      </c>
      <c r="C46" s="72" t="n">
        <v>3000000</v>
      </c>
      <c r="D46" s="72" t="n">
        <v>3000000</v>
      </c>
      <c r="E46" s="73" t="n">
        <f aca="false">CHOOSE(Dashboard!$B$4,B46,C46,D46)</f>
        <v>3000000</v>
      </c>
      <c r="F46" s="37" t="s">
        <v>196</v>
      </c>
      <c r="G46" s="71"/>
    </row>
    <row r="47" customFormat="false" ht="15" hidden="false" customHeight="false" outlineLevel="0" collapsed="false">
      <c r="A47" s="6" t="s">
        <v>227</v>
      </c>
      <c r="B47" s="72" t="n">
        <v>0</v>
      </c>
      <c r="C47" s="72" t="n">
        <v>0</v>
      </c>
      <c r="D47" s="72" t="n">
        <v>0</v>
      </c>
      <c r="E47" s="73" t="n">
        <f aca="false">CHOOSE(Dashboard!$B$4,B47,C47,D47)</f>
        <v>0</v>
      </c>
      <c r="F47" s="37" t="s">
        <v>196</v>
      </c>
      <c r="G47" s="71"/>
    </row>
    <row r="48" customFormat="false" ht="15" hidden="false" customHeight="false" outlineLevel="0" collapsed="false">
      <c r="A48" s="6" t="s">
        <v>228</v>
      </c>
      <c r="B48" s="74" t="n">
        <v>0</v>
      </c>
      <c r="C48" s="74" t="n">
        <v>0</v>
      </c>
      <c r="D48" s="74" t="n">
        <v>0</v>
      </c>
      <c r="E48" s="75" t="n">
        <f aca="false">CHOOSE(Dashboard!$B$4,B48,C48,D48)</f>
        <v>0</v>
      </c>
      <c r="F48" s="37" t="s">
        <v>187</v>
      </c>
      <c r="G48" s="71"/>
    </row>
    <row r="49" customFormat="false" ht="15" hidden="false" customHeight="false" outlineLevel="0" collapsed="false">
      <c r="A49" s="6" t="s">
        <v>229</v>
      </c>
      <c r="B49" s="69" t="n">
        <v>1</v>
      </c>
      <c r="C49" s="69" t="n">
        <v>1</v>
      </c>
      <c r="D49" s="69" t="n">
        <v>1</v>
      </c>
      <c r="E49" s="70" t="n">
        <f aca="false">CHOOSE(Dashboard!$B$4,B49,C49,D49)</f>
        <v>1</v>
      </c>
      <c r="F49" s="37" t="s">
        <v>230</v>
      </c>
      <c r="G49" s="71"/>
    </row>
    <row r="51" customFormat="false" ht="15.75" hidden="false" customHeight="true" outlineLevel="0" collapsed="false">
      <c r="A51" s="7" t="s">
        <v>231</v>
      </c>
      <c r="B51" s="7"/>
      <c r="C51" s="7"/>
      <c r="D51" s="7"/>
      <c r="E51" s="7"/>
      <c r="F51" s="7"/>
      <c r="G51" s="7"/>
    </row>
    <row r="52" customFormat="false" ht="15" hidden="false" customHeight="false" outlineLevel="0" collapsed="false">
      <c r="A52" s="6" t="s">
        <v>232</v>
      </c>
      <c r="B52" s="69" t="n">
        <v>5</v>
      </c>
      <c r="C52" s="69" t="n">
        <v>5</v>
      </c>
      <c r="D52" s="69" t="n">
        <v>5</v>
      </c>
      <c r="E52" s="70" t="n">
        <f aca="false">CHOOSE(Dashboard!$B$4,B52,C52,D52)</f>
        <v>5</v>
      </c>
      <c r="F52" s="37" t="s">
        <v>233</v>
      </c>
      <c r="G52" s="71"/>
    </row>
    <row r="53" customFormat="false" ht="15" hidden="false" customHeight="false" outlineLevel="0" collapsed="false">
      <c r="A53" s="6" t="s">
        <v>234</v>
      </c>
      <c r="B53" s="69" t="n">
        <v>0</v>
      </c>
      <c r="C53" s="69" t="n">
        <v>0</v>
      </c>
      <c r="D53" s="69" t="n">
        <v>0</v>
      </c>
      <c r="E53" s="70" t="n">
        <f aca="false">CHOOSE(Dashboard!$B$4,B53,C53,D53)</f>
        <v>0</v>
      </c>
      <c r="F53" s="37" t="s">
        <v>233</v>
      </c>
      <c r="G53" s="71"/>
    </row>
    <row r="54" customFormat="false" ht="15" hidden="false" customHeight="false" outlineLevel="0" collapsed="false">
      <c r="A54" s="6" t="s">
        <v>235</v>
      </c>
      <c r="B54" s="69" t="n">
        <v>30</v>
      </c>
      <c r="C54" s="69" t="n">
        <v>30</v>
      </c>
      <c r="D54" s="69" t="n">
        <v>30</v>
      </c>
      <c r="E54" s="70" t="n">
        <f aca="false">CHOOSE(Dashboard!$B$4,B54,C54,D54)</f>
        <v>30</v>
      </c>
      <c r="F54" s="37" t="s">
        <v>233</v>
      </c>
      <c r="G54" s="71"/>
    </row>
    <row r="56" customFormat="false" ht="15.75" hidden="false" customHeight="true" outlineLevel="0" collapsed="false">
      <c r="A56" s="7" t="s">
        <v>236</v>
      </c>
      <c r="B56" s="7"/>
      <c r="C56" s="7"/>
      <c r="D56" s="7"/>
      <c r="E56" s="7"/>
      <c r="F56" s="7"/>
      <c r="G56" s="7"/>
    </row>
    <row r="57" customFormat="false" ht="15" hidden="false" customHeight="false" outlineLevel="0" collapsed="false">
      <c r="A57" s="6" t="s">
        <v>237</v>
      </c>
      <c r="B57" s="69" t="n">
        <v>3</v>
      </c>
      <c r="C57" s="69" t="n">
        <v>3</v>
      </c>
      <c r="D57" s="69" t="n">
        <v>3</v>
      </c>
      <c r="E57" s="70" t="n">
        <f aca="false">CHOOSE(Dashboard!$B$4,B57,C57,D57)</f>
        <v>3</v>
      </c>
      <c r="F57" s="37" t="s">
        <v>230</v>
      </c>
      <c r="G57" s="71"/>
    </row>
    <row r="58" customFormat="false" ht="15" hidden="false" customHeight="false" outlineLevel="0" collapsed="false">
      <c r="A58" s="6" t="s">
        <v>238</v>
      </c>
      <c r="B58" s="74" t="n">
        <v>0.21</v>
      </c>
      <c r="C58" s="74" t="n">
        <v>0.21</v>
      </c>
      <c r="D58" s="74" t="n">
        <v>0.21</v>
      </c>
      <c r="E58" s="75" t="n">
        <f aca="false">CHOOSE(Dashboard!$B$4,B58,C58,D58)</f>
        <v>0.21</v>
      </c>
      <c r="F58" s="37" t="s">
        <v>187</v>
      </c>
      <c r="G58" s="71"/>
    </row>
    <row r="60" customFormat="false" ht="15.75" hidden="false" customHeight="true" outlineLevel="0" collapsed="false">
      <c r="A60" s="7" t="s">
        <v>239</v>
      </c>
      <c r="B60" s="7"/>
      <c r="C60" s="7"/>
      <c r="D60" s="7"/>
      <c r="E60" s="7"/>
      <c r="F60" s="7"/>
      <c r="G60" s="7"/>
    </row>
    <row r="61" customFormat="false" ht="15" hidden="false" customHeight="false" outlineLevel="0" collapsed="false">
      <c r="A61" s="6" t="s">
        <v>127</v>
      </c>
      <c r="B61" s="72" t="n">
        <v>225000</v>
      </c>
      <c r="C61" s="72" t="n">
        <v>225000</v>
      </c>
      <c r="D61" s="72" t="n">
        <v>225000</v>
      </c>
      <c r="E61" s="73" t="n">
        <f aca="false">CHOOSE(Dashboard!$B$4,B61,C61,D61)</f>
        <v>225000</v>
      </c>
      <c r="F61" s="37" t="s">
        <v>196</v>
      </c>
      <c r="G61" s="71" t="s">
        <v>240</v>
      </c>
    </row>
    <row r="63" customFormat="false" ht="15.75" hidden="false" customHeight="true" outlineLevel="0" collapsed="false">
      <c r="A63" s="7" t="s">
        <v>241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148</v>
      </c>
      <c r="B64" s="74" t="n">
        <v>0.25</v>
      </c>
      <c r="C64" s="74" t="n">
        <v>0.2</v>
      </c>
      <c r="D64" s="74" t="n">
        <v>0.17</v>
      </c>
      <c r="E64" s="75" t="n">
        <f aca="false">CHOOSE(Dashboard!$B$4,B64,C64,D64)</f>
        <v>0.2</v>
      </c>
      <c r="F64" s="37" t="s">
        <v>187</v>
      </c>
      <c r="G64" s="71" t="s">
        <v>188</v>
      </c>
    </row>
    <row r="65" customFormat="false" ht="15" hidden="false" customHeight="false" outlineLevel="0" collapsed="false">
      <c r="A65" s="6" t="s">
        <v>242</v>
      </c>
      <c r="B65" s="74" t="n">
        <v>0.01</v>
      </c>
      <c r="C65" s="74" t="n">
        <v>0.02</v>
      </c>
      <c r="D65" s="74" t="n">
        <v>0.03</v>
      </c>
      <c r="E65" s="75" t="n">
        <f aca="false">CHOOSE(Dashboard!$B$4,B65,C65,D65)</f>
        <v>0.02</v>
      </c>
      <c r="F65" s="37" t="s">
        <v>187</v>
      </c>
      <c r="G65" s="71" t="s">
        <v>183</v>
      </c>
    </row>
    <row r="66" customFormat="false" ht="15" hidden="false" customHeight="false" outlineLevel="0" collapsed="false">
      <c r="A66" s="6" t="s">
        <v>150</v>
      </c>
      <c r="B66" s="80" t="n">
        <v>3.5</v>
      </c>
      <c r="C66" s="80" t="n">
        <v>4.5</v>
      </c>
      <c r="D66" s="80" t="n">
        <v>6</v>
      </c>
      <c r="E66" s="81" t="n">
        <f aca="false">CHOOSE(Dashboard!$B$4,B66,C66,D66)</f>
        <v>4.5</v>
      </c>
      <c r="F66" s="37" t="s">
        <v>243</v>
      </c>
      <c r="G66" s="71" t="s">
        <v>183</v>
      </c>
    </row>
    <row r="67" customFormat="false" ht="15" hidden="false" customHeight="false" outlineLevel="0" collapsed="false">
      <c r="A67" s="6" t="s">
        <v>244</v>
      </c>
      <c r="B67" s="74" t="n">
        <v>0.01</v>
      </c>
      <c r="C67" s="74" t="n">
        <v>0.01</v>
      </c>
      <c r="D67" s="74" t="n">
        <v>0.01</v>
      </c>
      <c r="E67" s="75" t="n">
        <f aca="false">CHOOSE(Dashboard!$B$4,B67,C67,D67)</f>
        <v>0.01</v>
      </c>
      <c r="F67" s="37" t="s">
        <v>187</v>
      </c>
      <c r="G67" s="71"/>
    </row>
    <row r="68" customFormat="false" ht="15" hidden="false" customHeight="false" outlineLevel="0" collapsed="false">
      <c r="A68" s="6" t="s">
        <v>245</v>
      </c>
      <c r="B68" s="74" t="n">
        <v>0.005</v>
      </c>
      <c r="C68" s="74" t="n">
        <v>0.005</v>
      </c>
      <c r="D68" s="74" t="n">
        <v>0.005</v>
      </c>
      <c r="E68" s="75" t="n">
        <f aca="false">CHOOSE(Dashboard!$B$4,B68,C68,D68)</f>
        <v>0.005</v>
      </c>
      <c r="F68" s="37" t="s">
        <v>187</v>
      </c>
      <c r="G68" s="71"/>
    </row>
    <row r="70" customFormat="false" ht="15" hidden="false" customHeight="false" outlineLevel="0" collapsed="false">
      <c r="A70" s="21" t="s">
        <v>246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17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247</v>
      </c>
    </row>
    <row r="3" customFormat="false" ht="15" hidden="false" customHeight="false" outlineLevel="0" collapsed="false">
      <c r="A3" s="47" t="s">
        <v>69</v>
      </c>
      <c r="B3" s="47" t="n">
        <v>1</v>
      </c>
      <c r="C3" s="47" t="n">
        <v>2</v>
      </c>
      <c r="D3" s="47" t="n">
        <v>3</v>
      </c>
      <c r="E3" s="47" t="n">
        <v>4</v>
      </c>
      <c r="F3" s="47" t="n">
        <v>5</v>
      </c>
    </row>
    <row r="4" customFormat="false" ht="15" hidden="false" customHeight="false" outlineLevel="0" collapsed="false">
      <c r="A4" s="32"/>
      <c r="B4" s="48" t="s">
        <v>70</v>
      </c>
      <c r="C4" s="48" t="s">
        <v>71</v>
      </c>
      <c r="D4" s="48" t="s">
        <v>72</v>
      </c>
      <c r="E4" s="48" t="s">
        <v>73</v>
      </c>
      <c r="F4" s="48" t="s">
        <v>74</v>
      </c>
    </row>
    <row r="5" customFormat="false" ht="15" hidden="false" customHeight="false" outlineLevel="0" collapsed="false">
      <c r="A5" s="4" t="s">
        <v>40</v>
      </c>
      <c r="B5" s="64" t="n">
        <f aca="false">SUMIF(Monthly!$C$5:$BJ$5,B$3,Monthly!$C$24:$BJ$24)</f>
        <v>225414.939184555</v>
      </c>
      <c r="C5" s="64" t="n">
        <f aca="false">SUMIF(Monthly!$C$5:$BJ$5,C$3,Monthly!$C$24:$BJ$24)</f>
        <v>591123.330484019</v>
      </c>
      <c r="D5" s="64" t="n">
        <f aca="false">SUMIF(Monthly!$C$5:$BJ$5,D$3,Monthly!$C$24:$BJ$24)</f>
        <v>979388.559956597</v>
      </c>
      <c r="E5" s="64" t="n">
        <f aca="false">SUMIF(Monthly!$C$5:$BJ$5,E$3,Monthly!$C$24:$BJ$24)</f>
        <v>1418382.10030103</v>
      </c>
      <c r="F5" s="64" t="n">
        <f aca="false">SUMIF(Monthly!$C$5:$BJ$5,F$3,Monthly!$C$24:$BJ$24)</f>
        <v>1939020.94087271</v>
      </c>
    </row>
    <row r="6" customFormat="false" ht="15" hidden="false" customHeight="false" outlineLevel="0" collapsed="false">
      <c r="A6" s="6" t="s">
        <v>91</v>
      </c>
      <c r="B6" s="59" t="n">
        <f aca="false">SUMIF(Monthly!$C$5:$BJ$5,B$3,Monthly!$C$25:$BJ$25)</f>
        <v>-27011.4161847206</v>
      </c>
      <c r="C6" s="59" t="n">
        <f aca="false">SUMIF(Monthly!$C$5:$BJ$5,C$3,Monthly!$C$25:$BJ$25)</f>
        <v>-70436.2940568575</v>
      </c>
      <c r="D6" s="59" t="n">
        <f aca="false">SUMIF(Monthly!$C$5:$BJ$5,D$3,Monthly!$C$25:$BJ$25)</f>
        <v>-116003.606459213</v>
      </c>
      <c r="E6" s="59" t="n">
        <f aca="false">SUMIF(Monthly!$C$5:$BJ$5,E$3,Monthly!$C$25:$BJ$25)</f>
        <v>-167064.40393656</v>
      </c>
      <c r="F6" s="59" t="n">
        <f aca="false">SUMIF(Monthly!$C$5:$BJ$5,F$3,Monthly!$C$25:$BJ$25)</f>
        <v>-227211.3356816</v>
      </c>
    </row>
    <row r="7" customFormat="false" ht="15" hidden="false" customHeight="false" outlineLevel="0" collapsed="false">
      <c r="A7" s="82" t="s">
        <v>41</v>
      </c>
      <c r="B7" s="60" t="n">
        <f aca="false">SUMIF(Monthly!$C$5:$BJ$5,B$3,Monthly!$C$26:$BJ$26)</f>
        <v>198403.522999835</v>
      </c>
      <c r="C7" s="60" t="n">
        <f aca="false">SUMIF(Monthly!$C$5:$BJ$5,C$3,Monthly!$C$26:$BJ$26)</f>
        <v>520687.036427161</v>
      </c>
      <c r="D7" s="60" t="n">
        <f aca="false">SUMIF(Monthly!$C$5:$BJ$5,D$3,Monthly!$C$26:$BJ$26)</f>
        <v>863384.953497385</v>
      </c>
      <c r="E7" s="60" t="n">
        <f aca="false">SUMIF(Monthly!$C$5:$BJ$5,E$3,Monthly!$C$26:$BJ$26)</f>
        <v>1251317.69636447</v>
      </c>
      <c r="F7" s="60" t="n">
        <f aca="false">SUMIF(Monthly!$C$5:$BJ$5,F$3,Monthly!$C$26:$BJ$26)</f>
        <v>1711809.6051911</v>
      </c>
    </row>
    <row r="8" customFormat="false" ht="15" hidden="false" customHeight="false" outlineLevel="0" collapsed="false">
      <c r="A8" s="37" t="s">
        <v>42</v>
      </c>
      <c r="B8" s="53" t="n">
        <f aca="false">IF(B5=0,0,B7/B5)</f>
        <v>0.880170248332097</v>
      </c>
      <c r="C8" s="53" t="n">
        <f aca="false">IF(C5=0,0,C7/C5)</f>
        <v>0.880843319110441</v>
      </c>
      <c r="D8" s="53" t="n">
        <f aca="false">IF(D5=0,0,D7/D5)</f>
        <v>0.881555073030102</v>
      </c>
      <c r="E8" s="53" t="n">
        <f aca="false">IF(E5=0,0,E7/E5)</f>
        <v>0.882214810874232</v>
      </c>
      <c r="F8" s="53" t="n">
        <f aca="false">IF(F5=0,0,F7/F5)</f>
        <v>0.882821618430104</v>
      </c>
    </row>
    <row r="9" customFormat="false" ht="15" hidden="false" customHeight="false" outlineLevel="0" collapsed="false">
      <c r="A9" s="6" t="s">
        <v>248</v>
      </c>
      <c r="B9" s="59" t="n">
        <f aca="false">SUMIF(Monthly!$C$5:$BJ$5,B$3,Monthly!$C$29:$BJ$29)</f>
        <v>-741000</v>
      </c>
      <c r="C9" s="59" t="n">
        <f aca="false">SUMIF(Monthly!$C$5:$BJ$5,C$3,Monthly!$C$29:$BJ$29)</f>
        <v>-1155960</v>
      </c>
      <c r="D9" s="59" t="n">
        <f aca="false">SUMIF(Monthly!$C$5:$BJ$5,D$3,Monthly!$C$29:$BJ$29)</f>
        <v>-1803297.6</v>
      </c>
      <c r="E9" s="59" t="n">
        <f aca="false">SUMIF(Monthly!$C$5:$BJ$5,E$3,Monthly!$C$29:$BJ$29)</f>
        <v>-2813144.256</v>
      </c>
      <c r="F9" s="59" t="n">
        <f aca="false">SUMIF(Monthly!$C$5:$BJ$5,F$3,Monthly!$C$29:$BJ$29)</f>
        <v>-4388505.03936</v>
      </c>
    </row>
    <row r="10" customFormat="false" ht="15" hidden="false" customHeight="false" outlineLevel="0" collapsed="false">
      <c r="A10" s="6" t="s">
        <v>249</v>
      </c>
      <c r="B10" s="59" t="n">
        <f aca="false">SUMIF(Monthly!$C$5:$BJ$5,B$3,Monthly!$C$30:$BJ$30)</f>
        <v>-96000</v>
      </c>
      <c r="C10" s="59" t="n">
        <f aca="false">SUMIF(Monthly!$C$5:$BJ$5,C$3,Monthly!$C$30:$BJ$30)</f>
        <v>-115200</v>
      </c>
      <c r="D10" s="59" t="n">
        <f aca="false">SUMIF(Monthly!$C$5:$BJ$5,D$3,Monthly!$C$30:$BJ$30)</f>
        <v>-138240</v>
      </c>
      <c r="E10" s="59" t="n">
        <f aca="false">SUMIF(Monthly!$C$5:$BJ$5,E$3,Monthly!$C$30:$BJ$30)</f>
        <v>-165888</v>
      </c>
      <c r="F10" s="59" t="n">
        <f aca="false">SUMIF(Monthly!$C$5:$BJ$5,F$3,Monthly!$C$30:$BJ$30)</f>
        <v>-199065.6</v>
      </c>
    </row>
    <row r="11" customFormat="false" ht="15" hidden="false" customHeight="false" outlineLevel="0" collapsed="false">
      <c r="A11" s="6" t="s">
        <v>250</v>
      </c>
      <c r="B11" s="59" t="n">
        <f aca="false">SUMIF(Monthly!$C$5:$BJ$5,B$3,Monthly!$C$31:$BJ$31)</f>
        <v>-10800</v>
      </c>
      <c r="C11" s="59" t="n">
        <f aca="false">SUMIF(Monthly!$C$5:$BJ$5,C$3,Monthly!$C$31:$BJ$31)</f>
        <v>-16200</v>
      </c>
      <c r="D11" s="59" t="n">
        <f aca="false">SUMIF(Monthly!$C$5:$BJ$5,D$3,Monthly!$C$31:$BJ$31)</f>
        <v>-24300</v>
      </c>
      <c r="E11" s="59" t="n">
        <f aca="false">SUMIF(Monthly!$C$5:$BJ$5,E$3,Monthly!$C$31:$BJ$31)</f>
        <v>-36450</v>
      </c>
      <c r="F11" s="59" t="n">
        <f aca="false">SUMIF(Monthly!$C$5:$BJ$5,F$3,Monthly!$C$31:$BJ$31)</f>
        <v>-54675</v>
      </c>
    </row>
    <row r="12" customFormat="false" ht="15" hidden="false" customHeight="false" outlineLevel="0" collapsed="false">
      <c r="A12" s="6" t="s">
        <v>251</v>
      </c>
      <c r="B12" s="59" t="n">
        <f aca="false">SUMIF(Monthly!$C$5:$BJ$5,B$3,Monthly!$C$32:$BJ$32)</f>
        <v>-18000</v>
      </c>
      <c r="C12" s="59" t="n">
        <f aca="false">SUMIF(Monthly!$C$5:$BJ$5,C$3,Monthly!$C$32:$BJ$32)</f>
        <v>-18000</v>
      </c>
      <c r="D12" s="59" t="n">
        <f aca="false">SUMIF(Monthly!$C$5:$BJ$5,D$3,Monthly!$C$32:$BJ$32)</f>
        <v>-18000</v>
      </c>
      <c r="E12" s="59" t="n">
        <f aca="false">SUMIF(Monthly!$C$5:$BJ$5,E$3,Monthly!$C$32:$BJ$32)</f>
        <v>-18000</v>
      </c>
      <c r="F12" s="59" t="n">
        <f aca="false">SUMIF(Monthly!$C$5:$BJ$5,F$3,Monthly!$C$32:$BJ$32)</f>
        <v>-18000</v>
      </c>
    </row>
    <row r="13" customFormat="false" ht="15" hidden="false" customHeight="false" outlineLevel="0" collapsed="false">
      <c r="A13" s="6" t="s">
        <v>252</v>
      </c>
      <c r="B13" s="59" t="n">
        <f aca="false">SUMIF(Monthly!$C$5:$BJ$5,B$3,Monthly!$C$33:$BJ$33)</f>
        <v>-36000</v>
      </c>
      <c r="C13" s="59" t="n">
        <f aca="false">SUMIF(Monthly!$C$5:$BJ$5,C$3,Monthly!$C$33:$BJ$33)</f>
        <v>-36000</v>
      </c>
      <c r="D13" s="59" t="n">
        <f aca="false">SUMIF(Monthly!$C$5:$BJ$5,D$3,Monthly!$C$33:$BJ$33)</f>
        <v>-36000</v>
      </c>
      <c r="E13" s="59" t="n">
        <f aca="false">SUMIF(Monthly!$C$5:$BJ$5,E$3,Monthly!$C$33:$BJ$33)</f>
        <v>-36000</v>
      </c>
      <c r="F13" s="59" t="n">
        <f aca="false">SUMIF(Monthly!$C$5:$BJ$5,F$3,Monthly!$C$33:$BJ$33)</f>
        <v>-36000</v>
      </c>
    </row>
    <row r="14" customFormat="false" ht="15" hidden="false" customHeight="false" outlineLevel="0" collapsed="false">
      <c r="A14" s="82" t="s">
        <v>92</v>
      </c>
      <c r="B14" s="60" t="n">
        <f aca="false">SUMIF(Monthly!$C$5:$BJ$5,B$3,Monthly!$C$34:$BJ$34)</f>
        <v>-901800</v>
      </c>
      <c r="C14" s="60" t="n">
        <f aca="false">SUMIF(Monthly!$C$5:$BJ$5,C$3,Monthly!$C$34:$BJ$34)</f>
        <v>-1341360</v>
      </c>
      <c r="D14" s="60" t="n">
        <f aca="false">SUMIF(Monthly!$C$5:$BJ$5,D$3,Monthly!$C$34:$BJ$34)</f>
        <v>-2019837.6</v>
      </c>
      <c r="E14" s="60" t="n">
        <f aca="false">SUMIF(Monthly!$C$5:$BJ$5,E$3,Monthly!$C$34:$BJ$34)</f>
        <v>-3069482.256</v>
      </c>
      <c r="F14" s="60" t="n">
        <f aca="false">SUMIF(Monthly!$C$5:$BJ$5,F$3,Monthly!$C$34:$BJ$34)</f>
        <v>-4696245.63936</v>
      </c>
    </row>
    <row r="15" customFormat="false" ht="15" hidden="false" customHeight="false" outlineLevel="0" collapsed="false">
      <c r="A15" s="82" t="s">
        <v>44</v>
      </c>
      <c r="B15" s="60" t="n">
        <f aca="false">SUMIF(Monthly!$C$5:$BJ$5,B$3,Monthly!$C$35:$BJ$35)</f>
        <v>-703396.477000165</v>
      </c>
      <c r="C15" s="60" t="n">
        <f aca="false">SUMIF(Monthly!$C$5:$BJ$5,C$3,Monthly!$C$35:$BJ$35)</f>
        <v>-820672.963572839</v>
      </c>
      <c r="D15" s="60" t="n">
        <f aca="false">SUMIF(Monthly!$C$5:$BJ$5,D$3,Monthly!$C$35:$BJ$35)</f>
        <v>-1156452.64650262</v>
      </c>
      <c r="E15" s="60" t="n">
        <f aca="false">SUMIF(Monthly!$C$5:$BJ$5,E$3,Monthly!$C$35:$BJ$35)</f>
        <v>-1818164.55963553</v>
      </c>
      <c r="F15" s="60" t="n">
        <f aca="false">SUMIF(Monthly!$C$5:$BJ$5,F$3,Monthly!$C$35:$BJ$35)</f>
        <v>-2984436.0341689</v>
      </c>
    </row>
    <row r="16" customFormat="false" ht="15" hidden="false" customHeight="false" outlineLevel="0" collapsed="false">
      <c r="A16" s="37" t="s">
        <v>45</v>
      </c>
      <c r="B16" s="53" t="n">
        <f aca="false">IF(B5=0,0,B15/B5)</f>
        <v>-3.12045190768953</v>
      </c>
      <c r="C16" s="53" t="n">
        <f aca="false">IF(C5=0,0,C15/C5)</f>
        <v>-1.38832781798827</v>
      </c>
      <c r="D16" s="53" t="n">
        <f aca="false">IF(D5=0,0,D15/D5)</f>
        <v>-1.18079043781547</v>
      </c>
      <c r="E16" s="53" t="n">
        <f aca="false">IF(E5=0,0,E15/E5)</f>
        <v>-1.2818580827054</v>
      </c>
      <c r="F16" s="53" t="n">
        <f aca="false">IF(F5=0,0,F15/F5)</f>
        <v>-1.53914584998018</v>
      </c>
    </row>
    <row r="17" customFormat="false" ht="15" hidden="false" customHeight="false" outlineLevel="0" collapsed="false">
      <c r="A17" s="6" t="s">
        <v>93</v>
      </c>
      <c r="B17" s="59" t="n">
        <f aca="false">SUMIF(Monthly!$C$5:$BJ$5,B$3,Monthly!$C$49:$BJ$49)</f>
        <v>-6666.66666666667</v>
      </c>
      <c r="C17" s="59" t="n">
        <f aca="false">SUMIF(Monthly!$C$5:$BJ$5,C$3,Monthly!$C$49:$BJ$49)</f>
        <v>-6666.66666666667</v>
      </c>
      <c r="D17" s="59" t="n">
        <f aca="false">SUMIF(Monthly!$C$5:$BJ$5,D$3,Monthly!$C$49:$BJ$49)</f>
        <v>-6666.66666666667</v>
      </c>
      <c r="E17" s="59" t="n">
        <f aca="false">SUMIF(Monthly!$C$5:$BJ$5,E$3,Monthly!$C$49:$BJ$49)</f>
        <v>0</v>
      </c>
      <c r="F17" s="59" t="n">
        <f aca="false">SUMIF(Monthly!$C$5:$BJ$5,F$3,Monthly!$C$49:$BJ$49)</f>
        <v>0</v>
      </c>
    </row>
    <row r="18" customFormat="false" ht="15" hidden="false" customHeight="false" outlineLevel="0" collapsed="false">
      <c r="A18" s="4" t="s">
        <v>94</v>
      </c>
      <c r="B18" s="64" t="n">
        <f aca="false">SUMIF(Monthly!$C$5:$BJ$5,B$3,Monthly!$C$38:$BJ$38)</f>
        <v>-710063.143666832</v>
      </c>
      <c r="C18" s="64" t="n">
        <f aca="false">SUMIF(Monthly!$C$5:$BJ$5,C$3,Monthly!$C$38:$BJ$38)</f>
        <v>-827339.630239505</v>
      </c>
      <c r="D18" s="64" t="n">
        <f aca="false">SUMIF(Monthly!$C$5:$BJ$5,D$3,Monthly!$C$38:$BJ$38)</f>
        <v>-1163119.31316928</v>
      </c>
      <c r="E18" s="64" t="n">
        <f aca="false">SUMIF(Monthly!$C$5:$BJ$5,E$3,Monthly!$C$38:$BJ$38)</f>
        <v>-1818164.55963553</v>
      </c>
      <c r="F18" s="64" t="n">
        <f aca="false">SUMIF(Monthly!$C$5:$BJ$5,F$3,Monthly!$C$38:$BJ$38)</f>
        <v>-2984436.0341689</v>
      </c>
    </row>
    <row r="19" customFormat="false" ht="15" hidden="false" customHeight="false" outlineLevel="0" collapsed="false">
      <c r="A19" s="6" t="s">
        <v>95</v>
      </c>
      <c r="B19" s="59" t="n">
        <f aca="false">SUMIF(Monthly!$C$5:$BJ$5,B$3,Monthly!$C$39:$BJ$39)</f>
        <v>0</v>
      </c>
      <c r="C19" s="59" t="n">
        <f aca="false">SUMIF(Monthly!$C$5:$BJ$5,C$3,Monthly!$C$39:$BJ$39)</f>
        <v>0</v>
      </c>
      <c r="D19" s="59" t="n">
        <f aca="false">SUMIF(Monthly!$C$5:$BJ$5,D$3,Monthly!$C$39:$BJ$39)</f>
        <v>0</v>
      </c>
      <c r="E19" s="59" t="n">
        <f aca="false">SUMIF(Monthly!$C$5:$BJ$5,E$3,Monthly!$C$39:$BJ$39)</f>
        <v>0</v>
      </c>
      <c r="F19" s="59" t="n">
        <f aca="false">SUMIF(Monthly!$C$5:$BJ$5,F$3,Monthly!$C$39:$BJ$39)</f>
        <v>0</v>
      </c>
    </row>
    <row r="20" customFormat="false" ht="15" hidden="false" customHeight="false" outlineLevel="0" collapsed="false">
      <c r="A20" s="83" t="s">
        <v>96</v>
      </c>
      <c r="B20" s="84" t="n">
        <f aca="false">SUMIF(Monthly!$C$5:$BJ$5,B$3,Monthly!$C$40:$BJ$40)</f>
        <v>-710063.143666832</v>
      </c>
      <c r="C20" s="84" t="n">
        <f aca="false">SUMIF(Monthly!$C$5:$BJ$5,C$3,Monthly!$C$40:$BJ$40)</f>
        <v>-827339.630239505</v>
      </c>
      <c r="D20" s="84" t="n">
        <f aca="false">SUMIF(Monthly!$C$5:$BJ$5,D$3,Monthly!$C$40:$BJ$40)</f>
        <v>-1163119.31316928</v>
      </c>
      <c r="E20" s="84" t="n">
        <f aca="false">SUMIF(Monthly!$C$5:$BJ$5,E$3,Monthly!$C$40:$BJ$40)</f>
        <v>-1818164.55963553</v>
      </c>
      <c r="F20" s="84" t="n">
        <f aca="false">SUMIF(Monthly!$C$5:$BJ$5,F$3,Monthly!$C$40:$BJ$40)</f>
        <v>-2984436.0341689</v>
      </c>
    </row>
    <row r="21" customFormat="false" ht="15" hidden="false" customHeight="false" outlineLevel="0" collapsed="false">
      <c r="A21" s="6" t="s">
        <v>97</v>
      </c>
      <c r="B21" s="59" t="n">
        <f aca="false">SUMIF(Monthly!$C$5:$BJ$5,B$3,Monthly!$C$43:$BJ$43)</f>
        <v>0</v>
      </c>
      <c r="C21" s="59" t="n">
        <f aca="false">SUMIF(Monthly!$C$5:$BJ$5,C$3,Monthly!$C$43:$BJ$43)</f>
        <v>0</v>
      </c>
      <c r="D21" s="59" t="n">
        <f aca="false">SUMIF(Monthly!$C$5:$BJ$5,D$3,Monthly!$C$43:$BJ$43)</f>
        <v>0</v>
      </c>
      <c r="E21" s="59" t="n">
        <f aca="false">SUMIF(Monthly!$C$5:$BJ$5,E$3,Monthly!$C$43:$BJ$43)</f>
        <v>0</v>
      </c>
      <c r="F21" s="59" t="n">
        <f aca="false">SUMIF(Monthly!$C$5:$BJ$5,F$3,Monthly!$C$43:$BJ$43)</f>
        <v>0</v>
      </c>
    </row>
    <row r="22" customFormat="false" ht="15" hidden="false" customHeight="false" outlineLevel="0" collapsed="false">
      <c r="A22" s="62" t="s">
        <v>46</v>
      </c>
      <c r="B22" s="63" t="n">
        <f aca="false">SUMIF(Monthly!$C$5:$BJ$5,B$3,Monthly!$C$44:$BJ$44)</f>
        <v>-710063.143666832</v>
      </c>
      <c r="C22" s="63" t="n">
        <f aca="false">SUMIF(Monthly!$C$5:$BJ$5,C$3,Monthly!$C$44:$BJ$44)</f>
        <v>-827339.630239505</v>
      </c>
      <c r="D22" s="63" t="n">
        <f aca="false">SUMIF(Monthly!$C$5:$BJ$5,D$3,Monthly!$C$44:$BJ$44)</f>
        <v>-1163119.31316928</v>
      </c>
      <c r="E22" s="63" t="n">
        <f aca="false">SUMIF(Monthly!$C$5:$BJ$5,E$3,Monthly!$C$44:$BJ$44)</f>
        <v>-1818164.55963553</v>
      </c>
      <c r="F22" s="63" t="n">
        <f aca="false">SUMIF(Monthly!$C$5:$BJ$5,F$3,Monthly!$C$44:$BJ$44)</f>
        <v>-2984436.0341689</v>
      </c>
    </row>
    <row r="23" customFormat="false" ht="15" hidden="false" customHeight="false" outlineLevel="0" collapsed="false">
      <c r="A23" s="37" t="s">
        <v>47</v>
      </c>
      <c r="B23" s="53" t="n">
        <f aca="false">IF(B5=0,0,B22/B5)</f>
        <v>-3.15002699570625</v>
      </c>
      <c r="C23" s="53" t="n">
        <f aca="false">IF(C5=0,0,C22/C5)</f>
        <v>-1.39960578034041</v>
      </c>
      <c r="D23" s="53" t="n">
        <f aca="false">IF(D5=0,0,D22/D5)</f>
        <v>-1.18759740589662</v>
      </c>
      <c r="E23" s="53" t="n">
        <f aca="false">IF(E5=0,0,E22/E5)</f>
        <v>-1.2818580827054</v>
      </c>
      <c r="F23" s="53" t="n">
        <f aca="false">IF(F5=0,0,F22/F5)</f>
        <v>-1.53914584998018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247</v>
      </c>
    </row>
    <row r="3" customFormat="false" ht="15" hidden="false" customHeight="false" outlineLevel="0" collapsed="false">
      <c r="A3" s="47" t="s">
        <v>69</v>
      </c>
      <c r="B3" s="47" t="n">
        <v>1</v>
      </c>
      <c r="C3" s="47" t="n">
        <v>2</v>
      </c>
      <c r="D3" s="47" t="n">
        <v>3</v>
      </c>
      <c r="E3" s="47" t="n">
        <v>4</v>
      </c>
      <c r="F3" s="47" t="n">
        <v>5</v>
      </c>
    </row>
    <row r="4" customFormat="false" ht="15" hidden="false" customHeight="false" outlineLevel="0" collapsed="false">
      <c r="A4" s="32"/>
      <c r="B4" s="48" t="s">
        <v>70</v>
      </c>
      <c r="C4" s="48" t="s">
        <v>71</v>
      </c>
      <c r="D4" s="48" t="s">
        <v>72</v>
      </c>
      <c r="E4" s="48" t="s">
        <v>73</v>
      </c>
      <c r="F4" s="48" t="s">
        <v>74</v>
      </c>
    </row>
    <row r="5" customFormat="false" ht="15" hidden="false" customHeight="false" outlineLevel="0" collapsed="false">
      <c r="A5" s="6" t="s">
        <v>46</v>
      </c>
      <c r="B5" s="59" t="n">
        <f aca="false">SUMIF(Monthly!$C$5:$BJ$5,B$3,Monthly!$C$44:$BJ$44)</f>
        <v>-710063.143666832</v>
      </c>
      <c r="C5" s="59" t="n">
        <f aca="false">SUMIF(Monthly!$C$5:$BJ$5,C$3,Monthly!$C$44:$BJ$44)</f>
        <v>-827339.630239505</v>
      </c>
      <c r="D5" s="59" t="n">
        <f aca="false">SUMIF(Monthly!$C$5:$BJ$5,D$3,Monthly!$C$44:$BJ$44)</f>
        <v>-1163119.31316928</v>
      </c>
      <c r="E5" s="59" t="n">
        <f aca="false">SUMIF(Monthly!$C$5:$BJ$5,E$3,Monthly!$C$44:$BJ$44)</f>
        <v>-1818164.55963553</v>
      </c>
      <c r="F5" s="59" t="n">
        <f aca="false">SUMIF(Monthly!$C$5:$BJ$5,F$3,Monthly!$C$44:$BJ$44)</f>
        <v>-2984436.0341689</v>
      </c>
    </row>
    <row r="6" customFormat="false" ht="15" hidden="false" customHeight="false" outlineLevel="0" collapsed="false">
      <c r="A6" s="6" t="s">
        <v>253</v>
      </c>
      <c r="B6" s="59" t="n">
        <f aca="false">-SUMIF(Monthly!$C$5:$BJ$5,B$3,Monthly!$C$49:$BJ$49)</f>
        <v>6666.66666666667</v>
      </c>
      <c r="C6" s="59" t="n">
        <f aca="false">-SUMIF(Monthly!$C$5:$BJ$5,C$3,Monthly!$C$49:$BJ$49)</f>
        <v>6666.66666666667</v>
      </c>
      <c r="D6" s="59" t="n">
        <f aca="false">-SUMIF(Monthly!$C$5:$BJ$5,D$3,Monthly!$C$49:$BJ$49)</f>
        <v>6666.66666666667</v>
      </c>
      <c r="E6" s="59" t="n">
        <f aca="false">-SUMIF(Monthly!$C$5:$BJ$5,E$3,Monthly!$C$49:$BJ$49)</f>
        <v>-0</v>
      </c>
      <c r="F6" s="59" t="n">
        <f aca="false">-SUMIF(Monthly!$C$5:$BJ$5,F$3,Monthly!$C$49:$BJ$49)</f>
        <v>-0</v>
      </c>
    </row>
    <row r="7" customFormat="false" ht="15" hidden="false" customHeight="false" outlineLevel="0" collapsed="false">
      <c r="A7" s="6" t="s">
        <v>254</v>
      </c>
      <c r="B7" s="59" t="n">
        <f aca="false">SUMIF(Monthly!$C$5:$BJ$5,B$3,Monthly!$C$63:$BJ$63)</f>
        <v>-5333.24812314293</v>
      </c>
      <c r="C7" s="59" t="n">
        <f aca="false">SUMIF(Monthly!$C$5:$BJ$5,C$3,Monthly!$C$63:$BJ$63)</f>
        <v>-5129.22645092299</v>
      </c>
      <c r="D7" s="59" t="n">
        <f aca="false">SUMIF(Monthly!$C$5:$BJ$5,D$3,Monthly!$C$63:$BJ$63)</f>
        <v>-5609.19414411709</v>
      </c>
      <c r="E7" s="59" t="n">
        <f aca="false">SUMIF(Monthly!$C$5:$BJ$5,E$3,Monthly!$C$63:$BJ$63)</f>
        <v>-6489.96396613543</v>
      </c>
      <c r="F7" s="59" t="n">
        <f aca="false">SUMIF(Monthly!$C$5:$BJ$5,F$3,Monthly!$C$63:$BJ$63)</f>
        <v>-7823.37993383328</v>
      </c>
    </row>
    <row r="8" customFormat="false" ht="15" hidden="false" customHeight="false" outlineLevel="0" collapsed="false">
      <c r="A8" s="6" t="s">
        <v>255</v>
      </c>
      <c r="B8" s="59" t="n">
        <f aca="false">SUMIF(Monthly!$C$5:$BJ$5,B$3,Monthly!$C$64:$BJ$64)</f>
        <v>0</v>
      </c>
      <c r="C8" s="59" t="n">
        <f aca="false">SUMIF(Monthly!$C$5:$BJ$5,C$3,Monthly!$C$64:$BJ$64)</f>
        <v>0</v>
      </c>
      <c r="D8" s="59" t="n">
        <f aca="false">SUMIF(Monthly!$C$5:$BJ$5,D$3,Monthly!$C$64:$BJ$64)</f>
        <v>0</v>
      </c>
      <c r="E8" s="59" t="n">
        <f aca="false">SUMIF(Monthly!$C$5:$BJ$5,E$3,Monthly!$C$64:$BJ$64)</f>
        <v>0</v>
      </c>
      <c r="F8" s="59" t="n">
        <f aca="false">SUMIF(Monthly!$C$5:$BJ$5,F$3,Monthly!$C$64:$BJ$64)</f>
        <v>0</v>
      </c>
    </row>
    <row r="9" customFormat="false" ht="15" hidden="false" customHeight="false" outlineLevel="0" collapsed="false">
      <c r="A9" s="6" t="s">
        <v>256</v>
      </c>
      <c r="B9" s="59" t="n">
        <f aca="false">SUMIF(Monthly!$C$5:$BJ$5,B$3,Monthly!$C$65:$BJ$65)</f>
        <v>3828.7027098661</v>
      </c>
      <c r="C9" s="59" t="n">
        <f aca="false">SUMIF(Monthly!$C$5:$BJ$5,C$3,Monthly!$C$65:$BJ$65)</f>
        <v>3633.74784394635</v>
      </c>
      <c r="D9" s="59" t="n">
        <f aca="false">SUMIF(Monthly!$C$5:$BJ$5,D$3,Monthly!$C$65:$BJ$65)</f>
        <v>3932.76475392051</v>
      </c>
      <c r="E9" s="59" t="n">
        <f aca="false">SUMIF(Monthly!$C$5:$BJ$5,E$3,Monthly!$C$65:$BJ$65)</f>
        <v>4514.62392896609</v>
      </c>
      <c r="F9" s="59" t="n">
        <f aca="false">SUMIF(Monthly!$C$5:$BJ$5,F$3,Monthly!$C$65:$BJ$65)</f>
        <v>5409.45306562998</v>
      </c>
    </row>
    <row r="10" customFormat="false" ht="15" hidden="false" customHeight="false" outlineLevel="0" collapsed="false">
      <c r="A10" s="6" t="s">
        <v>257</v>
      </c>
      <c r="B10" s="59" t="n">
        <f aca="false">SUMIF(Monthly!$C$5:$BJ$5,B$3,Monthly!$C$67:$BJ$67)</f>
        <v>39704.5081766718</v>
      </c>
      <c r="C10" s="59" t="n">
        <f aca="false">SUMIF(Monthly!$C$5:$BJ$5,C$3,Monthly!$C$67:$BJ$67)</f>
        <v>36960.0252004855</v>
      </c>
      <c r="D10" s="59" t="n">
        <f aca="false">SUMIF(Monthly!$C$5:$BJ$5,D$3,Monthly!$C$67:$BJ$67)</f>
        <v>40514.560766078</v>
      </c>
      <c r="E10" s="59" t="n">
        <f aca="false">SUMIF(Monthly!$C$5:$BJ$5,E$3,Monthly!$C$67:$BJ$67)</f>
        <v>46960.5198224911</v>
      </c>
      <c r="F10" s="59" t="n">
        <f aca="false">SUMIF(Monthly!$C$5:$BJ$5,F$3,Monthly!$C$67:$BJ$67)</f>
        <v>56679.3044862816</v>
      </c>
    </row>
    <row r="11" customFormat="false" ht="15" hidden="false" customHeight="false" outlineLevel="0" collapsed="false">
      <c r="A11" s="82" t="s">
        <v>48</v>
      </c>
      <c r="B11" s="60" t="n">
        <f aca="false">SUMIF(Monthly!$C$5:$BJ$5,B$3,Monthly!$C$70:$BJ$70)</f>
        <v>-665196.514236771</v>
      </c>
      <c r="C11" s="60" t="n">
        <f aca="false">SUMIF(Monthly!$C$5:$BJ$5,C$3,Monthly!$C$70:$BJ$70)</f>
        <v>-785208.41697933</v>
      </c>
      <c r="D11" s="60" t="n">
        <f aca="false">SUMIF(Monthly!$C$5:$BJ$5,D$3,Monthly!$C$70:$BJ$70)</f>
        <v>-1117614.51512673</v>
      </c>
      <c r="E11" s="60" t="n">
        <f aca="false">SUMIF(Monthly!$C$5:$BJ$5,E$3,Monthly!$C$70:$BJ$70)</f>
        <v>-1773179.37985021</v>
      </c>
      <c r="F11" s="60" t="n">
        <f aca="false">SUMIF(Monthly!$C$5:$BJ$5,F$3,Monthly!$C$70:$BJ$70)</f>
        <v>-2930170.65655082</v>
      </c>
    </row>
    <row r="12" customFormat="false" ht="15" hidden="false" customHeight="false" outlineLevel="0" collapsed="false">
      <c r="A12" s="6" t="s">
        <v>99</v>
      </c>
      <c r="B12" s="59" t="n">
        <f aca="false">SUMIF(Monthly!$C$5:$BJ$5,B$3,Monthly!$C$71:$BJ$71)</f>
        <v>-20000</v>
      </c>
      <c r="C12" s="59" t="n">
        <f aca="false">SUMIF(Monthly!$C$5:$BJ$5,C$3,Monthly!$C$71:$BJ$71)</f>
        <v>0</v>
      </c>
      <c r="D12" s="59" t="n">
        <f aca="false">SUMIF(Monthly!$C$5:$BJ$5,D$3,Monthly!$C$71:$BJ$71)</f>
        <v>0</v>
      </c>
      <c r="E12" s="59" t="n">
        <f aca="false">SUMIF(Monthly!$C$5:$BJ$5,E$3,Monthly!$C$71:$BJ$71)</f>
        <v>0</v>
      </c>
      <c r="F12" s="59" t="n">
        <f aca="false">SUMIF(Monthly!$C$5:$BJ$5,F$3,Monthly!$C$71:$BJ$71)</f>
        <v>0</v>
      </c>
    </row>
    <row r="13" customFormat="false" ht="15" hidden="false" customHeight="false" outlineLevel="0" collapsed="false">
      <c r="A13" s="6" t="s">
        <v>59</v>
      </c>
      <c r="B13" s="59" t="n">
        <f aca="false">SUMIF(Monthly!$C$5:$BJ$5,B$3,Monthly!$C$72:$BJ$72)</f>
        <v>3000000</v>
      </c>
      <c r="C13" s="59" t="n">
        <f aca="false">SUMIF(Monthly!$C$5:$BJ$5,C$3,Monthly!$C$72:$BJ$72)</f>
        <v>0</v>
      </c>
      <c r="D13" s="59" t="n">
        <f aca="false">SUMIF(Monthly!$C$5:$BJ$5,D$3,Monthly!$C$72:$BJ$72)</f>
        <v>0</v>
      </c>
      <c r="E13" s="59" t="n">
        <f aca="false">SUMIF(Monthly!$C$5:$BJ$5,E$3,Monthly!$C$72:$BJ$72)</f>
        <v>0</v>
      </c>
      <c r="F13" s="59" t="n">
        <f aca="false">SUMIF(Monthly!$C$5:$BJ$5,F$3,Monthly!$C$72:$BJ$72)</f>
        <v>0</v>
      </c>
    </row>
    <row r="14" customFormat="false" ht="15" hidden="false" customHeight="false" outlineLevel="0" collapsed="false">
      <c r="A14" s="6" t="s">
        <v>100</v>
      </c>
      <c r="B14" s="59" t="n">
        <f aca="false">SUMIF(Monthly!$C$5:$BJ$5,B$3,Monthly!$C$55:$BJ$55)</f>
        <v>0</v>
      </c>
      <c r="C14" s="59" t="n">
        <f aca="false">SUMIF(Monthly!$C$5:$BJ$5,C$3,Monthly!$C$55:$BJ$55)</f>
        <v>0</v>
      </c>
      <c r="D14" s="59" t="n">
        <f aca="false">SUMIF(Monthly!$C$5:$BJ$5,D$3,Monthly!$C$55:$BJ$55)</f>
        <v>0</v>
      </c>
      <c r="E14" s="59" t="n">
        <f aca="false">SUMIF(Monthly!$C$5:$BJ$5,E$3,Monthly!$C$55:$BJ$55)</f>
        <v>0</v>
      </c>
      <c r="F14" s="59" t="n">
        <f aca="false">SUMIF(Monthly!$C$5:$BJ$5,F$3,Monthly!$C$55:$BJ$55)</f>
        <v>0</v>
      </c>
    </row>
    <row r="15" customFormat="false" ht="15" hidden="false" customHeight="false" outlineLevel="0" collapsed="false">
      <c r="A15" s="6" t="s">
        <v>101</v>
      </c>
      <c r="B15" s="59" t="n">
        <f aca="false">SUMIF(Monthly!$C$5:$BJ$5,B$3,Monthly!$C$56:$BJ$56)</f>
        <v>0</v>
      </c>
      <c r="C15" s="59" t="n">
        <f aca="false">SUMIF(Monthly!$C$5:$BJ$5,C$3,Monthly!$C$56:$BJ$56)</f>
        <v>0</v>
      </c>
      <c r="D15" s="59" t="n">
        <f aca="false">SUMIF(Monthly!$C$5:$BJ$5,D$3,Monthly!$C$56:$BJ$56)</f>
        <v>0</v>
      </c>
      <c r="E15" s="59" t="n">
        <f aca="false">SUMIF(Monthly!$C$5:$BJ$5,E$3,Monthly!$C$56:$BJ$56)</f>
        <v>0</v>
      </c>
      <c r="F15" s="59" t="n">
        <f aca="false">SUMIF(Monthly!$C$5:$BJ$5,F$3,Monthly!$C$56:$BJ$56)</f>
        <v>0</v>
      </c>
    </row>
    <row r="16" customFormat="false" ht="15" hidden="false" customHeight="false" outlineLevel="0" collapsed="false">
      <c r="A16" s="82" t="s">
        <v>50</v>
      </c>
      <c r="B16" s="60" t="n">
        <f aca="false">SUMIF(Monthly!$C$5:$BJ$5,B$3,Monthly!$C$73:$BJ$73)</f>
        <v>3000000</v>
      </c>
      <c r="C16" s="60" t="n">
        <f aca="false">SUMIF(Monthly!$C$5:$BJ$5,C$3,Monthly!$C$73:$BJ$73)</f>
        <v>0</v>
      </c>
      <c r="D16" s="60" t="n">
        <f aca="false">SUMIF(Monthly!$C$5:$BJ$5,D$3,Monthly!$C$73:$BJ$73)</f>
        <v>0</v>
      </c>
      <c r="E16" s="60" t="n">
        <f aca="false">SUMIF(Monthly!$C$5:$BJ$5,E$3,Monthly!$C$73:$BJ$73)</f>
        <v>0</v>
      </c>
      <c r="F16" s="60" t="n">
        <f aca="false">SUMIF(Monthly!$C$5:$BJ$5,F$3,Monthly!$C$73:$BJ$73)</f>
        <v>0</v>
      </c>
    </row>
    <row r="17" customFormat="false" ht="15" hidden="false" customHeight="false" outlineLevel="0" collapsed="false">
      <c r="A17" s="4" t="s">
        <v>51</v>
      </c>
      <c r="B17" s="64" t="n">
        <f aca="false">SUMIF(Monthly!$C$5:$BJ$5,B$3,Monthly!$C$74:$BJ$74)</f>
        <v>2314803.48576323</v>
      </c>
      <c r="C17" s="64" t="n">
        <f aca="false">SUMIF(Monthly!$C$5:$BJ$5,C$3,Monthly!$C$74:$BJ$74)</f>
        <v>-785208.41697933</v>
      </c>
      <c r="D17" s="64" t="n">
        <f aca="false">SUMIF(Monthly!$C$5:$BJ$5,D$3,Monthly!$C$74:$BJ$74)</f>
        <v>-1117614.51512673</v>
      </c>
      <c r="E17" s="64" t="n">
        <f aca="false">SUMIF(Monthly!$C$5:$BJ$5,E$3,Monthly!$C$74:$BJ$74)</f>
        <v>-1773179.37985021</v>
      </c>
      <c r="F17" s="64" t="n">
        <f aca="false">SUMIF(Monthly!$C$5:$BJ$5,F$3,Monthly!$C$74:$BJ$74)</f>
        <v>-2930170.65655082</v>
      </c>
    </row>
    <row r="18" customFormat="false" ht="15" hidden="false" customHeight="false" outlineLevel="0" collapsed="false">
      <c r="A18" s="6" t="s">
        <v>258</v>
      </c>
      <c r="B18" s="59" t="n">
        <f aca="false">INDEX(Monthly!$C$75:$BJ$75,(B$3-1)*12+1)</f>
        <v>0</v>
      </c>
      <c r="C18" s="59" t="n">
        <f aca="false">INDEX(Monthly!$C$75:$BJ$75,(C$3-1)*12+1)</f>
        <v>2314803.48576323</v>
      </c>
      <c r="D18" s="59" t="n">
        <f aca="false">INDEX(Monthly!$C$75:$BJ$75,(D$3-1)*12+1)</f>
        <v>1529595.0687839</v>
      </c>
      <c r="E18" s="59" t="n">
        <f aca="false">INDEX(Monthly!$C$75:$BJ$75,(E$3-1)*12+1)</f>
        <v>411980.553657166</v>
      </c>
      <c r="F18" s="59" t="n">
        <f aca="false">INDEX(Monthly!$C$75:$BJ$75,(F$3-1)*12+1)</f>
        <v>-1361198.82619305</v>
      </c>
    </row>
    <row r="19" customFormat="false" ht="15" hidden="false" customHeight="false" outlineLevel="0" collapsed="false">
      <c r="A19" s="62" t="s">
        <v>102</v>
      </c>
      <c r="B19" s="63" t="n">
        <f aca="false">INDEX(Monthly!$C$76:$BJ$76,B$3*12)</f>
        <v>2314803.48576323</v>
      </c>
      <c r="C19" s="63" t="n">
        <f aca="false">INDEX(Monthly!$C$76:$BJ$76,C$3*12)</f>
        <v>1529595.0687839</v>
      </c>
      <c r="D19" s="63" t="n">
        <f aca="false">INDEX(Monthly!$C$76:$BJ$76,D$3*12)</f>
        <v>411980.553657166</v>
      </c>
      <c r="E19" s="63" t="n">
        <f aca="false">INDEX(Monthly!$C$76:$BJ$76,E$3*12)</f>
        <v>-1361198.82619305</v>
      </c>
      <c r="F19" s="63" t="n">
        <f aca="false">INDEX(Monthly!$C$76:$BJ$76,F$3*12)</f>
        <v>-4291369.48274386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247</v>
      </c>
    </row>
    <row r="3" customFormat="false" ht="15" hidden="false" customHeight="false" outlineLevel="0" collapsed="false">
      <c r="A3" s="47" t="s">
        <v>69</v>
      </c>
      <c r="B3" s="47" t="n">
        <v>1</v>
      </c>
      <c r="C3" s="47" t="n">
        <v>2</v>
      </c>
      <c r="D3" s="47" t="n">
        <v>3</v>
      </c>
      <c r="E3" s="47" t="n">
        <v>4</v>
      </c>
      <c r="F3" s="47" t="n">
        <v>5</v>
      </c>
    </row>
    <row r="4" customFormat="false" ht="15" hidden="false" customHeight="false" outlineLevel="0" collapsed="false">
      <c r="A4" s="32"/>
      <c r="B4" s="48" t="s">
        <v>70</v>
      </c>
      <c r="C4" s="48" t="s">
        <v>71</v>
      </c>
      <c r="D4" s="48" t="s">
        <v>72</v>
      </c>
      <c r="E4" s="48" t="s">
        <v>73</v>
      </c>
      <c r="F4" s="48" t="s">
        <v>74</v>
      </c>
    </row>
    <row r="5" customFormat="false" ht="15" hidden="false" customHeight="false" outlineLevel="0" collapsed="false">
      <c r="A5" s="6" t="s">
        <v>104</v>
      </c>
      <c r="B5" s="59" t="n">
        <f aca="false">INDEX(Monthly!$C$76:$BJ$76,B$3*12)</f>
        <v>2314803.48576323</v>
      </c>
      <c r="C5" s="59" t="n">
        <f aca="false">INDEX(Monthly!$C$76:$BJ$76,C$3*12)</f>
        <v>1529595.0687839</v>
      </c>
      <c r="D5" s="59" t="n">
        <f aca="false">INDEX(Monthly!$C$76:$BJ$76,D$3*12)</f>
        <v>411980.553657166</v>
      </c>
      <c r="E5" s="59" t="n">
        <f aca="false">INDEX(Monthly!$C$76:$BJ$76,E$3*12)</f>
        <v>-1361198.82619305</v>
      </c>
      <c r="F5" s="59" t="n">
        <f aca="false">INDEX(Monthly!$C$76:$BJ$76,F$3*12)</f>
        <v>-4291369.48274386</v>
      </c>
    </row>
    <row r="6" customFormat="false" ht="15" hidden="false" customHeight="false" outlineLevel="0" collapsed="false">
      <c r="A6" s="6" t="s">
        <v>105</v>
      </c>
      <c r="B6" s="59" t="n">
        <f aca="false">INDEX(Monthly!$C$60:$BJ$60,B$3*12)</f>
        <v>5333.24812314293</v>
      </c>
      <c r="C6" s="59" t="n">
        <f aca="false">INDEX(Monthly!$C$60:$BJ$60,C$3*12)</f>
        <v>10462.4745740659</v>
      </c>
      <c r="D6" s="59" t="n">
        <f aca="false">INDEX(Monthly!$C$60:$BJ$60,D$3*12)</f>
        <v>16071.668718183</v>
      </c>
      <c r="E6" s="59" t="n">
        <f aca="false">INDEX(Monthly!$C$60:$BJ$60,E$3*12)</f>
        <v>22561.6326843184</v>
      </c>
      <c r="F6" s="59" t="n">
        <f aca="false">INDEX(Monthly!$C$60:$BJ$60,F$3*12)</f>
        <v>30385.0126181517</v>
      </c>
    </row>
    <row r="7" customFormat="false" ht="15" hidden="false" customHeight="false" outlineLevel="0" collapsed="false">
      <c r="A7" s="6" t="s">
        <v>106</v>
      </c>
      <c r="B7" s="59" t="n">
        <f aca="false">INDEX(Monthly!$C$61:$BJ$61,B$3*12)</f>
        <v>0</v>
      </c>
      <c r="C7" s="59" t="n">
        <f aca="false">INDEX(Monthly!$C$61:$BJ$61,C$3*12)</f>
        <v>0</v>
      </c>
      <c r="D7" s="59" t="n">
        <f aca="false">INDEX(Monthly!$C$61:$BJ$61,D$3*12)</f>
        <v>0</v>
      </c>
      <c r="E7" s="59" t="n">
        <f aca="false">INDEX(Monthly!$C$61:$BJ$61,E$3*12)</f>
        <v>0</v>
      </c>
      <c r="F7" s="59" t="n">
        <f aca="false">INDEX(Monthly!$C$61:$BJ$61,F$3*12)</f>
        <v>0</v>
      </c>
    </row>
    <row r="8" customFormat="false" ht="15" hidden="false" customHeight="false" outlineLevel="0" collapsed="false">
      <c r="A8" s="6" t="s">
        <v>107</v>
      </c>
      <c r="B8" s="59" t="n">
        <f aca="false">INDEX(Monthly!$C$51:$BJ$51,B$3*12)</f>
        <v>13333.3333333333</v>
      </c>
      <c r="C8" s="59" t="n">
        <f aca="false">INDEX(Monthly!$C$51:$BJ$51,C$3*12)</f>
        <v>6666.66666666667</v>
      </c>
      <c r="D8" s="59" t="n">
        <f aca="false">INDEX(Monthly!$C$51:$BJ$51,D$3*12)</f>
        <v>0</v>
      </c>
      <c r="E8" s="59" t="n">
        <f aca="false">INDEX(Monthly!$C$51:$BJ$51,E$3*12)</f>
        <v>0</v>
      </c>
      <c r="F8" s="59" t="n">
        <f aca="false">INDEX(Monthly!$C$51:$BJ$51,F$3*12)</f>
        <v>0</v>
      </c>
    </row>
    <row r="9" customFormat="false" ht="15" hidden="false" customHeight="false" outlineLevel="0" collapsed="false">
      <c r="A9" s="82" t="s">
        <v>108</v>
      </c>
      <c r="B9" s="60" t="n">
        <f aca="false">INDEX(Monthly!$C$94:$BJ$94,B$3*12)</f>
        <v>2333470.06721971</v>
      </c>
      <c r="C9" s="60" t="n">
        <f aca="false">INDEX(Monthly!$C$94:$BJ$94,C$3*12)</f>
        <v>1546724.21002463</v>
      </c>
      <c r="D9" s="60" t="n">
        <f aca="false">INDEX(Monthly!$C$94:$BJ$94,D$3*12)</f>
        <v>428052.222375349</v>
      </c>
      <c r="E9" s="60" t="n">
        <f aca="false">INDEX(Monthly!$C$94:$BJ$94,E$3*12)</f>
        <v>-1338637.19350873</v>
      </c>
      <c r="F9" s="60" t="n">
        <f aca="false">INDEX(Monthly!$C$94:$BJ$94,F$3*12)</f>
        <v>-4260984.47012571</v>
      </c>
    </row>
    <row r="10" customFormat="false" ht="15" hidden="false" customHeight="false" outlineLevel="0" collapsed="false">
      <c r="A10" s="6" t="s">
        <v>109</v>
      </c>
      <c r="B10" s="59" t="n">
        <f aca="false">INDEX(Monthly!$C$62:$BJ$62,B$3*12)</f>
        <v>3828.7027098661</v>
      </c>
      <c r="C10" s="59" t="n">
        <f aca="false">INDEX(Monthly!$C$62:$BJ$62,C$3*12)</f>
        <v>7462.45055381245</v>
      </c>
      <c r="D10" s="59" t="n">
        <f aca="false">INDEX(Monthly!$C$62:$BJ$62,D$3*12)</f>
        <v>11395.215307733</v>
      </c>
      <c r="E10" s="59" t="n">
        <f aca="false">INDEX(Monthly!$C$62:$BJ$62,E$3*12)</f>
        <v>15909.8392366991</v>
      </c>
      <c r="F10" s="59" t="n">
        <f aca="false">INDEX(Monthly!$C$62:$BJ$62,F$3*12)</f>
        <v>21319.292302329</v>
      </c>
    </row>
    <row r="11" customFormat="false" ht="15" hidden="false" customHeight="false" outlineLevel="0" collapsed="false">
      <c r="A11" s="6" t="s">
        <v>110</v>
      </c>
      <c r="B11" s="59" t="n">
        <f aca="false">INDEX(Monthly!$C$66:$BJ$66,B$3*12)</f>
        <v>39704.5081766718</v>
      </c>
      <c r="C11" s="59" t="n">
        <f aca="false">INDEX(Monthly!$C$66:$BJ$66,C$3*12)</f>
        <v>76664.5333771572</v>
      </c>
      <c r="D11" s="59" t="n">
        <f aca="false">INDEX(Monthly!$C$66:$BJ$66,D$3*12)</f>
        <v>117179.094143235</v>
      </c>
      <c r="E11" s="59" t="n">
        <f aca="false">INDEX(Monthly!$C$66:$BJ$66,E$3*12)</f>
        <v>164139.613965726</v>
      </c>
      <c r="F11" s="59" t="n">
        <f aca="false">INDEX(Monthly!$C$66:$BJ$66,F$3*12)</f>
        <v>220818.918452008</v>
      </c>
    </row>
    <row r="12" customFormat="false" ht="15" hidden="false" customHeight="false" outlineLevel="0" collapsed="false">
      <c r="A12" s="6" t="s">
        <v>111</v>
      </c>
      <c r="B12" s="59" t="n">
        <f aca="false">INDEX(Monthly!$C$57:$BJ$57,B$3*12)</f>
        <v>0</v>
      </c>
      <c r="C12" s="59" t="n">
        <f aca="false">INDEX(Monthly!$C$57:$BJ$57,C$3*12)</f>
        <v>0</v>
      </c>
      <c r="D12" s="59" t="n">
        <f aca="false">INDEX(Monthly!$C$57:$BJ$57,D$3*12)</f>
        <v>0</v>
      </c>
      <c r="E12" s="59" t="n">
        <f aca="false">INDEX(Monthly!$C$57:$BJ$57,E$3*12)</f>
        <v>0</v>
      </c>
      <c r="F12" s="59" t="n">
        <f aca="false">INDEX(Monthly!$C$57:$BJ$57,F$3*12)</f>
        <v>0</v>
      </c>
    </row>
    <row r="13" customFormat="false" ht="15" hidden="false" customHeight="false" outlineLevel="0" collapsed="false">
      <c r="A13" s="83" t="s">
        <v>112</v>
      </c>
      <c r="B13" s="84" t="n">
        <f aca="false">INDEX(Monthly!$C$95:$BJ$95,B$3*12)</f>
        <v>43533.2108865379</v>
      </c>
      <c r="C13" s="84" t="n">
        <f aca="false">INDEX(Monthly!$C$95:$BJ$95,C$3*12)</f>
        <v>84126.9839309697</v>
      </c>
      <c r="D13" s="84" t="n">
        <f aca="false">INDEX(Monthly!$C$95:$BJ$95,D$3*12)</f>
        <v>128574.309450968</v>
      </c>
      <c r="E13" s="84" t="n">
        <f aca="false">INDEX(Monthly!$C$95:$BJ$95,E$3*12)</f>
        <v>180049.453202425</v>
      </c>
      <c r="F13" s="84" t="n">
        <f aca="false">INDEX(Monthly!$C$95:$BJ$95,F$3*12)</f>
        <v>242138.210754337</v>
      </c>
    </row>
    <row r="14" customFormat="false" ht="15" hidden="false" customHeight="false" outlineLevel="0" collapsed="false">
      <c r="A14" s="6" t="s">
        <v>113</v>
      </c>
      <c r="B14" s="59" t="n">
        <f aca="false">INDEX(Monthly!$C$92:$BJ$92,B$3*12)</f>
        <v>3000000</v>
      </c>
      <c r="C14" s="59" t="n">
        <f aca="false">INDEX(Monthly!$C$92:$BJ$92,C$3*12)</f>
        <v>3000000</v>
      </c>
      <c r="D14" s="59" t="n">
        <f aca="false">INDEX(Monthly!$C$92:$BJ$92,D$3*12)</f>
        <v>3000000</v>
      </c>
      <c r="E14" s="59" t="n">
        <f aca="false">INDEX(Monthly!$C$92:$BJ$92,E$3*12)</f>
        <v>3000000</v>
      </c>
      <c r="F14" s="59" t="n">
        <f aca="false">INDEX(Monthly!$C$92:$BJ$92,F$3*12)</f>
        <v>3000000</v>
      </c>
    </row>
    <row r="15" customFormat="false" ht="15" hidden="false" customHeight="false" outlineLevel="0" collapsed="false">
      <c r="A15" s="6" t="s">
        <v>114</v>
      </c>
      <c r="B15" s="59" t="n">
        <f aca="false">INDEX(Monthly!$C$93:$BJ$93,B$3*12)</f>
        <v>-710063.143666832</v>
      </c>
      <c r="C15" s="59" t="n">
        <f aca="false">INDEX(Monthly!$C$93:$BJ$93,C$3*12)</f>
        <v>-1537402.77390634</v>
      </c>
      <c r="D15" s="59" t="n">
        <f aca="false">INDEX(Monthly!$C$93:$BJ$93,D$3*12)</f>
        <v>-2700522.08707562</v>
      </c>
      <c r="E15" s="59" t="n">
        <f aca="false">INDEX(Monthly!$C$93:$BJ$93,E$3*12)</f>
        <v>-4518686.64671115</v>
      </c>
      <c r="F15" s="59" t="n">
        <f aca="false">INDEX(Monthly!$C$93:$BJ$93,F$3*12)</f>
        <v>-7503122.68088005</v>
      </c>
    </row>
    <row r="16" customFormat="false" ht="15" hidden="false" customHeight="false" outlineLevel="0" collapsed="false">
      <c r="A16" s="83" t="s">
        <v>115</v>
      </c>
      <c r="B16" s="84" t="n">
        <f aca="false">INDEX(Monthly!$C$96:$BJ$96,B$3*12)</f>
        <v>2289936.85633317</v>
      </c>
      <c r="C16" s="84" t="n">
        <f aca="false">INDEX(Monthly!$C$96:$BJ$96,C$3*12)</f>
        <v>1462597.22609366</v>
      </c>
      <c r="D16" s="84" t="n">
        <f aca="false">INDEX(Monthly!$C$96:$BJ$96,D$3*12)</f>
        <v>299477.91292438</v>
      </c>
      <c r="E16" s="84" t="n">
        <f aca="false">INDEX(Monthly!$C$96:$BJ$96,E$3*12)</f>
        <v>-1518686.64671115</v>
      </c>
      <c r="F16" s="84" t="n">
        <f aca="false">INDEX(Monthly!$C$96:$BJ$96,F$3*12)</f>
        <v>-4503122.68088005</v>
      </c>
    </row>
    <row r="17" customFormat="false" ht="15" hidden="false" customHeight="false" outlineLevel="0" collapsed="false">
      <c r="A17" s="62" t="s">
        <v>116</v>
      </c>
      <c r="B17" s="63" t="n">
        <f aca="false">INDEX(Monthly!$C$97:$BJ$97,B$3*12)</f>
        <v>2333470.06721971</v>
      </c>
      <c r="C17" s="63" t="n">
        <f aca="false">INDEX(Monthly!$C$97:$BJ$97,C$3*12)</f>
        <v>1546724.21002463</v>
      </c>
      <c r="D17" s="63" t="n">
        <f aca="false">INDEX(Monthly!$C$97:$BJ$97,D$3*12)</f>
        <v>428052.222375348</v>
      </c>
      <c r="E17" s="63" t="n">
        <f aca="false">INDEX(Monthly!$C$97:$BJ$97,E$3*12)</f>
        <v>-1338637.19350873</v>
      </c>
      <c r="F17" s="63" t="n">
        <f aca="false">INDEX(Monthly!$C$97:$BJ$97,F$3*12)</f>
        <v>-4260984.47012571</v>
      </c>
    </row>
    <row r="18" customFormat="false" ht="15" hidden="false" customHeight="false" outlineLevel="0" collapsed="false">
      <c r="A18" s="6" t="s">
        <v>259</v>
      </c>
      <c r="B18" s="59" t="n">
        <f aca="false">INDEX(Monthly!$C$98:$BJ$98,B$3*12)</f>
        <v>0</v>
      </c>
      <c r="C18" s="59" t="n">
        <f aca="false">INDEX(Monthly!$C$98:$BJ$98,C$3*12)</f>
        <v>0</v>
      </c>
      <c r="D18" s="59" t="n">
        <f aca="false">INDEX(Monthly!$C$98:$BJ$98,D$3*12)</f>
        <v>0</v>
      </c>
      <c r="E18" s="59" t="n">
        <f aca="false">INDEX(Monthly!$C$98:$BJ$98,E$3*12)</f>
        <v>0</v>
      </c>
      <c r="F18" s="59" t="n">
        <f aca="false">INDEX(Monthly!$C$98:$BJ$98,F$3*12)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260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261</v>
      </c>
    </row>
    <row r="3" customFormat="false" ht="15" hidden="false" customHeight="false" outlineLevel="0" collapsed="false">
      <c r="A3" s="32" t="s">
        <v>262</v>
      </c>
      <c r="C3" s="48" t="s">
        <v>263</v>
      </c>
      <c r="D3" s="48" t="s">
        <v>264</v>
      </c>
      <c r="E3" s="48" t="s">
        <v>265</v>
      </c>
      <c r="F3" s="48" t="s">
        <v>266</v>
      </c>
      <c r="G3" s="48" t="s">
        <v>267</v>
      </c>
      <c r="H3" s="48" t="s">
        <v>268</v>
      </c>
      <c r="I3" s="48" t="s">
        <v>269</v>
      </c>
      <c r="J3" s="48" t="s">
        <v>270</v>
      </c>
      <c r="K3" s="48" t="s">
        <v>271</v>
      </c>
      <c r="L3" s="48" t="s">
        <v>272</v>
      </c>
      <c r="M3" s="48" t="s">
        <v>273</v>
      </c>
      <c r="N3" s="48" t="s">
        <v>274</v>
      </c>
      <c r="O3" s="48" t="s">
        <v>275</v>
      </c>
      <c r="P3" s="48" t="s">
        <v>276</v>
      </c>
      <c r="Q3" s="48" t="s">
        <v>277</v>
      </c>
      <c r="R3" s="48" t="s">
        <v>278</v>
      </c>
      <c r="S3" s="48" t="s">
        <v>279</v>
      </c>
      <c r="T3" s="48" t="s">
        <v>280</v>
      </c>
      <c r="U3" s="48" t="s">
        <v>281</v>
      </c>
      <c r="V3" s="48" t="s">
        <v>282</v>
      </c>
      <c r="W3" s="48" t="s">
        <v>283</v>
      </c>
      <c r="X3" s="48" t="s">
        <v>284</v>
      </c>
      <c r="Y3" s="48" t="s">
        <v>285</v>
      </c>
      <c r="Z3" s="48" t="s">
        <v>286</v>
      </c>
      <c r="AA3" s="48" t="s">
        <v>287</v>
      </c>
      <c r="AB3" s="48" t="s">
        <v>288</v>
      </c>
      <c r="AC3" s="48" t="s">
        <v>289</v>
      </c>
      <c r="AD3" s="48" t="s">
        <v>290</v>
      </c>
      <c r="AE3" s="48" t="s">
        <v>291</v>
      </c>
      <c r="AF3" s="48" t="s">
        <v>292</v>
      </c>
      <c r="AG3" s="48" t="s">
        <v>293</v>
      </c>
      <c r="AH3" s="48" t="s">
        <v>294</v>
      </c>
      <c r="AI3" s="48" t="s">
        <v>295</v>
      </c>
      <c r="AJ3" s="48" t="s">
        <v>296</v>
      </c>
      <c r="AK3" s="48" t="s">
        <v>297</v>
      </c>
      <c r="AL3" s="48" t="s">
        <v>298</v>
      </c>
      <c r="AM3" s="48" t="s">
        <v>299</v>
      </c>
      <c r="AN3" s="48" t="s">
        <v>300</v>
      </c>
      <c r="AO3" s="48" t="s">
        <v>301</v>
      </c>
      <c r="AP3" s="48" t="s">
        <v>302</v>
      </c>
      <c r="AQ3" s="48" t="s">
        <v>303</v>
      </c>
      <c r="AR3" s="48" t="s">
        <v>304</v>
      </c>
      <c r="AS3" s="48" t="s">
        <v>305</v>
      </c>
      <c r="AT3" s="48" t="s">
        <v>306</v>
      </c>
      <c r="AU3" s="48" t="s">
        <v>307</v>
      </c>
      <c r="AV3" s="48" t="s">
        <v>308</v>
      </c>
      <c r="AW3" s="48" t="s">
        <v>309</v>
      </c>
      <c r="AX3" s="48" t="s">
        <v>310</v>
      </c>
      <c r="AY3" s="48" t="s">
        <v>311</v>
      </c>
      <c r="AZ3" s="48" t="s">
        <v>312</v>
      </c>
      <c r="BA3" s="48" t="s">
        <v>313</v>
      </c>
      <c r="BB3" s="48" t="s">
        <v>314</v>
      </c>
      <c r="BC3" s="48" t="s">
        <v>315</v>
      </c>
      <c r="BD3" s="48" t="s">
        <v>316</v>
      </c>
      <c r="BE3" s="48" t="s">
        <v>317</v>
      </c>
      <c r="BF3" s="48" t="s">
        <v>318</v>
      </c>
      <c r="BG3" s="48" t="s">
        <v>319</v>
      </c>
      <c r="BH3" s="48" t="s">
        <v>320</v>
      </c>
      <c r="BI3" s="48" t="s">
        <v>321</v>
      </c>
      <c r="BJ3" s="48" t="s">
        <v>322</v>
      </c>
    </row>
    <row r="4" customFormat="false" ht="15" hidden="false" customHeight="false" outlineLevel="0" collapsed="false">
      <c r="A4" s="47" t="s">
        <v>323</v>
      </c>
      <c r="C4" s="47" t="n">
        <v>1</v>
      </c>
      <c r="D4" s="47" t="n">
        <v>2</v>
      </c>
      <c r="E4" s="47" t="n">
        <v>3</v>
      </c>
      <c r="F4" s="47" t="n">
        <v>4</v>
      </c>
      <c r="G4" s="47" t="n">
        <v>5</v>
      </c>
      <c r="H4" s="47" t="n">
        <v>6</v>
      </c>
      <c r="I4" s="47" t="n">
        <v>7</v>
      </c>
      <c r="J4" s="47" t="n">
        <v>8</v>
      </c>
      <c r="K4" s="47" t="n">
        <v>9</v>
      </c>
      <c r="L4" s="47" t="n">
        <v>10</v>
      </c>
      <c r="M4" s="47" t="n">
        <v>11</v>
      </c>
      <c r="N4" s="47" t="n">
        <v>12</v>
      </c>
      <c r="O4" s="47" t="n">
        <v>13</v>
      </c>
      <c r="P4" s="47" t="n">
        <v>14</v>
      </c>
      <c r="Q4" s="47" t="n">
        <v>15</v>
      </c>
      <c r="R4" s="47" t="n">
        <v>16</v>
      </c>
      <c r="S4" s="47" t="n">
        <v>17</v>
      </c>
      <c r="T4" s="47" t="n">
        <v>18</v>
      </c>
      <c r="U4" s="47" t="n">
        <v>19</v>
      </c>
      <c r="V4" s="47" t="n">
        <v>20</v>
      </c>
      <c r="W4" s="47" t="n">
        <v>21</v>
      </c>
      <c r="X4" s="47" t="n">
        <v>22</v>
      </c>
      <c r="Y4" s="47" t="n">
        <v>23</v>
      </c>
      <c r="Z4" s="47" t="n">
        <v>24</v>
      </c>
      <c r="AA4" s="47" t="n">
        <v>25</v>
      </c>
      <c r="AB4" s="47" t="n">
        <v>26</v>
      </c>
      <c r="AC4" s="47" t="n">
        <v>27</v>
      </c>
      <c r="AD4" s="47" t="n">
        <v>28</v>
      </c>
      <c r="AE4" s="47" t="n">
        <v>29</v>
      </c>
      <c r="AF4" s="47" t="n">
        <v>30</v>
      </c>
      <c r="AG4" s="47" t="n">
        <v>31</v>
      </c>
      <c r="AH4" s="47" t="n">
        <v>32</v>
      </c>
      <c r="AI4" s="47" t="n">
        <v>33</v>
      </c>
      <c r="AJ4" s="47" t="n">
        <v>34</v>
      </c>
      <c r="AK4" s="47" t="n">
        <v>35</v>
      </c>
      <c r="AL4" s="47" t="n">
        <v>36</v>
      </c>
      <c r="AM4" s="47" t="n">
        <v>37</v>
      </c>
      <c r="AN4" s="47" t="n">
        <v>38</v>
      </c>
      <c r="AO4" s="47" t="n">
        <v>39</v>
      </c>
      <c r="AP4" s="47" t="n">
        <v>40</v>
      </c>
      <c r="AQ4" s="47" t="n">
        <v>41</v>
      </c>
      <c r="AR4" s="47" t="n">
        <v>42</v>
      </c>
      <c r="AS4" s="47" t="n">
        <v>43</v>
      </c>
      <c r="AT4" s="47" t="n">
        <v>44</v>
      </c>
      <c r="AU4" s="47" t="n">
        <v>45</v>
      </c>
      <c r="AV4" s="47" t="n">
        <v>46</v>
      </c>
      <c r="AW4" s="47" t="n">
        <v>47</v>
      </c>
      <c r="AX4" s="47" t="n">
        <v>48</v>
      </c>
      <c r="AY4" s="47" t="n">
        <v>49</v>
      </c>
      <c r="AZ4" s="47" t="n">
        <v>50</v>
      </c>
      <c r="BA4" s="47" t="n">
        <v>51</v>
      </c>
      <c r="BB4" s="47" t="n">
        <v>52</v>
      </c>
      <c r="BC4" s="47" t="n">
        <v>53</v>
      </c>
      <c r="BD4" s="47" t="n">
        <v>54</v>
      </c>
      <c r="BE4" s="47" t="n">
        <v>55</v>
      </c>
      <c r="BF4" s="47" t="n">
        <v>56</v>
      </c>
      <c r="BG4" s="47" t="n">
        <v>57</v>
      </c>
      <c r="BH4" s="47" t="n">
        <v>58</v>
      </c>
      <c r="BI4" s="47" t="n">
        <v>59</v>
      </c>
      <c r="BJ4" s="47" t="n">
        <v>60</v>
      </c>
    </row>
    <row r="5" customFormat="false" ht="15" hidden="false" customHeight="false" outlineLevel="0" collapsed="false">
      <c r="A5" s="47" t="s">
        <v>69</v>
      </c>
      <c r="C5" s="47" t="n">
        <f aca="false">ROUNDUP(C4*1/12,0)</f>
        <v>1</v>
      </c>
      <c r="D5" s="47" t="n">
        <f aca="false">ROUNDUP(D4*1/12,0)</f>
        <v>1</v>
      </c>
      <c r="E5" s="47" t="n">
        <f aca="false">ROUNDUP(E4*1/12,0)</f>
        <v>1</v>
      </c>
      <c r="F5" s="47" t="n">
        <f aca="false">ROUNDUP(F4*1/12,0)</f>
        <v>1</v>
      </c>
      <c r="G5" s="47" t="n">
        <f aca="false">ROUNDUP(G4*1/12,0)</f>
        <v>1</v>
      </c>
      <c r="H5" s="47" t="n">
        <f aca="false">ROUNDUP(H4*1/12,0)</f>
        <v>1</v>
      </c>
      <c r="I5" s="47" t="n">
        <f aca="false">ROUNDUP(I4*1/12,0)</f>
        <v>1</v>
      </c>
      <c r="J5" s="47" t="n">
        <f aca="false">ROUNDUP(J4*1/12,0)</f>
        <v>1</v>
      </c>
      <c r="K5" s="47" t="n">
        <f aca="false">ROUNDUP(K4*1/12,0)</f>
        <v>1</v>
      </c>
      <c r="L5" s="47" t="n">
        <f aca="false">ROUNDUP(L4*1/12,0)</f>
        <v>1</v>
      </c>
      <c r="M5" s="47" t="n">
        <f aca="false">ROUNDUP(M4*1/12,0)</f>
        <v>1</v>
      </c>
      <c r="N5" s="47" t="n">
        <f aca="false">ROUNDUP(N4*1/12,0)</f>
        <v>1</v>
      </c>
      <c r="O5" s="47" t="n">
        <f aca="false">ROUNDUP(O4*1/12,0)</f>
        <v>2</v>
      </c>
      <c r="P5" s="47" t="n">
        <f aca="false">ROUNDUP(P4*1/12,0)</f>
        <v>2</v>
      </c>
      <c r="Q5" s="47" t="n">
        <f aca="false">ROUNDUP(Q4*1/12,0)</f>
        <v>2</v>
      </c>
      <c r="R5" s="47" t="n">
        <f aca="false">ROUNDUP(R4*1/12,0)</f>
        <v>2</v>
      </c>
      <c r="S5" s="47" t="n">
        <f aca="false">ROUNDUP(S4*1/12,0)</f>
        <v>2</v>
      </c>
      <c r="T5" s="47" t="n">
        <f aca="false">ROUNDUP(T4*1/12,0)</f>
        <v>2</v>
      </c>
      <c r="U5" s="47" t="n">
        <f aca="false">ROUNDUP(U4*1/12,0)</f>
        <v>2</v>
      </c>
      <c r="V5" s="47" t="n">
        <f aca="false">ROUNDUP(V4*1/12,0)</f>
        <v>2</v>
      </c>
      <c r="W5" s="47" t="n">
        <f aca="false">ROUNDUP(W4*1/12,0)</f>
        <v>2</v>
      </c>
      <c r="X5" s="47" t="n">
        <f aca="false">ROUNDUP(X4*1/12,0)</f>
        <v>2</v>
      </c>
      <c r="Y5" s="47" t="n">
        <f aca="false">ROUNDUP(Y4*1/12,0)</f>
        <v>2</v>
      </c>
      <c r="Z5" s="47" t="n">
        <f aca="false">ROUNDUP(Z4*1/12,0)</f>
        <v>2</v>
      </c>
      <c r="AA5" s="47" t="n">
        <f aca="false">ROUNDUP(AA4*1/12,0)</f>
        <v>3</v>
      </c>
      <c r="AB5" s="47" t="n">
        <f aca="false">ROUNDUP(AB4*1/12,0)</f>
        <v>3</v>
      </c>
      <c r="AC5" s="47" t="n">
        <f aca="false">ROUNDUP(AC4*1/12,0)</f>
        <v>3</v>
      </c>
      <c r="AD5" s="47" t="n">
        <f aca="false">ROUNDUP(AD4*1/12,0)</f>
        <v>3</v>
      </c>
      <c r="AE5" s="47" t="n">
        <f aca="false">ROUNDUP(AE4*1/12,0)</f>
        <v>3</v>
      </c>
      <c r="AF5" s="47" t="n">
        <f aca="false">ROUNDUP(AF4*1/12,0)</f>
        <v>3</v>
      </c>
      <c r="AG5" s="47" t="n">
        <f aca="false">ROUNDUP(AG4*1/12,0)</f>
        <v>3</v>
      </c>
      <c r="AH5" s="47" t="n">
        <f aca="false">ROUNDUP(AH4*1/12,0)</f>
        <v>3</v>
      </c>
      <c r="AI5" s="47" t="n">
        <f aca="false">ROUNDUP(AI4*1/12,0)</f>
        <v>3</v>
      </c>
      <c r="AJ5" s="47" t="n">
        <f aca="false">ROUNDUP(AJ4*1/12,0)</f>
        <v>3</v>
      </c>
      <c r="AK5" s="47" t="n">
        <f aca="false">ROUNDUP(AK4*1/12,0)</f>
        <v>3</v>
      </c>
      <c r="AL5" s="47" t="n">
        <f aca="false">ROUNDUP(AL4*1/12,0)</f>
        <v>3</v>
      </c>
      <c r="AM5" s="47" t="n">
        <f aca="false">ROUNDUP(AM4*1/12,0)</f>
        <v>4</v>
      </c>
      <c r="AN5" s="47" t="n">
        <f aca="false">ROUNDUP(AN4*1/12,0)</f>
        <v>4</v>
      </c>
      <c r="AO5" s="47" t="n">
        <f aca="false">ROUNDUP(AO4*1/12,0)</f>
        <v>4</v>
      </c>
      <c r="AP5" s="47" t="n">
        <f aca="false">ROUNDUP(AP4*1/12,0)</f>
        <v>4</v>
      </c>
      <c r="AQ5" s="47" t="n">
        <f aca="false">ROUNDUP(AQ4*1/12,0)</f>
        <v>4</v>
      </c>
      <c r="AR5" s="47" t="n">
        <f aca="false">ROUNDUP(AR4*1/12,0)</f>
        <v>4</v>
      </c>
      <c r="AS5" s="47" t="n">
        <f aca="false">ROUNDUP(AS4*1/12,0)</f>
        <v>4</v>
      </c>
      <c r="AT5" s="47" t="n">
        <f aca="false">ROUNDUP(AT4*1/12,0)</f>
        <v>4</v>
      </c>
      <c r="AU5" s="47" t="n">
        <f aca="false">ROUNDUP(AU4*1/12,0)</f>
        <v>4</v>
      </c>
      <c r="AV5" s="47" t="n">
        <f aca="false">ROUNDUP(AV4*1/12,0)</f>
        <v>4</v>
      </c>
      <c r="AW5" s="47" t="n">
        <f aca="false">ROUNDUP(AW4*1/12,0)</f>
        <v>4</v>
      </c>
      <c r="AX5" s="47" t="n">
        <f aca="false">ROUNDUP(AX4*1/12,0)</f>
        <v>4</v>
      </c>
      <c r="AY5" s="47" t="n">
        <f aca="false">ROUNDUP(AY4*1/12,0)</f>
        <v>5</v>
      </c>
      <c r="AZ5" s="47" t="n">
        <f aca="false">ROUNDUP(AZ4*1/12,0)</f>
        <v>5</v>
      </c>
      <c r="BA5" s="47" t="n">
        <f aca="false">ROUNDUP(BA4*1/12,0)</f>
        <v>5</v>
      </c>
      <c r="BB5" s="47" t="n">
        <f aca="false">ROUNDUP(BB4*1/12,0)</f>
        <v>5</v>
      </c>
      <c r="BC5" s="47" t="n">
        <f aca="false">ROUNDUP(BC4*1/12,0)</f>
        <v>5</v>
      </c>
      <c r="BD5" s="47" t="n">
        <f aca="false">ROUNDUP(BD4*1/12,0)</f>
        <v>5</v>
      </c>
      <c r="BE5" s="47" t="n">
        <f aca="false">ROUNDUP(BE4*1/12,0)</f>
        <v>5</v>
      </c>
      <c r="BF5" s="47" t="n">
        <f aca="false">ROUNDUP(BF4*1/12,0)</f>
        <v>5</v>
      </c>
      <c r="BG5" s="47" t="n">
        <f aca="false">ROUNDUP(BG4*1/12,0)</f>
        <v>5</v>
      </c>
      <c r="BH5" s="47" t="n">
        <f aca="false">ROUNDUP(BH4*1/12,0)</f>
        <v>5</v>
      </c>
      <c r="BI5" s="47" t="n">
        <f aca="false">ROUNDUP(BI4*1/12,0)</f>
        <v>5</v>
      </c>
      <c r="BJ5" s="47" t="n">
        <f aca="false">ROUNDUP(BJ4*1/12,0)</f>
        <v>5</v>
      </c>
    </row>
    <row r="7" customFormat="false" ht="15.75" hidden="false" customHeight="true" outlineLevel="0" collapsed="false">
      <c r="A7" s="7" t="s">
        <v>324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325</v>
      </c>
      <c r="C8" s="50" t="n">
        <f aca="false">Inputs!$E$12*(1+Inputs!$E$13)^(C$5-1)*1</f>
        <v>12</v>
      </c>
      <c r="D8" s="50" t="n">
        <f aca="false">Inputs!$E$12*(1+Inputs!$E$13)^(D$5-1)*1</f>
        <v>12</v>
      </c>
      <c r="E8" s="50" t="n">
        <f aca="false">Inputs!$E$12*(1+Inputs!$E$13)^(E$5-1)*1</f>
        <v>12</v>
      </c>
      <c r="F8" s="50" t="n">
        <f aca="false">Inputs!$E$12*(1+Inputs!$E$13)^(F$5-1)*1</f>
        <v>12</v>
      </c>
      <c r="G8" s="50" t="n">
        <f aca="false">Inputs!$E$12*(1+Inputs!$E$13)^(G$5-1)*1</f>
        <v>12</v>
      </c>
      <c r="H8" s="50" t="n">
        <f aca="false">Inputs!$E$12*(1+Inputs!$E$13)^(H$5-1)*1</f>
        <v>12</v>
      </c>
      <c r="I8" s="50" t="n">
        <f aca="false">Inputs!$E$12*(1+Inputs!$E$13)^(I$5-1)*1</f>
        <v>12</v>
      </c>
      <c r="J8" s="50" t="n">
        <f aca="false">Inputs!$E$12*(1+Inputs!$E$13)^(J$5-1)*1</f>
        <v>12</v>
      </c>
      <c r="K8" s="50" t="n">
        <f aca="false">Inputs!$E$12*(1+Inputs!$E$13)^(K$5-1)*1</f>
        <v>12</v>
      </c>
      <c r="L8" s="50" t="n">
        <f aca="false">Inputs!$E$12*(1+Inputs!$E$13)^(L$5-1)*1</f>
        <v>12</v>
      </c>
      <c r="M8" s="50" t="n">
        <f aca="false">Inputs!$E$12*(1+Inputs!$E$13)^(M$5-1)*1</f>
        <v>12</v>
      </c>
      <c r="N8" s="50" t="n">
        <f aca="false">Inputs!$E$12*(1+Inputs!$E$13)^(N$5-1)*1</f>
        <v>12</v>
      </c>
      <c r="O8" s="50" t="n">
        <f aca="false">Inputs!$E$12*(1+Inputs!$E$13)^(O$5-1)*1</f>
        <v>15.6</v>
      </c>
      <c r="P8" s="50" t="n">
        <f aca="false">Inputs!$E$12*(1+Inputs!$E$13)^(P$5-1)*1</f>
        <v>15.6</v>
      </c>
      <c r="Q8" s="50" t="n">
        <f aca="false">Inputs!$E$12*(1+Inputs!$E$13)^(Q$5-1)*1</f>
        <v>15.6</v>
      </c>
      <c r="R8" s="50" t="n">
        <f aca="false">Inputs!$E$12*(1+Inputs!$E$13)^(R$5-1)*1</f>
        <v>15.6</v>
      </c>
      <c r="S8" s="50" t="n">
        <f aca="false">Inputs!$E$12*(1+Inputs!$E$13)^(S$5-1)*1</f>
        <v>15.6</v>
      </c>
      <c r="T8" s="50" t="n">
        <f aca="false">Inputs!$E$12*(1+Inputs!$E$13)^(T$5-1)*1</f>
        <v>15.6</v>
      </c>
      <c r="U8" s="50" t="n">
        <f aca="false">Inputs!$E$12*(1+Inputs!$E$13)^(U$5-1)*1</f>
        <v>15.6</v>
      </c>
      <c r="V8" s="50" t="n">
        <f aca="false">Inputs!$E$12*(1+Inputs!$E$13)^(V$5-1)*1</f>
        <v>15.6</v>
      </c>
      <c r="W8" s="50" t="n">
        <f aca="false">Inputs!$E$12*(1+Inputs!$E$13)^(W$5-1)*1</f>
        <v>15.6</v>
      </c>
      <c r="X8" s="50" t="n">
        <f aca="false">Inputs!$E$12*(1+Inputs!$E$13)^(X$5-1)*1</f>
        <v>15.6</v>
      </c>
      <c r="Y8" s="50" t="n">
        <f aca="false">Inputs!$E$12*(1+Inputs!$E$13)^(Y$5-1)*1</f>
        <v>15.6</v>
      </c>
      <c r="Z8" s="50" t="n">
        <f aca="false">Inputs!$E$12*(1+Inputs!$E$13)^(Z$5-1)*1</f>
        <v>15.6</v>
      </c>
      <c r="AA8" s="50" t="n">
        <f aca="false">Inputs!$E$12*(1+Inputs!$E$13)^(AA$5-1)*1</f>
        <v>20.28</v>
      </c>
      <c r="AB8" s="50" t="n">
        <f aca="false">Inputs!$E$12*(1+Inputs!$E$13)^(AB$5-1)*1</f>
        <v>20.28</v>
      </c>
      <c r="AC8" s="50" t="n">
        <f aca="false">Inputs!$E$12*(1+Inputs!$E$13)^(AC$5-1)*1</f>
        <v>20.28</v>
      </c>
      <c r="AD8" s="50" t="n">
        <f aca="false">Inputs!$E$12*(1+Inputs!$E$13)^(AD$5-1)*1</f>
        <v>20.28</v>
      </c>
      <c r="AE8" s="50" t="n">
        <f aca="false">Inputs!$E$12*(1+Inputs!$E$13)^(AE$5-1)*1</f>
        <v>20.28</v>
      </c>
      <c r="AF8" s="50" t="n">
        <f aca="false">Inputs!$E$12*(1+Inputs!$E$13)^(AF$5-1)*1</f>
        <v>20.28</v>
      </c>
      <c r="AG8" s="50" t="n">
        <f aca="false">Inputs!$E$12*(1+Inputs!$E$13)^(AG$5-1)*1</f>
        <v>20.28</v>
      </c>
      <c r="AH8" s="50" t="n">
        <f aca="false">Inputs!$E$12*(1+Inputs!$E$13)^(AH$5-1)*1</f>
        <v>20.28</v>
      </c>
      <c r="AI8" s="50" t="n">
        <f aca="false">Inputs!$E$12*(1+Inputs!$E$13)^(AI$5-1)*1</f>
        <v>20.28</v>
      </c>
      <c r="AJ8" s="50" t="n">
        <f aca="false">Inputs!$E$12*(1+Inputs!$E$13)^(AJ$5-1)*1</f>
        <v>20.28</v>
      </c>
      <c r="AK8" s="50" t="n">
        <f aca="false">Inputs!$E$12*(1+Inputs!$E$13)^(AK$5-1)*1</f>
        <v>20.28</v>
      </c>
      <c r="AL8" s="50" t="n">
        <f aca="false">Inputs!$E$12*(1+Inputs!$E$13)^(AL$5-1)*1</f>
        <v>20.28</v>
      </c>
      <c r="AM8" s="50" t="n">
        <f aca="false">Inputs!$E$12*(1+Inputs!$E$13)^(AM$5-1)*1</f>
        <v>26.364</v>
      </c>
      <c r="AN8" s="50" t="n">
        <f aca="false">Inputs!$E$12*(1+Inputs!$E$13)^(AN$5-1)*1</f>
        <v>26.364</v>
      </c>
      <c r="AO8" s="50" t="n">
        <f aca="false">Inputs!$E$12*(1+Inputs!$E$13)^(AO$5-1)*1</f>
        <v>26.364</v>
      </c>
      <c r="AP8" s="50" t="n">
        <f aca="false">Inputs!$E$12*(1+Inputs!$E$13)^(AP$5-1)*1</f>
        <v>26.364</v>
      </c>
      <c r="AQ8" s="50" t="n">
        <f aca="false">Inputs!$E$12*(1+Inputs!$E$13)^(AQ$5-1)*1</f>
        <v>26.364</v>
      </c>
      <c r="AR8" s="50" t="n">
        <f aca="false">Inputs!$E$12*(1+Inputs!$E$13)^(AR$5-1)*1</f>
        <v>26.364</v>
      </c>
      <c r="AS8" s="50" t="n">
        <f aca="false">Inputs!$E$12*(1+Inputs!$E$13)^(AS$5-1)*1</f>
        <v>26.364</v>
      </c>
      <c r="AT8" s="50" t="n">
        <f aca="false">Inputs!$E$12*(1+Inputs!$E$13)^(AT$5-1)*1</f>
        <v>26.364</v>
      </c>
      <c r="AU8" s="50" t="n">
        <f aca="false">Inputs!$E$12*(1+Inputs!$E$13)^(AU$5-1)*1</f>
        <v>26.364</v>
      </c>
      <c r="AV8" s="50" t="n">
        <f aca="false">Inputs!$E$12*(1+Inputs!$E$13)^(AV$5-1)*1</f>
        <v>26.364</v>
      </c>
      <c r="AW8" s="50" t="n">
        <f aca="false">Inputs!$E$12*(1+Inputs!$E$13)^(AW$5-1)*1</f>
        <v>26.364</v>
      </c>
      <c r="AX8" s="50" t="n">
        <f aca="false">Inputs!$E$12*(1+Inputs!$E$13)^(AX$5-1)*1</f>
        <v>26.364</v>
      </c>
      <c r="AY8" s="50" t="n">
        <f aca="false">Inputs!$E$12*(1+Inputs!$E$13)^(AY$5-1)*1</f>
        <v>34.2732</v>
      </c>
      <c r="AZ8" s="50" t="n">
        <f aca="false">Inputs!$E$12*(1+Inputs!$E$13)^(AZ$5-1)*1</f>
        <v>34.2732</v>
      </c>
      <c r="BA8" s="50" t="n">
        <f aca="false">Inputs!$E$12*(1+Inputs!$E$13)^(BA$5-1)*1</f>
        <v>34.2732</v>
      </c>
      <c r="BB8" s="50" t="n">
        <f aca="false">Inputs!$E$12*(1+Inputs!$E$13)^(BB$5-1)*1</f>
        <v>34.2732</v>
      </c>
      <c r="BC8" s="50" t="n">
        <f aca="false">Inputs!$E$12*(1+Inputs!$E$13)^(BC$5-1)*1</f>
        <v>34.2732</v>
      </c>
      <c r="BD8" s="50" t="n">
        <f aca="false">Inputs!$E$12*(1+Inputs!$E$13)^(BD$5-1)*1</f>
        <v>34.2732</v>
      </c>
      <c r="BE8" s="50" t="n">
        <f aca="false">Inputs!$E$12*(1+Inputs!$E$13)^(BE$5-1)*1</f>
        <v>34.2732</v>
      </c>
      <c r="BF8" s="50" t="n">
        <f aca="false">Inputs!$E$12*(1+Inputs!$E$13)^(BF$5-1)*1</f>
        <v>34.2732</v>
      </c>
      <c r="BG8" s="50" t="n">
        <f aca="false">Inputs!$E$12*(1+Inputs!$E$13)^(BG$5-1)*1</f>
        <v>34.2732</v>
      </c>
      <c r="BH8" s="50" t="n">
        <f aca="false">Inputs!$E$12*(1+Inputs!$E$13)^(BH$5-1)*1</f>
        <v>34.2732</v>
      </c>
      <c r="BI8" s="50" t="n">
        <f aca="false">Inputs!$E$12*(1+Inputs!$E$13)^(BI$5-1)*1</f>
        <v>34.2732</v>
      </c>
      <c r="BJ8" s="50" t="n">
        <f aca="false">Inputs!$E$12*(1+Inputs!$E$13)^(BJ$5-1)*1</f>
        <v>34.2732</v>
      </c>
    </row>
    <row r="9" customFormat="false" ht="15" hidden="false" customHeight="false" outlineLevel="0" collapsed="false">
      <c r="A9" s="6" t="s">
        <v>326</v>
      </c>
      <c r="C9" s="50" t="n">
        <f aca="false">-C30/MAX(1,Inputs!$E$16)</f>
        <v>17.7777777777778</v>
      </c>
      <c r="D9" s="50" t="n">
        <f aca="false">-D30/MAX(1,Inputs!$E$16)</f>
        <v>17.7777777777778</v>
      </c>
      <c r="E9" s="50" t="n">
        <f aca="false">-E30/MAX(1,Inputs!$E$16)</f>
        <v>17.7777777777778</v>
      </c>
      <c r="F9" s="50" t="n">
        <f aca="false">-F30/MAX(1,Inputs!$E$16)</f>
        <v>17.7777777777778</v>
      </c>
      <c r="G9" s="50" t="n">
        <f aca="false">-G30/MAX(1,Inputs!$E$16)</f>
        <v>17.7777777777778</v>
      </c>
      <c r="H9" s="50" t="n">
        <f aca="false">-H30/MAX(1,Inputs!$E$16)</f>
        <v>17.7777777777778</v>
      </c>
      <c r="I9" s="50" t="n">
        <f aca="false">-I30/MAX(1,Inputs!$E$16)</f>
        <v>17.7777777777778</v>
      </c>
      <c r="J9" s="50" t="n">
        <f aca="false">-J30/MAX(1,Inputs!$E$16)</f>
        <v>17.7777777777778</v>
      </c>
      <c r="K9" s="50" t="n">
        <f aca="false">-K30/MAX(1,Inputs!$E$16)</f>
        <v>17.7777777777778</v>
      </c>
      <c r="L9" s="50" t="n">
        <f aca="false">-L30/MAX(1,Inputs!$E$16)</f>
        <v>17.7777777777778</v>
      </c>
      <c r="M9" s="50" t="n">
        <f aca="false">-M30/MAX(1,Inputs!$E$16)</f>
        <v>17.7777777777778</v>
      </c>
      <c r="N9" s="50" t="n">
        <f aca="false">-N30/MAX(1,Inputs!$E$16)</f>
        <v>17.7777777777778</v>
      </c>
      <c r="O9" s="50" t="n">
        <f aca="false">-O30/MAX(1,Inputs!$E$16)</f>
        <v>21.3333333333333</v>
      </c>
      <c r="P9" s="50" t="n">
        <f aca="false">-P30/MAX(1,Inputs!$E$16)</f>
        <v>21.3333333333333</v>
      </c>
      <c r="Q9" s="50" t="n">
        <f aca="false">-Q30/MAX(1,Inputs!$E$16)</f>
        <v>21.3333333333333</v>
      </c>
      <c r="R9" s="50" t="n">
        <f aca="false">-R30/MAX(1,Inputs!$E$16)</f>
        <v>21.3333333333333</v>
      </c>
      <c r="S9" s="50" t="n">
        <f aca="false">-S30/MAX(1,Inputs!$E$16)</f>
        <v>21.3333333333333</v>
      </c>
      <c r="T9" s="50" t="n">
        <f aca="false">-T30/MAX(1,Inputs!$E$16)</f>
        <v>21.3333333333333</v>
      </c>
      <c r="U9" s="50" t="n">
        <f aca="false">-U30/MAX(1,Inputs!$E$16)</f>
        <v>21.3333333333333</v>
      </c>
      <c r="V9" s="50" t="n">
        <f aca="false">-V30/MAX(1,Inputs!$E$16)</f>
        <v>21.3333333333333</v>
      </c>
      <c r="W9" s="50" t="n">
        <f aca="false">-W30/MAX(1,Inputs!$E$16)</f>
        <v>21.3333333333333</v>
      </c>
      <c r="X9" s="50" t="n">
        <f aca="false">-X30/MAX(1,Inputs!$E$16)</f>
        <v>21.3333333333333</v>
      </c>
      <c r="Y9" s="50" t="n">
        <f aca="false">-Y30/MAX(1,Inputs!$E$16)</f>
        <v>21.3333333333333</v>
      </c>
      <c r="Z9" s="50" t="n">
        <f aca="false">-Z30/MAX(1,Inputs!$E$16)</f>
        <v>21.3333333333333</v>
      </c>
      <c r="AA9" s="50" t="n">
        <f aca="false">-AA30/MAX(1,Inputs!$E$16)</f>
        <v>25.6</v>
      </c>
      <c r="AB9" s="50" t="n">
        <f aca="false">-AB30/MAX(1,Inputs!$E$16)</f>
        <v>25.6</v>
      </c>
      <c r="AC9" s="50" t="n">
        <f aca="false">-AC30/MAX(1,Inputs!$E$16)</f>
        <v>25.6</v>
      </c>
      <c r="AD9" s="50" t="n">
        <f aca="false">-AD30/MAX(1,Inputs!$E$16)</f>
        <v>25.6</v>
      </c>
      <c r="AE9" s="50" t="n">
        <f aca="false">-AE30/MAX(1,Inputs!$E$16)</f>
        <v>25.6</v>
      </c>
      <c r="AF9" s="50" t="n">
        <f aca="false">-AF30/MAX(1,Inputs!$E$16)</f>
        <v>25.6</v>
      </c>
      <c r="AG9" s="50" t="n">
        <f aca="false">-AG30/MAX(1,Inputs!$E$16)</f>
        <v>25.6</v>
      </c>
      <c r="AH9" s="50" t="n">
        <f aca="false">-AH30/MAX(1,Inputs!$E$16)</f>
        <v>25.6</v>
      </c>
      <c r="AI9" s="50" t="n">
        <f aca="false">-AI30/MAX(1,Inputs!$E$16)</f>
        <v>25.6</v>
      </c>
      <c r="AJ9" s="50" t="n">
        <f aca="false">-AJ30/MAX(1,Inputs!$E$16)</f>
        <v>25.6</v>
      </c>
      <c r="AK9" s="50" t="n">
        <f aca="false">-AK30/MAX(1,Inputs!$E$16)</f>
        <v>25.6</v>
      </c>
      <c r="AL9" s="50" t="n">
        <f aca="false">-AL30/MAX(1,Inputs!$E$16)</f>
        <v>25.6</v>
      </c>
      <c r="AM9" s="50" t="n">
        <f aca="false">-AM30/MAX(1,Inputs!$E$16)</f>
        <v>30.72</v>
      </c>
      <c r="AN9" s="50" t="n">
        <f aca="false">-AN30/MAX(1,Inputs!$E$16)</f>
        <v>30.72</v>
      </c>
      <c r="AO9" s="50" t="n">
        <f aca="false">-AO30/MAX(1,Inputs!$E$16)</f>
        <v>30.72</v>
      </c>
      <c r="AP9" s="50" t="n">
        <f aca="false">-AP30/MAX(1,Inputs!$E$16)</f>
        <v>30.72</v>
      </c>
      <c r="AQ9" s="50" t="n">
        <f aca="false">-AQ30/MAX(1,Inputs!$E$16)</f>
        <v>30.72</v>
      </c>
      <c r="AR9" s="50" t="n">
        <f aca="false">-AR30/MAX(1,Inputs!$E$16)</f>
        <v>30.72</v>
      </c>
      <c r="AS9" s="50" t="n">
        <f aca="false">-AS30/MAX(1,Inputs!$E$16)</f>
        <v>30.72</v>
      </c>
      <c r="AT9" s="50" t="n">
        <f aca="false">-AT30/MAX(1,Inputs!$E$16)</f>
        <v>30.72</v>
      </c>
      <c r="AU9" s="50" t="n">
        <f aca="false">-AU30/MAX(1,Inputs!$E$16)</f>
        <v>30.72</v>
      </c>
      <c r="AV9" s="50" t="n">
        <f aca="false">-AV30/MAX(1,Inputs!$E$16)</f>
        <v>30.72</v>
      </c>
      <c r="AW9" s="50" t="n">
        <f aca="false">-AW30/MAX(1,Inputs!$E$16)</f>
        <v>30.72</v>
      </c>
      <c r="AX9" s="50" t="n">
        <f aca="false">-AX30/MAX(1,Inputs!$E$16)</f>
        <v>30.72</v>
      </c>
      <c r="AY9" s="50" t="n">
        <f aca="false">-AY30/MAX(1,Inputs!$E$16)</f>
        <v>36.864</v>
      </c>
      <c r="AZ9" s="50" t="n">
        <f aca="false">-AZ30/MAX(1,Inputs!$E$16)</f>
        <v>36.864</v>
      </c>
      <c r="BA9" s="50" t="n">
        <f aca="false">-BA30/MAX(1,Inputs!$E$16)</f>
        <v>36.864</v>
      </c>
      <c r="BB9" s="50" t="n">
        <f aca="false">-BB30/MAX(1,Inputs!$E$16)</f>
        <v>36.864</v>
      </c>
      <c r="BC9" s="50" t="n">
        <f aca="false">-BC30/MAX(1,Inputs!$E$16)</f>
        <v>36.864</v>
      </c>
      <c r="BD9" s="50" t="n">
        <f aca="false">-BD30/MAX(1,Inputs!$E$16)</f>
        <v>36.864</v>
      </c>
      <c r="BE9" s="50" t="n">
        <f aca="false">-BE30/MAX(1,Inputs!$E$16)</f>
        <v>36.864</v>
      </c>
      <c r="BF9" s="50" t="n">
        <f aca="false">-BF30/MAX(1,Inputs!$E$16)</f>
        <v>36.864</v>
      </c>
      <c r="BG9" s="50" t="n">
        <f aca="false">-BG30/MAX(1,Inputs!$E$16)</f>
        <v>36.864</v>
      </c>
      <c r="BH9" s="50" t="n">
        <f aca="false">-BH30/MAX(1,Inputs!$E$16)</f>
        <v>36.864</v>
      </c>
      <c r="BI9" s="50" t="n">
        <f aca="false">-BI30/MAX(1,Inputs!$E$16)</f>
        <v>36.864</v>
      </c>
      <c r="BJ9" s="50" t="n">
        <f aca="false">-BJ30/MAX(1,Inputs!$E$16)</f>
        <v>36.864</v>
      </c>
    </row>
    <row r="10" customFormat="false" ht="15" hidden="false" customHeight="false" outlineLevel="0" collapsed="false">
      <c r="A10" s="4" t="s">
        <v>327</v>
      </c>
      <c r="C10" s="49" t="n">
        <f aca="false">C8+C9</f>
        <v>29.7777777777778</v>
      </c>
      <c r="D10" s="49" t="n">
        <f aca="false">D8+D9</f>
        <v>29.7777777777778</v>
      </c>
      <c r="E10" s="49" t="n">
        <f aca="false">E8+E9</f>
        <v>29.7777777777778</v>
      </c>
      <c r="F10" s="49" t="n">
        <f aca="false">F8+F9</f>
        <v>29.7777777777778</v>
      </c>
      <c r="G10" s="49" t="n">
        <f aca="false">G8+G9</f>
        <v>29.7777777777778</v>
      </c>
      <c r="H10" s="49" t="n">
        <f aca="false">H8+H9</f>
        <v>29.7777777777778</v>
      </c>
      <c r="I10" s="49" t="n">
        <f aca="false">I8+I9</f>
        <v>29.7777777777778</v>
      </c>
      <c r="J10" s="49" t="n">
        <f aca="false">J8+J9</f>
        <v>29.7777777777778</v>
      </c>
      <c r="K10" s="49" t="n">
        <f aca="false">K8+K9</f>
        <v>29.7777777777778</v>
      </c>
      <c r="L10" s="49" t="n">
        <f aca="false">L8+L9</f>
        <v>29.7777777777778</v>
      </c>
      <c r="M10" s="49" t="n">
        <f aca="false">M8+M9</f>
        <v>29.7777777777778</v>
      </c>
      <c r="N10" s="49" t="n">
        <f aca="false">N8+N9</f>
        <v>29.7777777777778</v>
      </c>
      <c r="O10" s="49" t="n">
        <f aca="false">O8+O9</f>
        <v>36.9333333333333</v>
      </c>
      <c r="P10" s="49" t="n">
        <f aca="false">P8+P9</f>
        <v>36.9333333333333</v>
      </c>
      <c r="Q10" s="49" t="n">
        <f aca="false">Q8+Q9</f>
        <v>36.9333333333333</v>
      </c>
      <c r="R10" s="49" t="n">
        <f aca="false">R8+R9</f>
        <v>36.9333333333333</v>
      </c>
      <c r="S10" s="49" t="n">
        <f aca="false">S8+S9</f>
        <v>36.9333333333333</v>
      </c>
      <c r="T10" s="49" t="n">
        <f aca="false">T8+T9</f>
        <v>36.9333333333333</v>
      </c>
      <c r="U10" s="49" t="n">
        <f aca="false">U8+U9</f>
        <v>36.9333333333333</v>
      </c>
      <c r="V10" s="49" t="n">
        <f aca="false">V8+V9</f>
        <v>36.9333333333333</v>
      </c>
      <c r="W10" s="49" t="n">
        <f aca="false">W8+W9</f>
        <v>36.9333333333333</v>
      </c>
      <c r="X10" s="49" t="n">
        <f aca="false">X8+X9</f>
        <v>36.9333333333333</v>
      </c>
      <c r="Y10" s="49" t="n">
        <f aca="false">Y8+Y9</f>
        <v>36.9333333333333</v>
      </c>
      <c r="Z10" s="49" t="n">
        <f aca="false">Z8+Z9</f>
        <v>36.9333333333333</v>
      </c>
      <c r="AA10" s="49" t="n">
        <f aca="false">AA8+AA9</f>
        <v>45.88</v>
      </c>
      <c r="AB10" s="49" t="n">
        <f aca="false">AB8+AB9</f>
        <v>45.88</v>
      </c>
      <c r="AC10" s="49" t="n">
        <f aca="false">AC8+AC9</f>
        <v>45.88</v>
      </c>
      <c r="AD10" s="49" t="n">
        <f aca="false">AD8+AD9</f>
        <v>45.88</v>
      </c>
      <c r="AE10" s="49" t="n">
        <f aca="false">AE8+AE9</f>
        <v>45.88</v>
      </c>
      <c r="AF10" s="49" t="n">
        <f aca="false">AF8+AF9</f>
        <v>45.88</v>
      </c>
      <c r="AG10" s="49" t="n">
        <f aca="false">AG8+AG9</f>
        <v>45.88</v>
      </c>
      <c r="AH10" s="49" t="n">
        <f aca="false">AH8+AH9</f>
        <v>45.88</v>
      </c>
      <c r="AI10" s="49" t="n">
        <f aca="false">AI8+AI9</f>
        <v>45.88</v>
      </c>
      <c r="AJ10" s="49" t="n">
        <f aca="false">AJ8+AJ9</f>
        <v>45.88</v>
      </c>
      <c r="AK10" s="49" t="n">
        <f aca="false">AK8+AK9</f>
        <v>45.88</v>
      </c>
      <c r="AL10" s="49" t="n">
        <f aca="false">AL8+AL9</f>
        <v>45.88</v>
      </c>
      <c r="AM10" s="49" t="n">
        <f aca="false">AM8+AM9</f>
        <v>57.084</v>
      </c>
      <c r="AN10" s="49" t="n">
        <f aca="false">AN8+AN9</f>
        <v>57.084</v>
      </c>
      <c r="AO10" s="49" t="n">
        <f aca="false">AO8+AO9</f>
        <v>57.084</v>
      </c>
      <c r="AP10" s="49" t="n">
        <f aca="false">AP8+AP9</f>
        <v>57.084</v>
      </c>
      <c r="AQ10" s="49" t="n">
        <f aca="false">AQ8+AQ9</f>
        <v>57.084</v>
      </c>
      <c r="AR10" s="49" t="n">
        <f aca="false">AR8+AR9</f>
        <v>57.084</v>
      </c>
      <c r="AS10" s="49" t="n">
        <f aca="false">AS8+AS9</f>
        <v>57.084</v>
      </c>
      <c r="AT10" s="49" t="n">
        <f aca="false">AT8+AT9</f>
        <v>57.084</v>
      </c>
      <c r="AU10" s="49" t="n">
        <f aca="false">AU8+AU9</f>
        <v>57.084</v>
      </c>
      <c r="AV10" s="49" t="n">
        <f aca="false">AV8+AV9</f>
        <v>57.084</v>
      </c>
      <c r="AW10" s="49" t="n">
        <f aca="false">AW8+AW9</f>
        <v>57.084</v>
      </c>
      <c r="AX10" s="49" t="n">
        <f aca="false">AX8+AX9</f>
        <v>57.084</v>
      </c>
      <c r="AY10" s="49" t="n">
        <f aca="false">AY8+AY9</f>
        <v>71.1372</v>
      </c>
      <c r="AZ10" s="49" t="n">
        <f aca="false">AZ8+AZ9</f>
        <v>71.1372</v>
      </c>
      <c r="BA10" s="49" t="n">
        <f aca="false">BA8+BA9</f>
        <v>71.1372</v>
      </c>
      <c r="BB10" s="49" t="n">
        <f aca="false">BB8+BB9</f>
        <v>71.1372</v>
      </c>
      <c r="BC10" s="49" t="n">
        <f aca="false">BC8+BC9</f>
        <v>71.1372</v>
      </c>
      <c r="BD10" s="49" t="n">
        <f aca="false">BD8+BD9</f>
        <v>71.1372</v>
      </c>
      <c r="BE10" s="49" t="n">
        <f aca="false">BE8+BE9</f>
        <v>71.1372</v>
      </c>
      <c r="BF10" s="49" t="n">
        <f aca="false">BF8+BF9</f>
        <v>71.1372</v>
      </c>
      <c r="BG10" s="49" t="n">
        <f aca="false">BG8+BG9</f>
        <v>71.1372</v>
      </c>
      <c r="BH10" s="49" t="n">
        <f aca="false">BH8+BH9</f>
        <v>71.1372</v>
      </c>
      <c r="BI10" s="49" t="n">
        <f aca="false">BI8+BI9</f>
        <v>71.1372</v>
      </c>
      <c r="BJ10" s="49" t="n">
        <f aca="false">BJ8+BJ9</f>
        <v>71.1372</v>
      </c>
    </row>
    <row r="11" customFormat="false" ht="15" hidden="false" customHeight="false" outlineLevel="0" collapsed="false">
      <c r="A11" s="6" t="s">
        <v>328</v>
      </c>
      <c r="C11" s="85" t="n">
        <f aca="false">Inputs!$E$7</f>
        <v>30</v>
      </c>
      <c r="D11" s="50" t="n">
        <f aca="false">C13</f>
        <v>58.8777777777778</v>
      </c>
      <c r="E11" s="50" t="n">
        <f aca="false">D13</f>
        <v>86.8892222222222</v>
      </c>
      <c r="F11" s="50" t="n">
        <f aca="false">E13</f>
        <v>114.060323333333</v>
      </c>
      <c r="G11" s="50" t="n">
        <f aca="false">F13</f>
        <v>140.416291411111</v>
      </c>
      <c r="H11" s="50" t="n">
        <f aca="false">G13</f>
        <v>165.981580446556</v>
      </c>
      <c r="I11" s="50" t="n">
        <f aca="false">H13</f>
        <v>190.779910810937</v>
      </c>
      <c r="J11" s="50" t="n">
        <f aca="false">I13</f>
        <v>214.834291264386</v>
      </c>
      <c r="K11" s="50" t="n">
        <f aca="false">J13</f>
        <v>238.167040304233</v>
      </c>
      <c r="L11" s="50" t="n">
        <f aca="false">K13</f>
        <v>260.799806872883</v>
      </c>
      <c r="M11" s="50" t="n">
        <f aca="false">L13</f>
        <v>282.753590444475</v>
      </c>
      <c r="N11" s="50" t="n">
        <f aca="false">M13</f>
        <v>304.048760508918</v>
      </c>
      <c r="O11" s="50" t="n">
        <f aca="false">N13</f>
        <v>324.705075471428</v>
      </c>
      <c r="P11" s="50" t="n">
        <f aca="false">O13</f>
        <v>351.897256540619</v>
      </c>
      <c r="Q11" s="50" t="n">
        <f aca="false">P13</f>
        <v>378.273672177734</v>
      </c>
      <c r="R11" s="50" t="n">
        <f aca="false">Q13</f>
        <v>403.858795345735</v>
      </c>
      <c r="S11" s="50" t="n">
        <f aca="false">R13</f>
        <v>428.676364818696</v>
      </c>
      <c r="T11" s="50" t="n">
        <f aca="false">S13</f>
        <v>452.749407207469</v>
      </c>
      <c r="U11" s="50" t="n">
        <f aca="false">T13</f>
        <v>476.100258324578</v>
      </c>
      <c r="V11" s="50" t="n">
        <f aca="false">U13</f>
        <v>498.750583908174</v>
      </c>
      <c r="W11" s="50" t="n">
        <f aca="false">V13</f>
        <v>520.721399724262</v>
      </c>
      <c r="X11" s="50" t="n">
        <f aca="false">W13</f>
        <v>542.033091065868</v>
      </c>
      <c r="Y11" s="50" t="n">
        <f aca="false">X13</f>
        <v>562.705431667225</v>
      </c>
      <c r="Z11" s="50" t="n">
        <f aca="false">Y13</f>
        <v>582.757602050541</v>
      </c>
      <c r="AA11" s="50" t="n">
        <f aca="false">Z13</f>
        <v>602.208207322359</v>
      </c>
      <c r="AB11" s="50" t="n">
        <f aca="false">AA13</f>
        <v>630.021961102688</v>
      </c>
      <c r="AC11" s="50" t="n">
        <f aca="false">AB13</f>
        <v>657.001302269607</v>
      </c>
      <c r="AD11" s="50" t="n">
        <f aca="false">AC13</f>
        <v>683.171263201519</v>
      </c>
      <c r="AE11" s="50" t="n">
        <f aca="false">AD13</f>
        <v>708.556125305473</v>
      </c>
      <c r="AF11" s="50" t="n">
        <f aca="false">AE13</f>
        <v>733.179441546309</v>
      </c>
      <c r="AG11" s="50" t="n">
        <f aca="false">AF13</f>
        <v>757.06405829992</v>
      </c>
      <c r="AH11" s="50" t="n">
        <f aca="false">AG13</f>
        <v>780.232136550922</v>
      </c>
      <c r="AI11" s="50" t="n">
        <f aca="false">AH13</f>
        <v>802.705172454395</v>
      </c>
      <c r="AJ11" s="50" t="n">
        <f aca="false">AI13</f>
        <v>824.504017280763</v>
      </c>
      <c r="AK11" s="50" t="n">
        <f aca="false">AJ13</f>
        <v>845.64889676234</v>
      </c>
      <c r="AL11" s="50" t="n">
        <f aca="false">AK13</f>
        <v>866.15942985947</v>
      </c>
      <c r="AM11" s="50" t="n">
        <f aca="false">AL13</f>
        <v>886.054646963686</v>
      </c>
      <c r="AN11" s="50" t="n">
        <f aca="false">AM13</f>
        <v>916.557007554775</v>
      </c>
      <c r="AO11" s="50" t="n">
        <f aca="false">AN13</f>
        <v>946.144297328132</v>
      </c>
      <c r="AP11" s="50" t="n">
        <f aca="false">AO13</f>
        <v>974.843968408288</v>
      </c>
      <c r="AQ11" s="50" t="n">
        <f aca="false">AP13</f>
        <v>1002.68264935604</v>
      </c>
      <c r="AR11" s="50" t="n">
        <f aca="false">AQ13</f>
        <v>1029.68616987536</v>
      </c>
      <c r="AS11" s="50" t="n">
        <f aca="false">AR13</f>
        <v>1055.8795847791</v>
      </c>
      <c r="AT11" s="50" t="n">
        <f aca="false">AS13</f>
        <v>1081.28719723572</v>
      </c>
      <c r="AU11" s="50" t="n">
        <f aca="false">AT13</f>
        <v>1105.93258131865</v>
      </c>
      <c r="AV11" s="50" t="n">
        <f aca="false">AU13</f>
        <v>1129.83860387909</v>
      </c>
      <c r="AW11" s="50" t="n">
        <f aca="false">AV13</f>
        <v>1153.02744576272</v>
      </c>
      <c r="AX11" s="50" t="n">
        <f aca="false">AW13</f>
        <v>1175.52062238984</v>
      </c>
      <c r="AY11" s="50" t="n">
        <f aca="false">AX13</f>
        <v>1197.33900371814</v>
      </c>
      <c r="AZ11" s="50" t="n">
        <f aca="false">AY13</f>
        <v>1232.5560336066</v>
      </c>
      <c r="BA11" s="50" t="n">
        <f aca="false">AZ13</f>
        <v>1266.7165525984</v>
      </c>
      <c r="BB11" s="50" t="n">
        <f aca="false">BA13</f>
        <v>1299.85225602045</v>
      </c>
      <c r="BC11" s="50" t="n">
        <f aca="false">BB13</f>
        <v>1331.99388833984</v>
      </c>
      <c r="BD11" s="50" t="n">
        <f aca="false">BC13</f>
        <v>1363.17127168964</v>
      </c>
      <c r="BE11" s="50" t="n">
        <f aca="false">BD13</f>
        <v>1393.41333353895</v>
      </c>
      <c r="BF11" s="50" t="n">
        <f aca="false">BE13</f>
        <v>1422.74813353278</v>
      </c>
      <c r="BG11" s="50" t="n">
        <f aca="false">BF13</f>
        <v>1451.2028895268</v>
      </c>
      <c r="BH11" s="50" t="n">
        <f aca="false">BG13</f>
        <v>1478.804002841</v>
      </c>
      <c r="BI11" s="50" t="n">
        <f aca="false">BH13</f>
        <v>1505.57708275577</v>
      </c>
      <c r="BJ11" s="50" t="n">
        <f aca="false">BI13</f>
        <v>1531.54697027309</v>
      </c>
    </row>
    <row r="12" customFormat="false" ht="15" hidden="false" customHeight="false" outlineLevel="0" collapsed="false">
      <c r="A12" s="6" t="s">
        <v>329</v>
      </c>
      <c r="C12" s="50" t="n">
        <f aca="false">-C11*Inputs!$E$10</f>
        <v>-0.9</v>
      </c>
      <c r="D12" s="50" t="n">
        <f aca="false">-D11*Inputs!$E$10</f>
        <v>-1.76633333333333</v>
      </c>
      <c r="E12" s="50" t="n">
        <f aca="false">-E11*Inputs!$E$10</f>
        <v>-2.60667666666667</v>
      </c>
      <c r="F12" s="50" t="n">
        <f aca="false">-F11*Inputs!$E$10</f>
        <v>-3.4218097</v>
      </c>
      <c r="G12" s="50" t="n">
        <f aca="false">-G11*Inputs!$E$10</f>
        <v>-4.21248874233333</v>
      </c>
      <c r="H12" s="50" t="n">
        <f aca="false">-H11*Inputs!$E$10</f>
        <v>-4.97944741339667</v>
      </c>
      <c r="I12" s="50" t="n">
        <f aca="false">-I11*Inputs!$E$10</f>
        <v>-5.7233973243281</v>
      </c>
      <c r="J12" s="50" t="n">
        <f aca="false">-J11*Inputs!$E$10</f>
        <v>-6.44502873793159</v>
      </c>
      <c r="K12" s="50" t="n">
        <f aca="false">-K11*Inputs!$E$10</f>
        <v>-7.14501120912698</v>
      </c>
      <c r="L12" s="50" t="n">
        <f aca="false">-L11*Inputs!$E$10</f>
        <v>-7.8239942061865</v>
      </c>
      <c r="M12" s="50" t="n">
        <f aca="false">-M11*Inputs!$E$10</f>
        <v>-8.48260771333424</v>
      </c>
      <c r="N12" s="50" t="n">
        <f aca="false">-N11*Inputs!$E$10</f>
        <v>-9.12146281526755</v>
      </c>
      <c r="O12" s="50" t="n">
        <f aca="false">-O11*Inputs!$E$10</f>
        <v>-9.74115226414285</v>
      </c>
      <c r="P12" s="50" t="n">
        <f aca="false">-P11*Inputs!$E$10</f>
        <v>-10.5569176962186</v>
      </c>
      <c r="Q12" s="50" t="n">
        <f aca="false">-Q11*Inputs!$E$10</f>
        <v>-11.348210165332</v>
      </c>
      <c r="R12" s="50" t="n">
        <f aca="false">-R11*Inputs!$E$10</f>
        <v>-12.115763860372</v>
      </c>
      <c r="S12" s="50" t="n">
        <f aca="false">-S11*Inputs!$E$10</f>
        <v>-12.8602909445609</v>
      </c>
      <c r="T12" s="50" t="n">
        <f aca="false">-T11*Inputs!$E$10</f>
        <v>-13.5824822162241</v>
      </c>
      <c r="U12" s="50" t="n">
        <f aca="false">-U11*Inputs!$E$10</f>
        <v>-14.2830077497373</v>
      </c>
      <c r="V12" s="50" t="n">
        <f aca="false">-V11*Inputs!$E$10</f>
        <v>-14.9625175172452</v>
      </c>
      <c r="W12" s="50" t="n">
        <f aca="false">-W11*Inputs!$E$10</f>
        <v>-15.6216419917279</v>
      </c>
      <c r="X12" s="50" t="n">
        <f aca="false">-X11*Inputs!$E$10</f>
        <v>-16.260992731976</v>
      </c>
      <c r="Y12" s="50" t="n">
        <f aca="false">-Y11*Inputs!$E$10</f>
        <v>-16.8811629500167</v>
      </c>
      <c r="Z12" s="50" t="n">
        <f aca="false">-Z11*Inputs!$E$10</f>
        <v>-17.4827280615162</v>
      </c>
      <c r="AA12" s="50" t="n">
        <f aca="false">-AA11*Inputs!$E$10</f>
        <v>-18.0662462196708</v>
      </c>
      <c r="AB12" s="50" t="n">
        <f aca="false">-AB11*Inputs!$E$10</f>
        <v>-18.9006588330806</v>
      </c>
      <c r="AC12" s="50" t="n">
        <f aca="false">-AC11*Inputs!$E$10</f>
        <v>-19.7100390680882</v>
      </c>
      <c r="AD12" s="50" t="n">
        <f aca="false">-AD11*Inputs!$E$10</f>
        <v>-20.4951378960456</v>
      </c>
      <c r="AE12" s="50" t="n">
        <f aca="false">-AE11*Inputs!$E$10</f>
        <v>-21.2566837591642</v>
      </c>
      <c r="AF12" s="50" t="n">
        <f aca="false">-AF11*Inputs!$E$10</f>
        <v>-21.9953832463893</v>
      </c>
      <c r="AG12" s="50" t="n">
        <f aca="false">-AG11*Inputs!$E$10</f>
        <v>-22.7119217489976</v>
      </c>
      <c r="AH12" s="50" t="n">
        <f aca="false">-AH11*Inputs!$E$10</f>
        <v>-23.4069640965277</v>
      </c>
      <c r="AI12" s="50" t="n">
        <f aca="false">-AI11*Inputs!$E$10</f>
        <v>-24.0811551736318</v>
      </c>
      <c r="AJ12" s="50" t="n">
        <f aca="false">-AJ11*Inputs!$E$10</f>
        <v>-24.7351205184229</v>
      </c>
      <c r="AK12" s="50" t="n">
        <f aca="false">-AK11*Inputs!$E$10</f>
        <v>-25.3694669028702</v>
      </c>
      <c r="AL12" s="50" t="n">
        <f aca="false">-AL11*Inputs!$E$10</f>
        <v>-25.9847828957841</v>
      </c>
      <c r="AM12" s="50" t="n">
        <f aca="false">-AM11*Inputs!$E$10</f>
        <v>-26.5816394089106</v>
      </c>
      <c r="AN12" s="50" t="n">
        <f aca="false">-AN11*Inputs!$E$10</f>
        <v>-27.4967102266433</v>
      </c>
      <c r="AO12" s="50" t="n">
        <f aca="false">-AO11*Inputs!$E$10</f>
        <v>-28.384328919844</v>
      </c>
      <c r="AP12" s="50" t="n">
        <f aca="false">-AP11*Inputs!$E$10</f>
        <v>-29.2453190522486</v>
      </c>
      <c r="AQ12" s="50" t="n">
        <f aca="false">-AQ11*Inputs!$E$10</f>
        <v>-30.0804794806812</v>
      </c>
      <c r="AR12" s="50" t="n">
        <f aca="false">-AR11*Inputs!$E$10</f>
        <v>-30.8905850962607</v>
      </c>
      <c r="AS12" s="50" t="n">
        <f aca="false">-AS11*Inputs!$E$10</f>
        <v>-31.6763875433729</v>
      </c>
      <c r="AT12" s="50" t="n">
        <f aca="false">-AT11*Inputs!$E$10</f>
        <v>-32.4386159170717</v>
      </c>
      <c r="AU12" s="50" t="n">
        <f aca="false">-AU11*Inputs!$E$10</f>
        <v>-33.1779774395596</v>
      </c>
      <c r="AV12" s="50" t="n">
        <f aca="false">-AV11*Inputs!$E$10</f>
        <v>-33.8951581163728</v>
      </c>
      <c r="AW12" s="50" t="n">
        <f aca="false">-AW11*Inputs!$E$10</f>
        <v>-34.5908233728816</v>
      </c>
      <c r="AX12" s="50" t="n">
        <f aca="false">-AX11*Inputs!$E$10</f>
        <v>-35.2656186716952</v>
      </c>
      <c r="AY12" s="50" t="n">
        <f aca="false">-AY11*Inputs!$E$10</f>
        <v>-35.9201701115443</v>
      </c>
      <c r="AZ12" s="50" t="n">
        <f aca="false">-AZ11*Inputs!$E$10</f>
        <v>-36.976681008198</v>
      </c>
      <c r="BA12" s="50" t="n">
        <f aca="false">-BA11*Inputs!$E$10</f>
        <v>-38.0014965779521</v>
      </c>
      <c r="BB12" s="50" t="n">
        <f aca="false">-BB11*Inputs!$E$10</f>
        <v>-38.9955676806135</v>
      </c>
      <c r="BC12" s="50" t="n">
        <f aca="false">-BC11*Inputs!$E$10</f>
        <v>-39.9598166501951</v>
      </c>
      <c r="BD12" s="50" t="n">
        <f aca="false">-BD11*Inputs!$E$10</f>
        <v>-40.8951381506892</v>
      </c>
      <c r="BE12" s="50" t="n">
        <f aca="false">-BE11*Inputs!$E$10</f>
        <v>-41.8024000061686</v>
      </c>
      <c r="BF12" s="50" t="n">
        <f aca="false">-BF11*Inputs!$E$10</f>
        <v>-42.6824440059835</v>
      </c>
      <c r="BG12" s="50" t="n">
        <f aca="false">-BG11*Inputs!$E$10</f>
        <v>-43.536086685804</v>
      </c>
      <c r="BH12" s="50" t="n">
        <f aca="false">-BH11*Inputs!$E$10</f>
        <v>-44.3641200852299</v>
      </c>
      <c r="BI12" s="50" t="n">
        <f aca="false">-BI11*Inputs!$E$10</f>
        <v>-45.167312482673</v>
      </c>
      <c r="BJ12" s="50" t="n">
        <f aca="false">-BJ11*Inputs!$E$10</f>
        <v>-45.9464091081928</v>
      </c>
    </row>
    <row r="13" customFormat="false" ht="15" hidden="false" customHeight="false" outlineLevel="0" collapsed="false">
      <c r="A13" s="82" t="s">
        <v>330</v>
      </c>
      <c r="C13" s="86" t="n">
        <f aca="false">C11+C10+C12</f>
        <v>58.8777777777778</v>
      </c>
      <c r="D13" s="86" t="n">
        <f aca="false">D11+D10+D12</f>
        <v>86.8892222222222</v>
      </c>
      <c r="E13" s="86" t="n">
        <f aca="false">E11+E10+E12</f>
        <v>114.060323333333</v>
      </c>
      <c r="F13" s="86" t="n">
        <f aca="false">F11+F10+F12</f>
        <v>140.416291411111</v>
      </c>
      <c r="G13" s="86" t="n">
        <f aca="false">G11+G10+G12</f>
        <v>165.981580446556</v>
      </c>
      <c r="H13" s="86" t="n">
        <f aca="false">H11+H10+H12</f>
        <v>190.779910810937</v>
      </c>
      <c r="I13" s="86" t="n">
        <f aca="false">I11+I10+I12</f>
        <v>214.834291264386</v>
      </c>
      <c r="J13" s="86" t="n">
        <f aca="false">J11+J10+J12</f>
        <v>238.167040304233</v>
      </c>
      <c r="K13" s="86" t="n">
        <f aca="false">K11+K10+K12</f>
        <v>260.799806872883</v>
      </c>
      <c r="L13" s="86" t="n">
        <f aca="false">L11+L10+L12</f>
        <v>282.753590444475</v>
      </c>
      <c r="M13" s="86" t="n">
        <f aca="false">M11+M10+M12</f>
        <v>304.048760508918</v>
      </c>
      <c r="N13" s="86" t="n">
        <f aca="false">N11+N10+N12</f>
        <v>324.705075471428</v>
      </c>
      <c r="O13" s="86" t="n">
        <f aca="false">O11+O10+O12</f>
        <v>351.897256540619</v>
      </c>
      <c r="P13" s="86" t="n">
        <f aca="false">P11+P10+P12</f>
        <v>378.273672177734</v>
      </c>
      <c r="Q13" s="86" t="n">
        <f aca="false">Q11+Q10+Q12</f>
        <v>403.858795345735</v>
      </c>
      <c r="R13" s="86" t="n">
        <f aca="false">R11+R10+R12</f>
        <v>428.676364818696</v>
      </c>
      <c r="S13" s="86" t="n">
        <f aca="false">S11+S10+S12</f>
        <v>452.749407207469</v>
      </c>
      <c r="T13" s="86" t="n">
        <f aca="false">T11+T10+T12</f>
        <v>476.100258324578</v>
      </c>
      <c r="U13" s="86" t="n">
        <f aca="false">U11+U10+U12</f>
        <v>498.750583908174</v>
      </c>
      <c r="V13" s="86" t="n">
        <f aca="false">V11+V10+V12</f>
        <v>520.721399724262</v>
      </c>
      <c r="W13" s="86" t="n">
        <f aca="false">W11+W10+W12</f>
        <v>542.033091065868</v>
      </c>
      <c r="X13" s="86" t="n">
        <f aca="false">X11+X10+X12</f>
        <v>562.705431667225</v>
      </c>
      <c r="Y13" s="86" t="n">
        <f aca="false">Y11+Y10+Y12</f>
        <v>582.757602050541</v>
      </c>
      <c r="Z13" s="86" t="n">
        <f aca="false">Z11+Z10+Z12</f>
        <v>602.208207322359</v>
      </c>
      <c r="AA13" s="86" t="n">
        <f aca="false">AA11+AA10+AA12</f>
        <v>630.021961102688</v>
      </c>
      <c r="AB13" s="86" t="n">
        <f aca="false">AB11+AB10+AB12</f>
        <v>657.001302269607</v>
      </c>
      <c r="AC13" s="86" t="n">
        <f aca="false">AC11+AC10+AC12</f>
        <v>683.171263201519</v>
      </c>
      <c r="AD13" s="86" t="n">
        <f aca="false">AD11+AD10+AD12</f>
        <v>708.556125305473</v>
      </c>
      <c r="AE13" s="86" t="n">
        <f aca="false">AE11+AE10+AE12</f>
        <v>733.179441546309</v>
      </c>
      <c r="AF13" s="86" t="n">
        <f aca="false">AF11+AF10+AF12</f>
        <v>757.06405829992</v>
      </c>
      <c r="AG13" s="86" t="n">
        <f aca="false">AG11+AG10+AG12</f>
        <v>780.232136550922</v>
      </c>
      <c r="AH13" s="86" t="n">
        <f aca="false">AH11+AH10+AH12</f>
        <v>802.705172454395</v>
      </c>
      <c r="AI13" s="86" t="n">
        <f aca="false">AI11+AI10+AI12</f>
        <v>824.504017280763</v>
      </c>
      <c r="AJ13" s="86" t="n">
        <f aca="false">AJ11+AJ10+AJ12</f>
        <v>845.64889676234</v>
      </c>
      <c r="AK13" s="86" t="n">
        <f aca="false">AK11+AK10+AK12</f>
        <v>866.15942985947</v>
      </c>
      <c r="AL13" s="86" t="n">
        <f aca="false">AL11+AL10+AL12</f>
        <v>886.054646963686</v>
      </c>
      <c r="AM13" s="86" t="n">
        <f aca="false">AM11+AM10+AM12</f>
        <v>916.557007554775</v>
      </c>
      <c r="AN13" s="86" t="n">
        <f aca="false">AN11+AN10+AN12</f>
        <v>946.144297328132</v>
      </c>
      <c r="AO13" s="86" t="n">
        <f aca="false">AO11+AO10+AO12</f>
        <v>974.843968408288</v>
      </c>
      <c r="AP13" s="86" t="n">
        <f aca="false">AP11+AP10+AP12</f>
        <v>1002.68264935604</v>
      </c>
      <c r="AQ13" s="86" t="n">
        <f aca="false">AQ11+AQ10+AQ12</f>
        <v>1029.68616987536</v>
      </c>
      <c r="AR13" s="86" t="n">
        <f aca="false">AR11+AR10+AR12</f>
        <v>1055.8795847791</v>
      </c>
      <c r="AS13" s="86" t="n">
        <f aca="false">AS11+AS10+AS12</f>
        <v>1081.28719723572</v>
      </c>
      <c r="AT13" s="86" t="n">
        <f aca="false">AT11+AT10+AT12</f>
        <v>1105.93258131865</v>
      </c>
      <c r="AU13" s="86" t="n">
        <f aca="false">AU11+AU10+AU12</f>
        <v>1129.83860387909</v>
      </c>
      <c r="AV13" s="86" t="n">
        <f aca="false">AV11+AV10+AV12</f>
        <v>1153.02744576272</v>
      </c>
      <c r="AW13" s="86" t="n">
        <f aca="false">AW11+AW10+AW12</f>
        <v>1175.52062238984</v>
      </c>
      <c r="AX13" s="86" t="n">
        <f aca="false">AX11+AX10+AX12</f>
        <v>1197.33900371814</v>
      </c>
      <c r="AY13" s="86" t="n">
        <f aca="false">AY11+AY10+AY12</f>
        <v>1232.5560336066</v>
      </c>
      <c r="AZ13" s="86" t="n">
        <f aca="false">AZ11+AZ10+AZ12</f>
        <v>1266.7165525984</v>
      </c>
      <c r="BA13" s="86" t="n">
        <f aca="false">BA11+BA10+BA12</f>
        <v>1299.85225602045</v>
      </c>
      <c r="BB13" s="86" t="n">
        <f aca="false">BB11+BB10+BB12</f>
        <v>1331.99388833984</v>
      </c>
      <c r="BC13" s="86" t="n">
        <f aca="false">BC11+BC10+BC12</f>
        <v>1363.17127168964</v>
      </c>
      <c r="BD13" s="86" t="n">
        <f aca="false">BD11+BD10+BD12</f>
        <v>1393.41333353895</v>
      </c>
      <c r="BE13" s="86" t="n">
        <f aca="false">BE11+BE10+BE12</f>
        <v>1422.74813353278</v>
      </c>
      <c r="BF13" s="86" t="n">
        <f aca="false">BF11+BF10+BF12</f>
        <v>1451.2028895268</v>
      </c>
      <c r="BG13" s="86" t="n">
        <f aca="false">BG11+BG10+BG12</f>
        <v>1478.804002841</v>
      </c>
      <c r="BH13" s="86" t="n">
        <f aca="false">BH11+BH10+BH12</f>
        <v>1505.57708275577</v>
      </c>
      <c r="BI13" s="86" t="n">
        <f aca="false">BI11+BI10+BI12</f>
        <v>1531.54697027309</v>
      </c>
      <c r="BJ13" s="86" t="n">
        <f aca="false">BJ11+BJ10+BJ12</f>
        <v>1556.7377611649</v>
      </c>
    </row>
    <row r="14" customFormat="false" ht="15" hidden="false" customHeight="false" outlineLevel="0" collapsed="false">
      <c r="A14" s="6" t="s">
        <v>331</v>
      </c>
      <c r="C14" s="87" t="n">
        <f aca="false">Inputs!$E$8*(1+Inputs!$E$9)^(C$5-1)</f>
        <v>99</v>
      </c>
      <c r="D14" s="87" t="n">
        <f aca="false">Inputs!$E$8*(1+Inputs!$E$9)^(D$5-1)</f>
        <v>99</v>
      </c>
      <c r="E14" s="87" t="n">
        <f aca="false">Inputs!$E$8*(1+Inputs!$E$9)^(E$5-1)</f>
        <v>99</v>
      </c>
      <c r="F14" s="87" t="n">
        <f aca="false">Inputs!$E$8*(1+Inputs!$E$9)^(F$5-1)</f>
        <v>99</v>
      </c>
      <c r="G14" s="87" t="n">
        <f aca="false">Inputs!$E$8*(1+Inputs!$E$9)^(G$5-1)</f>
        <v>99</v>
      </c>
      <c r="H14" s="87" t="n">
        <f aca="false">Inputs!$E$8*(1+Inputs!$E$9)^(H$5-1)</f>
        <v>99</v>
      </c>
      <c r="I14" s="87" t="n">
        <f aca="false">Inputs!$E$8*(1+Inputs!$E$9)^(I$5-1)</f>
        <v>99</v>
      </c>
      <c r="J14" s="87" t="n">
        <f aca="false">Inputs!$E$8*(1+Inputs!$E$9)^(J$5-1)</f>
        <v>99</v>
      </c>
      <c r="K14" s="87" t="n">
        <f aca="false">Inputs!$E$8*(1+Inputs!$E$9)^(K$5-1)</f>
        <v>99</v>
      </c>
      <c r="L14" s="87" t="n">
        <f aca="false">Inputs!$E$8*(1+Inputs!$E$9)^(L$5-1)</f>
        <v>99</v>
      </c>
      <c r="M14" s="87" t="n">
        <f aca="false">Inputs!$E$8*(1+Inputs!$E$9)^(M$5-1)</f>
        <v>99</v>
      </c>
      <c r="N14" s="87" t="n">
        <f aca="false">Inputs!$E$8*(1+Inputs!$E$9)^(N$5-1)</f>
        <v>99</v>
      </c>
      <c r="O14" s="87" t="n">
        <f aca="false">Inputs!$E$8*(1+Inputs!$E$9)^(O$5-1)</f>
        <v>101.97</v>
      </c>
      <c r="P14" s="87" t="n">
        <f aca="false">Inputs!$E$8*(1+Inputs!$E$9)^(P$5-1)</f>
        <v>101.97</v>
      </c>
      <c r="Q14" s="87" t="n">
        <f aca="false">Inputs!$E$8*(1+Inputs!$E$9)^(Q$5-1)</f>
        <v>101.97</v>
      </c>
      <c r="R14" s="87" t="n">
        <f aca="false">Inputs!$E$8*(1+Inputs!$E$9)^(R$5-1)</f>
        <v>101.97</v>
      </c>
      <c r="S14" s="87" t="n">
        <f aca="false">Inputs!$E$8*(1+Inputs!$E$9)^(S$5-1)</f>
        <v>101.97</v>
      </c>
      <c r="T14" s="87" t="n">
        <f aca="false">Inputs!$E$8*(1+Inputs!$E$9)^(T$5-1)</f>
        <v>101.97</v>
      </c>
      <c r="U14" s="87" t="n">
        <f aca="false">Inputs!$E$8*(1+Inputs!$E$9)^(U$5-1)</f>
        <v>101.97</v>
      </c>
      <c r="V14" s="87" t="n">
        <f aca="false">Inputs!$E$8*(1+Inputs!$E$9)^(V$5-1)</f>
        <v>101.97</v>
      </c>
      <c r="W14" s="87" t="n">
        <f aca="false">Inputs!$E$8*(1+Inputs!$E$9)^(W$5-1)</f>
        <v>101.97</v>
      </c>
      <c r="X14" s="87" t="n">
        <f aca="false">Inputs!$E$8*(1+Inputs!$E$9)^(X$5-1)</f>
        <v>101.97</v>
      </c>
      <c r="Y14" s="87" t="n">
        <f aca="false">Inputs!$E$8*(1+Inputs!$E$9)^(Y$5-1)</f>
        <v>101.97</v>
      </c>
      <c r="Z14" s="87" t="n">
        <f aca="false">Inputs!$E$8*(1+Inputs!$E$9)^(Z$5-1)</f>
        <v>101.97</v>
      </c>
      <c r="AA14" s="87" t="n">
        <f aca="false">Inputs!$E$8*(1+Inputs!$E$9)^(AA$5-1)</f>
        <v>105.0291</v>
      </c>
      <c r="AB14" s="87" t="n">
        <f aca="false">Inputs!$E$8*(1+Inputs!$E$9)^(AB$5-1)</f>
        <v>105.0291</v>
      </c>
      <c r="AC14" s="87" t="n">
        <f aca="false">Inputs!$E$8*(1+Inputs!$E$9)^(AC$5-1)</f>
        <v>105.0291</v>
      </c>
      <c r="AD14" s="87" t="n">
        <f aca="false">Inputs!$E$8*(1+Inputs!$E$9)^(AD$5-1)</f>
        <v>105.0291</v>
      </c>
      <c r="AE14" s="87" t="n">
        <f aca="false">Inputs!$E$8*(1+Inputs!$E$9)^(AE$5-1)</f>
        <v>105.0291</v>
      </c>
      <c r="AF14" s="87" t="n">
        <f aca="false">Inputs!$E$8*(1+Inputs!$E$9)^(AF$5-1)</f>
        <v>105.0291</v>
      </c>
      <c r="AG14" s="87" t="n">
        <f aca="false">Inputs!$E$8*(1+Inputs!$E$9)^(AG$5-1)</f>
        <v>105.0291</v>
      </c>
      <c r="AH14" s="87" t="n">
        <f aca="false">Inputs!$E$8*(1+Inputs!$E$9)^(AH$5-1)</f>
        <v>105.0291</v>
      </c>
      <c r="AI14" s="87" t="n">
        <f aca="false">Inputs!$E$8*(1+Inputs!$E$9)^(AI$5-1)</f>
        <v>105.0291</v>
      </c>
      <c r="AJ14" s="87" t="n">
        <f aca="false">Inputs!$E$8*(1+Inputs!$E$9)^(AJ$5-1)</f>
        <v>105.0291</v>
      </c>
      <c r="AK14" s="87" t="n">
        <f aca="false">Inputs!$E$8*(1+Inputs!$E$9)^(AK$5-1)</f>
        <v>105.0291</v>
      </c>
      <c r="AL14" s="87" t="n">
        <f aca="false">Inputs!$E$8*(1+Inputs!$E$9)^(AL$5-1)</f>
        <v>105.0291</v>
      </c>
      <c r="AM14" s="87" t="n">
        <f aca="false">Inputs!$E$8*(1+Inputs!$E$9)^(AM$5-1)</f>
        <v>108.179973</v>
      </c>
      <c r="AN14" s="87" t="n">
        <f aca="false">Inputs!$E$8*(1+Inputs!$E$9)^(AN$5-1)</f>
        <v>108.179973</v>
      </c>
      <c r="AO14" s="87" t="n">
        <f aca="false">Inputs!$E$8*(1+Inputs!$E$9)^(AO$5-1)</f>
        <v>108.179973</v>
      </c>
      <c r="AP14" s="87" t="n">
        <f aca="false">Inputs!$E$8*(1+Inputs!$E$9)^(AP$5-1)</f>
        <v>108.179973</v>
      </c>
      <c r="AQ14" s="87" t="n">
        <f aca="false">Inputs!$E$8*(1+Inputs!$E$9)^(AQ$5-1)</f>
        <v>108.179973</v>
      </c>
      <c r="AR14" s="87" t="n">
        <f aca="false">Inputs!$E$8*(1+Inputs!$E$9)^(AR$5-1)</f>
        <v>108.179973</v>
      </c>
      <c r="AS14" s="87" t="n">
        <f aca="false">Inputs!$E$8*(1+Inputs!$E$9)^(AS$5-1)</f>
        <v>108.179973</v>
      </c>
      <c r="AT14" s="87" t="n">
        <f aca="false">Inputs!$E$8*(1+Inputs!$E$9)^(AT$5-1)</f>
        <v>108.179973</v>
      </c>
      <c r="AU14" s="87" t="n">
        <f aca="false">Inputs!$E$8*(1+Inputs!$E$9)^(AU$5-1)</f>
        <v>108.179973</v>
      </c>
      <c r="AV14" s="87" t="n">
        <f aca="false">Inputs!$E$8*(1+Inputs!$E$9)^(AV$5-1)</f>
        <v>108.179973</v>
      </c>
      <c r="AW14" s="87" t="n">
        <f aca="false">Inputs!$E$8*(1+Inputs!$E$9)^(AW$5-1)</f>
        <v>108.179973</v>
      </c>
      <c r="AX14" s="87" t="n">
        <f aca="false">Inputs!$E$8*(1+Inputs!$E$9)^(AX$5-1)</f>
        <v>108.179973</v>
      </c>
      <c r="AY14" s="87" t="n">
        <f aca="false">Inputs!$E$8*(1+Inputs!$E$9)^(AY$5-1)</f>
        <v>111.42537219</v>
      </c>
      <c r="AZ14" s="87" t="n">
        <f aca="false">Inputs!$E$8*(1+Inputs!$E$9)^(AZ$5-1)</f>
        <v>111.42537219</v>
      </c>
      <c r="BA14" s="87" t="n">
        <f aca="false">Inputs!$E$8*(1+Inputs!$E$9)^(BA$5-1)</f>
        <v>111.42537219</v>
      </c>
      <c r="BB14" s="87" t="n">
        <f aca="false">Inputs!$E$8*(1+Inputs!$E$9)^(BB$5-1)</f>
        <v>111.42537219</v>
      </c>
      <c r="BC14" s="87" t="n">
        <f aca="false">Inputs!$E$8*(1+Inputs!$E$9)^(BC$5-1)</f>
        <v>111.42537219</v>
      </c>
      <c r="BD14" s="87" t="n">
        <f aca="false">Inputs!$E$8*(1+Inputs!$E$9)^(BD$5-1)</f>
        <v>111.42537219</v>
      </c>
      <c r="BE14" s="87" t="n">
        <f aca="false">Inputs!$E$8*(1+Inputs!$E$9)^(BE$5-1)</f>
        <v>111.42537219</v>
      </c>
      <c r="BF14" s="87" t="n">
        <f aca="false">Inputs!$E$8*(1+Inputs!$E$9)^(BF$5-1)</f>
        <v>111.42537219</v>
      </c>
      <c r="BG14" s="87" t="n">
        <f aca="false">Inputs!$E$8*(1+Inputs!$E$9)^(BG$5-1)</f>
        <v>111.42537219</v>
      </c>
      <c r="BH14" s="87" t="n">
        <f aca="false">Inputs!$E$8*(1+Inputs!$E$9)^(BH$5-1)</f>
        <v>111.42537219</v>
      </c>
      <c r="BI14" s="87" t="n">
        <f aca="false">Inputs!$E$8*(1+Inputs!$E$9)^(BI$5-1)</f>
        <v>111.42537219</v>
      </c>
      <c r="BJ14" s="87" t="n">
        <f aca="false">Inputs!$E$8*(1+Inputs!$E$9)^(BJ$5-1)</f>
        <v>111.42537219</v>
      </c>
    </row>
    <row r="16" customFormat="false" ht="15.75" hidden="false" customHeight="true" outlineLevel="0" collapsed="false">
      <c r="A16" s="7" t="s">
        <v>332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333</v>
      </c>
      <c r="C17" s="59" t="n">
        <f aca="false">Inputs!$E$7*Inputs!$E$8</f>
        <v>2970</v>
      </c>
      <c r="D17" s="59" t="n">
        <f aca="false">C21</f>
        <v>5843.75</v>
      </c>
      <c r="E17" s="59" t="n">
        <f aca="false">D21</f>
        <v>8645.65625</v>
      </c>
      <c r="F17" s="59" t="n">
        <f aca="false">E21</f>
        <v>11377.51484375</v>
      </c>
      <c r="G17" s="59" t="n">
        <f aca="false">F21</f>
        <v>14041.0769726563</v>
      </c>
      <c r="H17" s="59" t="n">
        <f aca="false">G21</f>
        <v>16638.0500483398</v>
      </c>
      <c r="I17" s="59" t="n">
        <f aca="false">H21</f>
        <v>19170.0987971314</v>
      </c>
      <c r="J17" s="59" t="n">
        <f aca="false">I21</f>
        <v>21638.8463272031</v>
      </c>
      <c r="K17" s="59" t="n">
        <f aca="false">J21</f>
        <v>24045.875169023</v>
      </c>
      <c r="L17" s="59" t="n">
        <f aca="false">K21</f>
        <v>26392.7282897974</v>
      </c>
      <c r="M17" s="59" t="n">
        <f aca="false">L21</f>
        <v>28680.9100825525</v>
      </c>
      <c r="N17" s="59" t="n">
        <f aca="false">M21</f>
        <v>30911.8873304887</v>
      </c>
      <c r="O17" s="59" t="n">
        <f aca="false">N21</f>
        <v>33087.0901472265</v>
      </c>
      <c r="P17" s="59" t="n">
        <f aca="false">O21</f>
        <v>36026.0048935458</v>
      </c>
      <c r="Q17" s="59" t="n">
        <f aca="false">P21</f>
        <v>38891.4467712071</v>
      </c>
      <c r="R17" s="59" t="n">
        <f aca="false">Q21</f>
        <v>41685.252601927</v>
      </c>
      <c r="S17" s="59" t="n">
        <f aca="false">R21</f>
        <v>44409.2132868788</v>
      </c>
      <c r="T17" s="59" t="n">
        <f aca="false">S21</f>
        <v>47065.0749547068</v>
      </c>
      <c r="U17" s="59" t="n">
        <f aca="false">T21</f>
        <v>49654.5400808392</v>
      </c>
      <c r="V17" s="59" t="n">
        <f aca="false">U21</f>
        <v>52179.2685788182</v>
      </c>
      <c r="W17" s="59" t="n">
        <f aca="false">V21</f>
        <v>54640.8788643477</v>
      </c>
      <c r="X17" s="59" t="n">
        <f aca="false">W21</f>
        <v>57040.948892739</v>
      </c>
      <c r="Y17" s="59" t="n">
        <f aca="false">X21</f>
        <v>59381.0171704205</v>
      </c>
      <c r="Z17" s="59" t="n">
        <f aca="false">Y21</f>
        <v>61662.58374116</v>
      </c>
      <c r="AA17" s="59" t="n">
        <f aca="false">Z21</f>
        <v>63887.111147631</v>
      </c>
      <c r="AB17" s="59" t="n">
        <f aca="false">AA21</f>
        <v>67108.6684769402</v>
      </c>
      <c r="AC17" s="59" t="n">
        <f aca="false">AB21</f>
        <v>70249.6868730167</v>
      </c>
      <c r="AD17" s="59" t="n">
        <f aca="false">AC21</f>
        <v>73312.1798091913</v>
      </c>
      <c r="AE17" s="59" t="n">
        <f aca="false">AD21</f>
        <v>76298.1104219615</v>
      </c>
      <c r="AF17" s="59" t="n">
        <f aca="false">AE21</f>
        <v>79209.3927694125</v>
      </c>
      <c r="AG17" s="59" t="n">
        <f aca="false">AF21</f>
        <v>82047.8930581772</v>
      </c>
      <c r="AH17" s="59" t="n">
        <f aca="false">AG21</f>
        <v>84815.4308397227</v>
      </c>
      <c r="AI17" s="59" t="n">
        <f aca="false">AH21</f>
        <v>87513.7801767297</v>
      </c>
      <c r="AJ17" s="59" t="n">
        <f aca="false">AI21</f>
        <v>90144.6707803114</v>
      </c>
      <c r="AK17" s="59" t="n">
        <f aca="false">AJ21</f>
        <v>92709.7891188036</v>
      </c>
      <c r="AL17" s="59" t="n">
        <f aca="false">AK21</f>
        <v>95210.7794988335</v>
      </c>
      <c r="AM17" s="59" t="n">
        <f aca="false">AL21</f>
        <v>97649.2451193627</v>
      </c>
      <c r="AN17" s="59" t="n">
        <f aca="false">AM21</f>
        <v>101383.359570111</v>
      </c>
      <c r="AO17" s="59" t="n">
        <f aca="false">AN21</f>
        <v>105024.12115959</v>
      </c>
      <c r="AP17" s="59" t="n">
        <f aca="false">AO21</f>
        <v>108573.863709332</v>
      </c>
      <c r="AQ17" s="59" t="n">
        <f aca="false">AP21</f>
        <v>112034.862695331</v>
      </c>
      <c r="AR17" s="59" t="n">
        <f aca="false">AQ21</f>
        <v>115409.33670668</v>
      </c>
      <c r="AS17" s="59" t="n">
        <f aca="false">AR21</f>
        <v>118699.448867745</v>
      </c>
      <c r="AT17" s="59" t="n">
        <f aca="false">AS21</f>
        <v>121907.308224783</v>
      </c>
      <c r="AU17" s="59" t="n">
        <f aca="false">AT21</f>
        <v>125034.971097895</v>
      </c>
      <c r="AV17" s="59" t="n">
        <f aca="false">AU21</f>
        <v>128084.44239918</v>
      </c>
      <c r="AW17" s="59" t="n">
        <f aca="false">AV21</f>
        <v>131057.676917932</v>
      </c>
      <c r="AX17" s="59" t="n">
        <f aca="false">AW21</f>
        <v>133956.580573716</v>
      </c>
      <c r="AY17" s="59" t="n">
        <f aca="false">AX21</f>
        <v>136783.011638105</v>
      </c>
      <c r="AZ17" s="59" t="n">
        <f aca="false">AY21</f>
        <v>141289.925333707</v>
      </c>
      <c r="BA17" s="59" t="n">
        <f aca="false">AZ21</f>
        <v>145684.166186919</v>
      </c>
      <c r="BB17" s="59" t="n">
        <f aca="false">BA21</f>
        <v>149968.5510188</v>
      </c>
      <c r="BC17" s="59" t="n">
        <f aca="false">BB21</f>
        <v>154145.826229885</v>
      </c>
      <c r="BD17" s="59" t="n">
        <f aca="false">BC21</f>
        <v>158218.669560692</v>
      </c>
      <c r="BE17" s="59" t="n">
        <f aca="false">BD21</f>
        <v>162189.691808229</v>
      </c>
      <c r="BF17" s="59" t="n">
        <f aca="false">BE21</f>
        <v>166061.438499578</v>
      </c>
      <c r="BG17" s="59" t="n">
        <f aca="false">BF21</f>
        <v>169836.391523643</v>
      </c>
      <c r="BH17" s="59" t="n">
        <f aca="false">BG21</f>
        <v>173516.970722106</v>
      </c>
      <c r="BI17" s="59" t="n">
        <f aca="false">BH21</f>
        <v>177105.535440608</v>
      </c>
      <c r="BJ17" s="59" t="n">
        <f aca="false">BI21</f>
        <v>180604.386041148</v>
      </c>
    </row>
    <row r="18" customFormat="false" ht="15" hidden="false" customHeight="false" outlineLevel="0" collapsed="false">
      <c r="A18" s="6" t="s">
        <v>334</v>
      </c>
      <c r="C18" s="59" t="n">
        <f aca="false">C10*C14</f>
        <v>2948</v>
      </c>
      <c r="D18" s="59" t="n">
        <f aca="false">D10*D14</f>
        <v>2948</v>
      </c>
      <c r="E18" s="59" t="n">
        <f aca="false">E10*E14</f>
        <v>2948</v>
      </c>
      <c r="F18" s="59" t="n">
        <f aca="false">F10*F14</f>
        <v>2948</v>
      </c>
      <c r="G18" s="59" t="n">
        <f aca="false">G10*G14</f>
        <v>2948</v>
      </c>
      <c r="H18" s="59" t="n">
        <f aca="false">H10*H14</f>
        <v>2948</v>
      </c>
      <c r="I18" s="59" t="n">
        <f aca="false">I10*I14</f>
        <v>2948</v>
      </c>
      <c r="J18" s="59" t="n">
        <f aca="false">J10*J14</f>
        <v>2948</v>
      </c>
      <c r="K18" s="59" t="n">
        <f aca="false">K10*K14</f>
        <v>2948</v>
      </c>
      <c r="L18" s="59" t="n">
        <f aca="false">L10*L14</f>
        <v>2948</v>
      </c>
      <c r="M18" s="59" t="n">
        <f aca="false">M10*M14</f>
        <v>2948</v>
      </c>
      <c r="N18" s="59" t="n">
        <f aca="false">N10*N14</f>
        <v>2948</v>
      </c>
      <c r="O18" s="59" t="n">
        <f aca="false">O10*O14</f>
        <v>3766.092</v>
      </c>
      <c r="P18" s="59" t="n">
        <f aca="false">P10*P14</f>
        <v>3766.092</v>
      </c>
      <c r="Q18" s="59" t="n">
        <f aca="false">Q10*Q14</f>
        <v>3766.092</v>
      </c>
      <c r="R18" s="59" t="n">
        <f aca="false">R10*R14</f>
        <v>3766.092</v>
      </c>
      <c r="S18" s="59" t="n">
        <f aca="false">S10*S14</f>
        <v>3766.092</v>
      </c>
      <c r="T18" s="59" t="n">
        <f aca="false">T10*T14</f>
        <v>3766.092</v>
      </c>
      <c r="U18" s="59" t="n">
        <f aca="false">U10*U14</f>
        <v>3766.092</v>
      </c>
      <c r="V18" s="59" t="n">
        <f aca="false">V10*V14</f>
        <v>3766.092</v>
      </c>
      <c r="W18" s="59" t="n">
        <f aca="false">W10*W14</f>
        <v>3766.092</v>
      </c>
      <c r="X18" s="59" t="n">
        <f aca="false">X10*X14</f>
        <v>3766.092</v>
      </c>
      <c r="Y18" s="59" t="n">
        <f aca="false">Y10*Y14</f>
        <v>3766.092</v>
      </c>
      <c r="Z18" s="59" t="n">
        <f aca="false">Z10*Z14</f>
        <v>3766.092</v>
      </c>
      <c r="AA18" s="59" t="n">
        <f aca="false">AA10*AA14</f>
        <v>4818.735108</v>
      </c>
      <c r="AB18" s="59" t="n">
        <f aca="false">AB10*AB14</f>
        <v>4818.735108</v>
      </c>
      <c r="AC18" s="59" t="n">
        <f aca="false">AC10*AC14</f>
        <v>4818.735108</v>
      </c>
      <c r="AD18" s="59" t="n">
        <f aca="false">AD10*AD14</f>
        <v>4818.735108</v>
      </c>
      <c r="AE18" s="59" t="n">
        <f aca="false">AE10*AE14</f>
        <v>4818.735108</v>
      </c>
      <c r="AF18" s="59" t="n">
        <f aca="false">AF10*AF14</f>
        <v>4818.735108</v>
      </c>
      <c r="AG18" s="59" t="n">
        <f aca="false">AG10*AG14</f>
        <v>4818.735108</v>
      </c>
      <c r="AH18" s="59" t="n">
        <f aca="false">AH10*AH14</f>
        <v>4818.735108</v>
      </c>
      <c r="AI18" s="59" t="n">
        <f aca="false">AI10*AI14</f>
        <v>4818.735108</v>
      </c>
      <c r="AJ18" s="59" t="n">
        <f aca="false">AJ10*AJ14</f>
        <v>4818.735108</v>
      </c>
      <c r="AK18" s="59" t="n">
        <f aca="false">AK10*AK14</f>
        <v>4818.735108</v>
      </c>
      <c r="AL18" s="59" t="n">
        <f aca="false">AL10*AL14</f>
        <v>4818.735108</v>
      </c>
      <c r="AM18" s="59" t="n">
        <f aca="false">AM10*AM14</f>
        <v>6175.345578732</v>
      </c>
      <c r="AN18" s="59" t="n">
        <f aca="false">AN10*AN14</f>
        <v>6175.345578732</v>
      </c>
      <c r="AO18" s="59" t="n">
        <f aca="false">AO10*AO14</f>
        <v>6175.345578732</v>
      </c>
      <c r="AP18" s="59" t="n">
        <f aca="false">AP10*AP14</f>
        <v>6175.345578732</v>
      </c>
      <c r="AQ18" s="59" t="n">
        <f aca="false">AQ10*AQ14</f>
        <v>6175.345578732</v>
      </c>
      <c r="AR18" s="59" t="n">
        <f aca="false">AR10*AR14</f>
        <v>6175.345578732</v>
      </c>
      <c r="AS18" s="59" t="n">
        <f aca="false">AS10*AS14</f>
        <v>6175.345578732</v>
      </c>
      <c r="AT18" s="59" t="n">
        <f aca="false">AT10*AT14</f>
        <v>6175.345578732</v>
      </c>
      <c r="AU18" s="59" t="n">
        <f aca="false">AU10*AU14</f>
        <v>6175.345578732</v>
      </c>
      <c r="AV18" s="59" t="n">
        <f aca="false">AV10*AV14</f>
        <v>6175.345578732</v>
      </c>
      <c r="AW18" s="59" t="n">
        <f aca="false">AW10*AW14</f>
        <v>6175.345578732</v>
      </c>
      <c r="AX18" s="59" t="n">
        <f aca="false">AX10*AX14</f>
        <v>6175.345578732</v>
      </c>
      <c r="AY18" s="59" t="n">
        <f aca="false">AY10*AY14</f>
        <v>7926.48898655447</v>
      </c>
      <c r="AZ18" s="59" t="n">
        <f aca="false">AZ10*AZ14</f>
        <v>7926.48898655447</v>
      </c>
      <c r="BA18" s="59" t="n">
        <f aca="false">BA10*BA14</f>
        <v>7926.48898655447</v>
      </c>
      <c r="BB18" s="59" t="n">
        <f aca="false">BB10*BB14</f>
        <v>7926.48898655447</v>
      </c>
      <c r="BC18" s="59" t="n">
        <f aca="false">BC10*BC14</f>
        <v>7926.48898655447</v>
      </c>
      <c r="BD18" s="59" t="n">
        <f aca="false">BD10*BD14</f>
        <v>7926.48898655447</v>
      </c>
      <c r="BE18" s="59" t="n">
        <f aca="false">BE10*BE14</f>
        <v>7926.48898655447</v>
      </c>
      <c r="BF18" s="59" t="n">
        <f aca="false">BF10*BF14</f>
        <v>7926.48898655447</v>
      </c>
      <c r="BG18" s="59" t="n">
        <f aca="false">BG10*BG14</f>
        <v>7926.48898655447</v>
      </c>
      <c r="BH18" s="59" t="n">
        <f aca="false">BH10*BH14</f>
        <v>7926.48898655447</v>
      </c>
      <c r="BI18" s="59" t="n">
        <f aca="false">BI10*BI14</f>
        <v>7926.48898655447</v>
      </c>
      <c r="BJ18" s="59" t="n">
        <f aca="false">BJ10*BJ14</f>
        <v>7926.48898655447</v>
      </c>
    </row>
    <row r="19" customFormat="false" ht="15" hidden="false" customHeight="false" outlineLevel="0" collapsed="false">
      <c r="A19" s="6" t="s">
        <v>335</v>
      </c>
      <c r="C19" s="59" t="n">
        <f aca="false">C17*Inputs!$E$11</f>
        <v>14.85</v>
      </c>
      <c r="D19" s="59" t="n">
        <f aca="false">D17*Inputs!$E$11</f>
        <v>29.21875</v>
      </c>
      <c r="E19" s="59" t="n">
        <f aca="false">E17*Inputs!$E$11</f>
        <v>43.22828125</v>
      </c>
      <c r="F19" s="59" t="n">
        <f aca="false">F17*Inputs!$E$11</f>
        <v>56.88757421875</v>
      </c>
      <c r="G19" s="59" t="n">
        <f aca="false">G17*Inputs!$E$11</f>
        <v>70.2053848632813</v>
      </c>
      <c r="H19" s="59" t="n">
        <f aca="false">H17*Inputs!$E$11</f>
        <v>83.1902502416992</v>
      </c>
      <c r="I19" s="59" t="n">
        <f aca="false">I17*Inputs!$E$11</f>
        <v>95.8504939856568</v>
      </c>
      <c r="J19" s="59" t="n">
        <f aca="false">J17*Inputs!$E$11</f>
        <v>108.194231636015</v>
      </c>
      <c r="K19" s="59" t="n">
        <f aca="false">K17*Inputs!$E$11</f>
        <v>120.229375845115</v>
      </c>
      <c r="L19" s="59" t="n">
        <f aca="false">L17*Inputs!$E$11</f>
        <v>131.963641448987</v>
      </c>
      <c r="M19" s="59" t="n">
        <f aca="false">M17*Inputs!$E$11</f>
        <v>143.404550412762</v>
      </c>
      <c r="N19" s="59" t="n">
        <f aca="false">N17*Inputs!$E$11</f>
        <v>154.559436652443</v>
      </c>
      <c r="O19" s="59" t="n">
        <f aca="false">O17*Inputs!$E$11</f>
        <v>165.435450736132</v>
      </c>
      <c r="P19" s="59" t="n">
        <f aca="false">P17*Inputs!$E$11</f>
        <v>180.130024467729</v>
      </c>
      <c r="Q19" s="59" t="n">
        <f aca="false">Q17*Inputs!$E$11</f>
        <v>194.457233856036</v>
      </c>
      <c r="R19" s="59" t="n">
        <f aca="false">R17*Inputs!$E$11</f>
        <v>208.426263009635</v>
      </c>
      <c r="S19" s="59" t="n">
        <f aca="false">S17*Inputs!$E$11</f>
        <v>222.046066434394</v>
      </c>
      <c r="T19" s="59" t="n">
        <f aca="false">T17*Inputs!$E$11</f>
        <v>235.325374773534</v>
      </c>
      <c r="U19" s="59" t="n">
        <f aca="false">U17*Inputs!$E$11</f>
        <v>248.272700404196</v>
      </c>
      <c r="V19" s="59" t="n">
        <f aca="false">V17*Inputs!$E$11</f>
        <v>260.896342894091</v>
      </c>
      <c r="W19" s="59" t="n">
        <f aca="false">W17*Inputs!$E$11</f>
        <v>273.204394321739</v>
      </c>
      <c r="X19" s="59" t="n">
        <f aca="false">X17*Inputs!$E$11</f>
        <v>285.204744463695</v>
      </c>
      <c r="Y19" s="59" t="n">
        <f aca="false">Y17*Inputs!$E$11</f>
        <v>296.905085852103</v>
      </c>
      <c r="Z19" s="59" t="n">
        <f aca="false">Z17*Inputs!$E$11</f>
        <v>308.3129187058</v>
      </c>
      <c r="AA19" s="59" t="n">
        <f aca="false">AA17*Inputs!$E$11</f>
        <v>319.435555738155</v>
      </c>
      <c r="AB19" s="59" t="n">
        <f aca="false">AB17*Inputs!$E$11</f>
        <v>335.543342384701</v>
      </c>
      <c r="AC19" s="59" t="n">
        <f aca="false">AC17*Inputs!$E$11</f>
        <v>351.248434365084</v>
      </c>
      <c r="AD19" s="59" t="n">
        <f aca="false">AD17*Inputs!$E$11</f>
        <v>366.560899045957</v>
      </c>
      <c r="AE19" s="59" t="n">
        <f aca="false">AE17*Inputs!$E$11</f>
        <v>381.490552109808</v>
      </c>
      <c r="AF19" s="59" t="n">
        <f aca="false">AF17*Inputs!$E$11</f>
        <v>396.046963847062</v>
      </c>
      <c r="AG19" s="59" t="n">
        <f aca="false">AG17*Inputs!$E$11</f>
        <v>410.239465290886</v>
      </c>
      <c r="AH19" s="59" t="n">
        <f aca="false">AH17*Inputs!$E$11</f>
        <v>424.077154198614</v>
      </c>
      <c r="AI19" s="59" t="n">
        <f aca="false">AI17*Inputs!$E$11</f>
        <v>437.568900883648</v>
      </c>
      <c r="AJ19" s="59" t="n">
        <f aca="false">AJ17*Inputs!$E$11</f>
        <v>450.723353901557</v>
      </c>
      <c r="AK19" s="59" t="n">
        <f aca="false">AK17*Inputs!$E$11</f>
        <v>463.548945594018</v>
      </c>
      <c r="AL19" s="59" t="n">
        <f aca="false">AL17*Inputs!$E$11</f>
        <v>476.053897494168</v>
      </c>
      <c r="AM19" s="59" t="n">
        <f aca="false">AM17*Inputs!$E$11</f>
        <v>488.246225596813</v>
      </c>
      <c r="AN19" s="59" t="n">
        <f aca="false">AN17*Inputs!$E$11</f>
        <v>506.916797850553</v>
      </c>
      <c r="AO19" s="59" t="n">
        <f aca="false">AO17*Inputs!$E$11</f>
        <v>525.120605797949</v>
      </c>
      <c r="AP19" s="59" t="n">
        <f aca="false">AP17*Inputs!$E$11</f>
        <v>542.869318546661</v>
      </c>
      <c r="AQ19" s="59" t="n">
        <f aca="false">AQ17*Inputs!$E$11</f>
        <v>560.174313476654</v>
      </c>
      <c r="AR19" s="59" t="n">
        <f aca="false">AR17*Inputs!$E$11</f>
        <v>577.046683533398</v>
      </c>
      <c r="AS19" s="59" t="n">
        <f aca="false">AS17*Inputs!$E$11</f>
        <v>593.497244338723</v>
      </c>
      <c r="AT19" s="59" t="n">
        <f aca="false">AT17*Inputs!$E$11</f>
        <v>609.536541123915</v>
      </c>
      <c r="AU19" s="59" t="n">
        <f aca="false">AU17*Inputs!$E$11</f>
        <v>625.174855489477</v>
      </c>
      <c r="AV19" s="59" t="n">
        <f aca="false">AV17*Inputs!$E$11</f>
        <v>640.4222119959</v>
      </c>
      <c r="AW19" s="59" t="n">
        <f aca="false">AW17*Inputs!$E$11</f>
        <v>655.288384589662</v>
      </c>
      <c r="AX19" s="59" t="n">
        <f aca="false">AX17*Inputs!$E$11</f>
        <v>669.782902868581</v>
      </c>
      <c r="AY19" s="59" t="n">
        <f aca="false">AY17*Inputs!$E$11</f>
        <v>683.915058190526</v>
      </c>
      <c r="AZ19" s="59" t="n">
        <f aca="false">AZ17*Inputs!$E$11</f>
        <v>706.449626668535</v>
      </c>
      <c r="BA19" s="59" t="n">
        <f aca="false">BA17*Inputs!$E$11</f>
        <v>728.420830934594</v>
      </c>
      <c r="BB19" s="59" t="n">
        <f aca="false">BB17*Inputs!$E$11</f>
        <v>749.842755094002</v>
      </c>
      <c r="BC19" s="59" t="n">
        <f aca="false">BC17*Inputs!$E$11</f>
        <v>770.729131149424</v>
      </c>
      <c r="BD19" s="59" t="n">
        <f aca="false">BD17*Inputs!$E$11</f>
        <v>791.093347803461</v>
      </c>
      <c r="BE19" s="59" t="n">
        <f aca="false">BE17*Inputs!$E$11</f>
        <v>810.948459041147</v>
      </c>
      <c r="BF19" s="59" t="n">
        <f aca="false">BF17*Inputs!$E$11</f>
        <v>830.30719249789</v>
      </c>
      <c r="BG19" s="59" t="n">
        <f aca="false">BG17*Inputs!$E$11</f>
        <v>849.181957618215</v>
      </c>
      <c r="BH19" s="59" t="n">
        <f aca="false">BH17*Inputs!$E$11</f>
        <v>867.584853610532</v>
      </c>
      <c r="BI19" s="59" t="n">
        <f aca="false">BI17*Inputs!$E$11</f>
        <v>885.527677203041</v>
      </c>
      <c r="BJ19" s="59" t="n">
        <f aca="false">BJ17*Inputs!$E$11</f>
        <v>903.021930205738</v>
      </c>
    </row>
    <row r="20" customFormat="false" ht="15" hidden="false" customHeight="false" outlineLevel="0" collapsed="false">
      <c r="A20" s="6" t="s">
        <v>336</v>
      </c>
      <c r="C20" s="59" t="n">
        <f aca="false">-C17*Inputs!$E$10</f>
        <v>-89.1</v>
      </c>
      <c r="D20" s="59" t="n">
        <f aca="false">-D17*Inputs!$E$10</f>
        <v>-175.3125</v>
      </c>
      <c r="E20" s="59" t="n">
        <f aca="false">-E17*Inputs!$E$10</f>
        <v>-259.3696875</v>
      </c>
      <c r="F20" s="59" t="n">
        <f aca="false">-F17*Inputs!$E$10</f>
        <v>-341.3254453125</v>
      </c>
      <c r="G20" s="59" t="n">
        <f aca="false">-G17*Inputs!$E$10</f>
        <v>-421.232309179688</v>
      </c>
      <c r="H20" s="59" t="n">
        <f aca="false">-H17*Inputs!$E$10</f>
        <v>-499.141501450195</v>
      </c>
      <c r="I20" s="59" t="n">
        <f aca="false">-I17*Inputs!$E$10</f>
        <v>-575.102963913941</v>
      </c>
      <c r="J20" s="59" t="n">
        <f aca="false">-J17*Inputs!$E$10</f>
        <v>-649.165389816092</v>
      </c>
      <c r="K20" s="59" t="n">
        <f aca="false">-K17*Inputs!$E$10</f>
        <v>-721.37625507069</v>
      </c>
      <c r="L20" s="59" t="n">
        <f aca="false">-L17*Inputs!$E$10</f>
        <v>-791.781848693923</v>
      </c>
      <c r="M20" s="59" t="n">
        <f aca="false">-M17*Inputs!$E$10</f>
        <v>-860.427302476575</v>
      </c>
      <c r="N20" s="59" t="n">
        <f aca="false">-N17*Inputs!$E$10</f>
        <v>-927.35661991466</v>
      </c>
      <c r="O20" s="59" t="n">
        <f aca="false">-O17*Inputs!$E$10</f>
        <v>-992.612704416794</v>
      </c>
      <c r="P20" s="59" t="n">
        <f aca="false">-P17*Inputs!$E$10</f>
        <v>-1080.78014680637</v>
      </c>
      <c r="Q20" s="59" t="n">
        <f aca="false">-Q17*Inputs!$E$10</f>
        <v>-1166.74340313621</v>
      </c>
      <c r="R20" s="59" t="n">
        <f aca="false">-R17*Inputs!$E$10</f>
        <v>-1250.55757805781</v>
      </c>
      <c r="S20" s="59" t="n">
        <f aca="false">-S17*Inputs!$E$10</f>
        <v>-1332.27639860636</v>
      </c>
      <c r="T20" s="59" t="n">
        <f aca="false">-T17*Inputs!$E$10</f>
        <v>-1411.9522486412</v>
      </c>
      <c r="U20" s="59" t="n">
        <f aca="false">-U17*Inputs!$E$10</f>
        <v>-1489.63620242517</v>
      </c>
      <c r="V20" s="59" t="n">
        <f aca="false">-V17*Inputs!$E$10</f>
        <v>-1565.37805736455</v>
      </c>
      <c r="W20" s="59" t="n">
        <f aca="false">-W17*Inputs!$E$10</f>
        <v>-1639.22636593043</v>
      </c>
      <c r="X20" s="59" t="n">
        <f aca="false">-X17*Inputs!$E$10</f>
        <v>-1711.22846678217</v>
      </c>
      <c r="Y20" s="59" t="n">
        <f aca="false">-Y17*Inputs!$E$10</f>
        <v>-1781.43051511262</v>
      </c>
      <c r="Z20" s="59" t="n">
        <f aca="false">-Z17*Inputs!$E$10</f>
        <v>-1849.8775122348</v>
      </c>
      <c r="AA20" s="59" t="n">
        <f aca="false">-AA17*Inputs!$E$10</f>
        <v>-1916.61333442893</v>
      </c>
      <c r="AB20" s="59" t="n">
        <f aca="false">-AB17*Inputs!$E$10</f>
        <v>-2013.26005430821</v>
      </c>
      <c r="AC20" s="59" t="n">
        <f aca="false">-AC17*Inputs!$E$10</f>
        <v>-2107.4906061905</v>
      </c>
      <c r="AD20" s="59" t="n">
        <f aca="false">-AD17*Inputs!$E$10</f>
        <v>-2199.36539427574</v>
      </c>
      <c r="AE20" s="59" t="n">
        <f aca="false">-AE17*Inputs!$E$10</f>
        <v>-2288.94331265885</v>
      </c>
      <c r="AF20" s="59" t="n">
        <f aca="false">-AF17*Inputs!$E$10</f>
        <v>-2376.28178308237</v>
      </c>
      <c r="AG20" s="59" t="n">
        <f aca="false">-AG17*Inputs!$E$10</f>
        <v>-2461.43679174531</v>
      </c>
      <c r="AH20" s="59" t="n">
        <f aca="false">-AH17*Inputs!$E$10</f>
        <v>-2544.46292519168</v>
      </c>
      <c r="AI20" s="59" t="n">
        <f aca="false">-AI17*Inputs!$E$10</f>
        <v>-2625.41340530189</v>
      </c>
      <c r="AJ20" s="59" t="n">
        <f aca="false">-AJ17*Inputs!$E$10</f>
        <v>-2704.34012340934</v>
      </c>
      <c r="AK20" s="59" t="n">
        <f aca="false">-AK17*Inputs!$E$10</f>
        <v>-2781.29367356411</v>
      </c>
      <c r="AL20" s="59" t="n">
        <f aca="false">-AL17*Inputs!$E$10</f>
        <v>-2856.323384965</v>
      </c>
      <c r="AM20" s="59" t="n">
        <f aca="false">-AM17*Inputs!$E$10</f>
        <v>-2929.47735358088</v>
      </c>
      <c r="AN20" s="59" t="n">
        <f aca="false">-AN17*Inputs!$E$10</f>
        <v>-3041.50078710332</v>
      </c>
      <c r="AO20" s="59" t="n">
        <f aca="false">-AO17*Inputs!$E$10</f>
        <v>-3150.7236347877</v>
      </c>
      <c r="AP20" s="59" t="n">
        <f aca="false">-AP17*Inputs!$E$10</f>
        <v>-3257.21591127996</v>
      </c>
      <c r="AQ20" s="59" t="n">
        <f aca="false">-AQ17*Inputs!$E$10</f>
        <v>-3361.04588085992</v>
      </c>
      <c r="AR20" s="59" t="n">
        <f aca="false">-AR17*Inputs!$E$10</f>
        <v>-3462.28010120039</v>
      </c>
      <c r="AS20" s="59" t="n">
        <f aca="false">-AS17*Inputs!$E$10</f>
        <v>-3560.98346603234</v>
      </c>
      <c r="AT20" s="59" t="n">
        <f aca="false">-AT17*Inputs!$E$10</f>
        <v>-3657.21924674349</v>
      </c>
      <c r="AU20" s="59" t="n">
        <f aca="false">-AU17*Inputs!$E$10</f>
        <v>-3751.04913293686</v>
      </c>
      <c r="AV20" s="59" t="n">
        <f aca="false">-AV17*Inputs!$E$10</f>
        <v>-3842.5332719754</v>
      </c>
      <c r="AW20" s="59" t="n">
        <f aca="false">-AW17*Inputs!$E$10</f>
        <v>-3931.73030753797</v>
      </c>
      <c r="AX20" s="59" t="n">
        <f aca="false">-AX17*Inputs!$E$10</f>
        <v>-4018.69741721148</v>
      </c>
      <c r="AY20" s="59" t="n">
        <f aca="false">-AY17*Inputs!$E$10</f>
        <v>-4103.49034914316</v>
      </c>
      <c r="AZ20" s="59" t="n">
        <f aca="false">-AZ17*Inputs!$E$10</f>
        <v>-4238.69776001121</v>
      </c>
      <c r="BA20" s="59" t="n">
        <f aca="false">-BA17*Inputs!$E$10</f>
        <v>-4370.52498560757</v>
      </c>
      <c r="BB20" s="59" t="n">
        <f aca="false">-BB17*Inputs!$E$10</f>
        <v>-4499.05653056401</v>
      </c>
      <c r="BC20" s="59" t="n">
        <f aca="false">-BC17*Inputs!$E$10</f>
        <v>-4624.37478689654</v>
      </c>
      <c r="BD20" s="59" t="n">
        <f aca="false">-BD17*Inputs!$E$10</f>
        <v>-4746.56008682077</v>
      </c>
      <c r="BE20" s="59" t="n">
        <f aca="false">-BE17*Inputs!$E$10</f>
        <v>-4865.69075424688</v>
      </c>
      <c r="BF20" s="59" t="n">
        <f aca="false">-BF17*Inputs!$E$10</f>
        <v>-4981.84315498734</v>
      </c>
      <c r="BG20" s="59" t="n">
        <f aca="false">-BG17*Inputs!$E$10</f>
        <v>-5095.09174570929</v>
      </c>
      <c r="BH20" s="59" t="n">
        <f aca="false">-BH17*Inputs!$E$10</f>
        <v>-5205.50912166319</v>
      </c>
      <c r="BI20" s="59" t="n">
        <f aca="false">-BI17*Inputs!$E$10</f>
        <v>-5313.16606321825</v>
      </c>
      <c r="BJ20" s="59" t="n">
        <f aca="false">-BJ17*Inputs!$E$10</f>
        <v>-5418.13158123443</v>
      </c>
    </row>
    <row r="21" customFormat="false" ht="15" hidden="false" customHeight="false" outlineLevel="0" collapsed="false">
      <c r="A21" s="82" t="s">
        <v>337</v>
      </c>
      <c r="C21" s="60" t="n">
        <f aca="false">C17+C18+C19+C20</f>
        <v>5843.75</v>
      </c>
      <c r="D21" s="60" t="n">
        <f aca="false">D17+D18+D19+D20</f>
        <v>8645.65625</v>
      </c>
      <c r="E21" s="60" t="n">
        <f aca="false">E17+E18+E19+E20</f>
        <v>11377.51484375</v>
      </c>
      <c r="F21" s="60" t="n">
        <f aca="false">F17+F18+F19+F20</f>
        <v>14041.0769726563</v>
      </c>
      <c r="G21" s="60" t="n">
        <f aca="false">G17+G18+G19+G20</f>
        <v>16638.0500483398</v>
      </c>
      <c r="H21" s="60" t="n">
        <f aca="false">H17+H18+H19+H20</f>
        <v>19170.0987971314</v>
      </c>
      <c r="I21" s="60" t="n">
        <f aca="false">I17+I18+I19+I20</f>
        <v>21638.8463272031</v>
      </c>
      <c r="J21" s="60" t="n">
        <f aca="false">J17+J18+J19+J20</f>
        <v>24045.875169023</v>
      </c>
      <c r="K21" s="60" t="n">
        <f aca="false">K17+K18+K19+K20</f>
        <v>26392.7282897974</v>
      </c>
      <c r="L21" s="60" t="n">
        <f aca="false">L17+L18+L19+L20</f>
        <v>28680.9100825525</v>
      </c>
      <c r="M21" s="60" t="n">
        <f aca="false">M17+M18+M19+M20</f>
        <v>30911.8873304887</v>
      </c>
      <c r="N21" s="60" t="n">
        <f aca="false">N17+N18+N19+N20</f>
        <v>33087.0901472265</v>
      </c>
      <c r="O21" s="60" t="n">
        <f aca="false">O17+O18+O19+O20</f>
        <v>36026.0048935458</v>
      </c>
      <c r="P21" s="60" t="n">
        <f aca="false">P17+P18+P19+P20</f>
        <v>38891.4467712071</v>
      </c>
      <c r="Q21" s="60" t="n">
        <f aca="false">Q17+Q18+Q19+Q20</f>
        <v>41685.252601927</v>
      </c>
      <c r="R21" s="60" t="n">
        <f aca="false">R17+R18+R19+R20</f>
        <v>44409.2132868788</v>
      </c>
      <c r="S21" s="60" t="n">
        <f aca="false">S17+S18+S19+S20</f>
        <v>47065.0749547068</v>
      </c>
      <c r="T21" s="60" t="n">
        <f aca="false">T17+T18+T19+T20</f>
        <v>49654.5400808392</v>
      </c>
      <c r="U21" s="60" t="n">
        <f aca="false">U17+U18+U19+U20</f>
        <v>52179.2685788182</v>
      </c>
      <c r="V21" s="60" t="n">
        <f aca="false">V17+V18+V19+V20</f>
        <v>54640.8788643477</v>
      </c>
      <c r="W21" s="60" t="n">
        <f aca="false">W17+W18+W19+W20</f>
        <v>57040.948892739</v>
      </c>
      <c r="X21" s="60" t="n">
        <f aca="false">X17+X18+X19+X20</f>
        <v>59381.0171704205</v>
      </c>
      <c r="Y21" s="60" t="n">
        <f aca="false">Y17+Y18+Y19+Y20</f>
        <v>61662.58374116</v>
      </c>
      <c r="Z21" s="60" t="n">
        <f aca="false">Z17+Z18+Z19+Z20</f>
        <v>63887.111147631</v>
      </c>
      <c r="AA21" s="60" t="n">
        <f aca="false">AA17+AA18+AA19+AA20</f>
        <v>67108.6684769402</v>
      </c>
      <c r="AB21" s="60" t="n">
        <f aca="false">AB17+AB18+AB19+AB20</f>
        <v>70249.6868730167</v>
      </c>
      <c r="AC21" s="60" t="n">
        <f aca="false">AC17+AC18+AC19+AC20</f>
        <v>73312.1798091913</v>
      </c>
      <c r="AD21" s="60" t="n">
        <f aca="false">AD17+AD18+AD19+AD20</f>
        <v>76298.1104219615</v>
      </c>
      <c r="AE21" s="60" t="n">
        <f aca="false">AE17+AE18+AE19+AE20</f>
        <v>79209.3927694125</v>
      </c>
      <c r="AF21" s="60" t="n">
        <f aca="false">AF17+AF18+AF19+AF20</f>
        <v>82047.8930581772</v>
      </c>
      <c r="AG21" s="60" t="n">
        <f aca="false">AG17+AG18+AG19+AG20</f>
        <v>84815.4308397227</v>
      </c>
      <c r="AH21" s="60" t="n">
        <f aca="false">AH17+AH18+AH19+AH20</f>
        <v>87513.7801767297</v>
      </c>
      <c r="AI21" s="60" t="n">
        <f aca="false">AI17+AI18+AI19+AI20</f>
        <v>90144.6707803114</v>
      </c>
      <c r="AJ21" s="60" t="n">
        <f aca="false">AJ17+AJ18+AJ19+AJ20</f>
        <v>92709.7891188036</v>
      </c>
      <c r="AK21" s="60" t="n">
        <f aca="false">AK17+AK18+AK19+AK20</f>
        <v>95210.7794988335</v>
      </c>
      <c r="AL21" s="60" t="n">
        <f aca="false">AL17+AL18+AL19+AL20</f>
        <v>97649.2451193627</v>
      </c>
      <c r="AM21" s="60" t="n">
        <f aca="false">AM17+AM18+AM19+AM20</f>
        <v>101383.359570111</v>
      </c>
      <c r="AN21" s="60" t="n">
        <f aca="false">AN17+AN18+AN19+AN20</f>
        <v>105024.12115959</v>
      </c>
      <c r="AO21" s="60" t="n">
        <f aca="false">AO17+AO18+AO19+AO20</f>
        <v>108573.863709332</v>
      </c>
      <c r="AP21" s="60" t="n">
        <f aca="false">AP17+AP18+AP19+AP20</f>
        <v>112034.862695331</v>
      </c>
      <c r="AQ21" s="60" t="n">
        <f aca="false">AQ17+AQ18+AQ19+AQ20</f>
        <v>115409.33670668</v>
      </c>
      <c r="AR21" s="60" t="n">
        <f aca="false">AR17+AR18+AR19+AR20</f>
        <v>118699.448867745</v>
      </c>
      <c r="AS21" s="60" t="n">
        <f aca="false">AS17+AS18+AS19+AS20</f>
        <v>121907.308224783</v>
      </c>
      <c r="AT21" s="60" t="n">
        <f aca="false">AT17+AT18+AT19+AT20</f>
        <v>125034.971097895</v>
      </c>
      <c r="AU21" s="60" t="n">
        <f aca="false">AU17+AU18+AU19+AU20</f>
        <v>128084.44239918</v>
      </c>
      <c r="AV21" s="60" t="n">
        <f aca="false">AV17+AV18+AV19+AV20</f>
        <v>131057.676917932</v>
      </c>
      <c r="AW21" s="60" t="n">
        <f aca="false">AW17+AW18+AW19+AW20</f>
        <v>133956.580573716</v>
      </c>
      <c r="AX21" s="60" t="n">
        <f aca="false">AX17+AX18+AX19+AX20</f>
        <v>136783.011638105</v>
      </c>
      <c r="AY21" s="60" t="n">
        <f aca="false">AY17+AY18+AY19+AY20</f>
        <v>141289.925333707</v>
      </c>
      <c r="AZ21" s="60" t="n">
        <f aca="false">AZ17+AZ18+AZ19+AZ20</f>
        <v>145684.166186919</v>
      </c>
      <c r="BA21" s="60" t="n">
        <f aca="false">BA17+BA18+BA19+BA20</f>
        <v>149968.5510188</v>
      </c>
      <c r="BB21" s="60" t="n">
        <f aca="false">BB17+BB18+BB19+BB20</f>
        <v>154145.826229885</v>
      </c>
      <c r="BC21" s="60" t="n">
        <f aca="false">BC17+BC18+BC19+BC20</f>
        <v>158218.669560692</v>
      </c>
      <c r="BD21" s="60" t="n">
        <f aca="false">BD17+BD18+BD19+BD20</f>
        <v>162189.691808229</v>
      </c>
      <c r="BE21" s="60" t="n">
        <f aca="false">BE17+BE18+BE19+BE20</f>
        <v>166061.438499578</v>
      </c>
      <c r="BF21" s="60" t="n">
        <f aca="false">BF17+BF18+BF19+BF20</f>
        <v>169836.391523643</v>
      </c>
      <c r="BG21" s="60" t="n">
        <f aca="false">BG17+BG18+BG19+BG20</f>
        <v>173516.970722106</v>
      </c>
      <c r="BH21" s="60" t="n">
        <f aca="false">BH17+BH18+BH19+BH20</f>
        <v>177105.535440608</v>
      </c>
      <c r="BI21" s="60" t="n">
        <f aca="false">BI17+BI18+BI19+BI20</f>
        <v>180604.386041148</v>
      </c>
      <c r="BJ21" s="60" t="n">
        <f aca="false">BJ17+BJ18+BJ19+BJ20</f>
        <v>184015.765376673</v>
      </c>
    </row>
    <row r="23" customFormat="false" ht="15.75" hidden="false" customHeight="true" outlineLevel="0" collapsed="false">
      <c r="A23" s="7" t="s">
        <v>338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82" t="s">
        <v>339</v>
      </c>
      <c r="C24" s="60" t="n">
        <f aca="false">(C17+C21)/2*1</f>
        <v>4406.875</v>
      </c>
      <c r="D24" s="60" t="n">
        <f aca="false">(D17+D21)/2*1</f>
        <v>7244.703125</v>
      </c>
      <c r="E24" s="60" t="n">
        <f aca="false">(E17+E21)/2*1</f>
        <v>10011.585546875</v>
      </c>
      <c r="F24" s="60" t="n">
        <f aca="false">(F17+F21)/2*1</f>
        <v>12709.2959082031</v>
      </c>
      <c r="G24" s="60" t="n">
        <f aca="false">(G17+G21)/2*1</f>
        <v>15339.563510498</v>
      </c>
      <c r="H24" s="60" t="n">
        <f aca="false">(H17+H21)/2*1</f>
        <v>17904.0744227356</v>
      </c>
      <c r="I24" s="60" t="n">
        <f aca="false">(I17+I21)/2*1</f>
        <v>20404.4725621672</v>
      </c>
      <c r="J24" s="60" t="n">
        <f aca="false">(J17+J21)/2*1</f>
        <v>22842.360748113</v>
      </c>
      <c r="K24" s="60" t="n">
        <f aca="false">(K17+K21)/2*1</f>
        <v>25219.3017294102</v>
      </c>
      <c r="L24" s="60" t="n">
        <f aca="false">(L17+L21)/2*1</f>
        <v>27536.819186175</v>
      </c>
      <c r="M24" s="60" t="n">
        <f aca="false">(M17+M21)/2*1</f>
        <v>29796.3987065206</v>
      </c>
      <c r="N24" s="60" t="n">
        <f aca="false">(N17+N21)/2*1</f>
        <v>31999.4887388576</v>
      </c>
      <c r="O24" s="60" t="n">
        <f aca="false">(O17+O21)/2*1</f>
        <v>34556.5475203861</v>
      </c>
      <c r="P24" s="60" t="n">
        <f aca="false">(P17+P21)/2*1</f>
        <v>37458.7258323765</v>
      </c>
      <c r="Q24" s="60" t="n">
        <f aca="false">(Q17+Q21)/2*1</f>
        <v>40288.3496865671</v>
      </c>
      <c r="R24" s="60" t="n">
        <f aca="false">(R17+R21)/2*1</f>
        <v>43047.2329444029</v>
      </c>
      <c r="S24" s="60" t="n">
        <f aca="false">(S17+S21)/2*1</f>
        <v>45737.1441207928</v>
      </c>
      <c r="T24" s="60" t="n">
        <f aca="false">(T17+T21)/2*1</f>
        <v>48359.807517773</v>
      </c>
      <c r="U24" s="60" t="n">
        <f aca="false">(U17+U21)/2*1</f>
        <v>50916.9043298287</v>
      </c>
      <c r="V24" s="60" t="n">
        <f aca="false">(V17+V21)/2*1</f>
        <v>53410.0737215829</v>
      </c>
      <c r="W24" s="60" t="n">
        <f aca="false">(W17+W21)/2*1</f>
        <v>55840.9138785434</v>
      </c>
      <c r="X24" s="60" t="n">
        <f aca="false">(X17+X21)/2*1</f>
        <v>58210.9830315798</v>
      </c>
      <c r="Y24" s="60" t="n">
        <f aca="false">(Y17+Y21)/2*1</f>
        <v>60521.8004557903</v>
      </c>
      <c r="Z24" s="60" t="n">
        <f aca="false">(Z17+Z21)/2*1</f>
        <v>62774.8474443955</v>
      </c>
      <c r="AA24" s="60" t="n">
        <f aca="false">(AA17+AA21)/2*1</f>
        <v>65497.8898122856</v>
      </c>
      <c r="AB24" s="60" t="n">
        <f aca="false">(AB17+AB21)/2*1</f>
        <v>68679.1776749785</v>
      </c>
      <c r="AC24" s="60" t="n">
        <f aca="false">(AC17+AC21)/2*1</f>
        <v>71780.933341104</v>
      </c>
      <c r="AD24" s="60" t="n">
        <f aca="false">(AD17+AD21)/2*1</f>
        <v>74805.1451155764</v>
      </c>
      <c r="AE24" s="60" t="n">
        <f aca="false">(AE17+AE21)/2*1</f>
        <v>77753.751595687</v>
      </c>
      <c r="AF24" s="60" t="n">
        <f aca="false">(AF17+AF21)/2*1</f>
        <v>80628.6429137948</v>
      </c>
      <c r="AG24" s="60" t="n">
        <f aca="false">(AG17+AG21)/2*1</f>
        <v>83431.6619489499</v>
      </c>
      <c r="AH24" s="60" t="n">
        <f aca="false">(AH17+AH21)/2*1</f>
        <v>86164.6055082262</v>
      </c>
      <c r="AI24" s="60" t="n">
        <f aca="false">(AI17+AI21)/2*1</f>
        <v>88829.2254785205</v>
      </c>
      <c r="AJ24" s="60" t="n">
        <f aca="false">(AJ17+AJ21)/2*1</f>
        <v>91427.2299495575</v>
      </c>
      <c r="AK24" s="60" t="n">
        <f aca="false">(AK17+AK21)/2*1</f>
        <v>93960.2843088186</v>
      </c>
      <c r="AL24" s="60" t="n">
        <f aca="false">(AL17+AL21)/2*1</f>
        <v>96430.0123090981</v>
      </c>
      <c r="AM24" s="60" t="n">
        <f aca="false">(AM17+AM21)/2*1</f>
        <v>99516.3023447366</v>
      </c>
      <c r="AN24" s="60" t="n">
        <f aca="false">(AN17+AN21)/2*1</f>
        <v>103203.74036485</v>
      </c>
      <c r="AO24" s="60" t="n">
        <f aca="false">(AO17+AO21)/2*1</f>
        <v>106798.992434461</v>
      </c>
      <c r="AP24" s="60" t="n">
        <f aca="false">(AP17+AP21)/2*1</f>
        <v>110304.363202331</v>
      </c>
      <c r="AQ24" s="60" t="n">
        <f aca="false">(AQ17+AQ21)/2*1</f>
        <v>113722.099701005</v>
      </c>
      <c r="AR24" s="60" t="n">
        <f aca="false">(AR17+AR21)/2*1</f>
        <v>117054.392787212</v>
      </c>
      <c r="AS24" s="60" t="n">
        <f aca="false">(AS17+AS21)/2*1</f>
        <v>120303.378546264</v>
      </c>
      <c r="AT24" s="60" t="n">
        <f aca="false">(AT17+AT21)/2*1</f>
        <v>123471.139661339</v>
      </c>
      <c r="AU24" s="60" t="n">
        <f aca="false">(AU17+AU21)/2*1</f>
        <v>126559.706748538</v>
      </c>
      <c r="AV24" s="60" t="n">
        <f aca="false">(AV17+AV21)/2*1</f>
        <v>129571.059658556</v>
      </c>
      <c r="AW24" s="60" t="n">
        <f aca="false">(AW17+AW21)/2*1</f>
        <v>132507.128745824</v>
      </c>
      <c r="AX24" s="60" t="n">
        <f aca="false">(AX17+AX21)/2*1</f>
        <v>135369.796105911</v>
      </c>
      <c r="AY24" s="60" t="n">
        <f aca="false">(AY17+AY21)/2*1</f>
        <v>139036.468485906</v>
      </c>
      <c r="AZ24" s="60" t="n">
        <f aca="false">(AZ17+AZ21)/2*1</f>
        <v>143487.045760313</v>
      </c>
      <c r="BA24" s="60" t="n">
        <f aca="false">(BA17+BA21)/2*1</f>
        <v>147826.35860286</v>
      </c>
      <c r="BB24" s="60" t="n">
        <f aca="false">(BB17+BB21)/2*1</f>
        <v>152057.188624343</v>
      </c>
      <c r="BC24" s="60" t="n">
        <f aca="false">(BC17+BC21)/2*1</f>
        <v>156182.247895288</v>
      </c>
      <c r="BD24" s="60" t="n">
        <f aca="false">(BD17+BD21)/2*1</f>
        <v>160204.180684461</v>
      </c>
      <c r="BE24" s="60" t="n">
        <f aca="false">(BE17+BE21)/2*1</f>
        <v>164125.565153904</v>
      </c>
      <c r="BF24" s="60" t="n">
        <f aca="false">(BF17+BF21)/2*1</f>
        <v>167948.915011611</v>
      </c>
      <c r="BG24" s="60" t="n">
        <f aca="false">(BG17+BG21)/2*1</f>
        <v>171676.681122875</v>
      </c>
      <c r="BH24" s="60" t="n">
        <f aca="false">(BH17+BH21)/2*1</f>
        <v>175311.253081357</v>
      </c>
      <c r="BI24" s="60" t="n">
        <f aca="false">(BI17+BI21)/2*1</f>
        <v>178854.960740878</v>
      </c>
      <c r="BJ24" s="60" t="n">
        <f aca="false">(BJ17+BJ21)/2*1</f>
        <v>182310.07570891</v>
      </c>
    </row>
    <row r="25" customFormat="false" ht="15" hidden="false" customHeight="false" outlineLevel="0" collapsed="false">
      <c r="A25" s="6" t="s">
        <v>91</v>
      </c>
      <c r="C25" s="59" t="n">
        <f aca="false">-(C24*Inputs!$E$18+(C11+C13)/2*Inputs!$E$19*1)</f>
        <v>-529.565277777778</v>
      </c>
      <c r="D25" s="59" t="n">
        <f aca="false">-(D24*Inputs!$E$18+(D11+D13)/2*Inputs!$E$19*1)</f>
        <v>-870.2373125</v>
      </c>
      <c r="E25" s="59" t="n">
        <f aca="false">-(E24*Inputs!$E$18+(E11+E13)/2*Inputs!$E$19*1)</f>
        <v>-1202.10810024306</v>
      </c>
      <c r="F25" s="59" t="n">
        <f aca="false">-(F24*Inputs!$E$18+(F11+F13)/2*Inputs!$E$19*1)</f>
        <v>-1525.40620556476</v>
      </c>
      <c r="G25" s="59" t="n">
        <f aca="false">-(G24*Inputs!$E$18+(G11+G13)/2*Inputs!$E$19*1)</f>
        <v>-1840.35422290747</v>
      </c>
      <c r="H25" s="59" t="n">
        <f aca="false">-(H24*Inputs!$E$18+(H11+H13)/2*Inputs!$E$19*1)</f>
        <v>-2147.16893353105</v>
      </c>
      <c r="I25" s="59" t="n">
        <f aca="false">-(I24*Inputs!$E$18+(I11+I13)/2*Inputs!$E$19*1)</f>
        <v>-2446.06145829204</v>
      </c>
      <c r="J25" s="59" t="n">
        <f aca="false">-(J24*Inputs!$E$18+(J11+J13)/2*Inputs!$E$19*1)</f>
        <v>-2737.23740637992</v>
      </c>
      <c r="K25" s="59" t="n">
        <f aca="false">-(K24*Inputs!$E$18+(K11+K13)/2*Inputs!$E$19*1)</f>
        <v>-3020.89702011814</v>
      </c>
      <c r="L25" s="59" t="n">
        <f aca="false">-(L24*Inputs!$E$18+(L11+L13)/2*Inputs!$E$19*1)</f>
        <v>-3297.23531593485</v>
      </c>
      <c r="M25" s="59" t="n">
        <f aca="false">-(M24*Inputs!$E$18+(M11+M13)/2*Inputs!$E$19*1)</f>
        <v>-3566.44222160545</v>
      </c>
      <c r="N25" s="59" t="n">
        <f aca="false">-(N24*Inputs!$E$18+(N11+N13)/2*Inputs!$E$19*1)</f>
        <v>-3828.7027098661</v>
      </c>
      <c r="O25" s="59" t="n">
        <f aca="false">-(O24*Inputs!$E$18+(O11+O13)/2*Inputs!$E$19*1)</f>
        <v>-4132.25708405066</v>
      </c>
      <c r="P25" s="59" t="n">
        <f aca="false">-(P24*Inputs!$E$18+(P11+P13)/2*Inputs!$E$19*1)</f>
        <v>-4476.043511956</v>
      </c>
      <c r="Q25" s="59" t="n">
        <f aca="false">-(Q24*Inputs!$E$18+(Q11+Q13)/2*Inputs!$E$19*1)</f>
        <v>-4810.96743618017</v>
      </c>
      <c r="R25" s="59" t="n">
        <f aca="false">-(R24*Inputs!$E$18+(R11+R13)/2*Inputs!$E$19*1)</f>
        <v>-5137.25845460472</v>
      </c>
      <c r="S25" s="59" t="n">
        <f aca="false">-(S24*Inputs!$E$18+(S11+S13)/2*Inputs!$E$19*1)</f>
        <v>-5455.14018410545</v>
      </c>
      <c r="T25" s="59" t="n">
        <f aca="false">-(T24*Inputs!$E$18+(T11+T13)/2*Inputs!$E$19*1)</f>
        <v>-5764.83041730935</v>
      </c>
      <c r="U25" s="59" t="n">
        <f aca="false">-(U24*Inputs!$E$18+(U11+U13)/2*Inputs!$E$19*1)</f>
        <v>-6066.54127521562</v>
      </c>
      <c r="V25" s="59" t="n">
        <f aca="false">-(V24*Inputs!$E$18+(V11+V13)/2*Inputs!$E$19*1)</f>
        <v>-6360.47935579073</v>
      </c>
      <c r="W25" s="59" t="n">
        <f aca="false">-(W24*Inputs!$E$18+(W11+W13)/2*Inputs!$E$19*1)</f>
        <v>-6646.84587864447</v>
      </c>
      <c r="X25" s="59" t="n">
        <f aca="false">-(X24*Inputs!$E$18+(X11+X13)/2*Inputs!$E$19*1)</f>
        <v>-6925.83682589107</v>
      </c>
      <c r="Y25" s="59" t="n">
        <f aca="false">-(Y24*Inputs!$E$18+(Y11+Y13)/2*Inputs!$E$19*1)</f>
        <v>-7197.6430792968</v>
      </c>
      <c r="Z25" s="59" t="n">
        <f aca="false">-(Z24*Inputs!$E$18+(Z11+Z13)/2*Inputs!$E$19*1)</f>
        <v>-7462.45055381245</v>
      </c>
      <c r="AA25" s="59" t="n">
        <f aca="false">-(AA24*Inputs!$E$18+(AA11+AA13)/2*Inputs!$E$19*1)</f>
        <v>-7782.01914965361</v>
      </c>
      <c r="AB25" s="59" t="n">
        <f aca="false">-(AB24*Inputs!$E$18+(AB11+AB13)/2*Inputs!$E$19*1)</f>
        <v>-8154.94103087014</v>
      </c>
      <c r="AC25" s="59" t="n">
        <f aca="false">-(AC24*Inputs!$E$18+(AC11+AC13)/2*Inputs!$E$19*1)</f>
        <v>-8518.26589958153</v>
      </c>
      <c r="AD25" s="59" t="n">
        <f aca="false">-(AD24*Inputs!$E$18+(AD11+AD13)/2*Inputs!$E$19*1)</f>
        <v>-8872.24190006463</v>
      </c>
      <c r="AE25" s="59" t="n">
        <f aca="false">-(AE24*Inputs!$E$18+(AE11+AE13)/2*Inputs!$E$19*1)</f>
        <v>-9217.11072642048</v>
      </c>
      <c r="AF25" s="59" t="n">
        <f aca="false">-(AF24*Inputs!$E$18+(AF11+AF13)/2*Inputs!$E$19*1)</f>
        <v>-9553.10779122571</v>
      </c>
      <c r="AG25" s="59" t="n">
        <f aca="false">-(AG24*Inputs!$E$18+(AG11+AG13)/2*Inputs!$E$19*1)</f>
        <v>-9880.46238974584</v>
      </c>
      <c r="AH25" s="59" t="n">
        <f aca="false">-(AH24*Inputs!$E$18+(AH11+AH13)/2*Inputs!$E$19*1)</f>
        <v>-10199.3978598279</v>
      </c>
      <c r="AI25" s="59" t="n">
        <f aca="false">-(AI24*Inputs!$E$18+(AI11+AI13)/2*Inputs!$E$19*1)</f>
        <v>-10510.1317375872</v>
      </c>
      <c r="AJ25" s="59" t="n">
        <f aca="false">-(AJ24*Inputs!$E$18+(AJ11+AJ13)/2*Inputs!$E$19*1)</f>
        <v>-10812.8759089989</v>
      </c>
      <c r="AK25" s="59" t="n">
        <f aca="false">-(AK24*Inputs!$E$18+(AK11+AK13)/2*Inputs!$E$19*1)</f>
        <v>-11107.8367575037</v>
      </c>
      <c r="AL25" s="59" t="n">
        <f aca="false">-(AL24*Inputs!$E$18+(AL11+AL13)/2*Inputs!$E$19*1)</f>
        <v>-11395.215307733</v>
      </c>
      <c r="AM25" s="59" t="n">
        <f aca="false">-(AM24*Inputs!$E$18+(AM11+AM13)/2*Inputs!$E$19*1)</f>
        <v>-11754.2418889921</v>
      </c>
      <c r="AN25" s="59" t="n">
        <f aca="false">-(AN24*Inputs!$E$18+(AN11+AN13)/2*Inputs!$E$19*1)</f>
        <v>-12183.0753413679</v>
      </c>
      <c r="AO25" s="59" t="n">
        <f aca="false">-(AO24*Inputs!$E$18+(AO11+AO13)/2*Inputs!$E$19*1)</f>
        <v>-12600.8875091825</v>
      </c>
      <c r="AP25" s="59" t="n">
        <f aca="false">-(AP24*Inputs!$E$18+(AP11+AP13)/2*Inputs!$E$19*1)</f>
        <v>-13007.9629379975</v>
      </c>
      <c r="AQ25" s="59" t="n">
        <f aca="false">-(AQ24*Inputs!$E$18+(AQ11+AQ13)/2*Inputs!$E$19*1)</f>
        <v>-13404.5787893319</v>
      </c>
      <c r="AR25" s="59" t="n">
        <f aca="false">-(AR24*Inputs!$E$18+(AR11+AR13)/2*Inputs!$E$19*1)</f>
        <v>-13791.0050333757</v>
      </c>
      <c r="AS25" s="59" t="n">
        <f aca="false">-(AS24*Inputs!$E$18+(AS11+AS13)/2*Inputs!$E$19*1)</f>
        <v>-14167.5046366412</v>
      </c>
      <c r="AT25" s="59" t="n">
        <f aca="false">-(AT24*Inputs!$E$18+(AT11+AT13)/2*Inputs!$E$19*1)</f>
        <v>-14534.3337446883</v>
      </c>
      <c r="AU25" s="59" t="n">
        <f aca="false">-(AU24*Inputs!$E$18+(AU11+AU13)/2*Inputs!$E$19*1)</f>
        <v>-14891.7418600515</v>
      </c>
      <c r="AV25" s="59" t="n">
        <f aca="false">-(AV24*Inputs!$E$18+(AV11+AV13)/2*Inputs!$E$19*1)</f>
        <v>-15239.9720154974</v>
      </c>
      <c r="AW25" s="59" t="n">
        <f aca="false">-(AW24*Inputs!$E$18+(AW11+AW13)/2*Inputs!$E$19*1)</f>
        <v>-15579.260942735</v>
      </c>
      <c r="AX25" s="59" t="n">
        <f aca="false">-(AX24*Inputs!$E$18+(AX11+AX13)/2*Inputs!$E$19*1)</f>
        <v>-15909.8392366991</v>
      </c>
      <c r="AY25" s="59" t="n">
        <f aca="false">-(AY24*Inputs!$E$18+(AY11+AY13)/2*Inputs!$E$19*1)</f>
        <v>-16333.5418859154</v>
      </c>
      <c r="AZ25" s="59" t="n">
        <f aca="false">-(AZ24*Inputs!$E$18+(AZ11+AZ13)/2*Inputs!$E$19*1)</f>
        <v>-16847.9771622363</v>
      </c>
      <c r="BA25" s="59" t="n">
        <f aca="false">-(BA24*Inputs!$E$18+(BA11+BA13)/2*Inputs!$E$19*1)</f>
        <v>-17349.2046689048</v>
      </c>
      <c r="BB25" s="59" t="n">
        <f aca="false">-(BB24*Inputs!$E$18+(BB11+BB13)/2*Inputs!$E$19*1)</f>
        <v>-17837.5650067945</v>
      </c>
      <c r="BC25" s="59" t="n">
        <f aca="false">-(BC24*Inputs!$E$18+(BC11+BC13)/2*Inputs!$E$19*1)</f>
        <v>-18313.3899495583</v>
      </c>
      <c r="BD25" s="59" t="n">
        <f aca="false">-(BD24*Inputs!$E$18+(BD11+BD13)/2*Inputs!$E$19*1)</f>
        <v>-18777.0026736747</v>
      </c>
      <c r="BE25" s="59" t="n">
        <f aca="false">-(BE24*Inputs!$E$18+(BE11+BE13)/2*Inputs!$E$19*1)</f>
        <v>-19228.7179824621</v>
      </c>
      <c r="BF25" s="59" t="n">
        <f aca="false">-(BF24*Inputs!$E$18+(BF11+BF13)/2*Inputs!$E$19*1)</f>
        <v>-19668.8425242206</v>
      </c>
      <c r="BG25" s="59" t="n">
        <f aca="false">-(BG24*Inputs!$E$18+(BG11+BG13)/2*Inputs!$E$19*1)</f>
        <v>-20097.6750046553</v>
      </c>
      <c r="BH25" s="59" t="n">
        <f aca="false">-(BH24*Inputs!$E$18+(BH11+BH13)/2*Inputs!$E$19*1)</f>
        <v>-20515.5063937325</v>
      </c>
      <c r="BI25" s="59" t="n">
        <f aca="false">-(BI24*Inputs!$E$18+(BI11+BI13)/2*Inputs!$E$19*1)</f>
        <v>-20922.6201271166</v>
      </c>
      <c r="BJ25" s="59" t="n">
        <f aca="false">-(BJ24*Inputs!$E$18+(BJ11+BJ13)/2*Inputs!$E$19*1)</f>
        <v>-21319.292302329</v>
      </c>
    </row>
    <row r="26" customFormat="false" ht="15" hidden="false" customHeight="false" outlineLevel="0" collapsed="false">
      <c r="A26" s="82" t="s">
        <v>41</v>
      </c>
      <c r="C26" s="60" t="n">
        <f aca="false">C24+C25</f>
        <v>3877.30972222222</v>
      </c>
      <c r="D26" s="60" t="n">
        <f aca="false">D24+D25</f>
        <v>6374.4658125</v>
      </c>
      <c r="E26" s="60" t="n">
        <f aca="false">E24+E25</f>
        <v>8809.47744663194</v>
      </c>
      <c r="F26" s="60" t="n">
        <f aca="false">F24+F25</f>
        <v>11183.8897026384</v>
      </c>
      <c r="G26" s="60" t="n">
        <f aca="false">G24+G25</f>
        <v>13499.2092875906</v>
      </c>
      <c r="H26" s="60" t="n">
        <f aca="false">H24+H25</f>
        <v>15756.9054892045</v>
      </c>
      <c r="I26" s="60" t="n">
        <f aca="false">I24+I25</f>
        <v>17958.4111038752</v>
      </c>
      <c r="J26" s="60" t="n">
        <f aca="false">J24+J25</f>
        <v>20105.1233417331</v>
      </c>
      <c r="K26" s="60" t="n">
        <f aca="false">K24+K25</f>
        <v>22198.4047092921</v>
      </c>
      <c r="L26" s="60" t="n">
        <f aca="false">L24+L25</f>
        <v>24239.5838702401</v>
      </c>
      <c r="M26" s="60" t="n">
        <f aca="false">M24+M25</f>
        <v>26229.9564849151</v>
      </c>
      <c r="N26" s="60" t="n">
        <f aca="false">N24+N25</f>
        <v>28170.7860289915</v>
      </c>
      <c r="O26" s="60" t="n">
        <f aca="false">O24+O25</f>
        <v>30424.2904363355</v>
      </c>
      <c r="P26" s="60" t="n">
        <f aca="false">P24+P25</f>
        <v>32982.6823204205</v>
      </c>
      <c r="Q26" s="60" t="n">
        <f aca="false">Q24+Q25</f>
        <v>35477.3822503869</v>
      </c>
      <c r="R26" s="60" t="n">
        <f aca="false">R24+R25</f>
        <v>37909.9744897982</v>
      </c>
      <c r="S26" s="60" t="n">
        <f aca="false">S24+S25</f>
        <v>40282.0039366874</v>
      </c>
      <c r="T26" s="60" t="n">
        <f aca="false">T24+T25</f>
        <v>42594.9771004636</v>
      </c>
      <c r="U26" s="60" t="n">
        <f aca="false">U24+U25</f>
        <v>44850.363054613</v>
      </c>
      <c r="V26" s="60" t="n">
        <f aca="false">V24+V25</f>
        <v>47049.5943657922</v>
      </c>
      <c r="W26" s="60" t="n">
        <f aca="false">W24+W25</f>
        <v>49194.0679998989</v>
      </c>
      <c r="X26" s="60" t="n">
        <f aca="false">X24+X25</f>
        <v>51285.1462056887</v>
      </c>
      <c r="Y26" s="60" t="n">
        <f aca="false">Y24+Y25</f>
        <v>53324.1573764935</v>
      </c>
      <c r="Z26" s="60" t="n">
        <f aca="false">Z24+Z25</f>
        <v>55312.3968905831</v>
      </c>
      <c r="AA26" s="60" t="n">
        <f aca="false">AA24+AA25</f>
        <v>57715.870662632</v>
      </c>
      <c r="AB26" s="60" t="n">
        <f aca="false">AB24+AB25</f>
        <v>60524.2366441083</v>
      </c>
      <c r="AC26" s="60" t="n">
        <f aca="false">AC24+AC25</f>
        <v>63262.6674415225</v>
      </c>
      <c r="AD26" s="60" t="n">
        <f aca="false">AD24+AD25</f>
        <v>65932.9032155118</v>
      </c>
      <c r="AE26" s="60" t="n">
        <f aca="false">AE24+AE25</f>
        <v>68536.6408692665</v>
      </c>
      <c r="AF26" s="60" t="n">
        <f aca="false">AF24+AF25</f>
        <v>71075.5351225691</v>
      </c>
      <c r="AG26" s="60" t="n">
        <f aca="false">AG24+AG25</f>
        <v>73551.1995592041</v>
      </c>
      <c r="AH26" s="60" t="n">
        <f aca="false">AH24+AH25</f>
        <v>75965.2076483982</v>
      </c>
      <c r="AI26" s="60" t="n">
        <f aca="false">AI24+AI25</f>
        <v>78319.0937409333</v>
      </c>
      <c r="AJ26" s="60" t="n">
        <f aca="false">AJ24+AJ25</f>
        <v>80614.3540405587</v>
      </c>
      <c r="AK26" s="60" t="n">
        <f aca="false">AK24+AK25</f>
        <v>82852.4475513149</v>
      </c>
      <c r="AL26" s="60" t="n">
        <f aca="false">AL24+AL25</f>
        <v>85034.7970013651</v>
      </c>
      <c r="AM26" s="60" t="n">
        <f aca="false">AM24+AM25</f>
        <v>87762.0604557445</v>
      </c>
      <c r="AN26" s="60" t="n">
        <f aca="false">AN24+AN25</f>
        <v>91020.6650234823</v>
      </c>
      <c r="AO26" s="60" t="n">
        <f aca="false">AO24+AO25</f>
        <v>94198.1049252784</v>
      </c>
      <c r="AP26" s="60" t="n">
        <f aca="false">AP24+AP25</f>
        <v>97296.400264334</v>
      </c>
      <c r="AQ26" s="60" t="n">
        <f aca="false">AQ24+AQ25</f>
        <v>100317.520911673</v>
      </c>
      <c r="AR26" s="60" t="n">
        <f aca="false">AR24+AR25</f>
        <v>103263.387753836</v>
      </c>
      <c r="AS26" s="60" t="n">
        <f aca="false">AS24+AS25</f>
        <v>106135.873909623</v>
      </c>
      <c r="AT26" s="60" t="n">
        <f aca="false">AT24+AT25</f>
        <v>108936.805916651</v>
      </c>
      <c r="AU26" s="60" t="n">
        <f aca="false">AU24+AU25</f>
        <v>111667.964888486</v>
      </c>
      <c r="AV26" s="60" t="n">
        <f aca="false">AV24+AV25</f>
        <v>114331.087643059</v>
      </c>
      <c r="AW26" s="60" t="n">
        <f aca="false">AW24+AW25</f>
        <v>116927.867803089</v>
      </c>
      <c r="AX26" s="60" t="n">
        <f aca="false">AX24+AX25</f>
        <v>119459.956869212</v>
      </c>
      <c r="AY26" s="60" t="n">
        <f aca="false">AY24+AY25</f>
        <v>122702.926599991</v>
      </c>
      <c r="AZ26" s="60" t="n">
        <f aca="false">AZ24+AZ25</f>
        <v>126639.068598077</v>
      </c>
      <c r="BA26" s="60" t="n">
        <f aca="false">BA24+BA25</f>
        <v>130477.153933955</v>
      </c>
      <c r="BB26" s="60" t="n">
        <f aca="false">BB24+BB25</f>
        <v>134219.623617548</v>
      </c>
      <c r="BC26" s="60" t="n">
        <f aca="false">BC24+BC25</f>
        <v>137868.85794573</v>
      </c>
      <c r="BD26" s="60" t="n">
        <f aca="false">BD24+BD25</f>
        <v>141427.178010786</v>
      </c>
      <c r="BE26" s="60" t="n">
        <f aca="false">BE24+BE25</f>
        <v>144896.847171442</v>
      </c>
      <c r="BF26" s="60" t="n">
        <f aca="false">BF24+BF25</f>
        <v>148280.07248739</v>
      </c>
      <c r="BG26" s="60" t="n">
        <f aca="false">BG24+BG25</f>
        <v>151579.00611822</v>
      </c>
      <c r="BH26" s="60" t="n">
        <f aca="false">BH24+BH25</f>
        <v>154795.746687625</v>
      </c>
      <c r="BI26" s="60" t="n">
        <f aca="false">BI24+BI25</f>
        <v>157932.340613761</v>
      </c>
      <c r="BJ26" s="60" t="n">
        <f aca="false">BJ24+BJ25</f>
        <v>160990.783406581</v>
      </c>
    </row>
    <row r="28" customFormat="false" ht="15.75" hidden="false" customHeight="true" outlineLevel="0" collapsed="false">
      <c r="A28" s="7" t="s">
        <v>43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6" t="s">
        <v>248</v>
      </c>
      <c r="C29" s="61" t="n">
        <f aca="false">Headcount!C19</f>
        <v>-61750</v>
      </c>
      <c r="D29" s="61" t="n">
        <f aca="false">Headcount!D19</f>
        <v>-61750</v>
      </c>
      <c r="E29" s="61" t="n">
        <f aca="false">Headcount!E19</f>
        <v>-61750</v>
      </c>
      <c r="F29" s="61" t="n">
        <f aca="false">Headcount!F19</f>
        <v>-61750</v>
      </c>
      <c r="G29" s="61" t="n">
        <f aca="false">Headcount!G19</f>
        <v>-61750</v>
      </c>
      <c r="H29" s="61" t="n">
        <f aca="false">Headcount!H19</f>
        <v>-61750</v>
      </c>
      <c r="I29" s="61" t="n">
        <f aca="false">Headcount!I19</f>
        <v>-61750</v>
      </c>
      <c r="J29" s="61" t="n">
        <f aca="false">Headcount!J19</f>
        <v>-61750</v>
      </c>
      <c r="K29" s="61" t="n">
        <f aca="false">Headcount!K19</f>
        <v>-61750</v>
      </c>
      <c r="L29" s="61" t="n">
        <f aca="false">Headcount!L19</f>
        <v>-61750</v>
      </c>
      <c r="M29" s="61" t="n">
        <f aca="false">Headcount!M19</f>
        <v>-61750</v>
      </c>
      <c r="N29" s="61" t="n">
        <f aca="false">Headcount!N19</f>
        <v>-61750</v>
      </c>
      <c r="O29" s="61" t="n">
        <f aca="false">Headcount!O19</f>
        <v>-96330</v>
      </c>
      <c r="P29" s="61" t="n">
        <f aca="false">Headcount!P19</f>
        <v>-96330</v>
      </c>
      <c r="Q29" s="61" t="n">
        <f aca="false">Headcount!Q19</f>
        <v>-96330</v>
      </c>
      <c r="R29" s="61" t="n">
        <f aca="false">Headcount!R19</f>
        <v>-96330</v>
      </c>
      <c r="S29" s="61" t="n">
        <f aca="false">Headcount!S19</f>
        <v>-96330</v>
      </c>
      <c r="T29" s="61" t="n">
        <f aca="false">Headcount!T19</f>
        <v>-96330</v>
      </c>
      <c r="U29" s="61" t="n">
        <f aca="false">Headcount!U19</f>
        <v>-96330</v>
      </c>
      <c r="V29" s="61" t="n">
        <f aca="false">Headcount!V19</f>
        <v>-96330</v>
      </c>
      <c r="W29" s="61" t="n">
        <f aca="false">Headcount!W19</f>
        <v>-96330</v>
      </c>
      <c r="X29" s="61" t="n">
        <f aca="false">Headcount!X19</f>
        <v>-96330</v>
      </c>
      <c r="Y29" s="61" t="n">
        <f aca="false">Headcount!Y19</f>
        <v>-96330</v>
      </c>
      <c r="Z29" s="61" t="n">
        <f aca="false">Headcount!Z19</f>
        <v>-96330</v>
      </c>
      <c r="AA29" s="61" t="n">
        <f aca="false">Headcount!AA19</f>
        <v>-150274.8</v>
      </c>
      <c r="AB29" s="61" t="n">
        <f aca="false">Headcount!AB19</f>
        <v>-150274.8</v>
      </c>
      <c r="AC29" s="61" t="n">
        <f aca="false">Headcount!AC19</f>
        <v>-150274.8</v>
      </c>
      <c r="AD29" s="61" t="n">
        <f aca="false">Headcount!AD19</f>
        <v>-150274.8</v>
      </c>
      <c r="AE29" s="61" t="n">
        <f aca="false">Headcount!AE19</f>
        <v>-150274.8</v>
      </c>
      <c r="AF29" s="61" t="n">
        <f aca="false">Headcount!AF19</f>
        <v>-150274.8</v>
      </c>
      <c r="AG29" s="61" t="n">
        <f aca="false">Headcount!AG19</f>
        <v>-150274.8</v>
      </c>
      <c r="AH29" s="61" t="n">
        <f aca="false">Headcount!AH19</f>
        <v>-150274.8</v>
      </c>
      <c r="AI29" s="61" t="n">
        <f aca="false">Headcount!AI19</f>
        <v>-150274.8</v>
      </c>
      <c r="AJ29" s="61" t="n">
        <f aca="false">Headcount!AJ19</f>
        <v>-150274.8</v>
      </c>
      <c r="AK29" s="61" t="n">
        <f aca="false">Headcount!AK19</f>
        <v>-150274.8</v>
      </c>
      <c r="AL29" s="61" t="n">
        <f aca="false">Headcount!AL19</f>
        <v>-150274.8</v>
      </c>
      <c r="AM29" s="61" t="n">
        <f aca="false">Headcount!AM19</f>
        <v>-234428.688</v>
      </c>
      <c r="AN29" s="61" t="n">
        <f aca="false">Headcount!AN19</f>
        <v>-234428.688</v>
      </c>
      <c r="AO29" s="61" t="n">
        <f aca="false">Headcount!AO19</f>
        <v>-234428.688</v>
      </c>
      <c r="AP29" s="61" t="n">
        <f aca="false">Headcount!AP19</f>
        <v>-234428.688</v>
      </c>
      <c r="AQ29" s="61" t="n">
        <f aca="false">Headcount!AQ19</f>
        <v>-234428.688</v>
      </c>
      <c r="AR29" s="61" t="n">
        <f aca="false">Headcount!AR19</f>
        <v>-234428.688</v>
      </c>
      <c r="AS29" s="61" t="n">
        <f aca="false">Headcount!AS19</f>
        <v>-234428.688</v>
      </c>
      <c r="AT29" s="61" t="n">
        <f aca="false">Headcount!AT19</f>
        <v>-234428.688</v>
      </c>
      <c r="AU29" s="61" t="n">
        <f aca="false">Headcount!AU19</f>
        <v>-234428.688</v>
      </c>
      <c r="AV29" s="61" t="n">
        <f aca="false">Headcount!AV19</f>
        <v>-234428.688</v>
      </c>
      <c r="AW29" s="61" t="n">
        <f aca="false">Headcount!AW19</f>
        <v>-234428.688</v>
      </c>
      <c r="AX29" s="61" t="n">
        <f aca="false">Headcount!AX19</f>
        <v>-234428.688</v>
      </c>
      <c r="AY29" s="61" t="n">
        <f aca="false">Headcount!AY19</f>
        <v>-365708.75328</v>
      </c>
      <c r="AZ29" s="61" t="n">
        <f aca="false">Headcount!AZ19</f>
        <v>-365708.75328</v>
      </c>
      <c r="BA29" s="61" t="n">
        <f aca="false">Headcount!BA19</f>
        <v>-365708.75328</v>
      </c>
      <c r="BB29" s="61" t="n">
        <f aca="false">Headcount!BB19</f>
        <v>-365708.75328</v>
      </c>
      <c r="BC29" s="61" t="n">
        <f aca="false">Headcount!BC19</f>
        <v>-365708.75328</v>
      </c>
      <c r="BD29" s="61" t="n">
        <f aca="false">Headcount!BD19</f>
        <v>-365708.75328</v>
      </c>
      <c r="BE29" s="61" t="n">
        <f aca="false">Headcount!BE19</f>
        <v>-365708.75328</v>
      </c>
      <c r="BF29" s="61" t="n">
        <f aca="false">Headcount!BF19</f>
        <v>-365708.75328</v>
      </c>
      <c r="BG29" s="61" t="n">
        <f aca="false">Headcount!BG19</f>
        <v>-365708.75328</v>
      </c>
      <c r="BH29" s="61" t="n">
        <f aca="false">Headcount!BH19</f>
        <v>-365708.75328</v>
      </c>
      <c r="BI29" s="61" t="n">
        <f aca="false">Headcount!BI19</f>
        <v>-365708.75328</v>
      </c>
      <c r="BJ29" s="61" t="n">
        <f aca="false">Headcount!BJ19</f>
        <v>-365708.75328</v>
      </c>
    </row>
    <row r="30" customFormat="false" ht="15" hidden="false" customHeight="false" outlineLevel="0" collapsed="false">
      <c r="A30" s="6" t="s">
        <v>249</v>
      </c>
      <c r="C30" s="59" t="n">
        <f aca="false">-Inputs!$E$14*(1+Inputs!$E$15)^(C$5-1)*1</f>
        <v>-8000</v>
      </c>
      <c r="D30" s="59" t="n">
        <f aca="false">-Inputs!$E$14*(1+Inputs!$E$15)^(D$5-1)*1</f>
        <v>-8000</v>
      </c>
      <c r="E30" s="59" t="n">
        <f aca="false">-Inputs!$E$14*(1+Inputs!$E$15)^(E$5-1)*1</f>
        <v>-8000</v>
      </c>
      <c r="F30" s="59" t="n">
        <f aca="false">-Inputs!$E$14*(1+Inputs!$E$15)^(F$5-1)*1</f>
        <v>-8000</v>
      </c>
      <c r="G30" s="59" t="n">
        <f aca="false">-Inputs!$E$14*(1+Inputs!$E$15)^(G$5-1)*1</f>
        <v>-8000</v>
      </c>
      <c r="H30" s="59" t="n">
        <f aca="false">-Inputs!$E$14*(1+Inputs!$E$15)^(H$5-1)*1</f>
        <v>-8000</v>
      </c>
      <c r="I30" s="59" t="n">
        <f aca="false">-Inputs!$E$14*(1+Inputs!$E$15)^(I$5-1)*1</f>
        <v>-8000</v>
      </c>
      <c r="J30" s="59" t="n">
        <f aca="false">-Inputs!$E$14*(1+Inputs!$E$15)^(J$5-1)*1</f>
        <v>-8000</v>
      </c>
      <c r="K30" s="59" t="n">
        <f aca="false">-Inputs!$E$14*(1+Inputs!$E$15)^(K$5-1)*1</f>
        <v>-8000</v>
      </c>
      <c r="L30" s="59" t="n">
        <f aca="false">-Inputs!$E$14*(1+Inputs!$E$15)^(L$5-1)*1</f>
        <v>-8000</v>
      </c>
      <c r="M30" s="59" t="n">
        <f aca="false">-Inputs!$E$14*(1+Inputs!$E$15)^(M$5-1)*1</f>
        <v>-8000</v>
      </c>
      <c r="N30" s="59" t="n">
        <f aca="false">-Inputs!$E$14*(1+Inputs!$E$15)^(N$5-1)*1</f>
        <v>-8000</v>
      </c>
      <c r="O30" s="59" t="n">
        <f aca="false">-Inputs!$E$14*(1+Inputs!$E$15)^(O$5-1)*1</f>
        <v>-9600</v>
      </c>
      <c r="P30" s="59" t="n">
        <f aca="false">-Inputs!$E$14*(1+Inputs!$E$15)^(P$5-1)*1</f>
        <v>-9600</v>
      </c>
      <c r="Q30" s="59" t="n">
        <f aca="false">-Inputs!$E$14*(1+Inputs!$E$15)^(Q$5-1)*1</f>
        <v>-9600</v>
      </c>
      <c r="R30" s="59" t="n">
        <f aca="false">-Inputs!$E$14*(1+Inputs!$E$15)^(R$5-1)*1</f>
        <v>-9600</v>
      </c>
      <c r="S30" s="59" t="n">
        <f aca="false">-Inputs!$E$14*(1+Inputs!$E$15)^(S$5-1)*1</f>
        <v>-9600</v>
      </c>
      <c r="T30" s="59" t="n">
        <f aca="false">-Inputs!$E$14*(1+Inputs!$E$15)^(T$5-1)*1</f>
        <v>-9600</v>
      </c>
      <c r="U30" s="59" t="n">
        <f aca="false">-Inputs!$E$14*(1+Inputs!$E$15)^(U$5-1)*1</f>
        <v>-9600</v>
      </c>
      <c r="V30" s="59" t="n">
        <f aca="false">-Inputs!$E$14*(1+Inputs!$E$15)^(V$5-1)*1</f>
        <v>-9600</v>
      </c>
      <c r="W30" s="59" t="n">
        <f aca="false">-Inputs!$E$14*(1+Inputs!$E$15)^(W$5-1)*1</f>
        <v>-9600</v>
      </c>
      <c r="X30" s="59" t="n">
        <f aca="false">-Inputs!$E$14*(1+Inputs!$E$15)^(X$5-1)*1</f>
        <v>-9600</v>
      </c>
      <c r="Y30" s="59" t="n">
        <f aca="false">-Inputs!$E$14*(1+Inputs!$E$15)^(Y$5-1)*1</f>
        <v>-9600</v>
      </c>
      <c r="Z30" s="59" t="n">
        <f aca="false">-Inputs!$E$14*(1+Inputs!$E$15)^(Z$5-1)*1</f>
        <v>-9600</v>
      </c>
      <c r="AA30" s="59" t="n">
        <f aca="false">-Inputs!$E$14*(1+Inputs!$E$15)^(AA$5-1)*1</f>
        <v>-11520</v>
      </c>
      <c r="AB30" s="59" t="n">
        <f aca="false">-Inputs!$E$14*(1+Inputs!$E$15)^(AB$5-1)*1</f>
        <v>-11520</v>
      </c>
      <c r="AC30" s="59" t="n">
        <f aca="false">-Inputs!$E$14*(1+Inputs!$E$15)^(AC$5-1)*1</f>
        <v>-11520</v>
      </c>
      <c r="AD30" s="59" t="n">
        <f aca="false">-Inputs!$E$14*(1+Inputs!$E$15)^(AD$5-1)*1</f>
        <v>-11520</v>
      </c>
      <c r="AE30" s="59" t="n">
        <f aca="false">-Inputs!$E$14*(1+Inputs!$E$15)^(AE$5-1)*1</f>
        <v>-11520</v>
      </c>
      <c r="AF30" s="59" t="n">
        <f aca="false">-Inputs!$E$14*(1+Inputs!$E$15)^(AF$5-1)*1</f>
        <v>-11520</v>
      </c>
      <c r="AG30" s="59" t="n">
        <f aca="false">-Inputs!$E$14*(1+Inputs!$E$15)^(AG$5-1)*1</f>
        <v>-11520</v>
      </c>
      <c r="AH30" s="59" t="n">
        <f aca="false">-Inputs!$E$14*(1+Inputs!$E$15)^(AH$5-1)*1</f>
        <v>-11520</v>
      </c>
      <c r="AI30" s="59" t="n">
        <f aca="false">-Inputs!$E$14*(1+Inputs!$E$15)^(AI$5-1)*1</f>
        <v>-11520</v>
      </c>
      <c r="AJ30" s="59" t="n">
        <f aca="false">-Inputs!$E$14*(1+Inputs!$E$15)^(AJ$5-1)*1</f>
        <v>-11520</v>
      </c>
      <c r="AK30" s="59" t="n">
        <f aca="false">-Inputs!$E$14*(1+Inputs!$E$15)^(AK$5-1)*1</f>
        <v>-11520</v>
      </c>
      <c r="AL30" s="59" t="n">
        <f aca="false">-Inputs!$E$14*(1+Inputs!$E$15)^(AL$5-1)*1</f>
        <v>-11520</v>
      </c>
      <c r="AM30" s="59" t="n">
        <f aca="false">-Inputs!$E$14*(1+Inputs!$E$15)^(AM$5-1)*1</f>
        <v>-13824</v>
      </c>
      <c r="AN30" s="59" t="n">
        <f aca="false">-Inputs!$E$14*(1+Inputs!$E$15)^(AN$5-1)*1</f>
        <v>-13824</v>
      </c>
      <c r="AO30" s="59" t="n">
        <f aca="false">-Inputs!$E$14*(1+Inputs!$E$15)^(AO$5-1)*1</f>
        <v>-13824</v>
      </c>
      <c r="AP30" s="59" t="n">
        <f aca="false">-Inputs!$E$14*(1+Inputs!$E$15)^(AP$5-1)*1</f>
        <v>-13824</v>
      </c>
      <c r="AQ30" s="59" t="n">
        <f aca="false">-Inputs!$E$14*(1+Inputs!$E$15)^(AQ$5-1)*1</f>
        <v>-13824</v>
      </c>
      <c r="AR30" s="59" t="n">
        <f aca="false">-Inputs!$E$14*(1+Inputs!$E$15)^(AR$5-1)*1</f>
        <v>-13824</v>
      </c>
      <c r="AS30" s="59" t="n">
        <f aca="false">-Inputs!$E$14*(1+Inputs!$E$15)^(AS$5-1)*1</f>
        <v>-13824</v>
      </c>
      <c r="AT30" s="59" t="n">
        <f aca="false">-Inputs!$E$14*(1+Inputs!$E$15)^(AT$5-1)*1</f>
        <v>-13824</v>
      </c>
      <c r="AU30" s="59" t="n">
        <f aca="false">-Inputs!$E$14*(1+Inputs!$E$15)^(AU$5-1)*1</f>
        <v>-13824</v>
      </c>
      <c r="AV30" s="59" t="n">
        <f aca="false">-Inputs!$E$14*(1+Inputs!$E$15)^(AV$5-1)*1</f>
        <v>-13824</v>
      </c>
      <c r="AW30" s="59" t="n">
        <f aca="false">-Inputs!$E$14*(1+Inputs!$E$15)^(AW$5-1)*1</f>
        <v>-13824</v>
      </c>
      <c r="AX30" s="59" t="n">
        <f aca="false">-Inputs!$E$14*(1+Inputs!$E$15)^(AX$5-1)*1</f>
        <v>-13824</v>
      </c>
      <c r="AY30" s="59" t="n">
        <f aca="false">-Inputs!$E$14*(1+Inputs!$E$15)^(AY$5-1)*1</f>
        <v>-16588.8</v>
      </c>
      <c r="AZ30" s="59" t="n">
        <f aca="false">-Inputs!$E$14*(1+Inputs!$E$15)^(AZ$5-1)*1</f>
        <v>-16588.8</v>
      </c>
      <c r="BA30" s="59" t="n">
        <f aca="false">-Inputs!$E$14*(1+Inputs!$E$15)^(BA$5-1)*1</f>
        <v>-16588.8</v>
      </c>
      <c r="BB30" s="59" t="n">
        <f aca="false">-Inputs!$E$14*(1+Inputs!$E$15)^(BB$5-1)*1</f>
        <v>-16588.8</v>
      </c>
      <c r="BC30" s="59" t="n">
        <f aca="false">-Inputs!$E$14*(1+Inputs!$E$15)^(BC$5-1)*1</f>
        <v>-16588.8</v>
      </c>
      <c r="BD30" s="59" t="n">
        <f aca="false">-Inputs!$E$14*(1+Inputs!$E$15)^(BD$5-1)*1</f>
        <v>-16588.8</v>
      </c>
      <c r="BE30" s="59" t="n">
        <f aca="false">-Inputs!$E$14*(1+Inputs!$E$15)^(BE$5-1)*1</f>
        <v>-16588.8</v>
      </c>
      <c r="BF30" s="59" t="n">
        <f aca="false">-Inputs!$E$14*(1+Inputs!$E$15)^(BF$5-1)*1</f>
        <v>-16588.8</v>
      </c>
      <c r="BG30" s="59" t="n">
        <f aca="false">-Inputs!$E$14*(1+Inputs!$E$15)^(BG$5-1)*1</f>
        <v>-16588.8</v>
      </c>
      <c r="BH30" s="59" t="n">
        <f aca="false">-Inputs!$E$14*(1+Inputs!$E$15)^(BH$5-1)*1</f>
        <v>-16588.8</v>
      </c>
      <c r="BI30" s="59" t="n">
        <f aca="false">-Inputs!$E$14*(1+Inputs!$E$15)^(BI$5-1)*1</f>
        <v>-16588.8</v>
      </c>
      <c r="BJ30" s="59" t="n">
        <f aca="false">-Inputs!$E$14*(1+Inputs!$E$15)^(BJ$5-1)*1</f>
        <v>-16588.8</v>
      </c>
    </row>
    <row r="31" customFormat="false" ht="15" hidden="false" customHeight="false" outlineLevel="0" collapsed="false">
      <c r="A31" s="6" t="s">
        <v>250</v>
      </c>
      <c r="C31" s="59" t="n">
        <f aca="false">-Headcount!C12*Inputs!$E$20*1</f>
        <v>-900</v>
      </c>
      <c r="D31" s="59" t="n">
        <f aca="false">-Headcount!D12*Inputs!$E$20*1</f>
        <v>-900</v>
      </c>
      <c r="E31" s="59" t="n">
        <f aca="false">-Headcount!E12*Inputs!$E$20*1</f>
        <v>-900</v>
      </c>
      <c r="F31" s="59" t="n">
        <f aca="false">-Headcount!F12*Inputs!$E$20*1</f>
        <v>-900</v>
      </c>
      <c r="G31" s="59" t="n">
        <f aca="false">-Headcount!G12*Inputs!$E$20*1</f>
        <v>-900</v>
      </c>
      <c r="H31" s="59" t="n">
        <f aca="false">-Headcount!H12*Inputs!$E$20*1</f>
        <v>-900</v>
      </c>
      <c r="I31" s="59" t="n">
        <f aca="false">-Headcount!I12*Inputs!$E$20*1</f>
        <v>-900</v>
      </c>
      <c r="J31" s="59" t="n">
        <f aca="false">-Headcount!J12*Inputs!$E$20*1</f>
        <v>-900</v>
      </c>
      <c r="K31" s="59" t="n">
        <f aca="false">-Headcount!K12*Inputs!$E$20*1</f>
        <v>-900</v>
      </c>
      <c r="L31" s="59" t="n">
        <f aca="false">-Headcount!L12*Inputs!$E$20*1</f>
        <v>-900</v>
      </c>
      <c r="M31" s="59" t="n">
        <f aca="false">-Headcount!M12*Inputs!$E$20*1</f>
        <v>-900</v>
      </c>
      <c r="N31" s="59" t="n">
        <f aca="false">-Headcount!N12*Inputs!$E$20*1</f>
        <v>-900</v>
      </c>
      <c r="O31" s="59" t="n">
        <f aca="false">-Headcount!O12*Inputs!$E$20*1</f>
        <v>-1350</v>
      </c>
      <c r="P31" s="59" t="n">
        <f aca="false">-Headcount!P12*Inputs!$E$20*1</f>
        <v>-1350</v>
      </c>
      <c r="Q31" s="59" t="n">
        <f aca="false">-Headcount!Q12*Inputs!$E$20*1</f>
        <v>-1350</v>
      </c>
      <c r="R31" s="59" t="n">
        <f aca="false">-Headcount!R12*Inputs!$E$20*1</f>
        <v>-1350</v>
      </c>
      <c r="S31" s="59" t="n">
        <f aca="false">-Headcount!S12*Inputs!$E$20*1</f>
        <v>-1350</v>
      </c>
      <c r="T31" s="59" t="n">
        <f aca="false">-Headcount!T12*Inputs!$E$20*1</f>
        <v>-1350</v>
      </c>
      <c r="U31" s="59" t="n">
        <f aca="false">-Headcount!U12*Inputs!$E$20*1</f>
        <v>-1350</v>
      </c>
      <c r="V31" s="59" t="n">
        <f aca="false">-Headcount!V12*Inputs!$E$20*1</f>
        <v>-1350</v>
      </c>
      <c r="W31" s="59" t="n">
        <f aca="false">-Headcount!W12*Inputs!$E$20*1</f>
        <v>-1350</v>
      </c>
      <c r="X31" s="59" t="n">
        <f aca="false">-Headcount!X12*Inputs!$E$20*1</f>
        <v>-1350</v>
      </c>
      <c r="Y31" s="59" t="n">
        <f aca="false">-Headcount!Y12*Inputs!$E$20*1</f>
        <v>-1350</v>
      </c>
      <c r="Z31" s="59" t="n">
        <f aca="false">-Headcount!Z12*Inputs!$E$20*1</f>
        <v>-1350</v>
      </c>
      <c r="AA31" s="59" t="n">
        <f aca="false">-Headcount!AA12*Inputs!$E$20*1</f>
        <v>-2025</v>
      </c>
      <c r="AB31" s="59" t="n">
        <f aca="false">-Headcount!AB12*Inputs!$E$20*1</f>
        <v>-2025</v>
      </c>
      <c r="AC31" s="59" t="n">
        <f aca="false">-Headcount!AC12*Inputs!$E$20*1</f>
        <v>-2025</v>
      </c>
      <c r="AD31" s="59" t="n">
        <f aca="false">-Headcount!AD12*Inputs!$E$20*1</f>
        <v>-2025</v>
      </c>
      <c r="AE31" s="59" t="n">
        <f aca="false">-Headcount!AE12*Inputs!$E$20*1</f>
        <v>-2025</v>
      </c>
      <c r="AF31" s="59" t="n">
        <f aca="false">-Headcount!AF12*Inputs!$E$20*1</f>
        <v>-2025</v>
      </c>
      <c r="AG31" s="59" t="n">
        <f aca="false">-Headcount!AG12*Inputs!$E$20*1</f>
        <v>-2025</v>
      </c>
      <c r="AH31" s="59" t="n">
        <f aca="false">-Headcount!AH12*Inputs!$E$20*1</f>
        <v>-2025</v>
      </c>
      <c r="AI31" s="59" t="n">
        <f aca="false">-Headcount!AI12*Inputs!$E$20*1</f>
        <v>-2025</v>
      </c>
      <c r="AJ31" s="59" t="n">
        <f aca="false">-Headcount!AJ12*Inputs!$E$20*1</f>
        <v>-2025</v>
      </c>
      <c r="AK31" s="59" t="n">
        <f aca="false">-Headcount!AK12*Inputs!$E$20*1</f>
        <v>-2025</v>
      </c>
      <c r="AL31" s="59" t="n">
        <f aca="false">-Headcount!AL12*Inputs!$E$20*1</f>
        <v>-2025</v>
      </c>
      <c r="AM31" s="59" t="n">
        <f aca="false">-Headcount!AM12*Inputs!$E$20*1</f>
        <v>-3037.5</v>
      </c>
      <c r="AN31" s="59" t="n">
        <f aca="false">-Headcount!AN12*Inputs!$E$20*1</f>
        <v>-3037.5</v>
      </c>
      <c r="AO31" s="59" t="n">
        <f aca="false">-Headcount!AO12*Inputs!$E$20*1</f>
        <v>-3037.5</v>
      </c>
      <c r="AP31" s="59" t="n">
        <f aca="false">-Headcount!AP12*Inputs!$E$20*1</f>
        <v>-3037.5</v>
      </c>
      <c r="AQ31" s="59" t="n">
        <f aca="false">-Headcount!AQ12*Inputs!$E$20*1</f>
        <v>-3037.5</v>
      </c>
      <c r="AR31" s="59" t="n">
        <f aca="false">-Headcount!AR12*Inputs!$E$20*1</f>
        <v>-3037.5</v>
      </c>
      <c r="AS31" s="59" t="n">
        <f aca="false">-Headcount!AS12*Inputs!$E$20*1</f>
        <v>-3037.5</v>
      </c>
      <c r="AT31" s="59" t="n">
        <f aca="false">-Headcount!AT12*Inputs!$E$20*1</f>
        <v>-3037.5</v>
      </c>
      <c r="AU31" s="59" t="n">
        <f aca="false">-Headcount!AU12*Inputs!$E$20*1</f>
        <v>-3037.5</v>
      </c>
      <c r="AV31" s="59" t="n">
        <f aca="false">-Headcount!AV12*Inputs!$E$20*1</f>
        <v>-3037.5</v>
      </c>
      <c r="AW31" s="59" t="n">
        <f aca="false">-Headcount!AW12*Inputs!$E$20*1</f>
        <v>-3037.5</v>
      </c>
      <c r="AX31" s="59" t="n">
        <f aca="false">-Headcount!AX12*Inputs!$E$20*1</f>
        <v>-3037.5</v>
      </c>
      <c r="AY31" s="59" t="n">
        <f aca="false">-Headcount!AY12*Inputs!$E$20*1</f>
        <v>-4556.25</v>
      </c>
      <c r="AZ31" s="59" t="n">
        <f aca="false">-Headcount!AZ12*Inputs!$E$20*1</f>
        <v>-4556.25</v>
      </c>
      <c r="BA31" s="59" t="n">
        <f aca="false">-Headcount!BA12*Inputs!$E$20*1</f>
        <v>-4556.25</v>
      </c>
      <c r="BB31" s="59" t="n">
        <f aca="false">-Headcount!BB12*Inputs!$E$20*1</f>
        <v>-4556.25</v>
      </c>
      <c r="BC31" s="59" t="n">
        <f aca="false">-Headcount!BC12*Inputs!$E$20*1</f>
        <v>-4556.25</v>
      </c>
      <c r="BD31" s="59" t="n">
        <f aca="false">-Headcount!BD12*Inputs!$E$20*1</f>
        <v>-4556.25</v>
      </c>
      <c r="BE31" s="59" t="n">
        <f aca="false">-Headcount!BE12*Inputs!$E$20*1</f>
        <v>-4556.25</v>
      </c>
      <c r="BF31" s="59" t="n">
        <f aca="false">-Headcount!BF12*Inputs!$E$20*1</f>
        <v>-4556.25</v>
      </c>
      <c r="BG31" s="59" t="n">
        <f aca="false">-Headcount!BG12*Inputs!$E$20*1</f>
        <v>-4556.25</v>
      </c>
      <c r="BH31" s="59" t="n">
        <f aca="false">-Headcount!BH12*Inputs!$E$20*1</f>
        <v>-4556.25</v>
      </c>
      <c r="BI31" s="59" t="n">
        <f aca="false">-Headcount!BI12*Inputs!$E$20*1</f>
        <v>-4556.25</v>
      </c>
      <c r="BJ31" s="59" t="n">
        <f aca="false">-Headcount!BJ12*Inputs!$E$20*1</f>
        <v>-4556.25</v>
      </c>
    </row>
    <row r="32" customFormat="false" ht="15" hidden="false" customHeight="false" outlineLevel="0" collapsed="false">
      <c r="A32" s="6" t="s">
        <v>251</v>
      </c>
      <c r="C32" s="59" t="n">
        <f aca="false">-Inputs!$E$21*1</f>
        <v>-1500</v>
      </c>
      <c r="D32" s="59" t="n">
        <f aca="false">-Inputs!$E$21*1</f>
        <v>-1500</v>
      </c>
      <c r="E32" s="59" t="n">
        <f aca="false">-Inputs!$E$21*1</f>
        <v>-1500</v>
      </c>
      <c r="F32" s="59" t="n">
        <f aca="false">-Inputs!$E$21*1</f>
        <v>-1500</v>
      </c>
      <c r="G32" s="59" t="n">
        <f aca="false">-Inputs!$E$21*1</f>
        <v>-1500</v>
      </c>
      <c r="H32" s="59" t="n">
        <f aca="false">-Inputs!$E$21*1</f>
        <v>-1500</v>
      </c>
      <c r="I32" s="59" t="n">
        <f aca="false">-Inputs!$E$21*1</f>
        <v>-1500</v>
      </c>
      <c r="J32" s="59" t="n">
        <f aca="false">-Inputs!$E$21*1</f>
        <v>-1500</v>
      </c>
      <c r="K32" s="59" t="n">
        <f aca="false">-Inputs!$E$21*1</f>
        <v>-1500</v>
      </c>
      <c r="L32" s="59" t="n">
        <f aca="false">-Inputs!$E$21*1</f>
        <v>-1500</v>
      </c>
      <c r="M32" s="59" t="n">
        <f aca="false">-Inputs!$E$21*1</f>
        <v>-1500</v>
      </c>
      <c r="N32" s="59" t="n">
        <f aca="false">-Inputs!$E$21*1</f>
        <v>-1500</v>
      </c>
      <c r="O32" s="59" t="n">
        <f aca="false">-Inputs!$E$21*1</f>
        <v>-1500</v>
      </c>
      <c r="P32" s="59" t="n">
        <f aca="false">-Inputs!$E$21*1</f>
        <v>-1500</v>
      </c>
      <c r="Q32" s="59" t="n">
        <f aca="false">-Inputs!$E$21*1</f>
        <v>-1500</v>
      </c>
      <c r="R32" s="59" t="n">
        <f aca="false">-Inputs!$E$21*1</f>
        <v>-1500</v>
      </c>
      <c r="S32" s="59" t="n">
        <f aca="false">-Inputs!$E$21*1</f>
        <v>-1500</v>
      </c>
      <c r="T32" s="59" t="n">
        <f aca="false">-Inputs!$E$21*1</f>
        <v>-1500</v>
      </c>
      <c r="U32" s="59" t="n">
        <f aca="false">-Inputs!$E$21*1</f>
        <v>-1500</v>
      </c>
      <c r="V32" s="59" t="n">
        <f aca="false">-Inputs!$E$21*1</f>
        <v>-1500</v>
      </c>
      <c r="W32" s="59" t="n">
        <f aca="false">-Inputs!$E$21*1</f>
        <v>-1500</v>
      </c>
      <c r="X32" s="59" t="n">
        <f aca="false">-Inputs!$E$21*1</f>
        <v>-1500</v>
      </c>
      <c r="Y32" s="59" t="n">
        <f aca="false">-Inputs!$E$21*1</f>
        <v>-1500</v>
      </c>
      <c r="Z32" s="59" t="n">
        <f aca="false">-Inputs!$E$21*1</f>
        <v>-1500</v>
      </c>
      <c r="AA32" s="59" t="n">
        <f aca="false">-Inputs!$E$21*1</f>
        <v>-1500</v>
      </c>
      <c r="AB32" s="59" t="n">
        <f aca="false">-Inputs!$E$21*1</f>
        <v>-1500</v>
      </c>
      <c r="AC32" s="59" t="n">
        <f aca="false">-Inputs!$E$21*1</f>
        <v>-1500</v>
      </c>
      <c r="AD32" s="59" t="n">
        <f aca="false">-Inputs!$E$21*1</f>
        <v>-1500</v>
      </c>
      <c r="AE32" s="59" t="n">
        <f aca="false">-Inputs!$E$21*1</f>
        <v>-1500</v>
      </c>
      <c r="AF32" s="59" t="n">
        <f aca="false">-Inputs!$E$21*1</f>
        <v>-1500</v>
      </c>
      <c r="AG32" s="59" t="n">
        <f aca="false">-Inputs!$E$21*1</f>
        <v>-1500</v>
      </c>
      <c r="AH32" s="59" t="n">
        <f aca="false">-Inputs!$E$21*1</f>
        <v>-1500</v>
      </c>
      <c r="AI32" s="59" t="n">
        <f aca="false">-Inputs!$E$21*1</f>
        <v>-1500</v>
      </c>
      <c r="AJ32" s="59" t="n">
        <f aca="false">-Inputs!$E$21*1</f>
        <v>-1500</v>
      </c>
      <c r="AK32" s="59" t="n">
        <f aca="false">-Inputs!$E$21*1</f>
        <v>-1500</v>
      </c>
      <c r="AL32" s="59" t="n">
        <f aca="false">-Inputs!$E$21*1</f>
        <v>-1500</v>
      </c>
      <c r="AM32" s="59" t="n">
        <f aca="false">-Inputs!$E$21*1</f>
        <v>-1500</v>
      </c>
      <c r="AN32" s="59" t="n">
        <f aca="false">-Inputs!$E$21*1</f>
        <v>-1500</v>
      </c>
      <c r="AO32" s="59" t="n">
        <f aca="false">-Inputs!$E$21*1</f>
        <v>-1500</v>
      </c>
      <c r="AP32" s="59" t="n">
        <f aca="false">-Inputs!$E$21*1</f>
        <v>-1500</v>
      </c>
      <c r="AQ32" s="59" t="n">
        <f aca="false">-Inputs!$E$21*1</f>
        <v>-1500</v>
      </c>
      <c r="AR32" s="59" t="n">
        <f aca="false">-Inputs!$E$21*1</f>
        <v>-1500</v>
      </c>
      <c r="AS32" s="59" t="n">
        <f aca="false">-Inputs!$E$21*1</f>
        <v>-1500</v>
      </c>
      <c r="AT32" s="59" t="n">
        <f aca="false">-Inputs!$E$21*1</f>
        <v>-1500</v>
      </c>
      <c r="AU32" s="59" t="n">
        <f aca="false">-Inputs!$E$21*1</f>
        <v>-1500</v>
      </c>
      <c r="AV32" s="59" t="n">
        <f aca="false">-Inputs!$E$21*1</f>
        <v>-1500</v>
      </c>
      <c r="AW32" s="59" t="n">
        <f aca="false">-Inputs!$E$21*1</f>
        <v>-1500</v>
      </c>
      <c r="AX32" s="59" t="n">
        <f aca="false">-Inputs!$E$21*1</f>
        <v>-1500</v>
      </c>
      <c r="AY32" s="59" t="n">
        <f aca="false">-Inputs!$E$21*1</f>
        <v>-1500</v>
      </c>
      <c r="AZ32" s="59" t="n">
        <f aca="false">-Inputs!$E$21*1</f>
        <v>-1500</v>
      </c>
      <c r="BA32" s="59" t="n">
        <f aca="false">-Inputs!$E$21*1</f>
        <v>-1500</v>
      </c>
      <c r="BB32" s="59" t="n">
        <f aca="false">-Inputs!$E$21*1</f>
        <v>-1500</v>
      </c>
      <c r="BC32" s="59" t="n">
        <f aca="false">-Inputs!$E$21*1</f>
        <v>-1500</v>
      </c>
      <c r="BD32" s="59" t="n">
        <f aca="false">-Inputs!$E$21*1</f>
        <v>-1500</v>
      </c>
      <c r="BE32" s="59" t="n">
        <f aca="false">-Inputs!$E$21*1</f>
        <v>-1500</v>
      </c>
      <c r="BF32" s="59" t="n">
        <f aca="false">-Inputs!$E$21*1</f>
        <v>-1500</v>
      </c>
      <c r="BG32" s="59" t="n">
        <f aca="false">-Inputs!$E$21*1</f>
        <v>-1500</v>
      </c>
      <c r="BH32" s="59" t="n">
        <f aca="false">-Inputs!$E$21*1</f>
        <v>-1500</v>
      </c>
      <c r="BI32" s="59" t="n">
        <f aca="false">-Inputs!$E$21*1</f>
        <v>-1500</v>
      </c>
      <c r="BJ32" s="59" t="n">
        <f aca="false">-Inputs!$E$21*1</f>
        <v>-1500</v>
      </c>
    </row>
    <row r="33" customFormat="false" ht="15" hidden="false" customHeight="false" outlineLevel="0" collapsed="false">
      <c r="A33" s="6" t="s">
        <v>252</v>
      </c>
      <c r="C33" s="59" t="n">
        <f aca="false">-Inputs!$E$22*1</f>
        <v>-3000</v>
      </c>
      <c r="D33" s="59" t="n">
        <f aca="false">-Inputs!$E$22*1</f>
        <v>-3000</v>
      </c>
      <c r="E33" s="59" t="n">
        <f aca="false">-Inputs!$E$22*1</f>
        <v>-3000</v>
      </c>
      <c r="F33" s="59" t="n">
        <f aca="false">-Inputs!$E$22*1</f>
        <v>-3000</v>
      </c>
      <c r="G33" s="59" t="n">
        <f aca="false">-Inputs!$E$22*1</f>
        <v>-3000</v>
      </c>
      <c r="H33" s="59" t="n">
        <f aca="false">-Inputs!$E$22*1</f>
        <v>-3000</v>
      </c>
      <c r="I33" s="59" t="n">
        <f aca="false">-Inputs!$E$22*1</f>
        <v>-3000</v>
      </c>
      <c r="J33" s="59" t="n">
        <f aca="false">-Inputs!$E$22*1</f>
        <v>-3000</v>
      </c>
      <c r="K33" s="59" t="n">
        <f aca="false">-Inputs!$E$22*1</f>
        <v>-3000</v>
      </c>
      <c r="L33" s="59" t="n">
        <f aca="false">-Inputs!$E$22*1</f>
        <v>-3000</v>
      </c>
      <c r="M33" s="59" t="n">
        <f aca="false">-Inputs!$E$22*1</f>
        <v>-3000</v>
      </c>
      <c r="N33" s="59" t="n">
        <f aca="false">-Inputs!$E$22*1</f>
        <v>-3000</v>
      </c>
      <c r="O33" s="59" t="n">
        <f aca="false">-Inputs!$E$22*1</f>
        <v>-3000</v>
      </c>
      <c r="P33" s="59" t="n">
        <f aca="false">-Inputs!$E$22*1</f>
        <v>-3000</v>
      </c>
      <c r="Q33" s="59" t="n">
        <f aca="false">-Inputs!$E$22*1</f>
        <v>-3000</v>
      </c>
      <c r="R33" s="59" t="n">
        <f aca="false">-Inputs!$E$22*1</f>
        <v>-3000</v>
      </c>
      <c r="S33" s="59" t="n">
        <f aca="false">-Inputs!$E$22*1</f>
        <v>-3000</v>
      </c>
      <c r="T33" s="59" t="n">
        <f aca="false">-Inputs!$E$22*1</f>
        <v>-3000</v>
      </c>
      <c r="U33" s="59" t="n">
        <f aca="false">-Inputs!$E$22*1</f>
        <v>-3000</v>
      </c>
      <c r="V33" s="59" t="n">
        <f aca="false">-Inputs!$E$22*1</f>
        <v>-3000</v>
      </c>
      <c r="W33" s="59" t="n">
        <f aca="false">-Inputs!$E$22*1</f>
        <v>-3000</v>
      </c>
      <c r="X33" s="59" t="n">
        <f aca="false">-Inputs!$E$22*1</f>
        <v>-3000</v>
      </c>
      <c r="Y33" s="59" t="n">
        <f aca="false">-Inputs!$E$22*1</f>
        <v>-3000</v>
      </c>
      <c r="Z33" s="59" t="n">
        <f aca="false">-Inputs!$E$22*1</f>
        <v>-3000</v>
      </c>
      <c r="AA33" s="59" t="n">
        <f aca="false">-Inputs!$E$22*1</f>
        <v>-3000</v>
      </c>
      <c r="AB33" s="59" t="n">
        <f aca="false">-Inputs!$E$22*1</f>
        <v>-3000</v>
      </c>
      <c r="AC33" s="59" t="n">
        <f aca="false">-Inputs!$E$22*1</f>
        <v>-3000</v>
      </c>
      <c r="AD33" s="59" t="n">
        <f aca="false">-Inputs!$E$22*1</f>
        <v>-3000</v>
      </c>
      <c r="AE33" s="59" t="n">
        <f aca="false">-Inputs!$E$22*1</f>
        <v>-3000</v>
      </c>
      <c r="AF33" s="59" t="n">
        <f aca="false">-Inputs!$E$22*1</f>
        <v>-3000</v>
      </c>
      <c r="AG33" s="59" t="n">
        <f aca="false">-Inputs!$E$22*1</f>
        <v>-3000</v>
      </c>
      <c r="AH33" s="59" t="n">
        <f aca="false">-Inputs!$E$22*1</f>
        <v>-3000</v>
      </c>
      <c r="AI33" s="59" t="n">
        <f aca="false">-Inputs!$E$22*1</f>
        <v>-3000</v>
      </c>
      <c r="AJ33" s="59" t="n">
        <f aca="false">-Inputs!$E$22*1</f>
        <v>-3000</v>
      </c>
      <c r="AK33" s="59" t="n">
        <f aca="false">-Inputs!$E$22*1</f>
        <v>-3000</v>
      </c>
      <c r="AL33" s="59" t="n">
        <f aca="false">-Inputs!$E$22*1</f>
        <v>-3000</v>
      </c>
      <c r="AM33" s="59" t="n">
        <f aca="false">-Inputs!$E$22*1</f>
        <v>-3000</v>
      </c>
      <c r="AN33" s="59" t="n">
        <f aca="false">-Inputs!$E$22*1</f>
        <v>-3000</v>
      </c>
      <c r="AO33" s="59" t="n">
        <f aca="false">-Inputs!$E$22*1</f>
        <v>-3000</v>
      </c>
      <c r="AP33" s="59" t="n">
        <f aca="false">-Inputs!$E$22*1</f>
        <v>-3000</v>
      </c>
      <c r="AQ33" s="59" t="n">
        <f aca="false">-Inputs!$E$22*1</f>
        <v>-3000</v>
      </c>
      <c r="AR33" s="59" t="n">
        <f aca="false">-Inputs!$E$22*1</f>
        <v>-3000</v>
      </c>
      <c r="AS33" s="59" t="n">
        <f aca="false">-Inputs!$E$22*1</f>
        <v>-3000</v>
      </c>
      <c r="AT33" s="59" t="n">
        <f aca="false">-Inputs!$E$22*1</f>
        <v>-3000</v>
      </c>
      <c r="AU33" s="59" t="n">
        <f aca="false">-Inputs!$E$22*1</f>
        <v>-3000</v>
      </c>
      <c r="AV33" s="59" t="n">
        <f aca="false">-Inputs!$E$22*1</f>
        <v>-3000</v>
      </c>
      <c r="AW33" s="59" t="n">
        <f aca="false">-Inputs!$E$22*1</f>
        <v>-3000</v>
      </c>
      <c r="AX33" s="59" t="n">
        <f aca="false">-Inputs!$E$22*1</f>
        <v>-3000</v>
      </c>
      <c r="AY33" s="59" t="n">
        <f aca="false">-Inputs!$E$22*1</f>
        <v>-3000</v>
      </c>
      <c r="AZ33" s="59" t="n">
        <f aca="false">-Inputs!$E$22*1</f>
        <v>-3000</v>
      </c>
      <c r="BA33" s="59" t="n">
        <f aca="false">-Inputs!$E$22*1</f>
        <v>-3000</v>
      </c>
      <c r="BB33" s="59" t="n">
        <f aca="false">-Inputs!$E$22*1</f>
        <v>-3000</v>
      </c>
      <c r="BC33" s="59" t="n">
        <f aca="false">-Inputs!$E$22*1</f>
        <v>-3000</v>
      </c>
      <c r="BD33" s="59" t="n">
        <f aca="false">-Inputs!$E$22*1</f>
        <v>-3000</v>
      </c>
      <c r="BE33" s="59" t="n">
        <f aca="false">-Inputs!$E$22*1</f>
        <v>-3000</v>
      </c>
      <c r="BF33" s="59" t="n">
        <f aca="false">-Inputs!$E$22*1</f>
        <v>-3000</v>
      </c>
      <c r="BG33" s="59" t="n">
        <f aca="false">-Inputs!$E$22*1</f>
        <v>-3000</v>
      </c>
      <c r="BH33" s="59" t="n">
        <f aca="false">-Inputs!$E$22*1</f>
        <v>-3000</v>
      </c>
      <c r="BI33" s="59" t="n">
        <f aca="false">-Inputs!$E$22*1</f>
        <v>-3000</v>
      </c>
      <c r="BJ33" s="59" t="n">
        <f aca="false">-Inputs!$E$22*1</f>
        <v>-3000</v>
      </c>
    </row>
    <row r="34" customFormat="false" ht="15" hidden="false" customHeight="false" outlineLevel="0" collapsed="false">
      <c r="A34" s="82" t="s">
        <v>92</v>
      </c>
      <c r="C34" s="60" t="n">
        <f aca="false">C29+C30+C31+C32+C33</f>
        <v>-75150</v>
      </c>
      <c r="D34" s="60" t="n">
        <f aca="false">D29+D30+D31+D32+D33</f>
        <v>-75150</v>
      </c>
      <c r="E34" s="60" t="n">
        <f aca="false">E29+E30+E31+E32+E33</f>
        <v>-75150</v>
      </c>
      <c r="F34" s="60" t="n">
        <f aca="false">F29+F30+F31+F32+F33</f>
        <v>-75150</v>
      </c>
      <c r="G34" s="60" t="n">
        <f aca="false">G29+G30+G31+G32+G33</f>
        <v>-75150</v>
      </c>
      <c r="H34" s="60" t="n">
        <f aca="false">H29+H30+H31+H32+H33</f>
        <v>-75150</v>
      </c>
      <c r="I34" s="60" t="n">
        <f aca="false">I29+I30+I31+I32+I33</f>
        <v>-75150</v>
      </c>
      <c r="J34" s="60" t="n">
        <f aca="false">J29+J30+J31+J32+J33</f>
        <v>-75150</v>
      </c>
      <c r="K34" s="60" t="n">
        <f aca="false">K29+K30+K31+K32+K33</f>
        <v>-75150</v>
      </c>
      <c r="L34" s="60" t="n">
        <f aca="false">L29+L30+L31+L32+L33</f>
        <v>-75150</v>
      </c>
      <c r="M34" s="60" t="n">
        <f aca="false">M29+M30+M31+M32+M33</f>
        <v>-75150</v>
      </c>
      <c r="N34" s="60" t="n">
        <f aca="false">N29+N30+N31+N32+N33</f>
        <v>-75150</v>
      </c>
      <c r="O34" s="60" t="n">
        <f aca="false">O29+O30+O31+O32+O33</f>
        <v>-111780</v>
      </c>
      <c r="P34" s="60" t="n">
        <f aca="false">P29+P30+P31+P32+P33</f>
        <v>-111780</v>
      </c>
      <c r="Q34" s="60" t="n">
        <f aca="false">Q29+Q30+Q31+Q32+Q33</f>
        <v>-111780</v>
      </c>
      <c r="R34" s="60" t="n">
        <f aca="false">R29+R30+R31+R32+R33</f>
        <v>-111780</v>
      </c>
      <c r="S34" s="60" t="n">
        <f aca="false">S29+S30+S31+S32+S33</f>
        <v>-111780</v>
      </c>
      <c r="T34" s="60" t="n">
        <f aca="false">T29+T30+T31+T32+T33</f>
        <v>-111780</v>
      </c>
      <c r="U34" s="60" t="n">
        <f aca="false">U29+U30+U31+U32+U33</f>
        <v>-111780</v>
      </c>
      <c r="V34" s="60" t="n">
        <f aca="false">V29+V30+V31+V32+V33</f>
        <v>-111780</v>
      </c>
      <c r="W34" s="60" t="n">
        <f aca="false">W29+W30+W31+W32+W33</f>
        <v>-111780</v>
      </c>
      <c r="X34" s="60" t="n">
        <f aca="false">X29+X30+X31+X32+X33</f>
        <v>-111780</v>
      </c>
      <c r="Y34" s="60" t="n">
        <f aca="false">Y29+Y30+Y31+Y32+Y33</f>
        <v>-111780</v>
      </c>
      <c r="Z34" s="60" t="n">
        <f aca="false">Z29+Z30+Z31+Z32+Z33</f>
        <v>-111780</v>
      </c>
      <c r="AA34" s="60" t="n">
        <f aca="false">AA29+AA30+AA31+AA32+AA33</f>
        <v>-168319.8</v>
      </c>
      <c r="AB34" s="60" t="n">
        <f aca="false">AB29+AB30+AB31+AB32+AB33</f>
        <v>-168319.8</v>
      </c>
      <c r="AC34" s="60" t="n">
        <f aca="false">AC29+AC30+AC31+AC32+AC33</f>
        <v>-168319.8</v>
      </c>
      <c r="AD34" s="60" t="n">
        <f aca="false">AD29+AD30+AD31+AD32+AD33</f>
        <v>-168319.8</v>
      </c>
      <c r="AE34" s="60" t="n">
        <f aca="false">AE29+AE30+AE31+AE32+AE33</f>
        <v>-168319.8</v>
      </c>
      <c r="AF34" s="60" t="n">
        <f aca="false">AF29+AF30+AF31+AF32+AF33</f>
        <v>-168319.8</v>
      </c>
      <c r="AG34" s="60" t="n">
        <f aca="false">AG29+AG30+AG31+AG32+AG33</f>
        <v>-168319.8</v>
      </c>
      <c r="AH34" s="60" t="n">
        <f aca="false">AH29+AH30+AH31+AH32+AH33</f>
        <v>-168319.8</v>
      </c>
      <c r="AI34" s="60" t="n">
        <f aca="false">AI29+AI30+AI31+AI32+AI33</f>
        <v>-168319.8</v>
      </c>
      <c r="AJ34" s="60" t="n">
        <f aca="false">AJ29+AJ30+AJ31+AJ32+AJ33</f>
        <v>-168319.8</v>
      </c>
      <c r="AK34" s="60" t="n">
        <f aca="false">AK29+AK30+AK31+AK32+AK33</f>
        <v>-168319.8</v>
      </c>
      <c r="AL34" s="60" t="n">
        <f aca="false">AL29+AL30+AL31+AL32+AL33</f>
        <v>-168319.8</v>
      </c>
      <c r="AM34" s="60" t="n">
        <f aca="false">AM29+AM30+AM31+AM32+AM33</f>
        <v>-255790.188</v>
      </c>
      <c r="AN34" s="60" t="n">
        <f aca="false">AN29+AN30+AN31+AN32+AN33</f>
        <v>-255790.188</v>
      </c>
      <c r="AO34" s="60" t="n">
        <f aca="false">AO29+AO30+AO31+AO32+AO33</f>
        <v>-255790.188</v>
      </c>
      <c r="AP34" s="60" t="n">
        <f aca="false">AP29+AP30+AP31+AP32+AP33</f>
        <v>-255790.188</v>
      </c>
      <c r="AQ34" s="60" t="n">
        <f aca="false">AQ29+AQ30+AQ31+AQ32+AQ33</f>
        <v>-255790.188</v>
      </c>
      <c r="AR34" s="60" t="n">
        <f aca="false">AR29+AR30+AR31+AR32+AR33</f>
        <v>-255790.188</v>
      </c>
      <c r="AS34" s="60" t="n">
        <f aca="false">AS29+AS30+AS31+AS32+AS33</f>
        <v>-255790.188</v>
      </c>
      <c r="AT34" s="60" t="n">
        <f aca="false">AT29+AT30+AT31+AT32+AT33</f>
        <v>-255790.188</v>
      </c>
      <c r="AU34" s="60" t="n">
        <f aca="false">AU29+AU30+AU31+AU32+AU33</f>
        <v>-255790.188</v>
      </c>
      <c r="AV34" s="60" t="n">
        <f aca="false">AV29+AV30+AV31+AV32+AV33</f>
        <v>-255790.188</v>
      </c>
      <c r="AW34" s="60" t="n">
        <f aca="false">AW29+AW30+AW31+AW32+AW33</f>
        <v>-255790.188</v>
      </c>
      <c r="AX34" s="60" t="n">
        <f aca="false">AX29+AX30+AX31+AX32+AX33</f>
        <v>-255790.188</v>
      </c>
      <c r="AY34" s="60" t="n">
        <f aca="false">AY29+AY30+AY31+AY32+AY33</f>
        <v>-391353.80328</v>
      </c>
      <c r="AZ34" s="60" t="n">
        <f aca="false">AZ29+AZ30+AZ31+AZ32+AZ33</f>
        <v>-391353.80328</v>
      </c>
      <c r="BA34" s="60" t="n">
        <f aca="false">BA29+BA30+BA31+BA32+BA33</f>
        <v>-391353.80328</v>
      </c>
      <c r="BB34" s="60" t="n">
        <f aca="false">BB29+BB30+BB31+BB32+BB33</f>
        <v>-391353.80328</v>
      </c>
      <c r="BC34" s="60" t="n">
        <f aca="false">BC29+BC30+BC31+BC32+BC33</f>
        <v>-391353.80328</v>
      </c>
      <c r="BD34" s="60" t="n">
        <f aca="false">BD29+BD30+BD31+BD32+BD33</f>
        <v>-391353.80328</v>
      </c>
      <c r="BE34" s="60" t="n">
        <f aca="false">BE29+BE30+BE31+BE32+BE33</f>
        <v>-391353.80328</v>
      </c>
      <c r="BF34" s="60" t="n">
        <f aca="false">BF29+BF30+BF31+BF32+BF33</f>
        <v>-391353.80328</v>
      </c>
      <c r="BG34" s="60" t="n">
        <f aca="false">BG29+BG30+BG31+BG32+BG33</f>
        <v>-391353.80328</v>
      </c>
      <c r="BH34" s="60" t="n">
        <f aca="false">BH29+BH30+BH31+BH32+BH33</f>
        <v>-391353.80328</v>
      </c>
      <c r="BI34" s="60" t="n">
        <f aca="false">BI29+BI30+BI31+BI32+BI33</f>
        <v>-391353.80328</v>
      </c>
      <c r="BJ34" s="60" t="n">
        <f aca="false">BJ29+BJ30+BJ31+BJ32+BJ33</f>
        <v>-391353.80328</v>
      </c>
    </row>
    <row r="35" customFormat="false" ht="15" hidden="false" customHeight="false" outlineLevel="0" collapsed="false">
      <c r="A35" s="82" t="s">
        <v>44</v>
      </c>
      <c r="C35" s="60" t="n">
        <f aca="false">C26+C34</f>
        <v>-71272.6902777778</v>
      </c>
      <c r="D35" s="60" t="n">
        <f aca="false">D26+D34</f>
        <v>-68775.5341875</v>
      </c>
      <c r="E35" s="60" t="n">
        <f aca="false">E26+E34</f>
        <v>-66340.5225533681</v>
      </c>
      <c r="F35" s="60" t="n">
        <f aca="false">F26+F34</f>
        <v>-63966.1102973616</v>
      </c>
      <c r="G35" s="60" t="n">
        <f aca="false">G26+G34</f>
        <v>-61650.7907124094</v>
      </c>
      <c r="H35" s="60" t="n">
        <f aca="false">H26+H34</f>
        <v>-59393.0945107955</v>
      </c>
      <c r="I35" s="60" t="n">
        <f aca="false">I26+I34</f>
        <v>-57191.5888961248</v>
      </c>
      <c r="J35" s="60" t="n">
        <f aca="false">J26+J34</f>
        <v>-55044.8766582669</v>
      </c>
      <c r="K35" s="60" t="n">
        <f aca="false">K26+K34</f>
        <v>-52951.5952907079</v>
      </c>
      <c r="L35" s="60" t="n">
        <f aca="false">L26+L34</f>
        <v>-50910.4161297599</v>
      </c>
      <c r="M35" s="60" t="n">
        <f aca="false">M26+M34</f>
        <v>-48920.0435150849</v>
      </c>
      <c r="N35" s="60" t="n">
        <f aca="false">N26+N34</f>
        <v>-46979.2139710086</v>
      </c>
      <c r="O35" s="60" t="n">
        <f aca="false">O26+O34</f>
        <v>-81355.7095636645</v>
      </c>
      <c r="P35" s="60" t="n">
        <f aca="false">P26+P34</f>
        <v>-78797.3176795795</v>
      </c>
      <c r="Q35" s="60" t="n">
        <f aca="false">Q26+Q34</f>
        <v>-76302.6177496131</v>
      </c>
      <c r="R35" s="60" t="n">
        <f aca="false">R26+R34</f>
        <v>-73870.0255102018</v>
      </c>
      <c r="S35" s="60" t="n">
        <f aca="false">S26+S34</f>
        <v>-71497.9960633127</v>
      </c>
      <c r="T35" s="60" t="n">
        <f aca="false">T26+T34</f>
        <v>-69185.0228995364</v>
      </c>
      <c r="U35" s="60" t="n">
        <f aca="false">U26+U34</f>
        <v>-66929.636945387</v>
      </c>
      <c r="V35" s="60" t="n">
        <f aca="false">V26+V34</f>
        <v>-64730.4056342078</v>
      </c>
      <c r="W35" s="60" t="n">
        <f aca="false">W26+W34</f>
        <v>-62585.9320001011</v>
      </c>
      <c r="X35" s="60" t="n">
        <f aca="false">X26+X34</f>
        <v>-60494.8537943113</v>
      </c>
      <c r="Y35" s="60" t="n">
        <f aca="false">Y26+Y34</f>
        <v>-58455.8426235065</v>
      </c>
      <c r="Z35" s="60" t="n">
        <f aca="false">Z26+Z34</f>
        <v>-56467.6031094169</v>
      </c>
      <c r="AA35" s="60" t="n">
        <f aca="false">AA26+AA34</f>
        <v>-110603.929337368</v>
      </c>
      <c r="AB35" s="60" t="n">
        <f aca="false">AB26+AB34</f>
        <v>-107795.563355892</v>
      </c>
      <c r="AC35" s="60" t="n">
        <f aca="false">AC26+AC34</f>
        <v>-105057.132558478</v>
      </c>
      <c r="AD35" s="60" t="n">
        <f aca="false">AD26+AD34</f>
        <v>-102386.896784488</v>
      </c>
      <c r="AE35" s="60" t="n">
        <f aca="false">AE26+AE34</f>
        <v>-99783.1591307335</v>
      </c>
      <c r="AF35" s="60" t="n">
        <f aca="false">AF26+AF34</f>
        <v>-97244.2648774309</v>
      </c>
      <c r="AG35" s="60" t="n">
        <f aca="false">AG26+AG34</f>
        <v>-94768.6004407959</v>
      </c>
      <c r="AH35" s="60" t="n">
        <f aca="false">AH26+AH34</f>
        <v>-92354.5923516018</v>
      </c>
      <c r="AI35" s="60" t="n">
        <f aca="false">AI26+AI34</f>
        <v>-90000.7062590667</v>
      </c>
      <c r="AJ35" s="60" t="n">
        <f aca="false">AJ26+AJ34</f>
        <v>-87705.4459594414</v>
      </c>
      <c r="AK35" s="60" t="n">
        <f aca="false">AK26+AK34</f>
        <v>-85467.3524486851</v>
      </c>
      <c r="AL35" s="60" t="n">
        <f aca="false">AL26+AL34</f>
        <v>-83285.0029986349</v>
      </c>
      <c r="AM35" s="60" t="n">
        <f aca="false">AM26+AM34</f>
        <v>-168028.127544256</v>
      </c>
      <c r="AN35" s="60" t="n">
        <f aca="false">AN26+AN34</f>
        <v>-164769.522976518</v>
      </c>
      <c r="AO35" s="60" t="n">
        <f aca="false">AO26+AO34</f>
        <v>-161592.083074722</v>
      </c>
      <c r="AP35" s="60" t="n">
        <f aca="false">AP26+AP34</f>
        <v>-158493.787735666</v>
      </c>
      <c r="AQ35" s="60" t="n">
        <f aca="false">AQ26+AQ34</f>
        <v>-155472.667088327</v>
      </c>
      <c r="AR35" s="60" t="n">
        <f aca="false">AR26+AR34</f>
        <v>-152526.800246164</v>
      </c>
      <c r="AS35" s="60" t="n">
        <f aca="false">AS26+AS34</f>
        <v>-149654.314090378</v>
      </c>
      <c r="AT35" s="60" t="n">
        <f aca="false">AT26+AT34</f>
        <v>-146853.382083349</v>
      </c>
      <c r="AU35" s="60" t="n">
        <f aca="false">AU26+AU34</f>
        <v>-144122.223111514</v>
      </c>
      <c r="AV35" s="60" t="n">
        <f aca="false">AV26+AV34</f>
        <v>-141459.100356941</v>
      </c>
      <c r="AW35" s="60" t="n">
        <f aca="false">AW26+AW34</f>
        <v>-138862.320196911</v>
      </c>
      <c r="AX35" s="60" t="n">
        <f aca="false">AX26+AX34</f>
        <v>-136330.231130788</v>
      </c>
      <c r="AY35" s="60" t="n">
        <f aca="false">AY26+AY34</f>
        <v>-268650.876680009</v>
      </c>
      <c r="AZ35" s="60" t="n">
        <f aca="false">AZ26+AZ34</f>
        <v>-264714.734681923</v>
      </c>
      <c r="BA35" s="60" t="n">
        <f aca="false">BA26+BA34</f>
        <v>-260876.649346045</v>
      </c>
      <c r="BB35" s="60" t="n">
        <f aca="false">BB26+BB34</f>
        <v>-257134.179662452</v>
      </c>
      <c r="BC35" s="60" t="n">
        <f aca="false">BC26+BC34</f>
        <v>-253484.94533427</v>
      </c>
      <c r="BD35" s="60" t="n">
        <f aca="false">BD26+BD34</f>
        <v>-249926.625269214</v>
      </c>
      <c r="BE35" s="60" t="n">
        <f aca="false">BE26+BE34</f>
        <v>-246456.956108559</v>
      </c>
      <c r="BF35" s="60" t="n">
        <f aca="false">BF26+BF34</f>
        <v>-243073.73079261</v>
      </c>
      <c r="BG35" s="60" t="n">
        <f aca="false">BG26+BG34</f>
        <v>-239774.797161781</v>
      </c>
      <c r="BH35" s="60" t="n">
        <f aca="false">BH26+BH34</f>
        <v>-236558.056592375</v>
      </c>
      <c r="BI35" s="60" t="n">
        <f aca="false">BI26+BI34</f>
        <v>-233421.462666239</v>
      </c>
      <c r="BJ35" s="60" t="n">
        <f aca="false">BJ26+BJ34</f>
        <v>-230363.019873419</v>
      </c>
    </row>
    <row r="37" customFormat="false" ht="15.75" hidden="false" customHeight="true" outlineLevel="0" collapsed="false">
      <c r="A37" s="7" t="s">
        <v>340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customFormat="false" ht="15" hidden="false" customHeight="false" outlineLevel="0" collapsed="false">
      <c r="A38" s="4" t="s">
        <v>94</v>
      </c>
      <c r="C38" s="64" t="n">
        <f aca="false">C35+C49</f>
        <v>-71828.2458333333</v>
      </c>
      <c r="D38" s="64" t="n">
        <f aca="false">D35+D49</f>
        <v>-69331.0897430556</v>
      </c>
      <c r="E38" s="64" t="n">
        <f aca="false">E35+E49</f>
        <v>-66896.0781089236</v>
      </c>
      <c r="F38" s="64" t="n">
        <f aca="false">F35+F49</f>
        <v>-64521.6658529172</v>
      </c>
      <c r="G38" s="64" t="n">
        <f aca="false">G35+G49</f>
        <v>-62206.346267965</v>
      </c>
      <c r="H38" s="64" t="n">
        <f aca="false">H35+H49</f>
        <v>-59948.650066351</v>
      </c>
      <c r="I38" s="64" t="n">
        <f aca="false">I35+I49</f>
        <v>-57747.1444516804</v>
      </c>
      <c r="J38" s="64" t="n">
        <f aca="false">J35+J49</f>
        <v>-55600.4322138224</v>
      </c>
      <c r="K38" s="64" t="n">
        <f aca="false">K35+K49</f>
        <v>-53507.1508462635</v>
      </c>
      <c r="L38" s="64" t="n">
        <f aca="false">L35+L49</f>
        <v>-51465.9716853155</v>
      </c>
      <c r="M38" s="64" t="n">
        <f aca="false">M35+M49</f>
        <v>-49475.5990706404</v>
      </c>
      <c r="N38" s="64" t="n">
        <f aca="false">N35+N49</f>
        <v>-47534.7695265641</v>
      </c>
      <c r="O38" s="64" t="n">
        <f aca="false">O35+O49</f>
        <v>-81911.2651192201</v>
      </c>
      <c r="P38" s="64" t="n">
        <f aca="false">P35+P49</f>
        <v>-79352.8732351351</v>
      </c>
      <c r="Q38" s="64" t="n">
        <f aca="false">Q35+Q49</f>
        <v>-76858.1733051687</v>
      </c>
      <c r="R38" s="64" t="n">
        <f aca="false">R35+R49</f>
        <v>-74425.5810657574</v>
      </c>
      <c r="S38" s="64" t="n">
        <f aca="false">S35+S49</f>
        <v>-72053.5516188682</v>
      </c>
      <c r="T38" s="64" t="n">
        <f aca="false">T35+T49</f>
        <v>-69740.5784550919</v>
      </c>
      <c r="U38" s="64" t="n">
        <f aca="false">U35+U49</f>
        <v>-67485.1925009425</v>
      </c>
      <c r="V38" s="64" t="n">
        <f aca="false">V35+V49</f>
        <v>-65285.9611897633</v>
      </c>
      <c r="W38" s="64" t="n">
        <f aca="false">W35+W49</f>
        <v>-63141.4875556567</v>
      </c>
      <c r="X38" s="64" t="n">
        <f aca="false">X35+X49</f>
        <v>-61050.4093498668</v>
      </c>
      <c r="Y38" s="64" t="n">
        <f aca="false">Y35+Y49</f>
        <v>-59011.3981790621</v>
      </c>
      <c r="Z38" s="64" t="n">
        <f aca="false">Z35+Z49</f>
        <v>-57023.1586649725</v>
      </c>
      <c r="AA38" s="64" t="n">
        <f aca="false">AA35+AA49</f>
        <v>-111159.484892924</v>
      </c>
      <c r="AB38" s="64" t="n">
        <f aca="false">AB35+AB49</f>
        <v>-108351.118911447</v>
      </c>
      <c r="AC38" s="64" t="n">
        <f aca="false">AC35+AC49</f>
        <v>-105612.688114033</v>
      </c>
      <c r="AD38" s="64" t="n">
        <f aca="false">AD35+AD49</f>
        <v>-102942.452340044</v>
      </c>
      <c r="AE38" s="64" t="n">
        <f aca="false">AE35+AE49</f>
        <v>-100338.714686289</v>
      </c>
      <c r="AF38" s="64" t="n">
        <f aca="false">AF35+AF49</f>
        <v>-97799.8204329865</v>
      </c>
      <c r="AG38" s="64" t="n">
        <f aca="false">AG35+AG49</f>
        <v>-95324.1559963515</v>
      </c>
      <c r="AH38" s="64" t="n">
        <f aca="false">AH35+AH49</f>
        <v>-92910.1479071573</v>
      </c>
      <c r="AI38" s="64" t="n">
        <f aca="false">AI35+AI49</f>
        <v>-90556.2618146223</v>
      </c>
      <c r="AJ38" s="64" t="n">
        <f aca="false">AJ35+AJ49</f>
        <v>-88261.0015149969</v>
      </c>
      <c r="AK38" s="64" t="n">
        <f aca="false">AK35+AK49</f>
        <v>-86022.9080042407</v>
      </c>
      <c r="AL38" s="64" t="n">
        <f aca="false">AL35+AL49</f>
        <v>-83840.5585541905</v>
      </c>
      <c r="AM38" s="64" t="n">
        <f aca="false">AM35+AM49</f>
        <v>-168028.127544256</v>
      </c>
      <c r="AN38" s="64" t="n">
        <f aca="false">AN35+AN49</f>
        <v>-164769.522976518</v>
      </c>
      <c r="AO38" s="64" t="n">
        <f aca="false">AO35+AO49</f>
        <v>-161592.083074722</v>
      </c>
      <c r="AP38" s="64" t="n">
        <f aca="false">AP35+AP49</f>
        <v>-158493.787735666</v>
      </c>
      <c r="AQ38" s="64" t="n">
        <f aca="false">AQ35+AQ49</f>
        <v>-155472.667088327</v>
      </c>
      <c r="AR38" s="64" t="n">
        <f aca="false">AR35+AR49</f>
        <v>-152526.800246164</v>
      </c>
      <c r="AS38" s="64" t="n">
        <f aca="false">AS35+AS49</f>
        <v>-149654.314090378</v>
      </c>
      <c r="AT38" s="64" t="n">
        <f aca="false">AT35+AT49</f>
        <v>-146853.382083349</v>
      </c>
      <c r="AU38" s="64" t="n">
        <f aca="false">AU35+AU49</f>
        <v>-144122.223111514</v>
      </c>
      <c r="AV38" s="64" t="n">
        <f aca="false">AV35+AV49</f>
        <v>-141459.100356941</v>
      </c>
      <c r="AW38" s="64" t="n">
        <f aca="false">AW35+AW49</f>
        <v>-138862.320196911</v>
      </c>
      <c r="AX38" s="64" t="n">
        <f aca="false">AX35+AX49</f>
        <v>-136330.231130788</v>
      </c>
      <c r="AY38" s="64" t="n">
        <f aca="false">AY35+AY49</f>
        <v>-268650.876680009</v>
      </c>
      <c r="AZ38" s="64" t="n">
        <f aca="false">AZ35+AZ49</f>
        <v>-264714.734681923</v>
      </c>
      <c r="BA38" s="64" t="n">
        <f aca="false">BA35+BA49</f>
        <v>-260876.649346045</v>
      </c>
      <c r="BB38" s="64" t="n">
        <f aca="false">BB35+BB49</f>
        <v>-257134.179662452</v>
      </c>
      <c r="BC38" s="64" t="n">
        <f aca="false">BC35+BC49</f>
        <v>-253484.94533427</v>
      </c>
      <c r="BD38" s="64" t="n">
        <f aca="false">BD35+BD49</f>
        <v>-249926.625269214</v>
      </c>
      <c r="BE38" s="64" t="n">
        <f aca="false">BE35+BE49</f>
        <v>-246456.956108559</v>
      </c>
      <c r="BF38" s="64" t="n">
        <f aca="false">BF35+BF49</f>
        <v>-243073.73079261</v>
      </c>
      <c r="BG38" s="64" t="n">
        <f aca="false">BG35+BG49</f>
        <v>-239774.797161781</v>
      </c>
      <c r="BH38" s="64" t="n">
        <f aca="false">BH35+BH49</f>
        <v>-236558.056592375</v>
      </c>
      <c r="BI38" s="64" t="n">
        <f aca="false">BI35+BI49</f>
        <v>-233421.462666239</v>
      </c>
      <c r="BJ38" s="64" t="n">
        <f aca="false">BJ35+BJ49</f>
        <v>-230363.019873419</v>
      </c>
    </row>
    <row r="39" customFormat="false" ht="15" hidden="false" customHeight="false" outlineLevel="0" collapsed="false">
      <c r="A39" s="6" t="s">
        <v>341</v>
      </c>
      <c r="C39" s="59" t="n">
        <f aca="false">-(C54+C55+C57)/2*Inputs!$E$48/12</f>
        <v>-0</v>
      </c>
      <c r="D39" s="59" t="n">
        <f aca="false">-(D54+D55+D57)/2*Inputs!$E$48/12</f>
        <v>-0</v>
      </c>
      <c r="E39" s="59" t="n">
        <f aca="false">-(E54+E55+E57)/2*Inputs!$E$48/12</f>
        <v>-0</v>
      </c>
      <c r="F39" s="59" t="n">
        <f aca="false">-(F54+F55+F57)/2*Inputs!$E$48/12</f>
        <v>-0</v>
      </c>
      <c r="G39" s="59" t="n">
        <f aca="false">-(G54+G55+G57)/2*Inputs!$E$48/12</f>
        <v>-0</v>
      </c>
      <c r="H39" s="59" t="n">
        <f aca="false">-(H54+H55+H57)/2*Inputs!$E$48/12</f>
        <v>-0</v>
      </c>
      <c r="I39" s="59" t="n">
        <f aca="false">-(I54+I55+I57)/2*Inputs!$E$48/12</f>
        <v>-0</v>
      </c>
      <c r="J39" s="59" t="n">
        <f aca="false">-(J54+J55+J57)/2*Inputs!$E$48/12</f>
        <v>-0</v>
      </c>
      <c r="K39" s="59" t="n">
        <f aca="false">-(K54+K55+K57)/2*Inputs!$E$48/12</f>
        <v>-0</v>
      </c>
      <c r="L39" s="59" t="n">
        <f aca="false">-(L54+L55+L57)/2*Inputs!$E$48/12</f>
        <v>-0</v>
      </c>
      <c r="M39" s="59" t="n">
        <f aca="false">-(M54+M55+M57)/2*Inputs!$E$48/12</f>
        <v>-0</v>
      </c>
      <c r="N39" s="59" t="n">
        <f aca="false">-(N54+N55+N57)/2*Inputs!$E$48/12</f>
        <v>-0</v>
      </c>
      <c r="O39" s="59" t="n">
        <f aca="false">-(O54+O55+O57)/2*Inputs!$E$48/12</f>
        <v>-0</v>
      </c>
      <c r="P39" s="59" t="n">
        <f aca="false">-(P54+P55+P57)/2*Inputs!$E$48/12</f>
        <v>-0</v>
      </c>
      <c r="Q39" s="59" t="n">
        <f aca="false">-(Q54+Q55+Q57)/2*Inputs!$E$48/12</f>
        <v>-0</v>
      </c>
      <c r="R39" s="59" t="n">
        <f aca="false">-(R54+R55+R57)/2*Inputs!$E$48/12</f>
        <v>-0</v>
      </c>
      <c r="S39" s="59" t="n">
        <f aca="false">-(S54+S55+S57)/2*Inputs!$E$48/12</f>
        <v>-0</v>
      </c>
      <c r="T39" s="59" t="n">
        <f aca="false">-(T54+T55+T57)/2*Inputs!$E$48/12</f>
        <v>-0</v>
      </c>
      <c r="U39" s="59" t="n">
        <f aca="false">-(U54+U55+U57)/2*Inputs!$E$48/12</f>
        <v>-0</v>
      </c>
      <c r="V39" s="59" t="n">
        <f aca="false">-(V54+V55+V57)/2*Inputs!$E$48/12</f>
        <v>-0</v>
      </c>
      <c r="W39" s="59" t="n">
        <f aca="false">-(W54+W55+W57)/2*Inputs!$E$48/12</f>
        <v>-0</v>
      </c>
      <c r="X39" s="59" t="n">
        <f aca="false">-(X54+X55+X57)/2*Inputs!$E$48/12</f>
        <v>-0</v>
      </c>
      <c r="Y39" s="59" t="n">
        <f aca="false">-(Y54+Y55+Y57)/2*Inputs!$E$48/12</f>
        <v>-0</v>
      </c>
      <c r="Z39" s="59" t="n">
        <f aca="false">-(Z54+Z55+Z57)/2*Inputs!$E$48/12</f>
        <v>-0</v>
      </c>
      <c r="AA39" s="59" t="n">
        <f aca="false">-(AA54+AA55+AA57)/2*Inputs!$E$48/12</f>
        <v>-0</v>
      </c>
      <c r="AB39" s="59" t="n">
        <f aca="false">-(AB54+AB55+AB57)/2*Inputs!$E$48/12</f>
        <v>-0</v>
      </c>
      <c r="AC39" s="59" t="n">
        <f aca="false">-(AC54+AC55+AC57)/2*Inputs!$E$48/12</f>
        <v>-0</v>
      </c>
      <c r="AD39" s="59" t="n">
        <f aca="false">-(AD54+AD55+AD57)/2*Inputs!$E$48/12</f>
        <v>-0</v>
      </c>
      <c r="AE39" s="59" t="n">
        <f aca="false">-(AE54+AE55+AE57)/2*Inputs!$E$48/12</f>
        <v>-0</v>
      </c>
      <c r="AF39" s="59" t="n">
        <f aca="false">-(AF54+AF55+AF57)/2*Inputs!$E$48/12</f>
        <v>-0</v>
      </c>
      <c r="AG39" s="59" t="n">
        <f aca="false">-(AG54+AG55+AG57)/2*Inputs!$E$48/12</f>
        <v>-0</v>
      </c>
      <c r="AH39" s="59" t="n">
        <f aca="false">-(AH54+AH55+AH57)/2*Inputs!$E$48/12</f>
        <v>-0</v>
      </c>
      <c r="AI39" s="59" t="n">
        <f aca="false">-(AI54+AI55+AI57)/2*Inputs!$E$48/12</f>
        <v>-0</v>
      </c>
      <c r="AJ39" s="59" t="n">
        <f aca="false">-(AJ54+AJ55+AJ57)/2*Inputs!$E$48/12</f>
        <v>-0</v>
      </c>
      <c r="AK39" s="59" t="n">
        <f aca="false">-(AK54+AK55+AK57)/2*Inputs!$E$48/12</f>
        <v>-0</v>
      </c>
      <c r="AL39" s="59" t="n">
        <f aca="false">-(AL54+AL55+AL57)/2*Inputs!$E$48/12</f>
        <v>-0</v>
      </c>
      <c r="AM39" s="59" t="n">
        <f aca="false">-(AM54+AM55+AM57)/2*Inputs!$E$48/12</f>
        <v>-0</v>
      </c>
      <c r="AN39" s="59" t="n">
        <f aca="false">-(AN54+AN55+AN57)/2*Inputs!$E$48/12</f>
        <v>-0</v>
      </c>
      <c r="AO39" s="59" t="n">
        <f aca="false">-(AO54+AO55+AO57)/2*Inputs!$E$48/12</f>
        <v>-0</v>
      </c>
      <c r="AP39" s="59" t="n">
        <f aca="false">-(AP54+AP55+AP57)/2*Inputs!$E$48/12</f>
        <v>-0</v>
      </c>
      <c r="AQ39" s="59" t="n">
        <f aca="false">-(AQ54+AQ55+AQ57)/2*Inputs!$E$48/12</f>
        <v>-0</v>
      </c>
      <c r="AR39" s="59" t="n">
        <f aca="false">-(AR54+AR55+AR57)/2*Inputs!$E$48/12</f>
        <v>-0</v>
      </c>
      <c r="AS39" s="59" t="n">
        <f aca="false">-(AS54+AS55+AS57)/2*Inputs!$E$48/12</f>
        <v>-0</v>
      </c>
      <c r="AT39" s="59" t="n">
        <f aca="false">-(AT54+AT55+AT57)/2*Inputs!$E$48/12</f>
        <v>-0</v>
      </c>
      <c r="AU39" s="59" t="n">
        <f aca="false">-(AU54+AU55+AU57)/2*Inputs!$E$48/12</f>
        <v>-0</v>
      </c>
      <c r="AV39" s="59" t="n">
        <f aca="false">-(AV54+AV55+AV57)/2*Inputs!$E$48/12</f>
        <v>-0</v>
      </c>
      <c r="AW39" s="59" t="n">
        <f aca="false">-(AW54+AW55+AW57)/2*Inputs!$E$48/12</f>
        <v>-0</v>
      </c>
      <c r="AX39" s="59" t="n">
        <f aca="false">-(AX54+AX55+AX57)/2*Inputs!$E$48/12</f>
        <v>-0</v>
      </c>
      <c r="AY39" s="59" t="n">
        <f aca="false">-(AY54+AY55+AY57)/2*Inputs!$E$48/12</f>
        <v>-0</v>
      </c>
      <c r="AZ39" s="59" t="n">
        <f aca="false">-(AZ54+AZ55+AZ57)/2*Inputs!$E$48/12</f>
        <v>-0</v>
      </c>
      <c r="BA39" s="59" t="n">
        <f aca="false">-(BA54+BA55+BA57)/2*Inputs!$E$48/12</f>
        <v>-0</v>
      </c>
      <c r="BB39" s="59" t="n">
        <f aca="false">-(BB54+BB55+BB57)/2*Inputs!$E$48/12</f>
        <v>-0</v>
      </c>
      <c r="BC39" s="59" t="n">
        <f aca="false">-(BC54+BC55+BC57)/2*Inputs!$E$48/12</f>
        <v>-0</v>
      </c>
      <c r="BD39" s="59" t="n">
        <f aca="false">-(BD54+BD55+BD57)/2*Inputs!$E$48/12</f>
        <v>-0</v>
      </c>
      <c r="BE39" s="59" t="n">
        <f aca="false">-(BE54+BE55+BE57)/2*Inputs!$E$48/12</f>
        <v>-0</v>
      </c>
      <c r="BF39" s="59" t="n">
        <f aca="false">-(BF54+BF55+BF57)/2*Inputs!$E$48/12</f>
        <v>-0</v>
      </c>
      <c r="BG39" s="59" t="n">
        <f aca="false">-(BG54+BG55+BG57)/2*Inputs!$E$48/12</f>
        <v>-0</v>
      </c>
      <c r="BH39" s="59" t="n">
        <f aca="false">-(BH54+BH55+BH57)/2*Inputs!$E$48/12</f>
        <v>-0</v>
      </c>
      <c r="BI39" s="59" t="n">
        <f aca="false">-(BI54+BI55+BI57)/2*Inputs!$E$48/12</f>
        <v>-0</v>
      </c>
      <c r="BJ39" s="59" t="n">
        <f aca="false">-(BJ54+BJ55+BJ57)/2*Inputs!$E$48/12</f>
        <v>-0</v>
      </c>
    </row>
    <row r="40" customFormat="false" ht="15" hidden="false" customHeight="false" outlineLevel="0" collapsed="false">
      <c r="A40" s="82" t="s">
        <v>96</v>
      </c>
      <c r="C40" s="60" t="n">
        <f aca="false">C38+C39</f>
        <v>-71828.2458333333</v>
      </c>
      <c r="D40" s="60" t="n">
        <f aca="false">D38+D39</f>
        <v>-69331.0897430556</v>
      </c>
      <c r="E40" s="60" t="n">
        <f aca="false">E38+E39</f>
        <v>-66896.0781089236</v>
      </c>
      <c r="F40" s="60" t="n">
        <f aca="false">F38+F39</f>
        <v>-64521.6658529172</v>
      </c>
      <c r="G40" s="60" t="n">
        <f aca="false">G38+G39</f>
        <v>-62206.346267965</v>
      </c>
      <c r="H40" s="60" t="n">
        <f aca="false">H38+H39</f>
        <v>-59948.650066351</v>
      </c>
      <c r="I40" s="60" t="n">
        <f aca="false">I38+I39</f>
        <v>-57747.1444516804</v>
      </c>
      <c r="J40" s="60" t="n">
        <f aca="false">J38+J39</f>
        <v>-55600.4322138224</v>
      </c>
      <c r="K40" s="60" t="n">
        <f aca="false">K38+K39</f>
        <v>-53507.1508462635</v>
      </c>
      <c r="L40" s="60" t="n">
        <f aca="false">L38+L39</f>
        <v>-51465.9716853155</v>
      </c>
      <c r="M40" s="60" t="n">
        <f aca="false">M38+M39</f>
        <v>-49475.5990706404</v>
      </c>
      <c r="N40" s="60" t="n">
        <f aca="false">N38+N39</f>
        <v>-47534.7695265641</v>
      </c>
      <c r="O40" s="60" t="n">
        <f aca="false">O38+O39</f>
        <v>-81911.2651192201</v>
      </c>
      <c r="P40" s="60" t="n">
        <f aca="false">P38+P39</f>
        <v>-79352.8732351351</v>
      </c>
      <c r="Q40" s="60" t="n">
        <f aca="false">Q38+Q39</f>
        <v>-76858.1733051687</v>
      </c>
      <c r="R40" s="60" t="n">
        <f aca="false">R38+R39</f>
        <v>-74425.5810657574</v>
      </c>
      <c r="S40" s="60" t="n">
        <f aca="false">S38+S39</f>
        <v>-72053.5516188682</v>
      </c>
      <c r="T40" s="60" t="n">
        <f aca="false">T38+T39</f>
        <v>-69740.5784550919</v>
      </c>
      <c r="U40" s="60" t="n">
        <f aca="false">U38+U39</f>
        <v>-67485.1925009425</v>
      </c>
      <c r="V40" s="60" t="n">
        <f aca="false">V38+V39</f>
        <v>-65285.9611897633</v>
      </c>
      <c r="W40" s="60" t="n">
        <f aca="false">W38+W39</f>
        <v>-63141.4875556567</v>
      </c>
      <c r="X40" s="60" t="n">
        <f aca="false">X38+X39</f>
        <v>-61050.4093498668</v>
      </c>
      <c r="Y40" s="60" t="n">
        <f aca="false">Y38+Y39</f>
        <v>-59011.3981790621</v>
      </c>
      <c r="Z40" s="60" t="n">
        <f aca="false">Z38+Z39</f>
        <v>-57023.1586649725</v>
      </c>
      <c r="AA40" s="60" t="n">
        <f aca="false">AA38+AA39</f>
        <v>-111159.484892924</v>
      </c>
      <c r="AB40" s="60" t="n">
        <f aca="false">AB38+AB39</f>
        <v>-108351.118911447</v>
      </c>
      <c r="AC40" s="60" t="n">
        <f aca="false">AC38+AC39</f>
        <v>-105612.688114033</v>
      </c>
      <c r="AD40" s="60" t="n">
        <f aca="false">AD38+AD39</f>
        <v>-102942.452340044</v>
      </c>
      <c r="AE40" s="60" t="n">
        <f aca="false">AE38+AE39</f>
        <v>-100338.714686289</v>
      </c>
      <c r="AF40" s="60" t="n">
        <f aca="false">AF38+AF39</f>
        <v>-97799.8204329865</v>
      </c>
      <c r="AG40" s="60" t="n">
        <f aca="false">AG38+AG39</f>
        <v>-95324.1559963515</v>
      </c>
      <c r="AH40" s="60" t="n">
        <f aca="false">AH38+AH39</f>
        <v>-92910.1479071573</v>
      </c>
      <c r="AI40" s="60" t="n">
        <f aca="false">AI38+AI39</f>
        <v>-90556.2618146223</v>
      </c>
      <c r="AJ40" s="60" t="n">
        <f aca="false">AJ38+AJ39</f>
        <v>-88261.0015149969</v>
      </c>
      <c r="AK40" s="60" t="n">
        <f aca="false">AK38+AK39</f>
        <v>-86022.9080042407</v>
      </c>
      <c r="AL40" s="60" t="n">
        <f aca="false">AL38+AL39</f>
        <v>-83840.5585541905</v>
      </c>
      <c r="AM40" s="60" t="n">
        <f aca="false">AM38+AM39</f>
        <v>-168028.127544256</v>
      </c>
      <c r="AN40" s="60" t="n">
        <f aca="false">AN38+AN39</f>
        <v>-164769.522976518</v>
      </c>
      <c r="AO40" s="60" t="n">
        <f aca="false">AO38+AO39</f>
        <v>-161592.083074722</v>
      </c>
      <c r="AP40" s="60" t="n">
        <f aca="false">AP38+AP39</f>
        <v>-158493.787735666</v>
      </c>
      <c r="AQ40" s="60" t="n">
        <f aca="false">AQ38+AQ39</f>
        <v>-155472.667088327</v>
      </c>
      <c r="AR40" s="60" t="n">
        <f aca="false">AR38+AR39</f>
        <v>-152526.800246164</v>
      </c>
      <c r="AS40" s="60" t="n">
        <f aca="false">AS38+AS39</f>
        <v>-149654.314090378</v>
      </c>
      <c r="AT40" s="60" t="n">
        <f aca="false">AT38+AT39</f>
        <v>-146853.382083349</v>
      </c>
      <c r="AU40" s="60" t="n">
        <f aca="false">AU38+AU39</f>
        <v>-144122.223111514</v>
      </c>
      <c r="AV40" s="60" t="n">
        <f aca="false">AV38+AV39</f>
        <v>-141459.100356941</v>
      </c>
      <c r="AW40" s="60" t="n">
        <f aca="false">AW38+AW39</f>
        <v>-138862.320196911</v>
      </c>
      <c r="AX40" s="60" t="n">
        <f aca="false">AX38+AX39</f>
        <v>-136330.231130788</v>
      </c>
      <c r="AY40" s="60" t="n">
        <f aca="false">AY38+AY39</f>
        <v>-268650.876680009</v>
      </c>
      <c r="AZ40" s="60" t="n">
        <f aca="false">AZ38+AZ39</f>
        <v>-264714.734681923</v>
      </c>
      <c r="BA40" s="60" t="n">
        <f aca="false">BA38+BA39</f>
        <v>-260876.649346045</v>
      </c>
      <c r="BB40" s="60" t="n">
        <f aca="false">BB38+BB39</f>
        <v>-257134.179662452</v>
      </c>
      <c r="BC40" s="60" t="n">
        <f aca="false">BC38+BC39</f>
        <v>-253484.94533427</v>
      </c>
      <c r="BD40" s="60" t="n">
        <f aca="false">BD38+BD39</f>
        <v>-249926.625269214</v>
      </c>
      <c r="BE40" s="60" t="n">
        <f aca="false">BE38+BE39</f>
        <v>-246456.956108559</v>
      </c>
      <c r="BF40" s="60" t="n">
        <f aca="false">BF38+BF39</f>
        <v>-243073.73079261</v>
      </c>
      <c r="BG40" s="60" t="n">
        <f aca="false">BG38+BG39</f>
        <v>-239774.797161781</v>
      </c>
      <c r="BH40" s="60" t="n">
        <f aca="false">BH38+BH39</f>
        <v>-236558.056592375</v>
      </c>
      <c r="BI40" s="60" t="n">
        <f aca="false">BI38+BI39</f>
        <v>-233421.462666239</v>
      </c>
      <c r="BJ40" s="60" t="n">
        <f aca="false">BJ38+BJ39</f>
        <v>-230363.019873419</v>
      </c>
    </row>
    <row r="41" customFormat="false" ht="15" hidden="false" customHeight="false" outlineLevel="0" collapsed="false">
      <c r="A41" s="88" t="s">
        <v>342</v>
      </c>
      <c r="C41" s="59" t="n">
        <f aca="false">C40</f>
        <v>-71828.2458333333</v>
      </c>
      <c r="D41" s="59" t="n">
        <f aca="false">C41+D40</f>
        <v>-141159.335576389</v>
      </c>
      <c r="E41" s="59" t="n">
        <f aca="false">D41+E40</f>
        <v>-208055.413685313</v>
      </c>
      <c r="F41" s="59" t="n">
        <f aca="false">E41+F40</f>
        <v>-272577.07953823</v>
      </c>
      <c r="G41" s="59" t="n">
        <f aca="false">F41+G40</f>
        <v>-334783.425806195</v>
      </c>
      <c r="H41" s="59" t="n">
        <f aca="false">G41+H40</f>
        <v>-394732.075872546</v>
      </c>
      <c r="I41" s="59" t="n">
        <f aca="false">H41+I40</f>
        <v>-452479.220324226</v>
      </c>
      <c r="J41" s="59" t="n">
        <f aca="false">I41+J40</f>
        <v>-508079.652538049</v>
      </c>
      <c r="K41" s="59" t="n">
        <f aca="false">J41+K40</f>
        <v>-561586.803384312</v>
      </c>
      <c r="L41" s="59" t="n">
        <f aca="false">K41+L40</f>
        <v>-613052.775069627</v>
      </c>
      <c r="M41" s="59" t="n">
        <f aca="false">L41+M40</f>
        <v>-662528.374140268</v>
      </c>
      <c r="N41" s="59" t="n">
        <f aca="false">M41+N40</f>
        <v>-710063.143666832</v>
      </c>
      <c r="O41" s="59" t="n">
        <f aca="false">N41+O40</f>
        <v>-791974.408786052</v>
      </c>
      <c r="P41" s="59" t="n">
        <f aca="false">O41+P40</f>
        <v>-871327.282021187</v>
      </c>
      <c r="Q41" s="59" t="n">
        <f aca="false">P41+Q40</f>
        <v>-948185.455326356</v>
      </c>
      <c r="R41" s="59" t="n">
        <f aca="false">Q41+R40</f>
        <v>-1022611.03639211</v>
      </c>
      <c r="S41" s="59" t="n">
        <f aca="false">R41+S40</f>
        <v>-1094664.58801098</v>
      </c>
      <c r="T41" s="59" t="n">
        <f aca="false">S41+T40</f>
        <v>-1164405.16646607</v>
      </c>
      <c r="U41" s="59" t="n">
        <f aca="false">T41+U40</f>
        <v>-1231890.35896702</v>
      </c>
      <c r="V41" s="59" t="n">
        <f aca="false">U41+V40</f>
        <v>-1297176.32015678</v>
      </c>
      <c r="W41" s="59" t="n">
        <f aca="false">V41+W40</f>
        <v>-1360317.80771244</v>
      </c>
      <c r="X41" s="59" t="n">
        <f aca="false">W41+X40</f>
        <v>-1421368.2170623</v>
      </c>
      <c r="Y41" s="59" t="n">
        <f aca="false">X41+Y40</f>
        <v>-1480379.61524137</v>
      </c>
      <c r="Z41" s="59" t="n">
        <f aca="false">Y41+Z40</f>
        <v>-1537402.77390634</v>
      </c>
      <c r="AA41" s="59" t="n">
        <f aca="false">Z41+AA40</f>
        <v>-1648562.25879926</v>
      </c>
      <c r="AB41" s="59" t="n">
        <f aca="false">AA41+AB40</f>
        <v>-1756913.37771071</v>
      </c>
      <c r="AC41" s="59" t="n">
        <f aca="false">AB41+AC40</f>
        <v>-1862526.06582474</v>
      </c>
      <c r="AD41" s="59" t="n">
        <f aca="false">AC41+AD40</f>
        <v>-1965468.51816479</v>
      </c>
      <c r="AE41" s="59" t="n">
        <f aca="false">AD41+AE40</f>
        <v>-2065807.23285107</v>
      </c>
      <c r="AF41" s="59" t="n">
        <f aca="false">AE41+AF40</f>
        <v>-2163607.05328406</v>
      </c>
      <c r="AG41" s="59" t="n">
        <f aca="false">AF41+AG40</f>
        <v>-2258931.20928041</v>
      </c>
      <c r="AH41" s="59" t="n">
        <f aca="false">AG41+AH40</f>
        <v>-2351841.35718757</v>
      </c>
      <c r="AI41" s="59" t="n">
        <f aca="false">AH41+AI40</f>
        <v>-2442397.61900219</v>
      </c>
      <c r="AJ41" s="59" t="n">
        <f aca="false">AI41+AJ40</f>
        <v>-2530658.62051719</v>
      </c>
      <c r="AK41" s="59" t="n">
        <f aca="false">AJ41+AK40</f>
        <v>-2616681.52852143</v>
      </c>
      <c r="AL41" s="59" t="n">
        <f aca="false">AK41+AL40</f>
        <v>-2700522.08707562</v>
      </c>
      <c r="AM41" s="59" t="n">
        <f aca="false">AL41+AM40</f>
        <v>-2868550.21461988</v>
      </c>
      <c r="AN41" s="59" t="n">
        <f aca="false">AM41+AN40</f>
        <v>-3033319.73759639</v>
      </c>
      <c r="AO41" s="59" t="n">
        <f aca="false">AN41+AO40</f>
        <v>-3194911.82067111</v>
      </c>
      <c r="AP41" s="59" t="n">
        <f aca="false">AO41+AP40</f>
        <v>-3353405.60840678</v>
      </c>
      <c r="AQ41" s="59" t="n">
        <f aca="false">AP41+AQ40</f>
        <v>-3508878.27549511</v>
      </c>
      <c r="AR41" s="59" t="n">
        <f aca="false">AQ41+AR40</f>
        <v>-3661405.07574127</v>
      </c>
      <c r="AS41" s="59" t="n">
        <f aca="false">AR41+AS40</f>
        <v>-3811059.38983165</v>
      </c>
      <c r="AT41" s="59" t="n">
        <f aca="false">AS41+AT40</f>
        <v>-3957912.771915</v>
      </c>
      <c r="AU41" s="59" t="n">
        <f aca="false">AT41+AU40</f>
        <v>-4102034.99502651</v>
      </c>
      <c r="AV41" s="59" t="n">
        <f aca="false">AU41+AV40</f>
        <v>-4243494.09538345</v>
      </c>
      <c r="AW41" s="59" t="n">
        <f aca="false">AV41+AW40</f>
        <v>-4382356.41558036</v>
      </c>
      <c r="AX41" s="59" t="n">
        <f aca="false">AW41+AX40</f>
        <v>-4518686.64671115</v>
      </c>
      <c r="AY41" s="59" t="n">
        <f aca="false">AX41+AY40</f>
        <v>-4787337.52339116</v>
      </c>
      <c r="AZ41" s="59" t="n">
        <f aca="false">AY41+AZ40</f>
        <v>-5052052.25807308</v>
      </c>
      <c r="BA41" s="59" t="n">
        <f aca="false">AZ41+BA40</f>
        <v>-5312928.90741913</v>
      </c>
      <c r="BB41" s="59" t="n">
        <f aca="false">BA41+BB40</f>
        <v>-5570063.08708158</v>
      </c>
      <c r="BC41" s="59" t="n">
        <f aca="false">BB41+BC40</f>
        <v>-5823548.03241585</v>
      </c>
      <c r="BD41" s="59" t="n">
        <f aca="false">BC41+BD40</f>
        <v>-6073474.65768507</v>
      </c>
      <c r="BE41" s="59" t="n">
        <f aca="false">BD41+BE40</f>
        <v>-6319931.61379362</v>
      </c>
      <c r="BF41" s="59" t="n">
        <f aca="false">BE41+BF40</f>
        <v>-6563005.34458623</v>
      </c>
      <c r="BG41" s="59" t="n">
        <f aca="false">BF41+BG40</f>
        <v>-6802780.14174801</v>
      </c>
      <c r="BH41" s="59" t="n">
        <f aca="false">BG41+BH40</f>
        <v>-7039338.19834039</v>
      </c>
      <c r="BI41" s="59" t="n">
        <f aca="false">BH41+BI40</f>
        <v>-7272759.66100663</v>
      </c>
      <c r="BJ41" s="59" t="n">
        <f aca="false">BI41+BJ40</f>
        <v>-7503122.68088005</v>
      </c>
    </row>
    <row r="42" customFormat="false" ht="15" hidden="false" customHeight="false" outlineLevel="0" collapsed="false">
      <c r="A42" s="88" t="s">
        <v>343</v>
      </c>
      <c r="C42" s="59" t="n">
        <f aca="false">MAX(0,C41)</f>
        <v>0</v>
      </c>
      <c r="D42" s="59" t="n">
        <f aca="false">MAX(C42,D41)</f>
        <v>0</v>
      </c>
      <c r="E42" s="59" t="n">
        <f aca="false">MAX(D42,E41)</f>
        <v>0</v>
      </c>
      <c r="F42" s="59" t="n">
        <f aca="false">MAX(E42,F41)</f>
        <v>0</v>
      </c>
      <c r="G42" s="59" t="n">
        <f aca="false">MAX(F42,G41)</f>
        <v>0</v>
      </c>
      <c r="H42" s="59" t="n">
        <f aca="false">MAX(G42,H41)</f>
        <v>0</v>
      </c>
      <c r="I42" s="59" t="n">
        <f aca="false">MAX(H42,I41)</f>
        <v>0</v>
      </c>
      <c r="J42" s="59" t="n">
        <f aca="false">MAX(I42,J41)</f>
        <v>0</v>
      </c>
      <c r="K42" s="59" t="n">
        <f aca="false">MAX(J42,K41)</f>
        <v>0</v>
      </c>
      <c r="L42" s="59" t="n">
        <f aca="false">MAX(K42,L41)</f>
        <v>0</v>
      </c>
      <c r="M42" s="59" t="n">
        <f aca="false">MAX(L42,M41)</f>
        <v>0</v>
      </c>
      <c r="N42" s="59" t="n">
        <f aca="false">MAX(M42,N41)</f>
        <v>0</v>
      </c>
      <c r="O42" s="59" t="n">
        <f aca="false">MAX(N42,O41)</f>
        <v>0</v>
      </c>
      <c r="P42" s="59" t="n">
        <f aca="false">MAX(O42,P41)</f>
        <v>0</v>
      </c>
      <c r="Q42" s="59" t="n">
        <f aca="false">MAX(P42,Q41)</f>
        <v>0</v>
      </c>
      <c r="R42" s="59" t="n">
        <f aca="false">MAX(Q42,R41)</f>
        <v>0</v>
      </c>
      <c r="S42" s="59" t="n">
        <f aca="false">MAX(R42,S41)</f>
        <v>0</v>
      </c>
      <c r="T42" s="59" t="n">
        <f aca="false">MAX(S42,T41)</f>
        <v>0</v>
      </c>
      <c r="U42" s="59" t="n">
        <f aca="false">MAX(T42,U41)</f>
        <v>0</v>
      </c>
      <c r="V42" s="59" t="n">
        <f aca="false">MAX(U42,V41)</f>
        <v>0</v>
      </c>
      <c r="W42" s="59" t="n">
        <f aca="false">MAX(V42,W41)</f>
        <v>0</v>
      </c>
      <c r="X42" s="59" t="n">
        <f aca="false">MAX(W42,X41)</f>
        <v>0</v>
      </c>
      <c r="Y42" s="59" t="n">
        <f aca="false">MAX(X42,Y41)</f>
        <v>0</v>
      </c>
      <c r="Z42" s="59" t="n">
        <f aca="false">MAX(Y42,Z41)</f>
        <v>0</v>
      </c>
      <c r="AA42" s="59" t="n">
        <f aca="false">MAX(Z42,AA41)</f>
        <v>0</v>
      </c>
      <c r="AB42" s="59" t="n">
        <f aca="false">MAX(AA42,AB41)</f>
        <v>0</v>
      </c>
      <c r="AC42" s="59" t="n">
        <f aca="false">MAX(AB42,AC41)</f>
        <v>0</v>
      </c>
      <c r="AD42" s="59" t="n">
        <f aca="false">MAX(AC42,AD41)</f>
        <v>0</v>
      </c>
      <c r="AE42" s="59" t="n">
        <f aca="false">MAX(AD42,AE41)</f>
        <v>0</v>
      </c>
      <c r="AF42" s="59" t="n">
        <f aca="false">MAX(AE42,AF41)</f>
        <v>0</v>
      </c>
      <c r="AG42" s="59" t="n">
        <f aca="false">MAX(AF42,AG41)</f>
        <v>0</v>
      </c>
      <c r="AH42" s="59" t="n">
        <f aca="false">MAX(AG42,AH41)</f>
        <v>0</v>
      </c>
      <c r="AI42" s="59" t="n">
        <f aca="false">MAX(AH42,AI41)</f>
        <v>0</v>
      </c>
      <c r="AJ42" s="59" t="n">
        <f aca="false">MAX(AI42,AJ41)</f>
        <v>0</v>
      </c>
      <c r="AK42" s="59" t="n">
        <f aca="false">MAX(AJ42,AK41)</f>
        <v>0</v>
      </c>
      <c r="AL42" s="59" t="n">
        <f aca="false">MAX(AK42,AL41)</f>
        <v>0</v>
      </c>
      <c r="AM42" s="59" t="n">
        <f aca="false">MAX(AL42,AM41)</f>
        <v>0</v>
      </c>
      <c r="AN42" s="59" t="n">
        <f aca="false">MAX(AM42,AN41)</f>
        <v>0</v>
      </c>
      <c r="AO42" s="59" t="n">
        <f aca="false">MAX(AN42,AO41)</f>
        <v>0</v>
      </c>
      <c r="AP42" s="59" t="n">
        <f aca="false">MAX(AO42,AP41)</f>
        <v>0</v>
      </c>
      <c r="AQ42" s="59" t="n">
        <f aca="false">MAX(AP42,AQ41)</f>
        <v>0</v>
      </c>
      <c r="AR42" s="59" t="n">
        <f aca="false">MAX(AQ42,AR41)</f>
        <v>0</v>
      </c>
      <c r="AS42" s="59" t="n">
        <f aca="false">MAX(AR42,AS41)</f>
        <v>0</v>
      </c>
      <c r="AT42" s="59" t="n">
        <f aca="false">MAX(AS42,AT41)</f>
        <v>0</v>
      </c>
      <c r="AU42" s="59" t="n">
        <f aca="false">MAX(AT42,AU41)</f>
        <v>0</v>
      </c>
      <c r="AV42" s="59" t="n">
        <f aca="false">MAX(AU42,AV41)</f>
        <v>0</v>
      </c>
      <c r="AW42" s="59" t="n">
        <f aca="false">MAX(AV42,AW41)</f>
        <v>0</v>
      </c>
      <c r="AX42" s="59" t="n">
        <f aca="false">MAX(AW42,AX41)</f>
        <v>0</v>
      </c>
      <c r="AY42" s="59" t="n">
        <f aca="false">MAX(AX42,AY41)</f>
        <v>0</v>
      </c>
      <c r="AZ42" s="59" t="n">
        <f aca="false">MAX(AY42,AZ41)</f>
        <v>0</v>
      </c>
      <c r="BA42" s="59" t="n">
        <f aca="false">MAX(AZ42,BA41)</f>
        <v>0</v>
      </c>
      <c r="BB42" s="59" t="n">
        <f aca="false">MAX(BA42,BB41)</f>
        <v>0</v>
      </c>
      <c r="BC42" s="59" t="n">
        <f aca="false">MAX(BB42,BC41)</f>
        <v>0</v>
      </c>
      <c r="BD42" s="59" t="n">
        <f aca="false">MAX(BC42,BD41)</f>
        <v>0</v>
      </c>
      <c r="BE42" s="59" t="n">
        <f aca="false">MAX(BD42,BE41)</f>
        <v>0</v>
      </c>
      <c r="BF42" s="59" t="n">
        <f aca="false">MAX(BE42,BF41)</f>
        <v>0</v>
      </c>
      <c r="BG42" s="59" t="n">
        <f aca="false">MAX(BF42,BG41)</f>
        <v>0</v>
      </c>
      <c r="BH42" s="59" t="n">
        <f aca="false">MAX(BG42,BH41)</f>
        <v>0</v>
      </c>
      <c r="BI42" s="59" t="n">
        <f aca="false">MAX(BH42,BI41)</f>
        <v>0</v>
      </c>
      <c r="BJ42" s="59" t="n">
        <f aca="false">MAX(BI42,BJ41)</f>
        <v>0</v>
      </c>
    </row>
    <row r="43" customFormat="false" ht="15" hidden="false" customHeight="false" outlineLevel="0" collapsed="false">
      <c r="A43" s="6" t="s">
        <v>97</v>
      </c>
      <c r="C43" s="59" t="n">
        <f aca="false">-C42*Inputs!$E$58</f>
        <v>-0</v>
      </c>
      <c r="D43" s="59" t="n">
        <f aca="false">-(D42-C42)*Inputs!$E$58</f>
        <v>-0</v>
      </c>
      <c r="E43" s="59" t="n">
        <f aca="false">-(E42-D42)*Inputs!$E$58</f>
        <v>-0</v>
      </c>
      <c r="F43" s="59" t="n">
        <f aca="false">-(F42-E42)*Inputs!$E$58</f>
        <v>-0</v>
      </c>
      <c r="G43" s="59" t="n">
        <f aca="false">-(G42-F42)*Inputs!$E$58</f>
        <v>-0</v>
      </c>
      <c r="H43" s="59" t="n">
        <f aca="false">-(H42-G42)*Inputs!$E$58</f>
        <v>-0</v>
      </c>
      <c r="I43" s="59" t="n">
        <f aca="false">-(I42-H42)*Inputs!$E$58</f>
        <v>-0</v>
      </c>
      <c r="J43" s="59" t="n">
        <f aca="false">-(J42-I42)*Inputs!$E$58</f>
        <v>-0</v>
      </c>
      <c r="K43" s="59" t="n">
        <f aca="false">-(K42-J42)*Inputs!$E$58</f>
        <v>-0</v>
      </c>
      <c r="L43" s="59" t="n">
        <f aca="false">-(L42-K42)*Inputs!$E$58</f>
        <v>-0</v>
      </c>
      <c r="M43" s="59" t="n">
        <f aca="false">-(M42-L42)*Inputs!$E$58</f>
        <v>-0</v>
      </c>
      <c r="N43" s="59" t="n">
        <f aca="false">-(N42-M42)*Inputs!$E$58</f>
        <v>-0</v>
      </c>
      <c r="O43" s="59" t="n">
        <f aca="false">-(O42-N42)*Inputs!$E$58</f>
        <v>-0</v>
      </c>
      <c r="P43" s="59" t="n">
        <f aca="false">-(P42-O42)*Inputs!$E$58</f>
        <v>-0</v>
      </c>
      <c r="Q43" s="59" t="n">
        <f aca="false">-(Q42-P42)*Inputs!$E$58</f>
        <v>-0</v>
      </c>
      <c r="R43" s="59" t="n">
        <f aca="false">-(R42-Q42)*Inputs!$E$58</f>
        <v>-0</v>
      </c>
      <c r="S43" s="59" t="n">
        <f aca="false">-(S42-R42)*Inputs!$E$58</f>
        <v>-0</v>
      </c>
      <c r="T43" s="59" t="n">
        <f aca="false">-(T42-S42)*Inputs!$E$58</f>
        <v>-0</v>
      </c>
      <c r="U43" s="59" t="n">
        <f aca="false">-(U42-T42)*Inputs!$E$58</f>
        <v>-0</v>
      </c>
      <c r="V43" s="59" t="n">
        <f aca="false">-(V42-U42)*Inputs!$E$58</f>
        <v>-0</v>
      </c>
      <c r="W43" s="59" t="n">
        <f aca="false">-(W42-V42)*Inputs!$E$58</f>
        <v>-0</v>
      </c>
      <c r="X43" s="59" t="n">
        <f aca="false">-(X42-W42)*Inputs!$E$58</f>
        <v>-0</v>
      </c>
      <c r="Y43" s="59" t="n">
        <f aca="false">-(Y42-X42)*Inputs!$E$58</f>
        <v>-0</v>
      </c>
      <c r="Z43" s="59" t="n">
        <f aca="false">-(Z42-Y42)*Inputs!$E$58</f>
        <v>-0</v>
      </c>
      <c r="AA43" s="59" t="n">
        <f aca="false">-(AA42-Z42)*Inputs!$E$58</f>
        <v>-0</v>
      </c>
      <c r="AB43" s="59" t="n">
        <f aca="false">-(AB42-AA42)*Inputs!$E$58</f>
        <v>-0</v>
      </c>
      <c r="AC43" s="59" t="n">
        <f aca="false">-(AC42-AB42)*Inputs!$E$58</f>
        <v>-0</v>
      </c>
      <c r="AD43" s="59" t="n">
        <f aca="false">-(AD42-AC42)*Inputs!$E$58</f>
        <v>-0</v>
      </c>
      <c r="AE43" s="59" t="n">
        <f aca="false">-(AE42-AD42)*Inputs!$E$58</f>
        <v>-0</v>
      </c>
      <c r="AF43" s="59" t="n">
        <f aca="false">-(AF42-AE42)*Inputs!$E$58</f>
        <v>-0</v>
      </c>
      <c r="AG43" s="59" t="n">
        <f aca="false">-(AG42-AF42)*Inputs!$E$58</f>
        <v>-0</v>
      </c>
      <c r="AH43" s="59" t="n">
        <f aca="false">-(AH42-AG42)*Inputs!$E$58</f>
        <v>-0</v>
      </c>
      <c r="AI43" s="59" t="n">
        <f aca="false">-(AI42-AH42)*Inputs!$E$58</f>
        <v>-0</v>
      </c>
      <c r="AJ43" s="59" t="n">
        <f aca="false">-(AJ42-AI42)*Inputs!$E$58</f>
        <v>-0</v>
      </c>
      <c r="AK43" s="59" t="n">
        <f aca="false">-(AK42-AJ42)*Inputs!$E$58</f>
        <v>-0</v>
      </c>
      <c r="AL43" s="59" t="n">
        <f aca="false">-(AL42-AK42)*Inputs!$E$58</f>
        <v>-0</v>
      </c>
      <c r="AM43" s="59" t="n">
        <f aca="false">-(AM42-AL42)*Inputs!$E$58</f>
        <v>-0</v>
      </c>
      <c r="AN43" s="59" t="n">
        <f aca="false">-(AN42-AM42)*Inputs!$E$58</f>
        <v>-0</v>
      </c>
      <c r="AO43" s="59" t="n">
        <f aca="false">-(AO42-AN42)*Inputs!$E$58</f>
        <v>-0</v>
      </c>
      <c r="AP43" s="59" t="n">
        <f aca="false">-(AP42-AO42)*Inputs!$E$58</f>
        <v>-0</v>
      </c>
      <c r="AQ43" s="59" t="n">
        <f aca="false">-(AQ42-AP42)*Inputs!$E$58</f>
        <v>-0</v>
      </c>
      <c r="AR43" s="59" t="n">
        <f aca="false">-(AR42-AQ42)*Inputs!$E$58</f>
        <v>-0</v>
      </c>
      <c r="AS43" s="59" t="n">
        <f aca="false">-(AS42-AR42)*Inputs!$E$58</f>
        <v>-0</v>
      </c>
      <c r="AT43" s="59" t="n">
        <f aca="false">-(AT42-AS42)*Inputs!$E$58</f>
        <v>-0</v>
      </c>
      <c r="AU43" s="59" t="n">
        <f aca="false">-(AU42-AT42)*Inputs!$E$58</f>
        <v>-0</v>
      </c>
      <c r="AV43" s="59" t="n">
        <f aca="false">-(AV42-AU42)*Inputs!$E$58</f>
        <v>-0</v>
      </c>
      <c r="AW43" s="59" t="n">
        <f aca="false">-(AW42-AV42)*Inputs!$E$58</f>
        <v>-0</v>
      </c>
      <c r="AX43" s="59" t="n">
        <f aca="false">-(AX42-AW42)*Inputs!$E$58</f>
        <v>-0</v>
      </c>
      <c r="AY43" s="59" t="n">
        <f aca="false">-(AY42-AX42)*Inputs!$E$58</f>
        <v>-0</v>
      </c>
      <c r="AZ43" s="59" t="n">
        <f aca="false">-(AZ42-AY42)*Inputs!$E$58</f>
        <v>-0</v>
      </c>
      <c r="BA43" s="59" t="n">
        <f aca="false">-(BA42-AZ42)*Inputs!$E$58</f>
        <v>-0</v>
      </c>
      <c r="BB43" s="59" t="n">
        <f aca="false">-(BB42-BA42)*Inputs!$E$58</f>
        <v>-0</v>
      </c>
      <c r="BC43" s="59" t="n">
        <f aca="false">-(BC42-BB42)*Inputs!$E$58</f>
        <v>-0</v>
      </c>
      <c r="BD43" s="59" t="n">
        <f aca="false">-(BD42-BC42)*Inputs!$E$58</f>
        <v>-0</v>
      </c>
      <c r="BE43" s="59" t="n">
        <f aca="false">-(BE42-BD42)*Inputs!$E$58</f>
        <v>-0</v>
      </c>
      <c r="BF43" s="59" t="n">
        <f aca="false">-(BF42-BE42)*Inputs!$E$58</f>
        <v>-0</v>
      </c>
      <c r="BG43" s="59" t="n">
        <f aca="false">-(BG42-BF42)*Inputs!$E$58</f>
        <v>-0</v>
      </c>
      <c r="BH43" s="59" t="n">
        <f aca="false">-(BH42-BG42)*Inputs!$E$58</f>
        <v>-0</v>
      </c>
      <c r="BI43" s="59" t="n">
        <f aca="false">-(BI42-BH42)*Inputs!$E$58</f>
        <v>-0</v>
      </c>
      <c r="BJ43" s="59" t="n">
        <f aca="false">-(BJ42-BI42)*Inputs!$E$58</f>
        <v>-0</v>
      </c>
    </row>
    <row r="44" customFormat="false" ht="15" hidden="false" customHeight="false" outlineLevel="0" collapsed="false">
      <c r="A44" s="82" t="s">
        <v>46</v>
      </c>
      <c r="C44" s="60" t="n">
        <f aca="false">C40+C43</f>
        <v>-71828.2458333333</v>
      </c>
      <c r="D44" s="60" t="n">
        <f aca="false">D40+D43</f>
        <v>-69331.0897430556</v>
      </c>
      <c r="E44" s="60" t="n">
        <f aca="false">E40+E43</f>
        <v>-66896.0781089236</v>
      </c>
      <c r="F44" s="60" t="n">
        <f aca="false">F40+F43</f>
        <v>-64521.6658529172</v>
      </c>
      <c r="G44" s="60" t="n">
        <f aca="false">G40+G43</f>
        <v>-62206.346267965</v>
      </c>
      <c r="H44" s="60" t="n">
        <f aca="false">H40+H43</f>
        <v>-59948.650066351</v>
      </c>
      <c r="I44" s="60" t="n">
        <f aca="false">I40+I43</f>
        <v>-57747.1444516804</v>
      </c>
      <c r="J44" s="60" t="n">
        <f aca="false">J40+J43</f>
        <v>-55600.4322138224</v>
      </c>
      <c r="K44" s="60" t="n">
        <f aca="false">K40+K43</f>
        <v>-53507.1508462635</v>
      </c>
      <c r="L44" s="60" t="n">
        <f aca="false">L40+L43</f>
        <v>-51465.9716853155</v>
      </c>
      <c r="M44" s="60" t="n">
        <f aca="false">M40+M43</f>
        <v>-49475.5990706404</v>
      </c>
      <c r="N44" s="60" t="n">
        <f aca="false">N40+N43</f>
        <v>-47534.7695265641</v>
      </c>
      <c r="O44" s="60" t="n">
        <f aca="false">O40+O43</f>
        <v>-81911.2651192201</v>
      </c>
      <c r="P44" s="60" t="n">
        <f aca="false">P40+P43</f>
        <v>-79352.8732351351</v>
      </c>
      <c r="Q44" s="60" t="n">
        <f aca="false">Q40+Q43</f>
        <v>-76858.1733051687</v>
      </c>
      <c r="R44" s="60" t="n">
        <f aca="false">R40+R43</f>
        <v>-74425.5810657574</v>
      </c>
      <c r="S44" s="60" t="n">
        <f aca="false">S40+S43</f>
        <v>-72053.5516188682</v>
      </c>
      <c r="T44" s="60" t="n">
        <f aca="false">T40+T43</f>
        <v>-69740.5784550919</v>
      </c>
      <c r="U44" s="60" t="n">
        <f aca="false">U40+U43</f>
        <v>-67485.1925009425</v>
      </c>
      <c r="V44" s="60" t="n">
        <f aca="false">V40+V43</f>
        <v>-65285.9611897633</v>
      </c>
      <c r="W44" s="60" t="n">
        <f aca="false">W40+W43</f>
        <v>-63141.4875556567</v>
      </c>
      <c r="X44" s="60" t="n">
        <f aca="false">X40+X43</f>
        <v>-61050.4093498668</v>
      </c>
      <c r="Y44" s="60" t="n">
        <f aca="false">Y40+Y43</f>
        <v>-59011.3981790621</v>
      </c>
      <c r="Z44" s="60" t="n">
        <f aca="false">Z40+Z43</f>
        <v>-57023.1586649725</v>
      </c>
      <c r="AA44" s="60" t="n">
        <f aca="false">AA40+AA43</f>
        <v>-111159.484892924</v>
      </c>
      <c r="AB44" s="60" t="n">
        <f aca="false">AB40+AB43</f>
        <v>-108351.118911447</v>
      </c>
      <c r="AC44" s="60" t="n">
        <f aca="false">AC40+AC43</f>
        <v>-105612.688114033</v>
      </c>
      <c r="AD44" s="60" t="n">
        <f aca="false">AD40+AD43</f>
        <v>-102942.452340044</v>
      </c>
      <c r="AE44" s="60" t="n">
        <f aca="false">AE40+AE43</f>
        <v>-100338.714686289</v>
      </c>
      <c r="AF44" s="60" t="n">
        <f aca="false">AF40+AF43</f>
        <v>-97799.8204329865</v>
      </c>
      <c r="AG44" s="60" t="n">
        <f aca="false">AG40+AG43</f>
        <v>-95324.1559963515</v>
      </c>
      <c r="AH44" s="60" t="n">
        <f aca="false">AH40+AH43</f>
        <v>-92910.1479071573</v>
      </c>
      <c r="AI44" s="60" t="n">
        <f aca="false">AI40+AI43</f>
        <v>-90556.2618146223</v>
      </c>
      <c r="AJ44" s="60" t="n">
        <f aca="false">AJ40+AJ43</f>
        <v>-88261.0015149969</v>
      </c>
      <c r="AK44" s="60" t="n">
        <f aca="false">AK40+AK43</f>
        <v>-86022.9080042407</v>
      </c>
      <c r="AL44" s="60" t="n">
        <f aca="false">AL40+AL43</f>
        <v>-83840.5585541905</v>
      </c>
      <c r="AM44" s="60" t="n">
        <f aca="false">AM40+AM43</f>
        <v>-168028.127544256</v>
      </c>
      <c r="AN44" s="60" t="n">
        <f aca="false">AN40+AN43</f>
        <v>-164769.522976518</v>
      </c>
      <c r="AO44" s="60" t="n">
        <f aca="false">AO40+AO43</f>
        <v>-161592.083074722</v>
      </c>
      <c r="AP44" s="60" t="n">
        <f aca="false">AP40+AP43</f>
        <v>-158493.787735666</v>
      </c>
      <c r="AQ44" s="60" t="n">
        <f aca="false">AQ40+AQ43</f>
        <v>-155472.667088327</v>
      </c>
      <c r="AR44" s="60" t="n">
        <f aca="false">AR40+AR43</f>
        <v>-152526.800246164</v>
      </c>
      <c r="AS44" s="60" t="n">
        <f aca="false">AS40+AS43</f>
        <v>-149654.314090378</v>
      </c>
      <c r="AT44" s="60" t="n">
        <f aca="false">AT40+AT43</f>
        <v>-146853.382083349</v>
      </c>
      <c r="AU44" s="60" t="n">
        <f aca="false">AU40+AU43</f>
        <v>-144122.223111514</v>
      </c>
      <c r="AV44" s="60" t="n">
        <f aca="false">AV40+AV43</f>
        <v>-141459.100356941</v>
      </c>
      <c r="AW44" s="60" t="n">
        <f aca="false">AW40+AW43</f>
        <v>-138862.320196911</v>
      </c>
      <c r="AX44" s="60" t="n">
        <f aca="false">AX40+AX43</f>
        <v>-136330.231130788</v>
      </c>
      <c r="AY44" s="60" t="n">
        <f aca="false">AY40+AY43</f>
        <v>-268650.876680009</v>
      </c>
      <c r="AZ44" s="60" t="n">
        <f aca="false">AZ40+AZ43</f>
        <v>-264714.734681923</v>
      </c>
      <c r="BA44" s="60" t="n">
        <f aca="false">BA40+BA43</f>
        <v>-260876.649346045</v>
      </c>
      <c r="BB44" s="60" t="n">
        <f aca="false">BB40+BB43</f>
        <v>-257134.179662452</v>
      </c>
      <c r="BC44" s="60" t="n">
        <f aca="false">BC40+BC43</f>
        <v>-253484.94533427</v>
      </c>
      <c r="BD44" s="60" t="n">
        <f aca="false">BD40+BD43</f>
        <v>-249926.625269214</v>
      </c>
      <c r="BE44" s="60" t="n">
        <f aca="false">BE40+BE43</f>
        <v>-246456.956108559</v>
      </c>
      <c r="BF44" s="60" t="n">
        <f aca="false">BF40+BF43</f>
        <v>-243073.73079261</v>
      </c>
      <c r="BG44" s="60" t="n">
        <f aca="false">BG40+BG43</f>
        <v>-239774.797161781</v>
      </c>
      <c r="BH44" s="60" t="n">
        <f aca="false">BH40+BH43</f>
        <v>-236558.056592375</v>
      </c>
      <c r="BI44" s="60" t="n">
        <f aca="false">BI40+BI43</f>
        <v>-233421.462666239</v>
      </c>
      <c r="BJ44" s="60" t="n">
        <f aca="false">BJ40+BJ43</f>
        <v>-230363.019873419</v>
      </c>
    </row>
    <row r="46" customFormat="false" ht="15.75" hidden="false" customHeight="true" outlineLevel="0" collapsed="false">
      <c r="A46" s="7" t="s">
        <v>344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6" t="s">
        <v>99</v>
      </c>
      <c r="C47" s="59" t="n">
        <f aca="false">IF(C$4=1,Inputs!$E$23,0)</f>
        <v>20000</v>
      </c>
      <c r="D47" s="59" t="n">
        <f aca="false">IF(D$4=1,Inputs!$E$23,0)</f>
        <v>0</v>
      </c>
      <c r="E47" s="59" t="n">
        <f aca="false">IF(E$4=1,Inputs!$E$23,0)</f>
        <v>0</v>
      </c>
      <c r="F47" s="59" t="n">
        <f aca="false">IF(F$4=1,Inputs!$E$23,0)</f>
        <v>0</v>
      </c>
      <c r="G47" s="59" t="n">
        <f aca="false">IF(G$4=1,Inputs!$E$23,0)</f>
        <v>0</v>
      </c>
      <c r="H47" s="59" t="n">
        <f aca="false">IF(H$4=1,Inputs!$E$23,0)</f>
        <v>0</v>
      </c>
      <c r="I47" s="59" t="n">
        <f aca="false">IF(I$4=1,Inputs!$E$23,0)</f>
        <v>0</v>
      </c>
      <c r="J47" s="59" t="n">
        <f aca="false">IF(J$4=1,Inputs!$E$23,0)</f>
        <v>0</v>
      </c>
      <c r="K47" s="59" t="n">
        <f aca="false">IF(K$4=1,Inputs!$E$23,0)</f>
        <v>0</v>
      </c>
      <c r="L47" s="59" t="n">
        <f aca="false">IF(L$4=1,Inputs!$E$23,0)</f>
        <v>0</v>
      </c>
      <c r="M47" s="59" t="n">
        <f aca="false">IF(M$4=1,Inputs!$E$23,0)</f>
        <v>0</v>
      </c>
      <c r="N47" s="59" t="n">
        <f aca="false">IF(N$4=1,Inputs!$E$23,0)</f>
        <v>0</v>
      </c>
      <c r="O47" s="59" t="n">
        <f aca="false">IF(O$4=1,Inputs!$E$23,0)</f>
        <v>0</v>
      </c>
      <c r="P47" s="59" t="n">
        <f aca="false">IF(P$4=1,Inputs!$E$23,0)</f>
        <v>0</v>
      </c>
      <c r="Q47" s="59" t="n">
        <f aca="false">IF(Q$4=1,Inputs!$E$23,0)</f>
        <v>0</v>
      </c>
      <c r="R47" s="59" t="n">
        <f aca="false">IF(R$4=1,Inputs!$E$23,0)</f>
        <v>0</v>
      </c>
      <c r="S47" s="59" t="n">
        <f aca="false">IF(S$4=1,Inputs!$E$23,0)</f>
        <v>0</v>
      </c>
      <c r="T47" s="59" t="n">
        <f aca="false">IF(T$4=1,Inputs!$E$23,0)</f>
        <v>0</v>
      </c>
      <c r="U47" s="59" t="n">
        <f aca="false">IF(U$4=1,Inputs!$E$23,0)</f>
        <v>0</v>
      </c>
      <c r="V47" s="59" t="n">
        <f aca="false">IF(V$4=1,Inputs!$E$23,0)</f>
        <v>0</v>
      </c>
      <c r="W47" s="59" t="n">
        <f aca="false">IF(W$4=1,Inputs!$E$23,0)</f>
        <v>0</v>
      </c>
      <c r="X47" s="59" t="n">
        <f aca="false">IF(X$4=1,Inputs!$E$23,0)</f>
        <v>0</v>
      </c>
      <c r="Y47" s="59" t="n">
        <f aca="false">IF(Y$4=1,Inputs!$E$23,0)</f>
        <v>0</v>
      </c>
      <c r="Z47" s="59" t="n">
        <f aca="false">IF(Z$4=1,Inputs!$E$23,0)</f>
        <v>0</v>
      </c>
      <c r="AA47" s="59" t="n">
        <f aca="false">IF(AA$4=1,Inputs!$E$23,0)</f>
        <v>0</v>
      </c>
      <c r="AB47" s="59" t="n">
        <f aca="false">IF(AB$4=1,Inputs!$E$23,0)</f>
        <v>0</v>
      </c>
      <c r="AC47" s="59" t="n">
        <f aca="false">IF(AC$4=1,Inputs!$E$23,0)</f>
        <v>0</v>
      </c>
      <c r="AD47" s="59" t="n">
        <f aca="false">IF(AD$4=1,Inputs!$E$23,0)</f>
        <v>0</v>
      </c>
      <c r="AE47" s="59" t="n">
        <f aca="false">IF(AE$4=1,Inputs!$E$23,0)</f>
        <v>0</v>
      </c>
      <c r="AF47" s="59" t="n">
        <f aca="false">IF(AF$4=1,Inputs!$E$23,0)</f>
        <v>0</v>
      </c>
      <c r="AG47" s="59" t="n">
        <f aca="false">IF(AG$4=1,Inputs!$E$23,0)</f>
        <v>0</v>
      </c>
      <c r="AH47" s="59" t="n">
        <f aca="false">IF(AH$4=1,Inputs!$E$23,0)</f>
        <v>0</v>
      </c>
      <c r="AI47" s="59" t="n">
        <f aca="false">IF(AI$4=1,Inputs!$E$23,0)</f>
        <v>0</v>
      </c>
      <c r="AJ47" s="59" t="n">
        <f aca="false">IF(AJ$4=1,Inputs!$E$23,0)</f>
        <v>0</v>
      </c>
      <c r="AK47" s="59" t="n">
        <f aca="false">IF(AK$4=1,Inputs!$E$23,0)</f>
        <v>0</v>
      </c>
      <c r="AL47" s="59" t="n">
        <f aca="false">IF(AL$4=1,Inputs!$E$23,0)</f>
        <v>0</v>
      </c>
      <c r="AM47" s="59" t="n">
        <f aca="false">IF(AM$4=1,Inputs!$E$23,0)</f>
        <v>0</v>
      </c>
      <c r="AN47" s="59" t="n">
        <f aca="false">IF(AN$4=1,Inputs!$E$23,0)</f>
        <v>0</v>
      </c>
      <c r="AO47" s="59" t="n">
        <f aca="false">IF(AO$4=1,Inputs!$E$23,0)</f>
        <v>0</v>
      </c>
      <c r="AP47" s="59" t="n">
        <f aca="false">IF(AP$4=1,Inputs!$E$23,0)</f>
        <v>0</v>
      </c>
      <c r="AQ47" s="59" t="n">
        <f aca="false">IF(AQ$4=1,Inputs!$E$23,0)</f>
        <v>0</v>
      </c>
      <c r="AR47" s="59" t="n">
        <f aca="false">IF(AR$4=1,Inputs!$E$23,0)</f>
        <v>0</v>
      </c>
      <c r="AS47" s="59" t="n">
        <f aca="false">IF(AS$4=1,Inputs!$E$23,0)</f>
        <v>0</v>
      </c>
      <c r="AT47" s="59" t="n">
        <f aca="false">IF(AT$4=1,Inputs!$E$23,0)</f>
        <v>0</v>
      </c>
      <c r="AU47" s="59" t="n">
        <f aca="false">IF(AU$4=1,Inputs!$E$23,0)</f>
        <v>0</v>
      </c>
      <c r="AV47" s="59" t="n">
        <f aca="false">IF(AV$4=1,Inputs!$E$23,0)</f>
        <v>0</v>
      </c>
      <c r="AW47" s="59" t="n">
        <f aca="false">IF(AW$4=1,Inputs!$E$23,0)</f>
        <v>0</v>
      </c>
      <c r="AX47" s="59" t="n">
        <f aca="false">IF(AX$4=1,Inputs!$E$23,0)</f>
        <v>0</v>
      </c>
      <c r="AY47" s="59" t="n">
        <f aca="false">IF(AY$4=1,Inputs!$E$23,0)</f>
        <v>0</v>
      </c>
      <c r="AZ47" s="59" t="n">
        <f aca="false">IF(AZ$4=1,Inputs!$E$23,0)</f>
        <v>0</v>
      </c>
      <c r="BA47" s="59" t="n">
        <f aca="false">IF(BA$4=1,Inputs!$E$23,0)</f>
        <v>0</v>
      </c>
      <c r="BB47" s="59" t="n">
        <f aca="false">IF(BB$4=1,Inputs!$E$23,0)</f>
        <v>0</v>
      </c>
      <c r="BC47" s="59" t="n">
        <f aca="false">IF(BC$4=1,Inputs!$E$23,0)</f>
        <v>0</v>
      </c>
      <c r="BD47" s="59" t="n">
        <f aca="false">IF(BD$4=1,Inputs!$E$23,0)</f>
        <v>0</v>
      </c>
      <c r="BE47" s="59" t="n">
        <f aca="false">IF(BE$4=1,Inputs!$E$23,0)</f>
        <v>0</v>
      </c>
      <c r="BF47" s="59" t="n">
        <f aca="false">IF(BF$4=1,Inputs!$E$23,0)</f>
        <v>0</v>
      </c>
      <c r="BG47" s="59" t="n">
        <f aca="false">IF(BG$4=1,Inputs!$E$23,0)</f>
        <v>0</v>
      </c>
      <c r="BH47" s="59" t="n">
        <f aca="false">IF(BH$4=1,Inputs!$E$23,0)</f>
        <v>0</v>
      </c>
      <c r="BI47" s="59" t="n">
        <f aca="false">IF(BI$4=1,Inputs!$E$23,0)</f>
        <v>0</v>
      </c>
      <c r="BJ47" s="59" t="n">
        <f aca="false">IF(BJ$4=1,Inputs!$E$23,0)</f>
        <v>0</v>
      </c>
    </row>
    <row r="48" customFormat="false" ht="15" hidden="false" customHeight="false" outlineLevel="0" collapsed="false">
      <c r="A48" s="6" t="s">
        <v>345</v>
      </c>
      <c r="C48" s="59" t="n">
        <f aca="false">C47</f>
        <v>20000</v>
      </c>
      <c r="D48" s="59" t="n">
        <f aca="false">C48+D47</f>
        <v>20000</v>
      </c>
      <c r="E48" s="59" t="n">
        <f aca="false">D48+E47</f>
        <v>20000</v>
      </c>
      <c r="F48" s="59" t="n">
        <f aca="false">E48+F47</f>
        <v>20000</v>
      </c>
      <c r="G48" s="59" t="n">
        <f aca="false">F48+G47</f>
        <v>20000</v>
      </c>
      <c r="H48" s="59" t="n">
        <f aca="false">G48+H47</f>
        <v>20000</v>
      </c>
      <c r="I48" s="59" t="n">
        <f aca="false">H48+I47</f>
        <v>20000</v>
      </c>
      <c r="J48" s="59" t="n">
        <f aca="false">I48+J47</f>
        <v>20000</v>
      </c>
      <c r="K48" s="59" t="n">
        <f aca="false">J48+K47</f>
        <v>20000</v>
      </c>
      <c r="L48" s="59" t="n">
        <f aca="false">K48+L47</f>
        <v>20000</v>
      </c>
      <c r="M48" s="59" t="n">
        <f aca="false">L48+M47</f>
        <v>20000</v>
      </c>
      <c r="N48" s="59" t="n">
        <f aca="false">M48+N47</f>
        <v>20000</v>
      </c>
      <c r="O48" s="59" t="n">
        <f aca="false">N48+O47</f>
        <v>20000</v>
      </c>
      <c r="P48" s="59" t="n">
        <f aca="false">O48+P47</f>
        <v>20000</v>
      </c>
      <c r="Q48" s="59" t="n">
        <f aca="false">P48+Q47</f>
        <v>20000</v>
      </c>
      <c r="R48" s="59" t="n">
        <f aca="false">Q48+R47</f>
        <v>20000</v>
      </c>
      <c r="S48" s="59" t="n">
        <f aca="false">R48+S47</f>
        <v>20000</v>
      </c>
      <c r="T48" s="59" t="n">
        <f aca="false">S48+T47</f>
        <v>20000</v>
      </c>
      <c r="U48" s="59" t="n">
        <f aca="false">T48+U47</f>
        <v>20000</v>
      </c>
      <c r="V48" s="59" t="n">
        <f aca="false">U48+V47</f>
        <v>20000</v>
      </c>
      <c r="W48" s="59" t="n">
        <f aca="false">V48+W47</f>
        <v>20000</v>
      </c>
      <c r="X48" s="59" t="n">
        <f aca="false">W48+X47</f>
        <v>20000</v>
      </c>
      <c r="Y48" s="59" t="n">
        <f aca="false">X48+Y47</f>
        <v>20000</v>
      </c>
      <c r="Z48" s="59" t="n">
        <f aca="false">Y48+Z47</f>
        <v>20000</v>
      </c>
      <c r="AA48" s="59" t="n">
        <f aca="false">Z48+AA47</f>
        <v>20000</v>
      </c>
      <c r="AB48" s="59" t="n">
        <f aca="false">AA48+AB47</f>
        <v>20000</v>
      </c>
      <c r="AC48" s="59" t="n">
        <f aca="false">AB48+AC47</f>
        <v>20000</v>
      </c>
      <c r="AD48" s="59" t="n">
        <f aca="false">AC48+AD47</f>
        <v>20000</v>
      </c>
      <c r="AE48" s="59" t="n">
        <f aca="false">AD48+AE47</f>
        <v>20000</v>
      </c>
      <c r="AF48" s="59" t="n">
        <f aca="false">AE48+AF47</f>
        <v>20000</v>
      </c>
      <c r="AG48" s="59" t="n">
        <f aca="false">AF48+AG47</f>
        <v>20000</v>
      </c>
      <c r="AH48" s="59" t="n">
        <f aca="false">AG48+AH47</f>
        <v>20000</v>
      </c>
      <c r="AI48" s="59" t="n">
        <f aca="false">AH48+AI47</f>
        <v>20000</v>
      </c>
      <c r="AJ48" s="59" t="n">
        <f aca="false">AI48+AJ47</f>
        <v>20000</v>
      </c>
      <c r="AK48" s="59" t="n">
        <f aca="false">AJ48+AK47</f>
        <v>20000</v>
      </c>
      <c r="AL48" s="59" t="n">
        <f aca="false">AK48+AL47</f>
        <v>20000</v>
      </c>
      <c r="AM48" s="59" t="n">
        <f aca="false">AL48+AM47</f>
        <v>20000</v>
      </c>
      <c r="AN48" s="59" t="n">
        <f aca="false">AM48+AN47</f>
        <v>20000</v>
      </c>
      <c r="AO48" s="59" t="n">
        <f aca="false">AN48+AO47</f>
        <v>20000</v>
      </c>
      <c r="AP48" s="59" t="n">
        <f aca="false">AO48+AP47</f>
        <v>20000</v>
      </c>
      <c r="AQ48" s="59" t="n">
        <f aca="false">AP48+AQ47</f>
        <v>20000</v>
      </c>
      <c r="AR48" s="59" t="n">
        <f aca="false">AQ48+AR47</f>
        <v>20000</v>
      </c>
      <c r="AS48" s="59" t="n">
        <f aca="false">AR48+AS47</f>
        <v>20000</v>
      </c>
      <c r="AT48" s="59" t="n">
        <f aca="false">AS48+AT47</f>
        <v>20000</v>
      </c>
      <c r="AU48" s="59" t="n">
        <f aca="false">AT48+AU47</f>
        <v>20000</v>
      </c>
      <c r="AV48" s="59" t="n">
        <f aca="false">AU48+AV47</f>
        <v>20000</v>
      </c>
      <c r="AW48" s="59" t="n">
        <f aca="false">AV48+AW47</f>
        <v>20000</v>
      </c>
      <c r="AX48" s="59" t="n">
        <f aca="false">AW48+AX47</f>
        <v>20000</v>
      </c>
      <c r="AY48" s="59" t="n">
        <f aca="false">AX48+AY47</f>
        <v>20000</v>
      </c>
      <c r="AZ48" s="59" t="n">
        <f aca="false">AY48+AZ47</f>
        <v>20000</v>
      </c>
      <c r="BA48" s="59" t="n">
        <f aca="false">AZ48+BA47</f>
        <v>20000</v>
      </c>
      <c r="BB48" s="59" t="n">
        <f aca="false">BA48+BB47</f>
        <v>20000</v>
      </c>
      <c r="BC48" s="59" t="n">
        <f aca="false">BB48+BC47</f>
        <v>20000</v>
      </c>
      <c r="BD48" s="59" t="n">
        <f aca="false">BC48+BD47</f>
        <v>20000</v>
      </c>
      <c r="BE48" s="59" t="n">
        <f aca="false">BD48+BE47</f>
        <v>20000</v>
      </c>
      <c r="BF48" s="59" t="n">
        <f aca="false">BE48+BF47</f>
        <v>20000</v>
      </c>
      <c r="BG48" s="59" t="n">
        <f aca="false">BF48+BG47</f>
        <v>20000</v>
      </c>
      <c r="BH48" s="59" t="n">
        <f aca="false">BG48+BH47</f>
        <v>20000</v>
      </c>
      <c r="BI48" s="59" t="n">
        <f aca="false">BH48+BI47</f>
        <v>20000</v>
      </c>
      <c r="BJ48" s="59" t="n">
        <f aca="false">BI48+BJ47</f>
        <v>20000</v>
      </c>
    </row>
    <row r="49" customFormat="false" ht="15" hidden="false" customHeight="false" outlineLevel="0" collapsed="false">
      <c r="A49" s="6" t="s">
        <v>93</v>
      </c>
      <c r="C49" s="59" t="n">
        <f aca="false">-MIN(C48/MAX(1,Inputs!$E$57*12),C47)</f>
        <v>-555.555555555556</v>
      </c>
      <c r="D49" s="59" t="n">
        <f aca="false">-MIN(D48/MAX(1,Inputs!$E$57*12),C51+D47)</f>
        <v>-555.555555555556</v>
      </c>
      <c r="E49" s="59" t="n">
        <f aca="false">-MIN(E48/MAX(1,Inputs!$E$57*12),D51+E47)</f>
        <v>-555.555555555556</v>
      </c>
      <c r="F49" s="59" t="n">
        <f aca="false">-MIN(F48/MAX(1,Inputs!$E$57*12),E51+F47)</f>
        <v>-555.555555555556</v>
      </c>
      <c r="G49" s="59" t="n">
        <f aca="false">-MIN(G48/MAX(1,Inputs!$E$57*12),F51+G47)</f>
        <v>-555.555555555556</v>
      </c>
      <c r="H49" s="59" t="n">
        <f aca="false">-MIN(H48/MAX(1,Inputs!$E$57*12),G51+H47)</f>
        <v>-555.555555555556</v>
      </c>
      <c r="I49" s="59" t="n">
        <f aca="false">-MIN(I48/MAX(1,Inputs!$E$57*12),H51+I47)</f>
        <v>-555.555555555556</v>
      </c>
      <c r="J49" s="59" t="n">
        <f aca="false">-MIN(J48/MAX(1,Inputs!$E$57*12),I51+J47)</f>
        <v>-555.555555555556</v>
      </c>
      <c r="K49" s="59" t="n">
        <f aca="false">-MIN(K48/MAX(1,Inputs!$E$57*12),J51+K47)</f>
        <v>-555.555555555556</v>
      </c>
      <c r="L49" s="59" t="n">
        <f aca="false">-MIN(L48/MAX(1,Inputs!$E$57*12),K51+L47)</f>
        <v>-555.555555555556</v>
      </c>
      <c r="M49" s="59" t="n">
        <f aca="false">-MIN(M48/MAX(1,Inputs!$E$57*12),L51+M47)</f>
        <v>-555.555555555556</v>
      </c>
      <c r="N49" s="59" t="n">
        <f aca="false">-MIN(N48/MAX(1,Inputs!$E$57*12),M51+N47)</f>
        <v>-555.555555555556</v>
      </c>
      <c r="O49" s="59" t="n">
        <f aca="false">-MIN(O48/MAX(1,Inputs!$E$57*12),N51+O47)</f>
        <v>-555.555555555556</v>
      </c>
      <c r="P49" s="59" t="n">
        <f aca="false">-MIN(P48/MAX(1,Inputs!$E$57*12),O51+P47)</f>
        <v>-555.555555555556</v>
      </c>
      <c r="Q49" s="59" t="n">
        <f aca="false">-MIN(Q48/MAX(1,Inputs!$E$57*12),P51+Q47)</f>
        <v>-555.555555555556</v>
      </c>
      <c r="R49" s="59" t="n">
        <f aca="false">-MIN(R48/MAX(1,Inputs!$E$57*12),Q51+R47)</f>
        <v>-555.555555555556</v>
      </c>
      <c r="S49" s="59" t="n">
        <f aca="false">-MIN(S48/MAX(1,Inputs!$E$57*12),R51+S47)</f>
        <v>-555.555555555556</v>
      </c>
      <c r="T49" s="59" t="n">
        <f aca="false">-MIN(T48/MAX(1,Inputs!$E$57*12),S51+T47)</f>
        <v>-555.555555555556</v>
      </c>
      <c r="U49" s="59" t="n">
        <f aca="false">-MIN(U48/MAX(1,Inputs!$E$57*12),T51+U47)</f>
        <v>-555.555555555556</v>
      </c>
      <c r="V49" s="59" t="n">
        <f aca="false">-MIN(V48/MAX(1,Inputs!$E$57*12),U51+V47)</f>
        <v>-555.555555555556</v>
      </c>
      <c r="W49" s="59" t="n">
        <f aca="false">-MIN(W48/MAX(1,Inputs!$E$57*12),V51+W47)</f>
        <v>-555.555555555556</v>
      </c>
      <c r="X49" s="59" t="n">
        <f aca="false">-MIN(X48/MAX(1,Inputs!$E$57*12),W51+X47)</f>
        <v>-555.555555555556</v>
      </c>
      <c r="Y49" s="59" t="n">
        <f aca="false">-MIN(Y48/MAX(1,Inputs!$E$57*12),X51+Y47)</f>
        <v>-555.555555555556</v>
      </c>
      <c r="Z49" s="59" t="n">
        <f aca="false">-MIN(Z48/MAX(1,Inputs!$E$57*12),Y51+Z47)</f>
        <v>-555.555555555556</v>
      </c>
      <c r="AA49" s="59" t="n">
        <f aca="false">-MIN(AA48/MAX(1,Inputs!$E$57*12),Z51+AA47)</f>
        <v>-555.555555555556</v>
      </c>
      <c r="AB49" s="59" t="n">
        <f aca="false">-MIN(AB48/MAX(1,Inputs!$E$57*12),AA51+AB47)</f>
        <v>-555.555555555556</v>
      </c>
      <c r="AC49" s="59" t="n">
        <f aca="false">-MIN(AC48/MAX(1,Inputs!$E$57*12),AB51+AC47)</f>
        <v>-555.555555555556</v>
      </c>
      <c r="AD49" s="59" t="n">
        <f aca="false">-MIN(AD48/MAX(1,Inputs!$E$57*12),AC51+AD47)</f>
        <v>-555.555555555556</v>
      </c>
      <c r="AE49" s="59" t="n">
        <f aca="false">-MIN(AE48/MAX(1,Inputs!$E$57*12),AD51+AE47)</f>
        <v>-555.555555555556</v>
      </c>
      <c r="AF49" s="59" t="n">
        <f aca="false">-MIN(AF48/MAX(1,Inputs!$E$57*12),AE51+AF47)</f>
        <v>-555.555555555556</v>
      </c>
      <c r="AG49" s="59" t="n">
        <f aca="false">-MIN(AG48/MAX(1,Inputs!$E$57*12),AF51+AG47)</f>
        <v>-555.555555555556</v>
      </c>
      <c r="AH49" s="59" t="n">
        <f aca="false">-MIN(AH48/MAX(1,Inputs!$E$57*12),AG51+AH47)</f>
        <v>-555.555555555556</v>
      </c>
      <c r="AI49" s="59" t="n">
        <f aca="false">-MIN(AI48/MAX(1,Inputs!$E$57*12),AH51+AI47)</f>
        <v>-555.555555555556</v>
      </c>
      <c r="AJ49" s="59" t="n">
        <f aca="false">-MIN(AJ48/MAX(1,Inputs!$E$57*12),AI51+AJ47)</f>
        <v>-555.555555555556</v>
      </c>
      <c r="AK49" s="59" t="n">
        <f aca="false">-MIN(AK48/MAX(1,Inputs!$E$57*12),AJ51+AK47)</f>
        <v>-555.555555555556</v>
      </c>
      <c r="AL49" s="59" t="n">
        <f aca="false">-MIN(AL48/MAX(1,Inputs!$E$57*12),AK51+AL47)</f>
        <v>-555.555555555556</v>
      </c>
      <c r="AM49" s="59" t="n">
        <f aca="false">-MIN(AM48/MAX(1,Inputs!$E$57*12),AL51+AM47)</f>
        <v>-0</v>
      </c>
      <c r="AN49" s="59" t="n">
        <f aca="false">-MIN(AN48/MAX(1,Inputs!$E$57*12),AM51+AN47)</f>
        <v>-0</v>
      </c>
      <c r="AO49" s="59" t="n">
        <f aca="false">-MIN(AO48/MAX(1,Inputs!$E$57*12),AN51+AO47)</f>
        <v>-0</v>
      </c>
      <c r="AP49" s="59" t="n">
        <f aca="false">-MIN(AP48/MAX(1,Inputs!$E$57*12),AO51+AP47)</f>
        <v>-0</v>
      </c>
      <c r="AQ49" s="59" t="n">
        <f aca="false">-MIN(AQ48/MAX(1,Inputs!$E$57*12),AP51+AQ47)</f>
        <v>-0</v>
      </c>
      <c r="AR49" s="59" t="n">
        <f aca="false">-MIN(AR48/MAX(1,Inputs!$E$57*12),AQ51+AR47)</f>
        <v>-0</v>
      </c>
      <c r="AS49" s="59" t="n">
        <f aca="false">-MIN(AS48/MAX(1,Inputs!$E$57*12),AR51+AS47)</f>
        <v>-0</v>
      </c>
      <c r="AT49" s="59" t="n">
        <f aca="false">-MIN(AT48/MAX(1,Inputs!$E$57*12),AS51+AT47)</f>
        <v>-0</v>
      </c>
      <c r="AU49" s="59" t="n">
        <f aca="false">-MIN(AU48/MAX(1,Inputs!$E$57*12),AT51+AU47)</f>
        <v>-0</v>
      </c>
      <c r="AV49" s="59" t="n">
        <f aca="false">-MIN(AV48/MAX(1,Inputs!$E$57*12),AU51+AV47)</f>
        <v>-0</v>
      </c>
      <c r="AW49" s="59" t="n">
        <f aca="false">-MIN(AW48/MAX(1,Inputs!$E$57*12),AV51+AW47)</f>
        <v>-0</v>
      </c>
      <c r="AX49" s="59" t="n">
        <f aca="false">-MIN(AX48/MAX(1,Inputs!$E$57*12),AW51+AX47)</f>
        <v>-0</v>
      </c>
      <c r="AY49" s="59" t="n">
        <f aca="false">-MIN(AY48/MAX(1,Inputs!$E$57*12),AX51+AY47)</f>
        <v>-0</v>
      </c>
      <c r="AZ49" s="59" t="n">
        <f aca="false">-MIN(AZ48/MAX(1,Inputs!$E$57*12),AY51+AZ47)</f>
        <v>-0</v>
      </c>
      <c r="BA49" s="59" t="n">
        <f aca="false">-MIN(BA48/MAX(1,Inputs!$E$57*12),AZ51+BA47)</f>
        <v>-0</v>
      </c>
      <c r="BB49" s="59" t="n">
        <f aca="false">-MIN(BB48/MAX(1,Inputs!$E$57*12),BA51+BB47)</f>
        <v>-0</v>
      </c>
      <c r="BC49" s="59" t="n">
        <f aca="false">-MIN(BC48/MAX(1,Inputs!$E$57*12),BB51+BC47)</f>
        <v>-0</v>
      </c>
      <c r="BD49" s="59" t="n">
        <f aca="false">-MIN(BD48/MAX(1,Inputs!$E$57*12),BC51+BD47)</f>
        <v>-0</v>
      </c>
      <c r="BE49" s="59" t="n">
        <f aca="false">-MIN(BE48/MAX(1,Inputs!$E$57*12),BD51+BE47)</f>
        <v>-0</v>
      </c>
      <c r="BF49" s="59" t="n">
        <f aca="false">-MIN(BF48/MAX(1,Inputs!$E$57*12),BE51+BF47)</f>
        <v>-0</v>
      </c>
      <c r="BG49" s="59" t="n">
        <f aca="false">-MIN(BG48/MAX(1,Inputs!$E$57*12),BF51+BG47)</f>
        <v>-0</v>
      </c>
      <c r="BH49" s="59" t="n">
        <f aca="false">-MIN(BH48/MAX(1,Inputs!$E$57*12),BG51+BH47)</f>
        <v>-0</v>
      </c>
      <c r="BI49" s="59" t="n">
        <f aca="false">-MIN(BI48/MAX(1,Inputs!$E$57*12),BH51+BI47)</f>
        <v>-0</v>
      </c>
      <c r="BJ49" s="59" t="n">
        <f aca="false">-MIN(BJ48/MAX(1,Inputs!$E$57*12),BI51+BJ47)</f>
        <v>-0</v>
      </c>
    </row>
    <row r="50" customFormat="false" ht="15" hidden="false" customHeight="false" outlineLevel="0" collapsed="false">
      <c r="A50" s="6" t="s">
        <v>346</v>
      </c>
      <c r="C50" s="59" t="n">
        <f aca="false">C49</f>
        <v>-555.555555555556</v>
      </c>
      <c r="D50" s="59" t="n">
        <f aca="false">C50+D49</f>
        <v>-1111.11111111111</v>
      </c>
      <c r="E50" s="59" t="n">
        <f aca="false">D50+E49</f>
        <v>-1666.66666666667</v>
      </c>
      <c r="F50" s="59" t="n">
        <f aca="false">E50+F49</f>
        <v>-2222.22222222222</v>
      </c>
      <c r="G50" s="59" t="n">
        <f aca="false">F50+G49</f>
        <v>-2777.77777777778</v>
      </c>
      <c r="H50" s="59" t="n">
        <f aca="false">G50+H49</f>
        <v>-3333.33333333333</v>
      </c>
      <c r="I50" s="59" t="n">
        <f aca="false">H50+I49</f>
        <v>-3888.88888888889</v>
      </c>
      <c r="J50" s="59" t="n">
        <f aca="false">I50+J49</f>
        <v>-4444.44444444444</v>
      </c>
      <c r="K50" s="59" t="n">
        <f aca="false">J50+K49</f>
        <v>-5000</v>
      </c>
      <c r="L50" s="59" t="n">
        <f aca="false">K50+L49</f>
        <v>-5555.55555555556</v>
      </c>
      <c r="M50" s="59" t="n">
        <f aca="false">L50+M49</f>
        <v>-6111.11111111111</v>
      </c>
      <c r="N50" s="59" t="n">
        <f aca="false">M50+N49</f>
        <v>-6666.66666666667</v>
      </c>
      <c r="O50" s="59" t="n">
        <f aca="false">N50+O49</f>
        <v>-7222.22222222222</v>
      </c>
      <c r="P50" s="59" t="n">
        <f aca="false">O50+P49</f>
        <v>-7777.77777777778</v>
      </c>
      <c r="Q50" s="59" t="n">
        <f aca="false">P50+Q49</f>
        <v>-8333.33333333333</v>
      </c>
      <c r="R50" s="59" t="n">
        <f aca="false">Q50+R49</f>
        <v>-8888.88888888889</v>
      </c>
      <c r="S50" s="59" t="n">
        <f aca="false">R50+S49</f>
        <v>-9444.44444444444</v>
      </c>
      <c r="T50" s="59" t="n">
        <f aca="false">S50+T49</f>
        <v>-10000</v>
      </c>
      <c r="U50" s="59" t="n">
        <f aca="false">T50+U49</f>
        <v>-10555.5555555556</v>
      </c>
      <c r="V50" s="59" t="n">
        <f aca="false">U50+V49</f>
        <v>-11111.1111111111</v>
      </c>
      <c r="W50" s="59" t="n">
        <f aca="false">V50+W49</f>
        <v>-11666.6666666667</v>
      </c>
      <c r="X50" s="59" t="n">
        <f aca="false">W50+X49</f>
        <v>-12222.2222222222</v>
      </c>
      <c r="Y50" s="59" t="n">
        <f aca="false">X50+Y49</f>
        <v>-12777.7777777778</v>
      </c>
      <c r="Z50" s="59" t="n">
        <f aca="false">Y50+Z49</f>
        <v>-13333.3333333333</v>
      </c>
      <c r="AA50" s="59" t="n">
        <f aca="false">Z50+AA49</f>
        <v>-13888.8888888889</v>
      </c>
      <c r="AB50" s="59" t="n">
        <f aca="false">AA50+AB49</f>
        <v>-14444.4444444444</v>
      </c>
      <c r="AC50" s="59" t="n">
        <f aca="false">AB50+AC49</f>
        <v>-15000</v>
      </c>
      <c r="AD50" s="59" t="n">
        <f aca="false">AC50+AD49</f>
        <v>-15555.5555555555</v>
      </c>
      <c r="AE50" s="59" t="n">
        <f aca="false">AD50+AE49</f>
        <v>-16111.1111111111</v>
      </c>
      <c r="AF50" s="59" t="n">
        <f aca="false">AE50+AF49</f>
        <v>-16666.6666666667</v>
      </c>
      <c r="AG50" s="59" t="n">
        <f aca="false">AF50+AG49</f>
        <v>-17222.2222222222</v>
      </c>
      <c r="AH50" s="59" t="n">
        <f aca="false">AG50+AH49</f>
        <v>-17777.7777777778</v>
      </c>
      <c r="AI50" s="59" t="n">
        <f aca="false">AH50+AI49</f>
        <v>-18333.3333333333</v>
      </c>
      <c r="AJ50" s="59" t="n">
        <f aca="false">AI50+AJ49</f>
        <v>-18888.8888888889</v>
      </c>
      <c r="AK50" s="59" t="n">
        <f aca="false">AJ50+AK49</f>
        <v>-19444.4444444444</v>
      </c>
      <c r="AL50" s="59" t="n">
        <f aca="false">AK50+AL49</f>
        <v>-20000</v>
      </c>
      <c r="AM50" s="59" t="n">
        <f aca="false">AL50+AM49</f>
        <v>-20000</v>
      </c>
      <c r="AN50" s="59" t="n">
        <f aca="false">AM50+AN49</f>
        <v>-20000</v>
      </c>
      <c r="AO50" s="59" t="n">
        <f aca="false">AN50+AO49</f>
        <v>-20000</v>
      </c>
      <c r="AP50" s="59" t="n">
        <f aca="false">AO50+AP49</f>
        <v>-20000</v>
      </c>
      <c r="AQ50" s="59" t="n">
        <f aca="false">AP50+AQ49</f>
        <v>-20000</v>
      </c>
      <c r="AR50" s="59" t="n">
        <f aca="false">AQ50+AR49</f>
        <v>-20000</v>
      </c>
      <c r="AS50" s="59" t="n">
        <f aca="false">AR50+AS49</f>
        <v>-20000</v>
      </c>
      <c r="AT50" s="59" t="n">
        <f aca="false">AS50+AT49</f>
        <v>-20000</v>
      </c>
      <c r="AU50" s="59" t="n">
        <f aca="false">AT50+AU49</f>
        <v>-20000</v>
      </c>
      <c r="AV50" s="59" t="n">
        <f aca="false">AU50+AV49</f>
        <v>-20000</v>
      </c>
      <c r="AW50" s="59" t="n">
        <f aca="false">AV50+AW49</f>
        <v>-20000</v>
      </c>
      <c r="AX50" s="59" t="n">
        <f aca="false">AW50+AX49</f>
        <v>-20000</v>
      </c>
      <c r="AY50" s="59" t="n">
        <f aca="false">AX50+AY49</f>
        <v>-20000</v>
      </c>
      <c r="AZ50" s="59" t="n">
        <f aca="false">AY50+AZ49</f>
        <v>-20000</v>
      </c>
      <c r="BA50" s="59" t="n">
        <f aca="false">AZ50+BA49</f>
        <v>-20000</v>
      </c>
      <c r="BB50" s="59" t="n">
        <f aca="false">BA50+BB49</f>
        <v>-20000</v>
      </c>
      <c r="BC50" s="59" t="n">
        <f aca="false">BB50+BC49</f>
        <v>-20000</v>
      </c>
      <c r="BD50" s="59" t="n">
        <f aca="false">BC50+BD49</f>
        <v>-20000</v>
      </c>
      <c r="BE50" s="59" t="n">
        <f aca="false">BD50+BE49</f>
        <v>-20000</v>
      </c>
      <c r="BF50" s="59" t="n">
        <f aca="false">BE50+BF49</f>
        <v>-20000</v>
      </c>
      <c r="BG50" s="59" t="n">
        <f aca="false">BF50+BG49</f>
        <v>-20000</v>
      </c>
      <c r="BH50" s="59" t="n">
        <f aca="false">BG50+BH49</f>
        <v>-20000</v>
      </c>
      <c r="BI50" s="59" t="n">
        <f aca="false">BH50+BI49</f>
        <v>-20000</v>
      </c>
      <c r="BJ50" s="59" t="n">
        <f aca="false">BI50+BJ49</f>
        <v>-20000</v>
      </c>
    </row>
    <row r="51" customFormat="false" ht="15" hidden="false" customHeight="false" outlineLevel="0" collapsed="false">
      <c r="A51" s="4" t="s">
        <v>107</v>
      </c>
      <c r="C51" s="64" t="n">
        <f aca="false">C48+C50</f>
        <v>19444.4444444444</v>
      </c>
      <c r="D51" s="64" t="n">
        <f aca="false">D48+D50</f>
        <v>18888.8888888889</v>
      </c>
      <c r="E51" s="64" t="n">
        <f aca="false">E48+E50</f>
        <v>18333.3333333333</v>
      </c>
      <c r="F51" s="64" t="n">
        <f aca="false">F48+F50</f>
        <v>17777.7777777778</v>
      </c>
      <c r="G51" s="64" t="n">
        <f aca="false">G48+G50</f>
        <v>17222.2222222222</v>
      </c>
      <c r="H51" s="64" t="n">
        <f aca="false">H48+H50</f>
        <v>16666.6666666667</v>
      </c>
      <c r="I51" s="64" t="n">
        <f aca="false">I48+I50</f>
        <v>16111.1111111111</v>
      </c>
      <c r="J51" s="64" t="n">
        <f aca="false">J48+J50</f>
        <v>15555.5555555556</v>
      </c>
      <c r="K51" s="64" t="n">
        <f aca="false">K48+K50</f>
        <v>15000</v>
      </c>
      <c r="L51" s="64" t="n">
        <f aca="false">L48+L50</f>
        <v>14444.4444444444</v>
      </c>
      <c r="M51" s="64" t="n">
        <f aca="false">M48+M50</f>
        <v>13888.8888888889</v>
      </c>
      <c r="N51" s="64" t="n">
        <f aca="false">N48+N50</f>
        <v>13333.3333333333</v>
      </c>
      <c r="O51" s="64" t="n">
        <f aca="false">O48+O50</f>
        <v>12777.7777777778</v>
      </c>
      <c r="P51" s="64" t="n">
        <f aca="false">P48+P50</f>
        <v>12222.2222222222</v>
      </c>
      <c r="Q51" s="64" t="n">
        <f aca="false">Q48+Q50</f>
        <v>11666.6666666667</v>
      </c>
      <c r="R51" s="64" t="n">
        <f aca="false">R48+R50</f>
        <v>11111.1111111111</v>
      </c>
      <c r="S51" s="64" t="n">
        <f aca="false">S48+S50</f>
        <v>10555.5555555556</v>
      </c>
      <c r="T51" s="64" t="n">
        <f aca="false">T48+T50</f>
        <v>10000</v>
      </c>
      <c r="U51" s="64" t="n">
        <f aca="false">U48+U50</f>
        <v>9444.44444444445</v>
      </c>
      <c r="V51" s="64" t="n">
        <f aca="false">V48+V50</f>
        <v>8888.88888888889</v>
      </c>
      <c r="W51" s="64" t="n">
        <f aca="false">W48+W50</f>
        <v>8333.33333333334</v>
      </c>
      <c r="X51" s="64" t="n">
        <f aca="false">X48+X50</f>
        <v>7777.77777777778</v>
      </c>
      <c r="Y51" s="64" t="n">
        <f aca="false">Y48+Y50</f>
        <v>7222.22222222223</v>
      </c>
      <c r="Z51" s="64" t="n">
        <f aca="false">Z48+Z50</f>
        <v>6666.66666666667</v>
      </c>
      <c r="AA51" s="64" t="n">
        <f aca="false">AA48+AA50</f>
        <v>6111.11111111112</v>
      </c>
      <c r="AB51" s="64" t="n">
        <f aca="false">AB48+AB50</f>
        <v>5555.55555555556</v>
      </c>
      <c r="AC51" s="64" t="n">
        <f aca="false">AC48+AC50</f>
        <v>5000.00000000001</v>
      </c>
      <c r="AD51" s="64" t="n">
        <f aca="false">AD48+AD50</f>
        <v>4444.44444444445</v>
      </c>
      <c r="AE51" s="64" t="n">
        <f aca="false">AE48+AE50</f>
        <v>3888.8888888889</v>
      </c>
      <c r="AF51" s="64" t="n">
        <f aca="false">AF48+AF50</f>
        <v>3333.33333333334</v>
      </c>
      <c r="AG51" s="64" t="n">
        <f aca="false">AG48+AG50</f>
        <v>2777.77777777779</v>
      </c>
      <c r="AH51" s="64" t="n">
        <f aca="false">AH48+AH50</f>
        <v>2222.22222222223</v>
      </c>
      <c r="AI51" s="64" t="n">
        <f aca="false">AI48+AI50</f>
        <v>1666.66666666668</v>
      </c>
      <c r="AJ51" s="64" t="n">
        <f aca="false">AJ48+AJ50</f>
        <v>1111.11111111112</v>
      </c>
      <c r="AK51" s="64" t="n">
        <f aca="false">AK48+AK50</f>
        <v>555.555555555569</v>
      </c>
      <c r="AL51" s="64" t="n">
        <f aca="false">AL48+AL50</f>
        <v>0</v>
      </c>
      <c r="AM51" s="64" t="n">
        <f aca="false">AM48+AM50</f>
        <v>0</v>
      </c>
      <c r="AN51" s="64" t="n">
        <f aca="false">AN48+AN50</f>
        <v>0</v>
      </c>
      <c r="AO51" s="64" t="n">
        <f aca="false">AO48+AO50</f>
        <v>0</v>
      </c>
      <c r="AP51" s="64" t="n">
        <f aca="false">AP48+AP50</f>
        <v>0</v>
      </c>
      <c r="AQ51" s="64" t="n">
        <f aca="false">AQ48+AQ50</f>
        <v>0</v>
      </c>
      <c r="AR51" s="64" t="n">
        <f aca="false">AR48+AR50</f>
        <v>0</v>
      </c>
      <c r="AS51" s="64" t="n">
        <f aca="false">AS48+AS50</f>
        <v>0</v>
      </c>
      <c r="AT51" s="64" t="n">
        <f aca="false">AT48+AT50</f>
        <v>0</v>
      </c>
      <c r="AU51" s="64" t="n">
        <f aca="false">AU48+AU50</f>
        <v>0</v>
      </c>
      <c r="AV51" s="64" t="n">
        <f aca="false">AV48+AV50</f>
        <v>0</v>
      </c>
      <c r="AW51" s="64" t="n">
        <f aca="false">AW48+AW50</f>
        <v>0</v>
      </c>
      <c r="AX51" s="64" t="n">
        <f aca="false">AX48+AX50</f>
        <v>0</v>
      </c>
      <c r="AY51" s="64" t="n">
        <f aca="false">AY48+AY50</f>
        <v>0</v>
      </c>
      <c r="AZ51" s="64" t="n">
        <f aca="false">AZ48+AZ50</f>
        <v>0</v>
      </c>
      <c r="BA51" s="64" t="n">
        <f aca="false">BA48+BA50</f>
        <v>0</v>
      </c>
      <c r="BB51" s="64" t="n">
        <f aca="false">BB48+BB50</f>
        <v>0</v>
      </c>
      <c r="BC51" s="64" t="n">
        <f aca="false">BC48+BC50</f>
        <v>0</v>
      </c>
      <c r="BD51" s="64" t="n">
        <f aca="false">BD48+BD50</f>
        <v>0</v>
      </c>
      <c r="BE51" s="64" t="n">
        <f aca="false">BE48+BE50</f>
        <v>0</v>
      </c>
      <c r="BF51" s="64" t="n">
        <f aca="false">BF48+BF50</f>
        <v>0</v>
      </c>
      <c r="BG51" s="64" t="n">
        <f aca="false">BG48+BG50</f>
        <v>0</v>
      </c>
      <c r="BH51" s="64" t="n">
        <f aca="false">BH48+BH50</f>
        <v>0</v>
      </c>
      <c r="BI51" s="64" t="n">
        <f aca="false">BI48+BI50</f>
        <v>0</v>
      </c>
      <c r="BJ51" s="64" t="n">
        <f aca="false">BJ48+BJ50</f>
        <v>0</v>
      </c>
    </row>
    <row r="53" customFormat="false" ht="15.75" hidden="false" customHeight="true" outlineLevel="0" collapsed="false">
      <c r="A53" s="7" t="s">
        <v>347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348</v>
      </c>
      <c r="C54" s="59" t="n">
        <f aca="false">0</f>
        <v>0</v>
      </c>
      <c r="D54" s="59" t="n">
        <f aca="false">C57</f>
        <v>0</v>
      </c>
      <c r="E54" s="59" t="n">
        <f aca="false">D57</f>
        <v>0</v>
      </c>
      <c r="F54" s="59" t="n">
        <f aca="false">E57</f>
        <v>0</v>
      </c>
      <c r="G54" s="59" t="n">
        <f aca="false">F57</f>
        <v>0</v>
      </c>
      <c r="H54" s="59" t="n">
        <f aca="false">G57</f>
        <v>0</v>
      </c>
      <c r="I54" s="59" t="n">
        <f aca="false">H57</f>
        <v>0</v>
      </c>
      <c r="J54" s="59" t="n">
        <f aca="false">I57</f>
        <v>0</v>
      </c>
      <c r="K54" s="59" t="n">
        <f aca="false">J57</f>
        <v>0</v>
      </c>
      <c r="L54" s="59" t="n">
        <f aca="false">K57</f>
        <v>0</v>
      </c>
      <c r="M54" s="59" t="n">
        <f aca="false">L57</f>
        <v>0</v>
      </c>
      <c r="N54" s="59" t="n">
        <f aca="false">M57</f>
        <v>0</v>
      </c>
      <c r="O54" s="59" t="n">
        <f aca="false">N57</f>
        <v>0</v>
      </c>
      <c r="P54" s="59" t="n">
        <f aca="false">O57</f>
        <v>0</v>
      </c>
      <c r="Q54" s="59" t="n">
        <f aca="false">P57</f>
        <v>0</v>
      </c>
      <c r="R54" s="59" t="n">
        <f aca="false">Q57</f>
        <v>0</v>
      </c>
      <c r="S54" s="59" t="n">
        <f aca="false">R57</f>
        <v>0</v>
      </c>
      <c r="T54" s="59" t="n">
        <f aca="false">S57</f>
        <v>0</v>
      </c>
      <c r="U54" s="59" t="n">
        <f aca="false">T57</f>
        <v>0</v>
      </c>
      <c r="V54" s="59" t="n">
        <f aca="false">U57</f>
        <v>0</v>
      </c>
      <c r="W54" s="59" t="n">
        <f aca="false">V57</f>
        <v>0</v>
      </c>
      <c r="X54" s="59" t="n">
        <f aca="false">W57</f>
        <v>0</v>
      </c>
      <c r="Y54" s="59" t="n">
        <f aca="false">X57</f>
        <v>0</v>
      </c>
      <c r="Z54" s="59" t="n">
        <f aca="false">Y57</f>
        <v>0</v>
      </c>
      <c r="AA54" s="59" t="n">
        <f aca="false">Z57</f>
        <v>0</v>
      </c>
      <c r="AB54" s="59" t="n">
        <f aca="false">AA57</f>
        <v>0</v>
      </c>
      <c r="AC54" s="59" t="n">
        <f aca="false">AB57</f>
        <v>0</v>
      </c>
      <c r="AD54" s="59" t="n">
        <f aca="false">AC57</f>
        <v>0</v>
      </c>
      <c r="AE54" s="59" t="n">
        <f aca="false">AD57</f>
        <v>0</v>
      </c>
      <c r="AF54" s="59" t="n">
        <f aca="false">AE57</f>
        <v>0</v>
      </c>
      <c r="AG54" s="59" t="n">
        <f aca="false">AF57</f>
        <v>0</v>
      </c>
      <c r="AH54" s="59" t="n">
        <f aca="false">AG57</f>
        <v>0</v>
      </c>
      <c r="AI54" s="59" t="n">
        <f aca="false">AH57</f>
        <v>0</v>
      </c>
      <c r="AJ54" s="59" t="n">
        <f aca="false">AI57</f>
        <v>0</v>
      </c>
      <c r="AK54" s="59" t="n">
        <f aca="false">AJ57</f>
        <v>0</v>
      </c>
      <c r="AL54" s="59" t="n">
        <f aca="false">AK57</f>
        <v>0</v>
      </c>
      <c r="AM54" s="59" t="n">
        <f aca="false">AL57</f>
        <v>0</v>
      </c>
      <c r="AN54" s="59" t="n">
        <f aca="false">AM57</f>
        <v>0</v>
      </c>
      <c r="AO54" s="59" t="n">
        <f aca="false">AN57</f>
        <v>0</v>
      </c>
      <c r="AP54" s="59" t="n">
        <f aca="false">AO57</f>
        <v>0</v>
      </c>
      <c r="AQ54" s="59" t="n">
        <f aca="false">AP57</f>
        <v>0</v>
      </c>
      <c r="AR54" s="59" t="n">
        <f aca="false">AQ57</f>
        <v>0</v>
      </c>
      <c r="AS54" s="59" t="n">
        <f aca="false">AR57</f>
        <v>0</v>
      </c>
      <c r="AT54" s="59" t="n">
        <f aca="false">AS57</f>
        <v>0</v>
      </c>
      <c r="AU54" s="59" t="n">
        <f aca="false">AT57</f>
        <v>0</v>
      </c>
      <c r="AV54" s="59" t="n">
        <f aca="false">AU57</f>
        <v>0</v>
      </c>
      <c r="AW54" s="59" t="n">
        <f aca="false">AV57</f>
        <v>0</v>
      </c>
      <c r="AX54" s="59" t="n">
        <f aca="false">AW57</f>
        <v>0</v>
      </c>
      <c r="AY54" s="59" t="n">
        <f aca="false">AX57</f>
        <v>0</v>
      </c>
      <c r="AZ54" s="59" t="n">
        <f aca="false">AY57</f>
        <v>0</v>
      </c>
      <c r="BA54" s="59" t="n">
        <f aca="false">AZ57</f>
        <v>0</v>
      </c>
      <c r="BB54" s="59" t="n">
        <f aca="false">BA57</f>
        <v>0</v>
      </c>
      <c r="BC54" s="59" t="n">
        <f aca="false">BB57</f>
        <v>0</v>
      </c>
      <c r="BD54" s="59" t="n">
        <f aca="false">BC57</f>
        <v>0</v>
      </c>
      <c r="BE54" s="59" t="n">
        <f aca="false">BD57</f>
        <v>0</v>
      </c>
      <c r="BF54" s="59" t="n">
        <f aca="false">BE57</f>
        <v>0</v>
      </c>
      <c r="BG54" s="59" t="n">
        <f aca="false">BF57</f>
        <v>0</v>
      </c>
      <c r="BH54" s="59" t="n">
        <f aca="false">BG57</f>
        <v>0</v>
      </c>
      <c r="BI54" s="59" t="n">
        <f aca="false">BH57</f>
        <v>0</v>
      </c>
      <c r="BJ54" s="59" t="n">
        <f aca="false">BI57</f>
        <v>0</v>
      </c>
    </row>
    <row r="55" customFormat="false" ht="15" hidden="false" customHeight="false" outlineLevel="0" collapsed="false">
      <c r="A55" s="6" t="s">
        <v>100</v>
      </c>
      <c r="C55" s="59" t="n">
        <f aca="false">IF(C$4=1,Inputs!$E$47,0)</f>
        <v>0</v>
      </c>
      <c r="D55" s="59" t="n">
        <f aca="false">IF(D$4=1,Inputs!$E$47,0)</f>
        <v>0</v>
      </c>
      <c r="E55" s="59" t="n">
        <f aca="false">IF(E$4=1,Inputs!$E$47,0)</f>
        <v>0</v>
      </c>
      <c r="F55" s="59" t="n">
        <f aca="false">IF(F$4=1,Inputs!$E$47,0)</f>
        <v>0</v>
      </c>
      <c r="G55" s="59" t="n">
        <f aca="false">IF(G$4=1,Inputs!$E$47,0)</f>
        <v>0</v>
      </c>
      <c r="H55" s="59" t="n">
        <f aca="false">IF(H$4=1,Inputs!$E$47,0)</f>
        <v>0</v>
      </c>
      <c r="I55" s="59" t="n">
        <f aca="false">IF(I$4=1,Inputs!$E$47,0)</f>
        <v>0</v>
      </c>
      <c r="J55" s="59" t="n">
        <f aca="false">IF(J$4=1,Inputs!$E$47,0)</f>
        <v>0</v>
      </c>
      <c r="K55" s="59" t="n">
        <f aca="false">IF(K$4=1,Inputs!$E$47,0)</f>
        <v>0</v>
      </c>
      <c r="L55" s="59" t="n">
        <f aca="false">IF(L$4=1,Inputs!$E$47,0)</f>
        <v>0</v>
      </c>
      <c r="M55" s="59" t="n">
        <f aca="false">IF(M$4=1,Inputs!$E$47,0)</f>
        <v>0</v>
      </c>
      <c r="N55" s="59" t="n">
        <f aca="false">IF(N$4=1,Inputs!$E$47,0)</f>
        <v>0</v>
      </c>
      <c r="O55" s="59" t="n">
        <f aca="false">IF(O$4=1,Inputs!$E$47,0)</f>
        <v>0</v>
      </c>
      <c r="P55" s="59" t="n">
        <f aca="false">IF(P$4=1,Inputs!$E$47,0)</f>
        <v>0</v>
      </c>
      <c r="Q55" s="59" t="n">
        <f aca="false">IF(Q$4=1,Inputs!$E$47,0)</f>
        <v>0</v>
      </c>
      <c r="R55" s="59" t="n">
        <f aca="false">IF(R$4=1,Inputs!$E$47,0)</f>
        <v>0</v>
      </c>
      <c r="S55" s="59" t="n">
        <f aca="false">IF(S$4=1,Inputs!$E$47,0)</f>
        <v>0</v>
      </c>
      <c r="T55" s="59" t="n">
        <f aca="false">IF(T$4=1,Inputs!$E$47,0)</f>
        <v>0</v>
      </c>
      <c r="U55" s="59" t="n">
        <f aca="false">IF(U$4=1,Inputs!$E$47,0)</f>
        <v>0</v>
      </c>
      <c r="V55" s="59" t="n">
        <f aca="false">IF(V$4=1,Inputs!$E$47,0)</f>
        <v>0</v>
      </c>
      <c r="W55" s="59" t="n">
        <f aca="false">IF(W$4=1,Inputs!$E$47,0)</f>
        <v>0</v>
      </c>
      <c r="X55" s="59" t="n">
        <f aca="false">IF(X$4=1,Inputs!$E$47,0)</f>
        <v>0</v>
      </c>
      <c r="Y55" s="59" t="n">
        <f aca="false">IF(Y$4=1,Inputs!$E$47,0)</f>
        <v>0</v>
      </c>
      <c r="Z55" s="59" t="n">
        <f aca="false">IF(Z$4=1,Inputs!$E$47,0)</f>
        <v>0</v>
      </c>
      <c r="AA55" s="59" t="n">
        <f aca="false">IF(AA$4=1,Inputs!$E$47,0)</f>
        <v>0</v>
      </c>
      <c r="AB55" s="59" t="n">
        <f aca="false">IF(AB$4=1,Inputs!$E$47,0)</f>
        <v>0</v>
      </c>
      <c r="AC55" s="59" t="n">
        <f aca="false">IF(AC$4=1,Inputs!$E$47,0)</f>
        <v>0</v>
      </c>
      <c r="AD55" s="59" t="n">
        <f aca="false">IF(AD$4=1,Inputs!$E$47,0)</f>
        <v>0</v>
      </c>
      <c r="AE55" s="59" t="n">
        <f aca="false">IF(AE$4=1,Inputs!$E$47,0)</f>
        <v>0</v>
      </c>
      <c r="AF55" s="59" t="n">
        <f aca="false">IF(AF$4=1,Inputs!$E$47,0)</f>
        <v>0</v>
      </c>
      <c r="AG55" s="59" t="n">
        <f aca="false">IF(AG$4=1,Inputs!$E$47,0)</f>
        <v>0</v>
      </c>
      <c r="AH55" s="59" t="n">
        <f aca="false">IF(AH$4=1,Inputs!$E$47,0)</f>
        <v>0</v>
      </c>
      <c r="AI55" s="59" t="n">
        <f aca="false">IF(AI$4=1,Inputs!$E$47,0)</f>
        <v>0</v>
      </c>
      <c r="AJ55" s="59" t="n">
        <f aca="false">IF(AJ$4=1,Inputs!$E$47,0)</f>
        <v>0</v>
      </c>
      <c r="AK55" s="59" t="n">
        <f aca="false">IF(AK$4=1,Inputs!$E$47,0)</f>
        <v>0</v>
      </c>
      <c r="AL55" s="59" t="n">
        <f aca="false">IF(AL$4=1,Inputs!$E$47,0)</f>
        <v>0</v>
      </c>
      <c r="AM55" s="59" t="n">
        <f aca="false">IF(AM$4=1,Inputs!$E$47,0)</f>
        <v>0</v>
      </c>
      <c r="AN55" s="59" t="n">
        <f aca="false">IF(AN$4=1,Inputs!$E$47,0)</f>
        <v>0</v>
      </c>
      <c r="AO55" s="59" t="n">
        <f aca="false">IF(AO$4=1,Inputs!$E$47,0)</f>
        <v>0</v>
      </c>
      <c r="AP55" s="59" t="n">
        <f aca="false">IF(AP$4=1,Inputs!$E$47,0)</f>
        <v>0</v>
      </c>
      <c r="AQ55" s="59" t="n">
        <f aca="false">IF(AQ$4=1,Inputs!$E$47,0)</f>
        <v>0</v>
      </c>
      <c r="AR55" s="59" t="n">
        <f aca="false">IF(AR$4=1,Inputs!$E$47,0)</f>
        <v>0</v>
      </c>
      <c r="AS55" s="59" t="n">
        <f aca="false">IF(AS$4=1,Inputs!$E$47,0)</f>
        <v>0</v>
      </c>
      <c r="AT55" s="59" t="n">
        <f aca="false">IF(AT$4=1,Inputs!$E$47,0)</f>
        <v>0</v>
      </c>
      <c r="AU55" s="59" t="n">
        <f aca="false">IF(AU$4=1,Inputs!$E$47,0)</f>
        <v>0</v>
      </c>
      <c r="AV55" s="59" t="n">
        <f aca="false">IF(AV$4=1,Inputs!$E$47,0)</f>
        <v>0</v>
      </c>
      <c r="AW55" s="59" t="n">
        <f aca="false">IF(AW$4=1,Inputs!$E$47,0)</f>
        <v>0</v>
      </c>
      <c r="AX55" s="59" t="n">
        <f aca="false">IF(AX$4=1,Inputs!$E$47,0)</f>
        <v>0</v>
      </c>
      <c r="AY55" s="59" t="n">
        <f aca="false">IF(AY$4=1,Inputs!$E$47,0)</f>
        <v>0</v>
      </c>
      <c r="AZ55" s="59" t="n">
        <f aca="false">IF(AZ$4=1,Inputs!$E$47,0)</f>
        <v>0</v>
      </c>
      <c r="BA55" s="59" t="n">
        <f aca="false">IF(BA$4=1,Inputs!$E$47,0)</f>
        <v>0</v>
      </c>
      <c r="BB55" s="59" t="n">
        <f aca="false">IF(BB$4=1,Inputs!$E$47,0)</f>
        <v>0</v>
      </c>
      <c r="BC55" s="59" t="n">
        <f aca="false">IF(BC$4=1,Inputs!$E$47,0)</f>
        <v>0</v>
      </c>
      <c r="BD55" s="59" t="n">
        <f aca="false">IF(BD$4=1,Inputs!$E$47,0)</f>
        <v>0</v>
      </c>
      <c r="BE55" s="59" t="n">
        <f aca="false">IF(BE$4=1,Inputs!$E$47,0)</f>
        <v>0</v>
      </c>
      <c r="BF55" s="59" t="n">
        <f aca="false">IF(BF$4=1,Inputs!$E$47,0)</f>
        <v>0</v>
      </c>
      <c r="BG55" s="59" t="n">
        <f aca="false">IF(BG$4=1,Inputs!$E$47,0)</f>
        <v>0</v>
      </c>
      <c r="BH55" s="59" t="n">
        <f aca="false">IF(BH$4=1,Inputs!$E$47,0)</f>
        <v>0</v>
      </c>
      <c r="BI55" s="59" t="n">
        <f aca="false">IF(BI$4=1,Inputs!$E$47,0)</f>
        <v>0</v>
      </c>
      <c r="BJ55" s="59" t="n">
        <f aca="false">IF(BJ$4=1,Inputs!$E$47,0)</f>
        <v>0</v>
      </c>
    </row>
    <row r="56" customFormat="false" ht="15" hidden="false" customHeight="false" outlineLevel="0" collapsed="false">
      <c r="A56" s="6" t="s">
        <v>101</v>
      </c>
      <c r="C56" s="59" t="n">
        <f aca="false">-MIN(C54,Inputs!$E$47/MAX(1,Inputs!$E$49*12))</f>
        <v>-0</v>
      </c>
      <c r="D56" s="59" t="n">
        <f aca="false">-MIN(D54,Inputs!$E$47/MAX(1,Inputs!$E$49*12))</f>
        <v>-0</v>
      </c>
      <c r="E56" s="59" t="n">
        <f aca="false">-MIN(E54,Inputs!$E$47/MAX(1,Inputs!$E$49*12))</f>
        <v>-0</v>
      </c>
      <c r="F56" s="59" t="n">
        <f aca="false">-MIN(F54,Inputs!$E$47/MAX(1,Inputs!$E$49*12))</f>
        <v>-0</v>
      </c>
      <c r="G56" s="59" t="n">
        <f aca="false">-MIN(G54,Inputs!$E$47/MAX(1,Inputs!$E$49*12))</f>
        <v>-0</v>
      </c>
      <c r="H56" s="59" t="n">
        <f aca="false">-MIN(H54,Inputs!$E$47/MAX(1,Inputs!$E$49*12))</f>
        <v>-0</v>
      </c>
      <c r="I56" s="59" t="n">
        <f aca="false">-MIN(I54,Inputs!$E$47/MAX(1,Inputs!$E$49*12))</f>
        <v>-0</v>
      </c>
      <c r="J56" s="59" t="n">
        <f aca="false">-MIN(J54,Inputs!$E$47/MAX(1,Inputs!$E$49*12))</f>
        <v>-0</v>
      </c>
      <c r="K56" s="59" t="n">
        <f aca="false">-MIN(K54,Inputs!$E$47/MAX(1,Inputs!$E$49*12))</f>
        <v>-0</v>
      </c>
      <c r="L56" s="59" t="n">
        <f aca="false">-MIN(L54,Inputs!$E$47/MAX(1,Inputs!$E$49*12))</f>
        <v>-0</v>
      </c>
      <c r="M56" s="59" t="n">
        <f aca="false">-MIN(M54,Inputs!$E$47/MAX(1,Inputs!$E$49*12))</f>
        <v>-0</v>
      </c>
      <c r="N56" s="59" t="n">
        <f aca="false">-MIN(N54,Inputs!$E$47/MAX(1,Inputs!$E$49*12))</f>
        <v>-0</v>
      </c>
      <c r="O56" s="59" t="n">
        <f aca="false">-MIN(O54,Inputs!$E$47/MAX(1,Inputs!$E$49*12))</f>
        <v>-0</v>
      </c>
      <c r="P56" s="59" t="n">
        <f aca="false">-MIN(P54,Inputs!$E$47/MAX(1,Inputs!$E$49*12))</f>
        <v>-0</v>
      </c>
      <c r="Q56" s="59" t="n">
        <f aca="false">-MIN(Q54,Inputs!$E$47/MAX(1,Inputs!$E$49*12))</f>
        <v>-0</v>
      </c>
      <c r="R56" s="59" t="n">
        <f aca="false">-MIN(R54,Inputs!$E$47/MAX(1,Inputs!$E$49*12))</f>
        <v>-0</v>
      </c>
      <c r="S56" s="59" t="n">
        <f aca="false">-MIN(S54,Inputs!$E$47/MAX(1,Inputs!$E$49*12))</f>
        <v>-0</v>
      </c>
      <c r="T56" s="59" t="n">
        <f aca="false">-MIN(T54,Inputs!$E$47/MAX(1,Inputs!$E$49*12))</f>
        <v>-0</v>
      </c>
      <c r="U56" s="59" t="n">
        <f aca="false">-MIN(U54,Inputs!$E$47/MAX(1,Inputs!$E$49*12))</f>
        <v>-0</v>
      </c>
      <c r="V56" s="59" t="n">
        <f aca="false">-MIN(V54,Inputs!$E$47/MAX(1,Inputs!$E$49*12))</f>
        <v>-0</v>
      </c>
      <c r="W56" s="59" t="n">
        <f aca="false">-MIN(W54,Inputs!$E$47/MAX(1,Inputs!$E$49*12))</f>
        <v>-0</v>
      </c>
      <c r="X56" s="59" t="n">
        <f aca="false">-MIN(X54,Inputs!$E$47/MAX(1,Inputs!$E$49*12))</f>
        <v>-0</v>
      </c>
      <c r="Y56" s="59" t="n">
        <f aca="false">-MIN(Y54,Inputs!$E$47/MAX(1,Inputs!$E$49*12))</f>
        <v>-0</v>
      </c>
      <c r="Z56" s="59" t="n">
        <f aca="false">-MIN(Z54,Inputs!$E$47/MAX(1,Inputs!$E$49*12))</f>
        <v>-0</v>
      </c>
      <c r="AA56" s="59" t="n">
        <f aca="false">-MIN(AA54,Inputs!$E$47/MAX(1,Inputs!$E$49*12))</f>
        <v>-0</v>
      </c>
      <c r="AB56" s="59" t="n">
        <f aca="false">-MIN(AB54,Inputs!$E$47/MAX(1,Inputs!$E$49*12))</f>
        <v>-0</v>
      </c>
      <c r="AC56" s="59" t="n">
        <f aca="false">-MIN(AC54,Inputs!$E$47/MAX(1,Inputs!$E$49*12))</f>
        <v>-0</v>
      </c>
      <c r="AD56" s="59" t="n">
        <f aca="false">-MIN(AD54,Inputs!$E$47/MAX(1,Inputs!$E$49*12))</f>
        <v>-0</v>
      </c>
      <c r="AE56" s="59" t="n">
        <f aca="false">-MIN(AE54,Inputs!$E$47/MAX(1,Inputs!$E$49*12))</f>
        <v>-0</v>
      </c>
      <c r="AF56" s="59" t="n">
        <f aca="false">-MIN(AF54,Inputs!$E$47/MAX(1,Inputs!$E$49*12))</f>
        <v>-0</v>
      </c>
      <c r="AG56" s="59" t="n">
        <f aca="false">-MIN(AG54,Inputs!$E$47/MAX(1,Inputs!$E$49*12))</f>
        <v>-0</v>
      </c>
      <c r="AH56" s="59" t="n">
        <f aca="false">-MIN(AH54,Inputs!$E$47/MAX(1,Inputs!$E$49*12))</f>
        <v>-0</v>
      </c>
      <c r="AI56" s="59" t="n">
        <f aca="false">-MIN(AI54,Inputs!$E$47/MAX(1,Inputs!$E$49*12))</f>
        <v>-0</v>
      </c>
      <c r="AJ56" s="59" t="n">
        <f aca="false">-MIN(AJ54,Inputs!$E$47/MAX(1,Inputs!$E$49*12))</f>
        <v>-0</v>
      </c>
      <c r="AK56" s="59" t="n">
        <f aca="false">-MIN(AK54,Inputs!$E$47/MAX(1,Inputs!$E$49*12))</f>
        <v>-0</v>
      </c>
      <c r="AL56" s="59" t="n">
        <f aca="false">-MIN(AL54,Inputs!$E$47/MAX(1,Inputs!$E$49*12))</f>
        <v>-0</v>
      </c>
      <c r="AM56" s="59" t="n">
        <f aca="false">-MIN(AM54,Inputs!$E$47/MAX(1,Inputs!$E$49*12))</f>
        <v>-0</v>
      </c>
      <c r="AN56" s="59" t="n">
        <f aca="false">-MIN(AN54,Inputs!$E$47/MAX(1,Inputs!$E$49*12))</f>
        <v>-0</v>
      </c>
      <c r="AO56" s="59" t="n">
        <f aca="false">-MIN(AO54,Inputs!$E$47/MAX(1,Inputs!$E$49*12))</f>
        <v>-0</v>
      </c>
      <c r="AP56" s="59" t="n">
        <f aca="false">-MIN(AP54,Inputs!$E$47/MAX(1,Inputs!$E$49*12))</f>
        <v>-0</v>
      </c>
      <c r="AQ56" s="59" t="n">
        <f aca="false">-MIN(AQ54,Inputs!$E$47/MAX(1,Inputs!$E$49*12))</f>
        <v>-0</v>
      </c>
      <c r="AR56" s="59" t="n">
        <f aca="false">-MIN(AR54,Inputs!$E$47/MAX(1,Inputs!$E$49*12))</f>
        <v>-0</v>
      </c>
      <c r="AS56" s="59" t="n">
        <f aca="false">-MIN(AS54,Inputs!$E$47/MAX(1,Inputs!$E$49*12))</f>
        <v>-0</v>
      </c>
      <c r="AT56" s="59" t="n">
        <f aca="false">-MIN(AT54,Inputs!$E$47/MAX(1,Inputs!$E$49*12))</f>
        <v>-0</v>
      </c>
      <c r="AU56" s="59" t="n">
        <f aca="false">-MIN(AU54,Inputs!$E$47/MAX(1,Inputs!$E$49*12))</f>
        <v>-0</v>
      </c>
      <c r="AV56" s="59" t="n">
        <f aca="false">-MIN(AV54,Inputs!$E$47/MAX(1,Inputs!$E$49*12))</f>
        <v>-0</v>
      </c>
      <c r="AW56" s="59" t="n">
        <f aca="false">-MIN(AW54,Inputs!$E$47/MAX(1,Inputs!$E$49*12))</f>
        <v>-0</v>
      </c>
      <c r="AX56" s="59" t="n">
        <f aca="false">-MIN(AX54,Inputs!$E$47/MAX(1,Inputs!$E$49*12))</f>
        <v>-0</v>
      </c>
      <c r="AY56" s="59" t="n">
        <f aca="false">-MIN(AY54,Inputs!$E$47/MAX(1,Inputs!$E$49*12))</f>
        <v>-0</v>
      </c>
      <c r="AZ56" s="59" t="n">
        <f aca="false">-MIN(AZ54,Inputs!$E$47/MAX(1,Inputs!$E$49*12))</f>
        <v>-0</v>
      </c>
      <c r="BA56" s="59" t="n">
        <f aca="false">-MIN(BA54,Inputs!$E$47/MAX(1,Inputs!$E$49*12))</f>
        <v>-0</v>
      </c>
      <c r="BB56" s="59" t="n">
        <f aca="false">-MIN(BB54,Inputs!$E$47/MAX(1,Inputs!$E$49*12))</f>
        <v>-0</v>
      </c>
      <c r="BC56" s="59" t="n">
        <f aca="false">-MIN(BC54,Inputs!$E$47/MAX(1,Inputs!$E$49*12))</f>
        <v>-0</v>
      </c>
      <c r="BD56" s="59" t="n">
        <f aca="false">-MIN(BD54,Inputs!$E$47/MAX(1,Inputs!$E$49*12))</f>
        <v>-0</v>
      </c>
      <c r="BE56" s="59" t="n">
        <f aca="false">-MIN(BE54,Inputs!$E$47/MAX(1,Inputs!$E$49*12))</f>
        <v>-0</v>
      </c>
      <c r="BF56" s="59" t="n">
        <f aca="false">-MIN(BF54,Inputs!$E$47/MAX(1,Inputs!$E$49*12))</f>
        <v>-0</v>
      </c>
      <c r="BG56" s="59" t="n">
        <f aca="false">-MIN(BG54,Inputs!$E$47/MAX(1,Inputs!$E$49*12))</f>
        <v>-0</v>
      </c>
      <c r="BH56" s="59" t="n">
        <f aca="false">-MIN(BH54,Inputs!$E$47/MAX(1,Inputs!$E$49*12))</f>
        <v>-0</v>
      </c>
      <c r="BI56" s="59" t="n">
        <f aca="false">-MIN(BI54,Inputs!$E$47/MAX(1,Inputs!$E$49*12))</f>
        <v>-0</v>
      </c>
      <c r="BJ56" s="59" t="n">
        <f aca="false">-MIN(BJ54,Inputs!$E$47/MAX(1,Inputs!$E$49*12))</f>
        <v>-0</v>
      </c>
    </row>
    <row r="57" customFormat="false" ht="15" hidden="false" customHeight="false" outlineLevel="0" collapsed="false">
      <c r="A57" s="4" t="s">
        <v>349</v>
      </c>
      <c r="C57" s="64" t="n">
        <f aca="false">C54+C55+C56</f>
        <v>0</v>
      </c>
      <c r="D57" s="64" t="n">
        <f aca="false">D54+D55+D56</f>
        <v>0</v>
      </c>
      <c r="E57" s="64" t="n">
        <f aca="false">E54+E55+E56</f>
        <v>0</v>
      </c>
      <c r="F57" s="64" t="n">
        <f aca="false">F54+F55+F56</f>
        <v>0</v>
      </c>
      <c r="G57" s="64" t="n">
        <f aca="false">G54+G55+G56</f>
        <v>0</v>
      </c>
      <c r="H57" s="64" t="n">
        <f aca="false">H54+H55+H56</f>
        <v>0</v>
      </c>
      <c r="I57" s="64" t="n">
        <f aca="false">I54+I55+I56</f>
        <v>0</v>
      </c>
      <c r="J57" s="64" t="n">
        <f aca="false">J54+J55+J56</f>
        <v>0</v>
      </c>
      <c r="K57" s="64" t="n">
        <f aca="false">K54+K55+K56</f>
        <v>0</v>
      </c>
      <c r="L57" s="64" t="n">
        <f aca="false">L54+L55+L56</f>
        <v>0</v>
      </c>
      <c r="M57" s="64" t="n">
        <f aca="false">M54+M55+M56</f>
        <v>0</v>
      </c>
      <c r="N57" s="64" t="n">
        <f aca="false">N54+N55+N56</f>
        <v>0</v>
      </c>
      <c r="O57" s="64" t="n">
        <f aca="false">O54+O55+O56</f>
        <v>0</v>
      </c>
      <c r="P57" s="64" t="n">
        <f aca="false">P54+P55+P56</f>
        <v>0</v>
      </c>
      <c r="Q57" s="64" t="n">
        <f aca="false">Q54+Q55+Q56</f>
        <v>0</v>
      </c>
      <c r="R57" s="64" t="n">
        <f aca="false">R54+R55+R56</f>
        <v>0</v>
      </c>
      <c r="S57" s="64" t="n">
        <f aca="false">S54+S55+S56</f>
        <v>0</v>
      </c>
      <c r="T57" s="64" t="n">
        <f aca="false">T54+T55+T56</f>
        <v>0</v>
      </c>
      <c r="U57" s="64" t="n">
        <f aca="false">U54+U55+U56</f>
        <v>0</v>
      </c>
      <c r="V57" s="64" t="n">
        <f aca="false">V54+V55+V56</f>
        <v>0</v>
      </c>
      <c r="W57" s="64" t="n">
        <f aca="false">W54+W55+W56</f>
        <v>0</v>
      </c>
      <c r="X57" s="64" t="n">
        <f aca="false">X54+X55+X56</f>
        <v>0</v>
      </c>
      <c r="Y57" s="64" t="n">
        <f aca="false">Y54+Y55+Y56</f>
        <v>0</v>
      </c>
      <c r="Z57" s="64" t="n">
        <f aca="false">Z54+Z55+Z56</f>
        <v>0</v>
      </c>
      <c r="AA57" s="64" t="n">
        <f aca="false">AA54+AA55+AA56</f>
        <v>0</v>
      </c>
      <c r="AB57" s="64" t="n">
        <f aca="false">AB54+AB55+AB56</f>
        <v>0</v>
      </c>
      <c r="AC57" s="64" t="n">
        <f aca="false">AC54+AC55+AC56</f>
        <v>0</v>
      </c>
      <c r="AD57" s="64" t="n">
        <f aca="false">AD54+AD55+AD56</f>
        <v>0</v>
      </c>
      <c r="AE57" s="64" t="n">
        <f aca="false">AE54+AE55+AE56</f>
        <v>0</v>
      </c>
      <c r="AF57" s="64" t="n">
        <f aca="false">AF54+AF55+AF56</f>
        <v>0</v>
      </c>
      <c r="AG57" s="64" t="n">
        <f aca="false">AG54+AG55+AG56</f>
        <v>0</v>
      </c>
      <c r="AH57" s="64" t="n">
        <f aca="false">AH54+AH55+AH56</f>
        <v>0</v>
      </c>
      <c r="AI57" s="64" t="n">
        <f aca="false">AI54+AI55+AI56</f>
        <v>0</v>
      </c>
      <c r="AJ57" s="64" t="n">
        <f aca="false">AJ54+AJ55+AJ56</f>
        <v>0</v>
      </c>
      <c r="AK57" s="64" t="n">
        <f aca="false">AK54+AK55+AK56</f>
        <v>0</v>
      </c>
      <c r="AL57" s="64" t="n">
        <f aca="false">AL54+AL55+AL56</f>
        <v>0</v>
      </c>
      <c r="AM57" s="64" t="n">
        <f aca="false">AM54+AM55+AM56</f>
        <v>0</v>
      </c>
      <c r="AN57" s="64" t="n">
        <f aca="false">AN54+AN55+AN56</f>
        <v>0</v>
      </c>
      <c r="AO57" s="64" t="n">
        <f aca="false">AO54+AO55+AO56</f>
        <v>0</v>
      </c>
      <c r="AP57" s="64" t="n">
        <f aca="false">AP54+AP55+AP56</f>
        <v>0</v>
      </c>
      <c r="AQ57" s="64" t="n">
        <f aca="false">AQ54+AQ55+AQ56</f>
        <v>0</v>
      </c>
      <c r="AR57" s="64" t="n">
        <f aca="false">AR54+AR55+AR56</f>
        <v>0</v>
      </c>
      <c r="AS57" s="64" t="n">
        <f aca="false">AS54+AS55+AS56</f>
        <v>0</v>
      </c>
      <c r="AT57" s="64" t="n">
        <f aca="false">AT54+AT55+AT56</f>
        <v>0</v>
      </c>
      <c r="AU57" s="64" t="n">
        <f aca="false">AU54+AU55+AU56</f>
        <v>0</v>
      </c>
      <c r="AV57" s="64" t="n">
        <f aca="false">AV54+AV55+AV56</f>
        <v>0</v>
      </c>
      <c r="AW57" s="64" t="n">
        <f aca="false">AW54+AW55+AW56</f>
        <v>0</v>
      </c>
      <c r="AX57" s="64" t="n">
        <f aca="false">AX54+AX55+AX56</f>
        <v>0</v>
      </c>
      <c r="AY57" s="64" t="n">
        <f aca="false">AY54+AY55+AY56</f>
        <v>0</v>
      </c>
      <c r="AZ57" s="64" t="n">
        <f aca="false">AZ54+AZ55+AZ56</f>
        <v>0</v>
      </c>
      <c r="BA57" s="64" t="n">
        <f aca="false">BA54+BA55+BA56</f>
        <v>0</v>
      </c>
      <c r="BB57" s="64" t="n">
        <f aca="false">BB54+BB55+BB56</f>
        <v>0</v>
      </c>
      <c r="BC57" s="64" t="n">
        <f aca="false">BC54+BC55+BC56</f>
        <v>0</v>
      </c>
      <c r="BD57" s="64" t="n">
        <f aca="false">BD54+BD55+BD56</f>
        <v>0</v>
      </c>
      <c r="BE57" s="64" t="n">
        <f aca="false">BE54+BE55+BE56</f>
        <v>0</v>
      </c>
      <c r="BF57" s="64" t="n">
        <f aca="false">BF54+BF55+BF56</f>
        <v>0</v>
      </c>
      <c r="BG57" s="64" t="n">
        <f aca="false">BG54+BG55+BG56</f>
        <v>0</v>
      </c>
      <c r="BH57" s="64" t="n">
        <f aca="false">BH54+BH55+BH56</f>
        <v>0</v>
      </c>
      <c r="BI57" s="64" t="n">
        <f aca="false">BI54+BI55+BI56</f>
        <v>0</v>
      </c>
      <c r="BJ57" s="64" t="n">
        <f aca="false">BJ54+BJ55+BJ56</f>
        <v>0</v>
      </c>
    </row>
    <row r="59" customFormat="false" ht="15.75" hidden="false" customHeight="true" outlineLevel="0" collapsed="false">
      <c r="A59" s="7" t="s">
        <v>231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105</v>
      </c>
      <c r="C60" s="59" t="n">
        <f aca="false">C24*Inputs!$E$52/30</f>
        <v>734.479166666667</v>
      </c>
      <c r="D60" s="59" t="n">
        <f aca="false">D24*Inputs!$E$52/30</f>
        <v>1207.45052083333</v>
      </c>
      <c r="E60" s="59" t="n">
        <f aca="false">E24*Inputs!$E$52/30</f>
        <v>1668.59759114583</v>
      </c>
      <c r="F60" s="59" t="n">
        <f aca="false">F24*Inputs!$E$52/30</f>
        <v>2118.21598470052</v>
      </c>
      <c r="G60" s="59" t="n">
        <f aca="false">G24*Inputs!$E$52/30</f>
        <v>2556.59391841634</v>
      </c>
      <c r="H60" s="59" t="n">
        <f aca="false">H24*Inputs!$E$52/30</f>
        <v>2984.01240378927</v>
      </c>
      <c r="I60" s="59" t="n">
        <f aca="false">I24*Inputs!$E$52/30</f>
        <v>3400.74542702787</v>
      </c>
      <c r="J60" s="59" t="n">
        <f aca="false">J24*Inputs!$E$52/30</f>
        <v>3807.06012468551</v>
      </c>
      <c r="K60" s="59" t="n">
        <f aca="false">K24*Inputs!$E$52/30</f>
        <v>4203.2169549017</v>
      </c>
      <c r="L60" s="59" t="n">
        <f aca="false">L24*Inputs!$E$52/30</f>
        <v>4589.46986436249</v>
      </c>
      <c r="M60" s="59" t="n">
        <f aca="false">M24*Inputs!$E$52/30</f>
        <v>4966.06645108676</v>
      </c>
      <c r="N60" s="59" t="n">
        <f aca="false">N24*Inputs!$E$52/30</f>
        <v>5333.24812314293</v>
      </c>
      <c r="O60" s="59" t="n">
        <f aca="false">O24*Inputs!$E$52/30</f>
        <v>5759.42458673102</v>
      </c>
      <c r="P60" s="59" t="n">
        <f aca="false">P24*Inputs!$E$52/30</f>
        <v>6243.12097206274</v>
      </c>
      <c r="Q60" s="59" t="n">
        <f aca="false">Q24*Inputs!$E$52/30</f>
        <v>6714.72494776118</v>
      </c>
      <c r="R60" s="59" t="n">
        <f aca="false">R24*Inputs!$E$52/30</f>
        <v>7174.53882406715</v>
      </c>
      <c r="S60" s="59" t="n">
        <f aca="false">S24*Inputs!$E$52/30</f>
        <v>7622.85735346547</v>
      </c>
      <c r="T60" s="59" t="n">
        <f aca="false">T24*Inputs!$E$52/30</f>
        <v>8059.96791962883</v>
      </c>
      <c r="U60" s="59" t="n">
        <f aca="false">U24*Inputs!$E$52/30</f>
        <v>8486.15072163811</v>
      </c>
      <c r="V60" s="59" t="n">
        <f aca="false">V24*Inputs!$E$52/30</f>
        <v>8901.67895359716</v>
      </c>
      <c r="W60" s="59" t="n">
        <f aca="false">W24*Inputs!$E$52/30</f>
        <v>9306.81897975723</v>
      </c>
      <c r="X60" s="59" t="n">
        <f aca="false">X24*Inputs!$E$52/30</f>
        <v>9701.8305052633</v>
      </c>
      <c r="Y60" s="59" t="n">
        <f aca="false">Y24*Inputs!$E$52/30</f>
        <v>10086.9667426317</v>
      </c>
      <c r="Z60" s="59" t="n">
        <f aca="false">Z24*Inputs!$E$52/30</f>
        <v>10462.4745740659</v>
      </c>
      <c r="AA60" s="59" t="n">
        <f aca="false">AA24*Inputs!$E$52/30</f>
        <v>10916.3149687143</v>
      </c>
      <c r="AB60" s="59" t="n">
        <f aca="false">AB24*Inputs!$E$52/30</f>
        <v>11446.5296124964</v>
      </c>
      <c r="AC60" s="59" t="n">
        <f aca="false">AC24*Inputs!$E$52/30</f>
        <v>11963.488890184</v>
      </c>
      <c r="AD60" s="59" t="n">
        <f aca="false">AD24*Inputs!$E$52/30</f>
        <v>12467.5241859294</v>
      </c>
      <c r="AE60" s="59" t="n">
        <f aca="false">AE24*Inputs!$E$52/30</f>
        <v>12958.9585992812</v>
      </c>
      <c r="AF60" s="59" t="n">
        <f aca="false">AF24*Inputs!$E$52/30</f>
        <v>13438.1071522991</v>
      </c>
      <c r="AG60" s="59" t="n">
        <f aca="false">AG24*Inputs!$E$52/30</f>
        <v>13905.2769914917</v>
      </c>
      <c r="AH60" s="59" t="n">
        <f aca="false">AH24*Inputs!$E$52/30</f>
        <v>14360.7675847044</v>
      </c>
      <c r="AI60" s="59" t="n">
        <f aca="false">AI24*Inputs!$E$52/30</f>
        <v>14804.8709130868</v>
      </c>
      <c r="AJ60" s="59" t="n">
        <f aca="false">AJ24*Inputs!$E$52/30</f>
        <v>15237.8716582596</v>
      </c>
      <c r="AK60" s="59" t="n">
        <f aca="false">AK24*Inputs!$E$52/30</f>
        <v>15660.0473848031</v>
      </c>
      <c r="AL60" s="59" t="n">
        <f aca="false">AL24*Inputs!$E$52/30</f>
        <v>16071.668718183</v>
      </c>
      <c r="AM60" s="59" t="n">
        <f aca="false">AM24*Inputs!$E$52/30</f>
        <v>16586.0503907894</v>
      </c>
      <c r="AN60" s="59" t="n">
        <f aca="false">AN24*Inputs!$E$52/30</f>
        <v>17200.6233941417</v>
      </c>
      <c r="AO60" s="59" t="n">
        <f aca="false">AO24*Inputs!$E$52/30</f>
        <v>17799.8320724102</v>
      </c>
      <c r="AP60" s="59" t="n">
        <f aca="false">AP24*Inputs!$E$52/30</f>
        <v>18384.0605337219</v>
      </c>
      <c r="AQ60" s="59" t="n">
        <f aca="false">AQ24*Inputs!$E$52/30</f>
        <v>18953.6832835009</v>
      </c>
      <c r="AR60" s="59" t="n">
        <f aca="false">AR24*Inputs!$E$52/30</f>
        <v>19509.0654645353</v>
      </c>
      <c r="AS60" s="59" t="n">
        <f aca="false">AS24*Inputs!$E$52/30</f>
        <v>20050.563091044</v>
      </c>
      <c r="AT60" s="59" t="n">
        <f aca="false">AT24*Inputs!$E$52/30</f>
        <v>20578.5232768899</v>
      </c>
      <c r="AU60" s="59" t="n">
        <f aca="false">AU24*Inputs!$E$52/30</f>
        <v>21093.2844580896</v>
      </c>
      <c r="AV60" s="59" t="n">
        <f aca="false">AV24*Inputs!$E$52/30</f>
        <v>21595.1766097594</v>
      </c>
      <c r="AW60" s="59" t="n">
        <f aca="false">AW24*Inputs!$E$52/30</f>
        <v>22084.5214576374</v>
      </c>
      <c r="AX60" s="59" t="n">
        <f aca="false">AX24*Inputs!$E$52/30</f>
        <v>22561.6326843184</v>
      </c>
      <c r="AY60" s="59" t="n">
        <f aca="false">AY24*Inputs!$E$52/30</f>
        <v>23172.744747651</v>
      </c>
      <c r="AZ60" s="59" t="n">
        <f aca="false">AZ24*Inputs!$E$52/30</f>
        <v>23914.5076267188</v>
      </c>
      <c r="BA60" s="59" t="n">
        <f aca="false">BA24*Inputs!$E$52/30</f>
        <v>24637.7264338099</v>
      </c>
      <c r="BB60" s="59" t="n">
        <f aca="false">BB24*Inputs!$E$52/30</f>
        <v>25342.8647707238</v>
      </c>
      <c r="BC60" s="59" t="n">
        <f aca="false">BC24*Inputs!$E$52/30</f>
        <v>26030.3746492147</v>
      </c>
      <c r="BD60" s="59" t="n">
        <f aca="false">BD24*Inputs!$E$52/30</f>
        <v>26700.6967807435</v>
      </c>
      <c r="BE60" s="59" t="n">
        <f aca="false">BE24*Inputs!$E$52/30</f>
        <v>27354.2608589839</v>
      </c>
      <c r="BF60" s="59" t="n">
        <f aca="false">BF24*Inputs!$E$52/30</f>
        <v>27991.4858352684</v>
      </c>
      <c r="BG60" s="59" t="n">
        <f aca="false">BG24*Inputs!$E$52/30</f>
        <v>28612.7801871458</v>
      </c>
      <c r="BH60" s="59" t="n">
        <f aca="false">BH24*Inputs!$E$52/30</f>
        <v>29218.5421802262</v>
      </c>
      <c r="BI60" s="59" t="n">
        <f aca="false">BI24*Inputs!$E$52/30</f>
        <v>29809.1601234796</v>
      </c>
      <c r="BJ60" s="59" t="n">
        <f aca="false">BJ24*Inputs!$E$52/30</f>
        <v>30385.0126181517</v>
      </c>
    </row>
    <row r="61" customFormat="false" ht="15" hidden="false" customHeight="false" outlineLevel="0" collapsed="false">
      <c r="A61" s="6" t="s">
        <v>106</v>
      </c>
      <c r="C61" s="59" t="n">
        <f aca="false">-C25*Inputs!$E$53/30</f>
        <v>0</v>
      </c>
      <c r="D61" s="59" t="n">
        <f aca="false">-D25*Inputs!$E$53/30</f>
        <v>0</v>
      </c>
      <c r="E61" s="59" t="n">
        <f aca="false">-E25*Inputs!$E$53/30</f>
        <v>0</v>
      </c>
      <c r="F61" s="59" t="n">
        <f aca="false">-F25*Inputs!$E$53/30</f>
        <v>0</v>
      </c>
      <c r="G61" s="59" t="n">
        <f aca="false">-G25*Inputs!$E$53/30</f>
        <v>0</v>
      </c>
      <c r="H61" s="59" t="n">
        <f aca="false">-H25*Inputs!$E$53/30</f>
        <v>0</v>
      </c>
      <c r="I61" s="59" t="n">
        <f aca="false">-I25*Inputs!$E$53/30</f>
        <v>0</v>
      </c>
      <c r="J61" s="59" t="n">
        <f aca="false">-J25*Inputs!$E$53/30</f>
        <v>0</v>
      </c>
      <c r="K61" s="59" t="n">
        <f aca="false">-K25*Inputs!$E$53/30</f>
        <v>0</v>
      </c>
      <c r="L61" s="59" t="n">
        <f aca="false">-L25*Inputs!$E$53/30</f>
        <v>0</v>
      </c>
      <c r="M61" s="59" t="n">
        <f aca="false">-M25*Inputs!$E$53/30</f>
        <v>0</v>
      </c>
      <c r="N61" s="59" t="n">
        <f aca="false">-N25*Inputs!$E$53/30</f>
        <v>0</v>
      </c>
      <c r="O61" s="59" t="n">
        <f aca="false">-O25*Inputs!$E$53/30</f>
        <v>0</v>
      </c>
      <c r="P61" s="59" t="n">
        <f aca="false">-P25*Inputs!$E$53/30</f>
        <v>0</v>
      </c>
      <c r="Q61" s="59" t="n">
        <f aca="false">-Q25*Inputs!$E$53/30</f>
        <v>0</v>
      </c>
      <c r="R61" s="59" t="n">
        <f aca="false">-R25*Inputs!$E$53/30</f>
        <v>0</v>
      </c>
      <c r="S61" s="59" t="n">
        <f aca="false">-S25*Inputs!$E$53/30</f>
        <v>0</v>
      </c>
      <c r="T61" s="59" t="n">
        <f aca="false">-T25*Inputs!$E$53/30</f>
        <v>0</v>
      </c>
      <c r="U61" s="59" t="n">
        <f aca="false">-U25*Inputs!$E$53/30</f>
        <v>0</v>
      </c>
      <c r="V61" s="59" t="n">
        <f aca="false">-V25*Inputs!$E$53/30</f>
        <v>0</v>
      </c>
      <c r="W61" s="59" t="n">
        <f aca="false">-W25*Inputs!$E$53/30</f>
        <v>0</v>
      </c>
      <c r="X61" s="59" t="n">
        <f aca="false">-X25*Inputs!$E$53/30</f>
        <v>0</v>
      </c>
      <c r="Y61" s="59" t="n">
        <f aca="false">-Y25*Inputs!$E$53/30</f>
        <v>0</v>
      </c>
      <c r="Z61" s="59" t="n">
        <f aca="false">-Z25*Inputs!$E$53/30</f>
        <v>0</v>
      </c>
      <c r="AA61" s="59" t="n">
        <f aca="false">-AA25*Inputs!$E$53/30</f>
        <v>0</v>
      </c>
      <c r="AB61" s="59" t="n">
        <f aca="false">-AB25*Inputs!$E$53/30</f>
        <v>0</v>
      </c>
      <c r="AC61" s="59" t="n">
        <f aca="false">-AC25*Inputs!$E$53/30</f>
        <v>0</v>
      </c>
      <c r="AD61" s="59" t="n">
        <f aca="false">-AD25*Inputs!$E$53/30</f>
        <v>0</v>
      </c>
      <c r="AE61" s="59" t="n">
        <f aca="false">-AE25*Inputs!$E$53/30</f>
        <v>0</v>
      </c>
      <c r="AF61" s="59" t="n">
        <f aca="false">-AF25*Inputs!$E$53/30</f>
        <v>0</v>
      </c>
      <c r="AG61" s="59" t="n">
        <f aca="false">-AG25*Inputs!$E$53/30</f>
        <v>0</v>
      </c>
      <c r="AH61" s="59" t="n">
        <f aca="false">-AH25*Inputs!$E$53/30</f>
        <v>0</v>
      </c>
      <c r="AI61" s="59" t="n">
        <f aca="false">-AI25*Inputs!$E$53/30</f>
        <v>0</v>
      </c>
      <c r="AJ61" s="59" t="n">
        <f aca="false">-AJ25*Inputs!$E$53/30</f>
        <v>0</v>
      </c>
      <c r="AK61" s="59" t="n">
        <f aca="false">-AK25*Inputs!$E$53/30</f>
        <v>0</v>
      </c>
      <c r="AL61" s="59" t="n">
        <f aca="false">-AL25*Inputs!$E$53/30</f>
        <v>0</v>
      </c>
      <c r="AM61" s="59" t="n">
        <f aca="false">-AM25*Inputs!$E$53/30</f>
        <v>0</v>
      </c>
      <c r="AN61" s="59" t="n">
        <f aca="false">-AN25*Inputs!$E$53/30</f>
        <v>0</v>
      </c>
      <c r="AO61" s="59" t="n">
        <f aca="false">-AO25*Inputs!$E$53/30</f>
        <v>0</v>
      </c>
      <c r="AP61" s="59" t="n">
        <f aca="false">-AP25*Inputs!$E$53/30</f>
        <v>0</v>
      </c>
      <c r="AQ61" s="59" t="n">
        <f aca="false">-AQ25*Inputs!$E$53/30</f>
        <v>0</v>
      </c>
      <c r="AR61" s="59" t="n">
        <f aca="false">-AR25*Inputs!$E$53/30</f>
        <v>0</v>
      </c>
      <c r="AS61" s="59" t="n">
        <f aca="false">-AS25*Inputs!$E$53/30</f>
        <v>0</v>
      </c>
      <c r="AT61" s="59" t="n">
        <f aca="false">-AT25*Inputs!$E$53/30</f>
        <v>0</v>
      </c>
      <c r="AU61" s="59" t="n">
        <f aca="false">-AU25*Inputs!$E$53/30</f>
        <v>0</v>
      </c>
      <c r="AV61" s="59" t="n">
        <f aca="false">-AV25*Inputs!$E$53/30</f>
        <v>0</v>
      </c>
      <c r="AW61" s="59" t="n">
        <f aca="false">-AW25*Inputs!$E$53/30</f>
        <v>0</v>
      </c>
      <c r="AX61" s="59" t="n">
        <f aca="false">-AX25*Inputs!$E$53/30</f>
        <v>0</v>
      </c>
      <c r="AY61" s="59" t="n">
        <f aca="false">-AY25*Inputs!$E$53/30</f>
        <v>0</v>
      </c>
      <c r="AZ61" s="59" t="n">
        <f aca="false">-AZ25*Inputs!$E$53/30</f>
        <v>0</v>
      </c>
      <c r="BA61" s="59" t="n">
        <f aca="false">-BA25*Inputs!$E$53/30</f>
        <v>0</v>
      </c>
      <c r="BB61" s="59" t="n">
        <f aca="false">-BB25*Inputs!$E$53/30</f>
        <v>0</v>
      </c>
      <c r="BC61" s="59" t="n">
        <f aca="false">-BC25*Inputs!$E$53/30</f>
        <v>0</v>
      </c>
      <c r="BD61" s="59" t="n">
        <f aca="false">-BD25*Inputs!$E$53/30</f>
        <v>0</v>
      </c>
      <c r="BE61" s="59" t="n">
        <f aca="false">-BE25*Inputs!$E$53/30</f>
        <v>0</v>
      </c>
      <c r="BF61" s="59" t="n">
        <f aca="false">-BF25*Inputs!$E$53/30</f>
        <v>0</v>
      </c>
      <c r="BG61" s="59" t="n">
        <f aca="false">-BG25*Inputs!$E$53/30</f>
        <v>0</v>
      </c>
      <c r="BH61" s="59" t="n">
        <f aca="false">-BH25*Inputs!$E$53/30</f>
        <v>0</v>
      </c>
      <c r="BI61" s="59" t="n">
        <f aca="false">-BI25*Inputs!$E$53/30</f>
        <v>0</v>
      </c>
      <c r="BJ61" s="59" t="n">
        <f aca="false">-BJ25*Inputs!$E$53/30</f>
        <v>0</v>
      </c>
    </row>
    <row r="62" customFormat="false" ht="15" hidden="false" customHeight="false" outlineLevel="0" collapsed="false">
      <c r="A62" s="6" t="s">
        <v>109</v>
      </c>
      <c r="C62" s="59" t="n">
        <f aca="false">-C25*Inputs!$E$54/30</f>
        <v>529.565277777778</v>
      </c>
      <c r="D62" s="59" t="n">
        <f aca="false">-D25*Inputs!$E$54/30</f>
        <v>870.2373125</v>
      </c>
      <c r="E62" s="59" t="n">
        <f aca="false">-E25*Inputs!$E$54/30</f>
        <v>1202.10810024306</v>
      </c>
      <c r="F62" s="59" t="n">
        <f aca="false">-F25*Inputs!$E$54/30</f>
        <v>1525.40620556476</v>
      </c>
      <c r="G62" s="59" t="n">
        <f aca="false">-G25*Inputs!$E$54/30</f>
        <v>1840.35422290747</v>
      </c>
      <c r="H62" s="59" t="n">
        <f aca="false">-H25*Inputs!$E$54/30</f>
        <v>2147.16893353105</v>
      </c>
      <c r="I62" s="59" t="n">
        <f aca="false">-I25*Inputs!$E$54/30</f>
        <v>2446.06145829204</v>
      </c>
      <c r="J62" s="59" t="n">
        <f aca="false">-J25*Inputs!$E$54/30</f>
        <v>2737.23740637992</v>
      </c>
      <c r="K62" s="59" t="n">
        <f aca="false">-K25*Inputs!$E$54/30</f>
        <v>3020.89702011814</v>
      </c>
      <c r="L62" s="59" t="n">
        <f aca="false">-L25*Inputs!$E$54/30</f>
        <v>3297.23531593485</v>
      </c>
      <c r="M62" s="59" t="n">
        <f aca="false">-M25*Inputs!$E$54/30</f>
        <v>3566.44222160545</v>
      </c>
      <c r="N62" s="59" t="n">
        <f aca="false">-N25*Inputs!$E$54/30</f>
        <v>3828.7027098661</v>
      </c>
      <c r="O62" s="59" t="n">
        <f aca="false">-O25*Inputs!$E$54/30</f>
        <v>4132.25708405066</v>
      </c>
      <c r="P62" s="59" t="n">
        <f aca="false">-P25*Inputs!$E$54/30</f>
        <v>4476.043511956</v>
      </c>
      <c r="Q62" s="59" t="n">
        <f aca="false">-Q25*Inputs!$E$54/30</f>
        <v>4810.96743618017</v>
      </c>
      <c r="R62" s="59" t="n">
        <f aca="false">-R25*Inputs!$E$54/30</f>
        <v>5137.25845460472</v>
      </c>
      <c r="S62" s="59" t="n">
        <f aca="false">-S25*Inputs!$E$54/30</f>
        <v>5455.14018410545</v>
      </c>
      <c r="T62" s="59" t="n">
        <f aca="false">-T25*Inputs!$E$54/30</f>
        <v>5764.83041730935</v>
      </c>
      <c r="U62" s="59" t="n">
        <f aca="false">-U25*Inputs!$E$54/30</f>
        <v>6066.54127521562</v>
      </c>
      <c r="V62" s="59" t="n">
        <f aca="false">-V25*Inputs!$E$54/30</f>
        <v>6360.47935579073</v>
      </c>
      <c r="W62" s="59" t="n">
        <f aca="false">-W25*Inputs!$E$54/30</f>
        <v>6646.84587864447</v>
      </c>
      <c r="X62" s="59" t="n">
        <f aca="false">-X25*Inputs!$E$54/30</f>
        <v>6925.83682589107</v>
      </c>
      <c r="Y62" s="59" t="n">
        <f aca="false">-Y25*Inputs!$E$54/30</f>
        <v>7197.64307929679</v>
      </c>
      <c r="Z62" s="59" t="n">
        <f aca="false">-Z25*Inputs!$E$54/30</f>
        <v>7462.45055381245</v>
      </c>
      <c r="AA62" s="59" t="n">
        <f aca="false">-AA25*Inputs!$E$54/30</f>
        <v>7782.01914965361</v>
      </c>
      <c r="AB62" s="59" t="n">
        <f aca="false">-AB25*Inputs!$E$54/30</f>
        <v>8154.94103087014</v>
      </c>
      <c r="AC62" s="59" t="n">
        <f aca="false">-AC25*Inputs!$E$54/30</f>
        <v>8518.26589958153</v>
      </c>
      <c r="AD62" s="59" t="n">
        <f aca="false">-AD25*Inputs!$E$54/30</f>
        <v>8872.24190006463</v>
      </c>
      <c r="AE62" s="59" t="n">
        <f aca="false">-AE25*Inputs!$E$54/30</f>
        <v>9217.11072642048</v>
      </c>
      <c r="AF62" s="59" t="n">
        <f aca="false">-AF25*Inputs!$E$54/30</f>
        <v>9553.10779122571</v>
      </c>
      <c r="AG62" s="59" t="n">
        <f aca="false">-AG25*Inputs!$E$54/30</f>
        <v>9880.46238974584</v>
      </c>
      <c r="AH62" s="59" t="n">
        <f aca="false">-AH25*Inputs!$E$54/30</f>
        <v>10199.3978598279</v>
      </c>
      <c r="AI62" s="59" t="n">
        <f aca="false">-AI25*Inputs!$E$54/30</f>
        <v>10510.1317375872</v>
      </c>
      <c r="AJ62" s="59" t="n">
        <f aca="false">-AJ25*Inputs!$E$54/30</f>
        <v>10812.8759089989</v>
      </c>
      <c r="AK62" s="59" t="n">
        <f aca="false">-AK25*Inputs!$E$54/30</f>
        <v>11107.8367575037</v>
      </c>
      <c r="AL62" s="59" t="n">
        <f aca="false">-AL25*Inputs!$E$54/30</f>
        <v>11395.215307733</v>
      </c>
      <c r="AM62" s="59" t="n">
        <f aca="false">-AM25*Inputs!$E$54/30</f>
        <v>11754.2418889921</v>
      </c>
      <c r="AN62" s="59" t="n">
        <f aca="false">-AN25*Inputs!$E$54/30</f>
        <v>12183.0753413679</v>
      </c>
      <c r="AO62" s="59" t="n">
        <f aca="false">-AO25*Inputs!$E$54/30</f>
        <v>12600.8875091825</v>
      </c>
      <c r="AP62" s="59" t="n">
        <f aca="false">-AP25*Inputs!$E$54/30</f>
        <v>13007.9629379975</v>
      </c>
      <c r="AQ62" s="59" t="n">
        <f aca="false">-AQ25*Inputs!$E$54/30</f>
        <v>13404.5787893319</v>
      </c>
      <c r="AR62" s="59" t="n">
        <f aca="false">-AR25*Inputs!$E$54/30</f>
        <v>13791.0050333757</v>
      </c>
      <c r="AS62" s="59" t="n">
        <f aca="false">-AS25*Inputs!$E$54/30</f>
        <v>14167.5046366412</v>
      </c>
      <c r="AT62" s="59" t="n">
        <f aca="false">-AT25*Inputs!$E$54/30</f>
        <v>14534.3337446883</v>
      </c>
      <c r="AU62" s="59" t="n">
        <f aca="false">-AU25*Inputs!$E$54/30</f>
        <v>14891.7418600515</v>
      </c>
      <c r="AV62" s="59" t="n">
        <f aca="false">-AV25*Inputs!$E$54/30</f>
        <v>15239.9720154974</v>
      </c>
      <c r="AW62" s="59" t="n">
        <f aca="false">-AW25*Inputs!$E$54/30</f>
        <v>15579.260942735</v>
      </c>
      <c r="AX62" s="59" t="n">
        <f aca="false">-AX25*Inputs!$E$54/30</f>
        <v>15909.8392366991</v>
      </c>
      <c r="AY62" s="59" t="n">
        <f aca="false">-AY25*Inputs!$E$54/30</f>
        <v>16333.5418859154</v>
      </c>
      <c r="AZ62" s="59" t="n">
        <f aca="false">-AZ25*Inputs!$E$54/30</f>
        <v>16847.9771622363</v>
      </c>
      <c r="BA62" s="59" t="n">
        <f aca="false">-BA25*Inputs!$E$54/30</f>
        <v>17349.2046689048</v>
      </c>
      <c r="BB62" s="59" t="n">
        <f aca="false">-BB25*Inputs!$E$54/30</f>
        <v>17837.5650067945</v>
      </c>
      <c r="BC62" s="59" t="n">
        <f aca="false">-BC25*Inputs!$E$54/30</f>
        <v>18313.3899495583</v>
      </c>
      <c r="BD62" s="59" t="n">
        <f aca="false">-BD25*Inputs!$E$54/30</f>
        <v>18777.0026736747</v>
      </c>
      <c r="BE62" s="59" t="n">
        <f aca="false">-BE25*Inputs!$E$54/30</f>
        <v>19228.7179824621</v>
      </c>
      <c r="BF62" s="59" t="n">
        <f aca="false">-BF25*Inputs!$E$54/30</f>
        <v>19668.8425242206</v>
      </c>
      <c r="BG62" s="59" t="n">
        <f aca="false">-BG25*Inputs!$E$54/30</f>
        <v>20097.6750046553</v>
      </c>
      <c r="BH62" s="59" t="n">
        <f aca="false">-BH25*Inputs!$E$54/30</f>
        <v>20515.5063937325</v>
      </c>
      <c r="BI62" s="59" t="n">
        <f aca="false">-BI25*Inputs!$E$54/30</f>
        <v>20922.6201271166</v>
      </c>
      <c r="BJ62" s="59" t="n">
        <f aca="false">-BJ25*Inputs!$E$54/30</f>
        <v>21319.292302329</v>
      </c>
    </row>
    <row r="63" customFormat="false" ht="15" hidden="false" customHeight="false" outlineLevel="0" collapsed="false">
      <c r="A63" s="6" t="s">
        <v>254</v>
      </c>
      <c r="C63" s="59" t="n">
        <f aca="false">-C60</f>
        <v>-734.479166666667</v>
      </c>
      <c r="D63" s="59" t="n">
        <f aca="false">C60-D60</f>
        <v>-472.971354166667</v>
      </c>
      <c r="E63" s="59" t="n">
        <f aca="false">D60-E60</f>
        <v>-461.1470703125</v>
      </c>
      <c r="F63" s="59" t="n">
        <f aca="false">E60-F60</f>
        <v>-449.618393554688</v>
      </c>
      <c r="G63" s="59" t="n">
        <f aca="false">F60-G60</f>
        <v>-438.377933715821</v>
      </c>
      <c r="H63" s="59" t="n">
        <f aca="false">G60-H60</f>
        <v>-427.418485372925</v>
      </c>
      <c r="I63" s="59" t="n">
        <f aca="false">H60-I60</f>
        <v>-416.733023238602</v>
      </c>
      <c r="J63" s="59" t="n">
        <f aca="false">I60-J60</f>
        <v>-406.314697657637</v>
      </c>
      <c r="K63" s="59" t="n">
        <f aca="false">J60-K60</f>
        <v>-396.156830216195</v>
      </c>
      <c r="L63" s="59" t="n">
        <f aca="false">K60-L60</f>
        <v>-386.252909460791</v>
      </c>
      <c r="M63" s="59" t="n">
        <f aca="false">L60-M60</f>
        <v>-376.596586724271</v>
      </c>
      <c r="N63" s="59" t="n">
        <f aca="false">M60-N60</f>
        <v>-367.181672056164</v>
      </c>
      <c r="O63" s="59" t="n">
        <f aca="false">N60-O60</f>
        <v>-426.176463588095</v>
      </c>
      <c r="P63" s="59" t="n">
        <f aca="false">O60-P60</f>
        <v>-483.696385331723</v>
      </c>
      <c r="Q63" s="59" t="n">
        <f aca="false">P60-Q60</f>
        <v>-471.603975698432</v>
      </c>
      <c r="R63" s="59" t="n">
        <f aca="false">Q60-R60</f>
        <v>-459.81387630597</v>
      </c>
      <c r="S63" s="59" t="n">
        <f aca="false">R60-S60</f>
        <v>-448.318529398322</v>
      </c>
      <c r="T63" s="59" t="n">
        <f aca="false">S60-T60</f>
        <v>-437.110566163364</v>
      </c>
      <c r="U63" s="59" t="n">
        <f aca="false">T60-U60</f>
        <v>-426.182802009278</v>
      </c>
      <c r="V63" s="59" t="n">
        <f aca="false">U60-V60</f>
        <v>-415.528231959048</v>
      </c>
      <c r="W63" s="59" t="n">
        <f aca="false">V60-W60</f>
        <v>-405.140026160072</v>
      </c>
      <c r="X63" s="59" t="n">
        <f aca="false">W60-X60</f>
        <v>-395.011525506068</v>
      </c>
      <c r="Y63" s="59" t="n">
        <f aca="false">X60-Y60</f>
        <v>-385.136237368419</v>
      </c>
      <c r="Z63" s="59" t="n">
        <f aca="false">Y60-Z60</f>
        <v>-375.507831434205</v>
      </c>
      <c r="AA63" s="59" t="n">
        <f aca="false">Z60-AA60</f>
        <v>-453.84039464835</v>
      </c>
      <c r="AB63" s="59" t="n">
        <f aca="false">AA60-AB60</f>
        <v>-530.214643782143</v>
      </c>
      <c r="AC63" s="59" t="n">
        <f aca="false">AB60-AC60</f>
        <v>-516.959277687589</v>
      </c>
      <c r="AD63" s="59" t="n">
        <f aca="false">AC60-AD60</f>
        <v>-504.035295745396</v>
      </c>
      <c r="AE63" s="59" t="n">
        <f aca="false">AD60-AE60</f>
        <v>-491.434413351768</v>
      </c>
      <c r="AF63" s="59" t="n">
        <f aca="false">AE60-AF60</f>
        <v>-479.148553017971</v>
      </c>
      <c r="AG63" s="59" t="n">
        <f aca="false">AF60-AG60</f>
        <v>-467.169839192518</v>
      </c>
      <c r="AH63" s="59" t="n">
        <f aca="false">AG60-AH60</f>
        <v>-455.490593212708</v>
      </c>
      <c r="AI63" s="59" t="n">
        <f aca="false">AH60-AI60</f>
        <v>-444.103328382391</v>
      </c>
      <c r="AJ63" s="59" t="n">
        <f aca="false">AI60-AJ60</f>
        <v>-433.000745172831</v>
      </c>
      <c r="AK63" s="59" t="n">
        <f aca="false">AJ60-AK60</f>
        <v>-422.175726543506</v>
      </c>
      <c r="AL63" s="59" t="n">
        <f aca="false">AK60-AL60</f>
        <v>-411.621333379922</v>
      </c>
      <c r="AM63" s="59" t="n">
        <f aca="false">AL60-AM60</f>
        <v>-514.381672606425</v>
      </c>
      <c r="AN63" s="59" t="n">
        <f aca="false">AM60-AN60</f>
        <v>-614.573003352263</v>
      </c>
      <c r="AO63" s="59" t="n">
        <f aca="false">AN60-AO60</f>
        <v>-599.208678268456</v>
      </c>
      <c r="AP63" s="59" t="n">
        <f aca="false">AO60-AP60</f>
        <v>-584.228461311752</v>
      </c>
      <c r="AQ63" s="59" t="n">
        <f aca="false">AP60-AQ60</f>
        <v>-569.622749778948</v>
      </c>
      <c r="AR63" s="59" t="n">
        <f aca="false">AQ60-AR60</f>
        <v>-555.382181034478</v>
      </c>
      <c r="AS63" s="59" t="n">
        <f aca="false">AR60-AS60</f>
        <v>-541.497626508615</v>
      </c>
      <c r="AT63" s="59" t="n">
        <f aca="false">AS60-AT60</f>
        <v>-527.960185845903</v>
      </c>
      <c r="AU63" s="59" t="n">
        <f aca="false">AT60-AU60</f>
        <v>-514.761181199752</v>
      </c>
      <c r="AV63" s="59" t="n">
        <f aca="false">AU60-AV60</f>
        <v>-501.892151669763</v>
      </c>
      <c r="AW63" s="59" t="n">
        <f aca="false">AV60-AW60</f>
        <v>-489.344847878016</v>
      </c>
      <c r="AX63" s="59" t="n">
        <f aca="false">AW60-AX60</f>
        <v>-477.111226681063</v>
      </c>
      <c r="AY63" s="59" t="n">
        <f aca="false">AX60-AY60</f>
        <v>-611.112063332577</v>
      </c>
      <c r="AZ63" s="59" t="n">
        <f aca="false">AY60-AZ60</f>
        <v>-741.762879067803</v>
      </c>
      <c r="BA63" s="59" t="n">
        <f aca="false">AZ60-BA60</f>
        <v>-723.218807091103</v>
      </c>
      <c r="BB63" s="59" t="n">
        <f aca="false">BA60-BB60</f>
        <v>-705.138336913831</v>
      </c>
      <c r="BC63" s="59" t="n">
        <f aca="false">BB60-BC60</f>
        <v>-687.509878490986</v>
      </c>
      <c r="BD63" s="59" t="n">
        <f aca="false">BC60-BD60</f>
        <v>-670.322131528712</v>
      </c>
      <c r="BE63" s="59" t="n">
        <f aca="false">BD60-BE60</f>
        <v>-653.564078240488</v>
      </c>
      <c r="BF63" s="59" t="n">
        <f aca="false">BE60-BF60</f>
        <v>-637.224976284484</v>
      </c>
      <c r="BG63" s="59" t="n">
        <f aca="false">BF60-BG60</f>
        <v>-621.294351877368</v>
      </c>
      <c r="BH63" s="59" t="n">
        <f aca="false">BG60-BH60</f>
        <v>-605.761993080425</v>
      </c>
      <c r="BI63" s="59" t="n">
        <f aca="false">BH60-BI60</f>
        <v>-590.617943253423</v>
      </c>
      <c r="BJ63" s="59" t="n">
        <f aca="false">BI60-BJ60</f>
        <v>-575.852494672079</v>
      </c>
    </row>
    <row r="64" customFormat="false" ht="15" hidden="false" customHeight="false" outlineLevel="0" collapsed="false">
      <c r="A64" s="6" t="s">
        <v>255</v>
      </c>
      <c r="C64" s="59" t="n">
        <f aca="false">-C61</f>
        <v>-0</v>
      </c>
      <c r="D64" s="59" t="n">
        <f aca="false">C61-D61</f>
        <v>0</v>
      </c>
      <c r="E64" s="59" t="n">
        <f aca="false">D61-E61</f>
        <v>0</v>
      </c>
      <c r="F64" s="59" t="n">
        <f aca="false">E61-F61</f>
        <v>0</v>
      </c>
      <c r="G64" s="59" t="n">
        <f aca="false">F61-G61</f>
        <v>0</v>
      </c>
      <c r="H64" s="59" t="n">
        <f aca="false">G61-H61</f>
        <v>0</v>
      </c>
      <c r="I64" s="59" t="n">
        <f aca="false">H61-I61</f>
        <v>0</v>
      </c>
      <c r="J64" s="59" t="n">
        <f aca="false">I61-J61</f>
        <v>0</v>
      </c>
      <c r="K64" s="59" t="n">
        <f aca="false">J61-K61</f>
        <v>0</v>
      </c>
      <c r="L64" s="59" t="n">
        <f aca="false">K61-L61</f>
        <v>0</v>
      </c>
      <c r="M64" s="59" t="n">
        <f aca="false">L61-M61</f>
        <v>0</v>
      </c>
      <c r="N64" s="59" t="n">
        <f aca="false">M61-N61</f>
        <v>0</v>
      </c>
      <c r="O64" s="59" t="n">
        <f aca="false">N61-O61</f>
        <v>0</v>
      </c>
      <c r="P64" s="59" t="n">
        <f aca="false">O61-P61</f>
        <v>0</v>
      </c>
      <c r="Q64" s="59" t="n">
        <f aca="false">P61-Q61</f>
        <v>0</v>
      </c>
      <c r="R64" s="59" t="n">
        <f aca="false">Q61-R61</f>
        <v>0</v>
      </c>
      <c r="S64" s="59" t="n">
        <f aca="false">R61-S61</f>
        <v>0</v>
      </c>
      <c r="T64" s="59" t="n">
        <f aca="false">S61-T61</f>
        <v>0</v>
      </c>
      <c r="U64" s="59" t="n">
        <f aca="false">T61-U61</f>
        <v>0</v>
      </c>
      <c r="V64" s="59" t="n">
        <f aca="false">U61-V61</f>
        <v>0</v>
      </c>
      <c r="W64" s="59" t="n">
        <f aca="false">V61-W61</f>
        <v>0</v>
      </c>
      <c r="X64" s="59" t="n">
        <f aca="false">W61-X61</f>
        <v>0</v>
      </c>
      <c r="Y64" s="59" t="n">
        <f aca="false">X61-Y61</f>
        <v>0</v>
      </c>
      <c r="Z64" s="59" t="n">
        <f aca="false">Y61-Z61</f>
        <v>0</v>
      </c>
      <c r="AA64" s="59" t="n">
        <f aca="false">Z61-AA61</f>
        <v>0</v>
      </c>
      <c r="AB64" s="59" t="n">
        <f aca="false">AA61-AB61</f>
        <v>0</v>
      </c>
      <c r="AC64" s="59" t="n">
        <f aca="false">AB61-AC61</f>
        <v>0</v>
      </c>
      <c r="AD64" s="59" t="n">
        <f aca="false">AC61-AD61</f>
        <v>0</v>
      </c>
      <c r="AE64" s="59" t="n">
        <f aca="false">AD61-AE61</f>
        <v>0</v>
      </c>
      <c r="AF64" s="59" t="n">
        <f aca="false">AE61-AF61</f>
        <v>0</v>
      </c>
      <c r="AG64" s="59" t="n">
        <f aca="false">AF61-AG61</f>
        <v>0</v>
      </c>
      <c r="AH64" s="59" t="n">
        <f aca="false">AG61-AH61</f>
        <v>0</v>
      </c>
      <c r="AI64" s="59" t="n">
        <f aca="false">AH61-AI61</f>
        <v>0</v>
      </c>
      <c r="AJ64" s="59" t="n">
        <f aca="false">AI61-AJ61</f>
        <v>0</v>
      </c>
      <c r="AK64" s="59" t="n">
        <f aca="false">AJ61-AK61</f>
        <v>0</v>
      </c>
      <c r="AL64" s="59" t="n">
        <f aca="false">AK61-AL61</f>
        <v>0</v>
      </c>
      <c r="AM64" s="59" t="n">
        <f aca="false">AL61-AM61</f>
        <v>0</v>
      </c>
      <c r="AN64" s="59" t="n">
        <f aca="false">AM61-AN61</f>
        <v>0</v>
      </c>
      <c r="AO64" s="59" t="n">
        <f aca="false">AN61-AO61</f>
        <v>0</v>
      </c>
      <c r="AP64" s="59" t="n">
        <f aca="false">AO61-AP61</f>
        <v>0</v>
      </c>
      <c r="AQ64" s="59" t="n">
        <f aca="false">AP61-AQ61</f>
        <v>0</v>
      </c>
      <c r="AR64" s="59" t="n">
        <f aca="false">AQ61-AR61</f>
        <v>0</v>
      </c>
      <c r="AS64" s="59" t="n">
        <f aca="false">AR61-AS61</f>
        <v>0</v>
      </c>
      <c r="AT64" s="59" t="n">
        <f aca="false">AS61-AT61</f>
        <v>0</v>
      </c>
      <c r="AU64" s="59" t="n">
        <f aca="false">AT61-AU61</f>
        <v>0</v>
      </c>
      <c r="AV64" s="59" t="n">
        <f aca="false">AU61-AV61</f>
        <v>0</v>
      </c>
      <c r="AW64" s="59" t="n">
        <f aca="false">AV61-AW61</f>
        <v>0</v>
      </c>
      <c r="AX64" s="59" t="n">
        <f aca="false">AW61-AX61</f>
        <v>0</v>
      </c>
      <c r="AY64" s="59" t="n">
        <f aca="false">AX61-AY61</f>
        <v>0</v>
      </c>
      <c r="AZ64" s="59" t="n">
        <f aca="false">AY61-AZ61</f>
        <v>0</v>
      </c>
      <c r="BA64" s="59" t="n">
        <f aca="false">AZ61-BA61</f>
        <v>0</v>
      </c>
      <c r="BB64" s="59" t="n">
        <f aca="false">BA61-BB61</f>
        <v>0</v>
      </c>
      <c r="BC64" s="59" t="n">
        <f aca="false">BB61-BC61</f>
        <v>0</v>
      </c>
      <c r="BD64" s="59" t="n">
        <f aca="false">BC61-BD61</f>
        <v>0</v>
      </c>
      <c r="BE64" s="59" t="n">
        <f aca="false">BD61-BE61</f>
        <v>0</v>
      </c>
      <c r="BF64" s="59" t="n">
        <f aca="false">BE61-BF61</f>
        <v>0</v>
      </c>
      <c r="BG64" s="59" t="n">
        <f aca="false">BF61-BG61</f>
        <v>0</v>
      </c>
      <c r="BH64" s="59" t="n">
        <f aca="false">BG61-BH61</f>
        <v>0</v>
      </c>
      <c r="BI64" s="59" t="n">
        <f aca="false">BH61-BI61</f>
        <v>0</v>
      </c>
      <c r="BJ64" s="59" t="n">
        <f aca="false">BI61-BJ61</f>
        <v>0</v>
      </c>
    </row>
    <row r="65" customFormat="false" ht="15" hidden="false" customHeight="false" outlineLevel="0" collapsed="false">
      <c r="A65" s="6" t="s">
        <v>256</v>
      </c>
      <c r="C65" s="59" t="n">
        <f aca="false">C62</f>
        <v>529.565277777778</v>
      </c>
      <c r="D65" s="59" t="n">
        <f aca="false">D62-C62</f>
        <v>340.672034722222</v>
      </c>
      <c r="E65" s="59" t="n">
        <f aca="false">E62-D62</f>
        <v>331.870787743055</v>
      </c>
      <c r="F65" s="59" t="n">
        <f aca="false">F62-E62</f>
        <v>323.298105321701</v>
      </c>
      <c r="G65" s="59" t="n">
        <f aca="false">G62-F62</f>
        <v>314.948017342715</v>
      </c>
      <c r="H65" s="59" t="n">
        <f aca="false">H62-G62</f>
        <v>306.814710623581</v>
      </c>
      <c r="I65" s="59" t="n">
        <f aca="false">I62-H62</f>
        <v>298.892524760992</v>
      </c>
      <c r="J65" s="59" t="n">
        <f aca="false">J62-I62</f>
        <v>291.175948087878</v>
      </c>
      <c r="K65" s="59" t="n">
        <f aca="false">K62-J62</f>
        <v>283.659613738214</v>
      </c>
      <c r="L65" s="59" t="n">
        <f aca="false">L62-K62</f>
        <v>276.338295816716</v>
      </c>
      <c r="M65" s="59" t="n">
        <f aca="false">M62-L62</f>
        <v>269.206905670598</v>
      </c>
      <c r="N65" s="59" t="n">
        <f aca="false">N62-M62</f>
        <v>262.260488260652</v>
      </c>
      <c r="O65" s="59" t="n">
        <f aca="false">O62-N62</f>
        <v>303.554374184558</v>
      </c>
      <c r="P65" s="59" t="n">
        <f aca="false">P62-O62</f>
        <v>343.786427905339</v>
      </c>
      <c r="Q65" s="59" t="n">
        <f aca="false">Q62-P62</f>
        <v>334.923924224174</v>
      </c>
      <c r="R65" s="59" t="n">
        <f aca="false">R62-Q62</f>
        <v>326.291018424546</v>
      </c>
      <c r="S65" s="59" t="n">
        <f aca="false">S62-R62</f>
        <v>317.881729500726</v>
      </c>
      <c r="T65" s="59" t="n">
        <f aca="false">T62-S62</f>
        <v>309.690233203901</v>
      </c>
      <c r="U65" s="59" t="n">
        <f aca="false">U62-T62</f>
        <v>301.710857906272</v>
      </c>
      <c r="V65" s="59" t="n">
        <f aca="false">V62-U62</f>
        <v>293.938080575113</v>
      </c>
      <c r="W65" s="59" t="n">
        <f aca="false">W62-V62</f>
        <v>286.366522853738</v>
      </c>
      <c r="X65" s="59" t="n">
        <f aca="false">X62-W62</f>
        <v>278.990947246603</v>
      </c>
      <c r="Y65" s="59" t="n">
        <f aca="false">Y62-X62</f>
        <v>271.806253405723</v>
      </c>
      <c r="Z65" s="59" t="n">
        <f aca="false">Z62-Y62</f>
        <v>264.807474515658</v>
      </c>
      <c r="AA65" s="59" t="n">
        <f aca="false">AA62-Z62</f>
        <v>319.568595841158</v>
      </c>
      <c r="AB65" s="59" t="n">
        <f aca="false">AB62-AA62</f>
        <v>372.921881216533</v>
      </c>
      <c r="AC65" s="59" t="n">
        <f aca="false">AC62-AB62</f>
        <v>363.324868711385</v>
      </c>
      <c r="AD65" s="59" t="n">
        <f aca="false">AD62-AC62</f>
        <v>353.976000483104</v>
      </c>
      <c r="AE65" s="59" t="n">
        <f aca="false">AE62-AD62</f>
        <v>344.868826355851</v>
      </c>
      <c r="AF65" s="59" t="n">
        <f aca="false">AF62-AE62</f>
        <v>335.997064805229</v>
      </c>
      <c r="AG65" s="59" t="n">
        <f aca="false">AG62-AF62</f>
        <v>327.354598520125</v>
      </c>
      <c r="AH65" s="59" t="n">
        <f aca="false">AH62-AG62</f>
        <v>318.935470082099</v>
      </c>
      <c r="AI65" s="59" t="n">
        <f aca="false">AI62-AH62</f>
        <v>310.733877759274</v>
      </c>
      <c r="AJ65" s="59" t="n">
        <f aca="false">AJ62-AI62</f>
        <v>302.744171411643</v>
      </c>
      <c r="AK65" s="59" t="n">
        <f aca="false">AK62-AJ62</f>
        <v>294.960848504812</v>
      </c>
      <c r="AL65" s="59" t="n">
        <f aca="false">AL62-AK62</f>
        <v>287.378550229299</v>
      </c>
      <c r="AM65" s="59" t="n">
        <f aca="false">AM62-AL62</f>
        <v>359.026581259159</v>
      </c>
      <c r="AN65" s="59" t="n">
        <f aca="false">AN62-AM62</f>
        <v>428.833452375806</v>
      </c>
      <c r="AO65" s="59" t="n">
        <f aca="false">AO62-AN62</f>
        <v>417.812167814587</v>
      </c>
      <c r="AP65" s="59" t="n">
        <f aca="false">AP62-AO62</f>
        <v>407.075428814956</v>
      </c>
      <c r="AQ65" s="59" t="n">
        <f aca="false">AQ62-AP62</f>
        <v>396.61585133444</v>
      </c>
      <c r="AR65" s="59" t="n">
        <f aca="false">AR62-AQ62</f>
        <v>386.426244043745</v>
      </c>
      <c r="AS65" s="59" t="n">
        <f aca="false">AS62-AR62</f>
        <v>376.499603265534</v>
      </c>
      <c r="AT65" s="59" t="n">
        <f aca="false">AT62-AS62</f>
        <v>366.829108047097</v>
      </c>
      <c r="AU65" s="59" t="n">
        <f aca="false">AU62-AT62</f>
        <v>357.408115363223</v>
      </c>
      <c r="AV65" s="59" t="n">
        <f aca="false">AV62-AU62</f>
        <v>348.230155445921</v>
      </c>
      <c r="AW65" s="59" t="n">
        <f aca="false">AW62-AV62</f>
        <v>339.288927237556</v>
      </c>
      <c r="AX65" s="59" t="n">
        <f aca="false">AX62-AW62</f>
        <v>330.578293964063</v>
      </c>
      <c r="AY65" s="59" t="n">
        <f aca="false">AY62-AX62</f>
        <v>423.702649216306</v>
      </c>
      <c r="AZ65" s="59" t="n">
        <f aca="false">AZ62-AY62</f>
        <v>514.435276320939</v>
      </c>
      <c r="BA65" s="59" t="n">
        <f aca="false">BA62-AZ62</f>
        <v>501.227506668518</v>
      </c>
      <c r="BB65" s="59" t="n">
        <f aca="false">BB62-BA62</f>
        <v>488.360337889731</v>
      </c>
      <c r="BC65" s="59" t="n">
        <f aca="false">BC62-BB62</f>
        <v>475.824942763778</v>
      </c>
      <c r="BD65" s="59" t="n">
        <f aca="false">BD62-BC62</f>
        <v>463.612724116341</v>
      </c>
      <c r="BE65" s="59" t="n">
        <f aca="false">BE62-BD62</f>
        <v>451.715308787439</v>
      </c>
      <c r="BF65" s="59" t="n">
        <f aca="false">BF62-BE62</f>
        <v>440.124541758538</v>
      </c>
      <c r="BG65" s="59" t="n">
        <f aca="false">BG62-BF62</f>
        <v>428.83248043463</v>
      </c>
      <c r="BH65" s="59" t="n">
        <f aca="false">BH62-BG62</f>
        <v>417.831389077222</v>
      </c>
      <c r="BI65" s="59" t="n">
        <f aca="false">BI62-BH62</f>
        <v>407.113733384151</v>
      </c>
      <c r="BJ65" s="59" t="n">
        <f aca="false">BJ62-BI62</f>
        <v>396.672175212385</v>
      </c>
    </row>
    <row r="66" customFormat="false" ht="15" hidden="false" customHeight="false" outlineLevel="0" collapsed="false">
      <c r="A66" s="6" t="s">
        <v>110</v>
      </c>
      <c r="C66" s="59" t="n">
        <f aca="false">C21*Inputs!$E$17*6</f>
        <v>7012.5</v>
      </c>
      <c r="D66" s="59" t="n">
        <f aca="false">D21*Inputs!$E$17*6</f>
        <v>10374.7875</v>
      </c>
      <c r="E66" s="59" t="n">
        <f aca="false">E21*Inputs!$E$17*6</f>
        <v>13653.0178125</v>
      </c>
      <c r="F66" s="59" t="n">
        <f aca="false">F21*Inputs!$E$17*6</f>
        <v>16849.2923671875</v>
      </c>
      <c r="G66" s="59" t="n">
        <f aca="false">G21*Inputs!$E$17*6</f>
        <v>19965.6600580078</v>
      </c>
      <c r="H66" s="59" t="n">
        <f aca="false">H21*Inputs!$E$17*6</f>
        <v>23004.1185565576</v>
      </c>
      <c r="I66" s="59" t="n">
        <f aca="false">I21*Inputs!$E$17*6</f>
        <v>25966.6155926437</v>
      </c>
      <c r="J66" s="59" t="n">
        <f aca="false">J21*Inputs!$E$17*6</f>
        <v>28855.0502028276</v>
      </c>
      <c r="K66" s="59" t="n">
        <f aca="false">K21*Inputs!$E$17*6</f>
        <v>31671.2739477569</v>
      </c>
      <c r="L66" s="59" t="n">
        <f aca="false">L21*Inputs!$E$17*6</f>
        <v>34417.092099063</v>
      </c>
      <c r="M66" s="59" t="n">
        <f aca="false">M21*Inputs!$E$17*6</f>
        <v>37094.2647965864</v>
      </c>
      <c r="N66" s="59" t="n">
        <f aca="false">N21*Inputs!$E$17*6</f>
        <v>39704.5081766718</v>
      </c>
      <c r="O66" s="59" t="n">
        <f aca="false">O21*Inputs!$E$17*6</f>
        <v>43231.205872255</v>
      </c>
      <c r="P66" s="59" t="n">
        <f aca="false">P21*Inputs!$E$17*6</f>
        <v>46669.7361254486</v>
      </c>
      <c r="Q66" s="59" t="n">
        <f aca="false">Q21*Inputs!$E$17*6</f>
        <v>50022.3031223124</v>
      </c>
      <c r="R66" s="59" t="n">
        <f aca="false">R21*Inputs!$E$17*6</f>
        <v>53291.0559442546</v>
      </c>
      <c r="S66" s="59" t="n">
        <f aca="false">S21*Inputs!$E$17*6</f>
        <v>56478.0899456482</v>
      </c>
      <c r="T66" s="59" t="n">
        <f aca="false">T21*Inputs!$E$17*6</f>
        <v>59585.448097007</v>
      </c>
      <c r="U66" s="59" t="n">
        <f aca="false">U21*Inputs!$E$17*6</f>
        <v>62615.1222945818</v>
      </c>
      <c r="V66" s="59" t="n">
        <f aca="false">V21*Inputs!$E$17*6</f>
        <v>65569.0546372173</v>
      </c>
      <c r="W66" s="59" t="n">
        <f aca="false">W21*Inputs!$E$17*6</f>
        <v>68449.1386712868</v>
      </c>
      <c r="X66" s="59" t="n">
        <f aca="false">X21*Inputs!$E$17*6</f>
        <v>71257.2206045047</v>
      </c>
      <c r="Y66" s="59" t="n">
        <f aca="false">Y21*Inputs!$E$17*6</f>
        <v>73995.100489392</v>
      </c>
      <c r="Z66" s="59" t="n">
        <f aca="false">Z21*Inputs!$E$17*6</f>
        <v>76664.5333771572</v>
      </c>
      <c r="AA66" s="59" t="n">
        <f aca="false">AA21*Inputs!$E$17*6</f>
        <v>80530.4021723283</v>
      </c>
      <c r="AB66" s="59" t="n">
        <f aca="false">AB21*Inputs!$E$17*6</f>
        <v>84299.6242476201</v>
      </c>
      <c r="AC66" s="59" t="n">
        <f aca="false">AC21*Inputs!$E$17*6</f>
        <v>87974.6157710296</v>
      </c>
      <c r="AD66" s="59" t="n">
        <f aca="false">AD21*Inputs!$E$17*6</f>
        <v>91557.7325063538</v>
      </c>
      <c r="AE66" s="59" t="n">
        <f aca="false">AE21*Inputs!$E$17*6</f>
        <v>95051.271323295</v>
      </c>
      <c r="AF66" s="59" t="n">
        <f aca="false">AF21*Inputs!$E$17*6</f>
        <v>98457.4716698126</v>
      </c>
      <c r="AG66" s="59" t="n">
        <f aca="false">AG21*Inputs!$E$17*6</f>
        <v>101778.517007667</v>
      </c>
      <c r="AH66" s="59" t="n">
        <f aca="false">AH21*Inputs!$E$17*6</f>
        <v>105016.536212076</v>
      </c>
      <c r="AI66" s="59" t="n">
        <f aca="false">AI21*Inputs!$E$17*6</f>
        <v>108173.604936374</v>
      </c>
      <c r="AJ66" s="59" t="n">
        <f aca="false">AJ21*Inputs!$E$17*6</f>
        <v>111251.746942564</v>
      </c>
      <c r="AK66" s="59" t="n">
        <f aca="false">AK21*Inputs!$E$17*6</f>
        <v>114252.9353986</v>
      </c>
      <c r="AL66" s="59" t="n">
        <f aca="false">AL21*Inputs!$E$17*6</f>
        <v>117179.094143235</v>
      </c>
      <c r="AM66" s="59" t="n">
        <f aca="false">AM21*Inputs!$E$17*6</f>
        <v>121660.031484133</v>
      </c>
      <c r="AN66" s="59" t="n">
        <f aca="false">AN21*Inputs!$E$17*6</f>
        <v>126028.945391508</v>
      </c>
      <c r="AO66" s="59" t="n">
        <f aca="false">AO21*Inputs!$E$17*6</f>
        <v>130288.636451199</v>
      </c>
      <c r="AP66" s="59" t="n">
        <f aca="false">AP21*Inputs!$E$17*6</f>
        <v>134441.835234397</v>
      </c>
      <c r="AQ66" s="59" t="n">
        <f aca="false">AQ21*Inputs!$E$17*6</f>
        <v>138491.204048015</v>
      </c>
      <c r="AR66" s="59" t="n">
        <f aca="false">AR21*Inputs!$E$17*6</f>
        <v>142439.338641293</v>
      </c>
      <c r="AS66" s="59" t="n">
        <f aca="false">AS21*Inputs!$E$17*6</f>
        <v>146288.769869739</v>
      </c>
      <c r="AT66" s="59" t="n">
        <f aca="false">AT21*Inputs!$E$17*6</f>
        <v>150041.965317474</v>
      </c>
      <c r="AU66" s="59" t="n">
        <f aca="false">AU21*Inputs!$E$17*6</f>
        <v>153701.330879016</v>
      </c>
      <c r="AV66" s="59" t="n">
        <f aca="false">AV21*Inputs!$E$17*6</f>
        <v>157269.212301519</v>
      </c>
      <c r="AW66" s="59" t="n">
        <f aca="false">AW21*Inputs!$E$17*6</f>
        <v>160747.896688459</v>
      </c>
      <c r="AX66" s="59" t="n">
        <f aca="false">AX21*Inputs!$E$17*6</f>
        <v>164139.613965726</v>
      </c>
      <c r="AY66" s="59" t="n">
        <f aca="false">AY21*Inputs!$E$17*6</f>
        <v>169547.910400448</v>
      </c>
      <c r="AZ66" s="59" t="n">
        <f aca="false">AZ21*Inputs!$E$17*6</f>
        <v>174820.999424303</v>
      </c>
      <c r="BA66" s="59" t="n">
        <f aca="false">BA21*Inputs!$E$17*6</f>
        <v>179962.26122256</v>
      </c>
      <c r="BB66" s="59" t="n">
        <f aca="false">BB21*Inputs!$E$17*6</f>
        <v>184974.991475862</v>
      </c>
      <c r="BC66" s="59" t="n">
        <f aca="false">BC21*Inputs!$E$17*6</f>
        <v>189862.403472831</v>
      </c>
      <c r="BD66" s="59" t="n">
        <f aca="false">BD21*Inputs!$E$17*6</f>
        <v>194627.630169875</v>
      </c>
      <c r="BE66" s="59" t="n">
        <f aca="false">BE21*Inputs!$E$17*6</f>
        <v>199273.726199494</v>
      </c>
      <c r="BF66" s="59" t="n">
        <f aca="false">BF21*Inputs!$E$17*6</f>
        <v>203803.669828372</v>
      </c>
      <c r="BG66" s="59" t="n">
        <f aca="false">BG21*Inputs!$E$17*6</f>
        <v>208220.364866528</v>
      </c>
      <c r="BH66" s="59" t="n">
        <f aca="false">BH21*Inputs!$E$17*6</f>
        <v>212526.64252873</v>
      </c>
      <c r="BI66" s="59" t="n">
        <f aca="false">BI21*Inputs!$E$17*6</f>
        <v>216725.263249377</v>
      </c>
      <c r="BJ66" s="59" t="n">
        <f aca="false">BJ21*Inputs!$E$17*6</f>
        <v>220818.918452008</v>
      </c>
    </row>
    <row r="67" customFormat="false" ht="15" hidden="false" customHeight="false" outlineLevel="0" collapsed="false">
      <c r="A67" s="6" t="s">
        <v>257</v>
      </c>
      <c r="C67" s="59" t="n">
        <f aca="false">C66</f>
        <v>7012.5</v>
      </c>
      <c r="D67" s="59" t="n">
        <f aca="false">D66-C66</f>
        <v>3362.2875</v>
      </c>
      <c r="E67" s="59" t="n">
        <f aca="false">E66-D66</f>
        <v>3278.2303125</v>
      </c>
      <c r="F67" s="59" t="n">
        <f aca="false">F66-E66</f>
        <v>3196.2745546875</v>
      </c>
      <c r="G67" s="59" t="n">
        <f aca="false">G66-F66</f>
        <v>3116.36769082031</v>
      </c>
      <c r="H67" s="59" t="n">
        <f aca="false">H66-G66</f>
        <v>3038.45849854981</v>
      </c>
      <c r="I67" s="59" t="n">
        <f aca="false">I66-H66</f>
        <v>2962.49703608606</v>
      </c>
      <c r="J67" s="59" t="n">
        <f aca="false">J66-I66</f>
        <v>2888.43461018391</v>
      </c>
      <c r="K67" s="59" t="n">
        <f aca="false">K66-J66</f>
        <v>2816.22374492931</v>
      </c>
      <c r="L67" s="59" t="n">
        <f aca="false">L66-K66</f>
        <v>2745.81815130608</v>
      </c>
      <c r="M67" s="59" t="n">
        <f aca="false">M66-L66</f>
        <v>2677.17269752342</v>
      </c>
      <c r="N67" s="59" t="n">
        <f aca="false">N66-M66</f>
        <v>2610.24338008535</v>
      </c>
      <c r="O67" s="59" t="n">
        <f aca="false">O66-N66</f>
        <v>3526.69769558321</v>
      </c>
      <c r="P67" s="59" t="n">
        <f aca="false">P66-O66</f>
        <v>3438.53025319362</v>
      </c>
      <c r="Q67" s="59" t="n">
        <f aca="false">Q66-P66</f>
        <v>3352.56699686379</v>
      </c>
      <c r="R67" s="59" t="n">
        <f aca="false">R66-Q66</f>
        <v>3268.75282194219</v>
      </c>
      <c r="S67" s="59" t="n">
        <f aca="false">S66-R66</f>
        <v>3187.03400139364</v>
      </c>
      <c r="T67" s="59" t="n">
        <f aca="false">T66-S66</f>
        <v>3107.3581513588</v>
      </c>
      <c r="U67" s="59" t="n">
        <f aca="false">U66-T66</f>
        <v>3029.67419757482</v>
      </c>
      <c r="V67" s="59" t="n">
        <f aca="false">V66-U66</f>
        <v>2953.93234263546</v>
      </c>
      <c r="W67" s="59" t="n">
        <f aca="false">W66-V66</f>
        <v>2880.08403406957</v>
      </c>
      <c r="X67" s="59" t="n">
        <f aca="false">X66-W66</f>
        <v>2808.08193321782</v>
      </c>
      <c r="Y67" s="59" t="n">
        <f aca="false">Y66-X66</f>
        <v>2737.87988488737</v>
      </c>
      <c r="Z67" s="59" t="n">
        <f aca="false">Z66-Y66</f>
        <v>2669.4328877652</v>
      </c>
      <c r="AA67" s="59" t="n">
        <f aca="false">AA66-Z66</f>
        <v>3865.86879517106</v>
      </c>
      <c r="AB67" s="59" t="n">
        <f aca="false">AB66-AA66</f>
        <v>3769.22207529178</v>
      </c>
      <c r="AC67" s="59" t="n">
        <f aca="false">AC66-AB66</f>
        <v>3674.99152340948</v>
      </c>
      <c r="AD67" s="59" t="n">
        <f aca="false">AD66-AC66</f>
        <v>3583.11673532426</v>
      </c>
      <c r="AE67" s="59" t="n">
        <f aca="false">AE66-AD66</f>
        <v>3493.53881694116</v>
      </c>
      <c r="AF67" s="59" t="n">
        <f aca="false">AF66-AE66</f>
        <v>3406.20034651762</v>
      </c>
      <c r="AG67" s="59" t="n">
        <f aca="false">AG66-AF66</f>
        <v>3321.04533785467</v>
      </c>
      <c r="AH67" s="59" t="n">
        <f aca="false">AH66-AG66</f>
        <v>3238.01920440832</v>
      </c>
      <c r="AI67" s="59" t="n">
        <f aca="false">AI66-AH66</f>
        <v>3157.06872429809</v>
      </c>
      <c r="AJ67" s="59" t="n">
        <f aca="false">AJ66-AI66</f>
        <v>3078.14200619064</v>
      </c>
      <c r="AK67" s="59" t="n">
        <f aca="false">AK66-AJ66</f>
        <v>3001.18845603586</v>
      </c>
      <c r="AL67" s="59" t="n">
        <f aca="false">AL66-AK66</f>
        <v>2926.158744635</v>
      </c>
      <c r="AM67" s="59" t="n">
        <f aca="false">AM66-AL66</f>
        <v>4480.93734089754</v>
      </c>
      <c r="AN67" s="59" t="n">
        <f aca="false">AN66-AM66</f>
        <v>4368.9139073751</v>
      </c>
      <c r="AO67" s="59" t="n">
        <f aca="false">AO66-AN66</f>
        <v>4259.6910596907</v>
      </c>
      <c r="AP67" s="59" t="n">
        <f aca="false">AP66-AO66</f>
        <v>4153.19878319843</v>
      </c>
      <c r="AQ67" s="59" t="n">
        <f aca="false">AQ66-AP66</f>
        <v>4049.36881361849</v>
      </c>
      <c r="AR67" s="59" t="n">
        <f aca="false">AR66-AQ66</f>
        <v>3948.134593278</v>
      </c>
      <c r="AS67" s="59" t="n">
        <f aca="false">AS66-AR66</f>
        <v>3849.43122844605</v>
      </c>
      <c r="AT67" s="59" t="n">
        <f aca="false">AT66-AS66</f>
        <v>3753.19544773491</v>
      </c>
      <c r="AU67" s="59" t="n">
        <f aca="false">AU66-AT66</f>
        <v>3659.36556154155</v>
      </c>
      <c r="AV67" s="59" t="n">
        <f aca="false">AV66-AU66</f>
        <v>3567.88142250301</v>
      </c>
      <c r="AW67" s="59" t="n">
        <f aca="false">AW66-AV66</f>
        <v>3478.68438694044</v>
      </c>
      <c r="AX67" s="59" t="n">
        <f aca="false">AX66-AW66</f>
        <v>3391.7172772669</v>
      </c>
      <c r="AY67" s="59" t="n">
        <f aca="false">AY66-AX66</f>
        <v>5408.2964347222</v>
      </c>
      <c r="AZ67" s="59" t="n">
        <f aca="false">AZ66-AY66</f>
        <v>5273.08902385415</v>
      </c>
      <c r="BA67" s="59" t="n">
        <f aca="false">BA66-AZ66</f>
        <v>5141.26179825779</v>
      </c>
      <c r="BB67" s="59" t="n">
        <f aca="false">BB66-BA66</f>
        <v>5012.73025330136</v>
      </c>
      <c r="BC67" s="59" t="n">
        <f aca="false">BC66-BB66</f>
        <v>4887.41199696882</v>
      </c>
      <c r="BD67" s="59" t="n">
        <f aca="false">BD66-BC66</f>
        <v>4765.22669704459</v>
      </c>
      <c r="BE67" s="59" t="n">
        <f aca="false">BE66-BD66</f>
        <v>4646.09602961849</v>
      </c>
      <c r="BF67" s="59" t="n">
        <f aca="false">BF66-BE66</f>
        <v>4529.94362887798</v>
      </c>
      <c r="BG67" s="59" t="n">
        <f aca="false">BG66-BF66</f>
        <v>4416.69503815606</v>
      </c>
      <c r="BH67" s="59" t="n">
        <f aca="false">BH66-BG66</f>
        <v>4306.27766220219</v>
      </c>
      <c r="BI67" s="59" t="n">
        <f aca="false">BI66-BH66</f>
        <v>4198.62072064704</v>
      </c>
      <c r="BJ67" s="59" t="n">
        <f aca="false">BJ66-BI66</f>
        <v>4093.65520263097</v>
      </c>
    </row>
    <row r="69" customFormat="false" ht="15.75" hidden="false" customHeight="true" outlineLevel="0" collapsed="false">
      <c r="A69" s="7" t="s">
        <v>350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customFormat="false" ht="15" hidden="false" customHeight="false" outlineLevel="0" collapsed="false">
      <c r="A70" s="4" t="s">
        <v>48</v>
      </c>
      <c r="C70" s="64" t="n">
        <f aca="false">C44-C49+C63+C64+C65+C67</f>
        <v>-64465.1041666667</v>
      </c>
      <c r="D70" s="64" t="n">
        <f aca="false">D44-D49+D63+D64+D65+D67</f>
        <v>-65545.5460069444</v>
      </c>
      <c r="E70" s="64" t="n">
        <f aca="false">E44-E49+E63+E64+E65+E67</f>
        <v>-63191.5685234375</v>
      </c>
      <c r="F70" s="64" t="n">
        <f aca="false">F44-F49+F63+F64+F65+F67</f>
        <v>-60896.1560309071</v>
      </c>
      <c r="G70" s="64" t="n">
        <f aca="false">G44-G49+G63+G64+G65+G67</f>
        <v>-58657.8529379622</v>
      </c>
      <c r="H70" s="64" t="n">
        <f aca="false">H44-H49+H63+H64+H65+H67</f>
        <v>-56475.239786995</v>
      </c>
      <c r="I70" s="64" t="n">
        <f aca="false">I44-I49+I63+I64+I65+I67</f>
        <v>-54346.9323585164</v>
      </c>
      <c r="J70" s="64" t="n">
        <f aca="false">J44-J49+J63+J64+J65+J67</f>
        <v>-52271.5807976527</v>
      </c>
      <c r="K70" s="64" t="n">
        <f aca="false">K44-K49+K63+K64+K65+K67</f>
        <v>-50247.8687622566</v>
      </c>
      <c r="L70" s="64" t="n">
        <f aca="false">L44-L49+L63+L64+L65+L67</f>
        <v>-48274.5125920979</v>
      </c>
      <c r="M70" s="64" t="n">
        <f aca="false">M44-M49+M63+M64+M65+M67</f>
        <v>-46350.2604986151</v>
      </c>
      <c r="N70" s="64" t="n">
        <f aca="false">N44-N49+N63+N64+N65+N67</f>
        <v>-44473.8917747187</v>
      </c>
      <c r="O70" s="64" t="n">
        <f aca="false">O44-O49+O63+O64+O65+O67</f>
        <v>-77951.6339574849</v>
      </c>
      <c r="P70" s="64" t="n">
        <f aca="false">P44-P49+P63+P64+P65+P67</f>
        <v>-75498.6973838123</v>
      </c>
      <c r="Q70" s="64" t="n">
        <f aca="false">Q44-Q49+Q63+Q64+Q65+Q67</f>
        <v>-73086.7308042236</v>
      </c>
      <c r="R70" s="64" t="n">
        <f aca="false">R44-R49+R63+R64+R65+R67</f>
        <v>-70734.7955461411</v>
      </c>
      <c r="S70" s="64" t="n">
        <f aca="false">S44-S49+S63+S64+S65+S67</f>
        <v>-68441.3988618166</v>
      </c>
      <c r="T70" s="64" t="n">
        <f aca="false">T44-T49+T63+T64+T65+T67</f>
        <v>-66205.085081137</v>
      </c>
      <c r="U70" s="64" t="n">
        <f aca="false">U44-U49+U63+U64+U65+U67</f>
        <v>-64024.4346919152</v>
      </c>
      <c r="V70" s="64" t="n">
        <f aca="false">V44-V49+V63+V64+V65+V67</f>
        <v>-61898.0634429563</v>
      </c>
      <c r="W70" s="64" t="n">
        <f aca="false">W44-W49+W63+W64+W65+W67</f>
        <v>-59824.6214693379</v>
      </c>
      <c r="X70" s="64" t="n">
        <f aca="false">X44-X49+X63+X64+X65+X67</f>
        <v>-57802.7924393529</v>
      </c>
      <c r="Y70" s="64" t="n">
        <f aca="false">Y44-Y49+Y63+Y64+Y65+Y67</f>
        <v>-55831.2927225818</v>
      </c>
      <c r="Z70" s="64" t="n">
        <f aca="false">Z44-Z49+Z63+Z64+Z65+Z67</f>
        <v>-53908.8705785703</v>
      </c>
      <c r="AA70" s="64" t="n">
        <f aca="false">AA44-AA49+AA63+AA64+AA65+AA67</f>
        <v>-106872.332341004</v>
      </c>
      <c r="AB70" s="64" t="n">
        <f aca="false">AB44-AB49+AB63+AB64+AB65+AB67</f>
        <v>-104183.634043166</v>
      </c>
      <c r="AC70" s="64" t="n">
        <f aca="false">AC44-AC49+AC63+AC64+AC65+AC67</f>
        <v>-101535.775444044</v>
      </c>
      <c r="AD70" s="64" t="n">
        <f aca="false">AD44-AD49+AD63+AD64+AD65+AD67</f>
        <v>-98953.8393444263</v>
      </c>
      <c r="AE70" s="64" t="n">
        <f aca="false">AE44-AE49+AE63+AE64+AE65+AE67</f>
        <v>-96436.1859007883</v>
      </c>
      <c r="AF70" s="64" t="n">
        <f aca="false">AF44-AF49+AF63+AF64+AF65+AF67</f>
        <v>-93981.216019126</v>
      </c>
      <c r="AG70" s="64" t="n">
        <f aca="false">AG44-AG49+AG63+AG64+AG65+AG67</f>
        <v>-91587.3703436136</v>
      </c>
      <c r="AH70" s="64" t="n">
        <f aca="false">AH44-AH49+AH63+AH64+AH65+AH67</f>
        <v>-89253.1282703241</v>
      </c>
      <c r="AI70" s="64" t="n">
        <f aca="false">AI44-AI49+AI63+AI64+AI65+AI67</f>
        <v>-86977.0069853917</v>
      </c>
      <c r="AJ70" s="64" t="n">
        <f aca="false">AJ44-AJ49+AJ63+AJ64+AJ65+AJ67</f>
        <v>-84757.5605270119</v>
      </c>
      <c r="AK70" s="64" t="n">
        <f aca="false">AK44-AK49+AK63+AK64+AK65+AK67</f>
        <v>-82593.378870688</v>
      </c>
      <c r="AL70" s="64" t="n">
        <f aca="false">AL44-AL49+AL63+AL64+AL65+AL67</f>
        <v>-80483.0870371505</v>
      </c>
      <c r="AM70" s="64" t="n">
        <f aca="false">AM44-AM49+AM63+AM64+AM65+AM67</f>
        <v>-163702.545294705</v>
      </c>
      <c r="AN70" s="64" t="n">
        <f aca="false">AN44-AN49+AN63+AN64+AN65+AN67</f>
        <v>-160586.348620119</v>
      </c>
      <c r="AO70" s="64" t="n">
        <f aca="false">AO44-AO49+AO63+AO64+AO65+AO67</f>
        <v>-157513.788525485</v>
      </c>
      <c r="AP70" s="64" t="n">
        <f aca="false">AP44-AP49+AP63+AP64+AP65+AP67</f>
        <v>-154517.741984964</v>
      </c>
      <c r="AQ70" s="64" t="n">
        <f aca="false">AQ44-AQ49+AQ63+AQ64+AQ65+AQ67</f>
        <v>-151596.305173153</v>
      </c>
      <c r="AR70" s="64" t="n">
        <f aca="false">AR44-AR49+AR63+AR64+AR65+AR67</f>
        <v>-148747.621589876</v>
      </c>
      <c r="AS70" s="64" t="n">
        <f aca="false">AS44-AS49+AS63+AS64+AS65+AS67</f>
        <v>-145969.880885175</v>
      </c>
      <c r="AT70" s="64" t="n">
        <f aca="false">AT44-AT49+AT63+AT64+AT65+AT67</f>
        <v>-143261.317713413</v>
      </c>
      <c r="AU70" s="64" t="n">
        <f aca="false">AU44-AU49+AU63+AU64+AU65+AU67</f>
        <v>-140620.210615809</v>
      </c>
      <c r="AV70" s="64" t="n">
        <f aca="false">AV44-AV49+AV63+AV64+AV65+AV67</f>
        <v>-138044.880930662</v>
      </c>
      <c r="AW70" s="64" t="n">
        <f aca="false">AW44-AW49+AW63+AW64+AW65+AW67</f>
        <v>-135533.691730611</v>
      </c>
      <c r="AX70" s="64" t="n">
        <f aca="false">AX44-AX49+AX63+AX64+AX65+AX67</f>
        <v>-133085.046786239</v>
      </c>
      <c r="AY70" s="64" t="n">
        <f aca="false">AY44-AY49+AY63+AY64+AY65+AY67</f>
        <v>-263429.989659403</v>
      </c>
      <c r="AZ70" s="64" t="n">
        <f aca="false">AZ44-AZ49+AZ63+AZ64+AZ65+AZ67</f>
        <v>-259668.973260816</v>
      </c>
      <c r="BA70" s="64" t="n">
        <f aca="false">BA44-BA49+BA63+BA64+BA65+BA67</f>
        <v>-255957.37884821</v>
      </c>
      <c r="BB70" s="64" t="n">
        <f aca="false">BB44-BB49+BB63+BB64+BB65+BB67</f>
        <v>-252338.227408175</v>
      </c>
      <c r="BC70" s="64" t="n">
        <f aca="false">BC44-BC49+BC63+BC64+BC65+BC67</f>
        <v>-248809.218273028</v>
      </c>
      <c r="BD70" s="64" t="n">
        <f aca="false">BD44-BD49+BD63+BD64+BD65+BD67</f>
        <v>-245368.107979582</v>
      </c>
      <c r="BE70" s="64" t="n">
        <f aca="false">BE44-BE49+BE63+BE64+BE65+BE67</f>
        <v>-242012.708848393</v>
      </c>
      <c r="BF70" s="64" t="n">
        <f aca="false">BF44-BF49+BF63+BF64+BF65+BF67</f>
        <v>-238740.887598258</v>
      </c>
      <c r="BG70" s="64" t="n">
        <f aca="false">BG44-BG49+BG63+BG64+BG65+BG67</f>
        <v>-235550.563995067</v>
      </c>
      <c r="BH70" s="64" t="n">
        <f aca="false">BH44-BH49+BH63+BH64+BH65+BH67</f>
        <v>-232439.709534176</v>
      </c>
      <c r="BI70" s="64" t="n">
        <f aca="false">BI44-BI49+BI63+BI64+BI65+BI67</f>
        <v>-229406.346155461</v>
      </c>
      <c r="BJ70" s="64" t="n">
        <f aca="false">BJ44-BJ49+BJ63+BJ64+BJ65+BJ67</f>
        <v>-226448.544990247</v>
      </c>
    </row>
    <row r="71" customFormat="false" ht="15" hidden="false" customHeight="false" outlineLevel="0" collapsed="false">
      <c r="A71" s="6" t="s">
        <v>351</v>
      </c>
      <c r="C71" s="59" t="n">
        <f aca="false">-C47</f>
        <v>-20000</v>
      </c>
      <c r="D71" s="59" t="n">
        <f aca="false">-D47</f>
        <v>-0</v>
      </c>
      <c r="E71" s="59" t="n">
        <f aca="false">-E47</f>
        <v>-0</v>
      </c>
      <c r="F71" s="59" t="n">
        <f aca="false">-F47</f>
        <v>-0</v>
      </c>
      <c r="G71" s="59" t="n">
        <f aca="false">-G47</f>
        <v>-0</v>
      </c>
      <c r="H71" s="59" t="n">
        <f aca="false">-H47</f>
        <v>-0</v>
      </c>
      <c r="I71" s="59" t="n">
        <f aca="false">-I47</f>
        <v>-0</v>
      </c>
      <c r="J71" s="59" t="n">
        <f aca="false">-J47</f>
        <v>-0</v>
      </c>
      <c r="K71" s="59" t="n">
        <f aca="false">-K47</f>
        <v>-0</v>
      </c>
      <c r="L71" s="59" t="n">
        <f aca="false">-L47</f>
        <v>-0</v>
      </c>
      <c r="M71" s="59" t="n">
        <f aca="false">-M47</f>
        <v>-0</v>
      </c>
      <c r="N71" s="59" t="n">
        <f aca="false">-N47</f>
        <v>-0</v>
      </c>
      <c r="O71" s="59" t="n">
        <f aca="false">-O47</f>
        <v>-0</v>
      </c>
      <c r="P71" s="59" t="n">
        <f aca="false">-P47</f>
        <v>-0</v>
      </c>
      <c r="Q71" s="59" t="n">
        <f aca="false">-Q47</f>
        <v>-0</v>
      </c>
      <c r="R71" s="59" t="n">
        <f aca="false">-R47</f>
        <v>-0</v>
      </c>
      <c r="S71" s="59" t="n">
        <f aca="false">-S47</f>
        <v>-0</v>
      </c>
      <c r="T71" s="59" t="n">
        <f aca="false">-T47</f>
        <v>-0</v>
      </c>
      <c r="U71" s="59" t="n">
        <f aca="false">-U47</f>
        <v>-0</v>
      </c>
      <c r="V71" s="59" t="n">
        <f aca="false">-V47</f>
        <v>-0</v>
      </c>
      <c r="W71" s="59" t="n">
        <f aca="false">-W47</f>
        <v>-0</v>
      </c>
      <c r="X71" s="59" t="n">
        <f aca="false">-X47</f>
        <v>-0</v>
      </c>
      <c r="Y71" s="59" t="n">
        <f aca="false">-Y47</f>
        <v>-0</v>
      </c>
      <c r="Z71" s="59" t="n">
        <f aca="false">-Z47</f>
        <v>-0</v>
      </c>
      <c r="AA71" s="59" t="n">
        <f aca="false">-AA47</f>
        <v>-0</v>
      </c>
      <c r="AB71" s="59" t="n">
        <f aca="false">-AB47</f>
        <v>-0</v>
      </c>
      <c r="AC71" s="59" t="n">
        <f aca="false">-AC47</f>
        <v>-0</v>
      </c>
      <c r="AD71" s="59" t="n">
        <f aca="false">-AD47</f>
        <v>-0</v>
      </c>
      <c r="AE71" s="59" t="n">
        <f aca="false">-AE47</f>
        <v>-0</v>
      </c>
      <c r="AF71" s="59" t="n">
        <f aca="false">-AF47</f>
        <v>-0</v>
      </c>
      <c r="AG71" s="59" t="n">
        <f aca="false">-AG47</f>
        <v>-0</v>
      </c>
      <c r="AH71" s="59" t="n">
        <f aca="false">-AH47</f>
        <v>-0</v>
      </c>
      <c r="AI71" s="59" t="n">
        <f aca="false">-AI47</f>
        <v>-0</v>
      </c>
      <c r="AJ71" s="59" t="n">
        <f aca="false">-AJ47</f>
        <v>-0</v>
      </c>
      <c r="AK71" s="59" t="n">
        <f aca="false">-AK47</f>
        <v>-0</v>
      </c>
      <c r="AL71" s="59" t="n">
        <f aca="false">-AL47</f>
        <v>-0</v>
      </c>
      <c r="AM71" s="59" t="n">
        <f aca="false">-AM47</f>
        <v>-0</v>
      </c>
      <c r="AN71" s="59" t="n">
        <f aca="false">-AN47</f>
        <v>-0</v>
      </c>
      <c r="AO71" s="59" t="n">
        <f aca="false">-AO47</f>
        <v>-0</v>
      </c>
      <c r="AP71" s="59" t="n">
        <f aca="false">-AP47</f>
        <v>-0</v>
      </c>
      <c r="AQ71" s="59" t="n">
        <f aca="false">-AQ47</f>
        <v>-0</v>
      </c>
      <c r="AR71" s="59" t="n">
        <f aca="false">-AR47</f>
        <v>-0</v>
      </c>
      <c r="AS71" s="59" t="n">
        <f aca="false">-AS47</f>
        <v>-0</v>
      </c>
      <c r="AT71" s="59" t="n">
        <f aca="false">-AT47</f>
        <v>-0</v>
      </c>
      <c r="AU71" s="59" t="n">
        <f aca="false">-AU47</f>
        <v>-0</v>
      </c>
      <c r="AV71" s="59" t="n">
        <f aca="false">-AV47</f>
        <v>-0</v>
      </c>
      <c r="AW71" s="59" t="n">
        <f aca="false">-AW47</f>
        <v>-0</v>
      </c>
      <c r="AX71" s="59" t="n">
        <f aca="false">-AX47</f>
        <v>-0</v>
      </c>
      <c r="AY71" s="59" t="n">
        <f aca="false">-AY47</f>
        <v>-0</v>
      </c>
      <c r="AZ71" s="59" t="n">
        <f aca="false">-AZ47</f>
        <v>-0</v>
      </c>
      <c r="BA71" s="59" t="n">
        <f aca="false">-BA47</f>
        <v>-0</v>
      </c>
      <c r="BB71" s="59" t="n">
        <f aca="false">-BB47</f>
        <v>-0</v>
      </c>
      <c r="BC71" s="59" t="n">
        <f aca="false">-BC47</f>
        <v>-0</v>
      </c>
      <c r="BD71" s="59" t="n">
        <f aca="false">-BD47</f>
        <v>-0</v>
      </c>
      <c r="BE71" s="59" t="n">
        <f aca="false">-BE47</f>
        <v>-0</v>
      </c>
      <c r="BF71" s="59" t="n">
        <f aca="false">-BF47</f>
        <v>-0</v>
      </c>
      <c r="BG71" s="59" t="n">
        <f aca="false">-BG47</f>
        <v>-0</v>
      </c>
      <c r="BH71" s="59" t="n">
        <f aca="false">-BH47</f>
        <v>-0</v>
      </c>
      <c r="BI71" s="59" t="n">
        <f aca="false">-BI47</f>
        <v>-0</v>
      </c>
      <c r="BJ71" s="59" t="n">
        <f aca="false">-BJ47</f>
        <v>-0</v>
      </c>
    </row>
    <row r="72" customFormat="false" ht="15" hidden="false" customHeight="false" outlineLevel="0" collapsed="false">
      <c r="A72" s="6" t="s">
        <v>59</v>
      </c>
      <c r="C72" s="59" t="n">
        <f aca="false">IF(C$4=1,Inputs!$E$46,0)</f>
        <v>3000000</v>
      </c>
      <c r="D72" s="59" t="n">
        <f aca="false">IF(D$4=1,Inputs!$E$46,0)</f>
        <v>0</v>
      </c>
      <c r="E72" s="59" t="n">
        <f aca="false">IF(E$4=1,Inputs!$E$46,0)</f>
        <v>0</v>
      </c>
      <c r="F72" s="59" t="n">
        <f aca="false">IF(F$4=1,Inputs!$E$46,0)</f>
        <v>0</v>
      </c>
      <c r="G72" s="59" t="n">
        <f aca="false">IF(G$4=1,Inputs!$E$46,0)</f>
        <v>0</v>
      </c>
      <c r="H72" s="59" t="n">
        <f aca="false">IF(H$4=1,Inputs!$E$46,0)</f>
        <v>0</v>
      </c>
      <c r="I72" s="59" t="n">
        <f aca="false">IF(I$4=1,Inputs!$E$46,0)</f>
        <v>0</v>
      </c>
      <c r="J72" s="59" t="n">
        <f aca="false">IF(J$4=1,Inputs!$E$46,0)</f>
        <v>0</v>
      </c>
      <c r="K72" s="59" t="n">
        <f aca="false">IF(K$4=1,Inputs!$E$46,0)</f>
        <v>0</v>
      </c>
      <c r="L72" s="59" t="n">
        <f aca="false">IF(L$4=1,Inputs!$E$46,0)</f>
        <v>0</v>
      </c>
      <c r="M72" s="59" t="n">
        <f aca="false">IF(M$4=1,Inputs!$E$46,0)</f>
        <v>0</v>
      </c>
      <c r="N72" s="59" t="n">
        <f aca="false">IF(N$4=1,Inputs!$E$46,0)</f>
        <v>0</v>
      </c>
      <c r="O72" s="59" t="n">
        <f aca="false">IF(O$4=1,Inputs!$E$46,0)</f>
        <v>0</v>
      </c>
      <c r="P72" s="59" t="n">
        <f aca="false">IF(P$4=1,Inputs!$E$46,0)</f>
        <v>0</v>
      </c>
      <c r="Q72" s="59" t="n">
        <f aca="false">IF(Q$4=1,Inputs!$E$46,0)</f>
        <v>0</v>
      </c>
      <c r="R72" s="59" t="n">
        <f aca="false">IF(R$4=1,Inputs!$E$46,0)</f>
        <v>0</v>
      </c>
      <c r="S72" s="59" t="n">
        <f aca="false">IF(S$4=1,Inputs!$E$46,0)</f>
        <v>0</v>
      </c>
      <c r="T72" s="59" t="n">
        <f aca="false">IF(T$4=1,Inputs!$E$46,0)</f>
        <v>0</v>
      </c>
      <c r="U72" s="59" t="n">
        <f aca="false">IF(U$4=1,Inputs!$E$46,0)</f>
        <v>0</v>
      </c>
      <c r="V72" s="59" t="n">
        <f aca="false">IF(V$4=1,Inputs!$E$46,0)</f>
        <v>0</v>
      </c>
      <c r="W72" s="59" t="n">
        <f aca="false">IF(W$4=1,Inputs!$E$46,0)</f>
        <v>0</v>
      </c>
      <c r="X72" s="59" t="n">
        <f aca="false">IF(X$4=1,Inputs!$E$46,0)</f>
        <v>0</v>
      </c>
      <c r="Y72" s="59" t="n">
        <f aca="false">IF(Y$4=1,Inputs!$E$46,0)</f>
        <v>0</v>
      </c>
      <c r="Z72" s="59" t="n">
        <f aca="false">IF(Z$4=1,Inputs!$E$46,0)</f>
        <v>0</v>
      </c>
      <c r="AA72" s="59" t="n">
        <f aca="false">IF(AA$4=1,Inputs!$E$46,0)</f>
        <v>0</v>
      </c>
      <c r="AB72" s="59" t="n">
        <f aca="false">IF(AB$4=1,Inputs!$E$46,0)</f>
        <v>0</v>
      </c>
      <c r="AC72" s="59" t="n">
        <f aca="false">IF(AC$4=1,Inputs!$E$46,0)</f>
        <v>0</v>
      </c>
      <c r="AD72" s="59" t="n">
        <f aca="false">IF(AD$4=1,Inputs!$E$46,0)</f>
        <v>0</v>
      </c>
      <c r="AE72" s="59" t="n">
        <f aca="false">IF(AE$4=1,Inputs!$E$46,0)</f>
        <v>0</v>
      </c>
      <c r="AF72" s="59" t="n">
        <f aca="false">IF(AF$4=1,Inputs!$E$46,0)</f>
        <v>0</v>
      </c>
      <c r="AG72" s="59" t="n">
        <f aca="false">IF(AG$4=1,Inputs!$E$46,0)</f>
        <v>0</v>
      </c>
      <c r="AH72" s="59" t="n">
        <f aca="false">IF(AH$4=1,Inputs!$E$46,0)</f>
        <v>0</v>
      </c>
      <c r="AI72" s="59" t="n">
        <f aca="false">IF(AI$4=1,Inputs!$E$46,0)</f>
        <v>0</v>
      </c>
      <c r="AJ72" s="59" t="n">
        <f aca="false">IF(AJ$4=1,Inputs!$E$46,0)</f>
        <v>0</v>
      </c>
      <c r="AK72" s="59" t="n">
        <f aca="false">IF(AK$4=1,Inputs!$E$46,0)</f>
        <v>0</v>
      </c>
      <c r="AL72" s="59" t="n">
        <f aca="false">IF(AL$4=1,Inputs!$E$46,0)</f>
        <v>0</v>
      </c>
      <c r="AM72" s="59" t="n">
        <f aca="false">IF(AM$4=1,Inputs!$E$46,0)</f>
        <v>0</v>
      </c>
      <c r="AN72" s="59" t="n">
        <f aca="false">IF(AN$4=1,Inputs!$E$46,0)</f>
        <v>0</v>
      </c>
      <c r="AO72" s="59" t="n">
        <f aca="false">IF(AO$4=1,Inputs!$E$46,0)</f>
        <v>0</v>
      </c>
      <c r="AP72" s="59" t="n">
        <f aca="false">IF(AP$4=1,Inputs!$E$46,0)</f>
        <v>0</v>
      </c>
      <c r="AQ72" s="59" t="n">
        <f aca="false">IF(AQ$4=1,Inputs!$E$46,0)</f>
        <v>0</v>
      </c>
      <c r="AR72" s="59" t="n">
        <f aca="false">IF(AR$4=1,Inputs!$E$46,0)</f>
        <v>0</v>
      </c>
      <c r="AS72" s="59" t="n">
        <f aca="false">IF(AS$4=1,Inputs!$E$46,0)</f>
        <v>0</v>
      </c>
      <c r="AT72" s="59" t="n">
        <f aca="false">IF(AT$4=1,Inputs!$E$46,0)</f>
        <v>0</v>
      </c>
      <c r="AU72" s="59" t="n">
        <f aca="false">IF(AU$4=1,Inputs!$E$46,0)</f>
        <v>0</v>
      </c>
      <c r="AV72" s="59" t="n">
        <f aca="false">IF(AV$4=1,Inputs!$E$46,0)</f>
        <v>0</v>
      </c>
      <c r="AW72" s="59" t="n">
        <f aca="false">IF(AW$4=1,Inputs!$E$46,0)</f>
        <v>0</v>
      </c>
      <c r="AX72" s="59" t="n">
        <f aca="false">IF(AX$4=1,Inputs!$E$46,0)</f>
        <v>0</v>
      </c>
      <c r="AY72" s="59" t="n">
        <f aca="false">IF(AY$4=1,Inputs!$E$46,0)</f>
        <v>0</v>
      </c>
      <c r="AZ72" s="59" t="n">
        <f aca="false">IF(AZ$4=1,Inputs!$E$46,0)</f>
        <v>0</v>
      </c>
      <c r="BA72" s="59" t="n">
        <f aca="false">IF(BA$4=1,Inputs!$E$46,0)</f>
        <v>0</v>
      </c>
      <c r="BB72" s="59" t="n">
        <f aca="false">IF(BB$4=1,Inputs!$E$46,0)</f>
        <v>0</v>
      </c>
      <c r="BC72" s="59" t="n">
        <f aca="false">IF(BC$4=1,Inputs!$E$46,0)</f>
        <v>0</v>
      </c>
      <c r="BD72" s="59" t="n">
        <f aca="false">IF(BD$4=1,Inputs!$E$46,0)</f>
        <v>0</v>
      </c>
      <c r="BE72" s="59" t="n">
        <f aca="false">IF(BE$4=1,Inputs!$E$46,0)</f>
        <v>0</v>
      </c>
      <c r="BF72" s="59" t="n">
        <f aca="false">IF(BF$4=1,Inputs!$E$46,0)</f>
        <v>0</v>
      </c>
      <c r="BG72" s="59" t="n">
        <f aca="false">IF(BG$4=1,Inputs!$E$46,0)</f>
        <v>0</v>
      </c>
      <c r="BH72" s="59" t="n">
        <f aca="false">IF(BH$4=1,Inputs!$E$46,0)</f>
        <v>0</v>
      </c>
      <c r="BI72" s="59" t="n">
        <f aca="false">IF(BI$4=1,Inputs!$E$46,0)</f>
        <v>0</v>
      </c>
      <c r="BJ72" s="59" t="n">
        <f aca="false">IF(BJ$4=1,Inputs!$E$46,0)</f>
        <v>0</v>
      </c>
    </row>
    <row r="73" customFormat="false" ht="15" hidden="false" customHeight="false" outlineLevel="0" collapsed="false">
      <c r="A73" s="6" t="s">
        <v>50</v>
      </c>
      <c r="C73" s="59" t="n">
        <f aca="false">C72+C55+C56</f>
        <v>3000000</v>
      </c>
      <c r="D73" s="59" t="n">
        <f aca="false">D72+D55+D56</f>
        <v>0</v>
      </c>
      <c r="E73" s="59" t="n">
        <f aca="false">E72+E55+E56</f>
        <v>0</v>
      </c>
      <c r="F73" s="59" t="n">
        <f aca="false">F72+F55+F56</f>
        <v>0</v>
      </c>
      <c r="G73" s="59" t="n">
        <f aca="false">G72+G55+G56</f>
        <v>0</v>
      </c>
      <c r="H73" s="59" t="n">
        <f aca="false">H72+H55+H56</f>
        <v>0</v>
      </c>
      <c r="I73" s="59" t="n">
        <f aca="false">I72+I55+I56</f>
        <v>0</v>
      </c>
      <c r="J73" s="59" t="n">
        <f aca="false">J72+J55+J56</f>
        <v>0</v>
      </c>
      <c r="K73" s="59" t="n">
        <f aca="false">K72+K55+K56</f>
        <v>0</v>
      </c>
      <c r="L73" s="59" t="n">
        <f aca="false">L72+L55+L56</f>
        <v>0</v>
      </c>
      <c r="M73" s="59" t="n">
        <f aca="false">M72+M55+M56</f>
        <v>0</v>
      </c>
      <c r="N73" s="59" t="n">
        <f aca="false">N72+N55+N56</f>
        <v>0</v>
      </c>
      <c r="O73" s="59" t="n">
        <f aca="false">O72+O55+O56</f>
        <v>0</v>
      </c>
      <c r="P73" s="59" t="n">
        <f aca="false">P72+P55+P56</f>
        <v>0</v>
      </c>
      <c r="Q73" s="59" t="n">
        <f aca="false">Q72+Q55+Q56</f>
        <v>0</v>
      </c>
      <c r="R73" s="59" t="n">
        <f aca="false">R72+R55+R56</f>
        <v>0</v>
      </c>
      <c r="S73" s="59" t="n">
        <f aca="false">S72+S55+S56</f>
        <v>0</v>
      </c>
      <c r="T73" s="59" t="n">
        <f aca="false">T72+T55+T56</f>
        <v>0</v>
      </c>
      <c r="U73" s="59" t="n">
        <f aca="false">U72+U55+U56</f>
        <v>0</v>
      </c>
      <c r="V73" s="59" t="n">
        <f aca="false">V72+V55+V56</f>
        <v>0</v>
      </c>
      <c r="W73" s="59" t="n">
        <f aca="false">W72+W55+W56</f>
        <v>0</v>
      </c>
      <c r="X73" s="59" t="n">
        <f aca="false">X72+X55+X56</f>
        <v>0</v>
      </c>
      <c r="Y73" s="59" t="n">
        <f aca="false">Y72+Y55+Y56</f>
        <v>0</v>
      </c>
      <c r="Z73" s="59" t="n">
        <f aca="false">Z72+Z55+Z56</f>
        <v>0</v>
      </c>
      <c r="AA73" s="59" t="n">
        <f aca="false">AA72+AA55+AA56</f>
        <v>0</v>
      </c>
      <c r="AB73" s="59" t="n">
        <f aca="false">AB72+AB55+AB56</f>
        <v>0</v>
      </c>
      <c r="AC73" s="59" t="n">
        <f aca="false">AC72+AC55+AC56</f>
        <v>0</v>
      </c>
      <c r="AD73" s="59" t="n">
        <f aca="false">AD72+AD55+AD56</f>
        <v>0</v>
      </c>
      <c r="AE73" s="59" t="n">
        <f aca="false">AE72+AE55+AE56</f>
        <v>0</v>
      </c>
      <c r="AF73" s="59" t="n">
        <f aca="false">AF72+AF55+AF56</f>
        <v>0</v>
      </c>
      <c r="AG73" s="59" t="n">
        <f aca="false">AG72+AG55+AG56</f>
        <v>0</v>
      </c>
      <c r="AH73" s="59" t="n">
        <f aca="false">AH72+AH55+AH56</f>
        <v>0</v>
      </c>
      <c r="AI73" s="59" t="n">
        <f aca="false">AI72+AI55+AI56</f>
        <v>0</v>
      </c>
      <c r="AJ73" s="59" t="n">
        <f aca="false">AJ72+AJ55+AJ56</f>
        <v>0</v>
      </c>
      <c r="AK73" s="59" t="n">
        <f aca="false">AK72+AK55+AK56</f>
        <v>0</v>
      </c>
      <c r="AL73" s="59" t="n">
        <f aca="false">AL72+AL55+AL56</f>
        <v>0</v>
      </c>
      <c r="AM73" s="59" t="n">
        <f aca="false">AM72+AM55+AM56</f>
        <v>0</v>
      </c>
      <c r="AN73" s="59" t="n">
        <f aca="false">AN72+AN55+AN56</f>
        <v>0</v>
      </c>
      <c r="AO73" s="59" t="n">
        <f aca="false">AO72+AO55+AO56</f>
        <v>0</v>
      </c>
      <c r="AP73" s="59" t="n">
        <f aca="false">AP72+AP55+AP56</f>
        <v>0</v>
      </c>
      <c r="AQ73" s="59" t="n">
        <f aca="false">AQ72+AQ55+AQ56</f>
        <v>0</v>
      </c>
      <c r="AR73" s="59" t="n">
        <f aca="false">AR72+AR55+AR56</f>
        <v>0</v>
      </c>
      <c r="AS73" s="59" t="n">
        <f aca="false">AS72+AS55+AS56</f>
        <v>0</v>
      </c>
      <c r="AT73" s="59" t="n">
        <f aca="false">AT72+AT55+AT56</f>
        <v>0</v>
      </c>
      <c r="AU73" s="59" t="n">
        <f aca="false">AU72+AU55+AU56</f>
        <v>0</v>
      </c>
      <c r="AV73" s="59" t="n">
        <f aca="false">AV72+AV55+AV56</f>
        <v>0</v>
      </c>
      <c r="AW73" s="59" t="n">
        <f aca="false">AW72+AW55+AW56</f>
        <v>0</v>
      </c>
      <c r="AX73" s="59" t="n">
        <f aca="false">AX72+AX55+AX56</f>
        <v>0</v>
      </c>
      <c r="AY73" s="59" t="n">
        <f aca="false">AY72+AY55+AY56</f>
        <v>0</v>
      </c>
      <c r="AZ73" s="59" t="n">
        <f aca="false">AZ72+AZ55+AZ56</f>
        <v>0</v>
      </c>
      <c r="BA73" s="59" t="n">
        <f aca="false">BA72+BA55+BA56</f>
        <v>0</v>
      </c>
      <c r="BB73" s="59" t="n">
        <f aca="false">BB72+BB55+BB56</f>
        <v>0</v>
      </c>
      <c r="BC73" s="59" t="n">
        <f aca="false">BC72+BC55+BC56</f>
        <v>0</v>
      </c>
      <c r="BD73" s="59" t="n">
        <f aca="false">BD72+BD55+BD56</f>
        <v>0</v>
      </c>
      <c r="BE73" s="59" t="n">
        <f aca="false">BE72+BE55+BE56</f>
        <v>0</v>
      </c>
      <c r="BF73" s="59" t="n">
        <f aca="false">BF72+BF55+BF56</f>
        <v>0</v>
      </c>
      <c r="BG73" s="59" t="n">
        <f aca="false">BG72+BG55+BG56</f>
        <v>0</v>
      </c>
      <c r="BH73" s="59" t="n">
        <f aca="false">BH72+BH55+BH56</f>
        <v>0</v>
      </c>
      <c r="BI73" s="59" t="n">
        <f aca="false">BI72+BI55+BI56</f>
        <v>0</v>
      </c>
      <c r="BJ73" s="59" t="n">
        <f aca="false">BJ72+BJ55+BJ56</f>
        <v>0</v>
      </c>
    </row>
    <row r="74" customFormat="false" ht="15" hidden="false" customHeight="false" outlineLevel="0" collapsed="false">
      <c r="A74" s="82" t="s">
        <v>352</v>
      </c>
      <c r="C74" s="60" t="n">
        <f aca="false">C70+C71+C73</f>
        <v>2915534.89583333</v>
      </c>
      <c r="D74" s="60" t="n">
        <f aca="false">D70+D71+D73</f>
        <v>-65545.5460069444</v>
      </c>
      <c r="E74" s="60" t="n">
        <f aca="false">E70+E71+E73</f>
        <v>-63191.5685234375</v>
      </c>
      <c r="F74" s="60" t="n">
        <f aca="false">F70+F71+F73</f>
        <v>-60896.1560309071</v>
      </c>
      <c r="G74" s="60" t="n">
        <f aca="false">G70+G71+G73</f>
        <v>-58657.8529379622</v>
      </c>
      <c r="H74" s="60" t="n">
        <f aca="false">H70+H71+H73</f>
        <v>-56475.239786995</v>
      </c>
      <c r="I74" s="60" t="n">
        <f aca="false">I70+I71+I73</f>
        <v>-54346.9323585164</v>
      </c>
      <c r="J74" s="60" t="n">
        <f aca="false">J70+J71+J73</f>
        <v>-52271.5807976527</v>
      </c>
      <c r="K74" s="60" t="n">
        <f aca="false">K70+K71+K73</f>
        <v>-50247.8687622566</v>
      </c>
      <c r="L74" s="60" t="n">
        <f aca="false">L70+L71+L73</f>
        <v>-48274.5125920979</v>
      </c>
      <c r="M74" s="60" t="n">
        <f aca="false">M70+M71+M73</f>
        <v>-46350.2604986151</v>
      </c>
      <c r="N74" s="60" t="n">
        <f aca="false">N70+N71+N73</f>
        <v>-44473.8917747187</v>
      </c>
      <c r="O74" s="60" t="n">
        <f aca="false">O70+O71+O73</f>
        <v>-77951.6339574849</v>
      </c>
      <c r="P74" s="60" t="n">
        <f aca="false">P70+P71+P73</f>
        <v>-75498.6973838123</v>
      </c>
      <c r="Q74" s="60" t="n">
        <f aca="false">Q70+Q71+Q73</f>
        <v>-73086.7308042236</v>
      </c>
      <c r="R74" s="60" t="n">
        <f aca="false">R70+R71+R73</f>
        <v>-70734.7955461411</v>
      </c>
      <c r="S74" s="60" t="n">
        <f aca="false">S70+S71+S73</f>
        <v>-68441.3988618166</v>
      </c>
      <c r="T74" s="60" t="n">
        <f aca="false">T70+T71+T73</f>
        <v>-66205.085081137</v>
      </c>
      <c r="U74" s="60" t="n">
        <f aca="false">U70+U71+U73</f>
        <v>-64024.4346919152</v>
      </c>
      <c r="V74" s="60" t="n">
        <f aca="false">V70+V71+V73</f>
        <v>-61898.0634429563</v>
      </c>
      <c r="W74" s="60" t="n">
        <f aca="false">W70+W71+W73</f>
        <v>-59824.6214693379</v>
      </c>
      <c r="X74" s="60" t="n">
        <f aca="false">X70+X71+X73</f>
        <v>-57802.7924393529</v>
      </c>
      <c r="Y74" s="60" t="n">
        <f aca="false">Y70+Y71+Y73</f>
        <v>-55831.2927225818</v>
      </c>
      <c r="Z74" s="60" t="n">
        <f aca="false">Z70+Z71+Z73</f>
        <v>-53908.8705785703</v>
      </c>
      <c r="AA74" s="60" t="n">
        <f aca="false">AA70+AA71+AA73</f>
        <v>-106872.332341004</v>
      </c>
      <c r="AB74" s="60" t="n">
        <f aca="false">AB70+AB71+AB73</f>
        <v>-104183.634043166</v>
      </c>
      <c r="AC74" s="60" t="n">
        <f aca="false">AC70+AC71+AC73</f>
        <v>-101535.775444044</v>
      </c>
      <c r="AD74" s="60" t="n">
        <f aca="false">AD70+AD71+AD73</f>
        <v>-98953.8393444263</v>
      </c>
      <c r="AE74" s="60" t="n">
        <f aca="false">AE70+AE71+AE73</f>
        <v>-96436.1859007883</v>
      </c>
      <c r="AF74" s="60" t="n">
        <f aca="false">AF70+AF71+AF73</f>
        <v>-93981.216019126</v>
      </c>
      <c r="AG74" s="60" t="n">
        <f aca="false">AG70+AG71+AG73</f>
        <v>-91587.3703436136</v>
      </c>
      <c r="AH74" s="60" t="n">
        <f aca="false">AH70+AH71+AH73</f>
        <v>-89253.1282703241</v>
      </c>
      <c r="AI74" s="60" t="n">
        <f aca="false">AI70+AI71+AI73</f>
        <v>-86977.0069853917</v>
      </c>
      <c r="AJ74" s="60" t="n">
        <f aca="false">AJ70+AJ71+AJ73</f>
        <v>-84757.5605270119</v>
      </c>
      <c r="AK74" s="60" t="n">
        <f aca="false">AK70+AK71+AK73</f>
        <v>-82593.378870688</v>
      </c>
      <c r="AL74" s="60" t="n">
        <f aca="false">AL70+AL71+AL73</f>
        <v>-80483.0870371505</v>
      </c>
      <c r="AM74" s="60" t="n">
        <f aca="false">AM70+AM71+AM73</f>
        <v>-163702.545294705</v>
      </c>
      <c r="AN74" s="60" t="n">
        <f aca="false">AN70+AN71+AN73</f>
        <v>-160586.348620119</v>
      </c>
      <c r="AO74" s="60" t="n">
        <f aca="false">AO70+AO71+AO73</f>
        <v>-157513.788525485</v>
      </c>
      <c r="AP74" s="60" t="n">
        <f aca="false">AP70+AP71+AP73</f>
        <v>-154517.741984964</v>
      </c>
      <c r="AQ74" s="60" t="n">
        <f aca="false">AQ70+AQ71+AQ73</f>
        <v>-151596.305173153</v>
      </c>
      <c r="AR74" s="60" t="n">
        <f aca="false">AR70+AR71+AR73</f>
        <v>-148747.621589876</v>
      </c>
      <c r="AS74" s="60" t="n">
        <f aca="false">AS70+AS71+AS73</f>
        <v>-145969.880885175</v>
      </c>
      <c r="AT74" s="60" t="n">
        <f aca="false">AT70+AT71+AT73</f>
        <v>-143261.317713413</v>
      </c>
      <c r="AU74" s="60" t="n">
        <f aca="false">AU70+AU71+AU73</f>
        <v>-140620.210615809</v>
      </c>
      <c r="AV74" s="60" t="n">
        <f aca="false">AV70+AV71+AV73</f>
        <v>-138044.880930662</v>
      </c>
      <c r="AW74" s="60" t="n">
        <f aca="false">AW70+AW71+AW73</f>
        <v>-135533.691730611</v>
      </c>
      <c r="AX74" s="60" t="n">
        <f aca="false">AX70+AX71+AX73</f>
        <v>-133085.046786239</v>
      </c>
      <c r="AY74" s="60" t="n">
        <f aca="false">AY70+AY71+AY73</f>
        <v>-263429.989659403</v>
      </c>
      <c r="AZ74" s="60" t="n">
        <f aca="false">AZ70+AZ71+AZ73</f>
        <v>-259668.973260816</v>
      </c>
      <c r="BA74" s="60" t="n">
        <f aca="false">BA70+BA71+BA73</f>
        <v>-255957.37884821</v>
      </c>
      <c r="BB74" s="60" t="n">
        <f aca="false">BB70+BB71+BB73</f>
        <v>-252338.227408175</v>
      </c>
      <c r="BC74" s="60" t="n">
        <f aca="false">BC70+BC71+BC73</f>
        <v>-248809.218273028</v>
      </c>
      <c r="BD74" s="60" t="n">
        <f aca="false">BD70+BD71+BD73</f>
        <v>-245368.107979582</v>
      </c>
      <c r="BE74" s="60" t="n">
        <f aca="false">BE70+BE71+BE73</f>
        <v>-242012.708848393</v>
      </c>
      <c r="BF74" s="60" t="n">
        <f aca="false">BF70+BF71+BF73</f>
        <v>-238740.887598258</v>
      </c>
      <c r="BG74" s="60" t="n">
        <f aca="false">BG70+BG71+BG73</f>
        <v>-235550.563995067</v>
      </c>
      <c r="BH74" s="60" t="n">
        <f aca="false">BH70+BH71+BH73</f>
        <v>-232439.709534176</v>
      </c>
      <c r="BI74" s="60" t="n">
        <f aca="false">BI70+BI71+BI73</f>
        <v>-229406.346155461</v>
      </c>
      <c r="BJ74" s="60" t="n">
        <f aca="false">BJ70+BJ71+BJ73</f>
        <v>-226448.544990247</v>
      </c>
    </row>
    <row r="75" customFormat="false" ht="15" hidden="false" customHeight="false" outlineLevel="0" collapsed="false">
      <c r="A75" s="6" t="s">
        <v>258</v>
      </c>
      <c r="C75" s="59" t="n">
        <f aca="false">0</f>
        <v>0</v>
      </c>
      <c r="D75" s="59" t="n">
        <f aca="false">C76</f>
        <v>2915534.89583333</v>
      </c>
      <c r="E75" s="59" t="n">
        <f aca="false">D76</f>
        <v>2849989.34982639</v>
      </c>
      <c r="F75" s="59" t="n">
        <f aca="false">E76</f>
        <v>2786797.78130295</v>
      </c>
      <c r="G75" s="59" t="n">
        <f aca="false">F76</f>
        <v>2725901.62527204</v>
      </c>
      <c r="H75" s="59" t="n">
        <f aca="false">G76</f>
        <v>2667243.77233408</v>
      </c>
      <c r="I75" s="59" t="n">
        <f aca="false">H76</f>
        <v>2610768.53254709</v>
      </c>
      <c r="J75" s="59" t="n">
        <f aca="false">I76</f>
        <v>2556421.60018857</v>
      </c>
      <c r="K75" s="59" t="n">
        <f aca="false">J76</f>
        <v>2504150.01939092</v>
      </c>
      <c r="L75" s="59" t="n">
        <f aca="false">K76</f>
        <v>2453902.15062866</v>
      </c>
      <c r="M75" s="59" t="n">
        <f aca="false">L76</f>
        <v>2405627.63803656</v>
      </c>
      <c r="N75" s="59" t="n">
        <f aca="false">M76</f>
        <v>2359277.37753795</v>
      </c>
      <c r="O75" s="59" t="n">
        <f aca="false">N76</f>
        <v>2314803.48576323</v>
      </c>
      <c r="P75" s="59" t="n">
        <f aca="false">O76</f>
        <v>2236851.85180574</v>
      </c>
      <c r="Q75" s="59" t="n">
        <f aca="false">P76</f>
        <v>2161353.15442193</v>
      </c>
      <c r="R75" s="59" t="n">
        <f aca="false">Q76</f>
        <v>2088266.42361771</v>
      </c>
      <c r="S75" s="59" t="n">
        <f aca="false">R76</f>
        <v>2017531.62807157</v>
      </c>
      <c r="T75" s="59" t="n">
        <f aca="false">S76</f>
        <v>1949090.22920975</v>
      </c>
      <c r="U75" s="59" t="n">
        <f aca="false">T76</f>
        <v>1882885.14412861</v>
      </c>
      <c r="V75" s="59" t="n">
        <f aca="false">U76</f>
        <v>1818860.7094367</v>
      </c>
      <c r="W75" s="59" t="n">
        <f aca="false">V76</f>
        <v>1756962.64599374</v>
      </c>
      <c r="X75" s="59" t="n">
        <f aca="false">W76</f>
        <v>1697138.02452441</v>
      </c>
      <c r="Y75" s="59" t="n">
        <f aca="false">X76</f>
        <v>1639335.23208505</v>
      </c>
      <c r="Z75" s="59" t="n">
        <f aca="false">Y76</f>
        <v>1583503.93936247</v>
      </c>
      <c r="AA75" s="59" t="n">
        <f aca="false">Z76</f>
        <v>1529595.0687839</v>
      </c>
      <c r="AB75" s="59" t="n">
        <f aca="false">AA76</f>
        <v>1422722.7364429</v>
      </c>
      <c r="AC75" s="59" t="n">
        <f aca="false">AB76</f>
        <v>1318539.10239973</v>
      </c>
      <c r="AD75" s="59" t="n">
        <f aca="false">AC76</f>
        <v>1217003.32695569</v>
      </c>
      <c r="AE75" s="59" t="n">
        <f aca="false">AD76</f>
        <v>1118049.48761126</v>
      </c>
      <c r="AF75" s="59" t="n">
        <f aca="false">AE76</f>
        <v>1021613.30171047</v>
      </c>
      <c r="AG75" s="59" t="n">
        <f aca="false">AF76</f>
        <v>927632.085691346</v>
      </c>
      <c r="AH75" s="59" t="n">
        <f aca="false">AG76</f>
        <v>836044.715347732</v>
      </c>
      <c r="AI75" s="59" t="n">
        <f aca="false">AH76</f>
        <v>746791.587077408</v>
      </c>
      <c r="AJ75" s="59" t="n">
        <f aca="false">AI76</f>
        <v>659814.580092016</v>
      </c>
      <c r="AK75" s="59" t="n">
        <f aca="false">AJ76</f>
        <v>575057.019565004</v>
      </c>
      <c r="AL75" s="59" t="n">
        <f aca="false">AK76</f>
        <v>492463.640694316</v>
      </c>
      <c r="AM75" s="59" t="n">
        <f aca="false">AL76</f>
        <v>411980.553657166</v>
      </c>
      <c r="AN75" s="59" t="n">
        <f aca="false">AM76</f>
        <v>248278.00836246</v>
      </c>
      <c r="AO75" s="59" t="n">
        <f aca="false">AN76</f>
        <v>87691.6597423413</v>
      </c>
      <c r="AP75" s="59" t="n">
        <f aca="false">AO76</f>
        <v>-69822.1287831434</v>
      </c>
      <c r="AQ75" s="59" t="n">
        <f aca="false">AP76</f>
        <v>-224339.870768108</v>
      </c>
      <c r="AR75" s="59" t="n">
        <f aca="false">AQ76</f>
        <v>-375936.175941261</v>
      </c>
      <c r="AS75" s="59" t="n">
        <f aca="false">AR76</f>
        <v>-524683.797531137</v>
      </c>
      <c r="AT75" s="59" t="n">
        <f aca="false">AS76</f>
        <v>-670653.678416312</v>
      </c>
      <c r="AU75" s="59" t="n">
        <f aca="false">AT76</f>
        <v>-813914.996129725</v>
      </c>
      <c r="AV75" s="59" t="n">
        <f aca="false">AU76</f>
        <v>-954535.206745534</v>
      </c>
      <c r="AW75" s="59" t="n">
        <f aca="false">AV76</f>
        <v>-1092580.0876762</v>
      </c>
      <c r="AX75" s="59" t="n">
        <f aca="false">AW76</f>
        <v>-1228113.77940681</v>
      </c>
      <c r="AY75" s="59" t="n">
        <f aca="false">AX76</f>
        <v>-1361198.82619305</v>
      </c>
      <c r="AZ75" s="59" t="n">
        <f aca="false">AY76</f>
        <v>-1624628.81585245</v>
      </c>
      <c r="BA75" s="59" t="n">
        <f aca="false">AZ76</f>
        <v>-1884297.78911326</v>
      </c>
      <c r="BB75" s="59" t="n">
        <f aca="false">BA76</f>
        <v>-2140255.16796147</v>
      </c>
      <c r="BC75" s="59" t="n">
        <f aca="false">BB76</f>
        <v>-2392593.39536965</v>
      </c>
      <c r="BD75" s="59" t="n">
        <f aca="false">BC76</f>
        <v>-2641402.61364268</v>
      </c>
      <c r="BE75" s="59" t="n">
        <f aca="false">BD76</f>
        <v>-2886770.72162226</v>
      </c>
      <c r="BF75" s="59" t="n">
        <f aca="false">BE76</f>
        <v>-3128783.43047065</v>
      </c>
      <c r="BG75" s="59" t="n">
        <f aca="false">BF76</f>
        <v>-3367524.31806891</v>
      </c>
      <c r="BH75" s="59" t="n">
        <f aca="false">BG76</f>
        <v>-3603074.88206398</v>
      </c>
      <c r="BI75" s="59" t="n">
        <f aca="false">BH76</f>
        <v>-3835514.59159815</v>
      </c>
      <c r="BJ75" s="59" t="n">
        <f aca="false">BI76</f>
        <v>-4064920.93775361</v>
      </c>
    </row>
    <row r="76" customFormat="false" ht="15" hidden="false" customHeight="false" outlineLevel="0" collapsed="false">
      <c r="A76" s="82" t="s">
        <v>102</v>
      </c>
      <c r="C76" s="60" t="n">
        <f aca="false">C75+C74</f>
        <v>2915534.89583333</v>
      </c>
      <c r="D76" s="60" t="n">
        <f aca="false">D75+D74</f>
        <v>2849989.34982639</v>
      </c>
      <c r="E76" s="60" t="n">
        <f aca="false">E75+E74</f>
        <v>2786797.78130295</v>
      </c>
      <c r="F76" s="60" t="n">
        <f aca="false">F75+F74</f>
        <v>2725901.62527204</v>
      </c>
      <c r="G76" s="60" t="n">
        <f aca="false">G75+G74</f>
        <v>2667243.77233408</v>
      </c>
      <c r="H76" s="60" t="n">
        <f aca="false">H75+H74</f>
        <v>2610768.53254709</v>
      </c>
      <c r="I76" s="60" t="n">
        <f aca="false">I75+I74</f>
        <v>2556421.60018857</v>
      </c>
      <c r="J76" s="60" t="n">
        <f aca="false">J75+J74</f>
        <v>2504150.01939092</v>
      </c>
      <c r="K76" s="60" t="n">
        <f aca="false">K75+K74</f>
        <v>2453902.15062866</v>
      </c>
      <c r="L76" s="60" t="n">
        <f aca="false">L75+L74</f>
        <v>2405627.63803656</v>
      </c>
      <c r="M76" s="60" t="n">
        <f aca="false">M75+M74</f>
        <v>2359277.37753795</v>
      </c>
      <c r="N76" s="60" t="n">
        <f aca="false">N75+N74</f>
        <v>2314803.48576323</v>
      </c>
      <c r="O76" s="60" t="n">
        <f aca="false">O75+O74</f>
        <v>2236851.85180574</v>
      </c>
      <c r="P76" s="60" t="n">
        <f aca="false">P75+P74</f>
        <v>2161353.15442193</v>
      </c>
      <c r="Q76" s="60" t="n">
        <f aca="false">Q75+Q74</f>
        <v>2088266.42361771</v>
      </c>
      <c r="R76" s="60" t="n">
        <f aca="false">R75+R74</f>
        <v>2017531.62807157</v>
      </c>
      <c r="S76" s="60" t="n">
        <f aca="false">S75+S74</f>
        <v>1949090.22920975</v>
      </c>
      <c r="T76" s="60" t="n">
        <f aca="false">T75+T74</f>
        <v>1882885.14412861</v>
      </c>
      <c r="U76" s="60" t="n">
        <f aca="false">U75+U74</f>
        <v>1818860.7094367</v>
      </c>
      <c r="V76" s="60" t="n">
        <f aca="false">V75+V74</f>
        <v>1756962.64599374</v>
      </c>
      <c r="W76" s="60" t="n">
        <f aca="false">W75+W74</f>
        <v>1697138.02452441</v>
      </c>
      <c r="X76" s="60" t="n">
        <f aca="false">X75+X74</f>
        <v>1639335.23208505</v>
      </c>
      <c r="Y76" s="60" t="n">
        <f aca="false">Y75+Y74</f>
        <v>1583503.93936247</v>
      </c>
      <c r="Z76" s="60" t="n">
        <f aca="false">Z75+Z74</f>
        <v>1529595.0687839</v>
      </c>
      <c r="AA76" s="60" t="n">
        <f aca="false">AA75+AA74</f>
        <v>1422722.7364429</v>
      </c>
      <c r="AB76" s="60" t="n">
        <f aca="false">AB75+AB74</f>
        <v>1318539.10239973</v>
      </c>
      <c r="AC76" s="60" t="n">
        <f aca="false">AC75+AC74</f>
        <v>1217003.32695569</v>
      </c>
      <c r="AD76" s="60" t="n">
        <f aca="false">AD75+AD74</f>
        <v>1118049.48761126</v>
      </c>
      <c r="AE76" s="60" t="n">
        <f aca="false">AE75+AE74</f>
        <v>1021613.30171047</v>
      </c>
      <c r="AF76" s="60" t="n">
        <f aca="false">AF75+AF74</f>
        <v>927632.085691346</v>
      </c>
      <c r="AG76" s="60" t="n">
        <f aca="false">AG75+AG74</f>
        <v>836044.715347732</v>
      </c>
      <c r="AH76" s="60" t="n">
        <f aca="false">AH75+AH74</f>
        <v>746791.587077408</v>
      </c>
      <c r="AI76" s="60" t="n">
        <f aca="false">AI75+AI74</f>
        <v>659814.580092016</v>
      </c>
      <c r="AJ76" s="60" t="n">
        <f aca="false">AJ75+AJ74</f>
        <v>575057.019565004</v>
      </c>
      <c r="AK76" s="60" t="n">
        <f aca="false">AK75+AK74</f>
        <v>492463.640694316</v>
      </c>
      <c r="AL76" s="60" t="n">
        <f aca="false">AL75+AL74</f>
        <v>411980.553657166</v>
      </c>
      <c r="AM76" s="60" t="n">
        <f aca="false">AM75+AM74</f>
        <v>248278.00836246</v>
      </c>
      <c r="AN76" s="60" t="n">
        <f aca="false">AN75+AN74</f>
        <v>87691.6597423413</v>
      </c>
      <c r="AO76" s="60" t="n">
        <f aca="false">AO75+AO74</f>
        <v>-69822.1287831434</v>
      </c>
      <c r="AP76" s="60" t="n">
        <f aca="false">AP75+AP74</f>
        <v>-224339.870768108</v>
      </c>
      <c r="AQ76" s="60" t="n">
        <f aca="false">AQ75+AQ74</f>
        <v>-375936.175941261</v>
      </c>
      <c r="AR76" s="60" t="n">
        <f aca="false">AR75+AR74</f>
        <v>-524683.797531137</v>
      </c>
      <c r="AS76" s="60" t="n">
        <f aca="false">AS75+AS74</f>
        <v>-670653.678416312</v>
      </c>
      <c r="AT76" s="60" t="n">
        <f aca="false">AT75+AT74</f>
        <v>-813914.996129725</v>
      </c>
      <c r="AU76" s="60" t="n">
        <f aca="false">AU75+AU74</f>
        <v>-954535.206745534</v>
      </c>
      <c r="AV76" s="60" t="n">
        <f aca="false">AV75+AV74</f>
        <v>-1092580.0876762</v>
      </c>
      <c r="AW76" s="60" t="n">
        <f aca="false">AW75+AW74</f>
        <v>-1228113.77940681</v>
      </c>
      <c r="AX76" s="60" t="n">
        <f aca="false">AX75+AX74</f>
        <v>-1361198.82619305</v>
      </c>
      <c r="AY76" s="60" t="n">
        <f aca="false">AY75+AY74</f>
        <v>-1624628.81585245</v>
      </c>
      <c r="AZ76" s="60" t="n">
        <f aca="false">AZ75+AZ74</f>
        <v>-1884297.78911326</v>
      </c>
      <c r="BA76" s="60" t="n">
        <f aca="false">BA75+BA74</f>
        <v>-2140255.16796147</v>
      </c>
      <c r="BB76" s="60" t="n">
        <f aca="false">BB75+BB74</f>
        <v>-2392593.39536965</v>
      </c>
      <c r="BC76" s="60" t="n">
        <f aca="false">BC75+BC74</f>
        <v>-2641402.61364268</v>
      </c>
      <c r="BD76" s="60" t="n">
        <f aca="false">BD75+BD74</f>
        <v>-2886770.72162226</v>
      </c>
      <c r="BE76" s="60" t="n">
        <f aca="false">BE75+BE74</f>
        <v>-3128783.43047065</v>
      </c>
      <c r="BF76" s="60" t="n">
        <f aca="false">BF75+BF74</f>
        <v>-3367524.31806891</v>
      </c>
      <c r="BG76" s="60" t="n">
        <f aca="false">BG75+BG74</f>
        <v>-3603074.88206398</v>
      </c>
      <c r="BH76" s="60" t="n">
        <f aca="false">BH75+BH74</f>
        <v>-3835514.59159815</v>
      </c>
      <c r="BI76" s="60" t="n">
        <f aca="false">BI75+BI74</f>
        <v>-4064920.93775361</v>
      </c>
      <c r="BJ76" s="60" t="n">
        <f aca="false">BJ75+BJ74</f>
        <v>-4291369.48274386</v>
      </c>
    </row>
    <row r="77" customFormat="false" ht="15" hidden="false" customHeight="false" outlineLevel="0" collapsed="false">
      <c r="A77" s="88" t="s">
        <v>353</v>
      </c>
      <c r="C77" s="89" t="n">
        <f aca="false">IF(C35&gt;0,1,0)</f>
        <v>0</v>
      </c>
      <c r="D77" s="89" t="n">
        <f aca="false">IF(D35&gt;0,1,0)</f>
        <v>0</v>
      </c>
      <c r="E77" s="89" t="n">
        <f aca="false">IF(E35&gt;0,1,0)</f>
        <v>0</v>
      </c>
      <c r="F77" s="89" t="n">
        <f aca="false">IF(F35&gt;0,1,0)</f>
        <v>0</v>
      </c>
      <c r="G77" s="89" t="n">
        <f aca="false">IF(G35&gt;0,1,0)</f>
        <v>0</v>
      </c>
      <c r="H77" s="89" t="n">
        <f aca="false">IF(H35&gt;0,1,0)</f>
        <v>0</v>
      </c>
      <c r="I77" s="89" t="n">
        <f aca="false">IF(I35&gt;0,1,0)</f>
        <v>0</v>
      </c>
      <c r="J77" s="89" t="n">
        <f aca="false">IF(J35&gt;0,1,0)</f>
        <v>0</v>
      </c>
      <c r="K77" s="89" t="n">
        <f aca="false">IF(K35&gt;0,1,0)</f>
        <v>0</v>
      </c>
      <c r="L77" s="89" t="n">
        <f aca="false">IF(L35&gt;0,1,0)</f>
        <v>0</v>
      </c>
      <c r="M77" s="89" t="n">
        <f aca="false">IF(M35&gt;0,1,0)</f>
        <v>0</v>
      </c>
      <c r="N77" s="89" t="n">
        <f aca="false">IF(N35&gt;0,1,0)</f>
        <v>0</v>
      </c>
      <c r="O77" s="89" t="n">
        <f aca="false">IF(O35&gt;0,1,0)</f>
        <v>0</v>
      </c>
      <c r="P77" s="89" t="n">
        <f aca="false">IF(P35&gt;0,1,0)</f>
        <v>0</v>
      </c>
      <c r="Q77" s="89" t="n">
        <f aca="false">IF(Q35&gt;0,1,0)</f>
        <v>0</v>
      </c>
      <c r="R77" s="89" t="n">
        <f aca="false">IF(R35&gt;0,1,0)</f>
        <v>0</v>
      </c>
      <c r="S77" s="89" t="n">
        <f aca="false">IF(S35&gt;0,1,0)</f>
        <v>0</v>
      </c>
      <c r="T77" s="89" t="n">
        <f aca="false">IF(T35&gt;0,1,0)</f>
        <v>0</v>
      </c>
      <c r="U77" s="89" t="n">
        <f aca="false">IF(U35&gt;0,1,0)</f>
        <v>0</v>
      </c>
      <c r="V77" s="89" t="n">
        <f aca="false">IF(V35&gt;0,1,0)</f>
        <v>0</v>
      </c>
      <c r="W77" s="89" t="n">
        <f aca="false">IF(W35&gt;0,1,0)</f>
        <v>0</v>
      </c>
      <c r="X77" s="89" t="n">
        <f aca="false">IF(X35&gt;0,1,0)</f>
        <v>0</v>
      </c>
      <c r="Y77" s="89" t="n">
        <f aca="false">IF(Y35&gt;0,1,0)</f>
        <v>0</v>
      </c>
      <c r="Z77" s="89" t="n">
        <f aca="false">IF(Z35&gt;0,1,0)</f>
        <v>0</v>
      </c>
      <c r="AA77" s="89" t="n">
        <f aca="false">IF(AA35&gt;0,1,0)</f>
        <v>0</v>
      </c>
      <c r="AB77" s="89" t="n">
        <f aca="false">IF(AB35&gt;0,1,0)</f>
        <v>0</v>
      </c>
      <c r="AC77" s="89" t="n">
        <f aca="false">IF(AC35&gt;0,1,0)</f>
        <v>0</v>
      </c>
      <c r="AD77" s="89" t="n">
        <f aca="false">IF(AD35&gt;0,1,0)</f>
        <v>0</v>
      </c>
      <c r="AE77" s="89" t="n">
        <f aca="false">IF(AE35&gt;0,1,0)</f>
        <v>0</v>
      </c>
      <c r="AF77" s="89" t="n">
        <f aca="false">IF(AF35&gt;0,1,0)</f>
        <v>0</v>
      </c>
      <c r="AG77" s="89" t="n">
        <f aca="false">IF(AG35&gt;0,1,0)</f>
        <v>0</v>
      </c>
      <c r="AH77" s="89" t="n">
        <f aca="false">IF(AH35&gt;0,1,0)</f>
        <v>0</v>
      </c>
      <c r="AI77" s="89" t="n">
        <f aca="false">IF(AI35&gt;0,1,0)</f>
        <v>0</v>
      </c>
      <c r="AJ77" s="89" t="n">
        <f aca="false">IF(AJ35&gt;0,1,0)</f>
        <v>0</v>
      </c>
      <c r="AK77" s="89" t="n">
        <f aca="false">IF(AK35&gt;0,1,0)</f>
        <v>0</v>
      </c>
      <c r="AL77" s="89" t="n">
        <f aca="false">IF(AL35&gt;0,1,0)</f>
        <v>0</v>
      </c>
      <c r="AM77" s="89" t="n">
        <f aca="false">IF(AM35&gt;0,1,0)</f>
        <v>0</v>
      </c>
      <c r="AN77" s="89" t="n">
        <f aca="false">IF(AN35&gt;0,1,0)</f>
        <v>0</v>
      </c>
      <c r="AO77" s="89" t="n">
        <f aca="false">IF(AO35&gt;0,1,0)</f>
        <v>0</v>
      </c>
      <c r="AP77" s="89" t="n">
        <f aca="false">IF(AP35&gt;0,1,0)</f>
        <v>0</v>
      </c>
      <c r="AQ77" s="89" t="n">
        <f aca="false">IF(AQ35&gt;0,1,0)</f>
        <v>0</v>
      </c>
      <c r="AR77" s="89" t="n">
        <f aca="false">IF(AR35&gt;0,1,0)</f>
        <v>0</v>
      </c>
      <c r="AS77" s="89" t="n">
        <f aca="false">IF(AS35&gt;0,1,0)</f>
        <v>0</v>
      </c>
      <c r="AT77" s="89" t="n">
        <f aca="false">IF(AT35&gt;0,1,0)</f>
        <v>0</v>
      </c>
      <c r="AU77" s="89" t="n">
        <f aca="false">IF(AU35&gt;0,1,0)</f>
        <v>0</v>
      </c>
      <c r="AV77" s="89" t="n">
        <f aca="false">IF(AV35&gt;0,1,0)</f>
        <v>0</v>
      </c>
      <c r="AW77" s="89" t="n">
        <f aca="false">IF(AW35&gt;0,1,0)</f>
        <v>0</v>
      </c>
      <c r="AX77" s="89" t="n">
        <f aca="false">IF(AX35&gt;0,1,0)</f>
        <v>0</v>
      </c>
      <c r="AY77" s="89" t="n">
        <f aca="false">IF(AY35&gt;0,1,0)</f>
        <v>0</v>
      </c>
      <c r="AZ77" s="89" t="n">
        <f aca="false">IF(AZ35&gt;0,1,0)</f>
        <v>0</v>
      </c>
      <c r="BA77" s="89" t="n">
        <f aca="false">IF(BA35&gt;0,1,0)</f>
        <v>0</v>
      </c>
      <c r="BB77" s="89" t="n">
        <f aca="false">IF(BB35&gt;0,1,0)</f>
        <v>0</v>
      </c>
      <c r="BC77" s="89" t="n">
        <f aca="false">IF(BC35&gt;0,1,0)</f>
        <v>0</v>
      </c>
      <c r="BD77" s="89" t="n">
        <f aca="false">IF(BD35&gt;0,1,0)</f>
        <v>0</v>
      </c>
      <c r="BE77" s="89" t="n">
        <f aca="false">IF(BE35&gt;0,1,0)</f>
        <v>0</v>
      </c>
      <c r="BF77" s="89" t="n">
        <f aca="false">IF(BF35&gt;0,1,0)</f>
        <v>0</v>
      </c>
      <c r="BG77" s="89" t="n">
        <f aca="false">IF(BG35&gt;0,1,0)</f>
        <v>0</v>
      </c>
      <c r="BH77" s="89" t="n">
        <f aca="false">IF(BH35&gt;0,1,0)</f>
        <v>0</v>
      </c>
      <c r="BI77" s="89" t="n">
        <f aca="false">IF(BI35&gt;0,1,0)</f>
        <v>0</v>
      </c>
      <c r="BJ77" s="89" t="n">
        <f aca="false">IF(BJ35&gt;0,1,0)</f>
        <v>0</v>
      </c>
    </row>
    <row r="79" customFormat="false" ht="15.75" hidden="false" customHeight="true" outlineLevel="0" collapsed="false">
      <c r="A79" s="7" t="s">
        <v>354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 customFormat="false" ht="15" hidden="false" customHeight="false" outlineLevel="0" collapsed="false">
      <c r="A80" s="6" t="s">
        <v>355</v>
      </c>
      <c r="C80" s="59" t="n">
        <f aca="false">-(C70+C71)/1</f>
        <v>84465.1041666667</v>
      </c>
      <c r="D80" s="59" t="n">
        <f aca="false">-(D70+D71)/1</f>
        <v>65545.5460069444</v>
      </c>
      <c r="E80" s="59" t="n">
        <f aca="false">-(E70+E71)/1</f>
        <v>63191.5685234375</v>
      </c>
      <c r="F80" s="59" t="n">
        <f aca="false">-(F70+F71)/1</f>
        <v>60896.1560309071</v>
      </c>
      <c r="G80" s="59" t="n">
        <f aca="false">-(G70+G71)/1</f>
        <v>58657.8529379622</v>
      </c>
      <c r="H80" s="59" t="n">
        <f aca="false">-(H70+H71)/1</f>
        <v>56475.239786995</v>
      </c>
      <c r="I80" s="59" t="n">
        <f aca="false">-(I70+I71)/1</f>
        <v>54346.9323585164</v>
      </c>
      <c r="J80" s="59" t="n">
        <f aca="false">-(J70+J71)/1</f>
        <v>52271.5807976527</v>
      </c>
      <c r="K80" s="59" t="n">
        <f aca="false">-(K70+K71)/1</f>
        <v>50247.8687622566</v>
      </c>
      <c r="L80" s="59" t="n">
        <f aca="false">-(L70+L71)/1</f>
        <v>48274.5125920979</v>
      </c>
      <c r="M80" s="59" t="n">
        <f aca="false">-(M70+M71)/1</f>
        <v>46350.2604986151</v>
      </c>
      <c r="N80" s="59" t="n">
        <f aca="false">-(N70+N71)/1</f>
        <v>44473.8917747187</v>
      </c>
      <c r="O80" s="59" t="n">
        <f aca="false">-(O70+O71)/1</f>
        <v>77951.6339574849</v>
      </c>
      <c r="P80" s="59" t="n">
        <f aca="false">-(P70+P71)/1</f>
        <v>75498.6973838123</v>
      </c>
      <c r="Q80" s="59" t="n">
        <f aca="false">-(Q70+Q71)/1</f>
        <v>73086.7308042236</v>
      </c>
      <c r="R80" s="59" t="n">
        <f aca="false">-(R70+R71)/1</f>
        <v>70734.7955461411</v>
      </c>
      <c r="S80" s="59" t="n">
        <f aca="false">-(S70+S71)/1</f>
        <v>68441.3988618166</v>
      </c>
      <c r="T80" s="59" t="n">
        <f aca="false">-(T70+T71)/1</f>
        <v>66205.085081137</v>
      </c>
      <c r="U80" s="59" t="n">
        <f aca="false">-(U70+U71)/1</f>
        <v>64024.4346919152</v>
      </c>
      <c r="V80" s="59" t="n">
        <f aca="false">-(V70+V71)/1</f>
        <v>61898.0634429563</v>
      </c>
      <c r="W80" s="59" t="n">
        <f aca="false">-(W70+W71)/1</f>
        <v>59824.6214693379</v>
      </c>
      <c r="X80" s="59" t="n">
        <f aca="false">-(X70+X71)/1</f>
        <v>57802.7924393529</v>
      </c>
      <c r="Y80" s="59" t="n">
        <f aca="false">-(Y70+Y71)/1</f>
        <v>55831.2927225818</v>
      </c>
      <c r="Z80" s="59" t="n">
        <f aca="false">-(Z70+Z71)/1</f>
        <v>53908.8705785703</v>
      </c>
      <c r="AA80" s="59" t="n">
        <f aca="false">-(AA70+AA71)/1</f>
        <v>106872.332341004</v>
      </c>
      <c r="AB80" s="59" t="n">
        <f aca="false">-(AB70+AB71)/1</f>
        <v>104183.634043166</v>
      </c>
      <c r="AC80" s="59" t="n">
        <f aca="false">-(AC70+AC71)/1</f>
        <v>101535.775444044</v>
      </c>
      <c r="AD80" s="59" t="n">
        <f aca="false">-(AD70+AD71)/1</f>
        <v>98953.8393444263</v>
      </c>
      <c r="AE80" s="59" t="n">
        <f aca="false">-(AE70+AE71)/1</f>
        <v>96436.1859007883</v>
      </c>
      <c r="AF80" s="59" t="n">
        <f aca="false">-(AF70+AF71)/1</f>
        <v>93981.216019126</v>
      </c>
      <c r="AG80" s="59" t="n">
        <f aca="false">-(AG70+AG71)/1</f>
        <v>91587.3703436136</v>
      </c>
      <c r="AH80" s="59" t="n">
        <f aca="false">-(AH70+AH71)/1</f>
        <v>89253.1282703241</v>
      </c>
      <c r="AI80" s="59" t="n">
        <f aca="false">-(AI70+AI71)/1</f>
        <v>86977.0069853917</v>
      </c>
      <c r="AJ80" s="59" t="n">
        <f aca="false">-(AJ70+AJ71)/1</f>
        <v>84757.5605270119</v>
      </c>
      <c r="AK80" s="59" t="n">
        <f aca="false">-(AK70+AK71)/1</f>
        <v>82593.378870688</v>
      </c>
      <c r="AL80" s="59" t="n">
        <f aca="false">-(AL70+AL71)/1</f>
        <v>80483.0870371505</v>
      </c>
      <c r="AM80" s="59" t="n">
        <f aca="false">-(AM70+AM71)/1</f>
        <v>163702.545294705</v>
      </c>
      <c r="AN80" s="59" t="n">
        <f aca="false">-(AN70+AN71)/1</f>
        <v>160586.348620119</v>
      </c>
      <c r="AO80" s="59" t="n">
        <f aca="false">-(AO70+AO71)/1</f>
        <v>157513.788525485</v>
      </c>
      <c r="AP80" s="59" t="n">
        <f aca="false">-(AP70+AP71)/1</f>
        <v>154517.741984964</v>
      </c>
      <c r="AQ80" s="59" t="n">
        <f aca="false">-(AQ70+AQ71)/1</f>
        <v>151596.305173153</v>
      </c>
      <c r="AR80" s="59" t="n">
        <f aca="false">-(AR70+AR71)/1</f>
        <v>148747.621589876</v>
      </c>
      <c r="AS80" s="59" t="n">
        <f aca="false">-(AS70+AS71)/1</f>
        <v>145969.880885175</v>
      </c>
      <c r="AT80" s="59" t="n">
        <f aca="false">-(AT70+AT71)/1</f>
        <v>143261.317713413</v>
      </c>
      <c r="AU80" s="59" t="n">
        <f aca="false">-(AU70+AU71)/1</f>
        <v>140620.210615809</v>
      </c>
      <c r="AV80" s="59" t="n">
        <f aca="false">-(AV70+AV71)/1</f>
        <v>138044.880930662</v>
      </c>
      <c r="AW80" s="59" t="n">
        <f aca="false">-(AW70+AW71)/1</f>
        <v>135533.691730611</v>
      </c>
      <c r="AX80" s="59" t="n">
        <f aca="false">-(AX70+AX71)/1</f>
        <v>133085.046786239</v>
      </c>
      <c r="AY80" s="59" t="n">
        <f aca="false">-(AY70+AY71)/1</f>
        <v>263429.989659403</v>
      </c>
      <c r="AZ80" s="59" t="n">
        <f aca="false">-(AZ70+AZ71)/1</f>
        <v>259668.973260816</v>
      </c>
      <c r="BA80" s="59" t="n">
        <f aca="false">-(BA70+BA71)/1</f>
        <v>255957.37884821</v>
      </c>
      <c r="BB80" s="59" t="n">
        <f aca="false">-(BB70+BB71)/1</f>
        <v>252338.227408175</v>
      </c>
      <c r="BC80" s="59" t="n">
        <f aca="false">-(BC70+BC71)/1</f>
        <v>248809.218273028</v>
      </c>
      <c r="BD80" s="59" t="n">
        <f aca="false">-(BD70+BD71)/1</f>
        <v>245368.107979582</v>
      </c>
      <c r="BE80" s="59" t="n">
        <f aca="false">-(BE70+BE71)/1</f>
        <v>242012.708848393</v>
      </c>
      <c r="BF80" s="59" t="n">
        <f aca="false">-(BF70+BF71)/1</f>
        <v>238740.887598258</v>
      </c>
      <c r="BG80" s="59" t="n">
        <f aca="false">-(BG70+BG71)/1</f>
        <v>235550.563995067</v>
      </c>
      <c r="BH80" s="59" t="n">
        <f aca="false">-(BH70+BH71)/1</f>
        <v>232439.709534176</v>
      </c>
      <c r="BI80" s="59" t="n">
        <f aca="false">-(BI70+BI71)/1</f>
        <v>229406.346155461</v>
      </c>
      <c r="BJ80" s="59" t="n">
        <f aca="false">-(BJ70+BJ71)/1</f>
        <v>226448.544990247</v>
      </c>
    </row>
    <row r="81" customFormat="false" ht="15" hidden="false" customHeight="false" outlineLevel="0" collapsed="false">
      <c r="A81" s="37" t="s">
        <v>82</v>
      </c>
      <c r="C81" s="65" t="n">
        <f aca="false">Inputs!$E$10</f>
        <v>0.03</v>
      </c>
      <c r="D81" s="65" t="n">
        <f aca="false">Inputs!$E$10</f>
        <v>0.03</v>
      </c>
      <c r="E81" s="65" t="n">
        <f aca="false">Inputs!$E$10</f>
        <v>0.03</v>
      </c>
      <c r="F81" s="65" t="n">
        <f aca="false">Inputs!$E$10</f>
        <v>0.03</v>
      </c>
      <c r="G81" s="65" t="n">
        <f aca="false">Inputs!$E$10</f>
        <v>0.03</v>
      </c>
      <c r="H81" s="65" t="n">
        <f aca="false">Inputs!$E$10</f>
        <v>0.03</v>
      </c>
      <c r="I81" s="65" t="n">
        <f aca="false">Inputs!$E$10</f>
        <v>0.03</v>
      </c>
      <c r="J81" s="65" t="n">
        <f aca="false">Inputs!$E$10</f>
        <v>0.03</v>
      </c>
      <c r="K81" s="65" t="n">
        <f aca="false">Inputs!$E$10</f>
        <v>0.03</v>
      </c>
      <c r="L81" s="65" t="n">
        <f aca="false">Inputs!$E$10</f>
        <v>0.03</v>
      </c>
      <c r="M81" s="65" t="n">
        <f aca="false">Inputs!$E$10</f>
        <v>0.03</v>
      </c>
      <c r="N81" s="65" t="n">
        <f aca="false">Inputs!$E$10</f>
        <v>0.03</v>
      </c>
      <c r="O81" s="65" t="n">
        <f aca="false">Inputs!$E$10</f>
        <v>0.03</v>
      </c>
      <c r="P81" s="65" t="n">
        <f aca="false">Inputs!$E$10</f>
        <v>0.03</v>
      </c>
      <c r="Q81" s="65" t="n">
        <f aca="false">Inputs!$E$10</f>
        <v>0.03</v>
      </c>
      <c r="R81" s="65" t="n">
        <f aca="false">Inputs!$E$10</f>
        <v>0.03</v>
      </c>
      <c r="S81" s="65" t="n">
        <f aca="false">Inputs!$E$10</f>
        <v>0.03</v>
      </c>
      <c r="T81" s="65" t="n">
        <f aca="false">Inputs!$E$10</f>
        <v>0.03</v>
      </c>
      <c r="U81" s="65" t="n">
        <f aca="false">Inputs!$E$10</f>
        <v>0.03</v>
      </c>
      <c r="V81" s="65" t="n">
        <f aca="false">Inputs!$E$10</f>
        <v>0.03</v>
      </c>
      <c r="W81" s="65" t="n">
        <f aca="false">Inputs!$E$10</f>
        <v>0.03</v>
      </c>
      <c r="X81" s="65" t="n">
        <f aca="false">Inputs!$E$10</f>
        <v>0.03</v>
      </c>
      <c r="Y81" s="65" t="n">
        <f aca="false">Inputs!$E$10</f>
        <v>0.03</v>
      </c>
      <c r="Z81" s="65" t="n">
        <f aca="false">Inputs!$E$10</f>
        <v>0.03</v>
      </c>
      <c r="AA81" s="65" t="n">
        <f aca="false">Inputs!$E$10</f>
        <v>0.03</v>
      </c>
      <c r="AB81" s="65" t="n">
        <f aca="false">Inputs!$E$10</f>
        <v>0.03</v>
      </c>
      <c r="AC81" s="65" t="n">
        <f aca="false">Inputs!$E$10</f>
        <v>0.03</v>
      </c>
      <c r="AD81" s="65" t="n">
        <f aca="false">Inputs!$E$10</f>
        <v>0.03</v>
      </c>
      <c r="AE81" s="65" t="n">
        <f aca="false">Inputs!$E$10</f>
        <v>0.03</v>
      </c>
      <c r="AF81" s="65" t="n">
        <f aca="false">Inputs!$E$10</f>
        <v>0.03</v>
      </c>
      <c r="AG81" s="65" t="n">
        <f aca="false">Inputs!$E$10</f>
        <v>0.03</v>
      </c>
      <c r="AH81" s="65" t="n">
        <f aca="false">Inputs!$E$10</f>
        <v>0.03</v>
      </c>
      <c r="AI81" s="65" t="n">
        <f aca="false">Inputs!$E$10</f>
        <v>0.03</v>
      </c>
      <c r="AJ81" s="65" t="n">
        <f aca="false">Inputs!$E$10</f>
        <v>0.03</v>
      </c>
      <c r="AK81" s="65" t="n">
        <f aca="false">Inputs!$E$10</f>
        <v>0.03</v>
      </c>
      <c r="AL81" s="65" t="n">
        <f aca="false">Inputs!$E$10</f>
        <v>0.03</v>
      </c>
      <c r="AM81" s="65" t="n">
        <f aca="false">Inputs!$E$10</f>
        <v>0.03</v>
      </c>
      <c r="AN81" s="65" t="n">
        <f aca="false">Inputs!$E$10</f>
        <v>0.03</v>
      </c>
      <c r="AO81" s="65" t="n">
        <f aca="false">Inputs!$E$10</f>
        <v>0.03</v>
      </c>
      <c r="AP81" s="65" t="n">
        <f aca="false">Inputs!$E$10</f>
        <v>0.03</v>
      </c>
      <c r="AQ81" s="65" t="n">
        <f aca="false">Inputs!$E$10</f>
        <v>0.03</v>
      </c>
      <c r="AR81" s="65" t="n">
        <f aca="false">Inputs!$E$10</f>
        <v>0.03</v>
      </c>
      <c r="AS81" s="65" t="n">
        <f aca="false">Inputs!$E$10</f>
        <v>0.03</v>
      </c>
      <c r="AT81" s="65" t="n">
        <f aca="false">Inputs!$E$10</f>
        <v>0.03</v>
      </c>
      <c r="AU81" s="65" t="n">
        <f aca="false">Inputs!$E$10</f>
        <v>0.03</v>
      </c>
      <c r="AV81" s="65" t="n">
        <f aca="false">Inputs!$E$10</f>
        <v>0.03</v>
      </c>
      <c r="AW81" s="65" t="n">
        <f aca="false">Inputs!$E$10</f>
        <v>0.03</v>
      </c>
      <c r="AX81" s="65" t="n">
        <f aca="false">Inputs!$E$10</f>
        <v>0.03</v>
      </c>
      <c r="AY81" s="65" t="n">
        <f aca="false">Inputs!$E$10</f>
        <v>0.03</v>
      </c>
      <c r="AZ81" s="65" t="n">
        <f aca="false">Inputs!$E$10</f>
        <v>0.03</v>
      </c>
      <c r="BA81" s="65" t="n">
        <f aca="false">Inputs!$E$10</f>
        <v>0.03</v>
      </c>
      <c r="BB81" s="65" t="n">
        <f aca="false">Inputs!$E$10</f>
        <v>0.03</v>
      </c>
      <c r="BC81" s="65" t="n">
        <f aca="false">Inputs!$E$10</f>
        <v>0.03</v>
      </c>
      <c r="BD81" s="65" t="n">
        <f aca="false">Inputs!$E$10</f>
        <v>0.03</v>
      </c>
      <c r="BE81" s="65" t="n">
        <f aca="false">Inputs!$E$10</f>
        <v>0.03</v>
      </c>
      <c r="BF81" s="65" t="n">
        <f aca="false">Inputs!$E$10</f>
        <v>0.03</v>
      </c>
      <c r="BG81" s="65" t="n">
        <f aca="false">Inputs!$E$10</f>
        <v>0.03</v>
      </c>
      <c r="BH81" s="65" t="n">
        <f aca="false">Inputs!$E$10</f>
        <v>0.03</v>
      </c>
      <c r="BI81" s="65" t="n">
        <f aca="false">Inputs!$E$10</f>
        <v>0.03</v>
      </c>
      <c r="BJ81" s="65" t="n">
        <f aca="false">Inputs!$E$10</f>
        <v>0.03</v>
      </c>
    </row>
    <row r="83" customFormat="false" ht="15.75" hidden="false" customHeight="true" outlineLevel="0" collapsed="false">
      <c r="A83" s="7" t="s">
        <v>356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88" t="s">
        <v>357</v>
      </c>
      <c r="C84" s="89" t="n">
        <f aca="false">IF(C44&gt;0,1,0)</f>
        <v>0</v>
      </c>
      <c r="D84" s="89" t="n">
        <f aca="false">IF(D44&gt;0,1,0)</f>
        <v>0</v>
      </c>
      <c r="E84" s="89" t="n">
        <f aca="false">IF(E44&gt;0,1,0)</f>
        <v>0</v>
      </c>
      <c r="F84" s="89" t="n">
        <f aca="false">IF(F44&gt;0,1,0)</f>
        <v>0</v>
      </c>
      <c r="G84" s="89" t="n">
        <f aca="false">IF(G44&gt;0,1,0)</f>
        <v>0</v>
      </c>
      <c r="H84" s="89" t="n">
        <f aca="false">IF(H44&gt;0,1,0)</f>
        <v>0</v>
      </c>
      <c r="I84" s="89" t="n">
        <f aca="false">IF(I44&gt;0,1,0)</f>
        <v>0</v>
      </c>
      <c r="J84" s="89" t="n">
        <f aca="false">IF(J44&gt;0,1,0)</f>
        <v>0</v>
      </c>
      <c r="K84" s="89" t="n">
        <f aca="false">IF(K44&gt;0,1,0)</f>
        <v>0</v>
      </c>
      <c r="L84" s="89" t="n">
        <f aca="false">IF(L44&gt;0,1,0)</f>
        <v>0</v>
      </c>
      <c r="M84" s="89" t="n">
        <f aca="false">IF(M44&gt;0,1,0)</f>
        <v>0</v>
      </c>
      <c r="N84" s="89" t="n">
        <f aca="false">IF(N44&gt;0,1,0)</f>
        <v>0</v>
      </c>
      <c r="O84" s="89" t="n">
        <f aca="false">IF(O44&gt;0,1,0)</f>
        <v>0</v>
      </c>
      <c r="P84" s="89" t="n">
        <f aca="false">IF(P44&gt;0,1,0)</f>
        <v>0</v>
      </c>
      <c r="Q84" s="89" t="n">
        <f aca="false">IF(Q44&gt;0,1,0)</f>
        <v>0</v>
      </c>
      <c r="R84" s="89" t="n">
        <f aca="false">IF(R44&gt;0,1,0)</f>
        <v>0</v>
      </c>
      <c r="S84" s="89" t="n">
        <f aca="false">IF(S44&gt;0,1,0)</f>
        <v>0</v>
      </c>
      <c r="T84" s="89" t="n">
        <f aca="false">IF(T44&gt;0,1,0)</f>
        <v>0</v>
      </c>
      <c r="U84" s="89" t="n">
        <f aca="false">IF(U44&gt;0,1,0)</f>
        <v>0</v>
      </c>
      <c r="V84" s="89" t="n">
        <f aca="false">IF(V44&gt;0,1,0)</f>
        <v>0</v>
      </c>
      <c r="W84" s="89" t="n">
        <f aca="false">IF(W44&gt;0,1,0)</f>
        <v>0</v>
      </c>
      <c r="X84" s="89" t="n">
        <f aca="false">IF(X44&gt;0,1,0)</f>
        <v>0</v>
      </c>
      <c r="Y84" s="89" t="n">
        <f aca="false">IF(Y44&gt;0,1,0)</f>
        <v>0</v>
      </c>
      <c r="Z84" s="89" t="n">
        <f aca="false">IF(Z44&gt;0,1,0)</f>
        <v>0</v>
      </c>
      <c r="AA84" s="89" t="n">
        <f aca="false">IF(AA44&gt;0,1,0)</f>
        <v>0</v>
      </c>
      <c r="AB84" s="89" t="n">
        <f aca="false">IF(AB44&gt;0,1,0)</f>
        <v>0</v>
      </c>
      <c r="AC84" s="89" t="n">
        <f aca="false">IF(AC44&gt;0,1,0)</f>
        <v>0</v>
      </c>
      <c r="AD84" s="89" t="n">
        <f aca="false">IF(AD44&gt;0,1,0)</f>
        <v>0</v>
      </c>
      <c r="AE84" s="89" t="n">
        <f aca="false">IF(AE44&gt;0,1,0)</f>
        <v>0</v>
      </c>
      <c r="AF84" s="89" t="n">
        <f aca="false">IF(AF44&gt;0,1,0)</f>
        <v>0</v>
      </c>
      <c r="AG84" s="89" t="n">
        <f aca="false">IF(AG44&gt;0,1,0)</f>
        <v>0</v>
      </c>
      <c r="AH84" s="89" t="n">
        <f aca="false">IF(AH44&gt;0,1,0)</f>
        <v>0</v>
      </c>
      <c r="AI84" s="89" t="n">
        <f aca="false">IF(AI44&gt;0,1,0)</f>
        <v>0</v>
      </c>
      <c r="AJ84" s="89" t="n">
        <f aca="false">IF(AJ44&gt;0,1,0)</f>
        <v>0</v>
      </c>
      <c r="AK84" s="89" t="n">
        <f aca="false">IF(AK44&gt;0,1,0)</f>
        <v>0</v>
      </c>
      <c r="AL84" s="89" t="n">
        <f aca="false">IF(AL44&gt;0,1,0)</f>
        <v>0</v>
      </c>
      <c r="AM84" s="89" t="n">
        <f aca="false">IF(AM44&gt;0,1,0)</f>
        <v>0</v>
      </c>
      <c r="AN84" s="89" t="n">
        <f aca="false">IF(AN44&gt;0,1,0)</f>
        <v>0</v>
      </c>
      <c r="AO84" s="89" t="n">
        <f aca="false">IF(AO44&gt;0,1,0)</f>
        <v>0</v>
      </c>
      <c r="AP84" s="89" t="n">
        <f aca="false">IF(AP44&gt;0,1,0)</f>
        <v>0</v>
      </c>
      <c r="AQ84" s="89" t="n">
        <f aca="false">IF(AQ44&gt;0,1,0)</f>
        <v>0</v>
      </c>
      <c r="AR84" s="89" t="n">
        <f aca="false">IF(AR44&gt;0,1,0)</f>
        <v>0</v>
      </c>
      <c r="AS84" s="89" t="n">
        <f aca="false">IF(AS44&gt;0,1,0)</f>
        <v>0</v>
      </c>
      <c r="AT84" s="89" t="n">
        <f aca="false">IF(AT44&gt;0,1,0)</f>
        <v>0</v>
      </c>
      <c r="AU84" s="89" t="n">
        <f aca="false">IF(AU44&gt;0,1,0)</f>
        <v>0</v>
      </c>
      <c r="AV84" s="89" t="n">
        <f aca="false">IF(AV44&gt;0,1,0)</f>
        <v>0</v>
      </c>
      <c r="AW84" s="89" t="n">
        <f aca="false">IF(AW44&gt;0,1,0)</f>
        <v>0</v>
      </c>
      <c r="AX84" s="89" t="n">
        <f aca="false">IF(AX44&gt;0,1,0)</f>
        <v>0</v>
      </c>
      <c r="AY84" s="89" t="n">
        <f aca="false">IF(AY44&gt;0,1,0)</f>
        <v>0</v>
      </c>
      <c r="AZ84" s="89" t="n">
        <f aca="false">IF(AZ44&gt;0,1,0)</f>
        <v>0</v>
      </c>
      <c r="BA84" s="89" t="n">
        <f aca="false">IF(BA44&gt;0,1,0)</f>
        <v>0</v>
      </c>
      <c r="BB84" s="89" t="n">
        <f aca="false">IF(BB44&gt;0,1,0)</f>
        <v>0</v>
      </c>
      <c r="BC84" s="89" t="n">
        <f aca="false">IF(BC44&gt;0,1,0)</f>
        <v>0</v>
      </c>
      <c r="BD84" s="89" t="n">
        <f aca="false">IF(BD44&gt;0,1,0)</f>
        <v>0</v>
      </c>
      <c r="BE84" s="89" t="n">
        <f aca="false">IF(BE44&gt;0,1,0)</f>
        <v>0</v>
      </c>
      <c r="BF84" s="89" t="n">
        <f aca="false">IF(BF44&gt;0,1,0)</f>
        <v>0</v>
      </c>
      <c r="BG84" s="89" t="n">
        <f aca="false">IF(BG44&gt;0,1,0)</f>
        <v>0</v>
      </c>
      <c r="BH84" s="89" t="n">
        <f aca="false">IF(BH44&gt;0,1,0)</f>
        <v>0</v>
      </c>
      <c r="BI84" s="89" t="n">
        <f aca="false">IF(BI44&gt;0,1,0)</f>
        <v>0</v>
      </c>
      <c r="BJ84" s="89" t="n">
        <f aca="false">IF(BJ44&gt;0,1,0)</f>
        <v>0</v>
      </c>
    </row>
    <row r="85" customFormat="false" ht="15" hidden="false" customHeight="false" outlineLevel="0" collapsed="false">
      <c r="A85" s="6" t="s">
        <v>358</v>
      </c>
      <c r="C85" s="59" t="n">
        <f aca="false">C70+C71</f>
        <v>-84465.1041666667</v>
      </c>
      <c r="D85" s="59" t="n">
        <f aca="false">D70+D71</f>
        <v>-65545.5460069444</v>
      </c>
      <c r="E85" s="59" t="n">
        <f aca="false">E70+E71</f>
        <v>-63191.5685234375</v>
      </c>
      <c r="F85" s="59" t="n">
        <f aca="false">F70+F71</f>
        <v>-60896.1560309071</v>
      </c>
      <c r="G85" s="59" t="n">
        <f aca="false">G70+G71</f>
        <v>-58657.8529379622</v>
      </c>
      <c r="H85" s="59" t="n">
        <f aca="false">H70+H71</f>
        <v>-56475.239786995</v>
      </c>
      <c r="I85" s="59" t="n">
        <f aca="false">I70+I71</f>
        <v>-54346.9323585164</v>
      </c>
      <c r="J85" s="59" t="n">
        <f aca="false">J70+J71</f>
        <v>-52271.5807976527</v>
      </c>
      <c r="K85" s="59" t="n">
        <f aca="false">K70+K71</f>
        <v>-50247.8687622566</v>
      </c>
      <c r="L85" s="59" t="n">
        <f aca="false">L70+L71</f>
        <v>-48274.5125920979</v>
      </c>
      <c r="M85" s="59" t="n">
        <f aca="false">M70+M71</f>
        <v>-46350.2604986151</v>
      </c>
      <c r="N85" s="59" t="n">
        <f aca="false">N70+N71</f>
        <v>-44473.8917747187</v>
      </c>
      <c r="O85" s="59" t="n">
        <f aca="false">O70+O71</f>
        <v>-77951.6339574849</v>
      </c>
      <c r="P85" s="59" t="n">
        <f aca="false">P70+P71</f>
        <v>-75498.6973838123</v>
      </c>
      <c r="Q85" s="59" t="n">
        <f aca="false">Q70+Q71</f>
        <v>-73086.7308042236</v>
      </c>
      <c r="R85" s="59" t="n">
        <f aca="false">R70+R71</f>
        <v>-70734.7955461411</v>
      </c>
      <c r="S85" s="59" t="n">
        <f aca="false">S70+S71</f>
        <v>-68441.3988618166</v>
      </c>
      <c r="T85" s="59" t="n">
        <f aca="false">T70+T71</f>
        <v>-66205.085081137</v>
      </c>
      <c r="U85" s="59" t="n">
        <f aca="false">U70+U71</f>
        <v>-64024.4346919152</v>
      </c>
      <c r="V85" s="59" t="n">
        <f aca="false">V70+V71</f>
        <v>-61898.0634429563</v>
      </c>
      <c r="W85" s="59" t="n">
        <f aca="false">W70+W71</f>
        <v>-59824.6214693379</v>
      </c>
      <c r="X85" s="59" t="n">
        <f aca="false">X70+X71</f>
        <v>-57802.7924393529</v>
      </c>
      <c r="Y85" s="59" t="n">
        <f aca="false">Y70+Y71</f>
        <v>-55831.2927225818</v>
      </c>
      <c r="Z85" s="59" t="n">
        <f aca="false">Z70+Z71</f>
        <v>-53908.8705785703</v>
      </c>
      <c r="AA85" s="59" t="n">
        <f aca="false">AA70+AA71</f>
        <v>-106872.332341004</v>
      </c>
      <c r="AB85" s="59" t="n">
        <f aca="false">AB70+AB71</f>
        <v>-104183.634043166</v>
      </c>
      <c r="AC85" s="59" t="n">
        <f aca="false">AC70+AC71</f>
        <v>-101535.775444044</v>
      </c>
      <c r="AD85" s="59" t="n">
        <f aca="false">AD70+AD71</f>
        <v>-98953.8393444263</v>
      </c>
      <c r="AE85" s="59" t="n">
        <f aca="false">AE70+AE71</f>
        <v>-96436.1859007883</v>
      </c>
      <c r="AF85" s="59" t="n">
        <f aca="false">AF70+AF71</f>
        <v>-93981.216019126</v>
      </c>
      <c r="AG85" s="59" t="n">
        <f aca="false">AG70+AG71</f>
        <v>-91587.3703436136</v>
      </c>
      <c r="AH85" s="59" t="n">
        <f aca="false">AH70+AH71</f>
        <v>-89253.1282703241</v>
      </c>
      <c r="AI85" s="59" t="n">
        <f aca="false">AI70+AI71</f>
        <v>-86977.0069853917</v>
      </c>
      <c r="AJ85" s="59" t="n">
        <f aca="false">AJ70+AJ71</f>
        <v>-84757.5605270119</v>
      </c>
      <c r="AK85" s="59" t="n">
        <f aca="false">AK70+AK71</f>
        <v>-82593.378870688</v>
      </c>
      <c r="AL85" s="59" t="n">
        <f aca="false">AL70+AL71</f>
        <v>-80483.0870371505</v>
      </c>
      <c r="AM85" s="59" t="n">
        <f aca="false">AM70+AM71</f>
        <v>-163702.545294705</v>
      </c>
      <c r="AN85" s="59" t="n">
        <f aca="false">AN70+AN71</f>
        <v>-160586.348620119</v>
      </c>
      <c r="AO85" s="59" t="n">
        <f aca="false">AO70+AO71</f>
        <v>-157513.788525485</v>
      </c>
      <c r="AP85" s="59" t="n">
        <f aca="false">AP70+AP71</f>
        <v>-154517.741984964</v>
      </c>
      <c r="AQ85" s="59" t="n">
        <f aca="false">AQ70+AQ71</f>
        <v>-151596.305173153</v>
      </c>
      <c r="AR85" s="59" t="n">
        <f aca="false">AR70+AR71</f>
        <v>-148747.621589876</v>
      </c>
      <c r="AS85" s="59" t="n">
        <f aca="false">AS70+AS71</f>
        <v>-145969.880885175</v>
      </c>
      <c r="AT85" s="59" t="n">
        <f aca="false">AT70+AT71</f>
        <v>-143261.317713413</v>
      </c>
      <c r="AU85" s="59" t="n">
        <f aca="false">AU70+AU71</f>
        <v>-140620.210615809</v>
      </c>
      <c r="AV85" s="59" t="n">
        <f aca="false">AV70+AV71</f>
        <v>-138044.880930662</v>
      </c>
      <c r="AW85" s="59" t="n">
        <f aca="false">AW70+AW71</f>
        <v>-135533.691730611</v>
      </c>
      <c r="AX85" s="59" t="n">
        <f aca="false">AX70+AX71</f>
        <v>-133085.046786239</v>
      </c>
      <c r="AY85" s="59" t="n">
        <f aca="false">AY70+AY71</f>
        <v>-263429.989659403</v>
      </c>
      <c r="AZ85" s="59" t="n">
        <f aca="false">AZ70+AZ71</f>
        <v>-259668.973260816</v>
      </c>
      <c r="BA85" s="59" t="n">
        <f aca="false">BA70+BA71</f>
        <v>-255957.37884821</v>
      </c>
      <c r="BB85" s="59" t="n">
        <f aca="false">BB70+BB71</f>
        <v>-252338.227408175</v>
      </c>
      <c r="BC85" s="59" t="n">
        <f aca="false">BC70+BC71</f>
        <v>-248809.218273028</v>
      </c>
      <c r="BD85" s="59" t="n">
        <f aca="false">BD70+BD71</f>
        <v>-245368.107979582</v>
      </c>
      <c r="BE85" s="59" t="n">
        <f aca="false">BE70+BE71</f>
        <v>-242012.708848393</v>
      </c>
      <c r="BF85" s="59" t="n">
        <f aca="false">BF70+BF71</f>
        <v>-238740.887598258</v>
      </c>
      <c r="BG85" s="59" t="n">
        <f aca="false">BG70+BG71</f>
        <v>-235550.563995067</v>
      </c>
      <c r="BH85" s="59" t="n">
        <f aca="false">BH70+BH71</f>
        <v>-232439.709534176</v>
      </c>
      <c r="BI85" s="59" t="n">
        <f aca="false">BI70+BI71</f>
        <v>-229406.346155461</v>
      </c>
      <c r="BJ85" s="59" t="n">
        <f aca="false">BJ70+BJ71</f>
        <v>-226448.544990247</v>
      </c>
    </row>
    <row r="86" customFormat="false" ht="15" hidden="false" customHeight="false" outlineLevel="0" collapsed="false">
      <c r="A86" s="6" t="s">
        <v>359</v>
      </c>
      <c r="C86" s="59" t="n">
        <f aca="false">C85</f>
        <v>-84465.1041666667</v>
      </c>
      <c r="D86" s="59" t="n">
        <f aca="false">C86+D85</f>
        <v>-150010.650173611</v>
      </c>
      <c r="E86" s="59" t="n">
        <f aca="false">D86+E85</f>
        <v>-213202.218697049</v>
      </c>
      <c r="F86" s="59" t="n">
        <f aca="false">E86+F85</f>
        <v>-274098.374727956</v>
      </c>
      <c r="G86" s="59" t="n">
        <f aca="false">F86+G85</f>
        <v>-332756.227665918</v>
      </c>
      <c r="H86" s="59" t="n">
        <f aca="false">G86+H85</f>
        <v>-389231.467452913</v>
      </c>
      <c r="I86" s="59" t="n">
        <f aca="false">H86+I85</f>
        <v>-443578.399811429</v>
      </c>
      <c r="J86" s="59" t="n">
        <f aca="false">I86+J85</f>
        <v>-495849.980609082</v>
      </c>
      <c r="K86" s="59" t="n">
        <f aca="false">J86+K85</f>
        <v>-546097.849371339</v>
      </c>
      <c r="L86" s="59" t="n">
        <f aca="false">K86+L85</f>
        <v>-594372.361963437</v>
      </c>
      <c r="M86" s="59" t="n">
        <f aca="false">L86+M85</f>
        <v>-640722.622462052</v>
      </c>
      <c r="N86" s="59" t="n">
        <f aca="false">M86+N85</f>
        <v>-685196.51423677</v>
      </c>
      <c r="O86" s="59" t="n">
        <f aca="false">N86+O85</f>
        <v>-763148.148194255</v>
      </c>
      <c r="P86" s="59" t="n">
        <f aca="false">O86+P85</f>
        <v>-838646.845578068</v>
      </c>
      <c r="Q86" s="59" t="n">
        <f aca="false">P86+Q85</f>
        <v>-911733.576382291</v>
      </c>
      <c r="R86" s="59" t="n">
        <f aca="false">Q86+R85</f>
        <v>-982468.371928432</v>
      </c>
      <c r="S86" s="59" t="n">
        <f aca="false">R86+S85</f>
        <v>-1050909.77079025</v>
      </c>
      <c r="T86" s="59" t="n">
        <f aca="false">S86+T85</f>
        <v>-1117114.85587139</v>
      </c>
      <c r="U86" s="59" t="n">
        <f aca="false">T86+U85</f>
        <v>-1181139.2905633</v>
      </c>
      <c r="V86" s="59" t="n">
        <f aca="false">U86+V85</f>
        <v>-1243037.35400626</v>
      </c>
      <c r="W86" s="59" t="n">
        <f aca="false">V86+W85</f>
        <v>-1302861.97547559</v>
      </c>
      <c r="X86" s="59" t="n">
        <f aca="false">W86+X85</f>
        <v>-1360664.76791495</v>
      </c>
      <c r="Y86" s="59" t="n">
        <f aca="false">X86+Y85</f>
        <v>-1416496.06063753</v>
      </c>
      <c r="Z86" s="59" t="n">
        <f aca="false">Y86+Z85</f>
        <v>-1470404.9312161</v>
      </c>
      <c r="AA86" s="59" t="n">
        <f aca="false">Z86+AA85</f>
        <v>-1577277.2635571</v>
      </c>
      <c r="AB86" s="59" t="n">
        <f aca="false">AA86+AB85</f>
        <v>-1681460.89760027</v>
      </c>
      <c r="AC86" s="59" t="n">
        <f aca="false">AB86+AC85</f>
        <v>-1782996.67304431</v>
      </c>
      <c r="AD86" s="59" t="n">
        <f aca="false">AC86+AD85</f>
        <v>-1881950.51238874</v>
      </c>
      <c r="AE86" s="59" t="n">
        <f aca="false">AD86+AE85</f>
        <v>-1978386.69828953</v>
      </c>
      <c r="AF86" s="59" t="n">
        <f aca="false">AE86+AF85</f>
        <v>-2072367.91430865</v>
      </c>
      <c r="AG86" s="59" t="n">
        <f aca="false">AF86+AG85</f>
        <v>-2163955.28465227</v>
      </c>
      <c r="AH86" s="59" t="n">
        <f aca="false">AG86+AH85</f>
        <v>-2253208.41292259</v>
      </c>
      <c r="AI86" s="59" t="n">
        <f aca="false">AH86+AI85</f>
        <v>-2340185.41990798</v>
      </c>
      <c r="AJ86" s="59" t="n">
        <f aca="false">AI86+AJ85</f>
        <v>-2424942.980435</v>
      </c>
      <c r="AK86" s="59" t="n">
        <f aca="false">AJ86+AK85</f>
        <v>-2507536.35930568</v>
      </c>
      <c r="AL86" s="59" t="n">
        <f aca="false">AK86+AL85</f>
        <v>-2588019.44634283</v>
      </c>
      <c r="AM86" s="59" t="n">
        <f aca="false">AL86+AM85</f>
        <v>-2751721.99163754</v>
      </c>
      <c r="AN86" s="59" t="n">
        <f aca="false">AM86+AN85</f>
        <v>-2912308.34025766</v>
      </c>
      <c r="AO86" s="59" t="n">
        <f aca="false">AN86+AO85</f>
        <v>-3069822.12878314</v>
      </c>
      <c r="AP86" s="59" t="n">
        <f aca="false">AO86+AP85</f>
        <v>-3224339.87076811</v>
      </c>
      <c r="AQ86" s="59" t="n">
        <f aca="false">AP86+AQ85</f>
        <v>-3375936.17594126</v>
      </c>
      <c r="AR86" s="59" t="n">
        <f aca="false">AQ86+AR85</f>
        <v>-3524683.79753114</v>
      </c>
      <c r="AS86" s="59" t="n">
        <f aca="false">AR86+AS85</f>
        <v>-3670653.67841631</v>
      </c>
      <c r="AT86" s="59" t="n">
        <f aca="false">AS86+AT85</f>
        <v>-3813914.99612972</v>
      </c>
      <c r="AU86" s="59" t="n">
        <f aca="false">AT86+AU85</f>
        <v>-3954535.20674553</v>
      </c>
      <c r="AV86" s="59" t="n">
        <f aca="false">AU86+AV85</f>
        <v>-4092580.0876762</v>
      </c>
      <c r="AW86" s="59" t="n">
        <f aca="false">AV86+AW85</f>
        <v>-4228113.77940681</v>
      </c>
      <c r="AX86" s="59" t="n">
        <f aca="false">AW86+AX85</f>
        <v>-4361198.82619304</v>
      </c>
      <c r="AY86" s="59" t="n">
        <f aca="false">AX86+AY85</f>
        <v>-4624628.81585245</v>
      </c>
      <c r="AZ86" s="59" t="n">
        <f aca="false">AY86+AZ85</f>
        <v>-4884297.78911326</v>
      </c>
      <c r="BA86" s="59" t="n">
        <f aca="false">AZ86+BA85</f>
        <v>-5140255.16796147</v>
      </c>
      <c r="BB86" s="59" t="n">
        <f aca="false">BA86+BB85</f>
        <v>-5392593.39536965</v>
      </c>
      <c r="BC86" s="59" t="n">
        <f aca="false">BB86+BC85</f>
        <v>-5641402.61364268</v>
      </c>
      <c r="BD86" s="59" t="n">
        <f aca="false">BC86+BD85</f>
        <v>-5886770.72162226</v>
      </c>
      <c r="BE86" s="59" t="n">
        <f aca="false">BD86+BE85</f>
        <v>-6128783.43047065</v>
      </c>
      <c r="BF86" s="59" t="n">
        <f aca="false">BE86+BF85</f>
        <v>-6367524.31806891</v>
      </c>
      <c r="BG86" s="59" t="n">
        <f aca="false">BF86+BG85</f>
        <v>-6603074.88206398</v>
      </c>
      <c r="BH86" s="59" t="n">
        <f aca="false">BG86+BH85</f>
        <v>-6835514.59159815</v>
      </c>
      <c r="BI86" s="59" t="n">
        <f aca="false">BH86+BI85</f>
        <v>-7064920.93775361</v>
      </c>
      <c r="BJ86" s="59" t="n">
        <f aca="false">BI86+BJ85</f>
        <v>-7291369.48274386</v>
      </c>
    </row>
    <row r="87" customFormat="false" ht="15" hidden="false" customHeight="false" outlineLevel="0" collapsed="false">
      <c r="A87" s="88" t="s">
        <v>360</v>
      </c>
      <c r="C87" s="59" t="n">
        <f aca="false">C86</f>
        <v>-84465.1041666667</v>
      </c>
      <c r="D87" s="59" t="n">
        <f aca="false">MIN(C87,D86)</f>
        <v>-150010.650173611</v>
      </c>
      <c r="E87" s="59" t="n">
        <f aca="false">MIN(D87,E86)</f>
        <v>-213202.218697049</v>
      </c>
      <c r="F87" s="59" t="n">
        <f aca="false">MIN(E87,F86)</f>
        <v>-274098.374727956</v>
      </c>
      <c r="G87" s="59" t="n">
        <f aca="false">MIN(F87,G86)</f>
        <v>-332756.227665918</v>
      </c>
      <c r="H87" s="59" t="n">
        <f aca="false">MIN(G87,H86)</f>
        <v>-389231.467452913</v>
      </c>
      <c r="I87" s="59" t="n">
        <f aca="false">MIN(H87,I86)</f>
        <v>-443578.399811429</v>
      </c>
      <c r="J87" s="59" t="n">
        <f aca="false">MIN(I87,J86)</f>
        <v>-495849.980609082</v>
      </c>
      <c r="K87" s="59" t="n">
        <f aca="false">MIN(J87,K86)</f>
        <v>-546097.849371339</v>
      </c>
      <c r="L87" s="59" t="n">
        <f aca="false">MIN(K87,L86)</f>
        <v>-594372.361963437</v>
      </c>
      <c r="M87" s="59" t="n">
        <f aca="false">MIN(L87,M86)</f>
        <v>-640722.622462052</v>
      </c>
      <c r="N87" s="59" t="n">
        <f aca="false">MIN(M87,N86)</f>
        <v>-685196.51423677</v>
      </c>
      <c r="O87" s="59" t="n">
        <f aca="false">MIN(N87,O86)</f>
        <v>-763148.148194255</v>
      </c>
      <c r="P87" s="59" t="n">
        <f aca="false">MIN(O87,P86)</f>
        <v>-838646.845578068</v>
      </c>
      <c r="Q87" s="59" t="n">
        <f aca="false">MIN(P87,Q86)</f>
        <v>-911733.576382291</v>
      </c>
      <c r="R87" s="59" t="n">
        <f aca="false">MIN(Q87,R86)</f>
        <v>-982468.371928432</v>
      </c>
      <c r="S87" s="59" t="n">
        <f aca="false">MIN(R87,S86)</f>
        <v>-1050909.77079025</v>
      </c>
      <c r="T87" s="59" t="n">
        <f aca="false">MIN(S87,T86)</f>
        <v>-1117114.85587139</v>
      </c>
      <c r="U87" s="59" t="n">
        <f aca="false">MIN(T87,U86)</f>
        <v>-1181139.2905633</v>
      </c>
      <c r="V87" s="59" t="n">
        <f aca="false">MIN(U87,V86)</f>
        <v>-1243037.35400626</v>
      </c>
      <c r="W87" s="59" t="n">
        <f aca="false">MIN(V87,W86)</f>
        <v>-1302861.97547559</v>
      </c>
      <c r="X87" s="59" t="n">
        <f aca="false">MIN(W87,X86)</f>
        <v>-1360664.76791495</v>
      </c>
      <c r="Y87" s="59" t="n">
        <f aca="false">MIN(X87,Y86)</f>
        <v>-1416496.06063753</v>
      </c>
      <c r="Z87" s="59" t="n">
        <f aca="false">MIN(Y87,Z86)</f>
        <v>-1470404.9312161</v>
      </c>
      <c r="AA87" s="59" t="n">
        <f aca="false">MIN(Z87,AA86)</f>
        <v>-1577277.2635571</v>
      </c>
      <c r="AB87" s="59" t="n">
        <f aca="false">MIN(AA87,AB86)</f>
        <v>-1681460.89760027</v>
      </c>
      <c r="AC87" s="59" t="n">
        <f aca="false">MIN(AB87,AC86)</f>
        <v>-1782996.67304431</v>
      </c>
      <c r="AD87" s="59" t="n">
        <f aca="false">MIN(AC87,AD86)</f>
        <v>-1881950.51238874</v>
      </c>
      <c r="AE87" s="59" t="n">
        <f aca="false">MIN(AD87,AE86)</f>
        <v>-1978386.69828953</v>
      </c>
      <c r="AF87" s="59" t="n">
        <f aca="false">MIN(AE87,AF86)</f>
        <v>-2072367.91430865</v>
      </c>
      <c r="AG87" s="59" t="n">
        <f aca="false">MIN(AF87,AG86)</f>
        <v>-2163955.28465227</v>
      </c>
      <c r="AH87" s="59" t="n">
        <f aca="false">MIN(AG87,AH86)</f>
        <v>-2253208.41292259</v>
      </c>
      <c r="AI87" s="59" t="n">
        <f aca="false">MIN(AH87,AI86)</f>
        <v>-2340185.41990798</v>
      </c>
      <c r="AJ87" s="59" t="n">
        <f aca="false">MIN(AI87,AJ86)</f>
        <v>-2424942.980435</v>
      </c>
      <c r="AK87" s="59" t="n">
        <f aca="false">MIN(AJ87,AK86)</f>
        <v>-2507536.35930568</v>
      </c>
      <c r="AL87" s="59" t="n">
        <f aca="false">MIN(AK87,AL86)</f>
        <v>-2588019.44634283</v>
      </c>
      <c r="AM87" s="59" t="n">
        <f aca="false">MIN(AL87,AM86)</f>
        <v>-2751721.99163754</v>
      </c>
      <c r="AN87" s="59" t="n">
        <f aca="false">MIN(AM87,AN86)</f>
        <v>-2912308.34025766</v>
      </c>
      <c r="AO87" s="59" t="n">
        <f aca="false">MIN(AN87,AO86)</f>
        <v>-3069822.12878314</v>
      </c>
      <c r="AP87" s="59" t="n">
        <f aca="false">MIN(AO87,AP86)</f>
        <v>-3224339.87076811</v>
      </c>
      <c r="AQ87" s="59" t="n">
        <f aca="false">MIN(AP87,AQ86)</f>
        <v>-3375936.17594126</v>
      </c>
      <c r="AR87" s="59" t="n">
        <f aca="false">MIN(AQ87,AR86)</f>
        <v>-3524683.79753114</v>
      </c>
      <c r="AS87" s="59" t="n">
        <f aca="false">MIN(AR87,AS86)</f>
        <v>-3670653.67841631</v>
      </c>
      <c r="AT87" s="59" t="n">
        <f aca="false">MIN(AS87,AT86)</f>
        <v>-3813914.99612972</v>
      </c>
      <c r="AU87" s="59" t="n">
        <f aca="false">MIN(AT87,AU86)</f>
        <v>-3954535.20674553</v>
      </c>
      <c r="AV87" s="59" t="n">
        <f aca="false">MIN(AU87,AV86)</f>
        <v>-4092580.0876762</v>
      </c>
      <c r="AW87" s="59" t="n">
        <f aca="false">MIN(AV87,AW86)</f>
        <v>-4228113.77940681</v>
      </c>
      <c r="AX87" s="59" t="n">
        <f aca="false">MIN(AW87,AX86)</f>
        <v>-4361198.82619304</v>
      </c>
      <c r="AY87" s="59" t="n">
        <f aca="false">MIN(AX87,AY86)</f>
        <v>-4624628.81585245</v>
      </c>
      <c r="AZ87" s="59" t="n">
        <f aca="false">MIN(AY87,AZ86)</f>
        <v>-4884297.78911326</v>
      </c>
      <c r="BA87" s="59" t="n">
        <f aca="false">MIN(AZ87,BA86)</f>
        <v>-5140255.16796147</v>
      </c>
      <c r="BB87" s="59" t="n">
        <f aca="false">MIN(BA87,BB86)</f>
        <v>-5392593.39536965</v>
      </c>
      <c r="BC87" s="59" t="n">
        <f aca="false">MIN(BB87,BC86)</f>
        <v>-5641402.61364268</v>
      </c>
      <c r="BD87" s="59" t="n">
        <f aca="false">MIN(BC87,BD86)</f>
        <v>-5886770.72162226</v>
      </c>
      <c r="BE87" s="59" t="n">
        <f aca="false">MIN(BD87,BE86)</f>
        <v>-6128783.43047065</v>
      </c>
      <c r="BF87" s="59" t="n">
        <f aca="false">MIN(BE87,BF86)</f>
        <v>-6367524.31806891</v>
      </c>
      <c r="BG87" s="59" t="n">
        <f aca="false">MIN(BF87,BG86)</f>
        <v>-6603074.88206398</v>
      </c>
      <c r="BH87" s="59" t="n">
        <f aca="false">MIN(BG87,BH86)</f>
        <v>-6835514.59159815</v>
      </c>
      <c r="BI87" s="59" t="n">
        <f aca="false">MIN(BH87,BI86)</f>
        <v>-7064920.93775361</v>
      </c>
      <c r="BJ87" s="59" t="n">
        <f aca="false">MIN(BI87,BJ86)</f>
        <v>-7291369.48274386</v>
      </c>
    </row>
    <row r="88" customFormat="false" ht="15" hidden="false" customHeight="false" outlineLevel="0" collapsed="false">
      <c r="A88" s="88" t="s">
        <v>361</v>
      </c>
      <c r="C88" s="89" t="n">
        <f aca="false">IF(AND(C86&gt;=0,C87&lt;0),1,0)</f>
        <v>0</v>
      </c>
      <c r="D88" s="89" t="n">
        <f aca="false">IF(AND(D86&gt;=0,D87&lt;0),1,0)</f>
        <v>0</v>
      </c>
      <c r="E88" s="89" t="n">
        <f aca="false">IF(AND(E86&gt;=0,E87&lt;0),1,0)</f>
        <v>0</v>
      </c>
      <c r="F88" s="89" t="n">
        <f aca="false">IF(AND(F86&gt;=0,F87&lt;0),1,0)</f>
        <v>0</v>
      </c>
      <c r="G88" s="89" t="n">
        <f aca="false">IF(AND(G86&gt;=0,G87&lt;0),1,0)</f>
        <v>0</v>
      </c>
      <c r="H88" s="89" t="n">
        <f aca="false">IF(AND(H86&gt;=0,H87&lt;0),1,0)</f>
        <v>0</v>
      </c>
      <c r="I88" s="89" t="n">
        <f aca="false">IF(AND(I86&gt;=0,I87&lt;0),1,0)</f>
        <v>0</v>
      </c>
      <c r="J88" s="89" t="n">
        <f aca="false">IF(AND(J86&gt;=0,J87&lt;0),1,0)</f>
        <v>0</v>
      </c>
      <c r="K88" s="89" t="n">
        <f aca="false">IF(AND(K86&gt;=0,K87&lt;0),1,0)</f>
        <v>0</v>
      </c>
      <c r="L88" s="89" t="n">
        <f aca="false">IF(AND(L86&gt;=0,L87&lt;0),1,0)</f>
        <v>0</v>
      </c>
      <c r="M88" s="89" t="n">
        <f aca="false">IF(AND(M86&gt;=0,M87&lt;0),1,0)</f>
        <v>0</v>
      </c>
      <c r="N88" s="89" t="n">
        <f aca="false">IF(AND(N86&gt;=0,N87&lt;0),1,0)</f>
        <v>0</v>
      </c>
      <c r="O88" s="89" t="n">
        <f aca="false">IF(AND(O86&gt;=0,O87&lt;0),1,0)</f>
        <v>0</v>
      </c>
      <c r="P88" s="89" t="n">
        <f aca="false">IF(AND(P86&gt;=0,P87&lt;0),1,0)</f>
        <v>0</v>
      </c>
      <c r="Q88" s="89" t="n">
        <f aca="false">IF(AND(Q86&gt;=0,Q87&lt;0),1,0)</f>
        <v>0</v>
      </c>
      <c r="R88" s="89" t="n">
        <f aca="false">IF(AND(R86&gt;=0,R87&lt;0),1,0)</f>
        <v>0</v>
      </c>
      <c r="S88" s="89" t="n">
        <f aca="false">IF(AND(S86&gt;=0,S87&lt;0),1,0)</f>
        <v>0</v>
      </c>
      <c r="T88" s="89" t="n">
        <f aca="false">IF(AND(T86&gt;=0,T87&lt;0),1,0)</f>
        <v>0</v>
      </c>
      <c r="U88" s="89" t="n">
        <f aca="false">IF(AND(U86&gt;=0,U87&lt;0),1,0)</f>
        <v>0</v>
      </c>
      <c r="V88" s="89" t="n">
        <f aca="false">IF(AND(V86&gt;=0,V87&lt;0),1,0)</f>
        <v>0</v>
      </c>
      <c r="W88" s="89" t="n">
        <f aca="false">IF(AND(W86&gt;=0,W87&lt;0),1,0)</f>
        <v>0</v>
      </c>
      <c r="X88" s="89" t="n">
        <f aca="false">IF(AND(X86&gt;=0,X87&lt;0),1,0)</f>
        <v>0</v>
      </c>
      <c r="Y88" s="89" t="n">
        <f aca="false">IF(AND(Y86&gt;=0,Y87&lt;0),1,0)</f>
        <v>0</v>
      </c>
      <c r="Z88" s="89" t="n">
        <f aca="false">IF(AND(Z86&gt;=0,Z87&lt;0),1,0)</f>
        <v>0</v>
      </c>
      <c r="AA88" s="89" t="n">
        <f aca="false">IF(AND(AA86&gt;=0,AA87&lt;0),1,0)</f>
        <v>0</v>
      </c>
      <c r="AB88" s="89" t="n">
        <f aca="false">IF(AND(AB86&gt;=0,AB87&lt;0),1,0)</f>
        <v>0</v>
      </c>
      <c r="AC88" s="89" t="n">
        <f aca="false">IF(AND(AC86&gt;=0,AC87&lt;0),1,0)</f>
        <v>0</v>
      </c>
      <c r="AD88" s="89" t="n">
        <f aca="false">IF(AND(AD86&gt;=0,AD87&lt;0),1,0)</f>
        <v>0</v>
      </c>
      <c r="AE88" s="89" t="n">
        <f aca="false">IF(AND(AE86&gt;=0,AE87&lt;0),1,0)</f>
        <v>0</v>
      </c>
      <c r="AF88" s="89" t="n">
        <f aca="false">IF(AND(AF86&gt;=0,AF87&lt;0),1,0)</f>
        <v>0</v>
      </c>
      <c r="AG88" s="89" t="n">
        <f aca="false">IF(AND(AG86&gt;=0,AG87&lt;0),1,0)</f>
        <v>0</v>
      </c>
      <c r="AH88" s="89" t="n">
        <f aca="false">IF(AND(AH86&gt;=0,AH87&lt;0),1,0)</f>
        <v>0</v>
      </c>
      <c r="AI88" s="89" t="n">
        <f aca="false">IF(AND(AI86&gt;=0,AI87&lt;0),1,0)</f>
        <v>0</v>
      </c>
      <c r="AJ88" s="89" t="n">
        <f aca="false">IF(AND(AJ86&gt;=0,AJ87&lt;0),1,0)</f>
        <v>0</v>
      </c>
      <c r="AK88" s="89" t="n">
        <f aca="false">IF(AND(AK86&gt;=0,AK87&lt;0),1,0)</f>
        <v>0</v>
      </c>
      <c r="AL88" s="89" t="n">
        <f aca="false">IF(AND(AL86&gt;=0,AL87&lt;0),1,0)</f>
        <v>0</v>
      </c>
      <c r="AM88" s="89" t="n">
        <f aca="false">IF(AND(AM86&gt;=0,AM87&lt;0),1,0)</f>
        <v>0</v>
      </c>
      <c r="AN88" s="89" t="n">
        <f aca="false">IF(AND(AN86&gt;=0,AN87&lt;0),1,0)</f>
        <v>0</v>
      </c>
      <c r="AO88" s="89" t="n">
        <f aca="false">IF(AND(AO86&gt;=0,AO87&lt;0),1,0)</f>
        <v>0</v>
      </c>
      <c r="AP88" s="89" t="n">
        <f aca="false">IF(AND(AP86&gt;=0,AP87&lt;0),1,0)</f>
        <v>0</v>
      </c>
      <c r="AQ88" s="89" t="n">
        <f aca="false">IF(AND(AQ86&gt;=0,AQ87&lt;0),1,0)</f>
        <v>0</v>
      </c>
      <c r="AR88" s="89" t="n">
        <f aca="false">IF(AND(AR86&gt;=0,AR87&lt;0),1,0)</f>
        <v>0</v>
      </c>
      <c r="AS88" s="89" t="n">
        <f aca="false">IF(AND(AS86&gt;=0,AS87&lt;0),1,0)</f>
        <v>0</v>
      </c>
      <c r="AT88" s="89" t="n">
        <f aca="false">IF(AND(AT86&gt;=0,AT87&lt;0),1,0)</f>
        <v>0</v>
      </c>
      <c r="AU88" s="89" t="n">
        <f aca="false">IF(AND(AU86&gt;=0,AU87&lt;0),1,0)</f>
        <v>0</v>
      </c>
      <c r="AV88" s="89" t="n">
        <f aca="false">IF(AND(AV86&gt;=0,AV87&lt;0),1,0)</f>
        <v>0</v>
      </c>
      <c r="AW88" s="89" t="n">
        <f aca="false">IF(AND(AW86&gt;=0,AW87&lt;0),1,0)</f>
        <v>0</v>
      </c>
      <c r="AX88" s="89" t="n">
        <f aca="false">IF(AND(AX86&gt;=0,AX87&lt;0),1,0)</f>
        <v>0</v>
      </c>
      <c r="AY88" s="89" t="n">
        <f aca="false">IF(AND(AY86&gt;=0,AY87&lt;0),1,0)</f>
        <v>0</v>
      </c>
      <c r="AZ88" s="89" t="n">
        <f aca="false">IF(AND(AZ86&gt;=0,AZ87&lt;0),1,0)</f>
        <v>0</v>
      </c>
      <c r="BA88" s="89" t="n">
        <f aca="false">IF(AND(BA86&gt;=0,BA87&lt;0),1,0)</f>
        <v>0</v>
      </c>
      <c r="BB88" s="89" t="n">
        <f aca="false">IF(AND(BB86&gt;=0,BB87&lt;0),1,0)</f>
        <v>0</v>
      </c>
      <c r="BC88" s="89" t="n">
        <f aca="false">IF(AND(BC86&gt;=0,BC87&lt;0),1,0)</f>
        <v>0</v>
      </c>
      <c r="BD88" s="89" t="n">
        <f aca="false">IF(AND(BD86&gt;=0,BD87&lt;0),1,0)</f>
        <v>0</v>
      </c>
      <c r="BE88" s="89" t="n">
        <f aca="false">IF(AND(BE86&gt;=0,BE87&lt;0),1,0)</f>
        <v>0</v>
      </c>
      <c r="BF88" s="89" t="n">
        <f aca="false">IF(AND(BF86&gt;=0,BF87&lt;0),1,0)</f>
        <v>0</v>
      </c>
      <c r="BG88" s="89" t="n">
        <f aca="false">IF(AND(BG86&gt;=0,BG87&lt;0),1,0)</f>
        <v>0</v>
      </c>
      <c r="BH88" s="89" t="n">
        <f aca="false">IF(AND(BH86&gt;=0,BH87&lt;0),1,0)</f>
        <v>0</v>
      </c>
      <c r="BI88" s="89" t="n">
        <f aca="false">IF(AND(BI86&gt;=0,BI87&lt;0),1,0)</f>
        <v>0</v>
      </c>
      <c r="BJ88" s="89" t="n">
        <f aca="false">IF(AND(BJ86&gt;=0,BJ87&lt;0),1,0)</f>
        <v>0</v>
      </c>
    </row>
    <row r="89" customFormat="false" ht="15" hidden="false" customHeight="false" outlineLevel="0" collapsed="false">
      <c r="A89" s="6" t="s">
        <v>362</v>
      </c>
      <c r="C89" s="59" t="n">
        <f aca="false">C70-C39*(1-Inputs!$E$58)+C71</f>
        <v>-84465.1041666667</v>
      </c>
      <c r="D89" s="59" t="n">
        <f aca="false">D70-D39*(1-Inputs!$E$58)+D71</f>
        <v>-65545.5460069444</v>
      </c>
      <c r="E89" s="59" t="n">
        <f aca="false">E70-E39*(1-Inputs!$E$58)+E71</f>
        <v>-63191.5685234375</v>
      </c>
      <c r="F89" s="59" t="n">
        <f aca="false">F70-F39*(1-Inputs!$E$58)+F71</f>
        <v>-60896.1560309071</v>
      </c>
      <c r="G89" s="59" t="n">
        <f aca="false">G70-G39*(1-Inputs!$E$58)+G71</f>
        <v>-58657.8529379622</v>
      </c>
      <c r="H89" s="59" t="n">
        <f aca="false">H70-H39*(1-Inputs!$E$58)+H71</f>
        <v>-56475.239786995</v>
      </c>
      <c r="I89" s="59" t="n">
        <f aca="false">I70-I39*(1-Inputs!$E$58)+I71</f>
        <v>-54346.9323585164</v>
      </c>
      <c r="J89" s="59" t="n">
        <f aca="false">J70-J39*(1-Inputs!$E$58)+J71</f>
        <v>-52271.5807976527</v>
      </c>
      <c r="K89" s="59" t="n">
        <f aca="false">K70-K39*(1-Inputs!$E$58)+K71</f>
        <v>-50247.8687622566</v>
      </c>
      <c r="L89" s="59" t="n">
        <f aca="false">L70-L39*(1-Inputs!$E$58)+L71</f>
        <v>-48274.5125920979</v>
      </c>
      <c r="M89" s="59" t="n">
        <f aca="false">M70-M39*(1-Inputs!$E$58)+M71</f>
        <v>-46350.2604986151</v>
      </c>
      <c r="N89" s="59" t="n">
        <f aca="false">N70-N39*(1-Inputs!$E$58)+N71</f>
        <v>-44473.8917747187</v>
      </c>
      <c r="O89" s="59" t="n">
        <f aca="false">O70-O39*(1-Inputs!$E$58)+O71</f>
        <v>-77951.6339574849</v>
      </c>
      <c r="P89" s="59" t="n">
        <f aca="false">P70-P39*(1-Inputs!$E$58)+P71</f>
        <v>-75498.6973838123</v>
      </c>
      <c r="Q89" s="59" t="n">
        <f aca="false">Q70-Q39*(1-Inputs!$E$58)+Q71</f>
        <v>-73086.7308042236</v>
      </c>
      <c r="R89" s="59" t="n">
        <f aca="false">R70-R39*(1-Inputs!$E$58)+R71</f>
        <v>-70734.7955461411</v>
      </c>
      <c r="S89" s="59" t="n">
        <f aca="false">S70-S39*(1-Inputs!$E$58)+S71</f>
        <v>-68441.3988618166</v>
      </c>
      <c r="T89" s="59" t="n">
        <f aca="false">T70-T39*(1-Inputs!$E$58)+T71</f>
        <v>-66205.085081137</v>
      </c>
      <c r="U89" s="59" t="n">
        <f aca="false">U70-U39*(1-Inputs!$E$58)+U71</f>
        <v>-64024.4346919152</v>
      </c>
      <c r="V89" s="59" t="n">
        <f aca="false">V70-V39*(1-Inputs!$E$58)+V71</f>
        <v>-61898.0634429563</v>
      </c>
      <c r="W89" s="59" t="n">
        <f aca="false">W70-W39*(1-Inputs!$E$58)+W71</f>
        <v>-59824.6214693379</v>
      </c>
      <c r="X89" s="59" t="n">
        <f aca="false">X70-X39*(1-Inputs!$E$58)+X71</f>
        <v>-57802.7924393529</v>
      </c>
      <c r="Y89" s="59" t="n">
        <f aca="false">Y70-Y39*(1-Inputs!$E$58)+Y71</f>
        <v>-55831.2927225818</v>
      </c>
      <c r="Z89" s="59" t="n">
        <f aca="false">Z70-Z39*(1-Inputs!$E$58)+Z71</f>
        <v>-53908.8705785703</v>
      </c>
      <c r="AA89" s="59" t="n">
        <f aca="false">AA70-AA39*(1-Inputs!$E$58)+AA71</f>
        <v>-106872.332341004</v>
      </c>
      <c r="AB89" s="59" t="n">
        <f aca="false">AB70-AB39*(1-Inputs!$E$58)+AB71</f>
        <v>-104183.634043166</v>
      </c>
      <c r="AC89" s="59" t="n">
        <f aca="false">AC70-AC39*(1-Inputs!$E$58)+AC71</f>
        <v>-101535.775444044</v>
      </c>
      <c r="AD89" s="59" t="n">
        <f aca="false">AD70-AD39*(1-Inputs!$E$58)+AD71</f>
        <v>-98953.8393444263</v>
      </c>
      <c r="AE89" s="59" t="n">
        <f aca="false">AE70-AE39*(1-Inputs!$E$58)+AE71</f>
        <v>-96436.1859007883</v>
      </c>
      <c r="AF89" s="59" t="n">
        <f aca="false">AF70-AF39*(1-Inputs!$E$58)+AF71</f>
        <v>-93981.216019126</v>
      </c>
      <c r="AG89" s="59" t="n">
        <f aca="false">AG70-AG39*(1-Inputs!$E$58)+AG71</f>
        <v>-91587.3703436136</v>
      </c>
      <c r="AH89" s="59" t="n">
        <f aca="false">AH70-AH39*(1-Inputs!$E$58)+AH71</f>
        <v>-89253.1282703241</v>
      </c>
      <c r="AI89" s="59" t="n">
        <f aca="false">AI70-AI39*(1-Inputs!$E$58)+AI71</f>
        <v>-86977.0069853917</v>
      </c>
      <c r="AJ89" s="59" t="n">
        <f aca="false">AJ70-AJ39*(1-Inputs!$E$58)+AJ71</f>
        <v>-84757.5605270119</v>
      </c>
      <c r="AK89" s="59" t="n">
        <f aca="false">AK70-AK39*(1-Inputs!$E$58)+AK71</f>
        <v>-82593.378870688</v>
      </c>
      <c r="AL89" s="59" t="n">
        <f aca="false">AL70-AL39*(1-Inputs!$E$58)+AL71</f>
        <v>-80483.0870371505</v>
      </c>
      <c r="AM89" s="59" t="n">
        <f aca="false">AM70-AM39*(1-Inputs!$E$58)+AM71</f>
        <v>-163702.545294705</v>
      </c>
      <c r="AN89" s="59" t="n">
        <f aca="false">AN70-AN39*(1-Inputs!$E$58)+AN71</f>
        <v>-160586.348620119</v>
      </c>
      <c r="AO89" s="59" t="n">
        <f aca="false">AO70-AO39*(1-Inputs!$E$58)+AO71</f>
        <v>-157513.788525485</v>
      </c>
      <c r="AP89" s="59" t="n">
        <f aca="false">AP70-AP39*(1-Inputs!$E$58)+AP71</f>
        <v>-154517.741984964</v>
      </c>
      <c r="AQ89" s="59" t="n">
        <f aca="false">AQ70-AQ39*(1-Inputs!$E$58)+AQ71</f>
        <v>-151596.305173153</v>
      </c>
      <c r="AR89" s="59" t="n">
        <f aca="false">AR70-AR39*(1-Inputs!$E$58)+AR71</f>
        <v>-148747.621589876</v>
      </c>
      <c r="AS89" s="59" t="n">
        <f aca="false">AS70-AS39*(1-Inputs!$E$58)+AS71</f>
        <v>-145969.880885175</v>
      </c>
      <c r="AT89" s="59" t="n">
        <f aca="false">AT70-AT39*(1-Inputs!$E$58)+AT71</f>
        <v>-143261.317713413</v>
      </c>
      <c r="AU89" s="59" t="n">
        <f aca="false">AU70-AU39*(1-Inputs!$E$58)+AU71</f>
        <v>-140620.210615809</v>
      </c>
      <c r="AV89" s="59" t="n">
        <f aca="false">AV70-AV39*(1-Inputs!$E$58)+AV71</f>
        <v>-138044.880930662</v>
      </c>
      <c r="AW89" s="59" t="n">
        <f aca="false">AW70-AW39*(1-Inputs!$E$58)+AW71</f>
        <v>-135533.691730611</v>
      </c>
      <c r="AX89" s="59" t="n">
        <f aca="false">AX70-AX39*(1-Inputs!$E$58)+AX71</f>
        <v>-133085.046786239</v>
      </c>
      <c r="AY89" s="59" t="n">
        <f aca="false">AY70-AY39*(1-Inputs!$E$58)+AY71</f>
        <v>-263429.989659403</v>
      </c>
      <c r="AZ89" s="59" t="n">
        <f aca="false">AZ70-AZ39*(1-Inputs!$E$58)+AZ71</f>
        <v>-259668.973260816</v>
      </c>
      <c r="BA89" s="59" t="n">
        <f aca="false">BA70-BA39*(1-Inputs!$E$58)+BA71</f>
        <v>-255957.37884821</v>
      </c>
      <c r="BB89" s="59" t="n">
        <f aca="false">BB70-BB39*(1-Inputs!$E$58)+BB71</f>
        <v>-252338.227408175</v>
      </c>
      <c r="BC89" s="59" t="n">
        <f aca="false">BC70-BC39*(1-Inputs!$E$58)+BC71</f>
        <v>-248809.218273028</v>
      </c>
      <c r="BD89" s="59" t="n">
        <f aca="false">BD70-BD39*(1-Inputs!$E$58)+BD71</f>
        <v>-245368.107979582</v>
      </c>
      <c r="BE89" s="59" t="n">
        <f aca="false">BE70-BE39*(1-Inputs!$E$58)+BE71</f>
        <v>-242012.708848393</v>
      </c>
      <c r="BF89" s="59" t="n">
        <f aca="false">BF70-BF39*(1-Inputs!$E$58)+BF71</f>
        <v>-238740.887598258</v>
      </c>
      <c r="BG89" s="59" t="n">
        <f aca="false">BG70-BG39*(1-Inputs!$E$58)+BG71</f>
        <v>-235550.563995067</v>
      </c>
      <c r="BH89" s="59" t="n">
        <f aca="false">BH70-BH39*(1-Inputs!$E$58)+BH71</f>
        <v>-232439.709534176</v>
      </c>
      <c r="BI89" s="59" t="n">
        <f aca="false">BI70-BI39*(1-Inputs!$E$58)+BI71</f>
        <v>-229406.346155461</v>
      </c>
      <c r="BJ89" s="59" t="n">
        <f aca="false">BJ70-BJ39*(1-Inputs!$E$58)+BJ71</f>
        <v>-226448.544990247</v>
      </c>
    </row>
    <row r="91" customFormat="false" ht="15.75" hidden="false" customHeight="true" outlineLevel="0" collapsed="false">
      <c r="A91" s="7" t="s">
        <v>363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113</v>
      </c>
      <c r="C92" s="59" t="n">
        <f aca="false">C72</f>
        <v>3000000</v>
      </c>
      <c r="D92" s="59" t="n">
        <f aca="false">C92+D72</f>
        <v>3000000</v>
      </c>
      <c r="E92" s="59" t="n">
        <f aca="false">D92+E72</f>
        <v>3000000</v>
      </c>
      <c r="F92" s="59" t="n">
        <f aca="false">E92+F72</f>
        <v>3000000</v>
      </c>
      <c r="G92" s="59" t="n">
        <f aca="false">F92+G72</f>
        <v>3000000</v>
      </c>
      <c r="H92" s="59" t="n">
        <f aca="false">G92+H72</f>
        <v>3000000</v>
      </c>
      <c r="I92" s="59" t="n">
        <f aca="false">H92+I72</f>
        <v>3000000</v>
      </c>
      <c r="J92" s="59" t="n">
        <f aca="false">I92+J72</f>
        <v>3000000</v>
      </c>
      <c r="K92" s="59" t="n">
        <f aca="false">J92+K72</f>
        <v>3000000</v>
      </c>
      <c r="L92" s="59" t="n">
        <f aca="false">K92+L72</f>
        <v>3000000</v>
      </c>
      <c r="M92" s="59" t="n">
        <f aca="false">L92+M72</f>
        <v>3000000</v>
      </c>
      <c r="N92" s="59" t="n">
        <f aca="false">M92+N72</f>
        <v>3000000</v>
      </c>
      <c r="O92" s="59" t="n">
        <f aca="false">N92+O72</f>
        <v>3000000</v>
      </c>
      <c r="P92" s="59" t="n">
        <f aca="false">O92+P72</f>
        <v>3000000</v>
      </c>
      <c r="Q92" s="59" t="n">
        <f aca="false">P92+Q72</f>
        <v>3000000</v>
      </c>
      <c r="R92" s="59" t="n">
        <f aca="false">Q92+R72</f>
        <v>3000000</v>
      </c>
      <c r="S92" s="59" t="n">
        <f aca="false">R92+S72</f>
        <v>3000000</v>
      </c>
      <c r="T92" s="59" t="n">
        <f aca="false">S92+T72</f>
        <v>3000000</v>
      </c>
      <c r="U92" s="59" t="n">
        <f aca="false">T92+U72</f>
        <v>3000000</v>
      </c>
      <c r="V92" s="59" t="n">
        <f aca="false">U92+V72</f>
        <v>3000000</v>
      </c>
      <c r="W92" s="59" t="n">
        <f aca="false">V92+W72</f>
        <v>3000000</v>
      </c>
      <c r="X92" s="59" t="n">
        <f aca="false">W92+X72</f>
        <v>3000000</v>
      </c>
      <c r="Y92" s="59" t="n">
        <f aca="false">X92+Y72</f>
        <v>3000000</v>
      </c>
      <c r="Z92" s="59" t="n">
        <f aca="false">Y92+Z72</f>
        <v>3000000</v>
      </c>
      <c r="AA92" s="59" t="n">
        <f aca="false">Z92+AA72</f>
        <v>3000000</v>
      </c>
      <c r="AB92" s="59" t="n">
        <f aca="false">AA92+AB72</f>
        <v>3000000</v>
      </c>
      <c r="AC92" s="59" t="n">
        <f aca="false">AB92+AC72</f>
        <v>3000000</v>
      </c>
      <c r="AD92" s="59" t="n">
        <f aca="false">AC92+AD72</f>
        <v>3000000</v>
      </c>
      <c r="AE92" s="59" t="n">
        <f aca="false">AD92+AE72</f>
        <v>3000000</v>
      </c>
      <c r="AF92" s="59" t="n">
        <f aca="false">AE92+AF72</f>
        <v>3000000</v>
      </c>
      <c r="AG92" s="59" t="n">
        <f aca="false">AF92+AG72</f>
        <v>3000000</v>
      </c>
      <c r="AH92" s="59" t="n">
        <f aca="false">AG92+AH72</f>
        <v>3000000</v>
      </c>
      <c r="AI92" s="59" t="n">
        <f aca="false">AH92+AI72</f>
        <v>3000000</v>
      </c>
      <c r="AJ92" s="59" t="n">
        <f aca="false">AI92+AJ72</f>
        <v>3000000</v>
      </c>
      <c r="AK92" s="59" t="n">
        <f aca="false">AJ92+AK72</f>
        <v>3000000</v>
      </c>
      <c r="AL92" s="59" t="n">
        <f aca="false">AK92+AL72</f>
        <v>3000000</v>
      </c>
      <c r="AM92" s="59" t="n">
        <f aca="false">AL92+AM72</f>
        <v>3000000</v>
      </c>
      <c r="AN92" s="59" t="n">
        <f aca="false">AM92+AN72</f>
        <v>3000000</v>
      </c>
      <c r="AO92" s="59" t="n">
        <f aca="false">AN92+AO72</f>
        <v>3000000</v>
      </c>
      <c r="AP92" s="59" t="n">
        <f aca="false">AO92+AP72</f>
        <v>3000000</v>
      </c>
      <c r="AQ92" s="59" t="n">
        <f aca="false">AP92+AQ72</f>
        <v>3000000</v>
      </c>
      <c r="AR92" s="59" t="n">
        <f aca="false">AQ92+AR72</f>
        <v>3000000</v>
      </c>
      <c r="AS92" s="59" t="n">
        <f aca="false">AR92+AS72</f>
        <v>3000000</v>
      </c>
      <c r="AT92" s="59" t="n">
        <f aca="false">AS92+AT72</f>
        <v>3000000</v>
      </c>
      <c r="AU92" s="59" t="n">
        <f aca="false">AT92+AU72</f>
        <v>3000000</v>
      </c>
      <c r="AV92" s="59" t="n">
        <f aca="false">AU92+AV72</f>
        <v>3000000</v>
      </c>
      <c r="AW92" s="59" t="n">
        <f aca="false">AV92+AW72</f>
        <v>3000000</v>
      </c>
      <c r="AX92" s="59" t="n">
        <f aca="false">AW92+AX72</f>
        <v>3000000</v>
      </c>
      <c r="AY92" s="59" t="n">
        <f aca="false">AX92+AY72</f>
        <v>3000000</v>
      </c>
      <c r="AZ92" s="59" t="n">
        <f aca="false">AY92+AZ72</f>
        <v>3000000</v>
      </c>
      <c r="BA92" s="59" t="n">
        <f aca="false">AZ92+BA72</f>
        <v>3000000</v>
      </c>
      <c r="BB92" s="59" t="n">
        <f aca="false">BA92+BB72</f>
        <v>3000000</v>
      </c>
      <c r="BC92" s="59" t="n">
        <f aca="false">BB92+BC72</f>
        <v>3000000</v>
      </c>
      <c r="BD92" s="59" t="n">
        <f aca="false">BC92+BD72</f>
        <v>3000000</v>
      </c>
      <c r="BE92" s="59" t="n">
        <f aca="false">BD92+BE72</f>
        <v>3000000</v>
      </c>
      <c r="BF92" s="59" t="n">
        <f aca="false">BE92+BF72</f>
        <v>3000000</v>
      </c>
      <c r="BG92" s="59" t="n">
        <f aca="false">BF92+BG72</f>
        <v>3000000</v>
      </c>
      <c r="BH92" s="59" t="n">
        <f aca="false">BG92+BH72</f>
        <v>3000000</v>
      </c>
      <c r="BI92" s="59" t="n">
        <f aca="false">BH92+BI72</f>
        <v>3000000</v>
      </c>
      <c r="BJ92" s="59" t="n">
        <f aca="false">BI92+BJ72</f>
        <v>3000000</v>
      </c>
    </row>
    <row r="93" customFormat="false" ht="15" hidden="false" customHeight="false" outlineLevel="0" collapsed="false">
      <c r="A93" s="6" t="s">
        <v>114</v>
      </c>
      <c r="C93" s="59" t="n">
        <f aca="false">C44</f>
        <v>-71828.2458333333</v>
      </c>
      <c r="D93" s="59" t="n">
        <f aca="false">C93+D44</f>
        <v>-141159.335576389</v>
      </c>
      <c r="E93" s="59" t="n">
        <f aca="false">D93+E44</f>
        <v>-208055.413685313</v>
      </c>
      <c r="F93" s="59" t="n">
        <f aca="false">E93+F44</f>
        <v>-272577.07953823</v>
      </c>
      <c r="G93" s="59" t="n">
        <f aca="false">F93+G44</f>
        <v>-334783.425806195</v>
      </c>
      <c r="H93" s="59" t="n">
        <f aca="false">G93+H44</f>
        <v>-394732.075872546</v>
      </c>
      <c r="I93" s="59" t="n">
        <f aca="false">H93+I44</f>
        <v>-452479.220324226</v>
      </c>
      <c r="J93" s="59" t="n">
        <f aca="false">I93+J44</f>
        <v>-508079.652538049</v>
      </c>
      <c r="K93" s="59" t="n">
        <f aca="false">J93+K44</f>
        <v>-561586.803384312</v>
      </c>
      <c r="L93" s="59" t="n">
        <f aca="false">K93+L44</f>
        <v>-613052.775069627</v>
      </c>
      <c r="M93" s="59" t="n">
        <f aca="false">L93+M44</f>
        <v>-662528.374140268</v>
      </c>
      <c r="N93" s="59" t="n">
        <f aca="false">M93+N44</f>
        <v>-710063.143666832</v>
      </c>
      <c r="O93" s="59" t="n">
        <f aca="false">N93+O44</f>
        <v>-791974.408786052</v>
      </c>
      <c r="P93" s="59" t="n">
        <f aca="false">O93+P44</f>
        <v>-871327.282021187</v>
      </c>
      <c r="Q93" s="59" t="n">
        <f aca="false">P93+Q44</f>
        <v>-948185.455326356</v>
      </c>
      <c r="R93" s="59" t="n">
        <f aca="false">Q93+R44</f>
        <v>-1022611.03639211</v>
      </c>
      <c r="S93" s="59" t="n">
        <f aca="false">R93+S44</f>
        <v>-1094664.58801098</v>
      </c>
      <c r="T93" s="59" t="n">
        <f aca="false">S93+T44</f>
        <v>-1164405.16646607</v>
      </c>
      <c r="U93" s="59" t="n">
        <f aca="false">T93+U44</f>
        <v>-1231890.35896702</v>
      </c>
      <c r="V93" s="59" t="n">
        <f aca="false">U93+V44</f>
        <v>-1297176.32015678</v>
      </c>
      <c r="W93" s="59" t="n">
        <f aca="false">V93+W44</f>
        <v>-1360317.80771244</v>
      </c>
      <c r="X93" s="59" t="n">
        <f aca="false">W93+X44</f>
        <v>-1421368.2170623</v>
      </c>
      <c r="Y93" s="59" t="n">
        <f aca="false">X93+Y44</f>
        <v>-1480379.61524137</v>
      </c>
      <c r="Z93" s="59" t="n">
        <f aca="false">Y93+Z44</f>
        <v>-1537402.77390634</v>
      </c>
      <c r="AA93" s="59" t="n">
        <f aca="false">Z93+AA44</f>
        <v>-1648562.25879926</v>
      </c>
      <c r="AB93" s="59" t="n">
        <f aca="false">AA93+AB44</f>
        <v>-1756913.37771071</v>
      </c>
      <c r="AC93" s="59" t="n">
        <f aca="false">AB93+AC44</f>
        <v>-1862526.06582474</v>
      </c>
      <c r="AD93" s="59" t="n">
        <f aca="false">AC93+AD44</f>
        <v>-1965468.51816479</v>
      </c>
      <c r="AE93" s="59" t="n">
        <f aca="false">AD93+AE44</f>
        <v>-2065807.23285107</v>
      </c>
      <c r="AF93" s="59" t="n">
        <f aca="false">AE93+AF44</f>
        <v>-2163607.05328406</v>
      </c>
      <c r="AG93" s="59" t="n">
        <f aca="false">AF93+AG44</f>
        <v>-2258931.20928041</v>
      </c>
      <c r="AH93" s="59" t="n">
        <f aca="false">AG93+AH44</f>
        <v>-2351841.35718757</v>
      </c>
      <c r="AI93" s="59" t="n">
        <f aca="false">AH93+AI44</f>
        <v>-2442397.61900219</v>
      </c>
      <c r="AJ93" s="59" t="n">
        <f aca="false">AI93+AJ44</f>
        <v>-2530658.62051719</v>
      </c>
      <c r="AK93" s="59" t="n">
        <f aca="false">AJ93+AK44</f>
        <v>-2616681.52852143</v>
      </c>
      <c r="AL93" s="59" t="n">
        <f aca="false">AK93+AL44</f>
        <v>-2700522.08707562</v>
      </c>
      <c r="AM93" s="59" t="n">
        <f aca="false">AL93+AM44</f>
        <v>-2868550.21461988</v>
      </c>
      <c r="AN93" s="59" t="n">
        <f aca="false">AM93+AN44</f>
        <v>-3033319.73759639</v>
      </c>
      <c r="AO93" s="59" t="n">
        <f aca="false">AN93+AO44</f>
        <v>-3194911.82067111</v>
      </c>
      <c r="AP93" s="59" t="n">
        <f aca="false">AO93+AP44</f>
        <v>-3353405.60840678</v>
      </c>
      <c r="AQ93" s="59" t="n">
        <f aca="false">AP93+AQ44</f>
        <v>-3508878.27549511</v>
      </c>
      <c r="AR93" s="59" t="n">
        <f aca="false">AQ93+AR44</f>
        <v>-3661405.07574127</v>
      </c>
      <c r="AS93" s="59" t="n">
        <f aca="false">AR93+AS44</f>
        <v>-3811059.38983165</v>
      </c>
      <c r="AT93" s="59" t="n">
        <f aca="false">AS93+AT44</f>
        <v>-3957912.771915</v>
      </c>
      <c r="AU93" s="59" t="n">
        <f aca="false">AT93+AU44</f>
        <v>-4102034.99502651</v>
      </c>
      <c r="AV93" s="59" t="n">
        <f aca="false">AU93+AV44</f>
        <v>-4243494.09538345</v>
      </c>
      <c r="AW93" s="59" t="n">
        <f aca="false">AV93+AW44</f>
        <v>-4382356.41558036</v>
      </c>
      <c r="AX93" s="59" t="n">
        <f aca="false">AW93+AX44</f>
        <v>-4518686.64671115</v>
      </c>
      <c r="AY93" s="59" t="n">
        <f aca="false">AX93+AY44</f>
        <v>-4787337.52339116</v>
      </c>
      <c r="AZ93" s="59" t="n">
        <f aca="false">AY93+AZ44</f>
        <v>-5052052.25807308</v>
      </c>
      <c r="BA93" s="59" t="n">
        <f aca="false">AZ93+BA44</f>
        <v>-5312928.90741913</v>
      </c>
      <c r="BB93" s="59" t="n">
        <f aca="false">BA93+BB44</f>
        <v>-5570063.08708158</v>
      </c>
      <c r="BC93" s="59" t="n">
        <f aca="false">BB93+BC44</f>
        <v>-5823548.03241585</v>
      </c>
      <c r="BD93" s="59" t="n">
        <f aca="false">BC93+BD44</f>
        <v>-6073474.65768507</v>
      </c>
      <c r="BE93" s="59" t="n">
        <f aca="false">BD93+BE44</f>
        <v>-6319931.61379362</v>
      </c>
      <c r="BF93" s="59" t="n">
        <f aca="false">BE93+BF44</f>
        <v>-6563005.34458623</v>
      </c>
      <c r="BG93" s="59" t="n">
        <f aca="false">BF93+BG44</f>
        <v>-6802780.14174801</v>
      </c>
      <c r="BH93" s="59" t="n">
        <f aca="false">BG93+BH44</f>
        <v>-7039338.19834039</v>
      </c>
      <c r="BI93" s="59" t="n">
        <f aca="false">BH93+BI44</f>
        <v>-7272759.66100663</v>
      </c>
      <c r="BJ93" s="59" t="n">
        <f aca="false">BI93+BJ44</f>
        <v>-7503122.68088005</v>
      </c>
    </row>
    <row r="94" customFormat="false" ht="15" hidden="false" customHeight="false" outlineLevel="0" collapsed="false">
      <c r="A94" s="4" t="s">
        <v>108</v>
      </c>
      <c r="C94" s="64" t="n">
        <f aca="false">C76+C60+C61+C51</f>
        <v>2935713.81944444</v>
      </c>
      <c r="D94" s="64" t="n">
        <f aca="false">D76+D60+D61+D51</f>
        <v>2870085.68923611</v>
      </c>
      <c r="E94" s="64" t="n">
        <f aca="false">E76+E60+E61+E51</f>
        <v>2806799.71222743</v>
      </c>
      <c r="F94" s="64" t="n">
        <f aca="false">F76+F60+F61+F51</f>
        <v>2745797.61903452</v>
      </c>
      <c r="G94" s="64" t="n">
        <f aca="false">G76+G60+G61+G51</f>
        <v>2687022.58847472</v>
      </c>
      <c r="H94" s="64" t="n">
        <f aca="false">H76+H60+H61+H51</f>
        <v>2630419.21161754</v>
      </c>
      <c r="I94" s="64" t="n">
        <f aca="false">I76+I60+I61+I51</f>
        <v>2575933.45672671</v>
      </c>
      <c r="J94" s="64" t="n">
        <f aca="false">J76+J60+J61+J51</f>
        <v>2523512.63507116</v>
      </c>
      <c r="K94" s="64" t="n">
        <f aca="false">K76+K60+K61+K51</f>
        <v>2473105.36758356</v>
      </c>
      <c r="L94" s="64" t="n">
        <f aca="false">L76+L60+L61+L51</f>
        <v>2424661.55234537</v>
      </c>
      <c r="M94" s="64" t="n">
        <f aca="false">M76+M60+M61+M51</f>
        <v>2378132.33287792</v>
      </c>
      <c r="N94" s="64" t="n">
        <f aca="false">N76+N60+N61+N51</f>
        <v>2333470.06721971</v>
      </c>
      <c r="O94" s="64" t="n">
        <f aca="false">O76+O60+O61+O51</f>
        <v>2255389.05417025</v>
      </c>
      <c r="P94" s="64" t="n">
        <f aca="false">P76+P60+P61+P51</f>
        <v>2179818.49761622</v>
      </c>
      <c r="Q94" s="64" t="n">
        <f aca="false">Q76+Q60+Q61+Q51</f>
        <v>2106647.81523214</v>
      </c>
      <c r="R94" s="64" t="n">
        <f aca="false">R76+R60+R61+R51</f>
        <v>2035817.27800675</v>
      </c>
      <c r="S94" s="64" t="n">
        <f aca="false">S76+S60+S61+S51</f>
        <v>1967268.64211877</v>
      </c>
      <c r="T94" s="64" t="n">
        <f aca="false">T76+T60+T61+T51</f>
        <v>1900945.11204824</v>
      </c>
      <c r="U94" s="64" t="n">
        <f aca="false">U76+U60+U61+U51</f>
        <v>1836791.30460278</v>
      </c>
      <c r="V94" s="64" t="n">
        <f aca="false">V76+V60+V61+V51</f>
        <v>1774753.21383623</v>
      </c>
      <c r="W94" s="64" t="n">
        <f aca="false">W76+W60+W61+W51</f>
        <v>1714778.1768375</v>
      </c>
      <c r="X94" s="64" t="n">
        <f aca="false">X76+X60+X61+X51</f>
        <v>1656814.84036809</v>
      </c>
      <c r="Y94" s="64" t="n">
        <f aca="false">Y76+Y60+Y61+Y51</f>
        <v>1600813.12832732</v>
      </c>
      <c r="Z94" s="64" t="n">
        <f aca="false">Z76+Z60+Z61+Z51</f>
        <v>1546724.21002463</v>
      </c>
      <c r="AA94" s="64" t="n">
        <f aca="false">AA76+AA60+AA61+AA51</f>
        <v>1439750.16252272</v>
      </c>
      <c r="AB94" s="64" t="n">
        <f aca="false">AB76+AB60+AB61+AB51</f>
        <v>1335541.18756778</v>
      </c>
      <c r="AC94" s="64" t="n">
        <f aca="false">AC76+AC60+AC61+AC51</f>
        <v>1233966.81584587</v>
      </c>
      <c r="AD94" s="64" t="n">
        <f aca="false">AD76+AD60+AD61+AD51</f>
        <v>1134961.45624163</v>
      </c>
      <c r="AE94" s="64" t="n">
        <f aca="false">AE76+AE60+AE61+AE51</f>
        <v>1038461.14919864</v>
      </c>
      <c r="AF94" s="64" t="n">
        <f aca="false">AF76+AF60+AF61+AF51</f>
        <v>944403.526176978</v>
      </c>
      <c r="AG94" s="64" t="n">
        <f aca="false">AG76+AG60+AG61+AG51</f>
        <v>852727.770117001</v>
      </c>
      <c r="AH94" s="64" t="n">
        <f aca="false">AH76+AH60+AH61+AH51</f>
        <v>763374.576884334</v>
      </c>
      <c r="AI94" s="64" t="n">
        <f aca="false">AI76+AI60+AI61+AI51</f>
        <v>676286.11767177</v>
      </c>
      <c r="AJ94" s="64" t="n">
        <f aca="false">AJ76+AJ60+AJ61+AJ51</f>
        <v>591406.002334375</v>
      </c>
      <c r="AK94" s="64" t="n">
        <f aca="false">AK76+AK60+AK61+AK51</f>
        <v>508679.243634675</v>
      </c>
      <c r="AL94" s="64" t="n">
        <f aca="false">AL76+AL60+AL61+AL51</f>
        <v>428052.222375349</v>
      </c>
      <c r="AM94" s="64" t="n">
        <f aca="false">AM76+AM60+AM61+AM51</f>
        <v>264864.05875325</v>
      </c>
      <c r="AN94" s="64" t="n">
        <f aca="false">AN76+AN60+AN61+AN51</f>
        <v>104892.283136483</v>
      </c>
      <c r="AO94" s="64" t="n">
        <f aca="false">AO76+AO60+AO61+AO51</f>
        <v>-52022.2967107333</v>
      </c>
      <c r="AP94" s="64" t="n">
        <f aca="false">AP76+AP60+AP61+AP51</f>
        <v>-205955.810234386</v>
      </c>
      <c r="AQ94" s="64" t="n">
        <f aca="false">AQ76+AQ60+AQ61+AQ51</f>
        <v>-356982.49265776</v>
      </c>
      <c r="AR94" s="64" t="n">
        <f aca="false">AR76+AR60+AR61+AR51</f>
        <v>-505174.732066602</v>
      </c>
      <c r="AS94" s="64" t="n">
        <f aca="false">AS76+AS60+AS61+AS51</f>
        <v>-650603.115325268</v>
      </c>
      <c r="AT94" s="64" t="n">
        <f aca="false">AT76+AT60+AT61+AT51</f>
        <v>-793336.472852835</v>
      </c>
      <c r="AU94" s="64" t="n">
        <f aca="false">AU76+AU60+AU61+AU51</f>
        <v>-933441.922287444</v>
      </c>
      <c r="AV94" s="64" t="n">
        <f aca="false">AV76+AV60+AV61+AV51</f>
        <v>-1070984.91106644</v>
      </c>
      <c r="AW94" s="64" t="n">
        <f aca="false">AW76+AW60+AW61+AW51</f>
        <v>-1206029.25794917</v>
      </c>
      <c r="AX94" s="64" t="n">
        <f aca="false">AX76+AX60+AX61+AX51</f>
        <v>-1338637.19350873</v>
      </c>
      <c r="AY94" s="64" t="n">
        <f aca="false">AY76+AY60+AY61+AY51</f>
        <v>-1601456.0711048</v>
      </c>
      <c r="AZ94" s="64" t="n">
        <f aca="false">AZ76+AZ60+AZ61+AZ51</f>
        <v>-1860383.28148655</v>
      </c>
      <c r="BA94" s="64" t="n">
        <f aca="false">BA76+BA60+BA61+BA51</f>
        <v>-2115617.44152766</v>
      </c>
      <c r="BB94" s="64" t="n">
        <f aca="false">BB76+BB60+BB61+BB51</f>
        <v>-2367250.53059893</v>
      </c>
      <c r="BC94" s="64" t="n">
        <f aca="false">BC76+BC60+BC61+BC51</f>
        <v>-2615372.23899346</v>
      </c>
      <c r="BD94" s="64" t="n">
        <f aca="false">BD76+BD60+BD61+BD51</f>
        <v>-2860070.02484152</v>
      </c>
      <c r="BE94" s="64" t="n">
        <f aca="false">BE76+BE60+BE61+BE51</f>
        <v>-3101429.16961167</v>
      </c>
      <c r="BF94" s="64" t="n">
        <f aca="false">BF76+BF60+BF61+BF51</f>
        <v>-3339532.83223364</v>
      </c>
      <c r="BG94" s="64" t="n">
        <f aca="false">BG76+BG60+BG61+BG51</f>
        <v>-3574462.10187683</v>
      </c>
      <c r="BH94" s="64" t="n">
        <f aca="false">BH76+BH60+BH61+BH51</f>
        <v>-3806296.04941793</v>
      </c>
      <c r="BI94" s="64" t="n">
        <f aca="false">BI76+BI60+BI61+BI51</f>
        <v>-4035111.77763014</v>
      </c>
      <c r="BJ94" s="64" t="n">
        <f aca="false">BJ76+BJ60+BJ61+BJ51</f>
        <v>-4260984.47012571</v>
      </c>
    </row>
    <row r="95" customFormat="false" ht="15" hidden="false" customHeight="false" outlineLevel="0" collapsed="false">
      <c r="A95" s="6" t="s">
        <v>112</v>
      </c>
      <c r="C95" s="59" t="n">
        <f aca="false">C62+C57+C66</f>
        <v>7542.06527777778</v>
      </c>
      <c r="D95" s="59" t="n">
        <f aca="false">D62+D57+D66</f>
        <v>11245.0248125</v>
      </c>
      <c r="E95" s="59" t="n">
        <f aca="false">E62+E57+E66</f>
        <v>14855.1259127431</v>
      </c>
      <c r="F95" s="59" t="n">
        <f aca="false">F62+F57+F66</f>
        <v>18374.6985727523</v>
      </c>
      <c r="G95" s="59" t="n">
        <f aca="false">G62+G57+G66</f>
        <v>21806.0142809153</v>
      </c>
      <c r="H95" s="59" t="n">
        <f aca="false">H62+H57+H66</f>
        <v>25151.2874900887</v>
      </c>
      <c r="I95" s="59" t="n">
        <f aca="false">I62+I57+I66</f>
        <v>28412.6770509357</v>
      </c>
      <c r="J95" s="59" t="n">
        <f aca="false">J62+J57+J66</f>
        <v>31592.2876092075</v>
      </c>
      <c r="K95" s="59" t="n">
        <f aca="false">K62+K57+K66</f>
        <v>34692.170967875</v>
      </c>
      <c r="L95" s="59" t="n">
        <f aca="false">L62+L57+L66</f>
        <v>37714.3274149978</v>
      </c>
      <c r="M95" s="59" t="n">
        <f aca="false">M62+M57+M66</f>
        <v>40660.7070181919</v>
      </c>
      <c r="N95" s="59" t="n">
        <f aca="false">N62+N57+N66</f>
        <v>43533.2108865379</v>
      </c>
      <c r="O95" s="59" t="n">
        <f aca="false">O62+O57+O66</f>
        <v>47363.4629563056</v>
      </c>
      <c r="P95" s="59" t="n">
        <f aca="false">P62+P57+P66</f>
        <v>51145.7796374046</v>
      </c>
      <c r="Q95" s="59" t="n">
        <f aca="false">Q62+Q57+Q66</f>
        <v>54833.2705584925</v>
      </c>
      <c r="R95" s="59" t="n">
        <f aca="false">R62+R57+R66</f>
        <v>58428.3143988593</v>
      </c>
      <c r="S95" s="59" t="n">
        <f aca="false">S62+S57+S66</f>
        <v>61933.2301297536</v>
      </c>
      <c r="T95" s="59" t="n">
        <f aca="false">T62+T57+T66</f>
        <v>65350.2785143163</v>
      </c>
      <c r="U95" s="59" t="n">
        <f aca="false">U62+U57+U66</f>
        <v>68681.6635697974</v>
      </c>
      <c r="V95" s="59" t="n">
        <f aca="false">V62+V57+V66</f>
        <v>71929.533993008</v>
      </c>
      <c r="W95" s="59" t="n">
        <f aca="false">W62+W57+W66</f>
        <v>75095.9845499313</v>
      </c>
      <c r="X95" s="59" t="n">
        <f aca="false">X62+X57+X66</f>
        <v>78183.0574303957</v>
      </c>
      <c r="Y95" s="59" t="n">
        <f aca="false">Y62+Y57+Y66</f>
        <v>81192.7435686888</v>
      </c>
      <c r="Z95" s="59" t="n">
        <f aca="false">Z62+Z57+Z66</f>
        <v>84126.9839309697</v>
      </c>
      <c r="AA95" s="59" t="n">
        <f aca="false">AA62+AA57+AA66</f>
        <v>88312.4213219819</v>
      </c>
      <c r="AB95" s="59" t="n">
        <f aca="false">AB62+AB57+AB66</f>
        <v>92454.5652784902</v>
      </c>
      <c r="AC95" s="59" t="n">
        <f aca="false">AC62+AC57+AC66</f>
        <v>96492.8816706111</v>
      </c>
      <c r="AD95" s="59" t="n">
        <f aca="false">AD62+AD57+AD66</f>
        <v>100429.974406418</v>
      </c>
      <c r="AE95" s="59" t="n">
        <f aca="false">AE62+AE57+AE66</f>
        <v>104268.382049715</v>
      </c>
      <c r="AF95" s="59" t="n">
        <f aca="false">AF62+AF57+AF66</f>
        <v>108010.579461038</v>
      </c>
      <c r="AG95" s="59" t="n">
        <f aca="false">AG62+AG57+AG66</f>
        <v>111658.979397413</v>
      </c>
      <c r="AH95" s="59" t="n">
        <f aca="false">AH62+AH57+AH66</f>
        <v>115215.934071904</v>
      </c>
      <c r="AI95" s="59" t="n">
        <f aca="false">AI62+AI57+AI66</f>
        <v>118683.736673961</v>
      </c>
      <c r="AJ95" s="59" t="n">
        <f aca="false">AJ62+AJ57+AJ66</f>
        <v>122064.622851563</v>
      </c>
      <c r="AK95" s="59" t="n">
        <f aca="false">AK62+AK57+AK66</f>
        <v>125360.772156104</v>
      </c>
      <c r="AL95" s="59" t="n">
        <f aca="false">AL62+AL57+AL66</f>
        <v>128574.309450968</v>
      </c>
      <c r="AM95" s="59" t="n">
        <f aca="false">AM62+AM57+AM66</f>
        <v>133414.273373125</v>
      </c>
      <c r="AN95" s="59" t="n">
        <f aca="false">AN62+AN57+AN66</f>
        <v>138212.020732876</v>
      </c>
      <c r="AO95" s="59" t="n">
        <f aca="false">AO62+AO57+AO66</f>
        <v>142889.523960381</v>
      </c>
      <c r="AP95" s="59" t="n">
        <f aca="false">AP62+AP57+AP66</f>
        <v>147449.798172394</v>
      </c>
      <c r="AQ95" s="59" t="n">
        <f aca="false">AQ62+AQ57+AQ66</f>
        <v>151895.782837347</v>
      </c>
      <c r="AR95" s="59" t="n">
        <f aca="false">AR62+AR57+AR66</f>
        <v>156230.343674669</v>
      </c>
      <c r="AS95" s="59" t="n">
        <f aca="false">AS62+AS57+AS66</f>
        <v>160456.274506381</v>
      </c>
      <c r="AT95" s="59" t="n">
        <f aca="false">AT62+AT57+AT66</f>
        <v>164576.299062163</v>
      </c>
      <c r="AU95" s="59" t="n">
        <f aca="false">AU62+AU57+AU66</f>
        <v>168593.072739067</v>
      </c>
      <c r="AV95" s="59" t="n">
        <f aca="false">AV62+AV57+AV66</f>
        <v>172509.184317016</v>
      </c>
      <c r="AW95" s="59" t="n">
        <f aca="false">AW62+AW57+AW66</f>
        <v>176327.157631194</v>
      </c>
      <c r="AX95" s="59" t="n">
        <f aca="false">AX62+AX57+AX66</f>
        <v>180049.453202425</v>
      </c>
      <c r="AY95" s="59" t="n">
        <f aca="false">AY62+AY57+AY66</f>
        <v>185881.452286364</v>
      </c>
      <c r="AZ95" s="59" t="n">
        <f aca="false">AZ62+AZ57+AZ66</f>
        <v>191668.976586539</v>
      </c>
      <c r="BA95" s="59" t="n">
        <f aca="false">BA62+BA57+BA66</f>
        <v>197311.465891465</v>
      </c>
      <c r="BB95" s="59" t="n">
        <f aca="false">BB62+BB57+BB66</f>
        <v>202812.556482656</v>
      </c>
      <c r="BC95" s="59" t="n">
        <f aca="false">BC62+BC57+BC66</f>
        <v>208175.793422389</v>
      </c>
      <c r="BD95" s="59" t="n">
        <f aca="false">BD62+BD57+BD66</f>
        <v>213404.63284355</v>
      </c>
      <c r="BE95" s="59" t="n">
        <f aca="false">BE62+BE57+BE66</f>
        <v>218502.444181956</v>
      </c>
      <c r="BF95" s="59" t="n">
        <f aca="false">BF62+BF57+BF66</f>
        <v>223472.512352592</v>
      </c>
      <c r="BG95" s="59" t="n">
        <f aca="false">BG62+BG57+BG66</f>
        <v>228318.039871183</v>
      </c>
      <c r="BH95" s="59" t="n">
        <f aca="false">BH62+BH57+BH66</f>
        <v>233042.148922462</v>
      </c>
      <c r="BI95" s="59" t="n">
        <f aca="false">BI62+BI57+BI66</f>
        <v>237647.883376494</v>
      </c>
      <c r="BJ95" s="59" t="n">
        <f aca="false">BJ62+BJ57+BJ66</f>
        <v>242138.210754337</v>
      </c>
    </row>
    <row r="96" customFormat="false" ht="15" hidden="false" customHeight="false" outlineLevel="0" collapsed="false">
      <c r="A96" s="6" t="s">
        <v>115</v>
      </c>
      <c r="C96" s="59" t="n">
        <f aca="false">C92+C93</f>
        <v>2928171.75416667</v>
      </c>
      <c r="D96" s="59" t="n">
        <f aca="false">D92+D93</f>
        <v>2858840.66442361</v>
      </c>
      <c r="E96" s="59" t="n">
        <f aca="false">E92+E93</f>
        <v>2791944.58631469</v>
      </c>
      <c r="F96" s="59" t="n">
        <f aca="false">F92+F93</f>
        <v>2727422.92046177</v>
      </c>
      <c r="G96" s="59" t="n">
        <f aca="false">G92+G93</f>
        <v>2665216.57419381</v>
      </c>
      <c r="H96" s="59" t="n">
        <f aca="false">H92+H93</f>
        <v>2605267.92412745</v>
      </c>
      <c r="I96" s="59" t="n">
        <f aca="false">I92+I93</f>
        <v>2547520.77967577</v>
      </c>
      <c r="J96" s="59" t="n">
        <f aca="false">J92+J93</f>
        <v>2491920.34746195</v>
      </c>
      <c r="K96" s="59" t="n">
        <f aca="false">K92+K93</f>
        <v>2438413.19661569</v>
      </c>
      <c r="L96" s="59" t="n">
        <f aca="false">L92+L93</f>
        <v>2386947.22493037</v>
      </c>
      <c r="M96" s="59" t="n">
        <f aca="false">M92+M93</f>
        <v>2337471.62585973</v>
      </c>
      <c r="N96" s="59" t="n">
        <f aca="false">N92+N93</f>
        <v>2289936.85633317</v>
      </c>
      <c r="O96" s="59" t="n">
        <f aca="false">O92+O93</f>
        <v>2208025.59121395</v>
      </c>
      <c r="P96" s="59" t="n">
        <f aca="false">P92+P93</f>
        <v>2128672.71797881</v>
      </c>
      <c r="Q96" s="59" t="n">
        <f aca="false">Q92+Q93</f>
        <v>2051814.54467364</v>
      </c>
      <c r="R96" s="59" t="n">
        <f aca="false">R92+R93</f>
        <v>1977388.96360789</v>
      </c>
      <c r="S96" s="59" t="n">
        <f aca="false">S92+S93</f>
        <v>1905335.41198902</v>
      </c>
      <c r="T96" s="59" t="n">
        <f aca="false">T92+T93</f>
        <v>1835594.83353393</v>
      </c>
      <c r="U96" s="59" t="n">
        <f aca="false">U92+U93</f>
        <v>1768109.64103298</v>
      </c>
      <c r="V96" s="59" t="n">
        <f aca="false">V92+V93</f>
        <v>1702823.67984322</v>
      </c>
      <c r="W96" s="59" t="n">
        <f aca="false">W92+W93</f>
        <v>1639682.19228756</v>
      </c>
      <c r="X96" s="59" t="n">
        <f aca="false">X92+X93</f>
        <v>1578631.7829377</v>
      </c>
      <c r="Y96" s="59" t="n">
        <f aca="false">Y92+Y93</f>
        <v>1519620.38475864</v>
      </c>
      <c r="Z96" s="59" t="n">
        <f aca="false">Z92+Z93</f>
        <v>1462597.22609366</v>
      </c>
      <c r="AA96" s="59" t="n">
        <f aca="false">AA92+AA93</f>
        <v>1351437.74120074</v>
      </c>
      <c r="AB96" s="59" t="n">
        <f aca="false">AB92+AB93</f>
        <v>1243086.62228929</v>
      </c>
      <c r="AC96" s="59" t="n">
        <f aca="false">AC92+AC93</f>
        <v>1137473.93417526</v>
      </c>
      <c r="AD96" s="59" t="n">
        <f aca="false">AD92+AD93</f>
        <v>1034531.48183521</v>
      </c>
      <c r="AE96" s="59" t="n">
        <f aca="false">AE92+AE93</f>
        <v>934192.767148926</v>
      </c>
      <c r="AF96" s="59" t="n">
        <f aca="false">AF92+AF93</f>
        <v>836392.946715939</v>
      </c>
      <c r="AG96" s="59" t="n">
        <f aca="false">AG92+AG93</f>
        <v>741068.790719588</v>
      </c>
      <c r="AH96" s="59" t="n">
        <f aca="false">AH92+AH93</f>
        <v>648158.64281243</v>
      </c>
      <c r="AI96" s="59" t="n">
        <f aca="false">AI92+AI93</f>
        <v>557602.380997808</v>
      </c>
      <c r="AJ96" s="59" t="n">
        <f aca="false">AJ92+AJ93</f>
        <v>469341.379482811</v>
      </c>
      <c r="AK96" s="59" t="n">
        <f aca="false">AK92+AK93</f>
        <v>383318.471478571</v>
      </c>
      <c r="AL96" s="59" t="n">
        <f aca="false">AL92+AL93</f>
        <v>299477.91292438</v>
      </c>
      <c r="AM96" s="59" t="n">
        <f aca="false">AM92+AM93</f>
        <v>131449.785380125</v>
      </c>
      <c r="AN96" s="59" t="n">
        <f aca="false">AN92+AN93</f>
        <v>-33319.7375963931</v>
      </c>
      <c r="AO96" s="59" t="n">
        <f aca="false">AO92+AO93</f>
        <v>-194911.820671115</v>
      </c>
      <c r="AP96" s="59" t="n">
        <f aca="false">AP92+AP93</f>
        <v>-353405.608406781</v>
      </c>
      <c r="AQ96" s="59" t="n">
        <f aca="false">AQ92+AQ93</f>
        <v>-508878.275495107</v>
      </c>
      <c r="AR96" s="59" t="n">
        <f aca="false">AR92+AR93</f>
        <v>-661405.075741271</v>
      </c>
      <c r="AS96" s="59" t="n">
        <f aca="false">AS92+AS93</f>
        <v>-811059.389831649</v>
      </c>
      <c r="AT96" s="59" t="n">
        <f aca="false">AT92+AT93</f>
        <v>-957912.771914998</v>
      </c>
      <c r="AU96" s="59" t="n">
        <f aca="false">AU92+AU93</f>
        <v>-1102034.99502651</v>
      </c>
      <c r="AV96" s="59" t="n">
        <f aca="false">AV92+AV93</f>
        <v>-1243494.09538345</v>
      </c>
      <c r="AW96" s="59" t="n">
        <f aca="false">AW92+AW93</f>
        <v>-1382356.41558036</v>
      </c>
      <c r="AX96" s="59" t="n">
        <f aca="false">AX92+AX93</f>
        <v>-1518686.64671115</v>
      </c>
      <c r="AY96" s="59" t="n">
        <f aca="false">AY92+AY93</f>
        <v>-1787337.52339116</v>
      </c>
      <c r="AZ96" s="59" t="n">
        <f aca="false">AZ92+AZ93</f>
        <v>-2052052.25807308</v>
      </c>
      <c r="BA96" s="59" t="n">
        <f aca="false">BA92+BA93</f>
        <v>-2312928.90741913</v>
      </c>
      <c r="BB96" s="59" t="n">
        <f aca="false">BB92+BB93</f>
        <v>-2570063.08708158</v>
      </c>
      <c r="BC96" s="59" t="n">
        <f aca="false">BC92+BC93</f>
        <v>-2823548.03241585</v>
      </c>
      <c r="BD96" s="59" t="n">
        <f aca="false">BD92+BD93</f>
        <v>-3073474.65768506</v>
      </c>
      <c r="BE96" s="59" t="n">
        <f aca="false">BE92+BE93</f>
        <v>-3319931.61379362</v>
      </c>
      <c r="BF96" s="59" t="n">
        <f aca="false">BF92+BF93</f>
        <v>-3563005.34458623</v>
      </c>
      <c r="BG96" s="59" t="n">
        <f aca="false">BG92+BG93</f>
        <v>-3802780.14174801</v>
      </c>
      <c r="BH96" s="59" t="n">
        <f aca="false">BH92+BH93</f>
        <v>-4039338.19834039</v>
      </c>
      <c r="BI96" s="59" t="n">
        <f aca="false">BI92+BI93</f>
        <v>-4272759.66100663</v>
      </c>
      <c r="BJ96" s="59" t="n">
        <f aca="false">BJ92+BJ93</f>
        <v>-4503122.68088005</v>
      </c>
    </row>
    <row r="97" customFormat="false" ht="15" hidden="false" customHeight="false" outlineLevel="0" collapsed="false">
      <c r="A97" s="4" t="s">
        <v>116</v>
      </c>
      <c r="C97" s="64" t="n">
        <f aca="false">C95+C96</f>
        <v>2935713.81944444</v>
      </c>
      <c r="D97" s="64" t="n">
        <f aca="false">D95+D96</f>
        <v>2870085.68923611</v>
      </c>
      <c r="E97" s="64" t="n">
        <f aca="false">E95+E96</f>
        <v>2806799.71222743</v>
      </c>
      <c r="F97" s="64" t="n">
        <f aca="false">F95+F96</f>
        <v>2745797.61903452</v>
      </c>
      <c r="G97" s="64" t="n">
        <f aca="false">G95+G96</f>
        <v>2687022.58847472</v>
      </c>
      <c r="H97" s="64" t="n">
        <f aca="false">H95+H96</f>
        <v>2630419.21161754</v>
      </c>
      <c r="I97" s="64" t="n">
        <f aca="false">I95+I96</f>
        <v>2575933.45672671</v>
      </c>
      <c r="J97" s="64" t="n">
        <f aca="false">J95+J96</f>
        <v>2523512.63507116</v>
      </c>
      <c r="K97" s="64" t="n">
        <f aca="false">K95+K96</f>
        <v>2473105.36758356</v>
      </c>
      <c r="L97" s="64" t="n">
        <f aca="false">L95+L96</f>
        <v>2424661.55234537</v>
      </c>
      <c r="M97" s="64" t="n">
        <f aca="false">M95+M96</f>
        <v>2378132.33287792</v>
      </c>
      <c r="N97" s="64" t="n">
        <f aca="false">N95+N96</f>
        <v>2333470.06721971</v>
      </c>
      <c r="O97" s="64" t="n">
        <f aca="false">O95+O96</f>
        <v>2255389.05417025</v>
      </c>
      <c r="P97" s="64" t="n">
        <f aca="false">P95+P96</f>
        <v>2179818.49761622</v>
      </c>
      <c r="Q97" s="64" t="n">
        <f aca="false">Q95+Q96</f>
        <v>2106647.81523214</v>
      </c>
      <c r="R97" s="64" t="n">
        <f aca="false">R95+R96</f>
        <v>2035817.27800675</v>
      </c>
      <c r="S97" s="64" t="n">
        <f aca="false">S95+S96</f>
        <v>1967268.64211877</v>
      </c>
      <c r="T97" s="64" t="n">
        <f aca="false">T95+T96</f>
        <v>1900945.11204824</v>
      </c>
      <c r="U97" s="64" t="n">
        <f aca="false">U95+U96</f>
        <v>1836791.30460278</v>
      </c>
      <c r="V97" s="64" t="n">
        <f aca="false">V95+V96</f>
        <v>1774753.21383623</v>
      </c>
      <c r="W97" s="64" t="n">
        <f aca="false">W95+W96</f>
        <v>1714778.1768375</v>
      </c>
      <c r="X97" s="64" t="n">
        <f aca="false">X95+X96</f>
        <v>1656814.84036809</v>
      </c>
      <c r="Y97" s="64" t="n">
        <f aca="false">Y95+Y96</f>
        <v>1600813.12832732</v>
      </c>
      <c r="Z97" s="64" t="n">
        <f aca="false">Z95+Z96</f>
        <v>1546724.21002463</v>
      </c>
      <c r="AA97" s="64" t="n">
        <f aca="false">AA95+AA96</f>
        <v>1439750.16252272</v>
      </c>
      <c r="AB97" s="64" t="n">
        <f aca="false">AB95+AB96</f>
        <v>1335541.18756778</v>
      </c>
      <c r="AC97" s="64" t="n">
        <f aca="false">AC95+AC96</f>
        <v>1233966.81584587</v>
      </c>
      <c r="AD97" s="64" t="n">
        <f aca="false">AD95+AD96</f>
        <v>1134961.45624163</v>
      </c>
      <c r="AE97" s="64" t="n">
        <f aca="false">AE95+AE96</f>
        <v>1038461.14919864</v>
      </c>
      <c r="AF97" s="64" t="n">
        <f aca="false">AF95+AF96</f>
        <v>944403.526176978</v>
      </c>
      <c r="AG97" s="64" t="n">
        <f aca="false">AG95+AG96</f>
        <v>852727.770117001</v>
      </c>
      <c r="AH97" s="64" t="n">
        <f aca="false">AH95+AH96</f>
        <v>763374.576884334</v>
      </c>
      <c r="AI97" s="64" t="n">
        <f aca="false">AI95+AI96</f>
        <v>676286.117671769</v>
      </c>
      <c r="AJ97" s="64" t="n">
        <f aca="false">AJ95+AJ96</f>
        <v>591406.002334375</v>
      </c>
      <c r="AK97" s="64" t="n">
        <f aca="false">AK95+AK96</f>
        <v>508679.243634675</v>
      </c>
      <c r="AL97" s="64" t="n">
        <f aca="false">AL95+AL96</f>
        <v>428052.222375348</v>
      </c>
      <c r="AM97" s="64" t="n">
        <f aca="false">AM95+AM96</f>
        <v>264864.058753249</v>
      </c>
      <c r="AN97" s="64" t="n">
        <f aca="false">AN95+AN96</f>
        <v>104892.283136483</v>
      </c>
      <c r="AO97" s="64" t="n">
        <f aca="false">AO95+AO96</f>
        <v>-52022.2967107336</v>
      </c>
      <c r="AP97" s="64" t="n">
        <f aca="false">AP95+AP96</f>
        <v>-205955.810234386</v>
      </c>
      <c r="AQ97" s="64" t="n">
        <f aca="false">AQ95+AQ96</f>
        <v>-356982.49265776</v>
      </c>
      <c r="AR97" s="64" t="n">
        <f aca="false">AR95+AR96</f>
        <v>-505174.732066602</v>
      </c>
      <c r="AS97" s="64" t="n">
        <f aca="false">AS95+AS96</f>
        <v>-650603.115325268</v>
      </c>
      <c r="AT97" s="64" t="n">
        <f aca="false">AT95+AT96</f>
        <v>-793336.472852835</v>
      </c>
      <c r="AU97" s="64" t="n">
        <f aca="false">AU95+AU96</f>
        <v>-933441.922287445</v>
      </c>
      <c r="AV97" s="64" t="n">
        <f aca="false">AV95+AV96</f>
        <v>-1070984.91106644</v>
      </c>
      <c r="AW97" s="64" t="n">
        <f aca="false">AW95+AW96</f>
        <v>-1206029.25794917</v>
      </c>
      <c r="AX97" s="64" t="n">
        <f aca="false">AX95+AX96</f>
        <v>-1338637.19350873</v>
      </c>
      <c r="AY97" s="64" t="n">
        <f aca="false">AY95+AY96</f>
        <v>-1601456.0711048</v>
      </c>
      <c r="AZ97" s="64" t="n">
        <f aca="false">AZ95+AZ96</f>
        <v>-1860383.28148655</v>
      </c>
      <c r="BA97" s="64" t="n">
        <f aca="false">BA95+BA96</f>
        <v>-2115617.44152766</v>
      </c>
      <c r="BB97" s="64" t="n">
        <f aca="false">BB95+BB96</f>
        <v>-2367250.53059893</v>
      </c>
      <c r="BC97" s="64" t="n">
        <f aca="false">BC95+BC96</f>
        <v>-2615372.23899346</v>
      </c>
      <c r="BD97" s="64" t="n">
        <f aca="false">BD95+BD96</f>
        <v>-2860070.02484152</v>
      </c>
      <c r="BE97" s="64" t="n">
        <f aca="false">BE95+BE96</f>
        <v>-3101429.16961167</v>
      </c>
      <c r="BF97" s="64" t="n">
        <f aca="false">BF95+BF96</f>
        <v>-3339532.83223364</v>
      </c>
      <c r="BG97" s="64" t="n">
        <f aca="false">BG95+BG96</f>
        <v>-3574462.10187683</v>
      </c>
      <c r="BH97" s="64" t="n">
        <f aca="false">BH95+BH96</f>
        <v>-3806296.04941793</v>
      </c>
      <c r="BI97" s="64" t="n">
        <f aca="false">BI95+BI96</f>
        <v>-4035111.77763013</v>
      </c>
      <c r="BJ97" s="64" t="n">
        <f aca="false">BJ95+BJ96</f>
        <v>-4260984.47012571</v>
      </c>
    </row>
    <row r="98" customFormat="false" ht="15" hidden="false" customHeight="false" outlineLevel="0" collapsed="false">
      <c r="A98" s="6" t="s">
        <v>364</v>
      </c>
      <c r="C98" s="59" t="n">
        <f aca="false">C94-C97</f>
        <v>0</v>
      </c>
      <c r="D98" s="59" t="n">
        <f aca="false">D94-D97</f>
        <v>0</v>
      </c>
      <c r="E98" s="59" t="n">
        <f aca="false">E94-E97</f>
        <v>0</v>
      </c>
      <c r="F98" s="59" t="n">
        <f aca="false">F94-F97</f>
        <v>0</v>
      </c>
      <c r="G98" s="59" t="n">
        <f aca="false">G94-G97</f>
        <v>0</v>
      </c>
      <c r="H98" s="59" t="n">
        <f aca="false">H94-H97</f>
        <v>0</v>
      </c>
      <c r="I98" s="59" t="n">
        <f aca="false">I94-I97</f>
        <v>0</v>
      </c>
      <c r="J98" s="59" t="n">
        <f aca="false">J94-J97</f>
        <v>0</v>
      </c>
      <c r="K98" s="59" t="n">
        <f aca="false">K94-K97</f>
        <v>0</v>
      </c>
      <c r="L98" s="59" t="n">
        <f aca="false">L94-L97</f>
        <v>0</v>
      </c>
      <c r="M98" s="59" t="n">
        <f aca="false">M94-M97</f>
        <v>0</v>
      </c>
      <c r="N98" s="59" t="n">
        <f aca="false">N94-N97</f>
        <v>0</v>
      </c>
      <c r="O98" s="59" t="n">
        <f aca="false">O94-O97</f>
        <v>0</v>
      </c>
      <c r="P98" s="59" t="n">
        <f aca="false">P94-P97</f>
        <v>0</v>
      </c>
      <c r="Q98" s="59" t="n">
        <f aca="false">Q94-Q97</f>
        <v>0</v>
      </c>
      <c r="R98" s="59" t="n">
        <f aca="false">R94-R97</f>
        <v>0</v>
      </c>
      <c r="S98" s="59" t="n">
        <f aca="false">S94-S97</f>
        <v>0</v>
      </c>
      <c r="T98" s="59" t="n">
        <f aca="false">T94-T97</f>
        <v>0</v>
      </c>
      <c r="U98" s="59" t="n">
        <f aca="false">U94-U97</f>
        <v>0</v>
      </c>
      <c r="V98" s="59" t="n">
        <f aca="false">V94-V97</f>
        <v>0</v>
      </c>
      <c r="W98" s="59" t="n">
        <f aca="false">W94-W97</f>
        <v>0</v>
      </c>
      <c r="X98" s="59" t="n">
        <f aca="false">X94-X97</f>
        <v>0</v>
      </c>
      <c r="Y98" s="59" t="n">
        <f aca="false">Y94-Y97</f>
        <v>0</v>
      </c>
      <c r="Z98" s="59" t="n">
        <f aca="false">Z94-Z97</f>
        <v>0</v>
      </c>
      <c r="AA98" s="59" t="n">
        <f aca="false">AA94-AA97</f>
        <v>0</v>
      </c>
      <c r="AB98" s="59" t="n">
        <f aca="false">AB94-AB97</f>
        <v>0</v>
      </c>
      <c r="AC98" s="59" t="n">
        <f aca="false">AC94-AC97</f>
        <v>0</v>
      </c>
      <c r="AD98" s="59" t="n">
        <f aca="false">AD94-AD97</f>
        <v>0</v>
      </c>
      <c r="AE98" s="59" t="n">
        <f aca="false">AE94-AE97</f>
        <v>0</v>
      </c>
      <c r="AF98" s="59" t="n">
        <f aca="false">AF94-AF97</f>
        <v>0</v>
      </c>
      <c r="AG98" s="59" t="n">
        <f aca="false">AG94-AG97</f>
        <v>0</v>
      </c>
      <c r="AH98" s="59" t="n">
        <f aca="false">AH94-AH97</f>
        <v>0</v>
      </c>
      <c r="AI98" s="59" t="n">
        <f aca="false">AI94-AI97</f>
        <v>0</v>
      </c>
      <c r="AJ98" s="59" t="n">
        <f aca="false">AJ94-AJ97</f>
        <v>0</v>
      </c>
      <c r="AK98" s="59" t="n">
        <f aca="false">AK94-AK97</f>
        <v>0</v>
      </c>
      <c r="AL98" s="59" t="n">
        <f aca="false">AL94-AL97</f>
        <v>0</v>
      </c>
      <c r="AM98" s="59" t="n">
        <f aca="false">AM94-AM97</f>
        <v>0</v>
      </c>
      <c r="AN98" s="59" t="n">
        <f aca="false">AN94-AN97</f>
        <v>3.78349795937538E-010</v>
      </c>
      <c r="AO98" s="59" t="n">
        <f aca="false">AO94-AO97</f>
        <v>3.27418092638254E-010</v>
      </c>
      <c r="AP98" s="59" t="n">
        <f aca="false">AP94-AP97</f>
        <v>0</v>
      </c>
      <c r="AQ98" s="59" t="n">
        <f aca="false">AQ94-AQ97</f>
        <v>0</v>
      </c>
      <c r="AR98" s="59" t="n">
        <f aca="false">AR94-AR97</f>
        <v>0</v>
      </c>
      <c r="AS98" s="59" t="n">
        <f aca="false">AS94-AS97</f>
        <v>0</v>
      </c>
      <c r="AT98" s="59" t="n">
        <f aca="false">AT94-AT97</f>
        <v>0</v>
      </c>
      <c r="AU98" s="59" t="n">
        <f aca="false">AU94-AU97</f>
        <v>0</v>
      </c>
      <c r="AV98" s="59" t="n">
        <f aca="false">AV94-AV97</f>
        <v>0</v>
      </c>
      <c r="AW98" s="59" t="n">
        <f aca="false">AW94-AW97</f>
        <v>0</v>
      </c>
      <c r="AX98" s="59" t="n">
        <f aca="false">AX94-AX97</f>
        <v>0</v>
      </c>
      <c r="AY98" s="59" t="n">
        <f aca="false">AY94-AY97</f>
        <v>0</v>
      </c>
      <c r="AZ98" s="59" t="n">
        <f aca="false">AZ94-AZ97</f>
        <v>0</v>
      </c>
      <c r="BA98" s="59" t="n">
        <f aca="false">BA94-BA97</f>
        <v>0</v>
      </c>
      <c r="BB98" s="59" t="n">
        <f aca="false">BB94-BB97</f>
        <v>0</v>
      </c>
      <c r="BC98" s="59" t="n">
        <f aca="false">BC94-BC97</f>
        <v>0</v>
      </c>
      <c r="BD98" s="59" t="n">
        <f aca="false">BD94-BD97</f>
        <v>0</v>
      </c>
      <c r="BE98" s="59" t="n">
        <f aca="false">BE94-BE97</f>
        <v>0</v>
      </c>
      <c r="BF98" s="59" t="n">
        <f aca="false">BF94-BF97</f>
        <v>0</v>
      </c>
      <c r="BG98" s="59" t="n">
        <f aca="false">BG94-BG97</f>
        <v>0</v>
      </c>
      <c r="BH98" s="59" t="n">
        <f aca="false">BH94-BH97</f>
        <v>0</v>
      </c>
      <c r="BI98" s="59" t="n">
        <f aca="false">BI94-BI97</f>
        <v>0</v>
      </c>
      <c r="BJ98" s="59" t="n">
        <f aca="false">BJ94-BJ97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365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261</v>
      </c>
    </row>
    <row r="3" customFormat="false" ht="15" hidden="false" customHeight="false" outlineLevel="0" collapsed="false">
      <c r="A3" s="32" t="s">
        <v>262</v>
      </c>
      <c r="C3" s="48" t="s">
        <v>263</v>
      </c>
      <c r="D3" s="48" t="s">
        <v>264</v>
      </c>
      <c r="E3" s="48" t="s">
        <v>265</v>
      </c>
      <c r="F3" s="48" t="s">
        <v>266</v>
      </c>
      <c r="G3" s="48" t="s">
        <v>267</v>
      </c>
      <c r="H3" s="48" t="s">
        <v>268</v>
      </c>
      <c r="I3" s="48" t="s">
        <v>269</v>
      </c>
      <c r="J3" s="48" t="s">
        <v>270</v>
      </c>
      <c r="K3" s="48" t="s">
        <v>271</v>
      </c>
      <c r="L3" s="48" t="s">
        <v>272</v>
      </c>
      <c r="M3" s="48" t="s">
        <v>273</v>
      </c>
      <c r="N3" s="48" t="s">
        <v>274</v>
      </c>
      <c r="O3" s="48" t="s">
        <v>275</v>
      </c>
      <c r="P3" s="48" t="s">
        <v>276</v>
      </c>
      <c r="Q3" s="48" t="s">
        <v>277</v>
      </c>
      <c r="R3" s="48" t="s">
        <v>278</v>
      </c>
      <c r="S3" s="48" t="s">
        <v>279</v>
      </c>
      <c r="T3" s="48" t="s">
        <v>280</v>
      </c>
      <c r="U3" s="48" t="s">
        <v>281</v>
      </c>
      <c r="V3" s="48" t="s">
        <v>282</v>
      </c>
      <c r="W3" s="48" t="s">
        <v>283</v>
      </c>
      <c r="X3" s="48" t="s">
        <v>284</v>
      </c>
      <c r="Y3" s="48" t="s">
        <v>285</v>
      </c>
      <c r="Z3" s="48" t="s">
        <v>286</v>
      </c>
      <c r="AA3" s="48" t="s">
        <v>287</v>
      </c>
      <c r="AB3" s="48" t="s">
        <v>288</v>
      </c>
      <c r="AC3" s="48" t="s">
        <v>289</v>
      </c>
      <c r="AD3" s="48" t="s">
        <v>290</v>
      </c>
      <c r="AE3" s="48" t="s">
        <v>291</v>
      </c>
      <c r="AF3" s="48" t="s">
        <v>292</v>
      </c>
      <c r="AG3" s="48" t="s">
        <v>293</v>
      </c>
      <c r="AH3" s="48" t="s">
        <v>294</v>
      </c>
      <c r="AI3" s="48" t="s">
        <v>295</v>
      </c>
      <c r="AJ3" s="48" t="s">
        <v>296</v>
      </c>
      <c r="AK3" s="48" t="s">
        <v>297</v>
      </c>
      <c r="AL3" s="48" t="s">
        <v>298</v>
      </c>
      <c r="AM3" s="48" t="s">
        <v>299</v>
      </c>
      <c r="AN3" s="48" t="s">
        <v>300</v>
      </c>
      <c r="AO3" s="48" t="s">
        <v>301</v>
      </c>
      <c r="AP3" s="48" t="s">
        <v>302</v>
      </c>
      <c r="AQ3" s="48" t="s">
        <v>303</v>
      </c>
      <c r="AR3" s="48" t="s">
        <v>304</v>
      </c>
      <c r="AS3" s="48" t="s">
        <v>305</v>
      </c>
      <c r="AT3" s="48" t="s">
        <v>306</v>
      </c>
      <c r="AU3" s="48" t="s">
        <v>307</v>
      </c>
      <c r="AV3" s="48" t="s">
        <v>308</v>
      </c>
      <c r="AW3" s="48" t="s">
        <v>309</v>
      </c>
      <c r="AX3" s="48" t="s">
        <v>310</v>
      </c>
      <c r="AY3" s="48" t="s">
        <v>311</v>
      </c>
      <c r="AZ3" s="48" t="s">
        <v>312</v>
      </c>
      <c r="BA3" s="48" t="s">
        <v>313</v>
      </c>
      <c r="BB3" s="48" t="s">
        <v>314</v>
      </c>
      <c r="BC3" s="48" t="s">
        <v>315</v>
      </c>
      <c r="BD3" s="48" t="s">
        <v>316</v>
      </c>
      <c r="BE3" s="48" t="s">
        <v>317</v>
      </c>
      <c r="BF3" s="48" t="s">
        <v>318</v>
      </c>
      <c r="BG3" s="48" t="s">
        <v>319</v>
      </c>
      <c r="BH3" s="48" t="s">
        <v>320</v>
      </c>
      <c r="BI3" s="48" t="s">
        <v>321</v>
      </c>
      <c r="BJ3" s="48" t="s">
        <v>322</v>
      </c>
    </row>
    <row r="4" customFormat="false" ht="15" hidden="false" customHeight="false" outlineLevel="0" collapsed="false">
      <c r="A4" s="47" t="s">
        <v>323</v>
      </c>
      <c r="C4" s="47" t="n">
        <v>1</v>
      </c>
      <c r="D4" s="47" t="n">
        <v>2</v>
      </c>
      <c r="E4" s="47" t="n">
        <v>3</v>
      </c>
      <c r="F4" s="47" t="n">
        <v>4</v>
      </c>
      <c r="G4" s="47" t="n">
        <v>5</v>
      </c>
      <c r="H4" s="47" t="n">
        <v>6</v>
      </c>
      <c r="I4" s="47" t="n">
        <v>7</v>
      </c>
      <c r="J4" s="47" t="n">
        <v>8</v>
      </c>
      <c r="K4" s="47" t="n">
        <v>9</v>
      </c>
      <c r="L4" s="47" t="n">
        <v>10</v>
      </c>
      <c r="M4" s="47" t="n">
        <v>11</v>
      </c>
      <c r="N4" s="47" t="n">
        <v>12</v>
      </c>
      <c r="O4" s="47" t="n">
        <v>13</v>
      </c>
      <c r="P4" s="47" t="n">
        <v>14</v>
      </c>
      <c r="Q4" s="47" t="n">
        <v>15</v>
      </c>
      <c r="R4" s="47" t="n">
        <v>16</v>
      </c>
      <c r="S4" s="47" t="n">
        <v>17</v>
      </c>
      <c r="T4" s="47" t="n">
        <v>18</v>
      </c>
      <c r="U4" s="47" t="n">
        <v>19</v>
      </c>
      <c r="V4" s="47" t="n">
        <v>20</v>
      </c>
      <c r="W4" s="47" t="n">
        <v>21</v>
      </c>
      <c r="X4" s="47" t="n">
        <v>22</v>
      </c>
      <c r="Y4" s="47" t="n">
        <v>23</v>
      </c>
      <c r="Z4" s="47" t="n">
        <v>24</v>
      </c>
      <c r="AA4" s="47" t="n">
        <v>25</v>
      </c>
      <c r="AB4" s="47" t="n">
        <v>26</v>
      </c>
      <c r="AC4" s="47" t="n">
        <v>27</v>
      </c>
      <c r="AD4" s="47" t="n">
        <v>28</v>
      </c>
      <c r="AE4" s="47" t="n">
        <v>29</v>
      </c>
      <c r="AF4" s="47" t="n">
        <v>30</v>
      </c>
      <c r="AG4" s="47" t="n">
        <v>31</v>
      </c>
      <c r="AH4" s="47" t="n">
        <v>32</v>
      </c>
      <c r="AI4" s="47" t="n">
        <v>33</v>
      </c>
      <c r="AJ4" s="47" t="n">
        <v>34</v>
      </c>
      <c r="AK4" s="47" t="n">
        <v>35</v>
      </c>
      <c r="AL4" s="47" t="n">
        <v>36</v>
      </c>
      <c r="AM4" s="47" t="n">
        <v>37</v>
      </c>
      <c r="AN4" s="47" t="n">
        <v>38</v>
      </c>
      <c r="AO4" s="47" t="n">
        <v>39</v>
      </c>
      <c r="AP4" s="47" t="n">
        <v>40</v>
      </c>
      <c r="AQ4" s="47" t="n">
        <v>41</v>
      </c>
      <c r="AR4" s="47" t="n">
        <v>42</v>
      </c>
      <c r="AS4" s="47" t="n">
        <v>43</v>
      </c>
      <c r="AT4" s="47" t="n">
        <v>44</v>
      </c>
      <c r="AU4" s="47" t="n">
        <v>45</v>
      </c>
      <c r="AV4" s="47" t="n">
        <v>46</v>
      </c>
      <c r="AW4" s="47" t="n">
        <v>47</v>
      </c>
      <c r="AX4" s="47" t="n">
        <v>48</v>
      </c>
      <c r="AY4" s="47" t="n">
        <v>49</v>
      </c>
      <c r="AZ4" s="47" t="n">
        <v>50</v>
      </c>
      <c r="BA4" s="47" t="n">
        <v>51</v>
      </c>
      <c r="BB4" s="47" t="n">
        <v>52</v>
      </c>
      <c r="BC4" s="47" t="n">
        <v>53</v>
      </c>
      <c r="BD4" s="47" t="n">
        <v>54</v>
      </c>
      <c r="BE4" s="47" t="n">
        <v>55</v>
      </c>
      <c r="BF4" s="47" t="n">
        <v>56</v>
      </c>
      <c r="BG4" s="47" t="n">
        <v>57</v>
      </c>
      <c r="BH4" s="47" t="n">
        <v>58</v>
      </c>
      <c r="BI4" s="47" t="n">
        <v>59</v>
      </c>
      <c r="BJ4" s="47" t="n">
        <v>60</v>
      </c>
    </row>
    <row r="5" customFormat="false" ht="15" hidden="false" customHeight="false" outlineLevel="0" collapsed="false">
      <c r="A5" s="47" t="s">
        <v>69</v>
      </c>
      <c r="C5" s="47" t="n">
        <f aca="false">ROUNDUP(C4*1/12,0)</f>
        <v>1</v>
      </c>
      <c r="D5" s="47" t="n">
        <f aca="false">ROUNDUP(D4*1/12,0)</f>
        <v>1</v>
      </c>
      <c r="E5" s="47" t="n">
        <f aca="false">ROUNDUP(E4*1/12,0)</f>
        <v>1</v>
      </c>
      <c r="F5" s="47" t="n">
        <f aca="false">ROUNDUP(F4*1/12,0)</f>
        <v>1</v>
      </c>
      <c r="G5" s="47" t="n">
        <f aca="false">ROUNDUP(G4*1/12,0)</f>
        <v>1</v>
      </c>
      <c r="H5" s="47" t="n">
        <f aca="false">ROUNDUP(H4*1/12,0)</f>
        <v>1</v>
      </c>
      <c r="I5" s="47" t="n">
        <f aca="false">ROUNDUP(I4*1/12,0)</f>
        <v>1</v>
      </c>
      <c r="J5" s="47" t="n">
        <f aca="false">ROUNDUP(J4*1/12,0)</f>
        <v>1</v>
      </c>
      <c r="K5" s="47" t="n">
        <f aca="false">ROUNDUP(K4*1/12,0)</f>
        <v>1</v>
      </c>
      <c r="L5" s="47" t="n">
        <f aca="false">ROUNDUP(L4*1/12,0)</f>
        <v>1</v>
      </c>
      <c r="M5" s="47" t="n">
        <f aca="false">ROUNDUP(M4*1/12,0)</f>
        <v>1</v>
      </c>
      <c r="N5" s="47" t="n">
        <f aca="false">ROUNDUP(N4*1/12,0)</f>
        <v>1</v>
      </c>
      <c r="O5" s="47" t="n">
        <f aca="false">ROUNDUP(O4*1/12,0)</f>
        <v>2</v>
      </c>
      <c r="P5" s="47" t="n">
        <f aca="false">ROUNDUP(P4*1/12,0)</f>
        <v>2</v>
      </c>
      <c r="Q5" s="47" t="n">
        <f aca="false">ROUNDUP(Q4*1/12,0)</f>
        <v>2</v>
      </c>
      <c r="R5" s="47" t="n">
        <f aca="false">ROUNDUP(R4*1/12,0)</f>
        <v>2</v>
      </c>
      <c r="S5" s="47" t="n">
        <f aca="false">ROUNDUP(S4*1/12,0)</f>
        <v>2</v>
      </c>
      <c r="T5" s="47" t="n">
        <f aca="false">ROUNDUP(T4*1/12,0)</f>
        <v>2</v>
      </c>
      <c r="U5" s="47" t="n">
        <f aca="false">ROUNDUP(U4*1/12,0)</f>
        <v>2</v>
      </c>
      <c r="V5" s="47" t="n">
        <f aca="false">ROUNDUP(V4*1/12,0)</f>
        <v>2</v>
      </c>
      <c r="W5" s="47" t="n">
        <f aca="false">ROUNDUP(W4*1/12,0)</f>
        <v>2</v>
      </c>
      <c r="X5" s="47" t="n">
        <f aca="false">ROUNDUP(X4*1/12,0)</f>
        <v>2</v>
      </c>
      <c r="Y5" s="47" t="n">
        <f aca="false">ROUNDUP(Y4*1/12,0)</f>
        <v>2</v>
      </c>
      <c r="Z5" s="47" t="n">
        <f aca="false">ROUNDUP(Z4*1/12,0)</f>
        <v>2</v>
      </c>
      <c r="AA5" s="47" t="n">
        <f aca="false">ROUNDUP(AA4*1/12,0)</f>
        <v>3</v>
      </c>
      <c r="AB5" s="47" t="n">
        <f aca="false">ROUNDUP(AB4*1/12,0)</f>
        <v>3</v>
      </c>
      <c r="AC5" s="47" t="n">
        <f aca="false">ROUNDUP(AC4*1/12,0)</f>
        <v>3</v>
      </c>
      <c r="AD5" s="47" t="n">
        <f aca="false">ROUNDUP(AD4*1/12,0)</f>
        <v>3</v>
      </c>
      <c r="AE5" s="47" t="n">
        <f aca="false">ROUNDUP(AE4*1/12,0)</f>
        <v>3</v>
      </c>
      <c r="AF5" s="47" t="n">
        <f aca="false">ROUNDUP(AF4*1/12,0)</f>
        <v>3</v>
      </c>
      <c r="AG5" s="47" t="n">
        <f aca="false">ROUNDUP(AG4*1/12,0)</f>
        <v>3</v>
      </c>
      <c r="AH5" s="47" t="n">
        <f aca="false">ROUNDUP(AH4*1/12,0)</f>
        <v>3</v>
      </c>
      <c r="AI5" s="47" t="n">
        <f aca="false">ROUNDUP(AI4*1/12,0)</f>
        <v>3</v>
      </c>
      <c r="AJ5" s="47" t="n">
        <f aca="false">ROUNDUP(AJ4*1/12,0)</f>
        <v>3</v>
      </c>
      <c r="AK5" s="47" t="n">
        <f aca="false">ROUNDUP(AK4*1/12,0)</f>
        <v>3</v>
      </c>
      <c r="AL5" s="47" t="n">
        <f aca="false">ROUNDUP(AL4*1/12,0)</f>
        <v>3</v>
      </c>
      <c r="AM5" s="47" t="n">
        <f aca="false">ROUNDUP(AM4*1/12,0)</f>
        <v>4</v>
      </c>
      <c r="AN5" s="47" t="n">
        <f aca="false">ROUNDUP(AN4*1/12,0)</f>
        <v>4</v>
      </c>
      <c r="AO5" s="47" t="n">
        <f aca="false">ROUNDUP(AO4*1/12,0)</f>
        <v>4</v>
      </c>
      <c r="AP5" s="47" t="n">
        <f aca="false">ROUNDUP(AP4*1/12,0)</f>
        <v>4</v>
      </c>
      <c r="AQ5" s="47" t="n">
        <f aca="false">ROUNDUP(AQ4*1/12,0)</f>
        <v>4</v>
      </c>
      <c r="AR5" s="47" t="n">
        <f aca="false">ROUNDUP(AR4*1/12,0)</f>
        <v>4</v>
      </c>
      <c r="AS5" s="47" t="n">
        <f aca="false">ROUNDUP(AS4*1/12,0)</f>
        <v>4</v>
      </c>
      <c r="AT5" s="47" t="n">
        <f aca="false">ROUNDUP(AT4*1/12,0)</f>
        <v>4</v>
      </c>
      <c r="AU5" s="47" t="n">
        <f aca="false">ROUNDUP(AU4*1/12,0)</f>
        <v>4</v>
      </c>
      <c r="AV5" s="47" t="n">
        <f aca="false">ROUNDUP(AV4*1/12,0)</f>
        <v>4</v>
      </c>
      <c r="AW5" s="47" t="n">
        <f aca="false">ROUNDUP(AW4*1/12,0)</f>
        <v>4</v>
      </c>
      <c r="AX5" s="47" t="n">
        <f aca="false">ROUNDUP(AX4*1/12,0)</f>
        <v>4</v>
      </c>
      <c r="AY5" s="47" t="n">
        <f aca="false">ROUNDUP(AY4*1/12,0)</f>
        <v>5</v>
      </c>
      <c r="AZ5" s="47" t="n">
        <f aca="false">ROUNDUP(AZ4*1/12,0)</f>
        <v>5</v>
      </c>
      <c r="BA5" s="47" t="n">
        <f aca="false">ROUNDUP(BA4*1/12,0)</f>
        <v>5</v>
      </c>
      <c r="BB5" s="47" t="n">
        <f aca="false">ROUNDUP(BB4*1/12,0)</f>
        <v>5</v>
      </c>
      <c r="BC5" s="47" t="n">
        <f aca="false">ROUNDUP(BC4*1/12,0)</f>
        <v>5</v>
      </c>
      <c r="BD5" s="47" t="n">
        <f aca="false">ROUNDUP(BD4*1/12,0)</f>
        <v>5</v>
      </c>
      <c r="BE5" s="47" t="n">
        <f aca="false">ROUNDUP(BE4*1/12,0)</f>
        <v>5</v>
      </c>
      <c r="BF5" s="47" t="n">
        <f aca="false">ROUNDUP(BF4*1/12,0)</f>
        <v>5</v>
      </c>
      <c r="BG5" s="47" t="n">
        <f aca="false">ROUNDUP(BG4*1/12,0)</f>
        <v>5</v>
      </c>
      <c r="BH5" s="47" t="n">
        <f aca="false">ROUNDUP(BH4*1/12,0)</f>
        <v>5</v>
      </c>
      <c r="BI5" s="47" t="n">
        <f aca="false">ROUNDUP(BI4*1/12,0)</f>
        <v>5</v>
      </c>
      <c r="BJ5" s="47" t="n">
        <f aca="false">ROUNDUP(BJ4*1/12,0)</f>
        <v>5</v>
      </c>
    </row>
    <row r="7" customFormat="false" ht="15.75" hidden="false" customHeight="true" outlineLevel="0" collapsed="false">
      <c r="A7" s="7" t="s">
        <v>366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367</v>
      </c>
      <c r="C8" s="50" t="n">
        <f aca="false">Inputs!$E$26*(1+Inputs!$E$28)^(C$5-1)*MAX(0,MIN(1,C$4*1-Inputs!$E$29+1))/1</f>
        <v>3</v>
      </c>
      <c r="D8" s="50" t="n">
        <f aca="false">Inputs!$E$26*(1+Inputs!$E$28)^(D$5-1)*MAX(0,MIN(1,D$4*1-Inputs!$E$29+1))/1</f>
        <v>3</v>
      </c>
      <c r="E8" s="50" t="n">
        <f aca="false">Inputs!$E$26*(1+Inputs!$E$28)^(E$5-1)*MAX(0,MIN(1,E$4*1-Inputs!$E$29+1))/1</f>
        <v>3</v>
      </c>
      <c r="F8" s="50" t="n">
        <f aca="false">Inputs!$E$26*(1+Inputs!$E$28)^(F$5-1)*MAX(0,MIN(1,F$4*1-Inputs!$E$29+1))/1</f>
        <v>3</v>
      </c>
      <c r="G8" s="50" t="n">
        <f aca="false">Inputs!$E$26*(1+Inputs!$E$28)^(G$5-1)*MAX(0,MIN(1,G$4*1-Inputs!$E$29+1))/1</f>
        <v>3</v>
      </c>
      <c r="H8" s="50" t="n">
        <f aca="false">Inputs!$E$26*(1+Inputs!$E$28)^(H$5-1)*MAX(0,MIN(1,H$4*1-Inputs!$E$29+1))/1</f>
        <v>3</v>
      </c>
      <c r="I8" s="50" t="n">
        <f aca="false">Inputs!$E$26*(1+Inputs!$E$28)^(I$5-1)*MAX(0,MIN(1,I$4*1-Inputs!$E$29+1))/1</f>
        <v>3</v>
      </c>
      <c r="J8" s="50" t="n">
        <f aca="false">Inputs!$E$26*(1+Inputs!$E$28)^(J$5-1)*MAX(0,MIN(1,J$4*1-Inputs!$E$29+1))/1</f>
        <v>3</v>
      </c>
      <c r="K8" s="50" t="n">
        <f aca="false">Inputs!$E$26*(1+Inputs!$E$28)^(K$5-1)*MAX(0,MIN(1,K$4*1-Inputs!$E$29+1))/1</f>
        <v>3</v>
      </c>
      <c r="L8" s="50" t="n">
        <f aca="false">Inputs!$E$26*(1+Inputs!$E$28)^(L$5-1)*MAX(0,MIN(1,L$4*1-Inputs!$E$29+1))/1</f>
        <v>3</v>
      </c>
      <c r="M8" s="50" t="n">
        <f aca="false">Inputs!$E$26*(1+Inputs!$E$28)^(M$5-1)*MAX(0,MIN(1,M$4*1-Inputs!$E$29+1))/1</f>
        <v>3</v>
      </c>
      <c r="N8" s="50" t="n">
        <f aca="false">Inputs!$E$26*(1+Inputs!$E$28)^(N$5-1)*MAX(0,MIN(1,N$4*1-Inputs!$E$29+1))/1</f>
        <v>3</v>
      </c>
      <c r="O8" s="50" t="n">
        <f aca="false">Inputs!$E$26*(1+Inputs!$E$28)^(O$5-1)*MAX(0,MIN(1,O$4*1-Inputs!$E$29+1))/1</f>
        <v>4.5</v>
      </c>
      <c r="P8" s="50" t="n">
        <f aca="false">Inputs!$E$26*(1+Inputs!$E$28)^(P$5-1)*MAX(0,MIN(1,P$4*1-Inputs!$E$29+1))/1</f>
        <v>4.5</v>
      </c>
      <c r="Q8" s="50" t="n">
        <f aca="false">Inputs!$E$26*(1+Inputs!$E$28)^(Q$5-1)*MAX(0,MIN(1,Q$4*1-Inputs!$E$29+1))/1</f>
        <v>4.5</v>
      </c>
      <c r="R8" s="50" t="n">
        <f aca="false">Inputs!$E$26*(1+Inputs!$E$28)^(R$5-1)*MAX(0,MIN(1,R$4*1-Inputs!$E$29+1))/1</f>
        <v>4.5</v>
      </c>
      <c r="S8" s="50" t="n">
        <f aca="false">Inputs!$E$26*(1+Inputs!$E$28)^(S$5-1)*MAX(0,MIN(1,S$4*1-Inputs!$E$29+1))/1</f>
        <v>4.5</v>
      </c>
      <c r="T8" s="50" t="n">
        <f aca="false">Inputs!$E$26*(1+Inputs!$E$28)^(T$5-1)*MAX(0,MIN(1,T$4*1-Inputs!$E$29+1))/1</f>
        <v>4.5</v>
      </c>
      <c r="U8" s="50" t="n">
        <f aca="false">Inputs!$E$26*(1+Inputs!$E$28)^(U$5-1)*MAX(0,MIN(1,U$4*1-Inputs!$E$29+1))/1</f>
        <v>4.5</v>
      </c>
      <c r="V8" s="50" t="n">
        <f aca="false">Inputs!$E$26*(1+Inputs!$E$28)^(V$5-1)*MAX(0,MIN(1,V$4*1-Inputs!$E$29+1))/1</f>
        <v>4.5</v>
      </c>
      <c r="W8" s="50" t="n">
        <f aca="false">Inputs!$E$26*(1+Inputs!$E$28)^(W$5-1)*MAX(0,MIN(1,W$4*1-Inputs!$E$29+1))/1</f>
        <v>4.5</v>
      </c>
      <c r="X8" s="50" t="n">
        <f aca="false">Inputs!$E$26*(1+Inputs!$E$28)^(X$5-1)*MAX(0,MIN(1,X$4*1-Inputs!$E$29+1))/1</f>
        <v>4.5</v>
      </c>
      <c r="Y8" s="50" t="n">
        <f aca="false">Inputs!$E$26*(1+Inputs!$E$28)^(Y$5-1)*MAX(0,MIN(1,Y$4*1-Inputs!$E$29+1))/1</f>
        <v>4.5</v>
      </c>
      <c r="Z8" s="50" t="n">
        <f aca="false">Inputs!$E$26*(1+Inputs!$E$28)^(Z$5-1)*MAX(0,MIN(1,Z$4*1-Inputs!$E$29+1))/1</f>
        <v>4.5</v>
      </c>
      <c r="AA8" s="50" t="n">
        <f aca="false">Inputs!$E$26*(1+Inputs!$E$28)^(AA$5-1)*MAX(0,MIN(1,AA$4*1-Inputs!$E$29+1))/1</f>
        <v>6.75</v>
      </c>
      <c r="AB8" s="50" t="n">
        <f aca="false">Inputs!$E$26*(1+Inputs!$E$28)^(AB$5-1)*MAX(0,MIN(1,AB$4*1-Inputs!$E$29+1))/1</f>
        <v>6.75</v>
      </c>
      <c r="AC8" s="50" t="n">
        <f aca="false">Inputs!$E$26*(1+Inputs!$E$28)^(AC$5-1)*MAX(0,MIN(1,AC$4*1-Inputs!$E$29+1))/1</f>
        <v>6.75</v>
      </c>
      <c r="AD8" s="50" t="n">
        <f aca="false">Inputs!$E$26*(1+Inputs!$E$28)^(AD$5-1)*MAX(0,MIN(1,AD$4*1-Inputs!$E$29+1))/1</f>
        <v>6.75</v>
      </c>
      <c r="AE8" s="50" t="n">
        <f aca="false">Inputs!$E$26*(1+Inputs!$E$28)^(AE$5-1)*MAX(0,MIN(1,AE$4*1-Inputs!$E$29+1))/1</f>
        <v>6.75</v>
      </c>
      <c r="AF8" s="50" t="n">
        <f aca="false">Inputs!$E$26*(1+Inputs!$E$28)^(AF$5-1)*MAX(0,MIN(1,AF$4*1-Inputs!$E$29+1))/1</f>
        <v>6.75</v>
      </c>
      <c r="AG8" s="50" t="n">
        <f aca="false">Inputs!$E$26*(1+Inputs!$E$28)^(AG$5-1)*MAX(0,MIN(1,AG$4*1-Inputs!$E$29+1))/1</f>
        <v>6.75</v>
      </c>
      <c r="AH8" s="50" t="n">
        <f aca="false">Inputs!$E$26*(1+Inputs!$E$28)^(AH$5-1)*MAX(0,MIN(1,AH$4*1-Inputs!$E$29+1))/1</f>
        <v>6.75</v>
      </c>
      <c r="AI8" s="50" t="n">
        <f aca="false">Inputs!$E$26*(1+Inputs!$E$28)^(AI$5-1)*MAX(0,MIN(1,AI$4*1-Inputs!$E$29+1))/1</f>
        <v>6.75</v>
      </c>
      <c r="AJ8" s="50" t="n">
        <f aca="false">Inputs!$E$26*(1+Inputs!$E$28)^(AJ$5-1)*MAX(0,MIN(1,AJ$4*1-Inputs!$E$29+1))/1</f>
        <v>6.75</v>
      </c>
      <c r="AK8" s="50" t="n">
        <f aca="false">Inputs!$E$26*(1+Inputs!$E$28)^(AK$5-1)*MAX(0,MIN(1,AK$4*1-Inputs!$E$29+1))/1</f>
        <v>6.75</v>
      </c>
      <c r="AL8" s="50" t="n">
        <f aca="false">Inputs!$E$26*(1+Inputs!$E$28)^(AL$5-1)*MAX(0,MIN(1,AL$4*1-Inputs!$E$29+1))/1</f>
        <v>6.75</v>
      </c>
      <c r="AM8" s="50" t="n">
        <f aca="false">Inputs!$E$26*(1+Inputs!$E$28)^(AM$5-1)*MAX(0,MIN(1,AM$4*1-Inputs!$E$29+1))/1</f>
        <v>10.125</v>
      </c>
      <c r="AN8" s="50" t="n">
        <f aca="false">Inputs!$E$26*(1+Inputs!$E$28)^(AN$5-1)*MAX(0,MIN(1,AN$4*1-Inputs!$E$29+1))/1</f>
        <v>10.125</v>
      </c>
      <c r="AO8" s="50" t="n">
        <f aca="false">Inputs!$E$26*(1+Inputs!$E$28)^(AO$5-1)*MAX(0,MIN(1,AO$4*1-Inputs!$E$29+1))/1</f>
        <v>10.125</v>
      </c>
      <c r="AP8" s="50" t="n">
        <f aca="false">Inputs!$E$26*(1+Inputs!$E$28)^(AP$5-1)*MAX(0,MIN(1,AP$4*1-Inputs!$E$29+1))/1</f>
        <v>10.125</v>
      </c>
      <c r="AQ8" s="50" t="n">
        <f aca="false">Inputs!$E$26*(1+Inputs!$E$28)^(AQ$5-1)*MAX(0,MIN(1,AQ$4*1-Inputs!$E$29+1))/1</f>
        <v>10.125</v>
      </c>
      <c r="AR8" s="50" t="n">
        <f aca="false">Inputs!$E$26*(1+Inputs!$E$28)^(AR$5-1)*MAX(0,MIN(1,AR$4*1-Inputs!$E$29+1))/1</f>
        <v>10.125</v>
      </c>
      <c r="AS8" s="50" t="n">
        <f aca="false">Inputs!$E$26*(1+Inputs!$E$28)^(AS$5-1)*MAX(0,MIN(1,AS$4*1-Inputs!$E$29+1))/1</f>
        <v>10.125</v>
      </c>
      <c r="AT8" s="50" t="n">
        <f aca="false">Inputs!$E$26*(1+Inputs!$E$28)^(AT$5-1)*MAX(0,MIN(1,AT$4*1-Inputs!$E$29+1))/1</f>
        <v>10.125</v>
      </c>
      <c r="AU8" s="50" t="n">
        <f aca="false">Inputs!$E$26*(1+Inputs!$E$28)^(AU$5-1)*MAX(0,MIN(1,AU$4*1-Inputs!$E$29+1))/1</f>
        <v>10.125</v>
      </c>
      <c r="AV8" s="50" t="n">
        <f aca="false">Inputs!$E$26*(1+Inputs!$E$28)^(AV$5-1)*MAX(0,MIN(1,AV$4*1-Inputs!$E$29+1))/1</f>
        <v>10.125</v>
      </c>
      <c r="AW8" s="50" t="n">
        <f aca="false">Inputs!$E$26*(1+Inputs!$E$28)^(AW$5-1)*MAX(0,MIN(1,AW$4*1-Inputs!$E$29+1))/1</f>
        <v>10.125</v>
      </c>
      <c r="AX8" s="50" t="n">
        <f aca="false">Inputs!$E$26*(1+Inputs!$E$28)^(AX$5-1)*MAX(0,MIN(1,AX$4*1-Inputs!$E$29+1))/1</f>
        <v>10.125</v>
      </c>
      <c r="AY8" s="50" t="n">
        <f aca="false">Inputs!$E$26*(1+Inputs!$E$28)^(AY$5-1)*MAX(0,MIN(1,AY$4*1-Inputs!$E$29+1))/1</f>
        <v>15.1875</v>
      </c>
      <c r="AZ8" s="50" t="n">
        <f aca="false">Inputs!$E$26*(1+Inputs!$E$28)^(AZ$5-1)*MAX(0,MIN(1,AZ$4*1-Inputs!$E$29+1))/1</f>
        <v>15.1875</v>
      </c>
      <c r="BA8" s="50" t="n">
        <f aca="false">Inputs!$E$26*(1+Inputs!$E$28)^(BA$5-1)*MAX(0,MIN(1,BA$4*1-Inputs!$E$29+1))/1</f>
        <v>15.1875</v>
      </c>
      <c r="BB8" s="50" t="n">
        <f aca="false">Inputs!$E$26*(1+Inputs!$E$28)^(BB$5-1)*MAX(0,MIN(1,BB$4*1-Inputs!$E$29+1))/1</f>
        <v>15.1875</v>
      </c>
      <c r="BC8" s="50" t="n">
        <f aca="false">Inputs!$E$26*(1+Inputs!$E$28)^(BC$5-1)*MAX(0,MIN(1,BC$4*1-Inputs!$E$29+1))/1</f>
        <v>15.1875</v>
      </c>
      <c r="BD8" s="50" t="n">
        <f aca="false">Inputs!$E$26*(1+Inputs!$E$28)^(BD$5-1)*MAX(0,MIN(1,BD$4*1-Inputs!$E$29+1))/1</f>
        <v>15.1875</v>
      </c>
      <c r="BE8" s="50" t="n">
        <f aca="false">Inputs!$E$26*(1+Inputs!$E$28)^(BE$5-1)*MAX(0,MIN(1,BE$4*1-Inputs!$E$29+1))/1</f>
        <v>15.1875</v>
      </c>
      <c r="BF8" s="50" t="n">
        <f aca="false">Inputs!$E$26*(1+Inputs!$E$28)^(BF$5-1)*MAX(0,MIN(1,BF$4*1-Inputs!$E$29+1))/1</f>
        <v>15.1875</v>
      </c>
      <c r="BG8" s="50" t="n">
        <f aca="false">Inputs!$E$26*(1+Inputs!$E$28)^(BG$5-1)*MAX(0,MIN(1,BG$4*1-Inputs!$E$29+1))/1</f>
        <v>15.1875</v>
      </c>
      <c r="BH8" s="50" t="n">
        <f aca="false">Inputs!$E$26*(1+Inputs!$E$28)^(BH$5-1)*MAX(0,MIN(1,BH$4*1-Inputs!$E$29+1))/1</f>
        <v>15.1875</v>
      </c>
      <c r="BI8" s="50" t="n">
        <f aca="false">Inputs!$E$26*(1+Inputs!$E$28)^(BI$5-1)*MAX(0,MIN(1,BI$4*1-Inputs!$E$29+1))/1</f>
        <v>15.1875</v>
      </c>
      <c r="BJ8" s="50" t="n">
        <f aca="false">Inputs!$E$26*(1+Inputs!$E$28)^(BJ$5-1)*MAX(0,MIN(1,BJ$4*1-Inputs!$E$29+1))/1</f>
        <v>15.1875</v>
      </c>
    </row>
    <row r="9" customFormat="false" ht="15" hidden="false" customHeight="false" outlineLevel="0" collapsed="false">
      <c r="A9" s="6" t="s">
        <v>368</v>
      </c>
      <c r="C9" s="50" t="n">
        <f aca="false">Inputs!$E$30*(1+Inputs!$E$32)^(C$5-1)*MAX(0,MIN(1,C$4*1-Inputs!$E$33+1))/1</f>
        <v>1.5</v>
      </c>
      <c r="D9" s="50" t="n">
        <f aca="false">Inputs!$E$30*(1+Inputs!$E$32)^(D$5-1)*MAX(0,MIN(1,D$4*1-Inputs!$E$33+1))/1</f>
        <v>1.5</v>
      </c>
      <c r="E9" s="50" t="n">
        <f aca="false">Inputs!$E$30*(1+Inputs!$E$32)^(E$5-1)*MAX(0,MIN(1,E$4*1-Inputs!$E$33+1))/1</f>
        <v>1.5</v>
      </c>
      <c r="F9" s="50" t="n">
        <f aca="false">Inputs!$E$30*(1+Inputs!$E$32)^(F$5-1)*MAX(0,MIN(1,F$4*1-Inputs!$E$33+1))/1</f>
        <v>1.5</v>
      </c>
      <c r="G9" s="50" t="n">
        <f aca="false">Inputs!$E$30*(1+Inputs!$E$32)^(G$5-1)*MAX(0,MIN(1,G$4*1-Inputs!$E$33+1))/1</f>
        <v>1.5</v>
      </c>
      <c r="H9" s="50" t="n">
        <f aca="false">Inputs!$E$30*(1+Inputs!$E$32)^(H$5-1)*MAX(0,MIN(1,H$4*1-Inputs!$E$33+1))/1</f>
        <v>1.5</v>
      </c>
      <c r="I9" s="50" t="n">
        <f aca="false">Inputs!$E$30*(1+Inputs!$E$32)^(I$5-1)*MAX(0,MIN(1,I$4*1-Inputs!$E$33+1))/1</f>
        <v>1.5</v>
      </c>
      <c r="J9" s="50" t="n">
        <f aca="false">Inputs!$E$30*(1+Inputs!$E$32)^(J$5-1)*MAX(0,MIN(1,J$4*1-Inputs!$E$33+1))/1</f>
        <v>1.5</v>
      </c>
      <c r="K9" s="50" t="n">
        <f aca="false">Inputs!$E$30*(1+Inputs!$E$32)^(K$5-1)*MAX(0,MIN(1,K$4*1-Inputs!$E$33+1))/1</f>
        <v>1.5</v>
      </c>
      <c r="L9" s="50" t="n">
        <f aca="false">Inputs!$E$30*(1+Inputs!$E$32)^(L$5-1)*MAX(0,MIN(1,L$4*1-Inputs!$E$33+1))/1</f>
        <v>1.5</v>
      </c>
      <c r="M9" s="50" t="n">
        <f aca="false">Inputs!$E$30*(1+Inputs!$E$32)^(M$5-1)*MAX(0,MIN(1,M$4*1-Inputs!$E$33+1))/1</f>
        <v>1.5</v>
      </c>
      <c r="N9" s="50" t="n">
        <f aca="false">Inputs!$E$30*(1+Inputs!$E$32)^(N$5-1)*MAX(0,MIN(1,N$4*1-Inputs!$E$33+1))/1</f>
        <v>1.5</v>
      </c>
      <c r="O9" s="50" t="n">
        <f aca="false">Inputs!$E$30*(1+Inputs!$E$32)^(O$5-1)*MAX(0,MIN(1,O$4*1-Inputs!$E$33+1))/1</f>
        <v>2.25</v>
      </c>
      <c r="P9" s="50" t="n">
        <f aca="false">Inputs!$E$30*(1+Inputs!$E$32)^(P$5-1)*MAX(0,MIN(1,P$4*1-Inputs!$E$33+1))/1</f>
        <v>2.25</v>
      </c>
      <c r="Q9" s="50" t="n">
        <f aca="false">Inputs!$E$30*(1+Inputs!$E$32)^(Q$5-1)*MAX(0,MIN(1,Q$4*1-Inputs!$E$33+1))/1</f>
        <v>2.25</v>
      </c>
      <c r="R9" s="50" t="n">
        <f aca="false">Inputs!$E$30*(1+Inputs!$E$32)^(R$5-1)*MAX(0,MIN(1,R$4*1-Inputs!$E$33+1))/1</f>
        <v>2.25</v>
      </c>
      <c r="S9" s="50" t="n">
        <f aca="false">Inputs!$E$30*(1+Inputs!$E$32)^(S$5-1)*MAX(0,MIN(1,S$4*1-Inputs!$E$33+1))/1</f>
        <v>2.25</v>
      </c>
      <c r="T9" s="50" t="n">
        <f aca="false">Inputs!$E$30*(1+Inputs!$E$32)^(T$5-1)*MAX(0,MIN(1,T$4*1-Inputs!$E$33+1))/1</f>
        <v>2.25</v>
      </c>
      <c r="U9" s="50" t="n">
        <f aca="false">Inputs!$E$30*(1+Inputs!$E$32)^(U$5-1)*MAX(0,MIN(1,U$4*1-Inputs!$E$33+1))/1</f>
        <v>2.25</v>
      </c>
      <c r="V9" s="50" t="n">
        <f aca="false">Inputs!$E$30*(1+Inputs!$E$32)^(V$5-1)*MAX(0,MIN(1,V$4*1-Inputs!$E$33+1))/1</f>
        <v>2.25</v>
      </c>
      <c r="W9" s="50" t="n">
        <f aca="false">Inputs!$E$30*(1+Inputs!$E$32)^(W$5-1)*MAX(0,MIN(1,W$4*1-Inputs!$E$33+1))/1</f>
        <v>2.25</v>
      </c>
      <c r="X9" s="50" t="n">
        <f aca="false">Inputs!$E$30*(1+Inputs!$E$32)^(X$5-1)*MAX(0,MIN(1,X$4*1-Inputs!$E$33+1))/1</f>
        <v>2.25</v>
      </c>
      <c r="Y9" s="50" t="n">
        <f aca="false">Inputs!$E$30*(1+Inputs!$E$32)^(Y$5-1)*MAX(0,MIN(1,Y$4*1-Inputs!$E$33+1))/1</f>
        <v>2.25</v>
      </c>
      <c r="Z9" s="50" t="n">
        <f aca="false">Inputs!$E$30*(1+Inputs!$E$32)^(Z$5-1)*MAX(0,MIN(1,Z$4*1-Inputs!$E$33+1))/1</f>
        <v>2.25</v>
      </c>
      <c r="AA9" s="50" t="n">
        <f aca="false">Inputs!$E$30*(1+Inputs!$E$32)^(AA$5-1)*MAX(0,MIN(1,AA$4*1-Inputs!$E$33+1))/1</f>
        <v>3.375</v>
      </c>
      <c r="AB9" s="50" t="n">
        <f aca="false">Inputs!$E$30*(1+Inputs!$E$32)^(AB$5-1)*MAX(0,MIN(1,AB$4*1-Inputs!$E$33+1))/1</f>
        <v>3.375</v>
      </c>
      <c r="AC9" s="50" t="n">
        <f aca="false">Inputs!$E$30*(1+Inputs!$E$32)^(AC$5-1)*MAX(0,MIN(1,AC$4*1-Inputs!$E$33+1))/1</f>
        <v>3.375</v>
      </c>
      <c r="AD9" s="50" t="n">
        <f aca="false">Inputs!$E$30*(1+Inputs!$E$32)^(AD$5-1)*MAX(0,MIN(1,AD$4*1-Inputs!$E$33+1))/1</f>
        <v>3.375</v>
      </c>
      <c r="AE9" s="50" t="n">
        <f aca="false">Inputs!$E$30*(1+Inputs!$E$32)^(AE$5-1)*MAX(0,MIN(1,AE$4*1-Inputs!$E$33+1))/1</f>
        <v>3.375</v>
      </c>
      <c r="AF9" s="50" t="n">
        <f aca="false">Inputs!$E$30*(1+Inputs!$E$32)^(AF$5-1)*MAX(0,MIN(1,AF$4*1-Inputs!$E$33+1))/1</f>
        <v>3.375</v>
      </c>
      <c r="AG9" s="50" t="n">
        <f aca="false">Inputs!$E$30*(1+Inputs!$E$32)^(AG$5-1)*MAX(0,MIN(1,AG$4*1-Inputs!$E$33+1))/1</f>
        <v>3.375</v>
      </c>
      <c r="AH9" s="50" t="n">
        <f aca="false">Inputs!$E$30*(1+Inputs!$E$32)^(AH$5-1)*MAX(0,MIN(1,AH$4*1-Inputs!$E$33+1))/1</f>
        <v>3.375</v>
      </c>
      <c r="AI9" s="50" t="n">
        <f aca="false">Inputs!$E$30*(1+Inputs!$E$32)^(AI$5-1)*MAX(0,MIN(1,AI$4*1-Inputs!$E$33+1))/1</f>
        <v>3.375</v>
      </c>
      <c r="AJ9" s="50" t="n">
        <f aca="false">Inputs!$E$30*(1+Inputs!$E$32)^(AJ$5-1)*MAX(0,MIN(1,AJ$4*1-Inputs!$E$33+1))/1</f>
        <v>3.375</v>
      </c>
      <c r="AK9" s="50" t="n">
        <f aca="false">Inputs!$E$30*(1+Inputs!$E$32)^(AK$5-1)*MAX(0,MIN(1,AK$4*1-Inputs!$E$33+1))/1</f>
        <v>3.375</v>
      </c>
      <c r="AL9" s="50" t="n">
        <f aca="false">Inputs!$E$30*(1+Inputs!$E$32)^(AL$5-1)*MAX(0,MIN(1,AL$4*1-Inputs!$E$33+1))/1</f>
        <v>3.375</v>
      </c>
      <c r="AM9" s="50" t="n">
        <f aca="false">Inputs!$E$30*(1+Inputs!$E$32)^(AM$5-1)*MAX(0,MIN(1,AM$4*1-Inputs!$E$33+1))/1</f>
        <v>5.0625</v>
      </c>
      <c r="AN9" s="50" t="n">
        <f aca="false">Inputs!$E$30*(1+Inputs!$E$32)^(AN$5-1)*MAX(0,MIN(1,AN$4*1-Inputs!$E$33+1))/1</f>
        <v>5.0625</v>
      </c>
      <c r="AO9" s="50" t="n">
        <f aca="false">Inputs!$E$30*(1+Inputs!$E$32)^(AO$5-1)*MAX(0,MIN(1,AO$4*1-Inputs!$E$33+1))/1</f>
        <v>5.0625</v>
      </c>
      <c r="AP9" s="50" t="n">
        <f aca="false">Inputs!$E$30*(1+Inputs!$E$32)^(AP$5-1)*MAX(0,MIN(1,AP$4*1-Inputs!$E$33+1))/1</f>
        <v>5.0625</v>
      </c>
      <c r="AQ9" s="50" t="n">
        <f aca="false">Inputs!$E$30*(1+Inputs!$E$32)^(AQ$5-1)*MAX(0,MIN(1,AQ$4*1-Inputs!$E$33+1))/1</f>
        <v>5.0625</v>
      </c>
      <c r="AR9" s="50" t="n">
        <f aca="false">Inputs!$E$30*(1+Inputs!$E$32)^(AR$5-1)*MAX(0,MIN(1,AR$4*1-Inputs!$E$33+1))/1</f>
        <v>5.0625</v>
      </c>
      <c r="AS9" s="50" t="n">
        <f aca="false">Inputs!$E$30*(1+Inputs!$E$32)^(AS$5-1)*MAX(0,MIN(1,AS$4*1-Inputs!$E$33+1))/1</f>
        <v>5.0625</v>
      </c>
      <c r="AT9" s="50" t="n">
        <f aca="false">Inputs!$E$30*(1+Inputs!$E$32)^(AT$5-1)*MAX(0,MIN(1,AT$4*1-Inputs!$E$33+1))/1</f>
        <v>5.0625</v>
      </c>
      <c r="AU9" s="50" t="n">
        <f aca="false">Inputs!$E$30*(1+Inputs!$E$32)^(AU$5-1)*MAX(0,MIN(1,AU$4*1-Inputs!$E$33+1))/1</f>
        <v>5.0625</v>
      </c>
      <c r="AV9" s="50" t="n">
        <f aca="false">Inputs!$E$30*(1+Inputs!$E$32)^(AV$5-1)*MAX(0,MIN(1,AV$4*1-Inputs!$E$33+1))/1</f>
        <v>5.0625</v>
      </c>
      <c r="AW9" s="50" t="n">
        <f aca="false">Inputs!$E$30*(1+Inputs!$E$32)^(AW$5-1)*MAX(0,MIN(1,AW$4*1-Inputs!$E$33+1))/1</f>
        <v>5.0625</v>
      </c>
      <c r="AX9" s="50" t="n">
        <f aca="false">Inputs!$E$30*(1+Inputs!$E$32)^(AX$5-1)*MAX(0,MIN(1,AX$4*1-Inputs!$E$33+1))/1</f>
        <v>5.0625</v>
      </c>
      <c r="AY9" s="50" t="n">
        <f aca="false">Inputs!$E$30*(1+Inputs!$E$32)^(AY$5-1)*MAX(0,MIN(1,AY$4*1-Inputs!$E$33+1))/1</f>
        <v>7.59375</v>
      </c>
      <c r="AZ9" s="50" t="n">
        <f aca="false">Inputs!$E$30*(1+Inputs!$E$32)^(AZ$5-1)*MAX(0,MIN(1,AZ$4*1-Inputs!$E$33+1))/1</f>
        <v>7.59375</v>
      </c>
      <c r="BA9" s="50" t="n">
        <f aca="false">Inputs!$E$30*(1+Inputs!$E$32)^(BA$5-1)*MAX(0,MIN(1,BA$4*1-Inputs!$E$33+1))/1</f>
        <v>7.59375</v>
      </c>
      <c r="BB9" s="50" t="n">
        <f aca="false">Inputs!$E$30*(1+Inputs!$E$32)^(BB$5-1)*MAX(0,MIN(1,BB$4*1-Inputs!$E$33+1))/1</f>
        <v>7.59375</v>
      </c>
      <c r="BC9" s="50" t="n">
        <f aca="false">Inputs!$E$30*(1+Inputs!$E$32)^(BC$5-1)*MAX(0,MIN(1,BC$4*1-Inputs!$E$33+1))/1</f>
        <v>7.59375</v>
      </c>
      <c r="BD9" s="50" t="n">
        <f aca="false">Inputs!$E$30*(1+Inputs!$E$32)^(BD$5-1)*MAX(0,MIN(1,BD$4*1-Inputs!$E$33+1))/1</f>
        <v>7.59375</v>
      </c>
      <c r="BE9" s="50" t="n">
        <f aca="false">Inputs!$E$30*(1+Inputs!$E$32)^(BE$5-1)*MAX(0,MIN(1,BE$4*1-Inputs!$E$33+1))/1</f>
        <v>7.59375</v>
      </c>
      <c r="BF9" s="50" t="n">
        <f aca="false">Inputs!$E$30*(1+Inputs!$E$32)^(BF$5-1)*MAX(0,MIN(1,BF$4*1-Inputs!$E$33+1))/1</f>
        <v>7.59375</v>
      </c>
      <c r="BG9" s="50" t="n">
        <f aca="false">Inputs!$E$30*(1+Inputs!$E$32)^(BG$5-1)*MAX(0,MIN(1,BG$4*1-Inputs!$E$33+1))/1</f>
        <v>7.59375</v>
      </c>
      <c r="BH9" s="50" t="n">
        <f aca="false">Inputs!$E$30*(1+Inputs!$E$32)^(BH$5-1)*MAX(0,MIN(1,BH$4*1-Inputs!$E$33+1))/1</f>
        <v>7.59375</v>
      </c>
      <c r="BI9" s="50" t="n">
        <f aca="false">Inputs!$E$30*(1+Inputs!$E$32)^(BI$5-1)*MAX(0,MIN(1,BI$4*1-Inputs!$E$33+1))/1</f>
        <v>7.59375</v>
      </c>
      <c r="BJ9" s="50" t="n">
        <f aca="false">Inputs!$E$30*(1+Inputs!$E$32)^(BJ$5-1)*MAX(0,MIN(1,BJ$4*1-Inputs!$E$33+1))/1</f>
        <v>7.59375</v>
      </c>
    </row>
    <row r="10" customFormat="false" ht="15" hidden="false" customHeight="false" outlineLevel="0" collapsed="false">
      <c r="A10" s="6" t="s">
        <v>369</v>
      </c>
      <c r="C10" s="50" t="n">
        <f aca="false">Inputs!$E$34*(1+Inputs!$E$36)^(C$5-1)*MAX(0,MIN(1,C$4*1-Inputs!$E$37+1))/1</f>
        <v>1</v>
      </c>
      <c r="D10" s="50" t="n">
        <f aca="false">Inputs!$E$34*(1+Inputs!$E$36)^(D$5-1)*MAX(0,MIN(1,D$4*1-Inputs!$E$37+1))/1</f>
        <v>1</v>
      </c>
      <c r="E10" s="50" t="n">
        <f aca="false">Inputs!$E$34*(1+Inputs!$E$36)^(E$5-1)*MAX(0,MIN(1,E$4*1-Inputs!$E$37+1))/1</f>
        <v>1</v>
      </c>
      <c r="F10" s="50" t="n">
        <f aca="false">Inputs!$E$34*(1+Inputs!$E$36)^(F$5-1)*MAX(0,MIN(1,F$4*1-Inputs!$E$37+1))/1</f>
        <v>1</v>
      </c>
      <c r="G10" s="50" t="n">
        <f aca="false">Inputs!$E$34*(1+Inputs!$E$36)^(G$5-1)*MAX(0,MIN(1,G$4*1-Inputs!$E$37+1))/1</f>
        <v>1</v>
      </c>
      <c r="H10" s="50" t="n">
        <f aca="false">Inputs!$E$34*(1+Inputs!$E$36)^(H$5-1)*MAX(0,MIN(1,H$4*1-Inputs!$E$37+1))/1</f>
        <v>1</v>
      </c>
      <c r="I10" s="50" t="n">
        <f aca="false">Inputs!$E$34*(1+Inputs!$E$36)^(I$5-1)*MAX(0,MIN(1,I$4*1-Inputs!$E$37+1))/1</f>
        <v>1</v>
      </c>
      <c r="J10" s="50" t="n">
        <f aca="false">Inputs!$E$34*(1+Inputs!$E$36)^(J$5-1)*MAX(0,MIN(1,J$4*1-Inputs!$E$37+1))/1</f>
        <v>1</v>
      </c>
      <c r="K10" s="50" t="n">
        <f aca="false">Inputs!$E$34*(1+Inputs!$E$36)^(K$5-1)*MAX(0,MIN(1,K$4*1-Inputs!$E$37+1))/1</f>
        <v>1</v>
      </c>
      <c r="L10" s="50" t="n">
        <f aca="false">Inputs!$E$34*(1+Inputs!$E$36)^(L$5-1)*MAX(0,MIN(1,L$4*1-Inputs!$E$37+1))/1</f>
        <v>1</v>
      </c>
      <c r="M10" s="50" t="n">
        <f aca="false">Inputs!$E$34*(1+Inputs!$E$36)^(M$5-1)*MAX(0,MIN(1,M$4*1-Inputs!$E$37+1))/1</f>
        <v>1</v>
      </c>
      <c r="N10" s="50" t="n">
        <f aca="false">Inputs!$E$34*(1+Inputs!$E$36)^(N$5-1)*MAX(0,MIN(1,N$4*1-Inputs!$E$37+1))/1</f>
        <v>1</v>
      </c>
      <c r="O10" s="50" t="n">
        <f aca="false">Inputs!$E$34*(1+Inputs!$E$36)^(O$5-1)*MAX(0,MIN(1,O$4*1-Inputs!$E$37+1))/1</f>
        <v>1.5</v>
      </c>
      <c r="P10" s="50" t="n">
        <f aca="false">Inputs!$E$34*(1+Inputs!$E$36)^(P$5-1)*MAX(0,MIN(1,P$4*1-Inputs!$E$37+1))/1</f>
        <v>1.5</v>
      </c>
      <c r="Q10" s="50" t="n">
        <f aca="false">Inputs!$E$34*(1+Inputs!$E$36)^(Q$5-1)*MAX(0,MIN(1,Q$4*1-Inputs!$E$37+1))/1</f>
        <v>1.5</v>
      </c>
      <c r="R10" s="50" t="n">
        <f aca="false">Inputs!$E$34*(1+Inputs!$E$36)^(R$5-1)*MAX(0,MIN(1,R$4*1-Inputs!$E$37+1))/1</f>
        <v>1.5</v>
      </c>
      <c r="S10" s="50" t="n">
        <f aca="false">Inputs!$E$34*(1+Inputs!$E$36)^(S$5-1)*MAX(0,MIN(1,S$4*1-Inputs!$E$37+1))/1</f>
        <v>1.5</v>
      </c>
      <c r="T10" s="50" t="n">
        <f aca="false">Inputs!$E$34*(1+Inputs!$E$36)^(T$5-1)*MAX(0,MIN(1,T$4*1-Inputs!$E$37+1))/1</f>
        <v>1.5</v>
      </c>
      <c r="U10" s="50" t="n">
        <f aca="false">Inputs!$E$34*(1+Inputs!$E$36)^(U$5-1)*MAX(0,MIN(1,U$4*1-Inputs!$E$37+1))/1</f>
        <v>1.5</v>
      </c>
      <c r="V10" s="50" t="n">
        <f aca="false">Inputs!$E$34*(1+Inputs!$E$36)^(V$5-1)*MAX(0,MIN(1,V$4*1-Inputs!$E$37+1))/1</f>
        <v>1.5</v>
      </c>
      <c r="W10" s="50" t="n">
        <f aca="false">Inputs!$E$34*(1+Inputs!$E$36)^(W$5-1)*MAX(0,MIN(1,W$4*1-Inputs!$E$37+1))/1</f>
        <v>1.5</v>
      </c>
      <c r="X10" s="50" t="n">
        <f aca="false">Inputs!$E$34*(1+Inputs!$E$36)^(X$5-1)*MAX(0,MIN(1,X$4*1-Inputs!$E$37+1))/1</f>
        <v>1.5</v>
      </c>
      <c r="Y10" s="50" t="n">
        <f aca="false">Inputs!$E$34*(1+Inputs!$E$36)^(Y$5-1)*MAX(0,MIN(1,Y$4*1-Inputs!$E$37+1))/1</f>
        <v>1.5</v>
      </c>
      <c r="Z10" s="50" t="n">
        <f aca="false">Inputs!$E$34*(1+Inputs!$E$36)^(Z$5-1)*MAX(0,MIN(1,Z$4*1-Inputs!$E$37+1))/1</f>
        <v>1.5</v>
      </c>
      <c r="AA10" s="50" t="n">
        <f aca="false">Inputs!$E$34*(1+Inputs!$E$36)^(AA$5-1)*MAX(0,MIN(1,AA$4*1-Inputs!$E$37+1))/1</f>
        <v>2.25</v>
      </c>
      <c r="AB10" s="50" t="n">
        <f aca="false">Inputs!$E$34*(1+Inputs!$E$36)^(AB$5-1)*MAX(0,MIN(1,AB$4*1-Inputs!$E$37+1))/1</f>
        <v>2.25</v>
      </c>
      <c r="AC10" s="50" t="n">
        <f aca="false">Inputs!$E$34*(1+Inputs!$E$36)^(AC$5-1)*MAX(0,MIN(1,AC$4*1-Inputs!$E$37+1))/1</f>
        <v>2.25</v>
      </c>
      <c r="AD10" s="50" t="n">
        <f aca="false">Inputs!$E$34*(1+Inputs!$E$36)^(AD$5-1)*MAX(0,MIN(1,AD$4*1-Inputs!$E$37+1))/1</f>
        <v>2.25</v>
      </c>
      <c r="AE10" s="50" t="n">
        <f aca="false">Inputs!$E$34*(1+Inputs!$E$36)^(AE$5-1)*MAX(0,MIN(1,AE$4*1-Inputs!$E$37+1))/1</f>
        <v>2.25</v>
      </c>
      <c r="AF10" s="50" t="n">
        <f aca="false">Inputs!$E$34*(1+Inputs!$E$36)^(AF$5-1)*MAX(0,MIN(1,AF$4*1-Inputs!$E$37+1))/1</f>
        <v>2.25</v>
      </c>
      <c r="AG10" s="50" t="n">
        <f aca="false">Inputs!$E$34*(1+Inputs!$E$36)^(AG$5-1)*MAX(0,MIN(1,AG$4*1-Inputs!$E$37+1))/1</f>
        <v>2.25</v>
      </c>
      <c r="AH10" s="50" t="n">
        <f aca="false">Inputs!$E$34*(1+Inputs!$E$36)^(AH$5-1)*MAX(0,MIN(1,AH$4*1-Inputs!$E$37+1))/1</f>
        <v>2.25</v>
      </c>
      <c r="AI10" s="50" t="n">
        <f aca="false">Inputs!$E$34*(1+Inputs!$E$36)^(AI$5-1)*MAX(0,MIN(1,AI$4*1-Inputs!$E$37+1))/1</f>
        <v>2.25</v>
      </c>
      <c r="AJ10" s="50" t="n">
        <f aca="false">Inputs!$E$34*(1+Inputs!$E$36)^(AJ$5-1)*MAX(0,MIN(1,AJ$4*1-Inputs!$E$37+1))/1</f>
        <v>2.25</v>
      </c>
      <c r="AK10" s="50" t="n">
        <f aca="false">Inputs!$E$34*(1+Inputs!$E$36)^(AK$5-1)*MAX(0,MIN(1,AK$4*1-Inputs!$E$37+1))/1</f>
        <v>2.25</v>
      </c>
      <c r="AL10" s="50" t="n">
        <f aca="false">Inputs!$E$34*(1+Inputs!$E$36)^(AL$5-1)*MAX(0,MIN(1,AL$4*1-Inputs!$E$37+1))/1</f>
        <v>2.25</v>
      </c>
      <c r="AM10" s="50" t="n">
        <f aca="false">Inputs!$E$34*(1+Inputs!$E$36)^(AM$5-1)*MAX(0,MIN(1,AM$4*1-Inputs!$E$37+1))/1</f>
        <v>3.375</v>
      </c>
      <c r="AN10" s="50" t="n">
        <f aca="false">Inputs!$E$34*(1+Inputs!$E$36)^(AN$5-1)*MAX(0,MIN(1,AN$4*1-Inputs!$E$37+1))/1</f>
        <v>3.375</v>
      </c>
      <c r="AO10" s="50" t="n">
        <f aca="false">Inputs!$E$34*(1+Inputs!$E$36)^(AO$5-1)*MAX(0,MIN(1,AO$4*1-Inputs!$E$37+1))/1</f>
        <v>3.375</v>
      </c>
      <c r="AP10" s="50" t="n">
        <f aca="false">Inputs!$E$34*(1+Inputs!$E$36)^(AP$5-1)*MAX(0,MIN(1,AP$4*1-Inputs!$E$37+1))/1</f>
        <v>3.375</v>
      </c>
      <c r="AQ10" s="50" t="n">
        <f aca="false">Inputs!$E$34*(1+Inputs!$E$36)^(AQ$5-1)*MAX(0,MIN(1,AQ$4*1-Inputs!$E$37+1))/1</f>
        <v>3.375</v>
      </c>
      <c r="AR10" s="50" t="n">
        <f aca="false">Inputs!$E$34*(1+Inputs!$E$36)^(AR$5-1)*MAX(0,MIN(1,AR$4*1-Inputs!$E$37+1))/1</f>
        <v>3.375</v>
      </c>
      <c r="AS10" s="50" t="n">
        <f aca="false">Inputs!$E$34*(1+Inputs!$E$36)^(AS$5-1)*MAX(0,MIN(1,AS$4*1-Inputs!$E$37+1))/1</f>
        <v>3.375</v>
      </c>
      <c r="AT10" s="50" t="n">
        <f aca="false">Inputs!$E$34*(1+Inputs!$E$36)^(AT$5-1)*MAX(0,MIN(1,AT$4*1-Inputs!$E$37+1))/1</f>
        <v>3.375</v>
      </c>
      <c r="AU10" s="50" t="n">
        <f aca="false">Inputs!$E$34*(1+Inputs!$E$36)^(AU$5-1)*MAX(0,MIN(1,AU$4*1-Inputs!$E$37+1))/1</f>
        <v>3.375</v>
      </c>
      <c r="AV10" s="50" t="n">
        <f aca="false">Inputs!$E$34*(1+Inputs!$E$36)^(AV$5-1)*MAX(0,MIN(1,AV$4*1-Inputs!$E$37+1))/1</f>
        <v>3.375</v>
      </c>
      <c r="AW10" s="50" t="n">
        <f aca="false">Inputs!$E$34*(1+Inputs!$E$36)^(AW$5-1)*MAX(0,MIN(1,AW$4*1-Inputs!$E$37+1))/1</f>
        <v>3.375</v>
      </c>
      <c r="AX10" s="50" t="n">
        <f aca="false">Inputs!$E$34*(1+Inputs!$E$36)^(AX$5-1)*MAX(0,MIN(1,AX$4*1-Inputs!$E$37+1))/1</f>
        <v>3.375</v>
      </c>
      <c r="AY10" s="50" t="n">
        <f aca="false">Inputs!$E$34*(1+Inputs!$E$36)^(AY$5-1)*MAX(0,MIN(1,AY$4*1-Inputs!$E$37+1))/1</f>
        <v>5.0625</v>
      </c>
      <c r="AZ10" s="50" t="n">
        <f aca="false">Inputs!$E$34*(1+Inputs!$E$36)^(AZ$5-1)*MAX(0,MIN(1,AZ$4*1-Inputs!$E$37+1))/1</f>
        <v>5.0625</v>
      </c>
      <c r="BA10" s="50" t="n">
        <f aca="false">Inputs!$E$34*(1+Inputs!$E$36)^(BA$5-1)*MAX(0,MIN(1,BA$4*1-Inputs!$E$37+1))/1</f>
        <v>5.0625</v>
      </c>
      <c r="BB10" s="50" t="n">
        <f aca="false">Inputs!$E$34*(1+Inputs!$E$36)^(BB$5-1)*MAX(0,MIN(1,BB$4*1-Inputs!$E$37+1))/1</f>
        <v>5.0625</v>
      </c>
      <c r="BC10" s="50" t="n">
        <f aca="false">Inputs!$E$34*(1+Inputs!$E$36)^(BC$5-1)*MAX(0,MIN(1,BC$4*1-Inputs!$E$37+1))/1</f>
        <v>5.0625</v>
      </c>
      <c r="BD10" s="50" t="n">
        <f aca="false">Inputs!$E$34*(1+Inputs!$E$36)^(BD$5-1)*MAX(0,MIN(1,BD$4*1-Inputs!$E$37+1))/1</f>
        <v>5.0625</v>
      </c>
      <c r="BE10" s="50" t="n">
        <f aca="false">Inputs!$E$34*(1+Inputs!$E$36)^(BE$5-1)*MAX(0,MIN(1,BE$4*1-Inputs!$E$37+1))/1</f>
        <v>5.0625</v>
      </c>
      <c r="BF10" s="50" t="n">
        <f aca="false">Inputs!$E$34*(1+Inputs!$E$36)^(BF$5-1)*MAX(0,MIN(1,BF$4*1-Inputs!$E$37+1))/1</f>
        <v>5.0625</v>
      </c>
      <c r="BG10" s="50" t="n">
        <f aca="false">Inputs!$E$34*(1+Inputs!$E$36)^(BG$5-1)*MAX(0,MIN(1,BG$4*1-Inputs!$E$37+1))/1</f>
        <v>5.0625</v>
      </c>
      <c r="BH10" s="50" t="n">
        <f aca="false">Inputs!$E$34*(1+Inputs!$E$36)^(BH$5-1)*MAX(0,MIN(1,BH$4*1-Inputs!$E$37+1))/1</f>
        <v>5.0625</v>
      </c>
      <c r="BI10" s="50" t="n">
        <f aca="false">Inputs!$E$34*(1+Inputs!$E$36)^(BI$5-1)*MAX(0,MIN(1,BI$4*1-Inputs!$E$37+1))/1</f>
        <v>5.0625</v>
      </c>
      <c r="BJ10" s="50" t="n">
        <f aca="false">Inputs!$E$34*(1+Inputs!$E$36)^(BJ$5-1)*MAX(0,MIN(1,BJ$4*1-Inputs!$E$37+1))/1</f>
        <v>5.0625</v>
      </c>
    </row>
    <row r="11" customFormat="false" ht="15" hidden="false" customHeight="false" outlineLevel="0" collapsed="false">
      <c r="A11" s="6" t="s">
        <v>370</v>
      </c>
      <c r="C11" s="50" t="n">
        <f aca="false">Inputs!$E$38*(1+Inputs!$E$40)^(C$5-1)*MAX(0,MIN(1,C$4*1-Inputs!$E$41+1))/1</f>
        <v>0.5</v>
      </c>
      <c r="D11" s="50" t="n">
        <f aca="false">Inputs!$E$38*(1+Inputs!$E$40)^(D$5-1)*MAX(0,MIN(1,D$4*1-Inputs!$E$41+1))/1</f>
        <v>0.5</v>
      </c>
      <c r="E11" s="50" t="n">
        <f aca="false">Inputs!$E$38*(1+Inputs!$E$40)^(E$5-1)*MAX(0,MIN(1,E$4*1-Inputs!$E$41+1))/1</f>
        <v>0.5</v>
      </c>
      <c r="F11" s="50" t="n">
        <f aca="false">Inputs!$E$38*(1+Inputs!$E$40)^(F$5-1)*MAX(0,MIN(1,F$4*1-Inputs!$E$41+1))/1</f>
        <v>0.5</v>
      </c>
      <c r="G11" s="50" t="n">
        <f aca="false">Inputs!$E$38*(1+Inputs!$E$40)^(G$5-1)*MAX(0,MIN(1,G$4*1-Inputs!$E$41+1))/1</f>
        <v>0.5</v>
      </c>
      <c r="H11" s="50" t="n">
        <f aca="false">Inputs!$E$38*(1+Inputs!$E$40)^(H$5-1)*MAX(0,MIN(1,H$4*1-Inputs!$E$41+1))/1</f>
        <v>0.5</v>
      </c>
      <c r="I11" s="50" t="n">
        <f aca="false">Inputs!$E$38*(1+Inputs!$E$40)^(I$5-1)*MAX(0,MIN(1,I$4*1-Inputs!$E$41+1))/1</f>
        <v>0.5</v>
      </c>
      <c r="J11" s="50" t="n">
        <f aca="false">Inputs!$E$38*(1+Inputs!$E$40)^(J$5-1)*MAX(0,MIN(1,J$4*1-Inputs!$E$41+1))/1</f>
        <v>0.5</v>
      </c>
      <c r="K11" s="50" t="n">
        <f aca="false">Inputs!$E$38*(1+Inputs!$E$40)^(K$5-1)*MAX(0,MIN(1,K$4*1-Inputs!$E$41+1))/1</f>
        <v>0.5</v>
      </c>
      <c r="L11" s="50" t="n">
        <f aca="false">Inputs!$E$38*(1+Inputs!$E$40)^(L$5-1)*MAX(0,MIN(1,L$4*1-Inputs!$E$41+1))/1</f>
        <v>0.5</v>
      </c>
      <c r="M11" s="50" t="n">
        <f aca="false">Inputs!$E$38*(1+Inputs!$E$40)^(M$5-1)*MAX(0,MIN(1,M$4*1-Inputs!$E$41+1))/1</f>
        <v>0.5</v>
      </c>
      <c r="N11" s="50" t="n">
        <f aca="false">Inputs!$E$38*(1+Inputs!$E$40)^(N$5-1)*MAX(0,MIN(1,N$4*1-Inputs!$E$41+1))/1</f>
        <v>0.5</v>
      </c>
      <c r="O11" s="50" t="n">
        <f aca="false">Inputs!$E$38*(1+Inputs!$E$40)^(O$5-1)*MAX(0,MIN(1,O$4*1-Inputs!$E$41+1))/1</f>
        <v>0.75</v>
      </c>
      <c r="P11" s="50" t="n">
        <f aca="false">Inputs!$E$38*(1+Inputs!$E$40)^(P$5-1)*MAX(0,MIN(1,P$4*1-Inputs!$E$41+1))/1</f>
        <v>0.75</v>
      </c>
      <c r="Q11" s="50" t="n">
        <f aca="false">Inputs!$E$38*(1+Inputs!$E$40)^(Q$5-1)*MAX(0,MIN(1,Q$4*1-Inputs!$E$41+1))/1</f>
        <v>0.75</v>
      </c>
      <c r="R11" s="50" t="n">
        <f aca="false">Inputs!$E$38*(1+Inputs!$E$40)^(R$5-1)*MAX(0,MIN(1,R$4*1-Inputs!$E$41+1))/1</f>
        <v>0.75</v>
      </c>
      <c r="S11" s="50" t="n">
        <f aca="false">Inputs!$E$38*(1+Inputs!$E$40)^(S$5-1)*MAX(0,MIN(1,S$4*1-Inputs!$E$41+1))/1</f>
        <v>0.75</v>
      </c>
      <c r="T11" s="50" t="n">
        <f aca="false">Inputs!$E$38*(1+Inputs!$E$40)^(T$5-1)*MAX(0,MIN(1,T$4*1-Inputs!$E$41+1))/1</f>
        <v>0.75</v>
      </c>
      <c r="U11" s="50" t="n">
        <f aca="false">Inputs!$E$38*(1+Inputs!$E$40)^(U$5-1)*MAX(0,MIN(1,U$4*1-Inputs!$E$41+1))/1</f>
        <v>0.75</v>
      </c>
      <c r="V11" s="50" t="n">
        <f aca="false">Inputs!$E$38*(1+Inputs!$E$40)^(V$5-1)*MAX(0,MIN(1,V$4*1-Inputs!$E$41+1))/1</f>
        <v>0.75</v>
      </c>
      <c r="W11" s="50" t="n">
        <f aca="false">Inputs!$E$38*(1+Inputs!$E$40)^(W$5-1)*MAX(0,MIN(1,W$4*1-Inputs!$E$41+1))/1</f>
        <v>0.75</v>
      </c>
      <c r="X11" s="50" t="n">
        <f aca="false">Inputs!$E$38*(1+Inputs!$E$40)^(X$5-1)*MAX(0,MIN(1,X$4*1-Inputs!$E$41+1))/1</f>
        <v>0.75</v>
      </c>
      <c r="Y11" s="50" t="n">
        <f aca="false">Inputs!$E$38*(1+Inputs!$E$40)^(Y$5-1)*MAX(0,MIN(1,Y$4*1-Inputs!$E$41+1))/1</f>
        <v>0.75</v>
      </c>
      <c r="Z11" s="50" t="n">
        <f aca="false">Inputs!$E$38*(1+Inputs!$E$40)^(Z$5-1)*MAX(0,MIN(1,Z$4*1-Inputs!$E$41+1))/1</f>
        <v>0.75</v>
      </c>
      <c r="AA11" s="50" t="n">
        <f aca="false">Inputs!$E$38*(1+Inputs!$E$40)^(AA$5-1)*MAX(0,MIN(1,AA$4*1-Inputs!$E$41+1))/1</f>
        <v>1.125</v>
      </c>
      <c r="AB11" s="50" t="n">
        <f aca="false">Inputs!$E$38*(1+Inputs!$E$40)^(AB$5-1)*MAX(0,MIN(1,AB$4*1-Inputs!$E$41+1))/1</f>
        <v>1.125</v>
      </c>
      <c r="AC11" s="50" t="n">
        <f aca="false">Inputs!$E$38*(1+Inputs!$E$40)^(AC$5-1)*MAX(0,MIN(1,AC$4*1-Inputs!$E$41+1))/1</f>
        <v>1.125</v>
      </c>
      <c r="AD11" s="50" t="n">
        <f aca="false">Inputs!$E$38*(1+Inputs!$E$40)^(AD$5-1)*MAX(0,MIN(1,AD$4*1-Inputs!$E$41+1))/1</f>
        <v>1.125</v>
      </c>
      <c r="AE11" s="50" t="n">
        <f aca="false">Inputs!$E$38*(1+Inputs!$E$40)^(AE$5-1)*MAX(0,MIN(1,AE$4*1-Inputs!$E$41+1))/1</f>
        <v>1.125</v>
      </c>
      <c r="AF11" s="50" t="n">
        <f aca="false">Inputs!$E$38*(1+Inputs!$E$40)^(AF$5-1)*MAX(0,MIN(1,AF$4*1-Inputs!$E$41+1))/1</f>
        <v>1.125</v>
      </c>
      <c r="AG11" s="50" t="n">
        <f aca="false">Inputs!$E$38*(1+Inputs!$E$40)^(AG$5-1)*MAX(0,MIN(1,AG$4*1-Inputs!$E$41+1))/1</f>
        <v>1.125</v>
      </c>
      <c r="AH11" s="50" t="n">
        <f aca="false">Inputs!$E$38*(1+Inputs!$E$40)^(AH$5-1)*MAX(0,MIN(1,AH$4*1-Inputs!$E$41+1))/1</f>
        <v>1.125</v>
      </c>
      <c r="AI11" s="50" t="n">
        <f aca="false">Inputs!$E$38*(1+Inputs!$E$40)^(AI$5-1)*MAX(0,MIN(1,AI$4*1-Inputs!$E$41+1))/1</f>
        <v>1.125</v>
      </c>
      <c r="AJ11" s="50" t="n">
        <f aca="false">Inputs!$E$38*(1+Inputs!$E$40)^(AJ$5-1)*MAX(0,MIN(1,AJ$4*1-Inputs!$E$41+1))/1</f>
        <v>1.125</v>
      </c>
      <c r="AK11" s="50" t="n">
        <f aca="false">Inputs!$E$38*(1+Inputs!$E$40)^(AK$5-1)*MAX(0,MIN(1,AK$4*1-Inputs!$E$41+1))/1</f>
        <v>1.125</v>
      </c>
      <c r="AL11" s="50" t="n">
        <f aca="false">Inputs!$E$38*(1+Inputs!$E$40)^(AL$5-1)*MAX(0,MIN(1,AL$4*1-Inputs!$E$41+1))/1</f>
        <v>1.125</v>
      </c>
      <c r="AM11" s="50" t="n">
        <f aca="false">Inputs!$E$38*(1+Inputs!$E$40)^(AM$5-1)*MAX(0,MIN(1,AM$4*1-Inputs!$E$41+1))/1</f>
        <v>1.6875</v>
      </c>
      <c r="AN11" s="50" t="n">
        <f aca="false">Inputs!$E$38*(1+Inputs!$E$40)^(AN$5-1)*MAX(0,MIN(1,AN$4*1-Inputs!$E$41+1))/1</f>
        <v>1.6875</v>
      </c>
      <c r="AO11" s="50" t="n">
        <f aca="false">Inputs!$E$38*(1+Inputs!$E$40)^(AO$5-1)*MAX(0,MIN(1,AO$4*1-Inputs!$E$41+1))/1</f>
        <v>1.6875</v>
      </c>
      <c r="AP11" s="50" t="n">
        <f aca="false">Inputs!$E$38*(1+Inputs!$E$40)^(AP$5-1)*MAX(0,MIN(1,AP$4*1-Inputs!$E$41+1))/1</f>
        <v>1.6875</v>
      </c>
      <c r="AQ11" s="50" t="n">
        <f aca="false">Inputs!$E$38*(1+Inputs!$E$40)^(AQ$5-1)*MAX(0,MIN(1,AQ$4*1-Inputs!$E$41+1))/1</f>
        <v>1.6875</v>
      </c>
      <c r="AR11" s="50" t="n">
        <f aca="false">Inputs!$E$38*(1+Inputs!$E$40)^(AR$5-1)*MAX(0,MIN(1,AR$4*1-Inputs!$E$41+1))/1</f>
        <v>1.6875</v>
      </c>
      <c r="AS11" s="50" t="n">
        <f aca="false">Inputs!$E$38*(1+Inputs!$E$40)^(AS$5-1)*MAX(0,MIN(1,AS$4*1-Inputs!$E$41+1))/1</f>
        <v>1.6875</v>
      </c>
      <c r="AT11" s="50" t="n">
        <f aca="false">Inputs!$E$38*(1+Inputs!$E$40)^(AT$5-1)*MAX(0,MIN(1,AT$4*1-Inputs!$E$41+1))/1</f>
        <v>1.6875</v>
      </c>
      <c r="AU11" s="50" t="n">
        <f aca="false">Inputs!$E$38*(1+Inputs!$E$40)^(AU$5-1)*MAX(0,MIN(1,AU$4*1-Inputs!$E$41+1))/1</f>
        <v>1.6875</v>
      </c>
      <c r="AV11" s="50" t="n">
        <f aca="false">Inputs!$E$38*(1+Inputs!$E$40)^(AV$5-1)*MAX(0,MIN(1,AV$4*1-Inputs!$E$41+1))/1</f>
        <v>1.6875</v>
      </c>
      <c r="AW11" s="50" t="n">
        <f aca="false">Inputs!$E$38*(1+Inputs!$E$40)^(AW$5-1)*MAX(0,MIN(1,AW$4*1-Inputs!$E$41+1))/1</f>
        <v>1.6875</v>
      </c>
      <c r="AX11" s="50" t="n">
        <f aca="false">Inputs!$E$38*(1+Inputs!$E$40)^(AX$5-1)*MAX(0,MIN(1,AX$4*1-Inputs!$E$41+1))/1</f>
        <v>1.6875</v>
      </c>
      <c r="AY11" s="50" t="n">
        <f aca="false">Inputs!$E$38*(1+Inputs!$E$40)^(AY$5-1)*MAX(0,MIN(1,AY$4*1-Inputs!$E$41+1))/1</f>
        <v>2.53125</v>
      </c>
      <c r="AZ11" s="50" t="n">
        <f aca="false">Inputs!$E$38*(1+Inputs!$E$40)^(AZ$5-1)*MAX(0,MIN(1,AZ$4*1-Inputs!$E$41+1))/1</f>
        <v>2.53125</v>
      </c>
      <c r="BA11" s="50" t="n">
        <f aca="false">Inputs!$E$38*(1+Inputs!$E$40)^(BA$5-1)*MAX(0,MIN(1,BA$4*1-Inputs!$E$41+1))/1</f>
        <v>2.53125</v>
      </c>
      <c r="BB11" s="50" t="n">
        <f aca="false">Inputs!$E$38*(1+Inputs!$E$40)^(BB$5-1)*MAX(0,MIN(1,BB$4*1-Inputs!$E$41+1))/1</f>
        <v>2.53125</v>
      </c>
      <c r="BC11" s="50" t="n">
        <f aca="false">Inputs!$E$38*(1+Inputs!$E$40)^(BC$5-1)*MAX(0,MIN(1,BC$4*1-Inputs!$E$41+1))/1</f>
        <v>2.53125</v>
      </c>
      <c r="BD11" s="50" t="n">
        <f aca="false">Inputs!$E$38*(1+Inputs!$E$40)^(BD$5-1)*MAX(0,MIN(1,BD$4*1-Inputs!$E$41+1))/1</f>
        <v>2.53125</v>
      </c>
      <c r="BE11" s="50" t="n">
        <f aca="false">Inputs!$E$38*(1+Inputs!$E$40)^(BE$5-1)*MAX(0,MIN(1,BE$4*1-Inputs!$E$41+1))/1</f>
        <v>2.53125</v>
      </c>
      <c r="BF11" s="50" t="n">
        <f aca="false">Inputs!$E$38*(1+Inputs!$E$40)^(BF$5-1)*MAX(0,MIN(1,BF$4*1-Inputs!$E$41+1))/1</f>
        <v>2.53125</v>
      </c>
      <c r="BG11" s="50" t="n">
        <f aca="false">Inputs!$E$38*(1+Inputs!$E$40)^(BG$5-1)*MAX(0,MIN(1,BG$4*1-Inputs!$E$41+1))/1</f>
        <v>2.53125</v>
      </c>
      <c r="BH11" s="50" t="n">
        <f aca="false">Inputs!$E$38*(1+Inputs!$E$40)^(BH$5-1)*MAX(0,MIN(1,BH$4*1-Inputs!$E$41+1))/1</f>
        <v>2.53125</v>
      </c>
      <c r="BI11" s="50" t="n">
        <f aca="false">Inputs!$E$38*(1+Inputs!$E$40)^(BI$5-1)*MAX(0,MIN(1,BI$4*1-Inputs!$E$41+1))/1</f>
        <v>2.53125</v>
      </c>
      <c r="BJ11" s="50" t="n">
        <f aca="false">Inputs!$E$38*(1+Inputs!$E$40)^(BJ$5-1)*MAX(0,MIN(1,BJ$4*1-Inputs!$E$41+1))/1</f>
        <v>2.53125</v>
      </c>
    </row>
    <row r="12" customFormat="false" ht="15" hidden="false" customHeight="false" outlineLevel="0" collapsed="false">
      <c r="A12" s="82" t="s">
        <v>371</v>
      </c>
      <c r="C12" s="86" t="n">
        <f aca="false">C8+C9+C10+C11</f>
        <v>6</v>
      </c>
      <c r="D12" s="86" t="n">
        <f aca="false">D8+D9+D10+D11</f>
        <v>6</v>
      </c>
      <c r="E12" s="86" t="n">
        <f aca="false">E8+E9+E10+E11</f>
        <v>6</v>
      </c>
      <c r="F12" s="86" t="n">
        <f aca="false">F8+F9+F10+F11</f>
        <v>6</v>
      </c>
      <c r="G12" s="86" t="n">
        <f aca="false">G8+G9+G10+G11</f>
        <v>6</v>
      </c>
      <c r="H12" s="86" t="n">
        <f aca="false">H8+H9+H10+H11</f>
        <v>6</v>
      </c>
      <c r="I12" s="86" t="n">
        <f aca="false">I8+I9+I10+I11</f>
        <v>6</v>
      </c>
      <c r="J12" s="86" t="n">
        <f aca="false">J8+J9+J10+J11</f>
        <v>6</v>
      </c>
      <c r="K12" s="86" t="n">
        <f aca="false">K8+K9+K10+K11</f>
        <v>6</v>
      </c>
      <c r="L12" s="86" t="n">
        <f aca="false">L8+L9+L10+L11</f>
        <v>6</v>
      </c>
      <c r="M12" s="86" t="n">
        <f aca="false">M8+M9+M10+M11</f>
        <v>6</v>
      </c>
      <c r="N12" s="86" t="n">
        <f aca="false">N8+N9+N10+N11</f>
        <v>6</v>
      </c>
      <c r="O12" s="86" t="n">
        <f aca="false">O8+O9+O10+O11</f>
        <v>9</v>
      </c>
      <c r="P12" s="86" t="n">
        <f aca="false">P8+P9+P10+P11</f>
        <v>9</v>
      </c>
      <c r="Q12" s="86" t="n">
        <f aca="false">Q8+Q9+Q10+Q11</f>
        <v>9</v>
      </c>
      <c r="R12" s="86" t="n">
        <f aca="false">R8+R9+R10+R11</f>
        <v>9</v>
      </c>
      <c r="S12" s="86" t="n">
        <f aca="false">S8+S9+S10+S11</f>
        <v>9</v>
      </c>
      <c r="T12" s="86" t="n">
        <f aca="false">T8+T9+T10+T11</f>
        <v>9</v>
      </c>
      <c r="U12" s="86" t="n">
        <f aca="false">U8+U9+U10+U11</f>
        <v>9</v>
      </c>
      <c r="V12" s="86" t="n">
        <f aca="false">V8+V9+V10+V11</f>
        <v>9</v>
      </c>
      <c r="W12" s="86" t="n">
        <f aca="false">W8+W9+W10+W11</f>
        <v>9</v>
      </c>
      <c r="X12" s="86" t="n">
        <f aca="false">X8+X9+X10+X11</f>
        <v>9</v>
      </c>
      <c r="Y12" s="86" t="n">
        <f aca="false">Y8+Y9+Y10+Y11</f>
        <v>9</v>
      </c>
      <c r="Z12" s="86" t="n">
        <f aca="false">Z8+Z9+Z10+Z11</f>
        <v>9</v>
      </c>
      <c r="AA12" s="86" t="n">
        <f aca="false">AA8+AA9+AA10+AA11</f>
        <v>13.5</v>
      </c>
      <c r="AB12" s="86" t="n">
        <f aca="false">AB8+AB9+AB10+AB11</f>
        <v>13.5</v>
      </c>
      <c r="AC12" s="86" t="n">
        <f aca="false">AC8+AC9+AC10+AC11</f>
        <v>13.5</v>
      </c>
      <c r="AD12" s="86" t="n">
        <f aca="false">AD8+AD9+AD10+AD11</f>
        <v>13.5</v>
      </c>
      <c r="AE12" s="86" t="n">
        <f aca="false">AE8+AE9+AE10+AE11</f>
        <v>13.5</v>
      </c>
      <c r="AF12" s="86" t="n">
        <f aca="false">AF8+AF9+AF10+AF11</f>
        <v>13.5</v>
      </c>
      <c r="AG12" s="86" t="n">
        <f aca="false">AG8+AG9+AG10+AG11</f>
        <v>13.5</v>
      </c>
      <c r="AH12" s="86" t="n">
        <f aca="false">AH8+AH9+AH10+AH11</f>
        <v>13.5</v>
      </c>
      <c r="AI12" s="86" t="n">
        <f aca="false">AI8+AI9+AI10+AI11</f>
        <v>13.5</v>
      </c>
      <c r="AJ12" s="86" t="n">
        <f aca="false">AJ8+AJ9+AJ10+AJ11</f>
        <v>13.5</v>
      </c>
      <c r="AK12" s="86" t="n">
        <f aca="false">AK8+AK9+AK10+AK11</f>
        <v>13.5</v>
      </c>
      <c r="AL12" s="86" t="n">
        <f aca="false">AL8+AL9+AL10+AL11</f>
        <v>13.5</v>
      </c>
      <c r="AM12" s="86" t="n">
        <f aca="false">AM8+AM9+AM10+AM11</f>
        <v>20.25</v>
      </c>
      <c r="AN12" s="86" t="n">
        <f aca="false">AN8+AN9+AN10+AN11</f>
        <v>20.25</v>
      </c>
      <c r="AO12" s="86" t="n">
        <f aca="false">AO8+AO9+AO10+AO11</f>
        <v>20.25</v>
      </c>
      <c r="AP12" s="86" t="n">
        <f aca="false">AP8+AP9+AP10+AP11</f>
        <v>20.25</v>
      </c>
      <c r="AQ12" s="86" t="n">
        <f aca="false">AQ8+AQ9+AQ10+AQ11</f>
        <v>20.25</v>
      </c>
      <c r="AR12" s="86" t="n">
        <f aca="false">AR8+AR9+AR10+AR11</f>
        <v>20.25</v>
      </c>
      <c r="AS12" s="86" t="n">
        <f aca="false">AS8+AS9+AS10+AS11</f>
        <v>20.25</v>
      </c>
      <c r="AT12" s="86" t="n">
        <f aca="false">AT8+AT9+AT10+AT11</f>
        <v>20.25</v>
      </c>
      <c r="AU12" s="86" t="n">
        <f aca="false">AU8+AU9+AU10+AU11</f>
        <v>20.25</v>
      </c>
      <c r="AV12" s="86" t="n">
        <f aca="false">AV8+AV9+AV10+AV11</f>
        <v>20.25</v>
      </c>
      <c r="AW12" s="86" t="n">
        <f aca="false">AW8+AW9+AW10+AW11</f>
        <v>20.25</v>
      </c>
      <c r="AX12" s="86" t="n">
        <f aca="false">AX8+AX9+AX10+AX11</f>
        <v>20.25</v>
      </c>
      <c r="AY12" s="86" t="n">
        <f aca="false">AY8+AY9+AY10+AY11</f>
        <v>30.375</v>
      </c>
      <c r="AZ12" s="86" t="n">
        <f aca="false">AZ8+AZ9+AZ10+AZ11</f>
        <v>30.375</v>
      </c>
      <c r="BA12" s="86" t="n">
        <f aca="false">BA8+BA9+BA10+BA11</f>
        <v>30.375</v>
      </c>
      <c r="BB12" s="86" t="n">
        <f aca="false">BB8+BB9+BB10+BB11</f>
        <v>30.375</v>
      </c>
      <c r="BC12" s="86" t="n">
        <f aca="false">BC8+BC9+BC10+BC11</f>
        <v>30.375</v>
      </c>
      <c r="BD12" s="86" t="n">
        <f aca="false">BD8+BD9+BD10+BD11</f>
        <v>30.375</v>
      </c>
      <c r="BE12" s="86" t="n">
        <f aca="false">BE8+BE9+BE10+BE11</f>
        <v>30.375</v>
      </c>
      <c r="BF12" s="86" t="n">
        <f aca="false">BF8+BF9+BF10+BF11</f>
        <v>30.375</v>
      </c>
      <c r="BG12" s="86" t="n">
        <f aca="false">BG8+BG9+BG10+BG11</f>
        <v>30.375</v>
      </c>
      <c r="BH12" s="86" t="n">
        <f aca="false">BH8+BH9+BH10+BH11</f>
        <v>30.375</v>
      </c>
      <c r="BI12" s="86" t="n">
        <f aca="false">BI8+BI9+BI10+BI11</f>
        <v>30.375</v>
      </c>
      <c r="BJ12" s="86" t="n">
        <f aca="false">BJ8+BJ9+BJ10+BJ11</f>
        <v>30.375</v>
      </c>
    </row>
    <row r="14" customFormat="false" ht="15.75" hidden="false" customHeight="true" outlineLevel="0" collapsed="false">
      <c r="A14" s="7" t="s">
        <v>372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373</v>
      </c>
      <c r="C15" s="59" t="n">
        <f aca="false">-C8*Inputs!$E$27/12*1*(1+Inputs!$E$42)*(1+Inputs!$E$43)^(C$5-1)</f>
        <v>-37500</v>
      </c>
      <c r="D15" s="59" t="n">
        <f aca="false">-D8*Inputs!$E$27/12*1*(1+Inputs!$E$42)*(1+Inputs!$E$43)^(D$5-1)</f>
        <v>-37500</v>
      </c>
      <c r="E15" s="59" t="n">
        <f aca="false">-E8*Inputs!$E$27/12*1*(1+Inputs!$E$42)*(1+Inputs!$E$43)^(E$5-1)</f>
        <v>-37500</v>
      </c>
      <c r="F15" s="59" t="n">
        <f aca="false">-F8*Inputs!$E$27/12*1*(1+Inputs!$E$42)*(1+Inputs!$E$43)^(F$5-1)</f>
        <v>-37500</v>
      </c>
      <c r="G15" s="59" t="n">
        <f aca="false">-G8*Inputs!$E$27/12*1*(1+Inputs!$E$42)*(1+Inputs!$E$43)^(G$5-1)</f>
        <v>-37500</v>
      </c>
      <c r="H15" s="59" t="n">
        <f aca="false">-H8*Inputs!$E$27/12*1*(1+Inputs!$E$42)*(1+Inputs!$E$43)^(H$5-1)</f>
        <v>-37500</v>
      </c>
      <c r="I15" s="59" t="n">
        <f aca="false">-I8*Inputs!$E$27/12*1*(1+Inputs!$E$42)*(1+Inputs!$E$43)^(I$5-1)</f>
        <v>-37500</v>
      </c>
      <c r="J15" s="59" t="n">
        <f aca="false">-J8*Inputs!$E$27/12*1*(1+Inputs!$E$42)*(1+Inputs!$E$43)^(J$5-1)</f>
        <v>-37500</v>
      </c>
      <c r="K15" s="59" t="n">
        <f aca="false">-K8*Inputs!$E$27/12*1*(1+Inputs!$E$42)*(1+Inputs!$E$43)^(K$5-1)</f>
        <v>-37500</v>
      </c>
      <c r="L15" s="59" t="n">
        <f aca="false">-L8*Inputs!$E$27/12*1*(1+Inputs!$E$42)*(1+Inputs!$E$43)^(L$5-1)</f>
        <v>-37500</v>
      </c>
      <c r="M15" s="59" t="n">
        <f aca="false">-M8*Inputs!$E$27/12*1*(1+Inputs!$E$42)*(1+Inputs!$E$43)^(M$5-1)</f>
        <v>-37500</v>
      </c>
      <c r="N15" s="59" t="n">
        <f aca="false">-N8*Inputs!$E$27/12*1*(1+Inputs!$E$42)*(1+Inputs!$E$43)^(N$5-1)</f>
        <v>-37500</v>
      </c>
      <c r="O15" s="59" t="n">
        <f aca="false">-O8*Inputs!$E$27/12*1*(1+Inputs!$E$42)*(1+Inputs!$E$43)^(O$5-1)</f>
        <v>-58500</v>
      </c>
      <c r="P15" s="59" t="n">
        <f aca="false">-P8*Inputs!$E$27/12*1*(1+Inputs!$E$42)*(1+Inputs!$E$43)^(P$5-1)</f>
        <v>-58500</v>
      </c>
      <c r="Q15" s="59" t="n">
        <f aca="false">-Q8*Inputs!$E$27/12*1*(1+Inputs!$E$42)*(1+Inputs!$E$43)^(Q$5-1)</f>
        <v>-58500</v>
      </c>
      <c r="R15" s="59" t="n">
        <f aca="false">-R8*Inputs!$E$27/12*1*(1+Inputs!$E$42)*(1+Inputs!$E$43)^(R$5-1)</f>
        <v>-58500</v>
      </c>
      <c r="S15" s="59" t="n">
        <f aca="false">-S8*Inputs!$E$27/12*1*(1+Inputs!$E$42)*(1+Inputs!$E$43)^(S$5-1)</f>
        <v>-58500</v>
      </c>
      <c r="T15" s="59" t="n">
        <f aca="false">-T8*Inputs!$E$27/12*1*(1+Inputs!$E$42)*(1+Inputs!$E$43)^(T$5-1)</f>
        <v>-58500</v>
      </c>
      <c r="U15" s="59" t="n">
        <f aca="false">-U8*Inputs!$E$27/12*1*(1+Inputs!$E$42)*(1+Inputs!$E$43)^(U$5-1)</f>
        <v>-58500</v>
      </c>
      <c r="V15" s="59" t="n">
        <f aca="false">-V8*Inputs!$E$27/12*1*(1+Inputs!$E$42)*(1+Inputs!$E$43)^(V$5-1)</f>
        <v>-58500</v>
      </c>
      <c r="W15" s="59" t="n">
        <f aca="false">-W8*Inputs!$E$27/12*1*(1+Inputs!$E$42)*(1+Inputs!$E$43)^(W$5-1)</f>
        <v>-58500</v>
      </c>
      <c r="X15" s="59" t="n">
        <f aca="false">-X8*Inputs!$E$27/12*1*(1+Inputs!$E$42)*(1+Inputs!$E$43)^(X$5-1)</f>
        <v>-58500</v>
      </c>
      <c r="Y15" s="59" t="n">
        <f aca="false">-Y8*Inputs!$E$27/12*1*(1+Inputs!$E$42)*(1+Inputs!$E$43)^(Y$5-1)</f>
        <v>-58500</v>
      </c>
      <c r="Z15" s="59" t="n">
        <f aca="false">-Z8*Inputs!$E$27/12*1*(1+Inputs!$E$42)*(1+Inputs!$E$43)^(Z$5-1)</f>
        <v>-58500</v>
      </c>
      <c r="AA15" s="59" t="n">
        <f aca="false">-AA8*Inputs!$E$27/12*1*(1+Inputs!$E$42)*(1+Inputs!$E$43)^(AA$5-1)</f>
        <v>-91260</v>
      </c>
      <c r="AB15" s="59" t="n">
        <f aca="false">-AB8*Inputs!$E$27/12*1*(1+Inputs!$E$42)*(1+Inputs!$E$43)^(AB$5-1)</f>
        <v>-91260</v>
      </c>
      <c r="AC15" s="59" t="n">
        <f aca="false">-AC8*Inputs!$E$27/12*1*(1+Inputs!$E$42)*(1+Inputs!$E$43)^(AC$5-1)</f>
        <v>-91260</v>
      </c>
      <c r="AD15" s="59" t="n">
        <f aca="false">-AD8*Inputs!$E$27/12*1*(1+Inputs!$E$42)*(1+Inputs!$E$43)^(AD$5-1)</f>
        <v>-91260</v>
      </c>
      <c r="AE15" s="59" t="n">
        <f aca="false">-AE8*Inputs!$E$27/12*1*(1+Inputs!$E$42)*(1+Inputs!$E$43)^(AE$5-1)</f>
        <v>-91260</v>
      </c>
      <c r="AF15" s="59" t="n">
        <f aca="false">-AF8*Inputs!$E$27/12*1*(1+Inputs!$E$42)*(1+Inputs!$E$43)^(AF$5-1)</f>
        <v>-91260</v>
      </c>
      <c r="AG15" s="59" t="n">
        <f aca="false">-AG8*Inputs!$E$27/12*1*(1+Inputs!$E$42)*(1+Inputs!$E$43)^(AG$5-1)</f>
        <v>-91260</v>
      </c>
      <c r="AH15" s="59" t="n">
        <f aca="false">-AH8*Inputs!$E$27/12*1*(1+Inputs!$E$42)*(1+Inputs!$E$43)^(AH$5-1)</f>
        <v>-91260</v>
      </c>
      <c r="AI15" s="59" t="n">
        <f aca="false">-AI8*Inputs!$E$27/12*1*(1+Inputs!$E$42)*(1+Inputs!$E$43)^(AI$5-1)</f>
        <v>-91260</v>
      </c>
      <c r="AJ15" s="59" t="n">
        <f aca="false">-AJ8*Inputs!$E$27/12*1*(1+Inputs!$E$42)*(1+Inputs!$E$43)^(AJ$5-1)</f>
        <v>-91260</v>
      </c>
      <c r="AK15" s="59" t="n">
        <f aca="false">-AK8*Inputs!$E$27/12*1*(1+Inputs!$E$42)*(1+Inputs!$E$43)^(AK$5-1)</f>
        <v>-91260</v>
      </c>
      <c r="AL15" s="59" t="n">
        <f aca="false">-AL8*Inputs!$E$27/12*1*(1+Inputs!$E$42)*(1+Inputs!$E$43)^(AL$5-1)</f>
        <v>-91260</v>
      </c>
      <c r="AM15" s="59" t="n">
        <f aca="false">-AM8*Inputs!$E$27/12*1*(1+Inputs!$E$42)*(1+Inputs!$E$43)^(AM$5-1)</f>
        <v>-142365.6</v>
      </c>
      <c r="AN15" s="59" t="n">
        <f aca="false">-AN8*Inputs!$E$27/12*1*(1+Inputs!$E$42)*(1+Inputs!$E$43)^(AN$5-1)</f>
        <v>-142365.6</v>
      </c>
      <c r="AO15" s="59" t="n">
        <f aca="false">-AO8*Inputs!$E$27/12*1*(1+Inputs!$E$42)*(1+Inputs!$E$43)^(AO$5-1)</f>
        <v>-142365.6</v>
      </c>
      <c r="AP15" s="59" t="n">
        <f aca="false">-AP8*Inputs!$E$27/12*1*(1+Inputs!$E$42)*(1+Inputs!$E$43)^(AP$5-1)</f>
        <v>-142365.6</v>
      </c>
      <c r="AQ15" s="59" t="n">
        <f aca="false">-AQ8*Inputs!$E$27/12*1*(1+Inputs!$E$42)*(1+Inputs!$E$43)^(AQ$5-1)</f>
        <v>-142365.6</v>
      </c>
      <c r="AR15" s="59" t="n">
        <f aca="false">-AR8*Inputs!$E$27/12*1*(1+Inputs!$E$42)*(1+Inputs!$E$43)^(AR$5-1)</f>
        <v>-142365.6</v>
      </c>
      <c r="AS15" s="59" t="n">
        <f aca="false">-AS8*Inputs!$E$27/12*1*(1+Inputs!$E$42)*(1+Inputs!$E$43)^(AS$5-1)</f>
        <v>-142365.6</v>
      </c>
      <c r="AT15" s="59" t="n">
        <f aca="false">-AT8*Inputs!$E$27/12*1*(1+Inputs!$E$42)*(1+Inputs!$E$43)^(AT$5-1)</f>
        <v>-142365.6</v>
      </c>
      <c r="AU15" s="59" t="n">
        <f aca="false">-AU8*Inputs!$E$27/12*1*(1+Inputs!$E$42)*(1+Inputs!$E$43)^(AU$5-1)</f>
        <v>-142365.6</v>
      </c>
      <c r="AV15" s="59" t="n">
        <f aca="false">-AV8*Inputs!$E$27/12*1*(1+Inputs!$E$42)*(1+Inputs!$E$43)^(AV$5-1)</f>
        <v>-142365.6</v>
      </c>
      <c r="AW15" s="59" t="n">
        <f aca="false">-AW8*Inputs!$E$27/12*1*(1+Inputs!$E$42)*(1+Inputs!$E$43)^(AW$5-1)</f>
        <v>-142365.6</v>
      </c>
      <c r="AX15" s="59" t="n">
        <f aca="false">-AX8*Inputs!$E$27/12*1*(1+Inputs!$E$42)*(1+Inputs!$E$43)^(AX$5-1)</f>
        <v>-142365.6</v>
      </c>
      <c r="AY15" s="59" t="n">
        <f aca="false">-AY8*Inputs!$E$27/12*1*(1+Inputs!$E$42)*(1+Inputs!$E$43)^(AY$5-1)</f>
        <v>-222090.336</v>
      </c>
      <c r="AZ15" s="59" t="n">
        <f aca="false">-AZ8*Inputs!$E$27/12*1*(1+Inputs!$E$42)*(1+Inputs!$E$43)^(AZ$5-1)</f>
        <v>-222090.336</v>
      </c>
      <c r="BA15" s="59" t="n">
        <f aca="false">-BA8*Inputs!$E$27/12*1*(1+Inputs!$E$42)*(1+Inputs!$E$43)^(BA$5-1)</f>
        <v>-222090.336</v>
      </c>
      <c r="BB15" s="59" t="n">
        <f aca="false">-BB8*Inputs!$E$27/12*1*(1+Inputs!$E$42)*(1+Inputs!$E$43)^(BB$5-1)</f>
        <v>-222090.336</v>
      </c>
      <c r="BC15" s="59" t="n">
        <f aca="false">-BC8*Inputs!$E$27/12*1*(1+Inputs!$E$42)*(1+Inputs!$E$43)^(BC$5-1)</f>
        <v>-222090.336</v>
      </c>
      <c r="BD15" s="59" t="n">
        <f aca="false">-BD8*Inputs!$E$27/12*1*(1+Inputs!$E$42)*(1+Inputs!$E$43)^(BD$5-1)</f>
        <v>-222090.336</v>
      </c>
      <c r="BE15" s="59" t="n">
        <f aca="false">-BE8*Inputs!$E$27/12*1*(1+Inputs!$E$42)*(1+Inputs!$E$43)^(BE$5-1)</f>
        <v>-222090.336</v>
      </c>
      <c r="BF15" s="59" t="n">
        <f aca="false">-BF8*Inputs!$E$27/12*1*(1+Inputs!$E$42)*(1+Inputs!$E$43)^(BF$5-1)</f>
        <v>-222090.336</v>
      </c>
      <c r="BG15" s="59" t="n">
        <f aca="false">-BG8*Inputs!$E$27/12*1*(1+Inputs!$E$42)*(1+Inputs!$E$43)^(BG$5-1)</f>
        <v>-222090.336</v>
      </c>
      <c r="BH15" s="59" t="n">
        <f aca="false">-BH8*Inputs!$E$27/12*1*(1+Inputs!$E$42)*(1+Inputs!$E$43)^(BH$5-1)</f>
        <v>-222090.336</v>
      </c>
      <c r="BI15" s="59" t="n">
        <f aca="false">-BI8*Inputs!$E$27/12*1*(1+Inputs!$E$42)*(1+Inputs!$E$43)^(BI$5-1)</f>
        <v>-222090.336</v>
      </c>
      <c r="BJ15" s="59" t="n">
        <f aca="false">-BJ8*Inputs!$E$27/12*1*(1+Inputs!$E$42)*(1+Inputs!$E$43)^(BJ$5-1)</f>
        <v>-222090.336</v>
      </c>
    </row>
    <row r="16" customFormat="false" ht="15" hidden="false" customHeight="false" outlineLevel="0" collapsed="false">
      <c r="A16" s="6" t="s">
        <v>374</v>
      </c>
      <c r="C16" s="59" t="n">
        <f aca="false">-C9*Inputs!$E$31/12*1*(1+Inputs!$E$42)*(1+Inputs!$E$43)^(C$5-1)</f>
        <v>-14250</v>
      </c>
      <c r="D16" s="59" t="n">
        <f aca="false">-D9*Inputs!$E$31/12*1*(1+Inputs!$E$42)*(1+Inputs!$E$43)^(D$5-1)</f>
        <v>-14250</v>
      </c>
      <c r="E16" s="59" t="n">
        <f aca="false">-E9*Inputs!$E$31/12*1*(1+Inputs!$E$42)*(1+Inputs!$E$43)^(E$5-1)</f>
        <v>-14250</v>
      </c>
      <c r="F16" s="59" t="n">
        <f aca="false">-F9*Inputs!$E$31/12*1*(1+Inputs!$E$42)*(1+Inputs!$E$43)^(F$5-1)</f>
        <v>-14250</v>
      </c>
      <c r="G16" s="59" t="n">
        <f aca="false">-G9*Inputs!$E$31/12*1*(1+Inputs!$E$42)*(1+Inputs!$E$43)^(G$5-1)</f>
        <v>-14250</v>
      </c>
      <c r="H16" s="59" t="n">
        <f aca="false">-H9*Inputs!$E$31/12*1*(1+Inputs!$E$42)*(1+Inputs!$E$43)^(H$5-1)</f>
        <v>-14250</v>
      </c>
      <c r="I16" s="59" t="n">
        <f aca="false">-I9*Inputs!$E$31/12*1*(1+Inputs!$E$42)*(1+Inputs!$E$43)^(I$5-1)</f>
        <v>-14250</v>
      </c>
      <c r="J16" s="59" t="n">
        <f aca="false">-J9*Inputs!$E$31/12*1*(1+Inputs!$E$42)*(1+Inputs!$E$43)^(J$5-1)</f>
        <v>-14250</v>
      </c>
      <c r="K16" s="59" t="n">
        <f aca="false">-K9*Inputs!$E$31/12*1*(1+Inputs!$E$42)*(1+Inputs!$E$43)^(K$5-1)</f>
        <v>-14250</v>
      </c>
      <c r="L16" s="59" t="n">
        <f aca="false">-L9*Inputs!$E$31/12*1*(1+Inputs!$E$42)*(1+Inputs!$E$43)^(L$5-1)</f>
        <v>-14250</v>
      </c>
      <c r="M16" s="59" t="n">
        <f aca="false">-M9*Inputs!$E$31/12*1*(1+Inputs!$E$42)*(1+Inputs!$E$43)^(M$5-1)</f>
        <v>-14250</v>
      </c>
      <c r="N16" s="59" t="n">
        <f aca="false">-N9*Inputs!$E$31/12*1*(1+Inputs!$E$42)*(1+Inputs!$E$43)^(N$5-1)</f>
        <v>-14250</v>
      </c>
      <c r="O16" s="59" t="n">
        <f aca="false">-O9*Inputs!$E$31/12*1*(1+Inputs!$E$42)*(1+Inputs!$E$43)^(O$5-1)</f>
        <v>-22230</v>
      </c>
      <c r="P16" s="59" t="n">
        <f aca="false">-P9*Inputs!$E$31/12*1*(1+Inputs!$E$42)*(1+Inputs!$E$43)^(P$5-1)</f>
        <v>-22230</v>
      </c>
      <c r="Q16" s="59" t="n">
        <f aca="false">-Q9*Inputs!$E$31/12*1*(1+Inputs!$E$42)*(1+Inputs!$E$43)^(Q$5-1)</f>
        <v>-22230</v>
      </c>
      <c r="R16" s="59" t="n">
        <f aca="false">-R9*Inputs!$E$31/12*1*(1+Inputs!$E$42)*(1+Inputs!$E$43)^(R$5-1)</f>
        <v>-22230</v>
      </c>
      <c r="S16" s="59" t="n">
        <f aca="false">-S9*Inputs!$E$31/12*1*(1+Inputs!$E$42)*(1+Inputs!$E$43)^(S$5-1)</f>
        <v>-22230</v>
      </c>
      <c r="T16" s="59" t="n">
        <f aca="false">-T9*Inputs!$E$31/12*1*(1+Inputs!$E$42)*(1+Inputs!$E$43)^(T$5-1)</f>
        <v>-22230</v>
      </c>
      <c r="U16" s="59" t="n">
        <f aca="false">-U9*Inputs!$E$31/12*1*(1+Inputs!$E$42)*(1+Inputs!$E$43)^(U$5-1)</f>
        <v>-22230</v>
      </c>
      <c r="V16" s="59" t="n">
        <f aca="false">-V9*Inputs!$E$31/12*1*(1+Inputs!$E$42)*(1+Inputs!$E$43)^(V$5-1)</f>
        <v>-22230</v>
      </c>
      <c r="W16" s="59" t="n">
        <f aca="false">-W9*Inputs!$E$31/12*1*(1+Inputs!$E$42)*(1+Inputs!$E$43)^(W$5-1)</f>
        <v>-22230</v>
      </c>
      <c r="X16" s="59" t="n">
        <f aca="false">-X9*Inputs!$E$31/12*1*(1+Inputs!$E$42)*(1+Inputs!$E$43)^(X$5-1)</f>
        <v>-22230</v>
      </c>
      <c r="Y16" s="59" t="n">
        <f aca="false">-Y9*Inputs!$E$31/12*1*(1+Inputs!$E$42)*(1+Inputs!$E$43)^(Y$5-1)</f>
        <v>-22230</v>
      </c>
      <c r="Z16" s="59" t="n">
        <f aca="false">-Z9*Inputs!$E$31/12*1*(1+Inputs!$E$42)*(1+Inputs!$E$43)^(Z$5-1)</f>
        <v>-22230</v>
      </c>
      <c r="AA16" s="59" t="n">
        <f aca="false">-AA9*Inputs!$E$31/12*1*(1+Inputs!$E$42)*(1+Inputs!$E$43)^(AA$5-1)</f>
        <v>-34678.8</v>
      </c>
      <c r="AB16" s="59" t="n">
        <f aca="false">-AB9*Inputs!$E$31/12*1*(1+Inputs!$E$42)*(1+Inputs!$E$43)^(AB$5-1)</f>
        <v>-34678.8</v>
      </c>
      <c r="AC16" s="59" t="n">
        <f aca="false">-AC9*Inputs!$E$31/12*1*(1+Inputs!$E$42)*(1+Inputs!$E$43)^(AC$5-1)</f>
        <v>-34678.8</v>
      </c>
      <c r="AD16" s="59" t="n">
        <f aca="false">-AD9*Inputs!$E$31/12*1*(1+Inputs!$E$42)*(1+Inputs!$E$43)^(AD$5-1)</f>
        <v>-34678.8</v>
      </c>
      <c r="AE16" s="59" t="n">
        <f aca="false">-AE9*Inputs!$E$31/12*1*(1+Inputs!$E$42)*(1+Inputs!$E$43)^(AE$5-1)</f>
        <v>-34678.8</v>
      </c>
      <c r="AF16" s="59" t="n">
        <f aca="false">-AF9*Inputs!$E$31/12*1*(1+Inputs!$E$42)*(1+Inputs!$E$43)^(AF$5-1)</f>
        <v>-34678.8</v>
      </c>
      <c r="AG16" s="59" t="n">
        <f aca="false">-AG9*Inputs!$E$31/12*1*(1+Inputs!$E$42)*(1+Inputs!$E$43)^(AG$5-1)</f>
        <v>-34678.8</v>
      </c>
      <c r="AH16" s="59" t="n">
        <f aca="false">-AH9*Inputs!$E$31/12*1*(1+Inputs!$E$42)*(1+Inputs!$E$43)^(AH$5-1)</f>
        <v>-34678.8</v>
      </c>
      <c r="AI16" s="59" t="n">
        <f aca="false">-AI9*Inputs!$E$31/12*1*(1+Inputs!$E$42)*(1+Inputs!$E$43)^(AI$5-1)</f>
        <v>-34678.8</v>
      </c>
      <c r="AJ16" s="59" t="n">
        <f aca="false">-AJ9*Inputs!$E$31/12*1*(1+Inputs!$E$42)*(1+Inputs!$E$43)^(AJ$5-1)</f>
        <v>-34678.8</v>
      </c>
      <c r="AK16" s="59" t="n">
        <f aca="false">-AK9*Inputs!$E$31/12*1*(1+Inputs!$E$42)*(1+Inputs!$E$43)^(AK$5-1)</f>
        <v>-34678.8</v>
      </c>
      <c r="AL16" s="59" t="n">
        <f aca="false">-AL9*Inputs!$E$31/12*1*(1+Inputs!$E$42)*(1+Inputs!$E$43)^(AL$5-1)</f>
        <v>-34678.8</v>
      </c>
      <c r="AM16" s="59" t="n">
        <f aca="false">-AM9*Inputs!$E$31/12*1*(1+Inputs!$E$42)*(1+Inputs!$E$43)^(AM$5-1)</f>
        <v>-54098.928</v>
      </c>
      <c r="AN16" s="59" t="n">
        <f aca="false">-AN9*Inputs!$E$31/12*1*(1+Inputs!$E$42)*(1+Inputs!$E$43)^(AN$5-1)</f>
        <v>-54098.928</v>
      </c>
      <c r="AO16" s="59" t="n">
        <f aca="false">-AO9*Inputs!$E$31/12*1*(1+Inputs!$E$42)*(1+Inputs!$E$43)^(AO$5-1)</f>
        <v>-54098.928</v>
      </c>
      <c r="AP16" s="59" t="n">
        <f aca="false">-AP9*Inputs!$E$31/12*1*(1+Inputs!$E$42)*(1+Inputs!$E$43)^(AP$5-1)</f>
        <v>-54098.928</v>
      </c>
      <c r="AQ16" s="59" t="n">
        <f aca="false">-AQ9*Inputs!$E$31/12*1*(1+Inputs!$E$42)*(1+Inputs!$E$43)^(AQ$5-1)</f>
        <v>-54098.928</v>
      </c>
      <c r="AR16" s="59" t="n">
        <f aca="false">-AR9*Inputs!$E$31/12*1*(1+Inputs!$E$42)*(1+Inputs!$E$43)^(AR$5-1)</f>
        <v>-54098.928</v>
      </c>
      <c r="AS16" s="59" t="n">
        <f aca="false">-AS9*Inputs!$E$31/12*1*(1+Inputs!$E$42)*(1+Inputs!$E$43)^(AS$5-1)</f>
        <v>-54098.928</v>
      </c>
      <c r="AT16" s="59" t="n">
        <f aca="false">-AT9*Inputs!$E$31/12*1*(1+Inputs!$E$42)*(1+Inputs!$E$43)^(AT$5-1)</f>
        <v>-54098.928</v>
      </c>
      <c r="AU16" s="59" t="n">
        <f aca="false">-AU9*Inputs!$E$31/12*1*(1+Inputs!$E$42)*(1+Inputs!$E$43)^(AU$5-1)</f>
        <v>-54098.928</v>
      </c>
      <c r="AV16" s="59" t="n">
        <f aca="false">-AV9*Inputs!$E$31/12*1*(1+Inputs!$E$42)*(1+Inputs!$E$43)^(AV$5-1)</f>
        <v>-54098.928</v>
      </c>
      <c r="AW16" s="59" t="n">
        <f aca="false">-AW9*Inputs!$E$31/12*1*(1+Inputs!$E$42)*(1+Inputs!$E$43)^(AW$5-1)</f>
        <v>-54098.928</v>
      </c>
      <c r="AX16" s="59" t="n">
        <f aca="false">-AX9*Inputs!$E$31/12*1*(1+Inputs!$E$42)*(1+Inputs!$E$43)^(AX$5-1)</f>
        <v>-54098.928</v>
      </c>
      <c r="AY16" s="59" t="n">
        <f aca="false">-AY9*Inputs!$E$31/12*1*(1+Inputs!$E$42)*(1+Inputs!$E$43)^(AY$5-1)</f>
        <v>-84394.32768</v>
      </c>
      <c r="AZ16" s="59" t="n">
        <f aca="false">-AZ9*Inputs!$E$31/12*1*(1+Inputs!$E$42)*(1+Inputs!$E$43)^(AZ$5-1)</f>
        <v>-84394.32768</v>
      </c>
      <c r="BA16" s="59" t="n">
        <f aca="false">-BA9*Inputs!$E$31/12*1*(1+Inputs!$E$42)*(1+Inputs!$E$43)^(BA$5-1)</f>
        <v>-84394.32768</v>
      </c>
      <c r="BB16" s="59" t="n">
        <f aca="false">-BB9*Inputs!$E$31/12*1*(1+Inputs!$E$42)*(1+Inputs!$E$43)^(BB$5-1)</f>
        <v>-84394.32768</v>
      </c>
      <c r="BC16" s="59" t="n">
        <f aca="false">-BC9*Inputs!$E$31/12*1*(1+Inputs!$E$42)*(1+Inputs!$E$43)^(BC$5-1)</f>
        <v>-84394.32768</v>
      </c>
      <c r="BD16" s="59" t="n">
        <f aca="false">-BD9*Inputs!$E$31/12*1*(1+Inputs!$E$42)*(1+Inputs!$E$43)^(BD$5-1)</f>
        <v>-84394.32768</v>
      </c>
      <c r="BE16" s="59" t="n">
        <f aca="false">-BE9*Inputs!$E$31/12*1*(1+Inputs!$E$42)*(1+Inputs!$E$43)^(BE$5-1)</f>
        <v>-84394.32768</v>
      </c>
      <c r="BF16" s="59" t="n">
        <f aca="false">-BF9*Inputs!$E$31/12*1*(1+Inputs!$E$42)*(1+Inputs!$E$43)^(BF$5-1)</f>
        <v>-84394.32768</v>
      </c>
      <c r="BG16" s="59" t="n">
        <f aca="false">-BG9*Inputs!$E$31/12*1*(1+Inputs!$E$42)*(1+Inputs!$E$43)^(BG$5-1)</f>
        <v>-84394.32768</v>
      </c>
      <c r="BH16" s="59" t="n">
        <f aca="false">-BH9*Inputs!$E$31/12*1*(1+Inputs!$E$42)*(1+Inputs!$E$43)^(BH$5-1)</f>
        <v>-84394.32768</v>
      </c>
      <c r="BI16" s="59" t="n">
        <f aca="false">-BI9*Inputs!$E$31/12*1*(1+Inputs!$E$42)*(1+Inputs!$E$43)^(BI$5-1)</f>
        <v>-84394.32768</v>
      </c>
      <c r="BJ16" s="59" t="n">
        <f aca="false">-BJ9*Inputs!$E$31/12*1*(1+Inputs!$E$42)*(1+Inputs!$E$43)^(BJ$5-1)</f>
        <v>-84394.32768</v>
      </c>
    </row>
    <row r="17" customFormat="false" ht="15" hidden="false" customHeight="false" outlineLevel="0" collapsed="false">
      <c r="A17" s="6" t="s">
        <v>375</v>
      </c>
      <c r="C17" s="59" t="n">
        <f aca="false">-C10*Inputs!$E$35/12*1*(1+Inputs!$E$42)*(1+Inputs!$E$43)^(C$5-1)</f>
        <v>-6000</v>
      </c>
      <c r="D17" s="59" t="n">
        <f aca="false">-D10*Inputs!$E$35/12*1*(1+Inputs!$E$42)*(1+Inputs!$E$43)^(D$5-1)</f>
        <v>-6000</v>
      </c>
      <c r="E17" s="59" t="n">
        <f aca="false">-E10*Inputs!$E$35/12*1*(1+Inputs!$E$42)*(1+Inputs!$E$43)^(E$5-1)</f>
        <v>-6000</v>
      </c>
      <c r="F17" s="59" t="n">
        <f aca="false">-F10*Inputs!$E$35/12*1*(1+Inputs!$E$42)*(1+Inputs!$E$43)^(F$5-1)</f>
        <v>-6000</v>
      </c>
      <c r="G17" s="59" t="n">
        <f aca="false">-G10*Inputs!$E$35/12*1*(1+Inputs!$E$42)*(1+Inputs!$E$43)^(G$5-1)</f>
        <v>-6000</v>
      </c>
      <c r="H17" s="59" t="n">
        <f aca="false">-H10*Inputs!$E$35/12*1*(1+Inputs!$E$42)*(1+Inputs!$E$43)^(H$5-1)</f>
        <v>-6000</v>
      </c>
      <c r="I17" s="59" t="n">
        <f aca="false">-I10*Inputs!$E$35/12*1*(1+Inputs!$E$42)*(1+Inputs!$E$43)^(I$5-1)</f>
        <v>-6000</v>
      </c>
      <c r="J17" s="59" t="n">
        <f aca="false">-J10*Inputs!$E$35/12*1*(1+Inputs!$E$42)*(1+Inputs!$E$43)^(J$5-1)</f>
        <v>-6000</v>
      </c>
      <c r="K17" s="59" t="n">
        <f aca="false">-K10*Inputs!$E$35/12*1*(1+Inputs!$E$42)*(1+Inputs!$E$43)^(K$5-1)</f>
        <v>-6000</v>
      </c>
      <c r="L17" s="59" t="n">
        <f aca="false">-L10*Inputs!$E$35/12*1*(1+Inputs!$E$42)*(1+Inputs!$E$43)^(L$5-1)</f>
        <v>-6000</v>
      </c>
      <c r="M17" s="59" t="n">
        <f aca="false">-M10*Inputs!$E$35/12*1*(1+Inputs!$E$42)*(1+Inputs!$E$43)^(M$5-1)</f>
        <v>-6000</v>
      </c>
      <c r="N17" s="59" t="n">
        <f aca="false">-N10*Inputs!$E$35/12*1*(1+Inputs!$E$42)*(1+Inputs!$E$43)^(N$5-1)</f>
        <v>-6000</v>
      </c>
      <c r="O17" s="59" t="n">
        <f aca="false">-O10*Inputs!$E$35/12*1*(1+Inputs!$E$42)*(1+Inputs!$E$43)^(O$5-1)</f>
        <v>-9360</v>
      </c>
      <c r="P17" s="59" t="n">
        <f aca="false">-P10*Inputs!$E$35/12*1*(1+Inputs!$E$42)*(1+Inputs!$E$43)^(P$5-1)</f>
        <v>-9360</v>
      </c>
      <c r="Q17" s="59" t="n">
        <f aca="false">-Q10*Inputs!$E$35/12*1*(1+Inputs!$E$42)*(1+Inputs!$E$43)^(Q$5-1)</f>
        <v>-9360</v>
      </c>
      <c r="R17" s="59" t="n">
        <f aca="false">-R10*Inputs!$E$35/12*1*(1+Inputs!$E$42)*(1+Inputs!$E$43)^(R$5-1)</f>
        <v>-9360</v>
      </c>
      <c r="S17" s="59" t="n">
        <f aca="false">-S10*Inputs!$E$35/12*1*(1+Inputs!$E$42)*(1+Inputs!$E$43)^(S$5-1)</f>
        <v>-9360</v>
      </c>
      <c r="T17" s="59" t="n">
        <f aca="false">-T10*Inputs!$E$35/12*1*(1+Inputs!$E$42)*(1+Inputs!$E$43)^(T$5-1)</f>
        <v>-9360</v>
      </c>
      <c r="U17" s="59" t="n">
        <f aca="false">-U10*Inputs!$E$35/12*1*(1+Inputs!$E$42)*(1+Inputs!$E$43)^(U$5-1)</f>
        <v>-9360</v>
      </c>
      <c r="V17" s="59" t="n">
        <f aca="false">-V10*Inputs!$E$35/12*1*(1+Inputs!$E$42)*(1+Inputs!$E$43)^(V$5-1)</f>
        <v>-9360</v>
      </c>
      <c r="W17" s="59" t="n">
        <f aca="false">-W10*Inputs!$E$35/12*1*(1+Inputs!$E$42)*(1+Inputs!$E$43)^(W$5-1)</f>
        <v>-9360</v>
      </c>
      <c r="X17" s="59" t="n">
        <f aca="false">-X10*Inputs!$E$35/12*1*(1+Inputs!$E$42)*(1+Inputs!$E$43)^(X$5-1)</f>
        <v>-9360</v>
      </c>
      <c r="Y17" s="59" t="n">
        <f aca="false">-Y10*Inputs!$E$35/12*1*(1+Inputs!$E$42)*(1+Inputs!$E$43)^(Y$5-1)</f>
        <v>-9360</v>
      </c>
      <c r="Z17" s="59" t="n">
        <f aca="false">-Z10*Inputs!$E$35/12*1*(1+Inputs!$E$42)*(1+Inputs!$E$43)^(Z$5-1)</f>
        <v>-9360</v>
      </c>
      <c r="AA17" s="59" t="n">
        <f aca="false">-AA10*Inputs!$E$35/12*1*(1+Inputs!$E$42)*(1+Inputs!$E$43)^(AA$5-1)</f>
        <v>-14601.6</v>
      </c>
      <c r="AB17" s="59" t="n">
        <f aca="false">-AB10*Inputs!$E$35/12*1*(1+Inputs!$E$42)*(1+Inputs!$E$43)^(AB$5-1)</f>
        <v>-14601.6</v>
      </c>
      <c r="AC17" s="59" t="n">
        <f aca="false">-AC10*Inputs!$E$35/12*1*(1+Inputs!$E$42)*(1+Inputs!$E$43)^(AC$5-1)</f>
        <v>-14601.6</v>
      </c>
      <c r="AD17" s="59" t="n">
        <f aca="false">-AD10*Inputs!$E$35/12*1*(1+Inputs!$E$42)*(1+Inputs!$E$43)^(AD$5-1)</f>
        <v>-14601.6</v>
      </c>
      <c r="AE17" s="59" t="n">
        <f aca="false">-AE10*Inputs!$E$35/12*1*(1+Inputs!$E$42)*(1+Inputs!$E$43)^(AE$5-1)</f>
        <v>-14601.6</v>
      </c>
      <c r="AF17" s="59" t="n">
        <f aca="false">-AF10*Inputs!$E$35/12*1*(1+Inputs!$E$42)*(1+Inputs!$E$43)^(AF$5-1)</f>
        <v>-14601.6</v>
      </c>
      <c r="AG17" s="59" t="n">
        <f aca="false">-AG10*Inputs!$E$35/12*1*(1+Inputs!$E$42)*(1+Inputs!$E$43)^(AG$5-1)</f>
        <v>-14601.6</v>
      </c>
      <c r="AH17" s="59" t="n">
        <f aca="false">-AH10*Inputs!$E$35/12*1*(1+Inputs!$E$42)*(1+Inputs!$E$43)^(AH$5-1)</f>
        <v>-14601.6</v>
      </c>
      <c r="AI17" s="59" t="n">
        <f aca="false">-AI10*Inputs!$E$35/12*1*(1+Inputs!$E$42)*(1+Inputs!$E$43)^(AI$5-1)</f>
        <v>-14601.6</v>
      </c>
      <c r="AJ17" s="59" t="n">
        <f aca="false">-AJ10*Inputs!$E$35/12*1*(1+Inputs!$E$42)*(1+Inputs!$E$43)^(AJ$5-1)</f>
        <v>-14601.6</v>
      </c>
      <c r="AK17" s="59" t="n">
        <f aca="false">-AK10*Inputs!$E$35/12*1*(1+Inputs!$E$42)*(1+Inputs!$E$43)^(AK$5-1)</f>
        <v>-14601.6</v>
      </c>
      <c r="AL17" s="59" t="n">
        <f aca="false">-AL10*Inputs!$E$35/12*1*(1+Inputs!$E$42)*(1+Inputs!$E$43)^(AL$5-1)</f>
        <v>-14601.6</v>
      </c>
      <c r="AM17" s="59" t="n">
        <f aca="false">-AM10*Inputs!$E$35/12*1*(1+Inputs!$E$42)*(1+Inputs!$E$43)^(AM$5-1)</f>
        <v>-22778.496</v>
      </c>
      <c r="AN17" s="59" t="n">
        <f aca="false">-AN10*Inputs!$E$35/12*1*(1+Inputs!$E$42)*(1+Inputs!$E$43)^(AN$5-1)</f>
        <v>-22778.496</v>
      </c>
      <c r="AO17" s="59" t="n">
        <f aca="false">-AO10*Inputs!$E$35/12*1*(1+Inputs!$E$42)*(1+Inputs!$E$43)^(AO$5-1)</f>
        <v>-22778.496</v>
      </c>
      <c r="AP17" s="59" t="n">
        <f aca="false">-AP10*Inputs!$E$35/12*1*(1+Inputs!$E$42)*(1+Inputs!$E$43)^(AP$5-1)</f>
        <v>-22778.496</v>
      </c>
      <c r="AQ17" s="59" t="n">
        <f aca="false">-AQ10*Inputs!$E$35/12*1*(1+Inputs!$E$42)*(1+Inputs!$E$43)^(AQ$5-1)</f>
        <v>-22778.496</v>
      </c>
      <c r="AR17" s="59" t="n">
        <f aca="false">-AR10*Inputs!$E$35/12*1*(1+Inputs!$E$42)*(1+Inputs!$E$43)^(AR$5-1)</f>
        <v>-22778.496</v>
      </c>
      <c r="AS17" s="59" t="n">
        <f aca="false">-AS10*Inputs!$E$35/12*1*(1+Inputs!$E$42)*(1+Inputs!$E$43)^(AS$5-1)</f>
        <v>-22778.496</v>
      </c>
      <c r="AT17" s="59" t="n">
        <f aca="false">-AT10*Inputs!$E$35/12*1*(1+Inputs!$E$42)*(1+Inputs!$E$43)^(AT$5-1)</f>
        <v>-22778.496</v>
      </c>
      <c r="AU17" s="59" t="n">
        <f aca="false">-AU10*Inputs!$E$35/12*1*(1+Inputs!$E$42)*(1+Inputs!$E$43)^(AU$5-1)</f>
        <v>-22778.496</v>
      </c>
      <c r="AV17" s="59" t="n">
        <f aca="false">-AV10*Inputs!$E$35/12*1*(1+Inputs!$E$42)*(1+Inputs!$E$43)^(AV$5-1)</f>
        <v>-22778.496</v>
      </c>
      <c r="AW17" s="59" t="n">
        <f aca="false">-AW10*Inputs!$E$35/12*1*(1+Inputs!$E$42)*(1+Inputs!$E$43)^(AW$5-1)</f>
        <v>-22778.496</v>
      </c>
      <c r="AX17" s="59" t="n">
        <f aca="false">-AX10*Inputs!$E$35/12*1*(1+Inputs!$E$42)*(1+Inputs!$E$43)^(AX$5-1)</f>
        <v>-22778.496</v>
      </c>
      <c r="AY17" s="59" t="n">
        <f aca="false">-AY10*Inputs!$E$35/12*1*(1+Inputs!$E$42)*(1+Inputs!$E$43)^(AY$5-1)</f>
        <v>-35534.45376</v>
      </c>
      <c r="AZ17" s="59" t="n">
        <f aca="false">-AZ10*Inputs!$E$35/12*1*(1+Inputs!$E$42)*(1+Inputs!$E$43)^(AZ$5-1)</f>
        <v>-35534.45376</v>
      </c>
      <c r="BA17" s="59" t="n">
        <f aca="false">-BA10*Inputs!$E$35/12*1*(1+Inputs!$E$42)*(1+Inputs!$E$43)^(BA$5-1)</f>
        <v>-35534.45376</v>
      </c>
      <c r="BB17" s="59" t="n">
        <f aca="false">-BB10*Inputs!$E$35/12*1*(1+Inputs!$E$42)*(1+Inputs!$E$43)^(BB$5-1)</f>
        <v>-35534.45376</v>
      </c>
      <c r="BC17" s="59" t="n">
        <f aca="false">-BC10*Inputs!$E$35/12*1*(1+Inputs!$E$42)*(1+Inputs!$E$43)^(BC$5-1)</f>
        <v>-35534.45376</v>
      </c>
      <c r="BD17" s="59" t="n">
        <f aca="false">-BD10*Inputs!$E$35/12*1*(1+Inputs!$E$42)*(1+Inputs!$E$43)^(BD$5-1)</f>
        <v>-35534.45376</v>
      </c>
      <c r="BE17" s="59" t="n">
        <f aca="false">-BE10*Inputs!$E$35/12*1*(1+Inputs!$E$42)*(1+Inputs!$E$43)^(BE$5-1)</f>
        <v>-35534.45376</v>
      </c>
      <c r="BF17" s="59" t="n">
        <f aca="false">-BF10*Inputs!$E$35/12*1*(1+Inputs!$E$42)*(1+Inputs!$E$43)^(BF$5-1)</f>
        <v>-35534.45376</v>
      </c>
      <c r="BG17" s="59" t="n">
        <f aca="false">-BG10*Inputs!$E$35/12*1*(1+Inputs!$E$42)*(1+Inputs!$E$43)^(BG$5-1)</f>
        <v>-35534.45376</v>
      </c>
      <c r="BH17" s="59" t="n">
        <f aca="false">-BH10*Inputs!$E$35/12*1*(1+Inputs!$E$42)*(1+Inputs!$E$43)^(BH$5-1)</f>
        <v>-35534.45376</v>
      </c>
      <c r="BI17" s="59" t="n">
        <f aca="false">-BI10*Inputs!$E$35/12*1*(1+Inputs!$E$42)*(1+Inputs!$E$43)^(BI$5-1)</f>
        <v>-35534.45376</v>
      </c>
      <c r="BJ17" s="59" t="n">
        <f aca="false">-BJ10*Inputs!$E$35/12*1*(1+Inputs!$E$42)*(1+Inputs!$E$43)^(BJ$5-1)</f>
        <v>-35534.45376</v>
      </c>
    </row>
    <row r="18" customFormat="false" ht="15" hidden="false" customHeight="false" outlineLevel="0" collapsed="false">
      <c r="A18" s="6" t="s">
        <v>376</v>
      </c>
      <c r="C18" s="59" t="n">
        <f aca="false">-C11*Inputs!$E$39/12*1*(1+Inputs!$E$42)*(1+Inputs!$E$43)^(C$5-1)</f>
        <v>-4000</v>
      </c>
      <c r="D18" s="59" t="n">
        <f aca="false">-D11*Inputs!$E$39/12*1*(1+Inputs!$E$42)*(1+Inputs!$E$43)^(D$5-1)</f>
        <v>-4000</v>
      </c>
      <c r="E18" s="59" t="n">
        <f aca="false">-E11*Inputs!$E$39/12*1*(1+Inputs!$E$42)*(1+Inputs!$E$43)^(E$5-1)</f>
        <v>-4000</v>
      </c>
      <c r="F18" s="59" t="n">
        <f aca="false">-F11*Inputs!$E$39/12*1*(1+Inputs!$E$42)*(1+Inputs!$E$43)^(F$5-1)</f>
        <v>-4000</v>
      </c>
      <c r="G18" s="59" t="n">
        <f aca="false">-G11*Inputs!$E$39/12*1*(1+Inputs!$E$42)*(1+Inputs!$E$43)^(G$5-1)</f>
        <v>-4000</v>
      </c>
      <c r="H18" s="59" t="n">
        <f aca="false">-H11*Inputs!$E$39/12*1*(1+Inputs!$E$42)*(1+Inputs!$E$43)^(H$5-1)</f>
        <v>-4000</v>
      </c>
      <c r="I18" s="59" t="n">
        <f aca="false">-I11*Inputs!$E$39/12*1*(1+Inputs!$E$42)*(1+Inputs!$E$43)^(I$5-1)</f>
        <v>-4000</v>
      </c>
      <c r="J18" s="59" t="n">
        <f aca="false">-J11*Inputs!$E$39/12*1*(1+Inputs!$E$42)*(1+Inputs!$E$43)^(J$5-1)</f>
        <v>-4000</v>
      </c>
      <c r="K18" s="59" t="n">
        <f aca="false">-K11*Inputs!$E$39/12*1*(1+Inputs!$E$42)*(1+Inputs!$E$43)^(K$5-1)</f>
        <v>-4000</v>
      </c>
      <c r="L18" s="59" t="n">
        <f aca="false">-L11*Inputs!$E$39/12*1*(1+Inputs!$E$42)*(1+Inputs!$E$43)^(L$5-1)</f>
        <v>-4000</v>
      </c>
      <c r="M18" s="59" t="n">
        <f aca="false">-M11*Inputs!$E$39/12*1*(1+Inputs!$E$42)*(1+Inputs!$E$43)^(M$5-1)</f>
        <v>-4000</v>
      </c>
      <c r="N18" s="59" t="n">
        <f aca="false">-N11*Inputs!$E$39/12*1*(1+Inputs!$E$42)*(1+Inputs!$E$43)^(N$5-1)</f>
        <v>-4000</v>
      </c>
      <c r="O18" s="59" t="n">
        <f aca="false">-O11*Inputs!$E$39/12*1*(1+Inputs!$E$42)*(1+Inputs!$E$43)^(O$5-1)</f>
        <v>-6240</v>
      </c>
      <c r="P18" s="59" t="n">
        <f aca="false">-P11*Inputs!$E$39/12*1*(1+Inputs!$E$42)*(1+Inputs!$E$43)^(P$5-1)</f>
        <v>-6240</v>
      </c>
      <c r="Q18" s="59" t="n">
        <f aca="false">-Q11*Inputs!$E$39/12*1*(1+Inputs!$E$42)*(1+Inputs!$E$43)^(Q$5-1)</f>
        <v>-6240</v>
      </c>
      <c r="R18" s="59" t="n">
        <f aca="false">-R11*Inputs!$E$39/12*1*(1+Inputs!$E$42)*(1+Inputs!$E$43)^(R$5-1)</f>
        <v>-6240</v>
      </c>
      <c r="S18" s="59" t="n">
        <f aca="false">-S11*Inputs!$E$39/12*1*(1+Inputs!$E$42)*(1+Inputs!$E$43)^(S$5-1)</f>
        <v>-6240</v>
      </c>
      <c r="T18" s="59" t="n">
        <f aca="false">-T11*Inputs!$E$39/12*1*(1+Inputs!$E$42)*(1+Inputs!$E$43)^(T$5-1)</f>
        <v>-6240</v>
      </c>
      <c r="U18" s="59" t="n">
        <f aca="false">-U11*Inputs!$E$39/12*1*(1+Inputs!$E$42)*(1+Inputs!$E$43)^(U$5-1)</f>
        <v>-6240</v>
      </c>
      <c r="V18" s="59" t="n">
        <f aca="false">-V11*Inputs!$E$39/12*1*(1+Inputs!$E$42)*(1+Inputs!$E$43)^(V$5-1)</f>
        <v>-6240</v>
      </c>
      <c r="W18" s="59" t="n">
        <f aca="false">-W11*Inputs!$E$39/12*1*(1+Inputs!$E$42)*(1+Inputs!$E$43)^(W$5-1)</f>
        <v>-6240</v>
      </c>
      <c r="X18" s="59" t="n">
        <f aca="false">-X11*Inputs!$E$39/12*1*(1+Inputs!$E$42)*(1+Inputs!$E$43)^(X$5-1)</f>
        <v>-6240</v>
      </c>
      <c r="Y18" s="59" t="n">
        <f aca="false">-Y11*Inputs!$E$39/12*1*(1+Inputs!$E$42)*(1+Inputs!$E$43)^(Y$5-1)</f>
        <v>-6240</v>
      </c>
      <c r="Z18" s="59" t="n">
        <f aca="false">-Z11*Inputs!$E$39/12*1*(1+Inputs!$E$42)*(1+Inputs!$E$43)^(Z$5-1)</f>
        <v>-6240</v>
      </c>
      <c r="AA18" s="59" t="n">
        <f aca="false">-AA11*Inputs!$E$39/12*1*(1+Inputs!$E$42)*(1+Inputs!$E$43)^(AA$5-1)</f>
        <v>-9734.4</v>
      </c>
      <c r="AB18" s="59" t="n">
        <f aca="false">-AB11*Inputs!$E$39/12*1*(1+Inputs!$E$42)*(1+Inputs!$E$43)^(AB$5-1)</f>
        <v>-9734.4</v>
      </c>
      <c r="AC18" s="59" t="n">
        <f aca="false">-AC11*Inputs!$E$39/12*1*(1+Inputs!$E$42)*(1+Inputs!$E$43)^(AC$5-1)</f>
        <v>-9734.4</v>
      </c>
      <c r="AD18" s="59" t="n">
        <f aca="false">-AD11*Inputs!$E$39/12*1*(1+Inputs!$E$42)*(1+Inputs!$E$43)^(AD$5-1)</f>
        <v>-9734.4</v>
      </c>
      <c r="AE18" s="59" t="n">
        <f aca="false">-AE11*Inputs!$E$39/12*1*(1+Inputs!$E$42)*(1+Inputs!$E$43)^(AE$5-1)</f>
        <v>-9734.4</v>
      </c>
      <c r="AF18" s="59" t="n">
        <f aca="false">-AF11*Inputs!$E$39/12*1*(1+Inputs!$E$42)*(1+Inputs!$E$43)^(AF$5-1)</f>
        <v>-9734.4</v>
      </c>
      <c r="AG18" s="59" t="n">
        <f aca="false">-AG11*Inputs!$E$39/12*1*(1+Inputs!$E$42)*(1+Inputs!$E$43)^(AG$5-1)</f>
        <v>-9734.4</v>
      </c>
      <c r="AH18" s="59" t="n">
        <f aca="false">-AH11*Inputs!$E$39/12*1*(1+Inputs!$E$42)*(1+Inputs!$E$43)^(AH$5-1)</f>
        <v>-9734.4</v>
      </c>
      <c r="AI18" s="59" t="n">
        <f aca="false">-AI11*Inputs!$E$39/12*1*(1+Inputs!$E$42)*(1+Inputs!$E$43)^(AI$5-1)</f>
        <v>-9734.4</v>
      </c>
      <c r="AJ18" s="59" t="n">
        <f aca="false">-AJ11*Inputs!$E$39/12*1*(1+Inputs!$E$42)*(1+Inputs!$E$43)^(AJ$5-1)</f>
        <v>-9734.4</v>
      </c>
      <c r="AK18" s="59" t="n">
        <f aca="false">-AK11*Inputs!$E$39/12*1*(1+Inputs!$E$42)*(1+Inputs!$E$43)^(AK$5-1)</f>
        <v>-9734.4</v>
      </c>
      <c r="AL18" s="59" t="n">
        <f aca="false">-AL11*Inputs!$E$39/12*1*(1+Inputs!$E$42)*(1+Inputs!$E$43)^(AL$5-1)</f>
        <v>-9734.4</v>
      </c>
      <c r="AM18" s="59" t="n">
        <f aca="false">-AM11*Inputs!$E$39/12*1*(1+Inputs!$E$42)*(1+Inputs!$E$43)^(AM$5-1)</f>
        <v>-15185.664</v>
      </c>
      <c r="AN18" s="59" t="n">
        <f aca="false">-AN11*Inputs!$E$39/12*1*(1+Inputs!$E$42)*(1+Inputs!$E$43)^(AN$5-1)</f>
        <v>-15185.664</v>
      </c>
      <c r="AO18" s="59" t="n">
        <f aca="false">-AO11*Inputs!$E$39/12*1*(1+Inputs!$E$42)*(1+Inputs!$E$43)^(AO$5-1)</f>
        <v>-15185.664</v>
      </c>
      <c r="AP18" s="59" t="n">
        <f aca="false">-AP11*Inputs!$E$39/12*1*(1+Inputs!$E$42)*(1+Inputs!$E$43)^(AP$5-1)</f>
        <v>-15185.664</v>
      </c>
      <c r="AQ18" s="59" t="n">
        <f aca="false">-AQ11*Inputs!$E$39/12*1*(1+Inputs!$E$42)*(1+Inputs!$E$43)^(AQ$5-1)</f>
        <v>-15185.664</v>
      </c>
      <c r="AR18" s="59" t="n">
        <f aca="false">-AR11*Inputs!$E$39/12*1*(1+Inputs!$E$42)*(1+Inputs!$E$43)^(AR$5-1)</f>
        <v>-15185.664</v>
      </c>
      <c r="AS18" s="59" t="n">
        <f aca="false">-AS11*Inputs!$E$39/12*1*(1+Inputs!$E$42)*(1+Inputs!$E$43)^(AS$5-1)</f>
        <v>-15185.664</v>
      </c>
      <c r="AT18" s="59" t="n">
        <f aca="false">-AT11*Inputs!$E$39/12*1*(1+Inputs!$E$42)*(1+Inputs!$E$43)^(AT$5-1)</f>
        <v>-15185.664</v>
      </c>
      <c r="AU18" s="59" t="n">
        <f aca="false">-AU11*Inputs!$E$39/12*1*(1+Inputs!$E$42)*(1+Inputs!$E$43)^(AU$5-1)</f>
        <v>-15185.664</v>
      </c>
      <c r="AV18" s="59" t="n">
        <f aca="false">-AV11*Inputs!$E$39/12*1*(1+Inputs!$E$42)*(1+Inputs!$E$43)^(AV$5-1)</f>
        <v>-15185.664</v>
      </c>
      <c r="AW18" s="59" t="n">
        <f aca="false">-AW11*Inputs!$E$39/12*1*(1+Inputs!$E$42)*(1+Inputs!$E$43)^(AW$5-1)</f>
        <v>-15185.664</v>
      </c>
      <c r="AX18" s="59" t="n">
        <f aca="false">-AX11*Inputs!$E$39/12*1*(1+Inputs!$E$42)*(1+Inputs!$E$43)^(AX$5-1)</f>
        <v>-15185.664</v>
      </c>
      <c r="AY18" s="59" t="n">
        <f aca="false">-AY11*Inputs!$E$39/12*1*(1+Inputs!$E$42)*(1+Inputs!$E$43)^(AY$5-1)</f>
        <v>-23689.63584</v>
      </c>
      <c r="AZ18" s="59" t="n">
        <f aca="false">-AZ11*Inputs!$E$39/12*1*(1+Inputs!$E$42)*(1+Inputs!$E$43)^(AZ$5-1)</f>
        <v>-23689.63584</v>
      </c>
      <c r="BA18" s="59" t="n">
        <f aca="false">-BA11*Inputs!$E$39/12*1*(1+Inputs!$E$42)*(1+Inputs!$E$43)^(BA$5-1)</f>
        <v>-23689.63584</v>
      </c>
      <c r="BB18" s="59" t="n">
        <f aca="false">-BB11*Inputs!$E$39/12*1*(1+Inputs!$E$42)*(1+Inputs!$E$43)^(BB$5-1)</f>
        <v>-23689.63584</v>
      </c>
      <c r="BC18" s="59" t="n">
        <f aca="false">-BC11*Inputs!$E$39/12*1*(1+Inputs!$E$42)*(1+Inputs!$E$43)^(BC$5-1)</f>
        <v>-23689.63584</v>
      </c>
      <c r="BD18" s="59" t="n">
        <f aca="false">-BD11*Inputs!$E$39/12*1*(1+Inputs!$E$42)*(1+Inputs!$E$43)^(BD$5-1)</f>
        <v>-23689.63584</v>
      </c>
      <c r="BE18" s="59" t="n">
        <f aca="false">-BE11*Inputs!$E$39/12*1*(1+Inputs!$E$42)*(1+Inputs!$E$43)^(BE$5-1)</f>
        <v>-23689.63584</v>
      </c>
      <c r="BF18" s="59" t="n">
        <f aca="false">-BF11*Inputs!$E$39/12*1*(1+Inputs!$E$42)*(1+Inputs!$E$43)^(BF$5-1)</f>
        <v>-23689.63584</v>
      </c>
      <c r="BG18" s="59" t="n">
        <f aca="false">-BG11*Inputs!$E$39/12*1*(1+Inputs!$E$42)*(1+Inputs!$E$43)^(BG$5-1)</f>
        <v>-23689.63584</v>
      </c>
      <c r="BH18" s="59" t="n">
        <f aca="false">-BH11*Inputs!$E$39/12*1*(1+Inputs!$E$42)*(1+Inputs!$E$43)^(BH$5-1)</f>
        <v>-23689.63584</v>
      </c>
      <c r="BI18" s="59" t="n">
        <f aca="false">-BI11*Inputs!$E$39/12*1*(1+Inputs!$E$42)*(1+Inputs!$E$43)^(BI$5-1)</f>
        <v>-23689.63584</v>
      </c>
      <c r="BJ18" s="59" t="n">
        <f aca="false">-BJ11*Inputs!$E$39/12*1*(1+Inputs!$E$42)*(1+Inputs!$E$43)^(BJ$5-1)</f>
        <v>-23689.63584</v>
      </c>
    </row>
    <row r="19" customFormat="false" ht="15" hidden="false" customHeight="false" outlineLevel="0" collapsed="false">
      <c r="A19" s="82" t="s">
        <v>377</v>
      </c>
      <c r="C19" s="60" t="n">
        <f aca="false">C15+C16+C17+C18</f>
        <v>-61750</v>
      </c>
      <c r="D19" s="60" t="n">
        <f aca="false">D15+D16+D17+D18</f>
        <v>-61750</v>
      </c>
      <c r="E19" s="60" t="n">
        <f aca="false">E15+E16+E17+E18</f>
        <v>-61750</v>
      </c>
      <c r="F19" s="60" t="n">
        <f aca="false">F15+F16+F17+F18</f>
        <v>-61750</v>
      </c>
      <c r="G19" s="60" t="n">
        <f aca="false">G15+G16+G17+G18</f>
        <v>-61750</v>
      </c>
      <c r="H19" s="60" t="n">
        <f aca="false">H15+H16+H17+H18</f>
        <v>-61750</v>
      </c>
      <c r="I19" s="60" t="n">
        <f aca="false">I15+I16+I17+I18</f>
        <v>-61750</v>
      </c>
      <c r="J19" s="60" t="n">
        <f aca="false">J15+J16+J17+J18</f>
        <v>-61750</v>
      </c>
      <c r="K19" s="60" t="n">
        <f aca="false">K15+K16+K17+K18</f>
        <v>-61750</v>
      </c>
      <c r="L19" s="60" t="n">
        <f aca="false">L15+L16+L17+L18</f>
        <v>-61750</v>
      </c>
      <c r="M19" s="60" t="n">
        <f aca="false">M15+M16+M17+M18</f>
        <v>-61750</v>
      </c>
      <c r="N19" s="60" t="n">
        <f aca="false">N15+N16+N17+N18</f>
        <v>-61750</v>
      </c>
      <c r="O19" s="60" t="n">
        <f aca="false">O15+O16+O17+O18</f>
        <v>-96330</v>
      </c>
      <c r="P19" s="60" t="n">
        <f aca="false">P15+P16+P17+P18</f>
        <v>-96330</v>
      </c>
      <c r="Q19" s="60" t="n">
        <f aca="false">Q15+Q16+Q17+Q18</f>
        <v>-96330</v>
      </c>
      <c r="R19" s="60" t="n">
        <f aca="false">R15+R16+R17+R18</f>
        <v>-96330</v>
      </c>
      <c r="S19" s="60" t="n">
        <f aca="false">S15+S16+S17+S18</f>
        <v>-96330</v>
      </c>
      <c r="T19" s="60" t="n">
        <f aca="false">T15+T16+T17+T18</f>
        <v>-96330</v>
      </c>
      <c r="U19" s="60" t="n">
        <f aca="false">U15+U16+U17+U18</f>
        <v>-96330</v>
      </c>
      <c r="V19" s="60" t="n">
        <f aca="false">V15+V16+V17+V18</f>
        <v>-96330</v>
      </c>
      <c r="W19" s="60" t="n">
        <f aca="false">W15+W16+W17+W18</f>
        <v>-96330</v>
      </c>
      <c r="X19" s="60" t="n">
        <f aca="false">X15+X16+X17+X18</f>
        <v>-96330</v>
      </c>
      <c r="Y19" s="60" t="n">
        <f aca="false">Y15+Y16+Y17+Y18</f>
        <v>-96330</v>
      </c>
      <c r="Z19" s="60" t="n">
        <f aca="false">Z15+Z16+Z17+Z18</f>
        <v>-96330</v>
      </c>
      <c r="AA19" s="60" t="n">
        <f aca="false">AA15+AA16+AA17+AA18</f>
        <v>-150274.8</v>
      </c>
      <c r="AB19" s="60" t="n">
        <f aca="false">AB15+AB16+AB17+AB18</f>
        <v>-150274.8</v>
      </c>
      <c r="AC19" s="60" t="n">
        <f aca="false">AC15+AC16+AC17+AC18</f>
        <v>-150274.8</v>
      </c>
      <c r="AD19" s="60" t="n">
        <f aca="false">AD15+AD16+AD17+AD18</f>
        <v>-150274.8</v>
      </c>
      <c r="AE19" s="60" t="n">
        <f aca="false">AE15+AE16+AE17+AE18</f>
        <v>-150274.8</v>
      </c>
      <c r="AF19" s="60" t="n">
        <f aca="false">AF15+AF16+AF17+AF18</f>
        <v>-150274.8</v>
      </c>
      <c r="AG19" s="60" t="n">
        <f aca="false">AG15+AG16+AG17+AG18</f>
        <v>-150274.8</v>
      </c>
      <c r="AH19" s="60" t="n">
        <f aca="false">AH15+AH16+AH17+AH18</f>
        <v>-150274.8</v>
      </c>
      <c r="AI19" s="60" t="n">
        <f aca="false">AI15+AI16+AI17+AI18</f>
        <v>-150274.8</v>
      </c>
      <c r="AJ19" s="60" t="n">
        <f aca="false">AJ15+AJ16+AJ17+AJ18</f>
        <v>-150274.8</v>
      </c>
      <c r="AK19" s="60" t="n">
        <f aca="false">AK15+AK16+AK17+AK18</f>
        <v>-150274.8</v>
      </c>
      <c r="AL19" s="60" t="n">
        <f aca="false">AL15+AL16+AL17+AL18</f>
        <v>-150274.8</v>
      </c>
      <c r="AM19" s="60" t="n">
        <f aca="false">AM15+AM16+AM17+AM18</f>
        <v>-234428.688</v>
      </c>
      <c r="AN19" s="60" t="n">
        <f aca="false">AN15+AN16+AN17+AN18</f>
        <v>-234428.688</v>
      </c>
      <c r="AO19" s="60" t="n">
        <f aca="false">AO15+AO16+AO17+AO18</f>
        <v>-234428.688</v>
      </c>
      <c r="AP19" s="60" t="n">
        <f aca="false">AP15+AP16+AP17+AP18</f>
        <v>-234428.688</v>
      </c>
      <c r="AQ19" s="60" t="n">
        <f aca="false">AQ15+AQ16+AQ17+AQ18</f>
        <v>-234428.688</v>
      </c>
      <c r="AR19" s="60" t="n">
        <f aca="false">AR15+AR16+AR17+AR18</f>
        <v>-234428.688</v>
      </c>
      <c r="AS19" s="60" t="n">
        <f aca="false">AS15+AS16+AS17+AS18</f>
        <v>-234428.688</v>
      </c>
      <c r="AT19" s="60" t="n">
        <f aca="false">AT15+AT16+AT17+AT18</f>
        <v>-234428.688</v>
      </c>
      <c r="AU19" s="60" t="n">
        <f aca="false">AU15+AU16+AU17+AU18</f>
        <v>-234428.688</v>
      </c>
      <c r="AV19" s="60" t="n">
        <f aca="false">AV15+AV16+AV17+AV18</f>
        <v>-234428.688</v>
      </c>
      <c r="AW19" s="60" t="n">
        <f aca="false">AW15+AW16+AW17+AW18</f>
        <v>-234428.688</v>
      </c>
      <c r="AX19" s="60" t="n">
        <f aca="false">AX15+AX16+AX17+AX18</f>
        <v>-234428.688</v>
      </c>
      <c r="AY19" s="60" t="n">
        <f aca="false">AY15+AY16+AY17+AY18</f>
        <v>-365708.75328</v>
      </c>
      <c r="AZ19" s="60" t="n">
        <f aca="false">AZ15+AZ16+AZ17+AZ18</f>
        <v>-365708.75328</v>
      </c>
      <c r="BA19" s="60" t="n">
        <f aca="false">BA15+BA16+BA17+BA18</f>
        <v>-365708.75328</v>
      </c>
      <c r="BB19" s="60" t="n">
        <f aca="false">BB15+BB16+BB17+BB18</f>
        <v>-365708.75328</v>
      </c>
      <c r="BC19" s="60" t="n">
        <f aca="false">BC15+BC16+BC17+BC18</f>
        <v>-365708.75328</v>
      </c>
      <c r="BD19" s="60" t="n">
        <f aca="false">BD15+BD16+BD17+BD18</f>
        <v>-365708.75328</v>
      </c>
      <c r="BE19" s="60" t="n">
        <f aca="false">BE15+BE16+BE17+BE18</f>
        <v>-365708.75328</v>
      </c>
      <c r="BF19" s="60" t="n">
        <f aca="false">BF15+BF16+BF17+BF18</f>
        <v>-365708.75328</v>
      </c>
      <c r="BG19" s="60" t="n">
        <f aca="false">BG15+BG16+BG17+BG18</f>
        <v>-365708.75328</v>
      </c>
      <c r="BH19" s="60" t="n">
        <f aca="false">BH15+BH16+BH17+BH18</f>
        <v>-365708.75328</v>
      </c>
      <c r="BI19" s="60" t="n">
        <f aca="false">BI15+BI16+BI17+BI18</f>
        <v>-365708.75328</v>
      </c>
      <c r="BJ19" s="60" t="n">
        <f aca="false">BJ15+BJ16+BJ17+BJ18</f>
        <v>-365708.75328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378</v>
      </c>
    </row>
    <row r="3" customFormat="false" ht="15" hidden="false" customHeight="false" outlineLevel="0" collapsed="false">
      <c r="A3" s="32" t="s">
        <v>379</v>
      </c>
      <c r="B3" s="32" t="s">
        <v>380</v>
      </c>
      <c r="C3" s="32" t="s">
        <v>381</v>
      </c>
    </row>
    <row r="4" customFormat="false" ht="15" hidden="false" customHeight="false" outlineLevel="0" collapsed="false">
      <c r="A4" s="6" t="s">
        <v>382</v>
      </c>
      <c r="B4" s="4" t="str">
        <f aca="false">IF(ABS(SUM('P&amp;L'!$B$5:$F$5)-SUM(Monthly!$C$24:$BJ$24))&lt;0.5,"PASS","FAIL")</f>
        <v>PASS</v>
      </c>
      <c r="C4" s="18" t="s">
        <v>383</v>
      </c>
    </row>
    <row r="5" customFormat="false" ht="15" hidden="false" customHeight="false" outlineLevel="0" collapsed="false">
      <c r="A5" s="6" t="s">
        <v>384</v>
      </c>
      <c r="B5" s="4" t="str">
        <f aca="false">IF(ABS(SUM('P&amp;L'!$B$22:$F$22)-SUM(Monthly!$C$44:$BJ$44))&lt;0.5,"PASS","FAIL")</f>
        <v>PASS</v>
      </c>
      <c r="C5" s="18" t="s">
        <v>385</v>
      </c>
    </row>
    <row r="6" customFormat="false" ht="15" hidden="false" customHeight="false" outlineLevel="0" collapsed="false">
      <c r="A6" s="6" t="s">
        <v>386</v>
      </c>
      <c r="B6" s="4" t="str">
        <f aca="false">IF(ABS(SUM(Monthly!$C$35:$BJ$35)-SUM(Monthly!$C$26:$BJ$26)-SUM(Monthly!$C$34:$BJ$34))&lt;0.5,"PASS","FAIL")</f>
        <v>PASS</v>
      </c>
      <c r="C6" s="18" t="s">
        <v>387</v>
      </c>
    </row>
    <row r="7" customFormat="false" ht="15" hidden="false" customHeight="false" outlineLevel="0" collapsed="false">
      <c r="A7" s="6" t="s">
        <v>388</v>
      </c>
      <c r="B7" s="4" t="str">
        <f aca="false">IF(ABS(INDEX(Monthly!$C$76:$BJ$76,60)-SUM(Monthly!$C$74:$BJ$74))&lt;0.5,"PASS","FAIL")</f>
        <v>PASS</v>
      </c>
      <c r="C7" s="18" t="s">
        <v>389</v>
      </c>
    </row>
    <row r="8" customFormat="false" ht="15" hidden="false" customHeight="false" outlineLevel="0" collapsed="false">
      <c r="A8" s="6" t="s">
        <v>390</v>
      </c>
      <c r="B8" s="4" t="str">
        <f aca="false">IF(AND(ISNUMBER(Dashboard!B4),Dashboard!B4&gt;=1,Dashboard!B4&lt;=3,INT(Dashboard!B4)=Dashboard!B4),"PASS","FAIL")</f>
        <v>PASS</v>
      </c>
      <c r="C8" s="18" t="s">
        <v>391</v>
      </c>
    </row>
    <row r="9" customFormat="false" ht="15" hidden="false" customHeight="false" outlineLevel="0" collapsed="false">
      <c r="A9" s="6" t="s">
        <v>392</v>
      </c>
      <c r="B9" s="4" t="str">
        <f aca="false">IF(AND(Inputs!$B$7&lt;=Inputs!$C$7,Inputs!$C$7&lt;=Inputs!$D$7,Inputs!$B$8&lt;=Inputs!$C$8,Inputs!$C$8&lt;=Inputs!$D$8,Inputs!$B$9&lt;=Inputs!$C$9,Inputs!$C$9&lt;=Inputs!$D$9,Inputs!$B$10&gt;=Inputs!$C$10,Inputs!$C$10&gt;=Inputs!$D$10,Inputs!$B$11&lt;=Inputs!$C$11,Inputs!$C$11&lt;=Inputs!$D$11,Inputs!$B$12&lt;=Inputs!$C$12,Inputs!$C$12&lt;=Inputs!$D$12,Inputs!$B$13&lt;=Inputs!$C$13,Inputs!$C$13&lt;=Inputs!$D$13,Inputs!$B$16&gt;=Inputs!$C$16,Inputs!$C$16&gt;=Inputs!$D$16,Inputs!$B$18&gt;=Inputs!$C$18,Inputs!$C$18&gt;=Inputs!$D$18,Inputs!$B$19&gt;=Inputs!$C$19,Inputs!$C$19&gt;=Inputs!$D$19,Inputs!$B$26&lt;=Inputs!$C$26,Inputs!$C$26&lt;=Inputs!$D$26,Inputs!$B$28&lt;=Inputs!$C$28,Inputs!$C$28&lt;=Inputs!$D$28,Inputs!$B$30&lt;=Inputs!$C$30,Inputs!$C$30&lt;=Inputs!$D$30,Inputs!$B$32&lt;=Inputs!$C$32,Inputs!$C$32&lt;=Inputs!$D$32,Inputs!$B$34&lt;=Inputs!$C$34,Inputs!$C$34&lt;=Inputs!$D$34,Inputs!$B$36&lt;=Inputs!$C$36,Inputs!$C$36&lt;=Inputs!$D$36,Inputs!$B$38&lt;=Inputs!$C$38,Inputs!$C$38&lt;=Inputs!$D$38,Inputs!$B$40&lt;=Inputs!$C$40,Inputs!$C$40&lt;=Inputs!$D$40,Inputs!$B$64&gt;=Inputs!$C$64,Inputs!$C$64&gt;=Inputs!$D$64,Inputs!$B$65&lt;=Inputs!$C$65,Inputs!$C$65&lt;=Inputs!$D$65,Inputs!$B$66&lt;=Inputs!$C$66,Inputs!$C$66&lt;=Inputs!$D$66),"PASS","FAIL")</f>
        <v>PASS</v>
      </c>
      <c r="C9" s="18" t="s">
        <v>393</v>
      </c>
    </row>
    <row r="10" customFormat="false" ht="15" hidden="false" customHeight="false" outlineLevel="0" collapsed="false">
      <c r="A10" s="6" t="s">
        <v>394</v>
      </c>
      <c r="B10" s="4" t="str">
        <f aca="false">IF(AND(MIN('P&amp;L'!$B$8:$F$8)&gt;=0,MAX('P&amp;L'!$B$8:$F$8)&lt;=1),"PASS","FAIL")</f>
        <v>PASS</v>
      </c>
      <c r="C10" s="18" t="s">
        <v>395</v>
      </c>
    </row>
    <row r="11" customFormat="false" ht="15" hidden="false" customHeight="false" outlineLevel="0" collapsed="false">
      <c r="A11" s="6" t="s">
        <v>396</v>
      </c>
      <c r="B11" s="4" t="str">
        <f aca="false">IF(MIN(Monthly!$C$57:$BJ$57)&gt;=-0.5,"PASS","FAIL")</f>
        <v>PASS</v>
      </c>
      <c r="C11" s="18" t="s">
        <v>397</v>
      </c>
    </row>
    <row r="12" customFormat="false" ht="15" hidden="false" customHeight="false" outlineLevel="0" collapsed="false">
      <c r="A12" s="6" t="s">
        <v>398</v>
      </c>
      <c r="B12" s="4" t="str">
        <f aca="false">IF(ABS('Break-even'!B18-('Break-even'!B16-'Break-even'!B10))&lt;0.5,"PASS","FAIL")</f>
        <v>PASS</v>
      </c>
      <c r="C12" s="18" t="s">
        <v>399</v>
      </c>
    </row>
    <row r="13" customFormat="false" ht="15" hidden="false" customHeight="false" outlineLevel="0" collapsed="false">
      <c r="A13" s="6" t="s">
        <v>400</v>
      </c>
      <c r="B13" s="4" t="str">
        <f aca="false">IF(ABS(Valuation!B23-NPV(Valuation!B6,Valuation!$B$17:$F$17))&lt;0.5,"PASS","FAIL")</f>
        <v>PASS</v>
      </c>
      <c r="C13" s="18" t="s">
        <v>401</v>
      </c>
    </row>
    <row r="14" customFormat="false" ht="15" hidden="false" customHeight="false" outlineLevel="0" collapsed="false">
      <c r="A14" s="6" t="s">
        <v>402</v>
      </c>
      <c r="B14" s="4" t="str">
        <f aca="false">IF(Valuation!B6&gt;Valuation!B7,"PASS","FAIL")</f>
        <v>PASS</v>
      </c>
      <c r="C14" s="18" t="s">
        <v>403</v>
      </c>
    </row>
    <row r="15" customFormat="false" ht="15" hidden="false" customHeight="false" outlineLevel="0" collapsed="false">
      <c r="A15" s="6" t="s">
        <v>404</v>
      </c>
      <c r="B15" s="4" t="str">
        <f aca="false">IF(ABS(Valuation!D36-Valuation!B27)&lt;0.5,"PASS","FAIL")</f>
        <v>PASS</v>
      </c>
      <c r="C15" s="18" t="s">
        <v>405</v>
      </c>
    </row>
    <row r="16" customFormat="false" ht="15" hidden="false" customHeight="false" outlineLevel="0" collapsed="false">
      <c r="A16" s="6" t="s">
        <v>406</v>
      </c>
      <c r="B16" s="4" t="str">
        <f aca="false">IF(Valuation!$F$17&gt;0,"PASS","WARN")</f>
        <v>WARN</v>
      </c>
      <c r="C16" s="18" t="s">
        <v>407</v>
      </c>
    </row>
    <row r="17" customFormat="false" ht="15" hidden="false" customHeight="false" outlineLevel="0" collapsed="false">
      <c r="A17" s="6" t="s">
        <v>408</v>
      </c>
      <c r="B17" s="4" t="str">
        <f aca="false">IF(SUMPRODUCT(--ISERROR(Monthly!$C$4:$BJ$98))+SUMPRODUCT(--ISERROR(Headcount!$C$4:$BJ$19))+SUMPRODUCT(--ISERROR('P&amp;L'!$B$3:$F$23))+SUMPRODUCT(--ISERROR('Cash Flow'!$B$3:$F$19))+SUMPRODUCT(--ISERROR('Balance Sheet'!$B$3:$F$18))+SUMPRODUCT(--ISERROR(Dashboard!$B$47:$F$66))+SUMPRODUCT(--ISERROR('Break-even'!$B$26:$F$33))+SUMPRODUCT(--ISERROR(Valuation!$B$14:$F$19))+SUMPRODUCT(--ISERROR('Break-even'!$B$3:$F$35))+SUMPRODUCT(--ISERROR(Valuation!$A$3:$F$40))+SUMPRODUCT(--ISERROR(Dashboard!$A$6:$W$43))+SUMPRODUCT(--ISERROR(Summary!$A$5:$S$53))=0,"PASS","FAIL")</f>
        <v>PASS</v>
      </c>
      <c r="C17" s="18" t="s">
        <v>409</v>
      </c>
    </row>
    <row r="18" customFormat="false" ht="15" hidden="false" customHeight="false" outlineLevel="0" collapsed="false">
      <c r="A18" s="6" t="s">
        <v>410</v>
      </c>
      <c r="B18" s="4" t="str">
        <f aca="false">IF(IFERROR(AND(SUMPRODUCT(--(ABS(Summary!$B$7:$F$7-'P&amp;L'!$B$5:$F$5)&gt;0.5))=0,SUMPRODUCT(--(ABS(Summary!$B$19:$F$19-'P&amp;L'!$B$22:$F$22)&gt;0.5))=0,SUMPRODUCT(--(ABS(Summary!$B$31:$F$31-'Cash Flow'!$B$19:$F$19)&gt;0.5))=0,SUMPRODUCT(--(ABS(Summary!$B$41:$F$41-'Balance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8" s="18" t="s">
        <v>411</v>
      </c>
    </row>
    <row r="19" customFormat="false" ht="15" hidden="false" customHeight="false" outlineLevel="0" collapsed="false">
      <c r="A19" s="6" t="s">
        <v>412</v>
      </c>
      <c r="B19" s="4" t="str">
        <f aca="false">IF(SUMPRODUCT(--(ABS(Monthly!$C$98:$BJ$98)&gt;0.5))=0,"PASS","FAIL")</f>
        <v>PASS</v>
      </c>
      <c r="C19" s="18" t="s">
        <v>413</v>
      </c>
    </row>
    <row r="20" customFormat="false" ht="15" hidden="false" customHeight="false" outlineLevel="0" collapsed="false">
      <c r="A20" s="6" t="s">
        <v>414</v>
      </c>
      <c r="B20" s="4" t="str">
        <f aca="false">IF(MIN(Monthly!$C$76:$BJ$76)&gt;=0,"PASS","WARN")</f>
        <v>WARN</v>
      </c>
      <c r="C20" s="18" t="s">
        <v>415</v>
      </c>
    </row>
    <row r="22" customFormat="false" ht="15" hidden="false" customHeight="false" outlineLevel="0" collapsed="false">
      <c r="A22" s="62" t="s">
        <v>416</v>
      </c>
      <c r="B22" s="62" t="str">
        <f aca="false">IF(COUNTIF(B4:B20,"FAIL")&gt;0,"FAIL",IF(COUNTIF(B4:B20,"WARN")&gt;0,"PASS WITH WARNINGS","PASS"))</f>
        <v>PASS WITH WARNINGS</v>
      </c>
      <c r="C22" s="90"/>
    </row>
  </sheetData>
  <conditionalFormatting sqref="B4:B22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2026-10-20T22:23:38Z</dcterms:created>
  <dc:creator/>
  <dc:description/>
  <dc:language>en-US</dc:language>
  <cp:lastModifiedBy/>
  <dcterms:modified xsi:type="dcterms:W3CDTF">2026-10-20T22:23:39Z</dcterms:modified>
  <cp:revision>0</cp:revision>
  <dc:subject/>
  <dc:title>SaaS financial model (early)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