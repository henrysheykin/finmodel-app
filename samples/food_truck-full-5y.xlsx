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Dashboard" sheetId="2" state="visible" r:id="rId4"/>
    <sheet name="Summary" sheetId="3" state="visible" r:id="rId5"/>
    <sheet name="Scenarios" sheetId="4" state="visible" r:id="rId6"/>
    <sheet name="Break-even" sheetId="5" state="visible" r:id="rId7"/>
    <sheet name="Valuation" sheetId="6" state="visible" r:id="rId8"/>
    <sheet name="Sources &amp; Uses" sheetId="7" state="visible" r:id="rId9"/>
    <sheet name="KPIs" sheetId="8" state="visible" r:id="rId10"/>
    <sheet name="Inputs" sheetId="9" state="visible" r:id="rId11"/>
    <sheet name="P&amp;L" sheetId="10" state="visible" r:id="rId12"/>
    <sheet name="Cash Flow" sheetId="11" state="visible" r:id="rId13"/>
    <sheet name="Balance Sheet" sheetId="12" state="visible" r:id="rId14"/>
    <sheet name="Monthly" sheetId="13" state="visible" r:id="rId15"/>
    <sheet name="Headcount" sheetId="14" state="visible" r:id="rId16"/>
    <sheet name="Scenario calc" sheetId="15" state="visible" r:id="rId17"/>
    <sheet name="Checks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<sst xmlns="http://schemas.openxmlformats.org/spreadsheetml/2006/main" count="1345" uniqueCount="516">
  <si>
    <t xml:space="preserve">Food truck financial model (planning)</t>
  </si>
  <si>
    <t xml:space="preserve">5-year financial model · monthly detail · Low / Base / High scenarios · US dollars · Full plan</t>
  </si>
  <si>
    <t xml:space="preserve">Purpose</t>
  </si>
  <si>
    <t xml:space="preserve">Revenue and profit plan</t>
  </si>
  <si>
    <t xml:space="preserve">Active scenario</t>
  </si>
  <si>
    <t xml:space="preserve">Model checks</t>
  </si>
  <si>
    <t xml:space="preserve">Prepared</t>
  </si>
  <si>
    <t xml:space="preserve">22 October 2026</t>
  </si>
  <si>
    <t xml:space="preserve">Contents</t>
  </si>
  <si>
    <t xml:space="preserve">PRESENTATION</t>
  </si>
  <si>
    <t xml:space="preserve">Scenario switch, key numbers, core financials</t>
  </si>
  <si>
    <t xml:space="preserve">Income statement, cash flow and balance sheet — every year and any year by month</t>
  </si>
  <si>
    <t xml:space="preserve">Low / Base / High side by side: drivers, outputs, charts</t>
  </si>
  <si>
    <t xml:space="preserve">Startup costs, funding need, break-even timing and revenue</t>
  </si>
  <si>
    <t xml:space="preserve">Free cash flow, DCF (perpetual growth and exit multiple), WACC × growth sensitivity</t>
  </si>
  <si>
    <t xml:space="preserve">Funding structure, sources and uses of cash for the first months</t>
  </si>
  <si>
    <t xml:space="preserve">Financial ratios, DuPont analysis, industry metrics</t>
  </si>
  <si>
    <t xml:space="preserve">INPUTS</t>
  </si>
  <si>
    <t xml:space="preserve">Every assumption, Low / Base / High, with units and comments</t>
  </si>
  <si>
    <t xml:space="preserve">STATEMENTS</t>
  </si>
  <si>
    <t xml:space="preserve">Annual profit &amp; loss</t>
  </si>
  <si>
    <t xml:space="preserve">Annual cash flow statement</t>
  </si>
  <si>
    <t xml:space="preserve">Balance sheet at year end</t>
  </si>
  <si>
    <t xml:space="preserve">CALCULATIONS</t>
  </si>
  <si>
    <t xml:space="preserve">Month-by-month engine of the model</t>
  </si>
  <si>
    <t xml:space="preserve">Team and payroll</t>
  </si>
  <si>
    <t xml:space="preserve">Low, Base and High calculated side by side for the Scenarios sheet</t>
  </si>
  <si>
    <t xml:space="preserve">CONTROL</t>
  </si>
  <si>
    <t xml:space="preserve">Live integrity checks and the overall verdict</t>
  </si>
  <si>
    <t xml:space="preserve">How to read this file</t>
  </si>
  <si>
    <t xml:space="preserve">Input you can change — yellow cell with a blue figure (Inputs sheet and the view switches)</t>
  </si>
  <si>
    <t xml:space="preserve">Formula — calculated, do not overwrite</t>
  </si>
  <si>
    <t xml:space="preserve">Link to another sheet</t>
  </si>
  <si>
    <t xml:space="preserve">Active value the model uses (follows the scenario)</t>
  </si>
  <si>
    <t xml:space="preserve">Dashboard</t>
  </si>
  <si>
    <t xml:space="preserve">1 = Low · 2 = Base · 3 = High — every sheet follows this cell</t>
  </si>
  <si>
    <t xml:space="preserve">REVENUE · YEAR 5</t>
  </si>
  <si>
    <t xml:space="preserve">EBITDA MARGIN · YEAR 5</t>
  </si>
  <si>
    <t xml:space="preserve">NET INCOME · YEAR 5</t>
  </si>
  <si>
    <t xml:space="preserve">LOWEST CASH BALANCE</t>
  </si>
  <si>
    <t xml:space="preserve">FUNDING REQUIRED</t>
  </si>
  <si>
    <t xml:space="preserve">ENTERPRISE VALUE (DCF)</t>
  </si>
  <si>
    <t xml:space="preserve">Average of 2 methods</t>
  </si>
  <si>
    <t xml:space="preserve">Core financials ($'000) — active scenario</t>
  </si>
  <si>
    <t xml:space="preserve">Revenue</t>
  </si>
  <si>
    <t xml:space="preserve">Gross profit</t>
  </si>
  <si>
    <t xml:space="preserve">Gross margin</t>
  </si>
  <si>
    <t xml:space="preserve">Operating expenses</t>
  </si>
  <si>
    <t xml:space="preserve">EBITDA</t>
  </si>
  <si>
    <t xml:space="preserve">EBITDA margin</t>
  </si>
  <si>
    <t xml:space="preserve">Net income</t>
  </si>
  <si>
    <t xml:space="preserve">Net margin</t>
  </si>
  <si>
    <t xml:space="preserve">Operating cash flow</t>
  </si>
  <si>
    <t xml:space="preserve">Investing cash flow</t>
  </si>
  <si>
    <t xml:space="preserve">Financing cash flow</t>
  </si>
  <si>
    <t xml:space="preserve">Net change in cash</t>
  </si>
  <si>
    <t xml:space="preserve">Year-end cash</t>
  </si>
  <si>
    <t xml:space="preserve">Food truck metrics</t>
  </si>
  <si>
    <t xml:space="preserve">Meals served</t>
  </si>
  <si>
    <t xml:space="preserve">Revenue per service day</t>
  </si>
  <si>
    <t xml:space="preserve">Events &amp; catering, % of revenue</t>
  </si>
  <si>
    <t xml:space="preserve">Prime cost (food, packaging, payroll), % of revenue</t>
  </si>
  <si>
    <t xml:space="preserve">Team (FTE, year end)</t>
  </si>
  <si>
    <t xml:space="preserve">Funding &amp; valuation ($'000) — active scenario</t>
  </si>
  <si>
    <t xml:space="preserve">Equity raised</t>
  </si>
  <si>
    <t xml:space="preserve">Loan drawn</t>
  </si>
  <si>
    <t xml:space="preserve">Funding required (incl. cash buffer)</t>
  </si>
  <si>
    <t xml:space="preserve">Funding surplus / (shortfall)</t>
  </si>
  <si>
    <t xml:space="preserve">First month with positive EBITDA</t>
  </si>
  <si>
    <t xml:space="preserve">Cash invested paid back</t>
  </si>
  <si>
    <t xml:space="preserve">Enterprise value — perpetual growth</t>
  </si>
  <si>
    <t xml:space="preserve">Enterprise value — exit multiple</t>
  </si>
  <si>
    <t xml:space="preserve">Enterprise value — average</t>
  </si>
  <si>
    <t xml:space="preserve">Financial statements summary</t>
  </si>
  <si>
    <t xml:space="preserve">Select detailed year:</t>
  </si>
  <si>
    <t xml:space="preserve">Income statement ($'000) — by year</t>
  </si>
  <si>
    <t xml:space="preserve">Cost of sales</t>
  </si>
  <si>
    <t xml:space="preserve">Total operating expenses</t>
  </si>
  <si>
    <t xml:space="preserve">Depreciation</t>
  </si>
  <si>
    <t xml:space="preserve">EBIT</t>
  </si>
  <si>
    <t xml:space="preserve">Interest</t>
  </si>
  <si>
    <t xml:space="preserve">Pre-tax income</t>
  </si>
  <si>
    <t xml:space="preserve">Income tax</t>
  </si>
  <si>
    <t xml:space="preserve">Cash flow ($'000) — by year</t>
  </si>
  <si>
    <t xml:space="preserve">Capital spending</t>
  </si>
  <si>
    <t xml:space="preserve">Loan drawdown</t>
  </si>
  <si>
    <t xml:space="preserve">Loan repayment</t>
  </si>
  <si>
    <t xml:space="preserve">Closing cash</t>
  </si>
  <si>
    <t xml:space="preserve">Balance sheet at year end ($'000)</t>
  </si>
  <si>
    <t xml:space="preserve">Cash</t>
  </si>
  <si>
    <t xml:space="preserve">Accounts receivable</t>
  </si>
  <si>
    <t xml:space="preserve">Inventory</t>
  </si>
  <si>
    <t xml:space="preserve">Net fixed assets</t>
  </si>
  <si>
    <t xml:space="preserve">Total assets</t>
  </si>
  <si>
    <t xml:space="preserve">Accounts payable</t>
  </si>
  <si>
    <t xml:space="preserve">Loan</t>
  </si>
  <si>
    <t xml:space="preserve">Total liabilities</t>
  </si>
  <si>
    <t xml:space="preserve">Paid-in capital</t>
  </si>
  <si>
    <t xml:space="preserve">Retained earnings</t>
  </si>
  <si>
    <t xml:space="preserve">Total equity</t>
  </si>
  <si>
    <t xml:space="preserve">Total liabilities &amp; equity</t>
  </si>
  <si>
    <t xml:space="preserve">Scenarios — Low / Base / High</t>
  </si>
  <si>
    <t xml:space="preserve">All three scenarios calculated side by side, live: change any input and every column updates. Active = the scenario chosen on the Dashboard.</t>
  </si>
  <si>
    <t xml:space="preserve">Key drivers</t>
  </si>
  <si>
    <t xml:space="preserve">Driver</t>
  </si>
  <si>
    <t xml:space="preserve">Low</t>
  </si>
  <si>
    <t xml:space="preserve">Base</t>
  </si>
  <si>
    <t xml:space="preserve">High</t>
  </si>
  <si>
    <t xml:space="preserve">Active</t>
  </si>
  <si>
    <t xml:space="preserve">Street service days per truck per month (year average) (days)</t>
  </si>
  <si>
    <t xml:space="preserve">Meals per street service day at maturity (year 1) (meals)</t>
  </si>
  <si>
    <t xml:space="preserve">Average ticket per meal (year 1) ($)</t>
  </si>
  <si>
    <t xml:space="preserve">Event and catering days per truck per month (year 1) (days)</t>
  </si>
  <si>
    <t xml:space="preserve">Food cost, % of sales (%)</t>
  </si>
  <si>
    <t xml:space="preserve">Truck purchase, each ($)</t>
  </si>
  <si>
    <t xml:space="preserve">Equity raised at start ($)</t>
  </si>
  <si>
    <t xml:space="preserve">Results by scenario ($'000)</t>
  </si>
  <si>
    <t xml:space="preserve">Output</t>
  </si>
  <si>
    <t xml:space="preserve">Revenue — final year</t>
  </si>
  <si>
    <t xml:space="preserve">Revenue — whole plan</t>
  </si>
  <si>
    <t xml:space="preserve">EBITDA — final year</t>
  </si>
  <si>
    <t xml:space="preserve">EBITDA margin — final year</t>
  </si>
  <si>
    <t xml:space="preserve">Net income — final year</t>
  </si>
  <si>
    <t xml:space="preserve">Net income — whole plan</t>
  </si>
  <si>
    <t xml:space="preserve">Cash at the end of the plan</t>
  </si>
  <si>
    <t xml:space="preserve">Lowest cash balance</t>
  </si>
  <si>
    <t xml:space="preserve">Lowest cash point (month #)</t>
  </si>
  <si>
    <t xml:space="preserve">Revenue by year ($'000)</t>
  </si>
  <si>
    <t xml:space="preserve">Scenario</t>
  </si>
  <si>
    <t xml:space="preserve">EBITDA by year ($'000)</t>
  </si>
  <si>
    <t xml:space="preserve">Net income by year ($'000)</t>
  </si>
  <si>
    <t xml:space="preserve">Cash at year end by year ($'000)</t>
  </si>
  <si>
    <t xml:space="preserve">Startup costs, funding need and break-even</t>
  </si>
  <si>
    <t xml:space="preserve">Live for the selected scenario. Periods are counted in months from the start of the plan.</t>
  </si>
  <si>
    <t xml:space="preserve">Scenario shown</t>
  </si>
  <si>
    <t xml:space="preserve">Startup costs &amp; funding need (up to the lowest cash point)</t>
  </si>
  <si>
    <t xml:space="preserve">Capital spending up to the lowest cash point</t>
  </si>
  <si>
    <t xml:space="preserve">Operating cash burn up to the lowest cash point</t>
  </si>
  <si>
    <t xml:space="preserve">Losses and working capital before the business funds itself</t>
  </si>
  <si>
    <t xml:space="preserve">Loan repayments up to the lowest cash point</t>
  </si>
  <si>
    <t xml:space="preserve">Total uses of funds</t>
  </si>
  <si>
    <t xml:space="preserve">Minimum cash buffer to keep</t>
  </si>
  <si>
    <t xml:space="preserve">Input on the Inputs sheet</t>
  </si>
  <si>
    <t xml:space="preserve">Funding required (uses + buffer)</t>
  </si>
  <si>
    <t xml:space="preserve">Total sources of funds</t>
  </si>
  <si>
    <t xml:space="preserve">Negative = raise at least this much more</t>
  </si>
  <si>
    <t xml:space="preserve">Lowest cash balance in the plan</t>
  </si>
  <si>
    <t xml:space="preserve">Equals sources minus uses</t>
  </si>
  <si>
    <t xml:space="preserve">Break-even timing</t>
  </si>
  <si>
    <t xml:space="preserve">First month with positive EBITDA (month #)</t>
  </si>
  <si>
    <t xml:space="preserve">First month with positive net income (month #)</t>
  </si>
  <si>
    <t xml:space="preserve">Cash invested paid back (month #)</t>
  </si>
  <si>
    <t xml:space="preserve">Cumulative operating + investing cash flow back to zero</t>
  </si>
  <si>
    <t xml:space="preserve">Annual break-even revenue</t>
  </si>
  <si>
    <t xml:space="preserve">Year #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</si>
  <si>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</si>
  <si>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</si>
  <si>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</si>
  <si>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</si>
  <si>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</si>
  <si>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Gross margin (contribution)</t>
  </si>
  <si>
    <t xml:space="preserve">Operating expenses (treated as fixed)</t>
  </si>
  <si>
    <t xml:space="preserve">Break-even revenue (EBITDA = 0)</t>
  </si>
  <si>
    <t xml:space="preserve">Margin of safety (revenue above break-even)</t>
  </si>
  <si>
    <t xml:space="preserve">Simplification: cost of sales is treated as variable and operating expenses as fixed, so break-even revenue = operating expenses ÷ gross margin.</t>
  </si>
  <si>
    <t xml:space="preserve">Discounted cash flow valuation</t>
  </si>
  <si>
    <t xml:space="preserve">Enterprise value at the start of the plan, before the funding raised in period 1. Year-end discounting.</t>
  </si>
  <si>
    <t xml:space="preserve">Assumptions (active scenario, from the Inputs sheet)</t>
  </si>
  <si>
    <t xml:space="preserve">Discount rate (WACC)</t>
  </si>
  <si>
    <t xml:space="preserve">Terminal growth rate</t>
  </si>
  <si>
    <t xml:space="preserve">Exit multiple (EV ÷ final-year EBITDA)</t>
  </si>
  <si>
    <t xml:space="preserve">Tax rate (for the interest tax shield)</t>
  </si>
  <si>
    <t xml:space="preserve">Sensitivity step: WACC</t>
  </si>
  <si>
    <t xml:space="preserve">Sensitivity step: terminal growth</t>
  </si>
  <si>
    <t xml:space="preserve">Free cash flow by year</t>
  </si>
  <si>
    <t xml:space="preserve">Unlevered free cash flow</t>
  </si>
  <si>
    <t xml:space="preserve">Discount factor</t>
  </si>
  <si>
    <t xml:space="preserve">Present value of free cash flow</t>
  </si>
  <si>
    <t xml:space="preserve">Enterprise value</t>
  </si>
  <si>
    <t xml:space="preserve">Perpetual growth</t>
  </si>
  <si>
    <t xml:space="preserve">Exit multiple</t>
  </si>
  <si>
    <t xml:space="preserve">Present value of the plan's free cash flows</t>
  </si>
  <si>
    <t xml:space="preserve">Final-year free cash flow | final-year EBITDA</t>
  </si>
  <si>
    <t xml:space="preserve">Terminal value at the end of year 5</t>
  </si>
  <si>
    <t xml:space="preserve">Present value of the terminal value</t>
  </si>
  <si>
    <t xml:space="preserve">Terminal value share of enterprise value</t>
  </si>
  <si>
    <t xml:space="preserve">Cross-check: implied exit multiple | implied perpetual growth</t>
  </si>
  <si>
    <t xml:space="preserve">Enterprise value — average of the two methods</t>
  </si>
  <si>
    <t xml:space="preserve">Sensitivity: enterprise value (perpetual growth) by WACC and terminal growth</t>
  </si>
  <si>
    <t xml:space="preserve">WACC ↓ · terminal growth →</t>
  </si>
  <si>
    <t xml:space="preserve">Free cash flow = operating cash flow + interest × (1 − tax rate) − capital spending. Cells marked n/a: WACC not above growth.</t>
  </si>
  <si>
    <t xml:space="preserve">Sources and uses of funds</t>
  </si>
  <si>
    <t xml:space="preserve">Live for the selected scenario. Where the money comes from and where it goes in the period set below.</t>
  </si>
  <si>
    <t xml:space="preserve">Funding structure ($'000) — raised at the start of the plan</t>
  </si>
  <si>
    <t xml:space="preserve">Amount</t>
  </si>
  <si>
    <t xml:space="preserve">Share</t>
  </si>
  <si>
    <t xml:space="preserve">Equity</t>
  </si>
  <si>
    <t xml:space="preserve">Debt (loan)</t>
  </si>
  <si>
    <t xml:space="preserve">Total funding</t>
  </si>
  <si>
    <t xml:space="preserve">Gearing (debt ÷ equity)</t>
  </si>
  <si>
    <t xml:space="preserve">n/a: debt without positive equity</t>
  </si>
  <si>
    <t xml:space="preserve">Funding required by the plan (Break-even sheet)</t>
  </si>
  <si>
    <t xml:space="preserve">Period covered (months from the start)</t>
  </si>
  <si>
    <t xml:space="preserve">1 to 60 (capped)</t>
  </si>
  <si>
    <t xml:space="preserve">Months used</t>
  </si>
  <si>
    <t xml:space="preserve">Sources</t>
  </si>
  <si>
    <t xml:space="preserve">Loan drawdowns</t>
  </si>
  <si>
    <t xml:space="preserve">Cash generated by operations</t>
  </si>
  <si>
    <t xml:space="preserve">Total sources</t>
  </si>
  <si>
    <t xml:space="preserve">Uses</t>
  </si>
  <si>
    <t xml:space="preserve">Cash used by operations</t>
  </si>
  <si>
    <t xml:space="preserve">Loan repayments</t>
  </si>
  <si>
    <t xml:space="preserve">Cash at the end of the period</t>
  </si>
  <si>
    <t xml:space="preserve">Total uses</t>
  </si>
  <si>
    <t xml:space="preserve">Sources − uses (must be 0; opening cash is 0)</t>
  </si>
  <si>
    <t xml:space="preserve">KPIs &amp; ratios</t>
  </si>
  <si>
    <t xml:space="preserve">Food truck financial model (planning) — industry metrics and financial ratios for the active scenario</t>
  </si>
  <si>
    <t xml:space="preserve">Financial ratios</t>
  </si>
  <si>
    <t xml:space="preserve">Target</t>
  </si>
  <si>
    <t xml:space="preserve">Revenue growth</t>
  </si>
  <si>
    <t xml:space="preserve">Payroll, % of revenue</t>
  </si>
  <si>
    <t xml:space="preserve">Marketing, % of revenue</t>
  </si>
  <si>
    <t xml:space="preserve">Operating expenses, % of revenue</t>
  </si>
  <si>
    <t xml:space="preserve">Current ratio (current assets ÷ current liabilities)</t>
  </si>
  <si>
    <t xml:space="preserve">Debt ÷ equity (loan ÷ total equity)</t>
  </si>
  <si>
    <t xml:space="preserve">Return on assets (net income ÷ year-end assets)</t>
  </si>
  <si>
    <t xml:space="preserve">Return on equity (net income ÷ year-end equity)</t>
  </si>
  <si>
    <t xml:space="preserve">DuPont analysis — return on equity = net margin × asset turnover × equity multiplier</t>
  </si>
  <si>
    <t xml:space="preserve">× Asset turnover (revenue ÷ assets)</t>
  </si>
  <si>
    <t xml:space="preserve">× Equity multiplier (assets ÷ equity)</t>
  </si>
  <si>
    <t xml:space="preserve">Return on equity (product of the three)</t>
  </si>
  <si>
    <t xml:space="preserve">Check: product − return on equity (must be 0)</t>
  </si>
  <si>
    <t xml:space="preserve">Food truck metrics ($'000; per-unit rows in $)</t>
  </si>
  <si>
    <t xml:space="preserve">Trucks in operation (year end)</t>
  </si>
  <si>
    <t xml:space="preserve">Service days (street and events)</t>
  </si>
  <si>
    <t xml:space="preserve">Meals per service day</t>
  </si>
  <si>
    <t xml:space="preserve">Street sales</t>
  </si>
  <si>
    <t xml:space="preserve">Events &amp; catering</t>
  </si>
  <si>
    <t xml:space="preserve">Revenue per meal ($)</t>
  </si>
  <si>
    <t xml:space="preserve">Revenue per service day ($)</t>
  </si>
  <si>
    <t xml:space="preserve">Revenue per truck (year-end fleet)</t>
  </si>
  <si>
    <t xml:space="preserve">Food &amp; packaging</t>
  </si>
  <si>
    <t xml:space="preserve">Food &amp; packaging, % of revenue</t>
  </si>
  <si>
    <t xml:space="preserve">Payroll</t>
  </si>
  <si>
    <t xml:space="preserve">Inputs — Low / Base / High</t>
  </si>
  <si>
    <t xml:space="preserve">Illustrative assumptions - replace them with your own numbers.</t>
  </si>
  <si>
    <t xml:space="preserve">Unit</t>
  </si>
  <si>
    <t xml:space="preserve">Source / comment</t>
  </si>
  <si>
    <t xml:space="preserve">Fleet &amp; service days</t>
  </si>
  <si>
    <t xml:space="preserve">Food trucks in operation at start</t>
  </si>
  <si>
    <t xml:space="preserve">#</t>
  </si>
  <si>
    <t xml:space="preserve">Trucks added each year (from year 2; raise headcount to match)</t>
  </si>
  <si>
    <t xml:space="preserve">Street service days per truck per month (year average)</t>
  </si>
  <si>
    <t xml:space="preserve">days</t>
  </si>
  <si>
    <t xml:space="preserve">Low ≤ Base ≤ High</t>
  </si>
  <si>
    <t xml:space="preserve">Winter dip in street service days, December-February (monthly models)</t>
  </si>
  <si>
    <t xml:space="preserve">%</t>
  </si>
  <si>
    <t xml:space="preserve">Low ≥ Base ≥ High (lower is better)</t>
  </si>
  <si>
    <t xml:space="preserve">Ramp-up</t>
  </si>
  <si>
    <t xml:space="preserve">Months to reach mature volume (0 = already mature)</t>
  </si>
  <si>
    <t xml:space="preserve">months</t>
  </si>
  <si>
    <t xml:space="preserve">Volume in month 1, % of mature</t>
  </si>
  <si>
    <t xml:space="preserve">Meals per street service day at maturity (year 1)</t>
  </si>
  <si>
    <t xml:space="preserve">meals</t>
  </si>
  <si>
    <t xml:space="preserve">Meals per day growth per year</t>
  </si>
  <si>
    <t xml:space="preserve">Average ticket per meal (year 1)</t>
  </si>
  <si>
    <t xml:space="preserve">$</t>
  </si>
  <si>
    <t xml:space="preserve">Price increase per year</t>
  </si>
  <si>
    <t xml:space="preserve">Event and catering days per truck per month (year 1)</t>
  </si>
  <si>
    <t xml:space="preserve">Event days growth per year</t>
  </si>
  <si>
    <t xml:space="preserve">Revenue per event or catering day (year 1)</t>
  </si>
  <si>
    <t xml:space="preserve">Meals served per event or catering day</t>
  </si>
  <si>
    <t xml:space="preserve">Food cost, % of sales</t>
  </si>
  <si>
    <t xml:space="preserve">Packaging &amp; disposables per meal (year 1)</t>
  </si>
  <si>
    <t xml:space="preserve">Card &amp; POS processing fees, % of revenue</t>
  </si>
  <si>
    <t xml:space="preserve">Event &amp; festival fees, % of event revenue</t>
  </si>
  <si>
    <t xml:space="preserve">Event booth or vendor fee per event day (year 1)</t>
  </si>
  <si>
    <t xml:space="preserve">Cost increase per year (packaging, fuel, fixed costs)</t>
  </si>
  <si>
    <t xml:space="preserve">Operating costs</t>
  </si>
  <si>
    <t xml:space="preserve">Commissary kitchen rent per truck per month</t>
  </si>
  <si>
    <t xml:space="preserve">Permits &amp; licences per truck per month (annual fees ÷ 12)</t>
  </si>
  <si>
    <t xml:space="preserve">Insurance per truck per month</t>
  </si>
  <si>
    <t xml:space="preserve">Fuel, propane &amp; generator per service day</t>
  </si>
  <si>
    <t xml:space="preserve">Truck maintenance &amp; repairs per truck per month</t>
  </si>
  <si>
    <t xml:space="preserve">POS &amp; ordering software per month</t>
  </si>
  <si>
    <t xml:space="preserve">Marketing budget per month (year 1)</t>
  </si>
  <si>
    <t xml:space="preserve">Marketing budget growth per year</t>
  </si>
  <si>
    <t xml:space="preserve">Accounting, bank fees &amp; other G&amp;A per month</t>
  </si>
  <si>
    <t xml:space="preserve">Trucks to buy and build out in month 1</t>
  </si>
  <si>
    <t xml:space="preserve">Truck purchase, each</t>
  </si>
  <si>
    <t xml:space="preserve">Kitchen build-out, equipment &amp; wrap, per truck</t>
  </si>
  <si>
    <t xml:space="preserve">POS hardware &amp; smallwares (month 1)</t>
  </si>
  <si>
    <t xml:space="preserve">Equipment refresh per truck per year (from year 2)</t>
  </si>
  <si>
    <t xml:space="preserve">Headcount</t>
  </si>
  <si>
    <t xml:space="preserve">Owner-operator (salary optional): headcount (FTE)</t>
  </si>
  <si>
    <t xml:space="preserve">FTE</t>
  </si>
  <si>
    <t xml:space="preserve">Owner-operator (salary optional): salary per FTE per year</t>
  </si>
  <si>
    <t xml:space="preserve">Owner-operator (salary optional): headcount growth per year</t>
  </si>
  <si>
    <t xml:space="preserve">Owner-operator (salary optional): first month on payroll</t>
  </si>
  <si>
    <t xml:space="preserve">month #</t>
  </si>
  <si>
    <t xml:space="preserve">Cooks: headcount (FTE)</t>
  </si>
  <si>
    <t xml:space="preserve">Cooks: salary per FTE per year</t>
  </si>
  <si>
    <t xml:space="preserve">Cooks: headcount growth per year</t>
  </si>
  <si>
    <t xml:space="preserve">Cooks: first month on payroll</t>
  </si>
  <si>
    <t xml:space="preserve">Cashiers &amp; service staff: headcount (FTE)</t>
  </si>
  <si>
    <t xml:space="preserve">Cashiers &amp; service staff: salary per FTE per year</t>
  </si>
  <si>
    <t xml:space="preserve">Cashiers &amp; service staff: headcount growth per year</t>
  </si>
  <si>
    <t xml:space="preserve">Cashiers &amp; service staff: first month on payroll</t>
  </si>
  <si>
    <t xml:space="preserve">Payroll taxes &amp; benefits, % of salary</t>
  </si>
  <si>
    <t xml:space="preserve">Wage growth per year</t>
  </si>
  <si>
    <t xml:space="preserve">Funding</t>
  </si>
  <si>
    <t xml:space="preserve">Equity raised at start</t>
  </si>
  <si>
    <t xml:space="preserve">Loan drawn at start</t>
  </si>
  <si>
    <t xml:space="preserve">Loan interest rate per year</t>
  </si>
  <si>
    <t xml:space="preserve">Loan repayment term</t>
  </si>
  <si>
    <t xml:space="preserve">years</t>
  </si>
  <si>
    <t xml:space="preserve">Working capital</t>
  </si>
  <si>
    <t xml:space="preserve">Customer payment terms (receivable days)</t>
  </si>
  <si>
    <t xml:space="preserve">Inventory held (days of COGS)</t>
  </si>
  <si>
    <t xml:space="preserve">Supplier payment terms (payable days)</t>
  </si>
  <si>
    <t xml:space="preserve">Tax &amp; depreciation</t>
  </si>
  <si>
    <t xml:space="preserve">Depreciation period for capex</t>
  </si>
  <si>
    <t xml:space="preserve">Income tax rate</t>
  </si>
  <si>
    <t xml:space="preserve">Break-even &amp; funding</t>
  </si>
  <si>
    <t xml:space="preserve">About 3 months of costs</t>
  </si>
  <si>
    <t xml:space="preserve">Valuation</t>
  </si>
  <si>
    <t xml:space="preserve">Terminal growth rate (perpetuity)</t>
  </si>
  <si>
    <t xml:space="preserve">x</t>
  </si>
  <si>
    <t xml:space="preserve">Sensitivity table: WACC step</t>
  </si>
  <si>
    <t xml:space="preserve">Sensitivity table: growth step</t>
  </si>
  <si>
    <t xml:space="preserve">Legend: yellow cell with blue figure = input you can change · black = formula · green = link to another sheet · grey = active value (column E follows the scenario on the Dashboard).</t>
  </si>
  <si>
    <t xml:space="preserve">Rolled up from the period detail (SUMIF on the year row; balances at year end).</t>
  </si>
  <si>
    <t xml:space="preserve">Payroll (owner-operator, cooks, cashiers)</t>
  </si>
  <si>
    <t xml:space="preserve">Commissary kitchen</t>
  </si>
  <si>
    <t xml:space="preserve">Permits &amp; licences</t>
  </si>
  <si>
    <t xml:space="preserve">Insurance</t>
  </si>
  <si>
    <t xml:space="preserve">Fuel, propane &amp; generator</t>
  </si>
  <si>
    <t xml:space="preserve">Truck maintenance &amp; repairs</t>
  </si>
  <si>
    <t xml:space="preserve">POS &amp; ordering software</t>
  </si>
  <si>
    <t xml:space="preserve">Marketing</t>
  </si>
  <si>
    <t xml:space="preserve">Accounting, bank fees &amp; other G&amp;A</t>
  </si>
  <si>
    <t xml:space="preserve">Add back depreciation</t>
  </si>
  <si>
    <t xml:space="preserve">(Increase) / decrease in receivables</t>
  </si>
  <si>
    <t xml:space="preserve">(Increase) / decrease in inventory</t>
  </si>
  <si>
    <t xml:space="preserve">Increase / (decrease) in payables</t>
  </si>
  <si>
    <t xml:space="preserve">Opening cash</t>
  </si>
  <si>
    <t xml:space="preserve">Check: assets − liabilities − equity (must be 0)</t>
  </si>
  <si>
    <t xml:space="preserve">Monthly projection</t>
  </si>
  <si>
    <t xml:space="preserve">$ unless stated; costs shown as negatives. Every period uses the same formula.</t>
  </si>
  <si>
    <t xml:space="preserve">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</si>
  <si>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</si>
  <si>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</si>
  <si>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</si>
  <si>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</si>
  <si>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</si>
  <si>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</si>
  <si>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</si>
  <si>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</si>
  <si>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</si>
  <si>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</si>
  <si>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</si>
  <si>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</si>
  <si>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</si>
  <si>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</si>
  <si>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</si>
  <si>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</si>
  <si>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</si>
  <si>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</si>
  <si>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</si>
  <si>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</si>
  <si>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</si>
  <si>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</si>
  <si>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</si>
  <si>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</si>
  <si>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</si>
  <si>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</si>
  <si>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</si>
  <si>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</si>
  <si>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</si>
  <si>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</si>
  <si>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</si>
  <si>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</si>
  <si>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</si>
  <si>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</si>
  <si>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</si>
  <si>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</si>
  <si>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M37</t>
  </si>
  <si>
    <t xml:space="preserve">M38</t>
  </si>
  <si>
    <t xml:space="preserve">M39</t>
  </si>
  <si>
    <t xml:space="preserve">M40</t>
  </si>
  <si>
    <t xml:space="preserve">M41</t>
  </si>
  <si>
    <t xml:space="preserve">M42</t>
  </si>
  <si>
    <t xml:space="preserve">M43</t>
  </si>
  <si>
    <t xml:space="preserve">M44</t>
  </si>
  <si>
    <t xml:space="preserve">M45</t>
  </si>
  <si>
    <t xml:space="preserve">M46</t>
  </si>
  <si>
    <t xml:space="preserve">M47</t>
  </si>
  <si>
    <t xml:space="preserve">M48</t>
  </si>
  <si>
    <t xml:space="preserve">M49</t>
  </si>
  <si>
    <t xml:space="preserve">M50</t>
  </si>
  <si>
    <t xml:space="preserve">M51</t>
  </si>
  <si>
    <t xml:space="preserve">M52</t>
  </si>
  <si>
    <t xml:space="preserve">M53</t>
  </si>
  <si>
    <t xml:space="preserve">M54</t>
  </si>
  <si>
    <t xml:space="preserve">M55</t>
  </si>
  <si>
    <t xml:space="preserve">M56</t>
  </si>
  <si>
    <t xml:space="preserve">M57</t>
  </si>
  <si>
    <t xml:space="preserve">M58</t>
  </si>
  <si>
    <t xml:space="preserve">M59</t>
  </si>
  <si>
    <t xml:space="preserve">M60</t>
  </si>
  <si>
    <t xml:space="preserve">Period #</t>
  </si>
  <si>
    <t xml:space="preserve">Fleet &amp; volume</t>
  </si>
  <si>
    <t xml:space="preserve">Trucks in operation</t>
  </si>
  <si>
    <t xml:space="preserve">Helper: months of the period still on the ramp-up</t>
  </si>
  <si>
    <t xml:space="preserve">Ramp-up factor (share of mature volume)</t>
  </si>
  <si>
    <t xml:space="preserve">Season factor (winter dip in street days)</t>
  </si>
  <si>
    <t xml:space="preserve">Street service days</t>
  </si>
  <si>
    <t xml:space="preserve">Event and catering days</t>
  </si>
  <si>
    <t xml:space="preserve">Service days - total</t>
  </si>
  <si>
    <t xml:space="preserve">Meals sold on the street</t>
  </si>
  <si>
    <t xml:space="preserve">Meals served at events</t>
  </si>
  <si>
    <t xml:space="preserve">Meals - total</t>
  </si>
  <si>
    <t xml:space="preserve">Average ticket per street meal</t>
  </si>
  <si>
    <t xml:space="preserve">Revenue per event day</t>
  </si>
  <si>
    <t xml:space="preserve">Food cost</t>
  </si>
  <si>
    <t xml:space="preserve">Packaging &amp; disposables</t>
  </si>
  <si>
    <t xml:space="preserve">Card &amp; POS processing fees</t>
  </si>
  <si>
    <t xml:space="preserve">Event &amp; festival fees</t>
  </si>
  <si>
    <t xml:space="preserve">Profit after depreciation, interest, tax</t>
  </si>
  <si>
    <t xml:space="preserve">Interest on loan (average balance after drawdown)</t>
  </si>
  <si>
    <t xml:space="preserve">Helper: cumulative pre-tax income</t>
  </si>
  <si>
    <t xml:space="preserve">Helper: cumulative taxable income (losses carried forward)</t>
  </si>
  <si>
    <t xml:space="preserve">Fixed assets &amp; capital spending</t>
  </si>
  <si>
    <t xml:space="preserve">Truck purchase (month 1; trucks added from year 2)</t>
  </si>
  <si>
    <t xml:space="preserve">Kitchen build-out, equipment &amp; wrap</t>
  </si>
  <si>
    <t xml:space="preserve">POS hardware &amp; smallwares</t>
  </si>
  <si>
    <t xml:space="preserve">Equipment refresh (first period of each year from year 2)</t>
  </si>
  <si>
    <t xml:space="preserve">Fixed assets at cost</t>
  </si>
  <si>
    <t xml:space="preserve">Accumulated depreciation</t>
  </si>
  <si>
    <t xml:space="preserve">Debt</t>
  </si>
  <si>
    <t xml:space="preserve">Loan — opening balance</t>
  </si>
  <si>
    <t xml:space="preserve">Loan — closing balance</t>
  </si>
  <si>
    <t xml:space="preserve">Cash flow</t>
  </si>
  <si>
    <t xml:space="preserve">Investing cash flow (capex)</t>
  </si>
  <si>
    <t xml:space="preserve">Net cash flow</t>
  </si>
  <si>
    <t xml:space="preserve">Helper: EBITDA positive (1/0)</t>
  </si>
  <si>
    <t xml:space="preserve">Goal modules</t>
  </si>
  <si>
    <t xml:space="preserve">Helper: net income positive (1/0)</t>
  </si>
  <si>
    <t xml:space="preserve">Cash flow before financing (operating + investing)</t>
  </si>
  <si>
    <t xml:space="preserve">Cumulative cash flow before financing</t>
  </si>
  <si>
    <t xml:space="preserve">Helper: lowest cumulative cash flow so far</t>
  </si>
  <si>
    <t xml:space="preserve">Helper: investment paid back (1/0)</t>
  </si>
  <si>
    <t xml:space="preserve">Unlevered free cash flow (operating + after-tax interest − capex)</t>
  </si>
  <si>
    <t xml:space="preserve">Balance sheet</t>
  </si>
  <si>
    <t xml:space="preserve">Check: assets − liabilities − equity</t>
  </si>
  <si>
    <t xml:space="preserve">Headcount &amp; payroll</t>
  </si>
  <si>
    <t xml:space="preserve">Headcount (FTE)</t>
  </si>
  <si>
    <t xml:space="preserve">Owner-operator (salary optional) — FTE</t>
  </si>
  <si>
    <t xml:space="preserve">Cooks — FTE</t>
  </si>
  <si>
    <t xml:space="preserve">Cashiers &amp; service staff — FTE</t>
  </si>
  <si>
    <t xml:space="preserve">Total FTE</t>
  </si>
  <si>
    <t xml:space="preserve">Payroll cost (salary + taxes &amp; benefits)</t>
  </si>
  <si>
    <t xml:space="preserve">Owner-operator (salary optional) — payroll cost</t>
  </si>
  <si>
    <t xml:space="preserve">Cooks — payroll cost</t>
  </si>
  <si>
    <t xml:space="preserve">Cashiers &amp; service staff — payroll cost</t>
  </si>
  <si>
    <t xml:space="preserve">Total payroll</t>
  </si>
  <si>
    <t xml:space="preserve">Scenario calculation — Low, Base and High side by side</t>
  </si>
  <si>
    <t xml:space="preserve">The model's period calculation, copied three times; each copy reads its own Inputs column. Feeds the Scenarios sheet only.</t>
  </si>
  <si>
    <t xml:space="preserve">Low scenario — reads Inputs column B</t>
  </si>
  <si>
    <t xml:space="preserve">Base scenario — reads Inputs column C</t>
  </si>
  <si>
    <t xml:space="preserve">High scenario — reads Inputs column D</t>
  </si>
  <si>
    <t xml:space="preserve">Live formulas: they re-run every time an input changes.</t>
  </si>
  <si>
    <t xml:space="preserve">Check</t>
  </si>
  <si>
    <t xml:space="preserve">Result</t>
  </si>
  <si>
    <t xml:space="preserve">What it tests</t>
  </si>
  <si>
    <t xml:space="preserve">Annual revenue ties to period detail</t>
  </si>
  <si>
    <t xml:space="preserve">Sum of annual revenue equals the sum of every period</t>
  </si>
  <si>
    <t xml:space="preserve">Annual net income ties to period detail</t>
  </si>
  <si>
    <t xml:space="preserve">Sum of annual net income equals the sum of every period</t>
  </si>
  <si>
    <t xml:space="preserve">EBITDA reconciliation</t>
  </si>
  <si>
    <t xml:space="preserve">EBITDA = gross profit + operating expenses (costs are negative)</t>
  </si>
  <si>
    <t xml:space="preserve">Cash roll-forward</t>
  </si>
  <si>
    <t xml:space="preserve">Closing cash = all net cash flows since the start (opening cash is zero)</t>
  </si>
  <si>
    <t xml:space="preserve">Scenario selector valid</t>
  </si>
  <si>
    <t xml:space="preserve">Dashboard!B4 is 1, 2 or 3</t>
  </si>
  <si>
    <t xml:space="preserve">Scenario ordering of drivers</t>
  </si>
  <si>
    <t xml:space="preserve">Low / Base / High ordered the right way for every growth and cost driver</t>
  </si>
  <si>
    <t xml:space="preserve">Gross margin within 0–100%</t>
  </si>
  <si>
    <t xml:space="preserve">Gross margin never negative or above 100%</t>
  </si>
  <si>
    <t xml:space="preserve">Loan balance never negative</t>
  </si>
  <si>
    <t xml:space="preserve">Repayments never exceed the loan</t>
  </si>
  <si>
    <t xml:space="preserve">Funding table ties to the cash flow</t>
  </si>
  <si>
    <t xml:space="preserve">Lowest cash balance = sources of funds − uses of funds up to that point</t>
  </si>
  <si>
    <t xml:space="preserve">Valuation: discounting ties to NPV()</t>
  </si>
  <si>
    <t xml:space="preserve">Sum of discounted free cash flows equals Excel's NPV of the same flows</t>
  </si>
  <si>
    <t xml:space="preserve">Valuation: WACC above terminal growth</t>
  </si>
  <si>
    <t xml:space="preserve">The perpetual-growth formula needs WACC &gt; g</t>
  </si>
  <si>
    <t xml:space="preserve">Valuation: sensitivity centre = enterprise value</t>
  </si>
  <si>
    <t xml:space="preserve">The middle of the WACC × growth table reproduces the headline value</t>
  </si>
  <si>
    <t xml:space="preserve">Valuation: final-year cash flow positive</t>
  </si>
  <si>
    <t xml:space="preserve">Business warning: a negative final-year cash flow gives a negative terminal value (often a 1-year plan still carrying start-up spending)</t>
  </si>
  <si>
    <t xml:space="preserve">Sources &amp; uses balance</t>
  </si>
  <si>
    <t xml:space="preserve">Sources of funds = uses of funds (incl. cash at the end) for the Sources &amp; Uses period</t>
  </si>
  <si>
    <t xml:space="preserve">No error values</t>
  </si>
  <si>
    <t xml:space="preserve">No error values (divide-by-zero, broken references) on any calculation sheet</t>
  </si>
  <si>
    <t xml:space="preserve">Summary ties to statements</t>
  </si>
  <si>
    <t xml:space="preserve">Summary revenue, net income and closing cash equal the statements every year; the detailed year adds up to its annual figure</t>
  </si>
  <si>
    <t xml:space="preserve">DuPont ties to return on equity</t>
  </si>
  <si>
    <t xml:space="preserve">Net margin × asset turnover × equity multiplier equals return on equity every year; n/a = no year where both are defined (a one-sided n/a is a FAIL)</t>
  </si>
  <si>
    <t xml:space="preserve">Scenarios: Active = selected scenario</t>
  </si>
  <si>
    <t xml:space="preserve">On the Scenarios sheet the live model (Active) equals the Low / Base / High column chosen on the Dashboard for every output</t>
  </si>
  <si>
    <t xml:space="preserve">Balance sheet balances every period</t>
  </si>
  <si>
    <t xml:space="preserve">Assets = liabilities + equity in every period</t>
  </si>
  <si>
    <t xml:space="preserve">Funding sufficient (cash ≥ 0)</t>
  </si>
  <si>
    <t xml:space="preserve">Business warning, not an error: cash dips below zero in this scenario</t>
  </si>
  <si>
    <t xml:space="preserve">Overall verdict</t>
  </si>
</sst>
</file>

<file path=xl/styles.xml><?xml version="1.0" encoding="utf-8"?>
<styleSheet xmlns="http://schemas.openxmlformats.org/spreadsheetml/2006/main">
  <numFmts count="29">
    <numFmt numFmtId="164" formatCode="General"/>
    <numFmt numFmtId="165" formatCode="#,##0"/>
    <numFmt numFmtId="166" formatCode="\$#,##0.0,,\M;&quot;($&quot;#,##0.0,,&quot;M)&quot;;\-"/>
    <numFmt numFmtId="167" formatCode="0.0%;\(0.0%\);\-"/>
    <numFmt numFmtId="168" formatCode="&quot;CAGR &quot;0%;&quot;CAGR -&quot;0%;&quot;CAGR &quot;0%"/>
    <numFmt numFmtId="169" formatCode="&quot;EBITDA $&quot;#,##0.0,,\M;&quot;EBITDA -$&quot;#,##0.0,,\M;&quot;EBITDA $&quot;0.0\M"/>
    <numFmt numFmtId="170" formatCode="&quot;Net margin &quot;0%;&quot;Net margin -&quot;0%;&quot;Net margin &quot;0%"/>
    <numFmt numFmtId="171" formatCode="&quot;in month &quot;0"/>
    <numFmt numFmtId="172" formatCode="&quot;Shortfall $&quot;#,##0.0,,\M"/>
    <numFmt numFmtId="173" formatCode="&quot;Year &quot;0"/>
    <numFmt numFmtId="174" formatCode="\$#,##0,;&quot;($&quot;#,##0,\);\-"/>
    <numFmt numFmtId="175" formatCode="#,##0;\(#,##0\);\-"/>
    <numFmt numFmtId="176" formatCode="\$#,##0.00;&quot;($&quot;#,##0.00\);\-"/>
    <numFmt numFmtId="177" formatCode="#,##0.0;\(#,##0.0\);\-"/>
    <numFmt numFmtId="178" formatCode="&quot;Month &quot;0"/>
    <numFmt numFmtId="179" formatCode="\$#,##0.0,,\M"/>
    <numFmt numFmtId="180" formatCode="0%"/>
    <numFmt numFmtId="181" formatCode="\M0"/>
    <numFmt numFmtId="182" formatCode="\$#,##0,\K"/>
    <numFmt numFmtId="183" formatCode="#,##0.0;\(#,##0.0\);\-"/>
    <numFmt numFmtId="184" formatCode="\$#,##0.00;&quot;($&quot;#,##0.00\);\-"/>
    <numFmt numFmtId="185" formatCode="0.0%;\(0.0%\);\-"/>
    <numFmt numFmtId="186" formatCode="\$#,##0;&quot;($&quot;#,##0\);\-"/>
    <numFmt numFmtId="187" formatCode="0"/>
    <numFmt numFmtId="188" formatCode="0.0\x"/>
    <numFmt numFmtId="189" formatCode="0.000"/>
    <numFmt numFmtId="190" formatCode="0.0\x;\(0.0&quot;x)&quot;;\-"/>
    <numFmt numFmtId="191" formatCode="#,##0;\(#,##0\);\-"/>
    <numFmt numFmtId="192" formatCode="[&gt;=1000000]\$#,##0.0,,\M;[&gt;=1000]\$#,##0,\k;\$#,##0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B2A2F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9"/>
      <color rgb="FF1B2A2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F6E56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0F6E56"/>
      <name val="Arial"/>
      <family val="0"/>
      <charset val="1"/>
    </font>
    <font>
      <sz val="9"/>
      <color rgb="FF6B7280"/>
      <name val="Arial"/>
      <family val="0"/>
      <charset val="1"/>
    </font>
    <font>
      <b val="true"/>
      <u val="single"/>
      <sz val="9"/>
      <color rgb="FF0F6E56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4"/>
      <color rgb="FF1B2A2F"/>
      <name val="Arial"/>
      <family val="0"/>
      <charset val="1"/>
    </font>
    <font>
      <u val="single"/>
      <sz val="8"/>
      <color rgb="FF0F6E56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F6E56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7"/>
      <color rgb="FF6B7280"/>
      <name val="Arial"/>
      <family val="0"/>
      <charset val="1"/>
    </font>
    <font>
      <b val="true"/>
      <sz val="18"/>
      <color rgb="FF1B2A2F"/>
      <name val="Arial"/>
      <family val="0"/>
      <charset val="1"/>
    </font>
    <font>
      <sz val="8"/>
      <color rgb="FF0F6E56"/>
      <name val="Arial"/>
      <family val="0"/>
      <charset val="1"/>
    </font>
    <font>
      <sz val="9"/>
      <color rgb="FF1B2A2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1B2A2F"/>
      <name val="Arial"/>
      <family val="2"/>
    </font>
    <font>
      <sz val="8"/>
      <color rgb="FF6B7280"/>
      <name val="Arial"/>
      <family val="2"/>
    </font>
    <font>
      <sz val="8"/>
      <color rgb="FF1B2A2F"/>
      <name val="Arial"/>
      <family val="2"/>
    </font>
    <font>
      <sz val="7"/>
      <color rgb="FFA3ABA8"/>
      <name val="Arial"/>
      <family val="0"/>
      <charset val="1"/>
    </font>
    <font>
      <i val="true"/>
      <sz val="9"/>
      <color rgb="FF008000"/>
      <name val="Arial"/>
      <family val="0"/>
      <charset val="1"/>
    </font>
    <font>
      <b val="true"/>
      <i val="true"/>
      <sz val="9"/>
      <color rgb="FF6B7280"/>
      <name val="Arial"/>
      <family val="0"/>
      <charset val="1"/>
    </font>
    <font>
      <sz val="8"/>
      <color rgb="FFFFFFFF"/>
      <name val="Arial"/>
      <family val="2"/>
    </font>
    <font>
      <sz val="8"/>
      <color rgb="FF6B72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FFF2CC"/>
        <bgColor rgb="FFFBEFCF"/>
      </patternFill>
    </fill>
    <fill>
      <patternFill patternType="solid">
        <fgColor rgb="FFF1F3EE"/>
        <bgColor rgb="FFF7F8F3"/>
      </patternFill>
    </fill>
    <fill>
      <patternFill patternType="solid">
        <fgColor rgb="FFFFE08A"/>
        <bgColor rgb="FFFBEFCF"/>
      </patternFill>
    </fill>
    <fill>
      <patternFill patternType="solid">
        <fgColor rgb="FFF7F8F3"/>
        <bgColor rgb="FFF1F3EE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CEC9"/>
      </bottom>
      <diagonal/>
    </border>
    <border diagonalUp="false" diagonalDown="false">
      <left style="thin">
        <color rgb="FFC9CEC9"/>
      </left>
      <right style="thin">
        <color rgb="FFC9CEC9"/>
      </right>
      <top style="thin">
        <color rgb="FFC9CEC9"/>
      </top>
      <bottom style="thin">
        <color rgb="FFC9CEC9"/>
      </bottom>
      <diagonal/>
    </border>
    <border diagonalUp="false" diagonalDown="false">
      <left style="medium">
        <color rgb="FF1B2A2F"/>
      </left>
      <right style="medium">
        <color rgb="FF1B2A2F"/>
      </right>
      <top style="medium">
        <color rgb="FF1B2A2F"/>
      </top>
      <bottom style="medium">
        <color rgb="FF1B2A2F"/>
      </bottom>
      <diagonal/>
    </border>
    <border diagonalUp="false" diagonalDown="false">
      <left style="thin">
        <color rgb="FFFFFFFF"/>
      </left>
      <right style="thin">
        <color rgb="FFFFFFFF"/>
      </right>
      <top style="thick">
        <color rgb="FF0F6E56"/>
      </top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/>
      <right/>
      <top/>
      <bottom style="medium">
        <color rgb="FF1B2A2F"/>
      </bottom>
      <diagonal/>
    </border>
    <border diagonalUp="false" diagonalDown="false">
      <left/>
      <right/>
      <top style="thin">
        <color rgb="FF1B2A2F"/>
      </top>
      <bottom/>
      <diagonal/>
    </border>
    <border diagonalUp="false" diagonalDown="false">
      <left/>
      <right/>
      <top style="thin">
        <color rgb="FF1B2A2F"/>
      </top>
      <bottom style="double">
        <color rgb="FF1B2A2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3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0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0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1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1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1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5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5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4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1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1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B8322A"/>
        <sz val="9"/>
      </font>
      <fill>
        <patternFill>
          <bgColor rgb="FFF6D5D2"/>
        </patternFill>
      </fill>
    </dxf>
    <dxf>
      <font>
        <name val="Arial"/>
        <charset val="1"/>
        <family val="0"/>
        <b val="1"/>
        <color rgb="FF8A6100"/>
        <sz val="9"/>
      </font>
      <fill>
        <patternFill>
          <bgColor rgb="FFFBEFCF"/>
        </patternFill>
      </fill>
    </dxf>
    <dxf>
      <font>
        <name val="Arial"/>
        <charset val="1"/>
        <family val="0"/>
        <b val="1"/>
        <color rgb="FF0F6E56"/>
        <sz val="9"/>
      </font>
      <fill>
        <patternFill>
          <bgColor rgb="FFDCEF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100"/>
      <rgbColor rgb="FF800080"/>
      <rgbColor rgb="FF0F6E56"/>
      <rgbColor rgb="FFC9CEC9"/>
      <rgbColor rgb="FF4F81BD"/>
      <rgbColor rgb="FFA3ABA8"/>
      <rgbColor rgb="FF993366"/>
      <rgbColor rgb="FFFFF2CC"/>
      <rgbColor rgb="FFDCEFE8"/>
      <rgbColor rgb="FF660066"/>
      <rgbColor rgb="FFFF8080"/>
      <rgbColor rgb="FF0066CC"/>
      <rgbColor rgb="FFF6D5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3EE"/>
      <rgbColor rgb="FFE3E6E1"/>
      <rgbColor rgb="FFFBEFCF"/>
      <rgbColor rgb="FF7FB5A3"/>
      <rgbColor rgb="FFF7F8F3"/>
      <rgbColor rgb="FFCC99FF"/>
      <rgbColor rgb="FFFFE08A"/>
      <rgbColor rgb="FF3366FF"/>
      <rgbColor rgb="FF33CCCC"/>
      <rgbColor rgb="FF99CC00"/>
      <rgbColor rgb="FFE0B43C"/>
      <rgbColor rgb="FFD9A21B"/>
      <rgbColor rgb="FFFF6600"/>
      <rgbColor rgb="FF6B7280"/>
      <rgbColor rgb="FF9AA3A0"/>
      <rgbColor rgb="FF003366"/>
      <rgbColor rgb="FF339966"/>
      <rgbColor rgb="FF003300"/>
      <rgbColor rgb="FF333300"/>
      <rgbColor rgb="FFB8322A"/>
      <rgbColor rgb="FF993366"/>
      <rgbColor rgb="FF333399"/>
      <rgbColor rgb="FF1B2A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 &amp; 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Dashboard!$B$12:$F$12</c:f>
              <c:numCache>
                <c:formatCode>\$#,##0,;"($"#,##0,\);\-</c:formatCode>
                <c:ptCount val="5"/>
                <c:pt idx="0">
                  <c:v>273896</c:v>
                </c:pt>
                <c:pt idx="1">
                  <c:v>336825.8208</c:v>
                </c:pt>
                <c:pt idx="2">
                  <c:v>358461.36984672</c:v>
                </c:pt>
                <c:pt idx="3">
                  <c:v>381506.036640025</c:v>
                </c:pt>
                <c:pt idx="4">
                  <c:v>406053.094744669</c:v>
                </c:pt>
              </c:numCache>
            </c:numRef>
          </c:val>
        </c:ser>
        <c:ser>
          <c:idx val="1"/>
          <c:order val="1"/>
          <c:tx>
            <c:strRef>
              <c:f>Dashboard!$A$16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Dashboard!$B$16:$F$16</c:f>
              <c:numCache>
                <c:formatCode>\$#,##0,;"($"#,##0,\);\-</c:formatCode>
                <c:ptCount val="5"/>
                <c:pt idx="0">
                  <c:v>-7305.96400000003</c:v>
                </c:pt>
                <c:pt idx="1">
                  <c:v>24630.4908928</c:v>
                </c:pt>
                <c:pt idx="2">
                  <c:v>32253.0103955315</c:v>
                </c:pt>
                <c:pt idx="3">
                  <c:v>40535.2654792672</c:v>
                </c:pt>
                <c:pt idx="4">
                  <c:v>49525.5161792919</c:v>
                </c:pt>
              </c:numCache>
            </c:numRef>
          </c:val>
        </c:ser>
        <c:gapWidth val="60"/>
        <c:overlap val="0"/>
        <c:axId val="11659267"/>
        <c:axId val="2049318"/>
      </c:barChart>
      <c:lineChart>
        <c:grouping val="standard"/>
        <c:varyColors val="0"/>
        <c:ser>
          <c:idx val="2"/>
          <c:order val="2"/>
          <c:tx>
            <c:strRef>
              <c:f>Dashboard!$A$17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Dashboard!$B$17:$F$17</c:f>
              <c:numCache>
                <c:formatCode>0.0%;\(0.0%\);\-</c:formatCode>
                <c:ptCount val="5"/>
                <c:pt idx="0">
                  <c:v>-0.0266742267137893</c:v>
                </c:pt>
                <c:pt idx="1">
                  <c:v>0.0731253050443096</c:v>
                </c:pt>
                <c:pt idx="2">
                  <c:v>0.0899762515813714</c:v>
                </c:pt>
                <c:pt idx="3">
                  <c:v>0.106250652902551</c:v>
                </c:pt>
                <c:pt idx="4">
                  <c:v>0.121968079594207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5278250"/>
        <c:axId val="75920217"/>
      </c:lineChart>
      <c:catAx>
        <c:axId val="11659267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049318"/>
        <c:crosses val="autoZero"/>
        <c:auto val="1"/>
        <c:lblAlgn val="ctr"/>
        <c:lblOffset val="100"/>
        <c:noMultiLvlLbl val="0"/>
      </c:catAx>
      <c:valAx>
        <c:axId val="2049318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1659267"/>
        <c:crosses val="autoZero"/>
        <c:crossBetween val="between"/>
      </c:valAx>
      <c:catAx>
        <c:axId val="65278250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5920217"/>
        <c:crosses val="autoZero"/>
        <c:auto val="1"/>
        <c:lblAlgn val="ctr"/>
        <c:lblOffset val="100"/>
        <c:noMultiLvlLbl val="0"/>
      </c:catAx>
      <c:valAx>
        <c:axId val="75920217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527825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activity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Dashboard!$A$20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Dashboard!$B$20:$F$20</c:f>
              <c:numCache>
                <c:formatCode>\$#,##0,;"($"#,##0,\);\-</c:formatCode>
                <c:ptCount val="5"/>
                <c:pt idx="0">
                  <c:v>-15659.7006</c:v>
                </c:pt>
                <c:pt idx="1">
                  <c:v>18765.73393536</c:v>
                </c:pt>
                <c:pt idx="2">
                  <c:v>28004.3816109994</c:v>
                </c:pt>
                <c:pt idx="3">
                  <c:v>37902.5101141598</c:v>
                </c:pt>
                <c:pt idx="4">
                  <c:v>44662.9966259918</c:v>
                </c:pt>
              </c:numCache>
            </c:numRef>
          </c:val>
        </c:ser>
        <c:ser>
          <c:idx val="1"/>
          <c:order val="1"/>
          <c:tx>
            <c:strRef>
              <c:f>Dashboard!$A$21</c:f>
              <c:strCache>
                <c:ptCount val="1"/>
                <c:pt idx="0">
                  <c:v>Investing cash flow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Dashboard!$B$21:$F$21</c:f>
              <c:numCache>
                <c:formatCode>\$#,##0,;"($"#,##0,\);\-</c:formatCode>
                <c:ptCount val="5"/>
                <c:pt idx="0">
                  <c:v>-138000</c:v>
                </c:pt>
                <c:pt idx="1">
                  <c:v>-2500</c:v>
                </c:pt>
                <c:pt idx="2">
                  <c:v>-2500</c:v>
                </c:pt>
                <c:pt idx="3">
                  <c:v>-2500</c:v>
                </c:pt>
                <c:pt idx="4">
                  <c:v>-2500</c:v>
                </c:pt>
              </c:numCache>
            </c:numRef>
          </c:val>
        </c:ser>
        <c:ser>
          <c:idx val="2"/>
          <c:order val="2"/>
          <c:tx>
            <c:strRef>
              <c:f>Dashboard!$A$22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Dashboard!$B$22:$F$22</c:f>
              <c:numCache>
                <c:formatCode>\$#,##0,;"($"#,##0,\);\-</c:formatCode>
                <c:ptCount val="5"/>
                <c:pt idx="0">
                  <c:v>173500</c:v>
                </c:pt>
                <c:pt idx="1">
                  <c:v>-18000</c:v>
                </c:pt>
                <c:pt idx="2">
                  <c:v>-18000</c:v>
                </c:pt>
                <c:pt idx="3">
                  <c:v>-18000</c:v>
                </c:pt>
                <c:pt idx="4">
                  <c:v>-18000</c:v>
                </c:pt>
              </c:numCache>
            </c:numRef>
          </c:val>
        </c:ser>
        <c:gapWidth val="60"/>
        <c:overlap val="0"/>
        <c:axId val="6532106"/>
        <c:axId val="31872174"/>
      </c:barChart>
      <c:catAx>
        <c:axId val="6532106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1872174"/>
        <c:crosses val="autoZero"/>
        <c:auto val="1"/>
        <c:lblAlgn val="ctr"/>
        <c:lblOffset val="100"/>
        <c:noMultiLvlLbl val="0"/>
      </c:catAx>
      <c:valAx>
        <c:axId val="31872174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53210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Year-end cash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Dashboard!$A$24</c:f>
              <c:strCache>
                <c:ptCount val="1"/>
                <c:pt idx="0">
                  <c:v>Year-end cash</c:v>
                </c:pt>
              </c:strCache>
            </c:strRef>
          </c:tx>
          <c:spPr>
            <a:solidFill>
              <a:srgbClr val="1b2a2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Dashboard!$B$24:$F$24</c:f>
              <c:numCache>
                <c:formatCode>\$#,##0,;"($"#,##0,\);\-</c:formatCode>
                <c:ptCount val="5"/>
                <c:pt idx="0">
                  <c:v>19840.2994</c:v>
                </c:pt>
                <c:pt idx="1">
                  <c:v>18106.0333353599</c:v>
                </c:pt>
                <c:pt idx="2">
                  <c:v>25610.4149463593</c:v>
                </c:pt>
                <c:pt idx="3">
                  <c:v>43012.9250605192</c:v>
                </c:pt>
                <c:pt idx="4">
                  <c:v>67175.921686511</c:v>
                </c:pt>
              </c:numCache>
            </c:numRef>
          </c:val>
        </c:ser>
        <c:gapWidth val="60"/>
        <c:overlap val="0"/>
        <c:axId val="25985586"/>
        <c:axId val="8059108"/>
      </c:barChart>
      <c:catAx>
        <c:axId val="25985586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059108"/>
        <c:crosses val="autoZero"/>
        <c:auto val="1"/>
        <c:lblAlgn val="ctr"/>
        <c:lblOffset val="100"/>
        <c:noMultiLvlLbl val="0"/>
      </c:catAx>
      <c:valAx>
        <c:axId val="8059108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59855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Meals served &amp; prime cost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Dashboard!$A$28</c:f>
              <c:strCache>
                <c:ptCount val="1"/>
                <c:pt idx="0">
                  <c:v>Meals served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Dashboard!$B$28:$F$28</c:f>
              <c:numCache>
                <c:formatCode>#,##0;\(#,##0\);\-</c:formatCode>
                <c:ptCount val="5"/>
                <c:pt idx="0">
                  <c:v>19564</c:v>
                </c:pt>
                <c:pt idx="1">
                  <c:v>23358.24</c:v>
                </c:pt>
                <c:pt idx="2">
                  <c:v>24134.5872</c:v>
                </c:pt>
                <c:pt idx="3">
                  <c:v>24938.004816</c:v>
                </c:pt>
                <c:pt idx="4">
                  <c:v>25769.49396048</c:v>
                </c:pt>
              </c:numCache>
            </c:numRef>
          </c:val>
        </c:ser>
        <c:gapWidth val="60"/>
        <c:overlap val="0"/>
        <c:axId val="35251374"/>
        <c:axId val="41357213"/>
      </c:barChart>
      <c:lineChart>
        <c:grouping val="standard"/>
        <c:varyColors val="0"/>
        <c:ser>
          <c:idx val="1"/>
          <c:order val="1"/>
          <c:tx>
            <c:strRef>
              <c:f>Dashboard!$A$31</c:f>
              <c:strCache>
                <c:ptCount val="1"/>
                <c:pt idx="0">
                  <c:v>Prime cost (food, packaging, payroll), % of revenue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Dashboard!$B$31:$F$31</c:f>
              <c:numCache>
                <c:formatCode>0.0%;\(0.0%\);\-</c:formatCode>
                <c:ptCount val="5"/>
                <c:pt idx="0">
                  <c:v>0.794774220872156</c:v>
                </c:pt>
                <c:pt idx="1">
                  <c:v>0.724498925065783</c:v>
                </c:pt>
                <c:pt idx="2">
                  <c:v>0.71284286828703</c:v>
                </c:pt>
                <c:pt idx="3">
                  <c:v>0.701544507854288</c:v>
                </c:pt>
                <c:pt idx="4">
                  <c:v>0.690593233893769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1062217"/>
        <c:axId val="5328656"/>
      </c:lineChart>
      <c:catAx>
        <c:axId val="35251374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1357213"/>
        <c:crosses val="autoZero"/>
        <c:auto val="1"/>
        <c:lblAlgn val="ctr"/>
        <c:lblOffset val="100"/>
        <c:noMultiLvlLbl val="0"/>
      </c:catAx>
      <c:valAx>
        <c:axId val="41357213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5251374"/>
        <c:crosses val="autoZero"/>
        <c:crossBetween val="between"/>
      </c:valAx>
      <c:catAx>
        <c:axId val="11062217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328656"/>
        <c:crosses val="autoZero"/>
        <c:auto val="1"/>
        <c:lblAlgn val="ctr"/>
        <c:lblOffset val="100"/>
        <c:noMultiLvlLbl val="0"/>
      </c:catAx>
      <c:valAx>
        <c:axId val="532865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1062217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Income statement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Summary!$H$7:$S$7</c:f>
              <c:numCache>
                <c:formatCode>\$#,##0,;"($"#,##0,\);\-</c:formatCode>
                <c:ptCount val="12"/>
                <c:pt idx="0">
                  <c:v>10416</c:v>
                </c:pt>
                <c:pt idx="1">
                  <c:v>12152</c:v>
                </c:pt>
                <c:pt idx="2">
                  <c:v>18816</c:v>
                </c:pt>
                <c:pt idx="3">
                  <c:v>21168</c:v>
                </c:pt>
                <c:pt idx="4">
                  <c:v>23520</c:v>
                </c:pt>
                <c:pt idx="5">
                  <c:v>25872</c:v>
                </c:pt>
                <c:pt idx="6">
                  <c:v>28224</c:v>
                </c:pt>
                <c:pt idx="7">
                  <c:v>28224</c:v>
                </c:pt>
                <c:pt idx="8">
                  <c:v>28224</c:v>
                </c:pt>
                <c:pt idx="9">
                  <c:v>28224</c:v>
                </c:pt>
                <c:pt idx="10">
                  <c:v>28224</c:v>
                </c:pt>
                <c:pt idx="11">
                  <c:v>20832</c:v>
                </c:pt>
              </c:numCache>
            </c:numRef>
          </c:val>
        </c:ser>
        <c:gapWidth val="60"/>
        <c:overlap val="0"/>
        <c:axId val="6415095"/>
        <c:axId val="72047053"/>
      </c:barChart>
      <c:lineChart>
        <c:grouping val="standard"/>
        <c:varyColors val="0"/>
        <c:ser>
          <c:idx val="1"/>
          <c:order val="1"/>
          <c:tx>
            <c:strRef>
              <c:f>Summary!$A$12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Summary!$H$12:$S$12</c:f>
              <c:numCache>
                <c:formatCode>\$#,##0,;"($"#,##0,\);\-</c:formatCode>
                <c:ptCount val="12"/>
                <c:pt idx="0">
                  <c:v>-7786.81066666667</c:v>
                </c:pt>
                <c:pt idx="1">
                  <c:v>-6778.33466666667</c:v>
                </c:pt>
                <c:pt idx="2">
                  <c:v>-2997.41066666667</c:v>
                </c:pt>
                <c:pt idx="3">
                  <c:v>-1613.87866666667</c:v>
                </c:pt>
                <c:pt idx="4">
                  <c:v>-230.34666666667</c:v>
                </c:pt>
                <c:pt idx="5">
                  <c:v>1153.18533333333</c:v>
                </c:pt>
                <c:pt idx="6">
                  <c:v>2536.71733333333</c:v>
                </c:pt>
                <c:pt idx="7">
                  <c:v>2536.71733333333</c:v>
                </c:pt>
                <c:pt idx="8">
                  <c:v>2536.71733333333</c:v>
                </c:pt>
                <c:pt idx="9">
                  <c:v>2536.71733333333</c:v>
                </c:pt>
                <c:pt idx="10">
                  <c:v>2536.71733333333</c:v>
                </c:pt>
                <c:pt idx="11">
                  <c:v>-1735.95466666667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Summary!$A$19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Summary!$H$19:$S$19</c:f>
              <c:numCache>
                <c:formatCode>\$#,##0,;"($"#,##0,\);\-</c:formatCode>
                <c:ptCount val="12"/>
                <c:pt idx="0">
                  <c:v>-10104.6678095238</c:v>
                </c:pt>
                <c:pt idx="1">
                  <c:v>-9090.56680952381</c:v>
                </c:pt>
                <c:pt idx="2">
                  <c:v>-5298.39280952381</c:v>
                </c:pt>
                <c:pt idx="3">
                  <c:v>-3903.61080952381</c:v>
                </c:pt>
                <c:pt idx="4">
                  <c:v>-2508.82880952381</c:v>
                </c:pt>
                <c:pt idx="5">
                  <c:v>-1114.04680952381</c:v>
                </c:pt>
                <c:pt idx="6">
                  <c:v>280.735190476187</c:v>
                </c:pt>
                <c:pt idx="7">
                  <c:v>291.985190476187</c:v>
                </c:pt>
                <c:pt idx="8">
                  <c:v>303.235190476187</c:v>
                </c:pt>
                <c:pt idx="9">
                  <c:v>314.485190476187</c:v>
                </c:pt>
                <c:pt idx="10">
                  <c:v>325.735190476187</c:v>
                </c:pt>
                <c:pt idx="11">
                  <c:v>-3935.68680952381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415095"/>
        <c:axId val="72047053"/>
      </c:lineChart>
      <c:catAx>
        <c:axId val="6415095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2047053"/>
        <c:crosses val="autoZero"/>
        <c:auto val="1"/>
        <c:lblAlgn val="ctr"/>
        <c:lblOffset val="100"/>
        <c:noMultiLvlLbl val="0"/>
      </c:catAx>
      <c:valAx>
        <c:axId val="72047053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41509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Summary!$A$24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Summary!$H$24:$S$24</c:f>
              <c:numCache>
                <c:formatCode>\$#,##0,;"($"#,##0,\);\-</c:formatCode>
                <c:ptCount val="12"/>
                <c:pt idx="0">
                  <c:v>-8928.99146666667</c:v>
                </c:pt>
                <c:pt idx="1">
                  <c:v>-7525.57313333333</c:v>
                </c:pt>
                <c:pt idx="2">
                  <c:v>-3969.1922</c:v>
                </c:pt>
                <c:pt idx="3">
                  <c:v>-2368.09126666667</c:v>
                </c:pt>
                <c:pt idx="4">
                  <c:v>-973.30926666667</c:v>
                </c:pt>
                <c:pt idx="5">
                  <c:v>421.472733333329</c:v>
                </c:pt>
                <c:pt idx="6">
                  <c:v>1816.25473333333</c:v>
                </c:pt>
                <c:pt idx="7">
                  <c:v>1934.84233333333</c:v>
                </c:pt>
                <c:pt idx="8">
                  <c:v>1946.09233333333</c:v>
                </c:pt>
                <c:pt idx="9">
                  <c:v>1957.34233333333</c:v>
                </c:pt>
                <c:pt idx="10">
                  <c:v>1968.59233333333</c:v>
                </c:pt>
                <c:pt idx="11">
                  <c:v>-1939.14006666667</c:v>
                </c:pt>
              </c:numCache>
            </c:numRef>
          </c:val>
        </c:ser>
        <c:ser>
          <c:idx val="1"/>
          <c:order val="1"/>
          <c:tx>
            <c:strRef>
              <c:f>Summary!$A$25</c:f>
              <c:strCache>
                <c:ptCount val="1"/>
                <c:pt idx="0">
                  <c:v>Capital spending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Summary!$H$25:$S$25</c:f>
              <c:numCache>
                <c:formatCode>\$#,##0,;"($"#,##0,\);\-</c:formatCode>
                <c:ptCount val="12"/>
                <c:pt idx="0">
                  <c:v>-138000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</c:numCache>
            </c:numRef>
          </c:val>
        </c:ser>
        <c:ser>
          <c:idx val="2"/>
          <c:order val="2"/>
          <c:tx>
            <c:strRef>
              <c:f>Summary!$A$29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Summary!$H$29:$S$29</c:f>
              <c:numCache>
                <c:formatCode>\$#,##0,;"($"#,##0,\);\-</c:formatCode>
                <c:ptCount val="12"/>
                <c:pt idx="0">
                  <c:v>190000</c:v>
                </c:pt>
                <c:pt idx="1">
                  <c:v>-1500</c:v>
                </c:pt>
                <c:pt idx="2">
                  <c:v>-1500</c:v>
                </c:pt>
                <c:pt idx="3">
                  <c:v>-1500</c:v>
                </c:pt>
                <c:pt idx="4">
                  <c:v>-1500</c:v>
                </c:pt>
                <c:pt idx="5">
                  <c:v>-1500</c:v>
                </c:pt>
                <c:pt idx="6">
                  <c:v>-1500</c:v>
                </c:pt>
                <c:pt idx="7">
                  <c:v>-1500</c:v>
                </c:pt>
                <c:pt idx="8">
                  <c:v>-1500</c:v>
                </c:pt>
                <c:pt idx="9">
                  <c:v>-1500</c:v>
                </c:pt>
                <c:pt idx="10">
                  <c:v>-1500</c:v>
                </c:pt>
                <c:pt idx="11">
                  <c:v>-1500</c:v>
                </c:pt>
              </c:numCache>
            </c:numRef>
          </c:val>
        </c:ser>
        <c:gapWidth val="60"/>
        <c:overlap val="0"/>
        <c:axId val="68168639"/>
        <c:axId val="64037731"/>
      </c:barChart>
      <c:lineChart>
        <c:grouping val="standard"/>
        <c:varyColors val="0"/>
        <c:ser>
          <c:idx val="3"/>
          <c:order val="3"/>
          <c:tx>
            <c:strRef>
              <c:f>Summary!$A$31</c:f>
              <c:strCache>
                <c:ptCount val="1"/>
                <c:pt idx="0">
                  <c:v>Closing cash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Summary!$H$31:$S$31</c:f>
              <c:numCache>
                <c:formatCode>\$#,##0,;"($"#,##0,\);\-</c:formatCode>
                <c:ptCount val="12"/>
                <c:pt idx="0">
                  <c:v>43071.0085333333</c:v>
                </c:pt>
                <c:pt idx="1">
                  <c:v>34045.4354</c:v>
                </c:pt>
                <c:pt idx="2">
                  <c:v>28576.2432</c:v>
                </c:pt>
                <c:pt idx="3">
                  <c:v>24708.1519333333</c:v>
                </c:pt>
                <c:pt idx="4">
                  <c:v>22234.8426666667</c:v>
                </c:pt>
                <c:pt idx="5">
                  <c:v>21156.3154</c:v>
                </c:pt>
                <c:pt idx="6">
                  <c:v>21472.5701333333</c:v>
                </c:pt>
                <c:pt idx="7">
                  <c:v>21907.4124666667</c:v>
                </c:pt>
                <c:pt idx="8">
                  <c:v>22353.5048</c:v>
                </c:pt>
                <c:pt idx="9">
                  <c:v>22810.8471333333</c:v>
                </c:pt>
                <c:pt idx="10">
                  <c:v>23279.4394666666</c:v>
                </c:pt>
                <c:pt idx="11">
                  <c:v>19840.2994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9013687"/>
        <c:axId val="95229707"/>
      </c:lineChart>
      <c:catAx>
        <c:axId val="68168639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4037731"/>
        <c:crosses val="autoZero"/>
        <c:auto val="1"/>
        <c:lblAlgn val="ctr"/>
        <c:lblOffset val="100"/>
        <c:noMultiLvlLbl val="0"/>
      </c:catAx>
      <c:valAx>
        <c:axId val="64037731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8168639"/>
        <c:crosses val="autoZero"/>
        <c:crossBetween val="between"/>
      </c:valAx>
      <c:catAx>
        <c:axId val="79013687"/>
        <c:scaling>
          <c:orientation val="minMax"/>
        </c:scaling>
        <c:delete val="0"/>
        <c:axPos val="t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5229707"/>
        <c:crosses val="autoZero"/>
        <c:auto val="1"/>
        <c:lblAlgn val="ctr"/>
        <c:lblOffset val="100"/>
        <c:noMultiLvlLbl val="0"/>
      </c:catAx>
      <c:valAx>
        <c:axId val="95229707"/>
        <c:scaling>
          <c:orientation val="minMax"/>
        </c:scaling>
        <c:delete val="0"/>
        <c:axPos val="r"/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9013687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Assets and equity at month 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Summary!$A$41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Summary!$H$41:$S$41</c:f>
              <c:numCache>
                <c:formatCode>\$#,##0,;"($"#,##0,\);\-</c:formatCode>
                <c:ptCount val="12"/>
                <c:pt idx="0">
                  <c:v>43071.0085333333</c:v>
                </c:pt>
                <c:pt idx="1">
                  <c:v>34045.4354</c:v>
                </c:pt>
                <c:pt idx="2">
                  <c:v>28576.2432</c:v>
                </c:pt>
                <c:pt idx="3">
                  <c:v>24708.1519333333</c:v>
                </c:pt>
                <c:pt idx="4">
                  <c:v>22234.8426666667</c:v>
                </c:pt>
                <c:pt idx="5">
                  <c:v>21156.3154</c:v>
                </c:pt>
                <c:pt idx="6">
                  <c:v>21472.5701333333</c:v>
                </c:pt>
                <c:pt idx="7">
                  <c:v>21907.4124666667</c:v>
                </c:pt>
                <c:pt idx="8">
                  <c:v>22353.5048</c:v>
                </c:pt>
                <c:pt idx="9">
                  <c:v>22810.8471333333</c:v>
                </c:pt>
                <c:pt idx="10">
                  <c:v>23279.4394666666</c:v>
                </c:pt>
                <c:pt idx="11">
                  <c:v>19840.2994</c:v>
                </c:pt>
              </c:numCache>
            </c:numRef>
          </c:val>
        </c:ser>
        <c:ser>
          <c:idx val="1"/>
          <c:order val="1"/>
          <c:tx>
            <c:strRef>
              <c:f>Summary!$A$42</c:f>
              <c:strCache>
                <c:ptCount val="1"/>
                <c:pt idx="0">
                  <c:v>Accounts receivable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Summary!$H$42:$S$42</c:f>
              <c:numCache>
                <c:formatCode>\$#,##0,;"($"#,##0,\);\-</c:formatCode>
                <c:ptCount val="12"/>
                <c:pt idx="0">
                  <c:v>1041.6</c:v>
                </c:pt>
                <c:pt idx="1">
                  <c:v>1215.2</c:v>
                </c:pt>
                <c:pt idx="2">
                  <c:v>1881.6</c:v>
                </c:pt>
                <c:pt idx="3">
                  <c:v>2116.8</c:v>
                </c:pt>
                <c:pt idx="4">
                  <c:v>2352</c:v>
                </c:pt>
                <c:pt idx="5">
                  <c:v>2587.2</c:v>
                </c:pt>
                <c:pt idx="6">
                  <c:v>2822.4</c:v>
                </c:pt>
                <c:pt idx="7">
                  <c:v>2822.4</c:v>
                </c:pt>
                <c:pt idx="8">
                  <c:v>2822.4</c:v>
                </c:pt>
                <c:pt idx="9">
                  <c:v>2822.4</c:v>
                </c:pt>
                <c:pt idx="10">
                  <c:v>2822.4</c:v>
                </c:pt>
                <c:pt idx="11">
                  <c:v>2083.2</c:v>
                </c:pt>
              </c:numCache>
            </c:numRef>
          </c:val>
        </c:ser>
        <c:ser>
          <c:idx val="2"/>
          <c:order val="2"/>
          <c:tx>
            <c:strRef>
              <c:f>Summary!$A$44</c:f>
              <c:strCache>
                <c:ptCount val="1"/>
                <c:pt idx="0">
                  <c:v>Net fixed assets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Summary!$H$44:$S$44</c:f>
              <c:numCache>
                <c:formatCode>\$#,##0,;"($"#,##0,\);\-</c:formatCode>
                <c:ptCount val="12"/>
                <c:pt idx="0">
                  <c:v>136357.142857143</c:v>
                </c:pt>
                <c:pt idx="1">
                  <c:v>134714.285714286</c:v>
                </c:pt>
                <c:pt idx="2">
                  <c:v>133071.428571429</c:v>
                </c:pt>
                <c:pt idx="3">
                  <c:v>131428.571428571</c:v>
                </c:pt>
                <c:pt idx="4">
                  <c:v>129785.714285714</c:v>
                </c:pt>
                <c:pt idx="5">
                  <c:v>128142.857142857</c:v>
                </c:pt>
                <c:pt idx="6">
                  <c:v>126500</c:v>
                </c:pt>
                <c:pt idx="7">
                  <c:v>124857.142857143</c:v>
                </c:pt>
                <c:pt idx="8">
                  <c:v>123214.285714286</c:v>
                </c:pt>
                <c:pt idx="9">
                  <c:v>121571.428571429</c:v>
                </c:pt>
                <c:pt idx="10">
                  <c:v>119928.571428571</c:v>
                </c:pt>
                <c:pt idx="11">
                  <c:v>118285.714285714</c:v>
                </c:pt>
              </c:numCache>
            </c:numRef>
          </c:val>
        </c:ser>
        <c:gapWidth val="60"/>
        <c:overlap val="100"/>
        <c:axId val="19040851"/>
        <c:axId val="43622660"/>
      </c:barChart>
      <c:lineChart>
        <c:grouping val="stacked"/>
        <c:varyColors val="0"/>
        <c:ser>
          <c:idx val="3"/>
          <c:order val="3"/>
          <c:tx>
            <c:strRef>
              <c:f>Summary!$A$51</c:f>
              <c:strCache>
                <c:ptCount val="1"/>
                <c:pt idx="0">
                  <c:v>Total equity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Summary!$H$51:$S$51</c:f>
              <c:numCache>
                <c:formatCode>\$#,##0,;"($"#,##0,\);\-</c:formatCode>
                <c:ptCount val="12"/>
                <c:pt idx="0">
                  <c:v>89895.3321904762</c:v>
                </c:pt>
                <c:pt idx="1">
                  <c:v>80804.7653809524</c:v>
                </c:pt>
                <c:pt idx="2">
                  <c:v>75506.3725714286</c:v>
                </c:pt>
                <c:pt idx="3">
                  <c:v>71602.7617619048</c:v>
                </c:pt>
                <c:pt idx="4">
                  <c:v>69093.9329523809</c:v>
                </c:pt>
                <c:pt idx="5">
                  <c:v>67979.8861428571</c:v>
                </c:pt>
                <c:pt idx="6">
                  <c:v>68260.6213333333</c:v>
                </c:pt>
                <c:pt idx="7">
                  <c:v>68552.6065238095</c:v>
                </c:pt>
                <c:pt idx="8">
                  <c:v>68855.8417142857</c:v>
                </c:pt>
                <c:pt idx="9">
                  <c:v>69170.3269047619</c:v>
                </c:pt>
                <c:pt idx="10">
                  <c:v>69496.0620952381</c:v>
                </c:pt>
                <c:pt idx="11">
                  <c:v>65560.3752857143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9040851"/>
        <c:axId val="43622660"/>
      </c:lineChart>
      <c:catAx>
        <c:axId val="19040851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3622660"/>
        <c:crosses val="autoZero"/>
        <c:auto val="1"/>
        <c:lblAlgn val="ctr"/>
        <c:lblOffset val="100"/>
        <c:noMultiLvlLbl val="0"/>
      </c:catAx>
      <c:valAx>
        <c:axId val="4362266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904085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Scenarios!$A$30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Scenarios!$B$29:$F$29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Scenarios!$B$30:$F$30</c:f>
              <c:numCache>
                <c:formatCode>\$#,##0,;"($"#,##0,\);\-</c:formatCode>
                <c:ptCount val="5"/>
                <c:pt idx="0">
                  <c:v>181039.673333333</c:v>
                </c:pt>
                <c:pt idx="1">
                  <c:v>249243.12</c:v>
                </c:pt>
                <c:pt idx="2">
                  <c:v>254227.9824</c:v>
                </c:pt>
                <c:pt idx="3">
                  <c:v>259312.542048</c:v>
                </c:pt>
                <c:pt idx="4">
                  <c:v>264498.79288896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Scenarios!$A$31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Scenarios!$B$29:$F$29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Scenarios!$B$31:$F$31</c:f>
              <c:numCache>
                <c:formatCode>\$#,##0,;"($"#,##0,\);\-</c:formatCode>
                <c:ptCount val="5"/>
                <c:pt idx="0">
                  <c:v>273896</c:v>
                </c:pt>
                <c:pt idx="1">
                  <c:v>336825.8208</c:v>
                </c:pt>
                <c:pt idx="2">
                  <c:v>358461.36984672</c:v>
                </c:pt>
                <c:pt idx="3">
                  <c:v>381506.036640025</c:v>
                </c:pt>
                <c:pt idx="4">
                  <c:v>406053.094744669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Scenarios!$A$32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Scenarios!$B$29:$F$29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Scenarios!$B$32:$F$32</c:f>
              <c:numCache>
                <c:formatCode>\$#,##0,;"($"#,##0,\);\-</c:formatCode>
                <c:ptCount val="5"/>
                <c:pt idx="0">
                  <c:v>370256.6</c:v>
                </c:pt>
                <c:pt idx="1">
                  <c:v>440469.12</c:v>
                </c:pt>
                <c:pt idx="2">
                  <c:v>484864.94784</c:v>
                </c:pt>
                <c:pt idx="3">
                  <c:v>533902.85614848</c:v>
                </c:pt>
                <c:pt idx="4">
                  <c:v>588090.219988777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6109073"/>
        <c:axId val="94382995"/>
      </c:lineChart>
      <c:catAx>
        <c:axId val="46109073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4382995"/>
        <c:crosses val="autoZero"/>
        <c:auto val="1"/>
        <c:lblAlgn val="ctr"/>
        <c:lblOffset val="100"/>
        <c:noMultiLvlLbl val="0"/>
      </c:catAx>
      <c:valAx>
        <c:axId val="94382995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610907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Scenarios!$A$36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Scenarios!$B$35:$F$35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Scenarios!$B$36:$F$36</c:f>
              <c:numCache>
                <c:formatCode>\$#,##0,;"($"#,##0,\);\-</c:formatCode>
                <c:ptCount val="5"/>
                <c:pt idx="0">
                  <c:v>-70979.5630066667</c:v>
                </c:pt>
                <c:pt idx="1">
                  <c:v>-38601.11312</c:v>
                </c:pt>
                <c:pt idx="2">
                  <c:v>-41612.9529824</c:v>
                </c:pt>
                <c:pt idx="3">
                  <c:v>-44770.0972580479</c:v>
                </c:pt>
                <c:pt idx="4">
                  <c:v>-48078.488587209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Scenarios!$A$37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Scenarios!$B$35:$F$35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Scenarios!$B$37:$F$37</c:f>
              <c:numCache>
                <c:formatCode>\$#,##0,;"($"#,##0,\);\-</c:formatCode>
                <c:ptCount val="5"/>
                <c:pt idx="0">
                  <c:v>-7305.96400000003</c:v>
                </c:pt>
                <c:pt idx="1">
                  <c:v>24630.4908928</c:v>
                </c:pt>
                <c:pt idx="2">
                  <c:v>32253.0103955315</c:v>
                </c:pt>
                <c:pt idx="3">
                  <c:v>40535.2654792672</c:v>
                </c:pt>
                <c:pt idx="4">
                  <c:v>49525.5161792919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Scenarios!$A$38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Scenarios!$B$35:$F$35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Scenarios!$B$38:$F$38</c:f>
              <c:numCache>
                <c:formatCode>\$#,##0,;"($"#,##0,\);\-</c:formatCode>
                <c:ptCount val="5"/>
                <c:pt idx="0">
                  <c:v>63466.4168</c:v>
                </c:pt>
                <c:pt idx="1">
                  <c:v>101989.39696</c:v>
                </c:pt>
                <c:pt idx="2">
                  <c:v>124559.55665572</c:v>
                </c:pt>
                <c:pt idx="3">
                  <c:v>149827.421062242</c:v>
                </c:pt>
                <c:pt idx="4">
                  <c:v>178096.685436249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88095"/>
        <c:axId val="98082765"/>
      </c:lineChart>
      <c:catAx>
        <c:axId val="288095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8082765"/>
        <c:crosses val="autoZero"/>
        <c:auto val="1"/>
        <c:lblAlgn val="ctr"/>
        <c:lblOffset val="100"/>
        <c:noMultiLvlLbl val="0"/>
      </c:catAx>
      <c:valAx>
        <c:axId val="98082765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8809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Net income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Scenarios!$A$42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Scenarios!$B$41:$F$41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Scenarios!$B$42:$F$42</c:f>
              <c:numCache>
                <c:formatCode>\$#,##0,;"($"#,##0,\);\-</c:formatCode>
                <c:ptCount val="5"/>
                <c:pt idx="0">
                  <c:v>-98113.2237209524</c:v>
                </c:pt>
                <c:pt idx="1">
                  <c:v>-64477.5416914286</c:v>
                </c:pt>
                <c:pt idx="2">
                  <c:v>-66226.5244109714</c:v>
                </c:pt>
                <c:pt idx="3">
                  <c:v>-68120.8115437622</c:v>
                </c:pt>
                <c:pt idx="4">
                  <c:v>-70166.3457300661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Scenarios!$A$43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Scenarios!$B$41:$F$41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Scenarios!$B$43:$F$43</c:f>
              <c:numCache>
                <c:formatCode>\$#,##0,;"($"#,##0,\);\-</c:formatCode>
                <c:ptCount val="5"/>
                <c:pt idx="0">
                  <c:v>-34439.6247142858</c:v>
                </c:pt>
                <c:pt idx="1">
                  <c:v>-1245.9376786286</c:v>
                </c:pt>
                <c:pt idx="2">
                  <c:v>7639.43896696008</c:v>
                </c:pt>
                <c:pt idx="3">
                  <c:v>17184.5511935529</c:v>
                </c:pt>
                <c:pt idx="4">
                  <c:v>23592.2932419636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Scenarios!$A$44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Scenarios!$B$41:$F$41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Scenarios!$B$44:$F$44</c:f>
              <c:numCache>
                <c:formatCode>\$#,##0,;"($"#,##0,\);\-</c:formatCode>
                <c:ptCount val="5"/>
                <c:pt idx="0">
                  <c:v>28702.8773077143</c:v>
                </c:pt>
                <c:pt idx="1">
                  <c:v>60129.2450269715</c:v>
                </c:pt>
                <c:pt idx="2">
                  <c:v>78957.3283294474</c:v>
                </c:pt>
                <c:pt idx="3">
                  <c:v>99916.5983534566</c:v>
                </c:pt>
                <c:pt idx="4">
                  <c:v>123246.97435178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7895445"/>
        <c:axId val="30554139"/>
      </c:lineChart>
      <c:catAx>
        <c:axId val="57895445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0554139"/>
        <c:crosses val="autoZero"/>
        <c:auto val="1"/>
        <c:lblAlgn val="ctr"/>
        <c:lblOffset val="100"/>
        <c:noMultiLvlLbl val="0"/>
      </c:catAx>
      <c:valAx>
        <c:axId val="30554139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789544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at year 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Scenarios!$A$48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Scenarios!$B$47:$F$47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Scenarios!$B$48:$F$48</c:f>
              <c:numCache>
                <c:formatCode>\$#,##0,;"($"#,##0,\);\-</c:formatCode>
                <c:ptCount val="5"/>
                <c:pt idx="0">
                  <c:v>-43517.11246</c:v>
                </c:pt>
                <c:pt idx="1">
                  <c:v>-108433.218135733</c:v>
                </c:pt>
                <c:pt idx="2">
                  <c:v>-174741.268687648</c:v>
                </c:pt>
                <c:pt idx="3">
                  <c:v>-242586.566835774</c:v>
                </c:pt>
                <c:pt idx="4">
                  <c:v>-312120.357754803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Scenarios!$A$49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Scenarios!$B$47:$F$47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Scenarios!$B$49:$F$49</c:f>
              <c:numCache>
                <c:formatCode>\$#,##0,;"($"#,##0,\);\-</c:formatCode>
                <c:ptCount val="5"/>
                <c:pt idx="0">
                  <c:v>19840.2994</c:v>
                </c:pt>
                <c:pt idx="1">
                  <c:v>18106.0333353599</c:v>
                </c:pt>
                <c:pt idx="2">
                  <c:v>25610.4149463593</c:v>
                </c:pt>
                <c:pt idx="3">
                  <c:v>43012.9250605192</c:v>
                </c:pt>
                <c:pt idx="4">
                  <c:v>67175.921686511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Scenarios!$A$50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Scenarios!$B$47:$F$47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Scenarios!$B$50:$F$50</c:f>
              <c:numCache>
                <c:formatCode>\$#,##0,;"($"#,##0,\);\-</c:formatCode>
                <c:ptCount val="5"/>
                <c:pt idx="0">
                  <c:v>82563.6747553334</c:v>
                </c:pt>
                <c:pt idx="1">
                  <c:v>142126.3463292</c:v>
                </c:pt>
                <c:pt idx="2">
                  <c:v>220859.658568589</c:v>
                </c:pt>
                <c:pt idx="3">
                  <c:v>320893.186550943</c:v>
                </c:pt>
                <c:pt idx="4">
                  <c:v>444596.237446747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2448529"/>
        <c:axId val="336378"/>
      </c:lineChart>
      <c:catAx>
        <c:axId val="72448529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36378"/>
        <c:crosses val="autoZero"/>
        <c:auto val="1"/>
        <c:lblAlgn val="ctr"/>
        <c:lblOffset val="100"/>
        <c:noMultiLvlLbl val="0"/>
      </c:catAx>
      <c:valAx>
        <c:axId val="336378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244852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Funding structure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"Funding"</c:f>
              <c:strCache>
                <c:ptCount val="1"/>
                <c:pt idx="0">
                  <c:v>Funding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f6e5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7fb5a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8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'Sources &amp; Uses'!$A$7:$A$8</c:f>
              <c:strCache>
                <c:ptCount val="2"/>
                <c:pt idx="0">
                  <c:v>Equity</c:v>
                </c:pt>
                <c:pt idx="1">
                  <c:v>Debt (loan)</c:v>
                </c:pt>
              </c:strCache>
            </c:strRef>
          </c:cat>
          <c:val>
            <c:numRef>
              <c:f>'Sources &amp; Uses'!$B$7:$B$8</c:f>
              <c:numCache>
                <c:formatCode>\$#,##0,;"($"#,##0,\);\-</c:formatCode>
                <c:ptCount val="2"/>
                <c:pt idx="0">
                  <c:v>100000</c:v>
                </c:pt>
                <c:pt idx="1">
                  <c:v>90000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Uses of funds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"Uses"</c:f>
              <c:strCache>
                <c:ptCount val="1"/>
                <c:pt idx="0">
                  <c:v>Uses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'Sources &amp; Uses'!$A$24:$A$27</c:f>
              <c:strCache>
                <c:ptCount val="4"/>
                <c:pt idx="0">
                  <c:v>Cash used by operations</c:v>
                </c:pt>
                <c:pt idx="1">
                  <c:v>Capital spending</c:v>
                </c:pt>
                <c:pt idx="2">
                  <c:v>Loan repayments</c:v>
                </c:pt>
                <c:pt idx="3">
                  <c:v>Cash at the end of the period</c:v>
                </c:pt>
              </c:strCache>
            </c:strRef>
          </c:cat>
          <c:val>
            <c:numRef>
              <c:f>'Sources &amp; Uses'!$B$24:$B$27</c:f>
              <c:numCache>
                <c:formatCode>\$#,##0,;"($"#,##0,\);\-</c:formatCode>
                <c:ptCount val="4"/>
                <c:pt idx="0">
                  <c:v>15659.7006</c:v>
                </c:pt>
                <c:pt idx="1">
                  <c:v>138000</c:v>
                </c:pt>
                <c:pt idx="2">
                  <c:v>16500</c:v>
                </c:pt>
                <c:pt idx="3">
                  <c:v>19840.2994</c:v>
                </c:pt>
              </c:numCache>
            </c:numRef>
          </c:val>
        </c:ser>
        <c:gapWidth val="60"/>
        <c:overlap val="0"/>
        <c:axId val="37289897"/>
        <c:axId val="6361251"/>
      </c:barChart>
      <c:catAx>
        <c:axId val="3728989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361251"/>
        <c:crosses val="autoZero"/>
        <c:auto val="1"/>
        <c:lblAlgn val="ctr"/>
        <c:lblOffset val="100"/>
        <c:noMultiLvlLbl val="0"/>
      </c:catAx>
      <c:valAx>
        <c:axId val="6361251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7289897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Margins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KPIs!$A$7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KPIs!$B$7:$F$7</c:f>
              <c:numCache>
                <c:formatCode>0.0%;\(0.0%\);\-</c:formatCode>
                <c:ptCount val="5"/>
                <c:pt idx="0">
                  <c:v>0.59134319595759</c:v>
                </c:pt>
                <c:pt idx="1">
                  <c:v>0.590824962350392</c:v>
                </c:pt>
                <c:pt idx="2">
                  <c:v>0.590532404325879</c:v>
                </c:pt>
                <c:pt idx="3">
                  <c:v>0.590236046124414</c:v>
                </c:pt>
                <c:pt idx="4">
                  <c:v>0.589935869092599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KPIs!$A$8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KPIs!$B$8:$F$8</c:f>
              <c:numCache>
                <c:formatCode>0.0%;\(0.0%\);\-</c:formatCode>
                <c:ptCount val="5"/>
                <c:pt idx="0">
                  <c:v>-0.0266742267137893</c:v>
                </c:pt>
                <c:pt idx="1">
                  <c:v>0.0731253050443096</c:v>
                </c:pt>
                <c:pt idx="2">
                  <c:v>0.0899762515813714</c:v>
                </c:pt>
                <c:pt idx="3">
                  <c:v>0.106250652902551</c:v>
                </c:pt>
                <c:pt idx="4">
                  <c:v>0.121968079594207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KPIs!$A$9</c:f>
              <c:strCache>
                <c:ptCount val="1"/>
                <c:pt idx="0">
                  <c:v>Net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KPIs!$B$9:$F$9</c:f>
              <c:numCache>
                <c:formatCode>0.0%;\(0.0%\);\-</c:formatCode>
                <c:ptCount val="5"/>
                <c:pt idx="0">
                  <c:v>-0.125739787051603</c:v>
                </c:pt>
                <c:pt idx="1">
                  <c:v>-0.00369905631245655</c:v>
                </c:pt>
                <c:pt idx="2">
                  <c:v>0.02131174963212</c:v>
                </c:pt>
                <c:pt idx="3">
                  <c:v>0.0450439823833447</c:v>
                </c:pt>
                <c:pt idx="4">
                  <c:v>0.0581014984180793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7847598"/>
        <c:axId val="59940644"/>
      </c:lineChart>
      <c:catAx>
        <c:axId val="27847598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9940644"/>
        <c:crosses val="autoZero"/>
        <c:auto val="1"/>
        <c:lblAlgn val="ctr"/>
        <c:lblOffset val="100"/>
        <c:noMultiLvlLbl val="0"/>
      </c:catAx>
      <c:valAx>
        <c:axId val="59940644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784759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Return on assets and return on equity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KPIs!$A$15</c:f>
              <c:strCache>
                <c:ptCount val="1"/>
                <c:pt idx="0">
                  <c:v>Return on assets (net income ÷ year-end assets)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KPIs!$B$15:$F$15</c:f>
              <c:numCache>
                <c:formatCode>0.0%;\(0.0%\);\-</c:formatCode>
                <c:ptCount val="5"/>
                <c:pt idx="0">
                  <c:v>-0.244129999562265</c:v>
                </c:pt>
                <c:pt idx="1">
                  <c:v>-0.0102161638232156</c:v>
                </c:pt>
                <c:pt idx="2">
                  <c:v>0.0683689596911855</c:v>
                </c:pt>
                <c:pt idx="3">
                  <c:v>0.154712692993935</c:v>
                </c:pt>
                <c:pt idx="4">
                  <c:v>0.20194142234564</c:v>
                </c:pt>
              </c:numCache>
            </c:numRef>
          </c:val>
        </c:ser>
        <c:ser>
          <c:idx val="1"/>
          <c:order val="1"/>
          <c:tx>
            <c:strRef>
              <c:f>KPIs!$A$16</c:f>
              <c:strCache>
                <c:ptCount val="1"/>
                <c:pt idx="0">
                  <c:v>Return on equity (net income ÷ year-end equity)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KPIs!$B$16:$F$16</c:f>
              <c:numCache>
                <c:formatCode>0.0%;\(0.0%\);\-</c:formatCode>
                <c:ptCount val="5"/>
                <c:pt idx="0">
                  <c:v>-0.52531158591141</c:v>
                </c:pt>
                <c:pt idx="1">
                  <c:v>-0.0193725969624483</c:v>
                </c:pt>
                <c:pt idx="2">
                  <c:v>0.10617133267446</c:v>
                </c:pt>
                <c:pt idx="3">
                  <c:v>0.192784993228245</c:v>
                </c:pt>
                <c:pt idx="4">
                  <c:v>0.209280070513896</c:v>
                </c:pt>
              </c:numCache>
            </c:numRef>
          </c:val>
        </c:ser>
        <c:gapWidth val="60"/>
        <c:overlap val="0"/>
        <c:axId val="59760226"/>
        <c:axId val="65333550"/>
      </c:barChart>
      <c:catAx>
        <c:axId val="59760226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5333550"/>
        <c:crosses val="autoZero"/>
        <c:auto val="1"/>
        <c:lblAlgn val="ctr"/>
        <c:lblOffset val="100"/>
        <c:noMultiLvlLbl val="0"/>
      </c:catAx>
      <c:valAx>
        <c:axId val="6533355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976022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Meals served and prime cost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KPIs!$A$31</c:f>
              <c:strCache>
                <c:ptCount val="1"/>
                <c:pt idx="0">
                  <c:v>Meals served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KPIs!$B$31:$F$31</c:f>
              <c:numCache>
                <c:formatCode>#,##0;\(#,##0\);\-</c:formatCode>
                <c:ptCount val="5"/>
                <c:pt idx="0">
                  <c:v>19564</c:v>
                </c:pt>
                <c:pt idx="1">
                  <c:v>23358.24</c:v>
                </c:pt>
                <c:pt idx="2">
                  <c:v>24134.5872</c:v>
                </c:pt>
                <c:pt idx="3">
                  <c:v>24938.004816</c:v>
                </c:pt>
                <c:pt idx="4">
                  <c:v>25769.49396048</c:v>
                </c:pt>
              </c:numCache>
            </c:numRef>
          </c:val>
        </c:ser>
        <c:gapWidth val="60"/>
        <c:overlap val="0"/>
        <c:axId val="98022363"/>
        <c:axId val="74550962"/>
      </c:barChart>
      <c:lineChart>
        <c:grouping val="standard"/>
        <c:varyColors val="0"/>
        <c:ser>
          <c:idx val="1"/>
          <c:order val="1"/>
          <c:tx>
            <c:strRef>
              <c:f>KPIs!$A$43</c:f>
              <c:strCache>
                <c:ptCount val="1"/>
                <c:pt idx="0">
                  <c:v>Prime cost (food, packaging, payroll), % of revenue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KPIs!$B$43:$F$43</c:f>
              <c:numCache>
                <c:formatCode>0.0%;\(0.0%\);\-</c:formatCode>
                <c:ptCount val="5"/>
                <c:pt idx="0">
                  <c:v>0.794774220872156</c:v>
                </c:pt>
                <c:pt idx="1">
                  <c:v>0.724498925065783</c:v>
                </c:pt>
                <c:pt idx="2">
                  <c:v>0.71284286828703</c:v>
                </c:pt>
                <c:pt idx="3">
                  <c:v>0.701544507854288</c:v>
                </c:pt>
                <c:pt idx="4">
                  <c:v>0.690593233893769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1967908"/>
        <c:axId val="73575840"/>
      </c:lineChart>
      <c:catAx>
        <c:axId val="98022363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4550962"/>
        <c:crosses val="autoZero"/>
        <c:auto val="1"/>
        <c:lblAlgn val="ctr"/>
        <c:lblOffset val="100"/>
        <c:noMultiLvlLbl val="0"/>
      </c:catAx>
      <c:valAx>
        <c:axId val="74550962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8022363"/>
        <c:crosses val="autoZero"/>
        <c:crossBetween val="between"/>
      </c:valAx>
      <c:catAx>
        <c:axId val="61967908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3575840"/>
        <c:crosses val="autoZero"/>
        <c:auto val="1"/>
        <c:lblAlgn val="ctr"/>
        <c:lblOffset val="100"/>
        <c:noMultiLvlLbl val="0"/>
      </c:catAx>
      <c:valAx>
        <c:axId val="7357584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196790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 by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KPIs!$A$34</c:f>
              <c:strCache>
                <c:ptCount val="1"/>
                <c:pt idx="0">
                  <c:v>Street sales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KPIs!$B$34:$F$34</c:f>
              <c:numCache>
                <c:formatCode>\$#,##0,;"($"#,##0,\);\-</c:formatCode>
                <c:ptCount val="5"/>
                <c:pt idx="0">
                  <c:v>230846</c:v>
                </c:pt>
                <c:pt idx="1">
                  <c:v>282318.2208</c:v>
                </c:pt>
                <c:pt idx="2">
                  <c:v>299511.40044672</c:v>
                </c:pt>
                <c:pt idx="3">
                  <c:v>317751.644733925</c:v>
                </c:pt>
                <c:pt idx="4">
                  <c:v>337102.719898221</c:v>
                </c:pt>
              </c:numCache>
            </c:numRef>
          </c:val>
        </c:ser>
        <c:ser>
          <c:idx val="1"/>
          <c:order val="1"/>
          <c:tx>
            <c:strRef>
              <c:f>KPIs!$A$35</c:f>
              <c:strCache>
                <c:ptCount val="1"/>
                <c:pt idx="0">
                  <c:v>Events &amp; catering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KPIs!$B$35:$F$35</c:f>
              <c:numCache>
                <c:formatCode>\$#,##0,;"($"#,##0,\);\-</c:formatCode>
                <c:ptCount val="5"/>
                <c:pt idx="0">
                  <c:v>43050</c:v>
                </c:pt>
                <c:pt idx="1">
                  <c:v>54507.6</c:v>
                </c:pt>
                <c:pt idx="2">
                  <c:v>58949.9694</c:v>
                </c:pt>
                <c:pt idx="3">
                  <c:v>63754.3919061</c:v>
                </c:pt>
                <c:pt idx="4">
                  <c:v>68950.3748464472</c:v>
                </c:pt>
              </c:numCache>
            </c:numRef>
          </c:val>
        </c:ser>
        <c:gapWidth val="60"/>
        <c:overlap val="100"/>
        <c:axId val="88088057"/>
        <c:axId val="87809133"/>
      </c:barChart>
      <c:catAx>
        <c:axId val="88088057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7809133"/>
        <c:crosses val="autoZero"/>
        <c:auto val="1"/>
        <c:lblAlgn val="ctr"/>
        <c:lblOffset val="100"/>
        <c:noMultiLvlLbl val="0"/>
      </c:catAx>
      <c:valAx>
        <c:axId val="87809133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[&gt;=1000000]\$#,##0.0,,\M;[&gt;=1000]\$#,##0,\k;\$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808805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Relationship Id="rId3" Type="http://schemas.openxmlformats.org/officeDocument/2006/relationships/chart" Target="../charts/chart16.xml"/><Relationship Id="rId4" Type="http://schemas.openxmlformats.org/officeDocument/2006/relationships/chart" Target="../charts/chart1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9</xdr:row>
      <xdr:rowOff>0</xdr:rowOff>
    </xdr:from>
    <xdr:to>
      <xdr:col>15</xdr:col>
      <xdr:colOff>36720</xdr:colOff>
      <xdr:row>24</xdr:row>
      <xdr:rowOff>120600</xdr:rowOff>
    </xdr:to>
    <xdr:graphicFrame>
      <xdr:nvGraphicFramePr>
        <xdr:cNvPr id="0" name="Chart 1"/>
        <xdr:cNvGraphicFramePr/>
      </xdr:nvGraphicFramePr>
      <xdr:xfrm>
        <a:off x="531432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9</xdr:row>
      <xdr:rowOff>0</xdr:rowOff>
    </xdr:from>
    <xdr:to>
      <xdr:col>23</xdr:col>
      <xdr:colOff>36720</xdr:colOff>
      <xdr:row>24</xdr:row>
      <xdr:rowOff>120600</xdr:rowOff>
    </xdr:to>
    <xdr:graphicFrame>
      <xdr:nvGraphicFramePr>
        <xdr:cNvPr id="1" name="Chart 2"/>
        <xdr:cNvGraphicFramePr/>
      </xdr:nvGraphicFramePr>
      <xdr:xfrm>
        <a:off x="1038924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26</xdr:row>
      <xdr:rowOff>0</xdr:rowOff>
    </xdr:from>
    <xdr:to>
      <xdr:col>15</xdr:col>
      <xdr:colOff>36720</xdr:colOff>
      <xdr:row>41</xdr:row>
      <xdr:rowOff>120600</xdr:rowOff>
    </xdr:to>
    <xdr:graphicFrame>
      <xdr:nvGraphicFramePr>
        <xdr:cNvPr id="2" name="Chart 3"/>
        <xdr:cNvGraphicFramePr/>
      </xdr:nvGraphicFramePr>
      <xdr:xfrm>
        <a:off x="531432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26</xdr:row>
      <xdr:rowOff>0</xdr:rowOff>
    </xdr:from>
    <xdr:to>
      <xdr:col>23</xdr:col>
      <xdr:colOff>36720</xdr:colOff>
      <xdr:row>41</xdr:row>
      <xdr:rowOff>120600</xdr:rowOff>
    </xdr:to>
    <xdr:graphicFrame>
      <xdr:nvGraphicFramePr>
        <xdr:cNvPr id="3" name="Chart 4"/>
        <xdr:cNvGraphicFramePr/>
      </xdr:nvGraphicFramePr>
      <xdr:xfrm>
        <a:off x="1038924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0</xdr:colOff>
      <xdr:row>4</xdr:row>
      <xdr:rowOff>0</xdr:rowOff>
    </xdr:from>
    <xdr:to>
      <xdr:col>28</xdr:col>
      <xdr:colOff>36720</xdr:colOff>
      <xdr:row>19</xdr:row>
      <xdr:rowOff>120600</xdr:rowOff>
    </xdr:to>
    <xdr:graphicFrame>
      <xdr:nvGraphicFramePr>
        <xdr:cNvPr id="4" name="Chart 1"/>
        <xdr:cNvGraphicFramePr/>
      </xdr:nvGraphicFramePr>
      <xdr:xfrm>
        <a:off x="14231160" y="90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0</xdr:colOff>
      <xdr:row>21</xdr:row>
      <xdr:rowOff>0</xdr:rowOff>
    </xdr:from>
    <xdr:to>
      <xdr:col>28</xdr:col>
      <xdr:colOff>36720</xdr:colOff>
      <xdr:row>36</xdr:row>
      <xdr:rowOff>120600</xdr:rowOff>
    </xdr:to>
    <xdr:graphicFrame>
      <xdr:nvGraphicFramePr>
        <xdr:cNvPr id="5" name="Chart 2"/>
        <xdr:cNvGraphicFramePr/>
      </xdr:nvGraphicFramePr>
      <xdr:xfrm>
        <a:off x="14231160" y="41529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0</xdr:colOff>
      <xdr:row>38</xdr:row>
      <xdr:rowOff>0</xdr:rowOff>
    </xdr:from>
    <xdr:to>
      <xdr:col>28</xdr:col>
      <xdr:colOff>36720</xdr:colOff>
      <xdr:row>53</xdr:row>
      <xdr:rowOff>120600</xdr:rowOff>
    </xdr:to>
    <xdr:graphicFrame>
      <xdr:nvGraphicFramePr>
        <xdr:cNvPr id="6" name="Chart 3"/>
        <xdr:cNvGraphicFramePr/>
      </xdr:nvGraphicFramePr>
      <xdr:xfrm>
        <a:off x="14231160" y="740088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0</xdr:rowOff>
    </xdr:from>
    <xdr:to>
      <xdr:col>15</xdr:col>
      <xdr:colOff>219600</xdr:colOff>
      <xdr:row>19</xdr:row>
      <xdr:rowOff>111240</xdr:rowOff>
    </xdr:to>
    <xdr:graphicFrame>
      <xdr:nvGraphicFramePr>
        <xdr:cNvPr id="7" name="Chart 1"/>
        <xdr:cNvGraphicFramePr/>
      </xdr:nvGraphicFramePr>
      <xdr:xfrm>
        <a:off x="718956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4</xdr:row>
      <xdr:rowOff>0</xdr:rowOff>
    </xdr:from>
    <xdr:to>
      <xdr:col>23</xdr:col>
      <xdr:colOff>219600</xdr:colOff>
      <xdr:row>19</xdr:row>
      <xdr:rowOff>111240</xdr:rowOff>
    </xdr:to>
    <xdr:graphicFrame>
      <xdr:nvGraphicFramePr>
        <xdr:cNvPr id="8" name="Chart 2"/>
        <xdr:cNvGraphicFramePr/>
      </xdr:nvGraphicFramePr>
      <xdr:xfrm>
        <a:off x="1208160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15</xdr:col>
      <xdr:colOff>219600</xdr:colOff>
      <xdr:row>36</xdr:row>
      <xdr:rowOff>111240</xdr:rowOff>
    </xdr:to>
    <xdr:graphicFrame>
      <xdr:nvGraphicFramePr>
        <xdr:cNvPr id="9" name="Chart 3"/>
        <xdr:cNvGraphicFramePr/>
      </xdr:nvGraphicFramePr>
      <xdr:xfrm>
        <a:off x="7189560" y="41054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21</xdr:row>
      <xdr:rowOff>0</xdr:rowOff>
    </xdr:from>
    <xdr:to>
      <xdr:col>23</xdr:col>
      <xdr:colOff>219600</xdr:colOff>
      <xdr:row>36</xdr:row>
      <xdr:rowOff>111240</xdr:rowOff>
    </xdr:to>
    <xdr:graphicFrame>
      <xdr:nvGraphicFramePr>
        <xdr:cNvPr id="10" name="Chart 4"/>
        <xdr:cNvGraphicFramePr/>
      </xdr:nvGraphicFramePr>
      <xdr:xfrm>
        <a:off x="12081600" y="41054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</xdr:row>
      <xdr:rowOff>0</xdr:rowOff>
    </xdr:from>
    <xdr:to>
      <xdr:col>13</xdr:col>
      <xdr:colOff>219600</xdr:colOff>
      <xdr:row>19</xdr:row>
      <xdr:rowOff>111240</xdr:rowOff>
    </xdr:to>
    <xdr:graphicFrame>
      <xdr:nvGraphicFramePr>
        <xdr:cNvPr id="11" name="Chart 1"/>
        <xdr:cNvGraphicFramePr/>
      </xdr:nvGraphicFramePr>
      <xdr:xfrm>
        <a:off x="718956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4</xdr:row>
      <xdr:rowOff>0</xdr:rowOff>
    </xdr:from>
    <xdr:to>
      <xdr:col>22</xdr:col>
      <xdr:colOff>219600</xdr:colOff>
      <xdr:row>19</xdr:row>
      <xdr:rowOff>111240</xdr:rowOff>
    </xdr:to>
    <xdr:graphicFrame>
      <xdr:nvGraphicFramePr>
        <xdr:cNvPr id="12" name="Chart 2"/>
        <xdr:cNvGraphicFramePr/>
      </xdr:nvGraphicFramePr>
      <xdr:xfrm>
        <a:off x="1269288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0</xdr:rowOff>
    </xdr:from>
    <xdr:to>
      <xdr:col>16</xdr:col>
      <xdr:colOff>36720</xdr:colOff>
      <xdr:row>18</xdr:row>
      <xdr:rowOff>111240</xdr:rowOff>
    </xdr:to>
    <xdr:graphicFrame>
      <xdr:nvGraphicFramePr>
        <xdr:cNvPr id="13" name="Chart 1"/>
        <xdr:cNvGraphicFramePr/>
      </xdr:nvGraphicFramePr>
      <xdr:xfrm>
        <a:off x="824868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0</xdr:colOff>
      <xdr:row>3</xdr:row>
      <xdr:rowOff>0</xdr:rowOff>
    </xdr:from>
    <xdr:to>
      <xdr:col>24</xdr:col>
      <xdr:colOff>36720</xdr:colOff>
      <xdr:row>18</xdr:row>
      <xdr:rowOff>111240</xdr:rowOff>
    </xdr:to>
    <xdr:graphicFrame>
      <xdr:nvGraphicFramePr>
        <xdr:cNvPr id="14" name="Chart 2"/>
        <xdr:cNvGraphicFramePr/>
      </xdr:nvGraphicFramePr>
      <xdr:xfrm>
        <a:off x="1332360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20</xdr:row>
      <xdr:rowOff>0</xdr:rowOff>
    </xdr:from>
    <xdr:to>
      <xdr:col>16</xdr:col>
      <xdr:colOff>36720</xdr:colOff>
      <xdr:row>35</xdr:row>
      <xdr:rowOff>120600</xdr:rowOff>
    </xdr:to>
    <xdr:graphicFrame>
      <xdr:nvGraphicFramePr>
        <xdr:cNvPr id="15" name="Chart 3"/>
        <xdr:cNvGraphicFramePr/>
      </xdr:nvGraphicFramePr>
      <xdr:xfrm>
        <a:off x="824868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0</xdr:colOff>
      <xdr:row>20</xdr:row>
      <xdr:rowOff>0</xdr:rowOff>
    </xdr:from>
    <xdr:to>
      <xdr:col>24</xdr:col>
      <xdr:colOff>36720</xdr:colOff>
      <xdr:row>35</xdr:row>
      <xdr:rowOff>120600</xdr:rowOff>
    </xdr:to>
    <xdr:graphicFrame>
      <xdr:nvGraphicFramePr>
        <xdr:cNvPr id="16" name="Chart 4"/>
        <xdr:cNvGraphicFramePr/>
      </xdr:nvGraphicFramePr>
      <xdr:xfrm>
        <a:off x="1332360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B2:D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72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D5" s="4" t="s">
        <v>3</v>
      </c>
    </row>
    <row r="6" customFormat="false" ht="15" hidden="false" customHeight="false" outlineLevel="0" collapsed="false">
      <c r="B6" s="3" t="s">
        <v>4</v>
      </c>
      <c r="D6" s="5" t="str">
        <f aca="false">Dashboard!C4&amp;"  (change it on the Dashboard, cell B4)"</f>
        <v>Base  (change it on the Dashboard, cell B4)</v>
      </c>
    </row>
    <row r="7" customFormat="false" ht="15" hidden="false" customHeight="false" outlineLevel="0" collapsed="false">
      <c r="B7" s="3" t="s">
        <v>5</v>
      </c>
      <c r="D7" s="3" t="str">
        <f aca="false">Checks!B25</f>
        <v>PASS</v>
      </c>
    </row>
    <row r="8" customFormat="false" ht="15" hidden="false" customHeight="false" outlineLevel="0" collapsed="false">
      <c r="B8" s="3" t="s">
        <v>6</v>
      </c>
      <c r="D8" s="6" t="s">
        <v>7</v>
      </c>
    </row>
    <row r="10" customFormat="false" ht="15.75" hidden="false" customHeight="true" outlineLevel="0" collapsed="false">
      <c r="B10" s="7" t="s">
        <v>8</v>
      </c>
      <c r="C10" s="7"/>
      <c r="D10" s="7"/>
    </row>
    <row r="11" customFormat="false" ht="15" hidden="false" customHeight="false" outlineLevel="0" collapsed="false">
      <c r="C11" s="8" t="s">
        <v>9</v>
      </c>
    </row>
    <row r="12" customFormat="false" ht="15" hidden="false" customHeight="false" outlineLevel="0" collapsed="false">
      <c r="B12" s="9" t="n">
        <v>1</v>
      </c>
      <c r="C12" s="10" t="str">
        <f aca="false">HYPERLINK("#Dashboard!A1","Dashboard")</f>
        <v>Dashboard</v>
      </c>
      <c r="D12" s="11" t="s">
        <v>10</v>
      </c>
    </row>
    <row r="13" customFormat="false" ht="15" hidden="false" customHeight="false" outlineLevel="0" collapsed="false">
      <c r="B13" s="9" t="n">
        <v>2</v>
      </c>
      <c r="C13" s="10" t="str">
        <f aca="false">HYPERLINK("#Summary!A1","Summary")</f>
        <v>Summary</v>
      </c>
      <c r="D13" s="11" t="s">
        <v>11</v>
      </c>
    </row>
    <row r="14" customFormat="false" ht="15" hidden="false" customHeight="false" outlineLevel="0" collapsed="false">
      <c r="B14" s="9" t="n">
        <v>3</v>
      </c>
      <c r="C14" s="10" t="str">
        <f aca="false">HYPERLINK("#Scenarios!A1","Scenarios")</f>
        <v>Scenarios</v>
      </c>
      <c r="D14" s="11" t="s">
        <v>12</v>
      </c>
    </row>
    <row r="15" customFormat="false" ht="15" hidden="false" customHeight="false" outlineLevel="0" collapsed="false">
      <c r="B15" s="9" t="n">
        <v>4</v>
      </c>
      <c r="C15" s="10" t="str">
        <f aca="false">HYPERLINK("#'Break-even'!A1","Break-even")</f>
        <v>Break-even</v>
      </c>
      <c r="D15" s="11" t="s">
        <v>13</v>
      </c>
    </row>
    <row r="16" customFormat="false" ht="15" hidden="false" customHeight="false" outlineLevel="0" collapsed="false">
      <c r="B16" s="9" t="n">
        <v>5</v>
      </c>
      <c r="C16" s="10" t="str">
        <f aca="false">HYPERLINK("#Valuation!A1","Valuation")</f>
        <v>Valuation</v>
      </c>
      <c r="D16" s="11" t="s">
        <v>14</v>
      </c>
    </row>
    <row r="17" customFormat="false" ht="15" hidden="false" customHeight="false" outlineLevel="0" collapsed="false">
      <c r="B17" s="9" t="n">
        <v>6</v>
      </c>
      <c r="C17" s="10" t="str">
        <f aca="false">HYPERLINK("#'Sources &amp; Uses'!A1","Sources &amp; Uses")</f>
        <v>Sources &amp; Uses</v>
      </c>
      <c r="D17" s="11" t="s">
        <v>15</v>
      </c>
    </row>
    <row r="18" customFormat="false" ht="15" hidden="false" customHeight="false" outlineLevel="0" collapsed="false">
      <c r="B18" s="9" t="n">
        <v>7</v>
      </c>
      <c r="C18" s="10" t="str">
        <f aca="false">HYPERLINK("#KPIs!A1","KPIs")</f>
        <v>KPIs</v>
      </c>
      <c r="D18" s="11" t="s">
        <v>16</v>
      </c>
    </row>
    <row r="19" customFormat="false" ht="15" hidden="false" customHeight="false" outlineLevel="0" collapsed="false">
      <c r="C19" s="8" t="s">
        <v>17</v>
      </c>
    </row>
    <row r="20" customFormat="false" ht="15" hidden="false" customHeight="false" outlineLevel="0" collapsed="false">
      <c r="B20" s="9" t="n">
        <v>8</v>
      </c>
      <c r="C20" s="10" t="str">
        <f aca="false">HYPERLINK("#Inputs!A1","Inputs")</f>
        <v>Inputs</v>
      </c>
      <c r="D20" s="11" t="s">
        <v>18</v>
      </c>
    </row>
    <row r="21" customFormat="false" ht="15" hidden="false" customHeight="false" outlineLevel="0" collapsed="false">
      <c r="C21" s="8" t="s">
        <v>19</v>
      </c>
    </row>
    <row r="22" customFormat="false" ht="15" hidden="false" customHeight="false" outlineLevel="0" collapsed="false">
      <c r="B22" s="9" t="n">
        <v>9</v>
      </c>
      <c r="C22" s="10" t="str">
        <f aca="false">HYPERLINK("#'P&amp;L'!A1","P&amp;L")</f>
        <v>P&amp;L</v>
      </c>
      <c r="D22" s="11" t="s">
        <v>20</v>
      </c>
    </row>
    <row r="23" customFormat="false" ht="15" hidden="false" customHeight="false" outlineLevel="0" collapsed="false">
      <c r="B23" s="9" t="n">
        <v>10</v>
      </c>
      <c r="C23" s="10" t="str">
        <f aca="false">HYPERLINK("#'Cash Flow'!A1","Cash Flow")</f>
        <v>Cash Flow</v>
      </c>
      <c r="D23" s="11" t="s">
        <v>21</v>
      </c>
    </row>
    <row r="24" customFormat="false" ht="15" hidden="false" customHeight="false" outlineLevel="0" collapsed="false">
      <c r="B24" s="9" t="n">
        <v>11</v>
      </c>
      <c r="C24" s="10" t="str">
        <f aca="false">HYPERLINK("#'Balance Sheet'!A1","Balance Sheet")</f>
        <v>Balance Sheet</v>
      </c>
      <c r="D24" s="11" t="s">
        <v>22</v>
      </c>
    </row>
    <row r="25" customFormat="false" ht="15" hidden="false" customHeight="false" outlineLevel="0" collapsed="false">
      <c r="C25" s="8" t="s">
        <v>23</v>
      </c>
    </row>
    <row r="26" customFormat="false" ht="15" hidden="false" customHeight="false" outlineLevel="0" collapsed="false">
      <c r="B26" s="9" t="n">
        <v>12</v>
      </c>
      <c r="C26" s="10" t="str">
        <f aca="false">HYPERLINK("#Monthly!A1","Monthly")</f>
        <v>Monthly</v>
      </c>
      <c r="D26" s="11" t="s">
        <v>24</v>
      </c>
    </row>
    <row r="27" customFormat="false" ht="15" hidden="false" customHeight="false" outlineLevel="0" collapsed="false">
      <c r="B27" s="9" t="n">
        <v>13</v>
      </c>
      <c r="C27" s="10" t="str">
        <f aca="false">HYPERLINK("#Headcount!A1","Headcount")</f>
        <v>Headcount</v>
      </c>
      <c r="D27" s="11" t="s">
        <v>25</v>
      </c>
    </row>
    <row r="28" customFormat="false" ht="15" hidden="false" customHeight="false" outlineLevel="0" collapsed="false">
      <c r="B28" s="9" t="n">
        <v>14</v>
      </c>
      <c r="C28" s="10" t="str">
        <f aca="false">HYPERLINK("#'Scenario calc'!A1","Scenario calc")</f>
        <v>Scenario calc</v>
      </c>
      <c r="D28" s="11" t="s">
        <v>26</v>
      </c>
    </row>
    <row r="29" customFormat="false" ht="15" hidden="false" customHeight="false" outlineLevel="0" collapsed="false">
      <c r="C29" s="8" t="s">
        <v>27</v>
      </c>
    </row>
    <row r="30" customFormat="false" ht="15" hidden="false" customHeight="false" outlineLevel="0" collapsed="false">
      <c r="B30" s="9" t="n">
        <v>15</v>
      </c>
      <c r="C30" s="10" t="str">
        <f aca="false">HYPERLINK("#Checks!A1","Checks")</f>
        <v>Checks</v>
      </c>
      <c r="D30" s="11" t="s">
        <v>28</v>
      </c>
    </row>
    <row r="32" customFormat="false" ht="15" hidden="false" customHeight="false" outlineLevel="0" collapsed="false">
      <c r="B32" s="3" t="s">
        <v>29</v>
      </c>
    </row>
    <row r="33" customFormat="false" ht="15" hidden="false" customHeight="false" outlineLevel="0" collapsed="false">
      <c r="C33" s="12" t="n">
        <v>1000</v>
      </c>
      <c r="D33" s="6" t="s">
        <v>30</v>
      </c>
    </row>
    <row r="34" customFormat="false" ht="15" hidden="false" customHeight="false" outlineLevel="0" collapsed="false">
      <c r="C34" s="13" t="n">
        <v>1000</v>
      </c>
      <c r="D34" s="6" t="s">
        <v>31</v>
      </c>
    </row>
    <row r="35" customFormat="false" ht="15" hidden="false" customHeight="false" outlineLevel="0" collapsed="false">
      <c r="C35" s="14" t="n">
        <v>1000</v>
      </c>
      <c r="D35" s="6" t="s">
        <v>32</v>
      </c>
    </row>
    <row r="36" customFormat="false" ht="15" hidden="false" customHeight="false" outlineLevel="0" collapsed="false">
      <c r="C36" s="15" t="n">
        <v>1000</v>
      </c>
      <c r="D36" s="6" t="s">
        <v>33</v>
      </c>
    </row>
  </sheetData>
  <conditionalFormatting sqref="D7">
    <cfRule type="expression" priority="2" aboveAverage="0" equalAverage="0" bottom="0" percent="0" rank="0" text="" dxfId="0">
      <formula>ISNUMBER(SEARCH("FAIL",D7))</formula>
    </cfRule>
    <cfRule type="expression" priority="3" aboveAverage="0" equalAverage="0" bottom="0" percent="0" rank="0" text="" dxfId="1">
      <formula>ISNUMBER(SEARCH("WARN",D7))</formula>
    </cfRule>
    <cfRule type="expression" priority="4" aboveAverage="0" equalAverage="0" bottom="0" percent="0" rank="0" text="" dxfId="2">
      <formula>D7="PASS"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W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.4"/>
    <col collapsed="false" customWidth="true" hidden="false" outlineLevel="0" max="6" min="2" style="0" width="9"/>
    <col collapsed="false" customWidth="true" hidden="false" outlineLevel="0" max="7" min="7" style="0" width="2"/>
    <col collapsed="false" customWidth="true" hidden="false" outlineLevel="0" max="23" min="8" style="0" width="9"/>
  </cols>
  <sheetData>
    <row r="1" customFormat="false" ht="21.75" hidden="false" customHeight="true" outlineLevel="0" collapsed="false">
      <c r="A1" s="16" t="s">
        <v>34</v>
      </c>
      <c r="W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0</v>
      </c>
    </row>
    <row r="4" customFormat="false" ht="19.5" hidden="false" customHeight="true" outlineLevel="0" collapsed="false">
      <c r="A4" s="3" t="s">
        <v>4</v>
      </c>
      <c r="B4" s="19" t="n">
        <v>2</v>
      </c>
      <c r="C4" s="20" t="str">
        <f aca="false">CHOOSE(B4,"Low","Base","High")</f>
        <v>Base</v>
      </c>
      <c r="D4" s="21" t="s">
        <v>35</v>
      </c>
      <c r="S4" s="22" t="s">
        <v>5</v>
      </c>
      <c r="T4" s="23" t="str">
        <f aca="false">Checks!B25</f>
        <v>PASS</v>
      </c>
      <c r="U4" s="23"/>
      <c r="V4" s="23"/>
      <c r="W4" s="23"/>
    </row>
    <row r="6" customFormat="false" ht="15.75" hidden="false" customHeight="true" outlineLevel="0" collapsed="false">
      <c r="A6" s="24" t="s">
        <v>36</v>
      </c>
      <c r="B6" s="24"/>
      <c r="C6" s="24" t="s">
        <v>37</v>
      </c>
      <c r="D6" s="24"/>
      <c r="E6" s="24"/>
      <c r="F6" s="24"/>
      <c r="H6" s="24" t="s">
        <v>38</v>
      </c>
      <c r="I6" s="24"/>
      <c r="J6" s="24"/>
      <c r="K6" s="24"/>
      <c r="L6" s="24" t="s">
        <v>39</v>
      </c>
      <c r="M6" s="24"/>
      <c r="N6" s="24"/>
      <c r="O6" s="24"/>
      <c r="P6" s="24" t="s">
        <v>40</v>
      </c>
      <c r="Q6" s="24"/>
      <c r="R6" s="24"/>
      <c r="S6" s="24"/>
      <c r="T6" s="24" t="s">
        <v>41</v>
      </c>
      <c r="U6" s="24"/>
      <c r="V6" s="24"/>
      <c r="W6" s="24"/>
    </row>
    <row r="7" customFormat="false" ht="30" hidden="false" customHeight="true" outlineLevel="0" collapsed="false">
      <c r="A7" s="25" t="n">
        <f aca="false">F12</f>
        <v>406053.094744669</v>
      </c>
      <c r="B7" s="25"/>
      <c r="C7" s="26" t="n">
        <f aca="false">F17</f>
        <v>0.121968079594207</v>
      </c>
      <c r="D7" s="26"/>
      <c r="E7" s="26"/>
      <c r="F7" s="26"/>
      <c r="H7" s="25" t="n">
        <f aca="false">F18</f>
        <v>23592.2932419636</v>
      </c>
      <c r="I7" s="25"/>
      <c r="J7" s="25"/>
      <c r="K7" s="25"/>
      <c r="L7" s="25" t="n">
        <f aca="false">F39</f>
        <v>9872.41510303594</v>
      </c>
      <c r="M7" s="25"/>
      <c r="N7" s="25"/>
      <c r="O7" s="25"/>
      <c r="P7" s="25" t="n">
        <f aca="false">F37</f>
        <v>222127.584896964</v>
      </c>
      <c r="Q7" s="25"/>
      <c r="R7" s="25"/>
      <c r="S7" s="25"/>
      <c r="T7" s="25" t="n">
        <f aca="false">F44</f>
        <v>2883.71075043788</v>
      </c>
      <c r="U7" s="25"/>
      <c r="V7" s="25"/>
      <c r="W7" s="25"/>
    </row>
    <row r="8" customFormat="false" ht="15" hidden="false" customHeight="true" outlineLevel="0" collapsed="false">
      <c r="A8" s="27" t="n">
        <f aca="false">IF(AND(B12&gt;0,F12&gt;=0),(F12/B12)^(1/4)-1,"CAGR n/a")</f>
        <v>0.103441424225187</v>
      </c>
      <c r="B8" s="27"/>
      <c r="C8" s="28" t="n">
        <f aca="false">F16</f>
        <v>49525.5161792919</v>
      </c>
      <c r="D8" s="28"/>
      <c r="E8" s="28"/>
      <c r="F8" s="28"/>
      <c r="H8" s="29" t="n">
        <f aca="false">F19</f>
        <v>0.0581014984180793</v>
      </c>
      <c r="I8" s="29"/>
      <c r="J8" s="29"/>
      <c r="K8" s="29"/>
      <c r="L8" s="30" t="n">
        <f aca="false">'Break-even'!B6</f>
        <v>26</v>
      </c>
      <c r="M8" s="30"/>
      <c r="N8" s="30"/>
      <c r="O8" s="30"/>
      <c r="P8" s="31" t="n">
        <f aca="false">IF(F38&gt;=0,"Covered by funding raised",-F38)</f>
        <v>32127.5848969641</v>
      </c>
      <c r="Q8" s="31"/>
      <c r="R8" s="31"/>
      <c r="S8" s="31"/>
      <c r="T8" s="32" t="s">
        <v>42</v>
      </c>
      <c r="U8" s="32"/>
      <c r="V8" s="32"/>
      <c r="W8" s="32"/>
    </row>
    <row r="10" customFormat="false" ht="15.75" hidden="false" customHeight="true" outlineLevel="0" collapsed="false">
      <c r="A10" s="7" t="s">
        <v>43</v>
      </c>
      <c r="B10" s="7"/>
      <c r="C10" s="7"/>
      <c r="D10" s="7"/>
      <c r="E10" s="7"/>
      <c r="F10" s="7"/>
    </row>
    <row r="11" customFormat="false" ht="15" hidden="false" customHeight="false" outlineLevel="0" collapsed="false">
      <c r="A11" s="33"/>
      <c r="B11" s="34" t="n">
        <v>1</v>
      </c>
      <c r="C11" s="34" t="n">
        <v>2</v>
      </c>
      <c r="D11" s="34" t="n">
        <v>3</v>
      </c>
      <c r="E11" s="34" t="n">
        <v>4</v>
      </c>
      <c r="F11" s="34" t="n">
        <v>5</v>
      </c>
    </row>
    <row r="12" customFormat="false" ht="15" hidden="false" customHeight="false" outlineLevel="0" collapsed="false">
      <c r="A12" s="6" t="s">
        <v>44</v>
      </c>
      <c r="B12" s="35" t="n">
        <f aca="false">SUMIF(Monthly!$C$5:$BJ$5,B$11,Monthly!$C$24:$BJ$24)</f>
        <v>273896</v>
      </c>
      <c r="C12" s="35" t="n">
        <f aca="false">SUMIF(Monthly!$C$5:$BJ$5,C$11,Monthly!$C$24:$BJ$24)</f>
        <v>336825.8208</v>
      </c>
      <c r="D12" s="35" t="n">
        <f aca="false">SUMIF(Monthly!$C$5:$BJ$5,D$11,Monthly!$C$24:$BJ$24)</f>
        <v>358461.36984672</v>
      </c>
      <c r="E12" s="35" t="n">
        <f aca="false">SUMIF(Monthly!$C$5:$BJ$5,E$11,Monthly!$C$24:$BJ$24)</f>
        <v>381506.036640025</v>
      </c>
      <c r="F12" s="35" t="n">
        <f aca="false">SUMIF(Monthly!$C$5:$BJ$5,F$11,Monthly!$C$24:$BJ$24)</f>
        <v>406053.094744669</v>
      </c>
    </row>
    <row r="13" customFormat="false" ht="15" hidden="false" customHeight="false" outlineLevel="0" collapsed="false">
      <c r="A13" s="36" t="s">
        <v>45</v>
      </c>
      <c r="B13" s="37" t="n">
        <f aca="false">SUMIF(Monthly!$C$5:$BJ$5,B$11,Monthly!$C$33:$BJ$33)</f>
        <v>161966.536</v>
      </c>
      <c r="C13" s="37" t="n">
        <f aca="false">SUMIF(Monthly!$C$5:$BJ$5,C$11,Monthly!$C$33:$BJ$33)</f>
        <v>199005.1028928</v>
      </c>
      <c r="D13" s="37" t="n">
        <f aca="false">SUMIF(Monthly!$C$5:$BJ$5,D$11,Monthly!$C$33:$BJ$33)</f>
        <v>211683.054593532</v>
      </c>
      <c r="E13" s="37" t="n">
        <f aca="false">SUMIF(Monthly!$C$5:$BJ$5,E$11,Monthly!$C$33:$BJ$33)</f>
        <v>225178.614639004</v>
      </c>
      <c r="F13" s="37" t="n">
        <f aca="false">SUMIF(Monthly!$C$5:$BJ$5,F$11,Monthly!$C$33:$BJ$33)</f>
        <v>239545.285345936</v>
      </c>
    </row>
    <row r="14" customFormat="false" ht="15" hidden="false" customHeight="false" outlineLevel="0" collapsed="false">
      <c r="A14" s="38" t="s">
        <v>46</v>
      </c>
      <c r="B14" s="39" t="n">
        <f aca="false">IF(B12=0,0,B13/B12)</f>
        <v>0.59134319595759</v>
      </c>
      <c r="C14" s="39" t="n">
        <f aca="false">IF(C12=0,0,C13/C12)</f>
        <v>0.590824962350392</v>
      </c>
      <c r="D14" s="39" t="n">
        <f aca="false">IF(D12=0,0,D13/D12)</f>
        <v>0.590532404325879</v>
      </c>
      <c r="E14" s="39" t="n">
        <f aca="false">IF(E12=0,0,E13/E12)</f>
        <v>0.590236046124414</v>
      </c>
      <c r="F14" s="39" t="n">
        <f aca="false">IF(F12=0,0,F13/F12)</f>
        <v>0.589935869092599</v>
      </c>
    </row>
    <row r="15" customFormat="false" ht="15" hidden="false" customHeight="false" outlineLevel="0" collapsed="false">
      <c r="A15" s="6" t="s">
        <v>47</v>
      </c>
      <c r="B15" s="35" t="n">
        <f aca="false">SUMIF(Monthly!$C$5:$BJ$5,B$11,Monthly!$C$45:$BJ$45)</f>
        <v>-169272.5</v>
      </c>
      <c r="C15" s="35" t="n">
        <f aca="false">SUMIF(Monthly!$C$5:$BJ$5,C$11,Monthly!$C$45:$BJ$45)</f>
        <v>-174374.612</v>
      </c>
      <c r="D15" s="35" t="n">
        <f aca="false">SUMIF(Monthly!$C$5:$BJ$5,D$11,Monthly!$C$45:$BJ$45)</f>
        <v>-179430.044198</v>
      </c>
      <c r="E15" s="35" t="n">
        <f aca="false">SUMIF(Monthly!$C$5:$BJ$5,E$11,Monthly!$C$45:$BJ$45)</f>
        <v>-184643.349159737</v>
      </c>
      <c r="F15" s="35" t="n">
        <f aca="false">SUMIF(Monthly!$C$5:$BJ$5,F$11,Monthly!$C$45:$BJ$45)</f>
        <v>-190019.769166644</v>
      </c>
    </row>
    <row r="16" customFormat="false" ht="15" hidden="false" customHeight="false" outlineLevel="0" collapsed="false">
      <c r="A16" s="36" t="s">
        <v>48</v>
      </c>
      <c r="B16" s="37" t="n">
        <f aca="false">SUMIF(Monthly!$C$5:$BJ$5,B$11,Monthly!$C$46:$BJ$46)</f>
        <v>-7305.96400000003</v>
      </c>
      <c r="C16" s="37" t="n">
        <f aca="false">SUMIF(Monthly!$C$5:$BJ$5,C$11,Monthly!$C$46:$BJ$46)</f>
        <v>24630.4908928</v>
      </c>
      <c r="D16" s="37" t="n">
        <f aca="false">SUMIF(Monthly!$C$5:$BJ$5,D$11,Monthly!$C$46:$BJ$46)</f>
        <v>32253.0103955315</v>
      </c>
      <c r="E16" s="37" t="n">
        <f aca="false">SUMIF(Monthly!$C$5:$BJ$5,E$11,Monthly!$C$46:$BJ$46)</f>
        <v>40535.2654792672</v>
      </c>
      <c r="F16" s="37" t="n">
        <f aca="false">SUMIF(Monthly!$C$5:$BJ$5,F$11,Monthly!$C$46:$BJ$46)</f>
        <v>49525.5161792919</v>
      </c>
    </row>
    <row r="17" customFormat="false" ht="15" hidden="false" customHeight="false" outlineLevel="0" collapsed="false">
      <c r="A17" s="38" t="s">
        <v>49</v>
      </c>
      <c r="B17" s="39" t="n">
        <f aca="false">IF(B12=0,0,B16/B12)</f>
        <v>-0.0266742267137893</v>
      </c>
      <c r="C17" s="39" t="n">
        <f aca="false">IF(C12=0,0,C16/C12)</f>
        <v>0.0731253050443096</v>
      </c>
      <c r="D17" s="39" t="n">
        <f aca="false">IF(D12=0,0,D16/D12)</f>
        <v>0.0899762515813714</v>
      </c>
      <c r="E17" s="39" t="n">
        <f aca="false">IF(E12=0,0,E16/E12)</f>
        <v>0.106250652902551</v>
      </c>
      <c r="F17" s="39" t="n">
        <f aca="false">IF(F12=0,0,F16/F12)</f>
        <v>0.121968079594207</v>
      </c>
    </row>
    <row r="18" customFormat="false" ht="15" hidden="false" customHeight="false" outlineLevel="0" collapsed="false">
      <c r="A18" s="40" t="s">
        <v>50</v>
      </c>
      <c r="B18" s="41" t="n">
        <f aca="false">SUMIF(Monthly!$C$5:$BJ$5,B$11,Monthly!$C$55:$BJ$55)</f>
        <v>-34439.6247142858</v>
      </c>
      <c r="C18" s="41" t="n">
        <f aca="false">SUMIF(Monthly!$C$5:$BJ$5,C$11,Monthly!$C$55:$BJ$55)</f>
        <v>-1245.9376786286</v>
      </c>
      <c r="D18" s="41" t="n">
        <f aca="false">SUMIF(Monthly!$C$5:$BJ$5,D$11,Monthly!$C$55:$BJ$55)</f>
        <v>7639.43896696008</v>
      </c>
      <c r="E18" s="41" t="n">
        <f aca="false">SUMIF(Monthly!$C$5:$BJ$5,E$11,Monthly!$C$55:$BJ$55)</f>
        <v>17184.5511935529</v>
      </c>
      <c r="F18" s="41" t="n">
        <f aca="false">SUMIF(Monthly!$C$5:$BJ$5,F$11,Monthly!$C$55:$BJ$55)</f>
        <v>23592.2932419636</v>
      </c>
    </row>
    <row r="19" customFormat="false" ht="15" hidden="false" customHeight="false" outlineLevel="0" collapsed="false">
      <c r="A19" s="38" t="s">
        <v>51</v>
      </c>
      <c r="B19" s="39" t="n">
        <f aca="false">IF(B12=0,0,B18/B12)</f>
        <v>-0.125739787051603</v>
      </c>
      <c r="C19" s="39" t="n">
        <f aca="false">IF(C12=0,0,C18/C12)</f>
        <v>-0.00369905631245655</v>
      </c>
      <c r="D19" s="39" t="n">
        <f aca="false">IF(D12=0,0,D18/D12)</f>
        <v>0.02131174963212</v>
      </c>
      <c r="E19" s="39" t="n">
        <f aca="false">IF(E12=0,0,E18/E12)</f>
        <v>0.0450439823833447</v>
      </c>
      <c r="F19" s="39" t="n">
        <f aca="false">IF(F12=0,0,F18/F12)</f>
        <v>0.0581014984180793</v>
      </c>
    </row>
    <row r="20" customFormat="false" ht="15" hidden="false" customHeight="false" outlineLevel="0" collapsed="false">
      <c r="A20" s="6" t="s">
        <v>52</v>
      </c>
      <c r="B20" s="35" t="n">
        <f aca="false">SUMIF(Monthly!$C$5:$BJ$5,B$11,Monthly!$C$83:$BJ$83)</f>
        <v>-15659.7006</v>
      </c>
      <c r="C20" s="35" t="n">
        <f aca="false">SUMIF(Monthly!$C$5:$BJ$5,C$11,Monthly!$C$83:$BJ$83)</f>
        <v>18765.73393536</v>
      </c>
      <c r="D20" s="35" t="n">
        <f aca="false">SUMIF(Monthly!$C$5:$BJ$5,D$11,Monthly!$C$83:$BJ$83)</f>
        <v>28004.3816109994</v>
      </c>
      <c r="E20" s="35" t="n">
        <f aca="false">SUMIF(Monthly!$C$5:$BJ$5,E$11,Monthly!$C$83:$BJ$83)</f>
        <v>37902.5101141598</v>
      </c>
      <c r="F20" s="35" t="n">
        <f aca="false">SUMIF(Monthly!$C$5:$BJ$5,F$11,Monthly!$C$83:$BJ$83)</f>
        <v>44662.9966259918</v>
      </c>
    </row>
    <row r="21" customFormat="false" ht="15" hidden="false" customHeight="false" outlineLevel="0" collapsed="false">
      <c r="A21" s="6" t="s">
        <v>53</v>
      </c>
      <c r="B21" s="35" t="n">
        <f aca="false">SUMIF(Monthly!$C$5:$BJ$5,B$11,Monthly!$C$84:$BJ$84)</f>
        <v>-138000</v>
      </c>
      <c r="C21" s="35" t="n">
        <f aca="false">SUMIF(Monthly!$C$5:$BJ$5,C$11,Monthly!$C$84:$BJ$84)</f>
        <v>-2500</v>
      </c>
      <c r="D21" s="35" t="n">
        <f aca="false">SUMIF(Monthly!$C$5:$BJ$5,D$11,Monthly!$C$84:$BJ$84)</f>
        <v>-2500</v>
      </c>
      <c r="E21" s="35" t="n">
        <f aca="false">SUMIF(Monthly!$C$5:$BJ$5,E$11,Monthly!$C$84:$BJ$84)</f>
        <v>-2500</v>
      </c>
      <c r="F21" s="35" t="n">
        <f aca="false">SUMIF(Monthly!$C$5:$BJ$5,F$11,Monthly!$C$84:$BJ$84)</f>
        <v>-2500</v>
      </c>
    </row>
    <row r="22" customFormat="false" ht="15" hidden="false" customHeight="false" outlineLevel="0" collapsed="false">
      <c r="A22" s="6" t="s">
        <v>54</v>
      </c>
      <c r="B22" s="35" t="n">
        <f aca="false">SUMIF(Monthly!$C$5:$BJ$5,B$11,Monthly!$C$86:$BJ$86)</f>
        <v>173500</v>
      </c>
      <c r="C22" s="35" t="n">
        <f aca="false">SUMIF(Monthly!$C$5:$BJ$5,C$11,Monthly!$C$86:$BJ$86)</f>
        <v>-18000</v>
      </c>
      <c r="D22" s="35" t="n">
        <f aca="false">SUMIF(Monthly!$C$5:$BJ$5,D$11,Monthly!$C$86:$BJ$86)</f>
        <v>-18000</v>
      </c>
      <c r="E22" s="35" t="n">
        <f aca="false">SUMIF(Monthly!$C$5:$BJ$5,E$11,Monthly!$C$86:$BJ$86)</f>
        <v>-18000</v>
      </c>
      <c r="F22" s="35" t="n">
        <f aca="false">SUMIF(Monthly!$C$5:$BJ$5,F$11,Monthly!$C$86:$BJ$86)</f>
        <v>-18000</v>
      </c>
    </row>
    <row r="23" customFormat="false" ht="15" hidden="false" customHeight="false" outlineLevel="0" collapsed="false">
      <c r="A23" s="36" t="s">
        <v>55</v>
      </c>
      <c r="B23" s="37" t="n">
        <f aca="false">SUMIF(Monthly!$C$5:$BJ$5,B$11,Monthly!$C$87:$BJ$87)</f>
        <v>19840.2994</v>
      </c>
      <c r="C23" s="37" t="n">
        <f aca="false">SUMIF(Monthly!$C$5:$BJ$5,C$11,Monthly!$C$87:$BJ$87)</f>
        <v>-1734.26606464003</v>
      </c>
      <c r="D23" s="37" t="n">
        <f aca="false">SUMIF(Monthly!$C$5:$BJ$5,D$11,Monthly!$C$87:$BJ$87)</f>
        <v>7504.38161099941</v>
      </c>
      <c r="E23" s="37" t="n">
        <f aca="false">SUMIF(Monthly!$C$5:$BJ$5,E$11,Monthly!$C$87:$BJ$87)</f>
        <v>17402.5101141598</v>
      </c>
      <c r="F23" s="37" t="n">
        <f aca="false">SUMIF(Monthly!$C$5:$BJ$5,F$11,Monthly!$C$87:$BJ$87)</f>
        <v>24162.9966259918</v>
      </c>
    </row>
    <row r="24" customFormat="false" ht="15" hidden="false" customHeight="false" outlineLevel="0" collapsed="false">
      <c r="A24" s="40" t="s">
        <v>56</v>
      </c>
      <c r="B24" s="41" t="n">
        <f aca="false">INDEX(Monthly!$C$89:$BJ$89,B$11*12)</f>
        <v>19840.2994</v>
      </c>
      <c r="C24" s="41" t="n">
        <f aca="false">INDEX(Monthly!$C$89:$BJ$89,C$11*12)</f>
        <v>18106.0333353599</v>
      </c>
      <c r="D24" s="41" t="n">
        <f aca="false">INDEX(Monthly!$C$89:$BJ$89,D$11*12)</f>
        <v>25610.4149463593</v>
      </c>
      <c r="E24" s="41" t="n">
        <f aca="false">INDEX(Monthly!$C$89:$BJ$89,E$11*12)</f>
        <v>43012.9250605192</v>
      </c>
      <c r="F24" s="41" t="n">
        <f aca="false">INDEX(Monthly!$C$89:$BJ$89,F$11*12)</f>
        <v>67175.921686511</v>
      </c>
    </row>
    <row r="26" customFormat="false" ht="15.75" hidden="false" customHeight="true" outlineLevel="0" collapsed="false">
      <c r="A26" s="7" t="s">
        <v>57</v>
      </c>
      <c r="B26" s="7"/>
      <c r="C26" s="7"/>
      <c r="D26" s="7"/>
      <c r="E26" s="7"/>
      <c r="F26" s="7"/>
    </row>
    <row r="27" customFormat="false" ht="15" hidden="false" customHeight="false" outlineLevel="0" collapsed="false">
      <c r="A27" s="33"/>
      <c r="B27" s="34" t="n">
        <v>1</v>
      </c>
      <c r="C27" s="34" t="n">
        <v>2</v>
      </c>
      <c r="D27" s="34" t="n">
        <v>3</v>
      </c>
      <c r="E27" s="34" t="n">
        <v>4</v>
      </c>
      <c r="F27" s="34" t="n">
        <v>5</v>
      </c>
    </row>
    <row r="28" customFormat="false" ht="15" hidden="false" customHeight="false" outlineLevel="0" collapsed="false">
      <c r="A28" s="6" t="s">
        <v>58</v>
      </c>
      <c r="B28" s="42" t="n">
        <f aca="false">KPIs!B31</f>
        <v>19564</v>
      </c>
      <c r="C28" s="42" t="n">
        <f aca="false">KPIs!C31</f>
        <v>23358.24</v>
      </c>
      <c r="D28" s="42" t="n">
        <f aca="false">KPIs!D31</f>
        <v>24134.5872</v>
      </c>
      <c r="E28" s="42" t="n">
        <f aca="false">KPIs!E31</f>
        <v>24938.004816</v>
      </c>
      <c r="F28" s="42" t="n">
        <f aca="false">KPIs!F31</f>
        <v>25769.49396048</v>
      </c>
    </row>
    <row r="29" customFormat="false" ht="15" hidden="false" customHeight="false" outlineLevel="0" collapsed="false">
      <c r="A29" s="6" t="s">
        <v>59</v>
      </c>
      <c r="B29" s="43" t="n">
        <f aca="false">KPIs!B38</f>
        <v>1110.01418439716</v>
      </c>
      <c r="C29" s="43" t="n">
        <f aca="false">KPIs!C38</f>
        <v>1327.13089361702</v>
      </c>
      <c r="D29" s="43" t="n">
        <f aca="false">KPIs!D38</f>
        <v>1401.93738451531</v>
      </c>
      <c r="E29" s="43" t="n">
        <f aca="false">KPIs!E38</f>
        <v>1480.57350121966</v>
      </c>
      <c r="F29" s="43" t="n">
        <f aca="false">KPIs!F38</f>
        <v>1563.19629434128</v>
      </c>
    </row>
    <row r="30" customFormat="false" ht="15" hidden="false" customHeight="false" outlineLevel="0" collapsed="false">
      <c r="A30" s="6" t="s">
        <v>60</v>
      </c>
      <c r="B30" s="44" t="n">
        <f aca="false">KPIs!B36</f>
        <v>0.157176446534451</v>
      </c>
      <c r="C30" s="44" t="n">
        <f aca="false">KPIs!C36</f>
        <v>0.161827260958017</v>
      </c>
      <c r="D30" s="44" t="n">
        <f aca="false">KPIs!D36</f>
        <v>0.164452781690834</v>
      </c>
      <c r="E30" s="44" t="n">
        <f aca="false">KPIs!E36</f>
        <v>0.167112406575774</v>
      </c>
      <c r="F30" s="44" t="n">
        <f aca="false">KPIs!F36</f>
        <v>0.169806303015137</v>
      </c>
    </row>
    <row r="31" customFormat="false" ht="15" hidden="false" customHeight="false" outlineLevel="0" collapsed="false">
      <c r="A31" s="6" t="s">
        <v>61</v>
      </c>
      <c r="B31" s="44" t="n">
        <f aca="false">KPIs!B43</f>
        <v>0.794774220872156</v>
      </c>
      <c r="C31" s="44" t="n">
        <f aca="false">KPIs!C43</f>
        <v>0.724498925065783</v>
      </c>
      <c r="D31" s="44" t="n">
        <f aca="false">KPIs!D43</f>
        <v>0.71284286828703</v>
      </c>
      <c r="E31" s="44" t="n">
        <f aca="false">KPIs!E43</f>
        <v>0.701544507854288</v>
      </c>
      <c r="F31" s="44" t="n">
        <f aca="false">KPIs!F43</f>
        <v>0.690593233893769</v>
      </c>
    </row>
    <row r="32" customFormat="false" ht="15" hidden="false" customHeight="false" outlineLevel="0" collapsed="false">
      <c r="A32" s="6" t="s">
        <v>62</v>
      </c>
      <c r="B32" s="45" t="n">
        <f aca="false">INDEX(Headcount!$C$11:$BJ$11,B$27*12)</f>
        <v>3.2</v>
      </c>
      <c r="C32" s="45" t="n">
        <f aca="false">INDEX(Headcount!$C$11:$BJ$11,C$27*12)</f>
        <v>3.2</v>
      </c>
      <c r="D32" s="45" t="n">
        <f aca="false">INDEX(Headcount!$C$11:$BJ$11,D$27*12)</f>
        <v>3.2</v>
      </c>
      <c r="E32" s="45" t="n">
        <f aca="false">INDEX(Headcount!$C$11:$BJ$11,E$27*12)</f>
        <v>3.2</v>
      </c>
      <c r="F32" s="45" t="n">
        <f aca="false">INDEX(Headcount!$C$11:$BJ$11,F$27*12)</f>
        <v>3.2</v>
      </c>
    </row>
    <row r="34" customFormat="false" ht="15.75" hidden="false" customHeight="true" outlineLevel="0" collapsed="false">
      <c r="A34" s="7" t="s">
        <v>63</v>
      </c>
      <c r="B34" s="7"/>
      <c r="C34" s="7"/>
      <c r="D34" s="7"/>
      <c r="E34" s="7"/>
      <c r="F34" s="7"/>
    </row>
    <row r="35" customFormat="false" ht="15" hidden="false" customHeight="false" outlineLevel="0" collapsed="false">
      <c r="A35" s="6" t="s">
        <v>64</v>
      </c>
      <c r="B35" s="46"/>
      <c r="C35" s="46"/>
      <c r="D35" s="46"/>
      <c r="E35" s="46"/>
      <c r="F35" s="47" t="n">
        <f aca="false">Inputs!$E$71</f>
        <v>100000</v>
      </c>
    </row>
    <row r="36" customFormat="false" ht="15" hidden="false" customHeight="false" outlineLevel="0" collapsed="false">
      <c r="A36" s="6" t="s">
        <v>65</v>
      </c>
      <c r="B36" s="46"/>
      <c r="C36" s="46"/>
      <c r="D36" s="46"/>
      <c r="E36" s="46"/>
      <c r="F36" s="47" t="n">
        <f aca="false">Inputs!$E$72</f>
        <v>90000</v>
      </c>
    </row>
    <row r="37" customFormat="false" ht="15" hidden="false" customHeight="false" outlineLevel="0" collapsed="false">
      <c r="A37" s="6" t="s">
        <v>66</v>
      </c>
      <c r="B37" s="46"/>
      <c r="C37" s="46"/>
      <c r="D37" s="46"/>
      <c r="E37" s="46"/>
      <c r="F37" s="47" t="n">
        <f aca="false">'Break-even'!B12</f>
        <v>222127.584896964</v>
      </c>
    </row>
    <row r="38" customFormat="false" ht="15" hidden="false" customHeight="false" outlineLevel="0" collapsed="false">
      <c r="A38" s="36" t="s">
        <v>67</v>
      </c>
      <c r="B38" s="36"/>
      <c r="C38" s="36"/>
      <c r="D38" s="36"/>
      <c r="E38" s="36"/>
      <c r="F38" s="37" t="n">
        <f aca="false">'Break-even'!B17</f>
        <v>-32127.5848969641</v>
      </c>
    </row>
    <row r="39" customFormat="false" ht="15" hidden="false" customHeight="false" outlineLevel="0" collapsed="false">
      <c r="A39" s="6" t="str">
        <f aca="false">"Lowest cash balance (month "&amp;'Break-even'!B6&amp;")"</f>
        <v>Lowest cash balance (month 26)</v>
      </c>
      <c r="B39" s="46"/>
      <c r="C39" s="46"/>
      <c r="D39" s="46"/>
      <c r="E39" s="46"/>
      <c r="F39" s="47" t="n">
        <f aca="false">'Break-even'!B18</f>
        <v>9872.41510303594</v>
      </c>
    </row>
    <row r="40" customFormat="false" ht="15" hidden="false" customHeight="false" outlineLevel="0" collapsed="false">
      <c r="A40" s="6" t="s">
        <v>68</v>
      </c>
      <c r="B40" s="46"/>
      <c r="C40" s="46"/>
      <c r="D40" s="46"/>
      <c r="E40" s="46"/>
      <c r="F40" s="48" t="n">
        <f aca="false">'Break-even'!B21</f>
        <v>6</v>
      </c>
    </row>
    <row r="41" customFormat="false" ht="15" hidden="false" customHeight="false" outlineLevel="0" collapsed="false">
      <c r="A41" s="6" t="s">
        <v>69</v>
      </c>
      <c r="B41" s="46"/>
      <c r="C41" s="46"/>
      <c r="D41" s="46"/>
      <c r="E41" s="46"/>
      <c r="F41" s="48" t="str">
        <f aca="false">'Break-even'!B23</f>
        <v>Not within horizon</v>
      </c>
    </row>
    <row r="42" customFormat="false" ht="15" hidden="false" customHeight="false" outlineLevel="0" collapsed="false">
      <c r="A42" s="6" t="s">
        <v>70</v>
      </c>
      <c r="B42" s="46"/>
      <c r="C42" s="46"/>
      <c r="D42" s="46"/>
      <c r="E42" s="46"/>
      <c r="F42" s="47" t="n">
        <f aca="false">Valuation!B27</f>
        <v>1604.52116972733</v>
      </c>
    </row>
    <row r="43" customFormat="false" ht="15" hidden="false" customHeight="false" outlineLevel="0" collapsed="false">
      <c r="A43" s="6" t="s">
        <v>71</v>
      </c>
      <c r="B43" s="46"/>
      <c r="C43" s="46"/>
      <c r="D43" s="46"/>
      <c r="E43" s="46"/>
      <c r="F43" s="47" t="n">
        <f aca="false">Valuation!C27</f>
        <v>4162.90033114843</v>
      </c>
    </row>
    <row r="44" customFormat="false" ht="15" hidden="false" customHeight="false" outlineLevel="0" collapsed="false">
      <c r="A44" s="40" t="s">
        <v>72</v>
      </c>
      <c r="B44" s="40"/>
      <c r="C44" s="40"/>
      <c r="D44" s="40"/>
      <c r="E44" s="40"/>
      <c r="F44" s="41" t="n">
        <f aca="false">Valuation!B30</f>
        <v>2883.71075043788</v>
      </c>
    </row>
  </sheetData>
  <mergeCells count="19">
    <mergeCell ref="T4:W4"/>
    <mergeCell ref="A6:B6"/>
    <mergeCell ref="C6:F6"/>
    <mergeCell ref="H6:K6"/>
    <mergeCell ref="L6:O6"/>
    <mergeCell ref="P6:S6"/>
    <mergeCell ref="T6:W6"/>
    <mergeCell ref="A7:B7"/>
    <mergeCell ref="C7:F7"/>
    <mergeCell ref="H7:K7"/>
    <mergeCell ref="L7:O7"/>
    <mergeCell ref="P7:S7"/>
    <mergeCell ref="T7:W7"/>
    <mergeCell ref="A8:B8"/>
    <mergeCell ref="C8:F8"/>
    <mergeCell ref="H8:K8"/>
    <mergeCell ref="L8:O8"/>
    <mergeCell ref="P8:S8"/>
    <mergeCell ref="T8:W8"/>
  </mergeCells>
  <conditionalFormatting sqref="T4:W4">
    <cfRule type="expression" priority="2" aboveAverage="0" equalAverage="0" bottom="0" percent="0" rank="0" text="" dxfId="0">
      <formula>ISNUMBER(SEARCH("FAIL",$T$4))</formula>
    </cfRule>
    <cfRule type="expression" priority="3" aboveAverage="0" equalAverage="0" bottom="0" percent="0" rank="0" text="" dxfId="1">
      <formula>ISNUMBER(SEARCH("WARN",$T$4))</formula>
    </cfRule>
    <cfRule type="expression" priority="4" aboveAverage="0" equalAverage="0" bottom="0" percent="0" rank="0" text="" dxfId="2">
      <formula>$T$4="PASS"</formula>
    </cfRule>
  </conditionalFormatting>
  <dataValidations count="1">
    <dataValidation allowBlank="false" error="Enter 1, 2 or 3" errorStyle="stop" errorTitle="Scenario" operator="between" prompt="1 = Low, 2 = Base, 3 = High. Every sheet recalculates." promptTitle="Scenario" showDropDown="false" showErrorMessage="true" showInputMessage="true" sqref="B4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U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1.5"/>
    <col collapsed="false" customWidth="true" hidden="false" outlineLevel="0" max="7" min="7" style="0" width="2"/>
    <col collapsed="false" customWidth="true" hidden="false" outlineLevel="0" max="19" min="8" style="0" width="9.2"/>
    <col collapsed="false" customWidth="true" hidden="false" outlineLevel="0" max="20" min="20" style="0" width="2"/>
    <col collapsed="false" customWidth="true" hidden="false" outlineLevel="0" max="36" min="21" style="0" width="9"/>
  </cols>
  <sheetData>
    <row r="1" customFormat="false" ht="21.75" hidden="false" customHeight="true" outlineLevel="0" collapsed="false">
      <c r="A1" s="16" t="s">
        <v>73</v>
      </c>
      <c r="U1" s="17" t="str">
        <f aca="false">HYPERLINK("#'Cover'!A1","◂ Contents")</f>
        <v>◂ Contents</v>
      </c>
    </row>
    <row r="2" customFormat="false" ht="19.5" hidden="false" customHeight="true" outlineLevel="0" collapsed="false">
      <c r="A2" s="18" t="s">
        <v>0</v>
      </c>
      <c r="P2" s="22" t="s">
        <v>74</v>
      </c>
      <c r="R2" s="49" t="n">
        <v>1</v>
      </c>
      <c r="S2" s="49"/>
    </row>
    <row r="5" customFormat="false" ht="15.75" hidden="false" customHeight="true" outlineLevel="0" collapsed="false">
      <c r="A5" s="7" t="s">
        <v>75</v>
      </c>
      <c r="B5" s="7"/>
      <c r="C5" s="7"/>
      <c r="D5" s="7"/>
      <c r="E5" s="7"/>
      <c r="F5" s="7"/>
      <c r="H5" s="7" t="str">
        <f aca="false">"Income statement ($'000) — Year "&amp;$R$2&amp;", by month"</f>
        <v>Income statement ($'000) — Year 1, by month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customFormat="false" ht="15" hidden="false" customHeight="false" outlineLevel="0" collapsed="false">
      <c r="A6" s="33"/>
      <c r="B6" s="34" t="n">
        <v>1</v>
      </c>
      <c r="C6" s="34" t="n">
        <v>2</v>
      </c>
      <c r="D6" s="34" t="n">
        <v>3</v>
      </c>
      <c r="E6" s="34" t="n">
        <v>4</v>
      </c>
      <c r="F6" s="34" t="n">
        <v>5</v>
      </c>
      <c r="H6" s="50" t="n">
        <f aca="false">INDEX(Monthly!$C$4:$BJ$4,($R$2-1)*12+1)</f>
        <v>1</v>
      </c>
      <c r="I6" s="50" t="n">
        <f aca="false">INDEX(Monthly!$C$4:$BJ$4,($R$2-1)*12+2)</f>
        <v>2</v>
      </c>
      <c r="J6" s="50" t="n">
        <f aca="false">INDEX(Monthly!$C$4:$BJ$4,($R$2-1)*12+3)</f>
        <v>3</v>
      </c>
      <c r="K6" s="50" t="n">
        <f aca="false">INDEX(Monthly!$C$4:$BJ$4,($R$2-1)*12+4)</f>
        <v>4</v>
      </c>
      <c r="L6" s="50" t="n">
        <f aca="false">INDEX(Monthly!$C$4:$BJ$4,($R$2-1)*12+5)</f>
        <v>5</v>
      </c>
      <c r="M6" s="50" t="n">
        <f aca="false">INDEX(Monthly!$C$4:$BJ$4,($R$2-1)*12+6)</f>
        <v>6</v>
      </c>
      <c r="N6" s="50" t="n">
        <f aca="false">INDEX(Monthly!$C$4:$BJ$4,($R$2-1)*12+7)</f>
        <v>7</v>
      </c>
      <c r="O6" s="50" t="n">
        <f aca="false">INDEX(Monthly!$C$4:$BJ$4,($R$2-1)*12+8)</f>
        <v>8</v>
      </c>
      <c r="P6" s="50" t="n">
        <f aca="false">INDEX(Monthly!$C$4:$BJ$4,($R$2-1)*12+9)</f>
        <v>9</v>
      </c>
      <c r="Q6" s="50" t="n">
        <f aca="false">INDEX(Monthly!$C$4:$BJ$4,($R$2-1)*12+10)</f>
        <v>10</v>
      </c>
      <c r="R6" s="50" t="n">
        <f aca="false">INDEX(Monthly!$C$4:$BJ$4,($R$2-1)*12+11)</f>
        <v>11</v>
      </c>
      <c r="S6" s="50" t="n">
        <f aca="false">INDEX(Monthly!$C$4:$BJ$4,($R$2-1)*12+12)</f>
        <v>12</v>
      </c>
    </row>
    <row r="7" customFormat="false" ht="15" hidden="false" customHeight="false" outlineLevel="0" collapsed="false">
      <c r="A7" s="51" t="s">
        <v>44</v>
      </c>
      <c r="B7" s="35" t="n">
        <f aca="false">'P&amp;L'!B5</f>
        <v>273896</v>
      </c>
      <c r="C7" s="35" t="n">
        <f aca="false">'P&amp;L'!C5</f>
        <v>336825.8208</v>
      </c>
      <c r="D7" s="35" t="n">
        <f aca="false">'P&amp;L'!D5</f>
        <v>358461.36984672</v>
      </c>
      <c r="E7" s="35" t="n">
        <f aca="false">'P&amp;L'!E5</f>
        <v>381506.036640025</v>
      </c>
      <c r="F7" s="35" t="n">
        <f aca="false">'P&amp;L'!F5</f>
        <v>406053.094744669</v>
      </c>
      <c r="H7" s="35" t="n">
        <f aca="false">INDEX(Monthly!$C$24:$BJ$24,($R$2-1)*12+1)</f>
        <v>10416</v>
      </c>
      <c r="I7" s="35" t="n">
        <f aca="false">INDEX(Monthly!$C$24:$BJ$24,($R$2-1)*12+2)</f>
        <v>12152</v>
      </c>
      <c r="J7" s="35" t="n">
        <f aca="false">INDEX(Monthly!$C$24:$BJ$24,($R$2-1)*12+3)</f>
        <v>18816</v>
      </c>
      <c r="K7" s="35" t="n">
        <f aca="false">INDEX(Monthly!$C$24:$BJ$24,($R$2-1)*12+4)</f>
        <v>21168</v>
      </c>
      <c r="L7" s="35" t="n">
        <f aca="false">INDEX(Monthly!$C$24:$BJ$24,($R$2-1)*12+5)</f>
        <v>23520</v>
      </c>
      <c r="M7" s="35" t="n">
        <f aca="false">INDEX(Monthly!$C$24:$BJ$24,($R$2-1)*12+6)</f>
        <v>25872</v>
      </c>
      <c r="N7" s="35" t="n">
        <f aca="false">INDEX(Monthly!$C$24:$BJ$24,($R$2-1)*12+7)</f>
        <v>28224</v>
      </c>
      <c r="O7" s="35" t="n">
        <f aca="false">INDEX(Monthly!$C$24:$BJ$24,($R$2-1)*12+8)</f>
        <v>28224</v>
      </c>
      <c r="P7" s="35" t="n">
        <f aca="false">INDEX(Monthly!$C$24:$BJ$24,($R$2-1)*12+9)</f>
        <v>28224</v>
      </c>
      <c r="Q7" s="35" t="n">
        <f aca="false">INDEX(Monthly!$C$24:$BJ$24,($R$2-1)*12+10)</f>
        <v>28224</v>
      </c>
      <c r="R7" s="35" t="n">
        <f aca="false">INDEX(Monthly!$C$24:$BJ$24,($R$2-1)*12+11)</f>
        <v>28224</v>
      </c>
      <c r="S7" s="35" t="n">
        <f aca="false">INDEX(Monthly!$C$24:$BJ$24,($R$2-1)*12+12)</f>
        <v>20832</v>
      </c>
    </row>
    <row r="8" customFormat="false" ht="15" hidden="false" customHeight="false" outlineLevel="0" collapsed="false">
      <c r="A8" s="51" t="s">
        <v>76</v>
      </c>
      <c r="B8" s="35" t="n">
        <f aca="false">'P&amp;L'!B6</f>
        <v>-111929.464</v>
      </c>
      <c r="C8" s="35" t="n">
        <f aca="false">'P&amp;L'!C6</f>
        <v>-137820.7179072</v>
      </c>
      <c r="D8" s="35" t="n">
        <f aca="false">'P&amp;L'!D6</f>
        <v>-146778.315253188</v>
      </c>
      <c r="E8" s="35" t="n">
        <f aca="false">'P&amp;L'!E6</f>
        <v>-156327.422001021</v>
      </c>
      <c r="F8" s="35" t="n">
        <f aca="false">'P&amp;L'!F6</f>
        <v>-166507.809398733</v>
      </c>
      <c r="H8" s="35" t="n">
        <f aca="false">INDEX(Monthly!$C$32:$BJ$32,($R$2-1)*12+1)</f>
        <v>-4308.144</v>
      </c>
      <c r="I8" s="35" t="n">
        <f aca="false">INDEX(Monthly!$C$32:$BJ$32,($R$2-1)*12+2)</f>
        <v>-5026.168</v>
      </c>
      <c r="J8" s="35" t="n">
        <f aca="false">INDEX(Monthly!$C$32:$BJ$32,($R$2-1)*12+3)</f>
        <v>-7671.744</v>
      </c>
      <c r="K8" s="35" t="n">
        <f aca="false">INDEX(Monthly!$C$32:$BJ$32,($R$2-1)*12+4)</f>
        <v>-8630.712</v>
      </c>
      <c r="L8" s="35" t="n">
        <f aca="false">INDEX(Monthly!$C$32:$BJ$32,($R$2-1)*12+5)</f>
        <v>-9589.68</v>
      </c>
      <c r="M8" s="35" t="n">
        <f aca="false">INDEX(Monthly!$C$32:$BJ$32,($R$2-1)*12+6)</f>
        <v>-10548.648</v>
      </c>
      <c r="N8" s="35" t="n">
        <f aca="false">INDEX(Monthly!$C$32:$BJ$32,($R$2-1)*12+7)</f>
        <v>-11507.616</v>
      </c>
      <c r="O8" s="35" t="n">
        <f aca="false">INDEX(Monthly!$C$32:$BJ$32,($R$2-1)*12+8)</f>
        <v>-11507.616</v>
      </c>
      <c r="P8" s="35" t="n">
        <f aca="false">INDEX(Monthly!$C$32:$BJ$32,($R$2-1)*12+9)</f>
        <v>-11507.616</v>
      </c>
      <c r="Q8" s="35" t="n">
        <f aca="false">INDEX(Monthly!$C$32:$BJ$32,($R$2-1)*12+10)</f>
        <v>-11507.616</v>
      </c>
      <c r="R8" s="35" t="n">
        <f aca="false">INDEX(Monthly!$C$32:$BJ$32,($R$2-1)*12+11)</f>
        <v>-11507.616</v>
      </c>
      <c r="S8" s="35" t="n">
        <f aca="false">INDEX(Monthly!$C$32:$BJ$32,($R$2-1)*12+12)</f>
        <v>-8616.288</v>
      </c>
    </row>
    <row r="9" customFormat="false" ht="15" hidden="false" customHeight="false" outlineLevel="0" collapsed="false">
      <c r="A9" s="36" t="s">
        <v>45</v>
      </c>
      <c r="B9" s="37" t="n">
        <f aca="false">'P&amp;L'!B7</f>
        <v>161966.536</v>
      </c>
      <c r="C9" s="37" t="n">
        <f aca="false">'P&amp;L'!C7</f>
        <v>199005.1028928</v>
      </c>
      <c r="D9" s="37" t="n">
        <f aca="false">'P&amp;L'!D7</f>
        <v>211683.054593532</v>
      </c>
      <c r="E9" s="37" t="n">
        <f aca="false">'P&amp;L'!E7</f>
        <v>225178.614639004</v>
      </c>
      <c r="F9" s="37" t="n">
        <f aca="false">'P&amp;L'!F7</f>
        <v>239545.285345936</v>
      </c>
      <c r="H9" s="37" t="n">
        <f aca="false">INDEX(Monthly!$C$33:$BJ$33,($R$2-1)*12+1)</f>
        <v>6107.856</v>
      </c>
      <c r="I9" s="37" t="n">
        <f aca="false">INDEX(Monthly!$C$33:$BJ$33,($R$2-1)*12+2)</f>
        <v>7125.832</v>
      </c>
      <c r="J9" s="37" t="n">
        <f aca="false">INDEX(Monthly!$C$33:$BJ$33,($R$2-1)*12+3)</f>
        <v>11144.256</v>
      </c>
      <c r="K9" s="37" t="n">
        <f aca="false">INDEX(Monthly!$C$33:$BJ$33,($R$2-1)*12+4)</f>
        <v>12537.288</v>
      </c>
      <c r="L9" s="37" t="n">
        <f aca="false">INDEX(Monthly!$C$33:$BJ$33,($R$2-1)*12+5)</f>
        <v>13930.32</v>
      </c>
      <c r="M9" s="37" t="n">
        <f aca="false">INDEX(Monthly!$C$33:$BJ$33,($R$2-1)*12+6)</f>
        <v>15323.352</v>
      </c>
      <c r="N9" s="37" t="n">
        <f aca="false">INDEX(Monthly!$C$33:$BJ$33,($R$2-1)*12+7)</f>
        <v>16716.384</v>
      </c>
      <c r="O9" s="37" t="n">
        <f aca="false">INDEX(Monthly!$C$33:$BJ$33,($R$2-1)*12+8)</f>
        <v>16716.384</v>
      </c>
      <c r="P9" s="37" t="n">
        <f aca="false">INDEX(Monthly!$C$33:$BJ$33,($R$2-1)*12+9)</f>
        <v>16716.384</v>
      </c>
      <c r="Q9" s="37" t="n">
        <f aca="false">INDEX(Monthly!$C$33:$BJ$33,($R$2-1)*12+10)</f>
        <v>16716.384</v>
      </c>
      <c r="R9" s="37" t="n">
        <f aca="false">INDEX(Monthly!$C$33:$BJ$33,($R$2-1)*12+11)</f>
        <v>16716.384</v>
      </c>
      <c r="S9" s="37" t="n">
        <f aca="false">INDEX(Monthly!$C$33:$BJ$33,($R$2-1)*12+12)</f>
        <v>12215.712</v>
      </c>
    </row>
    <row r="10" customFormat="false" ht="15" hidden="false" customHeight="false" outlineLevel="0" collapsed="false">
      <c r="A10" s="38" t="s">
        <v>46</v>
      </c>
      <c r="B10" s="39" t="n">
        <f aca="false">'P&amp;L'!B8</f>
        <v>0.59134319595759</v>
      </c>
      <c r="C10" s="39" t="n">
        <f aca="false">'P&amp;L'!C8</f>
        <v>0.590824962350392</v>
      </c>
      <c r="D10" s="39" t="n">
        <f aca="false">'P&amp;L'!D8</f>
        <v>0.590532404325879</v>
      </c>
      <c r="E10" s="39" t="n">
        <f aca="false">'P&amp;L'!E8</f>
        <v>0.590236046124414</v>
      </c>
      <c r="F10" s="39" t="n">
        <f aca="false">'P&amp;L'!F8</f>
        <v>0.589935869092599</v>
      </c>
      <c r="H10" s="39" t="n">
        <f aca="false">IF(H7=0,0,H9/H7)</f>
        <v>0.586391705069124</v>
      </c>
      <c r="I10" s="39" t="n">
        <f aca="false">IF(I7=0,0,I9/I7)</f>
        <v>0.586391705069124</v>
      </c>
      <c r="J10" s="39" t="n">
        <f aca="false">IF(J7=0,0,J9/J7)</f>
        <v>0.592275510204082</v>
      </c>
      <c r="K10" s="39" t="n">
        <f aca="false">IF(K7=0,0,K9/K7)</f>
        <v>0.592275510204082</v>
      </c>
      <c r="L10" s="39" t="n">
        <f aca="false">IF(L7=0,0,L9/L7)</f>
        <v>0.592275510204082</v>
      </c>
      <c r="M10" s="39" t="n">
        <f aca="false">IF(M7=0,0,M9/M7)</f>
        <v>0.592275510204082</v>
      </c>
      <c r="N10" s="39" t="n">
        <f aca="false">IF(N7=0,0,N9/N7)</f>
        <v>0.592275510204082</v>
      </c>
      <c r="O10" s="39" t="n">
        <f aca="false">IF(O7=0,0,O9/O7)</f>
        <v>0.592275510204082</v>
      </c>
      <c r="P10" s="39" t="n">
        <f aca="false">IF(P7=0,0,P9/P7)</f>
        <v>0.592275510204082</v>
      </c>
      <c r="Q10" s="39" t="n">
        <f aca="false">IF(Q7=0,0,Q9/Q7)</f>
        <v>0.592275510204082</v>
      </c>
      <c r="R10" s="39" t="n">
        <f aca="false">IF(R7=0,0,R9/R7)</f>
        <v>0.592275510204082</v>
      </c>
      <c r="S10" s="39" t="n">
        <f aca="false">IF(S7=0,0,S9/S7)</f>
        <v>0.586391705069124</v>
      </c>
    </row>
    <row r="11" customFormat="false" ht="15" hidden="false" customHeight="false" outlineLevel="0" collapsed="false">
      <c r="A11" s="51" t="s">
        <v>77</v>
      </c>
      <c r="B11" s="35" t="n">
        <f aca="false">'P&amp;L'!B18</f>
        <v>-169272.5</v>
      </c>
      <c r="C11" s="35" t="n">
        <f aca="false">'P&amp;L'!C18</f>
        <v>-174374.612</v>
      </c>
      <c r="D11" s="35" t="n">
        <f aca="false">'P&amp;L'!D18</f>
        <v>-179430.044198</v>
      </c>
      <c r="E11" s="35" t="n">
        <f aca="false">'P&amp;L'!E18</f>
        <v>-184643.349159737</v>
      </c>
      <c r="F11" s="35" t="n">
        <f aca="false">'P&amp;L'!F18</f>
        <v>-190019.769166644</v>
      </c>
      <c r="H11" s="35" t="n">
        <f aca="false">INDEX(Monthly!$C$45:$BJ$45,($R$2-1)*12+1)</f>
        <v>-13894.6666666667</v>
      </c>
      <c r="I11" s="35" t="n">
        <f aca="false">INDEX(Monthly!$C$45:$BJ$45,($R$2-1)*12+2)</f>
        <v>-13904.1666666667</v>
      </c>
      <c r="J11" s="35" t="n">
        <f aca="false">INDEX(Monthly!$C$45:$BJ$45,($R$2-1)*12+3)</f>
        <v>-14141.6666666667</v>
      </c>
      <c r="K11" s="35" t="n">
        <f aca="false">INDEX(Monthly!$C$45:$BJ$45,($R$2-1)*12+4)</f>
        <v>-14151.1666666667</v>
      </c>
      <c r="L11" s="35" t="n">
        <f aca="false">INDEX(Monthly!$C$45:$BJ$45,($R$2-1)*12+5)</f>
        <v>-14160.6666666667</v>
      </c>
      <c r="M11" s="35" t="n">
        <f aca="false">INDEX(Monthly!$C$45:$BJ$45,($R$2-1)*12+6)</f>
        <v>-14170.1666666667</v>
      </c>
      <c r="N11" s="35" t="n">
        <f aca="false">INDEX(Monthly!$C$45:$BJ$45,($R$2-1)*12+7)</f>
        <v>-14179.6666666667</v>
      </c>
      <c r="O11" s="35" t="n">
        <f aca="false">INDEX(Monthly!$C$45:$BJ$45,($R$2-1)*12+8)</f>
        <v>-14179.6666666667</v>
      </c>
      <c r="P11" s="35" t="n">
        <f aca="false">INDEX(Monthly!$C$45:$BJ$45,($R$2-1)*12+9)</f>
        <v>-14179.6666666667</v>
      </c>
      <c r="Q11" s="35" t="n">
        <f aca="false">INDEX(Monthly!$C$45:$BJ$45,($R$2-1)*12+10)</f>
        <v>-14179.6666666667</v>
      </c>
      <c r="R11" s="35" t="n">
        <f aca="false">INDEX(Monthly!$C$45:$BJ$45,($R$2-1)*12+11)</f>
        <v>-14179.6666666667</v>
      </c>
      <c r="S11" s="35" t="n">
        <f aca="false">INDEX(Monthly!$C$45:$BJ$45,($R$2-1)*12+12)</f>
        <v>-13951.6666666667</v>
      </c>
    </row>
    <row r="12" customFormat="false" ht="15" hidden="false" customHeight="false" outlineLevel="0" collapsed="false">
      <c r="A12" s="36" t="s">
        <v>48</v>
      </c>
      <c r="B12" s="37" t="n">
        <f aca="false">'P&amp;L'!B19</f>
        <v>-7305.96400000003</v>
      </c>
      <c r="C12" s="37" t="n">
        <f aca="false">'P&amp;L'!C19</f>
        <v>24630.4908928</v>
      </c>
      <c r="D12" s="37" t="n">
        <f aca="false">'P&amp;L'!D19</f>
        <v>32253.0103955315</v>
      </c>
      <c r="E12" s="37" t="n">
        <f aca="false">'P&amp;L'!E19</f>
        <v>40535.2654792672</v>
      </c>
      <c r="F12" s="37" t="n">
        <f aca="false">'P&amp;L'!F19</f>
        <v>49525.5161792919</v>
      </c>
      <c r="H12" s="37" t="n">
        <f aca="false">INDEX(Monthly!$C$46:$BJ$46,($R$2-1)*12+1)</f>
        <v>-7786.81066666667</v>
      </c>
      <c r="I12" s="37" t="n">
        <f aca="false">INDEX(Monthly!$C$46:$BJ$46,($R$2-1)*12+2)</f>
        <v>-6778.33466666667</v>
      </c>
      <c r="J12" s="37" t="n">
        <f aca="false">INDEX(Monthly!$C$46:$BJ$46,($R$2-1)*12+3)</f>
        <v>-2997.41066666667</v>
      </c>
      <c r="K12" s="37" t="n">
        <f aca="false">INDEX(Monthly!$C$46:$BJ$46,($R$2-1)*12+4)</f>
        <v>-1613.87866666667</v>
      </c>
      <c r="L12" s="37" t="n">
        <f aca="false">INDEX(Monthly!$C$46:$BJ$46,($R$2-1)*12+5)</f>
        <v>-230.34666666667</v>
      </c>
      <c r="M12" s="37" t="n">
        <f aca="false">INDEX(Monthly!$C$46:$BJ$46,($R$2-1)*12+6)</f>
        <v>1153.18533333333</v>
      </c>
      <c r="N12" s="37" t="n">
        <f aca="false">INDEX(Monthly!$C$46:$BJ$46,($R$2-1)*12+7)</f>
        <v>2536.71733333333</v>
      </c>
      <c r="O12" s="37" t="n">
        <f aca="false">INDEX(Monthly!$C$46:$BJ$46,($R$2-1)*12+8)</f>
        <v>2536.71733333333</v>
      </c>
      <c r="P12" s="37" t="n">
        <f aca="false">INDEX(Monthly!$C$46:$BJ$46,($R$2-1)*12+9)</f>
        <v>2536.71733333333</v>
      </c>
      <c r="Q12" s="37" t="n">
        <f aca="false">INDEX(Monthly!$C$46:$BJ$46,($R$2-1)*12+10)</f>
        <v>2536.71733333333</v>
      </c>
      <c r="R12" s="37" t="n">
        <f aca="false">INDEX(Monthly!$C$46:$BJ$46,($R$2-1)*12+11)</f>
        <v>2536.71733333333</v>
      </c>
      <c r="S12" s="37" t="n">
        <f aca="false">INDEX(Monthly!$C$46:$BJ$46,($R$2-1)*12+12)</f>
        <v>-1735.95466666667</v>
      </c>
    </row>
    <row r="13" customFormat="false" ht="15" hidden="false" customHeight="false" outlineLevel="0" collapsed="false">
      <c r="A13" s="38" t="s">
        <v>49</v>
      </c>
      <c r="B13" s="39" t="n">
        <f aca="false">'P&amp;L'!B20</f>
        <v>-0.0266742267137893</v>
      </c>
      <c r="C13" s="39" t="n">
        <f aca="false">'P&amp;L'!C20</f>
        <v>0.0731253050443096</v>
      </c>
      <c r="D13" s="39" t="n">
        <f aca="false">'P&amp;L'!D20</f>
        <v>0.0899762515813714</v>
      </c>
      <c r="E13" s="39" t="n">
        <f aca="false">'P&amp;L'!E20</f>
        <v>0.106250652902551</v>
      </c>
      <c r="F13" s="39" t="n">
        <f aca="false">'P&amp;L'!F20</f>
        <v>0.121968079594207</v>
      </c>
      <c r="H13" s="39" t="n">
        <f aca="false">IF(H7=0,0,H12/H7)</f>
        <v>-0.747581669226831</v>
      </c>
      <c r="I13" s="39" t="n">
        <f aca="false">IF(I7=0,0,I12/I7)</f>
        <v>-0.557795808646039</v>
      </c>
      <c r="J13" s="39" t="n">
        <f aca="false">IF(J7=0,0,J12/J7)</f>
        <v>-0.159301162131519</v>
      </c>
      <c r="K13" s="39" t="n">
        <f aca="false">IF(K7=0,0,K12/K7)</f>
        <v>-0.0762414336104813</v>
      </c>
      <c r="L13" s="39" t="n">
        <f aca="false">IF(L7=0,0,L12/L7)</f>
        <v>-0.00979365079365094</v>
      </c>
      <c r="M13" s="39" t="n">
        <f aca="false">IF(M7=0,0,M12/M7)</f>
        <v>0.044572716965574</v>
      </c>
      <c r="N13" s="39" t="n">
        <f aca="false">IF(N7=0,0,N12/N7)</f>
        <v>0.0898780234315948</v>
      </c>
      <c r="O13" s="39" t="n">
        <f aca="false">IF(O7=0,0,O12/O7)</f>
        <v>0.0898780234315948</v>
      </c>
      <c r="P13" s="39" t="n">
        <f aca="false">IF(P7=0,0,P12/P7)</f>
        <v>0.0898780234315948</v>
      </c>
      <c r="Q13" s="39" t="n">
        <f aca="false">IF(Q7=0,0,Q12/Q7)</f>
        <v>0.0898780234315948</v>
      </c>
      <c r="R13" s="39" t="n">
        <f aca="false">IF(R7=0,0,R12/R7)</f>
        <v>0.0898780234315948</v>
      </c>
      <c r="S13" s="39" t="n">
        <f aca="false">IF(S7=0,0,S12/S7)</f>
        <v>-0.0833311571940605</v>
      </c>
    </row>
    <row r="14" customFormat="false" ht="15" hidden="false" customHeight="false" outlineLevel="0" collapsed="false">
      <c r="A14" s="51" t="s">
        <v>78</v>
      </c>
      <c r="B14" s="35" t="n">
        <f aca="false">'P&amp;L'!B21</f>
        <v>-19714.2857142857</v>
      </c>
      <c r="C14" s="35" t="n">
        <f aca="false">'P&amp;L'!C21</f>
        <v>-20071.4285714286</v>
      </c>
      <c r="D14" s="35" t="n">
        <f aca="false">'P&amp;L'!D21</f>
        <v>-20428.5714285714</v>
      </c>
      <c r="E14" s="35" t="n">
        <f aca="false">'P&amp;L'!E21</f>
        <v>-20785.7142857143</v>
      </c>
      <c r="F14" s="35" t="n">
        <f aca="false">'P&amp;L'!F21</f>
        <v>-21142.8571428571</v>
      </c>
      <c r="H14" s="35" t="n">
        <f aca="false">INDEX(Monthly!$C$64:$BJ$64,($R$2-1)*12+1)</f>
        <v>-1642.85714285714</v>
      </c>
      <c r="I14" s="35" t="n">
        <f aca="false">INDEX(Monthly!$C$64:$BJ$64,($R$2-1)*12+2)</f>
        <v>-1642.85714285714</v>
      </c>
      <c r="J14" s="35" t="n">
        <f aca="false">INDEX(Monthly!$C$64:$BJ$64,($R$2-1)*12+3)</f>
        <v>-1642.85714285714</v>
      </c>
      <c r="K14" s="35" t="n">
        <f aca="false">INDEX(Monthly!$C$64:$BJ$64,($R$2-1)*12+4)</f>
        <v>-1642.85714285714</v>
      </c>
      <c r="L14" s="35" t="n">
        <f aca="false">INDEX(Monthly!$C$64:$BJ$64,($R$2-1)*12+5)</f>
        <v>-1642.85714285714</v>
      </c>
      <c r="M14" s="35" t="n">
        <f aca="false">INDEX(Monthly!$C$64:$BJ$64,($R$2-1)*12+6)</f>
        <v>-1642.85714285714</v>
      </c>
      <c r="N14" s="35" t="n">
        <f aca="false">INDEX(Monthly!$C$64:$BJ$64,($R$2-1)*12+7)</f>
        <v>-1642.85714285714</v>
      </c>
      <c r="O14" s="35" t="n">
        <f aca="false">INDEX(Monthly!$C$64:$BJ$64,($R$2-1)*12+8)</f>
        <v>-1642.85714285714</v>
      </c>
      <c r="P14" s="35" t="n">
        <f aca="false">INDEX(Monthly!$C$64:$BJ$64,($R$2-1)*12+9)</f>
        <v>-1642.85714285714</v>
      </c>
      <c r="Q14" s="35" t="n">
        <f aca="false">INDEX(Monthly!$C$64:$BJ$64,($R$2-1)*12+10)</f>
        <v>-1642.85714285714</v>
      </c>
      <c r="R14" s="35" t="n">
        <f aca="false">INDEX(Monthly!$C$64:$BJ$64,($R$2-1)*12+11)</f>
        <v>-1642.85714285714</v>
      </c>
      <c r="S14" s="35" t="n">
        <f aca="false">INDEX(Monthly!$C$64:$BJ$64,($R$2-1)*12+12)</f>
        <v>-1642.85714285714</v>
      </c>
    </row>
    <row r="15" customFormat="false" ht="15" hidden="false" customHeight="false" outlineLevel="0" collapsed="false">
      <c r="A15" s="36" t="s">
        <v>79</v>
      </c>
      <c r="B15" s="37" t="n">
        <f aca="false">'P&amp;L'!B22</f>
        <v>-27020.2497142857</v>
      </c>
      <c r="C15" s="37" t="n">
        <f aca="false">'P&amp;L'!C22</f>
        <v>4559.0623213714</v>
      </c>
      <c r="D15" s="37" t="n">
        <f aca="false">'P&amp;L'!D22</f>
        <v>11824.4389669601</v>
      </c>
      <c r="E15" s="37" t="n">
        <f aca="false">'P&amp;L'!E22</f>
        <v>19749.5511935529</v>
      </c>
      <c r="F15" s="37" t="n">
        <f aca="false">'P&amp;L'!F22</f>
        <v>28382.6590364348</v>
      </c>
      <c r="H15" s="37" t="n">
        <f aca="false">INDEX(Monthly!$C$49:$BJ$49,($R$2-1)*12+1)</f>
        <v>-9429.66780952381</v>
      </c>
      <c r="I15" s="37" t="n">
        <f aca="false">INDEX(Monthly!$C$49:$BJ$49,($R$2-1)*12+2)</f>
        <v>-8421.19180952381</v>
      </c>
      <c r="J15" s="37" t="n">
        <f aca="false">INDEX(Monthly!$C$49:$BJ$49,($R$2-1)*12+3)</f>
        <v>-4640.26780952381</v>
      </c>
      <c r="K15" s="37" t="n">
        <f aca="false">INDEX(Monthly!$C$49:$BJ$49,($R$2-1)*12+4)</f>
        <v>-3256.73580952381</v>
      </c>
      <c r="L15" s="37" t="n">
        <f aca="false">INDEX(Monthly!$C$49:$BJ$49,($R$2-1)*12+5)</f>
        <v>-1873.20380952381</v>
      </c>
      <c r="M15" s="37" t="n">
        <f aca="false">INDEX(Monthly!$C$49:$BJ$49,($R$2-1)*12+6)</f>
        <v>-489.671809523814</v>
      </c>
      <c r="N15" s="37" t="n">
        <f aca="false">INDEX(Monthly!$C$49:$BJ$49,($R$2-1)*12+7)</f>
        <v>893.860190476187</v>
      </c>
      <c r="O15" s="37" t="n">
        <f aca="false">INDEX(Monthly!$C$49:$BJ$49,($R$2-1)*12+8)</f>
        <v>893.860190476187</v>
      </c>
      <c r="P15" s="37" t="n">
        <f aca="false">INDEX(Monthly!$C$49:$BJ$49,($R$2-1)*12+9)</f>
        <v>893.860190476187</v>
      </c>
      <c r="Q15" s="37" t="n">
        <f aca="false">INDEX(Monthly!$C$49:$BJ$49,($R$2-1)*12+10)</f>
        <v>893.860190476187</v>
      </c>
      <c r="R15" s="37" t="n">
        <f aca="false">INDEX(Monthly!$C$49:$BJ$49,($R$2-1)*12+11)</f>
        <v>893.860190476187</v>
      </c>
      <c r="S15" s="37" t="n">
        <f aca="false">INDEX(Monthly!$C$49:$BJ$49,($R$2-1)*12+12)</f>
        <v>-3378.81180952381</v>
      </c>
    </row>
    <row r="16" customFormat="false" ht="15" hidden="false" customHeight="false" outlineLevel="0" collapsed="false">
      <c r="A16" s="51" t="s">
        <v>80</v>
      </c>
      <c r="B16" s="35" t="n">
        <f aca="false">'P&amp;L'!B23</f>
        <v>-7419.375</v>
      </c>
      <c r="C16" s="35" t="n">
        <f aca="false">'P&amp;L'!C23</f>
        <v>-5805</v>
      </c>
      <c r="D16" s="35" t="n">
        <f aca="false">'P&amp;L'!D23</f>
        <v>-4185</v>
      </c>
      <c r="E16" s="35" t="n">
        <f aca="false">'P&amp;L'!E23</f>
        <v>-2565</v>
      </c>
      <c r="F16" s="35" t="n">
        <f aca="false">'P&amp;L'!F23</f>
        <v>-945</v>
      </c>
      <c r="H16" s="35" t="n">
        <f aca="false">INDEX(Monthly!$C$50:$BJ$50,($R$2-1)*12+1)</f>
        <v>-675</v>
      </c>
      <c r="I16" s="35" t="n">
        <f aca="false">INDEX(Monthly!$C$50:$BJ$50,($R$2-1)*12+2)</f>
        <v>-669.375</v>
      </c>
      <c r="J16" s="35" t="n">
        <f aca="false">INDEX(Monthly!$C$50:$BJ$50,($R$2-1)*12+3)</f>
        <v>-658.125</v>
      </c>
      <c r="K16" s="35" t="n">
        <f aca="false">INDEX(Monthly!$C$50:$BJ$50,($R$2-1)*12+4)</f>
        <v>-646.875</v>
      </c>
      <c r="L16" s="35" t="n">
        <f aca="false">INDEX(Monthly!$C$50:$BJ$50,($R$2-1)*12+5)</f>
        <v>-635.625</v>
      </c>
      <c r="M16" s="35" t="n">
        <f aca="false">INDEX(Monthly!$C$50:$BJ$50,($R$2-1)*12+6)</f>
        <v>-624.375</v>
      </c>
      <c r="N16" s="35" t="n">
        <f aca="false">INDEX(Monthly!$C$50:$BJ$50,($R$2-1)*12+7)</f>
        <v>-613.125</v>
      </c>
      <c r="O16" s="35" t="n">
        <f aca="false">INDEX(Monthly!$C$50:$BJ$50,($R$2-1)*12+8)</f>
        <v>-601.875</v>
      </c>
      <c r="P16" s="35" t="n">
        <f aca="false">INDEX(Monthly!$C$50:$BJ$50,($R$2-1)*12+9)</f>
        <v>-590.625</v>
      </c>
      <c r="Q16" s="35" t="n">
        <f aca="false">INDEX(Monthly!$C$50:$BJ$50,($R$2-1)*12+10)</f>
        <v>-579.375</v>
      </c>
      <c r="R16" s="35" t="n">
        <f aca="false">INDEX(Monthly!$C$50:$BJ$50,($R$2-1)*12+11)</f>
        <v>-568.125</v>
      </c>
      <c r="S16" s="35" t="n">
        <f aca="false">INDEX(Monthly!$C$50:$BJ$50,($R$2-1)*12+12)</f>
        <v>-556.875</v>
      </c>
    </row>
    <row r="17" customFormat="false" ht="15" hidden="false" customHeight="false" outlineLevel="0" collapsed="false">
      <c r="A17" s="51" t="s">
        <v>81</v>
      </c>
      <c r="B17" s="35" t="n">
        <f aca="false">'P&amp;L'!B24</f>
        <v>-34439.6247142858</v>
      </c>
      <c r="C17" s="35" t="n">
        <f aca="false">'P&amp;L'!C24</f>
        <v>-1245.9376786286</v>
      </c>
      <c r="D17" s="35" t="n">
        <f aca="false">'P&amp;L'!D24</f>
        <v>7639.43896696008</v>
      </c>
      <c r="E17" s="35" t="n">
        <f aca="false">'P&amp;L'!E24</f>
        <v>17184.5511935529</v>
      </c>
      <c r="F17" s="35" t="n">
        <f aca="false">'P&amp;L'!F24</f>
        <v>27437.6590364348</v>
      </c>
      <c r="H17" s="35" t="n">
        <f aca="false">INDEX(Monthly!$C$51:$BJ$51,($R$2-1)*12+1)</f>
        <v>-10104.6678095238</v>
      </c>
      <c r="I17" s="35" t="n">
        <f aca="false">INDEX(Monthly!$C$51:$BJ$51,($R$2-1)*12+2)</f>
        <v>-9090.56680952381</v>
      </c>
      <c r="J17" s="35" t="n">
        <f aca="false">INDEX(Monthly!$C$51:$BJ$51,($R$2-1)*12+3)</f>
        <v>-5298.39280952381</v>
      </c>
      <c r="K17" s="35" t="n">
        <f aca="false">INDEX(Monthly!$C$51:$BJ$51,($R$2-1)*12+4)</f>
        <v>-3903.61080952381</v>
      </c>
      <c r="L17" s="35" t="n">
        <f aca="false">INDEX(Monthly!$C$51:$BJ$51,($R$2-1)*12+5)</f>
        <v>-2508.82880952381</v>
      </c>
      <c r="M17" s="35" t="n">
        <f aca="false">INDEX(Monthly!$C$51:$BJ$51,($R$2-1)*12+6)</f>
        <v>-1114.04680952381</v>
      </c>
      <c r="N17" s="35" t="n">
        <f aca="false">INDEX(Monthly!$C$51:$BJ$51,($R$2-1)*12+7)</f>
        <v>280.735190476187</v>
      </c>
      <c r="O17" s="35" t="n">
        <f aca="false">INDEX(Monthly!$C$51:$BJ$51,($R$2-1)*12+8)</f>
        <v>291.985190476187</v>
      </c>
      <c r="P17" s="35" t="n">
        <f aca="false">INDEX(Monthly!$C$51:$BJ$51,($R$2-1)*12+9)</f>
        <v>303.235190476187</v>
      </c>
      <c r="Q17" s="35" t="n">
        <f aca="false">INDEX(Monthly!$C$51:$BJ$51,($R$2-1)*12+10)</f>
        <v>314.485190476187</v>
      </c>
      <c r="R17" s="35" t="n">
        <f aca="false">INDEX(Monthly!$C$51:$BJ$51,($R$2-1)*12+11)</f>
        <v>325.735190476187</v>
      </c>
      <c r="S17" s="35" t="n">
        <f aca="false">INDEX(Monthly!$C$51:$BJ$51,($R$2-1)*12+12)</f>
        <v>-3935.68680952381</v>
      </c>
    </row>
    <row r="18" customFormat="false" ht="15" hidden="false" customHeight="false" outlineLevel="0" collapsed="false">
      <c r="A18" s="51" t="s">
        <v>82</v>
      </c>
      <c r="B18" s="35" t="n">
        <f aca="false">'P&amp;L'!B25</f>
        <v>0</v>
      </c>
      <c r="C18" s="35" t="n">
        <f aca="false">'P&amp;L'!C25</f>
        <v>0</v>
      </c>
      <c r="D18" s="35" t="n">
        <f aca="false">'P&amp;L'!D25</f>
        <v>0</v>
      </c>
      <c r="E18" s="35" t="n">
        <f aca="false">'P&amp;L'!E25</f>
        <v>0</v>
      </c>
      <c r="F18" s="35" t="n">
        <f aca="false">'P&amp;L'!F25</f>
        <v>-3845.36579447121</v>
      </c>
      <c r="H18" s="35" t="n">
        <f aca="false">INDEX(Monthly!$C$54:$BJ$54,($R$2-1)*12+1)</f>
        <v>-0</v>
      </c>
      <c r="I18" s="35" t="n">
        <f aca="false">INDEX(Monthly!$C$54:$BJ$54,($R$2-1)*12+2)</f>
        <v>-0</v>
      </c>
      <c r="J18" s="35" t="n">
        <f aca="false">INDEX(Monthly!$C$54:$BJ$54,($R$2-1)*12+3)</f>
        <v>-0</v>
      </c>
      <c r="K18" s="35" t="n">
        <f aca="false">INDEX(Monthly!$C$54:$BJ$54,($R$2-1)*12+4)</f>
        <v>-0</v>
      </c>
      <c r="L18" s="35" t="n">
        <f aca="false">INDEX(Monthly!$C$54:$BJ$54,($R$2-1)*12+5)</f>
        <v>-0</v>
      </c>
      <c r="M18" s="35" t="n">
        <f aca="false">INDEX(Monthly!$C$54:$BJ$54,($R$2-1)*12+6)</f>
        <v>-0</v>
      </c>
      <c r="N18" s="35" t="n">
        <f aca="false">INDEX(Monthly!$C$54:$BJ$54,($R$2-1)*12+7)</f>
        <v>-0</v>
      </c>
      <c r="O18" s="35" t="n">
        <f aca="false">INDEX(Monthly!$C$54:$BJ$54,($R$2-1)*12+8)</f>
        <v>-0</v>
      </c>
      <c r="P18" s="35" t="n">
        <f aca="false">INDEX(Monthly!$C$54:$BJ$54,($R$2-1)*12+9)</f>
        <v>-0</v>
      </c>
      <c r="Q18" s="35" t="n">
        <f aca="false">INDEX(Monthly!$C$54:$BJ$54,($R$2-1)*12+10)</f>
        <v>-0</v>
      </c>
      <c r="R18" s="35" t="n">
        <f aca="false">INDEX(Monthly!$C$54:$BJ$54,($R$2-1)*12+11)</f>
        <v>-0</v>
      </c>
      <c r="S18" s="35" t="n">
        <f aca="false">INDEX(Monthly!$C$54:$BJ$54,($R$2-1)*12+12)</f>
        <v>-0</v>
      </c>
    </row>
    <row r="19" customFormat="false" ht="15" hidden="false" customHeight="false" outlineLevel="0" collapsed="false">
      <c r="A19" s="40" t="s">
        <v>50</v>
      </c>
      <c r="B19" s="41" t="n">
        <f aca="false">'P&amp;L'!B26</f>
        <v>-34439.6247142858</v>
      </c>
      <c r="C19" s="41" t="n">
        <f aca="false">'P&amp;L'!C26</f>
        <v>-1245.9376786286</v>
      </c>
      <c r="D19" s="41" t="n">
        <f aca="false">'P&amp;L'!D26</f>
        <v>7639.43896696008</v>
      </c>
      <c r="E19" s="41" t="n">
        <f aca="false">'P&amp;L'!E26</f>
        <v>17184.5511935529</v>
      </c>
      <c r="F19" s="41" t="n">
        <f aca="false">'P&amp;L'!F26</f>
        <v>23592.2932419636</v>
      </c>
      <c r="H19" s="41" t="n">
        <f aca="false">INDEX(Monthly!$C$55:$BJ$55,($R$2-1)*12+1)</f>
        <v>-10104.6678095238</v>
      </c>
      <c r="I19" s="41" t="n">
        <f aca="false">INDEX(Monthly!$C$55:$BJ$55,($R$2-1)*12+2)</f>
        <v>-9090.56680952381</v>
      </c>
      <c r="J19" s="41" t="n">
        <f aca="false">INDEX(Monthly!$C$55:$BJ$55,($R$2-1)*12+3)</f>
        <v>-5298.39280952381</v>
      </c>
      <c r="K19" s="41" t="n">
        <f aca="false">INDEX(Monthly!$C$55:$BJ$55,($R$2-1)*12+4)</f>
        <v>-3903.61080952381</v>
      </c>
      <c r="L19" s="41" t="n">
        <f aca="false">INDEX(Monthly!$C$55:$BJ$55,($R$2-1)*12+5)</f>
        <v>-2508.82880952381</v>
      </c>
      <c r="M19" s="41" t="n">
        <f aca="false">INDEX(Monthly!$C$55:$BJ$55,($R$2-1)*12+6)</f>
        <v>-1114.04680952381</v>
      </c>
      <c r="N19" s="41" t="n">
        <f aca="false">INDEX(Monthly!$C$55:$BJ$55,($R$2-1)*12+7)</f>
        <v>280.735190476187</v>
      </c>
      <c r="O19" s="41" t="n">
        <f aca="false">INDEX(Monthly!$C$55:$BJ$55,($R$2-1)*12+8)</f>
        <v>291.985190476187</v>
      </c>
      <c r="P19" s="41" t="n">
        <f aca="false">INDEX(Monthly!$C$55:$BJ$55,($R$2-1)*12+9)</f>
        <v>303.235190476187</v>
      </c>
      <c r="Q19" s="41" t="n">
        <f aca="false">INDEX(Monthly!$C$55:$BJ$55,($R$2-1)*12+10)</f>
        <v>314.485190476187</v>
      </c>
      <c r="R19" s="41" t="n">
        <f aca="false">INDEX(Monthly!$C$55:$BJ$55,($R$2-1)*12+11)</f>
        <v>325.735190476187</v>
      </c>
      <c r="S19" s="41" t="n">
        <f aca="false">INDEX(Monthly!$C$55:$BJ$55,($R$2-1)*12+12)</f>
        <v>-3935.68680952381</v>
      </c>
    </row>
    <row r="20" customFormat="false" ht="15" hidden="false" customHeight="false" outlineLevel="0" collapsed="false">
      <c r="A20" s="38" t="s">
        <v>51</v>
      </c>
      <c r="B20" s="39" t="n">
        <f aca="false">'P&amp;L'!B27</f>
        <v>-0.125739787051603</v>
      </c>
      <c r="C20" s="39" t="n">
        <f aca="false">'P&amp;L'!C27</f>
        <v>-0.00369905631245655</v>
      </c>
      <c r="D20" s="39" t="n">
        <f aca="false">'P&amp;L'!D27</f>
        <v>0.02131174963212</v>
      </c>
      <c r="E20" s="39" t="n">
        <f aca="false">'P&amp;L'!E27</f>
        <v>0.0450439823833447</v>
      </c>
      <c r="F20" s="39" t="n">
        <f aca="false">'P&amp;L'!F27</f>
        <v>0.0581014984180793</v>
      </c>
      <c r="H20" s="39" t="n">
        <f aca="false">IF(H7=0,0,H19/H7)</f>
        <v>-0.970110196766879</v>
      </c>
      <c r="I20" s="39" t="n">
        <f aca="false">IF(I7=0,0,I19/I7)</f>
        <v>-0.748071659769898</v>
      </c>
      <c r="J20" s="39" t="n">
        <f aca="false">IF(J7=0,0,J19/J7)</f>
        <v>-0.281589753907516</v>
      </c>
      <c r="K20" s="39" t="n">
        <f aca="false">IF(K7=0,0,K19/K7)</f>
        <v>-0.184410941492999</v>
      </c>
      <c r="L20" s="39" t="n">
        <f aca="false">IF(L7=0,0,L19/L7)</f>
        <v>-0.106667891561387</v>
      </c>
      <c r="M20" s="39" t="n">
        <f aca="false">IF(M7=0,0,M19/M7)</f>
        <v>-0.0430599416173397</v>
      </c>
      <c r="N20" s="39" t="n">
        <f aca="false">IF(N7=0,0,N19/N7)</f>
        <v>0.00994668333603272</v>
      </c>
      <c r="O20" s="39" t="n">
        <f aca="false">IF(O7=0,0,O19/O7)</f>
        <v>0.0103452802748082</v>
      </c>
      <c r="P20" s="39" t="n">
        <f aca="false">IF(P7=0,0,P19/P7)</f>
        <v>0.0107438772135837</v>
      </c>
      <c r="Q20" s="39" t="n">
        <f aca="false">IF(Q7=0,0,Q19/Q7)</f>
        <v>0.0111424741523592</v>
      </c>
      <c r="R20" s="39" t="n">
        <f aca="false">IF(R7=0,0,R19/R7)</f>
        <v>0.0115410710911348</v>
      </c>
      <c r="S20" s="39" t="n">
        <f aca="false">IF(S7=0,0,S19/S7)</f>
        <v>-0.188925058060859</v>
      </c>
    </row>
    <row r="22" customFormat="false" ht="15.75" hidden="false" customHeight="true" outlineLevel="0" collapsed="false">
      <c r="A22" s="7" t="s">
        <v>83</v>
      </c>
      <c r="B22" s="7"/>
      <c r="C22" s="7"/>
      <c r="D22" s="7"/>
      <c r="E22" s="7"/>
      <c r="F22" s="7"/>
      <c r="H22" s="7" t="str">
        <f aca="false">"Cash flow ($'000) — Year "&amp;$R$2&amp;", by month"</f>
        <v>Cash flow ($'000) — Year 1, by month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customFormat="false" ht="15" hidden="false" customHeight="false" outlineLevel="0" collapsed="false">
      <c r="A23" s="33"/>
      <c r="B23" s="34" t="n">
        <v>1</v>
      </c>
      <c r="C23" s="34" t="n">
        <v>2</v>
      </c>
      <c r="D23" s="34" t="n">
        <v>3</v>
      </c>
      <c r="E23" s="34" t="n">
        <v>4</v>
      </c>
      <c r="F23" s="34" t="n">
        <v>5</v>
      </c>
      <c r="H23" s="50" t="n">
        <f aca="false">INDEX(Monthly!$C$4:$BJ$4,($R$2-1)*12+1)</f>
        <v>1</v>
      </c>
      <c r="I23" s="50" t="n">
        <f aca="false">INDEX(Monthly!$C$4:$BJ$4,($R$2-1)*12+2)</f>
        <v>2</v>
      </c>
      <c r="J23" s="50" t="n">
        <f aca="false">INDEX(Monthly!$C$4:$BJ$4,($R$2-1)*12+3)</f>
        <v>3</v>
      </c>
      <c r="K23" s="50" t="n">
        <f aca="false">INDEX(Monthly!$C$4:$BJ$4,($R$2-1)*12+4)</f>
        <v>4</v>
      </c>
      <c r="L23" s="50" t="n">
        <f aca="false">INDEX(Monthly!$C$4:$BJ$4,($R$2-1)*12+5)</f>
        <v>5</v>
      </c>
      <c r="M23" s="50" t="n">
        <f aca="false">INDEX(Monthly!$C$4:$BJ$4,($R$2-1)*12+6)</f>
        <v>6</v>
      </c>
      <c r="N23" s="50" t="n">
        <f aca="false">INDEX(Monthly!$C$4:$BJ$4,($R$2-1)*12+7)</f>
        <v>7</v>
      </c>
      <c r="O23" s="50" t="n">
        <f aca="false">INDEX(Monthly!$C$4:$BJ$4,($R$2-1)*12+8)</f>
        <v>8</v>
      </c>
      <c r="P23" s="50" t="n">
        <f aca="false">INDEX(Monthly!$C$4:$BJ$4,($R$2-1)*12+9)</f>
        <v>9</v>
      </c>
      <c r="Q23" s="50" t="n">
        <f aca="false">INDEX(Monthly!$C$4:$BJ$4,($R$2-1)*12+10)</f>
        <v>10</v>
      </c>
      <c r="R23" s="50" t="n">
        <f aca="false">INDEX(Monthly!$C$4:$BJ$4,($R$2-1)*12+11)</f>
        <v>11</v>
      </c>
      <c r="S23" s="50" t="n">
        <f aca="false">INDEX(Monthly!$C$4:$BJ$4,($R$2-1)*12+12)</f>
        <v>12</v>
      </c>
    </row>
    <row r="24" customFormat="false" ht="15" hidden="false" customHeight="false" outlineLevel="0" collapsed="false">
      <c r="A24" s="36" t="s">
        <v>52</v>
      </c>
      <c r="B24" s="37" t="n">
        <f aca="false">'Cash Flow'!B10</f>
        <v>-15659.7006</v>
      </c>
      <c r="C24" s="37" t="n">
        <f aca="false">'Cash Flow'!C10</f>
        <v>18765.73393536</v>
      </c>
      <c r="D24" s="37" t="n">
        <f aca="false">'Cash Flow'!D10</f>
        <v>28004.3816109994</v>
      </c>
      <c r="E24" s="37" t="n">
        <f aca="false">'Cash Flow'!E10</f>
        <v>37902.5101141598</v>
      </c>
      <c r="F24" s="37" t="n">
        <f aca="false">'Cash Flow'!F10</f>
        <v>44662.9966259918</v>
      </c>
      <c r="H24" s="37" t="n">
        <f aca="false">INDEX(Monthly!$C$83:$BJ$83,($R$2-1)*12+1)</f>
        <v>-8928.99146666667</v>
      </c>
      <c r="I24" s="37" t="n">
        <f aca="false">INDEX(Monthly!$C$83:$BJ$83,($R$2-1)*12+2)</f>
        <v>-7525.57313333333</v>
      </c>
      <c r="J24" s="37" t="n">
        <f aca="false">INDEX(Monthly!$C$83:$BJ$83,($R$2-1)*12+3)</f>
        <v>-3969.1922</v>
      </c>
      <c r="K24" s="37" t="n">
        <f aca="false">INDEX(Monthly!$C$83:$BJ$83,($R$2-1)*12+4)</f>
        <v>-2368.09126666667</v>
      </c>
      <c r="L24" s="37" t="n">
        <f aca="false">INDEX(Monthly!$C$83:$BJ$83,($R$2-1)*12+5)</f>
        <v>-973.30926666667</v>
      </c>
      <c r="M24" s="37" t="n">
        <f aca="false">INDEX(Monthly!$C$83:$BJ$83,($R$2-1)*12+6)</f>
        <v>421.472733333329</v>
      </c>
      <c r="N24" s="37" t="n">
        <f aca="false">INDEX(Monthly!$C$83:$BJ$83,($R$2-1)*12+7)</f>
        <v>1816.25473333333</v>
      </c>
      <c r="O24" s="37" t="n">
        <f aca="false">INDEX(Monthly!$C$83:$BJ$83,($R$2-1)*12+8)</f>
        <v>1934.84233333333</v>
      </c>
      <c r="P24" s="37" t="n">
        <f aca="false">INDEX(Monthly!$C$83:$BJ$83,($R$2-1)*12+9)</f>
        <v>1946.09233333333</v>
      </c>
      <c r="Q24" s="37" t="n">
        <f aca="false">INDEX(Monthly!$C$83:$BJ$83,($R$2-1)*12+10)</f>
        <v>1957.34233333333</v>
      </c>
      <c r="R24" s="37" t="n">
        <f aca="false">INDEX(Monthly!$C$83:$BJ$83,($R$2-1)*12+11)</f>
        <v>1968.59233333333</v>
      </c>
      <c r="S24" s="37" t="n">
        <f aca="false">INDEX(Monthly!$C$83:$BJ$83,($R$2-1)*12+12)</f>
        <v>-1939.14006666667</v>
      </c>
    </row>
    <row r="25" customFormat="false" ht="15" hidden="false" customHeight="false" outlineLevel="0" collapsed="false">
      <c r="A25" s="51" t="s">
        <v>84</v>
      </c>
      <c r="B25" s="35" t="n">
        <f aca="false">'Cash Flow'!B11</f>
        <v>-138000</v>
      </c>
      <c r="C25" s="35" t="n">
        <f aca="false">'Cash Flow'!C11</f>
        <v>-2500</v>
      </c>
      <c r="D25" s="35" t="n">
        <f aca="false">'Cash Flow'!D11</f>
        <v>-2500</v>
      </c>
      <c r="E25" s="35" t="n">
        <f aca="false">'Cash Flow'!E11</f>
        <v>-2500</v>
      </c>
      <c r="F25" s="35" t="n">
        <f aca="false">'Cash Flow'!F11</f>
        <v>-2500</v>
      </c>
      <c r="H25" s="35" t="n">
        <f aca="false">INDEX(Monthly!$C$84:$BJ$84,($R$2-1)*12+1)</f>
        <v>-138000</v>
      </c>
      <c r="I25" s="35" t="n">
        <f aca="false">INDEX(Monthly!$C$84:$BJ$84,($R$2-1)*12+2)</f>
        <v>-0</v>
      </c>
      <c r="J25" s="35" t="n">
        <f aca="false">INDEX(Monthly!$C$84:$BJ$84,($R$2-1)*12+3)</f>
        <v>-0</v>
      </c>
      <c r="K25" s="35" t="n">
        <f aca="false">INDEX(Monthly!$C$84:$BJ$84,($R$2-1)*12+4)</f>
        <v>-0</v>
      </c>
      <c r="L25" s="35" t="n">
        <f aca="false">INDEX(Monthly!$C$84:$BJ$84,($R$2-1)*12+5)</f>
        <v>-0</v>
      </c>
      <c r="M25" s="35" t="n">
        <f aca="false">INDEX(Monthly!$C$84:$BJ$84,($R$2-1)*12+6)</f>
        <v>-0</v>
      </c>
      <c r="N25" s="35" t="n">
        <f aca="false">INDEX(Monthly!$C$84:$BJ$84,($R$2-1)*12+7)</f>
        <v>-0</v>
      </c>
      <c r="O25" s="35" t="n">
        <f aca="false">INDEX(Monthly!$C$84:$BJ$84,($R$2-1)*12+8)</f>
        <v>-0</v>
      </c>
      <c r="P25" s="35" t="n">
        <f aca="false">INDEX(Monthly!$C$84:$BJ$84,($R$2-1)*12+9)</f>
        <v>-0</v>
      </c>
      <c r="Q25" s="35" t="n">
        <f aca="false">INDEX(Monthly!$C$84:$BJ$84,($R$2-1)*12+10)</f>
        <v>-0</v>
      </c>
      <c r="R25" s="35" t="n">
        <f aca="false">INDEX(Monthly!$C$84:$BJ$84,($R$2-1)*12+11)</f>
        <v>-0</v>
      </c>
      <c r="S25" s="35" t="n">
        <f aca="false">INDEX(Monthly!$C$84:$BJ$84,($R$2-1)*12+12)</f>
        <v>-0</v>
      </c>
    </row>
    <row r="26" customFormat="false" ht="15" hidden="false" customHeight="false" outlineLevel="0" collapsed="false">
      <c r="A26" s="51" t="s">
        <v>64</v>
      </c>
      <c r="B26" s="35" t="n">
        <f aca="false">'Cash Flow'!B12</f>
        <v>100000</v>
      </c>
      <c r="C26" s="35" t="n">
        <f aca="false">'Cash Flow'!C12</f>
        <v>0</v>
      </c>
      <c r="D26" s="35" t="n">
        <f aca="false">'Cash Flow'!D12</f>
        <v>0</v>
      </c>
      <c r="E26" s="35" t="n">
        <f aca="false">'Cash Flow'!E12</f>
        <v>0</v>
      </c>
      <c r="F26" s="35" t="n">
        <f aca="false">'Cash Flow'!F12</f>
        <v>0</v>
      </c>
      <c r="H26" s="35" t="n">
        <f aca="false">INDEX(Monthly!$C$85:$BJ$85,($R$2-1)*12+1)</f>
        <v>100000</v>
      </c>
      <c r="I26" s="35" t="n">
        <f aca="false">INDEX(Monthly!$C$85:$BJ$85,($R$2-1)*12+2)</f>
        <v>0</v>
      </c>
      <c r="J26" s="35" t="n">
        <f aca="false">INDEX(Monthly!$C$85:$BJ$85,($R$2-1)*12+3)</f>
        <v>0</v>
      </c>
      <c r="K26" s="35" t="n">
        <f aca="false">INDEX(Monthly!$C$85:$BJ$85,($R$2-1)*12+4)</f>
        <v>0</v>
      </c>
      <c r="L26" s="35" t="n">
        <f aca="false">INDEX(Monthly!$C$85:$BJ$85,($R$2-1)*12+5)</f>
        <v>0</v>
      </c>
      <c r="M26" s="35" t="n">
        <f aca="false">INDEX(Monthly!$C$85:$BJ$85,($R$2-1)*12+6)</f>
        <v>0</v>
      </c>
      <c r="N26" s="35" t="n">
        <f aca="false">INDEX(Monthly!$C$85:$BJ$85,($R$2-1)*12+7)</f>
        <v>0</v>
      </c>
      <c r="O26" s="35" t="n">
        <f aca="false">INDEX(Monthly!$C$85:$BJ$85,($R$2-1)*12+8)</f>
        <v>0</v>
      </c>
      <c r="P26" s="35" t="n">
        <f aca="false">INDEX(Monthly!$C$85:$BJ$85,($R$2-1)*12+9)</f>
        <v>0</v>
      </c>
      <c r="Q26" s="35" t="n">
        <f aca="false">INDEX(Monthly!$C$85:$BJ$85,($R$2-1)*12+10)</f>
        <v>0</v>
      </c>
      <c r="R26" s="35" t="n">
        <f aca="false">INDEX(Monthly!$C$85:$BJ$85,($R$2-1)*12+11)</f>
        <v>0</v>
      </c>
      <c r="S26" s="35" t="n">
        <f aca="false">INDEX(Monthly!$C$85:$BJ$85,($R$2-1)*12+12)</f>
        <v>0</v>
      </c>
    </row>
    <row r="27" customFormat="false" ht="15" hidden="false" customHeight="false" outlineLevel="0" collapsed="false">
      <c r="A27" s="51" t="s">
        <v>85</v>
      </c>
      <c r="B27" s="35" t="n">
        <f aca="false">'Cash Flow'!B13</f>
        <v>90000</v>
      </c>
      <c r="C27" s="35" t="n">
        <f aca="false">'Cash Flow'!C13</f>
        <v>0</v>
      </c>
      <c r="D27" s="35" t="n">
        <f aca="false">'Cash Flow'!D13</f>
        <v>0</v>
      </c>
      <c r="E27" s="35" t="n">
        <f aca="false">'Cash Flow'!E13</f>
        <v>0</v>
      </c>
      <c r="F27" s="35" t="n">
        <f aca="false">'Cash Flow'!F13</f>
        <v>0</v>
      </c>
      <c r="H27" s="35" t="n">
        <f aca="false">INDEX(Monthly!$C$70:$BJ$70,($R$2-1)*12+1)</f>
        <v>90000</v>
      </c>
      <c r="I27" s="35" t="n">
        <f aca="false">INDEX(Monthly!$C$70:$BJ$70,($R$2-1)*12+2)</f>
        <v>0</v>
      </c>
      <c r="J27" s="35" t="n">
        <f aca="false">INDEX(Monthly!$C$70:$BJ$70,($R$2-1)*12+3)</f>
        <v>0</v>
      </c>
      <c r="K27" s="35" t="n">
        <f aca="false">INDEX(Monthly!$C$70:$BJ$70,($R$2-1)*12+4)</f>
        <v>0</v>
      </c>
      <c r="L27" s="35" t="n">
        <f aca="false">INDEX(Monthly!$C$70:$BJ$70,($R$2-1)*12+5)</f>
        <v>0</v>
      </c>
      <c r="M27" s="35" t="n">
        <f aca="false">INDEX(Monthly!$C$70:$BJ$70,($R$2-1)*12+6)</f>
        <v>0</v>
      </c>
      <c r="N27" s="35" t="n">
        <f aca="false">INDEX(Monthly!$C$70:$BJ$70,($R$2-1)*12+7)</f>
        <v>0</v>
      </c>
      <c r="O27" s="35" t="n">
        <f aca="false">INDEX(Monthly!$C$70:$BJ$70,($R$2-1)*12+8)</f>
        <v>0</v>
      </c>
      <c r="P27" s="35" t="n">
        <f aca="false">INDEX(Monthly!$C$70:$BJ$70,($R$2-1)*12+9)</f>
        <v>0</v>
      </c>
      <c r="Q27" s="35" t="n">
        <f aca="false">INDEX(Monthly!$C$70:$BJ$70,($R$2-1)*12+10)</f>
        <v>0</v>
      </c>
      <c r="R27" s="35" t="n">
        <f aca="false">INDEX(Monthly!$C$70:$BJ$70,($R$2-1)*12+11)</f>
        <v>0</v>
      </c>
      <c r="S27" s="35" t="n">
        <f aca="false">INDEX(Monthly!$C$70:$BJ$70,($R$2-1)*12+12)</f>
        <v>0</v>
      </c>
    </row>
    <row r="28" customFormat="false" ht="15" hidden="false" customHeight="false" outlineLevel="0" collapsed="false">
      <c r="A28" s="51" t="s">
        <v>86</v>
      </c>
      <c r="B28" s="35" t="n">
        <f aca="false">'Cash Flow'!B14</f>
        <v>-16500</v>
      </c>
      <c r="C28" s="35" t="n">
        <f aca="false">'Cash Flow'!C14</f>
        <v>-18000</v>
      </c>
      <c r="D28" s="35" t="n">
        <f aca="false">'Cash Flow'!D14</f>
        <v>-18000</v>
      </c>
      <c r="E28" s="35" t="n">
        <f aca="false">'Cash Flow'!E14</f>
        <v>-18000</v>
      </c>
      <c r="F28" s="35" t="n">
        <f aca="false">'Cash Flow'!F14</f>
        <v>-18000</v>
      </c>
      <c r="H28" s="35" t="n">
        <f aca="false">INDEX(Monthly!$C$71:$BJ$71,($R$2-1)*12+1)</f>
        <v>-0</v>
      </c>
      <c r="I28" s="35" t="n">
        <f aca="false">INDEX(Monthly!$C$71:$BJ$71,($R$2-1)*12+2)</f>
        <v>-1500</v>
      </c>
      <c r="J28" s="35" t="n">
        <f aca="false">INDEX(Monthly!$C$71:$BJ$71,($R$2-1)*12+3)</f>
        <v>-1500</v>
      </c>
      <c r="K28" s="35" t="n">
        <f aca="false">INDEX(Monthly!$C$71:$BJ$71,($R$2-1)*12+4)</f>
        <v>-1500</v>
      </c>
      <c r="L28" s="35" t="n">
        <f aca="false">INDEX(Monthly!$C$71:$BJ$71,($R$2-1)*12+5)</f>
        <v>-1500</v>
      </c>
      <c r="M28" s="35" t="n">
        <f aca="false">INDEX(Monthly!$C$71:$BJ$71,($R$2-1)*12+6)</f>
        <v>-1500</v>
      </c>
      <c r="N28" s="35" t="n">
        <f aca="false">INDEX(Monthly!$C$71:$BJ$71,($R$2-1)*12+7)</f>
        <v>-1500</v>
      </c>
      <c r="O28" s="35" t="n">
        <f aca="false">INDEX(Monthly!$C$71:$BJ$71,($R$2-1)*12+8)</f>
        <v>-1500</v>
      </c>
      <c r="P28" s="35" t="n">
        <f aca="false">INDEX(Monthly!$C$71:$BJ$71,($R$2-1)*12+9)</f>
        <v>-1500</v>
      </c>
      <c r="Q28" s="35" t="n">
        <f aca="false">INDEX(Monthly!$C$71:$BJ$71,($R$2-1)*12+10)</f>
        <v>-1500</v>
      </c>
      <c r="R28" s="35" t="n">
        <f aca="false">INDEX(Monthly!$C$71:$BJ$71,($R$2-1)*12+11)</f>
        <v>-1500</v>
      </c>
      <c r="S28" s="35" t="n">
        <f aca="false">INDEX(Monthly!$C$71:$BJ$71,($R$2-1)*12+12)</f>
        <v>-1500</v>
      </c>
    </row>
    <row r="29" customFormat="false" ht="15" hidden="false" customHeight="false" outlineLevel="0" collapsed="false">
      <c r="A29" s="36" t="s">
        <v>54</v>
      </c>
      <c r="B29" s="37" t="n">
        <f aca="false">'Cash Flow'!B15</f>
        <v>173500</v>
      </c>
      <c r="C29" s="37" t="n">
        <f aca="false">'Cash Flow'!C15</f>
        <v>-18000</v>
      </c>
      <c r="D29" s="37" t="n">
        <f aca="false">'Cash Flow'!D15</f>
        <v>-18000</v>
      </c>
      <c r="E29" s="37" t="n">
        <f aca="false">'Cash Flow'!E15</f>
        <v>-18000</v>
      </c>
      <c r="F29" s="37" t="n">
        <f aca="false">'Cash Flow'!F15</f>
        <v>-18000</v>
      </c>
      <c r="H29" s="37" t="n">
        <f aca="false">INDEX(Monthly!$C$86:$BJ$86,($R$2-1)*12+1)</f>
        <v>190000</v>
      </c>
      <c r="I29" s="37" t="n">
        <f aca="false">INDEX(Monthly!$C$86:$BJ$86,($R$2-1)*12+2)</f>
        <v>-1500</v>
      </c>
      <c r="J29" s="37" t="n">
        <f aca="false">INDEX(Monthly!$C$86:$BJ$86,($R$2-1)*12+3)</f>
        <v>-1500</v>
      </c>
      <c r="K29" s="37" t="n">
        <f aca="false">INDEX(Monthly!$C$86:$BJ$86,($R$2-1)*12+4)</f>
        <v>-1500</v>
      </c>
      <c r="L29" s="37" t="n">
        <f aca="false">INDEX(Monthly!$C$86:$BJ$86,($R$2-1)*12+5)</f>
        <v>-1500</v>
      </c>
      <c r="M29" s="37" t="n">
        <f aca="false">INDEX(Monthly!$C$86:$BJ$86,($R$2-1)*12+6)</f>
        <v>-1500</v>
      </c>
      <c r="N29" s="37" t="n">
        <f aca="false">INDEX(Monthly!$C$86:$BJ$86,($R$2-1)*12+7)</f>
        <v>-1500</v>
      </c>
      <c r="O29" s="37" t="n">
        <f aca="false">INDEX(Monthly!$C$86:$BJ$86,($R$2-1)*12+8)</f>
        <v>-1500</v>
      </c>
      <c r="P29" s="37" t="n">
        <f aca="false">INDEX(Monthly!$C$86:$BJ$86,($R$2-1)*12+9)</f>
        <v>-1500</v>
      </c>
      <c r="Q29" s="37" t="n">
        <f aca="false">INDEX(Monthly!$C$86:$BJ$86,($R$2-1)*12+10)</f>
        <v>-1500</v>
      </c>
      <c r="R29" s="37" t="n">
        <f aca="false">INDEX(Monthly!$C$86:$BJ$86,($R$2-1)*12+11)</f>
        <v>-1500</v>
      </c>
      <c r="S29" s="37" t="n">
        <f aca="false">INDEX(Monthly!$C$86:$BJ$86,($R$2-1)*12+12)</f>
        <v>-1500</v>
      </c>
    </row>
    <row r="30" customFormat="false" ht="15" hidden="false" customHeight="false" outlineLevel="0" collapsed="false">
      <c r="A30" s="36" t="s">
        <v>55</v>
      </c>
      <c r="B30" s="37" t="n">
        <f aca="false">'Cash Flow'!B16</f>
        <v>19840.2994</v>
      </c>
      <c r="C30" s="37" t="n">
        <f aca="false">'Cash Flow'!C16</f>
        <v>-1734.26606464003</v>
      </c>
      <c r="D30" s="37" t="n">
        <f aca="false">'Cash Flow'!D16</f>
        <v>7504.38161099941</v>
      </c>
      <c r="E30" s="37" t="n">
        <f aca="false">'Cash Flow'!E16</f>
        <v>17402.5101141598</v>
      </c>
      <c r="F30" s="37" t="n">
        <f aca="false">'Cash Flow'!F16</f>
        <v>24162.9966259918</v>
      </c>
      <c r="H30" s="37" t="n">
        <f aca="false">INDEX(Monthly!$C$87:$BJ$87,($R$2-1)*12+1)</f>
        <v>43071.0085333333</v>
      </c>
      <c r="I30" s="37" t="n">
        <f aca="false">INDEX(Monthly!$C$87:$BJ$87,($R$2-1)*12+2)</f>
        <v>-9025.57313333333</v>
      </c>
      <c r="J30" s="37" t="n">
        <f aca="false">INDEX(Monthly!$C$87:$BJ$87,($R$2-1)*12+3)</f>
        <v>-5469.1922</v>
      </c>
      <c r="K30" s="37" t="n">
        <f aca="false">INDEX(Monthly!$C$87:$BJ$87,($R$2-1)*12+4)</f>
        <v>-3868.09126666667</v>
      </c>
      <c r="L30" s="37" t="n">
        <f aca="false">INDEX(Monthly!$C$87:$BJ$87,($R$2-1)*12+5)</f>
        <v>-2473.30926666667</v>
      </c>
      <c r="M30" s="37" t="n">
        <f aca="false">INDEX(Monthly!$C$87:$BJ$87,($R$2-1)*12+6)</f>
        <v>-1078.52726666667</v>
      </c>
      <c r="N30" s="37" t="n">
        <f aca="false">INDEX(Monthly!$C$87:$BJ$87,($R$2-1)*12+7)</f>
        <v>316.25473333333</v>
      </c>
      <c r="O30" s="37" t="n">
        <f aca="false">INDEX(Monthly!$C$87:$BJ$87,($R$2-1)*12+8)</f>
        <v>434.84233333333</v>
      </c>
      <c r="P30" s="37" t="n">
        <f aca="false">INDEX(Monthly!$C$87:$BJ$87,($R$2-1)*12+9)</f>
        <v>446.09233333333</v>
      </c>
      <c r="Q30" s="37" t="n">
        <f aca="false">INDEX(Monthly!$C$87:$BJ$87,($R$2-1)*12+10)</f>
        <v>457.34233333333</v>
      </c>
      <c r="R30" s="37" t="n">
        <f aca="false">INDEX(Monthly!$C$87:$BJ$87,($R$2-1)*12+11)</f>
        <v>468.59233333333</v>
      </c>
      <c r="S30" s="37" t="n">
        <f aca="false">INDEX(Monthly!$C$87:$BJ$87,($R$2-1)*12+12)</f>
        <v>-3439.14006666667</v>
      </c>
    </row>
    <row r="31" customFormat="false" ht="15" hidden="false" customHeight="false" outlineLevel="0" collapsed="false">
      <c r="A31" s="40" t="s">
        <v>87</v>
      </c>
      <c r="B31" s="41" t="n">
        <f aca="false">'Cash Flow'!B18</f>
        <v>19840.2994</v>
      </c>
      <c r="C31" s="41" t="n">
        <f aca="false">'Cash Flow'!C18</f>
        <v>18106.0333353599</v>
      </c>
      <c r="D31" s="41" t="n">
        <f aca="false">'Cash Flow'!D18</f>
        <v>25610.4149463593</v>
      </c>
      <c r="E31" s="41" t="n">
        <f aca="false">'Cash Flow'!E18</f>
        <v>43012.9250605192</v>
      </c>
      <c r="F31" s="41" t="n">
        <f aca="false">'Cash Flow'!F18</f>
        <v>67175.921686511</v>
      </c>
      <c r="H31" s="41" t="n">
        <f aca="false">INDEX(Monthly!$C$89:$BJ$89,($R$2-1)*12+1)</f>
        <v>43071.0085333333</v>
      </c>
      <c r="I31" s="41" t="n">
        <f aca="false">INDEX(Monthly!$C$89:$BJ$89,($R$2-1)*12+2)</f>
        <v>34045.4354</v>
      </c>
      <c r="J31" s="41" t="n">
        <f aca="false">INDEX(Monthly!$C$89:$BJ$89,($R$2-1)*12+3)</f>
        <v>28576.2432</v>
      </c>
      <c r="K31" s="41" t="n">
        <f aca="false">INDEX(Monthly!$C$89:$BJ$89,($R$2-1)*12+4)</f>
        <v>24708.1519333333</v>
      </c>
      <c r="L31" s="41" t="n">
        <f aca="false">INDEX(Monthly!$C$89:$BJ$89,($R$2-1)*12+5)</f>
        <v>22234.8426666667</v>
      </c>
      <c r="M31" s="41" t="n">
        <f aca="false">INDEX(Monthly!$C$89:$BJ$89,($R$2-1)*12+6)</f>
        <v>21156.3154</v>
      </c>
      <c r="N31" s="41" t="n">
        <f aca="false">INDEX(Monthly!$C$89:$BJ$89,($R$2-1)*12+7)</f>
        <v>21472.5701333333</v>
      </c>
      <c r="O31" s="41" t="n">
        <f aca="false">INDEX(Monthly!$C$89:$BJ$89,($R$2-1)*12+8)</f>
        <v>21907.4124666667</v>
      </c>
      <c r="P31" s="41" t="n">
        <f aca="false">INDEX(Monthly!$C$89:$BJ$89,($R$2-1)*12+9)</f>
        <v>22353.5048</v>
      </c>
      <c r="Q31" s="41" t="n">
        <f aca="false">INDEX(Monthly!$C$89:$BJ$89,($R$2-1)*12+10)</f>
        <v>22810.8471333333</v>
      </c>
      <c r="R31" s="41" t="n">
        <f aca="false">INDEX(Monthly!$C$89:$BJ$89,($R$2-1)*12+11)</f>
        <v>23279.4394666666</v>
      </c>
      <c r="S31" s="41" t="n">
        <f aca="false">INDEX(Monthly!$C$89:$BJ$89,($R$2-1)*12+12)</f>
        <v>19840.2994</v>
      </c>
    </row>
    <row r="39" customFormat="false" ht="15.75" hidden="false" customHeight="true" outlineLevel="0" collapsed="false">
      <c r="A39" s="7" t="s">
        <v>88</v>
      </c>
      <c r="B39" s="7"/>
      <c r="C39" s="7"/>
      <c r="D39" s="7"/>
      <c r="E39" s="7"/>
      <c r="F39" s="7"/>
      <c r="H39" s="7" t="str">
        <f aca="false">"Balance sheet at month end ($'000) — Year "&amp;$R$2</f>
        <v>Balance sheet at month end ($'000) — Year 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customFormat="false" ht="15" hidden="false" customHeight="false" outlineLevel="0" collapsed="false">
      <c r="A40" s="33"/>
      <c r="B40" s="34" t="n">
        <v>1</v>
      </c>
      <c r="C40" s="34" t="n">
        <v>2</v>
      </c>
      <c r="D40" s="34" t="n">
        <v>3</v>
      </c>
      <c r="E40" s="34" t="n">
        <v>4</v>
      </c>
      <c r="F40" s="34" t="n">
        <v>5</v>
      </c>
      <c r="H40" s="50" t="n">
        <f aca="false">INDEX(Monthly!$C$4:$BJ$4,($R$2-1)*12+1)</f>
        <v>1</v>
      </c>
      <c r="I40" s="50" t="n">
        <f aca="false">INDEX(Monthly!$C$4:$BJ$4,($R$2-1)*12+2)</f>
        <v>2</v>
      </c>
      <c r="J40" s="50" t="n">
        <f aca="false">INDEX(Monthly!$C$4:$BJ$4,($R$2-1)*12+3)</f>
        <v>3</v>
      </c>
      <c r="K40" s="50" t="n">
        <f aca="false">INDEX(Monthly!$C$4:$BJ$4,($R$2-1)*12+4)</f>
        <v>4</v>
      </c>
      <c r="L40" s="50" t="n">
        <f aca="false">INDEX(Monthly!$C$4:$BJ$4,($R$2-1)*12+5)</f>
        <v>5</v>
      </c>
      <c r="M40" s="50" t="n">
        <f aca="false">INDEX(Monthly!$C$4:$BJ$4,($R$2-1)*12+6)</f>
        <v>6</v>
      </c>
      <c r="N40" s="50" t="n">
        <f aca="false">INDEX(Monthly!$C$4:$BJ$4,($R$2-1)*12+7)</f>
        <v>7</v>
      </c>
      <c r="O40" s="50" t="n">
        <f aca="false">INDEX(Monthly!$C$4:$BJ$4,($R$2-1)*12+8)</f>
        <v>8</v>
      </c>
      <c r="P40" s="50" t="n">
        <f aca="false">INDEX(Monthly!$C$4:$BJ$4,($R$2-1)*12+9)</f>
        <v>9</v>
      </c>
      <c r="Q40" s="50" t="n">
        <f aca="false">INDEX(Monthly!$C$4:$BJ$4,($R$2-1)*12+10)</f>
        <v>10</v>
      </c>
      <c r="R40" s="50" t="n">
        <f aca="false">INDEX(Monthly!$C$4:$BJ$4,($R$2-1)*12+11)</f>
        <v>11</v>
      </c>
      <c r="S40" s="50" t="n">
        <f aca="false">INDEX(Monthly!$C$4:$BJ$4,($R$2-1)*12+12)</f>
        <v>12</v>
      </c>
    </row>
    <row r="41" customFormat="false" ht="15" hidden="false" customHeight="false" outlineLevel="0" collapsed="false">
      <c r="A41" s="51" t="s">
        <v>89</v>
      </c>
      <c r="B41" s="35" t="n">
        <f aca="false">'Balance Sheet'!B5</f>
        <v>19840.2994</v>
      </c>
      <c r="C41" s="35" t="n">
        <f aca="false">'Balance Sheet'!C5</f>
        <v>18106.0333353599</v>
      </c>
      <c r="D41" s="35" t="n">
        <f aca="false">'Balance Sheet'!D5</f>
        <v>25610.4149463593</v>
      </c>
      <c r="E41" s="35" t="n">
        <f aca="false">'Balance Sheet'!E5</f>
        <v>43012.9250605192</v>
      </c>
      <c r="F41" s="35" t="n">
        <f aca="false">'Balance Sheet'!F5</f>
        <v>67175.921686511</v>
      </c>
      <c r="H41" s="35" t="n">
        <f aca="false">INDEX(Monthly!$C$89:$BJ$89,($R$2-1)*12+1)</f>
        <v>43071.0085333333</v>
      </c>
      <c r="I41" s="35" t="n">
        <f aca="false">INDEX(Monthly!$C$89:$BJ$89,($R$2-1)*12+2)</f>
        <v>34045.4354</v>
      </c>
      <c r="J41" s="35" t="n">
        <f aca="false">INDEX(Monthly!$C$89:$BJ$89,($R$2-1)*12+3)</f>
        <v>28576.2432</v>
      </c>
      <c r="K41" s="35" t="n">
        <f aca="false">INDEX(Monthly!$C$89:$BJ$89,($R$2-1)*12+4)</f>
        <v>24708.1519333333</v>
      </c>
      <c r="L41" s="35" t="n">
        <f aca="false">INDEX(Monthly!$C$89:$BJ$89,($R$2-1)*12+5)</f>
        <v>22234.8426666667</v>
      </c>
      <c r="M41" s="35" t="n">
        <f aca="false">INDEX(Monthly!$C$89:$BJ$89,($R$2-1)*12+6)</f>
        <v>21156.3154</v>
      </c>
      <c r="N41" s="35" t="n">
        <f aca="false">INDEX(Monthly!$C$89:$BJ$89,($R$2-1)*12+7)</f>
        <v>21472.5701333333</v>
      </c>
      <c r="O41" s="35" t="n">
        <f aca="false">INDEX(Monthly!$C$89:$BJ$89,($R$2-1)*12+8)</f>
        <v>21907.4124666667</v>
      </c>
      <c r="P41" s="35" t="n">
        <f aca="false">INDEX(Monthly!$C$89:$BJ$89,($R$2-1)*12+9)</f>
        <v>22353.5048</v>
      </c>
      <c r="Q41" s="35" t="n">
        <f aca="false">INDEX(Monthly!$C$89:$BJ$89,($R$2-1)*12+10)</f>
        <v>22810.8471333333</v>
      </c>
      <c r="R41" s="35" t="n">
        <f aca="false">INDEX(Monthly!$C$89:$BJ$89,($R$2-1)*12+11)</f>
        <v>23279.4394666666</v>
      </c>
      <c r="S41" s="35" t="n">
        <f aca="false">INDEX(Monthly!$C$89:$BJ$89,($R$2-1)*12+12)</f>
        <v>19840.2994</v>
      </c>
    </row>
    <row r="42" customFormat="false" ht="15" hidden="false" customHeight="false" outlineLevel="0" collapsed="false">
      <c r="A42" s="51" t="s">
        <v>90</v>
      </c>
      <c r="B42" s="35" t="n">
        <f aca="false">'Balance Sheet'!B6</f>
        <v>2083.2</v>
      </c>
      <c r="C42" s="35" t="n">
        <f aca="false">'Balance Sheet'!C6</f>
        <v>2218.71888</v>
      </c>
      <c r="D42" s="35" t="n">
        <f aca="false">'Balance Sheet'!D6</f>
        <v>2363.195997792</v>
      </c>
      <c r="E42" s="35" t="n">
        <f aca="false">'Balance Sheet'!E6</f>
        <v>2517.23437880453</v>
      </c>
      <c r="F42" s="35" t="n">
        <f aca="false">'Balance Sheet'!F6</f>
        <v>2681.47845641761</v>
      </c>
      <c r="H42" s="35" t="n">
        <f aca="false">INDEX(Monthly!$C$75:$BJ$75,($R$2-1)*12+1)</f>
        <v>1041.6</v>
      </c>
      <c r="I42" s="35" t="n">
        <f aca="false">INDEX(Monthly!$C$75:$BJ$75,($R$2-1)*12+2)</f>
        <v>1215.2</v>
      </c>
      <c r="J42" s="35" t="n">
        <f aca="false">INDEX(Monthly!$C$75:$BJ$75,($R$2-1)*12+3)</f>
        <v>1881.6</v>
      </c>
      <c r="K42" s="35" t="n">
        <f aca="false">INDEX(Monthly!$C$75:$BJ$75,($R$2-1)*12+4)</f>
        <v>2116.8</v>
      </c>
      <c r="L42" s="35" t="n">
        <f aca="false">INDEX(Monthly!$C$75:$BJ$75,($R$2-1)*12+5)</f>
        <v>2352</v>
      </c>
      <c r="M42" s="35" t="n">
        <f aca="false">INDEX(Monthly!$C$75:$BJ$75,($R$2-1)*12+6)</f>
        <v>2587.2</v>
      </c>
      <c r="N42" s="35" t="n">
        <f aca="false">INDEX(Monthly!$C$75:$BJ$75,($R$2-1)*12+7)</f>
        <v>2822.4</v>
      </c>
      <c r="O42" s="35" t="n">
        <f aca="false">INDEX(Monthly!$C$75:$BJ$75,($R$2-1)*12+8)</f>
        <v>2822.4</v>
      </c>
      <c r="P42" s="35" t="n">
        <f aca="false">INDEX(Monthly!$C$75:$BJ$75,($R$2-1)*12+9)</f>
        <v>2822.4</v>
      </c>
      <c r="Q42" s="35" t="n">
        <f aca="false">INDEX(Monthly!$C$75:$BJ$75,($R$2-1)*12+10)</f>
        <v>2822.4</v>
      </c>
      <c r="R42" s="35" t="n">
        <f aca="false">INDEX(Monthly!$C$75:$BJ$75,($R$2-1)*12+11)</f>
        <v>2822.4</v>
      </c>
      <c r="S42" s="35" t="n">
        <f aca="false">INDEX(Monthly!$C$75:$BJ$75,($R$2-1)*12+12)</f>
        <v>2083.2</v>
      </c>
    </row>
    <row r="43" customFormat="false" ht="15" hidden="false" customHeight="false" outlineLevel="0" collapsed="false">
      <c r="A43" s="51" t="s">
        <v>91</v>
      </c>
      <c r="B43" s="35" t="n">
        <f aca="false">'Balance Sheet'!B7</f>
        <v>861.6288</v>
      </c>
      <c r="C43" s="35" t="n">
        <f aca="false">'Balance Sheet'!C7</f>
        <v>918.45024192</v>
      </c>
      <c r="D43" s="35" t="n">
        <f aca="false">'Balance Sheet'!D7</f>
        <v>979.086491864928</v>
      </c>
      <c r="E43" s="35" t="n">
        <f aca="false">'Balance Sheet'!E7</f>
        <v>1043.79875379378</v>
      </c>
      <c r="F43" s="35" t="n">
        <f aca="false">'Balance Sheet'!F7</f>
        <v>1112.8664928819</v>
      </c>
      <c r="H43" s="35" t="n">
        <f aca="false">INDEX(Monthly!$C$76:$BJ$76,($R$2-1)*12+1)</f>
        <v>430.8144</v>
      </c>
      <c r="I43" s="35" t="n">
        <f aca="false">INDEX(Monthly!$C$76:$BJ$76,($R$2-1)*12+2)</f>
        <v>502.6168</v>
      </c>
      <c r="J43" s="35" t="n">
        <f aca="false">INDEX(Monthly!$C$76:$BJ$76,($R$2-1)*12+3)</f>
        <v>767.1744</v>
      </c>
      <c r="K43" s="35" t="n">
        <f aca="false">INDEX(Monthly!$C$76:$BJ$76,($R$2-1)*12+4)</f>
        <v>863.0712</v>
      </c>
      <c r="L43" s="35" t="n">
        <f aca="false">INDEX(Monthly!$C$76:$BJ$76,($R$2-1)*12+5)</f>
        <v>958.968</v>
      </c>
      <c r="M43" s="35" t="n">
        <f aca="false">INDEX(Monthly!$C$76:$BJ$76,($R$2-1)*12+6)</f>
        <v>1054.8648</v>
      </c>
      <c r="N43" s="35" t="n">
        <f aca="false">INDEX(Monthly!$C$76:$BJ$76,($R$2-1)*12+7)</f>
        <v>1150.7616</v>
      </c>
      <c r="O43" s="35" t="n">
        <f aca="false">INDEX(Monthly!$C$76:$BJ$76,($R$2-1)*12+8)</f>
        <v>1150.7616</v>
      </c>
      <c r="P43" s="35" t="n">
        <f aca="false">INDEX(Monthly!$C$76:$BJ$76,($R$2-1)*12+9)</f>
        <v>1150.7616</v>
      </c>
      <c r="Q43" s="35" t="n">
        <f aca="false">INDEX(Monthly!$C$76:$BJ$76,($R$2-1)*12+10)</f>
        <v>1150.7616</v>
      </c>
      <c r="R43" s="35" t="n">
        <f aca="false">INDEX(Monthly!$C$76:$BJ$76,($R$2-1)*12+11)</f>
        <v>1150.7616</v>
      </c>
      <c r="S43" s="35" t="n">
        <f aca="false">INDEX(Monthly!$C$76:$BJ$76,($R$2-1)*12+12)</f>
        <v>861.6288</v>
      </c>
    </row>
    <row r="44" customFormat="false" ht="15" hidden="false" customHeight="false" outlineLevel="0" collapsed="false">
      <c r="A44" s="51" t="s">
        <v>92</v>
      </c>
      <c r="B44" s="35" t="n">
        <f aca="false">'Balance Sheet'!B8</f>
        <v>118285.714285714</v>
      </c>
      <c r="C44" s="35" t="n">
        <f aca="false">'Balance Sheet'!C8</f>
        <v>100714.285714286</v>
      </c>
      <c r="D44" s="35" t="n">
        <f aca="false">'Balance Sheet'!D8</f>
        <v>82785.7142857143</v>
      </c>
      <c r="E44" s="35" t="n">
        <f aca="false">'Balance Sheet'!E8</f>
        <v>64500</v>
      </c>
      <c r="F44" s="35" t="n">
        <f aca="false">'Balance Sheet'!F8</f>
        <v>45857.1428571429</v>
      </c>
      <c r="H44" s="35" t="n">
        <f aca="false">INDEX(Monthly!$C$66:$BJ$66,($R$2-1)*12+1)</f>
        <v>136357.142857143</v>
      </c>
      <c r="I44" s="35" t="n">
        <f aca="false">INDEX(Monthly!$C$66:$BJ$66,($R$2-1)*12+2)</f>
        <v>134714.285714286</v>
      </c>
      <c r="J44" s="35" t="n">
        <f aca="false">INDEX(Monthly!$C$66:$BJ$66,($R$2-1)*12+3)</f>
        <v>133071.428571429</v>
      </c>
      <c r="K44" s="35" t="n">
        <f aca="false">INDEX(Monthly!$C$66:$BJ$66,($R$2-1)*12+4)</f>
        <v>131428.571428571</v>
      </c>
      <c r="L44" s="35" t="n">
        <f aca="false">INDEX(Monthly!$C$66:$BJ$66,($R$2-1)*12+5)</f>
        <v>129785.714285714</v>
      </c>
      <c r="M44" s="35" t="n">
        <f aca="false">INDEX(Monthly!$C$66:$BJ$66,($R$2-1)*12+6)</f>
        <v>128142.857142857</v>
      </c>
      <c r="N44" s="35" t="n">
        <f aca="false">INDEX(Monthly!$C$66:$BJ$66,($R$2-1)*12+7)</f>
        <v>126500</v>
      </c>
      <c r="O44" s="35" t="n">
        <f aca="false">INDEX(Monthly!$C$66:$BJ$66,($R$2-1)*12+8)</f>
        <v>124857.142857143</v>
      </c>
      <c r="P44" s="35" t="n">
        <f aca="false">INDEX(Monthly!$C$66:$BJ$66,($R$2-1)*12+9)</f>
        <v>123214.285714286</v>
      </c>
      <c r="Q44" s="35" t="n">
        <f aca="false">INDEX(Monthly!$C$66:$BJ$66,($R$2-1)*12+10)</f>
        <v>121571.428571429</v>
      </c>
      <c r="R44" s="35" t="n">
        <f aca="false">INDEX(Monthly!$C$66:$BJ$66,($R$2-1)*12+11)</f>
        <v>119928.571428571</v>
      </c>
      <c r="S44" s="35" t="n">
        <f aca="false">INDEX(Monthly!$C$66:$BJ$66,($R$2-1)*12+12)</f>
        <v>118285.714285714</v>
      </c>
    </row>
    <row r="45" customFormat="false" ht="15" hidden="false" customHeight="false" outlineLevel="0" collapsed="false">
      <c r="A45" s="36" t="s">
        <v>93</v>
      </c>
      <c r="B45" s="37" t="n">
        <f aca="false">'Balance Sheet'!B9</f>
        <v>141070.842485714</v>
      </c>
      <c r="C45" s="37" t="n">
        <f aca="false">'Balance Sheet'!C9</f>
        <v>121957.488171566</v>
      </c>
      <c r="D45" s="37" t="n">
        <f aca="false">'Balance Sheet'!D9</f>
        <v>111738.411721731</v>
      </c>
      <c r="E45" s="37" t="n">
        <f aca="false">'Balance Sheet'!E9</f>
        <v>111073.958193118</v>
      </c>
      <c r="F45" s="37" t="n">
        <f aca="false">'Balance Sheet'!F9</f>
        <v>116827.409492953</v>
      </c>
      <c r="H45" s="37" t="n">
        <f aca="false">INDEX(Monthly!$C$103:$BJ$103,($R$2-1)*12+1)</f>
        <v>180900.565790476</v>
      </c>
      <c r="I45" s="37" t="n">
        <f aca="false">INDEX(Monthly!$C$103:$BJ$103,($R$2-1)*12+2)</f>
        <v>170477.537914286</v>
      </c>
      <c r="J45" s="37" t="n">
        <f aca="false">INDEX(Monthly!$C$103:$BJ$103,($R$2-1)*12+3)</f>
        <v>164296.446171429</v>
      </c>
      <c r="K45" s="37" t="n">
        <f aca="false">INDEX(Monthly!$C$103:$BJ$103,($R$2-1)*12+4)</f>
        <v>159116.594561905</v>
      </c>
      <c r="L45" s="37" t="n">
        <f aca="false">INDEX(Monthly!$C$103:$BJ$103,($R$2-1)*12+5)</f>
        <v>155331.524952381</v>
      </c>
      <c r="M45" s="37" t="n">
        <f aca="false">INDEX(Monthly!$C$103:$BJ$103,($R$2-1)*12+6)</f>
        <v>152941.237342857</v>
      </c>
      <c r="N45" s="37" t="n">
        <f aca="false">INDEX(Monthly!$C$103:$BJ$103,($R$2-1)*12+7)</f>
        <v>151945.731733333</v>
      </c>
      <c r="O45" s="37" t="n">
        <f aca="false">INDEX(Monthly!$C$103:$BJ$103,($R$2-1)*12+8)</f>
        <v>150737.71692381</v>
      </c>
      <c r="P45" s="37" t="n">
        <f aca="false">INDEX(Monthly!$C$103:$BJ$103,($R$2-1)*12+9)</f>
        <v>149540.952114286</v>
      </c>
      <c r="Q45" s="37" t="n">
        <f aca="false">INDEX(Monthly!$C$103:$BJ$103,($R$2-1)*12+10)</f>
        <v>148355.437304762</v>
      </c>
      <c r="R45" s="37" t="n">
        <f aca="false">INDEX(Monthly!$C$103:$BJ$103,($R$2-1)*12+11)</f>
        <v>147181.172495238</v>
      </c>
      <c r="S45" s="37" t="n">
        <f aca="false">INDEX(Monthly!$C$103:$BJ$103,($R$2-1)*12+12)</f>
        <v>141070.842485714</v>
      </c>
    </row>
    <row r="46" customFormat="false" ht="15" hidden="false" customHeight="false" outlineLevel="0" collapsed="false">
      <c r="A46" s="51" t="s">
        <v>94</v>
      </c>
      <c r="B46" s="35" t="n">
        <f aca="false">'Balance Sheet'!B10</f>
        <v>2010.4672</v>
      </c>
      <c r="C46" s="35" t="n">
        <f aca="false">'Balance Sheet'!C10</f>
        <v>2143.05056448</v>
      </c>
      <c r="D46" s="35" t="n">
        <f aca="false">'Balance Sheet'!D10</f>
        <v>2284.53514768483</v>
      </c>
      <c r="E46" s="35" t="n">
        <f aca="false">'Balance Sheet'!E10</f>
        <v>2435.53042551882</v>
      </c>
      <c r="F46" s="35" t="n">
        <f aca="false">'Balance Sheet'!F10</f>
        <v>2596.68848339111</v>
      </c>
      <c r="H46" s="35" t="n">
        <f aca="false">INDEX(Monthly!$C$77:$BJ$77,($R$2-1)*12+1)</f>
        <v>1005.2336</v>
      </c>
      <c r="I46" s="35" t="n">
        <f aca="false">INDEX(Monthly!$C$77:$BJ$77,($R$2-1)*12+2)</f>
        <v>1172.77253333333</v>
      </c>
      <c r="J46" s="35" t="n">
        <f aca="false">INDEX(Monthly!$C$77:$BJ$77,($R$2-1)*12+3)</f>
        <v>1790.0736</v>
      </c>
      <c r="K46" s="35" t="n">
        <f aca="false">INDEX(Monthly!$C$77:$BJ$77,($R$2-1)*12+4)</f>
        <v>2013.8328</v>
      </c>
      <c r="L46" s="35" t="n">
        <f aca="false">INDEX(Monthly!$C$77:$BJ$77,($R$2-1)*12+5)</f>
        <v>2237.592</v>
      </c>
      <c r="M46" s="35" t="n">
        <f aca="false">INDEX(Monthly!$C$77:$BJ$77,($R$2-1)*12+6)</f>
        <v>2461.3512</v>
      </c>
      <c r="N46" s="35" t="n">
        <f aca="false">INDEX(Monthly!$C$77:$BJ$77,($R$2-1)*12+7)</f>
        <v>2685.1104</v>
      </c>
      <c r="O46" s="35" t="n">
        <f aca="false">INDEX(Monthly!$C$77:$BJ$77,($R$2-1)*12+8)</f>
        <v>2685.1104</v>
      </c>
      <c r="P46" s="35" t="n">
        <f aca="false">INDEX(Monthly!$C$77:$BJ$77,($R$2-1)*12+9)</f>
        <v>2685.1104</v>
      </c>
      <c r="Q46" s="35" t="n">
        <f aca="false">INDEX(Monthly!$C$77:$BJ$77,($R$2-1)*12+10)</f>
        <v>2685.1104</v>
      </c>
      <c r="R46" s="35" t="n">
        <f aca="false">INDEX(Monthly!$C$77:$BJ$77,($R$2-1)*12+11)</f>
        <v>2685.1104</v>
      </c>
      <c r="S46" s="35" t="n">
        <f aca="false">INDEX(Monthly!$C$77:$BJ$77,($R$2-1)*12+12)</f>
        <v>2010.4672</v>
      </c>
    </row>
    <row r="47" customFormat="false" ht="15" hidden="false" customHeight="false" outlineLevel="0" collapsed="false">
      <c r="A47" s="51" t="s">
        <v>95</v>
      </c>
      <c r="B47" s="35" t="n">
        <f aca="false">'Balance Sheet'!B11</f>
        <v>73500</v>
      </c>
      <c r="C47" s="35" t="n">
        <f aca="false">'Balance Sheet'!C11</f>
        <v>55500</v>
      </c>
      <c r="D47" s="35" t="n">
        <f aca="false">'Balance Sheet'!D11</f>
        <v>37500</v>
      </c>
      <c r="E47" s="35" t="n">
        <f aca="false">'Balance Sheet'!E11</f>
        <v>19500</v>
      </c>
      <c r="F47" s="35" t="n">
        <f aca="false">'Balance Sheet'!F11</f>
        <v>1500</v>
      </c>
      <c r="H47" s="35" t="n">
        <f aca="false">INDEX(Monthly!$C$72:$BJ$72,($R$2-1)*12+1)</f>
        <v>90000</v>
      </c>
      <c r="I47" s="35" t="n">
        <f aca="false">INDEX(Monthly!$C$72:$BJ$72,($R$2-1)*12+2)</f>
        <v>88500</v>
      </c>
      <c r="J47" s="35" t="n">
        <f aca="false">INDEX(Monthly!$C$72:$BJ$72,($R$2-1)*12+3)</f>
        <v>87000</v>
      </c>
      <c r="K47" s="35" t="n">
        <f aca="false">INDEX(Monthly!$C$72:$BJ$72,($R$2-1)*12+4)</f>
        <v>85500</v>
      </c>
      <c r="L47" s="35" t="n">
        <f aca="false">INDEX(Monthly!$C$72:$BJ$72,($R$2-1)*12+5)</f>
        <v>84000</v>
      </c>
      <c r="M47" s="35" t="n">
        <f aca="false">INDEX(Monthly!$C$72:$BJ$72,($R$2-1)*12+6)</f>
        <v>82500</v>
      </c>
      <c r="N47" s="35" t="n">
        <f aca="false">INDEX(Monthly!$C$72:$BJ$72,($R$2-1)*12+7)</f>
        <v>81000</v>
      </c>
      <c r="O47" s="35" t="n">
        <f aca="false">INDEX(Monthly!$C$72:$BJ$72,($R$2-1)*12+8)</f>
        <v>79500</v>
      </c>
      <c r="P47" s="35" t="n">
        <f aca="false">INDEX(Monthly!$C$72:$BJ$72,($R$2-1)*12+9)</f>
        <v>78000</v>
      </c>
      <c r="Q47" s="35" t="n">
        <f aca="false">INDEX(Monthly!$C$72:$BJ$72,($R$2-1)*12+10)</f>
        <v>76500</v>
      </c>
      <c r="R47" s="35" t="n">
        <f aca="false">INDEX(Monthly!$C$72:$BJ$72,($R$2-1)*12+11)</f>
        <v>75000</v>
      </c>
      <c r="S47" s="35" t="n">
        <f aca="false">INDEX(Monthly!$C$72:$BJ$72,($R$2-1)*12+12)</f>
        <v>73500</v>
      </c>
    </row>
    <row r="48" customFormat="false" ht="15" hidden="false" customHeight="false" outlineLevel="0" collapsed="false">
      <c r="A48" s="36" t="s">
        <v>96</v>
      </c>
      <c r="B48" s="37" t="n">
        <f aca="false">'Balance Sheet'!B12</f>
        <v>75510.4672</v>
      </c>
      <c r="C48" s="37" t="n">
        <f aca="false">'Balance Sheet'!C12</f>
        <v>57643.05056448</v>
      </c>
      <c r="D48" s="37" t="n">
        <f aca="false">'Balance Sheet'!D12</f>
        <v>39784.5351476848</v>
      </c>
      <c r="E48" s="37" t="n">
        <f aca="false">'Balance Sheet'!E12</f>
        <v>21935.5304255188</v>
      </c>
      <c r="F48" s="37" t="n">
        <f aca="false">'Balance Sheet'!F12</f>
        <v>4096.68848339111</v>
      </c>
      <c r="H48" s="37" t="n">
        <f aca="false">INDEX(Monthly!$C$104:$BJ$104,($R$2-1)*12+1)</f>
        <v>91005.2336</v>
      </c>
      <c r="I48" s="37" t="n">
        <f aca="false">INDEX(Monthly!$C$104:$BJ$104,($R$2-1)*12+2)</f>
        <v>89672.7725333333</v>
      </c>
      <c r="J48" s="37" t="n">
        <f aca="false">INDEX(Monthly!$C$104:$BJ$104,($R$2-1)*12+3)</f>
        <v>88790.0736</v>
      </c>
      <c r="K48" s="37" t="n">
        <f aca="false">INDEX(Monthly!$C$104:$BJ$104,($R$2-1)*12+4)</f>
        <v>87513.8328</v>
      </c>
      <c r="L48" s="37" t="n">
        <f aca="false">INDEX(Monthly!$C$104:$BJ$104,($R$2-1)*12+5)</f>
        <v>86237.592</v>
      </c>
      <c r="M48" s="37" t="n">
        <f aca="false">INDEX(Monthly!$C$104:$BJ$104,($R$2-1)*12+6)</f>
        <v>84961.3512</v>
      </c>
      <c r="N48" s="37" t="n">
        <f aca="false">INDEX(Monthly!$C$104:$BJ$104,($R$2-1)*12+7)</f>
        <v>83685.1104</v>
      </c>
      <c r="O48" s="37" t="n">
        <f aca="false">INDEX(Monthly!$C$104:$BJ$104,($R$2-1)*12+8)</f>
        <v>82185.1104</v>
      </c>
      <c r="P48" s="37" t="n">
        <f aca="false">INDEX(Monthly!$C$104:$BJ$104,($R$2-1)*12+9)</f>
        <v>80685.1104</v>
      </c>
      <c r="Q48" s="37" t="n">
        <f aca="false">INDEX(Monthly!$C$104:$BJ$104,($R$2-1)*12+10)</f>
        <v>79185.1104</v>
      </c>
      <c r="R48" s="37" t="n">
        <f aca="false">INDEX(Monthly!$C$104:$BJ$104,($R$2-1)*12+11)</f>
        <v>77685.1104</v>
      </c>
      <c r="S48" s="37" t="n">
        <f aca="false">INDEX(Monthly!$C$104:$BJ$104,($R$2-1)*12+12)</f>
        <v>75510.4672</v>
      </c>
    </row>
    <row r="49" customFormat="false" ht="15" hidden="false" customHeight="false" outlineLevel="0" collapsed="false">
      <c r="A49" s="51" t="s">
        <v>97</v>
      </c>
      <c r="B49" s="35" t="n">
        <f aca="false">'Balance Sheet'!B13</f>
        <v>100000</v>
      </c>
      <c r="C49" s="35" t="n">
        <f aca="false">'Balance Sheet'!C13</f>
        <v>100000</v>
      </c>
      <c r="D49" s="35" t="n">
        <f aca="false">'Balance Sheet'!D13</f>
        <v>100000</v>
      </c>
      <c r="E49" s="35" t="n">
        <f aca="false">'Balance Sheet'!E13</f>
        <v>100000</v>
      </c>
      <c r="F49" s="35" t="n">
        <f aca="false">'Balance Sheet'!F13</f>
        <v>100000</v>
      </c>
      <c r="H49" s="35" t="n">
        <f aca="false">INDEX(Monthly!$C$101:$BJ$101,($R$2-1)*12+1)</f>
        <v>100000</v>
      </c>
      <c r="I49" s="35" t="n">
        <f aca="false">INDEX(Monthly!$C$101:$BJ$101,($R$2-1)*12+2)</f>
        <v>100000</v>
      </c>
      <c r="J49" s="35" t="n">
        <f aca="false">INDEX(Monthly!$C$101:$BJ$101,($R$2-1)*12+3)</f>
        <v>100000</v>
      </c>
      <c r="K49" s="35" t="n">
        <f aca="false">INDEX(Monthly!$C$101:$BJ$101,($R$2-1)*12+4)</f>
        <v>100000</v>
      </c>
      <c r="L49" s="35" t="n">
        <f aca="false">INDEX(Monthly!$C$101:$BJ$101,($R$2-1)*12+5)</f>
        <v>100000</v>
      </c>
      <c r="M49" s="35" t="n">
        <f aca="false">INDEX(Monthly!$C$101:$BJ$101,($R$2-1)*12+6)</f>
        <v>100000</v>
      </c>
      <c r="N49" s="35" t="n">
        <f aca="false">INDEX(Monthly!$C$101:$BJ$101,($R$2-1)*12+7)</f>
        <v>100000</v>
      </c>
      <c r="O49" s="35" t="n">
        <f aca="false">INDEX(Monthly!$C$101:$BJ$101,($R$2-1)*12+8)</f>
        <v>100000</v>
      </c>
      <c r="P49" s="35" t="n">
        <f aca="false">INDEX(Monthly!$C$101:$BJ$101,($R$2-1)*12+9)</f>
        <v>100000</v>
      </c>
      <c r="Q49" s="35" t="n">
        <f aca="false">INDEX(Monthly!$C$101:$BJ$101,($R$2-1)*12+10)</f>
        <v>100000</v>
      </c>
      <c r="R49" s="35" t="n">
        <f aca="false">INDEX(Monthly!$C$101:$BJ$101,($R$2-1)*12+11)</f>
        <v>100000</v>
      </c>
      <c r="S49" s="35" t="n">
        <f aca="false">INDEX(Monthly!$C$101:$BJ$101,($R$2-1)*12+12)</f>
        <v>100000</v>
      </c>
    </row>
    <row r="50" customFormat="false" ht="15" hidden="false" customHeight="false" outlineLevel="0" collapsed="false">
      <c r="A50" s="51" t="s">
        <v>98</v>
      </c>
      <c r="B50" s="35" t="n">
        <f aca="false">'Balance Sheet'!B14</f>
        <v>-34439.6247142857</v>
      </c>
      <c r="C50" s="35" t="n">
        <f aca="false">'Balance Sheet'!C14</f>
        <v>-35685.5623929143</v>
      </c>
      <c r="D50" s="35" t="n">
        <f aca="false">'Balance Sheet'!D14</f>
        <v>-28046.1234259542</v>
      </c>
      <c r="E50" s="35" t="n">
        <f aca="false">'Balance Sheet'!E14</f>
        <v>-10861.5722324013</v>
      </c>
      <c r="F50" s="35" t="n">
        <f aca="false">'Balance Sheet'!F14</f>
        <v>12730.7210095623</v>
      </c>
      <c r="H50" s="35" t="n">
        <f aca="false">INDEX(Monthly!$C$102:$BJ$102,($R$2-1)*12+1)</f>
        <v>-10104.6678095238</v>
      </c>
      <c r="I50" s="35" t="n">
        <f aca="false">INDEX(Monthly!$C$102:$BJ$102,($R$2-1)*12+2)</f>
        <v>-19195.2346190476</v>
      </c>
      <c r="J50" s="35" t="n">
        <f aca="false">INDEX(Monthly!$C$102:$BJ$102,($R$2-1)*12+3)</f>
        <v>-24493.6274285714</v>
      </c>
      <c r="K50" s="35" t="n">
        <f aca="false">INDEX(Monthly!$C$102:$BJ$102,($R$2-1)*12+4)</f>
        <v>-28397.2382380952</v>
      </c>
      <c r="L50" s="35" t="n">
        <f aca="false">INDEX(Monthly!$C$102:$BJ$102,($R$2-1)*12+5)</f>
        <v>-30906.0670476191</v>
      </c>
      <c r="M50" s="35" t="n">
        <f aca="false">INDEX(Monthly!$C$102:$BJ$102,($R$2-1)*12+6)</f>
        <v>-32020.1138571429</v>
      </c>
      <c r="N50" s="35" t="n">
        <f aca="false">INDEX(Monthly!$C$102:$BJ$102,($R$2-1)*12+7)</f>
        <v>-31739.3786666667</v>
      </c>
      <c r="O50" s="35" t="n">
        <f aca="false">INDEX(Monthly!$C$102:$BJ$102,($R$2-1)*12+8)</f>
        <v>-31447.3934761905</v>
      </c>
      <c r="P50" s="35" t="n">
        <f aca="false">INDEX(Monthly!$C$102:$BJ$102,($R$2-1)*12+9)</f>
        <v>-31144.1582857143</v>
      </c>
      <c r="Q50" s="35" t="n">
        <f aca="false">INDEX(Monthly!$C$102:$BJ$102,($R$2-1)*12+10)</f>
        <v>-30829.6730952381</v>
      </c>
      <c r="R50" s="35" t="n">
        <f aca="false">INDEX(Monthly!$C$102:$BJ$102,($R$2-1)*12+11)</f>
        <v>-30503.9379047619</v>
      </c>
      <c r="S50" s="35" t="n">
        <f aca="false">INDEX(Monthly!$C$102:$BJ$102,($R$2-1)*12+12)</f>
        <v>-34439.6247142857</v>
      </c>
    </row>
    <row r="51" customFormat="false" ht="15" hidden="false" customHeight="false" outlineLevel="0" collapsed="false">
      <c r="A51" s="36" t="s">
        <v>99</v>
      </c>
      <c r="B51" s="37" t="n">
        <f aca="false">'Balance Sheet'!B15</f>
        <v>65560.3752857143</v>
      </c>
      <c r="C51" s="37" t="n">
        <f aca="false">'Balance Sheet'!C15</f>
        <v>64314.4376070857</v>
      </c>
      <c r="D51" s="37" t="n">
        <f aca="false">'Balance Sheet'!D15</f>
        <v>71953.8765740458</v>
      </c>
      <c r="E51" s="37" t="n">
        <f aca="false">'Balance Sheet'!E15</f>
        <v>89138.4277675987</v>
      </c>
      <c r="F51" s="37" t="n">
        <f aca="false">'Balance Sheet'!F15</f>
        <v>112730.721009562</v>
      </c>
      <c r="H51" s="37" t="n">
        <f aca="false">INDEX(Monthly!$C$105:$BJ$105,($R$2-1)*12+1)</f>
        <v>89895.3321904762</v>
      </c>
      <c r="I51" s="37" t="n">
        <f aca="false">INDEX(Monthly!$C$105:$BJ$105,($R$2-1)*12+2)</f>
        <v>80804.7653809524</v>
      </c>
      <c r="J51" s="37" t="n">
        <f aca="false">INDEX(Monthly!$C$105:$BJ$105,($R$2-1)*12+3)</f>
        <v>75506.3725714286</v>
      </c>
      <c r="K51" s="37" t="n">
        <f aca="false">INDEX(Monthly!$C$105:$BJ$105,($R$2-1)*12+4)</f>
        <v>71602.7617619048</v>
      </c>
      <c r="L51" s="37" t="n">
        <f aca="false">INDEX(Monthly!$C$105:$BJ$105,($R$2-1)*12+5)</f>
        <v>69093.9329523809</v>
      </c>
      <c r="M51" s="37" t="n">
        <f aca="false">INDEX(Monthly!$C$105:$BJ$105,($R$2-1)*12+6)</f>
        <v>67979.8861428571</v>
      </c>
      <c r="N51" s="37" t="n">
        <f aca="false">INDEX(Monthly!$C$105:$BJ$105,($R$2-1)*12+7)</f>
        <v>68260.6213333333</v>
      </c>
      <c r="O51" s="37" t="n">
        <f aca="false">INDEX(Monthly!$C$105:$BJ$105,($R$2-1)*12+8)</f>
        <v>68552.6065238095</v>
      </c>
      <c r="P51" s="37" t="n">
        <f aca="false">INDEX(Monthly!$C$105:$BJ$105,($R$2-1)*12+9)</f>
        <v>68855.8417142857</v>
      </c>
      <c r="Q51" s="37" t="n">
        <f aca="false">INDEX(Monthly!$C$105:$BJ$105,($R$2-1)*12+10)</f>
        <v>69170.3269047619</v>
      </c>
      <c r="R51" s="37" t="n">
        <f aca="false">INDEX(Monthly!$C$105:$BJ$105,($R$2-1)*12+11)</f>
        <v>69496.0620952381</v>
      </c>
      <c r="S51" s="37" t="n">
        <f aca="false">INDEX(Monthly!$C$105:$BJ$105,($R$2-1)*12+12)</f>
        <v>65560.3752857143</v>
      </c>
    </row>
    <row r="52" customFormat="false" ht="15" hidden="false" customHeight="false" outlineLevel="0" collapsed="false">
      <c r="A52" s="40" t="s">
        <v>100</v>
      </c>
      <c r="B52" s="41" t="n">
        <f aca="false">'Balance Sheet'!B16</f>
        <v>141070.842485714</v>
      </c>
      <c r="C52" s="41" t="n">
        <f aca="false">'Balance Sheet'!C16</f>
        <v>121957.488171566</v>
      </c>
      <c r="D52" s="41" t="n">
        <f aca="false">'Balance Sheet'!D16</f>
        <v>111738.411721731</v>
      </c>
      <c r="E52" s="41" t="n">
        <f aca="false">'Balance Sheet'!E16</f>
        <v>111073.958193118</v>
      </c>
      <c r="F52" s="41" t="n">
        <f aca="false">'Balance Sheet'!F16</f>
        <v>116827.409492953</v>
      </c>
      <c r="H52" s="41" t="n">
        <f aca="false">INDEX(Monthly!$C$106:$BJ$106,($R$2-1)*12+1)</f>
        <v>180900.565790476</v>
      </c>
      <c r="I52" s="41" t="n">
        <f aca="false">INDEX(Monthly!$C$106:$BJ$106,($R$2-1)*12+2)</f>
        <v>170477.537914286</v>
      </c>
      <c r="J52" s="41" t="n">
        <f aca="false">INDEX(Monthly!$C$106:$BJ$106,($R$2-1)*12+3)</f>
        <v>164296.446171429</v>
      </c>
      <c r="K52" s="41" t="n">
        <f aca="false">INDEX(Monthly!$C$106:$BJ$106,($R$2-1)*12+4)</f>
        <v>159116.594561905</v>
      </c>
      <c r="L52" s="41" t="n">
        <f aca="false">INDEX(Monthly!$C$106:$BJ$106,($R$2-1)*12+5)</f>
        <v>155331.524952381</v>
      </c>
      <c r="M52" s="41" t="n">
        <f aca="false">INDEX(Monthly!$C$106:$BJ$106,($R$2-1)*12+6)</f>
        <v>152941.237342857</v>
      </c>
      <c r="N52" s="41" t="n">
        <f aca="false">INDEX(Monthly!$C$106:$BJ$106,($R$2-1)*12+7)</f>
        <v>151945.731733333</v>
      </c>
      <c r="O52" s="41" t="n">
        <f aca="false">INDEX(Monthly!$C$106:$BJ$106,($R$2-1)*12+8)</f>
        <v>150737.71692381</v>
      </c>
      <c r="P52" s="41" t="n">
        <f aca="false">INDEX(Monthly!$C$106:$BJ$106,($R$2-1)*12+9)</f>
        <v>149540.952114286</v>
      </c>
      <c r="Q52" s="41" t="n">
        <f aca="false">INDEX(Monthly!$C$106:$BJ$106,($R$2-1)*12+10)</f>
        <v>148355.437304762</v>
      </c>
      <c r="R52" s="41" t="n">
        <f aca="false">INDEX(Monthly!$C$106:$BJ$106,($R$2-1)*12+11)</f>
        <v>147181.172495238</v>
      </c>
      <c r="S52" s="41" t="n">
        <f aca="false">INDEX(Monthly!$C$106:$BJ$106,($R$2-1)*12+12)</f>
        <v>141070.842485714</v>
      </c>
    </row>
  </sheetData>
  <mergeCells count="1">
    <mergeCell ref="R2:S2"/>
  </mergeCells>
  <dataValidations count="1">
    <dataValidation allowBlank="false" error="Enter a year from 1 to 5" errorStyle="stop" errorTitle="Detailed year" operator="between" prompt="Pick the year shown month by month on the right" promptTitle="Detailed year" showDropDown="false" showErrorMessage="true" showInputMessage="true" sqref="R2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2"/>
    <col collapsed="false" customWidth="true" hidden="false" outlineLevel="0" max="7" min="7" style="0" width="2"/>
  </cols>
  <sheetData>
    <row r="1" customFormat="false" ht="21.75" hidden="false" customHeight="true" outlineLevel="0" collapsed="false">
      <c r="A1" s="16" t="s">
        <v>101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102</v>
      </c>
    </row>
    <row r="5" customFormat="false" ht="15.75" hidden="false" customHeight="true" outlineLevel="0" collapsed="false">
      <c r="A5" s="7" t="s">
        <v>103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33" t="s">
        <v>104</v>
      </c>
      <c r="B6" s="52" t="s">
        <v>105</v>
      </c>
      <c r="C6" s="52" t="s">
        <v>106</v>
      </c>
      <c r="D6" s="52" t="s">
        <v>107</v>
      </c>
      <c r="E6" s="52" t="s">
        <v>108</v>
      </c>
    </row>
    <row r="7" customFormat="false" ht="15" hidden="false" customHeight="false" outlineLevel="0" collapsed="false">
      <c r="A7" s="6" t="s">
        <v>109</v>
      </c>
      <c r="B7" s="53" t="n">
        <f aca="false">Inputs!$B$9</f>
        <v>17</v>
      </c>
      <c r="C7" s="53" t="n">
        <f aca="false">Inputs!$C$9</f>
        <v>18</v>
      </c>
      <c r="D7" s="53" t="n">
        <f aca="false">Inputs!$D$9</f>
        <v>19</v>
      </c>
      <c r="E7" s="54" t="n">
        <f aca="false">Inputs!$E$9</f>
        <v>18</v>
      </c>
    </row>
    <row r="8" customFormat="false" ht="15" hidden="false" customHeight="false" outlineLevel="0" collapsed="false">
      <c r="A8" s="6" t="s">
        <v>110</v>
      </c>
      <c r="B8" s="53" t="n">
        <f aca="false">Inputs!$B$17</f>
        <v>78</v>
      </c>
      <c r="C8" s="53" t="n">
        <f aca="false">Inputs!$C$17</f>
        <v>88</v>
      </c>
      <c r="D8" s="53" t="n">
        <f aca="false">Inputs!$D$17</f>
        <v>98</v>
      </c>
      <c r="E8" s="54" t="n">
        <f aca="false">Inputs!$E$17</f>
        <v>88</v>
      </c>
    </row>
    <row r="9" customFormat="false" ht="15" hidden="false" customHeight="false" outlineLevel="0" collapsed="false">
      <c r="A9" s="6" t="s">
        <v>111</v>
      </c>
      <c r="B9" s="55" t="n">
        <f aca="false">Inputs!$B$19</f>
        <v>13</v>
      </c>
      <c r="C9" s="55" t="n">
        <f aca="false">Inputs!$C$19</f>
        <v>14</v>
      </c>
      <c r="D9" s="55" t="n">
        <f aca="false">Inputs!$D$19</f>
        <v>15</v>
      </c>
      <c r="E9" s="56" t="n">
        <f aca="false">Inputs!$E$19</f>
        <v>14</v>
      </c>
    </row>
    <row r="10" customFormat="false" ht="15" hidden="false" customHeight="false" outlineLevel="0" collapsed="false">
      <c r="A10" s="6" t="s">
        <v>112</v>
      </c>
      <c r="B10" s="53" t="n">
        <f aca="false">Inputs!$B$23</f>
        <v>2.5</v>
      </c>
      <c r="C10" s="53" t="n">
        <f aca="false">Inputs!$C$23</f>
        <v>3</v>
      </c>
      <c r="D10" s="53" t="n">
        <f aca="false">Inputs!$D$23</f>
        <v>3.5</v>
      </c>
      <c r="E10" s="54" t="n">
        <f aca="false">Inputs!$E$23</f>
        <v>3</v>
      </c>
    </row>
    <row r="11" customFormat="false" ht="15" hidden="false" customHeight="false" outlineLevel="0" collapsed="false">
      <c r="A11" s="6" t="s">
        <v>113</v>
      </c>
      <c r="B11" s="57" t="n">
        <f aca="false">Inputs!$B$29</f>
        <v>0.345</v>
      </c>
      <c r="C11" s="57" t="n">
        <f aca="false">Inputs!$C$29</f>
        <v>0.33</v>
      </c>
      <c r="D11" s="57" t="n">
        <f aca="false">Inputs!$D$29</f>
        <v>0.315</v>
      </c>
      <c r="E11" s="58" t="n">
        <f aca="false">Inputs!$E$29</f>
        <v>0.33</v>
      </c>
    </row>
    <row r="12" customFormat="false" ht="15" hidden="false" customHeight="false" outlineLevel="0" collapsed="false">
      <c r="A12" s="6" t="s">
        <v>114</v>
      </c>
      <c r="B12" s="59" t="n">
        <f aca="false">Inputs!$B$49</f>
        <v>95000</v>
      </c>
      <c r="C12" s="59" t="n">
        <f aca="false">Inputs!$C$49</f>
        <v>95000</v>
      </c>
      <c r="D12" s="59" t="n">
        <f aca="false">Inputs!$D$49</f>
        <v>95000</v>
      </c>
      <c r="E12" s="60" t="n">
        <f aca="false">Inputs!$E$49</f>
        <v>95000</v>
      </c>
    </row>
    <row r="13" customFormat="false" ht="15" hidden="false" customHeight="false" outlineLevel="0" collapsed="false">
      <c r="A13" s="6" t="s">
        <v>115</v>
      </c>
      <c r="B13" s="59" t="n">
        <f aca="false">Inputs!$B$71</f>
        <v>100000</v>
      </c>
      <c r="C13" s="59" t="n">
        <f aca="false">Inputs!$C$71</f>
        <v>100000</v>
      </c>
      <c r="D13" s="59" t="n">
        <f aca="false">Inputs!$D$71</f>
        <v>100000</v>
      </c>
      <c r="E13" s="60" t="n">
        <f aca="false">Inputs!$E$71</f>
        <v>100000</v>
      </c>
    </row>
    <row r="15" customFormat="false" ht="15.75" hidden="false" customHeight="true" outlineLevel="0" collapsed="false">
      <c r="A15" s="7" t="s">
        <v>116</v>
      </c>
      <c r="B15" s="7"/>
      <c r="C15" s="7"/>
      <c r="D15" s="7"/>
      <c r="E15" s="7"/>
      <c r="F15" s="7"/>
    </row>
    <row r="16" customFormat="false" ht="15" hidden="false" customHeight="false" outlineLevel="0" collapsed="false">
      <c r="A16" s="33" t="s">
        <v>117</v>
      </c>
      <c r="B16" s="52" t="s">
        <v>105</v>
      </c>
      <c r="C16" s="52" t="s">
        <v>106</v>
      </c>
      <c r="D16" s="52" t="s">
        <v>107</v>
      </c>
      <c r="E16" s="52" t="s">
        <v>108</v>
      </c>
    </row>
    <row r="17" customFormat="false" ht="15" hidden="false" customHeight="false" outlineLevel="0" collapsed="false">
      <c r="A17" s="6" t="s">
        <v>118</v>
      </c>
      <c r="B17" s="61" t="n">
        <f aca="false">F30</f>
        <v>264498.79288896</v>
      </c>
      <c r="C17" s="61" t="n">
        <f aca="false">F31</f>
        <v>406053.094744669</v>
      </c>
      <c r="D17" s="61" t="n">
        <f aca="false">F32</f>
        <v>588090.219988777</v>
      </c>
      <c r="E17" s="62" t="n">
        <f aca="false">'P&amp;L'!F5</f>
        <v>406053.094744669</v>
      </c>
    </row>
    <row r="18" customFormat="false" ht="15" hidden="false" customHeight="false" outlineLevel="0" collapsed="false">
      <c r="A18" s="6" t="s">
        <v>119</v>
      </c>
      <c r="B18" s="61" t="n">
        <f aca="false">SUM(B30:F30)</f>
        <v>1208322.11067029</v>
      </c>
      <c r="C18" s="61" t="n">
        <f aca="false">SUM(B31:F31)</f>
        <v>1756742.32203141</v>
      </c>
      <c r="D18" s="61" t="n">
        <f aca="false">SUM(B32:F32)</f>
        <v>2417583.74397726</v>
      </c>
      <c r="E18" s="62" t="n">
        <f aca="false">SUM('P&amp;L'!$B$5:$F$5)</f>
        <v>1756742.32203141</v>
      </c>
    </row>
    <row r="19" customFormat="false" ht="15" hidden="false" customHeight="false" outlineLevel="0" collapsed="false">
      <c r="A19" s="6" t="s">
        <v>120</v>
      </c>
      <c r="B19" s="61" t="n">
        <f aca="false">F36</f>
        <v>-48078.488587209</v>
      </c>
      <c r="C19" s="61" t="n">
        <f aca="false">F37</f>
        <v>49525.5161792919</v>
      </c>
      <c r="D19" s="61" t="n">
        <f aca="false">F38</f>
        <v>178096.685436249</v>
      </c>
      <c r="E19" s="62" t="n">
        <f aca="false">'P&amp;L'!F19</f>
        <v>49525.5161792919</v>
      </c>
    </row>
    <row r="20" customFormat="false" ht="15" hidden="false" customHeight="false" outlineLevel="0" collapsed="false">
      <c r="A20" s="6" t="s">
        <v>121</v>
      </c>
      <c r="B20" s="63" t="n">
        <f aca="false">IF(B17=0,0,B19/B17)</f>
        <v>-0.181772052953727</v>
      </c>
      <c r="C20" s="63" t="n">
        <f aca="false">IF(C17=0,0,C19/C17)</f>
        <v>0.121968079594207</v>
      </c>
      <c r="D20" s="63" t="n">
        <f aca="false">IF(D17=0,0,D19/D17)</f>
        <v>0.302839053231744</v>
      </c>
      <c r="E20" s="64" t="n">
        <f aca="false">IF(E17=0,0,E19/E17)</f>
        <v>0.121968079594207</v>
      </c>
    </row>
    <row r="21" customFormat="false" ht="15" hidden="false" customHeight="false" outlineLevel="0" collapsed="false">
      <c r="A21" s="6" t="s">
        <v>122</v>
      </c>
      <c r="B21" s="61" t="n">
        <f aca="false">F42</f>
        <v>-70166.3457300661</v>
      </c>
      <c r="C21" s="61" t="n">
        <f aca="false">F43</f>
        <v>23592.2932419636</v>
      </c>
      <c r="D21" s="61" t="n">
        <f aca="false">F44</f>
        <v>123246.97435178</v>
      </c>
      <c r="E21" s="62" t="n">
        <f aca="false">'P&amp;L'!F26</f>
        <v>23592.2932419636</v>
      </c>
    </row>
    <row r="22" customFormat="false" ht="15" hidden="false" customHeight="false" outlineLevel="0" collapsed="false">
      <c r="A22" s="6" t="s">
        <v>123</v>
      </c>
      <c r="B22" s="61" t="n">
        <f aca="false">SUM(B42:F42)</f>
        <v>-367104.447097181</v>
      </c>
      <c r="C22" s="61" t="n">
        <f aca="false">SUM(B43:F43)</f>
        <v>12730.7210095623</v>
      </c>
      <c r="D22" s="61" t="n">
        <f aca="false">SUM(B44:F44)</f>
        <v>390953.023369369</v>
      </c>
      <c r="E22" s="62" t="n">
        <f aca="false">SUM('P&amp;L'!$B$26:$F$26)</f>
        <v>12730.7210095623</v>
      </c>
    </row>
    <row r="23" customFormat="false" ht="15" hidden="false" customHeight="false" outlineLevel="0" collapsed="false">
      <c r="A23" s="6" t="s">
        <v>124</v>
      </c>
      <c r="B23" s="61" t="n">
        <f aca="false">F48</f>
        <v>-312120.357754803</v>
      </c>
      <c r="C23" s="61" t="n">
        <f aca="false">F49</f>
        <v>67175.921686511</v>
      </c>
      <c r="D23" s="61" t="n">
        <f aca="false">F50</f>
        <v>444596.237446747</v>
      </c>
      <c r="E23" s="62" t="n">
        <f aca="false">'Balance Sheet'!F5</f>
        <v>67175.921686511</v>
      </c>
    </row>
    <row r="24" customFormat="false" ht="15" hidden="false" customHeight="false" outlineLevel="0" collapsed="false">
      <c r="A24" s="6" t="s">
        <v>125</v>
      </c>
      <c r="B24" s="61" t="n">
        <f aca="false">MIN('Scenario calc'!$C$91:$BJ$91)</f>
        <v>-312120.357754803</v>
      </c>
      <c r="C24" s="61" t="n">
        <f aca="false">MIN('Scenario calc'!$C$211:$BJ$211)</f>
        <v>9872.41510303594</v>
      </c>
      <c r="D24" s="61" t="n">
        <f aca="false">MIN('Scenario calc'!$C$331:$BJ$331)</f>
        <v>43192.08548</v>
      </c>
      <c r="E24" s="62" t="n">
        <f aca="false">'Break-even'!B18</f>
        <v>9872.41510303594</v>
      </c>
    </row>
    <row r="25" customFormat="false" ht="15" hidden="false" customHeight="false" outlineLevel="0" collapsed="false">
      <c r="A25" s="6" t="s">
        <v>126</v>
      </c>
      <c r="B25" s="65" t="n">
        <f aca="false">MATCH(MIN('Scenario calc'!$C$91:$BJ$91),'Scenario calc'!$C$91:$BJ$91,0)</f>
        <v>60</v>
      </c>
      <c r="C25" s="65" t="n">
        <f aca="false">MATCH(MIN('Scenario calc'!$C$211:$BJ$211),'Scenario calc'!$C$211:$BJ$211,0)</f>
        <v>26</v>
      </c>
      <c r="D25" s="65" t="n">
        <f aca="false">MATCH(MIN('Scenario calc'!$C$331:$BJ$331),'Scenario calc'!$C$331:$BJ$331,0)</f>
        <v>2</v>
      </c>
      <c r="E25" s="66" t="n">
        <f aca="false">'Break-even'!B6</f>
        <v>26</v>
      </c>
    </row>
    <row r="26" customFormat="false" ht="15" hidden="false" customHeight="false" outlineLevel="0" collapsed="false">
      <c r="A26" s="4" t="s">
        <v>66</v>
      </c>
      <c r="B26" s="61" t="n">
        <f aca="false">SUMPRODUCT(--('Scenario calc'!$C$6:$BJ$6&lt;=B25),'Scenario calc'!$C$64:$BJ$64)-SUMPRODUCT(--('Scenario calc'!$C$6:$BJ$6&lt;=B25),'Scenario calc'!$C$85:$BJ$85)-SUMPRODUCT(--('Scenario calc'!$C$6:$BJ$6&lt;=B25),'Scenario calc'!$C$73:$BJ$73)+Inputs!$B$86</f>
        <v>544120.357754803</v>
      </c>
      <c r="C26" s="61" t="n">
        <f aca="false">SUMPRODUCT(--('Scenario calc'!$C$126:$BJ$126&lt;=C25),'Scenario calc'!$C$184:$BJ$184)-SUMPRODUCT(--('Scenario calc'!$C$126:$BJ$126&lt;=C25),'Scenario calc'!$C$205:$BJ$205)-SUMPRODUCT(--('Scenario calc'!$C$126:$BJ$126&lt;=C25),'Scenario calc'!$C$193:$BJ$193)+Inputs!$C$86</f>
        <v>222127.584896964</v>
      </c>
      <c r="D26" s="61" t="n">
        <f aca="false">SUMPRODUCT(--('Scenario calc'!$C$246:$BJ$246&lt;=D25),'Scenario calc'!$C$304:$BJ$304)-SUMPRODUCT(--('Scenario calc'!$C$246:$BJ$246&lt;=D25),'Scenario calc'!$C$325:$BJ$325)-SUMPRODUCT(--('Scenario calc'!$C$246:$BJ$246&lt;=D25),'Scenario calc'!$C$313:$BJ$313)+Inputs!$D$86</f>
        <v>188807.91452</v>
      </c>
      <c r="E26" s="62" t="n">
        <f aca="false">'Break-even'!B12</f>
        <v>222127.584896964</v>
      </c>
    </row>
    <row r="28" customFormat="false" ht="15.75" hidden="false" customHeight="true" outlineLevel="0" collapsed="false">
      <c r="A28" s="7" t="s">
        <v>127</v>
      </c>
      <c r="B28" s="7"/>
      <c r="C28" s="7"/>
      <c r="D28" s="7"/>
      <c r="E28" s="7"/>
      <c r="F28" s="7"/>
    </row>
    <row r="29" customFormat="false" ht="15" hidden="false" customHeight="false" outlineLevel="0" collapsed="false">
      <c r="A29" s="33" t="s">
        <v>128</v>
      </c>
      <c r="B29" s="34" t="n">
        <v>1</v>
      </c>
      <c r="C29" s="34" t="n">
        <v>2</v>
      </c>
      <c r="D29" s="34" t="n">
        <v>3</v>
      </c>
      <c r="E29" s="34" t="n">
        <v>4</v>
      </c>
      <c r="F29" s="34" t="n">
        <v>5</v>
      </c>
    </row>
    <row r="30" customFormat="false" ht="15" hidden="false" customHeight="false" outlineLevel="0" collapsed="false">
      <c r="A30" s="6" t="s">
        <v>105</v>
      </c>
      <c r="B30" s="61" t="n">
        <f aca="false">SUMIF('Scenario calc'!$C$7:$BJ$7,B$29,'Scenario calc'!$C$26:$BJ$26)</f>
        <v>181039.673333333</v>
      </c>
      <c r="C30" s="61" t="n">
        <f aca="false">SUMIF('Scenario calc'!$C$7:$BJ$7,C$29,'Scenario calc'!$C$26:$BJ$26)</f>
        <v>249243.12</v>
      </c>
      <c r="D30" s="61" t="n">
        <f aca="false">SUMIF('Scenario calc'!$C$7:$BJ$7,D$29,'Scenario calc'!$C$26:$BJ$26)</f>
        <v>254227.9824</v>
      </c>
      <c r="E30" s="61" t="n">
        <f aca="false">SUMIF('Scenario calc'!$C$7:$BJ$7,E$29,'Scenario calc'!$C$26:$BJ$26)</f>
        <v>259312.542048</v>
      </c>
      <c r="F30" s="61" t="n">
        <f aca="false">SUMIF('Scenario calc'!$C$7:$BJ$7,F$29,'Scenario calc'!$C$26:$BJ$26)</f>
        <v>264498.79288896</v>
      </c>
    </row>
    <row r="31" customFormat="false" ht="15" hidden="false" customHeight="false" outlineLevel="0" collapsed="false">
      <c r="A31" s="6" t="s">
        <v>106</v>
      </c>
      <c r="B31" s="61" t="n">
        <f aca="false">SUMIF('Scenario calc'!$C$127:$BJ$127,B$29,'Scenario calc'!$C$146:$BJ$146)</f>
        <v>273896</v>
      </c>
      <c r="C31" s="61" t="n">
        <f aca="false">SUMIF('Scenario calc'!$C$127:$BJ$127,C$29,'Scenario calc'!$C$146:$BJ$146)</f>
        <v>336825.8208</v>
      </c>
      <c r="D31" s="61" t="n">
        <f aca="false">SUMIF('Scenario calc'!$C$127:$BJ$127,D$29,'Scenario calc'!$C$146:$BJ$146)</f>
        <v>358461.36984672</v>
      </c>
      <c r="E31" s="61" t="n">
        <f aca="false">SUMIF('Scenario calc'!$C$127:$BJ$127,E$29,'Scenario calc'!$C$146:$BJ$146)</f>
        <v>381506.036640025</v>
      </c>
      <c r="F31" s="61" t="n">
        <f aca="false">SUMIF('Scenario calc'!$C$127:$BJ$127,F$29,'Scenario calc'!$C$146:$BJ$146)</f>
        <v>406053.094744669</v>
      </c>
    </row>
    <row r="32" customFormat="false" ht="15" hidden="false" customHeight="false" outlineLevel="0" collapsed="false">
      <c r="A32" s="6" t="s">
        <v>107</v>
      </c>
      <c r="B32" s="61" t="n">
        <f aca="false">SUMIF('Scenario calc'!$C$247:$BJ$247,B$29,'Scenario calc'!$C$266:$BJ$266)</f>
        <v>370256.6</v>
      </c>
      <c r="C32" s="61" t="n">
        <f aca="false">SUMIF('Scenario calc'!$C$247:$BJ$247,C$29,'Scenario calc'!$C$266:$BJ$266)</f>
        <v>440469.12</v>
      </c>
      <c r="D32" s="61" t="n">
        <f aca="false">SUMIF('Scenario calc'!$C$247:$BJ$247,D$29,'Scenario calc'!$C$266:$BJ$266)</f>
        <v>484864.94784</v>
      </c>
      <c r="E32" s="61" t="n">
        <f aca="false">SUMIF('Scenario calc'!$C$247:$BJ$247,E$29,'Scenario calc'!$C$266:$BJ$266)</f>
        <v>533902.85614848</v>
      </c>
      <c r="F32" s="61" t="n">
        <f aca="false">SUMIF('Scenario calc'!$C$247:$BJ$247,F$29,'Scenario calc'!$C$266:$BJ$266)</f>
        <v>588090.219988777</v>
      </c>
    </row>
    <row r="34" customFormat="false" ht="15.75" hidden="false" customHeight="true" outlineLevel="0" collapsed="false">
      <c r="A34" s="7" t="s">
        <v>129</v>
      </c>
      <c r="B34" s="7"/>
      <c r="C34" s="7"/>
      <c r="D34" s="7"/>
      <c r="E34" s="7"/>
      <c r="F34" s="7"/>
    </row>
    <row r="35" customFormat="false" ht="15" hidden="false" customHeight="false" outlineLevel="0" collapsed="false">
      <c r="A35" s="33" t="s">
        <v>128</v>
      </c>
      <c r="B35" s="34" t="n">
        <v>1</v>
      </c>
      <c r="C35" s="34" t="n">
        <v>2</v>
      </c>
      <c r="D35" s="34" t="n">
        <v>3</v>
      </c>
      <c r="E35" s="34" t="n">
        <v>4</v>
      </c>
      <c r="F35" s="34" t="n">
        <v>5</v>
      </c>
    </row>
    <row r="36" customFormat="false" ht="15" hidden="false" customHeight="false" outlineLevel="0" collapsed="false">
      <c r="A36" s="6" t="s">
        <v>105</v>
      </c>
      <c r="B36" s="61" t="n">
        <f aca="false">SUMIF('Scenario calc'!$C$7:$BJ$7,B$35,'Scenario calc'!$C$48:$BJ$48)</f>
        <v>-70979.5630066667</v>
      </c>
      <c r="C36" s="61" t="n">
        <f aca="false">SUMIF('Scenario calc'!$C$7:$BJ$7,C$35,'Scenario calc'!$C$48:$BJ$48)</f>
        <v>-38601.11312</v>
      </c>
      <c r="D36" s="61" t="n">
        <f aca="false">SUMIF('Scenario calc'!$C$7:$BJ$7,D$35,'Scenario calc'!$C$48:$BJ$48)</f>
        <v>-41612.9529824</v>
      </c>
      <c r="E36" s="61" t="n">
        <f aca="false">SUMIF('Scenario calc'!$C$7:$BJ$7,E$35,'Scenario calc'!$C$48:$BJ$48)</f>
        <v>-44770.0972580479</v>
      </c>
      <c r="F36" s="61" t="n">
        <f aca="false">SUMIF('Scenario calc'!$C$7:$BJ$7,F$35,'Scenario calc'!$C$48:$BJ$48)</f>
        <v>-48078.488587209</v>
      </c>
    </row>
    <row r="37" customFormat="false" ht="15" hidden="false" customHeight="false" outlineLevel="0" collapsed="false">
      <c r="A37" s="6" t="s">
        <v>106</v>
      </c>
      <c r="B37" s="61" t="n">
        <f aca="false">SUMIF('Scenario calc'!$C$127:$BJ$127,B$35,'Scenario calc'!$C$168:$BJ$168)</f>
        <v>-7305.96400000003</v>
      </c>
      <c r="C37" s="61" t="n">
        <f aca="false">SUMIF('Scenario calc'!$C$127:$BJ$127,C$35,'Scenario calc'!$C$168:$BJ$168)</f>
        <v>24630.4908928</v>
      </c>
      <c r="D37" s="61" t="n">
        <f aca="false">SUMIF('Scenario calc'!$C$127:$BJ$127,D$35,'Scenario calc'!$C$168:$BJ$168)</f>
        <v>32253.0103955315</v>
      </c>
      <c r="E37" s="61" t="n">
        <f aca="false">SUMIF('Scenario calc'!$C$127:$BJ$127,E$35,'Scenario calc'!$C$168:$BJ$168)</f>
        <v>40535.2654792672</v>
      </c>
      <c r="F37" s="61" t="n">
        <f aca="false">SUMIF('Scenario calc'!$C$127:$BJ$127,F$35,'Scenario calc'!$C$168:$BJ$168)</f>
        <v>49525.5161792919</v>
      </c>
    </row>
    <row r="38" customFormat="false" ht="15" hidden="false" customHeight="false" outlineLevel="0" collapsed="false">
      <c r="A38" s="6" t="s">
        <v>107</v>
      </c>
      <c r="B38" s="61" t="n">
        <f aca="false">SUMIF('Scenario calc'!$C$247:$BJ$247,B$35,'Scenario calc'!$C$288:$BJ$288)</f>
        <v>63466.4168</v>
      </c>
      <c r="C38" s="61" t="n">
        <f aca="false">SUMIF('Scenario calc'!$C$247:$BJ$247,C$35,'Scenario calc'!$C$288:$BJ$288)</f>
        <v>101989.39696</v>
      </c>
      <c r="D38" s="61" t="n">
        <f aca="false">SUMIF('Scenario calc'!$C$247:$BJ$247,D$35,'Scenario calc'!$C$288:$BJ$288)</f>
        <v>124559.55665572</v>
      </c>
      <c r="E38" s="61" t="n">
        <f aca="false">SUMIF('Scenario calc'!$C$247:$BJ$247,E$35,'Scenario calc'!$C$288:$BJ$288)</f>
        <v>149827.421062242</v>
      </c>
      <c r="F38" s="61" t="n">
        <f aca="false">SUMIF('Scenario calc'!$C$247:$BJ$247,F$35,'Scenario calc'!$C$288:$BJ$288)</f>
        <v>178096.685436249</v>
      </c>
    </row>
    <row r="40" customFormat="false" ht="15.75" hidden="false" customHeight="true" outlineLevel="0" collapsed="false">
      <c r="A40" s="7" t="s">
        <v>130</v>
      </c>
      <c r="B40" s="7"/>
      <c r="C40" s="7"/>
      <c r="D40" s="7"/>
      <c r="E40" s="7"/>
      <c r="F40" s="7"/>
    </row>
    <row r="41" customFormat="false" ht="15" hidden="false" customHeight="false" outlineLevel="0" collapsed="false">
      <c r="A41" s="33" t="s">
        <v>128</v>
      </c>
      <c r="B41" s="34" t="n">
        <v>1</v>
      </c>
      <c r="C41" s="34" t="n">
        <v>2</v>
      </c>
      <c r="D41" s="34" t="n">
        <v>3</v>
      </c>
      <c r="E41" s="34" t="n">
        <v>4</v>
      </c>
      <c r="F41" s="34" t="n">
        <v>5</v>
      </c>
    </row>
    <row r="42" customFormat="false" ht="15" hidden="false" customHeight="false" outlineLevel="0" collapsed="false">
      <c r="A42" s="6" t="s">
        <v>105</v>
      </c>
      <c r="B42" s="61" t="n">
        <f aca="false">SUMIF('Scenario calc'!$C$7:$BJ$7,B$41,'Scenario calc'!$C$57:$BJ$57)</f>
        <v>-98113.2237209524</v>
      </c>
      <c r="C42" s="61" t="n">
        <f aca="false">SUMIF('Scenario calc'!$C$7:$BJ$7,C$41,'Scenario calc'!$C$57:$BJ$57)</f>
        <v>-64477.5416914286</v>
      </c>
      <c r="D42" s="61" t="n">
        <f aca="false">SUMIF('Scenario calc'!$C$7:$BJ$7,D$41,'Scenario calc'!$C$57:$BJ$57)</f>
        <v>-66226.5244109714</v>
      </c>
      <c r="E42" s="61" t="n">
        <f aca="false">SUMIF('Scenario calc'!$C$7:$BJ$7,E$41,'Scenario calc'!$C$57:$BJ$57)</f>
        <v>-68120.8115437622</v>
      </c>
      <c r="F42" s="61" t="n">
        <f aca="false">SUMIF('Scenario calc'!$C$7:$BJ$7,F$41,'Scenario calc'!$C$57:$BJ$57)</f>
        <v>-70166.3457300661</v>
      </c>
    </row>
    <row r="43" customFormat="false" ht="15" hidden="false" customHeight="false" outlineLevel="0" collapsed="false">
      <c r="A43" s="6" t="s">
        <v>106</v>
      </c>
      <c r="B43" s="61" t="n">
        <f aca="false">SUMIF('Scenario calc'!$C$127:$BJ$127,B$41,'Scenario calc'!$C$177:$BJ$177)</f>
        <v>-34439.6247142858</v>
      </c>
      <c r="C43" s="61" t="n">
        <f aca="false">SUMIF('Scenario calc'!$C$127:$BJ$127,C$41,'Scenario calc'!$C$177:$BJ$177)</f>
        <v>-1245.9376786286</v>
      </c>
      <c r="D43" s="61" t="n">
        <f aca="false">SUMIF('Scenario calc'!$C$127:$BJ$127,D$41,'Scenario calc'!$C$177:$BJ$177)</f>
        <v>7639.43896696008</v>
      </c>
      <c r="E43" s="61" t="n">
        <f aca="false">SUMIF('Scenario calc'!$C$127:$BJ$127,E$41,'Scenario calc'!$C$177:$BJ$177)</f>
        <v>17184.5511935529</v>
      </c>
      <c r="F43" s="61" t="n">
        <f aca="false">SUMIF('Scenario calc'!$C$127:$BJ$127,F$41,'Scenario calc'!$C$177:$BJ$177)</f>
        <v>23592.2932419636</v>
      </c>
    </row>
    <row r="44" customFormat="false" ht="15" hidden="false" customHeight="false" outlineLevel="0" collapsed="false">
      <c r="A44" s="6" t="s">
        <v>107</v>
      </c>
      <c r="B44" s="61" t="n">
        <f aca="false">SUMIF('Scenario calc'!$C$247:$BJ$247,B$41,'Scenario calc'!$C$297:$BJ$297)</f>
        <v>28702.8773077143</v>
      </c>
      <c r="C44" s="61" t="n">
        <f aca="false">SUMIF('Scenario calc'!$C$247:$BJ$247,C$41,'Scenario calc'!$C$297:$BJ$297)</f>
        <v>60129.2450269715</v>
      </c>
      <c r="D44" s="61" t="n">
        <f aca="false">SUMIF('Scenario calc'!$C$247:$BJ$247,D$41,'Scenario calc'!$C$297:$BJ$297)</f>
        <v>78957.3283294474</v>
      </c>
      <c r="E44" s="61" t="n">
        <f aca="false">SUMIF('Scenario calc'!$C$247:$BJ$247,E$41,'Scenario calc'!$C$297:$BJ$297)</f>
        <v>99916.5983534566</v>
      </c>
      <c r="F44" s="61" t="n">
        <f aca="false">SUMIF('Scenario calc'!$C$247:$BJ$247,F$41,'Scenario calc'!$C$297:$BJ$297)</f>
        <v>123246.97435178</v>
      </c>
    </row>
    <row r="46" customFormat="false" ht="15.75" hidden="false" customHeight="true" outlineLevel="0" collapsed="false">
      <c r="A46" s="7" t="s">
        <v>131</v>
      </c>
      <c r="B46" s="7"/>
      <c r="C46" s="7"/>
      <c r="D46" s="7"/>
      <c r="E46" s="7"/>
      <c r="F46" s="7"/>
    </row>
    <row r="47" customFormat="false" ht="15" hidden="false" customHeight="false" outlineLevel="0" collapsed="false">
      <c r="A47" s="33" t="s">
        <v>128</v>
      </c>
      <c r="B47" s="34" t="n">
        <v>1</v>
      </c>
      <c r="C47" s="34" t="n">
        <v>2</v>
      </c>
      <c r="D47" s="34" t="n">
        <v>3</v>
      </c>
      <c r="E47" s="34" t="n">
        <v>4</v>
      </c>
      <c r="F47" s="34" t="n">
        <v>5</v>
      </c>
    </row>
    <row r="48" customFormat="false" ht="15" hidden="false" customHeight="false" outlineLevel="0" collapsed="false">
      <c r="A48" s="6" t="s">
        <v>105</v>
      </c>
      <c r="B48" s="61" t="n">
        <f aca="false">INDEX('Scenario calc'!$C$91:$BJ$91,B$47*12)</f>
        <v>-43517.11246</v>
      </c>
      <c r="C48" s="61" t="n">
        <f aca="false">INDEX('Scenario calc'!$C$91:$BJ$91,C$47*12)</f>
        <v>-108433.218135733</v>
      </c>
      <c r="D48" s="61" t="n">
        <f aca="false">INDEX('Scenario calc'!$C$91:$BJ$91,D$47*12)</f>
        <v>-174741.268687648</v>
      </c>
      <c r="E48" s="61" t="n">
        <f aca="false">INDEX('Scenario calc'!$C$91:$BJ$91,E$47*12)</f>
        <v>-242586.566835774</v>
      </c>
      <c r="F48" s="61" t="n">
        <f aca="false">INDEX('Scenario calc'!$C$91:$BJ$91,F$47*12)</f>
        <v>-312120.357754803</v>
      </c>
    </row>
    <row r="49" customFormat="false" ht="15" hidden="false" customHeight="false" outlineLevel="0" collapsed="false">
      <c r="A49" s="6" t="s">
        <v>106</v>
      </c>
      <c r="B49" s="61" t="n">
        <f aca="false">INDEX('Scenario calc'!$C$211:$BJ$211,B$47*12)</f>
        <v>19840.2994</v>
      </c>
      <c r="C49" s="61" t="n">
        <f aca="false">INDEX('Scenario calc'!$C$211:$BJ$211,C$47*12)</f>
        <v>18106.0333353599</v>
      </c>
      <c r="D49" s="61" t="n">
        <f aca="false">INDEX('Scenario calc'!$C$211:$BJ$211,D$47*12)</f>
        <v>25610.4149463593</v>
      </c>
      <c r="E49" s="61" t="n">
        <f aca="false">INDEX('Scenario calc'!$C$211:$BJ$211,E$47*12)</f>
        <v>43012.9250605192</v>
      </c>
      <c r="F49" s="61" t="n">
        <f aca="false">INDEX('Scenario calc'!$C$211:$BJ$211,F$47*12)</f>
        <v>67175.921686511</v>
      </c>
    </row>
    <row r="50" customFormat="false" ht="15" hidden="false" customHeight="false" outlineLevel="0" collapsed="false">
      <c r="A50" s="6" t="s">
        <v>107</v>
      </c>
      <c r="B50" s="61" t="n">
        <f aca="false">INDEX('Scenario calc'!$C$331:$BJ$331,B$47*12)</f>
        <v>82563.6747553334</v>
      </c>
      <c r="C50" s="61" t="n">
        <f aca="false">INDEX('Scenario calc'!$C$331:$BJ$331,C$47*12)</f>
        <v>142126.3463292</v>
      </c>
      <c r="D50" s="61" t="n">
        <f aca="false">INDEX('Scenario calc'!$C$331:$BJ$331,D$47*12)</f>
        <v>220859.658568589</v>
      </c>
      <c r="E50" s="61" t="n">
        <f aca="false">INDEX('Scenario calc'!$C$331:$BJ$331,E$47*12)</f>
        <v>320893.186550943</v>
      </c>
      <c r="F50" s="61" t="n">
        <f aca="false">INDEX('Scenario calc'!$C$331:$BJ$331,F$47*12)</f>
        <v>444596.237446747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21.75" hidden="false" customHeight="true" outlineLevel="0" collapsed="false">
      <c r="A1" s="16" t="s">
        <v>132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133</v>
      </c>
    </row>
    <row r="3" customFormat="false" ht="15" hidden="false" customHeight="false" outlineLevel="0" collapsed="false">
      <c r="A3" s="4" t="s">
        <v>134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135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6" t="s">
        <v>126</v>
      </c>
      <c r="B6" s="65" t="n">
        <f aca="false">MATCH(MIN(Monthly!$C$89:$BJ$89),Monthly!$C$89:$BJ$89,0)</f>
        <v>26</v>
      </c>
    </row>
    <row r="7" customFormat="false" ht="15" hidden="false" customHeight="false" outlineLevel="0" collapsed="false">
      <c r="A7" s="6" t="s">
        <v>136</v>
      </c>
      <c r="B7" s="67" t="n">
        <f aca="false">SUMPRODUCT(--(Monthly!$C$4:$BJ$4&lt;=$B$6),Monthly!$C$62:$BJ$62)</f>
        <v>143000</v>
      </c>
    </row>
    <row r="8" customFormat="false" ht="15" hidden="false" customHeight="false" outlineLevel="0" collapsed="false">
      <c r="A8" s="6" t="s">
        <v>137</v>
      </c>
      <c r="B8" s="67" t="n">
        <f aca="false">-SUMPRODUCT(--(Monthly!$C$4:$BJ$4&lt;=$B$6),Monthly!$C$83:$BJ$83)</f>
        <v>-372.415103035946</v>
      </c>
      <c r="D8" s="18" t="s">
        <v>138</v>
      </c>
    </row>
    <row r="9" customFormat="false" ht="15" hidden="false" customHeight="false" outlineLevel="0" collapsed="false">
      <c r="A9" s="6" t="s">
        <v>139</v>
      </c>
      <c r="B9" s="67" t="n">
        <f aca="false">-SUMPRODUCT(--(Monthly!$C$4:$BJ$4&lt;=$B$6),Monthly!$C$71:$BJ$71)</f>
        <v>37500</v>
      </c>
    </row>
    <row r="10" customFormat="false" ht="15" hidden="false" customHeight="false" outlineLevel="0" collapsed="false">
      <c r="A10" s="4" t="s">
        <v>140</v>
      </c>
      <c r="B10" s="68" t="n">
        <f aca="false">B7+B8+B9</f>
        <v>180127.584896964</v>
      </c>
    </row>
    <row r="11" customFormat="false" ht="15" hidden="false" customHeight="false" outlineLevel="0" collapsed="false">
      <c r="A11" s="6" t="s">
        <v>141</v>
      </c>
      <c r="B11" s="69" t="n">
        <f aca="false">Inputs!$E$86</f>
        <v>42000</v>
      </c>
      <c r="D11" s="18" t="s">
        <v>142</v>
      </c>
    </row>
    <row r="12" customFormat="false" ht="15" hidden="false" customHeight="false" outlineLevel="0" collapsed="false">
      <c r="A12" s="4" t="s">
        <v>143</v>
      </c>
      <c r="B12" s="68" t="n">
        <f aca="false">B10+B11</f>
        <v>222127.584896964</v>
      </c>
    </row>
    <row r="14" customFormat="false" ht="15" hidden="false" customHeight="false" outlineLevel="0" collapsed="false">
      <c r="A14" s="6" t="s">
        <v>64</v>
      </c>
      <c r="B14" s="69" t="n">
        <f aca="false">Inputs!$E$71</f>
        <v>100000</v>
      </c>
    </row>
    <row r="15" customFormat="false" ht="15" hidden="false" customHeight="false" outlineLevel="0" collapsed="false">
      <c r="A15" s="6" t="s">
        <v>65</v>
      </c>
      <c r="B15" s="69" t="n">
        <f aca="false">Inputs!$E$72</f>
        <v>90000</v>
      </c>
    </row>
    <row r="16" customFormat="false" ht="15" hidden="false" customHeight="false" outlineLevel="0" collapsed="false">
      <c r="A16" s="4" t="s">
        <v>144</v>
      </c>
      <c r="B16" s="68" t="n">
        <f aca="false">B14+B15</f>
        <v>190000</v>
      </c>
    </row>
    <row r="17" customFormat="false" ht="15" hidden="false" customHeight="false" outlineLevel="0" collapsed="false">
      <c r="A17" s="70" t="s">
        <v>67</v>
      </c>
      <c r="B17" s="71" t="n">
        <f aca="false">B16-B12</f>
        <v>-32127.5848969641</v>
      </c>
      <c r="D17" s="18" t="s">
        <v>145</v>
      </c>
    </row>
    <row r="18" customFormat="false" ht="15" hidden="false" customHeight="false" outlineLevel="0" collapsed="false">
      <c r="A18" s="6" t="s">
        <v>146</v>
      </c>
      <c r="B18" s="67" t="n">
        <f aca="false">MIN(Monthly!$C$89:$BJ$89)</f>
        <v>9872.41510303594</v>
      </c>
      <c r="D18" s="18" t="s">
        <v>147</v>
      </c>
    </row>
    <row r="20" customFormat="false" ht="15.75" hidden="false" customHeight="true" outlineLevel="0" collapsed="false">
      <c r="A20" s="7" t="s">
        <v>148</v>
      </c>
      <c r="B20" s="7"/>
      <c r="C20" s="7"/>
      <c r="D20" s="7"/>
      <c r="E20" s="7"/>
      <c r="F20" s="7"/>
    </row>
    <row r="21" customFormat="false" ht="15" hidden="false" customHeight="false" outlineLevel="0" collapsed="false">
      <c r="A21" s="6" t="s">
        <v>149</v>
      </c>
      <c r="B21" s="65" t="n">
        <f aca="false">IFERROR(MATCH(1,Monthly!$C$90:$BJ$90,0),"Not within horizon")</f>
        <v>6</v>
      </c>
    </row>
    <row r="22" customFormat="false" ht="15" hidden="false" customHeight="false" outlineLevel="0" collapsed="false">
      <c r="A22" s="6" t="s">
        <v>150</v>
      </c>
      <c r="B22" s="65" t="n">
        <f aca="false">IFERROR(MATCH(1,Monthly!$C$93:$BJ$93,0),"Not within horizon")</f>
        <v>7</v>
      </c>
    </row>
    <row r="23" customFormat="false" ht="15" hidden="false" customHeight="false" outlineLevel="0" collapsed="false">
      <c r="A23" s="6" t="s">
        <v>151</v>
      </c>
      <c r="B23" s="65" t="str">
        <f aca="false">IF(MIN(Monthly!$C$95:$BJ$95)&gt;=0,"No investment to pay back",IFERROR(MATCH(1,Monthly!$C$97:$BJ$97,0),"Not within horizon"))</f>
        <v>Not within horizon</v>
      </c>
      <c r="D23" s="18" t="s">
        <v>152</v>
      </c>
    </row>
    <row r="25" customFormat="false" ht="15.75" hidden="false" customHeight="true" outlineLevel="0" collapsed="false">
      <c r="A25" s="7" t="s">
        <v>153</v>
      </c>
      <c r="B25" s="7"/>
      <c r="C25" s="7"/>
      <c r="D25" s="7"/>
      <c r="E25" s="7"/>
      <c r="F25" s="7"/>
    </row>
    <row r="26" customFormat="false" ht="15" hidden="false" customHeight="false" outlineLevel="0" collapsed="false">
      <c r="A26" s="72" t="s">
        <v>154</v>
      </c>
      <c r="B26" s="72" t="n">
        <v>1</v>
      </c>
      <c r="C26" s="72" t="n">
        <v>2</v>
      </c>
      <c r="D26" s="72" t="n">
        <v>3</v>
      </c>
      <c r="E26" s="72" t="n">
        <v>4</v>
      </c>
      <c r="F26" s="72" t="n">
        <v>5</v>
      </c>
    </row>
    <row r="27" customFormat="false" ht="15" hidden="false" customHeight="false" outlineLevel="0" collapsed="false">
      <c r="A27" s="33"/>
      <c r="B27" s="52" t="s">
        <v>155</v>
      </c>
      <c r="C27" s="52" t="s">
        <v>156</v>
      </c>
      <c r="D27" s="52" t="s">
        <v>157</v>
      </c>
      <c r="E27" s="52" t="s">
        <v>158</v>
      </c>
      <c r="F27" s="52" t="s">
        <v>159</v>
      </c>
    </row>
    <row r="28" customFormat="false" ht="15" hidden="false" customHeight="false" outlineLevel="0" collapsed="false">
      <c r="A28" s="4" t="s">
        <v>44</v>
      </c>
      <c r="B28" s="73" t="n">
        <f aca="false">SUMIF(Monthly!$C$5:$BJ$5,B$26,Monthly!$C$24:$BJ$24)</f>
        <v>273896</v>
      </c>
      <c r="C28" s="73" t="n">
        <f aca="false">SUMIF(Monthly!$C$5:$BJ$5,C$26,Monthly!$C$24:$BJ$24)</f>
        <v>336825.8208</v>
      </c>
      <c r="D28" s="73" t="n">
        <f aca="false">SUMIF(Monthly!$C$5:$BJ$5,D$26,Monthly!$C$24:$BJ$24)</f>
        <v>358461.36984672</v>
      </c>
      <c r="E28" s="73" t="n">
        <f aca="false">SUMIF(Monthly!$C$5:$BJ$5,E$26,Monthly!$C$24:$BJ$24)</f>
        <v>381506.036640025</v>
      </c>
      <c r="F28" s="73" t="n">
        <f aca="false">SUMIF(Monthly!$C$5:$BJ$5,F$26,Monthly!$C$24:$BJ$24)</f>
        <v>406053.094744669</v>
      </c>
    </row>
    <row r="29" customFormat="false" ht="15" hidden="false" customHeight="false" outlineLevel="0" collapsed="false">
      <c r="A29" s="6" t="s">
        <v>45</v>
      </c>
      <c r="B29" s="67" t="n">
        <f aca="false">SUMIF(Monthly!$C$5:$BJ$5,B$26,Monthly!$C$33:$BJ$33)</f>
        <v>161966.536</v>
      </c>
      <c r="C29" s="67" t="n">
        <f aca="false">SUMIF(Monthly!$C$5:$BJ$5,C$26,Monthly!$C$33:$BJ$33)</f>
        <v>199005.1028928</v>
      </c>
      <c r="D29" s="67" t="n">
        <f aca="false">SUMIF(Monthly!$C$5:$BJ$5,D$26,Monthly!$C$33:$BJ$33)</f>
        <v>211683.054593532</v>
      </c>
      <c r="E29" s="67" t="n">
        <f aca="false">SUMIF(Monthly!$C$5:$BJ$5,E$26,Monthly!$C$33:$BJ$33)</f>
        <v>225178.614639004</v>
      </c>
      <c r="F29" s="67" t="n">
        <f aca="false">SUMIF(Monthly!$C$5:$BJ$5,F$26,Monthly!$C$33:$BJ$33)</f>
        <v>239545.285345936</v>
      </c>
    </row>
    <row r="30" customFormat="false" ht="15" hidden="false" customHeight="false" outlineLevel="0" collapsed="false">
      <c r="A30" s="38" t="s">
        <v>160</v>
      </c>
      <c r="B30" s="74" t="n">
        <f aca="false">IF(B28=0,0,B29/B28)</f>
        <v>0.59134319595759</v>
      </c>
      <c r="C30" s="74" t="n">
        <f aca="false">IF(C28=0,0,C29/C28)</f>
        <v>0.590824962350392</v>
      </c>
      <c r="D30" s="74" t="n">
        <f aca="false">IF(D28=0,0,D29/D28)</f>
        <v>0.590532404325879</v>
      </c>
      <c r="E30" s="74" t="n">
        <f aca="false">IF(E28=0,0,E29/E28)</f>
        <v>0.590236046124414</v>
      </c>
      <c r="F30" s="74" t="n">
        <f aca="false">IF(F28=0,0,F29/F28)</f>
        <v>0.589935869092599</v>
      </c>
    </row>
    <row r="31" customFormat="false" ht="15" hidden="false" customHeight="false" outlineLevel="0" collapsed="false">
      <c r="A31" s="6" t="s">
        <v>161</v>
      </c>
      <c r="B31" s="67" t="n">
        <f aca="false">-SUMIF(Monthly!$C$5:$BJ$5,B$26,Monthly!$C$45:$BJ$45)</f>
        <v>169272.5</v>
      </c>
      <c r="C31" s="67" t="n">
        <f aca="false">-SUMIF(Monthly!$C$5:$BJ$5,C$26,Monthly!$C$45:$BJ$45)</f>
        <v>174374.612</v>
      </c>
      <c r="D31" s="67" t="n">
        <f aca="false">-SUMIF(Monthly!$C$5:$BJ$5,D$26,Monthly!$C$45:$BJ$45)</f>
        <v>179430.044198</v>
      </c>
      <c r="E31" s="67" t="n">
        <f aca="false">-SUMIF(Monthly!$C$5:$BJ$5,E$26,Monthly!$C$45:$BJ$45)</f>
        <v>184643.349159737</v>
      </c>
      <c r="F31" s="67" t="n">
        <f aca="false">-SUMIF(Monthly!$C$5:$BJ$5,F$26,Monthly!$C$45:$BJ$45)</f>
        <v>190019.769166644</v>
      </c>
    </row>
    <row r="32" customFormat="false" ht="15" hidden="false" customHeight="false" outlineLevel="0" collapsed="false">
      <c r="A32" s="4" t="s">
        <v>162</v>
      </c>
      <c r="B32" s="73" t="n">
        <f aca="false">IF(B30&gt;0,B31/B30,"n/a")</f>
        <v>286250.862709072</v>
      </c>
      <c r="C32" s="73" t="n">
        <f aca="false">IF(C30&gt;0,C31/C30,"n/a")</f>
        <v>295137.516374242</v>
      </c>
      <c r="D32" s="73" t="n">
        <f aca="false">IF(D30&gt;0,D31/D30,"n/a")</f>
        <v>303844.535682725</v>
      </c>
      <c r="E32" s="73" t="n">
        <f aca="false">IF(E30&gt;0,E31/E30,"n/a")</f>
        <v>312829.67275912</v>
      </c>
      <c r="F32" s="73" t="n">
        <f aca="false">IF(F30&gt;0,F31/F30,"n/a")</f>
        <v>322102.416757468</v>
      </c>
    </row>
    <row r="33" customFormat="false" ht="15" hidden="false" customHeight="false" outlineLevel="0" collapsed="false">
      <c r="A33" s="38" t="s">
        <v>163</v>
      </c>
      <c r="B33" s="74" t="n">
        <f aca="false">IF(AND(ISNUMBER(B32),B28&gt;0),(B28-B32)/B28,"n/a")</f>
        <v>-0.0451078610460622</v>
      </c>
      <c r="C33" s="74" t="n">
        <f aca="false">IF(AND(ISNUMBER(C32),C28&gt;0),(C28-C32)/C28,"n/a")</f>
        <v>0.12376813727268</v>
      </c>
      <c r="D33" s="74" t="n">
        <f aca="false">IF(AND(ISNUMBER(D32),D28&gt;0),(D28-D32)/D28,"n/a")</f>
        <v>0.152364630496583</v>
      </c>
      <c r="E33" s="74" t="n">
        <f aca="false">IF(AND(ISNUMBER(E32),E28&gt;0),(E28-E32)/E28,"n/a")</f>
        <v>0.18001383277116</v>
      </c>
      <c r="F33" s="74" t="n">
        <f aca="false">IF(AND(ISNUMBER(F32),F28&gt;0),(F28-F32)/F28,"n/a")</f>
        <v>0.206748031411975</v>
      </c>
    </row>
    <row r="35" customFormat="false" ht="15" hidden="false" customHeight="false" outlineLevel="0" collapsed="false">
      <c r="A35" s="38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21.75" hidden="false" customHeight="true" outlineLevel="0" collapsed="false">
      <c r="A1" s="16" t="s">
        <v>165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166</v>
      </c>
    </row>
    <row r="3" customFormat="false" ht="15" hidden="false" customHeight="false" outlineLevel="0" collapsed="false">
      <c r="A3" s="4" t="s">
        <v>134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167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38" t="s">
        <v>168</v>
      </c>
      <c r="B6" s="75" t="n">
        <f aca="false">Inputs!$E$89</f>
        <v>0.25</v>
      </c>
    </row>
    <row r="7" customFormat="false" ht="15" hidden="false" customHeight="false" outlineLevel="0" collapsed="false">
      <c r="A7" s="38" t="s">
        <v>169</v>
      </c>
      <c r="B7" s="75" t="n">
        <f aca="false">Inputs!$E$90</f>
        <v>0.02</v>
      </c>
    </row>
    <row r="8" customFormat="false" ht="15" hidden="false" customHeight="false" outlineLevel="0" collapsed="false">
      <c r="A8" s="6" t="s">
        <v>170</v>
      </c>
      <c r="B8" s="76" t="n">
        <f aca="false">Inputs!$E$91</f>
        <v>4</v>
      </c>
    </row>
    <row r="9" customFormat="false" ht="15" hidden="false" customHeight="false" outlineLevel="0" collapsed="false">
      <c r="A9" s="38" t="s">
        <v>171</v>
      </c>
      <c r="B9" s="75" t="n">
        <f aca="false">Inputs!$E$83</f>
        <v>0.21</v>
      </c>
    </row>
    <row r="10" customFormat="false" ht="15" hidden="false" customHeight="false" outlineLevel="0" collapsed="false">
      <c r="A10" s="38" t="s">
        <v>172</v>
      </c>
      <c r="B10" s="75" t="n">
        <f aca="false">Inputs!$E$92</f>
        <v>0.01</v>
      </c>
    </row>
    <row r="11" customFormat="false" ht="15" hidden="false" customHeight="false" outlineLevel="0" collapsed="false">
      <c r="A11" s="38" t="s">
        <v>173</v>
      </c>
      <c r="B11" s="75" t="n">
        <f aca="false">Inputs!$E$93</f>
        <v>0.005</v>
      </c>
    </row>
    <row r="13" customFormat="false" ht="15.75" hidden="false" customHeight="true" outlineLevel="0" collapsed="false">
      <c r="A13" s="7" t="s">
        <v>174</v>
      </c>
      <c r="B13" s="7"/>
      <c r="C13" s="7"/>
      <c r="D13" s="7"/>
      <c r="E13" s="7"/>
      <c r="F13" s="7"/>
    </row>
    <row r="14" customFormat="false" ht="15" hidden="false" customHeight="false" outlineLevel="0" collapsed="false">
      <c r="A14" s="72" t="s">
        <v>154</v>
      </c>
      <c r="B14" s="72" t="n">
        <v>1</v>
      </c>
      <c r="C14" s="72" t="n">
        <v>2</v>
      </c>
      <c r="D14" s="72" t="n">
        <v>3</v>
      </c>
      <c r="E14" s="72" t="n">
        <v>4</v>
      </c>
      <c r="F14" s="72" t="n">
        <v>5</v>
      </c>
    </row>
    <row r="15" customFormat="false" ht="15" hidden="false" customHeight="false" outlineLevel="0" collapsed="false">
      <c r="A15" s="33"/>
      <c r="B15" s="52" t="s">
        <v>155</v>
      </c>
      <c r="C15" s="52" t="s">
        <v>156</v>
      </c>
      <c r="D15" s="52" t="s">
        <v>157</v>
      </c>
      <c r="E15" s="52" t="s">
        <v>158</v>
      </c>
      <c r="F15" s="52" t="s">
        <v>159</v>
      </c>
    </row>
    <row r="16" customFormat="false" ht="15" hidden="false" customHeight="false" outlineLevel="0" collapsed="false">
      <c r="A16" s="6" t="s">
        <v>48</v>
      </c>
      <c r="B16" s="67" t="n">
        <f aca="false">SUMIF(Monthly!$C$5:$BJ$5,B$14,Monthly!$C$46:$BJ$46)</f>
        <v>-7305.96400000003</v>
      </c>
      <c r="C16" s="67" t="n">
        <f aca="false">SUMIF(Monthly!$C$5:$BJ$5,C$14,Monthly!$C$46:$BJ$46)</f>
        <v>24630.4908928</v>
      </c>
      <c r="D16" s="67" t="n">
        <f aca="false">SUMIF(Monthly!$C$5:$BJ$5,D$14,Monthly!$C$46:$BJ$46)</f>
        <v>32253.0103955315</v>
      </c>
      <c r="E16" s="67" t="n">
        <f aca="false">SUMIF(Monthly!$C$5:$BJ$5,E$14,Monthly!$C$46:$BJ$46)</f>
        <v>40535.2654792672</v>
      </c>
      <c r="F16" s="67" t="n">
        <f aca="false">SUMIF(Monthly!$C$5:$BJ$5,F$14,Monthly!$C$46:$BJ$46)</f>
        <v>49525.5161792919</v>
      </c>
    </row>
    <row r="17" customFormat="false" ht="15" hidden="false" customHeight="false" outlineLevel="0" collapsed="false">
      <c r="A17" s="4" t="s">
        <v>175</v>
      </c>
      <c r="B17" s="73" t="n">
        <f aca="false">SUMIF(Monthly!$C$5:$BJ$5,B$14,Monthly!$C$98:$BJ$98)</f>
        <v>-147798.39435</v>
      </c>
      <c r="C17" s="73" t="n">
        <f aca="false">SUMIF(Monthly!$C$5:$BJ$5,C$14,Monthly!$C$98:$BJ$98)</f>
        <v>20851.68393536</v>
      </c>
      <c r="D17" s="73" t="n">
        <f aca="false">SUMIF(Monthly!$C$5:$BJ$5,D$14,Monthly!$C$98:$BJ$98)</f>
        <v>28810.5316109994</v>
      </c>
      <c r="E17" s="73" t="n">
        <f aca="false">SUMIF(Monthly!$C$5:$BJ$5,E$14,Monthly!$C$98:$BJ$98)</f>
        <v>37428.8601141598</v>
      </c>
      <c r="F17" s="73" t="n">
        <f aca="false">SUMIF(Monthly!$C$5:$BJ$5,F$14,Monthly!$C$98:$BJ$98)</f>
        <v>42909.5466259918</v>
      </c>
    </row>
    <row r="18" customFormat="false" ht="15" hidden="false" customHeight="false" outlineLevel="0" collapsed="false">
      <c r="A18" s="6" t="s">
        <v>176</v>
      </c>
      <c r="B18" s="77" t="n">
        <f aca="false">1/(1+Inputs!$E$89)^B$14</f>
        <v>0.8</v>
      </c>
      <c r="C18" s="77" t="n">
        <f aca="false">1/(1+Inputs!$E$89)^C$14</f>
        <v>0.64</v>
      </c>
      <c r="D18" s="77" t="n">
        <f aca="false">1/(1+Inputs!$E$89)^D$14</f>
        <v>0.512</v>
      </c>
      <c r="E18" s="77" t="n">
        <f aca="false">1/(1+Inputs!$E$89)^E$14</f>
        <v>0.4096</v>
      </c>
      <c r="F18" s="77" t="n">
        <f aca="false">1/(1+Inputs!$E$89)^F$14</f>
        <v>0.32768</v>
      </c>
    </row>
    <row r="19" customFormat="false" ht="15" hidden="false" customHeight="false" outlineLevel="0" collapsed="false">
      <c r="A19" s="6" t="s">
        <v>177</v>
      </c>
      <c r="B19" s="67" t="n">
        <f aca="false">B17*B18</f>
        <v>-118238.71548</v>
      </c>
      <c r="C19" s="67" t="n">
        <f aca="false">C17*C18</f>
        <v>13345.0777186304</v>
      </c>
      <c r="D19" s="67" t="n">
        <f aca="false">D17*D18</f>
        <v>14750.9921848317</v>
      </c>
      <c r="E19" s="67" t="n">
        <f aca="false">E17*E18</f>
        <v>15330.8611027599</v>
      </c>
      <c r="F19" s="67" t="n">
        <f aca="false">F17*F18</f>
        <v>14060.600238405</v>
      </c>
    </row>
    <row r="21" customFormat="false" ht="15.75" hidden="false" customHeight="true" outlineLevel="0" collapsed="false">
      <c r="A21" s="7" t="s">
        <v>178</v>
      </c>
      <c r="B21" s="7"/>
      <c r="C21" s="7"/>
      <c r="D21" s="7"/>
      <c r="E21" s="7"/>
      <c r="F21" s="7"/>
    </row>
    <row r="22" customFormat="false" ht="15" hidden="false" customHeight="false" outlineLevel="0" collapsed="false">
      <c r="B22" s="52" t="s">
        <v>179</v>
      </c>
      <c r="C22" s="52" t="s">
        <v>180</v>
      </c>
    </row>
    <row r="23" customFormat="false" ht="15" hidden="false" customHeight="false" outlineLevel="0" collapsed="false">
      <c r="A23" s="6" t="s">
        <v>181</v>
      </c>
      <c r="B23" s="67" t="n">
        <f aca="false">SUM($B$19:$F$19)</f>
        <v>-60751.1842353731</v>
      </c>
      <c r="C23" s="67" t="n">
        <f aca="false">B23</f>
        <v>-60751.1842353731</v>
      </c>
    </row>
    <row r="24" customFormat="false" ht="15" hidden="false" customHeight="false" outlineLevel="0" collapsed="false">
      <c r="A24" s="6" t="s">
        <v>182</v>
      </c>
      <c r="B24" s="67" t="n">
        <f aca="false">$F$17</f>
        <v>42909.5466259918</v>
      </c>
      <c r="C24" s="67" t="n">
        <f aca="false">$F$16</f>
        <v>49525.5161792919</v>
      </c>
    </row>
    <row r="25" customFormat="false" ht="15" hidden="false" customHeight="false" outlineLevel="0" collapsed="false">
      <c r="A25" s="6" t="s">
        <v>183</v>
      </c>
      <c r="B25" s="67" t="n">
        <f aca="false">IF($B$6&gt;$B$7,B24*(1+$B$7)/($B$6-$B$7),0)</f>
        <v>190294.511123964</v>
      </c>
      <c r="C25" s="67" t="n">
        <f aca="false">C24*$B$8</f>
        <v>198102.064717168</v>
      </c>
    </row>
    <row r="26" customFormat="false" ht="15" hidden="false" customHeight="false" outlineLevel="0" collapsed="false">
      <c r="A26" s="6" t="s">
        <v>184</v>
      </c>
      <c r="B26" s="67" t="n">
        <f aca="false">B25/(1+$B$6)^$F$14</f>
        <v>62355.7054051004</v>
      </c>
      <c r="C26" s="67" t="n">
        <f aca="false">C25/(1+$B$6)^$F$14</f>
        <v>64914.0845665215</v>
      </c>
    </row>
    <row r="27" customFormat="false" ht="15" hidden="false" customHeight="false" outlineLevel="0" collapsed="false">
      <c r="A27" s="4" t="s">
        <v>178</v>
      </c>
      <c r="B27" s="68" t="n">
        <f aca="false">B23+B26</f>
        <v>1604.52116972733</v>
      </c>
      <c r="C27" s="68" t="n">
        <f aca="false">C23+C26</f>
        <v>4162.90033114843</v>
      </c>
    </row>
    <row r="28" customFormat="false" ht="15" hidden="false" customHeight="false" outlineLevel="0" collapsed="false">
      <c r="A28" s="38" t="s">
        <v>185</v>
      </c>
      <c r="B28" s="74" t="n">
        <f aca="false">IF(B27&lt;&gt;0,B26/B27,0)</f>
        <v>38.8625009015601</v>
      </c>
      <c r="C28" s="74" t="n">
        <f aca="false">IF(C27&lt;&gt;0,C26/C27,0)</f>
        <v>15.5934755585689</v>
      </c>
    </row>
    <row r="29" customFormat="false" ht="15" hidden="false" customHeight="false" outlineLevel="0" collapsed="false">
      <c r="A29" s="6" t="s">
        <v>186</v>
      </c>
      <c r="B29" s="78" t="n">
        <f aca="false">IF(C24&gt;0,B25/C24,"n/a")</f>
        <v>3.84235290824755</v>
      </c>
      <c r="C29" s="74" t="n">
        <f aca="false">IF(C25+B24&lt;&gt;0,(C25*$B$6-B24)/(C25+B24),"n/a")</f>
        <v>0.0274508332458726</v>
      </c>
    </row>
    <row r="30" customFormat="false" ht="15" hidden="false" customHeight="false" outlineLevel="0" collapsed="false">
      <c r="A30" s="70" t="s">
        <v>187</v>
      </c>
      <c r="B30" s="71" t="n">
        <f aca="false">AVERAGE(B27,C27)</f>
        <v>2883.71075043788</v>
      </c>
    </row>
    <row r="32" customFormat="false" ht="15.75" hidden="false" customHeight="true" outlineLevel="0" collapsed="false">
      <c r="A32" s="7" t="s">
        <v>188</v>
      </c>
      <c r="B32" s="7"/>
      <c r="C32" s="7"/>
      <c r="D32" s="7"/>
      <c r="E32" s="7"/>
      <c r="F32" s="7"/>
    </row>
    <row r="33" customFormat="false" ht="15" hidden="false" customHeight="false" outlineLevel="0" collapsed="false">
      <c r="A33" s="33" t="s">
        <v>189</v>
      </c>
      <c r="B33" s="79" t="n">
        <f aca="false">$B$7+(-2)*$B$11</f>
        <v>0.01</v>
      </c>
      <c r="C33" s="79" t="n">
        <f aca="false">$B$7+(-1)*$B$11</f>
        <v>0.015</v>
      </c>
      <c r="D33" s="79" t="n">
        <f aca="false">$B$7+(0)*$B$11</f>
        <v>0.02</v>
      </c>
      <c r="E33" s="79" t="n">
        <f aca="false">$B$7+(1)*$B$11</f>
        <v>0.025</v>
      </c>
      <c r="F33" s="79" t="n">
        <f aca="false">$B$7+(2)*$B$11</f>
        <v>0.03</v>
      </c>
    </row>
    <row r="34" customFormat="false" ht="15" hidden="false" customHeight="false" outlineLevel="0" collapsed="false">
      <c r="A34" s="74" t="n">
        <f aca="false">$B$6+(-2)*$B$10</f>
        <v>0.23</v>
      </c>
      <c r="B34" s="67" t="n">
        <f aca="false">IF($A34&gt;B$33,SUMPRODUCT($B$17:$F$17/(1+$A34)^$B$14:$F$14)+$F$17*(1+B$33)/($A34-B$33)/(1+$A34)^$F$14,"n/a")</f>
        <v>10670.1577559968</v>
      </c>
      <c r="C34" s="67" t="n">
        <f aca="false">IF($A34&gt;C$33,SUMPRODUCT($B$17:$F$17/(1+$A34)^$B$14:$F$14)+$F$17*(1+C$33)/($A34-C$33)/(1+$A34)^$F$14,"n/a")</f>
        <v>12651.877990168</v>
      </c>
      <c r="D34" s="67" t="n">
        <f aca="false">IF($A34&gt;D$33,SUMPRODUCT($B$17:$F$17/(1+$A34)^$B$14:$F$14)+$F$17*(1+D$33)/($A34-D$33)/(1+$A34)^$F$14,"n/a")</f>
        <v>14727.9658545378</v>
      </c>
      <c r="E34" s="67" t="n">
        <f aca="false">IF($A34&gt;E$33,SUMPRODUCT($B$17:$F$17/(1+$A34)^$B$14:$F$14)+$F$17*(1+E$33)/($A34-E$33)/(1+$A34)^$F$14,"n/a")</f>
        <v>16905.3262976574</v>
      </c>
      <c r="F34" s="67" t="n">
        <f aca="false">IF($A34&gt;F$33,SUMPRODUCT($B$17:$F$17/(1+$A34)^$B$14:$F$14)+$F$17*(1+F$33)/($A34-F$33)/(1+$A34)^$F$14,"n/a")</f>
        <v>19191.554762933</v>
      </c>
    </row>
    <row r="35" customFormat="false" ht="15" hidden="false" customHeight="false" outlineLevel="0" collapsed="false">
      <c r="A35" s="74" t="n">
        <f aca="false">$B$6+(-1)*$B$10</f>
        <v>0.24</v>
      </c>
      <c r="B35" s="67" t="n">
        <f aca="false">IF($A35&gt;B$33,SUMPRODUCT($B$17:$F$17/(1+$A35)^$B$14:$F$14)+$F$17*(1+B$33)/($A35-B$33)/(1+$A35)^$F$14,"n/a")</f>
        <v>4222.43921869338</v>
      </c>
      <c r="C35" s="67" t="n">
        <f aca="false">IF($A35&gt;C$33,SUMPRODUCT($B$17:$F$17/(1+$A35)^$B$14:$F$14)+$F$17*(1+C$33)/($A35-C$33)/(1+$A35)^$F$14,"n/a")</f>
        <v>5976.0242733522</v>
      </c>
      <c r="D35" s="67" t="n">
        <f aca="false">IF($A35&gt;D$33,SUMPRODUCT($B$17:$F$17/(1+$A35)^$B$14:$F$14)+$F$17*(1+D$33)/($A35-D$33)/(1+$A35)^$F$14,"n/a")</f>
        <v>7809.31773958645</v>
      </c>
      <c r="E35" s="67" t="n">
        <f aca="false">IF($A35&gt;E$33,SUMPRODUCT($B$17:$F$17/(1+$A35)^$B$14:$F$14)+$F$17*(1+E$33)/($A35-E$33)/(1+$A35)^$F$14,"n/a")</f>
        <v>9727.88066936645</v>
      </c>
      <c r="F35" s="67" t="n">
        <f aca="false">IF($A35&gt;F$33,SUMPRODUCT($B$17:$F$17/(1+$A35)^$B$14:$F$14)+$F$17*(1+F$33)/($A35-F$33)/(1+$A35)^$F$14,"n/a")</f>
        <v>11737.8037386598</v>
      </c>
    </row>
    <row r="36" customFormat="false" ht="15" hidden="false" customHeight="false" outlineLevel="0" collapsed="false">
      <c r="A36" s="74" t="n">
        <f aca="false">$B$6+(0)*$B$10</f>
        <v>0.25</v>
      </c>
      <c r="B36" s="67" t="n">
        <f aca="false">IF($A36&gt;B$33,SUMPRODUCT($B$17:$F$17/(1+$A36)^$B$14:$F$14)+$F$17*(1+B$33)/($A36-B$33)/(1+$A36)^$F$14,"n/a")</f>
        <v>-1579.49156541873</v>
      </c>
      <c r="C36" s="67" t="n">
        <f aca="false">IF($A36&gt;C$33,SUMPRODUCT($B$17:$F$17/(1+$A36)^$B$14:$F$14)+$F$17*(1+C$33)/($A36-C$33)/(1+$A36)^$F$14,"n/a")</f>
        <v>-21.3576737515032</v>
      </c>
      <c r="D36" s="67" t="n">
        <f aca="false">IF($A36&gt;D$33,SUMPRODUCT($B$17:$F$17/(1+$A36)^$B$14:$F$14)+$F$17*(1+D$33)/($A36-D$33)/(1+$A36)^$F$14,"n/a")</f>
        <v>1604.52116972733</v>
      </c>
      <c r="E36" s="67" t="n">
        <f aca="false">IF($A36&gt;E$33,SUMPRODUCT($B$17:$F$17/(1+$A36)^$B$14:$F$14)+$F$17*(1+E$33)/($A36-E$33)/(1+$A36)^$F$14,"n/a")</f>
        <v>3302.66129513856</v>
      </c>
      <c r="F36" s="67" t="n">
        <f aca="false">IF($A36&gt;F$33,SUMPRODUCT($B$17:$F$17/(1+$A36)^$B$14:$F$14)+$F$17*(1+F$33)/($A36-F$33)/(1+$A36)^$F$14,"n/a")</f>
        <v>5077.98960806849</v>
      </c>
    </row>
    <row r="37" customFormat="false" ht="15" hidden="false" customHeight="false" outlineLevel="0" collapsed="false">
      <c r="A37" s="74" t="n">
        <f aca="false">$B$6+(1)*$B$10</f>
        <v>0.26</v>
      </c>
      <c r="B37" s="67" t="n">
        <f aca="false">IF($A37&gt;B$33,SUMPRODUCT($B$17:$F$17/(1+$A37)^$B$14:$F$14)+$F$17*(1+B$33)/($A37-B$33)/(1+$A37)^$F$14,"n/a")</f>
        <v>-6816.14357790888</v>
      </c>
      <c r="C37" s="67" t="n">
        <f aca="false">IF($A37&gt;C$33,SUMPRODUCT($B$17:$F$17/(1+$A37)^$B$14:$F$14)+$F$17*(1+C$33)/($A37-C$33)/(1+$A37)^$F$14,"n/a")</f>
        <v>-5426.39686111147</v>
      </c>
      <c r="D37" s="67" t="n">
        <f aca="false">IF($A37&gt;D$33,SUMPRODUCT($B$17:$F$17/(1+$A37)^$B$14:$F$14)+$F$17*(1+D$33)/($A37-D$33)/(1+$A37)^$F$14,"n/a")</f>
        <v>-3978.74403111417</v>
      </c>
      <c r="E37" s="67" t="n">
        <f aca="false">IF($A37&gt;E$33,SUMPRODUCT($B$17:$F$17/(1+$A37)^$B$14:$F$14)+$F$17*(1+E$33)/($A37-E$33)/(1+$A37)^$F$14,"n/a")</f>
        <v>-2469.48895303188</v>
      </c>
      <c r="F37" s="67" t="n">
        <f aca="false">IF($A37&gt;F$33,SUMPRODUCT($B$17:$F$17/(1+$A37)^$B$14:$F$14)+$F$17*(1+F$33)/($A37-F$33)/(1+$A37)^$F$14,"n/a")</f>
        <v>-894.614088946</v>
      </c>
    </row>
    <row r="38" customFormat="false" ht="15" hidden="false" customHeight="false" outlineLevel="0" collapsed="false">
      <c r="A38" s="74" t="n">
        <f aca="false">$B$6+(2)*$B$10</f>
        <v>0.27</v>
      </c>
      <c r="B38" s="67" t="n">
        <f aca="false">IF($A38&gt;B$33,SUMPRODUCT($B$17:$F$17/(1+$A38)^$B$14:$F$14)+$F$17*(1+B$33)/($A38-B$33)/(1+$A38)^$F$14,"n/a")</f>
        <v>-11555.5270431609</v>
      </c>
      <c r="C38" s="67" t="n">
        <f aca="false">IF($A38&gt;C$33,SUMPRODUCT($B$17:$F$17/(1+$A38)^$B$14:$F$14)+$F$17*(1+C$33)/($A38-C$33)/(1+$A38)^$F$14,"n/a")</f>
        <v>-10311.5982572674</v>
      </c>
      <c r="D38" s="67" t="n">
        <f aca="false">IF($A38&gt;D$33,SUMPRODUCT($B$17:$F$17/(1+$A38)^$B$14:$F$14)+$F$17*(1+D$33)/($A38-D$33)/(1+$A38)^$F$14,"n/a")</f>
        <v>-9017.91231993809</v>
      </c>
      <c r="E38" s="67" t="n">
        <f aca="false">IF($A38&gt;E$33,SUMPRODUCT($B$17:$F$17/(1+$A38)^$B$14:$F$14)+$F$17*(1+E$33)/($A38-E$33)/(1+$A38)^$F$14,"n/a")</f>
        <v>-7671.42287496274</v>
      </c>
      <c r="F38" s="67" t="n">
        <f aca="false">IF($A38&gt;F$33,SUMPRODUCT($B$17:$F$17/(1+$A38)^$B$14:$F$14)+$F$17*(1+F$33)/($A38-F$33)/(1+$A38)^$F$14,"n/a")</f>
        <v>-6268.82970311341</v>
      </c>
    </row>
    <row r="40" customFormat="false" ht="15" hidden="false" customHeight="false" outlineLevel="0" collapsed="false">
      <c r="A40" s="38" t="s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  <col collapsed="false" customWidth="true" hidden="false" outlineLevel="0" max="5" min="5" style="0" width="2"/>
  </cols>
  <sheetData>
    <row r="1" customFormat="false" ht="21.75" hidden="false" customHeight="true" outlineLevel="0" collapsed="false">
      <c r="A1" s="16" t="s">
        <v>191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192</v>
      </c>
    </row>
    <row r="3" customFormat="false" ht="15" hidden="false" customHeight="false" outlineLevel="0" collapsed="false">
      <c r="A3" s="4" t="s">
        <v>134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193</v>
      </c>
      <c r="B5" s="7"/>
      <c r="C5" s="7"/>
    </row>
    <row r="6" customFormat="false" ht="15" hidden="false" customHeight="false" outlineLevel="0" collapsed="false">
      <c r="B6" s="52" t="s">
        <v>194</v>
      </c>
      <c r="C6" s="52" t="s">
        <v>195</v>
      </c>
    </row>
    <row r="7" customFormat="false" ht="15" hidden="false" customHeight="false" outlineLevel="0" collapsed="false">
      <c r="A7" s="6" t="s">
        <v>196</v>
      </c>
      <c r="B7" s="80" t="n">
        <f aca="false">Inputs!$E$71</f>
        <v>100000</v>
      </c>
      <c r="C7" s="74" t="n">
        <f aca="false">IF($B$9=0,0,B7/$B$9)</f>
        <v>0.526315789473684</v>
      </c>
    </row>
    <row r="8" customFormat="false" ht="15" hidden="false" customHeight="false" outlineLevel="0" collapsed="false">
      <c r="A8" s="6" t="s">
        <v>197</v>
      </c>
      <c r="B8" s="80" t="n">
        <f aca="false">Inputs!$E$72</f>
        <v>90000</v>
      </c>
      <c r="C8" s="74" t="n">
        <f aca="false">IF($B$9=0,0,B8/$B$9)</f>
        <v>0.473684210526316</v>
      </c>
    </row>
    <row r="9" customFormat="false" ht="15" hidden="false" customHeight="false" outlineLevel="0" collapsed="false">
      <c r="A9" s="4" t="s">
        <v>198</v>
      </c>
      <c r="B9" s="81" t="n">
        <f aca="false">B7+B8</f>
        <v>190000</v>
      </c>
      <c r="C9" s="82" t="n">
        <f aca="false">IF(B9=0,0,1)</f>
        <v>1</v>
      </c>
    </row>
    <row r="10" customFormat="false" ht="15" hidden="false" customHeight="false" outlineLevel="0" collapsed="false">
      <c r="A10" s="6" t="s">
        <v>199</v>
      </c>
      <c r="B10" s="78" t="n">
        <f aca="false">IF(B7&lt;=0,IF(B8&gt;0,"n/a",0),B8/B7)</f>
        <v>0.9</v>
      </c>
      <c r="D10" s="18" t="s">
        <v>200</v>
      </c>
    </row>
    <row r="11" customFormat="false" ht="15" hidden="false" customHeight="false" outlineLevel="0" collapsed="false">
      <c r="A11" s="6" t="s">
        <v>201</v>
      </c>
      <c r="B11" s="80" t="n">
        <f aca="false">'Break-even'!B12</f>
        <v>222127.584896964</v>
      </c>
    </row>
    <row r="12" customFormat="false" ht="15" hidden="false" customHeight="false" outlineLevel="0" collapsed="false">
      <c r="A12" s="70" t="s">
        <v>67</v>
      </c>
      <c r="B12" s="83" t="n">
        <f aca="false">'Break-even'!B17</f>
        <v>-32127.5848969641</v>
      </c>
    </row>
    <row r="14" customFormat="false" ht="15.75" hidden="false" customHeight="true" outlineLevel="0" collapsed="false">
      <c r="A14" s="7" t="str">
        <f aca="false">"Sources and uses of cash in the first "&amp;$B$16&amp;IF($B$16=1," month"," months")&amp;" ($'000)"</f>
        <v>Sources and uses of cash in the first 12 months ($'000)</v>
      </c>
      <c r="B14" s="7"/>
      <c r="C14" s="7"/>
    </row>
    <row r="15" customFormat="false" ht="15" hidden="false" customHeight="false" outlineLevel="0" collapsed="false">
      <c r="A15" s="6" t="s">
        <v>202</v>
      </c>
      <c r="B15" s="84" t="n">
        <v>12</v>
      </c>
      <c r="D15" s="18" t="s">
        <v>203</v>
      </c>
    </row>
    <row r="16" customFormat="false" ht="15" hidden="false" customHeight="false" outlineLevel="0" collapsed="false">
      <c r="A16" s="6" t="s">
        <v>204</v>
      </c>
      <c r="B16" s="65" t="n">
        <f aca="false">MIN(60,MAX(1,ROUND(B15,0)))</f>
        <v>12</v>
      </c>
    </row>
    <row r="17" customFormat="false" ht="15" hidden="false" customHeight="false" outlineLevel="0" collapsed="false">
      <c r="A17" s="33" t="s">
        <v>205</v>
      </c>
      <c r="B17" s="52" t="s">
        <v>194</v>
      </c>
      <c r="C17" s="52" t="s">
        <v>195</v>
      </c>
    </row>
    <row r="18" customFormat="false" ht="15" hidden="false" customHeight="false" outlineLevel="0" collapsed="false">
      <c r="A18" s="6" t="s">
        <v>64</v>
      </c>
      <c r="B18" s="61" t="n">
        <f aca="false">SUMPRODUCT(--(Monthly!$C$4:$BJ$4&lt;=$B$16),Monthly!$C$85:$BJ$85)</f>
        <v>100000</v>
      </c>
      <c r="C18" s="74" t="n">
        <f aca="false">IF($B$21=0,0,B18/$B$21)</f>
        <v>0.526315789473684</v>
      </c>
    </row>
    <row r="19" customFormat="false" ht="15" hidden="false" customHeight="false" outlineLevel="0" collapsed="false">
      <c r="A19" s="6" t="s">
        <v>206</v>
      </c>
      <c r="B19" s="61" t="n">
        <f aca="false">SUMPRODUCT(--(Monthly!$C$4:$BJ$4&lt;=$B$16),Monthly!$C$70:$BJ$70)</f>
        <v>90000</v>
      </c>
      <c r="C19" s="74" t="n">
        <f aca="false">IF($B$21=0,0,B19/$B$21)</f>
        <v>0.473684210526316</v>
      </c>
    </row>
    <row r="20" customFormat="false" ht="15" hidden="false" customHeight="false" outlineLevel="0" collapsed="false">
      <c r="A20" s="6" t="s">
        <v>207</v>
      </c>
      <c r="B20" s="61" t="n">
        <f aca="false">MAX(0,SUMPRODUCT(--(Monthly!$C$4:$BJ$4&lt;=$B$16),Monthly!$C$83:$BJ$83))</f>
        <v>0</v>
      </c>
      <c r="C20" s="74" t="n">
        <f aca="false">IF($B$21=0,0,B20/$B$21)</f>
        <v>0</v>
      </c>
    </row>
    <row r="21" customFormat="false" ht="15" hidden="false" customHeight="false" outlineLevel="0" collapsed="false">
      <c r="A21" s="4" t="s">
        <v>208</v>
      </c>
      <c r="B21" s="81" t="n">
        <f aca="false">SUM(B18:B20)</f>
        <v>190000</v>
      </c>
      <c r="C21" s="82" t="n">
        <f aca="false">IF(B21=0,0,1)</f>
        <v>1</v>
      </c>
    </row>
    <row r="23" customFormat="false" ht="15" hidden="false" customHeight="false" outlineLevel="0" collapsed="false">
      <c r="A23" s="33" t="s">
        <v>209</v>
      </c>
      <c r="B23" s="52" t="s">
        <v>194</v>
      </c>
      <c r="C23" s="52" t="s">
        <v>195</v>
      </c>
    </row>
    <row r="24" customFormat="false" ht="15" hidden="false" customHeight="false" outlineLevel="0" collapsed="false">
      <c r="A24" s="6" t="s">
        <v>210</v>
      </c>
      <c r="B24" s="61" t="n">
        <f aca="false">MAX(0,-SUMPRODUCT(--(Monthly!$C$4:$BJ$4&lt;=$B$16),Monthly!$C$83:$BJ$83))</f>
        <v>15659.7006</v>
      </c>
      <c r="C24" s="74" t="n">
        <f aca="false">IF($B$28=0,0,B24/$B$28)</f>
        <v>0.0824194768421054</v>
      </c>
    </row>
    <row r="25" customFormat="false" ht="15" hidden="false" customHeight="false" outlineLevel="0" collapsed="false">
      <c r="A25" s="6" t="s">
        <v>84</v>
      </c>
      <c r="B25" s="61" t="n">
        <f aca="false">-SUMPRODUCT(--(Monthly!$C$4:$BJ$4&lt;=$B$16),Monthly!$C$84:$BJ$84)</f>
        <v>138000</v>
      </c>
      <c r="C25" s="74" t="n">
        <f aca="false">IF($B$28=0,0,B25/$B$28)</f>
        <v>0.726315789473684</v>
      </c>
    </row>
    <row r="26" customFormat="false" ht="15" hidden="false" customHeight="false" outlineLevel="0" collapsed="false">
      <c r="A26" s="6" t="s">
        <v>211</v>
      </c>
      <c r="B26" s="61" t="n">
        <f aca="false">-SUMPRODUCT(--(Monthly!$C$4:$BJ$4&lt;=$B$16),Monthly!$C$71:$BJ$71)</f>
        <v>16500</v>
      </c>
      <c r="C26" s="74" t="n">
        <f aca="false">IF($B$28=0,0,B26/$B$28)</f>
        <v>0.0868421052631579</v>
      </c>
    </row>
    <row r="27" customFormat="false" ht="15" hidden="false" customHeight="false" outlineLevel="0" collapsed="false">
      <c r="A27" s="6" t="s">
        <v>212</v>
      </c>
      <c r="B27" s="61" t="n">
        <f aca="false">INDEX(Monthly!$C$89:$BJ$89,$B$16)</f>
        <v>19840.2994</v>
      </c>
      <c r="C27" s="74" t="n">
        <f aca="false">IF($B$28=0,0,B27/$B$28)</f>
        <v>0.104422628421053</v>
      </c>
    </row>
    <row r="28" customFormat="false" ht="15" hidden="false" customHeight="false" outlineLevel="0" collapsed="false">
      <c r="A28" s="4" t="s">
        <v>213</v>
      </c>
      <c r="B28" s="81" t="n">
        <f aca="false">SUM(B24:B27)</f>
        <v>190000</v>
      </c>
      <c r="C28" s="82" t="n">
        <f aca="false">IF(B28=0,0,1)</f>
        <v>1</v>
      </c>
    </row>
    <row r="29" customFormat="false" ht="15" hidden="false" customHeight="false" outlineLevel="0" collapsed="false">
      <c r="A29" s="6" t="s">
        <v>214</v>
      </c>
      <c r="B29" s="61" t="n">
        <f aca="false">B21-B28</f>
        <v>0</v>
      </c>
    </row>
  </sheetData>
  <dataValidations count="1">
    <dataValidation allowBlank="false" errorStyle="stop" operator="between" prompt="A whole number from 1 to 60" promptTitle="Period" showDropDown="false" showErrorMessage="false" showInputMessage="true" sqref="B15" type="whole">
      <formula1>1</formula1>
      <formula2>60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I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1.5"/>
    <col collapsed="false" customWidth="true" hidden="false" outlineLevel="0" max="8" min="8" style="0" width="2"/>
    <col collapsed="false" customWidth="true" hidden="false" outlineLevel="0" max="24" min="9" style="0" width="9"/>
  </cols>
  <sheetData>
    <row r="1" customFormat="false" ht="21.75" hidden="false" customHeight="true" outlineLevel="0" collapsed="false">
      <c r="A1" s="16" t="s">
        <v>215</v>
      </c>
      <c r="I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216</v>
      </c>
    </row>
    <row r="4" customFormat="false" ht="15.75" hidden="false" customHeight="true" outlineLevel="0" collapsed="false">
      <c r="A4" s="7" t="s">
        <v>217</v>
      </c>
      <c r="B4" s="7"/>
      <c r="C4" s="7"/>
      <c r="D4" s="7"/>
      <c r="E4" s="7"/>
      <c r="F4" s="7"/>
      <c r="G4" s="7"/>
    </row>
    <row r="5" customFormat="false" ht="15" hidden="false" customHeight="false" outlineLevel="0" collapsed="false">
      <c r="A5" s="33"/>
      <c r="B5" s="34" t="n">
        <v>1</v>
      </c>
      <c r="C5" s="34" t="n">
        <v>2</v>
      </c>
      <c r="D5" s="34" t="n">
        <v>3</v>
      </c>
      <c r="E5" s="34" t="n">
        <v>4</v>
      </c>
      <c r="F5" s="34" t="n">
        <v>5</v>
      </c>
      <c r="G5" s="52" t="s">
        <v>218</v>
      </c>
    </row>
    <row r="6" customFormat="false" ht="15" hidden="false" customHeight="false" outlineLevel="0" collapsed="false">
      <c r="A6" s="38" t="s">
        <v>219</v>
      </c>
      <c r="B6" s="39" t="str">
        <f aca="false">IF(N('P&amp;L'!A5)&lt;=0,"n/a",'P&amp;L'!B5/'P&amp;L'!A5-1)</f>
        <v>n/a</v>
      </c>
      <c r="C6" s="39" t="n">
        <f aca="false">IF(N('P&amp;L'!B5)&lt;=0,"n/a",'P&amp;L'!C5/'P&amp;L'!B5-1)</f>
        <v>0.229758086280924</v>
      </c>
      <c r="D6" s="39" t="n">
        <f aca="false">IF(N('P&amp;L'!C5)&lt;=0,"n/a",'P&amp;L'!D5/'P&amp;L'!C5-1)</f>
        <v>0.064233641575735</v>
      </c>
      <c r="E6" s="39" t="n">
        <f aca="false">IF(N('P&amp;L'!D5)&lt;=0,"n/a",'P&amp;L'!E5/'P&amp;L'!D5-1)</f>
        <v>0.0642877273028313</v>
      </c>
      <c r="F6" s="39" t="n">
        <f aca="false">IF(N('P&amp;L'!E5)&lt;=0,"n/a",'P&amp;L'!F5/'P&amp;L'!E5-1)</f>
        <v>0.0643425155754613</v>
      </c>
      <c r="G6" s="85"/>
    </row>
    <row r="7" customFormat="false" ht="15" hidden="false" customHeight="false" outlineLevel="0" collapsed="false">
      <c r="A7" s="38" t="s">
        <v>46</v>
      </c>
      <c r="B7" s="39" t="n">
        <f aca="false">IF('P&amp;L'!B5&lt;=0,"n/a",'P&amp;L'!B7/'P&amp;L'!B5)</f>
        <v>0.59134319595759</v>
      </c>
      <c r="C7" s="39" t="n">
        <f aca="false">IF('P&amp;L'!C5&lt;=0,"n/a",'P&amp;L'!C7/'P&amp;L'!C5)</f>
        <v>0.590824962350392</v>
      </c>
      <c r="D7" s="39" t="n">
        <f aca="false">IF('P&amp;L'!D5&lt;=0,"n/a",'P&amp;L'!D7/'P&amp;L'!D5)</f>
        <v>0.590532404325879</v>
      </c>
      <c r="E7" s="39" t="n">
        <f aca="false">IF('P&amp;L'!E5&lt;=0,"n/a",'P&amp;L'!E7/'P&amp;L'!E5)</f>
        <v>0.590236046124414</v>
      </c>
      <c r="F7" s="39" t="n">
        <f aca="false">IF('P&amp;L'!F5&lt;=0,"n/a",'P&amp;L'!F7/'P&amp;L'!F5)</f>
        <v>0.589935869092599</v>
      </c>
      <c r="G7" s="85"/>
    </row>
    <row r="8" customFormat="false" ht="15" hidden="false" customHeight="false" outlineLevel="0" collapsed="false">
      <c r="A8" s="38" t="s">
        <v>49</v>
      </c>
      <c r="B8" s="39" t="n">
        <f aca="false">IF('P&amp;L'!B5&lt;=0,"n/a",'P&amp;L'!B19/'P&amp;L'!B5)</f>
        <v>-0.0266742267137893</v>
      </c>
      <c r="C8" s="39" t="n">
        <f aca="false">IF('P&amp;L'!C5&lt;=0,"n/a",'P&amp;L'!C19/'P&amp;L'!C5)</f>
        <v>0.0731253050443096</v>
      </c>
      <c r="D8" s="39" t="n">
        <f aca="false">IF('P&amp;L'!D5&lt;=0,"n/a",'P&amp;L'!D19/'P&amp;L'!D5)</f>
        <v>0.0899762515813714</v>
      </c>
      <c r="E8" s="39" t="n">
        <f aca="false">IF('P&amp;L'!E5&lt;=0,"n/a",'P&amp;L'!E19/'P&amp;L'!E5)</f>
        <v>0.106250652902551</v>
      </c>
      <c r="F8" s="39" t="n">
        <f aca="false">IF('P&amp;L'!F5&lt;=0,"n/a",'P&amp;L'!F19/'P&amp;L'!F5)</f>
        <v>0.121968079594207</v>
      </c>
      <c r="G8" s="85"/>
    </row>
    <row r="9" customFormat="false" ht="15" hidden="false" customHeight="false" outlineLevel="0" collapsed="false">
      <c r="A9" s="38" t="s">
        <v>51</v>
      </c>
      <c r="B9" s="39" t="n">
        <f aca="false">IF('P&amp;L'!B5&lt;=0,"n/a",'P&amp;L'!B26/'P&amp;L'!B5)</f>
        <v>-0.125739787051603</v>
      </c>
      <c r="C9" s="39" t="n">
        <f aca="false">IF('P&amp;L'!C5&lt;=0,"n/a",'P&amp;L'!C26/'P&amp;L'!C5)</f>
        <v>-0.00369905631245655</v>
      </c>
      <c r="D9" s="39" t="n">
        <f aca="false">IF('P&amp;L'!D5&lt;=0,"n/a",'P&amp;L'!D26/'P&amp;L'!D5)</f>
        <v>0.02131174963212</v>
      </c>
      <c r="E9" s="39" t="n">
        <f aca="false">IF('P&amp;L'!E5&lt;=0,"n/a",'P&amp;L'!E26/'P&amp;L'!E5)</f>
        <v>0.0450439823833447</v>
      </c>
      <c r="F9" s="39" t="n">
        <f aca="false">IF('P&amp;L'!F5&lt;=0,"n/a",'P&amp;L'!F26/'P&amp;L'!F5)</f>
        <v>0.0581014984180793</v>
      </c>
      <c r="G9" s="85"/>
    </row>
    <row r="10" customFormat="false" ht="15" hidden="false" customHeight="false" outlineLevel="0" collapsed="false">
      <c r="A10" s="38" t="s">
        <v>220</v>
      </c>
      <c r="B10" s="39" t="n">
        <f aca="false">IF('P&amp;L'!B5&lt;=0,"n/a",-SUMIF(Headcount!$C$5:$BJ$5,B$5,Headcount!$C$17:$BJ$17)/'P&amp;L'!B5)</f>
        <v>0.432631363729299</v>
      </c>
      <c r="C10" s="39" t="n">
        <f aca="false">IF('P&amp;L'!C5&lt;=0,"n/a",-SUMIF(Headcount!$C$5:$BJ$5,C$5,Headcount!$C$17:$BJ$17)/'P&amp;L'!C5)</f>
        <v>0.362356067922926</v>
      </c>
      <c r="D10" s="39" t="n">
        <f aca="false">IF('P&amp;L'!D5&lt;=0,"n/a",-SUMIF(Headcount!$C$5:$BJ$5,D$5,Headcount!$C$17:$BJ$17)/'P&amp;L'!D5)</f>
        <v>0.350700011144172</v>
      </c>
      <c r="E10" s="39" t="n">
        <f aca="false">IF('P&amp;L'!E5&lt;=0,"n/a",-SUMIF(Headcount!$C$5:$BJ$5,E$5,Headcount!$C$17:$BJ$17)/'P&amp;L'!E5)</f>
        <v>0.33940165071143</v>
      </c>
      <c r="F10" s="39" t="n">
        <f aca="false">IF('P&amp;L'!F5&lt;=0,"n/a",-SUMIF(Headcount!$C$5:$BJ$5,F$5,Headcount!$C$17:$BJ$17)/'P&amp;L'!F5)</f>
        <v>0.328450376750912</v>
      </c>
      <c r="G10" s="85"/>
    </row>
    <row r="11" customFormat="false" ht="15" hidden="false" customHeight="false" outlineLevel="0" collapsed="false">
      <c r="A11" s="38" t="s">
        <v>221</v>
      </c>
      <c r="B11" s="39" t="n">
        <f aca="false">IF('P&amp;L'!B5&lt;=0,"n/a",-'P&amp;L'!B16/'P&amp;L'!B5)</f>
        <v>0.0306685749335514</v>
      </c>
      <c r="C11" s="39" t="n">
        <f aca="false">IF('P&amp;L'!C5&lt;=0,"n/a",-'P&amp;L'!C16/'P&amp;L'!C5)</f>
        <v>0.0249387056492553</v>
      </c>
      <c r="D11" s="39" t="n">
        <f aca="false">IF('P&amp;L'!D5&lt;=0,"n/a",-'P&amp;L'!D16/'P&amp;L'!D5)</f>
        <v>0.0234334874176034</v>
      </c>
      <c r="E11" s="39" t="n">
        <f aca="false">IF('P&amp;L'!E5&lt;=0,"n/a",-'P&amp;L'!E16/'P&amp;L'!E5)</f>
        <v>0.0220180002234825</v>
      </c>
      <c r="F11" s="39" t="n">
        <f aca="false">IF('P&amp;L'!F5&lt;=0,"n/a",-'P&amp;L'!F16/'P&amp;L'!F5)</f>
        <v>0.0206869498317259</v>
      </c>
      <c r="G11" s="85"/>
    </row>
    <row r="12" customFormat="false" ht="15" hidden="false" customHeight="false" outlineLevel="0" collapsed="false">
      <c r="A12" s="38" t="s">
        <v>222</v>
      </c>
      <c r="B12" s="39" t="n">
        <f aca="false">IF('P&amp;L'!B5&lt;=0,"n/a",-'P&amp;L'!B18/'P&amp;L'!B5)</f>
        <v>0.618017422671379</v>
      </c>
      <c r="C12" s="39" t="n">
        <f aca="false">IF('P&amp;L'!C5&lt;=0,"n/a",-'P&amp;L'!C18/'P&amp;L'!C5)</f>
        <v>0.517699657306083</v>
      </c>
      <c r="D12" s="39" t="n">
        <f aca="false">IF('P&amp;L'!D5&lt;=0,"n/a",-'P&amp;L'!D18/'P&amp;L'!D5)</f>
        <v>0.500556152744507</v>
      </c>
      <c r="E12" s="39" t="n">
        <f aca="false">IF('P&amp;L'!E5&lt;=0,"n/a",-'P&amp;L'!E18/'P&amp;L'!E5)</f>
        <v>0.483985393221863</v>
      </c>
      <c r="F12" s="39" t="n">
        <f aca="false">IF('P&amp;L'!F5&lt;=0,"n/a",-'P&amp;L'!F18/'P&amp;L'!F5)</f>
        <v>0.467967789498392</v>
      </c>
      <c r="G12" s="85"/>
    </row>
    <row r="13" customFormat="false" ht="15" hidden="false" customHeight="false" outlineLevel="0" collapsed="false">
      <c r="A13" s="6" t="s">
        <v>223</v>
      </c>
      <c r="B13" s="86" t="n">
        <f aca="false">IF(('Balance Sheet'!B12-'Balance Sheet'!B11)&lt;=0,"n/a",('Balance Sheet'!B5+'Balance Sheet'!B6+'Balance Sheet'!B7)/('Balance Sheet'!B12-'Balance Sheet'!B11))</f>
        <v>11.3332504007029</v>
      </c>
      <c r="C13" s="86" t="n">
        <f aca="false">IF(('Balance Sheet'!C12-'Balance Sheet'!C11)&lt;=0,"n/a",('Balance Sheet'!C5+'Balance Sheet'!C6+'Balance Sheet'!C7)/('Balance Sheet'!C12-'Balance Sheet'!C11))</f>
        <v>9.91259973487116</v>
      </c>
      <c r="D13" s="86" t="n">
        <f aca="false">IF(('Balance Sheet'!D12-'Balance Sheet'!D11)&lt;=0,"n/a",('Balance Sheet'!D5+'Balance Sheet'!D6+'Balance Sheet'!D7)/('Balance Sheet'!D12-'Balance Sheet'!D11))</f>
        <v>12.6733429622903</v>
      </c>
      <c r="E13" s="86" t="n">
        <f aca="false">IF(('Balance Sheet'!E12-'Balance Sheet'!E11)&lt;=0,"n/a",('Balance Sheet'!E5+'Balance Sheet'!E6+'Balance Sheet'!E7)/('Balance Sheet'!E12-'Balance Sheet'!E11))</f>
        <v>19.1227166391059</v>
      </c>
      <c r="F13" s="86" t="n">
        <f aca="false">IF(('Balance Sheet'!F12-'Balance Sheet'!F11)&lt;=0,"n/a",('Balance Sheet'!F5+'Balance Sheet'!F6+'Balance Sheet'!F7)/('Balance Sheet'!F12-'Balance Sheet'!F11))</f>
        <v>27.3310668914463</v>
      </c>
      <c r="G13" s="87"/>
    </row>
    <row r="14" customFormat="false" ht="15" hidden="false" customHeight="false" outlineLevel="0" collapsed="false">
      <c r="A14" s="6" t="s">
        <v>224</v>
      </c>
      <c r="B14" s="86" t="n">
        <f aca="false">IF('Balance Sheet'!B15&lt;=0,"n/a",'Balance Sheet'!B11/'Balance Sheet'!B15)</f>
        <v>1.12110401564489</v>
      </c>
      <c r="C14" s="86" t="n">
        <f aca="false">IF('Balance Sheet'!C15&lt;=0,"n/a",'Balance Sheet'!C11/'Balance Sheet'!C15)</f>
        <v>0.86294776204162</v>
      </c>
      <c r="D14" s="86" t="n">
        <f aca="false">IF('Balance Sheet'!D15&lt;=0,"n/a",'Balance Sheet'!D11/'Balance Sheet'!D15)</f>
        <v>0.521167194673796</v>
      </c>
      <c r="E14" s="86" t="n">
        <f aca="false">IF('Balance Sheet'!E15&lt;=0,"n/a",'Balance Sheet'!E11/'Balance Sheet'!E15)</f>
        <v>0.218760869900469</v>
      </c>
      <c r="F14" s="86" t="n">
        <f aca="false">IF('Balance Sheet'!F15&lt;=0,"n/a",'Balance Sheet'!F11/'Balance Sheet'!F15)</f>
        <v>0.013306044586309</v>
      </c>
      <c r="G14" s="87"/>
    </row>
    <row r="15" customFormat="false" ht="15" hidden="false" customHeight="false" outlineLevel="0" collapsed="false">
      <c r="A15" s="38" t="s">
        <v>225</v>
      </c>
      <c r="B15" s="39" t="n">
        <f aca="false">IF('Balance Sheet'!B9&lt;=0,"n/a",'P&amp;L'!B26/'Balance Sheet'!B9)</f>
        <v>-0.244129999562265</v>
      </c>
      <c r="C15" s="39" t="n">
        <f aca="false">IF('Balance Sheet'!C9&lt;=0,"n/a",'P&amp;L'!C26/'Balance Sheet'!C9)</f>
        <v>-0.0102161638232156</v>
      </c>
      <c r="D15" s="39" t="n">
        <f aca="false">IF('Balance Sheet'!D9&lt;=0,"n/a",'P&amp;L'!D26/'Balance Sheet'!D9)</f>
        <v>0.0683689596911855</v>
      </c>
      <c r="E15" s="39" t="n">
        <f aca="false">IF('Balance Sheet'!E9&lt;=0,"n/a",'P&amp;L'!E26/'Balance Sheet'!E9)</f>
        <v>0.154712692993935</v>
      </c>
      <c r="F15" s="39" t="n">
        <f aca="false">IF('Balance Sheet'!F9&lt;=0,"n/a",'P&amp;L'!F26/'Balance Sheet'!F9)</f>
        <v>0.20194142234564</v>
      </c>
      <c r="G15" s="85"/>
    </row>
    <row r="16" customFormat="false" ht="15" hidden="false" customHeight="false" outlineLevel="0" collapsed="false">
      <c r="A16" s="38" t="s">
        <v>226</v>
      </c>
      <c r="B16" s="39" t="n">
        <f aca="false">IF('Balance Sheet'!B15&lt;=0,"n/a",'P&amp;L'!B26/'Balance Sheet'!B15)</f>
        <v>-0.52531158591141</v>
      </c>
      <c r="C16" s="39" t="n">
        <f aca="false">IF('Balance Sheet'!C15&lt;=0,"n/a",'P&amp;L'!C26/'Balance Sheet'!C15)</f>
        <v>-0.0193725969624483</v>
      </c>
      <c r="D16" s="39" t="n">
        <f aca="false">IF('Balance Sheet'!D15&lt;=0,"n/a",'P&amp;L'!D26/'Balance Sheet'!D15)</f>
        <v>0.10617133267446</v>
      </c>
      <c r="E16" s="39" t="n">
        <f aca="false">IF('Balance Sheet'!E15&lt;=0,"n/a",'P&amp;L'!E26/'Balance Sheet'!E15)</f>
        <v>0.192784993228245</v>
      </c>
      <c r="F16" s="39" t="n">
        <f aca="false">IF('Balance Sheet'!F15&lt;=0,"n/a",'P&amp;L'!F26/'Balance Sheet'!F15)</f>
        <v>0.209280070513896</v>
      </c>
      <c r="G16" s="85"/>
    </row>
    <row r="18" customFormat="false" ht="15.75" hidden="false" customHeight="true" outlineLevel="0" collapsed="false">
      <c r="A18" s="7" t="s">
        <v>227</v>
      </c>
      <c r="B18" s="7"/>
      <c r="C18" s="7"/>
      <c r="D18" s="7"/>
      <c r="E18" s="7"/>
      <c r="F18" s="7"/>
    </row>
    <row r="19" customFormat="false" ht="15" hidden="false" customHeight="false" outlineLevel="0" collapsed="false">
      <c r="A19" s="33"/>
      <c r="B19" s="34" t="n">
        <v>1</v>
      </c>
      <c r="C19" s="34" t="n">
        <v>2</v>
      </c>
      <c r="D19" s="34" t="n">
        <v>3</v>
      </c>
      <c r="E19" s="34" t="n">
        <v>4</v>
      </c>
      <c r="F19" s="34" t="n">
        <v>5</v>
      </c>
    </row>
    <row r="20" customFormat="false" ht="15" hidden="false" customHeight="false" outlineLevel="0" collapsed="false">
      <c r="A20" s="51" t="s">
        <v>51</v>
      </c>
      <c r="B20" s="39" t="n">
        <f aca="false">IF('P&amp;L'!B5&lt;=0,"n/a",'P&amp;L'!B26/'P&amp;L'!B5)</f>
        <v>-0.125739787051603</v>
      </c>
      <c r="C20" s="39" t="n">
        <f aca="false">IF('P&amp;L'!C5&lt;=0,"n/a",'P&amp;L'!C26/'P&amp;L'!C5)</f>
        <v>-0.00369905631245655</v>
      </c>
      <c r="D20" s="39" t="n">
        <f aca="false">IF('P&amp;L'!D5&lt;=0,"n/a",'P&amp;L'!D26/'P&amp;L'!D5)</f>
        <v>0.02131174963212</v>
      </c>
      <c r="E20" s="39" t="n">
        <f aca="false">IF('P&amp;L'!E5&lt;=0,"n/a",'P&amp;L'!E26/'P&amp;L'!E5)</f>
        <v>0.0450439823833447</v>
      </c>
      <c r="F20" s="39" t="n">
        <f aca="false">IF('P&amp;L'!F5&lt;=0,"n/a",'P&amp;L'!F26/'P&amp;L'!F5)</f>
        <v>0.0581014984180793</v>
      </c>
    </row>
    <row r="21" customFormat="false" ht="15" hidden="false" customHeight="false" outlineLevel="0" collapsed="false">
      <c r="A21" s="51" t="s">
        <v>228</v>
      </c>
      <c r="B21" s="86" t="n">
        <f aca="false">IF('Balance Sheet'!B9&lt;=0,"n/a",'P&amp;L'!B5/'Balance Sheet'!B9)</f>
        <v>1.94154933205093</v>
      </c>
      <c r="C21" s="86" t="n">
        <f aca="false">IF('Balance Sheet'!C9&lt;=0,"n/a",'P&amp;L'!C5/'Balance Sheet'!C9)</f>
        <v>2.76182976420574</v>
      </c>
      <c r="D21" s="86" t="n">
        <f aca="false">IF('Balance Sheet'!D9&lt;=0,"n/a",'P&amp;L'!D5/'Balance Sheet'!D9)</f>
        <v>3.20804067574738</v>
      </c>
      <c r="E21" s="86" t="n">
        <f aca="false">IF('Balance Sheet'!E9&lt;=0,"n/a",'P&amp;L'!E5/'Balance Sheet'!E9)</f>
        <v>3.43470281284767</v>
      </c>
      <c r="F21" s="86" t="n">
        <f aca="false">IF('Balance Sheet'!F9&lt;=0,"n/a",'P&amp;L'!F5/'Balance Sheet'!F9)</f>
        <v>3.47566633983406</v>
      </c>
    </row>
    <row r="22" customFormat="false" ht="15" hidden="false" customHeight="false" outlineLevel="0" collapsed="false">
      <c r="A22" s="51" t="s">
        <v>229</v>
      </c>
      <c r="B22" s="86" t="n">
        <f aca="false">IF('Balance Sheet'!B15&lt;=0,"n/a",'Balance Sheet'!B9/'Balance Sheet'!B15)</f>
        <v>2.15176990477743</v>
      </c>
      <c r="C22" s="86" t="n">
        <f aca="false">IF('Balance Sheet'!C15&lt;=0,"n/a",'Balance Sheet'!C9/'Balance Sheet'!C15)</f>
        <v>1.89626921588955</v>
      </c>
      <c r="D22" s="86" t="n">
        <f aca="false">IF('Balance Sheet'!D15&lt;=0,"n/a",'Balance Sheet'!D9/'Balance Sheet'!D15)</f>
        <v>1.55291718864853</v>
      </c>
      <c r="E22" s="86" t="n">
        <f aca="false">IF('Balance Sheet'!E15&lt;=0,"n/a",'Balance Sheet'!E9/'Balance Sheet'!E15)</f>
        <v>1.2460838829546</v>
      </c>
      <c r="F22" s="86" t="n">
        <f aca="false">IF('Balance Sheet'!F15&lt;=0,"n/a",'Balance Sheet'!F9/'Balance Sheet'!F15)</f>
        <v>1.03634047974415</v>
      </c>
    </row>
    <row r="23" customFormat="false" ht="15" hidden="false" customHeight="false" outlineLevel="0" collapsed="false">
      <c r="A23" s="40" t="s">
        <v>230</v>
      </c>
      <c r="B23" s="88" t="n">
        <f aca="false">IF(AND(ISNUMBER(B20),ISNUMBER(B21),ISNUMBER(B22)),B20*B21*B22,"n/a")</f>
        <v>-0.52531158591141</v>
      </c>
      <c r="C23" s="88" t="n">
        <f aca="false">IF(AND(ISNUMBER(C20),ISNUMBER(C21),ISNUMBER(C22)),C20*C21*C22,"n/a")</f>
        <v>-0.0193725969624483</v>
      </c>
      <c r="D23" s="88" t="n">
        <f aca="false">IF(AND(ISNUMBER(D20),ISNUMBER(D21),ISNUMBER(D22)),D20*D21*D22,"n/a")</f>
        <v>0.10617133267446</v>
      </c>
      <c r="E23" s="88" t="n">
        <f aca="false">IF(AND(ISNUMBER(E20),ISNUMBER(E21),ISNUMBER(E22)),E20*E21*E22,"n/a")</f>
        <v>0.192784993228245</v>
      </c>
      <c r="F23" s="88" t="n">
        <f aca="false">IF(AND(ISNUMBER(F20),ISNUMBER(F21),ISNUMBER(F22)),F20*F21*F22,"n/a")</f>
        <v>0.209280070513896</v>
      </c>
    </row>
    <row r="24" customFormat="false" ht="15" hidden="false" customHeight="false" outlineLevel="0" collapsed="false">
      <c r="A24" s="21" t="s">
        <v>231</v>
      </c>
      <c r="B24" s="39" t="n">
        <f aca="false">IF(AND(ISNUMBER(B23),ISNUMBER(B16)),B23-B16,IF(ISNUMBER(B23),1,IF(AND(ISNUMBER(B16),ISNUMBER(B20),ISNUMBER(B21)),1,0)))</f>
        <v>0</v>
      </c>
      <c r="C24" s="39" t="n">
        <f aca="false">IF(AND(ISNUMBER(C23),ISNUMBER(C16)),C23-C16,IF(ISNUMBER(C23),1,IF(AND(ISNUMBER(C16),ISNUMBER(C20),ISNUMBER(C21)),1,0)))</f>
        <v>0</v>
      </c>
      <c r="D24" s="39" t="n">
        <f aca="false">IF(AND(ISNUMBER(D23),ISNUMBER(D16)),D23-D16,IF(ISNUMBER(D23),1,IF(AND(ISNUMBER(D16),ISNUMBER(D20),ISNUMBER(D21)),1,0)))</f>
        <v>0</v>
      </c>
      <c r="E24" s="39" t="n">
        <f aca="false">IF(AND(ISNUMBER(E23),ISNUMBER(E16)),E23-E16,IF(ISNUMBER(E23),1,IF(AND(ISNUMBER(E16),ISNUMBER(E20),ISNUMBER(E21)),1,0)))</f>
        <v>0</v>
      </c>
      <c r="F24" s="39" t="n">
        <f aca="false">IF(AND(ISNUMBER(F23),ISNUMBER(F16)),F23-F16,IF(ISNUMBER(F23),1,IF(AND(ISNUMBER(F16),ISNUMBER(F20),ISNUMBER(F21)),1,0)))</f>
        <v>0</v>
      </c>
    </row>
    <row r="26" customFormat="false" ht="15.75" hidden="false" customHeight="true" outlineLevel="0" collapsed="false">
      <c r="A26" s="7" t="s">
        <v>232</v>
      </c>
      <c r="B26" s="7"/>
      <c r="C26" s="7"/>
      <c r="D26" s="7"/>
      <c r="E26" s="7"/>
      <c r="F26" s="7"/>
      <c r="G26" s="7"/>
    </row>
    <row r="27" customFormat="false" ht="15" hidden="false" customHeight="false" outlineLevel="0" collapsed="false">
      <c r="A27" s="72" t="s">
        <v>154</v>
      </c>
      <c r="B27" s="72" t="n">
        <v>1</v>
      </c>
      <c r="C27" s="72" t="n">
        <v>2</v>
      </c>
      <c r="D27" s="72" t="n">
        <v>3</v>
      </c>
      <c r="E27" s="72" t="n">
        <v>4</v>
      </c>
      <c r="F27" s="72" t="n">
        <v>5</v>
      </c>
    </row>
    <row r="28" customFormat="false" ht="15" hidden="false" customHeight="false" outlineLevel="0" collapsed="false">
      <c r="A28" s="33"/>
      <c r="B28" s="52" t="s">
        <v>155</v>
      </c>
      <c r="C28" s="52" t="s">
        <v>156</v>
      </c>
      <c r="D28" s="52" t="s">
        <v>157</v>
      </c>
      <c r="E28" s="52" t="s">
        <v>158</v>
      </c>
      <c r="F28" s="52" t="s">
        <v>159</v>
      </c>
      <c r="G28" s="52" t="s">
        <v>218</v>
      </c>
    </row>
    <row r="29" customFormat="false" ht="15" hidden="false" customHeight="false" outlineLevel="0" collapsed="false">
      <c r="A29" s="4" t="s">
        <v>233</v>
      </c>
      <c r="B29" s="89" t="n">
        <f aca="false">INDEX(Monthly!$C$8:$BJ$8,B$27*12)</f>
        <v>1</v>
      </c>
      <c r="C29" s="89" t="n">
        <f aca="false">INDEX(Monthly!$C$8:$BJ$8,C$27*12)</f>
        <v>1</v>
      </c>
      <c r="D29" s="89" t="n">
        <f aca="false">INDEX(Monthly!$C$8:$BJ$8,D$27*12)</f>
        <v>1</v>
      </c>
      <c r="E29" s="89" t="n">
        <f aca="false">INDEX(Monthly!$C$8:$BJ$8,E$27*12)</f>
        <v>1</v>
      </c>
      <c r="F29" s="89" t="n">
        <f aca="false">INDEX(Monthly!$C$8:$BJ$8,F$27*12)</f>
        <v>1</v>
      </c>
      <c r="G29" s="90"/>
    </row>
    <row r="30" customFormat="false" ht="15" hidden="false" customHeight="false" outlineLevel="0" collapsed="false">
      <c r="A30" s="6" t="s">
        <v>234</v>
      </c>
      <c r="B30" s="91" t="n">
        <f aca="false">SUMIF(Monthly!$C$5:$BJ$5,B$27,Monthly!$C$14:$BJ$14)</f>
        <v>246.75</v>
      </c>
      <c r="C30" s="91" t="n">
        <f aca="false">SUMIF(Monthly!$C$5:$BJ$5,C$27,Monthly!$C$14:$BJ$14)</f>
        <v>253.8</v>
      </c>
      <c r="D30" s="91" t="n">
        <f aca="false">SUMIF(Monthly!$C$5:$BJ$5,D$27,Monthly!$C$14:$BJ$14)</f>
        <v>255.69</v>
      </c>
      <c r="E30" s="91" t="n">
        <f aca="false">SUMIF(Monthly!$C$5:$BJ$5,E$27,Monthly!$C$14:$BJ$14)</f>
        <v>257.6745</v>
      </c>
      <c r="F30" s="91" t="n">
        <f aca="false">SUMIF(Monthly!$C$5:$BJ$5,F$27,Monthly!$C$14:$BJ$14)</f>
        <v>259.758225</v>
      </c>
      <c r="G30" s="90"/>
    </row>
    <row r="31" customFormat="false" ht="15" hidden="false" customHeight="false" outlineLevel="0" collapsed="false">
      <c r="A31" s="4" t="s">
        <v>58</v>
      </c>
      <c r="B31" s="89" t="n">
        <f aca="false">SUMIF(Monthly!$C$5:$BJ$5,B$27,Monthly!$C$17:$BJ$17)</f>
        <v>19564</v>
      </c>
      <c r="C31" s="89" t="n">
        <f aca="false">SUMIF(Monthly!$C$5:$BJ$5,C$27,Monthly!$C$17:$BJ$17)</f>
        <v>23358.24</v>
      </c>
      <c r="D31" s="89" t="n">
        <f aca="false">SUMIF(Monthly!$C$5:$BJ$5,D$27,Monthly!$C$17:$BJ$17)</f>
        <v>24134.5872</v>
      </c>
      <c r="E31" s="89" t="n">
        <f aca="false">SUMIF(Monthly!$C$5:$BJ$5,E$27,Monthly!$C$17:$BJ$17)</f>
        <v>24938.004816</v>
      </c>
      <c r="F31" s="89" t="n">
        <f aca="false">SUMIF(Monthly!$C$5:$BJ$5,F$27,Monthly!$C$17:$BJ$17)</f>
        <v>25769.49396048</v>
      </c>
      <c r="G31" s="90"/>
    </row>
    <row r="32" customFormat="false" ht="15" hidden="false" customHeight="false" outlineLevel="0" collapsed="false">
      <c r="A32" s="6" t="s">
        <v>235</v>
      </c>
      <c r="B32" s="92" t="n">
        <f aca="false">IF(B30=0,0,B31/B30)</f>
        <v>79.2867274569402</v>
      </c>
      <c r="C32" s="92" t="n">
        <f aca="false">IF(C30=0,0,C31/C30)</f>
        <v>92.0340425531915</v>
      </c>
      <c r="D32" s="92" t="n">
        <f aca="false">IF(D30=0,0,D31/D30)</f>
        <v>94.3900316789863</v>
      </c>
      <c r="E32" s="92" t="n">
        <f aca="false">IF(E30=0,0,E31/E30)</f>
        <v>96.7810350500341</v>
      </c>
      <c r="F32" s="92" t="n">
        <f aca="false">IF(F30=0,0,F31/F30)</f>
        <v>99.2056900622877</v>
      </c>
      <c r="G32" s="93"/>
    </row>
    <row r="33" customFormat="false" ht="15" hidden="false" customHeight="false" outlineLevel="0" collapsed="false">
      <c r="A33" s="4" t="s">
        <v>44</v>
      </c>
      <c r="B33" s="94" t="n">
        <f aca="false">SUMIF(Monthly!$C$5:$BJ$5,B$27,Monthly!$C$24:$BJ$24)</f>
        <v>273896</v>
      </c>
      <c r="C33" s="94" t="n">
        <f aca="false">SUMIF(Monthly!$C$5:$BJ$5,C$27,Monthly!$C$24:$BJ$24)</f>
        <v>336825.8208</v>
      </c>
      <c r="D33" s="94" t="n">
        <f aca="false">SUMIF(Monthly!$C$5:$BJ$5,D$27,Monthly!$C$24:$BJ$24)</f>
        <v>358461.36984672</v>
      </c>
      <c r="E33" s="94" t="n">
        <f aca="false">SUMIF(Monthly!$C$5:$BJ$5,E$27,Monthly!$C$24:$BJ$24)</f>
        <v>381506.036640025</v>
      </c>
      <c r="F33" s="94" t="n">
        <f aca="false">SUMIF(Monthly!$C$5:$BJ$5,F$27,Monthly!$C$24:$BJ$24)</f>
        <v>406053.094744669</v>
      </c>
      <c r="G33" s="95"/>
    </row>
    <row r="34" customFormat="false" ht="15" hidden="false" customHeight="false" outlineLevel="0" collapsed="false">
      <c r="A34" s="6" t="s">
        <v>236</v>
      </c>
      <c r="B34" s="35" t="n">
        <f aca="false">SUMIF(Monthly!$C$5:$BJ$5,B$27,Monthly!$C$22:$BJ$22)</f>
        <v>230846</v>
      </c>
      <c r="C34" s="35" t="n">
        <f aca="false">SUMIF(Monthly!$C$5:$BJ$5,C$27,Monthly!$C$22:$BJ$22)</f>
        <v>282318.2208</v>
      </c>
      <c r="D34" s="35" t="n">
        <f aca="false">SUMIF(Monthly!$C$5:$BJ$5,D$27,Monthly!$C$22:$BJ$22)</f>
        <v>299511.40044672</v>
      </c>
      <c r="E34" s="35" t="n">
        <f aca="false">SUMIF(Monthly!$C$5:$BJ$5,E$27,Monthly!$C$22:$BJ$22)</f>
        <v>317751.644733925</v>
      </c>
      <c r="F34" s="35" t="n">
        <f aca="false">SUMIF(Monthly!$C$5:$BJ$5,F$27,Monthly!$C$22:$BJ$22)</f>
        <v>337102.719898221</v>
      </c>
      <c r="G34" s="95"/>
    </row>
    <row r="35" customFormat="false" ht="15" hidden="false" customHeight="false" outlineLevel="0" collapsed="false">
      <c r="A35" s="6" t="s">
        <v>237</v>
      </c>
      <c r="B35" s="35" t="n">
        <f aca="false">SUMIF(Monthly!$C$5:$BJ$5,B$27,Monthly!$C$23:$BJ$23)</f>
        <v>43050</v>
      </c>
      <c r="C35" s="35" t="n">
        <f aca="false">SUMIF(Monthly!$C$5:$BJ$5,C$27,Monthly!$C$23:$BJ$23)</f>
        <v>54507.6</v>
      </c>
      <c r="D35" s="35" t="n">
        <f aca="false">SUMIF(Monthly!$C$5:$BJ$5,D$27,Monthly!$C$23:$BJ$23)</f>
        <v>58949.9694</v>
      </c>
      <c r="E35" s="35" t="n">
        <f aca="false">SUMIF(Monthly!$C$5:$BJ$5,E$27,Monthly!$C$23:$BJ$23)</f>
        <v>63754.3919061</v>
      </c>
      <c r="F35" s="35" t="n">
        <f aca="false">SUMIF(Monthly!$C$5:$BJ$5,F$27,Monthly!$C$23:$BJ$23)</f>
        <v>68950.3748464472</v>
      </c>
      <c r="G35" s="95"/>
    </row>
    <row r="36" customFormat="false" ht="15" hidden="false" customHeight="false" outlineLevel="0" collapsed="false">
      <c r="A36" s="38" t="s">
        <v>60</v>
      </c>
      <c r="B36" s="96" t="n">
        <f aca="false">IF(B33=0,0,B35/B33)</f>
        <v>0.157176446534451</v>
      </c>
      <c r="C36" s="96" t="n">
        <f aca="false">IF(C33=0,0,C35/C33)</f>
        <v>0.161827260958017</v>
      </c>
      <c r="D36" s="96" t="n">
        <f aca="false">IF(D33=0,0,D35/D33)</f>
        <v>0.164452781690834</v>
      </c>
      <c r="E36" s="96" t="n">
        <f aca="false">IF(E33=0,0,E35/E33)</f>
        <v>0.167112406575774</v>
      </c>
      <c r="F36" s="96" t="n">
        <f aca="false">IF(F33=0,0,F35/F33)</f>
        <v>0.169806303015137</v>
      </c>
      <c r="G36" s="97"/>
    </row>
    <row r="37" customFormat="false" ht="15" hidden="false" customHeight="false" outlineLevel="0" collapsed="false">
      <c r="A37" s="6" t="s">
        <v>238</v>
      </c>
      <c r="B37" s="98" t="n">
        <f aca="false">IF(B31=0,0,B33/B31)</f>
        <v>14</v>
      </c>
      <c r="C37" s="98" t="n">
        <f aca="false">IF(C31=0,0,C33/C31)</f>
        <v>14.42</v>
      </c>
      <c r="D37" s="98" t="n">
        <f aca="false">IF(D31=0,0,D33/D31)</f>
        <v>14.8526</v>
      </c>
      <c r="E37" s="98" t="n">
        <f aca="false">IF(E31=0,0,E33/E31)</f>
        <v>15.298178</v>
      </c>
      <c r="F37" s="98" t="n">
        <f aca="false">IF(F31=0,0,F33/F31)</f>
        <v>15.75712334</v>
      </c>
      <c r="G37" s="99"/>
    </row>
    <row r="38" customFormat="false" ht="15" hidden="false" customHeight="false" outlineLevel="0" collapsed="false">
      <c r="A38" s="6" t="s">
        <v>239</v>
      </c>
      <c r="B38" s="98" t="n">
        <f aca="false">IF(B30=0,0,B33/B30)</f>
        <v>1110.01418439716</v>
      </c>
      <c r="C38" s="98" t="n">
        <f aca="false">IF(C30=0,0,C33/C30)</f>
        <v>1327.13089361702</v>
      </c>
      <c r="D38" s="98" t="n">
        <f aca="false">IF(D30=0,0,D33/D30)</f>
        <v>1401.93738451531</v>
      </c>
      <c r="E38" s="98" t="n">
        <f aca="false">IF(E30=0,0,E33/E30)</f>
        <v>1480.57350121966</v>
      </c>
      <c r="F38" s="98" t="n">
        <f aca="false">IF(F30=0,0,F33/F30)</f>
        <v>1563.19629434128</v>
      </c>
      <c r="G38" s="99"/>
    </row>
    <row r="39" customFormat="false" ht="15" hidden="false" customHeight="false" outlineLevel="0" collapsed="false">
      <c r="A39" s="6" t="s">
        <v>240</v>
      </c>
      <c r="B39" s="35" t="n">
        <f aca="false">IF(B29=0,0,B33/B29)</f>
        <v>273896</v>
      </c>
      <c r="C39" s="35" t="n">
        <f aca="false">IF(C29=0,0,C33/C29)</f>
        <v>336825.8208</v>
      </c>
      <c r="D39" s="35" t="n">
        <f aca="false">IF(D29=0,0,D33/D29)</f>
        <v>358461.36984672</v>
      </c>
      <c r="E39" s="35" t="n">
        <f aca="false">IF(E29=0,0,E33/E29)</f>
        <v>381506.036640025</v>
      </c>
      <c r="F39" s="35" t="n">
        <f aca="false">IF(F29=0,0,F33/F29)</f>
        <v>406053.094744669</v>
      </c>
      <c r="G39" s="95"/>
    </row>
    <row r="40" customFormat="false" ht="15" hidden="false" customHeight="false" outlineLevel="0" collapsed="false">
      <c r="A40" s="6" t="s">
        <v>241</v>
      </c>
      <c r="B40" s="35" t="n">
        <f aca="false">SUMIF(Monthly!$C$5:$BJ$5,B$27,Monthly!$C$29:$BJ$29)</f>
        <v>-99189.48</v>
      </c>
      <c r="C40" s="35" t="n">
        <f aca="false">SUMIF(Monthly!$C$5:$BJ$5,C$27,Monthly!$C$29:$BJ$29)</f>
        <v>-121979.065104</v>
      </c>
      <c r="D40" s="35" t="n">
        <f aca="false">SUMIF(Monthly!$C$5:$BJ$5,D$27,Monthly!$C$29:$BJ$29)</f>
        <v>-129814.224651634</v>
      </c>
      <c r="E40" s="35" t="n">
        <f aca="false">SUMIF(Monthly!$C$5:$BJ$5,E$27,Monthly!$C$29:$BJ$29)</f>
        <v>-138159.686126066</v>
      </c>
      <c r="F40" s="35" t="n">
        <f aca="false">SUMIF(Monthly!$C$5:$BJ$5,F$27,Monthly!$C$29:$BJ$29)</f>
        <v>-147049.227882534</v>
      </c>
      <c r="G40" s="95"/>
    </row>
    <row r="41" customFormat="false" ht="15" hidden="false" customHeight="false" outlineLevel="0" collapsed="false">
      <c r="A41" s="38" t="s">
        <v>242</v>
      </c>
      <c r="B41" s="96" t="n">
        <f aca="false">IF(B33=0,0,-B40/B33)</f>
        <v>0.362142857142857</v>
      </c>
      <c r="C41" s="96" t="n">
        <f aca="false">IF(C33=0,0,-C40/C33)</f>
        <v>0.362142857142857</v>
      </c>
      <c r="D41" s="96" t="n">
        <f aca="false">IF(D33=0,0,-D40/D33)</f>
        <v>0.362142857142857</v>
      </c>
      <c r="E41" s="96" t="n">
        <f aca="false">IF(E33=0,0,-E40/E33)</f>
        <v>0.362142857142857</v>
      </c>
      <c r="F41" s="96" t="n">
        <f aca="false">IF(F33=0,0,-F40/F33)</f>
        <v>0.362142857142857</v>
      </c>
      <c r="G41" s="97"/>
    </row>
    <row r="42" customFormat="false" ht="15" hidden="false" customHeight="false" outlineLevel="0" collapsed="false">
      <c r="A42" s="6" t="s">
        <v>243</v>
      </c>
      <c r="B42" s="35" t="n">
        <f aca="false">SUMIF(Headcount!$C$5:$BJ$5,B$27,Headcount!$C$17:$BJ$17)</f>
        <v>-118496</v>
      </c>
      <c r="C42" s="35" t="n">
        <f aca="false">SUMIF(Headcount!$C$5:$BJ$5,C$27,Headcount!$C$17:$BJ$17)</f>
        <v>-122050.88</v>
      </c>
      <c r="D42" s="35" t="n">
        <f aca="false">SUMIF(Headcount!$C$5:$BJ$5,D$27,Headcount!$C$17:$BJ$17)</f>
        <v>-125712.4064</v>
      </c>
      <c r="E42" s="35" t="n">
        <f aca="false">SUMIF(Headcount!$C$5:$BJ$5,E$27,Headcount!$C$17:$BJ$17)</f>
        <v>-129483.778592</v>
      </c>
      <c r="F42" s="35" t="n">
        <f aca="false">SUMIF(Headcount!$C$5:$BJ$5,F$27,Headcount!$C$17:$BJ$17)</f>
        <v>-133368.29194976</v>
      </c>
      <c r="G42" s="95"/>
    </row>
    <row r="43" customFormat="false" ht="15" hidden="false" customHeight="false" outlineLevel="0" collapsed="false">
      <c r="A43" s="38" t="s">
        <v>61</v>
      </c>
      <c r="B43" s="96" t="n">
        <f aca="false">IF(B33=0,0,-(B40+B42)/B33)</f>
        <v>0.794774220872156</v>
      </c>
      <c r="C43" s="96" t="n">
        <f aca="false">IF(C33=0,0,-(C40+C42)/C33)</f>
        <v>0.724498925065783</v>
      </c>
      <c r="D43" s="96" t="n">
        <f aca="false">IF(D33=0,0,-(D40+D42)/D33)</f>
        <v>0.71284286828703</v>
      </c>
      <c r="E43" s="96" t="n">
        <f aca="false">IF(E33=0,0,-(E40+E42)/E33)</f>
        <v>0.701544507854288</v>
      </c>
      <c r="F43" s="96" t="n">
        <f aca="false">IF(F33=0,0,-(F40+F42)/F33)</f>
        <v>0.690593233893769</v>
      </c>
      <c r="G43" s="97"/>
    </row>
    <row r="44" customFormat="false" ht="15" hidden="false" customHeight="false" outlineLevel="0" collapsed="false">
      <c r="A44" s="6" t="s">
        <v>45</v>
      </c>
      <c r="B44" s="35" t="n">
        <f aca="false">SUMIF(Monthly!$C$5:$BJ$5,B$27,Monthly!$C$33:$BJ$33)</f>
        <v>161966.536</v>
      </c>
      <c r="C44" s="35" t="n">
        <f aca="false">SUMIF(Monthly!$C$5:$BJ$5,C$27,Monthly!$C$33:$BJ$33)</f>
        <v>199005.1028928</v>
      </c>
      <c r="D44" s="35" t="n">
        <f aca="false">SUMIF(Monthly!$C$5:$BJ$5,D$27,Monthly!$C$33:$BJ$33)</f>
        <v>211683.054593532</v>
      </c>
      <c r="E44" s="35" t="n">
        <f aca="false">SUMIF(Monthly!$C$5:$BJ$5,E$27,Monthly!$C$33:$BJ$33)</f>
        <v>225178.614639004</v>
      </c>
      <c r="F44" s="35" t="n">
        <f aca="false">SUMIF(Monthly!$C$5:$BJ$5,F$27,Monthly!$C$33:$BJ$33)</f>
        <v>239545.285345936</v>
      </c>
      <c r="G44" s="95"/>
    </row>
    <row r="45" customFormat="false" ht="15" hidden="false" customHeight="false" outlineLevel="0" collapsed="false">
      <c r="A45" s="38" t="s">
        <v>46</v>
      </c>
      <c r="B45" s="96" t="n">
        <f aca="false">IF(B33=0,0,B44/B33)</f>
        <v>0.59134319595759</v>
      </c>
      <c r="C45" s="96" t="n">
        <f aca="false">IF(C33=0,0,C44/C33)</f>
        <v>0.590824962350392</v>
      </c>
      <c r="D45" s="96" t="n">
        <f aca="false">IF(D33=0,0,D44/D33)</f>
        <v>0.590532404325879</v>
      </c>
      <c r="E45" s="96" t="n">
        <f aca="false">IF(E33=0,0,E44/E33)</f>
        <v>0.590236046124414</v>
      </c>
      <c r="F45" s="96" t="n">
        <f aca="false">IF(F33=0,0,F44/F33)</f>
        <v>0.589935869092599</v>
      </c>
      <c r="G45" s="97"/>
    </row>
    <row r="46" customFormat="false" ht="15" hidden="false" customHeight="false" outlineLevel="0" collapsed="false">
      <c r="A46" s="6" t="s">
        <v>48</v>
      </c>
      <c r="B46" s="35" t="n">
        <f aca="false">SUMIF(Monthly!$C$5:$BJ$5,B$27,Monthly!$C$46:$BJ$46)</f>
        <v>-7305.96400000003</v>
      </c>
      <c r="C46" s="35" t="n">
        <f aca="false">SUMIF(Monthly!$C$5:$BJ$5,C$27,Monthly!$C$46:$BJ$46)</f>
        <v>24630.4908928</v>
      </c>
      <c r="D46" s="35" t="n">
        <f aca="false">SUMIF(Monthly!$C$5:$BJ$5,D$27,Monthly!$C$46:$BJ$46)</f>
        <v>32253.0103955315</v>
      </c>
      <c r="E46" s="35" t="n">
        <f aca="false">SUMIF(Monthly!$C$5:$BJ$5,E$27,Monthly!$C$46:$BJ$46)</f>
        <v>40535.2654792672</v>
      </c>
      <c r="F46" s="35" t="n">
        <f aca="false">SUMIF(Monthly!$C$5:$BJ$5,F$27,Monthly!$C$46:$BJ$46)</f>
        <v>49525.5161792919</v>
      </c>
      <c r="G46" s="95"/>
    </row>
    <row r="47" customFormat="false" ht="15" hidden="false" customHeight="false" outlineLevel="0" collapsed="false">
      <c r="A47" s="38" t="s">
        <v>49</v>
      </c>
      <c r="B47" s="96" t="n">
        <f aca="false">IF(B33=0,0,B46/B33)</f>
        <v>-0.0266742267137893</v>
      </c>
      <c r="C47" s="96" t="n">
        <f aca="false">IF(C33=0,0,C46/C33)</f>
        <v>0.0731253050443096</v>
      </c>
      <c r="D47" s="96" t="n">
        <f aca="false">IF(D33=0,0,D46/D33)</f>
        <v>0.0899762515813714</v>
      </c>
      <c r="E47" s="96" t="n">
        <f aca="false">IF(E33=0,0,E46/E33)</f>
        <v>0.106250652902551</v>
      </c>
      <c r="F47" s="96" t="n">
        <f aca="false">IF(F33=0,0,F46/F33)</f>
        <v>0.121968079594207</v>
      </c>
      <c r="G47" s="97"/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B43C"/>
    <pageSetUpPr fitToPage="true"/>
  </sheetPr>
  <dimension ref="A1:I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2"/>
    <col collapsed="false" customWidth="true" hidden="false" outlineLevel="0" max="7" min="7" style="0" width="34"/>
  </cols>
  <sheetData>
    <row r="1" customFormat="false" ht="21.75" hidden="false" customHeight="true" outlineLevel="0" collapsed="false">
      <c r="A1" s="16" t="s">
        <v>244</v>
      </c>
      <c r="I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245</v>
      </c>
    </row>
    <row r="5" customFormat="false" ht="15" hidden="false" customHeight="false" outlineLevel="0" collapsed="false">
      <c r="A5" s="33" t="s">
        <v>104</v>
      </c>
      <c r="B5" s="52" t="s">
        <v>105</v>
      </c>
      <c r="C5" s="52" t="s">
        <v>106</v>
      </c>
      <c r="D5" s="52" t="s">
        <v>107</v>
      </c>
      <c r="E5" s="52" t="s">
        <v>108</v>
      </c>
      <c r="F5" s="33" t="s">
        <v>246</v>
      </c>
      <c r="G5" s="33" t="s">
        <v>247</v>
      </c>
    </row>
    <row r="6" customFormat="false" ht="15.75" hidden="false" customHeight="true" outlineLevel="0" collapsed="false">
      <c r="A6" s="7" t="s">
        <v>248</v>
      </c>
      <c r="B6" s="7"/>
      <c r="C6" s="7"/>
      <c r="D6" s="7"/>
      <c r="E6" s="7"/>
      <c r="F6" s="7"/>
      <c r="G6" s="7"/>
    </row>
    <row r="7" customFormat="false" ht="15" hidden="false" customHeight="false" outlineLevel="0" collapsed="false">
      <c r="A7" s="6" t="s">
        <v>249</v>
      </c>
      <c r="B7" s="100" t="n">
        <v>1</v>
      </c>
      <c r="C7" s="100" t="n">
        <v>1</v>
      </c>
      <c r="D7" s="100" t="n">
        <v>1</v>
      </c>
      <c r="E7" s="101" t="n">
        <f aca="false">CHOOSE(Dashboard!$B$4,B7,C7,D7)</f>
        <v>1</v>
      </c>
      <c r="F7" s="38" t="s">
        <v>250</v>
      </c>
      <c r="G7" s="102"/>
    </row>
    <row r="8" customFormat="false" ht="15" hidden="false" customHeight="false" outlineLevel="0" collapsed="false">
      <c r="A8" s="6" t="s">
        <v>251</v>
      </c>
      <c r="B8" s="100" t="n">
        <v>0</v>
      </c>
      <c r="C8" s="100" t="n">
        <v>0</v>
      </c>
      <c r="D8" s="100" t="n">
        <v>0</v>
      </c>
      <c r="E8" s="101" t="n">
        <f aca="false">CHOOSE(Dashboard!$B$4,B8,C8,D8)</f>
        <v>0</v>
      </c>
      <c r="F8" s="38" t="s">
        <v>250</v>
      </c>
      <c r="G8" s="102"/>
    </row>
    <row r="9" customFormat="false" ht="15" hidden="false" customHeight="false" outlineLevel="0" collapsed="false">
      <c r="A9" s="6" t="s">
        <v>252</v>
      </c>
      <c r="B9" s="103" t="n">
        <v>17</v>
      </c>
      <c r="C9" s="103" t="n">
        <v>18</v>
      </c>
      <c r="D9" s="103" t="n">
        <v>19</v>
      </c>
      <c r="E9" s="104" t="n">
        <f aca="false">CHOOSE(Dashboard!$B$4,B9,C9,D9)</f>
        <v>18</v>
      </c>
      <c r="F9" s="38" t="s">
        <v>253</v>
      </c>
      <c r="G9" s="102" t="s">
        <v>254</v>
      </c>
    </row>
    <row r="10" customFormat="false" ht="15" hidden="false" customHeight="false" outlineLevel="0" collapsed="false">
      <c r="A10" s="6" t="s">
        <v>255</v>
      </c>
      <c r="B10" s="105" t="n">
        <v>0.3</v>
      </c>
      <c r="C10" s="105" t="n">
        <v>0.25</v>
      </c>
      <c r="D10" s="105" t="n">
        <v>0.2</v>
      </c>
      <c r="E10" s="106" t="n">
        <f aca="false">CHOOSE(Dashboard!$B$4,B10,C10,D10)</f>
        <v>0.25</v>
      </c>
      <c r="F10" s="38" t="s">
        <v>256</v>
      </c>
      <c r="G10" s="102" t="s">
        <v>257</v>
      </c>
    </row>
    <row r="12" customFormat="false" ht="15.75" hidden="false" customHeight="true" outlineLevel="0" collapsed="false">
      <c r="A12" s="7" t="s">
        <v>258</v>
      </c>
      <c r="B12" s="7"/>
      <c r="C12" s="7"/>
      <c r="D12" s="7"/>
      <c r="E12" s="7"/>
      <c r="F12" s="7"/>
      <c r="G12" s="7"/>
    </row>
    <row r="13" customFormat="false" ht="15" hidden="false" customHeight="false" outlineLevel="0" collapsed="false">
      <c r="A13" s="6" t="s">
        <v>259</v>
      </c>
      <c r="B13" s="100" t="n">
        <v>9</v>
      </c>
      <c r="C13" s="100" t="n">
        <v>6</v>
      </c>
      <c r="D13" s="100" t="n">
        <v>4</v>
      </c>
      <c r="E13" s="101" t="n">
        <f aca="false">CHOOSE(Dashboard!$B$4,B13,C13,D13)</f>
        <v>6</v>
      </c>
      <c r="F13" s="38" t="s">
        <v>260</v>
      </c>
      <c r="G13" s="102" t="s">
        <v>257</v>
      </c>
    </row>
    <row r="14" customFormat="false" ht="15" hidden="false" customHeight="false" outlineLevel="0" collapsed="false">
      <c r="A14" s="6" t="s">
        <v>261</v>
      </c>
      <c r="B14" s="105" t="n">
        <v>0.35</v>
      </c>
      <c r="C14" s="105" t="n">
        <v>0.5</v>
      </c>
      <c r="D14" s="105" t="n">
        <v>0.6</v>
      </c>
      <c r="E14" s="106" t="n">
        <f aca="false">CHOOSE(Dashboard!$B$4,B14,C14,D14)</f>
        <v>0.5</v>
      </c>
      <c r="F14" s="38" t="s">
        <v>256</v>
      </c>
      <c r="G14" s="102" t="s">
        <v>254</v>
      </c>
    </row>
    <row r="16" customFormat="false" ht="15.75" hidden="false" customHeight="true" outlineLevel="0" collapsed="false">
      <c r="A16" s="7" t="s">
        <v>236</v>
      </c>
      <c r="B16" s="7"/>
      <c r="C16" s="7"/>
      <c r="D16" s="7"/>
      <c r="E16" s="7"/>
      <c r="F16" s="7"/>
      <c r="G16" s="7"/>
    </row>
    <row r="17" customFormat="false" ht="15" hidden="false" customHeight="false" outlineLevel="0" collapsed="false">
      <c r="A17" s="6" t="s">
        <v>262</v>
      </c>
      <c r="B17" s="103" t="n">
        <v>78</v>
      </c>
      <c r="C17" s="103" t="n">
        <v>88</v>
      </c>
      <c r="D17" s="103" t="n">
        <v>98</v>
      </c>
      <c r="E17" s="104" t="n">
        <f aca="false">CHOOSE(Dashboard!$B$4,B17,C17,D17)</f>
        <v>88</v>
      </c>
      <c r="F17" s="38" t="s">
        <v>263</v>
      </c>
      <c r="G17" s="102" t="s">
        <v>254</v>
      </c>
    </row>
    <row r="18" customFormat="false" ht="15" hidden="false" customHeight="false" outlineLevel="0" collapsed="false">
      <c r="A18" s="6" t="s">
        <v>264</v>
      </c>
      <c r="B18" s="105" t="n">
        <v>0</v>
      </c>
      <c r="C18" s="105" t="n">
        <v>0.03</v>
      </c>
      <c r="D18" s="105" t="n">
        <v>0.05</v>
      </c>
      <c r="E18" s="106" t="n">
        <f aca="false">CHOOSE(Dashboard!$B$4,B18,C18,D18)</f>
        <v>0.03</v>
      </c>
      <c r="F18" s="38" t="s">
        <v>256</v>
      </c>
      <c r="G18" s="102" t="s">
        <v>254</v>
      </c>
    </row>
    <row r="19" customFormat="false" ht="15" hidden="false" customHeight="false" outlineLevel="0" collapsed="false">
      <c r="A19" s="6" t="s">
        <v>265</v>
      </c>
      <c r="B19" s="107" t="n">
        <v>13</v>
      </c>
      <c r="C19" s="107" t="n">
        <v>14</v>
      </c>
      <c r="D19" s="107" t="n">
        <v>15</v>
      </c>
      <c r="E19" s="108" t="n">
        <f aca="false">CHOOSE(Dashboard!$B$4,B19,C19,D19)</f>
        <v>14</v>
      </c>
      <c r="F19" s="38" t="s">
        <v>266</v>
      </c>
      <c r="G19" s="102" t="s">
        <v>254</v>
      </c>
    </row>
    <row r="20" customFormat="false" ht="15" hidden="false" customHeight="false" outlineLevel="0" collapsed="false">
      <c r="A20" s="6" t="s">
        <v>267</v>
      </c>
      <c r="B20" s="105" t="n">
        <v>0.02</v>
      </c>
      <c r="C20" s="105" t="n">
        <v>0.03</v>
      </c>
      <c r="D20" s="105" t="n">
        <v>0.04</v>
      </c>
      <c r="E20" s="106" t="n">
        <f aca="false">CHOOSE(Dashboard!$B$4,B20,C20,D20)</f>
        <v>0.03</v>
      </c>
      <c r="F20" s="38" t="s">
        <v>256</v>
      </c>
      <c r="G20" s="102" t="s">
        <v>254</v>
      </c>
    </row>
    <row r="22" customFormat="false" ht="15.75" hidden="false" customHeight="true" outlineLevel="0" collapsed="false">
      <c r="A22" s="7" t="s">
        <v>237</v>
      </c>
      <c r="B22" s="7"/>
      <c r="C22" s="7"/>
      <c r="D22" s="7"/>
      <c r="E22" s="7"/>
      <c r="F22" s="7"/>
      <c r="G22" s="7"/>
    </row>
    <row r="23" customFormat="false" ht="15" hidden="false" customHeight="false" outlineLevel="0" collapsed="false">
      <c r="A23" s="6" t="s">
        <v>268</v>
      </c>
      <c r="B23" s="103" t="n">
        <v>2.5</v>
      </c>
      <c r="C23" s="103" t="n">
        <v>3</v>
      </c>
      <c r="D23" s="103" t="n">
        <v>3.5</v>
      </c>
      <c r="E23" s="104" t="n">
        <f aca="false">CHOOSE(Dashboard!$B$4,B23,C23,D23)</f>
        <v>3</v>
      </c>
      <c r="F23" s="38" t="s">
        <v>253</v>
      </c>
      <c r="G23" s="102" t="s">
        <v>254</v>
      </c>
    </row>
    <row r="24" customFormat="false" ht="15" hidden="false" customHeight="false" outlineLevel="0" collapsed="false">
      <c r="A24" s="6" t="s">
        <v>269</v>
      </c>
      <c r="B24" s="105" t="n">
        <v>0</v>
      </c>
      <c r="C24" s="105" t="n">
        <v>0.05</v>
      </c>
      <c r="D24" s="105" t="n">
        <v>0.1</v>
      </c>
      <c r="E24" s="106" t="n">
        <f aca="false">CHOOSE(Dashboard!$B$4,B24,C24,D24)</f>
        <v>0.05</v>
      </c>
      <c r="F24" s="38" t="s">
        <v>256</v>
      </c>
      <c r="G24" s="102" t="s">
        <v>254</v>
      </c>
    </row>
    <row r="25" customFormat="false" ht="15" hidden="false" customHeight="false" outlineLevel="0" collapsed="false">
      <c r="A25" s="6" t="s">
        <v>270</v>
      </c>
      <c r="B25" s="109" t="n">
        <v>1250</v>
      </c>
      <c r="C25" s="109" t="n">
        <v>1400</v>
      </c>
      <c r="D25" s="109" t="n">
        <v>1550</v>
      </c>
      <c r="E25" s="110" t="n">
        <f aca="false">CHOOSE(Dashboard!$B$4,B25,C25,D25)</f>
        <v>1400</v>
      </c>
      <c r="F25" s="38" t="s">
        <v>266</v>
      </c>
      <c r="G25" s="102" t="s">
        <v>254</v>
      </c>
    </row>
    <row r="26" customFormat="false" ht="15" hidden="false" customHeight="false" outlineLevel="0" collapsed="false">
      <c r="A26" s="6" t="s">
        <v>271</v>
      </c>
      <c r="B26" s="103" t="n">
        <v>100</v>
      </c>
      <c r="C26" s="103" t="n">
        <v>100</v>
      </c>
      <c r="D26" s="103" t="n">
        <v>100</v>
      </c>
      <c r="E26" s="104" t="n">
        <f aca="false">CHOOSE(Dashboard!$B$4,B26,C26,D26)</f>
        <v>100</v>
      </c>
      <c r="F26" s="38" t="s">
        <v>263</v>
      </c>
      <c r="G26" s="102"/>
    </row>
    <row r="28" customFormat="false" ht="15.75" hidden="false" customHeight="true" outlineLevel="0" collapsed="false">
      <c r="A28" s="7" t="s">
        <v>76</v>
      </c>
      <c r="B28" s="7"/>
      <c r="C28" s="7"/>
      <c r="D28" s="7"/>
      <c r="E28" s="7"/>
      <c r="F28" s="7"/>
      <c r="G28" s="7"/>
    </row>
    <row r="29" customFormat="false" ht="15" hidden="false" customHeight="false" outlineLevel="0" collapsed="false">
      <c r="A29" s="6" t="s">
        <v>272</v>
      </c>
      <c r="B29" s="105" t="n">
        <v>0.345</v>
      </c>
      <c r="C29" s="105" t="n">
        <v>0.33</v>
      </c>
      <c r="D29" s="105" t="n">
        <v>0.315</v>
      </c>
      <c r="E29" s="106" t="n">
        <f aca="false">CHOOSE(Dashboard!$B$4,B29,C29,D29)</f>
        <v>0.33</v>
      </c>
      <c r="F29" s="38" t="s">
        <v>256</v>
      </c>
      <c r="G29" s="102" t="s">
        <v>257</v>
      </c>
    </row>
    <row r="30" customFormat="false" ht="15" hidden="false" customHeight="false" outlineLevel="0" collapsed="false">
      <c r="A30" s="6" t="s">
        <v>273</v>
      </c>
      <c r="B30" s="107" t="n">
        <v>0.5</v>
      </c>
      <c r="C30" s="107" t="n">
        <v>0.45</v>
      </c>
      <c r="D30" s="107" t="n">
        <v>0.4</v>
      </c>
      <c r="E30" s="108" t="n">
        <f aca="false">CHOOSE(Dashboard!$B$4,B30,C30,D30)</f>
        <v>0.45</v>
      </c>
      <c r="F30" s="38" t="s">
        <v>266</v>
      </c>
      <c r="G30" s="102" t="s">
        <v>257</v>
      </c>
    </row>
    <row r="31" customFormat="false" ht="15" hidden="false" customHeight="false" outlineLevel="0" collapsed="false">
      <c r="A31" s="6" t="s">
        <v>274</v>
      </c>
      <c r="B31" s="105" t="n">
        <v>0.031</v>
      </c>
      <c r="C31" s="105" t="n">
        <v>0.029</v>
      </c>
      <c r="D31" s="105" t="n">
        <v>0.027</v>
      </c>
      <c r="E31" s="106" t="n">
        <f aca="false">CHOOSE(Dashboard!$B$4,B31,C31,D31)</f>
        <v>0.029</v>
      </c>
      <c r="F31" s="38" t="s">
        <v>256</v>
      </c>
      <c r="G31" s="102" t="s">
        <v>257</v>
      </c>
    </row>
    <row r="32" customFormat="false" ht="15" hidden="false" customHeight="false" outlineLevel="0" collapsed="false">
      <c r="A32" s="6" t="s">
        <v>275</v>
      </c>
      <c r="B32" s="105" t="n">
        <v>0.05</v>
      </c>
      <c r="C32" s="105" t="n">
        <v>0.04</v>
      </c>
      <c r="D32" s="105" t="n">
        <v>0.03</v>
      </c>
      <c r="E32" s="106" t="n">
        <f aca="false">CHOOSE(Dashboard!$B$4,B32,C32,D32)</f>
        <v>0.04</v>
      </c>
      <c r="F32" s="38" t="s">
        <v>256</v>
      </c>
      <c r="G32" s="102" t="s">
        <v>257</v>
      </c>
    </row>
    <row r="33" customFormat="false" ht="15" hidden="false" customHeight="false" outlineLevel="0" collapsed="false">
      <c r="A33" s="6" t="s">
        <v>276</v>
      </c>
      <c r="B33" s="109" t="n">
        <v>120</v>
      </c>
      <c r="C33" s="109" t="n">
        <v>100</v>
      </c>
      <c r="D33" s="109" t="n">
        <v>80</v>
      </c>
      <c r="E33" s="110" t="n">
        <f aca="false">CHOOSE(Dashboard!$B$4,B33,C33,D33)</f>
        <v>100</v>
      </c>
      <c r="F33" s="38" t="s">
        <v>266</v>
      </c>
      <c r="G33" s="102" t="s">
        <v>257</v>
      </c>
    </row>
    <row r="34" customFormat="false" ht="15" hidden="false" customHeight="false" outlineLevel="0" collapsed="false">
      <c r="A34" s="6" t="s">
        <v>277</v>
      </c>
      <c r="B34" s="105" t="n">
        <v>0.04</v>
      </c>
      <c r="C34" s="105" t="n">
        <v>0.03</v>
      </c>
      <c r="D34" s="105" t="n">
        <v>0.025</v>
      </c>
      <c r="E34" s="106" t="n">
        <f aca="false">CHOOSE(Dashboard!$B$4,B34,C34,D34)</f>
        <v>0.03</v>
      </c>
      <c r="F34" s="38" t="s">
        <v>256</v>
      </c>
      <c r="G34" s="102" t="s">
        <v>257</v>
      </c>
    </row>
    <row r="36" customFormat="false" ht="15.75" hidden="false" customHeight="true" outlineLevel="0" collapsed="false">
      <c r="A36" s="7" t="s">
        <v>278</v>
      </c>
      <c r="B36" s="7"/>
      <c r="C36" s="7"/>
      <c r="D36" s="7"/>
      <c r="E36" s="7"/>
      <c r="F36" s="7"/>
      <c r="G36" s="7"/>
    </row>
    <row r="37" customFormat="false" ht="15" hidden="false" customHeight="false" outlineLevel="0" collapsed="false">
      <c r="A37" s="6" t="s">
        <v>279</v>
      </c>
      <c r="B37" s="109" t="n">
        <v>1050</v>
      </c>
      <c r="C37" s="109" t="n">
        <v>950</v>
      </c>
      <c r="D37" s="109" t="n">
        <v>850</v>
      </c>
      <c r="E37" s="110" t="n">
        <f aca="false">CHOOSE(Dashboard!$B$4,B37,C37,D37)</f>
        <v>950</v>
      </c>
      <c r="F37" s="38" t="s">
        <v>266</v>
      </c>
      <c r="G37" s="102"/>
    </row>
    <row r="38" customFormat="false" ht="15" hidden="false" customHeight="false" outlineLevel="0" collapsed="false">
      <c r="A38" s="6" t="s">
        <v>280</v>
      </c>
      <c r="B38" s="109" t="n">
        <v>400</v>
      </c>
      <c r="C38" s="109" t="n">
        <v>380</v>
      </c>
      <c r="D38" s="109" t="n">
        <v>360</v>
      </c>
      <c r="E38" s="110" t="n">
        <f aca="false">CHOOSE(Dashboard!$B$4,B38,C38,D38)</f>
        <v>380</v>
      </c>
      <c r="F38" s="38" t="s">
        <v>266</v>
      </c>
      <c r="G38" s="102"/>
    </row>
    <row r="39" customFormat="false" ht="15" hidden="false" customHeight="false" outlineLevel="0" collapsed="false">
      <c r="A39" s="6" t="s">
        <v>281</v>
      </c>
      <c r="B39" s="109" t="n">
        <v>480</v>
      </c>
      <c r="C39" s="109" t="n">
        <v>450</v>
      </c>
      <c r="D39" s="109" t="n">
        <v>420</v>
      </c>
      <c r="E39" s="110" t="n">
        <f aca="false">CHOOSE(Dashboard!$B$4,B39,C39,D39)</f>
        <v>450</v>
      </c>
      <c r="F39" s="38" t="s">
        <v>266</v>
      </c>
      <c r="G39" s="102"/>
    </row>
    <row r="40" customFormat="false" ht="15" hidden="false" customHeight="false" outlineLevel="0" collapsed="false">
      <c r="A40" s="6" t="s">
        <v>282</v>
      </c>
      <c r="B40" s="107" t="n">
        <v>40</v>
      </c>
      <c r="C40" s="107" t="n">
        <v>38</v>
      </c>
      <c r="D40" s="107" t="n">
        <v>36</v>
      </c>
      <c r="E40" s="108" t="n">
        <f aca="false">CHOOSE(Dashboard!$B$4,B40,C40,D40)</f>
        <v>38</v>
      </c>
      <c r="F40" s="38" t="s">
        <v>266</v>
      </c>
      <c r="G40" s="102"/>
    </row>
    <row r="41" customFormat="false" ht="15" hidden="false" customHeight="false" outlineLevel="0" collapsed="false">
      <c r="A41" s="6" t="s">
        <v>283</v>
      </c>
      <c r="B41" s="109" t="n">
        <v>550</v>
      </c>
      <c r="C41" s="109" t="n">
        <v>500</v>
      </c>
      <c r="D41" s="109" t="n">
        <v>450</v>
      </c>
      <c r="E41" s="110" t="n">
        <f aca="false">CHOOSE(Dashboard!$B$4,B41,C41,D41)</f>
        <v>500</v>
      </c>
      <c r="F41" s="38" t="s">
        <v>266</v>
      </c>
      <c r="G41" s="102"/>
    </row>
    <row r="42" customFormat="false" ht="15" hidden="false" customHeight="false" outlineLevel="0" collapsed="false">
      <c r="A42" s="6" t="s">
        <v>284</v>
      </c>
      <c r="B42" s="109" t="n">
        <v>125</v>
      </c>
      <c r="C42" s="109" t="n">
        <v>120</v>
      </c>
      <c r="D42" s="109" t="n">
        <v>115</v>
      </c>
      <c r="E42" s="110" t="n">
        <f aca="false">CHOOSE(Dashboard!$B$4,B42,C42,D42)</f>
        <v>120</v>
      </c>
      <c r="F42" s="38" t="s">
        <v>266</v>
      </c>
      <c r="G42" s="102"/>
    </row>
    <row r="43" customFormat="false" ht="15" hidden="false" customHeight="false" outlineLevel="0" collapsed="false">
      <c r="A43" s="6" t="s">
        <v>285</v>
      </c>
      <c r="B43" s="109" t="n">
        <v>800</v>
      </c>
      <c r="C43" s="109" t="n">
        <v>700</v>
      </c>
      <c r="D43" s="109" t="n">
        <v>600</v>
      </c>
      <c r="E43" s="110" t="n">
        <f aca="false">CHOOSE(Dashboard!$B$4,B43,C43,D43)</f>
        <v>700</v>
      </c>
      <c r="F43" s="38" t="s">
        <v>266</v>
      </c>
      <c r="G43" s="102"/>
    </row>
    <row r="44" customFormat="false" ht="15" hidden="false" customHeight="false" outlineLevel="0" collapsed="false">
      <c r="A44" s="6" t="s">
        <v>286</v>
      </c>
      <c r="B44" s="105" t="n">
        <v>0</v>
      </c>
      <c r="C44" s="105" t="n">
        <v>0</v>
      </c>
      <c r="D44" s="105" t="n">
        <v>0</v>
      </c>
      <c r="E44" s="106" t="n">
        <f aca="false">CHOOSE(Dashboard!$B$4,B44,C44,D44)</f>
        <v>0</v>
      </c>
      <c r="F44" s="38" t="s">
        <v>256</v>
      </c>
      <c r="G44" s="102"/>
    </row>
    <row r="45" customFormat="false" ht="15" hidden="false" customHeight="false" outlineLevel="0" collapsed="false">
      <c r="A45" s="6" t="s">
        <v>287</v>
      </c>
      <c r="B45" s="109" t="n">
        <v>380</v>
      </c>
      <c r="C45" s="109" t="n">
        <v>350</v>
      </c>
      <c r="D45" s="109" t="n">
        <v>320</v>
      </c>
      <c r="E45" s="110" t="n">
        <f aca="false">CHOOSE(Dashboard!$B$4,B45,C45,D45)</f>
        <v>350</v>
      </c>
      <c r="F45" s="38" t="s">
        <v>266</v>
      </c>
      <c r="G45" s="102"/>
    </row>
    <row r="47" customFormat="false" ht="15.75" hidden="false" customHeight="true" outlineLevel="0" collapsed="false">
      <c r="A47" s="7" t="s">
        <v>84</v>
      </c>
      <c r="B47" s="7"/>
      <c r="C47" s="7"/>
      <c r="D47" s="7"/>
      <c r="E47" s="7"/>
      <c r="F47" s="7"/>
      <c r="G47" s="7"/>
    </row>
    <row r="48" customFormat="false" ht="15" hidden="false" customHeight="false" outlineLevel="0" collapsed="false">
      <c r="A48" s="6" t="s">
        <v>288</v>
      </c>
      <c r="B48" s="100" t="n">
        <v>1</v>
      </c>
      <c r="C48" s="100" t="n">
        <v>1</v>
      </c>
      <c r="D48" s="100" t="n">
        <v>1</v>
      </c>
      <c r="E48" s="101" t="n">
        <f aca="false">CHOOSE(Dashboard!$B$4,B48,C48,D48)</f>
        <v>1</v>
      </c>
      <c r="F48" s="38" t="s">
        <v>250</v>
      </c>
      <c r="G48" s="102"/>
    </row>
    <row r="49" customFormat="false" ht="15" hidden="false" customHeight="false" outlineLevel="0" collapsed="false">
      <c r="A49" s="6" t="s">
        <v>289</v>
      </c>
      <c r="B49" s="109" t="n">
        <v>95000</v>
      </c>
      <c r="C49" s="109" t="n">
        <v>95000</v>
      </c>
      <c r="D49" s="109" t="n">
        <v>95000</v>
      </c>
      <c r="E49" s="110" t="n">
        <f aca="false">CHOOSE(Dashboard!$B$4,B49,C49,D49)</f>
        <v>95000</v>
      </c>
      <c r="F49" s="38" t="s">
        <v>266</v>
      </c>
      <c r="G49" s="102"/>
    </row>
    <row r="50" customFormat="false" ht="15" hidden="false" customHeight="false" outlineLevel="0" collapsed="false">
      <c r="A50" s="6" t="s">
        <v>290</v>
      </c>
      <c r="B50" s="109" t="n">
        <v>40000</v>
      </c>
      <c r="C50" s="109" t="n">
        <v>40000</v>
      </c>
      <c r="D50" s="109" t="n">
        <v>40000</v>
      </c>
      <c r="E50" s="110" t="n">
        <f aca="false">CHOOSE(Dashboard!$B$4,B50,C50,D50)</f>
        <v>40000</v>
      </c>
      <c r="F50" s="38" t="s">
        <v>266</v>
      </c>
      <c r="G50" s="102"/>
    </row>
    <row r="51" customFormat="false" ht="15" hidden="false" customHeight="false" outlineLevel="0" collapsed="false">
      <c r="A51" s="6" t="s">
        <v>291</v>
      </c>
      <c r="B51" s="109" t="n">
        <v>3000</v>
      </c>
      <c r="C51" s="109" t="n">
        <v>3000</v>
      </c>
      <c r="D51" s="109" t="n">
        <v>3000</v>
      </c>
      <c r="E51" s="110" t="n">
        <f aca="false">CHOOSE(Dashboard!$B$4,B51,C51,D51)</f>
        <v>3000</v>
      </c>
      <c r="F51" s="38" t="s">
        <v>266</v>
      </c>
      <c r="G51" s="102"/>
    </row>
    <row r="52" customFormat="false" ht="15" hidden="false" customHeight="false" outlineLevel="0" collapsed="false">
      <c r="A52" s="6" t="s">
        <v>292</v>
      </c>
      <c r="B52" s="109" t="n">
        <v>2500</v>
      </c>
      <c r="C52" s="109" t="n">
        <v>2500</v>
      </c>
      <c r="D52" s="109" t="n">
        <v>2500</v>
      </c>
      <c r="E52" s="110" t="n">
        <f aca="false">CHOOSE(Dashboard!$B$4,B52,C52,D52)</f>
        <v>2500</v>
      </c>
      <c r="F52" s="38" t="s">
        <v>266</v>
      </c>
      <c r="G52" s="102"/>
    </row>
    <row r="54" customFormat="false" ht="15.75" hidden="false" customHeight="true" outlineLevel="0" collapsed="false">
      <c r="A54" s="7" t="s">
        <v>293</v>
      </c>
      <c r="B54" s="7"/>
      <c r="C54" s="7"/>
      <c r="D54" s="7"/>
      <c r="E54" s="7"/>
      <c r="F54" s="7"/>
      <c r="G54" s="7"/>
    </row>
    <row r="55" customFormat="false" ht="15" hidden="false" customHeight="false" outlineLevel="0" collapsed="false">
      <c r="A55" s="6" t="s">
        <v>294</v>
      </c>
      <c r="B55" s="103" t="n">
        <v>1</v>
      </c>
      <c r="C55" s="103" t="n">
        <v>1</v>
      </c>
      <c r="D55" s="103" t="n">
        <v>1</v>
      </c>
      <c r="E55" s="104" t="n">
        <f aca="false">CHOOSE(Dashboard!$B$4,B55,C55,D55)</f>
        <v>1</v>
      </c>
      <c r="F55" s="38" t="s">
        <v>295</v>
      </c>
      <c r="G55" s="102" t="s">
        <v>254</v>
      </c>
    </row>
    <row r="56" customFormat="false" ht="15" hidden="false" customHeight="false" outlineLevel="0" collapsed="false">
      <c r="A56" s="6" t="s">
        <v>296</v>
      </c>
      <c r="B56" s="109" t="n">
        <v>36000</v>
      </c>
      <c r="C56" s="109" t="n">
        <v>36000</v>
      </c>
      <c r="D56" s="109" t="n">
        <v>36000</v>
      </c>
      <c r="E56" s="110" t="n">
        <f aca="false">CHOOSE(Dashboard!$B$4,B56,C56,D56)</f>
        <v>36000</v>
      </c>
      <c r="F56" s="38" t="s">
        <v>266</v>
      </c>
      <c r="G56" s="102"/>
    </row>
    <row r="57" customFormat="false" ht="15" hidden="false" customHeight="false" outlineLevel="0" collapsed="false">
      <c r="A57" s="6" t="s">
        <v>297</v>
      </c>
      <c r="B57" s="105" t="n">
        <v>0</v>
      </c>
      <c r="C57" s="105" t="n">
        <v>0</v>
      </c>
      <c r="D57" s="105" t="n">
        <v>0</v>
      </c>
      <c r="E57" s="106" t="n">
        <f aca="false">CHOOSE(Dashboard!$B$4,B57,C57,D57)</f>
        <v>0</v>
      </c>
      <c r="F57" s="38" t="s">
        <v>256</v>
      </c>
      <c r="G57" s="102" t="s">
        <v>254</v>
      </c>
    </row>
    <row r="58" customFormat="false" ht="15" hidden="false" customHeight="false" outlineLevel="0" collapsed="false">
      <c r="A58" s="6" t="s">
        <v>298</v>
      </c>
      <c r="B58" s="100" t="n">
        <v>1</v>
      </c>
      <c r="C58" s="100" t="n">
        <v>1</v>
      </c>
      <c r="D58" s="100" t="n">
        <v>1</v>
      </c>
      <c r="E58" s="101" t="n">
        <f aca="false">CHOOSE(Dashboard!$B$4,B58,C58,D58)</f>
        <v>1</v>
      </c>
      <c r="F58" s="38" t="s">
        <v>299</v>
      </c>
      <c r="G58" s="102"/>
    </row>
    <row r="59" customFormat="false" ht="15" hidden="false" customHeight="false" outlineLevel="0" collapsed="false">
      <c r="A59" s="6" t="s">
        <v>300</v>
      </c>
      <c r="B59" s="103" t="n">
        <v>1.2</v>
      </c>
      <c r="C59" s="103" t="n">
        <v>1.2</v>
      </c>
      <c r="D59" s="103" t="n">
        <v>1.2</v>
      </c>
      <c r="E59" s="104" t="n">
        <f aca="false">CHOOSE(Dashboard!$B$4,B59,C59,D59)</f>
        <v>1.2</v>
      </c>
      <c r="F59" s="38" t="s">
        <v>295</v>
      </c>
      <c r="G59" s="102" t="s">
        <v>254</v>
      </c>
    </row>
    <row r="60" customFormat="false" ht="15" hidden="false" customHeight="false" outlineLevel="0" collapsed="false">
      <c r="A60" s="6" t="s">
        <v>301</v>
      </c>
      <c r="B60" s="109" t="n">
        <v>34000</v>
      </c>
      <c r="C60" s="109" t="n">
        <v>34000</v>
      </c>
      <c r="D60" s="109" t="n">
        <v>34000</v>
      </c>
      <c r="E60" s="110" t="n">
        <f aca="false">CHOOSE(Dashboard!$B$4,B60,C60,D60)</f>
        <v>34000</v>
      </c>
      <c r="F60" s="38" t="s">
        <v>266</v>
      </c>
      <c r="G60" s="102"/>
    </row>
    <row r="61" customFormat="false" ht="15" hidden="false" customHeight="false" outlineLevel="0" collapsed="false">
      <c r="A61" s="6" t="s">
        <v>302</v>
      </c>
      <c r="B61" s="105" t="n">
        <v>0</v>
      </c>
      <c r="C61" s="105" t="n">
        <v>0</v>
      </c>
      <c r="D61" s="105" t="n">
        <v>0</v>
      </c>
      <c r="E61" s="106" t="n">
        <f aca="false">CHOOSE(Dashboard!$B$4,B61,C61,D61)</f>
        <v>0</v>
      </c>
      <c r="F61" s="38" t="s">
        <v>256</v>
      </c>
      <c r="G61" s="102" t="s">
        <v>254</v>
      </c>
    </row>
    <row r="62" customFormat="false" ht="15" hidden="false" customHeight="false" outlineLevel="0" collapsed="false">
      <c r="A62" s="6" t="s">
        <v>303</v>
      </c>
      <c r="B62" s="100" t="n">
        <v>1</v>
      </c>
      <c r="C62" s="100" t="n">
        <v>1</v>
      </c>
      <c r="D62" s="100" t="n">
        <v>1</v>
      </c>
      <c r="E62" s="101" t="n">
        <f aca="false">CHOOSE(Dashboard!$B$4,B62,C62,D62)</f>
        <v>1</v>
      </c>
      <c r="F62" s="38" t="s">
        <v>299</v>
      </c>
      <c r="G62" s="102"/>
    </row>
    <row r="63" customFormat="false" ht="15" hidden="false" customHeight="false" outlineLevel="0" collapsed="false">
      <c r="A63" s="6" t="s">
        <v>304</v>
      </c>
      <c r="B63" s="103" t="n">
        <v>1</v>
      </c>
      <c r="C63" s="103" t="n">
        <v>1</v>
      </c>
      <c r="D63" s="103" t="n">
        <v>1</v>
      </c>
      <c r="E63" s="104" t="n">
        <f aca="false">CHOOSE(Dashboard!$B$4,B63,C63,D63)</f>
        <v>1</v>
      </c>
      <c r="F63" s="38" t="s">
        <v>295</v>
      </c>
      <c r="G63" s="102" t="s">
        <v>254</v>
      </c>
    </row>
    <row r="64" customFormat="false" ht="15" hidden="false" customHeight="false" outlineLevel="0" collapsed="false">
      <c r="A64" s="6" t="s">
        <v>305</v>
      </c>
      <c r="B64" s="109" t="n">
        <v>29000</v>
      </c>
      <c r="C64" s="109" t="n">
        <v>29000</v>
      </c>
      <c r="D64" s="109" t="n">
        <v>29000</v>
      </c>
      <c r="E64" s="110" t="n">
        <f aca="false">CHOOSE(Dashboard!$B$4,B64,C64,D64)</f>
        <v>29000</v>
      </c>
      <c r="F64" s="38" t="s">
        <v>266</v>
      </c>
      <c r="G64" s="102"/>
    </row>
    <row r="65" customFormat="false" ht="15" hidden="false" customHeight="false" outlineLevel="0" collapsed="false">
      <c r="A65" s="6" t="s">
        <v>306</v>
      </c>
      <c r="B65" s="105" t="n">
        <v>0</v>
      </c>
      <c r="C65" s="105" t="n">
        <v>0</v>
      </c>
      <c r="D65" s="105" t="n">
        <v>0</v>
      </c>
      <c r="E65" s="106" t="n">
        <f aca="false">CHOOSE(Dashboard!$B$4,B65,C65,D65)</f>
        <v>0</v>
      </c>
      <c r="F65" s="38" t="s">
        <v>256</v>
      </c>
      <c r="G65" s="102" t="s">
        <v>254</v>
      </c>
    </row>
    <row r="66" customFormat="false" ht="15" hidden="false" customHeight="false" outlineLevel="0" collapsed="false">
      <c r="A66" s="6" t="s">
        <v>307</v>
      </c>
      <c r="B66" s="100" t="n">
        <v>1</v>
      </c>
      <c r="C66" s="100" t="n">
        <v>1</v>
      </c>
      <c r="D66" s="100" t="n">
        <v>1</v>
      </c>
      <c r="E66" s="101" t="n">
        <f aca="false">CHOOSE(Dashboard!$B$4,B66,C66,D66)</f>
        <v>1</v>
      </c>
      <c r="F66" s="38" t="s">
        <v>299</v>
      </c>
      <c r="G66" s="102"/>
    </row>
    <row r="67" customFormat="false" ht="15" hidden="false" customHeight="false" outlineLevel="0" collapsed="false">
      <c r="A67" s="6" t="s">
        <v>308</v>
      </c>
      <c r="B67" s="105" t="n">
        <v>0.12</v>
      </c>
      <c r="C67" s="105" t="n">
        <v>0.12</v>
      </c>
      <c r="D67" s="105" t="n">
        <v>0.12</v>
      </c>
      <c r="E67" s="106" t="n">
        <f aca="false">CHOOSE(Dashboard!$B$4,B67,C67,D67)</f>
        <v>0.12</v>
      </c>
      <c r="F67" s="38" t="s">
        <v>256</v>
      </c>
      <c r="G67" s="102"/>
    </row>
    <row r="68" customFormat="false" ht="15" hidden="false" customHeight="false" outlineLevel="0" collapsed="false">
      <c r="A68" s="6" t="s">
        <v>309</v>
      </c>
      <c r="B68" s="105" t="n">
        <v>0.03</v>
      </c>
      <c r="C68" s="105" t="n">
        <v>0.03</v>
      </c>
      <c r="D68" s="105" t="n">
        <v>0.03</v>
      </c>
      <c r="E68" s="106" t="n">
        <f aca="false">CHOOSE(Dashboard!$B$4,B68,C68,D68)</f>
        <v>0.03</v>
      </c>
      <c r="F68" s="38" t="s">
        <v>256</v>
      </c>
      <c r="G68" s="102"/>
    </row>
    <row r="70" customFormat="false" ht="15.75" hidden="false" customHeight="true" outlineLevel="0" collapsed="false">
      <c r="A70" s="7" t="s">
        <v>310</v>
      </c>
      <c r="B70" s="7"/>
      <c r="C70" s="7"/>
      <c r="D70" s="7"/>
      <c r="E70" s="7"/>
      <c r="F70" s="7"/>
      <c r="G70" s="7"/>
    </row>
    <row r="71" customFormat="false" ht="15" hidden="false" customHeight="false" outlineLevel="0" collapsed="false">
      <c r="A71" s="6" t="s">
        <v>311</v>
      </c>
      <c r="B71" s="109" t="n">
        <v>100000</v>
      </c>
      <c r="C71" s="109" t="n">
        <v>100000</v>
      </c>
      <c r="D71" s="109" t="n">
        <v>100000</v>
      </c>
      <c r="E71" s="110" t="n">
        <f aca="false">CHOOSE(Dashboard!$B$4,B71,C71,D71)</f>
        <v>100000</v>
      </c>
      <c r="F71" s="38" t="s">
        <v>266</v>
      </c>
      <c r="G71" s="102"/>
    </row>
    <row r="72" customFormat="false" ht="15" hidden="false" customHeight="false" outlineLevel="0" collapsed="false">
      <c r="A72" s="6" t="s">
        <v>312</v>
      </c>
      <c r="B72" s="109" t="n">
        <v>90000</v>
      </c>
      <c r="C72" s="109" t="n">
        <v>90000</v>
      </c>
      <c r="D72" s="109" t="n">
        <v>90000</v>
      </c>
      <c r="E72" s="110" t="n">
        <f aca="false">CHOOSE(Dashboard!$B$4,B72,C72,D72)</f>
        <v>90000</v>
      </c>
      <c r="F72" s="38" t="s">
        <v>266</v>
      </c>
      <c r="G72" s="102"/>
    </row>
    <row r="73" customFormat="false" ht="15" hidden="false" customHeight="false" outlineLevel="0" collapsed="false">
      <c r="A73" s="6" t="s">
        <v>313</v>
      </c>
      <c r="B73" s="105" t="n">
        <v>0.09</v>
      </c>
      <c r="C73" s="105" t="n">
        <v>0.09</v>
      </c>
      <c r="D73" s="105" t="n">
        <v>0.09</v>
      </c>
      <c r="E73" s="106" t="n">
        <f aca="false">CHOOSE(Dashboard!$B$4,B73,C73,D73)</f>
        <v>0.09</v>
      </c>
      <c r="F73" s="38" t="s">
        <v>256</v>
      </c>
      <c r="G73" s="102"/>
    </row>
    <row r="74" customFormat="false" ht="15" hidden="false" customHeight="false" outlineLevel="0" collapsed="false">
      <c r="A74" s="6" t="s">
        <v>314</v>
      </c>
      <c r="B74" s="100" t="n">
        <v>5</v>
      </c>
      <c r="C74" s="100" t="n">
        <v>5</v>
      </c>
      <c r="D74" s="100" t="n">
        <v>5</v>
      </c>
      <c r="E74" s="101" t="n">
        <f aca="false">CHOOSE(Dashboard!$B$4,B74,C74,D74)</f>
        <v>5</v>
      </c>
      <c r="F74" s="38" t="s">
        <v>315</v>
      </c>
      <c r="G74" s="102"/>
    </row>
    <row r="76" customFormat="false" ht="15.75" hidden="false" customHeight="true" outlineLevel="0" collapsed="false">
      <c r="A76" s="7" t="s">
        <v>316</v>
      </c>
      <c r="B76" s="7"/>
      <c r="C76" s="7"/>
      <c r="D76" s="7"/>
      <c r="E76" s="7"/>
      <c r="F76" s="7"/>
      <c r="G76" s="7"/>
    </row>
    <row r="77" customFormat="false" ht="15" hidden="false" customHeight="false" outlineLevel="0" collapsed="false">
      <c r="A77" s="6" t="s">
        <v>317</v>
      </c>
      <c r="B77" s="100" t="n">
        <v>3</v>
      </c>
      <c r="C77" s="100" t="n">
        <v>3</v>
      </c>
      <c r="D77" s="100" t="n">
        <v>3</v>
      </c>
      <c r="E77" s="101" t="n">
        <f aca="false">CHOOSE(Dashboard!$B$4,B77,C77,D77)</f>
        <v>3</v>
      </c>
      <c r="F77" s="38" t="s">
        <v>253</v>
      </c>
      <c r="G77" s="102"/>
    </row>
    <row r="78" customFormat="false" ht="15" hidden="false" customHeight="false" outlineLevel="0" collapsed="false">
      <c r="A78" s="6" t="s">
        <v>318</v>
      </c>
      <c r="B78" s="100" t="n">
        <v>3</v>
      </c>
      <c r="C78" s="100" t="n">
        <v>3</v>
      </c>
      <c r="D78" s="100" t="n">
        <v>3</v>
      </c>
      <c r="E78" s="101" t="n">
        <f aca="false">CHOOSE(Dashboard!$B$4,B78,C78,D78)</f>
        <v>3</v>
      </c>
      <c r="F78" s="38" t="s">
        <v>253</v>
      </c>
      <c r="G78" s="102"/>
    </row>
    <row r="79" customFormat="false" ht="15" hidden="false" customHeight="false" outlineLevel="0" collapsed="false">
      <c r="A79" s="6" t="s">
        <v>319</v>
      </c>
      <c r="B79" s="100" t="n">
        <v>7</v>
      </c>
      <c r="C79" s="100" t="n">
        <v>7</v>
      </c>
      <c r="D79" s="100" t="n">
        <v>7</v>
      </c>
      <c r="E79" s="101" t="n">
        <f aca="false">CHOOSE(Dashboard!$B$4,B79,C79,D79)</f>
        <v>7</v>
      </c>
      <c r="F79" s="38" t="s">
        <v>253</v>
      </c>
      <c r="G79" s="102"/>
    </row>
    <row r="81" customFormat="false" ht="15.75" hidden="false" customHeight="true" outlineLevel="0" collapsed="false">
      <c r="A81" s="7" t="s">
        <v>320</v>
      </c>
      <c r="B81" s="7"/>
      <c r="C81" s="7"/>
      <c r="D81" s="7"/>
      <c r="E81" s="7"/>
      <c r="F81" s="7"/>
      <c r="G81" s="7"/>
    </row>
    <row r="82" customFormat="false" ht="15" hidden="false" customHeight="false" outlineLevel="0" collapsed="false">
      <c r="A82" s="6" t="s">
        <v>321</v>
      </c>
      <c r="B82" s="100" t="n">
        <v>7</v>
      </c>
      <c r="C82" s="100" t="n">
        <v>7</v>
      </c>
      <c r="D82" s="100" t="n">
        <v>7</v>
      </c>
      <c r="E82" s="101" t="n">
        <f aca="false">CHOOSE(Dashboard!$B$4,B82,C82,D82)</f>
        <v>7</v>
      </c>
      <c r="F82" s="38" t="s">
        <v>315</v>
      </c>
      <c r="G82" s="102"/>
    </row>
    <row r="83" customFormat="false" ht="15" hidden="false" customHeight="false" outlineLevel="0" collapsed="false">
      <c r="A83" s="6" t="s">
        <v>322</v>
      </c>
      <c r="B83" s="105" t="n">
        <v>0.21</v>
      </c>
      <c r="C83" s="105" t="n">
        <v>0.21</v>
      </c>
      <c r="D83" s="105" t="n">
        <v>0.21</v>
      </c>
      <c r="E83" s="106" t="n">
        <f aca="false">CHOOSE(Dashboard!$B$4,B83,C83,D83)</f>
        <v>0.21</v>
      </c>
      <c r="F83" s="38" t="s">
        <v>256</v>
      </c>
      <c r="G83" s="102"/>
    </row>
    <row r="85" customFormat="false" ht="15.75" hidden="false" customHeight="true" outlineLevel="0" collapsed="false">
      <c r="A85" s="7" t="s">
        <v>323</v>
      </c>
      <c r="B85" s="7"/>
      <c r="C85" s="7"/>
      <c r="D85" s="7"/>
      <c r="E85" s="7"/>
      <c r="F85" s="7"/>
      <c r="G85" s="7"/>
    </row>
    <row r="86" customFormat="false" ht="15" hidden="false" customHeight="false" outlineLevel="0" collapsed="false">
      <c r="A86" s="6" t="s">
        <v>141</v>
      </c>
      <c r="B86" s="109" t="n">
        <v>42000</v>
      </c>
      <c r="C86" s="109" t="n">
        <v>42000</v>
      </c>
      <c r="D86" s="109" t="n">
        <v>42000</v>
      </c>
      <c r="E86" s="110" t="n">
        <f aca="false">CHOOSE(Dashboard!$B$4,B86,C86,D86)</f>
        <v>42000</v>
      </c>
      <c r="F86" s="38" t="s">
        <v>266</v>
      </c>
      <c r="G86" s="102" t="s">
        <v>324</v>
      </c>
    </row>
    <row r="88" customFormat="false" ht="15.75" hidden="false" customHeight="true" outlineLevel="0" collapsed="false">
      <c r="A88" s="7" t="s">
        <v>325</v>
      </c>
      <c r="B88" s="7"/>
      <c r="C88" s="7"/>
      <c r="D88" s="7"/>
      <c r="E88" s="7"/>
      <c r="F88" s="7"/>
      <c r="G88" s="7"/>
    </row>
    <row r="89" customFormat="false" ht="15" hidden="false" customHeight="false" outlineLevel="0" collapsed="false">
      <c r="A89" s="6" t="s">
        <v>168</v>
      </c>
      <c r="B89" s="105" t="n">
        <v>0.3</v>
      </c>
      <c r="C89" s="105" t="n">
        <v>0.25</v>
      </c>
      <c r="D89" s="105" t="n">
        <v>0.2</v>
      </c>
      <c r="E89" s="106" t="n">
        <f aca="false">CHOOSE(Dashboard!$B$4,B89,C89,D89)</f>
        <v>0.25</v>
      </c>
      <c r="F89" s="38" t="s">
        <v>256</v>
      </c>
      <c r="G89" s="102" t="s">
        <v>257</v>
      </c>
    </row>
    <row r="90" customFormat="false" ht="15" hidden="false" customHeight="false" outlineLevel="0" collapsed="false">
      <c r="A90" s="6" t="s">
        <v>326</v>
      </c>
      <c r="B90" s="105" t="n">
        <v>0.01</v>
      </c>
      <c r="C90" s="105" t="n">
        <v>0.02</v>
      </c>
      <c r="D90" s="105" t="n">
        <v>0.03</v>
      </c>
      <c r="E90" s="106" t="n">
        <f aca="false">CHOOSE(Dashboard!$B$4,B90,C90,D90)</f>
        <v>0.02</v>
      </c>
      <c r="F90" s="38" t="s">
        <v>256</v>
      </c>
      <c r="G90" s="102" t="s">
        <v>254</v>
      </c>
    </row>
    <row r="91" customFormat="false" ht="15" hidden="false" customHeight="false" outlineLevel="0" collapsed="false">
      <c r="A91" s="6" t="s">
        <v>170</v>
      </c>
      <c r="B91" s="111" t="n">
        <v>3</v>
      </c>
      <c r="C91" s="111" t="n">
        <v>4</v>
      </c>
      <c r="D91" s="111" t="n">
        <v>5</v>
      </c>
      <c r="E91" s="112" t="n">
        <f aca="false">CHOOSE(Dashboard!$B$4,B91,C91,D91)</f>
        <v>4</v>
      </c>
      <c r="F91" s="38" t="s">
        <v>327</v>
      </c>
      <c r="G91" s="102" t="s">
        <v>254</v>
      </c>
    </row>
    <row r="92" customFormat="false" ht="15" hidden="false" customHeight="false" outlineLevel="0" collapsed="false">
      <c r="A92" s="6" t="s">
        <v>328</v>
      </c>
      <c r="B92" s="105" t="n">
        <v>0.01</v>
      </c>
      <c r="C92" s="105" t="n">
        <v>0.01</v>
      </c>
      <c r="D92" s="105" t="n">
        <v>0.01</v>
      </c>
      <c r="E92" s="106" t="n">
        <f aca="false">CHOOSE(Dashboard!$B$4,B92,C92,D92)</f>
        <v>0.01</v>
      </c>
      <c r="F92" s="38" t="s">
        <v>256</v>
      </c>
      <c r="G92" s="102"/>
    </row>
    <row r="93" customFormat="false" ht="15" hidden="false" customHeight="false" outlineLevel="0" collapsed="false">
      <c r="A93" s="6" t="s">
        <v>329</v>
      </c>
      <c r="B93" s="105" t="n">
        <v>0.005</v>
      </c>
      <c r="C93" s="105" t="n">
        <v>0.005</v>
      </c>
      <c r="D93" s="105" t="n">
        <v>0.005</v>
      </c>
      <c r="E93" s="106" t="n">
        <f aca="false">CHOOSE(Dashboard!$B$4,B93,C93,D93)</f>
        <v>0.005</v>
      </c>
      <c r="F93" s="38" t="s">
        <v>256</v>
      </c>
      <c r="G93" s="102"/>
    </row>
    <row r="95" customFormat="false" ht="15" hidden="false" customHeight="false" outlineLevel="0" collapsed="false">
      <c r="A95" s="21" t="s">
        <v>330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6" t="s">
        <v>20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331</v>
      </c>
    </row>
    <row r="3" customFormat="false" ht="15" hidden="false" customHeight="false" outlineLevel="0" collapsed="false">
      <c r="A3" s="72" t="s">
        <v>154</v>
      </c>
      <c r="B3" s="72" t="n">
        <v>1</v>
      </c>
      <c r="C3" s="72" t="n">
        <v>2</v>
      </c>
      <c r="D3" s="72" t="n">
        <v>3</v>
      </c>
      <c r="E3" s="72" t="n">
        <v>4</v>
      </c>
      <c r="F3" s="72" t="n">
        <v>5</v>
      </c>
    </row>
    <row r="4" customFormat="false" ht="15" hidden="false" customHeight="false" outlineLevel="0" collapsed="false">
      <c r="A4" s="33"/>
      <c r="B4" s="52" t="s">
        <v>155</v>
      </c>
      <c r="C4" s="52" t="s">
        <v>156</v>
      </c>
      <c r="D4" s="52" t="s">
        <v>157</v>
      </c>
      <c r="E4" s="52" t="s">
        <v>158</v>
      </c>
      <c r="F4" s="52" t="s">
        <v>159</v>
      </c>
    </row>
    <row r="5" customFormat="false" ht="15" hidden="false" customHeight="false" outlineLevel="0" collapsed="false">
      <c r="A5" s="4" t="s">
        <v>44</v>
      </c>
      <c r="B5" s="73" t="n">
        <f aca="false">SUMIF(Monthly!$C$5:$BJ$5,B$3,Monthly!$C$24:$BJ$24)</f>
        <v>273896</v>
      </c>
      <c r="C5" s="73" t="n">
        <f aca="false">SUMIF(Monthly!$C$5:$BJ$5,C$3,Monthly!$C$24:$BJ$24)</f>
        <v>336825.8208</v>
      </c>
      <c r="D5" s="73" t="n">
        <f aca="false">SUMIF(Monthly!$C$5:$BJ$5,D$3,Monthly!$C$24:$BJ$24)</f>
        <v>358461.36984672</v>
      </c>
      <c r="E5" s="73" t="n">
        <f aca="false">SUMIF(Monthly!$C$5:$BJ$5,E$3,Monthly!$C$24:$BJ$24)</f>
        <v>381506.036640025</v>
      </c>
      <c r="F5" s="73" t="n">
        <f aca="false">SUMIF(Monthly!$C$5:$BJ$5,F$3,Monthly!$C$24:$BJ$24)</f>
        <v>406053.094744669</v>
      </c>
    </row>
    <row r="6" customFormat="false" ht="15" hidden="false" customHeight="false" outlineLevel="0" collapsed="false">
      <c r="A6" s="6" t="s">
        <v>76</v>
      </c>
      <c r="B6" s="67" t="n">
        <f aca="false">SUMIF(Monthly!$C$5:$BJ$5,B$3,Monthly!$C$32:$BJ$32)</f>
        <v>-111929.464</v>
      </c>
      <c r="C6" s="67" t="n">
        <f aca="false">SUMIF(Monthly!$C$5:$BJ$5,C$3,Monthly!$C$32:$BJ$32)</f>
        <v>-137820.7179072</v>
      </c>
      <c r="D6" s="67" t="n">
        <f aca="false">SUMIF(Monthly!$C$5:$BJ$5,D$3,Monthly!$C$32:$BJ$32)</f>
        <v>-146778.315253188</v>
      </c>
      <c r="E6" s="67" t="n">
        <f aca="false">SUMIF(Monthly!$C$5:$BJ$5,E$3,Monthly!$C$32:$BJ$32)</f>
        <v>-156327.422001021</v>
      </c>
      <c r="F6" s="67" t="n">
        <f aca="false">SUMIF(Monthly!$C$5:$BJ$5,F$3,Monthly!$C$32:$BJ$32)</f>
        <v>-166507.809398733</v>
      </c>
    </row>
    <row r="7" customFormat="false" ht="15" hidden="false" customHeight="false" outlineLevel="0" collapsed="false">
      <c r="A7" s="113" t="s">
        <v>45</v>
      </c>
      <c r="B7" s="68" t="n">
        <f aca="false">SUMIF(Monthly!$C$5:$BJ$5,B$3,Monthly!$C$33:$BJ$33)</f>
        <v>161966.536</v>
      </c>
      <c r="C7" s="68" t="n">
        <f aca="false">SUMIF(Monthly!$C$5:$BJ$5,C$3,Monthly!$C$33:$BJ$33)</f>
        <v>199005.1028928</v>
      </c>
      <c r="D7" s="68" t="n">
        <f aca="false">SUMIF(Monthly!$C$5:$BJ$5,D$3,Monthly!$C$33:$BJ$33)</f>
        <v>211683.054593532</v>
      </c>
      <c r="E7" s="68" t="n">
        <f aca="false">SUMIF(Monthly!$C$5:$BJ$5,E$3,Monthly!$C$33:$BJ$33)</f>
        <v>225178.614639004</v>
      </c>
      <c r="F7" s="68" t="n">
        <f aca="false">SUMIF(Monthly!$C$5:$BJ$5,F$3,Monthly!$C$33:$BJ$33)</f>
        <v>239545.285345936</v>
      </c>
    </row>
    <row r="8" customFormat="false" ht="15" hidden="false" customHeight="false" outlineLevel="0" collapsed="false">
      <c r="A8" s="38" t="s">
        <v>46</v>
      </c>
      <c r="B8" s="74" t="n">
        <f aca="false">IF(B5=0,0,B7/B5)</f>
        <v>0.59134319595759</v>
      </c>
      <c r="C8" s="74" t="n">
        <f aca="false">IF(C5=0,0,C7/C5)</f>
        <v>0.590824962350392</v>
      </c>
      <c r="D8" s="74" t="n">
        <f aca="false">IF(D5=0,0,D7/D5)</f>
        <v>0.590532404325879</v>
      </c>
      <c r="E8" s="74" t="n">
        <f aca="false">IF(E5=0,0,E7/E5)</f>
        <v>0.590236046124414</v>
      </c>
      <c r="F8" s="74" t="n">
        <f aca="false">IF(F5=0,0,F7/F5)</f>
        <v>0.589935869092599</v>
      </c>
    </row>
    <row r="9" customFormat="false" ht="15" hidden="false" customHeight="false" outlineLevel="0" collapsed="false">
      <c r="A9" s="6" t="s">
        <v>332</v>
      </c>
      <c r="B9" s="67" t="n">
        <f aca="false">SUMIF(Monthly!$C$5:$BJ$5,B$3,Monthly!$C$36:$BJ$36)</f>
        <v>-118496</v>
      </c>
      <c r="C9" s="67" t="n">
        <f aca="false">SUMIF(Monthly!$C$5:$BJ$5,C$3,Monthly!$C$36:$BJ$36)</f>
        <v>-122050.88</v>
      </c>
      <c r="D9" s="67" t="n">
        <f aca="false">SUMIF(Monthly!$C$5:$BJ$5,D$3,Monthly!$C$36:$BJ$36)</f>
        <v>-125712.4064</v>
      </c>
      <c r="E9" s="67" t="n">
        <f aca="false">SUMIF(Monthly!$C$5:$BJ$5,E$3,Monthly!$C$36:$BJ$36)</f>
        <v>-129483.778592</v>
      </c>
      <c r="F9" s="67" t="n">
        <f aca="false">SUMIF(Monthly!$C$5:$BJ$5,F$3,Monthly!$C$36:$BJ$36)</f>
        <v>-133368.29194976</v>
      </c>
    </row>
    <row r="10" customFormat="false" ht="15" hidden="false" customHeight="false" outlineLevel="0" collapsed="false">
      <c r="A10" s="6" t="s">
        <v>333</v>
      </c>
      <c r="B10" s="67" t="n">
        <f aca="false">SUMIF(Monthly!$C$5:$BJ$5,B$3,Monthly!$C$37:$BJ$37)</f>
        <v>-11400</v>
      </c>
      <c r="C10" s="67" t="n">
        <f aca="false">SUMIF(Monthly!$C$5:$BJ$5,C$3,Monthly!$C$37:$BJ$37)</f>
        <v>-11742</v>
      </c>
      <c r="D10" s="67" t="n">
        <f aca="false">SUMIF(Monthly!$C$5:$BJ$5,D$3,Monthly!$C$37:$BJ$37)</f>
        <v>-12094.26</v>
      </c>
      <c r="E10" s="67" t="n">
        <f aca="false">SUMIF(Monthly!$C$5:$BJ$5,E$3,Monthly!$C$37:$BJ$37)</f>
        <v>-12457.0878</v>
      </c>
      <c r="F10" s="67" t="n">
        <f aca="false">SUMIF(Monthly!$C$5:$BJ$5,F$3,Monthly!$C$37:$BJ$37)</f>
        <v>-12830.800434</v>
      </c>
    </row>
    <row r="11" customFormat="false" ht="15" hidden="false" customHeight="false" outlineLevel="0" collapsed="false">
      <c r="A11" s="6" t="s">
        <v>334</v>
      </c>
      <c r="B11" s="67" t="n">
        <f aca="false">SUMIF(Monthly!$C$5:$BJ$5,B$3,Monthly!$C$38:$BJ$38)</f>
        <v>-4560</v>
      </c>
      <c r="C11" s="67" t="n">
        <f aca="false">SUMIF(Monthly!$C$5:$BJ$5,C$3,Monthly!$C$38:$BJ$38)</f>
        <v>-4696.8</v>
      </c>
      <c r="D11" s="67" t="n">
        <f aca="false">SUMIF(Monthly!$C$5:$BJ$5,D$3,Monthly!$C$38:$BJ$38)</f>
        <v>-4837.704</v>
      </c>
      <c r="E11" s="67" t="n">
        <f aca="false">SUMIF(Monthly!$C$5:$BJ$5,E$3,Monthly!$C$38:$BJ$38)</f>
        <v>-4982.83512</v>
      </c>
      <c r="F11" s="67" t="n">
        <f aca="false">SUMIF(Monthly!$C$5:$BJ$5,F$3,Monthly!$C$38:$BJ$38)</f>
        <v>-5132.3201736</v>
      </c>
    </row>
    <row r="12" customFormat="false" ht="15" hidden="false" customHeight="false" outlineLevel="0" collapsed="false">
      <c r="A12" s="6" t="s">
        <v>335</v>
      </c>
      <c r="B12" s="67" t="n">
        <f aca="false">SUMIF(Monthly!$C$5:$BJ$5,B$3,Monthly!$C$39:$BJ$39)</f>
        <v>-5400</v>
      </c>
      <c r="C12" s="67" t="n">
        <f aca="false">SUMIF(Monthly!$C$5:$BJ$5,C$3,Monthly!$C$39:$BJ$39)</f>
        <v>-5562</v>
      </c>
      <c r="D12" s="67" t="n">
        <f aca="false">SUMIF(Monthly!$C$5:$BJ$5,D$3,Monthly!$C$39:$BJ$39)</f>
        <v>-5728.86</v>
      </c>
      <c r="E12" s="67" t="n">
        <f aca="false">SUMIF(Monthly!$C$5:$BJ$5,E$3,Monthly!$C$39:$BJ$39)</f>
        <v>-5900.7258</v>
      </c>
      <c r="F12" s="67" t="n">
        <f aca="false">SUMIF(Monthly!$C$5:$BJ$5,F$3,Monthly!$C$39:$BJ$39)</f>
        <v>-6077.747574</v>
      </c>
    </row>
    <row r="13" customFormat="false" ht="15" hidden="false" customHeight="false" outlineLevel="0" collapsed="false">
      <c r="A13" s="6" t="s">
        <v>336</v>
      </c>
      <c r="B13" s="67" t="n">
        <f aca="false">SUMIF(Monthly!$C$5:$BJ$5,B$3,Monthly!$C$40:$BJ$40)</f>
        <v>-9376.5</v>
      </c>
      <c r="C13" s="67" t="n">
        <f aca="false">SUMIF(Monthly!$C$5:$BJ$5,C$3,Monthly!$C$40:$BJ$40)</f>
        <v>-9933.732</v>
      </c>
      <c r="D13" s="67" t="n">
        <f aca="false">SUMIF(Monthly!$C$5:$BJ$5,D$3,Monthly!$C$40:$BJ$40)</f>
        <v>-10307.937798</v>
      </c>
      <c r="E13" s="67" t="n">
        <f aca="false">SUMIF(Monthly!$C$5:$BJ$5,E$3,Monthly!$C$40:$BJ$40)</f>
        <v>-10699.579567737</v>
      </c>
      <c r="F13" s="67" t="n">
        <f aca="false">SUMIF(Monthly!$C$5:$BJ$5,F$3,Monthly!$C$40:$BJ$40)</f>
        <v>-11109.6864868836</v>
      </c>
    </row>
    <row r="14" customFormat="false" ht="15" hidden="false" customHeight="false" outlineLevel="0" collapsed="false">
      <c r="A14" s="6" t="s">
        <v>337</v>
      </c>
      <c r="B14" s="67" t="n">
        <f aca="false">SUMIF(Monthly!$C$5:$BJ$5,B$3,Monthly!$C$41:$BJ$41)</f>
        <v>-6000</v>
      </c>
      <c r="C14" s="67" t="n">
        <f aca="false">SUMIF(Monthly!$C$5:$BJ$5,C$3,Monthly!$C$41:$BJ$41)</f>
        <v>-6180</v>
      </c>
      <c r="D14" s="67" t="n">
        <f aca="false">SUMIF(Monthly!$C$5:$BJ$5,D$3,Monthly!$C$41:$BJ$41)</f>
        <v>-6365.4</v>
      </c>
      <c r="E14" s="67" t="n">
        <f aca="false">SUMIF(Monthly!$C$5:$BJ$5,E$3,Monthly!$C$41:$BJ$41)</f>
        <v>-6556.362</v>
      </c>
      <c r="F14" s="67" t="n">
        <f aca="false">SUMIF(Monthly!$C$5:$BJ$5,F$3,Monthly!$C$41:$BJ$41)</f>
        <v>-6753.05286</v>
      </c>
    </row>
    <row r="15" customFormat="false" ht="15" hidden="false" customHeight="false" outlineLevel="0" collapsed="false">
      <c r="A15" s="6" t="s">
        <v>338</v>
      </c>
      <c r="B15" s="67" t="n">
        <f aca="false">SUMIF(Monthly!$C$5:$BJ$5,B$3,Monthly!$C$42:$BJ$42)</f>
        <v>-1440</v>
      </c>
      <c r="C15" s="67" t="n">
        <f aca="false">SUMIF(Monthly!$C$5:$BJ$5,C$3,Monthly!$C$42:$BJ$42)</f>
        <v>-1483.2</v>
      </c>
      <c r="D15" s="67" t="n">
        <f aca="false">SUMIF(Monthly!$C$5:$BJ$5,D$3,Monthly!$C$42:$BJ$42)</f>
        <v>-1527.696</v>
      </c>
      <c r="E15" s="67" t="n">
        <f aca="false">SUMIF(Monthly!$C$5:$BJ$5,E$3,Monthly!$C$42:$BJ$42)</f>
        <v>-1573.52688</v>
      </c>
      <c r="F15" s="67" t="n">
        <f aca="false">SUMIF(Monthly!$C$5:$BJ$5,F$3,Monthly!$C$42:$BJ$42)</f>
        <v>-1620.7326864</v>
      </c>
    </row>
    <row r="16" customFormat="false" ht="15" hidden="false" customHeight="false" outlineLevel="0" collapsed="false">
      <c r="A16" s="6" t="s">
        <v>339</v>
      </c>
      <c r="B16" s="67" t="n">
        <f aca="false">SUMIF(Monthly!$C$5:$BJ$5,B$3,Monthly!$C$43:$BJ$43)</f>
        <v>-8400</v>
      </c>
      <c r="C16" s="67" t="n">
        <f aca="false">SUMIF(Monthly!$C$5:$BJ$5,C$3,Monthly!$C$43:$BJ$43)</f>
        <v>-8400</v>
      </c>
      <c r="D16" s="67" t="n">
        <f aca="false">SUMIF(Monthly!$C$5:$BJ$5,D$3,Monthly!$C$43:$BJ$43)</f>
        <v>-8400</v>
      </c>
      <c r="E16" s="67" t="n">
        <f aca="false">SUMIF(Monthly!$C$5:$BJ$5,E$3,Monthly!$C$43:$BJ$43)</f>
        <v>-8400</v>
      </c>
      <c r="F16" s="67" t="n">
        <f aca="false">SUMIF(Monthly!$C$5:$BJ$5,F$3,Monthly!$C$43:$BJ$43)</f>
        <v>-8400</v>
      </c>
    </row>
    <row r="17" customFormat="false" ht="15" hidden="false" customHeight="false" outlineLevel="0" collapsed="false">
      <c r="A17" s="6" t="s">
        <v>340</v>
      </c>
      <c r="B17" s="67" t="n">
        <f aca="false">SUMIF(Monthly!$C$5:$BJ$5,B$3,Monthly!$C$44:$BJ$44)</f>
        <v>-4200</v>
      </c>
      <c r="C17" s="67" t="n">
        <f aca="false">SUMIF(Monthly!$C$5:$BJ$5,C$3,Monthly!$C$44:$BJ$44)</f>
        <v>-4326</v>
      </c>
      <c r="D17" s="67" t="n">
        <f aca="false">SUMIF(Monthly!$C$5:$BJ$5,D$3,Monthly!$C$44:$BJ$44)</f>
        <v>-4455.78</v>
      </c>
      <c r="E17" s="67" t="n">
        <f aca="false">SUMIF(Monthly!$C$5:$BJ$5,E$3,Monthly!$C$44:$BJ$44)</f>
        <v>-4589.4534</v>
      </c>
      <c r="F17" s="67" t="n">
        <f aca="false">SUMIF(Monthly!$C$5:$BJ$5,F$3,Monthly!$C$44:$BJ$44)</f>
        <v>-4727.137002</v>
      </c>
    </row>
    <row r="18" customFormat="false" ht="15" hidden="false" customHeight="false" outlineLevel="0" collapsed="false">
      <c r="A18" s="113" t="s">
        <v>77</v>
      </c>
      <c r="B18" s="68" t="n">
        <f aca="false">SUMIF(Monthly!$C$5:$BJ$5,B$3,Monthly!$C$45:$BJ$45)</f>
        <v>-169272.5</v>
      </c>
      <c r="C18" s="68" t="n">
        <f aca="false">SUMIF(Monthly!$C$5:$BJ$5,C$3,Monthly!$C$45:$BJ$45)</f>
        <v>-174374.612</v>
      </c>
      <c r="D18" s="68" t="n">
        <f aca="false">SUMIF(Monthly!$C$5:$BJ$5,D$3,Monthly!$C$45:$BJ$45)</f>
        <v>-179430.044198</v>
      </c>
      <c r="E18" s="68" t="n">
        <f aca="false">SUMIF(Monthly!$C$5:$BJ$5,E$3,Monthly!$C$45:$BJ$45)</f>
        <v>-184643.349159737</v>
      </c>
      <c r="F18" s="68" t="n">
        <f aca="false">SUMIF(Monthly!$C$5:$BJ$5,F$3,Monthly!$C$45:$BJ$45)</f>
        <v>-190019.769166644</v>
      </c>
    </row>
    <row r="19" customFormat="false" ht="15" hidden="false" customHeight="false" outlineLevel="0" collapsed="false">
      <c r="A19" s="113" t="s">
        <v>48</v>
      </c>
      <c r="B19" s="68" t="n">
        <f aca="false">SUMIF(Monthly!$C$5:$BJ$5,B$3,Monthly!$C$46:$BJ$46)</f>
        <v>-7305.96400000003</v>
      </c>
      <c r="C19" s="68" t="n">
        <f aca="false">SUMIF(Monthly!$C$5:$BJ$5,C$3,Monthly!$C$46:$BJ$46)</f>
        <v>24630.4908928</v>
      </c>
      <c r="D19" s="68" t="n">
        <f aca="false">SUMIF(Monthly!$C$5:$BJ$5,D$3,Monthly!$C$46:$BJ$46)</f>
        <v>32253.0103955315</v>
      </c>
      <c r="E19" s="68" t="n">
        <f aca="false">SUMIF(Monthly!$C$5:$BJ$5,E$3,Monthly!$C$46:$BJ$46)</f>
        <v>40535.2654792672</v>
      </c>
      <c r="F19" s="68" t="n">
        <f aca="false">SUMIF(Monthly!$C$5:$BJ$5,F$3,Monthly!$C$46:$BJ$46)</f>
        <v>49525.5161792919</v>
      </c>
    </row>
    <row r="20" customFormat="false" ht="15" hidden="false" customHeight="false" outlineLevel="0" collapsed="false">
      <c r="A20" s="38" t="s">
        <v>49</v>
      </c>
      <c r="B20" s="74" t="n">
        <f aca="false">IF(B5=0,0,B19/B5)</f>
        <v>-0.0266742267137893</v>
      </c>
      <c r="C20" s="74" t="n">
        <f aca="false">IF(C5=0,0,C19/C5)</f>
        <v>0.0731253050443096</v>
      </c>
      <c r="D20" s="74" t="n">
        <f aca="false">IF(D5=0,0,D19/D5)</f>
        <v>0.0899762515813714</v>
      </c>
      <c r="E20" s="74" t="n">
        <f aca="false">IF(E5=0,0,E19/E5)</f>
        <v>0.106250652902551</v>
      </c>
      <c r="F20" s="74" t="n">
        <f aca="false">IF(F5=0,0,F19/F5)</f>
        <v>0.121968079594207</v>
      </c>
    </row>
    <row r="21" customFormat="false" ht="15" hidden="false" customHeight="false" outlineLevel="0" collapsed="false">
      <c r="A21" s="6" t="s">
        <v>78</v>
      </c>
      <c r="B21" s="67" t="n">
        <f aca="false">SUMIF(Monthly!$C$5:$BJ$5,B$3,Monthly!$C$64:$BJ$64)</f>
        <v>-19714.2857142857</v>
      </c>
      <c r="C21" s="67" t="n">
        <f aca="false">SUMIF(Monthly!$C$5:$BJ$5,C$3,Monthly!$C$64:$BJ$64)</f>
        <v>-20071.4285714286</v>
      </c>
      <c r="D21" s="67" t="n">
        <f aca="false">SUMIF(Monthly!$C$5:$BJ$5,D$3,Monthly!$C$64:$BJ$64)</f>
        <v>-20428.5714285714</v>
      </c>
      <c r="E21" s="67" t="n">
        <f aca="false">SUMIF(Monthly!$C$5:$BJ$5,E$3,Monthly!$C$64:$BJ$64)</f>
        <v>-20785.7142857143</v>
      </c>
      <c r="F21" s="67" t="n">
        <f aca="false">SUMIF(Monthly!$C$5:$BJ$5,F$3,Monthly!$C$64:$BJ$64)</f>
        <v>-21142.8571428571</v>
      </c>
    </row>
    <row r="22" customFormat="false" ht="15" hidden="false" customHeight="false" outlineLevel="0" collapsed="false">
      <c r="A22" s="4" t="s">
        <v>79</v>
      </c>
      <c r="B22" s="73" t="n">
        <f aca="false">SUMIF(Monthly!$C$5:$BJ$5,B$3,Monthly!$C$49:$BJ$49)</f>
        <v>-27020.2497142857</v>
      </c>
      <c r="C22" s="73" t="n">
        <f aca="false">SUMIF(Monthly!$C$5:$BJ$5,C$3,Monthly!$C$49:$BJ$49)</f>
        <v>4559.0623213714</v>
      </c>
      <c r="D22" s="73" t="n">
        <f aca="false">SUMIF(Monthly!$C$5:$BJ$5,D$3,Monthly!$C$49:$BJ$49)</f>
        <v>11824.4389669601</v>
      </c>
      <c r="E22" s="73" t="n">
        <f aca="false">SUMIF(Monthly!$C$5:$BJ$5,E$3,Monthly!$C$49:$BJ$49)</f>
        <v>19749.5511935529</v>
      </c>
      <c r="F22" s="73" t="n">
        <f aca="false">SUMIF(Monthly!$C$5:$BJ$5,F$3,Monthly!$C$49:$BJ$49)</f>
        <v>28382.6590364348</v>
      </c>
    </row>
    <row r="23" customFormat="false" ht="15" hidden="false" customHeight="false" outlineLevel="0" collapsed="false">
      <c r="A23" s="6" t="s">
        <v>80</v>
      </c>
      <c r="B23" s="67" t="n">
        <f aca="false">SUMIF(Monthly!$C$5:$BJ$5,B$3,Monthly!$C$50:$BJ$50)</f>
        <v>-7419.375</v>
      </c>
      <c r="C23" s="67" t="n">
        <f aca="false">SUMIF(Monthly!$C$5:$BJ$5,C$3,Monthly!$C$50:$BJ$50)</f>
        <v>-5805</v>
      </c>
      <c r="D23" s="67" t="n">
        <f aca="false">SUMIF(Monthly!$C$5:$BJ$5,D$3,Monthly!$C$50:$BJ$50)</f>
        <v>-4185</v>
      </c>
      <c r="E23" s="67" t="n">
        <f aca="false">SUMIF(Monthly!$C$5:$BJ$5,E$3,Monthly!$C$50:$BJ$50)</f>
        <v>-2565</v>
      </c>
      <c r="F23" s="67" t="n">
        <f aca="false">SUMIF(Monthly!$C$5:$BJ$5,F$3,Monthly!$C$50:$BJ$50)</f>
        <v>-945</v>
      </c>
    </row>
    <row r="24" customFormat="false" ht="15" hidden="false" customHeight="false" outlineLevel="0" collapsed="false">
      <c r="A24" s="114" t="s">
        <v>81</v>
      </c>
      <c r="B24" s="115" t="n">
        <f aca="false">SUMIF(Monthly!$C$5:$BJ$5,B$3,Monthly!$C$51:$BJ$51)</f>
        <v>-34439.6247142858</v>
      </c>
      <c r="C24" s="115" t="n">
        <f aca="false">SUMIF(Monthly!$C$5:$BJ$5,C$3,Monthly!$C$51:$BJ$51)</f>
        <v>-1245.9376786286</v>
      </c>
      <c r="D24" s="115" t="n">
        <f aca="false">SUMIF(Monthly!$C$5:$BJ$5,D$3,Monthly!$C$51:$BJ$51)</f>
        <v>7639.43896696008</v>
      </c>
      <c r="E24" s="115" t="n">
        <f aca="false">SUMIF(Monthly!$C$5:$BJ$5,E$3,Monthly!$C$51:$BJ$51)</f>
        <v>17184.5511935529</v>
      </c>
      <c r="F24" s="115" t="n">
        <f aca="false">SUMIF(Monthly!$C$5:$BJ$5,F$3,Monthly!$C$51:$BJ$51)</f>
        <v>27437.6590364348</v>
      </c>
    </row>
    <row r="25" customFormat="false" ht="15" hidden="false" customHeight="false" outlineLevel="0" collapsed="false">
      <c r="A25" s="6" t="s">
        <v>82</v>
      </c>
      <c r="B25" s="67" t="n">
        <f aca="false">SUMIF(Monthly!$C$5:$BJ$5,B$3,Monthly!$C$54:$BJ$54)</f>
        <v>0</v>
      </c>
      <c r="C25" s="67" t="n">
        <f aca="false">SUMIF(Monthly!$C$5:$BJ$5,C$3,Monthly!$C$54:$BJ$54)</f>
        <v>0</v>
      </c>
      <c r="D25" s="67" t="n">
        <f aca="false">SUMIF(Monthly!$C$5:$BJ$5,D$3,Monthly!$C$54:$BJ$54)</f>
        <v>0</v>
      </c>
      <c r="E25" s="67" t="n">
        <f aca="false">SUMIF(Monthly!$C$5:$BJ$5,E$3,Monthly!$C$54:$BJ$54)</f>
        <v>0</v>
      </c>
      <c r="F25" s="67" t="n">
        <f aca="false">SUMIF(Monthly!$C$5:$BJ$5,F$3,Monthly!$C$54:$BJ$54)</f>
        <v>-3845.36579447121</v>
      </c>
    </row>
    <row r="26" customFormat="false" ht="15" hidden="false" customHeight="false" outlineLevel="0" collapsed="false">
      <c r="A26" s="70" t="s">
        <v>50</v>
      </c>
      <c r="B26" s="71" t="n">
        <f aca="false">SUMIF(Monthly!$C$5:$BJ$5,B$3,Monthly!$C$55:$BJ$55)</f>
        <v>-34439.6247142858</v>
      </c>
      <c r="C26" s="71" t="n">
        <f aca="false">SUMIF(Monthly!$C$5:$BJ$5,C$3,Monthly!$C$55:$BJ$55)</f>
        <v>-1245.9376786286</v>
      </c>
      <c r="D26" s="71" t="n">
        <f aca="false">SUMIF(Monthly!$C$5:$BJ$5,D$3,Monthly!$C$55:$BJ$55)</f>
        <v>7639.43896696008</v>
      </c>
      <c r="E26" s="71" t="n">
        <f aca="false">SUMIF(Monthly!$C$5:$BJ$5,E$3,Monthly!$C$55:$BJ$55)</f>
        <v>17184.5511935529</v>
      </c>
      <c r="F26" s="71" t="n">
        <f aca="false">SUMIF(Monthly!$C$5:$BJ$5,F$3,Monthly!$C$55:$BJ$55)</f>
        <v>23592.2932419636</v>
      </c>
    </row>
    <row r="27" customFormat="false" ht="15" hidden="false" customHeight="false" outlineLevel="0" collapsed="false">
      <c r="A27" s="38" t="s">
        <v>51</v>
      </c>
      <c r="B27" s="74" t="n">
        <f aca="false">IF(B5=0,0,B26/B5)</f>
        <v>-0.125739787051603</v>
      </c>
      <c r="C27" s="74" t="n">
        <f aca="false">IF(C5=0,0,C26/C5)</f>
        <v>-0.00369905631245655</v>
      </c>
      <c r="D27" s="74" t="n">
        <f aca="false">IF(D5=0,0,D26/D5)</f>
        <v>0.02131174963212</v>
      </c>
      <c r="E27" s="74" t="n">
        <f aca="false">IF(E5=0,0,E26/E5)</f>
        <v>0.0450439823833447</v>
      </c>
      <c r="F27" s="74" t="n">
        <f aca="false">IF(F5=0,0,F26/F5)</f>
        <v>0.0581014984180793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6" t="s">
        <v>21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331</v>
      </c>
    </row>
    <row r="3" customFormat="false" ht="15" hidden="false" customHeight="false" outlineLevel="0" collapsed="false">
      <c r="A3" s="72" t="s">
        <v>154</v>
      </c>
      <c r="B3" s="72" t="n">
        <v>1</v>
      </c>
      <c r="C3" s="72" t="n">
        <v>2</v>
      </c>
      <c r="D3" s="72" t="n">
        <v>3</v>
      </c>
      <c r="E3" s="72" t="n">
        <v>4</v>
      </c>
      <c r="F3" s="72" t="n">
        <v>5</v>
      </c>
    </row>
    <row r="4" customFormat="false" ht="15" hidden="false" customHeight="false" outlineLevel="0" collapsed="false">
      <c r="A4" s="33"/>
      <c r="B4" s="52" t="s">
        <v>155</v>
      </c>
      <c r="C4" s="52" t="s">
        <v>156</v>
      </c>
      <c r="D4" s="52" t="s">
        <v>157</v>
      </c>
      <c r="E4" s="52" t="s">
        <v>158</v>
      </c>
      <c r="F4" s="52" t="s">
        <v>159</v>
      </c>
    </row>
    <row r="5" customFormat="false" ht="15" hidden="false" customHeight="false" outlineLevel="0" collapsed="false">
      <c r="A5" s="6" t="s">
        <v>50</v>
      </c>
      <c r="B5" s="67" t="n">
        <f aca="false">SUMIF(Monthly!$C$5:$BJ$5,B$3,Monthly!$C$55:$BJ$55)</f>
        <v>-34439.6247142858</v>
      </c>
      <c r="C5" s="67" t="n">
        <f aca="false">SUMIF(Monthly!$C$5:$BJ$5,C$3,Monthly!$C$55:$BJ$55)</f>
        <v>-1245.9376786286</v>
      </c>
      <c r="D5" s="67" t="n">
        <f aca="false">SUMIF(Monthly!$C$5:$BJ$5,D$3,Monthly!$C$55:$BJ$55)</f>
        <v>7639.43896696008</v>
      </c>
      <c r="E5" s="67" t="n">
        <f aca="false">SUMIF(Monthly!$C$5:$BJ$5,E$3,Monthly!$C$55:$BJ$55)</f>
        <v>17184.5511935529</v>
      </c>
      <c r="F5" s="67" t="n">
        <f aca="false">SUMIF(Monthly!$C$5:$BJ$5,F$3,Monthly!$C$55:$BJ$55)</f>
        <v>23592.2932419636</v>
      </c>
    </row>
    <row r="6" customFormat="false" ht="15" hidden="false" customHeight="false" outlineLevel="0" collapsed="false">
      <c r="A6" s="6" t="s">
        <v>341</v>
      </c>
      <c r="B6" s="67" t="n">
        <f aca="false">-SUMIF(Monthly!$C$5:$BJ$5,B$3,Monthly!$C$64:$BJ$64)</f>
        <v>19714.2857142857</v>
      </c>
      <c r="C6" s="67" t="n">
        <f aca="false">-SUMIF(Monthly!$C$5:$BJ$5,C$3,Monthly!$C$64:$BJ$64)</f>
        <v>20071.4285714286</v>
      </c>
      <c r="D6" s="67" t="n">
        <f aca="false">-SUMIF(Monthly!$C$5:$BJ$5,D$3,Monthly!$C$64:$BJ$64)</f>
        <v>20428.5714285714</v>
      </c>
      <c r="E6" s="67" t="n">
        <f aca="false">-SUMIF(Monthly!$C$5:$BJ$5,E$3,Monthly!$C$64:$BJ$64)</f>
        <v>20785.7142857143</v>
      </c>
      <c r="F6" s="67" t="n">
        <f aca="false">-SUMIF(Monthly!$C$5:$BJ$5,F$3,Monthly!$C$64:$BJ$64)</f>
        <v>21142.8571428571</v>
      </c>
    </row>
    <row r="7" customFormat="false" ht="15" hidden="false" customHeight="false" outlineLevel="0" collapsed="false">
      <c r="A7" s="6" t="s">
        <v>342</v>
      </c>
      <c r="B7" s="67" t="n">
        <f aca="false">SUMIF(Monthly!$C$5:$BJ$5,B$3,Monthly!$C$78:$BJ$78)</f>
        <v>-2083.2</v>
      </c>
      <c r="C7" s="67" t="n">
        <f aca="false">SUMIF(Monthly!$C$5:$BJ$5,C$3,Monthly!$C$78:$BJ$78)</f>
        <v>-135.51888</v>
      </c>
      <c r="D7" s="67" t="n">
        <f aca="false">SUMIF(Monthly!$C$5:$BJ$5,D$3,Monthly!$C$78:$BJ$78)</f>
        <v>-144.477117792</v>
      </c>
      <c r="E7" s="67" t="n">
        <f aca="false">SUMIF(Monthly!$C$5:$BJ$5,E$3,Monthly!$C$78:$BJ$78)</f>
        <v>-154.038381012533</v>
      </c>
      <c r="F7" s="67" t="n">
        <f aca="false">SUMIF(Monthly!$C$5:$BJ$5,F$3,Monthly!$C$78:$BJ$78)</f>
        <v>-164.244077613077</v>
      </c>
    </row>
    <row r="8" customFormat="false" ht="15" hidden="false" customHeight="false" outlineLevel="0" collapsed="false">
      <c r="A8" s="6" t="s">
        <v>343</v>
      </c>
      <c r="B8" s="67" t="n">
        <f aca="false">SUMIF(Monthly!$C$5:$BJ$5,B$3,Monthly!$C$79:$BJ$79)</f>
        <v>-861.6288</v>
      </c>
      <c r="C8" s="67" t="n">
        <f aca="false">SUMIF(Monthly!$C$5:$BJ$5,C$3,Monthly!$C$79:$BJ$79)</f>
        <v>-56.82144192</v>
      </c>
      <c r="D8" s="67" t="n">
        <f aca="false">SUMIF(Monthly!$C$5:$BJ$5,D$3,Monthly!$C$79:$BJ$79)</f>
        <v>-60.6362499449278</v>
      </c>
      <c r="E8" s="67" t="n">
        <f aca="false">SUMIF(Monthly!$C$5:$BJ$5,E$3,Monthly!$C$79:$BJ$79)</f>
        <v>-64.7122619288523</v>
      </c>
      <c r="F8" s="67" t="n">
        <f aca="false">SUMIF(Monthly!$C$5:$BJ$5,F$3,Monthly!$C$79:$BJ$79)</f>
        <v>-69.0677390881228</v>
      </c>
    </row>
    <row r="9" customFormat="false" ht="15" hidden="false" customHeight="false" outlineLevel="0" collapsed="false">
      <c r="A9" s="6" t="s">
        <v>344</v>
      </c>
      <c r="B9" s="67" t="n">
        <f aca="false">SUMIF(Monthly!$C$5:$BJ$5,B$3,Monthly!$C$80:$BJ$80)</f>
        <v>2010.4672</v>
      </c>
      <c r="C9" s="67" t="n">
        <f aca="false">SUMIF(Monthly!$C$5:$BJ$5,C$3,Monthly!$C$80:$BJ$80)</f>
        <v>132.58336448</v>
      </c>
      <c r="D9" s="67" t="n">
        <f aca="false">SUMIF(Monthly!$C$5:$BJ$5,D$3,Monthly!$C$80:$BJ$80)</f>
        <v>141.484583204831</v>
      </c>
      <c r="E9" s="67" t="n">
        <f aca="false">SUMIF(Monthly!$C$5:$BJ$5,E$3,Monthly!$C$80:$BJ$80)</f>
        <v>150.995277833988</v>
      </c>
      <c r="F9" s="67" t="n">
        <f aca="false">SUMIF(Monthly!$C$5:$BJ$5,F$3,Monthly!$C$80:$BJ$80)</f>
        <v>161.158057872288</v>
      </c>
    </row>
    <row r="10" customFormat="false" ht="15" hidden="false" customHeight="false" outlineLevel="0" collapsed="false">
      <c r="A10" s="113" t="s">
        <v>52</v>
      </c>
      <c r="B10" s="68" t="n">
        <f aca="false">SUMIF(Monthly!$C$5:$BJ$5,B$3,Monthly!$C$83:$BJ$83)</f>
        <v>-15659.7006</v>
      </c>
      <c r="C10" s="68" t="n">
        <f aca="false">SUMIF(Monthly!$C$5:$BJ$5,C$3,Monthly!$C$83:$BJ$83)</f>
        <v>18765.73393536</v>
      </c>
      <c r="D10" s="68" t="n">
        <f aca="false">SUMIF(Monthly!$C$5:$BJ$5,D$3,Monthly!$C$83:$BJ$83)</f>
        <v>28004.3816109994</v>
      </c>
      <c r="E10" s="68" t="n">
        <f aca="false">SUMIF(Monthly!$C$5:$BJ$5,E$3,Monthly!$C$83:$BJ$83)</f>
        <v>37902.5101141598</v>
      </c>
      <c r="F10" s="68" t="n">
        <f aca="false">SUMIF(Monthly!$C$5:$BJ$5,F$3,Monthly!$C$83:$BJ$83)</f>
        <v>44662.9966259918</v>
      </c>
    </row>
    <row r="11" customFormat="false" ht="15" hidden="false" customHeight="false" outlineLevel="0" collapsed="false">
      <c r="A11" s="6" t="s">
        <v>84</v>
      </c>
      <c r="B11" s="67" t="n">
        <f aca="false">SUMIF(Monthly!$C$5:$BJ$5,B$3,Monthly!$C$84:$BJ$84)</f>
        <v>-138000</v>
      </c>
      <c r="C11" s="67" t="n">
        <f aca="false">SUMIF(Monthly!$C$5:$BJ$5,C$3,Monthly!$C$84:$BJ$84)</f>
        <v>-2500</v>
      </c>
      <c r="D11" s="67" t="n">
        <f aca="false">SUMIF(Monthly!$C$5:$BJ$5,D$3,Monthly!$C$84:$BJ$84)</f>
        <v>-2500</v>
      </c>
      <c r="E11" s="67" t="n">
        <f aca="false">SUMIF(Monthly!$C$5:$BJ$5,E$3,Monthly!$C$84:$BJ$84)</f>
        <v>-2500</v>
      </c>
      <c r="F11" s="67" t="n">
        <f aca="false">SUMIF(Monthly!$C$5:$BJ$5,F$3,Monthly!$C$84:$BJ$84)</f>
        <v>-2500</v>
      </c>
    </row>
    <row r="12" customFormat="false" ht="15" hidden="false" customHeight="false" outlineLevel="0" collapsed="false">
      <c r="A12" s="6" t="s">
        <v>64</v>
      </c>
      <c r="B12" s="67" t="n">
        <f aca="false">SUMIF(Monthly!$C$5:$BJ$5,B$3,Monthly!$C$85:$BJ$85)</f>
        <v>100000</v>
      </c>
      <c r="C12" s="67" t="n">
        <f aca="false">SUMIF(Monthly!$C$5:$BJ$5,C$3,Monthly!$C$85:$BJ$85)</f>
        <v>0</v>
      </c>
      <c r="D12" s="67" t="n">
        <f aca="false">SUMIF(Monthly!$C$5:$BJ$5,D$3,Monthly!$C$85:$BJ$85)</f>
        <v>0</v>
      </c>
      <c r="E12" s="67" t="n">
        <f aca="false">SUMIF(Monthly!$C$5:$BJ$5,E$3,Monthly!$C$85:$BJ$85)</f>
        <v>0</v>
      </c>
      <c r="F12" s="67" t="n">
        <f aca="false">SUMIF(Monthly!$C$5:$BJ$5,F$3,Monthly!$C$85:$BJ$85)</f>
        <v>0</v>
      </c>
    </row>
    <row r="13" customFormat="false" ht="15" hidden="false" customHeight="false" outlineLevel="0" collapsed="false">
      <c r="A13" s="6" t="s">
        <v>85</v>
      </c>
      <c r="B13" s="67" t="n">
        <f aca="false">SUMIF(Monthly!$C$5:$BJ$5,B$3,Monthly!$C$70:$BJ$70)</f>
        <v>90000</v>
      </c>
      <c r="C13" s="67" t="n">
        <f aca="false">SUMIF(Monthly!$C$5:$BJ$5,C$3,Monthly!$C$70:$BJ$70)</f>
        <v>0</v>
      </c>
      <c r="D13" s="67" t="n">
        <f aca="false">SUMIF(Monthly!$C$5:$BJ$5,D$3,Monthly!$C$70:$BJ$70)</f>
        <v>0</v>
      </c>
      <c r="E13" s="67" t="n">
        <f aca="false">SUMIF(Monthly!$C$5:$BJ$5,E$3,Monthly!$C$70:$BJ$70)</f>
        <v>0</v>
      </c>
      <c r="F13" s="67" t="n">
        <f aca="false">SUMIF(Monthly!$C$5:$BJ$5,F$3,Monthly!$C$70:$BJ$70)</f>
        <v>0</v>
      </c>
    </row>
    <row r="14" customFormat="false" ht="15" hidden="false" customHeight="false" outlineLevel="0" collapsed="false">
      <c r="A14" s="6" t="s">
        <v>86</v>
      </c>
      <c r="B14" s="67" t="n">
        <f aca="false">SUMIF(Monthly!$C$5:$BJ$5,B$3,Monthly!$C$71:$BJ$71)</f>
        <v>-16500</v>
      </c>
      <c r="C14" s="67" t="n">
        <f aca="false">SUMIF(Monthly!$C$5:$BJ$5,C$3,Monthly!$C$71:$BJ$71)</f>
        <v>-18000</v>
      </c>
      <c r="D14" s="67" t="n">
        <f aca="false">SUMIF(Monthly!$C$5:$BJ$5,D$3,Monthly!$C$71:$BJ$71)</f>
        <v>-18000</v>
      </c>
      <c r="E14" s="67" t="n">
        <f aca="false">SUMIF(Monthly!$C$5:$BJ$5,E$3,Monthly!$C$71:$BJ$71)</f>
        <v>-18000</v>
      </c>
      <c r="F14" s="67" t="n">
        <f aca="false">SUMIF(Monthly!$C$5:$BJ$5,F$3,Monthly!$C$71:$BJ$71)</f>
        <v>-18000</v>
      </c>
    </row>
    <row r="15" customFormat="false" ht="15" hidden="false" customHeight="false" outlineLevel="0" collapsed="false">
      <c r="A15" s="113" t="s">
        <v>54</v>
      </c>
      <c r="B15" s="68" t="n">
        <f aca="false">SUMIF(Monthly!$C$5:$BJ$5,B$3,Monthly!$C$86:$BJ$86)</f>
        <v>173500</v>
      </c>
      <c r="C15" s="68" t="n">
        <f aca="false">SUMIF(Monthly!$C$5:$BJ$5,C$3,Monthly!$C$86:$BJ$86)</f>
        <v>-18000</v>
      </c>
      <c r="D15" s="68" t="n">
        <f aca="false">SUMIF(Monthly!$C$5:$BJ$5,D$3,Monthly!$C$86:$BJ$86)</f>
        <v>-18000</v>
      </c>
      <c r="E15" s="68" t="n">
        <f aca="false">SUMIF(Monthly!$C$5:$BJ$5,E$3,Monthly!$C$86:$BJ$86)</f>
        <v>-18000</v>
      </c>
      <c r="F15" s="68" t="n">
        <f aca="false">SUMIF(Monthly!$C$5:$BJ$5,F$3,Monthly!$C$86:$BJ$86)</f>
        <v>-18000</v>
      </c>
    </row>
    <row r="16" customFormat="false" ht="15" hidden="false" customHeight="false" outlineLevel="0" collapsed="false">
      <c r="A16" s="4" t="s">
        <v>55</v>
      </c>
      <c r="B16" s="73" t="n">
        <f aca="false">SUMIF(Monthly!$C$5:$BJ$5,B$3,Monthly!$C$87:$BJ$87)</f>
        <v>19840.2994</v>
      </c>
      <c r="C16" s="73" t="n">
        <f aca="false">SUMIF(Monthly!$C$5:$BJ$5,C$3,Monthly!$C$87:$BJ$87)</f>
        <v>-1734.26606464003</v>
      </c>
      <c r="D16" s="73" t="n">
        <f aca="false">SUMIF(Monthly!$C$5:$BJ$5,D$3,Monthly!$C$87:$BJ$87)</f>
        <v>7504.38161099941</v>
      </c>
      <c r="E16" s="73" t="n">
        <f aca="false">SUMIF(Monthly!$C$5:$BJ$5,E$3,Monthly!$C$87:$BJ$87)</f>
        <v>17402.5101141598</v>
      </c>
      <c r="F16" s="73" t="n">
        <f aca="false">SUMIF(Monthly!$C$5:$BJ$5,F$3,Monthly!$C$87:$BJ$87)</f>
        <v>24162.9966259918</v>
      </c>
    </row>
    <row r="17" customFormat="false" ht="15" hidden="false" customHeight="false" outlineLevel="0" collapsed="false">
      <c r="A17" s="6" t="s">
        <v>345</v>
      </c>
      <c r="B17" s="67" t="n">
        <f aca="false">INDEX(Monthly!$C$88:$BJ$88,(B$3-1)*12+1)</f>
        <v>0</v>
      </c>
      <c r="C17" s="67" t="n">
        <f aca="false">INDEX(Monthly!$C$88:$BJ$88,(C$3-1)*12+1)</f>
        <v>19840.2994</v>
      </c>
      <c r="D17" s="67" t="n">
        <f aca="false">INDEX(Monthly!$C$88:$BJ$88,(D$3-1)*12+1)</f>
        <v>18106.0333353599</v>
      </c>
      <c r="E17" s="67" t="n">
        <f aca="false">INDEX(Monthly!$C$88:$BJ$88,(E$3-1)*12+1)</f>
        <v>25610.4149463593</v>
      </c>
      <c r="F17" s="67" t="n">
        <f aca="false">INDEX(Monthly!$C$88:$BJ$88,(F$3-1)*12+1)</f>
        <v>43012.9250605192</v>
      </c>
    </row>
    <row r="18" customFormat="false" ht="15" hidden="false" customHeight="false" outlineLevel="0" collapsed="false">
      <c r="A18" s="70" t="s">
        <v>87</v>
      </c>
      <c r="B18" s="71" t="n">
        <f aca="false">INDEX(Monthly!$C$89:$BJ$89,B$3*12)</f>
        <v>19840.2994</v>
      </c>
      <c r="C18" s="71" t="n">
        <f aca="false">INDEX(Monthly!$C$89:$BJ$89,C$3*12)</f>
        <v>18106.0333353599</v>
      </c>
      <c r="D18" s="71" t="n">
        <f aca="false">INDEX(Monthly!$C$89:$BJ$89,D$3*12)</f>
        <v>25610.4149463593</v>
      </c>
      <c r="E18" s="71" t="n">
        <f aca="false">INDEX(Monthly!$C$89:$BJ$89,E$3*12)</f>
        <v>43012.9250605192</v>
      </c>
      <c r="F18" s="71" t="n">
        <f aca="false">INDEX(Monthly!$C$89:$BJ$89,F$3*12)</f>
        <v>67175.921686511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6" t="s">
        <v>22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331</v>
      </c>
    </row>
    <row r="3" customFormat="false" ht="15" hidden="false" customHeight="false" outlineLevel="0" collapsed="false">
      <c r="A3" s="72" t="s">
        <v>154</v>
      </c>
      <c r="B3" s="72" t="n">
        <v>1</v>
      </c>
      <c r="C3" s="72" t="n">
        <v>2</v>
      </c>
      <c r="D3" s="72" t="n">
        <v>3</v>
      </c>
      <c r="E3" s="72" t="n">
        <v>4</v>
      </c>
      <c r="F3" s="72" t="n">
        <v>5</v>
      </c>
    </row>
    <row r="4" customFormat="false" ht="15" hidden="false" customHeight="false" outlineLevel="0" collapsed="false">
      <c r="A4" s="33"/>
      <c r="B4" s="52" t="s">
        <v>155</v>
      </c>
      <c r="C4" s="52" t="s">
        <v>156</v>
      </c>
      <c r="D4" s="52" t="s">
        <v>157</v>
      </c>
      <c r="E4" s="52" t="s">
        <v>158</v>
      </c>
      <c r="F4" s="52" t="s">
        <v>159</v>
      </c>
    </row>
    <row r="5" customFormat="false" ht="15" hidden="false" customHeight="false" outlineLevel="0" collapsed="false">
      <c r="A5" s="6" t="s">
        <v>89</v>
      </c>
      <c r="B5" s="67" t="n">
        <f aca="false">INDEX(Monthly!$C$89:$BJ$89,B$3*12)</f>
        <v>19840.2994</v>
      </c>
      <c r="C5" s="67" t="n">
        <f aca="false">INDEX(Monthly!$C$89:$BJ$89,C$3*12)</f>
        <v>18106.0333353599</v>
      </c>
      <c r="D5" s="67" t="n">
        <f aca="false">INDEX(Monthly!$C$89:$BJ$89,D$3*12)</f>
        <v>25610.4149463593</v>
      </c>
      <c r="E5" s="67" t="n">
        <f aca="false">INDEX(Monthly!$C$89:$BJ$89,E$3*12)</f>
        <v>43012.9250605192</v>
      </c>
      <c r="F5" s="67" t="n">
        <f aca="false">INDEX(Monthly!$C$89:$BJ$89,F$3*12)</f>
        <v>67175.921686511</v>
      </c>
    </row>
    <row r="6" customFormat="false" ht="15" hidden="false" customHeight="false" outlineLevel="0" collapsed="false">
      <c r="A6" s="6" t="s">
        <v>90</v>
      </c>
      <c r="B6" s="67" t="n">
        <f aca="false">INDEX(Monthly!$C$75:$BJ$75,B$3*12)</f>
        <v>2083.2</v>
      </c>
      <c r="C6" s="67" t="n">
        <f aca="false">INDEX(Monthly!$C$75:$BJ$75,C$3*12)</f>
        <v>2218.71888</v>
      </c>
      <c r="D6" s="67" t="n">
        <f aca="false">INDEX(Monthly!$C$75:$BJ$75,D$3*12)</f>
        <v>2363.195997792</v>
      </c>
      <c r="E6" s="67" t="n">
        <f aca="false">INDEX(Monthly!$C$75:$BJ$75,E$3*12)</f>
        <v>2517.23437880453</v>
      </c>
      <c r="F6" s="67" t="n">
        <f aca="false">INDEX(Monthly!$C$75:$BJ$75,F$3*12)</f>
        <v>2681.47845641761</v>
      </c>
    </row>
    <row r="7" customFormat="false" ht="15" hidden="false" customHeight="false" outlineLevel="0" collapsed="false">
      <c r="A7" s="6" t="s">
        <v>91</v>
      </c>
      <c r="B7" s="67" t="n">
        <f aca="false">INDEX(Monthly!$C$76:$BJ$76,B$3*12)</f>
        <v>861.6288</v>
      </c>
      <c r="C7" s="67" t="n">
        <f aca="false">INDEX(Monthly!$C$76:$BJ$76,C$3*12)</f>
        <v>918.45024192</v>
      </c>
      <c r="D7" s="67" t="n">
        <f aca="false">INDEX(Monthly!$C$76:$BJ$76,D$3*12)</f>
        <v>979.086491864928</v>
      </c>
      <c r="E7" s="67" t="n">
        <f aca="false">INDEX(Monthly!$C$76:$BJ$76,E$3*12)</f>
        <v>1043.79875379378</v>
      </c>
      <c r="F7" s="67" t="n">
        <f aca="false">INDEX(Monthly!$C$76:$BJ$76,F$3*12)</f>
        <v>1112.8664928819</v>
      </c>
    </row>
    <row r="8" customFormat="false" ht="15" hidden="false" customHeight="false" outlineLevel="0" collapsed="false">
      <c r="A8" s="6" t="s">
        <v>92</v>
      </c>
      <c r="B8" s="67" t="n">
        <f aca="false">INDEX(Monthly!$C$66:$BJ$66,B$3*12)</f>
        <v>118285.714285714</v>
      </c>
      <c r="C8" s="67" t="n">
        <f aca="false">INDEX(Monthly!$C$66:$BJ$66,C$3*12)</f>
        <v>100714.285714286</v>
      </c>
      <c r="D8" s="67" t="n">
        <f aca="false">INDEX(Monthly!$C$66:$BJ$66,D$3*12)</f>
        <v>82785.7142857143</v>
      </c>
      <c r="E8" s="67" t="n">
        <f aca="false">INDEX(Monthly!$C$66:$BJ$66,E$3*12)</f>
        <v>64500</v>
      </c>
      <c r="F8" s="67" t="n">
        <f aca="false">INDEX(Monthly!$C$66:$BJ$66,F$3*12)</f>
        <v>45857.1428571429</v>
      </c>
    </row>
    <row r="9" customFormat="false" ht="15" hidden="false" customHeight="false" outlineLevel="0" collapsed="false">
      <c r="A9" s="113" t="s">
        <v>93</v>
      </c>
      <c r="B9" s="68" t="n">
        <f aca="false">INDEX(Monthly!$C$103:$BJ$103,B$3*12)</f>
        <v>141070.842485714</v>
      </c>
      <c r="C9" s="68" t="n">
        <f aca="false">INDEX(Monthly!$C$103:$BJ$103,C$3*12)</f>
        <v>121957.488171566</v>
      </c>
      <c r="D9" s="68" t="n">
        <f aca="false">INDEX(Monthly!$C$103:$BJ$103,D$3*12)</f>
        <v>111738.411721731</v>
      </c>
      <c r="E9" s="68" t="n">
        <f aca="false">INDEX(Monthly!$C$103:$BJ$103,E$3*12)</f>
        <v>111073.958193118</v>
      </c>
      <c r="F9" s="68" t="n">
        <f aca="false">INDEX(Monthly!$C$103:$BJ$103,F$3*12)</f>
        <v>116827.409492953</v>
      </c>
    </row>
    <row r="10" customFormat="false" ht="15" hidden="false" customHeight="false" outlineLevel="0" collapsed="false">
      <c r="A10" s="6" t="s">
        <v>94</v>
      </c>
      <c r="B10" s="67" t="n">
        <f aca="false">INDEX(Monthly!$C$77:$BJ$77,B$3*12)</f>
        <v>2010.4672</v>
      </c>
      <c r="C10" s="67" t="n">
        <f aca="false">INDEX(Monthly!$C$77:$BJ$77,C$3*12)</f>
        <v>2143.05056448</v>
      </c>
      <c r="D10" s="67" t="n">
        <f aca="false">INDEX(Monthly!$C$77:$BJ$77,D$3*12)</f>
        <v>2284.53514768483</v>
      </c>
      <c r="E10" s="67" t="n">
        <f aca="false">INDEX(Monthly!$C$77:$BJ$77,E$3*12)</f>
        <v>2435.53042551882</v>
      </c>
      <c r="F10" s="67" t="n">
        <f aca="false">INDEX(Monthly!$C$77:$BJ$77,F$3*12)</f>
        <v>2596.68848339111</v>
      </c>
    </row>
    <row r="11" customFormat="false" ht="15" hidden="false" customHeight="false" outlineLevel="0" collapsed="false">
      <c r="A11" s="6" t="s">
        <v>95</v>
      </c>
      <c r="B11" s="67" t="n">
        <f aca="false">INDEX(Monthly!$C$72:$BJ$72,B$3*12)</f>
        <v>73500</v>
      </c>
      <c r="C11" s="67" t="n">
        <f aca="false">INDEX(Monthly!$C$72:$BJ$72,C$3*12)</f>
        <v>55500</v>
      </c>
      <c r="D11" s="67" t="n">
        <f aca="false">INDEX(Monthly!$C$72:$BJ$72,D$3*12)</f>
        <v>37500</v>
      </c>
      <c r="E11" s="67" t="n">
        <f aca="false">INDEX(Monthly!$C$72:$BJ$72,E$3*12)</f>
        <v>19500</v>
      </c>
      <c r="F11" s="67" t="n">
        <f aca="false">INDEX(Monthly!$C$72:$BJ$72,F$3*12)</f>
        <v>1500</v>
      </c>
    </row>
    <row r="12" customFormat="false" ht="15" hidden="false" customHeight="false" outlineLevel="0" collapsed="false">
      <c r="A12" s="114" t="s">
        <v>96</v>
      </c>
      <c r="B12" s="115" t="n">
        <f aca="false">INDEX(Monthly!$C$104:$BJ$104,B$3*12)</f>
        <v>75510.4672</v>
      </c>
      <c r="C12" s="115" t="n">
        <f aca="false">INDEX(Monthly!$C$104:$BJ$104,C$3*12)</f>
        <v>57643.05056448</v>
      </c>
      <c r="D12" s="115" t="n">
        <f aca="false">INDEX(Monthly!$C$104:$BJ$104,D$3*12)</f>
        <v>39784.5351476848</v>
      </c>
      <c r="E12" s="115" t="n">
        <f aca="false">INDEX(Monthly!$C$104:$BJ$104,E$3*12)</f>
        <v>21935.5304255188</v>
      </c>
      <c r="F12" s="115" t="n">
        <f aca="false">INDEX(Monthly!$C$104:$BJ$104,F$3*12)</f>
        <v>4096.68848339111</v>
      </c>
    </row>
    <row r="13" customFormat="false" ht="15" hidden="false" customHeight="false" outlineLevel="0" collapsed="false">
      <c r="A13" s="6" t="s">
        <v>97</v>
      </c>
      <c r="B13" s="67" t="n">
        <f aca="false">INDEX(Monthly!$C$101:$BJ$101,B$3*12)</f>
        <v>100000</v>
      </c>
      <c r="C13" s="67" t="n">
        <f aca="false">INDEX(Monthly!$C$101:$BJ$101,C$3*12)</f>
        <v>100000</v>
      </c>
      <c r="D13" s="67" t="n">
        <f aca="false">INDEX(Monthly!$C$101:$BJ$101,D$3*12)</f>
        <v>100000</v>
      </c>
      <c r="E13" s="67" t="n">
        <f aca="false">INDEX(Monthly!$C$101:$BJ$101,E$3*12)</f>
        <v>100000</v>
      </c>
      <c r="F13" s="67" t="n">
        <f aca="false">INDEX(Monthly!$C$101:$BJ$101,F$3*12)</f>
        <v>100000</v>
      </c>
    </row>
    <row r="14" customFormat="false" ht="15" hidden="false" customHeight="false" outlineLevel="0" collapsed="false">
      <c r="A14" s="6" t="s">
        <v>98</v>
      </c>
      <c r="B14" s="67" t="n">
        <f aca="false">INDEX(Monthly!$C$102:$BJ$102,B$3*12)</f>
        <v>-34439.6247142857</v>
      </c>
      <c r="C14" s="67" t="n">
        <f aca="false">INDEX(Monthly!$C$102:$BJ$102,C$3*12)</f>
        <v>-35685.5623929143</v>
      </c>
      <c r="D14" s="67" t="n">
        <f aca="false">INDEX(Monthly!$C$102:$BJ$102,D$3*12)</f>
        <v>-28046.1234259542</v>
      </c>
      <c r="E14" s="67" t="n">
        <f aca="false">INDEX(Monthly!$C$102:$BJ$102,E$3*12)</f>
        <v>-10861.5722324013</v>
      </c>
      <c r="F14" s="67" t="n">
        <f aca="false">INDEX(Monthly!$C$102:$BJ$102,F$3*12)</f>
        <v>12730.7210095623</v>
      </c>
    </row>
    <row r="15" customFormat="false" ht="15" hidden="false" customHeight="false" outlineLevel="0" collapsed="false">
      <c r="A15" s="114" t="s">
        <v>99</v>
      </c>
      <c r="B15" s="115" t="n">
        <f aca="false">INDEX(Monthly!$C$105:$BJ$105,B$3*12)</f>
        <v>65560.3752857143</v>
      </c>
      <c r="C15" s="115" t="n">
        <f aca="false">INDEX(Monthly!$C$105:$BJ$105,C$3*12)</f>
        <v>64314.4376070857</v>
      </c>
      <c r="D15" s="115" t="n">
        <f aca="false">INDEX(Monthly!$C$105:$BJ$105,D$3*12)</f>
        <v>71953.8765740458</v>
      </c>
      <c r="E15" s="115" t="n">
        <f aca="false">INDEX(Monthly!$C$105:$BJ$105,E$3*12)</f>
        <v>89138.4277675987</v>
      </c>
      <c r="F15" s="115" t="n">
        <f aca="false">INDEX(Monthly!$C$105:$BJ$105,F$3*12)</f>
        <v>112730.721009562</v>
      </c>
    </row>
    <row r="16" customFormat="false" ht="15" hidden="false" customHeight="false" outlineLevel="0" collapsed="false">
      <c r="A16" s="70" t="s">
        <v>100</v>
      </c>
      <c r="B16" s="71" t="n">
        <f aca="false">INDEX(Monthly!$C$106:$BJ$106,B$3*12)</f>
        <v>141070.842485714</v>
      </c>
      <c r="C16" s="71" t="n">
        <f aca="false">INDEX(Monthly!$C$106:$BJ$106,C$3*12)</f>
        <v>121957.488171566</v>
      </c>
      <c r="D16" s="71" t="n">
        <f aca="false">INDEX(Monthly!$C$106:$BJ$106,D$3*12)</f>
        <v>111738.411721731</v>
      </c>
      <c r="E16" s="71" t="n">
        <f aca="false">INDEX(Monthly!$C$106:$BJ$106,E$3*12)</f>
        <v>111073.958193118</v>
      </c>
      <c r="F16" s="71" t="n">
        <f aca="false">INDEX(Monthly!$C$106:$BJ$106,F$3*12)</f>
        <v>116827.409492953</v>
      </c>
    </row>
    <row r="17" customFormat="false" ht="15" hidden="false" customHeight="false" outlineLevel="0" collapsed="false">
      <c r="A17" s="6" t="s">
        <v>346</v>
      </c>
      <c r="B17" s="67" t="n">
        <f aca="false">INDEX(Monthly!$C$107:$BJ$107,B$3*12)</f>
        <v>0</v>
      </c>
      <c r="C17" s="67" t="n">
        <f aca="false">INDEX(Monthly!$C$107:$BJ$107,C$3*12)</f>
        <v>0</v>
      </c>
      <c r="D17" s="67" t="n">
        <f aca="false">INDEX(Monthly!$C$107:$BJ$107,D$3*12)</f>
        <v>0</v>
      </c>
      <c r="E17" s="67" t="n">
        <f aca="false">INDEX(Monthly!$C$107:$BJ$107,E$3*12)</f>
        <v>0</v>
      </c>
      <c r="F17" s="67" t="n">
        <f aca="false">INDEX(Monthly!$C$107:$BJ$107,F$3*12)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BJ10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62" min="3" style="0" width="11"/>
  </cols>
  <sheetData>
    <row r="1" customFormat="false" ht="21.75" hidden="false" customHeight="true" outlineLevel="0" collapsed="false">
      <c r="A1" s="16" t="s">
        <v>347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348</v>
      </c>
    </row>
    <row r="3" customFormat="false" ht="15" hidden="false" customHeight="false" outlineLevel="0" collapsed="false">
      <c r="A3" s="33" t="s">
        <v>349</v>
      </c>
      <c r="C3" s="52" t="s">
        <v>350</v>
      </c>
      <c r="D3" s="52" t="s">
        <v>351</v>
      </c>
      <c r="E3" s="52" t="s">
        <v>352</v>
      </c>
      <c r="F3" s="52" t="s">
        <v>353</v>
      </c>
      <c r="G3" s="52" t="s">
        <v>354</v>
      </c>
      <c r="H3" s="52" t="s">
        <v>355</v>
      </c>
      <c r="I3" s="52" t="s">
        <v>356</v>
      </c>
      <c r="J3" s="52" t="s">
        <v>357</v>
      </c>
      <c r="K3" s="52" t="s">
        <v>358</v>
      </c>
      <c r="L3" s="52" t="s">
        <v>359</v>
      </c>
      <c r="M3" s="52" t="s">
        <v>360</v>
      </c>
      <c r="N3" s="52" t="s">
        <v>361</v>
      </c>
      <c r="O3" s="52" t="s">
        <v>362</v>
      </c>
      <c r="P3" s="52" t="s">
        <v>363</v>
      </c>
      <c r="Q3" s="52" t="s">
        <v>364</v>
      </c>
      <c r="R3" s="52" t="s">
        <v>365</v>
      </c>
      <c r="S3" s="52" t="s">
        <v>366</v>
      </c>
      <c r="T3" s="52" t="s">
        <v>367</v>
      </c>
      <c r="U3" s="52" t="s">
        <v>368</v>
      </c>
      <c r="V3" s="52" t="s">
        <v>369</v>
      </c>
      <c r="W3" s="52" t="s">
        <v>370</v>
      </c>
      <c r="X3" s="52" t="s">
        <v>371</v>
      </c>
      <c r="Y3" s="52" t="s">
        <v>372</v>
      </c>
      <c r="Z3" s="52" t="s">
        <v>373</v>
      </c>
      <c r="AA3" s="52" t="s">
        <v>374</v>
      </c>
      <c r="AB3" s="52" t="s">
        <v>375</v>
      </c>
      <c r="AC3" s="52" t="s">
        <v>376</v>
      </c>
      <c r="AD3" s="52" t="s">
        <v>377</v>
      </c>
      <c r="AE3" s="52" t="s">
        <v>378</v>
      </c>
      <c r="AF3" s="52" t="s">
        <v>379</v>
      </c>
      <c r="AG3" s="52" t="s">
        <v>380</v>
      </c>
      <c r="AH3" s="52" t="s">
        <v>381</v>
      </c>
      <c r="AI3" s="52" t="s">
        <v>382</v>
      </c>
      <c r="AJ3" s="52" t="s">
        <v>383</v>
      </c>
      <c r="AK3" s="52" t="s">
        <v>384</v>
      </c>
      <c r="AL3" s="52" t="s">
        <v>385</v>
      </c>
      <c r="AM3" s="52" t="s">
        <v>386</v>
      </c>
      <c r="AN3" s="52" t="s">
        <v>387</v>
      </c>
      <c r="AO3" s="52" t="s">
        <v>388</v>
      </c>
      <c r="AP3" s="52" t="s">
        <v>389</v>
      </c>
      <c r="AQ3" s="52" t="s">
        <v>390</v>
      </c>
      <c r="AR3" s="52" t="s">
        <v>391</v>
      </c>
      <c r="AS3" s="52" t="s">
        <v>392</v>
      </c>
      <c r="AT3" s="52" t="s">
        <v>393</v>
      </c>
      <c r="AU3" s="52" t="s">
        <v>394</v>
      </c>
      <c r="AV3" s="52" t="s">
        <v>395</v>
      </c>
      <c r="AW3" s="52" t="s">
        <v>396</v>
      </c>
      <c r="AX3" s="52" t="s">
        <v>397</v>
      </c>
      <c r="AY3" s="52" t="s">
        <v>398</v>
      </c>
      <c r="AZ3" s="52" t="s">
        <v>399</v>
      </c>
      <c r="BA3" s="52" t="s">
        <v>400</v>
      </c>
      <c r="BB3" s="52" t="s">
        <v>401</v>
      </c>
      <c r="BC3" s="52" t="s">
        <v>402</v>
      </c>
      <c r="BD3" s="52" t="s">
        <v>403</v>
      </c>
      <c r="BE3" s="52" t="s">
        <v>404</v>
      </c>
      <c r="BF3" s="52" t="s">
        <v>405</v>
      </c>
      <c r="BG3" s="52" t="s">
        <v>406</v>
      </c>
      <c r="BH3" s="52" t="s">
        <v>407</v>
      </c>
      <c r="BI3" s="52" t="s">
        <v>408</v>
      </c>
      <c r="BJ3" s="52" t="s">
        <v>409</v>
      </c>
    </row>
    <row r="4" customFormat="false" ht="15" hidden="false" customHeight="false" outlineLevel="0" collapsed="false">
      <c r="A4" s="72" t="s">
        <v>410</v>
      </c>
      <c r="C4" s="72" t="n">
        <v>1</v>
      </c>
      <c r="D4" s="72" t="n">
        <v>2</v>
      </c>
      <c r="E4" s="72" t="n">
        <v>3</v>
      </c>
      <c r="F4" s="72" t="n">
        <v>4</v>
      </c>
      <c r="G4" s="72" t="n">
        <v>5</v>
      </c>
      <c r="H4" s="72" t="n">
        <v>6</v>
      </c>
      <c r="I4" s="72" t="n">
        <v>7</v>
      </c>
      <c r="J4" s="72" t="n">
        <v>8</v>
      </c>
      <c r="K4" s="72" t="n">
        <v>9</v>
      </c>
      <c r="L4" s="72" t="n">
        <v>10</v>
      </c>
      <c r="M4" s="72" t="n">
        <v>11</v>
      </c>
      <c r="N4" s="72" t="n">
        <v>12</v>
      </c>
      <c r="O4" s="72" t="n">
        <v>13</v>
      </c>
      <c r="P4" s="72" t="n">
        <v>14</v>
      </c>
      <c r="Q4" s="72" t="n">
        <v>15</v>
      </c>
      <c r="R4" s="72" t="n">
        <v>16</v>
      </c>
      <c r="S4" s="72" t="n">
        <v>17</v>
      </c>
      <c r="T4" s="72" t="n">
        <v>18</v>
      </c>
      <c r="U4" s="72" t="n">
        <v>19</v>
      </c>
      <c r="V4" s="72" t="n">
        <v>20</v>
      </c>
      <c r="W4" s="72" t="n">
        <v>21</v>
      </c>
      <c r="X4" s="72" t="n">
        <v>22</v>
      </c>
      <c r="Y4" s="72" t="n">
        <v>23</v>
      </c>
      <c r="Z4" s="72" t="n">
        <v>24</v>
      </c>
      <c r="AA4" s="72" t="n">
        <v>25</v>
      </c>
      <c r="AB4" s="72" t="n">
        <v>26</v>
      </c>
      <c r="AC4" s="72" t="n">
        <v>27</v>
      </c>
      <c r="AD4" s="72" t="n">
        <v>28</v>
      </c>
      <c r="AE4" s="72" t="n">
        <v>29</v>
      </c>
      <c r="AF4" s="72" t="n">
        <v>30</v>
      </c>
      <c r="AG4" s="72" t="n">
        <v>31</v>
      </c>
      <c r="AH4" s="72" t="n">
        <v>32</v>
      </c>
      <c r="AI4" s="72" t="n">
        <v>33</v>
      </c>
      <c r="AJ4" s="72" t="n">
        <v>34</v>
      </c>
      <c r="AK4" s="72" t="n">
        <v>35</v>
      </c>
      <c r="AL4" s="72" t="n">
        <v>36</v>
      </c>
      <c r="AM4" s="72" t="n">
        <v>37</v>
      </c>
      <c r="AN4" s="72" t="n">
        <v>38</v>
      </c>
      <c r="AO4" s="72" t="n">
        <v>39</v>
      </c>
      <c r="AP4" s="72" t="n">
        <v>40</v>
      </c>
      <c r="AQ4" s="72" t="n">
        <v>41</v>
      </c>
      <c r="AR4" s="72" t="n">
        <v>42</v>
      </c>
      <c r="AS4" s="72" t="n">
        <v>43</v>
      </c>
      <c r="AT4" s="72" t="n">
        <v>44</v>
      </c>
      <c r="AU4" s="72" t="n">
        <v>45</v>
      </c>
      <c r="AV4" s="72" t="n">
        <v>46</v>
      </c>
      <c r="AW4" s="72" t="n">
        <v>47</v>
      </c>
      <c r="AX4" s="72" t="n">
        <v>48</v>
      </c>
      <c r="AY4" s="72" t="n">
        <v>49</v>
      </c>
      <c r="AZ4" s="72" t="n">
        <v>50</v>
      </c>
      <c r="BA4" s="72" t="n">
        <v>51</v>
      </c>
      <c r="BB4" s="72" t="n">
        <v>52</v>
      </c>
      <c r="BC4" s="72" t="n">
        <v>53</v>
      </c>
      <c r="BD4" s="72" t="n">
        <v>54</v>
      </c>
      <c r="BE4" s="72" t="n">
        <v>55</v>
      </c>
      <c r="BF4" s="72" t="n">
        <v>56</v>
      </c>
      <c r="BG4" s="72" t="n">
        <v>57</v>
      </c>
      <c r="BH4" s="72" t="n">
        <v>58</v>
      </c>
      <c r="BI4" s="72" t="n">
        <v>59</v>
      </c>
      <c r="BJ4" s="72" t="n">
        <v>60</v>
      </c>
    </row>
    <row r="5" customFormat="false" ht="15" hidden="false" customHeight="false" outlineLevel="0" collapsed="false">
      <c r="A5" s="72" t="s">
        <v>154</v>
      </c>
      <c r="C5" s="72" t="n">
        <f aca="false">ROUNDUP(C4*1/12,0)</f>
        <v>1</v>
      </c>
      <c r="D5" s="72" t="n">
        <f aca="false">ROUNDUP(D4*1/12,0)</f>
        <v>1</v>
      </c>
      <c r="E5" s="72" t="n">
        <f aca="false">ROUNDUP(E4*1/12,0)</f>
        <v>1</v>
      </c>
      <c r="F5" s="72" t="n">
        <f aca="false">ROUNDUP(F4*1/12,0)</f>
        <v>1</v>
      </c>
      <c r="G5" s="72" t="n">
        <f aca="false">ROUNDUP(G4*1/12,0)</f>
        <v>1</v>
      </c>
      <c r="H5" s="72" t="n">
        <f aca="false">ROUNDUP(H4*1/12,0)</f>
        <v>1</v>
      </c>
      <c r="I5" s="72" t="n">
        <f aca="false">ROUNDUP(I4*1/12,0)</f>
        <v>1</v>
      </c>
      <c r="J5" s="72" t="n">
        <f aca="false">ROUNDUP(J4*1/12,0)</f>
        <v>1</v>
      </c>
      <c r="K5" s="72" t="n">
        <f aca="false">ROUNDUP(K4*1/12,0)</f>
        <v>1</v>
      </c>
      <c r="L5" s="72" t="n">
        <f aca="false">ROUNDUP(L4*1/12,0)</f>
        <v>1</v>
      </c>
      <c r="M5" s="72" t="n">
        <f aca="false">ROUNDUP(M4*1/12,0)</f>
        <v>1</v>
      </c>
      <c r="N5" s="72" t="n">
        <f aca="false">ROUNDUP(N4*1/12,0)</f>
        <v>1</v>
      </c>
      <c r="O5" s="72" t="n">
        <f aca="false">ROUNDUP(O4*1/12,0)</f>
        <v>2</v>
      </c>
      <c r="P5" s="72" t="n">
        <f aca="false">ROUNDUP(P4*1/12,0)</f>
        <v>2</v>
      </c>
      <c r="Q5" s="72" t="n">
        <f aca="false">ROUNDUP(Q4*1/12,0)</f>
        <v>2</v>
      </c>
      <c r="R5" s="72" t="n">
        <f aca="false">ROUNDUP(R4*1/12,0)</f>
        <v>2</v>
      </c>
      <c r="S5" s="72" t="n">
        <f aca="false">ROUNDUP(S4*1/12,0)</f>
        <v>2</v>
      </c>
      <c r="T5" s="72" t="n">
        <f aca="false">ROUNDUP(T4*1/12,0)</f>
        <v>2</v>
      </c>
      <c r="U5" s="72" t="n">
        <f aca="false">ROUNDUP(U4*1/12,0)</f>
        <v>2</v>
      </c>
      <c r="V5" s="72" t="n">
        <f aca="false">ROUNDUP(V4*1/12,0)</f>
        <v>2</v>
      </c>
      <c r="W5" s="72" t="n">
        <f aca="false">ROUNDUP(W4*1/12,0)</f>
        <v>2</v>
      </c>
      <c r="X5" s="72" t="n">
        <f aca="false">ROUNDUP(X4*1/12,0)</f>
        <v>2</v>
      </c>
      <c r="Y5" s="72" t="n">
        <f aca="false">ROUNDUP(Y4*1/12,0)</f>
        <v>2</v>
      </c>
      <c r="Z5" s="72" t="n">
        <f aca="false">ROUNDUP(Z4*1/12,0)</f>
        <v>2</v>
      </c>
      <c r="AA5" s="72" t="n">
        <f aca="false">ROUNDUP(AA4*1/12,0)</f>
        <v>3</v>
      </c>
      <c r="AB5" s="72" t="n">
        <f aca="false">ROUNDUP(AB4*1/12,0)</f>
        <v>3</v>
      </c>
      <c r="AC5" s="72" t="n">
        <f aca="false">ROUNDUP(AC4*1/12,0)</f>
        <v>3</v>
      </c>
      <c r="AD5" s="72" t="n">
        <f aca="false">ROUNDUP(AD4*1/12,0)</f>
        <v>3</v>
      </c>
      <c r="AE5" s="72" t="n">
        <f aca="false">ROUNDUP(AE4*1/12,0)</f>
        <v>3</v>
      </c>
      <c r="AF5" s="72" t="n">
        <f aca="false">ROUNDUP(AF4*1/12,0)</f>
        <v>3</v>
      </c>
      <c r="AG5" s="72" t="n">
        <f aca="false">ROUNDUP(AG4*1/12,0)</f>
        <v>3</v>
      </c>
      <c r="AH5" s="72" t="n">
        <f aca="false">ROUNDUP(AH4*1/12,0)</f>
        <v>3</v>
      </c>
      <c r="AI5" s="72" t="n">
        <f aca="false">ROUNDUP(AI4*1/12,0)</f>
        <v>3</v>
      </c>
      <c r="AJ5" s="72" t="n">
        <f aca="false">ROUNDUP(AJ4*1/12,0)</f>
        <v>3</v>
      </c>
      <c r="AK5" s="72" t="n">
        <f aca="false">ROUNDUP(AK4*1/12,0)</f>
        <v>3</v>
      </c>
      <c r="AL5" s="72" t="n">
        <f aca="false">ROUNDUP(AL4*1/12,0)</f>
        <v>3</v>
      </c>
      <c r="AM5" s="72" t="n">
        <f aca="false">ROUNDUP(AM4*1/12,0)</f>
        <v>4</v>
      </c>
      <c r="AN5" s="72" t="n">
        <f aca="false">ROUNDUP(AN4*1/12,0)</f>
        <v>4</v>
      </c>
      <c r="AO5" s="72" t="n">
        <f aca="false">ROUNDUP(AO4*1/12,0)</f>
        <v>4</v>
      </c>
      <c r="AP5" s="72" t="n">
        <f aca="false">ROUNDUP(AP4*1/12,0)</f>
        <v>4</v>
      </c>
      <c r="AQ5" s="72" t="n">
        <f aca="false">ROUNDUP(AQ4*1/12,0)</f>
        <v>4</v>
      </c>
      <c r="AR5" s="72" t="n">
        <f aca="false">ROUNDUP(AR4*1/12,0)</f>
        <v>4</v>
      </c>
      <c r="AS5" s="72" t="n">
        <f aca="false">ROUNDUP(AS4*1/12,0)</f>
        <v>4</v>
      </c>
      <c r="AT5" s="72" t="n">
        <f aca="false">ROUNDUP(AT4*1/12,0)</f>
        <v>4</v>
      </c>
      <c r="AU5" s="72" t="n">
        <f aca="false">ROUNDUP(AU4*1/12,0)</f>
        <v>4</v>
      </c>
      <c r="AV5" s="72" t="n">
        <f aca="false">ROUNDUP(AV4*1/12,0)</f>
        <v>4</v>
      </c>
      <c r="AW5" s="72" t="n">
        <f aca="false">ROUNDUP(AW4*1/12,0)</f>
        <v>4</v>
      </c>
      <c r="AX5" s="72" t="n">
        <f aca="false">ROUNDUP(AX4*1/12,0)</f>
        <v>4</v>
      </c>
      <c r="AY5" s="72" t="n">
        <f aca="false">ROUNDUP(AY4*1/12,0)</f>
        <v>5</v>
      </c>
      <c r="AZ5" s="72" t="n">
        <f aca="false">ROUNDUP(AZ4*1/12,0)</f>
        <v>5</v>
      </c>
      <c r="BA5" s="72" t="n">
        <f aca="false">ROUNDUP(BA4*1/12,0)</f>
        <v>5</v>
      </c>
      <c r="BB5" s="72" t="n">
        <f aca="false">ROUNDUP(BB4*1/12,0)</f>
        <v>5</v>
      </c>
      <c r="BC5" s="72" t="n">
        <f aca="false">ROUNDUP(BC4*1/12,0)</f>
        <v>5</v>
      </c>
      <c r="BD5" s="72" t="n">
        <f aca="false">ROUNDUP(BD4*1/12,0)</f>
        <v>5</v>
      </c>
      <c r="BE5" s="72" t="n">
        <f aca="false">ROUNDUP(BE4*1/12,0)</f>
        <v>5</v>
      </c>
      <c r="BF5" s="72" t="n">
        <f aca="false">ROUNDUP(BF4*1/12,0)</f>
        <v>5</v>
      </c>
      <c r="BG5" s="72" t="n">
        <f aca="false">ROUNDUP(BG4*1/12,0)</f>
        <v>5</v>
      </c>
      <c r="BH5" s="72" t="n">
        <f aca="false">ROUNDUP(BH4*1/12,0)</f>
        <v>5</v>
      </c>
      <c r="BI5" s="72" t="n">
        <f aca="false">ROUNDUP(BI4*1/12,0)</f>
        <v>5</v>
      </c>
      <c r="BJ5" s="72" t="n">
        <f aca="false">ROUNDUP(BJ4*1/12,0)</f>
        <v>5</v>
      </c>
    </row>
    <row r="7" customFormat="false" ht="15.75" hidden="false" customHeight="true" outlineLevel="0" collapsed="false">
      <c r="A7" s="7" t="s">
        <v>411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6" t="s">
        <v>412</v>
      </c>
      <c r="C8" s="116" t="n">
        <f aca="false">Inputs!$E$7+Inputs!$E$8*(C$5-1)</f>
        <v>1</v>
      </c>
      <c r="D8" s="116" t="n">
        <f aca="false">Inputs!$E$7+Inputs!$E$8*(D$5-1)</f>
        <v>1</v>
      </c>
      <c r="E8" s="116" t="n">
        <f aca="false">Inputs!$E$7+Inputs!$E$8*(E$5-1)</f>
        <v>1</v>
      </c>
      <c r="F8" s="116" t="n">
        <f aca="false">Inputs!$E$7+Inputs!$E$8*(F$5-1)</f>
        <v>1</v>
      </c>
      <c r="G8" s="116" t="n">
        <f aca="false">Inputs!$E$7+Inputs!$E$8*(G$5-1)</f>
        <v>1</v>
      </c>
      <c r="H8" s="116" t="n">
        <f aca="false">Inputs!$E$7+Inputs!$E$8*(H$5-1)</f>
        <v>1</v>
      </c>
      <c r="I8" s="116" t="n">
        <f aca="false">Inputs!$E$7+Inputs!$E$8*(I$5-1)</f>
        <v>1</v>
      </c>
      <c r="J8" s="116" t="n">
        <f aca="false">Inputs!$E$7+Inputs!$E$8*(J$5-1)</f>
        <v>1</v>
      </c>
      <c r="K8" s="116" t="n">
        <f aca="false">Inputs!$E$7+Inputs!$E$8*(K$5-1)</f>
        <v>1</v>
      </c>
      <c r="L8" s="116" t="n">
        <f aca="false">Inputs!$E$7+Inputs!$E$8*(L$5-1)</f>
        <v>1</v>
      </c>
      <c r="M8" s="116" t="n">
        <f aca="false">Inputs!$E$7+Inputs!$E$8*(M$5-1)</f>
        <v>1</v>
      </c>
      <c r="N8" s="116" t="n">
        <f aca="false">Inputs!$E$7+Inputs!$E$8*(N$5-1)</f>
        <v>1</v>
      </c>
      <c r="O8" s="116" t="n">
        <f aca="false">Inputs!$E$7+Inputs!$E$8*(O$5-1)</f>
        <v>1</v>
      </c>
      <c r="P8" s="116" t="n">
        <f aca="false">Inputs!$E$7+Inputs!$E$8*(P$5-1)</f>
        <v>1</v>
      </c>
      <c r="Q8" s="116" t="n">
        <f aca="false">Inputs!$E$7+Inputs!$E$8*(Q$5-1)</f>
        <v>1</v>
      </c>
      <c r="R8" s="116" t="n">
        <f aca="false">Inputs!$E$7+Inputs!$E$8*(R$5-1)</f>
        <v>1</v>
      </c>
      <c r="S8" s="116" t="n">
        <f aca="false">Inputs!$E$7+Inputs!$E$8*(S$5-1)</f>
        <v>1</v>
      </c>
      <c r="T8" s="116" t="n">
        <f aca="false">Inputs!$E$7+Inputs!$E$8*(T$5-1)</f>
        <v>1</v>
      </c>
      <c r="U8" s="116" t="n">
        <f aca="false">Inputs!$E$7+Inputs!$E$8*(U$5-1)</f>
        <v>1</v>
      </c>
      <c r="V8" s="116" t="n">
        <f aca="false">Inputs!$E$7+Inputs!$E$8*(V$5-1)</f>
        <v>1</v>
      </c>
      <c r="W8" s="116" t="n">
        <f aca="false">Inputs!$E$7+Inputs!$E$8*(W$5-1)</f>
        <v>1</v>
      </c>
      <c r="X8" s="116" t="n">
        <f aca="false">Inputs!$E$7+Inputs!$E$8*(X$5-1)</f>
        <v>1</v>
      </c>
      <c r="Y8" s="116" t="n">
        <f aca="false">Inputs!$E$7+Inputs!$E$8*(Y$5-1)</f>
        <v>1</v>
      </c>
      <c r="Z8" s="116" t="n">
        <f aca="false">Inputs!$E$7+Inputs!$E$8*(Z$5-1)</f>
        <v>1</v>
      </c>
      <c r="AA8" s="116" t="n">
        <f aca="false">Inputs!$E$7+Inputs!$E$8*(AA$5-1)</f>
        <v>1</v>
      </c>
      <c r="AB8" s="116" t="n">
        <f aca="false">Inputs!$E$7+Inputs!$E$8*(AB$5-1)</f>
        <v>1</v>
      </c>
      <c r="AC8" s="116" t="n">
        <f aca="false">Inputs!$E$7+Inputs!$E$8*(AC$5-1)</f>
        <v>1</v>
      </c>
      <c r="AD8" s="116" t="n">
        <f aca="false">Inputs!$E$7+Inputs!$E$8*(AD$5-1)</f>
        <v>1</v>
      </c>
      <c r="AE8" s="116" t="n">
        <f aca="false">Inputs!$E$7+Inputs!$E$8*(AE$5-1)</f>
        <v>1</v>
      </c>
      <c r="AF8" s="116" t="n">
        <f aca="false">Inputs!$E$7+Inputs!$E$8*(AF$5-1)</f>
        <v>1</v>
      </c>
      <c r="AG8" s="116" t="n">
        <f aca="false">Inputs!$E$7+Inputs!$E$8*(AG$5-1)</f>
        <v>1</v>
      </c>
      <c r="AH8" s="116" t="n">
        <f aca="false">Inputs!$E$7+Inputs!$E$8*(AH$5-1)</f>
        <v>1</v>
      </c>
      <c r="AI8" s="116" t="n">
        <f aca="false">Inputs!$E$7+Inputs!$E$8*(AI$5-1)</f>
        <v>1</v>
      </c>
      <c r="AJ8" s="116" t="n">
        <f aca="false">Inputs!$E$7+Inputs!$E$8*(AJ$5-1)</f>
        <v>1</v>
      </c>
      <c r="AK8" s="116" t="n">
        <f aca="false">Inputs!$E$7+Inputs!$E$8*(AK$5-1)</f>
        <v>1</v>
      </c>
      <c r="AL8" s="116" t="n">
        <f aca="false">Inputs!$E$7+Inputs!$E$8*(AL$5-1)</f>
        <v>1</v>
      </c>
      <c r="AM8" s="116" t="n">
        <f aca="false">Inputs!$E$7+Inputs!$E$8*(AM$5-1)</f>
        <v>1</v>
      </c>
      <c r="AN8" s="116" t="n">
        <f aca="false">Inputs!$E$7+Inputs!$E$8*(AN$5-1)</f>
        <v>1</v>
      </c>
      <c r="AO8" s="116" t="n">
        <f aca="false">Inputs!$E$7+Inputs!$E$8*(AO$5-1)</f>
        <v>1</v>
      </c>
      <c r="AP8" s="116" t="n">
        <f aca="false">Inputs!$E$7+Inputs!$E$8*(AP$5-1)</f>
        <v>1</v>
      </c>
      <c r="AQ8" s="116" t="n">
        <f aca="false">Inputs!$E$7+Inputs!$E$8*(AQ$5-1)</f>
        <v>1</v>
      </c>
      <c r="AR8" s="116" t="n">
        <f aca="false">Inputs!$E$7+Inputs!$E$8*(AR$5-1)</f>
        <v>1</v>
      </c>
      <c r="AS8" s="116" t="n">
        <f aca="false">Inputs!$E$7+Inputs!$E$8*(AS$5-1)</f>
        <v>1</v>
      </c>
      <c r="AT8" s="116" t="n">
        <f aca="false">Inputs!$E$7+Inputs!$E$8*(AT$5-1)</f>
        <v>1</v>
      </c>
      <c r="AU8" s="116" t="n">
        <f aca="false">Inputs!$E$7+Inputs!$E$8*(AU$5-1)</f>
        <v>1</v>
      </c>
      <c r="AV8" s="116" t="n">
        <f aca="false">Inputs!$E$7+Inputs!$E$8*(AV$5-1)</f>
        <v>1</v>
      </c>
      <c r="AW8" s="116" t="n">
        <f aca="false">Inputs!$E$7+Inputs!$E$8*(AW$5-1)</f>
        <v>1</v>
      </c>
      <c r="AX8" s="116" t="n">
        <f aca="false">Inputs!$E$7+Inputs!$E$8*(AX$5-1)</f>
        <v>1</v>
      </c>
      <c r="AY8" s="116" t="n">
        <f aca="false">Inputs!$E$7+Inputs!$E$8*(AY$5-1)</f>
        <v>1</v>
      </c>
      <c r="AZ8" s="116" t="n">
        <f aca="false">Inputs!$E$7+Inputs!$E$8*(AZ$5-1)</f>
        <v>1</v>
      </c>
      <c r="BA8" s="116" t="n">
        <f aca="false">Inputs!$E$7+Inputs!$E$8*(BA$5-1)</f>
        <v>1</v>
      </c>
      <c r="BB8" s="116" t="n">
        <f aca="false">Inputs!$E$7+Inputs!$E$8*(BB$5-1)</f>
        <v>1</v>
      </c>
      <c r="BC8" s="116" t="n">
        <f aca="false">Inputs!$E$7+Inputs!$E$8*(BC$5-1)</f>
        <v>1</v>
      </c>
      <c r="BD8" s="116" t="n">
        <f aca="false">Inputs!$E$7+Inputs!$E$8*(BD$5-1)</f>
        <v>1</v>
      </c>
      <c r="BE8" s="116" t="n">
        <f aca="false">Inputs!$E$7+Inputs!$E$8*(BE$5-1)</f>
        <v>1</v>
      </c>
      <c r="BF8" s="116" t="n">
        <f aca="false">Inputs!$E$7+Inputs!$E$8*(BF$5-1)</f>
        <v>1</v>
      </c>
      <c r="BG8" s="116" t="n">
        <f aca="false">Inputs!$E$7+Inputs!$E$8*(BG$5-1)</f>
        <v>1</v>
      </c>
      <c r="BH8" s="116" t="n">
        <f aca="false">Inputs!$E$7+Inputs!$E$8*(BH$5-1)</f>
        <v>1</v>
      </c>
      <c r="BI8" s="116" t="n">
        <f aca="false">Inputs!$E$7+Inputs!$E$8*(BI$5-1)</f>
        <v>1</v>
      </c>
      <c r="BJ8" s="116" t="n">
        <f aca="false">Inputs!$E$7+Inputs!$E$8*(BJ$5-1)</f>
        <v>1</v>
      </c>
    </row>
    <row r="9" customFormat="false" ht="15" hidden="false" customHeight="false" outlineLevel="0" collapsed="false">
      <c r="A9" s="117" t="s">
        <v>413</v>
      </c>
      <c r="C9" s="118" t="n">
        <f aca="false">MAX(0,MIN(1,Inputs!$E$13-(C$4-1)*1))</f>
        <v>1</v>
      </c>
      <c r="D9" s="118" t="n">
        <f aca="false">MAX(0,MIN(1,Inputs!$E$13-(D$4-1)*1))</f>
        <v>1</v>
      </c>
      <c r="E9" s="118" t="n">
        <f aca="false">MAX(0,MIN(1,Inputs!$E$13-(E$4-1)*1))</f>
        <v>1</v>
      </c>
      <c r="F9" s="118" t="n">
        <f aca="false">MAX(0,MIN(1,Inputs!$E$13-(F$4-1)*1))</f>
        <v>1</v>
      </c>
      <c r="G9" s="118" t="n">
        <f aca="false">MAX(0,MIN(1,Inputs!$E$13-(G$4-1)*1))</f>
        <v>1</v>
      </c>
      <c r="H9" s="118" t="n">
        <f aca="false">MAX(0,MIN(1,Inputs!$E$13-(H$4-1)*1))</f>
        <v>1</v>
      </c>
      <c r="I9" s="118" t="n">
        <f aca="false">MAX(0,MIN(1,Inputs!$E$13-(I$4-1)*1))</f>
        <v>0</v>
      </c>
      <c r="J9" s="118" t="n">
        <f aca="false">MAX(0,MIN(1,Inputs!$E$13-(J$4-1)*1))</f>
        <v>0</v>
      </c>
      <c r="K9" s="118" t="n">
        <f aca="false">MAX(0,MIN(1,Inputs!$E$13-(K$4-1)*1))</f>
        <v>0</v>
      </c>
      <c r="L9" s="118" t="n">
        <f aca="false">MAX(0,MIN(1,Inputs!$E$13-(L$4-1)*1))</f>
        <v>0</v>
      </c>
      <c r="M9" s="118" t="n">
        <f aca="false">MAX(0,MIN(1,Inputs!$E$13-(M$4-1)*1))</f>
        <v>0</v>
      </c>
      <c r="N9" s="118" t="n">
        <f aca="false">MAX(0,MIN(1,Inputs!$E$13-(N$4-1)*1))</f>
        <v>0</v>
      </c>
      <c r="O9" s="118" t="n">
        <f aca="false">MAX(0,MIN(1,Inputs!$E$13-(O$4-1)*1))</f>
        <v>0</v>
      </c>
      <c r="P9" s="118" t="n">
        <f aca="false">MAX(0,MIN(1,Inputs!$E$13-(P$4-1)*1))</f>
        <v>0</v>
      </c>
      <c r="Q9" s="118" t="n">
        <f aca="false">MAX(0,MIN(1,Inputs!$E$13-(Q$4-1)*1))</f>
        <v>0</v>
      </c>
      <c r="R9" s="118" t="n">
        <f aca="false">MAX(0,MIN(1,Inputs!$E$13-(R$4-1)*1))</f>
        <v>0</v>
      </c>
      <c r="S9" s="118" t="n">
        <f aca="false">MAX(0,MIN(1,Inputs!$E$13-(S$4-1)*1))</f>
        <v>0</v>
      </c>
      <c r="T9" s="118" t="n">
        <f aca="false">MAX(0,MIN(1,Inputs!$E$13-(T$4-1)*1))</f>
        <v>0</v>
      </c>
      <c r="U9" s="118" t="n">
        <f aca="false">MAX(0,MIN(1,Inputs!$E$13-(U$4-1)*1))</f>
        <v>0</v>
      </c>
      <c r="V9" s="118" t="n">
        <f aca="false">MAX(0,MIN(1,Inputs!$E$13-(V$4-1)*1))</f>
        <v>0</v>
      </c>
      <c r="W9" s="118" t="n">
        <f aca="false">MAX(0,MIN(1,Inputs!$E$13-(W$4-1)*1))</f>
        <v>0</v>
      </c>
      <c r="X9" s="118" t="n">
        <f aca="false">MAX(0,MIN(1,Inputs!$E$13-(X$4-1)*1))</f>
        <v>0</v>
      </c>
      <c r="Y9" s="118" t="n">
        <f aca="false">MAX(0,MIN(1,Inputs!$E$13-(Y$4-1)*1))</f>
        <v>0</v>
      </c>
      <c r="Z9" s="118" t="n">
        <f aca="false">MAX(0,MIN(1,Inputs!$E$13-(Z$4-1)*1))</f>
        <v>0</v>
      </c>
      <c r="AA9" s="118" t="n">
        <f aca="false">MAX(0,MIN(1,Inputs!$E$13-(AA$4-1)*1))</f>
        <v>0</v>
      </c>
      <c r="AB9" s="118" t="n">
        <f aca="false">MAX(0,MIN(1,Inputs!$E$13-(AB$4-1)*1))</f>
        <v>0</v>
      </c>
      <c r="AC9" s="118" t="n">
        <f aca="false">MAX(0,MIN(1,Inputs!$E$13-(AC$4-1)*1))</f>
        <v>0</v>
      </c>
      <c r="AD9" s="118" t="n">
        <f aca="false">MAX(0,MIN(1,Inputs!$E$13-(AD$4-1)*1))</f>
        <v>0</v>
      </c>
      <c r="AE9" s="118" t="n">
        <f aca="false">MAX(0,MIN(1,Inputs!$E$13-(AE$4-1)*1))</f>
        <v>0</v>
      </c>
      <c r="AF9" s="118" t="n">
        <f aca="false">MAX(0,MIN(1,Inputs!$E$13-(AF$4-1)*1))</f>
        <v>0</v>
      </c>
      <c r="AG9" s="118" t="n">
        <f aca="false">MAX(0,MIN(1,Inputs!$E$13-(AG$4-1)*1))</f>
        <v>0</v>
      </c>
      <c r="AH9" s="118" t="n">
        <f aca="false">MAX(0,MIN(1,Inputs!$E$13-(AH$4-1)*1))</f>
        <v>0</v>
      </c>
      <c r="AI9" s="118" t="n">
        <f aca="false">MAX(0,MIN(1,Inputs!$E$13-(AI$4-1)*1))</f>
        <v>0</v>
      </c>
      <c r="AJ9" s="118" t="n">
        <f aca="false">MAX(0,MIN(1,Inputs!$E$13-(AJ$4-1)*1))</f>
        <v>0</v>
      </c>
      <c r="AK9" s="118" t="n">
        <f aca="false">MAX(0,MIN(1,Inputs!$E$13-(AK$4-1)*1))</f>
        <v>0</v>
      </c>
      <c r="AL9" s="118" t="n">
        <f aca="false">MAX(0,MIN(1,Inputs!$E$13-(AL$4-1)*1))</f>
        <v>0</v>
      </c>
      <c r="AM9" s="118" t="n">
        <f aca="false">MAX(0,MIN(1,Inputs!$E$13-(AM$4-1)*1))</f>
        <v>0</v>
      </c>
      <c r="AN9" s="118" t="n">
        <f aca="false">MAX(0,MIN(1,Inputs!$E$13-(AN$4-1)*1))</f>
        <v>0</v>
      </c>
      <c r="AO9" s="118" t="n">
        <f aca="false">MAX(0,MIN(1,Inputs!$E$13-(AO$4-1)*1))</f>
        <v>0</v>
      </c>
      <c r="AP9" s="118" t="n">
        <f aca="false">MAX(0,MIN(1,Inputs!$E$13-(AP$4-1)*1))</f>
        <v>0</v>
      </c>
      <c r="AQ9" s="118" t="n">
        <f aca="false">MAX(0,MIN(1,Inputs!$E$13-(AQ$4-1)*1))</f>
        <v>0</v>
      </c>
      <c r="AR9" s="118" t="n">
        <f aca="false">MAX(0,MIN(1,Inputs!$E$13-(AR$4-1)*1))</f>
        <v>0</v>
      </c>
      <c r="AS9" s="118" t="n">
        <f aca="false">MAX(0,MIN(1,Inputs!$E$13-(AS$4-1)*1))</f>
        <v>0</v>
      </c>
      <c r="AT9" s="118" t="n">
        <f aca="false">MAX(0,MIN(1,Inputs!$E$13-(AT$4-1)*1))</f>
        <v>0</v>
      </c>
      <c r="AU9" s="118" t="n">
        <f aca="false">MAX(0,MIN(1,Inputs!$E$13-(AU$4-1)*1))</f>
        <v>0</v>
      </c>
      <c r="AV9" s="118" t="n">
        <f aca="false">MAX(0,MIN(1,Inputs!$E$13-(AV$4-1)*1))</f>
        <v>0</v>
      </c>
      <c r="AW9" s="118" t="n">
        <f aca="false">MAX(0,MIN(1,Inputs!$E$13-(AW$4-1)*1))</f>
        <v>0</v>
      </c>
      <c r="AX9" s="118" t="n">
        <f aca="false">MAX(0,MIN(1,Inputs!$E$13-(AX$4-1)*1))</f>
        <v>0</v>
      </c>
      <c r="AY9" s="118" t="n">
        <f aca="false">MAX(0,MIN(1,Inputs!$E$13-(AY$4-1)*1))</f>
        <v>0</v>
      </c>
      <c r="AZ9" s="118" t="n">
        <f aca="false">MAX(0,MIN(1,Inputs!$E$13-(AZ$4-1)*1))</f>
        <v>0</v>
      </c>
      <c r="BA9" s="118" t="n">
        <f aca="false">MAX(0,MIN(1,Inputs!$E$13-(BA$4-1)*1))</f>
        <v>0</v>
      </c>
      <c r="BB9" s="118" t="n">
        <f aca="false">MAX(0,MIN(1,Inputs!$E$13-(BB$4-1)*1))</f>
        <v>0</v>
      </c>
      <c r="BC9" s="118" t="n">
        <f aca="false">MAX(0,MIN(1,Inputs!$E$13-(BC$4-1)*1))</f>
        <v>0</v>
      </c>
      <c r="BD9" s="118" t="n">
        <f aca="false">MAX(0,MIN(1,Inputs!$E$13-(BD$4-1)*1))</f>
        <v>0</v>
      </c>
      <c r="BE9" s="118" t="n">
        <f aca="false">MAX(0,MIN(1,Inputs!$E$13-(BE$4-1)*1))</f>
        <v>0</v>
      </c>
      <c r="BF9" s="118" t="n">
        <f aca="false">MAX(0,MIN(1,Inputs!$E$13-(BF$4-1)*1))</f>
        <v>0</v>
      </c>
      <c r="BG9" s="118" t="n">
        <f aca="false">MAX(0,MIN(1,Inputs!$E$13-(BG$4-1)*1))</f>
        <v>0</v>
      </c>
      <c r="BH9" s="118" t="n">
        <f aca="false">MAX(0,MIN(1,Inputs!$E$13-(BH$4-1)*1))</f>
        <v>0</v>
      </c>
      <c r="BI9" s="118" t="n">
        <f aca="false">MAX(0,MIN(1,Inputs!$E$13-(BI$4-1)*1))</f>
        <v>0</v>
      </c>
      <c r="BJ9" s="118" t="n">
        <f aca="false">MAX(0,MIN(1,Inputs!$E$13-(BJ$4-1)*1))</f>
        <v>0</v>
      </c>
    </row>
    <row r="10" customFormat="false" ht="15" hidden="false" customHeight="false" outlineLevel="0" collapsed="false">
      <c r="A10" s="38" t="s">
        <v>414</v>
      </c>
      <c r="C10" s="74" t="n">
        <f aca="false">IF(Inputs!$E$13&lt;=0,1,(C9*Inputs!$E$14+(1-Inputs!$E$14)/MAX(1,Inputs!$E$13)*(C9*(C$4-1)*1+C9*(C9-1)/2)+1-C9)/1)</f>
        <v>0.5</v>
      </c>
      <c r="D10" s="74" t="n">
        <f aca="false">IF(Inputs!$E$13&lt;=0,1,(D9*Inputs!$E$14+(1-Inputs!$E$14)/MAX(1,Inputs!$E$13)*(D9*(D$4-1)*1+D9*(D9-1)/2)+1-D9)/1)</f>
        <v>0.583333333333334</v>
      </c>
      <c r="E10" s="74" t="n">
        <f aca="false">IF(Inputs!$E$13&lt;=0,1,(E9*Inputs!$E$14+(1-Inputs!$E$14)/MAX(1,Inputs!$E$13)*(E9*(E$4-1)*1+E9*(E9-1)/2)+1-E9)/1)</f>
        <v>0.666666666666667</v>
      </c>
      <c r="F10" s="74" t="n">
        <f aca="false">IF(Inputs!$E$13&lt;=0,1,(F9*Inputs!$E$14+(1-Inputs!$E$14)/MAX(1,Inputs!$E$13)*(F9*(F$4-1)*1+F9*(F9-1)/2)+1-F9)/1)</f>
        <v>0.75</v>
      </c>
      <c r="G10" s="74" t="n">
        <f aca="false">IF(Inputs!$E$13&lt;=0,1,(G9*Inputs!$E$14+(1-Inputs!$E$14)/MAX(1,Inputs!$E$13)*(G9*(G$4-1)*1+G9*(G9-1)/2)+1-G9)/1)</f>
        <v>0.833333333333333</v>
      </c>
      <c r="H10" s="74" t="n">
        <f aca="false">IF(Inputs!$E$13&lt;=0,1,(H9*Inputs!$E$14+(1-Inputs!$E$14)/MAX(1,Inputs!$E$13)*(H9*(H$4-1)*1+H9*(H9-1)/2)+1-H9)/1)</f>
        <v>0.916666666666667</v>
      </c>
      <c r="I10" s="74" t="n">
        <f aca="false">IF(Inputs!$E$13&lt;=0,1,(I9*Inputs!$E$14+(1-Inputs!$E$14)/MAX(1,Inputs!$E$13)*(I9*(I$4-1)*1+I9*(I9-1)/2)+1-I9)/1)</f>
        <v>1</v>
      </c>
      <c r="J10" s="74" t="n">
        <f aca="false">IF(Inputs!$E$13&lt;=0,1,(J9*Inputs!$E$14+(1-Inputs!$E$14)/MAX(1,Inputs!$E$13)*(J9*(J$4-1)*1+J9*(J9-1)/2)+1-J9)/1)</f>
        <v>1</v>
      </c>
      <c r="K10" s="74" t="n">
        <f aca="false">IF(Inputs!$E$13&lt;=0,1,(K9*Inputs!$E$14+(1-Inputs!$E$14)/MAX(1,Inputs!$E$13)*(K9*(K$4-1)*1+K9*(K9-1)/2)+1-K9)/1)</f>
        <v>1</v>
      </c>
      <c r="L10" s="74" t="n">
        <f aca="false">IF(Inputs!$E$13&lt;=0,1,(L9*Inputs!$E$14+(1-Inputs!$E$14)/MAX(1,Inputs!$E$13)*(L9*(L$4-1)*1+L9*(L9-1)/2)+1-L9)/1)</f>
        <v>1</v>
      </c>
      <c r="M10" s="74" t="n">
        <f aca="false">IF(Inputs!$E$13&lt;=0,1,(M9*Inputs!$E$14+(1-Inputs!$E$14)/MAX(1,Inputs!$E$13)*(M9*(M$4-1)*1+M9*(M9-1)/2)+1-M9)/1)</f>
        <v>1</v>
      </c>
      <c r="N10" s="74" t="n">
        <f aca="false">IF(Inputs!$E$13&lt;=0,1,(N9*Inputs!$E$14+(1-Inputs!$E$14)/MAX(1,Inputs!$E$13)*(N9*(N$4-1)*1+N9*(N9-1)/2)+1-N9)/1)</f>
        <v>1</v>
      </c>
      <c r="O10" s="74" t="n">
        <f aca="false">IF(Inputs!$E$13&lt;=0,1,(O9*Inputs!$E$14+(1-Inputs!$E$14)/MAX(1,Inputs!$E$13)*(O9*(O$4-1)*1+O9*(O9-1)/2)+1-O9)/1)</f>
        <v>1</v>
      </c>
      <c r="P10" s="74" t="n">
        <f aca="false">IF(Inputs!$E$13&lt;=0,1,(P9*Inputs!$E$14+(1-Inputs!$E$14)/MAX(1,Inputs!$E$13)*(P9*(P$4-1)*1+P9*(P9-1)/2)+1-P9)/1)</f>
        <v>1</v>
      </c>
      <c r="Q10" s="74" t="n">
        <f aca="false">IF(Inputs!$E$13&lt;=0,1,(Q9*Inputs!$E$14+(1-Inputs!$E$14)/MAX(1,Inputs!$E$13)*(Q9*(Q$4-1)*1+Q9*(Q9-1)/2)+1-Q9)/1)</f>
        <v>1</v>
      </c>
      <c r="R10" s="74" t="n">
        <f aca="false">IF(Inputs!$E$13&lt;=0,1,(R9*Inputs!$E$14+(1-Inputs!$E$14)/MAX(1,Inputs!$E$13)*(R9*(R$4-1)*1+R9*(R9-1)/2)+1-R9)/1)</f>
        <v>1</v>
      </c>
      <c r="S10" s="74" t="n">
        <f aca="false">IF(Inputs!$E$13&lt;=0,1,(S9*Inputs!$E$14+(1-Inputs!$E$14)/MAX(1,Inputs!$E$13)*(S9*(S$4-1)*1+S9*(S9-1)/2)+1-S9)/1)</f>
        <v>1</v>
      </c>
      <c r="T10" s="74" t="n">
        <f aca="false">IF(Inputs!$E$13&lt;=0,1,(T9*Inputs!$E$14+(1-Inputs!$E$14)/MAX(1,Inputs!$E$13)*(T9*(T$4-1)*1+T9*(T9-1)/2)+1-T9)/1)</f>
        <v>1</v>
      </c>
      <c r="U10" s="74" t="n">
        <f aca="false">IF(Inputs!$E$13&lt;=0,1,(U9*Inputs!$E$14+(1-Inputs!$E$14)/MAX(1,Inputs!$E$13)*(U9*(U$4-1)*1+U9*(U9-1)/2)+1-U9)/1)</f>
        <v>1</v>
      </c>
      <c r="V10" s="74" t="n">
        <f aca="false">IF(Inputs!$E$13&lt;=0,1,(V9*Inputs!$E$14+(1-Inputs!$E$14)/MAX(1,Inputs!$E$13)*(V9*(V$4-1)*1+V9*(V9-1)/2)+1-V9)/1)</f>
        <v>1</v>
      </c>
      <c r="W10" s="74" t="n">
        <f aca="false">IF(Inputs!$E$13&lt;=0,1,(W9*Inputs!$E$14+(1-Inputs!$E$14)/MAX(1,Inputs!$E$13)*(W9*(W$4-1)*1+W9*(W9-1)/2)+1-W9)/1)</f>
        <v>1</v>
      </c>
      <c r="X10" s="74" t="n">
        <f aca="false">IF(Inputs!$E$13&lt;=0,1,(X9*Inputs!$E$14+(1-Inputs!$E$14)/MAX(1,Inputs!$E$13)*(X9*(X$4-1)*1+X9*(X9-1)/2)+1-X9)/1)</f>
        <v>1</v>
      </c>
      <c r="Y10" s="74" t="n">
        <f aca="false">IF(Inputs!$E$13&lt;=0,1,(Y9*Inputs!$E$14+(1-Inputs!$E$14)/MAX(1,Inputs!$E$13)*(Y9*(Y$4-1)*1+Y9*(Y9-1)/2)+1-Y9)/1)</f>
        <v>1</v>
      </c>
      <c r="Z10" s="74" t="n">
        <f aca="false">IF(Inputs!$E$13&lt;=0,1,(Z9*Inputs!$E$14+(1-Inputs!$E$14)/MAX(1,Inputs!$E$13)*(Z9*(Z$4-1)*1+Z9*(Z9-1)/2)+1-Z9)/1)</f>
        <v>1</v>
      </c>
      <c r="AA10" s="74" t="n">
        <f aca="false">IF(Inputs!$E$13&lt;=0,1,(AA9*Inputs!$E$14+(1-Inputs!$E$14)/MAX(1,Inputs!$E$13)*(AA9*(AA$4-1)*1+AA9*(AA9-1)/2)+1-AA9)/1)</f>
        <v>1</v>
      </c>
      <c r="AB10" s="74" t="n">
        <f aca="false">IF(Inputs!$E$13&lt;=0,1,(AB9*Inputs!$E$14+(1-Inputs!$E$14)/MAX(1,Inputs!$E$13)*(AB9*(AB$4-1)*1+AB9*(AB9-1)/2)+1-AB9)/1)</f>
        <v>1</v>
      </c>
      <c r="AC10" s="74" t="n">
        <f aca="false">IF(Inputs!$E$13&lt;=0,1,(AC9*Inputs!$E$14+(1-Inputs!$E$14)/MAX(1,Inputs!$E$13)*(AC9*(AC$4-1)*1+AC9*(AC9-1)/2)+1-AC9)/1)</f>
        <v>1</v>
      </c>
      <c r="AD10" s="74" t="n">
        <f aca="false">IF(Inputs!$E$13&lt;=0,1,(AD9*Inputs!$E$14+(1-Inputs!$E$14)/MAX(1,Inputs!$E$13)*(AD9*(AD$4-1)*1+AD9*(AD9-1)/2)+1-AD9)/1)</f>
        <v>1</v>
      </c>
      <c r="AE10" s="74" t="n">
        <f aca="false">IF(Inputs!$E$13&lt;=0,1,(AE9*Inputs!$E$14+(1-Inputs!$E$14)/MAX(1,Inputs!$E$13)*(AE9*(AE$4-1)*1+AE9*(AE9-1)/2)+1-AE9)/1)</f>
        <v>1</v>
      </c>
      <c r="AF10" s="74" t="n">
        <f aca="false">IF(Inputs!$E$13&lt;=0,1,(AF9*Inputs!$E$14+(1-Inputs!$E$14)/MAX(1,Inputs!$E$13)*(AF9*(AF$4-1)*1+AF9*(AF9-1)/2)+1-AF9)/1)</f>
        <v>1</v>
      </c>
      <c r="AG10" s="74" t="n">
        <f aca="false">IF(Inputs!$E$13&lt;=0,1,(AG9*Inputs!$E$14+(1-Inputs!$E$14)/MAX(1,Inputs!$E$13)*(AG9*(AG$4-1)*1+AG9*(AG9-1)/2)+1-AG9)/1)</f>
        <v>1</v>
      </c>
      <c r="AH10" s="74" t="n">
        <f aca="false">IF(Inputs!$E$13&lt;=0,1,(AH9*Inputs!$E$14+(1-Inputs!$E$14)/MAX(1,Inputs!$E$13)*(AH9*(AH$4-1)*1+AH9*(AH9-1)/2)+1-AH9)/1)</f>
        <v>1</v>
      </c>
      <c r="AI10" s="74" t="n">
        <f aca="false">IF(Inputs!$E$13&lt;=0,1,(AI9*Inputs!$E$14+(1-Inputs!$E$14)/MAX(1,Inputs!$E$13)*(AI9*(AI$4-1)*1+AI9*(AI9-1)/2)+1-AI9)/1)</f>
        <v>1</v>
      </c>
      <c r="AJ10" s="74" t="n">
        <f aca="false">IF(Inputs!$E$13&lt;=0,1,(AJ9*Inputs!$E$14+(1-Inputs!$E$14)/MAX(1,Inputs!$E$13)*(AJ9*(AJ$4-1)*1+AJ9*(AJ9-1)/2)+1-AJ9)/1)</f>
        <v>1</v>
      </c>
      <c r="AK10" s="74" t="n">
        <f aca="false">IF(Inputs!$E$13&lt;=0,1,(AK9*Inputs!$E$14+(1-Inputs!$E$14)/MAX(1,Inputs!$E$13)*(AK9*(AK$4-1)*1+AK9*(AK9-1)/2)+1-AK9)/1)</f>
        <v>1</v>
      </c>
      <c r="AL10" s="74" t="n">
        <f aca="false">IF(Inputs!$E$13&lt;=0,1,(AL9*Inputs!$E$14+(1-Inputs!$E$14)/MAX(1,Inputs!$E$13)*(AL9*(AL$4-1)*1+AL9*(AL9-1)/2)+1-AL9)/1)</f>
        <v>1</v>
      </c>
      <c r="AM10" s="74" t="n">
        <f aca="false">IF(Inputs!$E$13&lt;=0,1,(AM9*Inputs!$E$14+(1-Inputs!$E$14)/MAX(1,Inputs!$E$13)*(AM9*(AM$4-1)*1+AM9*(AM9-1)/2)+1-AM9)/1)</f>
        <v>1</v>
      </c>
      <c r="AN10" s="74" t="n">
        <f aca="false">IF(Inputs!$E$13&lt;=0,1,(AN9*Inputs!$E$14+(1-Inputs!$E$14)/MAX(1,Inputs!$E$13)*(AN9*(AN$4-1)*1+AN9*(AN9-1)/2)+1-AN9)/1)</f>
        <v>1</v>
      </c>
      <c r="AO10" s="74" t="n">
        <f aca="false">IF(Inputs!$E$13&lt;=0,1,(AO9*Inputs!$E$14+(1-Inputs!$E$14)/MAX(1,Inputs!$E$13)*(AO9*(AO$4-1)*1+AO9*(AO9-1)/2)+1-AO9)/1)</f>
        <v>1</v>
      </c>
      <c r="AP10" s="74" t="n">
        <f aca="false">IF(Inputs!$E$13&lt;=0,1,(AP9*Inputs!$E$14+(1-Inputs!$E$14)/MAX(1,Inputs!$E$13)*(AP9*(AP$4-1)*1+AP9*(AP9-1)/2)+1-AP9)/1)</f>
        <v>1</v>
      </c>
      <c r="AQ10" s="74" t="n">
        <f aca="false">IF(Inputs!$E$13&lt;=0,1,(AQ9*Inputs!$E$14+(1-Inputs!$E$14)/MAX(1,Inputs!$E$13)*(AQ9*(AQ$4-1)*1+AQ9*(AQ9-1)/2)+1-AQ9)/1)</f>
        <v>1</v>
      </c>
      <c r="AR10" s="74" t="n">
        <f aca="false">IF(Inputs!$E$13&lt;=0,1,(AR9*Inputs!$E$14+(1-Inputs!$E$14)/MAX(1,Inputs!$E$13)*(AR9*(AR$4-1)*1+AR9*(AR9-1)/2)+1-AR9)/1)</f>
        <v>1</v>
      </c>
      <c r="AS10" s="74" t="n">
        <f aca="false">IF(Inputs!$E$13&lt;=0,1,(AS9*Inputs!$E$14+(1-Inputs!$E$14)/MAX(1,Inputs!$E$13)*(AS9*(AS$4-1)*1+AS9*(AS9-1)/2)+1-AS9)/1)</f>
        <v>1</v>
      </c>
      <c r="AT10" s="74" t="n">
        <f aca="false">IF(Inputs!$E$13&lt;=0,1,(AT9*Inputs!$E$14+(1-Inputs!$E$14)/MAX(1,Inputs!$E$13)*(AT9*(AT$4-1)*1+AT9*(AT9-1)/2)+1-AT9)/1)</f>
        <v>1</v>
      </c>
      <c r="AU10" s="74" t="n">
        <f aca="false">IF(Inputs!$E$13&lt;=0,1,(AU9*Inputs!$E$14+(1-Inputs!$E$14)/MAX(1,Inputs!$E$13)*(AU9*(AU$4-1)*1+AU9*(AU9-1)/2)+1-AU9)/1)</f>
        <v>1</v>
      </c>
      <c r="AV10" s="74" t="n">
        <f aca="false">IF(Inputs!$E$13&lt;=0,1,(AV9*Inputs!$E$14+(1-Inputs!$E$14)/MAX(1,Inputs!$E$13)*(AV9*(AV$4-1)*1+AV9*(AV9-1)/2)+1-AV9)/1)</f>
        <v>1</v>
      </c>
      <c r="AW10" s="74" t="n">
        <f aca="false">IF(Inputs!$E$13&lt;=0,1,(AW9*Inputs!$E$14+(1-Inputs!$E$14)/MAX(1,Inputs!$E$13)*(AW9*(AW$4-1)*1+AW9*(AW9-1)/2)+1-AW9)/1)</f>
        <v>1</v>
      </c>
      <c r="AX10" s="74" t="n">
        <f aca="false">IF(Inputs!$E$13&lt;=0,1,(AX9*Inputs!$E$14+(1-Inputs!$E$14)/MAX(1,Inputs!$E$13)*(AX9*(AX$4-1)*1+AX9*(AX9-1)/2)+1-AX9)/1)</f>
        <v>1</v>
      </c>
      <c r="AY10" s="74" t="n">
        <f aca="false">IF(Inputs!$E$13&lt;=0,1,(AY9*Inputs!$E$14+(1-Inputs!$E$14)/MAX(1,Inputs!$E$13)*(AY9*(AY$4-1)*1+AY9*(AY9-1)/2)+1-AY9)/1)</f>
        <v>1</v>
      </c>
      <c r="AZ10" s="74" t="n">
        <f aca="false">IF(Inputs!$E$13&lt;=0,1,(AZ9*Inputs!$E$14+(1-Inputs!$E$14)/MAX(1,Inputs!$E$13)*(AZ9*(AZ$4-1)*1+AZ9*(AZ9-1)/2)+1-AZ9)/1)</f>
        <v>1</v>
      </c>
      <c r="BA10" s="74" t="n">
        <f aca="false">IF(Inputs!$E$13&lt;=0,1,(BA9*Inputs!$E$14+(1-Inputs!$E$14)/MAX(1,Inputs!$E$13)*(BA9*(BA$4-1)*1+BA9*(BA9-1)/2)+1-BA9)/1)</f>
        <v>1</v>
      </c>
      <c r="BB10" s="74" t="n">
        <f aca="false">IF(Inputs!$E$13&lt;=0,1,(BB9*Inputs!$E$14+(1-Inputs!$E$14)/MAX(1,Inputs!$E$13)*(BB9*(BB$4-1)*1+BB9*(BB9-1)/2)+1-BB9)/1)</f>
        <v>1</v>
      </c>
      <c r="BC10" s="74" t="n">
        <f aca="false">IF(Inputs!$E$13&lt;=0,1,(BC9*Inputs!$E$14+(1-Inputs!$E$14)/MAX(1,Inputs!$E$13)*(BC9*(BC$4-1)*1+BC9*(BC9-1)/2)+1-BC9)/1)</f>
        <v>1</v>
      </c>
      <c r="BD10" s="74" t="n">
        <f aca="false">IF(Inputs!$E$13&lt;=0,1,(BD9*Inputs!$E$14+(1-Inputs!$E$14)/MAX(1,Inputs!$E$13)*(BD9*(BD$4-1)*1+BD9*(BD9-1)/2)+1-BD9)/1)</f>
        <v>1</v>
      </c>
      <c r="BE10" s="74" t="n">
        <f aca="false">IF(Inputs!$E$13&lt;=0,1,(BE9*Inputs!$E$14+(1-Inputs!$E$14)/MAX(1,Inputs!$E$13)*(BE9*(BE$4-1)*1+BE9*(BE9-1)/2)+1-BE9)/1)</f>
        <v>1</v>
      </c>
      <c r="BF10" s="74" t="n">
        <f aca="false">IF(Inputs!$E$13&lt;=0,1,(BF9*Inputs!$E$14+(1-Inputs!$E$14)/MAX(1,Inputs!$E$13)*(BF9*(BF$4-1)*1+BF9*(BF9-1)/2)+1-BF9)/1)</f>
        <v>1</v>
      </c>
      <c r="BG10" s="74" t="n">
        <f aca="false">IF(Inputs!$E$13&lt;=0,1,(BG9*Inputs!$E$14+(1-Inputs!$E$14)/MAX(1,Inputs!$E$13)*(BG9*(BG$4-1)*1+BG9*(BG9-1)/2)+1-BG9)/1)</f>
        <v>1</v>
      </c>
      <c r="BH10" s="74" t="n">
        <f aca="false">IF(Inputs!$E$13&lt;=0,1,(BH9*Inputs!$E$14+(1-Inputs!$E$14)/MAX(1,Inputs!$E$13)*(BH9*(BH$4-1)*1+BH9*(BH9-1)/2)+1-BH9)/1)</f>
        <v>1</v>
      </c>
      <c r="BI10" s="74" t="n">
        <f aca="false">IF(Inputs!$E$13&lt;=0,1,(BI9*Inputs!$E$14+(1-Inputs!$E$14)/MAX(1,Inputs!$E$13)*(BI9*(BI$4-1)*1+BI9*(BI9-1)/2)+1-BI9)/1)</f>
        <v>1</v>
      </c>
      <c r="BJ10" s="74" t="n">
        <f aca="false">IF(Inputs!$E$13&lt;=0,1,(BJ9*Inputs!$E$14+(1-Inputs!$E$14)/MAX(1,Inputs!$E$13)*(BJ9*(BJ$4-1)*1+BJ9*(BJ9-1)/2)+1-BJ9)/1)</f>
        <v>1</v>
      </c>
    </row>
    <row r="11" customFormat="false" ht="15" hidden="false" customHeight="false" outlineLevel="0" collapsed="false">
      <c r="A11" s="6" t="s">
        <v>415</v>
      </c>
      <c r="C11" s="77" t="n">
        <f aca="false">IF(OR(MOD(C$4-1,12)&gt;=11,MOD(C$4-1,12)&lt;=1),1-Inputs!$E$10,1+Inputs!$E$10/3)</f>
        <v>0.75</v>
      </c>
      <c r="D11" s="77" t="n">
        <f aca="false">IF(OR(MOD(D$4-1,12)&gt;=11,MOD(D$4-1,12)&lt;=1),1-Inputs!$E$10,1+Inputs!$E$10/3)</f>
        <v>0.75</v>
      </c>
      <c r="E11" s="77" t="n">
        <f aca="false">IF(OR(MOD(E$4-1,12)&gt;=11,MOD(E$4-1,12)&lt;=1),1-Inputs!$E$10,1+Inputs!$E$10/3)</f>
        <v>1.08333333333333</v>
      </c>
      <c r="F11" s="77" t="n">
        <f aca="false">IF(OR(MOD(F$4-1,12)&gt;=11,MOD(F$4-1,12)&lt;=1),1-Inputs!$E$10,1+Inputs!$E$10/3)</f>
        <v>1.08333333333333</v>
      </c>
      <c r="G11" s="77" t="n">
        <f aca="false">IF(OR(MOD(G$4-1,12)&gt;=11,MOD(G$4-1,12)&lt;=1),1-Inputs!$E$10,1+Inputs!$E$10/3)</f>
        <v>1.08333333333333</v>
      </c>
      <c r="H11" s="77" t="n">
        <f aca="false">IF(OR(MOD(H$4-1,12)&gt;=11,MOD(H$4-1,12)&lt;=1),1-Inputs!$E$10,1+Inputs!$E$10/3)</f>
        <v>1.08333333333333</v>
      </c>
      <c r="I11" s="77" t="n">
        <f aca="false">IF(OR(MOD(I$4-1,12)&gt;=11,MOD(I$4-1,12)&lt;=1),1-Inputs!$E$10,1+Inputs!$E$10/3)</f>
        <v>1.08333333333333</v>
      </c>
      <c r="J11" s="77" t="n">
        <f aca="false">IF(OR(MOD(J$4-1,12)&gt;=11,MOD(J$4-1,12)&lt;=1),1-Inputs!$E$10,1+Inputs!$E$10/3)</f>
        <v>1.08333333333333</v>
      </c>
      <c r="K11" s="77" t="n">
        <f aca="false">IF(OR(MOD(K$4-1,12)&gt;=11,MOD(K$4-1,12)&lt;=1),1-Inputs!$E$10,1+Inputs!$E$10/3)</f>
        <v>1.08333333333333</v>
      </c>
      <c r="L11" s="77" t="n">
        <f aca="false">IF(OR(MOD(L$4-1,12)&gt;=11,MOD(L$4-1,12)&lt;=1),1-Inputs!$E$10,1+Inputs!$E$10/3)</f>
        <v>1.08333333333333</v>
      </c>
      <c r="M11" s="77" t="n">
        <f aca="false">IF(OR(MOD(M$4-1,12)&gt;=11,MOD(M$4-1,12)&lt;=1),1-Inputs!$E$10,1+Inputs!$E$10/3)</f>
        <v>1.08333333333333</v>
      </c>
      <c r="N11" s="77" t="n">
        <f aca="false">IF(OR(MOD(N$4-1,12)&gt;=11,MOD(N$4-1,12)&lt;=1),1-Inputs!$E$10,1+Inputs!$E$10/3)</f>
        <v>0.75</v>
      </c>
      <c r="O11" s="77" t="n">
        <f aca="false">IF(OR(MOD(O$4-1,12)&gt;=11,MOD(O$4-1,12)&lt;=1),1-Inputs!$E$10,1+Inputs!$E$10/3)</f>
        <v>0.75</v>
      </c>
      <c r="P11" s="77" t="n">
        <f aca="false">IF(OR(MOD(P$4-1,12)&gt;=11,MOD(P$4-1,12)&lt;=1),1-Inputs!$E$10,1+Inputs!$E$10/3)</f>
        <v>0.75</v>
      </c>
      <c r="Q11" s="77" t="n">
        <f aca="false">IF(OR(MOD(Q$4-1,12)&gt;=11,MOD(Q$4-1,12)&lt;=1),1-Inputs!$E$10,1+Inputs!$E$10/3)</f>
        <v>1.08333333333333</v>
      </c>
      <c r="R11" s="77" t="n">
        <f aca="false">IF(OR(MOD(R$4-1,12)&gt;=11,MOD(R$4-1,12)&lt;=1),1-Inputs!$E$10,1+Inputs!$E$10/3)</f>
        <v>1.08333333333333</v>
      </c>
      <c r="S11" s="77" t="n">
        <f aca="false">IF(OR(MOD(S$4-1,12)&gt;=11,MOD(S$4-1,12)&lt;=1),1-Inputs!$E$10,1+Inputs!$E$10/3)</f>
        <v>1.08333333333333</v>
      </c>
      <c r="T11" s="77" t="n">
        <f aca="false">IF(OR(MOD(T$4-1,12)&gt;=11,MOD(T$4-1,12)&lt;=1),1-Inputs!$E$10,1+Inputs!$E$10/3)</f>
        <v>1.08333333333333</v>
      </c>
      <c r="U11" s="77" t="n">
        <f aca="false">IF(OR(MOD(U$4-1,12)&gt;=11,MOD(U$4-1,12)&lt;=1),1-Inputs!$E$10,1+Inputs!$E$10/3)</f>
        <v>1.08333333333333</v>
      </c>
      <c r="V11" s="77" t="n">
        <f aca="false">IF(OR(MOD(V$4-1,12)&gt;=11,MOD(V$4-1,12)&lt;=1),1-Inputs!$E$10,1+Inputs!$E$10/3)</f>
        <v>1.08333333333333</v>
      </c>
      <c r="W11" s="77" t="n">
        <f aca="false">IF(OR(MOD(W$4-1,12)&gt;=11,MOD(W$4-1,12)&lt;=1),1-Inputs!$E$10,1+Inputs!$E$10/3)</f>
        <v>1.08333333333333</v>
      </c>
      <c r="X11" s="77" t="n">
        <f aca="false">IF(OR(MOD(X$4-1,12)&gt;=11,MOD(X$4-1,12)&lt;=1),1-Inputs!$E$10,1+Inputs!$E$10/3)</f>
        <v>1.08333333333333</v>
      </c>
      <c r="Y11" s="77" t="n">
        <f aca="false">IF(OR(MOD(Y$4-1,12)&gt;=11,MOD(Y$4-1,12)&lt;=1),1-Inputs!$E$10,1+Inputs!$E$10/3)</f>
        <v>1.08333333333333</v>
      </c>
      <c r="Z11" s="77" t="n">
        <f aca="false">IF(OR(MOD(Z$4-1,12)&gt;=11,MOD(Z$4-1,12)&lt;=1),1-Inputs!$E$10,1+Inputs!$E$10/3)</f>
        <v>0.75</v>
      </c>
      <c r="AA11" s="77" t="n">
        <f aca="false">IF(OR(MOD(AA$4-1,12)&gt;=11,MOD(AA$4-1,12)&lt;=1),1-Inputs!$E$10,1+Inputs!$E$10/3)</f>
        <v>0.75</v>
      </c>
      <c r="AB11" s="77" t="n">
        <f aca="false">IF(OR(MOD(AB$4-1,12)&gt;=11,MOD(AB$4-1,12)&lt;=1),1-Inputs!$E$10,1+Inputs!$E$10/3)</f>
        <v>0.75</v>
      </c>
      <c r="AC11" s="77" t="n">
        <f aca="false">IF(OR(MOD(AC$4-1,12)&gt;=11,MOD(AC$4-1,12)&lt;=1),1-Inputs!$E$10,1+Inputs!$E$10/3)</f>
        <v>1.08333333333333</v>
      </c>
      <c r="AD11" s="77" t="n">
        <f aca="false">IF(OR(MOD(AD$4-1,12)&gt;=11,MOD(AD$4-1,12)&lt;=1),1-Inputs!$E$10,1+Inputs!$E$10/3)</f>
        <v>1.08333333333333</v>
      </c>
      <c r="AE11" s="77" t="n">
        <f aca="false">IF(OR(MOD(AE$4-1,12)&gt;=11,MOD(AE$4-1,12)&lt;=1),1-Inputs!$E$10,1+Inputs!$E$10/3)</f>
        <v>1.08333333333333</v>
      </c>
      <c r="AF11" s="77" t="n">
        <f aca="false">IF(OR(MOD(AF$4-1,12)&gt;=11,MOD(AF$4-1,12)&lt;=1),1-Inputs!$E$10,1+Inputs!$E$10/3)</f>
        <v>1.08333333333333</v>
      </c>
      <c r="AG11" s="77" t="n">
        <f aca="false">IF(OR(MOD(AG$4-1,12)&gt;=11,MOD(AG$4-1,12)&lt;=1),1-Inputs!$E$10,1+Inputs!$E$10/3)</f>
        <v>1.08333333333333</v>
      </c>
      <c r="AH11" s="77" t="n">
        <f aca="false">IF(OR(MOD(AH$4-1,12)&gt;=11,MOD(AH$4-1,12)&lt;=1),1-Inputs!$E$10,1+Inputs!$E$10/3)</f>
        <v>1.08333333333333</v>
      </c>
      <c r="AI11" s="77" t="n">
        <f aca="false">IF(OR(MOD(AI$4-1,12)&gt;=11,MOD(AI$4-1,12)&lt;=1),1-Inputs!$E$10,1+Inputs!$E$10/3)</f>
        <v>1.08333333333333</v>
      </c>
      <c r="AJ11" s="77" t="n">
        <f aca="false">IF(OR(MOD(AJ$4-1,12)&gt;=11,MOD(AJ$4-1,12)&lt;=1),1-Inputs!$E$10,1+Inputs!$E$10/3)</f>
        <v>1.08333333333333</v>
      </c>
      <c r="AK11" s="77" t="n">
        <f aca="false">IF(OR(MOD(AK$4-1,12)&gt;=11,MOD(AK$4-1,12)&lt;=1),1-Inputs!$E$10,1+Inputs!$E$10/3)</f>
        <v>1.08333333333333</v>
      </c>
      <c r="AL11" s="77" t="n">
        <f aca="false">IF(OR(MOD(AL$4-1,12)&gt;=11,MOD(AL$4-1,12)&lt;=1),1-Inputs!$E$10,1+Inputs!$E$10/3)</f>
        <v>0.75</v>
      </c>
      <c r="AM11" s="77" t="n">
        <f aca="false">IF(OR(MOD(AM$4-1,12)&gt;=11,MOD(AM$4-1,12)&lt;=1),1-Inputs!$E$10,1+Inputs!$E$10/3)</f>
        <v>0.75</v>
      </c>
      <c r="AN11" s="77" t="n">
        <f aca="false">IF(OR(MOD(AN$4-1,12)&gt;=11,MOD(AN$4-1,12)&lt;=1),1-Inputs!$E$10,1+Inputs!$E$10/3)</f>
        <v>0.75</v>
      </c>
      <c r="AO11" s="77" t="n">
        <f aca="false">IF(OR(MOD(AO$4-1,12)&gt;=11,MOD(AO$4-1,12)&lt;=1),1-Inputs!$E$10,1+Inputs!$E$10/3)</f>
        <v>1.08333333333333</v>
      </c>
      <c r="AP11" s="77" t="n">
        <f aca="false">IF(OR(MOD(AP$4-1,12)&gt;=11,MOD(AP$4-1,12)&lt;=1),1-Inputs!$E$10,1+Inputs!$E$10/3)</f>
        <v>1.08333333333333</v>
      </c>
      <c r="AQ11" s="77" t="n">
        <f aca="false">IF(OR(MOD(AQ$4-1,12)&gt;=11,MOD(AQ$4-1,12)&lt;=1),1-Inputs!$E$10,1+Inputs!$E$10/3)</f>
        <v>1.08333333333333</v>
      </c>
      <c r="AR11" s="77" t="n">
        <f aca="false">IF(OR(MOD(AR$4-1,12)&gt;=11,MOD(AR$4-1,12)&lt;=1),1-Inputs!$E$10,1+Inputs!$E$10/3)</f>
        <v>1.08333333333333</v>
      </c>
      <c r="AS11" s="77" t="n">
        <f aca="false">IF(OR(MOD(AS$4-1,12)&gt;=11,MOD(AS$4-1,12)&lt;=1),1-Inputs!$E$10,1+Inputs!$E$10/3)</f>
        <v>1.08333333333333</v>
      </c>
      <c r="AT11" s="77" t="n">
        <f aca="false">IF(OR(MOD(AT$4-1,12)&gt;=11,MOD(AT$4-1,12)&lt;=1),1-Inputs!$E$10,1+Inputs!$E$10/3)</f>
        <v>1.08333333333333</v>
      </c>
      <c r="AU11" s="77" t="n">
        <f aca="false">IF(OR(MOD(AU$4-1,12)&gt;=11,MOD(AU$4-1,12)&lt;=1),1-Inputs!$E$10,1+Inputs!$E$10/3)</f>
        <v>1.08333333333333</v>
      </c>
      <c r="AV11" s="77" t="n">
        <f aca="false">IF(OR(MOD(AV$4-1,12)&gt;=11,MOD(AV$4-1,12)&lt;=1),1-Inputs!$E$10,1+Inputs!$E$10/3)</f>
        <v>1.08333333333333</v>
      </c>
      <c r="AW11" s="77" t="n">
        <f aca="false">IF(OR(MOD(AW$4-1,12)&gt;=11,MOD(AW$4-1,12)&lt;=1),1-Inputs!$E$10,1+Inputs!$E$10/3)</f>
        <v>1.08333333333333</v>
      </c>
      <c r="AX11" s="77" t="n">
        <f aca="false">IF(OR(MOD(AX$4-1,12)&gt;=11,MOD(AX$4-1,12)&lt;=1),1-Inputs!$E$10,1+Inputs!$E$10/3)</f>
        <v>0.75</v>
      </c>
      <c r="AY11" s="77" t="n">
        <f aca="false">IF(OR(MOD(AY$4-1,12)&gt;=11,MOD(AY$4-1,12)&lt;=1),1-Inputs!$E$10,1+Inputs!$E$10/3)</f>
        <v>0.75</v>
      </c>
      <c r="AZ11" s="77" t="n">
        <f aca="false">IF(OR(MOD(AZ$4-1,12)&gt;=11,MOD(AZ$4-1,12)&lt;=1),1-Inputs!$E$10,1+Inputs!$E$10/3)</f>
        <v>0.75</v>
      </c>
      <c r="BA11" s="77" t="n">
        <f aca="false">IF(OR(MOD(BA$4-1,12)&gt;=11,MOD(BA$4-1,12)&lt;=1),1-Inputs!$E$10,1+Inputs!$E$10/3)</f>
        <v>1.08333333333333</v>
      </c>
      <c r="BB11" s="77" t="n">
        <f aca="false">IF(OR(MOD(BB$4-1,12)&gt;=11,MOD(BB$4-1,12)&lt;=1),1-Inputs!$E$10,1+Inputs!$E$10/3)</f>
        <v>1.08333333333333</v>
      </c>
      <c r="BC11" s="77" t="n">
        <f aca="false">IF(OR(MOD(BC$4-1,12)&gt;=11,MOD(BC$4-1,12)&lt;=1),1-Inputs!$E$10,1+Inputs!$E$10/3)</f>
        <v>1.08333333333333</v>
      </c>
      <c r="BD11" s="77" t="n">
        <f aca="false">IF(OR(MOD(BD$4-1,12)&gt;=11,MOD(BD$4-1,12)&lt;=1),1-Inputs!$E$10,1+Inputs!$E$10/3)</f>
        <v>1.08333333333333</v>
      </c>
      <c r="BE11" s="77" t="n">
        <f aca="false">IF(OR(MOD(BE$4-1,12)&gt;=11,MOD(BE$4-1,12)&lt;=1),1-Inputs!$E$10,1+Inputs!$E$10/3)</f>
        <v>1.08333333333333</v>
      </c>
      <c r="BF11" s="77" t="n">
        <f aca="false">IF(OR(MOD(BF$4-1,12)&gt;=11,MOD(BF$4-1,12)&lt;=1),1-Inputs!$E$10,1+Inputs!$E$10/3)</f>
        <v>1.08333333333333</v>
      </c>
      <c r="BG11" s="77" t="n">
        <f aca="false">IF(OR(MOD(BG$4-1,12)&gt;=11,MOD(BG$4-1,12)&lt;=1),1-Inputs!$E$10,1+Inputs!$E$10/3)</f>
        <v>1.08333333333333</v>
      </c>
      <c r="BH11" s="77" t="n">
        <f aca="false">IF(OR(MOD(BH$4-1,12)&gt;=11,MOD(BH$4-1,12)&lt;=1),1-Inputs!$E$10,1+Inputs!$E$10/3)</f>
        <v>1.08333333333333</v>
      </c>
      <c r="BI11" s="77" t="n">
        <f aca="false">IF(OR(MOD(BI$4-1,12)&gt;=11,MOD(BI$4-1,12)&lt;=1),1-Inputs!$E$10,1+Inputs!$E$10/3)</f>
        <v>1.08333333333333</v>
      </c>
      <c r="BJ11" s="77" t="n">
        <f aca="false">IF(OR(MOD(BJ$4-1,12)&gt;=11,MOD(BJ$4-1,12)&lt;=1),1-Inputs!$E$10,1+Inputs!$E$10/3)</f>
        <v>0.75</v>
      </c>
    </row>
    <row r="12" customFormat="false" ht="15" hidden="false" customHeight="false" outlineLevel="0" collapsed="false">
      <c r="A12" s="6" t="s">
        <v>416</v>
      </c>
      <c r="C12" s="118" t="n">
        <f aca="false">C8*Inputs!$E$9*1*C11</f>
        <v>13.5</v>
      </c>
      <c r="D12" s="118" t="n">
        <f aca="false">D8*Inputs!$E$9*1*D11</f>
        <v>13.5</v>
      </c>
      <c r="E12" s="118" t="n">
        <f aca="false">E8*Inputs!$E$9*1*E11</f>
        <v>19.5</v>
      </c>
      <c r="F12" s="118" t="n">
        <f aca="false">F8*Inputs!$E$9*1*F11</f>
        <v>19.5</v>
      </c>
      <c r="G12" s="118" t="n">
        <f aca="false">G8*Inputs!$E$9*1*G11</f>
        <v>19.5</v>
      </c>
      <c r="H12" s="118" t="n">
        <f aca="false">H8*Inputs!$E$9*1*H11</f>
        <v>19.5</v>
      </c>
      <c r="I12" s="118" t="n">
        <f aca="false">I8*Inputs!$E$9*1*I11</f>
        <v>19.5</v>
      </c>
      <c r="J12" s="118" t="n">
        <f aca="false">J8*Inputs!$E$9*1*J11</f>
        <v>19.5</v>
      </c>
      <c r="K12" s="118" t="n">
        <f aca="false">K8*Inputs!$E$9*1*K11</f>
        <v>19.5</v>
      </c>
      <c r="L12" s="118" t="n">
        <f aca="false">L8*Inputs!$E$9*1*L11</f>
        <v>19.5</v>
      </c>
      <c r="M12" s="118" t="n">
        <f aca="false">M8*Inputs!$E$9*1*M11</f>
        <v>19.5</v>
      </c>
      <c r="N12" s="118" t="n">
        <f aca="false">N8*Inputs!$E$9*1*N11</f>
        <v>13.5</v>
      </c>
      <c r="O12" s="118" t="n">
        <f aca="false">O8*Inputs!$E$9*1*O11</f>
        <v>13.5</v>
      </c>
      <c r="P12" s="118" t="n">
        <f aca="false">P8*Inputs!$E$9*1*P11</f>
        <v>13.5</v>
      </c>
      <c r="Q12" s="118" t="n">
        <f aca="false">Q8*Inputs!$E$9*1*Q11</f>
        <v>19.5</v>
      </c>
      <c r="R12" s="118" t="n">
        <f aca="false">R8*Inputs!$E$9*1*R11</f>
        <v>19.5</v>
      </c>
      <c r="S12" s="118" t="n">
        <f aca="false">S8*Inputs!$E$9*1*S11</f>
        <v>19.5</v>
      </c>
      <c r="T12" s="118" t="n">
        <f aca="false">T8*Inputs!$E$9*1*T11</f>
        <v>19.5</v>
      </c>
      <c r="U12" s="118" t="n">
        <f aca="false">U8*Inputs!$E$9*1*U11</f>
        <v>19.5</v>
      </c>
      <c r="V12" s="118" t="n">
        <f aca="false">V8*Inputs!$E$9*1*V11</f>
        <v>19.5</v>
      </c>
      <c r="W12" s="118" t="n">
        <f aca="false">W8*Inputs!$E$9*1*W11</f>
        <v>19.5</v>
      </c>
      <c r="X12" s="118" t="n">
        <f aca="false">X8*Inputs!$E$9*1*X11</f>
        <v>19.5</v>
      </c>
      <c r="Y12" s="118" t="n">
        <f aca="false">Y8*Inputs!$E$9*1*Y11</f>
        <v>19.5</v>
      </c>
      <c r="Z12" s="118" t="n">
        <f aca="false">Z8*Inputs!$E$9*1*Z11</f>
        <v>13.5</v>
      </c>
      <c r="AA12" s="118" t="n">
        <f aca="false">AA8*Inputs!$E$9*1*AA11</f>
        <v>13.5</v>
      </c>
      <c r="AB12" s="118" t="n">
        <f aca="false">AB8*Inputs!$E$9*1*AB11</f>
        <v>13.5</v>
      </c>
      <c r="AC12" s="118" t="n">
        <f aca="false">AC8*Inputs!$E$9*1*AC11</f>
        <v>19.5</v>
      </c>
      <c r="AD12" s="118" t="n">
        <f aca="false">AD8*Inputs!$E$9*1*AD11</f>
        <v>19.5</v>
      </c>
      <c r="AE12" s="118" t="n">
        <f aca="false">AE8*Inputs!$E$9*1*AE11</f>
        <v>19.5</v>
      </c>
      <c r="AF12" s="118" t="n">
        <f aca="false">AF8*Inputs!$E$9*1*AF11</f>
        <v>19.5</v>
      </c>
      <c r="AG12" s="118" t="n">
        <f aca="false">AG8*Inputs!$E$9*1*AG11</f>
        <v>19.5</v>
      </c>
      <c r="AH12" s="118" t="n">
        <f aca="false">AH8*Inputs!$E$9*1*AH11</f>
        <v>19.5</v>
      </c>
      <c r="AI12" s="118" t="n">
        <f aca="false">AI8*Inputs!$E$9*1*AI11</f>
        <v>19.5</v>
      </c>
      <c r="AJ12" s="118" t="n">
        <f aca="false">AJ8*Inputs!$E$9*1*AJ11</f>
        <v>19.5</v>
      </c>
      <c r="AK12" s="118" t="n">
        <f aca="false">AK8*Inputs!$E$9*1*AK11</f>
        <v>19.5</v>
      </c>
      <c r="AL12" s="118" t="n">
        <f aca="false">AL8*Inputs!$E$9*1*AL11</f>
        <v>13.5</v>
      </c>
      <c r="AM12" s="118" t="n">
        <f aca="false">AM8*Inputs!$E$9*1*AM11</f>
        <v>13.5</v>
      </c>
      <c r="AN12" s="118" t="n">
        <f aca="false">AN8*Inputs!$E$9*1*AN11</f>
        <v>13.5</v>
      </c>
      <c r="AO12" s="118" t="n">
        <f aca="false">AO8*Inputs!$E$9*1*AO11</f>
        <v>19.5</v>
      </c>
      <c r="AP12" s="118" t="n">
        <f aca="false">AP8*Inputs!$E$9*1*AP11</f>
        <v>19.5</v>
      </c>
      <c r="AQ12" s="118" t="n">
        <f aca="false">AQ8*Inputs!$E$9*1*AQ11</f>
        <v>19.5</v>
      </c>
      <c r="AR12" s="118" t="n">
        <f aca="false">AR8*Inputs!$E$9*1*AR11</f>
        <v>19.5</v>
      </c>
      <c r="AS12" s="118" t="n">
        <f aca="false">AS8*Inputs!$E$9*1*AS11</f>
        <v>19.5</v>
      </c>
      <c r="AT12" s="118" t="n">
        <f aca="false">AT8*Inputs!$E$9*1*AT11</f>
        <v>19.5</v>
      </c>
      <c r="AU12" s="118" t="n">
        <f aca="false">AU8*Inputs!$E$9*1*AU11</f>
        <v>19.5</v>
      </c>
      <c r="AV12" s="118" t="n">
        <f aca="false">AV8*Inputs!$E$9*1*AV11</f>
        <v>19.5</v>
      </c>
      <c r="AW12" s="118" t="n">
        <f aca="false">AW8*Inputs!$E$9*1*AW11</f>
        <v>19.5</v>
      </c>
      <c r="AX12" s="118" t="n">
        <f aca="false">AX8*Inputs!$E$9*1*AX11</f>
        <v>13.5</v>
      </c>
      <c r="AY12" s="118" t="n">
        <f aca="false">AY8*Inputs!$E$9*1*AY11</f>
        <v>13.5</v>
      </c>
      <c r="AZ12" s="118" t="n">
        <f aca="false">AZ8*Inputs!$E$9*1*AZ11</f>
        <v>13.5</v>
      </c>
      <c r="BA12" s="118" t="n">
        <f aca="false">BA8*Inputs!$E$9*1*BA11</f>
        <v>19.5</v>
      </c>
      <c r="BB12" s="118" t="n">
        <f aca="false">BB8*Inputs!$E$9*1*BB11</f>
        <v>19.5</v>
      </c>
      <c r="BC12" s="118" t="n">
        <f aca="false">BC8*Inputs!$E$9*1*BC11</f>
        <v>19.5</v>
      </c>
      <c r="BD12" s="118" t="n">
        <f aca="false">BD8*Inputs!$E$9*1*BD11</f>
        <v>19.5</v>
      </c>
      <c r="BE12" s="118" t="n">
        <f aca="false">BE8*Inputs!$E$9*1*BE11</f>
        <v>19.5</v>
      </c>
      <c r="BF12" s="118" t="n">
        <f aca="false">BF8*Inputs!$E$9*1*BF11</f>
        <v>19.5</v>
      </c>
      <c r="BG12" s="118" t="n">
        <f aca="false">BG8*Inputs!$E$9*1*BG11</f>
        <v>19.5</v>
      </c>
      <c r="BH12" s="118" t="n">
        <f aca="false">BH8*Inputs!$E$9*1*BH11</f>
        <v>19.5</v>
      </c>
      <c r="BI12" s="118" t="n">
        <f aca="false">BI8*Inputs!$E$9*1*BI11</f>
        <v>19.5</v>
      </c>
      <c r="BJ12" s="118" t="n">
        <f aca="false">BJ8*Inputs!$E$9*1*BJ11</f>
        <v>13.5</v>
      </c>
    </row>
    <row r="13" customFormat="false" ht="15" hidden="false" customHeight="false" outlineLevel="0" collapsed="false">
      <c r="A13" s="6" t="s">
        <v>417</v>
      </c>
      <c r="C13" s="118" t="n">
        <f aca="false">C8*Inputs!$E$23*(1+Inputs!$E$24)^(C$5-1)*1*C10</f>
        <v>1.5</v>
      </c>
      <c r="D13" s="118" t="n">
        <f aca="false">D8*Inputs!$E$23*(1+Inputs!$E$24)^(D$5-1)*1*D10</f>
        <v>1.75</v>
      </c>
      <c r="E13" s="118" t="n">
        <f aca="false">E8*Inputs!$E$23*(1+Inputs!$E$24)^(E$5-1)*1*E10</f>
        <v>2</v>
      </c>
      <c r="F13" s="118" t="n">
        <f aca="false">F8*Inputs!$E$23*(1+Inputs!$E$24)^(F$5-1)*1*F10</f>
        <v>2.25</v>
      </c>
      <c r="G13" s="118" t="n">
        <f aca="false">G8*Inputs!$E$23*(1+Inputs!$E$24)^(G$5-1)*1*G10</f>
        <v>2.5</v>
      </c>
      <c r="H13" s="118" t="n">
        <f aca="false">H8*Inputs!$E$23*(1+Inputs!$E$24)^(H$5-1)*1*H10</f>
        <v>2.75</v>
      </c>
      <c r="I13" s="118" t="n">
        <f aca="false">I8*Inputs!$E$23*(1+Inputs!$E$24)^(I$5-1)*1*I10</f>
        <v>3</v>
      </c>
      <c r="J13" s="118" t="n">
        <f aca="false">J8*Inputs!$E$23*(1+Inputs!$E$24)^(J$5-1)*1*J10</f>
        <v>3</v>
      </c>
      <c r="K13" s="118" t="n">
        <f aca="false">K8*Inputs!$E$23*(1+Inputs!$E$24)^(K$5-1)*1*K10</f>
        <v>3</v>
      </c>
      <c r="L13" s="118" t="n">
        <f aca="false">L8*Inputs!$E$23*(1+Inputs!$E$24)^(L$5-1)*1*L10</f>
        <v>3</v>
      </c>
      <c r="M13" s="118" t="n">
        <f aca="false">M8*Inputs!$E$23*(1+Inputs!$E$24)^(M$5-1)*1*M10</f>
        <v>3</v>
      </c>
      <c r="N13" s="118" t="n">
        <f aca="false">N8*Inputs!$E$23*(1+Inputs!$E$24)^(N$5-1)*1*N10</f>
        <v>3</v>
      </c>
      <c r="O13" s="118" t="n">
        <f aca="false">O8*Inputs!$E$23*(1+Inputs!$E$24)^(O$5-1)*1*O10</f>
        <v>3.15</v>
      </c>
      <c r="P13" s="118" t="n">
        <f aca="false">P8*Inputs!$E$23*(1+Inputs!$E$24)^(P$5-1)*1*P10</f>
        <v>3.15</v>
      </c>
      <c r="Q13" s="118" t="n">
        <f aca="false">Q8*Inputs!$E$23*(1+Inputs!$E$24)^(Q$5-1)*1*Q10</f>
        <v>3.15</v>
      </c>
      <c r="R13" s="118" t="n">
        <f aca="false">R8*Inputs!$E$23*(1+Inputs!$E$24)^(R$5-1)*1*R10</f>
        <v>3.15</v>
      </c>
      <c r="S13" s="118" t="n">
        <f aca="false">S8*Inputs!$E$23*(1+Inputs!$E$24)^(S$5-1)*1*S10</f>
        <v>3.15</v>
      </c>
      <c r="T13" s="118" t="n">
        <f aca="false">T8*Inputs!$E$23*(1+Inputs!$E$24)^(T$5-1)*1*T10</f>
        <v>3.15</v>
      </c>
      <c r="U13" s="118" t="n">
        <f aca="false">U8*Inputs!$E$23*(1+Inputs!$E$24)^(U$5-1)*1*U10</f>
        <v>3.15</v>
      </c>
      <c r="V13" s="118" t="n">
        <f aca="false">V8*Inputs!$E$23*(1+Inputs!$E$24)^(V$5-1)*1*V10</f>
        <v>3.15</v>
      </c>
      <c r="W13" s="118" t="n">
        <f aca="false">W8*Inputs!$E$23*(1+Inputs!$E$24)^(W$5-1)*1*W10</f>
        <v>3.15</v>
      </c>
      <c r="X13" s="118" t="n">
        <f aca="false">X8*Inputs!$E$23*(1+Inputs!$E$24)^(X$5-1)*1*X10</f>
        <v>3.15</v>
      </c>
      <c r="Y13" s="118" t="n">
        <f aca="false">Y8*Inputs!$E$23*(1+Inputs!$E$24)^(Y$5-1)*1*Y10</f>
        <v>3.15</v>
      </c>
      <c r="Z13" s="118" t="n">
        <f aca="false">Z8*Inputs!$E$23*(1+Inputs!$E$24)^(Z$5-1)*1*Z10</f>
        <v>3.15</v>
      </c>
      <c r="AA13" s="118" t="n">
        <f aca="false">AA8*Inputs!$E$23*(1+Inputs!$E$24)^(AA$5-1)*1*AA10</f>
        <v>3.3075</v>
      </c>
      <c r="AB13" s="118" t="n">
        <f aca="false">AB8*Inputs!$E$23*(1+Inputs!$E$24)^(AB$5-1)*1*AB10</f>
        <v>3.3075</v>
      </c>
      <c r="AC13" s="118" t="n">
        <f aca="false">AC8*Inputs!$E$23*(1+Inputs!$E$24)^(AC$5-1)*1*AC10</f>
        <v>3.3075</v>
      </c>
      <c r="AD13" s="118" t="n">
        <f aca="false">AD8*Inputs!$E$23*(1+Inputs!$E$24)^(AD$5-1)*1*AD10</f>
        <v>3.3075</v>
      </c>
      <c r="AE13" s="118" t="n">
        <f aca="false">AE8*Inputs!$E$23*(1+Inputs!$E$24)^(AE$5-1)*1*AE10</f>
        <v>3.3075</v>
      </c>
      <c r="AF13" s="118" t="n">
        <f aca="false">AF8*Inputs!$E$23*(1+Inputs!$E$24)^(AF$5-1)*1*AF10</f>
        <v>3.3075</v>
      </c>
      <c r="AG13" s="118" t="n">
        <f aca="false">AG8*Inputs!$E$23*(1+Inputs!$E$24)^(AG$5-1)*1*AG10</f>
        <v>3.3075</v>
      </c>
      <c r="AH13" s="118" t="n">
        <f aca="false">AH8*Inputs!$E$23*(1+Inputs!$E$24)^(AH$5-1)*1*AH10</f>
        <v>3.3075</v>
      </c>
      <c r="AI13" s="118" t="n">
        <f aca="false">AI8*Inputs!$E$23*(1+Inputs!$E$24)^(AI$5-1)*1*AI10</f>
        <v>3.3075</v>
      </c>
      <c r="AJ13" s="118" t="n">
        <f aca="false">AJ8*Inputs!$E$23*(1+Inputs!$E$24)^(AJ$5-1)*1*AJ10</f>
        <v>3.3075</v>
      </c>
      <c r="AK13" s="118" t="n">
        <f aca="false">AK8*Inputs!$E$23*(1+Inputs!$E$24)^(AK$5-1)*1*AK10</f>
        <v>3.3075</v>
      </c>
      <c r="AL13" s="118" t="n">
        <f aca="false">AL8*Inputs!$E$23*(1+Inputs!$E$24)^(AL$5-1)*1*AL10</f>
        <v>3.3075</v>
      </c>
      <c r="AM13" s="118" t="n">
        <f aca="false">AM8*Inputs!$E$23*(1+Inputs!$E$24)^(AM$5-1)*1*AM10</f>
        <v>3.472875</v>
      </c>
      <c r="AN13" s="118" t="n">
        <f aca="false">AN8*Inputs!$E$23*(1+Inputs!$E$24)^(AN$5-1)*1*AN10</f>
        <v>3.472875</v>
      </c>
      <c r="AO13" s="118" t="n">
        <f aca="false">AO8*Inputs!$E$23*(1+Inputs!$E$24)^(AO$5-1)*1*AO10</f>
        <v>3.472875</v>
      </c>
      <c r="AP13" s="118" t="n">
        <f aca="false">AP8*Inputs!$E$23*(1+Inputs!$E$24)^(AP$5-1)*1*AP10</f>
        <v>3.472875</v>
      </c>
      <c r="AQ13" s="118" t="n">
        <f aca="false">AQ8*Inputs!$E$23*(1+Inputs!$E$24)^(AQ$5-1)*1*AQ10</f>
        <v>3.472875</v>
      </c>
      <c r="AR13" s="118" t="n">
        <f aca="false">AR8*Inputs!$E$23*(1+Inputs!$E$24)^(AR$5-1)*1*AR10</f>
        <v>3.472875</v>
      </c>
      <c r="AS13" s="118" t="n">
        <f aca="false">AS8*Inputs!$E$23*(1+Inputs!$E$24)^(AS$5-1)*1*AS10</f>
        <v>3.472875</v>
      </c>
      <c r="AT13" s="118" t="n">
        <f aca="false">AT8*Inputs!$E$23*(1+Inputs!$E$24)^(AT$5-1)*1*AT10</f>
        <v>3.472875</v>
      </c>
      <c r="AU13" s="118" t="n">
        <f aca="false">AU8*Inputs!$E$23*(1+Inputs!$E$24)^(AU$5-1)*1*AU10</f>
        <v>3.472875</v>
      </c>
      <c r="AV13" s="118" t="n">
        <f aca="false">AV8*Inputs!$E$23*(1+Inputs!$E$24)^(AV$5-1)*1*AV10</f>
        <v>3.472875</v>
      </c>
      <c r="AW13" s="118" t="n">
        <f aca="false">AW8*Inputs!$E$23*(1+Inputs!$E$24)^(AW$5-1)*1*AW10</f>
        <v>3.472875</v>
      </c>
      <c r="AX13" s="118" t="n">
        <f aca="false">AX8*Inputs!$E$23*(1+Inputs!$E$24)^(AX$5-1)*1*AX10</f>
        <v>3.472875</v>
      </c>
      <c r="AY13" s="118" t="n">
        <f aca="false">AY8*Inputs!$E$23*(1+Inputs!$E$24)^(AY$5-1)*1*AY10</f>
        <v>3.64651875</v>
      </c>
      <c r="AZ13" s="118" t="n">
        <f aca="false">AZ8*Inputs!$E$23*(1+Inputs!$E$24)^(AZ$5-1)*1*AZ10</f>
        <v>3.64651875</v>
      </c>
      <c r="BA13" s="118" t="n">
        <f aca="false">BA8*Inputs!$E$23*(1+Inputs!$E$24)^(BA$5-1)*1*BA10</f>
        <v>3.64651875</v>
      </c>
      <c r="BB13" s="118" t="n">
        <f aca="false">BB8*Inputs!$E$23*(1+Inputs!$E$24)^(BB$5-1)*1*BB10</f>
        <v>3.64651875</v>
      </c>
      <c r="BC13" s="118" t="n">
        <f aca="false">BC8*Inputs!$E$23*(1+Inputs!$E$24)^(BC$5-1)*1*BC10</f>
        <v>3.64651875</v>
      </c>
      <c r="BD13" s="118" t="n">
        <f aca="false">BD8*Inputs!$E$23*(1+Inputs!$E$24)^(BD$5-1)*1*BD10</f>
        <v>3.64651875</v>
      </c>
      <c r="BE13" s="118" t="n">
        <f aca="false">BE8*Inputs!$E$23*(1+Inputs!$E$24)^(BE$5-1)*1*BE10</f>
        <v>3.64651875</v>
      </c>
      <c r="BF13" s="118" t="n">
        <f aca="false">BF8*Inputs!$E$23*(1+Inputs!$E$24)^(BF$5-1)*1*BF10</f>
        <v>3.64651875</v>
      </c>
      <c r="BG13" s="118" t="n">
        <f aca="false">BG8*Inputs!$E$23*(1+Inputs!$E$24)^(BG$5-1)*1*BG10</f>
        <v>3.64651875</v>
      </c>
      <c r="BH13" s="118" t="n">
        <f aca="false">BH8*Inputs!$E$23*(1+Inputs!$E$24)^(BH$5-1)*1*BH10</f>
        <v>3.64651875</v>
      </c>
      <c r="BI13" s="118" t="n">
        <f aca="false">BI8*Inputs!$E$23*(1+Inputs!$E$24)^(BI$5-1)*1*BI10</f>
        <v>3.64651875</v>
      </c>
      <c r="BJ13" s="118" t="n">
        <f aca="false">BJ8*Inputs!$E$23*(1+Inputs!$E$24)^(BJ$5-1)*1*BJ10</f>
        <v>3.64651875</v>
      </c>
    </row>
    <row r="14" customFormat="false" ht="15" hidden="false" customHeight="false" outlineLevel="0" collapsed="false">
      <c r="A14" s="4" t="s">
        <v>418</v>
      </c>
      <c r="C14" s="119" t="n">
        <f aca="false">C12+C13</f>
        <v>15</v>
      </c>
      <c r="D14" s="119" t="n">
        <f aca="false">D12+D13</f>
        <v>15.25</v>
      </c>
      <c r="E14" s="119" t="n">
        <f aca="false">E12+E13</f>
        <v>21.5</v>
      </c>
      <c r="F14" s="119" t="n">
        <f aca="false">F12+F13</f>
        <v>21.75</v>
      </c>
      <c r="G14" s="119" t="n">
        <f aca="false">G12+G13</f>
        <v>22</v>
      </c>
      <c r="H14" s="119" t="n">
        <f aca="false">H12+H13</f>
        <v>22.25</v>
      </c>
      <c r="I14" s="119" t="n">
        <f aca="false">I12+I13</f>
        <v>22.5</v>
      </c>
      <c r="J14" s="119" t="n">
        <f aca="false">J12+J13</f>
        <v>22.5</v>
      </c>
      <c r="K14" s="119" t="n">
        <f aca="false">K12+K13</f>
        <v>22.5</v>
      </c>
      <c r="L14" s="119" t="n">
        <f aca="false">L12+L13</f>
        <v>22.5</v>
      </c>
      <c r="M14" s="119" t="n">
        <f aca="false">M12+M13</f>
        <v>22.5</v>
      </c>
      <c r="N14" s="119" t="n">
        <f aca="false">N12+N13</f>
        <v>16.5</v>
      </c>
      <c r="O14" s="119" t="n">
        <f aca="false">O12+O13</f>
        <v>16.65</v>
      </c>
      <c r="P14" s="119" t="n">
        <f aca="false">P12+P13</f>
        <v>16.65</v>
      </c>
      <c r="Q14" s="119" t="n">
        <f aca="false">Q12+Q13</f>
        <v>22.65</v>
      </c>
      <c r="R14" s="119" t="n">
        <f aca="false">R12+R13</f>
        <v>22.65</v>
      </c>
      <c r="S14" s="119" t="n">
        <f aca="false">S12+S13</f>
        <v>22.65</v>
      </c>
      <c r="T14" s="119" t="n">
        <f aca="false">T12+T13</f>
        <v>22.65</v>
      </c>
      <c r="U14" s="119" t="n">
        <f aca="false">U12+U13</f>
        <v>22.65</v>
      </c>
      <c r="V14" s="119" t="n">
        <f aca="false">V12+V13</f>
        <v>22.65</v>
      </c>
      <c r="W14" s="119" t="n">
        <f aca="false">W12+W13</f>
        <v>22.65</v>
      </c>
      <c r="X14" s="119" t="n">
        <f aca="false">X12+X13</f>
        <v>22.65</v>
      </c>
      <c r="Y14" s="119" t="n">
        <f aca="false">Y12+Y13</f>
        <v>22.65</v>
      </c>
      <c r="Z14" s="119" t="n">
        <f aca="false">Z12+Z13</f>
        <v>16.65</v>
      </c>
      <c r="AA14" s="119" t="n">
        <f aca="false">AA12+AA13</f>
        <v>16.8075</v>
      </c>
      <c r="AB14" s="119" t="n">
        <f aca="false">AB12+AB13</f>
        <v>16.8075</v>
      </c>
      <c r="AC14" s="119" t="n">
        <f aca="false">AC12+AC13</f>
        <v>22.8075</v>
      </c>
      <c r="AD14" s="119" t="n">
        <f aca="false">AD12+AD13</f>
        <v>22.8075</v>
      </c>
      <c r="AE14" s="119" t="n">
        <f aca="false">AE12+AE13</f>
        <v>22.8075</v>
      </c>
      <c r="AF14" s="119" t="n">
        <f aca="false">AF12+AF13</f>
        <v>22.8075</v>
      </c>
      <c r="AG14" s="119" t="n">
        <f aca="false">AG12+AG13</f>
        <v>22.8075</v>
      </c>
      <c r="AH14" s="119" t="n">
        <f aca="false">AH12+AH13</f>
        <v>22.8075</v>
      </c>
      <c r="AI14" s="119" t="n">
        <f aca="false">AI12+AI13</f>
        <v>22.8075</v>
      </c>
      <c r="AJ14" s="119" t="n">
        <f aca="false">AJ12+AJ13</f>
        <v>22.8075</v>
      </c>
      <c r="AK14" s="119" t="n">
        <f aca="false">AK12+AK13</f>
        <v>22.8075</v>
      </c>
      <c r="AL14" s="119" t="n">
        <f aca="false">AL12+AL13</f>
        <v>16.8075</v>
      </c>
      <c r="AM14" s="119" t="n">
        <f aca="false">AM12+AM13</f>
        <v>16.972875</v>
      </c>
      <c r="AN14" s="119" t="n">
        <f aca="false">AN12+AN13</f>
        <v>16.972875</v>
      </c>
      <c r="AO14" s="119" t="n">
        <f aca="false">AO12+AO13</f>
        <v>22.972875</v>
      </c>
      <c r="AP14" s="119" t="n">
        <f aca="false">AP12+AP13</f>
        <v>22.972875</v>
      </c>
      <c r="AQ14" s="119" t="n">
        <f aca="false">AQ12+AQ13</f>
        <v>22.972875</v>
      </c>
      <c r="AR14" s="119" t="n">
        <f aca="false">AR12+AR13</f>
        <v>22.972875</v>
      </c>
      <c r="AS14" s="119" t="n">
        <f aca="false">AS12+AS13</f>
        <v>22.972875</v>
      </c>
      <c r="AT14" s="119" t="n">
        <f aca="false">AT12+AT13</f>
        <v>22.972875</v>
      </c>
      <c r="AU14" s="119" t="n">
        <f aca="false">AU12+AU13</f>
        <v>22.972875</v>
      </c>
      <c r="AV14" s="119" t="n">
        <f aca="false">AV12+AV13</f>
        <v>22.972875</v>
      </c>
      <c r="AW14" s="119" t="n">
        <f aca="false">AW12+AW13</f>
        <v>22.972875</v>
      </c>
      <c r="AX14" s="119" t="n">
        <f aca="false">AX12+AX13</f>
        <v>16.972875</v>
      </c>
      <c r="AY14" s="119" t="n">
        <f aca="false">AY12+AY13</f>
        <v>17.14651875</v>
      </c>
      <c r="AZ14" s="119" t="n">
        <f aca="false">AZ12+AZ13</f>
        <v>17.14651875</v>
      </c>
      <c r="BA14" s="119" t="n">
        <f aca="false">BA12+BA13</f>
        <v>23.14651875</v>
      </c>
      <c r="BB14" s="119" t="n">
        <f aca="false">BB12+BB13</f>
        <v>23.14651875</v>
      </c>
      <c r="BC14" s="119" t="n">
        <f aca="false">BC12+BC13</f>
        <v>23.14651875</v>
      </c>
      <c r="BD14" s="119" t="n">
        <f aca="false">BD12+BD13</f>
        <v>23.14651875</v>
      </c>
      <c r="BE14" s="119" t="n">
        <f aca="false">BE12+BE13</f>
        <v>23.14651875</v>
      </c>
      <c r="BF14" s="119" t="n">
        <f aca="false">BF12+BF13</f>
        <v>23.14651875</v>
      </c>
      <c r="BG14" s="119" t="n">
        <f aca="false">BG12+BG13</f>
        <v>23.14651875</v>
      </c>
      <c r="BH14" s="119" t="n">
        <f aca="false">BH12+BH13</f>
        <v>23.14651875</v>
      </c>
      <c r="BI14" s="119" t="n">
        <f aca="false">BI12+BI13</f>
        <v>23.14651875</v>
      </c>
      <c r="BJ14" s="119" t="n">
        <f aca="false">BJ12+BJ13</f>
        <v>17.14651875</v>
      </c>
    </row>
    <row r="15" customFormat="false" ht="15" hidden="false" customHeight="false" outlineLevel="0" collapsed="false">
      <c r="A15" s="6" t="s">
        <v>419</v>
      </c>
      <c r="C15" s="116" t="n">
        <f aca="false">C12*Inputs!$E$17*(1+Inputs!$E$18)^(C$5-1)*C10</f>
        <v>594</v>
      </c>
      <c r="D15" s="116" t="n">
        <f aca="false">D12*Inputs!$E$17*(1+Inputs!$E$18)^(D$5-1)*D10</f>
        <v>693</v>
      </c>
      <c r="E15" s="116" t="n">
        <f aca="false">E12*Inputs!$E$17*(1+Inputs!$E$18)^(E$5-1)*E10</f>
        <v>1144</v>
      </c>
      <c r="F15" s="116" t="n">
        <f aca="false">F12*Inputs!$E$17*(1+Inputs!$E$18)^(F$5-1)*F10</f>
        <v>1287</v>
      </c>
      <c r="G15" s="116" t="n">
        <f aca="false">G12*Inputs!$E$17*(1+Inputs!$E$18)^(G$5-1)*G10</f>
        <v>1430</v>
      </c>
      <c r="H15" s="116" t="n">
        <f aca="false">H12*Inputs!$E$17*(1+Inputs!$E$18)^(H$5-1)*H10</f>
        <v>1573</v>
      </c>
      <c r="I15" s="116" t="n">
        <f aca="false">I12*Inputs!$E$17*(1+Inputs!$E$18)^(I$5-1)*I10</f>
        <v>1716</v>
      </c>
      <c r="J15" s="116" t="n">
        <f aca="false">J12*Inputs!$E$17*(1+Inputs!$E$18)^(J$5-1)*J10</f>
        <v>1716</v>
      </c>
      <c r="K15" s="116" t="n">
        <f aca="false">K12*Inputs!$E$17*(1+Inputs!$E$18)^(K$5-1)*K10</f>
        <v>1716</v>
      </c>
      <c r="L15" s="116" t="n">
        <f aca="false">L12*Inputs!$E$17*(1+Inputs!$E$18)^(L$5-1)*L10</f>
        <v>1716</v>
      </c>
      <c r="M15" s="116" t="n">
        <f aca="false">M12*Inputs!$E$17*(1+Inputs!$E$18)^(M$5-1)*M10</f>
        <v>1716</v>
      </c>
      <c r="N15" s="116" t="n">
        <f aca="false">N12*Inputs!$E$17*(1+Inputs!$E$18)^(N$5-1)*N10</f>
        <v>1188</v>
      </c>
      <c r="O15" s="116" t="n">
        <f aca="false">O12*Inputs!$E$17*(1+Inputs!$E$18)^(O$5-1)*O10</f>
        <v>1223.64</v>
      </c>
      <c r="P15" s="116" t="n">
        <f aca="false">P12*Inputs!$E$17*(1+Inputs!$E$18)^(P$5-1)*P10</f>
        <v>1223.64</v>
      </c>
      <c r="Q15" s="116" t="n">
        <f aca="false">Q12*Inputs!$E$17*(1+Inputs!$E$18)^(Q$5-1)*Q10</f>
        <v>1767.48</v>
      </c>
      <c r="R15" s="116" t="n">
        <f aca="false">R12*Inputs!$E$17*(1+Inputs!$E$18)^(R$5-1)*R10</f>
        <v>1767.48</v>
      </c>
      <c r="S15" s="116" t="n">
        <f aca="false">S12*Inputs!$E$17*(1+Inputs!$E$18)^(S$5-1)*S10</f>
        <v>1767.48</v>
      </c>
      <c r="T15" s="116" t="n">
        <f aca="false">T12*Inputs!$E$17*(1+Inputs!$E$18)^(T$5-1)*T10</f>
        <v>1767.48</v>
      </c>
      <c r="U15" s="116" t="n">
        <f aca="false">U12*Inputs!$E$17*(1+Inputs!$E$18)^(U$5-1)*U10</f>
        <v>1767.48</v>
      </c>
      <c r="V15" s="116" t="n">
        <f aca="false">V12*Inputs!$E$17*(1+Inputs!$E$18)^(V$5-1)*V10</f>
        <v>1767.48</v>
      </c>
      <c r="W15" s="116" t="n">
        <f aca="false">W12*Inputs!$E$17*(1+Inputs!$E$18)^(W$5-1)*W10</f>
        <v>1767.48</v>
      </c>
      <c r="X15" s="116" t="n">
        <f aca="false">X12*Inputs!$E$17*(1+Inputs!$E$18)^(X$5-1)*X10</f>
        <v>1767.48</v>
      </c>
      <c r="Y15" s="116" t="n">
        <f aca="false">Y12*Inputs!$E$17*(1+Inputs!$E$18)^(Y$5-1)*Y10</f>
        <v>1767.48</v>
      </c>
      <c r="Z15" s="116" t="n">
        <f aca="false">Z12*Inputs!$E$17*(1+Inputs!$E$18)^(Z$5-1)*Z10</f>
        <v>1223.64</v>
      </c>
      <c r="AA15" s="116" t="n">
        <f aca="false">AA12*Inputs!$E$17*(1+Inputs!$E$18)^(AA$5-1)*AA10</f>
        <v>1260.3492</v>
      </c>
      <c r="AB15" s="116" t="n">
        <f aca="false">AB12*Inputs!$E$17*(1+Inputs!$E$18)^(AB$5-1)*AB10</f>
        <v>1260.3492</v>
      </c>
      <c r="AC15" s="116" t="n">
        <f aca="false">AC12*Inputs!$E$17*(1+Inputs!$E$18)^(AC$5-1)*AC10</f>
        <v>1820.5044</v>
      </c>
      <c r="AD15" s="116" t="n">
        <f aca="false">AD12*Inputs!$E$17*(1+Inputs!$E$18)^(AD$5-1)*AD10</f>
        <v>1820.5044</v>
      </c>
      <c r="AE15" s="116" t="n">
        <f aca="false">AE12*Inputs!$E$17*(1+Inputs!$E$18)^(AE$5-1)*AE10</f>
        <v>1820.5044</v>
      </c>
      <c r="AF15" s="116" t="n">
        <f aca="false">AF12*Inputs!$E$17*(1+Inputs!$E$18)^(AF$5-1)*AF10</f>
        <v>1820.5044</v>
      </c>
      <c r="AG15" s="116" t="n">
        <f aca="false">AG12*Inputs!$E$17*(1+Inputs!$E$18)^(AG$5-1)*AG10</f>
        <v>1820.5044</v>
      </c>
      <c r="AH15" s="116" t="n">
        <f aca="false">AH12*Inputs!$E$17*(1+Inputs!$E$18)^(AH$5-1)*AH10</f>
        <v>1820.5044</v>
      </c>
      <c r="AI15" s="116" t="n">
        <f aca="false">AI12*Inputs!$E$17*(1+Inputs!$E$18)^(AI$5-1)*AI10</f>
        <v>1820.5044</v>
      </c>
      <c r="AJ15" s="116" t="n">
        <f aca="false">AJ12*Inputs!$E$17*(1+Inputs!$E$18)^(AJ$5-1)*AJ10</f>
        <v>1820.5044</v>
      </c>
      <c r="AK15" s="116" t="n">
        <f aca="false">AK12*Inputs!$E$17*(1+Inputs!$E$18)^(AK$5-1)*AK10</f>
        <v>1820.5044</v>
      </c>
      <c r="AL15" s="116" t="n">
        <f aca="false">AL12*Inputs!$E$17*(1+Inputs!$E$18)^(AL$5-1)*AL10</f>
        <v>1260.3492</v>
      </c>
      <c r="AM15" s="116" t="n">
        <f aca="false">AM12*Inputs!$E$17*(1+Inputs!$E$18)^(AM$5-1)*AM10</f>
        <v>1298.159676</v>
      </c>
      <c r="AN15" s="116" t="n">
        <f aca="false">AN12*Inputs!$E$17*(1+Inputs!$E$18)^(AN$5-1)*AN10</f>
        <v>1298.159676</v>
      </c>
      <c r="AO15" s="116" t="n">
        <f aca="false">AO12*Inputs!$E$17*(1+Inputs!$E$18)^(AO$5-1)*AO10</f>
        <v>1875.119532</v>
      </c>
      <c r="AP15" s="116" t="n">
        <f aca="false">AP12*Inputs!$E$17*(1+Inputs!$E$18)^(AP$5-1)*AP10</f>
        <v>1875.119532</v>
      </c>
      <c r="AQ15" s="116" t="n">
        <f aca="false">AQ12*Inputs!$E$17*(1+Inputs!$E$18)^(AQ$5-1)*AQ10</f>
        <v>1875.119532</v>
      </c>
      <c r="AR15" s="116" t="n">
        <f aca="false">AR12*Inputs!$E$17*(1+Inputs!$E$18)^(AR$5-1)*AR10</f>
        <v>1875.119532</v>
      </c>
      <c r="AS15" s="116" t="n">
        <f aca="false">AS12*Inputs!$E$17*(1+Inputs!$E$18)^(AS$5-1)*AS10</f>
        <v>1875.119532</v>
      </c>
      <c r="AT15" s="116" t="n">
        <f aca="false">AT12*Inputs!$E$17*(1+Inputs!$E$18)^(AT$5-1)*AT10</f>
        <v>1875.119532</v>
      </c>
      <c r="AU15" s="116" t="n">
        <f aca="false">AU12*Inputs!$E$17*(1+Inputs!$E$18)^(AU$5-1)*AU10</f>
        <v>1875.119532</v>
      </c>
      <c r="AV15" s="116" t="n">
        <f aca="false">AV12*Inputs!$E$17*(1+Inputs!$E$18)^(AV$5-1)*AV10</f>
        <v>1875.119532</v>
      </c>
      <c r="AW15" s="116" t="n">
        <f aca="false">AW12*Inputs!$E$17*(1+Inputs!$E$18)^(AW$5-1)*AW10</f>
        <v>1875.119532</v>
      </c>
      <c r="AX15" s="116" t="n">
        <f aca="false">AX12*Inputs!$E$17*(1+Inputs!$E$18)^(AX$5-1)*AX10</f>
        <v>1298.159676</v>
      </c>
      <c r="AY15" s="116" t="n">
        <f aca="false">AY12*Inputs!$E$17*(1+Inputs!$E$18)^(AY$5-1)*AY10</f>
        <v>1337.10446628</v>
      </c>
      <c r="AZ15" s="116" t="n">
        <f aca="false">AZ12*Inputs!$E$17*(1+Inputs!$E$18)^(AZ$5-1)*AZ10</f>
        <v>1337.10446628</v>
      </c>
      <c r="BA15" s="116" t="n">
        <f aca="false">BA12*Inputs!$E$17*(1+Inputs!$E$18)^(BA$5-1)*BA10</f>
        <v>1931.37311796</v>
      </c>
      <c r="BB15" s="116" t="n">
        <f aca="false">BB12*Inputs!$E$17*(1+Inputs!$E$18)^(BB$5-1)*BB10</f>
        <v>1931.37311796</v>
      </c>
      <c r="BC15" s="116" t="n">
        <f aca="false">BC12*Inputs!$E$17*(1+Inputs!$E$18)^(BC$5-1)*BC10</f>
        <v>1931.37311796</v>
      </c>
      <c r="BD15" s="116" t="n">
        <f aca="false">BD12*Inputs!$E$17*(1+Inputs!$E$18)^(BD$5-1)*BD10</f>
        <v>1931.37311796</v>
      </c>
      <c r="BE15" s="116" t="n">
        <f aca="false">BE12*Inputs!$E$17*(1+Inputs!$E$18)^(BE$5-1)*BE10</f>
        <v>1931.37311796</v>
      </c>
      <c r="BF15" s="116" t="n">
        <f aca="false">BF12*Inputs!$E$17*(1+Inputs!$E$18)^(BF$5-1)*BF10</f>
        <v>1931.37311796</v>
      </c>
      <c r="BG15" s="116" t="n">
        <f aca="false">BG12*Inputs!$E$17*(1+Inputs!$E$18)^(BG$5-1)*BG10</f>
        <v>1931.37311796</v>
      </c>
      <c r="BH15" s="116" t="n">
        <f aca="false">BH12*Inputs!$E$17*(1+Inputs!$E$18)^(BH$5-1)*BH10</f>
        <v>1931.37311796</v>
      </c>
      <c r="BI15" s="116" t="n">
        <f aca="false">BI12*Inputs!$E$17*(1+Inputs!$E$18)^(BI$5-1)*BI10</f>
        <v>1931.37311796</v>
      </c>
      <c r="BJ15" s="116" t="n">
        <f aca="false">BJ12*Inputs!$E$17*(1+Inputs!$E$18)^(BJ$5-1)*BJ10</f>
        <v>1337.10446628</v>
      </c>
    </row>
    <row r="16" customFormat="false" ht="15" hidden="false" customHeight="false" outlineLevel="0" collapsed="false">
      <c r="A16" s="6" t="s">
        <v>420</v>
      </c>
      <c r="C16" s="116" t="n">
        <f aca="false">C13*Inputs!$E$26</f>
        <v>150</v>
      </c>
      <c r="D16" s="116" t="n">
        <f aca="false">D13*Inputs!$E$26</f>
        <v>175</v>
      </c>
      <c r="E16" s="116" t="n">
        <f aca="false">E13*Inputs!$E$26</f>
        <v>200</v>
      </c>
      <c r="F16" s="116" t="n">
        <f aca="false">F13*Inputs!$E$26</f>
        <v>225</v>
      </c>
      <c r="G16" s="116" t="n">
        <f aca="false">G13*Inputs!$E$26</f>
        <v>250</v>
      </c>
      <c r="H16" s="116" t="n">
        <f aca="false">H13*Inputs!$E$26</f>
        <v>275</v>
      </c>
      <c r="I16" s="116" t="n">
        <f aca="false">I13*Inputs!$E$26</f>
        <v>300</v>
      </c>
      <c r="J16" s="116" t="n">
        <f aca="false">J13*Inputs!$E$26</f>
        <v>300</v>
      </c>
      <c r="K16" s="116" t="n">
        <f aca="false">K13*Inputs!$E$26</f>
        <v>300</v>
      </c>
      <c r="L16" s="116" t="n">
        <f aca="false">L13*Inputs!$E$26</f>
        <v>300</v>
      </c>
      <c r="M16" s="116" t="n">
        <f aca="false">M13*Inputs!$E$26</f>
        <v>300</v>
      </c>
      <c r="N16" s="116" t="n">
        <f aca="false">N13*Inputs!$E$26</f>
        <v>300</v>
      </c>
      <c r="O16" s="116" t="n">
        <f aca="false">O13*Inputs!$E$26</f>
        <v>315</v>
      </c>
      <c r="P16" s="116" t="n">
        <f aca="false">P13*Inputs!$E$26</f>
        <v>315</v>
      </c>
      <c r="Q16" s="116" t="n">
        <f aca="false">Q13*Inputs!$E$26</f>
        <v>315</v>
      </c>
      <c r="R16" s="116" t="n">
        <f aca="false">R13*Inputs!$E$26</f>
        <v>315</v>
      </c>
      <c r="S16" s="116" t="n">
        <f aca="false">S13*Inputs!$E$26</f>
        <v>315</v>
      </c>
      <c r="T16" s="116" t="n">
        <f aca="false">T13*Inputs!$E$26</f>
        <v>315</v>
      </c>
      <c r="U16" s="116" t="n">
        <f aca="false">U13*Inputs!$E$26</f>
        <v>315</v>
      </c>
      <c r="V16" s="116" t="n">
        <f aca="false">V13*Inputs!$E$26</f>
        <v>315</v>
      </c>
      <c r="W16" s="116" t="n">
        <f aca="false">W13*Inputs!$E$26</f>
        <v>315</v>
      </c>
      <c r="X16" s="116" t="n">
        <f aca="false">X13*Inputs!$E$26</f>
        <v>315</v>
      </c>
      <c r="Y16" s="116" t="n">
        <f aca="false">Y13*Inputs!$E$26</f>
        <v>315</v>
      </c>
      <c r="Z16" s="116" t="n">
        <f aca="false">Z13*Inputs!$E$26</f>
        <v>315</v>
      </c>
      <c r="AA16" s="116" t="n">
        <f aca="false">AA13*Inputs!$E$26</f>
        <v>330.75</v>
      </c>
      <c r="AB16" s="116" t="n">
        <f aca="false">AB13*Inputs!$E$26</f>
        <v>330.75</v>
      </c>
      <c r="AC16" s="116" t="n">
        <f aca="false">AC13*Inputs!$E$26</f>
        <v>330.75</v>
      </c>
      <c r="AD16" s="116" t="n">
        <f aca="false">AD13*Inputs!$E$26</f>
        <v>330.75</v>
      </c>
      <c r="AE16" s="116" t="n">
        <f aca="false">AE13*Inputs!$E$26</f>
        <v>330.75</v>
      </c>
      <c r="AF16" s="116" t="n">
        <f aca="false">AF13*Inputs!$E$26</f>
        <v>330.75</v>
      </c>
      <c r="AG16" s="116" t="n">
        <f aca="false">AG13*Inputs!$E$26</f>
        <v>330.75</v>
      </c>
      <c r="AH16" s="116" t="n">
        <f aca="false">AH13*Inputs!$E$26</f>
        <v>330.75</v>
      </c>
      <c r="AI16" s="116" t="n">
        <f aca="false">AI13*Inputs!$E$26</f>
        <v>330.75</v>
      </c>
      <c r="AJ16" s="116" t="n">
        <f aca="false">AJ13*Inputs!$E$26</f>
        <v>330.75</v>
      </c>
      <c r="AK16" s="116" t="n">
        <f aca="false">AK13*Inputs!$E$26</f>
        <v>330.75</v>
      </c>
      <c r="AL16" s="116" t="n">
        <f aca="false">AL13*Inputs!$E$26</f>
        <v>330.75</v>
      </c>
      <c r="AM16" s="116" t="n">
        <f aca="false">AM13*Inputs!$E$26</f>
        <v>347.2875</v>
      </c>
      <c r="AN16" s="116" t="n">
        <f aca="false">AN13*Inputs!$E$26</f>
        <v>347.2875</v>
      </c>
      <c r="AO16" s="116" t="n">
        <f aca="false">AO13*Inputs!$E$26</f>
        <v>347.2875</v>
      </c>
      <c r="AP16" s="116" t="n">
        <f aca="false">AP13*Inputs!$E$26</f>
        <v>347.2875</v>
      </c>
      <c r="AQ16" s="116" t="n">
        <f aca="false">AQ13*Inputs!$E$26</f>
        <v>347.2875</v>
      </c>
      <c r="AR16" s="116" t="n">
        <f aca="false">AR13*Inputs!$E$26</f>
        <v>347.2875</v>
      </c>
      <c r="AS16" s="116" t="n">
        <f aca="false">AS13*Inputs!$E$26</f>
        <v>347.2875</v>
      </c>
      <c r="AT16" s="116" t="n">
        <f aca="false">AT13*Inputs!$E$26</f>
        <v>347.2875</v>
      </c>
      <c r="AU16" s="116" t="n">
        <f aca="false">AU13*Inputs!$E$26</f>
        <v>347.2875</v>
      </c>
      <c r="AV16" s="116" t="n">
        <f aca="false">AV13*Inputs!$E$26</f>
        <v>347.2875</v>
      </c>
      <c r="AW16" s="116" t="n">
        <f aca="false">AW13*Inputs!$E$26</f>
        <v>347.2875</v>
      </c>
      <c r="AX16" s="116" t="n">
        <f aca="false">AX13*Inputs!$E$26</f>
        <v>347.2875</v>
      </c>
      <c r="AY16" s="116" t="n">
        <f aca="false">AY13*Inputs!$E$26</f>
        <v>364.651875</v>
      </c>
      <c r="AZ16" s="116" t="n">
        <f aca="false">AZ13*Inputs!$E$26</f>
        <v>364.651875</v>
      </c>
      <c r="BA16" s="116" t="n">
        <f aca="false">BA13*Inputs!$E$26</f>
        <v>364.651875</v>
      </c>
      <c r="BB16" s="116" t="n">
        <f aca="false">BB13*Inputs!$E$26</f>
        <v>364.651875</v>
      </c>
      <c r="BC16" s="116" t="n">
        <f aca="false">BC13*Inputs!$E$26</f>
        <v>364.651875</v>
      </c>
      <c r="BD16" s="116" t="n">
        <f aca="false">BD13*Inputs!$E$26</f>
        <v>364.651875</v>
      </c>
      <c r="BE16" s="116" t="n">
        <f aca="false">BE13*Inputs!$E$26</f>
        <v>364.651875</v>
      </c>
      <c r="BF16" s="116" t="n">
        <f aca="false">BF13*Inputs!$E$26</f>
        <v>364.651875</v>
      </c>
      <c r="BG16" s="116" t="n">
        <f aca="false">BG13*Inputs!$E$26</f>
        <v>364.651875</v>
      </c>
      <c r="BH16" s="116" t="n">
        <f aca="false">BH13*Inputs!$E$26</f>
        <v>364.651875</v>
      </c>
      <c r="BI16" s="116" t="n">
        <f aca="false">BI13*Inputs!$E$26</f>
        <v>364.651875</v>
      </c>
      <c r="BJ16" s="116" t="n">
        <f aca="false">BJ13*Inputs!$E$26</f>
        <v>364.651875</v>
      </c>
    </row>
    <row r="17" customFormat="false" ht="15" hidden="false" customHeight="false" outlineLevel="0" collapsed="false">
      <c r="A17" s="4" t="s">
        <v>421</v>
      </c>
      <c r="C17" s="120" t="n">
        <f aca="false">C15+C16</f>
        <v>744</v>
      </c>
      <c r="D17" s="120" t="n">
        <f aca="false">D15+D16</f>
        <v>868</v>
      </c>
      <c r="E17" s="120" t="n">
        <f aca="false">E15+E16</f>
        <v>1344</v>
      </c>
      <c r="F17" s="120" t="n">
        <f aca="false">F15+F16</f>
        <v>1512</v>
      </c>
      <c r="G17" s="120" t="n">
        <f aca="false">G15+G16</f>
        <v>1680</v>
      </c>
      <c r="H17" s="120" t="n">
        <f aca="false">H15+H16</f>
        <v>1848</v>
      </c>
      <c r="I17" s="120" t="n">
        <f aca="false">I15+I16</f>
        <v>2016</v>
      </c>
      <c r="J17" s="120" t="n">
        <f aca="false">J15+J16</f>
        <v>2016</v>
      </c>
      <c r="K17" s="120" t="n">
        <f aca="false">K15+K16</f>
        <v>2016</v>
      </c>
      <c r="L17" s="120" t="n">
        <f aca="false">L15+L16</f>
        <v>2016</v>
      </c>
      <c r="M17" s="120" t="n">
        <f aca="false">M15+M16</f>
        <v>2016</v>
      </c>
      <c r="N17" s="120" t="n">
        <f aca="false">N15+N16</f>
        <v>1488</v>
      </c>
      <c r="O17" s="120" t="n">
        <f aca="false">O15+O16</f>
        <v>1538.64</v>
      </c>
      <c r="P17" s="120" t="n">
        <f aca="false">P15+P16</f>
        <v>1538.64</v>
      </c>
      <c r="Q17" s="120" t="n">
        <f aca="false">Q15+Q16</f>
        <v>2082.48</v>
      </c>
      <c r="R17" s="120" t="n">
        <f aca="false">R15+R16</f>
        <v>2082.48</v>
      </c>
      <c r="S17" s="120" t="n">
        <f aca="false">S15+S16</f>
        <v>2082.48</v>
      </c>
      <c r="T17" s="120" t="n">
        <f aca="false">T15+T16</f>
        <v>2082.48</v>
      </c>
      <c r="U17" s="120" t="n">
        <f aca="false">U15+U16</f>
        <v>2082.48</v>
      </c>
      <c r="V17" s="120" t="n">
        <f aca="false">V15+V16</f>
        <v>2082.48</v>
      </c>
      <c r="W17" s="120" t="n">
        <f aca="false">W15+W16</f>
        <v>2082.48</v>
      </c>
      <c r="X17" s="120" t="n">
        <f aca="false">X15+X16</f>
        <v>2082.48</v>
      </c>
      <c r="Y17" s="120" t="n">
        <f aca="false">Y15+Y16</f>
        <v>2082.48</v>
      </c>
      <c r="Z17" s="120" t="n">
        <f aca="false">Z15+Z16</f>
        <v>1538.64</v>
      </c>
      <c r="AA17" s="120" t="n">
        <f aca="false">AA15+AA16</f>
        <v>1591.0992</v>
      </c>
      <c r="AB17" s="120" t="n">
        <f aca="false">AB15+AB16</f>
        <v>1591.0992</v>
      </c>
      <c r="AC17" s="120" t="n">
        <f aca="false">AC15+AC16</f>
        <v>2151.2544</v>
      </c>
      <c r="AD17" s="120" t="n">
        <f aca="false">AD15+AD16</f>
        <v>2151.2544</v>
      </c>
      <c r="AE17" s="120" t="n">
        <f aca="false">AE15+AE16</f>
        <v>2151.2544</v>
      </c>
      <c r="AF17" s="120" t="n">
        <f aca="false">AF15+AF16</f>
        <v>2151.2544</v>
      </c>
      <c r="AG17" s="120" t="n">
        <f aca="false">AG15+AG16</f>
        <v>2151.2544</v>
      </c>
      <c r="AH17" s="120" t="n">
        <f aca="false">AH15+AH16</f>
        <v>2151.2544</v>
      </c>
      <c r="AI17" s="120" t="n">
        <f aca="false">AI15+AI16</f>
        <v>2151.2544</v>
      </c>
      <c r="AJ17" s="120" t="n">
        <f aca="false">AJ15+AJ16</f>
        <v>2151.2544</v>
      </c>
      <c r="AK17" s="120" t="n">
        <f aca="false">AK15+AK16</f>
        <v>2151.2544</v>
      </c>
      <c r="AL17" s="120" t="n">
        <f aca="false">AL15+AL16</f>
        <v>1591.0992</v>
      </c>
      <c r="AM17" s="120" t="n">
        <f aca="false">AM15+AM16</f>
        <v>1645.447176</v>
      </c>
      <c r="AN17" s="120" t="n">
        <f aca="false">AN15+AN16</f>
        <v>1645.447176</v>
      </c>
      <c r="AO17" s="120" t="n">
        <f aca="false">AO15+AO16</f>
        <v>2222.407032</v>
      </c>
      <c r="AP17" s="120" t="n">
        <f aca="false">AP15+AP16</f>
        <v>2222.407032</v>
      </c>
      <c r="AQ17" s="120" t="n">
        <f aca="false">AQ15+AQ16</f>
        <v>2222.407032</v>
      </c>
      <c r="AR17" s="120" t="n">
        <f aca="false">AR15+AR16</f>
        <v>2222.407032</v>
      </c>
      <c r="AS17" s="120" t="n">
        <f aca="false">AS15+AS16</f>
        <v>2222.407032</v>
      </c>
      <c r="AT17" s="120" t="n">
        <f aca="false">AT15+AT16</f>
        <v>2222.407032</v>
      </c>
      <c r="AU17" s="120" t="n">
        <f aca="false">AU15+AU16</f>
        <v>2222.407032</v>
      </c>
      <c r="AV17" s="120" t="n">
        <f aca="false">AV15+AV16</f>
        <v>2222.407032</v>
      </c>
      <c r="AW17" s="120" t="n">
        <f aca="false">AW15+AW16</f>
        <v>2222.407032</v>
      </c>
      <c r="AX17" s="120" t="n">
        <f aca="false">AX15+AX16</f>
        <v>1645.447176</v>
      </c>
      <c r="AY17" s="120" t="n">
        <f aca="false">AY15+AY16</f>
        <v>1701.75634128</v>
      </c>
      <c r="AZ17" s="120" t="n">
        <f aca="false">AZ15+AZ16</f>
        <v>1701.75634128</v>
      </c>
      <c r="BA17" s="120" t="n">
        <f aca="false">BA15+BA16</f>
        <v>2296.02499296</v>
      </c>
      <c r="BB17" s="120" t="n">
        <f aca="false">BB15+BB16</f>
        <v>2296.02499296</v>
      </c>
      <c r="BC17" s="120" t="n">
        <f aca="false">BC15+BC16</f>
        <v>2296.02499296</v>
      </c>
      <c r="BD17" s="120" t="n">
        <f aca="false">BD15+BD16</f>
        <v>2296.02499296</v>
      </c>
      <c r="BE17" s="120" t="n">
        <f aca="false">BE15+BE16</f>
        <v>2296.02499296</v>
      </c>
      <c r="BF17" s="120" t="n">
        <f aca="false">BF15+BF16</f>
        <v>2296.02499296</v>
      </c>
      <c r="BG17" s="120" t="n">
        <f aca="false">BG15+BG16</f>
        <v>2296.02499296</v>
      </c>
      <c r="BH17" s="120" t="n">
        <f aca="false">BH15+BH16</f>
        <v>2296.02499296</v>
      </c>
      <c r="BI17" s="120" t="n">
        <f aca="false">BI15+BI16</f>
        <v>2296.02499296</v>
      </c>
      <c r="BJ17" s="120" t="n">
        <f aca="false">BJ15+BJ16</f>
        <v>1701.75634128</v>
      </c>
    </row>
    <row r="19" customFormat="false" ht="15.75" hidden="false" customHeight="true" outlineLevel="0" collapsed="false">
      <c r="A19" s="7" t="s">
        <v>44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customFormat="false" ht="15" hidden="false" customHeight="false" outlineLevel="0" collapsed="false">
      <c r="A20" s="6" t="s">
        <v>422</v>
      </c>
      <c r="C20" s="121" t="n">
        <f aca="false">Inputs!$E$19*(1+Inputs!$E$20)^(C$5-1)</f>
        <v>14</v>
      </c>
      <c r="D20" s="121" t="n">
        <f aca="false">Inputs!$E$19*(1+Inputs!$E$20)^(D$5-1)</f>
        <v>14</v>
      </c>
      <c r="E20" s="121" t="n">
        <f aca="false">Inputs!$E$19*(1+Inputs!$E$20)^(E$5-1)</f>
        <v>14</v>
      </c>
      <c r="F20" s="121" t="n">
        <f aca="false">Inputs!$E$19*(1+Inputs!$E$20)^(F$5-1)</f>
        <v>14</v>
      </c>
      <c r="G20" s="121" t="n">
        <f aca="false">Inputs!$E$19*(1+Inputs!$E$20)^(G$5-1)</f>
        <v>14</v>
      </c>
      <c r="H20" s="121" t="n">
        <f aca="false">Inputs!$E$19*(1+Inputs!$E$20)^(H$5-1)</f>
        <v>14</v>
      </c>
      <c r="I20" s="121" t="n">
        <f aca="false">Inputs!$E$19*(1+Inputs!$E$20)^(I$5-1)</f>
        <v>14</v>
      </c>
      <c r="J20" s="121" t="n">
        <f aca="false">Inputs!$E$19*(1+Inputs!$E$20)^(J$5-1)</f>
        <v>14</v>
      </c>
      <c r="K20" s="121" t="n">
        <f aca="false">Inputs!$E$19*(1+Inputs!$E$20)^(K$5-1)</f>
        <v>14</v>
      </c>
      <c r="L20" s="121" t="n">
        <f aca="false">Inputs!$E$19*(1+Inputs!$E$20)^(L$5-1)</f>
        <v>14</v>
      </c>
      <c r="M20" s="121" t="n">
        <f aca="false">Inputs!$E$19*(1+Inputs!$E$20)^(M$5-1)</f>
        <v>14</v>
      </c>
      <c r="N20" s="121" t="n">
        <f aca="false">Inputs!$E$19*(1+Inputs!$E$20)^(N$5-1)</f>
        <v>14</v>
      </c>
      <c r="O20" s="121" t="n">
        <f aca="false">Inputs!$E$19*(1+Inputs!$E$20)^(O$5-1)</f>
        <v>14.42</v>
      </c>
      <c r="P20" s="121" t="n">
        <f aca="false">Inputs!$E$19*(1+Inputs!$E$20)^(P$5-1)</f>
        <v>14.42</v>
      </c>
      <c r="Q20" s="121" t="n">
        <f aca="false">Inputs!$E$19*(1+Inputs!$E$20)^(Q$5-1)</f>
        <v>14.42</v>
      </c>
      <c r="R20" s="121" t="n">
        <f aca="false">Inputs!$E$19*(1+Inputs!$E$20)^(R$5-1)</f>
        <v>14.42</v>
      </c>
      <c r="S20" s="121" t="n">
        <f aca="false">Inputs!$E$19*(1+Inputs!$E$20)^(S$5-1)</f>
        <v>14.42</v>
      </c>
      <c r="T20" s="121" t="n">
        <f aca="false">Inputs!$E$19*(1+Inputs!$E$20)^(T$5-1)</f>
        <v>14.42</v>
      </c>
      <c r="U20" s="121" t="n">
        <f aca="false">Inputs!$E$19*(1+Inputs!$E$20)^(U$5-1)</f>
        <v>14.42</v>
      </c>
      <c r="V20" s="121" t="n">
        <f aca="false">Inputs!$E$19*(1+Inputs!$E$20)^(V$5-1)</f>
        <v>14.42</v>
      </c>
      <c r="W20" s="121" t="n">
        <f aca="false">Inputs!$E$19*(1+Inputs!$E$20)^(W$5-1)</f>
        <v>14.42</v>
      </c>
      <c r="X20" s="121" t="n">
        <f aca="false">Inputs!$E$19*(1+Inputs!$E$20)^(X$5-1)</f>
        <v>14.42</v>
      </c>
      <c r="Y20" s="121" t="n">
        <f aca="false">Inputs!$E$19*(1+Inputs!$E$20)^(Y$5-1)</f>
        <v>14.42</v>
      </c>
      <c r="Z20" s="121" t="n">
        <f aca="false">Inputs!$E$19*(1+Inputs!$E$20)^(Z$5-1)</f>
        <v>14.42</v>
      </c>
      <c r="AA20" s="121" t="n">
        <f aca="false">Inputs!$E$19*(1+Inputs!$E$20)^(AA$5-1)</f>
        <v>14.8526</v>
      </c>
      <c r="AB20" s="121" t="n">
        <f aca="false">Inputs!$E$19*(1+Inputs!$E$20)^(AB$5-1)</f>
        <v>14.8526</v>
      </c>
      <c r="AC20" s="121" t="n">
        <f aca="false">Inputs!$E$19*(1+Inputs!$E$20)^(AC$5-1)</f>
        <v>14.8526</v>
      </c>
      <c r="AD20" s="121" t="n">
        <f aca="false">Inputs!$E$19*(1+Inputs!$E$20)^(AD$5-1)</f>
        <v>14.8526</v>
      </c>
      <c r="AE20" s="121" t="n">
        <f aca="false">Inputs!$E$19*(1+Inputs!$E$20)^(AE$5-1)</f>
        <v>14.8526</v>
      </c>
      <c r="AF20" s="121" t="n">
        <f aca="false">Inputs!$E$19*(1+Inputs!$E$20)^(AF$5-1)</f>
        <v>14.8526</v>
      </c>
      <c r="AG20" s="121" t="n">
        <f aca="false">Inputs!$E$19*(1+Inputs!$E$20)^(AG$5-1)</f>
        <v>14.8526</v>
      </c>
      <c r="AH20" s="121" t="n">
        <f aca="false">Inputs!$E$19*(1+Inputs!$E$20)^(AH$5-1)</f>
        <v>14.8526</v>
      </c>
      <c r="AI20" s="121" t="n">
        <f aca="false">Inputs!$E$19*(1+Inputs!$E$20)^(AI$5-1)</f>
        <v>14.8526</v>
      </c>
      <c r="AJ20" s="121" t="n">
        <f aca="false">Inputs!$E$19*(1+Inputs!$E$20)^(AJ$5-1)</f>
        <v>14.8526</v>
      </c>
      <c r="AK20" s="121" t="n">
        <f aca="false">Inputs!$E$19*(1+Inputs!$E$20)^(AK$5-1)</f>
        <v>14.8526</v>
      </c>
      <c r="AL20" s="121" t="n">
        <f aca="false">Inputs!$E$19*(1+Inputs!$E$20)^(AL$5-1)</f>
        <v>14.8526</v>
      </c>
      <c r="AM20" s="121" t="n">
        <f aca="false">Inputs!$E$19*(1+Inputs!$E$20)^(AM$5-1)</f>
        <v>15.298178</v>
      </c>
      <c r="AN20" s="121" t="n">
        <f aca="false">Inputs!$E$19*(1+Inputs!$E$20)^(AN$5-1)</f>
        <v>15.298178</v>
      </c>
      <c r="AO20" s="121" t="n">
        <f aca="false">Inputs!$E$19*(1+Inputs!$E$20)^(AO$5-1)</f>
        <v>15.298178</v>
      </c>
      <c r="AP20" s="121" t="n">
        <f aca="false">Inputs!$E$19*(1+Inputs!$E$20)^(AP$5-1)</f>
        <v>15.298178</v>
      </c>
      <c r="AQ20" s="121" t="n">
        <f aca="false">Inputs!$E$19*(1+Inputs!$E$20)^(AQ$5-1)</f>
        <v>15.298178</v>
      </c>
      <c r="AR20" s="121" t="n">
        <f aca="false">Inputs!$E$19*(1+Inputs!$E$20)^(AR$5-1)</f>
        <v>15.298178</v>
      </c>
      <c r="AS20" s="121" t="n">
        <f aca="false">Inputs!$E$19*(1+Inputs!$E$20)^(AS$5-1)</f>
        <v>15.298178</v>
      </c>
      <c r="AT20" s="121" t="n">
        <f aca="false">Inputs!$E$19*(1+Inputs!$E$20)^(AT$5-1)</f>
        <v>15.298178</v>
      </c>
      <c r="AU20" s="121" t="n">
        <f aca="false">Inputs!$E$19*(1+Inputs!$E$20)^(AU$5-1)</f>
        <v>15.298178</v>
      </c>
      <c r="AV20" s="121" t="n">
        <f aca="false">Inputs!$E$19*(1+Inputs!$E$20)^(AV$5-1)</f>
        <v>15.298178</v>
      </c>
      <c r="AW20" s="121" t="n">
        <f aca="false">Inputs!$E$19*(1+Inputs!$E$20)^(AW$5-1)</f>
        <v>15.298178</v>
      </c>
      <c r="AX20" s="121" t="n">
        <f aca="false">Inputs!$E$19*(1+Inputs!$E$20)^(AX$5-1)</f>
        <v>15.298178</v>
      </c>
      <c r="AY20" s="121" t="n">
        <f aca="false">Inputs!$E$19*(1+Inputs!$E$20)^(AY$5-1)</f>
        <v>15.75712334</v>
      </c>
      <c r="AZ20" s="121" t="n">
        <f aca="false">Inputs!$E$19*(1+Inputs!$E$20)^(AZ$5-1)</f>
        <v>15.75712334</v>
      </c>
      <c r="BA20" s="121" t="n">
        <f aca="false">Inputs!$E$19*(1+Inputs!$E$20)^(BA$5-1)</f>
        <v>15.75712334</v>
      </c>
      <c r="BB20" s="121" t="n">
        <f aca="false">Inputs!$E$19*(1+Inputs!$E$20)^(BB$5-1)</f>
        <v>15.75712334</v>
      </c>
      <c r="BC20" s="121" t="n">
        <f aca="false">Inputs!$E$19*(1+Inputs!$E$20)^(BC$5-1)</f>
        <v>15.75712334</v>
      </c>
      <c r="BD20" s="121" t="n">
        <f aca="false">Inputs!$E$19*(1+Inputs!$E$20)^(BD$5-1)</f>
        <v>15.75712334</v>
      </c>
      <c r="BE20" s="121" t="n">
        <f aca="false">Inputs!$E$19*(1+Inputs!$E$20)^(BE$5-1)</f>
        <v>15.75712334</v>
      </c>
      <c r="BF20" s="121" t="n">
        <f aca="false">Inputs!$E$19*(1+Inputs!$E$20)^(BF$5-1)</f>
        <v>15.75712334</v>
      </c>
      <c r="BG20" s="121" t="n">
        <f aca="false">Inputs!$E$19*(1+Inputs!$E$20)^(BG$5-1)</f>
        <v>15.75712334</v>
      </c>
      <c r="BH20" s="121" t="n">
        <f aca="false">Inputs!$E$19*(1+Inputs!$E$20)^(BH$5-1)</f>
        <v>15.75712334</v>
      </c>
      <c r="BI20" s="121" t="n">
        <f aca="false">Inputs!$E$19*(1+Inputs!$E$20)^(BI$5-1)</f>
        <v>15.75712334</v>
      </c>
      <c r="BJ20" s="121" t="n">
        <f aca="false">Inputs!$E$19*(1+Inputs!$E$20)^(BJ$5-1)</f>
        <v>15.75712334</v>
      </c>
    </row>
    <row r="21" customFormat="false" ht="15" hidden="false" customHeight="false" outlineLevel="0" collapsed="false">
      <c r="A21" s="6" t="s">
        <v>423</v>
      </c>
      <c r="C21" s="67" t="n">
        <f aca="false">Inputs!$E$25*(1+Inputs!$E$20)^(C$5-1)</f>
        <v>1400</v>
      </c>
      <c r="D21" s="67" t="n">
        <f aca="false">Inputs!$E$25*(1+Inputs!$E$20)^(D$5-1)</f>
        <v>1400</v>
      </c>
      <c r="E21" s="67" t="n">
        <f aca="false">Inputs!$E$25*(1+Inputs!$E$20)^(E$5-1)</f>
        <v>1400</v>
      </c>
      <c r="F21" s="67" t="n">
        <f aca="false">Inputs!$E$25*(1+Inputs!$E$20)^(F$5-1)</f>
        <v>1400</v>
      </c>
      <c r="G21" s="67" t="n">
        <f aca="false">Inputs!$E$25*(1+Inputs!$E$20)^(G$5-1)</f>
        <v>1400</v>
      </c>
      <c r="H21" s="67" t="n">
        <f aca="false">Inputs!$E$25*(1+Inputs!$E$20)^(H$5-1)</f>
        <v>1400</v>
      </c>
      <c r="I21" s="67" t="n">
        <f aca="false">Inputs!$E$25*(1+Inputs!$E$20)^(I$5-1)</f>
        <v>1400</v>
      </c>
      <c r="J21" s="67" t="n">
        <f aca="false">Inputs!$E$25*(1+Inputs!$E$20)^(J$5-1)</f>
        <v>1400</v>
      </c>
      <c r="K21" s="67" t="n">
        <f aca="false">Inputs!$E$25*(1+Inputs!$E$20)^(K$5-1)</f>
        <v>1400</v>
      </c>
      <c r="L21" s="67" t="n">
        <f aca="false">Inputs!$E$25*(1+Inputs!$E$20)^(L$5-1)</f>
        <v>1400</v>
      </c>
      <c r="M21" s="67" t="n">
        <f aca="false">Inputs!$E$25*(1+Inputs!$E$20)^(M$5-1)</f>
        <v>1400</v>
      </c>
      <c r="N21" s="67" t="n">
        <f aca="false">Inputs!$E$25*(1+Inputs!$E$20)^(N$5-1)</f>
        <v>1400</v>
      </c>
      <c r="O21" s="67" t="n">
        <f aca="false">Inputs!$E$25*(1+Inputs!$E$20)^(O$5-1)</f>
        <v>1442</v>
      </c>
      <c r="P21" s="67" t="n">
        <f aca="false">Inputs!$E$25*(1+Inputs!$E$20)^(P$5-1)</f>
        <v>1442</v>
      </c>
      <c r="Q21" s="67" t="n">
        <f aca="false">Inputs!$E$25*(1+Inputs!$E$20)^(Q$5-1)</f>
        <v>1442</v>
      </c>
      <c r="R21" s="67" t="n">
        <f aca="false">Inputs!$E$25*(1+Inputs!$E$20)^(R$5-1)</f>
        <v>1442</v>
      </c>
      <c r="S21" s="67" t="n">
        <f aca="false">Inputs!$E$25*(1+Inputs!$E$20)^(S$5-1)</f>
        <v>1442</v>
      </c>
      <c r="T21" s="67" t="n">
        <f aca="false">Inputs!$E$25*(1+Inputs!$E$20)^(T$5-1)</f>
        <v>1442</v>
      </c>
      <c r="U21" s="67" t="n">
        <f aca="false">Inputs!$E$25*(1+Inputs!$E$20)^(U$5-1)</f>
        <v>1442</v>
      </c>
      <c r="V21" s="67" t="n">
        <f aca="false">Inputs!$E$25*(1+Inputs!$E$20)^(V$5-1)</f>
        <v>1442</v>
      </c>
      <c r="W21" s="67" t="n">
        <f aca="false">Inputs!$E$25*(1+Inputs!$E$20)^(W$5-1)</f>
        <v>1442</v>
      </c>
      <c r="X21" s="67" t="n">
        <f aca="false">Inputs!$E$25*(1+Inputs!$E$20)^(X$5-1)</f>
        <v>1442</v>
      </c>
      <c r="Y21" s="67" t="n">
        <f aca="false">Inputs!$E$25*(1+Inputs!$E$20)^(Y$5-1)</f>
        <v>1442</v>
      </c>
      <c r="Z21" s="67" t="n">
        <f aca="false">Inputs!$E$25*(1+Inputs!$E$20)^(Z$5-1)</f>
        <v>1442</v>
      </c>
      <c r="AA21" s="67" t="n">
        <f aca="false">Inputs!$E$25*(1+Inputs!$E$20)^(AA$5-1)</f>
        <v>1485.26</v>
      </c>
      <c r="AB21" s="67" t="n">
        <f aca="false">Inputs!$E$25*(1+Inputs!$E$20)^(AB$5-1)</f>
        <v>1485.26</v>
      </c>
      <c r="AC21" s="67" t="n">
        <f aca="false">Inputs!$E$25*(1+Inputs!$E$20)^(AC$5-1)</f>
        <v>1485.26</v>
      </c>
      <c r="AD21" s="67" t="n">
        <f aca="false">Inputs!$E$25*(1+Inputs!$E$20)^(AD$5-1)</f>
        <v>1485.26</v>
      </c>
      <c r="AE21" s="67" t="n">
        <f aca="false">Inputs!$E$25*(1+Inputs!$E$20)^(AE$5-1)</f>
        <v>1485.26</v>
      </c>
      <c r="AF21" s="67" t="n">
        <f aca="false">Inputs!$E$25*(1+Inputs!$E$20)^(AF$5-1)</f>
        <v>1485.26</v>
      </c>
      <c r="AG21" s="67" t="n">
        <f aca="false">Inputs!$E$25*(1+Inputs!$E$20)^(AG$5-1)</f>
        <v>1485.26</v>
      </c>
      <c r="AH21" s="67" t="n">
        <f aca="false">Inputs!$E$25*(1+Inputs!$E$20)^(AH$5-1)</f>
        <v>1485.26</v>
      </c>
      <c r="AI21" s="67" t="n">
        <f aca="false">Inputs!$E$25*(1+Inputs!$E$20)^(AI$5-1)</f>
        <v>1485.26</v>
      </c>
      <c r="AJ21" s="67" t="n">
        <f aca="false">Inputs!$E$25*(1+Inputs!$E$20)^(AJ$5-1)</f>
        <v>1485.26</v>
      </c>
      <c r="AK21" s="67" t="n">
        <f aca="false">Inputs!$E$25*(1+Inputs!$E$20)^(AK$5-1)</f>
        <v>1485.26</v>
      </c>
      <c r="AL21" s="67" t="n">
        <f aca="false">Inputs!$E$25*(1+Inputs!$E$20)^(AL$5-1)</f>
        <v>1485.26</v>
      </c>
      <c r="AM21" s="67" t="n">
        <f aca="false">Inputs!$E$25*(1+Inputs!$E$20)^(AM$5-1)</f>
        <v>1529.8178</v>
      </c>
      <c r="AN21" s="67" t="n">
        <f aca="false">Inputs!$E$25*(1+Inputs!$E$20)^(AN$5-1)</f>
        <v>1529.8178</v>
      </c>
      <c r="AO21" s="67" t="n">
        <f aca="false">Inputs!$E$25*(1+Inputs!$E$20)^(AO$5-1)</f>
        <v>1529.8178</v>
      </c>
      <c r="AP21" s="67" t="n">
        <f aca="false">Inputs!$E$25*(1+Inputs!$E$20)^(AP$5-1)</f>
        <v>1529.8178</v>
      </c>
      <c r="AQ21" s="67" t="n">
        <f aca="false">Inputs!$E$25*(1+Inputs!$E$20)^(AQ$5-1)</f>
        <v>1529.8178</v>
      </c>
      <c r="AR21" s="67" t="n">
        <f aca="false">Inputs!$E$25*(1+Inputs!$E$20)^(AR$5-1)</f>
        <v>1529.8178</v>
      </c>
      <c r="AS21" s="67" t="n">
        <f aca="false">Inputs!$E$25*(1+Inputs!$E$20)^(AS$5-1)</f>
        <v>1529.8178</v>
      </c>
      <c r="AT21" s="67" t="n">
        <f aca="false">Inputs!$E$25*(1+Inputs!$E$20)^(AT$5-1)</f>
        <v>1529.8178</v>
      </c>
      <c r="AU21" s="67" t="n">
        <f aca="false">Inputs!$E$25*(1+Inputs!$E$20)^(AU$5-1)</f>
        <v>1529.8178</v>
      </c>
      <c r="AV21" s="67" t="n">
        <f aca="false">Inputs!$E$25*(1+Inputs!$E$20)^(AV$5-1)</f>
        <v>1529.8178</v>
      </c>
      <c r="AW21" s="67" t="n">
        <f aca="false">Inputs!$E$25*(1+Inputs!$E$20)^(AW$5-1)</f>
        <v>1529.8178</v>
      </c>
      <c r="AX21" s="67" t="n">
        <f aca="false">Inputs!$E$25*(1+Inputs!$E$20)^(AX$5-1)</f>
        <v>1529.8178</v>
      </c>
      <c r="AY21" s="67" t="n">
        <f aca="false">Inputs!$E$25*(1+Inputs!$E$20)^(AY$5-1)</f>
        <v>1575.712334</v>
      </c>
      <c r="AZ21" s="67" t="n">
        <f aca="false">Inputs!$E$25*(1+Inputs!$E$20)^(AZ$5-1)</f>
        <v>1575.712334</v>
      </c>
      <c r="BA21" s="67" t="n">
        <f aca="false">Inputs!$E$25*(1+Inputs!$E$20)^(BA$5-1)</f>
        <v>1575.712334</v>
      </c>
      <c r="BB21" s="67" t="n">
        <f aca="false">Inputs!$E$25*(1+Inputs!$E$20)^(BB$5-1)</f>
        <v>1575.712334</v>
      </c>
      <c r="BC21" s="67" t="n">
        <f aca="false">Inputs!$E$25*(1+Inputs!$E$20)^(BC$5-1)</f>
        <v>1575.712334</v>
      </c>
      <c r="BD21" s="67" t="n">
        <f aca="false">Inputs!$E$25*(1+Inputs!$E$20)^(BD$5-1)</f>
        <v>1575.712334</v>
      </c>
      <c r="BE21" s="67" t="n">
        <f aca="false">Inputs!$E$25*(1+Inputs!$E$20)^(BE$5-1)</f>
        <v>1575.712334</v>
      </c>
      <c r="BF21" s="67" t="n">
        <f aca="false">Inputs!$E$25*(1+Inputs!$E$20)^(BF$5-1)</f>
        <v>1575.712334</v>
      </c>
      <c r="BG21" s="67" t="n">
        <f aca="false">Inputs!$E$25*(1+Inputs!$E$20)^(BG$5-1)</f>
        <v>1575.712334</v>
      </c>
      <c r="BH21" s="67" t="n">
        <f aca="false">Inputs!$E$25*(1+Inputs!$E$20)^(BH$5-1)</f>
        <v>1575.712334</v>
      </c>
      <c r="BI21" s="67" t="n">
        <f aca="false">Inputs!$E$25*(1+Inputs!$E$20)^(BI$5-1)</f>
        <v>1575.712334</v>
      </c>
      <c r="BJ21" s="67" t="n">
        <f aca="false">Inputs!$E$25*(1+Inputs!$E$20)^(BJ$5-1)</f>
        <v>1575.712334</v>
      </c>
    </row>
    <row r="22" customFormat="false" ht="15" hidden="false" customHeight="false" outlineLevel="0" collapsed="false">
      <c r="A22" s="6" t="s">
        <v>236</v>
      </c>
      <c r="C22" s="67" t="n">
        <f aca="false">C15*C20</f>
        <v>8316</v>
      </c>
      <c r="D22" s="67" t="n">
        <f aca="false">D15*D20</f>
        <v>9702</v>
      </c>
      <c r="E22" s="67" t="n">
        <f aca="false">E15*E20</f>
        <v>16016</v>
      </c>
      <c r="F22" s="67" t="n">
        <f aca="false">F15*F20</f>
        <v>18018</v>
      </c>
      <c r="G22" s="67" t="n">
        <f aca="false">G15*G20</f>
        <v>20020</v>
      </c>
      <c r="H22" s="67" t="n">
        <f aca="false">H15*H20</f>
        <v>22022</v>
      </c>
      <c r="I22" s="67" t="n">
        <f aca="false">I15*I20</f>
        <v>24024</v>
      </c>
      <c r="J22" s="67" t="n">
        <f aca="false">J15*J20</f>
        <v>24024</v>
      </c>
      <c r="K22" s="67" t="n">
        <f aca="false">K15*K20</f>
        <v>24024</v>
      </c>
      <c r="L22" s="67" t="n">
        <f aca="false">L15*L20</f>
        <v>24024</v>
      </c>
      <c r="M22" s="67" t="n">
        <f aca="false">M15*M20</f>
        <v>24024</v>
      </c>
      <c r="N22" s="67" t="n">
        <f aca="false">N15*N20</f>
        <v>16632</v>
      </c>
      <c r="O22" s="67" t="n">
        <f aca="false">O15*O20</f>
        <v>17644.8888</v>
      </c>
      <c r="P22" s="67" t="n">
        <f aca="false">P15*P20</f>
        <v>17644.8888</v>
      </c>
      <c r="Q22" s="67" t="n">
        <f aca="false">Q15*Q20</f>
        <v>25487.0616</v>
      </c>
      <c r="R22" s="67" t="n">
        <f aca="false">R15*R20</f>
        <v>25487.0616</v>
      </c>
      <c r="S22" s="67" t="n">
        <f aca="false">S15*S20</f>
        <v>25487.0616</v>
      </c>
      <c r="T22" s="67" t="n">
        <f aca="false">T15*T20</f>
        <v>25487.0616</v>
      </c>
      <c r="U22" s="67" t="n">
        <f aca="false">U15*U20</f>
        <v>25487.0616</v>
      </c>
      <c r="V22" s="67" t="n">
        <f aca="false">V15*V20</f>
        <v>25487.0616</v>
      </c>
      <c r="W22" s="67" t="n">
        <f aca="false">W15*W20</f>
        <v>25487.0616</v>
      </c>
      <c r="X22" s="67" t="n">
        <f aca="false">X15*X20</f>
        <v>25487.0616</v>
      </c>
      <c r="Y22" s="67" t="n">
        <f aca="false">Y15*Y20</f>
        <v>25487.0616</v>
      </c>
      <c r="Z22" s="67" t="n">
        <f aca="false">Z15*Z20</f>
        <v>17644.8888</v>
      </c>
      <c r="AA22" s="67" t="n">
        <f aca="false">AA15*AA20</f>
        <v>18719.46252792</v>
      </c>
      <c r="AB22" s="67" t="n">
        <f aca="false">AB15*AB20</f>
        <v>18719.46252792</v>
      </c>
      <c r="AC22" s="67" t="n">
        <f aca="false">AC15*AC20</f>
        <v>27039.22365144</v>
      </c>
      <c r="AD22" s="67" t="n">
        <f aca="false">AD15*AD20</f>
        <v>27039.22365144</v>
      </c>
      <c r="AE22" s="67" t="n">
        <f aca="false">AE15*AE20</f>
        <v>27039.22365144</v>
      </c>
      <c r="AF22" s="67" t="n">
        <f aca="false">AF15*AF20</f>
        <v>27039.22365144</v>
      </c>
      <c r="AG22" s="67" t="n">
        <f aca="false">AG15*AG20</f>
        <v>27039.22365144</v>
      </c>
      <c r="AH22" s="67" t="n">
        <f aca="false">AH15*AH20</f>
        <v>27039.22365144</v>
      </c>
      <c r="AI22" s="67" t="n">
        <f aca="false">AI15*AI20</f>
        <v>27039.22365144</v>
      </c>
      <c r="AJ22" s="67" t="n">
        <f aca="false">AJ15*AJ20</f>
        <v>27039.22365144</v>
      </c>
      <c r="AK22" s="67" t="n">
        <f aca="false">AK15*AK20</f>
        <v>27039.22365144</v>
      </c>
      <c r="AL22" s="67" t="n">
        <f aca="false">AL15*AL20</f>
        <v>18719.46252792</v>
      </c>
      <c r="AM22" s="67" t="n">
        <f aca="false">AM15*AM20</f>
        <v>19859.4777958703</v>
      </c>
      <c r="AN22" s="67" t="n">
        <f aca="false">AN15*AN20</f>
        <v>19859.4777958703</v>
      </c>
      <c r="AO22" s="67" t="n">
        <f aca="false">AO15*AO20</f>
        <v>28685.9123718127</v>
      </c>
      <c r="AP22" s="67" t="n">
        <f aca="false">AP15*AP20</f>
        <v>28685.9123718127</v>
      </c>
      <c r="AQ22" s="67" t="n">
        <f aca="false">AQ15*AQ20</f>
        <v>28685.9123718127</v>
      </c>
      <c r="AR22" s="67" t="n">
        <f aca="false">AR15*AR20</f>
        <v>28685.9123718127</v>
      </c>
      <c r="AS22" s="67" t="n">
        <f aca="false">AS15*AS20</f>
        <v>28685.9123718127</v>
      </c>
      <c r="AT22" s="67" t="n">
        <f aca="false">AT15*AT20</f>
        <v>28685.9123718127</v>
      </c>
      <c r="AU22" s="67" t="n">
        <f aca="false">AU15*AU20</f>
        <v>28685.9123718127</v>
      </c>
      <c r="AV22" s="67" t="n">
        <f aca="false">AV15*AV20</f>
        <v>28685.9123718127</v>
      </c>
      <c r="AW22" s="67" t="n">
        <f aca="false">AW15*AW20</f>
        <v>28685.9123718127</v>
      </c>
      <c r="AX22" s="67" t="n">
        <f aca="false">AX15*AX20</f>
        <v>19859.4777958703</v>
      </c>
      <c r="AY22" s="67" t="n">
        <f aca="false">AY15*AY20</f>
        <v>21068.9199936388</v>
      </c>
      <c r="AZ22" s="67" t="n">
        <f aca="false">AZ15*AZ20</f>
        <v>21068.9199936388</v>
      </c>
      <c r="BA22" s="67" t="n">
        <f aca="false">BA15*BA20</f>
        <v>30432.8844352561</v>
      </c>
      <c r="BB22" s="67" t="n">
        <f aca="false">BB15*BB20</f>
        <v>30432.8844352561</v>
      </c>
      <c r="BC22" s="67" t="n">
        <f aca="false">BC15*BC20</f>
        <v>30432.8844352561</v>
      </c>
      <c r="BD22" s="67" t="n">
        <f aca="false">BD15*BD20</f>
        <v>30432.8844352561</v>
      </c>
      <c r="BE22" s="67" t="n">
        <f aca="false">BE15*BE20</f>
        <v>30432.8844352561</v>
      </c>
      <c r="BF22" s="67" t="n">
        <f aca="false">BF15*BF20</f>
        <v>30432.8844352561</v>
      </c>
      <c r="BG22" s="67" t="n">
        <f aca="false">BG15*BG20</f>
        <v>30432.8844352561</v>
      </c>
      <c r="BH22" s="67" t="n">
        <f aca="false">BH15*BH20</f>
        <v>30432.8844352561</v>
      </c>
      <c r="BI22" s="67" t="n">
        <f aca="false">BI15*BI20</f>
        <v>30432.8844352561</v>
      </c>
      <c r="BJ22" s="67" t="n">
        <f aca="false">BJ15*BJ20</f>
        <v>21068.9199936388</v>
      </c>
    </row>
    <row r="23" customFormat="false" ht="15" hidden="false" customHeight="false" outlineLevel="0" collapsed="false">
      <c r="A23" s="6" t="s">
        <v>237</v>
      </c>
      <c r="C23" s="67" t="n">
        <f aca="false">C13*C21</f>
        <v>2100</v>
      </c>
      <c r="D23" s="67" t="n">
        <f aca="false">D13*D21</f>
        <v>2450</v>
      </c>
      <c r="E23" s="67" t="n">
        <f aca="false">E13*E21</f>
        <v>2800</v>
      </c>
      <c r="F23" s="67" t="n">
        <f aca="false">F13*F21</f>
        <v>3150</v>
      </c>
      <c r="G23" s="67" t="n">
        <f aca="false">G13*G21</f>
        <v>3500</v>
      </c>
      <c r="H23" s="67" t="n">
        <f aca="false">H13*H21</f>
        <v>3850</v>
      </c>
      <c r="I23" s="67" t="n">
        <f aca="false">I13*I21</f>
        <v>4200</v>
      </c>
      <c r="J23" s="67" t="n">
        <f aca="false">J13*J21</f>
        <v>4200</v>
      </c>
      <c r="K23" s="67" t="n">
        <f aca="false">K13*K21</f>
        <v>4200</v>
      </c>
      <c r="L23" s="67" t="n">
        <f aca="false">L13*L21</f>
        <v>4200</v>
      </c>
      <c r="M23" s="67" t="n">
        <f aca="false">M13*M21</f>
        <v>4200</v>
      </c>
      <c r="N23" s="67" t="n">
        <f aca="false">N13*N21</f>
        <v>4200</v>
      </c>
      <c r="O23" s="67" t="n">
        <f aca="false">O13*O21</f>
        <v>4542.3</v>
      </c>
      <c r="P23" s="67" t="n">
        <f aca="false">P13*P21</f>
        <v>4542.3</v>
      </c>
      <c r="Q23" s="67" t="n">
        <f aca="false">Q13*Q21</f>
        <v>4542.3</v>
      </c>
      <c r="R23" s="67" t="n">
        <f aca="false">R13*R21</f>
        <v>4542.3</v>
      </c>
      <c r="S23" s="67" t="n">
        <f aca="false">S13*S21</f>
        <v>4542.3</v>
      </c>
      <c r="T23" s="67" t="n">
        <f aca="false">T13*T21</f>
        <v>4542.3</v>
      </c>
      <c r="U23" s="67" t="n">
        <f aca="false">U13*U21</f>
        <v>4542.3</v>
      </c>
      <c r="V23" s="67" t="n">
        <f aca="false">V13*V21</f>
        <v>4542.3</v>
      </c>
      <c r="W23" s="67" t="n">
        <f aca="false">W13*W21</f>
        <v>4542.3</v>
      </c>
      <c r="X23" s="67" t="n">
        <f aca="false">X13*X21</f>
        <v>4542.3</v>
      </c>
      <c r="Y23" s="67" t="n">
        <f aca="false">Y13*Y21</f>
        <v>4542.3</v>
      </c>
      <c r="Z23" s="67" t="n">
        <f aca="false">Z13*Z21</f>
        <v>4542.3</v>
      </c>
      <c r="AA23" s="67" t="n">
        <f aca="false">AA13*AA21</f>
        <v>4912.49745</v>
      </c>
      <c r="AB23" s="67" t="n">
        <f aca="false">AB13*AB21</f>
        <v>4912.49745</v>
      </c>
      <c r="AC23" s="67" t="n">
        <f aca="false">AC13*AC21</f>
        <v>4912.49745</v>
      </c>
      <c r="AD23" s="67" t="n">
        <f aca="false">AD13*AD21</f>
        <v>4912.49745</v>
      </c>
      <c r="AE23" s="67" t="n">
        <f aca="false">AE13*AE21</f>
        <v>4912.49745</v>
      </c>
      <c r="AF23" s="67" t="n">
        <f aca="false">AF13*AF21</f>
        <v>4912.49745</v>
      </c>
      <c r="AG23" s="67" t="n">
        <f aca="false">AG13*AG21</f>
        <v>4912.49745</v>
      </c>
      <c r="AH23" s="67" t="n">
        <f aca="false">AH13*AH21</f>
        <v>4912.49745</v>
      </c>
      <c r="AI23" s="67" t="n">
        <f aca="false">AI13*AI21</f>
        <v>4912.49745</v>
      </c>
      <c r="AJ23" s="67" t="n">
        <f aca="false">AJ13*AJ21</f>
        <v>4912.49745</v>
      </c>
      <c r="AK23" s="67" t="n">
        <f aca="false">AK13*AK21</f>
        <v>4912.49745</v>
      </c>
      <c r="AL23" s="67" t="n">
        <f aca="false">AL13*AL21</f>
        <v>4912.49745</v>
      </c>
      <c r="AM23" s="67" t="n">
        <f aca="false">AM13*AM21</f>
        <v>5312.865992175</v>
      </c>
      <c r="AN23" s="67" t="n">
        <f aca="false">AN13*AN21</f>
        <v>5312.865992175</v>
      </c>
      <c r="AO23" s="67" t="n">
        <f aca="false">AO13*AO21</f>
        <v>5312.865992175</v>
      </c>
      <c r="AP23" s="67" t="n">
        <f aca="false">AP13*AP21</f>
        <v>5312.865992175</v>
      </c>
      <c r="AQ23" s="67" t="n">
        <f aca="false">AQ13*AQ21</f>
        <v>5312.865992175</v>
      </c>
      <c r="AR23" s="67" t="n">
        <f aca="false">AR13*AR21</f>
        <v>5312.865992175</v>
      </c>
      <c r="AS23" s="67" t="n">
        <f aca="false">AS13*AS21</f>
        <v>5312.865992175</v>
      </c>
      <c r="AT23" s="67" t="n">
        <f aca="false">AT13*AT21</f>
        <v>5312.865992175</v>
      </c>
      <c r="AU23" s="67" t="n">
        <f aca="false">AU13*AU21</f>
        <v>5312.865992175</v>
      </c>
      <c r="AV23" s="67" t="n">
        <f aca="false">AV13*AV21</f>
        <v>5312.865992175</v>
      </c>
      <c r="AW23" s="67" t="n">
        <f aca="false">AW13*AW21</f>
        <v>5312.865992175</v>
      </c>
      <c r="AX23" s="67" t="n">
        <f aca="false">AX13*AX21</f>
        <v>5312.865992175</v>
      </c>
      <c r="AY23" s="67" t="n">
        <f aca="false">AY13*AY21</f>
        <v>5745.86457053727</v>
      </c>
      <c r="AZ23" s="67" t="n">
        <f aca="false">AZ13*AZ21</f>
        <v>5745.86457053727</v>
      </c>
      <c r="BA23" s="67" t="n">
        <f aca="false">BA13*BA21</f>
        <v>5745.86457053727</v>
      </c>
      <c r="BB23" s="67" t="n">
        <f aca="false">BB13*BB21</f>
        <v>5745.86457053727</v>
      </c>
      <c r="BC23" s="67" t="n">
        <f aca="false">BC13*BC21</f>
        <v>5745.86457053727</v>
      </c>
      <c r="BD23" s="67" t="n">
        <f aca="false">BD13*BD21</f>
        <v>5745.86457053727</v>
      </c>
      <c r="BE23" s="67" t="n">
        <f aca="false">BE13*BE21</f>
        <v>5745.86457053727</v>
      </c>
      <c r="BF23" s="67" t="n">
        <f aca="false">BF13*BF21</f>
        <v>5745.86457053727</v>
      </c>
      <c r="BG23" s="67" t="n">
        <f aca="false">BG13*BG21</f>
        <v>5745.86457053727</v>
      </c>
      <c r="BH23" s="67" t="n">
        <f aca="false">BH13*BH21</f>
        <v>5745.86457053727</v>
      </c>
      <c r="BI23" s="67" t="n">
        <f aca="false">BI13*BI21</f>
        <v>5745.86457053727</v>
      </c>
      <c r="BJ23" s="67" t="n">
        <f aca="false">BJ13*BJ21</f>
        <v>5745.86457053727</v>
      </c>
    </row>
    <row r="24" customFormat="false" ht="15" hidden="false" customHeight="false" outlineLevel="0" collapsed="false">
      <c r="A24" s="113" t="s">
        <v>44</v>
      </c>
      <c r="C24" s="68" t="n">
        <f aca="false">C22+C23</f>
        <v>10416</v>
      </c>
      <c r="D24" s="68" t="n">
        <f aca="false">D22+D23</f>
        <v>12152</v>
      </c>
      <c r="E24" s="68" t="n">
        <f aca="false">E22+E23</f>
        <v>18816</v>
      </c>
      <c r="F24" s="68" t="n">
        <f aca="false">F22+F23</f>
        <v>21168</v>
      </c>
      <c r="G24" s="68" t="n">
        <f aca="false">G22+G23</f>
        <v>23520</v>
      </c>
      <c r="H24" s="68" t="n">
        <f aca="false">H22+H23</f>
        <v>25872</v>
      </c>
      <c r="I24" s="68" t="n">
        <f aca="false">I22+I23</f>
        <v>28224</v>
      </c>
      <c r="J24" s="68" t="n">
        <f aca="false">J22+J23</f>
        <v>28224</v>
      </c>
      <c r="K24" s="68" t="n">
        <f aca="false">K22+K23</f>
        <v>28224</v>
      </c>
      <c r="L24" s="68" t="n">
        <f aca="false">L22+L23</f>
        <v>28224</v>
      </c>
      <c r="M24" s="68" t="n">
        <f aca="false">M22+M23</f>
        <v>28224</v>
      </c>
      <c r="N24" s="68" t="n">
        <f aca="false">N22+N23</f>
        <v>20832</v>
      </c>
      <c r="O24" s="68" t="n">
        <f aca="false">O22+O23</f>
        <v>22187.1888</v>
      </c>
      <c r="P24" s="68" t="n">
        <f aca="false">P22+P23</f>
        <v>22187.1888</v>
      </c>
      <c r="Q24" s="68" t="n">
        <f aca="false">Q22+Q23</f>
        <v>30029.3616</v>
      </c>
      <c r="R24" s="68" t="n">
        <f aca="false">R22+R23</f>
        <v>30029.3616</v>
      </c>
      <c r="S24" s="68" t="n">
        <f aca="false">S22+S23</f>
        <v>30029.3616</v>
      </c>
      <c r="T24" s="68" t="n">
        <f aca="false">T22+T23</f>
        <v>30029.3616</v>
      </c>
      <c r="U24" s="68" t="n">
        <f aca="false">U22+U23</f>
        <v>30029.3616</v>
      </c>
      <c r="V24" s="68" t="n">
        <f aca="false">V22+V23</f>
        <v>30029.3616</v>
      </c>
      <c r="W24" s="68" t="n">
        <f aca="false">W22+W23</f>
        <v>30029.3616</v>
      </c>
      <c r="X24" s="68" t="n">
        <f aca="false">X22+X23</f>
        <v>30029.3616</v>
      </c>
      <c r="Y24" s="68" t="n">
        <f aca="false">Y22+Y23</f>
        <v>30029.3616</v>
      </c>
      <c r="Z24" s="68" t="n">
        <f aca="false">Z22+Z23</f>
        <v>22187.1888</v>
      </c>
      <c r="AA24" s="68" t="n">
        <f aca="false">AA22+AA23</f>
        <v>23631.95997792</v>
      </c>
      <c r="AB24" s="68" t="n">
        <f aca="false">AB22+AB23</f>
        <v>23631.95997792</v>
      </c>
      <c r="AC24" s="68" t="n">
        <f aca="false">AC22+AC23</f>
        <v>31951.72110144</v>
      </c>
      <c r="AD24" s="68" t="n">
        <f aca="false">AD22+AD23</f>
        <v>31951.72110144</v>
      </c>
      <c r="AE24" s="68" t="n">
        <f aca="false">AE22+AE23</f>
        <v>31951.72110144</v>
      </c>
      <c r="AF24" s="68" t="n">
        <f aca="false">AF22+AF23</f>
        <v>31951.72110144</v>
      </c>
      <c r="AG24" s="68" t="n">
        <f aca="false">AG22+AG23</f>
        <v>31951.72110144</v>
      </c>
      <c r="AH24" s="68" t="n">
        <f aca="false">AH22+AH23</f>
        <v>31951.72110144</v>
      </c>
      <c r="AI24" s="68" t="n">
        <f aca="false">AI22+AI23</f>
        <v>31951.72110144</v>
      </c>
      <c r="AJ24" s="68" t="n">
        <f aca="false">AJ22+AJ23</f>
        <v>31951.72110144</v>
      </c>
      <c r="AK24" s="68" t="n">
        <f aca="false">AK22+AK23</f>
        <v>31951.72110144</v>
      </c>
      <c r="AL24" s="68" t="n">
        <f aca="false">AL22+AL23</f>
        <v>23631.95997792</v>
      </c>
      <c r="AM24" s="68" t="n">
        <f aca="false">AM22+AM23</f>
        <v>25172.3437880453</v>
      </c>
      <c r="AN24" s="68" t="n">
        <f aca="false">AN22+AN23</f>
        <v>25172.3437880453</v>
      </c>
      <c r="AO24" s="68" t="n">
        <f aca="false">AO22+AO23</f>
        <v>33998.7783639877</v>
      </c>
      <c r="AP24" s="68" t="n">
        <f aca="false">AP22+AP23</f>
        <v>33998.7783639877</v>
      </c>
      <c r="AQ24" s="68" t="n">
        <f aca="false">AQ22+AQ23</f>
        <v>33998.7783639877</v>
      </c>
      <c r="AR24" s="68" t="n">
        <f aca="false">AR22+AR23</f>
        <v>33998.7783639877</v>
      </c>
      <c r="AS24" s="68" t="n">
        <f aca="false">AS22+AS23</f>
        <v>33998.7783639877</v>
      </c>
      <c r="AT24" s="68" t="n">
        <f aca="false">AT22+AT23</f>
        <v>33998.7783639877</v>
      </c>
      <c r="AU24" s="68" t="n">
        <f aca="false">AU22+AU23</f>
        <v>33998.7783639877</v>
      </c>
      <c r="AV24" s="68" t="n">
        <f aca="false">AV22+AV23</f>
        <v>33998.7783639877</v>
      </c>
      <c r="AW24" s="68" t="n">
        <f aca="false">AW22+AW23</f>
        <v>33998.7783639877</v>
      </c>
      <c r="AX24" s="68" t="n">
        <f aca="false">AX22+AX23</f>
        <v>25172.3437880453</v>
      </c>
      <c r="AY24" s="68" t="n">
        <f aca="false">AY22+AY23</f>
        <v>26814.7845641761</v>
      </c>
      <c r="AZ24" s="68" t="n">
        <f aca="false">AZ22+AZ23</f>
        <v>26814.7845641761</v>
      </c>
      <c r="BA24" s="68" t="n">
        <f aca="false">BA22+BA23</f>
        <v>36178.7490057934</v>
      </c>
      <c r="BB24" s="68" t="n">
        <f aca="false">BB22+BB23</f>
        <v>36178.7490057934</v>
      </c>
      <c r="BC24" s="68" t="n">
        <f aca="false">BC22+BC23</f>
        <v>36178.7490057934</v>
      </c>
      <c r="BD24" s="68" t="n">
        <f aca="false">BD22+BD23</f>
        <v>36178.7490057934</v>
      </c>
      <c r="BE24" s="68" t="n">
        <f aca="false">BE22+BE23</f>
        <v>36178.7490057934</v>
      </c>
      <c r="BF24" s="68" t="n">
        <f aca="false">BF22+BF23</f>
        <v>36178.7490057934</v>
      </c>
      <c r="BG24" s="68" t="n">
        <f aca="false">BG22+BG23</f>
        <v>36178.7490057934</v>
      </c>
      <c r="BH24" s="68" t="n">
        <f aca="false">BH22+BH23</f>
        <v>36178.7490057934</v>
      </c>
      <c r="BI24" s="68" t="n">
        <f aca="false">BI22+BI23</f>
        <v>36178.7490057934</v>
      </c>
      <c r="BJ24" s="68" t="n">
        <f aca="false">BJ22+BJ23</f>
        <v>26814.7845641761</v>
      </c>
    </row>
    <row r="26" customFormat="false" ht="15.75" hidden="false" customHeight="true" outlineLevel="0" collapsed="false">
      <c r="A26" s="7" t="s">
        <v>76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customFormat="false" ht="15" hidden="false" customHeight="false" outlineLevel="0" collapsed="false">
      <c r="A27" s="6" t="s">
        <v>424</v>
      </c>
      <c r="C27" s="67" t="n">
        <f aca="false">-C24*Inputs!$E$29</f>
        <v>-3437.28</v>
      </c>
      <c r="D27" s="67" t="n">
        <f aca="false">-D24*Inputs!$E$29</f>
        <v>-4010.16</v>
      </c>
      <c r="E27" s="67" t="n">
        <f aca="false">-E24*Inputs!$E$29</f>
        <v>-6209.28</v>
      </c>
      <c r="F27" s="67" t="n">
        <f aca="false">-F24*Inputs!$E$29</f>
        <v>-6985.44</v>
      </c>
      <c r="G27" s="67" t="n">
        <f aca="false">-G24*Inputs!$E$29</f>
        <v>-7761.6</v>
      </c>
      <c r="H27" s="67" t="n">
        <f aca="false">-H24*Inputs!$E$29</f>
        <v>-8537.76</v>
      </c>
      <c r="I27" s="67" t="n">
        <f aca="false">-I24*Inputs!$E$29</f>
        <v>-9313.92</v>
      </c>
      <c r="J27" s="67" t="n">
        <f aca="false">-J24*Inputs!$E$29</f>
        <v>-9313.92</v>
      </c>
      <c r="K27" s="67" t="n">
        <f aca="false">-K24*Inputs!$E$29</f>
        <v>-9313.92</v>
      </c>
      <c r="L27" s="67" t="n">
        <f aca="false">-L24*Inputs!$E$29</f>
        <v>-9313.92</v>
      </c>
      <c r="M27" s="67" t="n">
        <f aca="false">-M24*Inputs!$E$29</f>
        <v>-9313.92</v>
      </c>
      <c r="N27" s="67" t="n">
        <f aca="false">-N24*Inputs!$E$29</f>
        <v>-6874.56</v>
      </c>
      <c r="O27" s="67" t="n">
        <f aca="false">-O24*Inputs!$E$29</f>
        <v>-7321.772304</v>
      </c>
      <c r="P27" s="67" t="n">
        <f aca="false">-P24*Inputs!$E$29</f>
        <v>-7321.772304</v>
      </c>
      <c r="Q27" s="67" t="n">
        <f aca="false">-Q24*Inputs!$E$29</f>
        <v>-9909.689328</v>
      </c>
      <c r="R27" s="67" t="n">
        <f aca="false">-R24*Inputs!$E$29</f>
        <v>-9909.689328</v>
      </c>
      <c r="S27" s="67" t="n">
        <f aca="false">-S24*Inputs!$E$29</f>
        <v>-9909.689328</v>
      </c>
      <c r="T27" s="67" t="n">
        <f aca="false">-T24*Inputs!$E$29</f>
        <v>-9909.689328</v>
      </c>
      <c r="U27" s="67" t="n">
        <f aca="false">-U24*Inputs!$E$29</f>
        <v>-9909.689328</v>
      </c>
      <c r="V27" s="67" t="n">
        <f aca="false">-V24*Inputs!$E$29</f>
        <v>-9909.689328</v>
      </c>
      <c r="W27" s="67" t="n">
        <f aca="false">-W24*Inputs!$E$29</f>
        <v>-9909.689328</v>
      </c>
      <c r="X27" s="67" t="n">
        <f aca="false">-X24*Inputs!$E$29</f>
        <v>-9909.689328</v>
      </c>
      <c r="Y27" s="67" t="n">
        <f aca="false">-Y24*Inputs!$E$29</f>
        <v>-9909.689328</v>
      </c>
      <c r="Z27" s="67" t="n">
        <f aca="false">-Z24*Inputs!$E$29</f>
        <v>-7321.772304</v>
      </c>
      <c r="AA27" s="67" t="n">
        <f aca="false">-AA24*Inputs!$E$29</f>
        <v>-7798.5467927136</v>
      </c>
      <c r="AB27" s="67" t="n">
        <f aca="false">-AB24*Inputs!$E$29</f>
        <v>-7798.5467927136</v>
      </c>
      <c r="AC27" s="67" t="n">
        <f aca="false">-AC24*Inputs!$E$29</f>
        <v>-10544.0679634752</v>
      </c>
      <c r="AD27" s="67" t="n">
        <f aca="false">-AD24*Inputs!$E$29</f>
        <v>-10544.0679634752</v>
      </c>
      <c r="AE27" s="67" t="n">
        <f aca="false">-AE24*Inputs!$E$29</f>
        <v>-10544.0679634752</v>
      </c>
      <c r="AF27" s="67" t="n">
        <f aca="false">-AF24*Inputs!$E$29</f>
        <v>-10544.0679634752</v>
      </c>
      <c r="AG27" s="67" t="n">
        <f aca="false">-AG24*Inputs!$E$29</f>
        <v>-10544.0679634752</v>
      </c>
      <c r="AH27" s="67" t="n">
        <f aca="false">-AH24*Inputs!$E$29</f>
        <v>-10544.0679634752</v>
      </c>
      <c r="AI27" s="67" t="n">
        <f aca="false">-AI24*Inputs!$E$29</f>
        <v>-10544.0679634752</v>
      </c>
      <c r="AJ27" s="67" t="n">
        <f aca="false">-AJ24*Inputs!$E$29</f>
        <v>-10544.0679634752</v>
      </c>
      <c r="AK27" s="67" t="n">
        <f aca="false">-AK24*Inputs!$E$29</f>
        <v>-10544.0679634752</v>
      </c>
      <c r="AL27" s="67" t="n">
        <f aca="false">-AL24*Inputs!$E$29</f>
        <v>-7798.5467927136</v>
      </c>
      <c r="AM27" s="67" t="n">
        <f aca="false">-AM24*Inputs!$E$29</f>
        <v>-8306.87345005496</v>
      </c>
      <c r="AN27" s="67" t="n">
        <f aca="false">-AN24*Inputs!$E$29</f>
        <v>-8306.87345005496</v>
      </c>
      <c r="AO27" s="67" t="n">
        <f aca="false">-AO24*Inputs!$E$29</f>
        <v>-11219.5968601159</v>
      </c>
      <c r="AP27" s="67" t="n">
        <f aca="false">-AP24*Inputs!$E$29</f>
        <v>-11219.5968601159</v>
      </c>
      <c r="AQ27" s="67" t="n">
        <f aca="false">-AQ24*Inputs!$E$29</f>
        <v>-11219.5968601159</v>
      </c>
      <c r="AR27" s="67" t="n">
        <f aca="false">-AR24*Inputs!$E$29</f>
        <v>-11219.5968601159</v>
      </c>
      <c r="AS27" s="67" t="n">
        <f aca="false">-AS24*Inputs!$E$29</f>
        <v>-11219.5968601159</v>
      </c>
      <c r="AT27" s="67" t="n">
        <f aca="false">-AT24*Inputs!$E$29</f>
        <v>-11219.5968601159</v>
      </c>
      <c r="AU27" s="67" t="n">
        <f aca="false">-AU24*Inputs!$E$29</f>
        <v>-11219.5968601159</v>
      </c>
      <c r="AV27" s="67" t="n">
        <f aca="false">-AV24*Inputs!$E$29</f>
        <v>-11219.5968601159</v>
      </c>
      <c r="AW27" s="67" t="n">
        <f aca="false">-AW24*Inputs!$E$29</f>
        <v>-11219.5968601159</v>
      </c>
      <c r="AX27" s="67" t="n">
        <f aca="false">-AX24*Inputs!$E$29</f>
        <v>-8306.87345005496</v>
      </c>
      <c r="AY27" s="67" t="n">
        <f aca="false">-AY24*Inputs!$E$29</f>
        <v>-8848.87890617811</v>
      </c>
      <c r="AZ27" s="67" t="n">
        <f aca="false">-AZ24*Inputs!$E$29</f>
        <v>-8848.87890617811</v>
      </c>
      <c r="BA27" s="67" t="n">
        <f aca="false">-BA24*Inputs!$E$29</f>
        <v>-11938.9871719118</v>
      </c>
      <c r="BB27" s="67" t="n">
        <f aca="false">-BB24*Inputs!$E$29</f>
        <v>-11938.9871719118</v>
      </c>
      <c r="BC27" s="67" t="n">
        <f aca="false">-BC24*Inputs!$E$29</f>
        <v>-11938.9871719118</v>
      </c>
      <c r="BD27" s="67" t="n">
        <f aca="false">-BD24*Inputs!$E$29</f>
        <v>-11938.9871719118</v>
      </c>
      <c r="BE27" s="67" t="n">
        <f aca="false">-BE24*Inputs!$E$29</f>
        <v>-11938.9871719118</v>
      </c>
      <c r="BF27" s="67" t="n">
        <f aca="false">-BF24*Inputs!$E$29</f>
        <v>-11938.9871719118</v>
      </c>
      <c r="BG27" s="67" t="n">
        <f aca="false">-BG24*Inputs!$E$29</f>
        <v>-11938.9871719118</v>
      </c>
      <c r="BH27" s="67" t="n">
        <f aca="false">-BH24*Inputs!$E$29</f>
        <v>-11938.9871719118</v>
      </c>
      <c r="BI27" s="67" t="n">
        <f aca="false">-BI24*Inputs!$E$29</f>
        <v>-11938.9871719118</v>
      </c>
      <c r="BJ27" s="67" t="n">
        <f aca="false">-BJ24*Inputs!$E$29</f>
        <v>-8848.87890617811</v>
      </c>
    </row>
    <row r="28" customFormat="false" ht="15" hidden="false" customHeight="false" outlineLevel="0" collapsed="false">
      <c r="A28" s="6" t="s">
        <v>425</v>
      </c>
      <c r="C28" s="67" t="n">
        <f aca="false">-C17*Inputs!$E$30*(1+Inputs!$E$34)^(C$5-1)</f>
        <v>-334.8</v>
      </c>
      <c r="D28" s="67" t="n">
        <f aca="false">-D17*Inputs!$E$30*(1+Inputs!$E$34)^(D$5-1)</f>
        <v>-390.6</v>
      </c>
      <c r="E28" s="67" t="n">
        <f aca="false">-E17*Inputs!$E$30*(1+Inputs!$E$34)^(E$5-1)</f>
        <v>-604.8</v>
      </c>
      <c r="F28" s="67" t="n">
        <f aca="false">-F17*Inputs!$E$30*(1+Inputs!$E$34)^(F$5-1)</f>
        <v>-680.4</v>
      </c>
      <c r="G28" s="67" t="n">
        <f aca="false">-G17*Inputs!$E$30*(1+Inputs!$E$34)^(G$5-1)</f>
        <v>-756</v>
      </c>
      <c r="H28" s="67" t="n">
        <f aca="false">-H17*Inputs!$E$30*(1+Inputs!$E$34)^(H$5-1)</f>
        <v>-831.6</v>
      </c>
      <c r="I28" s="67" t="n">
        <f aca="false">-I17*Inputs!$E$30*(1+Inputs!$E$34)^(I$5-1)</f>
        <v>-907.2</v>
      </c>
      <c r="J28" s="67" t="n">
        <f aca="false">-J17*Inputs!$E$30*(1+Inputs!$E$34)^(J$5-1)</f>
        <v>-907.2</v>
      </c>
      <c r="K28" s="67" t="n">
        <f aca="false">-K17*Inputs!$E$30*(1+Inputs!$E$34)^(K$5-1)</f>
        <v>-907.2</v>
      </c>
      <c r="L28" s="67" t="n">
        <f aca="false">-L17*Inputs!$E$30*(1+Inputs!$E$34)^(L$5-1)</f>
        <v>-907.2</v>
      </c>
      <c r="M28" s="67" t="n">
        <f aca="false">-M17*Inputs!$E$30*(1+Inputs!$E$34)^(M$5-1)</f>
        <v>-907.2</v>
      </c>
      <c r="N28" s="67" t="n">
        <f aca="false">-N17*Inputs!$E$30*(1+Inputs!$E$34)^(N$5-1)</f>
        <v>-669.6</v>
      </c>
      <c r="O28" s="67" t="n">
        <f aca="false">-O17*Inputs!$E$30*(1+Inputs!$E$34)^(O$5-1)</f>
        <v>-713.15964</v>
      </c>
      <c r="P28" s="67" t="n">
        <f aca="false">-P17*Inputs!$E$30*(1+Inputs!$E$34)^(P$5-1)</f>
        <v>-713.15964</v>
      </c>
      <c r="Q28" s="67" t="n">
        <f aca="false">-Q17*Inputs!$E$30*(1+Inputs!$E$34)^(Q$5-1)</f>
        <v>-965.22948</v>
      </c>
      <c r="R28" s="67" t="n">
        <f aca="false">-R17*Inputs!$E$30*(1+Inputs!$E$34)^(R$5-1)</f>
        <v>-965.22948</v>
      </c>
      <c r="S28" s="67" t="n">
        <f aca="false">-S17*Inputs!$E$30*(1+Inputs!$E$34)^(S$5-1)</f>
        <v>-965.22948</v>
      </c>
      <c r="T28" s="67" t="n">
        <f aca="false">-T17*Inputs!$E$30*(1+Inputs!$E$34)^(T$5-1)</f>
        <v>-965.22948</v>
      </c>
      <c r="U28" s="67" t="n">
        <f aca="false">-U17*Inputs!$E$30*(1+Inputs!$E$34)^(U$5-1)</f>
        <v>-965.22948</v>
      </c>
      <c r="V28" s="67" t="n">
        <f aca="false">-V17*Inputs!$E$30*(1+Inputs!$E$34)^(V$5-1)</f>
        <v>-965.22948</v>
      </c>
      <c r="W28" s="67" t="n">
        <f aca="false">-W17*Inputs!$E$30*(1+Inputs!$E$34)^(W$5-1)</f>
        <v>-965.22948</v>
      </c>
      <c r="X28" s="67" t="n">
        <f aca="false">-X17*Inputs!$E$30*(1+Inputs!$E$34)^(X$5-1)</f>
        <v>-965.22948</v>
      </c>
      <c r="Y28" s="67" t="n">
        <f aca="false">-Y17*Inputs!$E$30*(1+Inputs!$E$34)^(Y$5-1)</f>
        <v>-965.22948</v>
      </c>
      <c r="Z28" s="67" t="n">
        <f aca="false">-Z17*Inputs!$E$30*(1+Inputs!$E$34)^(Z$5-1)</f>
        <v>-713.15964</v>
      </c>
      <c r="AA28" s="67" t="n">
        <f aca="false">-AA17*Inputs!$E$30*(1+Inputs!$E$34)^(AA$5-1)</f>
        <v>-759.598713576</v>
      </c>
      <c r="AB28" s="67" t="n">
        <f aca="false">-AB17*Inputs!$E$30*(1+Inputs!$E$34)^(AB$5-1)</f>
        <v>-759.598713576</v>
      </c>
      <c r="AC28" s="67" t="n">
        <f aca="false">-AC17*Inputs!$E$30*(1+Inputs!$E$34)^(AC$5-1)</f>
        <v>-1027.019606832</v>
      </c>
      <c r="AD28" s="67" t="n">
        <f aca="false">-AD17*Inputs!$E$30*(1+Inputs!$E$34)^(AD$5-1)</f>
        <v>-1027.019606832</v>
      </c>
      <c r="AE28" s="67" t="n">
        <f aca="false">-AE17*Inputs!$E$30*(1+Inputs!$E$34)^(AE$5-1)</f>
        <v>-1027.019606832</v>
      </c>
      <c r="AF28" s="67" t="n">
        <f aca="false">-AF17*Inputs!$E$30*(1+Inputs!$E$34)^(AF$5-1)</f>
        <v>-1027.019606832</v>
      </c>
      <c r="AG28" s="67" t="n">
        <f aca="false">-AG17*Inputs!$E$30*(1+Inputs!$E$34)^(AG$5-1)</f>
        <v>-1027.019606832</v>
      </c>
      <c r="AH28" s="67" t="n">
        <f aca="false">-AH17*Inputs!$E$30*(1+Inputs!$E$34)^(AH$5-1)</f>
        <v>-1027.019606832</v>
      </c>
      <c r="AI28" s="67" t="n">
        <f aca="false">-AI17*Inputs!$E$30*(1+Inputs!$E$34)^(AI$5-1)</f>
        <v>-1027.019606832</v>
      </c>
      <c r="AJ28" s="67" t="n">
        <f aca="false">-AJ17*Inputs!$E$30*(1+Inputs!$E$34)^(AJ$5-1)</f>
        <v>-1027.019606832</v>
      </c>
      <c r="AK28" s="67" t="n">
        <f aca="false">-AK17*Inputs!$E$30*(1+Inputs!$E$34)^(AK$5-1)</f>
        <v>-1027.019606832</v>
      </c>
      <c r="AL28" s="67" t="n">
        <f aca="false">-AL17*Inputs!$E$30*(1+Inputs!$E$34)^(AL$5-1)</f>
        <v>-759.598713576</v>
      </c>
      <c r="AM28" s="67" t="n">
        <f aca="false">-AM17*Inputs!$E$30*(1+Inputs!$E$34)^(AM$5-1)</f>
        <v>-809.111050330028</v>
      </c>
      <c r="AN28" s="67" t="n">
        <f aca="false">-AN17*Inputs!$E$30*(1+Inputs!$E$34)^(AN$5-1)</f>
        <v>-809.111050330028</v>
      </c>
      <c r="AO28" s="67" t="n">
        <f aca="false">-AO17*Inputs!$E$30*(1+Inputs!$E$34)^(AO$5-1)</f>
        <v>-1092.81787598532</v>
      </c>
      <c r="AP28" s="67" t="n">
        <f aca="false">-AP17*Inputs!$E$30*(1+Inputs!$E$34)^(AP$5-1)</f>
        <v>-1092.81787598532</v>
      </c>
      <c r="AQ28" s="67" t="n">
        <f aca="false">-AQ17*Inputs!$E$30*(1+Inputs!$E$34)^(AQ$5-1)</f>
        <v>-1092.81787598532</v>
      </c>
      <c r="AR28" s="67" t="n">
        <f aca="false">-AR17*Inputs!$E$30*(1+Inputs!$E$34)^(AR$5-1)</f>
        <v>-1092.81787598532</v>
      </c>
      <c r="AS28" s="67" t="n">
        <f aca="false">-AS17*Inputs!$E$30*(1+Inputs!$E$34)^(AS$5-1)</f>
        <v>-1092.81787598532</v>
      </c>
      <c r="AT28" s="67" t="n">
        <f aca="false">-AT17*Inputs!$E$30*(1+Inputs!$E$34)^(AT$5-1)</f>
        <v>-1092.81787598532</v>
      </c>
      <c r="AU28" s="67" t="n">
        <f aca="false">-AU17*Inputs!$E$30*(1+Inputs!$E$34)^(AU$5-1)</f>
        <v>-1092.81787598532</v>
      </c>
      <c r="AV28" s="67" t="n">
        <f aca="false">-AV17*Inputs!$E$30*(1+Inputs!$E$34)^(AV$5-1)</f>
        <v>-1092.81787598532</v>
      </c>
      <c r="AW28" s="67" t="n">
        <f aca="false">-AW17*Inputs!$E$30*(1+Inputs!$E$34)^(AW$5-1)</f>
        <v>-1092.81787598532</v>
      </c>
      <c r="AX28" s="67" t="n">
        <f aca="false">-AX17*Inputs!$E$30*(1+Inputs!$E$34)^(AX$5-1)</f>
        <v>-809.111050330028</v>
      </c>
      <c r="AY28" s="67" t="n">
        <f aca="false">-AY17*Inputs!$E$30*(1+Inputs!$E$34)^(AY$5-1)</f>
        <v>-861.903789562803</v>
      </c>
      <c r="AZ28" s="67" t="n">
        <f aca="false">-AZ17*Inputs!$E$30*(1+Inputs!$E$34)^(AZ$5-1)</f>
        <v>-861.903789562803</v>
      </c>
      <c r="BA28" s="67" t="n">
        <f aca="false">-BA17*Inputs!$E$30*(1+Inputs!$E$34)^(BA$5-1)</f>
        <v>-1162.8883609005</v>
      </c>
      <c r="BB28" s="67" t="n">
        <f aca="false">-BB17*Inputs!$E$30*(1+Inputs!$E$34)^(BB$5-1)</f>
        <v>-1162.8883609005</v>
      </c>
      <c r="BC28" s="67" t="n">
        <f aca="false">-BC17*Inputs!$E$30*(1+Inputs!$E$34)^(BC$5-1)</f>
        <v>-1162.8883609005</v>
      </c>
      <c r="BD28" s="67" t="n">
        <f aca="false">-BD17*Inputs!$E$30*(1+Inputs!$E$34)^(BD$5-1)</f>
        <v>-1162.8883609005</v>
      </c>
      <c r="BE28" s="67" t="n">
        <f aca="false">-BE17*Inputs!$E$30*(1+Inputs!$E$34)^(BE$5-1)</f>
        <v>-1162.8883609005</v>
      </c>
      <c r="BF28" s="67" t="n">
        <f aca="false">-BF17*Inputs!$E$30*(1+Inputs!$E$34)^(BF$5-1)</f>
        <v>-1162.8883609005</v>
      </c>
      <c r="BG28" s="67" t="n">
        <f aca="false">-BG17*Inputs!$E$30*(1+Inputs!$E$34)^(BG$5-1)</f>
        <v>-1162.8883609005</v>
      </c>
      <c r="BH28" s="67" t="n">
        <f aca="false">-BH17*Inputs!$E$30*(1+Inputs!$E$34)^(BH$5-1)</f>
        <v>-1162.8883609005</v>
      </c>
      <c r="BI28" s="67" t="n">
        <f aca="false">-BI17*Inputs!$E$30*(1+Inputs!$E$34)^(BI$5-1)</f>
        <v>-1162.8883609005</v>
      </c>
      <c r="BJ28" s="67" t="n">
        <f aca="false">-BJ17*Inputs!$E$30*(1+Inputs!$E$34)^(BJ$5-1)</f>
        <v>-861.903789562803</v>
      </c>
    </row>
    <row r="29" customFormat="false" ht="15" hidden="false" customHeight="false" outlineLevel="0" collapsed="false">
      <c r="A29" s="6" t="s">
        <v>241</v>
      </c>
      <c r="C29" s="67" t="n">
        <f aca="false">C27+C28</f>
        <v>-3772.08</v>
      </c>
      <c r="D29" s="67" t="n">
        <f aca="false">D27+D28</f>
        <v>-4400.76</v>
      </c>
      <c r="E29" s="67" t="n">
        <f aca="false">E27+E28</f>
        <v>-6814.08</v>
      </c>
      <c r="F29" s="67" t="n">
        <f aca="false">F27+F28</f>
        <v>-7665.84</v>
      </c>
      <c r="G29" s="67" t="n">
        <f aca="false">G27+G28</f>
        <v>-8517.6</v>
      </c>
      <c r="H29" s="67" t="n">
        <f aca="false">H27+H28</f>
        <v>-9369.36</v>
      </c>
      <c r="I29" s="67" t="n">
        <f aca="false">I27+I28</f>
        <v>-10221.12</v>
      </c>
      <c r="J29" s="67" t="n">
        <f aca="false">J27+J28</f>
        <v>-10221.12</v>
      </c>
      <c r="K29" s="67" t="n">
        <f aca="false">K27+K28</f>
        <v>-10221.12</v>
      </c>
      <c r="L29" s="67" t="n">
        <f aca="false">L27+L28</f>
        <v>-10221.12</v>
      </c>
      <c r="M29" s="67" t="n">
        <f aca="false">M27+M28</f>
        <v>-10221.12</v>
      </c>
      <c r="N29" s="67" t="n">
        <f aca="false">N27+N28</f>
        <v>-7544.16</v>
      </c>
      <c r="O29" s="67" t="n">
        <f aca="false">O27+O28</f>
        <v>-8034.931944</v>
      </c>
      <c r="P29" s="67" t="n">
        <f aca="false">P27+P28</f>
        <v>-8034.931944</v>
      </c>
      <c r="Q29" s="67" t="n">
        <f aca="false">Q27+Q28</f>
        <v>-10874.918808</v>
      </c>
      <c r="R29" s="67" t="n">
        <f aca="false">R27+R28</f>
        <v>-10874.918808</v>
      </c>
      <c r="S29" s="67" t="n">
        <f aca="false">S27+S28</f>
        <v>-10874.918808</v>
      </c>
      <c r="T29" s="67" t="n">
        <f aca="false">T27+T28</f>
        <v>-10874.918808</v>
      </c>
      <c r="U29" s="67" t="n">
        <f aca="false">U27+U28</f>
        <v>-10874.918808</v>
      </c>
      <c r="V29" s="67" t="n">
        <f aca="false">V27+V28</f>
        <v>-10874.918808</v>
      </c>
      <c r="W29" s="67" t="n">
        <f aca="false">W27+W28</f>
        <v>-10874.918808</v>
      </c>
      <c r="X29" s="67" t="n">
        <f aca="false">X27+X28</f>
        <v>-10874.918808</v>
      </c>
      <c r="Y29" s="67" t="n">
        <f aca="false">Y27+Y28</f>
        <v>-10874.918808</v>
      </c>
      <c r="Z29" s="67" t="n">
        <f aca="false">Z27+Z28</f>
        <v>-8034.931944</v>
      </c>
      <c r="AA29" s="67" t="n">
        <f aca="false">AA27+AA28</f>
        <v>-8558.1455062896</v>
      </c>
      <c r="AB29" s="67" t="n">
        <f aca="false">AB27+AB28</f>
        <v>-8558.1455062896</v>
      </c>
      <c r="AC29" s="67" t="n">
        <f aca="false">AC27+AC28</f>
        <v>-11571.0875703072</v>
      </c>
      <c r="AD29" s="67" t="n">
        <f aca="false">AD27+AD28</f>
        <v>-11571.0875703072</v>
      </c>
      <c r="AE29" s="67" t="n">
        <f aca="false">AE27+AE28</f>
        <v>-11571.0875703072</v>
      </c>
      <c r="AF29" s="67" t="n">
        <f aca="false">AF27+AF28</f>
        <v>-11571.0875703072</v>
      </c>
      <c r="AG29" s="67" t="n">
        <f aca="false">AG27+AG28</f>
        <v>-11571.0875703072</v>
      </c>
      <c r="AH29" s="67" t="n">
        <f aca="false">AH27+AH28</f>
        <v>-11571.0875703072</v>
      </c>
      <c r="AI29" s="67" t="n">
        <f aca="false">AI27+AI28</f>
        <v>-11571.0875703072</v>
      </c>
      <c r="AJ29" s="67" t="n">
        <f aca="false">AJ27+AJ28</f>
        <v>-11571.0875703072</v>
      </c>
      <c r="AK29" s="67" t="n">
        <f aca="false">AK27+AK28</f>
        <v>-11571.0875703072</v>
      </c>
      <c r="AL29" s="67" t="n">
        <f aca="false">AL27+AL28</f>
        <v>-8558.1455062896</v>
      </c>
      <c r="AM29" s="67" t="n">
        <f aca="false">AM27+AM28</f>
        <v>-9115.98450038499</v>
      </c>
      <c r="AN29" s="67" t="n">
        <f aca="false">AN27+AN28</f>
        <v>-9115.98450038499</v>
      </c>
      <c r="AO29" s="67" t="n">
        <f aca="false">AO27+AO28</f>
        <v>-12312.4147361013</v>
      </c>
      <c r="AP29" s="67" t="n">
        <f aca="false">AP27+AP28</f>
        <v>-12312.4147361013</v>
      </c>
      <c r="AQ29" s="67" t="n">
        <f aca="false">AQ27+AQ28</f>
        <v>-12312.4147361013</v>
      </c>
      <c r="AR29" s="67" t="n">
        <f aca="false">AR27+AR28</f>
        <v>-12312.4147361013</v>
      </c>
      <c r="AS29" s="67" t="n">
        <f aca="false">AS27+AS28</f>
        <v>-12312.4147361013</v>
      </c>
      <c r="AT29" s="67" t="n">
        <f aca="false">AT27+AT28</f>
        <v>-12312.4147361013</v>
      </c>
      <c r="AU29" s="67" t="n">
        <f aca="false">AU27+AU28</f>
        <v>-12312.4147361013</v>
      </c>
      <c r="AV29" s="67" t="n">
        <f aca="false">AV27+AV28</f>
        <v>-12312.4147361013</v>
      </c>
      <c r="AW29" s="67" t="n">
        <f aca="false">AW27+AW28</f>
        <v>-12312.4147361013</v>
      </c>
      <c r="AX29" s="67" t="n">
        <f aca="false">AX27+AX28</f>
        <v>-9115.98450038499</v>
      </c>
      <c r="AY29" s="67" t="n">
        <f aca="false">AY27+AY28</f>
        <v>-9710.78269574092</v>
      </c>
      <c r="AZ29" s="67" t="n">
        <f aca="false">AZ27+AZ28</f>
        <v>-9710.78269574092</v>
      </c>
      <c r="BA29" s="67" t="n">
        <f aca="false">BA27+BA28</f>
        <v>-13101.8755328123</v>
      </c>
      <c r="BB29" s="67" t="n">
        <f aca="false">BB27+BB28</f>
        <v>-13101.8755328123</v>
      </c>
      <c r="BC29" s="67" t="n">
        <f aca="false">BC27+BC28</f>
        <v>-13101.8755328123</v>
      </c>
      <c r="BD29" s="67" t="n">
        <f aca="false">BD27+BD28</f>
        <v>-13101.8755328123</v>
      </c>
      <c r="BE29" s="67" t="n">
        <f aca="false">BE27+BE28</f>
        <v>-13101.8755328123</v>
      </c>
      <c r="BF29" s="67" t="n">
        <f aca="false">BF27+BF28</f>
        <v>-13101.8755328123</v>
      </c>
      <c r="BG29" s="67" t="n">
        <f aca="false">BG27+BG28</f>
        <v>-13101.8755328123</v>
      </c>
      <c r="BH29" s="67" t="n">
        <f aca="false">BH27+BH28</f>
        <v>-13101.8755328123</v>
      </c>
      <c r="BI29" s="67" t="n">
        <f aca="false">BI27+BI28</f>
        <v>-13101.8755328123</v>
      </c>
      <c r="BJ29" s="67" t="n">
        <f aca="false">BJ27+BJ28</f>
        <v>-9710.78269574092</v>
      </c>
    </row>
    <row r="30" customFormat="false" ht="15" hidden="false" customHeight="false" outlineLevel="0" collapsed="false">
      <c r="A30" s="6" t="s">
        <v>426</v>
      </c>
      <c r="C30" s="67" t="n">
        <f aca="false">-C24*Inputs!$E$31</f>
        <v>-302.064</v>
      </c>
      <c r="D30" s="67" t="n">
        <f aca="false">-D24*Inputs!$E$31</f>
        <v>-352.408</v>
      </c>
      <c r="E30" s="67" t="n">
        <f aca="false">-E24*Inputs!$E$31</f>
        <v>-545.664</v>
      </c>
      <c r="F30" s="67" t="n">
        <f aca="false">-F24*Inputs!$E$31</f>
        <v>-613.872</v>
      </c>
      <c r="G30" s="67" t="n">
        <f aca="false">-G24*Inputs!$E$31</f>
        <v>-682.08</v>
      </c>
      <c r="H30" s="67" t="n">
        <f aca="false">-H24*Inputs!$E$31</f>
        <v>-750.288</v>
      </c>
      <c r="I30" s="67" t="n">
        <f aca="false">-I24*Inputs!$E$31</f>
        <v>-818.496</v>
      </c>
      <c r="J30" s="67" t="n">
        <f aca="false">-J24*Inputs!$E$31</f>
        <v>-818.496</v>
      </c>
      <c r="K30" s="67" t="n">
        <f aca="false">-K24*Inputs!$E$31</f>
        <v>-818.496</v>
      </c>
      <c r="L30" s="67" t="n">
        <f aca="false">-L24*Inputs!$E$31</f>
        <v>-818.496</v>
      </c>
      <c r="M30" s="67" t="n">
        <f aca="false">-M24*Inputs!$E$31</f>
        <v>-818.496</v>
      </c>
      <c r="N30" s="67" t="n">
        <f aca="false">-N24*Inputs!$E$31</f>
        <v>-604.128</v>
      </c>
      <c r="O30" s="67" t="n">
        <f aca="false">-O24*Inputs!$E$31</f>
        <v>-643.4284752</v>
      </c>
      <c r="P30" s="67" t="n">
        <f aca="false">-P24*Inputs!$E$31</f>
        <v>-643.4284752</v>
      </c>
      <c r="Q30" s="67" t="n">
        <f aca="false">-Q24*Inputs!$E$31</f>
        <v>-870.8514864</v>
      </c>
      <c r="R30" s="67" t="n">
        <f aca="false">-R24*Inputs!$E$31</f>
        <v>-870.8514864</v>
      </c>
      <c r="S30" s="67" t="n">
        <f aca="false">-S24*Inputs!$E$31</f>
        <v>-870.8514864</v>
      </c>
      <c r="T30" s="67" t="n">
        <f aca="false">-T24*Inputs!$E$31</f>
        <v>-870.8514864</v>
      </c>
      <c r="U30" s="67" t="n">
        <f aca="false">-U24*Inputs!$E$31</f>
        <v>-870.8514864</v>
      </c>
      <c r="V30" s="67" t="n">
        <f aca="false">-V24*Inputs!$E$31</f>
        <v>-870.8514864</v>
      </c>
      <c r="W30" s="67" t="n">
        <f aca="false">-W24*Inputs!$E$31</f>
        <v>-870.8514864</v>
      </c>
      <c r="X30" s="67" t="n">
        <f aca="false">-X24*Inputs!$E$31</f>
        <v>-870.8514864</v>
      </c>
      <c r="Y30" s="67" t="n">
        <f aca="false">-Y24*Inputs!$E$31</f>
        <v>-870.8514864</v>
      </c>
      <c r="Z30" s="67" t="n">
        <f aca="false">-Z24*Inputs!$E$31</f>
        <v>-643.4284752</v>
      </c>
      <c r="AA30" s="67" t="n">
        <f aca="false">-AA24*Inputs!$E$31</f>
        <v>-685.32683935968</v>
      </c>
      <c r="AB30" s="67" t="n">
        <f aca="false">-AB24*Inputs!$E$31</f>
        <v>-685.32683935968</v>
      </c>
      <c r="AC30" s="67" t="n">
        <f aca="false">-AC24*Inputs!$E$31</f>
        <v>-926.59991194176</v>
      </c>
      <c r="AD30" s="67" t="n">
        <f aca="false">-AD24*Inputs!$E$31</f>
        <v>-926.59991194176</v>
      </c>
      <c r="AE30" s="67" t="n">
        <f aca="false">-AE24*Inputs!$E$31</f>
        <v>-926.59991194176</v>
      </c>
      <c r="AF30" s="67" t="n">
        <f aca="false">-AF24*Inputs!$E$31</f>
        <v>-926.59991194176</v>
      </c>
      <c r="AG30" s="67" t="n">
        <f aca="false">-AG24*Inputs!$E$31</f>
        <v>-926.59991194176</v>
      </c>
      <c r="AH30" s="67" t="n">
        <f aca="false">-AH24*Inputs!$E$31</f>
        <v>-926.59991194176</v>
      </c>
      <c r="AI30" s="67" t="n">
        <f aca="false">-AI24*Inputs!$E$31</f>
        <v>-926.59991194176</v>
      </c>
      <c r="AJ30" s="67" t="n">
        <f aca="false">-AJ24*Inputs!$E$31</f>
        <v>-926.59991194176</v>
      </c>
      <c r="AK30" s="67" t="n">
        <f aca="false">-AK24*Inputs!$E$31</f>
        <v>-926.59991194176</v>
      </c>
      <c r="AL30" s="67" t="n">
        <f aca="false">-AL24*Inputs!$E$31</f>
        <v>-685.32683935968</v>
      </c>
      <c r="AM30" s="67" t="n">
        <f aca="false">-AM24*Inputs!$E$31</f>
        <v>-729.997969853315</v>
      </c>
      <c r="AN30" s="67" t="n">
        <f aca="false">-AN24*Inputs!$E$31</f>
        <v>-729.997969853315</v>
      </c>
      <c r="AO30" s="67" t="n">
        <f aca="false">-AO24*Inputs!$E$31</f>
        <v>-985.964572555643</v>
      </c>
      <c r="AP30" s="67" t="n">
        <f aca="false">-AP24*Inputs!$E$31</f>
        <v>-985.964572555643</v>
      </c>
      <c r="AQ30" s="67" t="n">
        <f aca="false">-AQ24*Inputs!$E$31</f>
        <v>-985.964572555643</v>
      </c>
      <c r="AR30" s="67" t="n">
        <f aca="false">-AR24*Inputs!$E$31</f>
        <v>-985.964572555643</v>
      </c>
      <c r="AS30" s="67" t="n">
        <f aca="false">-AS24*Inputs!$E$31</f>
        <v>-985.964572555643</v>
      </c>
      <c r="AT30" s="67" t="n">
        <f aca="false">-AT24*Inputs!$E$31</f>
        <v>-985.964572555643</v>
      </c>
      <c r="AU30" s="67" t="n">
        <f aca="false">-AU24*Inputs!$E$31</f>
        <v>-985.964572555643</v>
      </c>
      <c r="AV30" s="67" t="n">
        <f aca="false">-AV24*Inputs!$E$31</f>
        <v>-985.964572555643</v>
      </c>
      <c r="AW30" s="67" t="n">
        <f aca="false">-AW24*Inputs!$E$31</f>
        <v>-985.964572555643</v>
      </c>
      <c r="AX30" s="67" t="n">
        <f aca="false">-AX24*Inputs!$E$31</f>
        <v>-729.997969853315</v>
      </c>
      <c r="AY30" s="67" t="n">
        <f aca="false">-AY24*Inputs!$E$31</f>
        <v>-777.628752361107</v>
      </c>
      <c r="AZ30" s="67" t="n">
        <f aca="false">-AZ24*Inputs!$E$31</f>
        <v>-777.628752361107</v>
      </c>
      <c r="BA30" s="67" t="n">
        <f aca="false">-BA24*Inputs!$E$31</f>
        <v>-1049.18372116801</v>
      </c>
      <c r="BB30" s="67" t="n">
        <f aca="false">-BB24*Inputs!$E$31</f>
        <v>-1049.18372116801</v>
      </c>
      <c r="BC30" s="67" t="n">
        <f aca="false">-BC24*Inputs!$E$31</f>
        <v>-1049.18372116801</v>
      </c>
      <c r="BD30" s="67" t="n">
        <f aca="false">-BD24*Inputs!$E$31</f>
        <v>-1049.18372116801</v>
      </c>
      <c r="BE30" s="67" t="n">
        <f aca="false">-BE24*Inputs!$E$31</f>
        <v>-1049.18372116801</v>
      </c>
      <c r="BF30" s="67" t="n">
        <f aca="false">-BF24*Inputs!$E$31</f>
        <v>-1049.18372116801</v>
      </c>
      <c r="BG30" s="67" t="n">
        <f aca="false">-BG24*Inputs!$E$31</f>
        <v>-1049.18372116801</v>
      </c>
      <c r="BH30" s="67" t="n">
        <f aca="false">-BH24*Inputs!$E$31</f>
        <v>-1049.18372116801</v>
      </c>
      <c r="BI30" s="67" t="n">
        <f aca="false">-BI24*Inputs!$E$31</f>
        <v>-1049.18372116801</v>
      </c>
      <c r="BJ30" s="67" t="n">
        <f aca="false">-BJ24*Inputs!$E$31</f>
        <v>-777.628752361107</v>
      </c>
    </row>
    <row r="31" customFormat="false" ht="15" hidden="false" customHeight="false" outlineLevel="0" collapsed="false">
      <c r="A31" s="6" t="s">
        <v>427</v>
      </c>
      <c r="C31" s="67" t="n">
        <f aca="false">-C23*Inputs!$E$32-C13*Inputs!$E$33*(1+Inputs!$E$34)^(C$5-1)</f>
        <v>-234</v>
      </c>
      <c r="D31" s="67" t="n">
        <f aca="false">-D23*Inputs!$E$32-D13*Inputs!$E$33*(1+Inputs!$E$34)^(D$5-1)</f>
        <v>-273</v>
      </c>
      <c r="E31" s="67" t="n">
        <f aca="false">-E23*Inputs!$E$32-E13*Inputs!$E$33*(1+Inputs!$E$34)^(E$5-1)</f>
        <v>-312</v>
      </c>
      <c r="F31" s="67" t="n">
        <f aca="false">-F23*Inputs!$E$32-F13*Inputs!$E$33*(1+Inputs!$E$34)^(F$5-1)</f>
        <v>-351</v>
      </c>
      <c r="G31" s="67" t="n">
        <f aca="false">-G23*Inputs!$E$32-G13*Inputs!$E$33*(1+Inputs!$E$34)^(G$5-1)</f>
        <v>-390</v>
      </c>
      <c r="H31" s="67" t="n">
        <f aca="false">-H23*Inputs!$E$32-H13*Inputs!$E$33*(1+Inputs!$E$34)^(H$5-1)</f>
        <v>-429</v>
      </c>
      <c r="I31" s="67" t="n">
        <f aca="false">-I23*Inputs!$E$32-I13*Inputs!$E$33*(1+Inputs!$E$34)^(I$5-1)</f>
        <v>-468</v>
      </c>
      <c r="J31" s="67" t="n">
        <f aca="false">-J23*Inputs!$E$32-J13*Inputs!$E$33*(1+Inputs!$E$34)^(J$5-1)</f>
        <v>-468</v>
      </c>
      <c r="K31" s="67" t="n">
        <f aca="false">-K23*Inputs!$E$32-K13*Inputs!$E$33*(1+Inputs!$E$34)^(K$5-1)</f>
        <v>-468</v>
      </c>
      <c r="L31" s="67" t="n">
        <f aca="false">-L23*Inputs!$E$32-L13*Inputs!$E$33*(1+Inputs!$E$34)^(L$5-1)</f>
        <v>-468</v>
      </c>
      <c r="M31" s="67" t="n">
        <f aca="false">-M23*Inputs!$E$32-M13*Inputs!$E$33*(1+Inputs!$E$34)^(M$5-1)</f>
        <v>-468</v>
      </c>
      <c r="N31" s="67" t="n">
        <f aca="false">-N23*Inputs!$E$32-N13*Inputs!$E$33*(1+Inputs!$E$34)^(N$5-1)</f>
        <v>-468</v>
      </c>
      <c r="O31" s="67" t="n">
        <f aca="false">-O23*Inputs!$E$32-O13*Inputs!$E$33*(1+Inputs!$E$34)^(O$5-1)</f>
        <v>-506.142</v>
      </c>
      <c r="P31" s="67" t="n">
        <f aca="false">-P23*Inputs!$E$32-P13*Inputs!$E$33*(1+Inputs!$E$34)^(P$5-1)</f>
        <v>-506.142</v>
      </c>
      <c r="Q31" s="67" t="n">
        <f aca="false">-Q23*Inputs!$E$32-Q13*Inputs!$E$33*(1+Inputs!$E$34)^(Q$5-1)</f>
        <v>-506.142</v>
      </c>
      <c r="R31" s="67" t="n">
        <f aca="false">-R23*Inputs!$E$32-R13*Inputs!$E$33*(1+Inputs!$E$34)^(R$5-1)</f>
        <v>-506.142</v>
      </c>
      <c r="S31" s="67" t="n">
        <f aca="false">-S23*Inputs!$E$32-S13*Inputs!$E$33*(1+Inputs!$E$34)^(S$5-1)</f>
        <v>-506.142</v>
      </c>
      <c r="T31" s="67" t="n">
        <f aca="false">-T23*Inputs!$E$32-T13*Inputs!$E$33*(1+Inputs!$E$34)^(T$5-1)</f>
        <v>-506.142</v>
      </c>
      <c r="U31" s="67" t="n">
        <f aca="false">-U23*Inputs!$E$32-U13*Inputs!$E$33*(1+Inputs!$E$34)^(U$5-1)</f>
        <v>-506.142</v>
      </c>
      <c r="V31" s="67" t="n">
        <f aca="false">-V23*Inputs!$E$32-V13*Inputs!$E$33*(1+Inputs!$E$34)^(V$5-1)</f>
        <v>-506.142</v>
      </c>
      <c r="W31" s="67" t="n">
        <f aca="false">-W23*Inputs!$E$32-W13*Inputs!$E$33*(1+Inputs!$E$34)^(W$5-1)</f>
        <v>-506.142</v>
      </c>
      <c r="X31" s="67" t="n">
        <f aca="false">-X23*Inputs!$E$32-X13*Inputs!$E$33*(1+Inputs!$E$34)^(X$5-1)</f>
        <v>-506.142</v>
      </c>
      <c r="Y31" s="67" t="n">
        <f aca="false">-Y23*Inputs!$E$32-Y13*Inputs!$E$33*(1+Inputs!$E$34)^(Y$5-1)</f>
        <v>-506.142</v>
      </c>
      <c r="Z31" s="67" t="n">
        <f aca="false">-Z23*Inputs!$E$32-Z13*Inputs!$E$33*(1+Inputs!$E$34)^(Z$5-1)</f>
        <v>-506.142</v>
      </c>
      <c r="AA31" s="67" t="n">
        <f aca="false">-AA23*Inputs!$E$32-AA13*Inputs!$E$33*(1+Inputs!$E$34)^(AA$5-1)</f>
        <v>-547.392573</v>
      </c>
      <c r="AB31" s="67" t="n">
        <f aca="false">-AB23*Inputs!$E$32-AB13*Inputs!$E$33*(1+Inputs!$E$34)^(AB$5-1)</f>
        <v>-547.392573</v>
      </c>
      <c r="AC31" s="67" t="n">
        <f aca="false">-AC23*Inputs!$E$32-AC13*Inputs!$E$33*(1+Inputs!$E$34)^(AC$5-1)</f>
        <v>-547.392573</v>
      </c>
      <c r="AD31" s="67" t="n">
        <f aca="false">-AD23*Inputs!$E$32-AD13*Inputs!$E$33*(1+Inputs!$E$34)^(AD$5-1)</f>
        <v>-547.392573</v>
      </c>
      <c r="AE31" s="67" t="n">
        <f aca="false">-AE23*Inputs!$E$32-AE13*Inputs!$E$33*(1+Inputs!$E$34)^(AE$5-1)</f>
        <v>-547.392573</v>
      </c>
      <c r="AF31" s="67" t="n">
        <f aca="false">-AF23*Inputs!$E$32-AF13*Inputs!$E$33*(1+Inputs!$E$34)^(AF$5-1)</f>
        <v>-547.392573</v>
      </c>
      <c r="AG31" s="67" t="n">
        <f aca="false">-AG23*Inputs!$E$32-AG13*Inputs!$E$33*(1+Inputs!$E$34)^(AG$5-1)</f>
        <v>-547.392573</v>
      </c>
      <c r="AH31" s="67" t="n">
        <f aca="false">-AH23*Inputs!$E$32-AH13*Inputs!$E$33*(1+Inputs!$E$34)^(AH$5-1)</f>
        <v>-547.392573</v>
      </c>
      <c r="AI31" s="67" t="n">
        <f aca="false">-AI23*Inputs!$E$32-AI13*Inputs!$E$33*(1+Inputs!$E$34)^(AI$5-1)</f>
        <v>-547.392573</v>
      </c>
      <c r="AJ31" s="67" t="n">
        <f aca="false">-AJ23*Inputs!$E$32-AJ13*Inputs!$E$33*(1+Inputs!$E$34)^(AJ$5-1)</f>
        <v>-547.392573</v>
      </c>
      <c r="AK31" s="67" t="n">
        <f aca="false">-AK23*Inputs!$E$32-AK13*Inputs!$E$33*(1+Inputs!$E$34)^(AK$5-1)</f>
        <v>-547.392573</v>
      </c>
      <c r="AL31" s="67" t="n">
        <f aca="false">-AL23*Inputs!$E$32-AL13*Inputs!$E$33*(1+Inputs!$E$34)^(AL$5-1)</f>
        <v>-547.392573</v>
      </c>
      <c r="AM31" s="67" t="n">
        <f aca="false">-AM23*Inputs!$E$32-AM13*Inputs!$E$33*(1+Inputs!$E$34)^(AM$5-1)</f>
        <v>-592.0050676995</v>
      </c>
      <c r="AN31" s="67" t="n">
        <f aca="false">-AN23*Inputs!$E$32-AN13*Inputs!$E$33*(1+Inputs!$E$34)^(AN$5-1)</f>
        <v>-592.0050676995</v>
      </c>
      <c r="AO31" s="67" t="n">
        <f aca="false">-AO23*Inputs!$E$32-AO13*Inputs!$E$33*(1+Inputs!$E$34)^(AO$5-1)</f>
        <v>-592.0050676995</v>
      </c>
      <c r="AP31" s="67" t="n">
        <f aca="false">-AP23*Inputs!$E$32-AP13*Inputs!$E$33*(1+Inputs!$E$34)^(AP$5-1)</f>
        <v>-592.0050676995</v>
      </c>
      <c r="AQ31" s="67" t="n">
        <f aca="false">-AQ23*Inputs!$E$32-AQ13*Inputs!$E$33*(1+Inputs!$E$34)^(AQ$5-1)</f>
        <v>-592.0050676995</v>
      </c>
      <c r="AR31" s="67" t="n">
        <f aca="false">-AR23*Inputs!$E$32-AR13*Inputs!$E$33*(1+Inputs!$E$34)^(AR$5-1)</f>
        <v>-592.0050676995</v>
      </c>
      <c r="AS31" s="67" t="n">
        <f aca="false">-AS23*Inputs!$E$32-AS13*Inputs!$E$33*(1+Inputs!$E$34)^(AS$5-1)</f>
        <v>-592.0050676995</v>
      </c>
      <c r="AT31" s="67" t="n">
        <f aca="false">-AT23*Inputs!$E$32-AT13*Inputs!$E$33*(1+Inputs!$E$34)^(AT$5-1)</f>
        <v>-592.0050676995</v>
      </c>
      <c r="AU31" s="67" t="n">
        <f aca="false">-AU23*Inputs!$E$32-AU13*Inputs!$E$33*(1+Inputs!$E$34)^(AU$5-1)</f>
        <v>-592.0050676995</v>
      </c>
      <c r="AV31" s="67" t="n">
        <f aca="false">-AV23*Inputs!$E$32-AV13*Inputs!$E$33*(1+Inputs!$E$34)^(AV$5-1)</f>
        <v>-592.0050676995</v>
      </c>
      <c r="AW31" s="67" t="n">
        <f aca="false">-AW23*Inputs!$E$32-AW13*Inputs!$E$33*(1+Inputs!$E$34)^(AW$5-1)</f>
        <v>-592.0050676995</v>
      </c>
      <c r="AX31" s="67" t="n">
        <f aca="false">-AX23*Inputs!$E$32-AX13*Inputs!$E$33*(1+Inputs!$E$34)^(AX$5-1)</f>
        <v>-592.0050676995</v>
      </c>
      <c r="AY31" s="67" t="n">
        <f aca="false">-AY23*Inputs!$E$32-AY13*Inputs!$E$33*(1+Inputs!$E$34)^(AY$5-1)</f>
        <v>-640.25348071701</v>
      </c>
      <c r="AZ31" s="67" t="n">
        <f aca="false">-AZ23*Inputs!$E$32-AZ13*Inputs!$E$33*(1+Inputs!$E$34)^(AZ$5-1)</f>
        <v>-640.25348071701</v>
      </c>
      <c r="BA31" s="67" t="n">
        <f aca="false">-BA23*Inputs!$E$32-BA13*Inputs!$E$33*(1+Inputs!$E$34)^(BA$5-1)</f>
        <v>-640.25348071701</v>
      </c>
      <c r="BB31" s="67" t="n">
        <f aca="false">-BB23*Inputs!$E$32-BB13*Inputs!$E$33*(1+Inputs!$E$34)^(BB$5-1)</f>
        <v>-640.25348071701</v>
      </c>
      <c r="BC31" s="67" t="n">
        <f aca="false">-BC23*Inputs!$E$32-BC13*Inputs!$E$33*(1+Inputs!$E$34)^(BC$5-1)</f>
        <v>-640.25348071701</v>
      </c>
      <c r="BD31" s="67" t="n">
        <f aca="false">-BD23*Inputs!$E$32-BD13*Inputs!$E$33*(1+Inputs!$E$34)^(BD$5-1)</f>
        <v>-640.25348071701</v>
      </c>
      <c r="BE31" s="67" t="n">
        <f aca="false">-BE23*Inputs!$E$32-BE13*Inputs!$E$33*(1+Inputs!$E$34)^(BE$5-1)</f>
        <v>-640.25348071701</v>
      </c>
      <c r="BF31" s="67" t="n">
        <f aca="false">-BF23*Inputs!$E$32-BF13*Inputs!$E$33*(1+Inputs!$E$34)^(BF$5-1)</f>
        <v>-640.25348071701</v>
      </c>
      <c r="BG31" s="67" t="n">
        <f aca="false">-BG23*Inputs!$E$32-BG13*Inputs!$E$33*(1+Inputs!$E$34)^(BG$5-1)</f>
        <v>-640.25348071701</v>
      </c>
      <c r="BH31" s="67" t="n">
        <f aca="false">-BH23*Inputs!$E$32-BH13*Inputs!$E$33*(1+Inputs!$E$34)^(BH$5-1)</f>
        <v>-640.25348071701</v>
      </c>
      <c r="BI31" s="67" t="n">
        <f aca="false">-BI23*Inputs!$E$32-BI13*Inputs!$E$33*(1+Inputs!$E$34)^(BI$5-1)</f>
        <v>-640.25348071701</v>
      </c>
      <c r="BJ31" s="67" t="n">
        <f aca="false">-BJ23*Inputs!$E$32-BJ13*Inputs!$E$33*(1+Inputs!$E$34)^(BJ$5-1)</f>
        <v>-640.25348071701</v>
      </c>
    </row>
    <row r="32" customFormat="false" ht="15" hidden="false" customHeight="false" outlineLevel="0" collapsed="false">
      <c r="A32" s="4" t="s">
        <v>76</v>
      </c>
      <c r="C32" s="73" t="n">
        <f aca="false">C29+C30+C31</f>
        <v>-4308.144</v>
      </c>
      <c r="D32" s="73" t="n">
        <f aca="false">D29+D30+D31</f>
        <v>-5026.168</v>
      </c>
      <c r="E32" s="73" t="n">
        <f aca="false">E29+E30+E31</f>
        <v>-7671.744</v>
      </c>
      <c r="F32" s="73" t="n">
        <f aca="false">F29+F30+F31</f>
        <v>-8630.712</v>
      </c>
      <c r="G32" s="73" t="n">
        <f aca="false">G29+G30+G31</f>
        <v>-9589.68</v>
      </c>
      <c r="H32" s="73" t="n">
        <f aca="false">H29+H30+H31</f>
        <v>-10548.648</v>
      </c>
      <c r="I32" s="73" t="n">
        <f aca="false">I29+I30+I31</f>
        <v>-11507.616</v>
      </c>
      <c r="J32" s="73" t="n">
        <f aca="false">J29+J30+J31</f>
        <v>-11507.616</v>
      </c>
      <c r="K32" s="73" t="n">
        <f aca="false">K29+K30+K31</f>
        <v>-11507.616</v>
      </c>
      <c r="L32" s="73" t="n">
        <f aca="false">L29+L30+L31</f>
        <v>-11507.616</v>
      </c>
      <c r="M32" s="73" t="n">
        <f aca="false">M29+M30+M31</f>
        <v>-11507.616</v>
      </c>
      <c r="N32" s="73" t="n">
        <f aca="false">N29+N30+N31</f>
        <v>-8616.288</v>
      </c>
      <c r="O32" s="73" t="n">
        <f aca="false">O29+O30+O31</f>
        <v>-9184.5024192</v>
      </c>
      <c r="P32" s="73" t="n">
        <f aca="false">P29+P30+P31</f>
        <v>-9184.5024192</v>
      </c>
      <c r="Q32" s="73" t="n">
        <f aca="false">Q29+Q30+Q31</f>
        <v>-12251.9122944</v>
      </c>
      <c r="R32" s="73" t="n">
        <f aca="false">R29+R30+R31</f>
        <v>-12251.9122944</v>
      </c>
      <c r="S32" s="73" t="n">
        <f aca="false">S29+S30+S31</f>
        <v>-12251.9122944</v>
      </c>
      <c r="T32" s="73" t="n">
        <f aca="false">T29+T30+T31</f>
        <v>-12251.9122944</v>
      </c>
      <c r="U32" s="73" t="n">
        <f aca="false">U29+U30+U31</f>
        <v>-12251.9122944</v>
      </c>
      <c r="V32" s="73" t="n">
        <f aca="false">V29+V30+V31</f>
        <v>-12251.9122944</v>
      </c>
      <c r="W32" s="73" t="n">
        <f aca="false">W29+W30+W31</f>
        <v>-12251.9122944</v>
      </c>
      <c r="X32" s="73" t="n">
        <f aca="false">X29+X30+X31</f>
        <v>-12251.9122944</v>
      </c>
      <c r="Y32" s="73" t="n">
        <f aca="false">Y29+Y30+Y31</f>
        <v>-12251.9122944</v>
      </c>
      <c r="Z32" s="73" t="n">
        <f aca="false">Z29+Z30+Z31</f>
        <v>-9184.5024192</v>
      </c>
      <c r="AA32" s="73" t="n">
        <f aca="false">AA29+AA30+AA31</f>
        <v>-9790.86491864928</v>
      </c>
      <c r="AB32" s="73" t="n">
        <f aca="false">AB29+AB30+AB31</f>
        <v>-9790.86491864928</v>
      </c>
      <c r="AC32" s="73" t="n">
        <f aca="false">AC29+AC30+AC31</f>
        <v>-13045.080055249</v>
      </c>
      <c r="AD32" s="73" t="n">
        <f aca="false">AD29+AD30+AD31</f>
        <v>-13045.080055249</v>
      </c>
      <c r="AE32" s="73" t="n">
        <f aca="false">AE29+AE30+AE31</f>
        <v>-13045.080055249</v>
      </c>
      <c r="AF32" s="73" t="n">
        <f aca="false">AF29+AF30+AF31</f>
        <v>-13045.080055249</v>
      </c>
      <c r="AG32" s="73" t="n">
        <f aca="false">AG29+AG30+AG31</f>
        <v>-13045.080055249</v>
      </c>
      <c r="AH32" s="73" t="n">
        <f aca="false">AH29+AH30+AH31</f>
        <v>-13045.080055249</v>
      </c>
      <c r="AI32" s="73" t="n">
        <f aca="false">AI29+AI30+AI31</f>
        <v>-13045.080055249</v>
      </c>
      <c r="AJ32" s="73" t="n">
        <f aca="false">AJ29+AJ30+AJ31</f>
        <v>-13045.080055249</v>
      </c>
      <c r="AK32" s="73" t="n">
        <f aca="false">AK29+AK30+AK31</f>
        <v>-13045.080055249</v>
      </c>
      <c r="AL32" s="73" t="n">
        <f aca="false">AL29+AL30+AL31</f>
        <v>-9790.86491864928</v>
      </c>
      <c r="AM32" s="73" t="n">
        <f aca="false">AM29+AM30+AM31</f>
        <v>-10437.9875379378</v>
      </c>
      <c r="AN32" s="73" t="n">
        <f aca="false">AN29+AN30+AN31</f>
        <v>-10437.9875379378</v>
      </c>
      <c r="AO32" s="73" t="n">
        <f aca="false">AO29+AO30+AO31</f>
        <v>-13890.3843763564</v>
      </c>
      <c r="AP32" s="73" t="n">
        <f aca="false">AP29+AP30+AP31</f>
        <v>-13890.3843763564</v>
      </c>
      <c r="AQ32" s="73" t="n">
        <f aca="false">AQ29+AQ30+AQ31</f>
        <v>-13890.3843763564</v>
      </c>
      <c r="AR32" s="73" t="n">
        <f aca="false">AR29+AR30+AR31</f>
        <v>-13890.3843763564</v>
      </c>
      <c r="AS32" s="73" t="n">
        <f aca="false">AS29+AS30+AS31</f>
        <v>-13890.3843763564</v>
      </c>
      <c r="AT32" s="73" t="n">
        <f aca="false">AT29+AT30+AT31</f>
        <v>-13890.3843763564</v>
      </c>
      <c r="AU32" s="73" t="n">
        <f aca="false">AU29+AU30+AU31</f>
        <v>-13890.3843763564</v>
      </c>
      <c r="AV32" s="73" t="n">
        <f aca="false">AV29+AV30+AV31</f>
        <v>-13890.3843763564</v>
      </c>
      <c r="AW32" s="73" t="n">
        <f aca="false">AW29+AW30+AW31</f>
        <v>-13890.3843763564</v>
      </c>
      <c r="AX32" s="73" t="n">
        <f aca="false">AX29+AX30+AX31</f>
        <v>-10437.9875379378</v>
      </c>
      <c r="AY32" s="73" t="n">
        <f aca="false">AY29+AY30+AY31</f>
        <v>-11128.664928819</v>
      </c>
      <c r="AZ32" s="73" t="n">
        <f aca="false">AZ29+AZ30+AZ31</f>
        <v>-11128.664928819</v>
      </c>
      <c r="BA32" s="73" t="n">
        <f aca="false">BA29+BA30+BA31</f>
        <v>-14791.3127346973</v>
      </c>
      <c r="BB32" s="73" t="n">
        <f aca="false">BB29+BB30+BB31</f>
        <v>-14791.3127346973</v>
      </c>
      <c r="BC32" s="73" t="n">
        <f aca="false">BC29+BC30+BC31</f>
        <v>-14791.3127346973</v>
      </c>
      <c r="BD32" s="73" t="n">
        <f aca="false">BD29+BD30+BD31</f>
        <v>-14791.3127346973</v>
      </c>
      <c r="BE32" s="73" t="n">
        <f aca="false">BE29+BE30+BE31</f>
        <v>-14791.3127346973</v>
      </c>
      <c r="BF32" s="73" t="n">
        <f aca="false">BF29+BF30+BF31</f>
        <v>-14791.3127346973</v>
      </c>
      <c r="BG32" s="73" t="n">
        <f aca="false">BG29+BG30+BG31</f>
        <v>-14791.3127346973</v>
      </c>
      <c r="BH32" s="73" t="n">
        <f aca="false">BH29+BH30+BH31</f>
        <v>-14791.3127346973</v>
      </c>
      <c r="BI32" s="73" t="n">
        <f aca="false">BI29+BI30+BI31</f>
        <v>-14791.3127346973</v>
      </c>
      <c r="BJ32" s="73" t="n">
        <f aca="false">BJ29+BJ30+BJ31</f>
        <v>-11128.664928819</v>
      </c>
    </row>
    <row r="33" customFormat="false" ht="15" hidden="false" customHeight="false" outlineLevel="0" collapsed="false">
      <c r="A33" s="113" t="s">
        <v>45</v>
      </c>
      <c r="C33" s="68" t="n">
        <f aca="false">C24+C32</f>
        <v>6107.856</v>
      </c>
      <c r="D33" s="68" t="n">
        <f aca="false">D24+D32</f>
        <v>7125.832</v>
      </c>
      <c r="E33" s="68" t="n">
        <f aca="false">E24+E32</f>
        <v>11144.256</v>
      </c>
      <c r="F33" s="68" t="n">
        <f aca="false">F24+F32</f>
        <v>12537.288</v>
      </c>
      <c r="G33" s="68" t="n">
        <f aca="false">G24+G32</f>
        <v>13930.32</v>
      </c>
      <c r="H33" s="68" t="n">
        <f aca="false">H24+H32</f>
        <v>15323.352</v>
      </c>
      <c r="I33" s="68" t="n">
        <f aca="false">I24+I32</f>
        <v>16716.384</v>
      </c>
      <c r="J33" s="68" t="n">
        <f aca="false">J24+J32</f>
        <v>16716.384</v>
      </c>
      <c r="K33" s="68" t="n">
        <f aca="false">K24+K32</f>
        <v>16716.384</v>
      </c>
      <c r="L33" s="68" t="n">
        <f aca="false">L24+L32</f>
        <v>16716.384</v>
      </c>
      <c r="M33" s="68" t="n">
        <f aca="false">M24+M32</f>
        <v>16716.384</v>
      </c>
      <c r="N33" s="68" t="n">
        <f aca="false">N24+N32</f>
        <v>12215.712</v>
      </c>
      <c r="O33" s="68" t="n">
        <f aca="false">O24+O32</f>
        <v>13002.6863808</v>
      </c>
      <c r="P33" s="68" t="n">
        <f aca="false">P24+P32</f>
        <v>13002.6863808</v>
      </c>
      <c r="Q33" s="68" t="n">
        <f aca="false">Q24+Q32</f>
        <v>17777.4493056</v>
      </c>
      <c r="R33" s="68" t="n">
        <f aca="false">R24+R32</f>
        <v>17777.4493056</v>
      </c>
      <c r="S33" s="68" t="n">
        <f aca="false">S24+S32</f>
        <v>17777.4493056</v>
      </c>
      <c r="T33" s="68" t="n">
        <f aca="false">T24+T32</f>
        <v>17777.4493056</v>
      </c>
      <c r="U33" s="68" t="n">
        <f aca="false">U24+U32</f>
        <v>17777.4493056</v>
      </c>
      <c r="V33" s="68" t="n">
        <f aca="false">V24+V32</f>
        <v>17777.4493056</v>
      </c>
      <c r="W33" s="68" t="n">
        <f aca="false">W24+W32</f>
        <v>17777.4493056</v>
      </c>
      <c r="X33" s="68" t="n">
        <f aca="false">X24+X32</f>
        <v>17777.4493056</v>
      </c>
      <c r="Y33" s="68" t="n">
        <f aca="false">Y24+Y32</f>
        <v>17777.4493056</v>
      </c>
      <c r="Z33" s="68" t="n">
        <f aca="false">Z24+Z32</f>
        <v>13002.6863808</v>
      </c>
      <c r="AA33" s="68" t="n">
        <f aca="false">AA24+AA32</f>
        <v>13841.0950592707</v>
      </c>
      <c r="AB33" s="68" t="n">
        <f aca="false">AB24+AB32</f>
        <v>13841.0950592707</v>
      </c>
      <c r="AC33" s="68" t="n">
        <f aca="false">AC24+AC32</f>
        <v>18906.641046191</v>
      </c>
      <c r="AD33" s="68" t="n">
        <f aca="false">AD24+AD32</f>
        <v>18906.641046191</v>
      </c>
      <c r="AE33" s="68" t="n">
        <f aca="false">AE24+AE32</f>
        <v>18906.641046191</v>
      </c>
      <c r="AF33" s="68" t="n">
        <f aca="false">AF24+AF32</f>
        <v>18906.641046191</v>
      </c>
      <c r="AG33" s="68" t="n">
        <f aca="false">AG24+AG32</f>
        <v>18906.641046191</v>
      </c>
      <c r="AH33" s="68" t="n">
        <f aca="false">AH24+AH32</f>
        <v>18906.641046191</v>
      </c>
      <c r="AI33" s="68" t="n">
        <f aca="false">AI24+AI32</f>
        <v>18906.641046191</v>
      </c>
      <c r="AJ33" s="68" t="n">
        <f aca="false">AJ24+AJ32</f>
        <v>18906.641046191</v>
      </c>
      <c r="AK33" s="68" t="n">
        <f aca="false">AK24+AK32</f>
        <v>18906.641046191</v>
      </c>
      <c r="AL33" s="68" t="n">
        <f aca="false">AL24+AL32</f>
        <v>13841.0950592707</v>
      </c>
      <c r="AM33" s="68" t="n">
        <f aca="false">AM24+AM32</f>
        <v>14734.3562501075</v>
      </c>
      <c r="AN33" s="68" t="n">
        <f aca="false">AN24+AN32</f>
        <v>14734.3562501075</v>
      </c>
      <c r="AO33" s="68" t="n">
        <f aca="false">AO24+AO32</f>
        <v>20108.3939876313</v>
      </c>
      <c r="AP33" s="68" t="n">
        <f aca="false">AP24+AP32</f>
        <v>20108.3939876313</v>
      </c>
      <c r="AQ33" s="68" t="n">
        <f aca="false">AQ24+AQ32</f>
        <v>20108.3939876313</v>
      </c>
      <c r="AR33" s="68" t="n">
        <f aca="false">AR24+AR32</f>
        <v>20108.3939876313</v>
      </c>
      <c r="AS33" s="68" t="n">
        <f aca="false">AS24+AS32</f>
        <v>20108.3939876313</v>
      </c>
      <c r="AT33" s="68" t="n">
        <f aca="false">AT24+AT32</f>
        <v>20108.3939876313</v>
      </c>
      <c r="AU33" s="68" t="n">
        <f aca="false">AU24+AU32</f>
        <v>20108.3939876313</v>
      </c>
      <c r="AV33" s="68" t="n">
        <f aca="false">AV24+AV32</f>
        <v>20108.3939876313</v>
      </c>
      <c r="AW33" s="68" t="n">
        <f aca="false">AW24+AW32</f>
        <v>20108.3939876313</v>
      </c>
      <c r="AX33" s="68" t="n">
        <f aca="false">AX24+AX32</f>
        <v>14734.3562501075</v>
      </c>
      <c r="AY33" s="68" t="n">
        <f aca="false">AY24+AY32</f>
        <v>15686.1196353571</v>
      </c>
      <c r="AZ33" s="68" t="n">
        <f aca="false">AZ24+AZ32</f>
        <v>15686.1196353571</v>
      </c>
      <c r="BA33" s="68" t="n">
        <f aca="false">BA24+BA32</f>
        <v>21387.436271096</v>
      </c>
      <c r="BB33" s="68" t="n">
        <f aca="false">BB24+BB32</f>
        <v>21387.436271096</v>
      </c>
      <c r="BC33" s="68" t="n">
        <f aca="false">BC24+BC32</f>
        <v>21387.436271096</v>
      </c>
      <c r="BD33" s="68" t="n">
        <f aca="false">BD24+BD32</f>
        <v>21387.436271096</v>
      </c>
      <c r="BE33" s="68" t="n">
        <f aca="false">BE24+BE32</f>
        <v>21387.436271096</v>
      </c>
      <c r="BF33" s="68" t="n">
        <f aca="false">BF24+BF32</f>
        <v>21387.436271096</v>
      </c>
      <c r="BG33" s="68" t="n">
        <f aca="false">BG24+BG32</f>
        <v>21387.436271096</v>
      </c>
      <c r="BH33" s="68" t="n">
        <f aca="false">BH24+BH32</f>
        <v>21387.436271096</v>
      </c>
      <c r="BI33" s="68" t="n">
        <f aca="false">BI24+BI32</f>
        <v>21387.436271096</v>
      </c>
      <c r="BJ33" s="68" t="n">
        <f aca="false">BJ24+BJ32</f>
        <v>15686.1196353571</v>
      </c>
    </row>
    <row r="35" customFormat="false" ht="15.75" hidden="false" customHeight="true" outlineLevel="0" collapsed="false">
      <c r="A35" s="7" t="s">
        <v>47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customFormat="false" ht="15" hidden="false" customHeight="false" outlineLevel="0" collapsed="false">
      <c r="A36" s="6" t="s">
        <v>332</v>
      </c>
      <c r="C36" s="69" t="n">
        <f aca="false">Headcount!C17</f>
        <v>-9874.66666666667</v>
      </c>
      <c r="D36" s="69" t="n">
        <f aca="false">Headcount!D17</f>
        <v>-9874.66666666667</v>
      </c>
      <c r="E36" s="69" t="n">
        <f aca="false">Headcount!E17</f>
        <v>-9874.66666666667</v>
      </c>
      <c r="F36" s="69" t="n">
        <f aca="false">Headcount!F17</f>
        <v>-9874.66666666667</v>
      </c>
      <c r="G36" s="69" t="n">
        <f aca="false">Headcount!G17</f>
        <v>-9874.66666666667</v>
      </c>
      <c r="H36" s="69" t="n">
        <f aca="false">Headcount!H17</f>
        <v>-9874.66666666667</v>
      </c>
      <c r="I36" s="69" t="n">
        <f aca="false">Headcount!I17</f>
        <v>-9874.66666666667</v>
      </c>
      <c r="J36" s="69" t="n">
        <f aca="false">Headcount!J17</f>
        <v>-9874.66666666667</v>
      </c>
      <c r="K36" s="69" t="n">
        <f aca="false">Headcount!K17</f>
        <v>-9874.66666666667</v>
      </c>
      <c r="L36" s="69" t="n">
        <f aca="false">Headcount!L17</f>
        <v>-9874.66666666667</v>
      </c>
      <c r="M36" s="69" t="n">
        <f aca="false">Headcount!M17</f>
        <v>-9874.66666666667</v>
      </c>
      <c r="N36" s="69" t="n">
        <f aca="false">Headcount!N17</f>
        <v>-9874.66666666667</v>
      </c>
      <c r="O36" s="69" t="n">
        <f aca="false">Headcount!O17</f>
        <v>-10170.9066666667</v>
      </c>
      <c r="P36" s="69" t="n">
        <f aca="false">Headcount!P17</f>
        <v>-10170.9066666667</v>
      </c>
      <c r="Q36" s="69" t="n">
        <f aca="false">Headcount!Q17</f>
        <v>-10170.9066666667</v>
      </c>
      <c r="R36" s="69" t="n">
        <f aca="false">Headcount!R17</f>
        <v>-10170.9066666667</v>
      </c>
      <c r="S36" s="69" t="n">
        <f aca="false">Headcount!S17</f>
        <v>-10170.9066666667</v>
      </c>
      <c r="T36" s="69" t="n">
        <f aca="false">Headcount!T17</f>
        <v>-10170.9066666667</v>
      </c>
      <c r="U36" s="69" t="n">
        <f aca="false">Headcount!U17</f>
        <v>-10170.9066666667</v>
      </c>
      <c r="V36" s="69" t="n">
        <f aca="false">Headcount!V17</f>
        <v>-10170.9066666667</v>
      </c>
      <c r="W36" s="69" t="n">
        <f aca="false">Headcount!W17</f>
        <v>-10170.9066666667</v>
      </c>
      <c r="X36" s="69" t="n">
        <f aca="false">Headcount!X17</f>
        <v>-10170.9066666667</v>
      </c>
      <c r="Y36" s="69" t="n">
        <f aca="false">Headcount!Y17</f>
        <v>-10170.9066666667</v>
      </c>
      <c r="Z36" s="69" t="n">
        <f aca="false">Headcount!Z17</f>
        <v>-10170.9066666667</v>
      </c>
      <c r="AA36" s="69" t="n">
        <f aca="false">Headcount!AA17</f>
        <v>-10476.0338666667</v>
      </c>
      <c r="AB36" s="69" t="n">
        <f aca="false">Headcount!AB17</f>
        <v>-10476.0338666667</v>
      </c>
      <c r="AC36" s="69" t="n">
        <f aca="false">Headcount!AC17</f>
        <v>-10476.0338666667</v>
      </c>
      <c r="AD36" s="69" t="n">
        <f aca="false">Headcount!AD17</f>
        <v>-10476.0338666667</v>
      </c>
      <c r="AE36" s="69" t="n">
        <f aca="false">Headcount!AE17</f>
        <v>-10476.0338666667</v>
      </c>
      <c r="AF36" s="69" t="n">
        <f aca="false">Headcount!AF17</f>
        <v>-10476.0338666667</v>
      </c>
      <c r="AG36" s="69" t="n">
        <f aca="false">Headcount!AG17</f>
        <v>-10476.0338666667</v>
      </c>
      <c r="AH36" s="69" t="n">
        <f aca="false">Headcount!AH17</f>
        <v>-10476.0338666667</v>
      </c>
      <c r="AI36" s="69" t="n">
        <f aca="false">Headcount!AI17</f>
        <v>-10476.0338666667</v>
      </c>
      <c r="AJ36" s="69" t="n">
        <f aca="false">Headcount!AJ17</f>
        <v>-10476.0338666667</v>
      </c>
      <c r="AK36" s="69" t="n">
        <f aca="false">Headcount!AK17</f>
        <v>-10476.0338666667</v>
      </c>
      <c r="AL36" s="69" t="n">
        <f aca="false">Headcount!AL17</f>
        <v>-10476.0338666667</v>
      </c>
      <c r="AM36" s="69" t="n">
        <f aca="false">Headcount!AM17</f>
        <v>-10790.3148826667</v>
      </c>
      <c r="AN36" s="69" t="n">
        <f aca="false">Headcount!AN17</f>
        <v>-10790.3148826667</v>
      </c>
      <c r="AO36" s="69" t="n">
        <f aca="false">Headcount!AO17</f>
        <v>-10790.3148826667</v>
      </c>
      <c r="AP36" s="69" t="n">
        <f aca="false">Headcount!AP17</f>
        <v>-10790.3148826667</v>
      </c>
      <c r="AQ36" s="69" t="n">
        <f aca="false">Headcount!AQ17</f>
        <v>-10790.3148826667</v>
      </c>
      <c r="AR36" s="69" t="n">
        <f aca="false">Headcount!AR17</f>
        <v>-10790.3148826667</v>
      </c>
      <c r="AS36" s="69" t="n">
        <f aca="false">Headcount!AS17</f>
        <v>-10790.3148826667</v>
      </c>
      <c r="AT36" s="69" t="n">
        <f aca="false">Headcount!AT17</f>
        <v>-10790.3148826667</v>
      </c>
      <c r="AU36" s="69" t="n">
        <f aca="false">Headcount!AU17</f>
        <v>-10790.3148826667</v>
      </c>
      <c r="AV36" s="69" t="n">
        <f aca="false">Headcount!AV17</f>
        <v>-10790.3148826667</v>
      </c>
      <c r="AW36" s="69" t="n">
        <f aca="false">Headcount!AW17</f>
        <v>-10790.3148826667</v>
      </c>
      <c r="AX36" s="69" t="n">
        <f aca="false">Headcount!AX17</f>
        <v>-10790.3148826667</v>
      </c>
      <c r="AY36" s="69" t="n">
        <f aca="false">Headcount!AY17</f>
        <v>-11114.0243291467</v>
      </c>
      <c r="AZ36" s="69" t="n">
        <f aca="false">Headcount!AZ17</f>
        <v>-11114.0243291467</v>
      </c>
      <c r="BA36" s="69" t="n">
        <f aca="false">Headcount!BA17</f>
        <v>-11114.0243291467</v>
      </c>
      <c r="BB36" s="69" t="n">
        <f aca="false">Headcount!BB17</f>
        <v>-11114.0243291467</v>
      </c>
      <c r="BC36" s="69" t="n">
        <f aca="false">Headcount!BC17</f>
        <v>-11114.0243291467</v>
      </c>
      <c r="BD36" s="69" t="n">
        <f aca="false">Headcount!BD17</f>
        <v>-11114.0243291467</v>
      </c>
      <c r="BE36" s="69" t="n">
        <f aca="false">Headcount!BE17</f>
        <v>-11114.0243291467</v>
      </c>
      <c r="BF36" s="69" t="n">
        <f aca="false">Headcount!BF17</f>
        <v>-11114.0243291467</v>
      </c>
      <c r="BG36" s="69" t="n">
        <f aca="false">Headcount!BG17</f>
        <v>-11114.0243291467</v>
      </c>
      <c r="BH36" s="69" t="n">
        <f aca="false">Headcount!BH17</f>
        <v>-11114.0243291467</v>
      </c>
      <c r="BI36" s="69" t="n">
        <f aca="false">Headcount!BI17</f>
        <v>-11114.0243291467</v>
      </c>
      <c r="BJ36" s="69" t="n">
        <f aca="false">Headcount!BJ17</f>
        <v>-11114.0243291467</v>
      </c>
    </row>
    <row r="37" customFormat="false" ht="15" hidden="false" customHeight="false" outlineLevel="0" collapsed="false">
      <c r="A37" s="6" t="s">
        <v>333</v>
      </c>
      <c r="C37" s="67" t="n">
        <f aca="false">-Inputs!$E$37*C8*(1+Inputs!$E$34)^(C$5-1)*1</f>
        <v>-950</v>
      </c>
      <c r="D37" s="67" t="n">
        <f aca="false">-Inputs!$E$37*D8*(1+Inputs!$E$34)^(D$5-1)*1</f>
        <v>-950</v>
      </c>
      <c r="E37" s="67" t="n">
        <f aca="false">-Inputs!$E$37*E8*(1+Inputs!$E$34)^(E$5-1)*1</f>
        <v>-950</v>
      </c>
      <c r="F37" s="67" t="n">
        <f aca="false">-Inputs!$E$37*F8*(1+Inputs!$E$34)^(F$5-1)*1</f>
        <v>-950</v>
      </c>
      <c r="G37" s="67" t="n">
        <f aca="false">-Inputs!$E$37*G8*(1+Inputs!$E$34)^(G$5-1)*1</f>
        <v>-950</v>
      </c>
      <c r="H37" s="67" t="n">
        <f aca="false">-Inputs!$E$37*H8*(1+Inputs!$E$34)^(H$5-1)*1</f>
        <v>-950</v>
      </c>
      <c r="I37" s="67" t="n">
        <f aca="false">-Inputs!$E$37*I8*(1+Inputs!$E$34)^(I$5-1)*1</f>
        <v>-950</v>
      </c>
      <c r="J37" s="67" t="n">
        <f aca="false">-Inputs!$E$37*J8*(1+Inputs!$E$34)^(J$5-1)*1</f>
        <v>-950</v>
      </c>
      <c r="K37" s="67" t="n">
        <f aca="false">-Inputs!$E$37*K8*(1+Inputs!$E$34)^(K$5-1)*1</f>
        <v>-950</v>
      </c>
      <c r="L37" s="67" t="n">
        <f aca="false">-Inputs!$E$37*L8*(1+Inputs!$E$34)^(L$5-1)*1</f>
        <v>-950</v>
      </c>
      <c r="M37" s="67" t="n">
        <f aca="false">-Inputs!$E$37*M8*(1+Inputs!$E$34)^(M$5-1)*1</f>
        <v>-950</v>
      </c>
      <c r="N37" s="67" t="n">
        <f aca="false">-Inputs!$E$37*N8*(1+Inputs!$E$34)^(N$5-1)*1</f>
        <v>-950</v>
      </c>
      <c r="O37" s="67" t="n">
        <f aca="false">-Inputs!$E$37*O8*(1+Inputs!$E$34)^(O$5-1)*1</f>
        <v>-978.5</v>
      </c>
      <c r="P37" s="67" t="n">
        <f aca="false">-Inputs!$E$37*P8*(1+Inputs!$E$34)^(P$5-1)*1</f>
        <v>-978.5</v>
      </c>
      <c r="Q37" s="67" t="n">
        <f aca="false">-Inputs!$E$37*Q8*(1+Inputs!$E$34)^(Q$5-1)*1</f>
        <v>-978.5</v>
      </c>
      <c r="R37" s="67" t="n">
        <f aca="false">-Inputs!$E$37*R8*(1+Inputs!$E$34)^(R$5-1)*1</f>
        <v>-978.5</v>
      </c>
      <c r="S37" s="67" t="n">
        <f aca="false">-Inputs!$E$37*S8*(1+Inputs!$E$34)^(S$5-1)*1</f>
        <v>-978.5</v>
      </c>
      <c r="T37" s="67" t="n">
        <f aca="false">-Inputs!$E$37*T8*(1+Inputs!$E$34)^(T$5-1)*1</f>
        <v>-978.5</v>
      </c>
      <c r="U37" s="67" t="n">
        <f aca="false">-Inputs!$E$37*U8*(1+Inputs!$E$34)^(U$5-1)*1</f>
        <v>-978.5</v>
      </c>
      <c r="V37" s="67" t="n">
        <f aca="false">-Inputs!$E$37*V8*(1+Inputs!$E$34)^(V$5-1)*1</f>
        <v>-978.5</v>
      </c>
      <c r="W37" s="67" t="n">
        <f aca="false">-Inputs!$E$37*W8*(1+Inputs!$E$34)^(W$5-1)*1</f>
        <v>-978.5</v>
      </c>
      <c r="X37" s="67" t="n">
        <f aca="false">-Inputs!$E$37*X8*(1+Inputs!$E$34)^(X$5-1)*1</f>
        <v>-978.5</v>
      </c>
      <c r="Y37" s="67" t="n">
        <f aca="false">-Inputs!$E$37*Y8*(1+Inputs!$E$34)^(Y$5-1)*1</f>
        <v>-978.5</v>
      </c>
      <c r="Z37" s="67" t="n">
        <f aca="false">-Inputs!$E$37*Z8*(1+Inputs!$E$34)^(Z$5-1)*1</f>
        <v>-978.5</v>
      </c>
      <c r="AA37" s="67" t="n">
        <f aca="false">-Inputs!$E$37*AA8*(1+Inputs!$E$34)^(AA$5-1)*1</f>
        <v>-1007.855</v>
      </c>
      <c r="AB37" s="67" t="n">
        <f aca="false">-Inputs!$E$37*AB8*(1+Inputs!$E$34)^(AB$5-1)*1</f>
        <v>-1007.855</v>
      </c>
      <c r="AC37" s="67" t="n">
        <f aca="false">-Inputs!$E$37*AC8*(1+Inputs!$E$34)^(AC$5-1)*1</f>
        <v>-1007.855</v>
      </c>
      <c r="AD37" s="67" t="n">
        <f aca="false">-Inputs!$E$37*AD8*(1+Inputs!$E$34)^(AD$5-1)*1</f>
        <v>-1007.855</v>
      </c>
      <c r="AE37" s="67" t="n">
        <f aca="false">-Inputs!$E$37*AE8*(1+Inputs!$E$34)^(AE$5-1)*1</f>
        <v>-1007.855</v>
      </c>
      <c r="AF37" s="67" t="n">
        <f aca="false">-Inputs!$E$37*AF8*(1+Inputs!$E$34)^(AF$5-1)*1</f>
        <v>-1007.855</v>
      </c>
      <c r="AG37" s="67" t="n">
        <f aca="false">-Inputs!$E$37*AG8*(1+Inputs!$E$34)^(AG$5-1)*1</f>
        <v>-1007.855</v>
      </c>
      <c r="AH37" s="67" t="n">
        <f aca="false">-Inputs!$E$37*AH8*(1+Inputs!$E$34)^(AH$5-1)*1</f>
        <v>-1007.855</v>
      </c>
      <c r="AI37" s="67" t="n">
        <f aca="false">-Inputs!$E$37*AI8*(1+Inputs!$E$34)^(AI$5-1)*1</f>
        <v>-1007.855</v>
      </c>
      <c r="AJ37" s="67" t="n">
        <f aca="false">-Inputs!$E$37*AJ8*(1+Inputs!$E$34)^(AJ$5-1)*1</f>
        <v>-1007.855</v>
      </c>
      <c r="AK37" s="67" t="n">
        <f aca="false">-Inputs!$E$37*AK8*(1+Inputs!$E$34)^(AK$5-1)*1</f>
        <v>-1007.855</v>
      </c>
      <c r="AL37" s="67" t="n">
        <f aca="false">-Inputs!$E$37*AL8*(1+Inputs!$E$34)^(AL$5-1)*1</f>
        <v>-1007.855</v>
      </c>
      <c r="AM37" s="67" t="n">
        <f aca="false">-Inputs!$E$37*AM8*(1+Inputs!$E$34)^(AM$5-1)*1</f>
        <v>-1038.09065</v>
      </c>
      <c r="AN37" s="67" t="n">
        <f aca="false">-Inputs!$E$37*AN8*(1+Inputs!$E$34)^(AN$5-1)*1</f>
        <v>-1038.09065</v>
      </c>
      <c r="AO37" s="67" t="n">
        <f aca="false">-Inputs!$E$37*AO8*(1+Inputs!$E$34)^(AO$5-1)*1</f>
        <v>-1038.09065</v>
      </c>
      <c r="AP37" s="67" t="n">
        <f aca="false">-Inputs!$E$37*AP8*(1+Inputs!$E$34)^(AP$5-1)*1</f>
        <v>-1038.09065</v>
      </c>
      <c r="AQ37" s="67" t="n">
        <f aca="false">-Inputs!$E$37*AQ8*(1+Inputs!$E$34)^(AQ$5-1)*1</f>
        <v>-1038.09065</v>
      </c>
      <c r="AR37" s="67" t="n">
        <f aca="false">-Inputs!$E$37*AR8*(1+Inputs!$E$34)^(AR$5-1)*1</f>
        <v>-1038.09065</v>
      </c>
      <c r="AS37" s="67" t="n">
        <f aca="false">-Inputs!$E$37*AS8*(1+Inputs!$E$34)^(AS$5-1)*1</f>
        <v>-1038.09065</v>
      </c>
      <c r="AT37" s="67" t="n">
        <f aca="false">-Inputs!$E$37*AT8*(1+Inputs!$E$34)^(AT$5-1)*1</f>
        <v>-1038.09065</v>
      </c>
      <c r="AU37" s="67" t="n">
        <f aca="false">-Inputs!$E$37*AU8*(1+Inputs!$E$34)^(AU$5-1)*1</f>
        <v>-1038.09065</v>
      </c>
      <c r="AV37" s="67" t="n">
        <f aca="false">-Inputs!$E$37*AV8*(1+Inputs!$E$34)^(AV$5-1)*1</f>
        <v>-1038.09065</v>
      </c>
      <c r="AW37" s="67" t="n">
        <f aca="false">-Inputs!$E$37*AW8*(1+Inputs!$E$34)^(AW$5-1)*1</f>
        <v>-1038.09065</v>
      </c>
      <c r="AX37" s="67" t="n">
        <f aca="false">-Inputs!$E$37*AX8*(1+Inputs!$E$34)^(AX$5-1)*1</f>
        <v>-1038.09065</v>
      </c>
      <c r="AY37" s="67" t="n">
        <f aca="false">-Inputs!$E$37*AY8*(1+Inputs!$E$34)^(AY$5-1)*1</f>
        <v>-1069.2333695</v>
      </c>
      <c r="AZ37" s="67" t="n">
        <f aca="false">-Inputs!$E$37*AZ8*(1+Inputs!$E$34)^(AZ$5-1)*1</f>
        <v>-1069.2333695</v>
      </c>
      <c r="BA37" s="67" t="n">
        <f aca="false">-Inputs!$E$37*BA8*(1+Inputs!$E$34)^(BA$5-1)*1</f>
        <v>-1069.2333695</v>
      </c>
      <c r="BB37" s="67" t="n">
        <f aca="false">-Inputs!$E$37*BB8*(1+Inputs!$E$34)^(BB$5-1)*1</f>
        <v>-1069.2333695</v>
      </c>
      <c r="BC37" s="67" t="n">
        <f aca="false">-Inputs!$E$37*BC8*(1+Inputs!$E$34)^(BC$5-1)*1</f>
        <v>-1069.2333695</v>
      </c>
      <c r="BD37" s="67" t="n">
        <f aca="false">-Inputs!$E$37*BD8*(1+Inputs!$E$34)^(BD$5-1)*1</f>
        <v>-1069.2333695</v>
      </c>
      <c r="BE37" s="67" t="n">
        <f aca="false">-Inputs!$E$37*BE8*(1+Inputs!$E$34)^(BE$5-1)*1</f>
        <v>-1069.2333695</v>
      </c>
      <c r="BF37" s="67" t="n">
        <f aca="false">-Inputs!$E$37*BF8*(1+Inputs!$E$34)^(BF$5-1)*1</f>
        <v>-1069.2333695</v>
      </c>
      <c r="BG37" s="67" t="n">
        <f aca="false">-Inputs!$E$37*BG8*(1+Inputs!$E$34)^(BG$5-1)*1</f>
        <v>-1069.2333695</v>
      </c>
      <c r="BH37" s="67" t="n">
        <f aca="false">-Inputs!$E$37*BH8*(1+Inputs!$E$34)^(BH$5-1)*1</f>
        <v>-1069.2333695</v>
      </c>
      <c r="BI37" s="67" t="n">
        <f aca="false">-Inputs!$E$37*BI8*(1+Inputs!$E$34)^(BI$5-1)*1</f>
        <v>-1069.2333695</v>
      </c>
      <c r="BJ37" s="67" t="n">
        <f aca="false">-Inputs!$E$37*BJ8*(1+Inputs!$E$34)^(BJ$5-1)*1</f>
        <v>-1069.2333695</v>
      </c>
    </row>
    <row r="38" customFormat="false" ht="15" hidden="false" customHeight="false" outlineLevel="0" collapsed="false">
      <c r="A38" s="6" t="s">
        <v>334</v>
      </c>
      <c r="C38" s="67" t="n">
        <f aca="false">-Inputs!$E$38*C8*(1+Inputs!$E$34)^(C$5-1)*1</f>
        <v>-380</v>
      </c>
      <c r="D38" s="67" t="n">
        <f aca="false">-Inputs!$E$38*D8*(1+Inputs!$E$34)^(D$5-1)*1</f>
        <v>-380</v>
      </c>
      <c r="E38" s="67" t="n">
        <f aca="false">-Inputs!$E$38*E8*(1+Inputs!$E$34)^(E$5-1)*1</f>
        <v>-380</v>
      </c>
      <c r="F38" s="67" t="n">
        <f aca="false">-Inputs!$E$38*F8*(1+Inputs!$E$34)^(F$5-1)*1</f>
        <v>-380</v>
      </c>
      <c r="G38" s="67" t="n">
        <f aca="false">-Inputs!$E$38*G8*(1+Inputs!$E$34)^(G$5-1)*1</f>
        <v>-380</v>
      </c>
      <c r="H38" s="67" t="n">
        <f aca="false">-Inputs!$E$38*H8*(1+Inputs!$E$34)^(H$5-1)*1</f>
        <v>-380</v>
      </c>
      <c r="I38" s="67" t="n">
        <f aca="false">-Inputs!$E$38*I8*(1+Inputs!$E$34)^(I$5-1)*1</f>
        <v>-380</v>
      </c>
      <c r="J38" s="67" t="n">
        <f aca="false">-Inputs!$E$38*J8*(1+Inputs!$E$34)^(J$5-1)*1</f>
        <v>-380</v>
      </c>
      <c r="K38" s="67" t="n">
        <f aca="false">-Inputs!$E$38*K8*(1+Inputs!$E$34)^(K$5-1)*1</f>
        <v>-380</v>
      </c>
      <c r="L38" s="67" t="n">
        <f aca="false">-Inputs!$E$38*L8*(1+Inputs!$E$34)^(L$5-1)*1</f>
        <v>-380</v>
      </c>
      <c r="M38" s="67" t="n">
        <f aca="false">-Inputs!$E$38*M8*(1+Inputs!$E$34)^(M$5-1)*1</f>
        <v>-380</v>
      </c>
      <c r="N38" s="67" t="n">
        <f aca="false">-Inputs!$E$38*N8*(1+Inputs!$E$34)^(N$5-1)*1</f>
        <v>-380</v>
      </c>
      <c r="O38" s="67" t="n">
        <f aca="false">-Inputs!$E$38*O8*(1+Inputs!$E$34)^(O$5-1)*1</f>
        <v>-391.4</v>
      </c>
      <c r="P38" s="67" t="n">
        <f aca="false">-Inputs!$E$38*P8*(1+Inputs!$E$34)^(P$5-1)*1</f>
        <v>-391.4</v>
      </c>
      <c r="Q38" s="67" t="n">
        <f aca="false">-Inputs!$E$38*Q8*(1+Inputs!$E$34)^(Q$5-1)*1</f>
        <v>-391.4</v>
      </c>
      <c r="R38" s="67" t="n">
        <f aca="false">-Inputs!$E$38*R8*(1+Inputs!$E$34)^(R$5-1)*1</f>
        <v>-391.4</v>
      </c>
      <c r="S38" s="67" t="n">
        <f aca="false">-Inputs!$E$38*S8*(1+Inputs!$E$34)^(S$5-1)*1</f>
        <v>-391.4</v>
      </c>
      <c r="T38" s="67" t="n">
        <f aca="false">-Inputs!$E$38*T8*(1+Inputs!$E$34)^(T$5-1)*1</f>
        <v>-391.4</v>
      </c>
      <c r="U38" s="67" t="n">
        <f aca="false">-Inputs!$E$38*U8*(1+Inputs!$E$34)^(U$5-1)*1</f>
        <v>-391.4</v>
      </c>
      <c r="V38" s="67" t="n">
        <f aca="false">-Inputs!$E$38*V8*(1+Inputs!$E$34)^(V$5-1)*1</f>
        <v>-391.4</v>
      </c>
      <c r="W38" s="67" t="n">
        <f aca="false">-Inputs!$E$38*W8*(1+Inputs!$E$34)^(W$5-1)*1</f>
        <v>-391.4</v>
      </c>
      <c r="X38" s="67" t="n">
        <f aca="false">-Inputs!$E$38*X8*(1+Inputs!$E$34)^(X$5-1)*1</f>
        <v>-391.4</v>
      </c>
      <c r="Y38" s="67" t="n">
        <f aca="false">-Inputs!$E$38*Y8*(1+Inputs!$E$34)^(Y$5-1)*1</f>
        <v>-391.4</v>
      </c>
      <c r="Z38" s="67" t="n">
        <f aca="false">-Inputs!$E$38*Z8*(1+Inputs!$E$34)^(Z$5-1)*1</f>
        <v>-391.4</v>
      </c>
      <c r="AA38" s="67" t="n">
        <f aca="false">-Inputs!$E$38*AA8*(1+Inputs!$E$34)^(AA$5-1)*1</f>
        <v>-403.142</v>
      </c>
      <c r="AB38" s="67" t="n">
        <f aca="false">-Inputs!$E$38*AB8*(1+Inputs!$E$34)^(AB$5-1)*1</f>
        <v>-403.142</v>
      </c>
      <c r="AC38" s="67" t="n">
        <f aca="false">-Inputs!$E$38*AC8*(1+Inputs!$E$34)^(AC$5-1)*1</f>
        <v>-403.142</v>
      </c>
      <c r="AD38" s="67" t="n">
        <f aca="false">-Inputs!$E$38*AD8*(1+Inputs!$E$34)^(AD$5-1)*1</f>
        <v>-403.142</v>
      </c>
      <c r="AE38" s="67" t="n">
        <f aca="false">-Inputs!$E$38*AE8*(1+Inputs!$E$34)^(AE$5-1)*1</f>
        <v>-403.142</v>
      </c>
      <c r="AF38" s="67" t="n">
        <f aca="false">-Inputs!$E$38*AF8*(1+Inputs!$E$34)^(AF$5-1)*1</f>
        <v>-403.142</v>
      </c>
      <c r="AG38" s="67" t="n">
        <f aca="false">-Inputs!$E$38*AG8*(1+Inputs!$E$34)^(AG$5-1)*1</f>
        <v>-403.142</v>
      </c>
      <c r="AH38" s="67" t="n">
        <f aca="false">-Inputs!$E$38*AH8*(1+Inputs!$E$34)^(AH$5-1)*1</f>
        <v>-403.142</v>
      </c>
      <c r="AI38" s="67" t="n">
        <f aca="false">-Inputs!$E$38*AI8*(1+Inputs!$E$34)^(AI$5-1)*1</f>
        <v>-403.142</v>
      </c>
      <c r="AJ38" s="67" t="n">
        <f aca="false">-Inputs!$E$38*AJ8*(1+Inputs!$E$34)^(AJ$5-1)*1</f>
        <v>-403.142</v>
      </c>
      <c r="AK38" s="67" t="n">
        <f aca="false">-Inputs!$E$38*AK8*(1+Inputs!$E$34)^(AK$5-1)*1</f>
        <v>-403.142</v>
      </c>
      <c r="AL38" s="67" t="n">
        <f aca="false">-Inputs!$E$38*AL8*(1+Inputs!$E$34)^(AL$5-1)*1</f>
        <v>-403.142</v>
      </c>
      <c r="AM38" s="67" t="n">
        <f aca="false">-Inputs!$E$38*AM8*(1+Inputs!$E$34)^(AM$5-1)*1</f>
        <v>-415.23626</v>
      </c>
      <c r="AN38" s="67" t="n">
        <f aca="false">-Inputs!$E$38*AN8*(1+Inputs!$E$34)^(AN$5-1)*1</f>
        <v>-415.23626</v>
      </c>
      <c r="AO38" s="67" t="n">
        <f aca="false">-Inputs!$E$38*AO8*(1+Inputs!$E$34)^(AO$5-1)*1</f>
        <v>-415.23626</v>
      </c>
      <c r="AP38" s="67" t="n">
        <f aca="false">-Inputs!$E$38*AP8*(1+Inputs!$E$34)^(AP$5-1)*1</f>
        <v>-415.23626</v>
      </c>
      <c r="AQ38" s="67" t="n">
        <f aca="false">-Inputs!$E$38*AQ8*(1+Inputs!$E$34)^(AQ$5-1)*1</f>
        <v>-415.23626</v>
      </c>
      <c r="AR38" s="67" t="n">
        <f aca="false">-Inputs!$E$38*AR8*(1+Inputs!$E$34)^(AR$5-1)*1</f>
        <v>-415.23626</v>
      </c>
      <c r="AS38" s="67" t="n">
        <f aca="false">-Inputs!$E$38*AS8*(1+Inputs!$E$34)^(AS$5-1)*1</f>
        <v>-415.23626</v>
      </c>
      <c r="AT38" s="67" t="n">
        <f aca="false">-Inputs!$E$38*AT8*(1+Inputs!$E$34)^(AT$5-1)*1</f>
        <v>-415.23626</v>
      </c>
      <c r="AU38" s="67" t="n">
        <f aca="false">-Inputs!$E$38*AU8*(1+Inputs!$E$34)^(AU$5-1)*1</f>
        <v>-415.23626</v>
      </c>
      <c r="AV38" s="67" t="n">
        <f aca="false">-Inputs!$E$38*AV8*(1+Inputs!$E$34)^(AV$5-1)*1</f>
        <v>-415.23626</v>
      </c>
      <c r="AW38" s="67" t="n">
        <f aca="false">-Inputs!$E$38*AW8*(1+Inputs!$E$34)^(AW$5-1)*1</f>
        <v>-415.23626</v>
      </c>
      <c r="AX38" s="67" t="n">
        <f aca="false">-Inputs!$E$38*AX8*(1+Inputs!$E$34)^(AX$5-1)*1</f>
        <v>-415.23626</v>
      </c>
      <c r="AY38" s="67" t="n">
        <f aca="false">-Inputs!$E$38*AY8*(1+Inputs!$E$34)^(AY$5-1)*1</f>
        <v>-427.6933478</v>
      </c>
      <c r="AZ38" s="67" t="n">
        <f aca="false">-Inputs!$E$38*AZ8*(1+Inputs!$E$34)^(AZ$5-1)*1</f>
        <v>-427.6933478</v>
      </c>
      <c r="BA38" s="67" t="n">
        <f aca="false">-Inputs!$E$38*BA8*(1+Inputs!$E$34)^(BA$5-1)*1</f>
        <v>-427.6933478</v>
      </c>
      <c r="BB38" s="67" t="n">
        <f aca="false">-Inputs!$E$38*BB8*(1+Inputs!$E$34)^(BB$5-1)*1</f>
        <v>-427.6933478</v>
      </c>
      <c r="BC38" s="67" t="n">
        <f aca="false">-Inputs!$E$38*BC8*(1+Inputs!$E$34)^(BC$5-1)*1</f>
        <v>-427.6933478</v>
      </c>
      <c r="BD38" s="67" t="n">
        <f aca="false">-Inputs!$E$38*BD8*(1+Inputs!$E$34)^(BD$5-1)*1</f>
        <v>-427.6933478</v>
      </c>
      <c r="BE38" s="67" t="n">
        <f aca="false">-Inputs!$E$38*BE8*(1+Inputs!$E$34)^(BE$5-1)*1</f>
        <v>-427.6933478</v>
      </c>
      <c r="BF38" s="67" t="n">
        <f aca="false">-Inputs!$E$38*BF8*(1+Inputs!$E$34)^(BF$5-1)*1</f>
        <v>-427.6933478</v>
      </c>
      <c r="BG38" s="67" t="n">
        <f aca="false">-Inputs!$E$38*BG8*(1+Inputs!$E$34)^(BG$5-1)*1</f>
        <v>-427.6933478</v>
      </c>
      <c r="BH38" s="67" t="n">
        <f aca="false">-Inputs!$E$38*BH8*(1+Inputs!$E$34)^(BH$5-1)*1</f>
        <v>-427.6933478</v>
      </c>
      <c r="BI38" s="67" t="n">
        <f aca="false">-Inputs!$E$38*BI8*(1+Inputs!$E$34)^(BI$5-1)*1</f>
        <v>-427.6933478</v>
      </c>
      <c r="BJ38" s="67" t="n">
        <f aca="false">-Inputs!$E$38*BJ8*(1+Inputs!$E$34)^(BJ$5-1)*1</f>
        <v>-427.6933478</v>
      </c>
    </row>
    <row r="39" customFormat="false" ht="15" hidden="false" customHeight="false" outlineLevel="0" collapsed="false">
      <c r="A39" s="6" t="s">
        <v>335</v>
      </c>
      <c r="C39" s="67" t="n">
        <f aca="false">-Inputs!$E$39*C8*(1+Inputs!$E$34)^(C$5-1)*1</f>
        <v>-450</v>
      </c>
      <c r="D39" s="67" t="n">
        <f aca="false">-Inputs!$E$39*D8*(1+Inputs!$E$34)^(D$5-1)*1</f>
        <v>-450</v>
      </c>
      <c r="E39" s="67" t="n">
        <f aca="false">-Inputs!$E$39*E8*(1+Inputs!$E$34)^(E$5-1)*1</f>
        <v>-450</v>
      </c>
      <c r="F39" s="67" t="n">
        <f aca="false">-Inputs!$E$39*F8*(1+Inputs!$E$34)^(F$5-1)*1</f>
        <v>-450</v>
      </c>
      <c r="G39" s="67" t="n">
        <f aca="false">-Inputs!$E$39*G8*(1+Inputs!$E$34)^(G$5-1)*1</f>
        <v>-450</v>
      </c>
      <c r="H39" s="67" t="n">
        <f aca="false">-Inputs!$E$39*H8*(1+Inputs!$E$34)^(H$5-1)*1</f>
        <v>-450</v>
      </c>
      <c r="I39" s="67" t="n">
        <f aca="false">-Inputs!$E$39*I8*(1+Inputs!$E$34)^(I$5-1)*1</f>
        <v>-450</v>
      </c>
      <c r="J39" s="67" t="n">
        <f aca="false">-Inputs!$E$39*J8*(1+Inputs!$E$34)^(J$5-1)*1</f>
        <v>-450</v>
      </c>
      <c r="K39" s="67" t="n">
        <f aca="false">-Inputs!$E$39*K8*(1+Inputs!$E$34)^(K$5-1)*1</f>
        <v>-450</v>
      </c>
      <c r="L39" s="67" t="n">
        <f aca="false">-Inputs!$E$39*L8*(1+Inputs!$E$34)^(L$5-1)*1</f>
        <v>-450</v>
      </c>
      <c r="M39" s="67" t="n">
        <f aca="false">-Inputs!$E$39*M8*(1+Inputs!$E$34)^(M$5-1)*1</f>
        <v>-450</v>
      </c>
      <c r="N39" s="67" t="n">
        <f aca="false">-Inputs!$E$39*N8*(1+Inputs!$E$34)^(N$5-1)*1</f>
        <v>-450</v>
      </c>
      <c r="O39" s="67" t="n">
        <f aca="false">-Inputs!$E$39*O8*(1+Inputs!$E$34)^(O$5-1)*1</f>
        <v>-463.5</v>
      </c>
      <c r="P39" s="67" t="n">
        <f aca="false">-Inputs!$E$39*P8*(1+Inputs!$E$34)^(P$5-1)*1</f>
        <v>-463.5</v>
      </c>
      <c r="Q39" s="67" t="n">
        <f aca="false">-Inputs!$E$39*Q8*(1+Inputs!$E$34)^(Q$5-1)*1</f>
        <v>-463.5</v>
      </c>
      <c r="R39" s="67" t="n">
        <f aca="false">-Inputs!$E$39*R8*(1+Inputs!$E$34)^(R$5-1)*1</f>
        <v>-463.5</v>
      </c>
      <c r="S39" s="67" t="n">
        <f aca="false">-Inputs!$E$39*S8*(1+Inputs!$E$34)^(S$5-1)*1</f>
        <v>-463.5</v>
      </c>
      <c r="T39" s="67" t="n">
        <f aca="false">-Inputs!$E$39*T8*(1+Inputs!$E$34)^(T$5-1)*1</f>
        <v>-463.5</v>
      </c>
      <c r="U39" s="67" t="n">
        <f aca="false">-Inputs!$E$39*U8*(1+Inputs!$E$34)^(U$5-1)*1</f>
        <v>-463.5</v>
      </c>
      <c r="V39" s="67" t="n">
        <f aca="false">-Inputs!$E$39*V8*(1+Inputs!$E$34)^(V$5-1)*1</f>
        <v>-463.5</v>
      </c>
      <c r="W39" s="67" t="n">
        <f aca="false">-Inputs!$E$39*W8*(1+Inputs!$E$34)^(W$5-1)*1</f>
        <v>-463.5</v>
      </c>
      <c r="X39" s="67" t="n">
        <f aca="false">-Inputs!$E$39*X8*(1+Inputs!$E$34)^(X$5-1)*1</f>
        <v>-463.5</v>
      </c>
      <c r="Y39" s="67" t="n">
        <f aca="false">-Inputs!$E$39*Y8*(1+Inputs!$E$34)^(Y$5-1)*1</f>
        <v>-463.5</v>
      </c>
      <c r="Z39" s="67" t="n">
        <f aca="false">-Inputs!$E$39*Z8*(1+Inputs!$E$34)^(Z$5-1)*1</f>
        <v>-463.5</v>
      </c>
      <c r="AA39" s="67" t="n">
        <f aca="false">-Inputs!$E$39*AA8*(1+Inputs!$E$34)^(AA$5-1)*1</f>
        <v>-477.405</v>
      </c>
      <c r="AB39" s="67" t="n">
        <f aca="false">-Inputs!$E$39*AB8*(1+Inputs!$E$34)^(AB$5-1)*1</f>
        <v>-477.405</v>
      </c>
      <c r="AC39" s="67" t="n">
        <f aca="false">-Inputs!$E$39*AC8*(1+Inputs!$E$34)^(AC$5-1)*1</f>
        <v>-477.405</v>
      </c>
      <c r="AD39" s="67" t="n">
        <f aca="false">-Inputs!$E$39*AD8*(1+Inputs!$E$34)^(AD$5-1)*1</f>
        <v>-477.405</v>
      </c>
      <c r="AE39" s="67" t="n">
        <f aca="false">-Inputs!$E$39*AE8*(1+Inputs!$E$34)^(AE$5-1)*1</f>
        <v>-477.405</v>
      </c>
      <c r="AF39" s="67" t="n">
        <f aca="false">-Inputs!$E$39*AF8*(1+Inputs!$E$34)^(AF$5-1)*1</f>
        <v>-477.405</v>
      </c>
      <c r="AG39" s="67" t="n">
        <f aca="false">-Inputs!$E$39*AG8*(1+Inputs!$E$34)^(AG$5-1)*1</f>
        <v>-477.405</v>
      </c>
      <c r="AH39" s="67" t="n">
        <f aca="false">-Inputs!$E$39*AH8*(1+Inputs!$E$34)^(AH$5-1)*1</f>
        <v>-477.405</v>
      </c>
      <c r="AI39" s="67" t="n">
        <f aca="false">-Inputs!$E$39*AI8*(1+Inputs!$E$34)^(AI$5-1)*1</f>
        <v>-477.405</v>
      </c>
      <c r="AJ39" s="67" t="n">
        <f aca="false">-Inputs!$E$39*AJ8*(1+Inputs!$E$34)^(AJ$5-1)*1</f>
        <v>-477.405</v>
      </c>
      <c r="AK39" s="67" t="n">
        <f aca="false">-Inputs!$E$39*AK8*(1+Inputs!$E$34)^(AK$5-1)*1</f>
        <v>-477.405</v>
      </c>
      <c r="AL39" s="67" t="n">
        <f aca="false">-Inputs!$E$39*AL8*(1+Inputs!$E$34)^(AL$5-1)*1</f>
        <v>-477.405</v>
      </c>
      <c r="AM39" s="67" t="n">
        <f aca="false">-Inputs!$E$39*AM8*(1+Inputs!$E$34)^(AM$5-1)*1</f>
        <v>-491.72715</v>
      </c>
      <c r="AN39" s="67" t="n">
        <f aca="false">-Inputs!$E$39*AN8*(1+Inputs!$E$34)^(AN$5-1)*1</f>
        <v>-491.72715</v>
      </c>
      <c r="AO39" s="67" t="n">
        <f aca="false">-Inputs!$E$39*AO8*(1+Inputs!$E$34)^(AO$5-1)*1</f>
        <v>-491.72715</v>
      </c>
      <c r="AP39" s="67" t="n">
        <f aca="false">-Inputs!$E$39*AP8*(1+Inputs!$E$34)^(AP$5-1)*1</f>
        <v>-491.72715</v>
      </c>
      <c r="AQ39" s="67" t="n">
        <f aca="false">-Inputs!$E$39*AQ8*(1+Inputs!$E$34)^(AQ$5-1)*1</f>
        <v>-491.72715</v>
      </c>
      <c r="AR39" s="67" t="n">
        <f aca="false">-Inputs!$E$39*AR8*(1+Inputs!$E$34)^(AR$5-1)*1</f>
        <v>-491.72715</v>
      </c>
      <c r="AS39" s="67" t="n">
        <f aca="false">-Inputs!$E$39*AS8*(1+Inputs!$E$34)^(AS$5-1)*1</f>
        <v>-491.72715</v>
      </c>
      <c r="AT39" s="67" t="n">
        <f aca="false">-Inputs!$E$39*AT8*(1+Inputs!$E$34)^(AT$5-1)*1</f>
        <v>-491.72715</v>
      </c>
      <c r="AU39" s="67" t="n">
        <f aca="false">-Inputs!$E$39*AU8*(1+Inputs!$E$34)^(AU$5-1)*1</f>
        <v>-491.72715</v>
      </c>
      <c r="AV39" s="67" t="n">
        <f aca="false">-Inputs!$E$39*AV8*(1+Inputs!$E$34)^(AV$5-1)*1</f>
        <v>-491.72715</v>
      </c>
      <c r="AW39" s="67" t="n">
        <f aca="false">-Inputs!$E$39*AW8*(1+Inputs!$E$34)^(AW$5-1)*1</f>
        <v>-491.72715</v>
      </c>
      <c r="AX39" s="67" t="n">
        <f aca="false">-Inputs!$E$39*AX8*(1+Inputs!$E$34)^(AX$5-1)*1</f>
        <v>-491.72715</v>
      </c>
      <c r="AY39" s="67" t="n">
        <f aca="false">-Inputs!$E$39*AY8*(1+Inputs!$E$34)^(AY$5-1)*1</f>
        <v>-506.4789645</v>
      </c>
      <c r="AZ39" s="67" t="n">
        <f aca="false">-Inputs!$E$39*AZ8*(1+Inputs!$E$34)^(AZ$5-1)*1</f>
        <v>-506.4789645</v>
      </c>
      <c r="BA39" s="67" t="n">
        <f aca="false">-Inputs!$E$39*BA8*(1+Inputs!$E$34)^(BA$5-1)*1</f>
        <v>-506.4789645</v>
      </c>
      <c r="BB39" s="67" t="n">
        <f aca="false">-Inputs!$E$39*BB8*(1+Inputs!$E$34)^(BB$5-1)*1</f>
        <v>-506.4789645</v>
      </c>
      <c r="BC39" s="67" t="n">
        <f aca="false">-Inputs!$E$39*BC8*(1+Inputs!$E$34)^(BC$5-1)*1</f>
        <v>-506.4789645</v>
      </c>
      <c r="BD39" s="67" t="n">
        <f aca="false">-Inputs!$E$39*BD8*(1+Inputs!$E$34)^(BD$5-1)*1</f>
        <v>-506.4789645</v>
      </c>
      <c r="BE39" s="67" t="n">
        <f aca="false">-Inputs!$E$39*BE8*(1+Inputs!$E$34)^(BE$5-1)*1</f>
        <v>-506.4789645</v>
      </c>
      <c r="BF39" s="67" t="n">
        <f aca="false">-Inputs!$E$39*BF8*(1+Inputs!$E$34)^(BF$5-1)*1</f>
        <v>-506.4789645</v>
      </c>
      <c r="BG39" s="67" t="n">
        <f aca="false">-Inputs!$E$39*BG8*(1+Inputs!$E$34)^(BG$5-1)*1</f>
        <v>-506.4789645</v>
      </c>
      <c r="BH39" s="67" t="n">
        <f aca="false">-Inputs!$E$39*BH8*(1+Inputs!$E$34)^(BH$5-1)*1</f>
        <v>-506.4789645</v>
      </c>
      <c r="BI39" s="67" t="n">
        <f aca="false">-Inputs!$E$39*BI8*(1+Inputs!$E$34)^(BI$5-1)*1</f>
        <v>-506.4789645</v>
      </c>
      <c r="BJ39" s="67" t="n">
        <f aca="false">-Inputs!$E$39*BJ8*(1+Inputs!$E$34)^(BJ$5-1)*1</f>
        <v>-506.4789645</v>
      </c>
    </row>
    <row r="40" customFormat="false" ht="15" hidden="false" customHeight="false" outlineLevel="0" collapsed="false">
      <c r="A40" s="6" t="s">
        <v>336</v>
      </c>
      <c r="C40" s="67" t="n">
        <f aca="false">-Inputs!$E$40*C14*(1+Inputs!$E$34)^(C$5-1)</f>
        <v>-570</v>
      </c>
      <c r="D40" s="67" t="n">
        <f aca="false">-Inputs!$E$40*D14*(1+Inputs!$E$34)^(D$5-1)</f>
        <v>-579.5</v>
      </c>
      <c r="E40" s="67" t="n">
        <f aca="false">-Inputs!$E$40*E14*(1+Inputs!$E$34)^(E$5-1)</f>
        <v>-817</v>
      </c>
      <c r="F40" s="67" t="n">
        <f aca="false">-Inputs!$E$40*F14*(1+Inputs!$E$34)^(F$5-1)</f>
        <v>-826.5</v>
      </c>
      <c r="G40" s="67" t="n">
        <f aca="false">-Inputs!$E$40*G14*(1+Inputs!$E$34)^(G$5-1)</f>
        <v>-836</v>
      </c>
      <c r="H40" s="67" t="n">
        <f aca="false">-Inputs!$E$40*H14*(1+Inputs!$E$34)^(H$5-1)</f>
        <v>-845.5</v>
      </c>
      <c r="I40" s="67" t="n">
        <f aca="false">-Inputs!$E$40*I14*(1+Inputs!$E$34)^(I$5-1)</f>
        <v>-855</v>
      </c>
      <c r="J40" s="67" t="n">
        <f aca="false">-Inputs!$E$40*J14*(1+Inputs!$E$34)^(J$5-1)</f>
        <v>-855</v>
      </c>
      <c r="K40" s="67" t="n">
        <f aca="false">-Inputs!$E$40*K14*(1+Inputs!$E$34)^(K$5-1)</f>
        <v>-855</v>
      </c>
      <c r="L40" s="67" t="n">
        <f aca="false">-Inputs!$E$40*L14*(1+Inputs!$E$34)^(L$5-1)</f>
        <v>-855</v>
      </c>
      <c r="M40" s="67" t="n">
        <f aca="false">-Inputs!$E$40*M14*(1+Inputs!$E$34)^(M$5-1)</f>
        <v>-855</v>
      </c>
      <c r="N40" s="67" t="n">
        <f aca="false">-Inputs!$E$40*N14*(1+Inputs!$E$34)^(N$5-1)</f>
        <v>-627</v>
      </c>
      <c r="O40" s="67" t="n">
        <f aca="false">-Inputs!$E$40*O14*(1+Inputs!$E$34)^(O$5-1)</f>
        <v>-651.681</v>
      </c>
      <c r="P40" s="67" t="n">
        <f aca="false">-Inputs!$E$40*P14*(1+Inputs!$E$34)^(P$5-1)</f>
        <v>-651.681</v>
      </c>
      <c r="Q40" s="67" t="n">
        <f aca="false">-Inputs!$E$40*Q14*(1+Inputs!$E$34)^(Q$5-1)</f>
        <v>-886.521</v>
      </c>
      <c r="R40" s="67" t="n">
        <f aca="false">-Inputs!$E$40*R14*(1+Inputs!$E$34)^(R$5-1)</f>
        <v>-886.521</v>
      </c>
      <c r="S40" s="67" t="n">
        <f aca="false">-Inputs!$E$40*S14*(1+Inputs!$E$34)^(S$5-1)</f>
        <v>-886.521</v>
      </c>
      <c r="T40" s="67" t="n">
        <f aca="false">-Inputs!$E$40*T14*(1+Inputs!$E$34)^(T$5-1)</f>
        <v>-886.521</v>
      </c>
      <c r="U40" s="67" t="n">
        <f aca="false">-Inputs!$E$40*U14*(1+Inputs!$E$34)^(U$5-1)</f>
        <v>-886.521</v>
      </c>
      <c r="V40" s="67" t="n">
        <f aca="false">-Inputs!$E$40*V14*(1+Inputs!$E$34)^(V$5-1)</f>
        <v>-886.521</v>
      </c>
      <c r="W40" s="67" t="n">
        <f aca="false">-Inputs!$E$40*W14*(1+Inputs!$E$34)^(W$5-1)</f>
        <v>-886.521</v>
      </c>
      <c r="X40" s="67" t="n">
        <f aca="false">-Inputs!$E$40*X14*(1+Inputs!$E$34)^(X$5-1)</f>
        <v>-886.521</v>
      </c>
      <c r="Y40" s="67" t="n">
        <f aca="false">-Inputs!$E$40*Y14*(1+Inputs!$E$34)^(Y$5-1)</f>
        <v>-886.521</v>
      </c>
      <c r="Z40" s="67" t="n">
        <f aca="false">-Inputs!$E$40*Z14*(1+Inputs!$E$34)^(Z$5-1)</f>
        <v>-651.681</v>
      </c>
      <c r="AA40" s="67" t="n">
        <f aca="false">-Inputs!$E$40*AA14*(1+Inputs!$E$34)^(AA$5-1)</f>
        <v>-677.5809165</v>
      </c>
      <c r="AB40" s="67" t="n">
        <f aca="false">-Inputs!$E$40*AB14*(1+Inputs!$E$34)^(AB$5-1)</f>
        <v>-677.5809165</v>
      </c>
      <c r="AC40" s="67" t="n">
        <f aca="false">-Inputs!$E$40*AC14*(1+Inputs!$E$34)^(AC$5-1)</f>
        <v>-919.4661165</v>
      </c>
      <c r="AD40" s="67" t="n">
        <f aca="false">-Inputs!$E$40*AD14*(1+Inputs!$E$34)^(AD$5-1)</f>
        <v>-919.4661165</v>
      </c>
      <c r="AE40" s="67" t="n">
        <f aca="false">-Inputs!$E$40*AE14*(1+Inputs!$E$34)^(AE$5-1)</f>
        <v>-919.4661165</v>
      </c>
      <c r="AF40" s="67" t="n">
        <f aca="false">-Inputs!$E$40*AF14*(1+Inputs!$E$34)^(AF$5-1)</f>
        <v>-919.4661165</v>
      </c>
      <c r="AG40" s="67" t="n">
        <f aca="false">-Inputs!$E$40*AG14*(1+Inputs!$E$34)^(AG$5-1)</f>
        <v>-919.4661165</v>
      </c>
      <c r="AH40" s="67" t="n">
        <f aca="false">-Inputs!$E$40*AH14*(1+Inputs!$E$34)^(AH$5-1)</f>
        <v>-919.4661165</v>
      </c>
      <c r="AI40" s="67" t="n">
        <f aca="false">-Inputs!$E$40*AI14*(1+Inputs!$E$34)^(AI$5-1)</f>
        <v>-919.4661165</v>
      </c>
      <c r="AJ40" s="67" t="n">
        <f aca="false">-Inputs!$E$40*AJ14*(1+Inputs!$E$34)^(AJ$5-1)</f>
        <v>-919.4661165</v>
      </c>
      <c r="AK40" s="67" t="n">
        <f aca="false">-Inputs!$E$40*AK14*(1+Inputs!$E$34)^(AK$5-1)</f>
        <v>-919.4661165</v>
      </c>
      <c r="AL40" s="67" t="n">
        <f aca="false">-Inputs!$E$40*AL14*(1+Inputs!$E$34)^(AL$5-1)</f>
        <v>-677.5809165</v>
      </c>
      <c r="AM40" s="67" t="n">
        <f aca="false">-Inputs!$E$40*AM14*(1+Inputs!$E$34)^(AM$5-1)</f>
        <v>-704.77531364475</v>
      </c>
      <c r="AN40" s="67" t="n">
        <f aca="false">-Inputs!$E$40*AN14*(1+Inputs!$E$34)^(AN$5-1)</f>
        <v>-704.77531364475</v>
      </c>
      <c r="AO40" s="67" t="n">
        <f aca="false">-Inputs!$E$40*AO14*(1+Inputs!$E$34)^(AO$5-1)</f>
        <v>-953.91706964475</v>
      </c>
      <c r="AP40" s="67" t="n">
        <f aca="false">-Inputs!$E$40*AP14*(1+Inputs!$E$34)^(AP$5-1)</f>
        <v>-953.91706964475</v>
      </c>
      <c r="AQ40" s="67" t="n">
        <f aca="false">-Inputs!$E$40*AQ14*(1+Inputs!$E$34)^(AQ$5-1)</f>
        <v>-953.91706964475</v>
      </c>
      <c r="AR40" s="67" t="n">
        <f aca="false">-Inputs!$E$40*AR14*(1+Inputs!$E$34)^(AR$5-1)</f>
        <v>-953.91706964475</v>
      </c>
      <c r="AS40" s="67" t="n">
        <f aca="false">-Inputs!$E$40*AS14*(1+Inputs!$E$34)^(AS$5-1)</f>
        <v>-953.91706964475</v>
      </c>
      <c r="AT40" s="67" t="n">
        <f aca="false">-Inputs!$E$40*AT14*(1+Inputs!$E$34)^(AT$5-1)</f>
        <v>-953.91706964475</v>
      </c>
      <c r="AU40" s="67" t="n">
        <f aca="false">-Inputs!$E$40*AU14*(1+Inputs!$E$34)^(AU$5-1)</f>
        <v>-953.91706964475</v>
      </c>
      <c r="AV40" s="67" t="n">
        <f aca="false">-Inputs!$E$40*AV14*(1+Inputs!$E$34)^(AV$5-1)</f>
        <v>-953.91706964475</v>
      </c>
      <c r="AW40" s="67" t="n">
        <f aca="false">-Inputs!$E$40*AW14*(1+Inputs!$E$34)^(AW$5-1)</f>
        <v>-953.91706964475</v>
      </c>
      <c r="AX40" s="67" t="n">
        <f aca="false">-Inputs!$E$40*AX14*(1+Inputs!$E$34)^(AX$5-1)</f>
        <v>-704.77531364475</v>
      </c>
      <c r="AY40" s="67" t="n">
        <f aca="false">-Inputs!$E$40*AY14*(1+Inputs!$E$34)^(AY$5-1)</f>
        <v>-733.345200730297</v>
      </c>
      <c r="AZ40" s="67" t="n">
        <f aca="false">-Inputs!$E$40*AZ14*(1+Inputs!$E$34)^(AZ$5-1)</f>
        <v>-733.345200730297</v>
      </c>
      <c r="BA40" s="67" t="n">
        <f aca="false">-Inputs!$E$40*BA14*(1+Inputs!$E$34)^(BA$5-1)</f>
        <v>-989.961209410297</v>
      </c>
      <c r="BB40" s="67" t="n">
        <f aca="false">-Inputs!$E$40*BB14*(1+Inputs!$E$34)^(BB$5-1)</f>
        <v>-989.961209410297</v>
      </c>
      <c r="BC40" s="67" t="n">
        <f aca="false">-Inputs!$E$40*BC14*(1+Inputs!$E$34)^(BC$5-1)</f>
        <v>-989.961209410297</v>
      </c>
      <c r="BD40" s="67" t="n">
        <f aca="false">-Inputs!$E$40*BD14*(1+Inputs!$E$34)^(BD$5-1)</f>
        <v>-989.961209410297</v>
      </c>
      <c r="BE40" s="67" t="n">
        <f aca="false">-Inputs!$E$40*BE14*(1+Inputs!$E$34)^(BE$5-1)</f>
        <v>-989.961209410297</v>
      </c>
      <c r="BF40" s="67" t="n">
        <f aca="false">-Inputs!$E$40*BF14*(1+Inputs!$E$34)^(BF$5-1)</f>
        <v>-989.961209410297</v>
      </c>
      <c r="BG40" s="67" t="n">
        <f aca="false">-Inputs!$E$40*BG14*(1+Inputs!$E$34)^(BG$5-1)</f>
        <v>-989.961209410297</v>
      </c>
      <c r="BH40" s="67" t="n">
        <f aca="false">-Inputs!$E$40*BH14*(1+Inputs!$E$34)^(BH$5-1)</f>
        <v>-989.961209410297</v>
      </c>
      <c r="BI40" s="67" t="n">
        <f aca="false">-Inputs!$E$40*BI14*(1+Inputs!$E$34)^(BI$5-1)</f>
        <v>-989.961209410297</v>
      </c>
      <c r="BJ40" s="67" t="n">
        <f aca="false">-Inputs!$E$40*BJ14*(1+Inputs!$E$34)^(BJ$5-1)</f>
        <v>-733.345200730297</v>
      </c>
    </row>
    <row r="41" customFormat="false" ht="15" hidden="false" customHeight="false" outlineLevel="0" collapsed="false">
      <c r="A41" s="6" t="s">
        <v>337</v>
      </c>
      <c r="C41" s="67" t="n">
        <f aca="false">-Inputs!$E$41*C8*(1+Inputs!$E$34)^(C$5-1)*1</f>
        <v>-500</v>
      </c>
      <c r="D41" s="67" t="n">
        <f aca="false">-Inputs!$E$41*D8*(1+Inputs!$E$34)^(D$5-1)*1</f>
        <v>-500</v>
      </c>
      <c r="E41" s="67" t="n">
        <f aca="false">-Inputs!$E$41*E8*(1+Inputs!$E$34)^(E$5-1)*1</f>
        <v>-500</v>
      </c>
      <c r="F41" s="67" t="n">
        <f aca="false">-Inputs!$E$41*F8*(1+Inputs!$E$34)^(F$5-1)*1</f>
        <v>-500</v>
      </c>
      <c r="G41" s="67" t="n">
        <f aca="false">-Inputs!$E$41*G8*(1+Inputs!$E$34)^(G$5-1)*1</f>
        <v>-500</v>
      </c>
      <c r="H41" s="67" t="n">
        <f aca="false">-Inputs!$E$41*H8*(1+Inputs!$E$34)^(H$5-1)*1</f>
        <v>-500</v>
      </c>
      <c r="I41" s="67" t="n">
        <f aca="false">-Inputs!$E$41*I8*(1+Inputs!$E$34)^(I$5-1)*1</f>
        <v>-500</v>
      </c>
      <c r="J41" s="67" t="n">
        <f aca="false">-Inputs!$E$41*J8*(1+Inputs!$E$34)^(J$5-1)*1</f>
        <v>-500</v>
      </c>
      <c r="K41" s="67" t="n">
        <f aca="false">-Inputs!$E$41*K8*(1+Inputs!$E$34)^(K$5-1)*1</f>
        <v>-500</v>
      </c>
      <c r="L41" s="67" t="n">
        <f aca="false">-Inputs!$E$41*L8*(1+Inputs!$E$34)^(L$5-1)*1</f>
        <v>-500</v>
      </c>
      <c r="M41" s="67" t="n">
        <f aca="false">-Inputs!$E$41*M8*(1+Inputs!$E$34)^(M$5-1)*1</f>
        <v>-500</v>
      </c>
      <c r="N41" s="67" t="n">
        <f aca="false">-Inputs!$E$41*N8*(1+Inputs!$E$34)^(N$5-1)*1</f>
        <v>-500</v>
      </c>
      <c r="O41" s="67" t="n">
        <f aca="false">-Inputs!$E$41*O8*(1+Inputs!$E$34)^(O$5-1)*1</f>
        <v>-515</v>
      </c>
      <c r="P41" s="67" t="n">
        <f aca="false">-Inputs!$E$41*P8*(1+Inputs!$E$34)^(P$5-1)*1</f>
        <v>-515</v>
      </c>
      <c r="Q41" s="67" t="n">
        <f aca="false">-Inputs!$E$41*Q8*(1+Inputs!$E$34)^(Q$5-1)*1</f>
        <v>-515</v>
      </c>
      <c r="R41" s="67" t="n">
        <f aca="false">-Inputs!$E$41*R8*(1+Inputs!$E$34)^(R$5-1)*1</f>
        <v>-515</v>
      </c>
      <c r="S41" s="67" t="n">
        <f aca="false">-Inputs!$E$41*S8*(1+Inputs!$E$34)^(S$5-1)*1</f>
        <v>-515</v>
      </c>
      <c r="T41" s="67" t="n">
        <f aca="false">-Inputs!$E$41*T8*(1+Inputs!$E$34)^(T$5-1)*1</f>
        <v>-515</v>
      </c>
      <c r="U41" s="67" t="n">
        <f aca="false">-Inputs!$E$41*U8*(1+Inputs!$E$34)^(U$5-1)*1</f>
        <v>-515</v>
      </c>
      <c r="V41" s="67" t="n">
        <f aca="false">-Inputs!$E$41*V8*(1+Inputs!$E$34)^(V$5-1)*1</f>
        <v>-515</v>
      </c>
      <c r="W41" s="67" t="n">
        <f aca="false">-Inputs!$E$41*W8*(1+Inputs!$E$34)^(W$5-1)*1</f>
        <v>-515</v>
      </c>
      <c r="X41" s="67" t="n">
        <f aca="false">-Inputs!$E$41*X8*(1+Inputs!$E$34)^(X$5-1)*1</f>
        <v>-515</v>
      </c>
      <c r="Y41" s="67" t="n">
        <f aca="false">-Inputs!$E$41*Y8*(1+Inputs!$E$34)^(Y$5-1)*1</f>
        <v>-515</v>
      </c>
      <c r="Z41" s="67" t="n">
        <f aca="false">-Inputs!$E$41*Z8*(1+Inputs!$E$34)^(Z$5-1)*1</f>
        <v>-515</v>
      </c>
      <c r="AA41" s="67" t="n">
        <f aca="false">-Inputs!$E$41*AA8*(1+Inputs!$E$34)^(AA$5-1)*1</f>
        <v>-530.45</v>
      </c>
      <c r="AB41" s="67" t="n">
        <f aca="false">-Inputs!$E$41*AB8*(1+Inputs!$E$34)^(AB$5-1)*1</f>
        <v>-530.45</v>
      </c>
      <c r="AC41" s="67" t="n">
        <f aca="false">-Inputs!$E$41*AC8*(1+Inputs!$E$34)^(AC$5-1)*1</f>
        <v>-530.45</v>
      </c>
      <c r="AD41" s="67" t="n">
        <f aca="false">-Inputs!$E$41*AD8*(1+Inputs!$E$34)^(AD$5-1)*1</f>
        <v>-530.45</v>
      </c>
      <c r="AE41" s="67" t="n">
        <f aca="false">-Inputs!$E$41*AE8*(1+Inputs!$E$34)^(AE$5-1)*1</f>
        <v>-530.45</v>
      </c>
      <c r="AF41" s="67" t="n">
        <f aca="false">-Inputs!$E$41*AF8*(1+Inputs!$E$34)^(AF$5-1)*1</f>
        <v>-530.45</v>
      </c>
      <c r="AG41" s="67" t="n">
        <f aca="false">-Inputs!$E$41*AG8*(1+Inputs!$E$34)^(AG$5-1)*1</f>
        <v>-530.45</v>
      </c>
      <c r="AH41" s="67" t="n">
        <f aca="false">-Inputs!$E$41*AH8*(1+Inputs!$E$34)^(AH$5-1)*1</f>
        <v>-530.45</v>
      </c>
      <c r="AI41" s="67" t="n">
        <f aca="false">-Inputs!$E$41*AI8*(1+Inputs!$E$34)^(AI$5-1)*1</f>
        <v>-530.45</v>
      </c>
      <c r="AJ41" s="67" t="n">
        <f aca="false">-Inputs!$E$41*AJ8*(1+Inputs!$E$34)^(AJ$5-1)*1</f>
        <v>-530.45</v>
      </c>
      <c r="AK41" s="67" t="n">
        <f aca="false">-Inputs!$E$41*AK8*(1+Inputs!$E$34)^(AK$5-1)*1</f>
        <v>-530.45</v>
      </c>
      <c r="AL41" s="67" t="n">
        <f aca="false">-Inputs!$E$41*AL8*(1+Inputs!$E$34)^(AL$5-1)*1</f>
        <v>-530.45</v>
      </c>
      <c r="AM41" s="67" t="n">
        <f aca="false">-Inputs!$E$41*AM8*(1+Inputs!$E$34)^(AM$5-1)*1</f>
        <v>-546.3635</v>
      </c>
      <c r="AN41" s="67" t="n">
        <f aca="false">-Inputs!$E$41*AN8*(1+Inputs!$E$34)^(AN$5-1)*1</f>
        <v>-546.3635</v>
      </c>
      <c r="AO41" s="67" t="n">
        <f aca="false">-Inputs!$E$41*AO8*(1+Inputs!$E$34)^(AO$5-1)*1</f>
        <v>-546.3635</v>
      </c>
      <c r="AP41" s="67" t="n">
        <f aca="false">-Inputs!$E$41*AP8*(1+Inputs!$E$34)^(AP$5-1)*1</f>
        <v>-546.3635</v>
      </c>
      <c r="AQ41" s="67" t="n">
        <f aca="false">-Inputs!$E$41*AQ8*(1+Inputs!$E$34)^(AQ$5-1)*1</f>
        <v>-546.3635</v>
      </c>
      <c r="AR41" s="67" t="n">
        <f aca="false">-Inputs!$E$41*AR8*(1+Inputs!$E$34)^(AR$5-1)*1</f>
        <v>-546.3635</v>
      </c>
      <c r="AS41" s="67" t="n">
        <f aca="false">-Inputs!$E$41*AS8*(1+Inputs!$E$34)^(AS$5-1)*1</f>
        <v>-546.3635</v>
      </c>
      <c r="AT41" s="67" t="n">
        <f aca="false">-Inputs!$E$41*AT8*(1+Inputs!$E$34)^(AT$5-1)*1</f>
        <v>-546.3635</v>
      </c>
      <c r="AU41" s="67" t="n">
        <f aca="false">-Inputs!$E$41*AU8*(1+Inputs!$E$34)^(AU$5-1)*1</f>
        <v>-546.3635</v>
      </c>
      <c r="AV41" s="67" t="n">
        <f aca="false">-Inputs!$E$41*AV8*(1+Inputs!$E$34)^(AV$5-1)*1</f>
        <v>-546.3635</v>
      </c>
      <c r="AW41" s="67" t="n">
        <f aca="false">-Inputs!$E$41*AW8*(1+Inputs!$E$34)^(AW$5-1)*1</f>
        <v>-546.3635</v>
      </c>
      <c r="AX41" s="67" t="n">
        <f aca="false">-Inputs!$E$41*AX8*(1+Inputs!$E$34)^(AX$5-1)*1</f>
        <v>-546.3635</v>
      </c>
      <c r="AY41" s="67" t="n">
        <f aca="false">-Inputs!$E$41*AY8*(1+Inputs!$E$34)^(AY$5-1)*1</f>
        <v>-562.754405</v>
      </c>
      <c r="AZ41" s="67" t="n">
        <f aca="false">-Inputs!$E$41*AZ8*(1+Inputs!$E$34)^(AZ$5-1)*1</f>
        <v>-562.754405</v>
      </c>
      <c r="BA41" s="67" t="n">
        <f aca="false">-Inputs!$E$41*BA8*(1+Inputs!$E$34)^(BA$5-1)*1</f>
        <v>-562.754405</v>
      </c>
      <c r="BB41" s="67" t="n">
        <f aca="false">-Inputs!$E$41*BB8*(1+Inputs!$E$34)^(BB$5-1)*1</f>
        <v>-562.754405</v>
      </c>
      <c r="BC41" s="67" t="n">
        <f aca="false">-Inputs!$E$41*BC8*(1+Inputs!$E$34)^(BC$5-1)*1</f>
        <v>-562.754405</v>
      </c>
      <c r="BD41" s="67" t="n">
        <f aca="false">-Inputs!$E$41*BD8*(1+Inputs!$E$34)^(BD$5-1)*1</f>
        <v>-562.754405</v>
      </c>
      <c r="BE41" s="67" t="n">
        <f aca="false">-Inputs!$E$41*BE8*(1+Inputs!$E$34)^(BE$5-1)*1</f>
        <v>-562.754405</v>
      </c>
      <c r="BF41" s="67" t="n">
        <f aca="false">-Inputs!$E$41*BF8*(1+Inputs!$E$34)^(BF$5-1)*1</f>
        <v>-562.754405</v>
      </c>
      <c r="BG41" s="67" t="n">
        <f aca="false">-Inputs!$E$41*BG8*(1+Inputs!$E$34)^(BG$5-1)*1</f>
        <v>-562.754405</v>
      </c>
      <c r="BH41" s="67" t="n">
        <f aca="false">-Inputs!$E$41*BH8*(1+Inputs!$E$34)^(BH$5-1)*1</f>
        <v>-562.754405</v>
      </c>
      <c r="BI41" s="67" t="n">
        <f aca="false">-Inputs!$E$41*BI8*(1+Inputs!$E$34)^(BI$5-1)*1</f>
        <v>-562.754405</v>
      </c>
      <c r="BJ41" s="67" t="n">
        <f aca="false">-Inputs!$E$41*BJ8*(1+Inputs!$E$34)^(BJ$5-1)*1</f>
        <v>-562.754405</v>
      </c>
    </row>
    <row r="42" customFormat="false" ht="15" hidden="false" customHeight="false" outlineLevel="0" collapsed="false">
      <c r="A42" s="6" t="s">
        <v>338</v>
      </c>
      <c r="C42" s="67" t="n">
        <f aca="false">-Inputs!$E$42*(1+Inputs!$E$34)^(C$5-1)*1</f>
        <v>-120</v>
      </c>
      <c r="D42" s="67" t="n">
        <f aca="false">-Inputs!$E$42*(1+Inputs!$E$34)^(D$5-1)*1</f>
        <v>-120</v>
      </c>
      <c r="E42" s="67" t="n">
        <f aca="false">-Inputs!$E$42*(1+Inputs!$E$34)^(E$5-1)*1</f>
        <v>-120</v>
      </c>
      <c r="F42" s="67" t="n">
        <f aca="false">-Inputs!$E$42*(1+Inputs!$E$34)^(F$5-1)*1</f>
        <v>-120</v>
      </c>
      <c r="G42" s="67" t="n">
        <f aca="false">-Inputs!$E$42*(1+Inputs!$E$34)^(G$5-1)*1</f>
        <v>-120</v>
      </c>
      <c r="H42" s="67" t="n">
        <f aca="false">-Inputs!$E$42*(1+Inputs!$E$34)^(H$5-1)*1</f>
        <v>-120</v>
      </c>
      <c r="I42" s="67" t="n">
        <f aca="false">-Inputs!$E$42*(1+Inputs!$E$34)^(I$5-1)*1</f>
        <v>-120</v>
      </c>
      <c r="J42" s="67" t="n">
        <f aca="false">-Inputs!$E$42*(1+Inputs!$E$34)^(J$5-1)*1</f>
        <v>-120</v>
      </c>
      <c r="K42" s="67" t="n">
        <f aca="false">-Inputs!$E$42*(1+Inputs!$E$34)^(K$5-1)*1</f>
        <v>-120</v>
      </c>
      <c r="L42" s="67" t="n">
        <f aca="false">-Inputs!$E$42*(1+Inputs!$E$34)^(L$5-1)*1</f>
        <v>-120</v>
      </c>
      <c r="M42" s="67" t="n">
        <f aca="false">-Inputs!$E$42*(1+Inputs!$E$34)^(M$5-1)*1</f>
        <v>-120</v>
      </c>
      <c r="N42" s="67" t="n">
        <f aca="false">-Inputs!$E$42*(1+Inputs!$E$34)^(N$5-1)*1</f>
        <v>-120</v>
      </c>
      <c r="O42" s="67" t="n">
        <f aca="false">-Inputs!$E$42*(1+Inputs!$E$34)^(O$5-1)*1</f>
        <v>-123.6</v>
      </c>
      <c r="P42" s="67" t="n">
        <f aca="false">-Inputs!$E$42*(1+Inputs!$E$34)^(P$5-1)*1</f>
        <v>-123.6</v>
      </c>
      <c r="Q42" s="67" t="n">
        <f aca="false">-Inputs!$E$42*(1+Inputs!$E$34)^(Q$5-1)*1</f>
        <v>-123.6</v>
      </c>
      <c r="R42" s="67" t="n">
        <f aca="false">-Inputs!$E$42*(1+Inputs!$E$34)^(R$5-1)*1</f>
        <v>-123.6</v>
      </c>
      <c r="S42" s="67" t="n">
        <f aca="false">-Inputs!$E$42*(1+Inputs!$E$34)^(S$5-1)*1</f>
        <v>-123.6</v>
      </c>
      <c r="T42" s="67" t="n">
        <f aca="false">-Inputs!$E$42*(1+Inputs!$E$34)^(T$5-1)*1</f>
        <v>-123.6</v>
      </c>
      <c r="U42" s="67" t="n">
        <f aca="false">-Inputs!$E$42*(1+Inputs!$E$34)^(U$5-1)*1</f>
        <v>-123.6</v>
      </c>
      <c r="V42" s="67" t="n">
        <f aca="false">-Inputs!$E$42*(1+Inputs!$E$34)^(V$5-1)*1</f>
        <v>-123.6</v>
      </c>
      <c r="W42" s="67" t="n">
        <f aca="false">-Inputs!$E$42*(1+Inputs!$E$34)^(W$5-1)*1</f>
        <v>-123.6</v>
      </c>
      <c r="X42" s="67" t="n">
        <f aca="false">-Inputs!$E$42*(1+Inputs!$E$34)^(X$5-1)*1</f>
        <v>-123.6</v>
      </c>
      <c r="Y42" s="67" t="n">
        <f aca="false">-Inputs!$E$42*(1+Inputs!$E$34)^(Y$5-1)*1</f>
        <v>-123.6</v>
      </c>
      <c r="Z42" s="67" t="n">
        <f aca="false">-Inputs!$E$42*(1+Inputs!$E$34)^(Z$5-1)*1</f>
        <v>-123.6</v>
      </c>
      <c r="AA42" s="67" t="n">
        <f aca="false">-Inputs!$E$42*(1+Inputs!$E$34)^(AA$5-1)*1</f>
        <v>-127.308</v>
      </c>
      <c r="AB42" s="67" t="n">
        <f aca="false">-Inputs!$E$42*(1+Inputs!$E$34)^(AB$5-1)*1</f>
        <v>-127.308</v>
      </c>
      <c r="AC42" s="67" t="n">
        <f aca="false">-Inputs!$E$42*(1+Inputs!$E$34)^(AC$5-1)*1</f>
        <v>-127.308</v>
      </c>
      <c r="AD42" s="67" t="n">
        <f aca="false">-Inputs!$E$42*(1+Inputs!$E$34)^(AD$5-1)*1</f>
        <v>-127.308</v>
      </c>
      <c r="AE42" s="67" t="n">
        <f aca="false">-Inputs!$E$42*(1+Inputs!$E$34)^(AE$5-1)*1</f>
        <v>-127.308</v>
      </c>
      <c r="AF42" s="67" t="n">
        <f aca="false">-Inputs!$E$42*(1+Inputs!$E$34)^(AF$5-1)*1</f>
        <v>-127.308</v>
      </c>
      <c r="AG42" s="67" t="n">
        <f aca="false">-Inputs!$E$42*(1+Inputs!$E$34)^(AG$5-1)*1</f>
        <v>-127.308</v>
      </c>
      <c r="AH42" s="67" t="n">
        <f aca="false">-Inputs!$E$42*(1+Inputs!$E$34)^(AH$5-1)*1</f>
        <v>-127.308</v>
      </c>
      <c r="AI42" s="67" t="n">
        <f aca="false">-Inputs!$E$42*(1+Inputs!$E$34)^(AI$5-1)*1</f>
        <v>-127.308</v>
      </c>
      <c r="AJ42" s="67" t="n">
        <f aca="false">-Inputs!$E$42*(1+Inputs!$E$34)^(AJ$5-1)*1</f>
        <v>-127.308</v>
      </c>
      <c r="AK42" s="67" t="n">
        <f aca="false">-Inputs!$E$42*(1+Inputs!$E$34)^(AK$5-1)*1</f>
        <v>-127.308</v>
      </c>
      <c r="AL42" s="67" t="n">
        <f aca="false">-Inputs!$E$42*(1+Inputs!$E$34)^(AL$5-1)*1</f>
        <v>-127.308</v>
      </c>
      <c r="AM42" s="67" t="n">
        <f aca="false">-Inputs!$E$42*(1+Inputs!$E$34)^(AM$5-1)*1</f>
        <v>-131.12724</v>
      </c>
      <c r="AN42" s="67" t="n">
        <f aca="false">-Inputs!$E$42*(1+Inputs!$E$34)^(AN$5-1)*1</f>
        <v>-131.12724</v>
      </c>
      <c r="AO42" s="67" t="n">
        <f aca="false">-Inputs!$E$42*(1+Inputs!$E$34)^(AO$5-1)*1</f>
        <v>-131.12724</v>
      </c>
      <c r="AP42" s="67" t="n">
        <f aca="false">-Inputs!$E$42*(1+Inputs!$E$34)^(AP$5-1)*1</f>
        <v>-131.12724</v>
      </c>
      <c r="AQ42" s="67" t="n">
        <f aca="false">-Inputs!$E$42*(1+Inputs!$E$34)^(AQ$5-1)*1</f>
        <v>-131.12724</v>
      </c>
      <c r="AR42" s="67" t="n">
        <f aca="false">-Inputs!$E$42*(1+Inputs!$E$34)^(AR$5-1)*1</f>
        <v>-131.12724</v>
      </c>
      <c r="AS42" s="67" t="n">
        <f aca="false">-Inputs!$E$42*(1+Inputs!$E$34)^(AS$5-1)*1</f>
        <v>-131.12724</v>
      </c>
      <c r="AT42" s="67" t="n">
        <f aca="false">-Inputs!$E$42*(1+Inputs!$E$34)^(AT$5-1)*1</f>
        <v>-131.12724</v>
      </c>
      <c r="AU42" s="67" t="n">
        <f aca="false">-Inputs!$E$42*(1+Inputs!$E$34)^(AU$5-1)*1</f>
        <v>-131.12724</v>
      </c>
      <c r="AV42" s="67" t="n">
        <f aca="false">-Inputs!$E$42*(1+Inputs!$E$34)^(AV$5-1)*1</f>
        <v>-131.12724</v>
      </c>
      <c r="AW42" s="67" t="n">
        <f aca="false">-Inputs!$E$42*(1+Inputs!$E$34)^(AW$5-1)*1</f>
        <v>-131.12724</v>
      </c>
      <c r="AX42" s="67" t="n">
        <f aca="false">-Inputs!$E$42*(1+Inputs!$E$34)^(AX$5-1)*1</f>
        <v>-131.12724</v>
      </c>
      <c r="AY42" s="67" t="n">
        <f aca="false">-Inputs!$E$42*(1+Inputs!$E$34)^(AY$5-1)*1</f>
        <v>-135.0610572</v>
      </c>
      <c r="AZ42" s="67" t="n">
        <f aca="false">-Inputs!$E$42*(1+Inputs!$E$34)^(AZ$5-1)*1</f>
        <v>-135.0610572</v>
      </c>
      <c r="BA42" s="67" t="n">
        <f aca="false">-Inputs!$E$42*(1+Inputs!$E$34)^(BA$5-1)*1</f>
        <v>-135.0610572</v>
      </c>
      <c r="BB42" s="67" t="n">
        <f aca="false">-Inputs!$E$42*(1+Inputs!$E$34)^(BB$5-1)*1</f>
        <v>-135.0610572</v>
      </c>
      <c r="BC42" s="67" t="n">
        <f aca="false">-Inputs!$E$42*(1+Inputs!$E$34)^(BC$5-1)*1</f>
        <v>-135.0610572</v>
      </c>
      <c r="BD42" s="67" t="n">
        <f aca="false">-Inputs!$E$42*(1+Inputs!$E$34)^(BD$5-1)*1</f>
        <v>-135.0610572</v>
      </c>
      <c r="BE42" s="67" t="n">
        <f aca="false">-Inputs!$E$42*(1+Inputs!$E$34)^(BE$5-1)*1</f>
        <v>-135.0610572</v>
      </c>
      <c r="BF42" s="67" t="n">
        <f aca="false">-Inputs!$E$42*(1+Inputs!$E$34)^(BF$5-1)*1</f>
        <v>-135.0610572</v>
      </c>
      <c r="BG42" s="67" t="n">
        <f aca="false">-Inputs!$E$42*(1+Inputs!$E$34)^(BG$5-1)*1</f>
        <v>-135.0610572</v>
      </c>
      <c r="BH42" s="67" t="n">
        <f aca="false">-Inputs!$E$42*(1+Inputs!$E$34)^(BH$5-1)*1</f>
        <v>-135.0610572</v>
      </c>
      <c r="BI42" s="67" t="n">
        <f aca="false">-Inputs!$E$42*(1+Inputs!$E$34)^(BI$5-1)*1</f>
        <v>-135.0610572</v>
      </c>
      <c r="BJ42" s="67" t="n">
        <f aca="false">-Inputs!$E$42*(1+Inputs!$E$34)^(BJ$5-1)*1</f>
        <v>-135.0610572</v>
      </c>
    </row>
    <row r="43" customFormat="false" ht="15" hidden="false" customHeight="false" outlineLevel="0" collapsed="false">
      <c r="A43" s="6" t="s">
        <v>339</v>
      </c>
      <c r="C43" s="67" t="n">
        <f aca="false">-Inputs!$E$43*(1+Inputs!$E$44)^(C$5-1)*1</f>
        <v>-700</v>
      </c>
      <c r="D43" s="67" t="n">
        <f aca="false">-Inputs!$E$43*(1+Inputs!$E$44)^(D$5-1)*1</f>
        <v>-700</v>
      </c>
      <c r="E43" s="67" t="n">
        <f aca="false">-Inputs!$E$43*(1+Inputs!$E$44)^(E$5-1)*1</f>
        <v>-700</v>
      </c>
      <c r="F43" s="67" t="n">
        <f aca="false">-Inputs!$E$43*(1+Inputs!$E$44)^(F$5-1)*1</f>
        <v>-700</v>
      </c>
      <c r="G43" s="67" t="n">
        <f aca="false">-Inputs!$E$43*(1+Inputs!$E$44)^(G$5-1)*1</f>
        <v>-700</v>
      </c>
      <c r="H43" s="67" t="n">
        <f aca="false">-Inputs!$E$43*(1+Inputs!$E$44)^(H$5-1)*1</f>
        <v>-700</v>
      </c>
      <c r="I43" s="67" t="n">
        <f aca="false">-Inputs!$E$43*(1+Inputs!$E$44)^(I$5-1)*1</f>
        <v>-700</v>
      </c>
      <c r="J43" s="67" t="n">
        <f aca="false">-Inputs!$E$43*(1+Inputs!$E$44)^(J$5-1)*1</f>
        <v>-700</v>
      </c>
      <c r="K43" s="67" t="n">
        <f aca="false">-Inputs!$E$43*(1+Inputs!$E$44)^(K$5-1)*1</f>
        <v>-700</v>
      </c>
      <c r="L43" s="67" t="n">
        <f aca="false">-Inputs!$E$43*(1+Inputs!$E$44)^(L$5-1)*1</f>
        <v>-700</v>
      </c>
      <c r="M43" s="67" t="n">
        <f aca="false">-Inputs!$E$43*(1+Inputs!$E$44)^(M$5-1)*1</f>
        <v>-700</v>
      </c>
      <c r="N43" s="67" t="n">
        <f aca="false">-Inputs!$E$43*(1+Inputs!$E$44)^(N$5-1)*1</f>
        <v>-700</v>
      </c>
      <c r="O43" s="67" t="n">
        <f aca="false">-Inputs!$E$43*(1+Inputs!$E$44)^(O$5-1)*1</f>
        <v>-700</v>
      </c>
      <c r="P43" s="67" t="n">
        <f aca="false">-Inputs!$E$43*(1+Inputs!$E$44)^(P$5-1)*1</f>
        <v>-700</v>
      </c>
      <c r="Q43" s="67" t="n">
        <f aca="false">-Inputs!$E$43*(1+Inputs!$E$44)^(Q$5-1)*1</f>
        <v>-700</v>
      </c>
      <c r="R43" s="67" t="n">
        <f aca="false">-Inputs!$E$43*(1+Inputs!$E$44)^(R$5-1)*1</f>
        <v>-700</v>
      </c>
      <c r="S43" s="67" t="n">
        <f aca="false">-Inputs!$E$43*(1+Inputs!$E$44)^(S$5-1)*1</f>
        <v>-700</v>
      </c>
      <c r="T43" s="67" t="n">
        <f aca="false">-Inputs!$E$43*(1+Inputs!$E$44)^(T$5-1)*1</f>
        <v>-700</v>
      </c>
      <c r="U43" s="67" t="n">
        <f aca="false">-Inputs!$E$43*(1+Inputs!$E$44)^(U$5-1)*1</f>
        <v>-700</v>
      </c>
      <c r="V43" s="67" t="n">
        <f aca="false">-Inputs!$E$43*(1+Inputs!$E$44)^(V$5-1)*1</f>
        <v>-700</v>
      </c>
      <c r="W43" s="67" t="n">
        <f aca="false">-Inputs!$E$43*(1+Inputs!$E$44)^(W$5-1)*1</f>
        <v>-700</v>
      </c>
      <c r="X43" s="67" t="n">
        <f aca="false">-Inputs!$E$43*(1+Inputs!$E$44)^(X$5-1)*1</f>
        <v>-700</v>
      </c>
      <c r="Y43" s="67" t="n">
        <f aca="false">-Inputs!$E$43*(1+Inputs!$E$44)^(Y$5-1)*1</f>
        <v>-700</v>
      </c>
      <c r="Z43" s="67" t="n">
        <f aca="false">-Inputs!$E$43*(1+Inputs!$E$44)^(Z$5-1)*1</f>
        <v>-700</v>
      </c>
      <c r="AA43" s="67" t="n">
        <f aca="false">-Inputs!$E$43*(1+Inputs!$E$44)^(AA$5-1)*1</f>
        <v>-700</v>
      </c>
      <c r="AB43" s="67" t="n">
        <f aca="false">-Inputs!$E$43*(1+Inputs!$E$44)^(AB$5-1)*1</f>
        <v>-700</v>
      </c>
      <c r="AC43" s="67" t="n">
        <f aca="false">-Inputs!$E$43*(1+Inputs!$E$44)^(AC$5-1)*1</f>
        <v>-700</v>
      </c>
      <c r="AD43" s="67" t="n">
        <f aca="false">-Inputs!$E$43*(1+Inputs!$E$44)^(AD$5-1)*1</f>
        <v>-700</v>
      </c>
      <c r="AE43" s="67" t="n">
        <f aca="false">-Inputs!$E$43*(1+Inputs!$E$44)^(AE$5-1)*1</f>
        <v>-700</v>
      </c>
      <c r="AF43" s="67" t="n">
        <f aca="false">-Inputs!$E$43*(1+Inputs!$E$44)^(AF$5-1)*1</f>
        <v>-700</v>
      </c>
      <c r="AG43" s="67" t="n">
        <f aca="false">-Inputs!$E$43*(1+Inputs!$E$44)^(AG$5-1)*1</f>
        <v>-700</v>
      </c>
      <c r="AH43" s="67" t="n">
        <f aca="false">-Inputs!$E$43*(1+Inputs!$E$44)^(AH$5-1)*1</f>
        <v>-700</v>
      </c>
      <c r="AI43" s="67" t="n">
        <f aca="false">-Inputs!$E$43*(1+Inputs!$E$44)^(AI$5-1)*1</f>
        <v>-700</v>
      </c>
      <c r="AJ43" s="67" t="n">
        <f aca="false">-Inputs!$E$43*(1+Inputs!$E$44)^(AJ$5-1)*1</f>
        <v>-700</v>
      </c>
      <c r="AK43" s="67" t="n">
        <f aca="false">-Inputs!$E$43*(1+Inputs!$E$44)^(AK$5-1)*1</f>
        <v>-700</v>
      </c>
      <c r="AL43" s="67" t="n">
        <f aca="false">-Inputs!$E$43*(1+Inputs!$E$44)^(AL$5-1)*1</f>
        <v>-700</v>
      </c>
      <c r="AM43" s="67" t="n">
        <f aca="false">-Inputs!$E$43*(1+Inputs!$E$44)^(AM$5-1)*1</f>
        <v>-700</v>
      </c>
      <c r="AN43" s="67" t="n">
        <f aca="false">-Inputs!$E$43*(1+Inputs!$E$44)^(AN$5-1)*1</f>
        <v>-700</v>
      </c>
      <c r="AO43" s="67" t="n">
        <f aca="false">-Inputs!$E$43*(1+Inputs!$E$44)^(AO$5-1)*1</f>
        <v>-700</v>
      </c>
      <c r="AP43" s="67" t="n">
        <f aca="false">-Inputs!$E$43*(1+Inputs!$E$44)^(AP$5-1)*1</f>
        <v>-700</v>
      </c>
      <c r="AQ43" s="67" t="n">
        <f aca="false">-Inputs!$E$43*(1+Inputs!$E$44)^(AQ$5-1)*1</f>
        <v>-700</v>
      </c>
      <c r="AR43" s="67" t="n">
        <f aca="false">-Inputs!$E$43*(1+Inputs!$E$44)^(AR$5-1)*1</f>
        <v>-700</v>
      </c>
      <c r="AS43" s="67" t="n">
        <f aca="false">-Inputs!$E$43*(1+Inputs!$E$44)^(AS$5-1)*1</f>
        <v>-700</v>
      </c>
      <c r="AT43" s="67" t="n">
        <f aca="false">-Inputs!$E$43*(1+Inputs!$E$44)^(AT$5-1)*1</f>
        <v>-700</v>
      </c>
      <c r="AU43" s="67" t="n">
        <f aca="false">-Inputs!$E$43*(1+Inputs!$E$44)^(AU$5-1)*1</f>
        <v>-700</v>
      </c>
      <c r="AV43" s="67" t="n">
        <f aca="false">-Inputs!$E$43*(1+Inputs!$E$44)^(AV$5-1)*1</f>
        <v>-700</v>
      </c>
      <c r="AW43" s="67" t="n">
        <f aca="false">-Inputs!$E$43*(1+Inputs!$E$44)^(AW$5-1)*1</f>
        <v>-700</v>
      </c>
      <c r="AX43" s="67" t="n">
        <f aca="false">-Inputs!$E$43*(1+Inputs!$E$44)^(AX$5-1)*1</f>
        <v>-700</v>
      </c>
      <c r="AY43" s="67" t="n">
        <f aca="false">-Inputs!$E$43*(1+Inputs!$E$44)^(AY$5-1)*1</f>
        <v>-700</v>
      </c>
      <c r="AZ43" s="67" t="n">
        <f aca="false">-Inputs!$E$43*(1+Inputs!$E$44)^(AZ$5-1)*1</f>
        <v>-700</v>
      </c>
      <c r="BA43" s="67" t="n">
        <f aca="false">-Inputs!$E$43*(1+Inputs!$E$44)^(BA$5-1)*1</f>
        <v>-700</v>
      </c>
      <c r="BB43" s="67" t="n">
        <f aca="false">-Inputs!$E$43*(1+Inputs!$E$44)^(BB$5-1)*1</f>
        <v>-700</v>
      </c>
      <c r="BC43" s="67" t="n">
        <f aca="false">-Inputs!$E$43*(1+Inputs!$E$44)^(BC$5-1)*1</f>
        <v>-700</v>
      </c>
      <c r="BD43" s="67" t="n">
        <f aca="false">-Inputs!$E$43*(1+Inputs!$E$44)^(BD$5-1)*1</f>
        <v>-700</v>
      </c>
      <c r="BE43" s="67" t="n">
        <f aca="false">-Inputs!$E$43*(1+Inputs!$E$44)^(BE$5-1)*1</f>
        <v>-700</v>
      </c>
      <c r="BF43" s="67" t="n">
        <f aca="false">-Inputs!$E$43*(1+Inputs!$E$44)^(BF$5-1)*1</f>
        <v>-700</v>
      </c>
      <c r="BG43" s="67" t="n">
        <f aca="false">-Inputs!$E$43*(1+Inputs!$E$44)^(BG$5-1)*1</f>
        <v>-700</v>
      </c>
      <c r="BH43" s="67" t="n">
        <f aca="false">-Inputs!$E$43*(1+Inputs!$E$44)^(BH$5-1)*1</f>
        <v>-700</v>
      </c>
      <c r="BI43" s="67" t="n">
        <f aca="false">-Inputs!$E$43*(1+Inputs!$E$44)^(BI$5-1)*1</f>
        <v>-700</v>
      </c>
      <c r="BJ43" s="67" t="n">
        <f aca="false">-Inputs!$E$43*(1+Inputs!$E$44)^(BJ$5-1)*1</f>
        <v>-700</v>
      </c>
    </row>
    <row r="44" customFormat="false" ht="15" hidden="false" customHeight="false" outlineLevel="0" collapsed="false">
      <c r="A44" s="6" t="s">
        <v>340</v>
      </c>
      <c r="C44" s="67" t="n">
        <f aca="false">-Inputs!$E$45*(1+Inputs!$E$34)^(C$5-1)*1</f>
        <v>-350</v>
      </c>
      <c r="D44" s="67" t="n">
        <f aca="false">-Inputs!$E$45*(1+Inputs!$E$34)^(D$5-1)*1</f>
        <v>-350</v>
      </c>
      <c r="E44" s="67" t="n">
        <f aca="false">-Inputs!$E$45*(1+Inputs!$E$34)^(E$5-1)*1</f>
        <v>-350</v>
      </c>
      <c r="F44" s="67" t="n">
        <f aca="false">-Inputs!$E$45*(1+Inputs!$E$34)^(F$5-1)*1</f>
        <v>-350</v>
      </c>
      <c r="G44" s="67" t="n">
        <f aca="false">-Inputs!$E$45*(1+Inputs!$E$34)^(G$5-1)*1</f>
        <v>-350</v>
      </c>
      <c r="H44" s="67" t="n">
        <f aca="false">-Inputs!$E$45*(1+Inputs!$E$34)^(H$5-1)*1</f>
        <v>-350</v>
      </c>
      <c r="I44" s="67" t="n">
        <f aca="false">-Inputs!$E$45*(1+Inputs!$E$34)^(I$5-1)*1</f>
        <v>-350</v>
      </c>
      <c r="J44" s="67" t="n">
        <f aca="false">-Inputs!$E$45*(1+Inputs!$E$34)^(J$5-1)*1</f>
        <v>-350</v>
      </c>
      <c r="K44" s="67" t="n">
        <f aca="false">-Inputs!$E$45*(1+Inputs!$E$34)^(K$5-1)*1</f>
        <v>-350</v>
      </c>
      <c r="L44" s="67" t="n">
        <f aca="false">-Inputs!$E$45*(1+Inputs!$E$34)^(L$5-1)*1</f>
        <v>-350</v>
      </c>
      <c r="M44" s="67" t="n">
        <f aca="false">-Inputs!$E$45*(1+Inputs!$E$34)^(M$5-1)*1</f>
        <v>-350</v>
      </c>
      <c r="N44" s="67" t="n">
        <f aca="false">-Inputs!$E$45*(1+Inputs!$E$34)^(N$5-1)*1</f>
        <v>-350</v>
      </c>
      <c r="O44" s="67" t="n">
        <f aca="false">-Inputs!$E$45*(1+Inputs!$E$34)^(O$5-1)*1</f>
        <v>-360.5</v>
      </c>
      <c r="P44" s="67" t="n">
        <f aca="false">-Inputs!$E$45*(1+Inputs!$E$34)^(P$5-1)*1</f>
        <v>-360.5</v>
      </c>
      <c r="Q44" s="67" t="n">
        <f aca="false">-Inputs!$E$45*(1+Inputs!$E$34)^(Q$5-1)*1</f>
        <v>-360.5</v>
      </c>
      <c r="R44" s="67" t="n">
        <f aca="false">-Inputs!$E$45*(1+Inputs!$E$34)^(R$5-1)*1</f>
        <v>-360.5</v>
      </c>
      <c r="S44" s="67" t="n">
        <f aca="false">-Inputs!$E$45*(1+Inputs!$E$34)^(S$5-1)*1</f>
        <v>-360.5</v>
      </c>
      <c r="T44" s="67" t="n">
        <f aca="false">-Inputs!$E$45*(1+Inputs!$E$34)^(T$5-1)*1</f>
        <v>-360.5</v>
      </c>
      <c r="U44" s="67" t="n">
        <f aca="false">-Inputs!$E$45*(1+Inputs!$E$34)^(U$5-1)*1</f>
        <v>-360.5</v>
      </c>
      <c r="V44" s="67" t="n">
        <f aca="false">-Inputs!$E$45*(1+Inputs!$E$34)^(V$5-1)*1</f>
        <v>-360.5</v>
      </c>
      <c r="W44" s="67" t="n">
        <f aca="false">-Inputs!$E$45*(1+Inputs!$E$34)^(W$5-1)*1</f>
        <v>-360.5</v>
      </c>
      <c r="X44" s="67" t="n">
        <f aca="false">-Inputs!$E$45*(1+Inputs!$E$34)^(X$5-1)*1</f>
        <v>-360.5</v>
      </c>
      <c r="Y44" s="67" t="n">
        <f aca="false">-Inputs!$E$45*(1+Inputs!$E$34)^(Y$5-1)*1</f>
        <v>-360.5</v>
      </c>
      <c r="Z44" s="67" t="n">
        <f aca="false">-Inputs!$E$45*(1+Inputs!$E$34)^(Z$5-1)*1</f>
        <v>-360.5</v>
      </c>
      <c r="AA44" s="67" t="n">
        <f aca="false">-Inputs!$E$45*(1+Inputs!$E$34)^(AA$5-1)*1</f>
        <v>-371.315</v>
      </c>
      <c r="AB44" s="67" t="n">
        <f aca="false">-Inputs!$E$45*(1+Inputs!$E$34)^(AB$5-1)*1</f>
        <v>-371.315</v>
      </c>
      <c r="AC44" s="67" t="n">
        <f aca="false">-Inputs!$E$45*(1+Inputs!$E$34)^(AC$5-1)*1</f>
        <v>-371.315</v>
      </c>
      <c r="AD44" s="67" t="n">
        <f aca="false">-Inputs!$E$45*(1+Inputs!$E$34)^(AD$5-1)*1</f>
        <v>-371.315</v>
      </c>
      <c r="AE44" s="67" t="n">
        <f aca="false">-Inputs!$E$45*(1+Inputs!$E$34)^(AE$5-1)*1</f>
        <v>-371.315</v>
      </c>
      <c r="AF44" s="67" t="n">
        <f aca="false">-Inputs!$E$45*(1+Inputs!$E$34)^(AF$5-1)*1</f>
        <v>-371.315</v>
      </c>
      <c r="AG44" s="67" t="n">
        <f aca="false">-Inputs!$E$45*(1+Inputs!$E$34)^(AG$5-1)*1</f>
        <v>-371.315</v>
      </c>
      <c r="AH44" s="67" t="n">
        <f aca="false">-Inputs!$E$45*(1+Inputs!$E$34)^(AH$5-1)*1</f>
        <v>-371.315</v>
      </c>
      <c r="AI44" s="67" t="n">
        <f aca="false">-Inputs!$E$45*(1+Inputs!$E$34)^(AI$5-1)*1</f>
        <v>-371.315</v>
      </c>
      <c r="AJ44" s="67" t="n">
        <f aca="false">-Inputs!$E$45*(1+Inputs!$E$34)^(AJ$5-1)*1</f>
        <v>-371.315</v>
      </c>
      <c r="AK44" s="67" t="n">
        <f aca="false">-Inputs!$E$45*(1+Inputs!$E$34)^(AK$5-1)*1</f>
        <v>-371.315</v>
      </c>
      <c r="AL44" s="67" t="n">
        <f aca="false">-Inputs!$E$45*(1+Inputs!$E$34)^(AL$5-1)*1</f>
        <v>-371.315</v>
      </c>
      <c r="AM44" s="67" t="n">
        <f aca="false">-Inputs!$E$45*(1+Inputs!$E$34)^(AM$5-1)*1</f>
        <v>-382.45445</v>
      </c>
      <c r="AN44" s="67" t="n">
        <f aca="false">-Inputs!$E$45*(1+Inputs!$E$34)^(AN$5-1)*1</f>
        <v>-382.45445</v>
      </c>
      <c r="AO44" s="67" t="n">
        <f aca="false">-Inputs!$E$45*(1+Inputs!$E$34)^(AO$5-1)*1</f>
        <v>-382.45445</v>
      </c>
      <c r="AP44" s="67" t="n">
        <f aca="false">-Inputs!$E$45*(1+Inputs!$E$34)^(AP$5-1)*1</f>
        <v>-382.45445</v>
      </c>
      <c r="AQ44" s="67" t="n">
        <f aca="false">-Inputs!$E$45*(1+Inputs!$E$34)^(AQ$5-1)*1</f>
        <v>-382.45445</v>
      </c>
      <c r="AR44" s="67" t="n">
        <f aca="false">-Inputs!$E$45*(1+Inputs!$E$34)^(AR$5-1)*1</f>
        <v>-382.45445</v>
      </c>
      <c r="AS44" s="67" t="n">
        <f aca="false">-Inputs!$E$45*(1+Inputs!$E$34)^(AS$5-1)*1</f>
        <v>-382.45445</v>
      </c>
      <c r="AT44" s="67" t="n">
        <f aca="false">-Inputs!$E$45*(1+Inputs!$E$34)^(AT$5-1)*1</f>
        <v>-382.45445</v>
      </c>
      <c r="AU44" s="67" t="n">
        <f aca="false">-Inputs!$E$45*(1+Inputs!$E$34)^(AU$5-1)*1</f>
        <v>-382.45445</v>
      </c>
      <c r="AV44" s="67" t="n">
        <f aca="false">-Inputs!$E$45*(1+Inputs!$E$34)^(AV$5-1)*1</f>
        <v>-382.45445</v>
      </c>
      <c r="AW44" s="67" t="n">
        <f aca="false">-Inputs!$E$45*(1+Inputs!$E$34)^(AW$5-1)*1</f>
        <v>-382.45445</v>
      </c>
      <c r="AX44" s="67" t="n">
        <f aca="false">-Inputs!$E$45*(1+Inputs!$E$34)^(AX$5-1)*1</f>
        <v>-382.45445</v>
      </c>
      <c r="AY44" s="67" t="n">
        <f aca="false">-Inputs!$E$45*(1+Inputs!$E$34)^(AY$5-1)*1</f>
        <v>-393.9280835</v>
      </c>
      <c r="AZ44" s="67" t="n">
        <f aca="false">-Inputs!$E$45*(1+Inputs!$E$34)^(AZ$5-1)*1</f>
        <v>-393.9280835</v>
      </c>
      <c r="BA44" s="67" t="n">
        <f aca="false">-Inputs!$E$45*(1+Inputs!$E$34)^(BA$5-1)*1</f>
        <v>-393.9280835</v>
      </c>
      <c r="BB44" s="67" t="n">
        <f aca="false">-Inputs!$E$45*(1+Inputs!$E$34)^(BB$5-1)*1</f>
        <v>-393.9280835</v>
      </c>
      <c r="BC44" s="67" t="n">
        <f aca="false">-Inputs!$E$45*(1+Inputs!$E$34)^(BC$5-1)*1</f>
        <v>-393.9280835</v>
      </c>
      <c r="BD44" s="67" t="n">
        <f aca="false">-Inputs!$E$45*(1+Inputs!$E$34)^(BD$5-1)*1</f>
        <v>-393.9280835</v>
      </c>
      <c r="BE44" s="67" t="n">
        <f aca="false">-Inputs!$E$45*(1+Inputs!$E$34)^(BE$5-1)*1</f>
        <v>-393.9280835</v>
      </c>
      <c r="BF44" s="67" t="n">
        <f aca="false">-Inputs!$E$45*(1+Inputs!$E$34)^(BF$5-1)*1</f>
        <v>-393.9280835</v>
      </c>
      <c r="BG44" s="67" t="n">
        <f aca="false">-Inputs!$E$45*(1+Inputs!$E$34)^(BG$5-1)*1</f>
        <v>-393.9280835</v>
      </c>
      <c r="BH44" s="67" t="n">
        <f aca="false">-Inputs!$E$45*(1+Inputs!$E$34)^(BH$5-1)*1</f>
        <v>-393.9280835</v>
      </c>
      <c r="BI44" s="67" t="n">
        <f aca="false">-Inputs!$E$45*(1+Inputs!$E$34)^(BI$5-1)*1</f>
        <v>-393.9280835</v>
      </c>
      <c r="BJ44" s="67" t="n">
        <f aca="false">-Inputs!$E$45*(1+Inputs!$E$34)^(BJ$5-1)*1</f>
        <v>-393.9280835</v>
      </c>
    </row>
    <row r="45" customFormat="false" ht="15" hidden="false" customHeight="false" outlineLevel="0" collapsed="false">
      <c r="A45" s="113" t="s">
        <v>77</v>
      </c>
      <c r="C45" s="68" t="n">
        <f aca="false">C36+C37+C38+C39+C40+C41+C42+C43+C44</f>
        <v>-13894.6666666667</v>
      </c>
      <c r="D45" s="68" t="n">
        <f aca="false">D36+D37+D38+D39+D40+D41+D42+D43+D44</f>
        <v>-13904.1666666667</v>
      </c>
      <c r="E45" s="68" t="n">
        <f aca="false">E36+E37+E38+E39+E40+E41+E42+E43+E44</f>
        <v>-14141.6666666667</v>
      </c>
      <c r="F45" s="68" t="n">
        <f aca="false">F36+F37+F38+F39+F40+F41+F42+F43+F44</f>
        <v>-14151.1666666667</v>
      </c>
      <c r="G45" s="68" t="n">
        <f aca="false">G36+G37+G38+G39+G40+G41+G42+G43+G44</f>
        <v>-14160.6666666667</v>
      </c>
      <c r="H45" s="68" t="n">
        <f aca="false">H36+H37+H38+H39+H40+H41+H42+H43+H44</f>
        <v>-14170.1666666667</v>
      </c>
      <c r="I45" s="68" t="n">
        <f aca="false">I36+I37+I38+I39+I40+I41+I42+I43+I44</f>
        <v>-14179.6666666667</v>
      </c>
      <c r="J45" s="68" t="n">
        <f aca="false">J36+J37+J38+J39+J40+J41+J42+J43+J44</f>
        <v>-14179.6666666667</v>
      </c>
      <c r="K45" s="68" t="n">
        <f aca="false">K36+K37+K38+K39+K40+K41+K42+K43+K44</f>
        <v>-14179.6666666667</v>
      </c>
      <c r="L45" s="68" t="n">
        <f aca="false">L36+L37+L38+L39+L40+L41+L42+L43+L44</f>
        <v>-14179.6666666667</v>
      </c>
      <c r="M45" s="68" t="n">
        <f aca="false">M36+M37+M38+M39+M40+M41+M42+M43+M44</f>
        <v>-14179.6666666667</v>
      </c>
      <c r="N45" s="68" t="n">
        <f aca="false">N36+N37+N38+N39+N40+N41+N42+N43+N44</f>
        <v>-13951.6666666667</v>
      </c>
      <c r="O45" s="68" t="n">
        <f aca="false">O36+O37+O38+O39+O40+O41+O42+O43+O44</f>
        <v>-14355.0876666667</v>
      </c>
      <c r="P45" s="68" t="n">
        <f aca="false">P36+P37+P38+P39+P40+P41+P42+P43+P44</f>
        <v>-14355.0876666667</v>
      </c>
      <c r="Q45" s="68" t="n">
        <f aca="false">Q36+Q37+Q38+Q39+Q40+Q41+Q42+Q43+Q44</f>
        <v>-14589.9276666667</v>
      </c>
      <c r="R45" s="68" t="n">
        <f aca="false">R36+R37+R38+R39+R40+R41+R42+R43+R44</f>
        <v>-14589.9276666667</v>
      </c>
      <c r="S45" s="68" t="n">
        <f aca="false">S36+S37+S38+S39+S40+S41+S42+S43+S44</f>
        <v>-14589.9276666667</v>
      </c>
      <c r="T45" s="68" t="n">
        <f aca="false">T36+T37+T38+T39+T40+T41+T42+T43+T44</f>
        <v>-14589.9276666667</v>
      </c>
      <c r="U45" s="68" t="n">
        <f aca="false">U36+U37+U38+U39+U40+U41+U42+U43+U44</f>
        <v>-14589.9276666667</v>
      </c>
      <c r="V45" s="68" t="n">
        <f aca="false">V36+V37+V38+V39+V40+V41+V42+V43+V44</f>
        <v>-14589.9276666667</v>
      </c>
      <c r="W45" s="68" t="n">
        <f aca="false">W36+W37+W38+W39+W40+W41+W42+W43+W44</f>
        <v>-14589.9276666667</v>
      </c>
      <c r="X45" s="68" t="n">
        <f aca="false">X36+X37+X38+X39+X40+X41+X42+X43+X44</f>
        <v>-14589.9276666667</v>
      </c>
      <c r="Y45" s="68" t="n">
        <f aca="false">Y36+Y37+Y38+Y39+Y40+Y41+Y42+Y43+Y44</f>
        <v>-14589.9276666667</v>
      </c>
      <c r="Z45" s="68" t="n">
        <f aca="false">Z36+Z37+Z38+Z39+Z40+Z41+Z42+Z43+Z44</f>
        <v>-14355.0876666667</v>
      </c>
      <c r="AA45" s="68" t="n">
        <f aca="false">AA36+AA37+AA38+AA39+AA40+AA41+AA42+AA43+AA44</f>
        <v>-14771.0897831667</v>
      </c>
      <c r="AB45" s="68" t="n">
        <f aca="false">AB36+AB37+AB38+AB39+AB40+AB41+AB42+AB43+AB44</f>
        <v>-14771.0897831667</v>
      </c>
      <c r="AC45" s="68" t="n">
        <f aca="false">AC36+AC37+AC38+AC39+AC40+AC41+AC42+AC43+AC44</f>
        <v>-15012.9749831667</v>
      </c>
      <c r="AD45" s="68" t="n">
        <f aca="false">AD36+AD37+AD38+AD39+AD40+AD41+AD42+AD43+AD44</f>
        <v>-15012.9749831667</v>
      </c>
      <c r="AE45" s="68" t="n">
        <f aca="false">AE36+AE37+AE38+AE39+AE40+AE41+AE42+AE43+AE44</f>
        <v>-15012.9749831667</v>
      </c>
      <c r="AF45" s="68" t="n">
        <f aca="false">AF36+AF37+AF38+AF39+AF40+AF41+AF42+AF43+AF44</f>
        <v>-15012.9749831667</v>
      </c>
      <c r="AG45" s="68" t="n">
        <f aca="false">AG36+AG37+AG38+AG39+AG40+AG41+AG42+AG43+AG44</f>
        <v>-15012.9749831667</v>
      </c>
      <c r="AH45" s="68" t="n">
        <f aca="false">AH36+AH37+AH38+AH39+AH40+AH41+AH42+AH43+AH44</f>
        <v>-15012.9749831667</v>
      </c>
      <c r="AI45" s="68" t="n">
        <f aca="false">AI36+AI37+AI38+AI39+AI40+AI41+AI42+AI43+AI44</f>
        <v>-15012.9749831667</v>
      </c>
      <c r="AJ45" s="68" t="n">
        <f aca="false">AJ36+AJ37+AJ38+AJ39+AJ40+AJ41+AJ42+AJ43+AJ44</f>
        <v>-15012.9749831667</v>
      </c>
      <c r="AK45" s="68" t="n">
        <f aca="false">AK36+AK37+AK38+AK39+AK40+AK41+AK42+AK43+AK44</f>
        <v>-15012.9749831667</v>
      </c>
      <c r="AL45" s="68" t="n">
        <f aca="false">AL36+AL37+AL38+AL39+AL40+AL41+AL42+AL43+AL44</f>
        <v>-14771.0897831667</v>
      </c>
      <c r="AM45" s="68" t="n">
        <f aca="false">AM36+AM37+AM38+AM39+AM40+AM41+AM42+AM43+AM44</f>
        <v>-15200.0894463114</v>
      </c>
      <c r="AN45" s="68" t="n">
        <f aca="false">AN36+AN37+AN38+AN39+AN40+AN41+AN42+AN43+AN44</f>
        <v>-15200.0894463114</v>
      </c>
      <c r="AO45" s="68" t="n">
        <f aca="false">AO36+AO37+AO38+AO39+AO40+AO41+AO42+AO43+AO44</f>
        <v>-15449.2312023114</v>
      </c>
      <c r="AP45" s="68" t="n">
        <f aca="false">AP36+AP37+AP38+AP39+AP40+AP41+AP42+AP43+AP44</f>
        <v>-15449.2312023114</v>
      </c>
      <c r="AQ45" s="68" t="n">
        <f aca="false">AQ36+AQ37+AQ38+AQ39+AQ40+AQ41+AQ42+AQ43+AQ44</f>
        <v>-15449.2312023114</v>
      </c>
      <c r="AR45" s="68" t="n">
        <f aca="false">AR36+AR37+AR38+AR39+AR40+AR41+AR42+AR43+AR44</f>
        <v>-15449.2312023114</v>
      </c>
      <c r="AS45" s="68" t="n">
        <f aca="false">AS36+AS37+AS38+AS39+AS40+AS41+AS42+AS43+AS44</f>
        <v>-15449.2312023114</v>
      </c>
      <c r="AT45" s="68" t="n">
        <f aca="false">AT36+AT37+AT38+AT39+AT40+AT41+AT42+AT43+AT44</f>
        <v>-15449.2312023114</v>
      </c>
      <c r="AU45" s="68" t="n">
        <f aca="false">AU36+AU37+AU38+AU39+AU40+AU41+AU42+AU43+AU44</f>
        <v>-15449.2312023114</v>
      </c>
      <c r="AV45" s="68" t="n">
        <f aca="false">AV36+AV37+AV38+AV39+AV40+AV41+AV42+AV43+AV44</f>
        <v>-15449.2312023114</v>
      </c>
      <c r="AW45" s="68" t="n">
        <f aca="false">AW36+AW37+AW38+AW39+AW40+AW41+AW42+AW43+AW44</f>
        <v>-15449.2312023114</v>
      </c>
      <c r="AX45" s="68" t="n">
        <f aca="false">AX36+AX37+AX38+AX39+AX40+AX41+AX42+AX43+AX44</f>
        <v>-15200.0894463114</v>
      </c>
      <c r="AY45" s="68" t="n">
        <f aca="false">AY36+AY37+AY38+AY39+AY40+AY41+AY42+AY43+AY44</f>
        <v>-15642.518757377</v>
      </c>
      <c r="AZ45" s="68" t="n">
        <f aca="false">AZ36+AZ37+AZ38+AZ39+AZ40+AZ41+AZ42+AZ43+AZ44</f>
        <v>-15642.518757377</v>
      </c>
      <c r="BA45" s="68" t="n">
        <f aca="false">BA36+BA37+BA38+BA39+BA40+BA41+BA42+BA43+BA44</f>
        <v>-15899.134766057</v>
      </c>
      <c r="BB45" s="68" t="n">
        <f aca="false">BB36+BB37+BB38+BB39+BB40+BB41+BB42+BB43+BB44</f>
        <v>-15899.134766057</v>
      </c>
      <c r="BC45" s="68" t="n">
        <f aca="false">BC36+BC37+BC38+BC39+BC40+BC41+BC42+BC43+BC44</f>
        <v>-15899.134766057</v>
      </c>
      <c r="BD45" s="68" t="n">
        <f aca="false">BD36+BD37+BD38+BD39+BD40+BD41+BD42+BD43+BD44</f>
        <v>-15899.134766057</v>
      </c>
      <c r="BE45" s="68" t="n">
        <f aca="false">BE36+BE37+BE38+BE39+BE40+BE41+BE42+BE43+BE44</f>
        <v>-15899.134766057</v>
      </c>
      <c r="BF45" s="68" t="n">
        <f aca="false">BF36+BF37+BF38+BF39+BF40+BF41+BF42+BF43+BF44</f>
        <v>-15899.134766057</v>
      </c>
      <c r="BG45" s="68" t="n">
        <f aca="false">BG36+BG37+BG38+BG39+BG40+BG41+BG42+BG43+BG44</f>
        <v>-15899.134766057</v>
      </c>
      <c r="BH45" s="68" t="n">
        <f aca="false">BH36+BH37+BH38+BH39+BH40+BH41+BH42+BH43+BH44</f>
        <v>-15899.134766057</v>
      </c>
      <c r="BI45" s="68" t="n">
        <f aca="false">BI36+BI37+BI38+BI39+BI40+BI41+BI42+BI43+BI44</f>
        <v>-15899.134766057</v>
      </c>
      <c r="BJ45" s="68" t="n">
        <f aca="false">BJ36+BJ37+BJ38+BJ39+BJ40+BJ41+BJ42+BJ43+BJ44</f>
        <v>-15642.518757377</v>
      </c>
    </row>
    <row r="46" customFormat="false" ht="15" hidden="false" customHeight="false" outlineLevel="0" collapsed="false">
      <c r="A46" s="113" t="s">
        <v>48</v>
      </c>
      <c r="C46" s="68" t="n">
        <f aca="false">C33+C45</f>
        <v>-7786.81066666667</v>
      </c>
      <c r="D46" s="68" t="n">
        <f aca="false">D33+D45</f>
        <v>-6778.33466666667</v>
      </c>
      <c r="E46" s="68" t="n">
        <f aca="false">E33+E45</f>
        <v>-2997.41066666667</v>
      </c>
      <c r="F46" s="68" t="n">
        <f aca="false">F33+F45</f>
        <v>-1613.87866666667</v>
      </c>
      <c r="G46" s="68" t="n">
        <f aca="false">G33+G45</f>
        <v>-230.34666666667</v>
      </c>
      <c r="H46" s="68" t="n">
        <f aca="false">H33+H45</f>
        <v>1153.18533333333</v>
      </c>
      <c r="I46" s="68" t="n">
        <f aca="false">I33+I45</f>
        <v>2536.71733333333</v>
      </c>
      <c r="J46" s="68" t="n">
        <f aca="false">J33+J45</f>
        <v>2536.71733333333</v>
      </c>
      <c r="K46" s="68" t="n">
        <f aca="false">K33+K45</f>
        <v>2536.71733333333</v>
      </c>
      <c r="L46" s="68" t="n">
        <f aca="false">L33+L45</f>
        <v>2536.71733333333</v>
      </c>
      <c r="M46" s="68" t="n">
        <f aca="false">M33+M45</f>
        <v>2536.71733333333</v>
      </c>
      <c r="N46" s="68" t="n">
        <f aca="false">N33+N45</f>
        <v>-1735.95466666667</v>
      </c>
      <c r="O46" s="68" t="n">
        <f aca="false">O33+O45</f>
        <v>-1352.40128586667</v>
      </c>
      <c r="P46" s="68" t="n">
        <f aca="false">P33+P45</f>
        <v>-1352.40128586667</v>
      </c>
      <c r="Q46" s="68" t="n">
        <f aca="false">Q33+Q45</f>
        <v>3187.52163893333</v>
      </c>
      <c r="R46" s="68" t="n">
        <f aca="false">R33+R45</f>
        <v>3187.52163893333</v>
      </c>
      <c r="S46" s="68" t="n">
        <f aca="false">S33+S45</f>
        <v>3187.52163893333</v>
      </c>
      <c r="T46" s="68" t="n">
        <f aca="false">T33+T45</f>
        <v>3187.52163893333</v>
      </c>
      <c r="U46" s="68" t="n">
        <f aca="false">U33+U45</f>
        <v>3187.52163893333</v>
      </c>
      <c r="V46" s="68" t="n">
        <f aca="false">V33+V45</f>
        <v>3187.52163893333</v>
      </c>
      <c r="W46" s="68" t="n">
        <f aca="false">W33+W45</f>
        <v>3187.52163893333</v>
      </c>
      <c r="X46" s="68" t="n">
        <f aca="false">X33+X45</f>
        <v>3187.52163893333</v>
      </c>
      <c r="Y46" s="68" t="n">
        <f aca="false">Y33+Y45</f>
        <v>3187.52163893333</v>
      </c>
      <c r="Z46" s="68" t="n">
        <f aca="false">Z33+Z45</f>
        <v>-1352.40128586667</v>
      </c>
      <c r="AA46" s="68" t="n">
        <f aca="false">AA33+AA45</f>
        <v>-929.99472389595</v>
      </c>
      <c r="AB46" s="68" t="n">
        <f aca="false">AB33+AB45</f>
        <v>-929.99472389595</v>
      </c>
      <c r="AC46" s="68" t="n">
        <f aca="false">AC33+AC45</f>
        <v>3893.66606302437</v>
      </c>
      <c r="AD46" s="68" t="n">
        <f aca="false">AD33+AD45</f>
        <v>3893.66606302437</v>
      </c>
      <c r="AE46" s="68" t="n">
        <f aca="false">AE33+AE45</f>
        <v>3893.66606302437</v>
      </c>
      <c r="AF46" s="68" t="n">
        <f aca="false">AF33+AF45</f>
        <v>3893.66606302437</v>
      </c>
      <c r="AG46" s="68" t="n">
        <f aca="false">AG33+AG45</f>
        <v>3893.66606302437</v>
      </c>
      <c r="AH46" s="68" t="n">
        <f aca="false">AH33+AH45</f>
        <v>3893.66606302437</v>
      </c>
      <c r="AI46" s="68" t="n">
        <f aca="false">AI33+AI45</f>
        <v>3893.66606302437</v>
      </c>
      <c r="AJ46" s="68" t="n">
        <f aca="false">AJ33+AJ45</f>
        <v>3893.66606302437</v>
      </c>
      <c r="AK46" s="68" t="n">
        <f aca="false">AK33+AK45</f>
        <v>3893.66606302437</v>
      </c>
      <c r="AL46" s="68" t="n">
        <f aca="false">AL33+AL45</f>
        <v>-929.99472389595</v>
      </c>
      <c r="AM46" s="68" t="n">
        <f aca="false">AM33+AM45</f>
        <v>-465.73319620389</v>
      </c>
      <c r="AN46" s="68" t="n">
        <f aca="false">AN33+AN45</f>
        <v>-465.73319620389</v>
      </c>
      <c r="AO46" s="68" t="n">
        <f aca="false">AO33+AO45</f>
        <v>4659.16278531988</v>
      </c>
      <c r="AP46" s="68" t="n">
        <f aca="false">AP33+AP45</f>
        <v>4659.16278531988</v>
      </c>
      <c r="AQ46" s="68" t="n">
        <f aca="false">AQ33+AQ45</f>
        <v>4659.16278531988</v>
      </c>
      <c r="AR46" s="68" t="n">
        <f aca="false">AR33+AR45</f>
        <v>4659.16278531988</v>
      </c>
      <c r="AS46" s="68" t="n">
        <f aca="false">AS33+AS45</f>
        <v>4659.16278531988</v>
      </c>
      <c r="AT46" s="68" t="n">
        <f aca="false">AT33+AT45</f>
        <v>4659.16278531988</v>
      </c>
      <c r="AU46" s="68" t="n">
        <f aca="false">AU33+AU45</f>
        <v>4659.16278531988</v>
      </c>
      <c r="AV46" s="68" t="n">
        <f aca="false">AV33+AV45</f>
        <v>4659.16278531988</v>
      </c>
      <c r="AW46" s="68" t="n">
        <f aca="false">AW33+AW45</f>
        <v>4659.16278531988</v>
      </c>
      <c r="AX46" s="68" t="n">
        <f aca="false">AX33+AX45</f>
        <v>-465.73319620389</v>
      </c>
      <c r="AY46" s="68" t="n">
        <f aca="false">AY33+AY45</f>
        <v>43.600877980105</v>
      </c>
      <c r="AZ46" s="68" t="n">
        <f aca="false">AZ33+AZ45</f>
        <v>43.600877980105</v>
      </c>
      <c r="BA46" s="68" t="n">
        <f aca="false">BA33+BA45</f>
        <v>5488.30150503907</v>
      </c>
      <c r="BB46" s="68" t="n">
        <f aca="false">BB33+BB45</f>
        <v>5488.30150503907</v>
      </c>
      <c r="BC46" s="68" t="n">
        <f aca="false">BC33+BC45</f>
        <v>5488.30150503907</v>
      </c>
      <c r="BD46" s="68" t="n">
        <f aca="false">BD33+BD45</f>
        <v>5488.30150503907</v>
      </c>
      <c r="BE46" s="68" t="n">
        <f aca="false">BE33+BE45</f>
        <v>5488.30150503907</v>
      </c>
      <c r="BF46" s="68" t="n">
        <f aca="false">BF33+BF45</f>
        <v>5488.30150503907</v>
      </c>
      <c r="BG46" s="68" t="n">
        <f aca="false">BG33+BG45</f>
        <v>5488.30150503907</v>
      </c>
      <c r="BH46" s="68" t="n">
        <f aca="false">BH33+BH45</f>
        <v>5488.30150503907</v>
      </c>
      <c r="BI46" s="68" t="n">
        <f aca="false">BI33+BI45</f>
        <v>5488.30150503907</v>
      </c>
      <c r="BJ46" s="68" t="n">
        <f aca="false">BJ33+BJ45</f>
        <v>43.600877980105</v>
      </c>
    </row>
    <row r="48" customFormat="false" ht="15.75" hidden="false" customHeight="true" outlineLevel="0" collapsed="false">
      <c r="A48" s="7" t="s">
        <v>428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customFormat="false" ht="15" hidden="false" customHeight="false" outlineLevel="0" collapsed="false">
      <c r="A49" s="4" t="s">
        <v>79</v>
      </c>
      <c r="C49" s="73" t="n">
        <f aca="false">C46+C64</f>
        <v>-9429.66780952381</v>
      </c>
      <c r="D49" s="73" t="n">
        <f aca="false">D46+D64</f>
        <v>-8421.19180952381</v>
      </c>
      <c r="E49" s="73" t="n">
        <f aca="false">E46+E64</f>
        <v>-4640.26780952381</v>
      </c>
      <c r="F49" s="73" t="n">
        <f aca="false">F46+F64</f>
        <v>-3256.73580952381</v>
      </c>
      <c r="G49" s="73" t="n">
        <f aca="false">G46+G64</f>
        <v>-1873.20380952381</v>
      </c>
      <c r="H49" s="73" t="n">
        <f aca="false">H46+H64</f>
        <v>-489.671809523814</v>
      </c>
      <c r="I49" s="73" t="n">
        <f aca="false">I46+I64</f>
        <v>893.860190476187</v>
      </c>
      <c r="J49" s="73" t="n">
        <f aca="false">J46+J64</f>
        <v>893.860190476187</v>
      </c>
      <c r="K49" s="73" t="n">
        <f aca="false">K46+K64</f>
        <v>893.860190476187</v>
      </c>
      <c r="L49" s="73" t="n">
        <f aca="false">L46+L64</f>
        <v>893.860190476187</v>
      </c>
      <c r="M49" s="73" t="n">
        <f aca="false">M46+M64</f>
        <v>893.860190476187</v>
      </c>
      <c r="N49" s="73" t="n">
        <f aca="false">N46+N64</f>
        <v>-3378.81180952381</v>
      </c>
      <c r="O49" s="73" t="n">
        <f aca="false">O46+O64</f>
        <v>-3025.02033348572</v>
      </c>
      <c r="P49" s="73" t="n">
        <f aca="false">P46+P64</f>
        <v>-3025.02033348572</v>
      </c>
      <c r="Q49" s="73" t="n">
        <f aca="false">Q46+Q64</f>
        <v>1514.90259131428</v>
      </c>
      <c r="R49" s="73" t="n">
        <f aca="false">R46+R64</f>
        <v>1514.90259131428</v>
      </c>
      <c r="S49" s="73" t="n">
        <f aca="false">S46+S64</f>
        <v>1514.90259131428</v>
      </c>
      <c r="T49" s="73" t="n">
        <f aca="false">T46+T64</f>
        <v>1514.90259131428</v>
      </c>
      <c r="U49" s="73" t="n">
        <f aca="false">U46+U64</f>
        <v>1514.90259131428</v>
      </c>
      <c r="V49" s="73" t="n">
        <f aca="false">V46+V64</f>
        <v>1514.90259131428</v>
      </c>
      <c r="W49" s="73" t="n">
        <f aca="false">W46+W64</f>
        <v>1514.90259131428</v>
      </c>
      <c r="X49" s="73" t="n">
        <f aca="false">X46+X64</f>
        <v>1514.90259131428</v>
      </c>
      <c r="Y49" s="73" t="n">
        <f aca="false">Y46+Y64</f>
        <v>1514.90259131428</v>
      </c>
      <c r="Z49" s="73" t="n">
        <f aca="false">Z46+Z64</f>
        <v>-3025.02033348572</v>
      </c>
      <c r="AA49" s="73" t="n">
        <f aca="false">AA46+AA64</f>
        <v>-2632.3756762769</v>
      </c>
      <c r="AB49" s="73" t="n">
        <f aca="false">AB46+AB64</f>
        <v>-2632.3756762769</v>
      </c>
      <c r="AC49" s="73" t="n">
        <f aca="false">AC46+AC64</f>
        <v>2191.28511064342</v>
      </c>
      <c r="AD49" s="73" t="n">
        <f aca="false">AD46+AD64</f>
        <v>2191.28511064342</v>
      </c>
      <c r="AE49" s="73" t="n">
        <f aca="false">AE46+AE64</f>
        <v>2191.28511064342</v>
      </c>
      <c r="AF49" s="73" t="n">
        <f aca="false">AF46+AF64</f>
        <v>2191.28511064342</v>
      </c>
      <c r="AG49" s="73" t="n">
        <f aca="false">AG46+AG64</f>
        <v>2191.28511064342</v>
      </c>
      <c r="AH49" s="73" t="n">
        <f aca="false">AH46+AH64</f>
        <v>2191.28511064342</v>
      </c>
      <c r="AI49" s="73" t="n">
        <f aca="false">AI46+AI64</f>
        <v>2191.28511064342</v>
      </c>
      <c r="AJ49" s="73" t="n">
        <f aca="false">AJ46+AJ64</f>
        <v>2191.28511064342</v>
      </c>
      <c r="AK49" s="73" t="n">
        <f aca="false">AK46+AK64</f>
        <v>2191.28511064342</v>
      </c>
      <c r="AL49" s="73" t="n">
        <f aca="false">AL46+AL64</f>
        <v>-2632.3756762769</v>
      </c>
      <c r="AM49" s="73" t="n">
        <f aca="false">AM46+AM64</f>
        <v>-2197.87605334675</v>
      </c>
      <c r="AN49" s="73" t="n">
        <f aca="false">AN46+AN64</f>
        <v>-2197.87605334675</v>
      </c>
      <c r="AO49" s="73" t="n">
        <f aca="false">AO46+AO64</f>
        <v>2927.01992817702</v>
      </c>
      <c r="AP49" s="73" t="n">
        <f aca="false">AP46+AP64</f>
        <v>2927.01992817702</v>
      </c>
      <c r="AQ49" s="73" t="n">
        <f aca="false">AQ46+AQ64</f>
        <v>2927.01992817702</v>
      </c>
      <c r="AR49" s="73" t="n">
        <f aca="false">AR46+AR64</f>
        <v>2927.01992817702</v>
      </c>
      <c r="AS49" s="73" t="n">
        <f aca="false">AS46+AS64</f>
        <v>2927.01992817702</v>
      </c>
      <c r="AT49" s="73" t="n">
        <f aca="false">AT46+AT64</f>
        <v>2927.01992817702</v>
      </c>
      <c r="AU49" s="73" t="n">
        <f aca="false">AU46+AU64</f>
        <v>2927.01992817702</v>
      </c>
      <c r="AV49" s="73" t="n">
        <f aca="false">AV46+AV64</f>
        <v>2927.01992817702</v>
      </c>
      <c r="AW49" s="73" t="n">
        <f aca="false">AW46+AW64</f>
        <v>2927.01992817702</v>
      </c>
      <c r="AX49" s="73" t="n">
        <f aca="false">AX46+AX64</f>
        <v>-2197.87605334675</v>
      </c>
      <c r="AY49" s="73" t="n">
        <f aca="false">AY46+AY64</f>
        <v>-1718.30388392466</v>
      </c>
      <c r="AZ49" s="73" t="n">
        <f aca="false">AZ46+AZ64</f>
        <v>-1718.30388392466</v>
      </c>
      <c r="BA49" s="73" t="n">
        <f aca="false">BA46+BA64</f>
        <v>3726.39674313431</v>
      </c>
      <c r="BB49" s="73" t="n">
        <f aca="false">BB46+BB64</f>
        <v>3726.39674313431</v>
      </c>
      <c r="BC49" s="73" t="n">
        <f aca="false">BC46+BC64</f>
        <v>3726.39674313431</v>
      </c>
      <c r="BD49" s="73" t="n">
        <f aca="false">BD46+BD64</f>
        <v>3726.39674313431</v>
      </c>
      <c r="BE49" s="73" t="n">
        <f aca="false">BE46+BE64</f>
        <v>3726.39674313431</v>
      </c>
      <c r="BF49" s="73" t="n">
        <f aca="false">BF46+BF64</f>
        <v>3726.39674313431</v>
      </c>
      <c r="BG49" s="73" t="n">
        <f aca="false">BG46+BG64</f>
        <v>3726.39674313431</v>
      </c>
      <c r="BH49" s="73" t="n">
        <f aca="false">BH46+BH64</f>
        <v>3726.39674313431</v>
      </c>
      <c r="BI49" s="73" t="n">
        <f aca="false">BI46+BI64</f>
        <v>3726.39674313431</v>
      </c>
      <c r="BJ49" s="73" t="n">
        <f aca="false">BJ46+BJ64</f>
        <v>-1718.30388392466</v>
      </c>
    </row>
    <row r="50" customFormat="false" ht="15" hidden="false" customHeight="false" outlineLevel="0" collapsed="false">
      <c r="A50" s="6" t="s">
        <v>429</v>
      </c>
      <c r="C50" s="67" t="n">
        <f aca="false">-(C69+C70+C72)/2*Inputs!$E$73/12</f>
        <v>-675</v>
      </c>
      <c r="D50" s="67" t="n">
        <f aca="false">-(D69+D70+D72)/2*Inputs!$E$73/12</f>
        <v>-669.375</v>
      </c>
      <c r="E50" s="67" t="n">
        <f aca="false">-(E69+E70+E72)/2*Inputs!$E$73/12</f>
        <v>-658.125</v>
      </c>
      <c r="F50" s="67" t="n">
        <f aca="false">-(F69+F70+F72)/2*Inputs!$E$73/12</f>
        <v>-646.875</v>
      </c>
      <c r="G50" s="67" t="n">
        <f aca="false">-(G69+G70+G72)/2*Inputs!$E$73/12</f>
        <v>-635.625</v>
      </c>
      <c r="H50" s="67" t="n">
        <f aca="false">-(H69+H70+H72)/2*Inputs!$E$73/12</f>
        <v>-624.375</v>
      </c>
      <c r="I50" s="67" t="n">
        <f aca="false">-(I69+I70+I72)/2*Inputs!$E$73/12</f>
        <v>-613.125</v>
      </c>
      <c r="J50" s="67" t="n">
        <f aca="false">-(J69+J70+J72)/2*Inputs!$E$73/12</f>
        <v>-601.875</v>
      </c>
      <c r="K50" s="67" t="n">
        <f aca="false">-(K69+K70+K72)/2*Inputs!$E$73/12</f>
        <v>-590.625</v>
      </c>
      <c r="L50" s="67" t="n">
        <f aca="false">-(L69+L70+L72)/2*Inputs!$E$73/12</f>
        <v>-579.375</v>
      </c>
      <c r="M50" s="67" t="n">
        <f aca="false">-(M69+M70+M72)/2*Inputs!$E$73/12</f>
        <v>-568.125</v>
      </c>
      <c r="N50" s="67" t="n">
        <f aca="false">-(N69+N70+N72)/2*Inputs!$E$73/12</f>
        <v>-556.875</v>
      </c>
      <c r="O50" s="67" t="n">
        <f aca="false">-(O69+O70+O72)/2*Inputs!$E$73/12</f>
        <v>-545.625</v>
      </c>
      <c r="P50" s="67" t="n">
        <f aca="false">-(P69+P70+P72)/2*Inputs!$E$73/12</f>
        <v>-534.375</v>
      </c>
      <c r="Q50" s="67" t="n">
        <f aca="false">-(Q69+Q70+Q72)/2*Inputs!$E$73/12</f>
        <v>-523.125</v>
      </c>
      <c r="R50" s="67" t="n">
        <f aca="false">-(R69+R70+R72)/2*Inputs!$E$73/12</f>
        <v>-511.875</v>
      </c>
      <c r="S50" s="67" t="n">
        <f aca="false">-(S69+S70+S72)/2*Inputs!$E$73/12</f>
        <v>-500.625</v>
      </c>
      <c r="T50" s="67" t="n">
        <f aca="false">-(T69+T70+T72)/2*Inputs!$E$73/12</f>
        <v>-489.375</v>
      </c>
      <c r="U50" s="67" t="n">
        <f aca="false">-(U69+U70+U72)/2*Inputs!$E$73/12</f>
        <v>-478.125</v>
      </c>
      <c r="V50" s="67" t="n">
        <f aca="false">-(V69+V70+V72)/2*Inputs!$E$73/12</f>
        <v>-466.875</v>
      </c>
      <c r="W50" s="67" t="n">
        <f aca="false">-(W69+W70+W72)/2*Inputs!$E$73/12</f>
        <v>-455.625</v>
      </c>
      <c r="X50" s="67" t="n">
        <f aca="false">-(X69+X70+X72)/2*Inputs!$E$73/12</f>
        <v>-444.375</v>
      </c>
      <c r="Y50" s="67" t="n">
        <f aca="false">-(Y69+Y70+Y72)/2*Inputs!$E$73/12</f>
        <v>-433.125</v>
      </c>
      <c r="Z50" s="67" t="n">
        <f aca="false">-(Z69+Z70+Z72)/2*Inputs!$E$73/12</f>
        <v>-421.875</v>
      </c>
      <c r="AA50" s="67" t="n">
        <f aca="false">-(AA69+AA70+AA72)/2*Inputs!$E$73/12</f>
        <v>-410.625</v>
      </c>
      <c r="AB50" s="67" t="n">
        <f aca="false">-(AB69+AB70+AB72)/2*Inputs!$E$73/12</f>
        <v>-399.375</v>
      </c>
      <c r="AC50" s="67" t="n">
        <f aca="false">-(AC69+AC70+AC72)/2*Inputs!$E$73/12</f>
        <v>-388.125</v>
      </c>
      <c r="AD50" s="67" t="n">
        <f aca="false">-(AD69+AD70+AD72)/2*Inputs!$E$73/12</f>
        <v>-376.875</v>
      </c>
      <c r="AE50" s="67" t="n">
        <f aca="false">-(AE69+AE70+AE72)/2*Inputs!$E$73/12</f>
        <v>-365.625</v>
      </c>
      <c r="AF50" s="67" t="n">
        <f aca="false">-(AF69+AF70+AF72)/2*Inputs!$E$73/12</f>
        <v>-354.375</v>
      </c>
      <c r="AG50" s="67" t="n">
        <f aca="false">-(AG69+AG70+AG72)/2*Inputs!$E$73/12</f>
        <v>-343.125</v>
      </c>
      <c r="AH50" s="67" t="n">
        <f aca="false">-(AH69+AH70+AH72)/2*Inputs!$E$73/12</f>
        <v>-331.875</v>
      </c>
      <c r="AI50" s="67" t="n">
        <f aca="false">-(AI69+AI70+AI72)/2*Inputs!$E$73/12</f>
        <v>-320.625</v>
      </c>
      <c r="AJ50" s="67" t="n">
        <f aca="false">-(AJ69+AJ70+AJ72)/2*Inputs!$E$73/12</f>
        <v>-309.375</v>
      </c>
      <c r="AK50" s="67" t="n">
        <f aca="false">-(AK69+AK70+AK72)/2*Inputs!$E$73/12</f>
        <v>-298.125</v>
      </c>
      <c r="AL50" s="67" t="n">
        <f aca="false">-(AL69+AL70+AL72)/2*Inputs!$E$73/12</f>
        <v>-286.875</v>
      </c>
      <c r="AM50" s="67" t="n">
        <f aca="false">-(AM69+AM70+AM72)/2*Inputs!$E$73/12</f>
        <v>-275.625</v>
      </c>
      <c r="AN50" s="67" t="n">
        <f aca="false">-(AN69+AN70+AN72)/2*Inputs!$E$73/12</f>
        <v>-264.375</v>
      </c>
      <c r="AO50" s="67" t="n">
        <f aca="false">-(AO69+AO70+AO72)/2*Inputs!$E$73/12</f>
        <v>-253.125</v>
      </c>
      <c r="AP50" s="67" t="n">
        <f aca="false">-(AP69+AP70+AP72)/2*Inputs!$E$73/12</f>
        <v>-241.875</v>
      </c>
      <c r="AQ50" s="67" t="n">
        <f aca="false">-(AQ69+AQ70+AQ72)/2*Inputs!$E$73/12</f>
        <v>-230.625</v>
      </c>
      <c r="AR50" s="67" t="n">
        <f aca="false">-(AR69+AR70+AR72)/2*Inputs!$E$73/12</f>
        <v>-219.375</v>
      </c>
      <c r="AS50" s="67" t="n">
        <f aca="false">-(AS69+AS70+AS72)/2*Inputs!$E$73/12</f>
        <v>-208.125</v>
      </c>
      <c r="AT50" s="67" t="n">
        <f aca="false">-(AT69+AT70+AT72)/2*Inputs!$E$73/12</f>
        <v>-196.875</v>
      </c>
      <c r="AU50" s="67" t="n">
        <f aca="false">-(AU69+AU70+AU72)/2*Inputs!$E$73/12</f>
        <v>-185.625</v>
      </c>
      <c r="AV50" s="67" t="n">
        <f aca="false">-(AV69+AV70+AV72)/2*Inputs!$E$73/12</f>
        <v>-174.375</v>
      </c>
      <c r="AW50" s="67" t="n">
        <f aca="false">-(AW69+AW70+AW72)/2*Inputs!$E$73/12</f>
        <v>-163.125</v>
      </c>
      <c r="AX50" s="67" t="n">
        <f aca="false">-(AX69+AX70+AX72)/2*Inputs!$E$73/12</f>
        <v>-151.875</v>
      </c>
      <c r="AY50" s="67" t="n">
        <f aca="false">-(AY69+AY70+AY72)/2*Inputs!$E$73/12</f>
        <v>-140.625</v>
      </c>
      <c r="AZ50" s="67" t="n">
        <f aca="false">-(AZ69+AZ70+AZ72)/2*Inputs!$E$73/12</f>
        <v>-129.375</v>
      </c>
      <c r="BA50" s="67" t="n">
        <f aca="false">-(BA69+BA70+BA72)/2*Inputs!$E$73/12</f>
        <v>-118.125</v>
      </c>
      <c r="BB50" s="67" t="n">
        <f aca="false">-(BB69+BB70+BB72)/2*Inputs!$E$73/12</f>
        <v>-106.875</v>
      </c>
      <c r="BC50" s="67" t="n">
        <f aca="false">-(BC69+BC70+BC72)/2*Inputs!$E$73/12</f>
        <v>-95.625</v>
      </c>
      <c r="BD50" s="67" t="n">
        <f aca="false">-(BD69+BD70+BD72)/2*Inputs!$E$73/12</f>
        <v>-84.375</v>
      </c>
      <c r="BE50" s="67" t="n">
        <f aca="false">-(BE69+BE70+BE72)/2*Inputs!$E$73/12</f>
        <v>-73.125</v>
      </c>
      <c r="BF50" s="67" t="n">
        <f aca="false">-(BF69+BF70+BF72)/2*Inputs!$E$73/12</f>
        <v>-61.875</v>
      </c>
      <c r="BG50" s="67" t="n">
        <f aca="false">-(BG69+BG70+BG72)/2*Inputs!$E$73/12</f>
        <v>-50.625</v>
      </c>
      <c r="BH50" s="67" t="n">
        <f aca="false">-(BH69+BH70+BH72)/2*Inputs!$E$73/12</f>
        <v>-39.375</v>
      </c>
      <c r="BI50" s="67" t="n">
        <f aca="false">-(BI69+BI70+BI72)/2*Inputs!$E$73/12</f>
        <v>-28.125</v>
      </c>
      <c r="BJ50" s="67" t="n">
        <f aca="false">-(BJ69+BJ70+BJ72)/2*Inputs!$E$73/12</f>
        <v>-16.875</v>
      </c>
    </row>
    <row r="51" customFormat="false" ht="15" hidden="false" customHeight="false" outlineLevel="0" collapsed="false">
      <c r="A51" s="113" t="s">
        <v>81</v>
      </c>
      <c r="C51" s="68" t="n">
        <f aca="false">C49+C50</f>
        <v>-10104.6678095238</v>
      </c>
      <c r="D51" s="68" t="n">
        <f aca="false">D49+D50</f>
        <v>-9090.56680952381</v>
      </c>
      <c r="E51" s="68" t="n">
        <f aca="false">E49+E50</f>
        <v>-5298.39280952381</v>
      </c>
      <c r="F51" s="68" t="n">
        <f aca="false">F49+F50</f>
        <v>-3903.61080952381</v>
      </c>
      <c r="G51" s="68" t="n">
        <f aca="false">G49+G50</f>
        <v>-2508.82880952381</v>
      </c>
      <c r="H51" s="68" t="n">
        <f aca="false">H49+H50</f>
        <v>-1114.04680952381</v>
      </c>
      <c r="I51" s="68" t="n">
        <f aca="false">I49+I50</f>
        <v>280.735190476187</v>
      </c>
      <c r="J51" s="68" t="n">
        <f aca="false">J49+J50</f>
        <v>291.985190476187</v>
      </c>
      <c r="K51" s="68" t="n">
        <f aca="false">K49+K50</f>
        <v>303.235190476187</v>
      </c>
      <c r="L51" s="68" t="n">
        <f aca="false">L49+L50</f>
        <v>314.485190476187</v>
      </c>
      <c r="M51" s="68" t="n">
        <f aca="false">M49+M50</f>
        <v>325.735190476187</v>
      </c>
      <c r="N51" s="68" t="n">
        <f aca="false">N49+N50</f>
        <v>-3935.68680952381</v>
      </c>
      <c r="O51" s="68" t="n">
        <f aca="false">O49+O50</f>
        <v>-3570.64533348572</v>
      </c>
      <c r="P51" s="68" t="n">
        <f aca="false">P49+P50</f>
        <v>-3559.39533348572</v>
      </c>
      <c r="Q51" s="68" t="n">
        <f aca="false">Q49+Q50</f>
        <v>991.777591314283</v>
      </c>
      <c r="R51" s="68" t="n">
        <f aca="false">R49+R50</f>
        <v>1003.02759131428</v>
      </c>
      <c r="S51" s="68" t="n">
        <f aca="false">S49+S50</f>
        <v>1014.27759131428</v>
      </c>
      <c r="T51" s="68" t="n">
        <f aca="false">T49+T50</f>
        <v>1025.52759131428</v>
      </c>
      <c r="U51" s="68" t="n">
        <f aca="false">U49+U50</f>
        <v>1036.77759131428</v>
      </c>
      <c r="V51" s="68" t="n">
        <f aca="false">V49+V50</f>
        <v>1048.02759131428</v>
      </c>
      <c r="W51" s="68" t="n">
        <f aca="false">W49+W50</f>
        <v>1059.27759131428</v>
      </c>
      <c r="X51" s="68" t="n">
        <f aca="false">X49+X50</f>
        <v>1070.52759131428</v>
      </c>
      <c r="Y51" s="68" t="n">
        <f aca="false">Y49+Y50</f>
        <v>1081.77759131428</v>
      </c>
      <c r="Z51" s="68" t="n">
        <f aca="false">Z49+Z50</f>
        <v>-3446.89533348572</v>
      </c>
      <c r="AA51" s="68" t="n">
        <f aca="false">AA49+AA50</f>
        <v>-3043.0006762769</v>
      </c>
      <c r="AB51" s="68" t="n">
        <f aca="false">AB49+AB50</f>
        <v>-3031.7506762769</v>
      </c>
      <c r="AC51" s="68" t="n">
        <f aca="false">AC49+AC50</f>
        <v>1803.16011064342</v>
      </c>
      <c r="AD51" s="68" t="n">
        <f aca="false">AD49+AD50</f>
        <v>1814.41011064342</v>
      </c>
      <c r="AE51" s="68" t="n">
        <f aca="false">AE49+AE50</f>
        <v>1825.66011064342</v>
      </c>
      <c r="AF51" s="68" t="n">
        <f aca="false">AF49+AF50</f>
        <v>1836.91011064342</v>
      </c>
      <c r="AG51" s="68" t="n">
        <f aca="false">AG49+AG50</f>
        <v>1848.16011064342</v>
      </c>
      <c r="AH51" s="68" t="n">
        <f aca="false">AH49+AH50</f>
        <v>1859.41011064342</v>
      </c>
      <c r="AI51" s="68" t="n">
        <f aca="false">AI49+AI50</f>
        <v>1870.66011064342</v>
      </c>
      <c r="AJ51" s="68" t="n">
        <f aca="false">AJ49+AJ50</f>
        <v>1881.91011064342</v>
      </c>
      <c r="AK51" s="68" t="n">
        <f aca="false">AK49+AK50</f>
        <v>1893.16011064342</v>
      </c>
      <c r="AL51" s="68" t="n">
        <f aca="false">AL49+AL50</f>
        <v>-2919.2506762769</v>
      </c>
      <c r="AM51" s="68" t="n">
        <f aca="false">AM49+AM50</f>
        <v>-2473.50105334675</v>
      </c>
      <c r="AN51" s="68" t="n">
        <f aca="false">AN49+AN50</f>
        <v>-2462.25105334675</v>
      </c>
      <c r="AO51" s="68" t="n">
        <f aca="false">AO49+AO50</f>
        <v>2673.89492817702</v>
      </c>
      <c r="AP51" s="68" t="n">
        <f aca="false">AP49+AP50</f>
        <v>2685.14492817702</v>
      </c>
      <c r="AQ51" s="68" t="n">
        <f aca="false">AQ49+AQ50</f>
        <v>2696.39492817702</v>
      </c>
      <c r="AR51" s="68" t="n">
        <f aca="false">AR49+AR50</f>
        <v>2707.64492817702</v>
      </c>
      <c r="AS51" s="68" t="n">
        <f aca="false">AS49+AS50</f>
        <v>2718.89492817702</v>
      </c>
      <c r="AT51" s="68" t="n">
        <f aca="false">AT49+AT50</f>
        <v>2730.14492817702</v>
      </c>
      <c r="AU51" s="68" t="n">
        <f aca="false">AU49+AU50</f>
        <v>2741.39492817702</v>
      </c>
      <c r="AV51" s="68" t="n">
        <f aca="false">AV49+AV50</f>
        <v>2752.64492817702</v>
      </c>
      <c r="AW51" s="68" t="n">
        <f aca="false">AW49+AW50</f>
        <v>2763.89492817702</v>
      </c>
      <c r="AX51" s="68" t="n">
        <f aca="false">AX49+AX50</f>
        <v>-2349.75105334675</v>
      </c>
      <c r="AY51" s="68" t="n">
        <f aca="false">AY49+AY50</f>
        <v>-1858.92888392466</v>
      </c>
      <c r="AZ51" s="68" t="n">
        <f aca="false">AZ49+AZ50</f>
        <v>-1847.67888392466</v>
      </c>
      <c r="BA51" s="68" t="n">
        <f aca="false">BA49+BA50</f>
        <v>3608.27174313431</v>
      </c>
      <c r="BB51" s="68" t="n">
        <f aca="false">BB49+BB50</f>
        <v>3619.52174313431</v>
      </c>
      <c r="BC51" s="68" t="n">
        <f aca="false">BC49+BC50</f>
        <v>3630.77174313431</v>
      </c>
      <c r="BD51" s="68" t="n">
        <f aca="false">BD49+BD50</f>
        <v>3642.02174313431</v>
      </c>
      <c r="BE51" s="68" t="n">
        <f aca="false">BE49+BE50</f>
        <v>3653.27174313431</v>
      </c>
      <c r="BF51" s="68" t="n">
        <f aca="false">BF49+BF50</f>
        <v>3664.52174313431</v>
      </c>
      <c r="BG51" s="68" t="n">
        <f aca="false">BG49+BG50</f>
        <v>3675.77174313431</v>
      </c>
      <c r="BH51" s="68" t="n">
        <f aca="false">BH49+BH50</f>
        <v>3687.02174313431</v>
      </c>
      <c r="BI51" s="68" t="n">
        <f aca="false">BI49+BI50</f>
        <v>3698.27174313431</v>
      </c>
      <c r="BJ51" s="68" t="n">
        <f aca="false">BJ49+BJ50</f>
        <v>-1735.17888392466</v>
      </c>
    </row>
    <row r="52" customFormat="false" ht="15" hidden="false" customHeight="false" outlineLevel="0" collapsed="false">
      <c r="A52" s="117" t="s">
        <v>430</v>
      </c>
      <c r="C52" s="67" t="n">
        <f aca="false">C51</f>
        <v>-10104.6678095238</v>
      </c>
      <c r="D52" s="67" t="n">
        <f aca="false">C52+D51</f>
        <v>-19195.2346190476</v>
      </c>
      <c r="E52" s="67" t="n">
        <f aca="false">D52+E51</f>
        <v>-24493.6274285714</v>
      </c>
      <c r="F52" s="67" t="n">
        <f aca="false">E52+F51</f>
        <v>-28397.2382380952</v>
      </c>
      <c r="G52" s="67" t="n">
        <f aca="false">F52+G51</f>
        <v>-30906.0670476191</v>
      </c>
      <c r="H52" s="67" t="n">
        <f aca="false">G52+H51</f>
        <v>-32020.1138571429</v>
      </c>
      <c r="I52" s="67" t="n">
        <f aca="false">H52+I51</f>
        <v>-31739.3786666667</v>
      </c>
      <c r="J52" s="67" t="n">
        <f aca="false">I52+J51</f>
        <v>-31447.3934761905</v>
      </c>
      <c r="K52" s="67" t="n">
        <f aca="false">J52+K51</f>
        <v>-31144.1582857143</v>
      </c>
      <c r="L52" s="67" t="n">
        <f aca="false">K52+L51</f>
        <v>-30829.6730952381</v>
      </c>
      <c r="M52" s="67" t="n">
        <f aca="false">L52+M51</f>
        <v>-30503.9379047619</v>
      </c>
      <c r="N52" s="67" t="n">
        <f aca="false">M52+N51</f>
        <v>-34439.6247142857</v>
      </c>
      <c r="O52" s="67" t="n">
        <f aca="false">N52+O51</f>
        <v>-38010.2700477714</v>
      </c>
      <c r="P52" s="67" t="n">
        <f aca="false">O52+P51</f>
        <v>-41569.6653812572</v>
      </c>
      <c r="Q52" s="67" t="n">
        <f aca="false">P52+Q51</f>
        <v>-40577.8877899429</v>
      </c>
      <c r="R52" s="67" t="n">
        <f aca="false">Q52+R51</f>
        <v>-39574.8601986286</v>
      </c>
      <c r="S52" s="67" t="n">
        <f aca="false">R52+S51</f>
        <v>-38560.5826073143</v>
      </c>
      <c r="T52" s="67" t="n">
        <f aca="false">S52+T51</f>
        <v>-37535.055016</v>
      </c>
      <c r="U52" s="67" t="n">
        <f aca="false">T52+U51</f>
        <v>-36498.2774246857</v>
      </c>
      <c r="V52" s="67" t="n">
        <f aca="false">U52+V51</f>
        <v>-35450.2498333715</v>
      </c>
      <c r="W52" s="67" t="n">
        <f aca="false">V52+W51</f>
        <v>-34390.9722420572</v>
      </c>
      <c r="X52" s="67" t="n">
        <f aca="false">W52+X51</f>
        <v>-33320.4446507429</v>
      </c>
      <c r="Y52" s="67" t="n">
        <f aca="false">X52+Y51</f>
        <v>-32238.6670594286</v>
      </c>
      <c r="Z52" s="67" t="n">
        <f aca="false">Y52+Z51</f>
        <v>-35685.5623929143</v>
      </c>
      <c r="AA52" s="67" t="n">
        <f aca="false">Z52+AA51</f>
        <v>-38728.5630691912</v>
      </c>
      <c r="AB52" s="67" t="n">
        <f aca="false">AA52+AB51</f>
        <v>-41760.3137454681</v>
      </c>
      <c r="AC52" s="67" t="n">
        <f aca="false">AB52+AC51</f>
        <v>-39957.1536348247</v>
      </c>
      <c r="AD52" s="67" t="n">
        <f aca="false">AC52+AD51</f>
        <v>-38142.7435241813</v>
      </c>
      <c r="AE52" s="67" t="n">
        <f aca="false">AD52+AE51</f>
        <v>-36317.0834135379</v>
      </c>
      <c r="AF52" s="67" t="n">
        <f aca="false">AE52+AF51</f>
        <v>-34480.1733028944</v>
      </c>
      <c r="AG52" s="67" t="n">
        <f aca="false">AF52+AG51</f>
        <v>-32632.013192251</v>
      </c>
      <c r="AH52" s="67" t="n">
        <f aca="false">AG52+AH51</f>
        <v>-30772.6030816076</v>
      </c>
      <c r="AI52" s="67" t="n">
        <f aca="false">AH52+AI51</f>
        <v>-28901.9429709642</v>
      </c>
      <c r="AJ52" s="67" t="n">
        <f aca="false">AI52+AJ51</f>
        <v>-27020.0328603208</v>
      </c>
      <c r="AK52" s="67" t="n">
        <f aca="false">AJ52+AK51</f>
        <v>-25126.8727496773</v>
      </c>
      <c r="AL52" s="67" t="n">
        <f aca="false">AK52+AL51</f>
        <v>-28046.1234259542</v>
      </c>
      <c r="AM52" s="67" t="n">
        <f aca="false">AL52+AM51</f>
        <v>-30519.624479301</v>
      </c>
      <c r="AN52" s="67" t="n">
        <f aca="false">AM52+AN51</f>
        <v>-32981.8755326477</v>
      </c>
      <c r="AO52" s="67" t="n">
        <f aca="false">AN52+AO51</f>
        <v>-30307.9806044707</v>
      </c>
      <c r="AP52" s="67" t="n">
        <f aca="false">AO52+AP51</f>
        <v>-27622.8356762937</v>
      </c>
      <c r="AQ52" s="67" t="n">
        <f aca="false">AP52+AQ51</f>
        <v>-24926.4407481167</v>
      </c>
      <c r="AR52" s="67" t="n">
        <f aca="false">AQ52+AR51</f>
        <v>-22218.7958199397</v>
      </c>
      <c r="AS52" s="67" t="n">
        <f aca="false">AR52+AS51</f>
        <v>-19499.9008917626</v>
      </c>
      <c r="AT52" s="67" t="n">
        <f aca="false">AS52+AT51</f>
        <v>-16769.7559635856</v>
      </c>
      <c r="AU52" s="67" t="n">
        <f aca="false">AT52+AU51</f>
        <v>-14028.3610354086</v>
      </c>
      <c r="AV52" s="67" t="n">
        <f aca="false">AU52+AV51</f>
        <v>-11275.7161072316</v>
      </c>
      <c r="AW52" s="67" t="n">
        <f aca="false">AV52+AW51</f>
        <v>-8511.82117905456</v>
      </c>
      <c r="AX52" s="67" t="n">
        <f aca="false">AW52+AX51</f>
        <v>-10861.5722324013</v>
      </c>
      <c r="AY52" s="67" t="n">
        <f aca="false">AX52+AY51</f>
        <v>-12720.501116326</v>
      </c>
      <c r="AZ52" s="67" t="n">
        <f aca="false">AY52+AZ51</f>
        <v>-14568.1800002506</v>
      </c>
      <c r="BA52" s="67" t="n">
        <f aca="false">AZ52+BA51</f>
        <v>-10959.9082571163</v>
      </c>
      <c r="BB52" s="67" t="n">
        <f aca="false">BA52+BB51</f>
        <v>-7340.38651398201</v>
      </c>
      <c r="BC52" s="67" t="n">
        <f aca="false">BB52+BC51</f>
        <v>-3709.6147708477</v>
      </c>
      <c r="BD52" s="67" t="n">
        <f aca="false">BC52+BD51</f>
        <v>-67.5930277133984</v>
      </c>
      <c r="BE52" s="67" t="n">
        <f aca="false">BD52+BE51</f>
        <v>3585.67871542091</v>
      </c>
      <c r="BF52" s="67" t="n">
        <f aca="false">BE52+BF51</f>
        <v>7250.20045855521</v>
      </c>
      <c r="BG52" s="67" t="n">
        <f aca="false">BF52+BG51</f>
        <v>10925.9722016895</v>
      </c>
      <c r="BH52" s="67" t="n">
        <f aca="false">BG52+BH51</f>
        <v>14612.9939448238</v>
      </c>
      <c r="BI52" s="67" t="n">
        <f aca="false">BH52+BI51</f>
        <v>18311.2656879581</v>
      </c>
      <c r="BJ52" s="67" t="n">
        <f aca="false">BI52+BJ51</f>
        <v>16576.0868040335</v>
      </c>
    </row>
    <row r="53" customFormat="false" ht="15" hidden="false" customHeight="false" outlineLevel="0" collapsed="false">
      <c r="A53" s="117" t="s">
        <v>431</v>
      </c>
      <c r="C53" s="67" t="n">
        <f aca="false">MAX(0,C52)</f>
        <v>0</v>
      </c>
      <c r="D53" s="67" t="n">
        <f aca="false">MAX(C53,D52)</f>
        <v>0</v>
      </c>
      <c r="E53" s="67" t="n">
        <f aca="false">MAX(D53,E52)</f>
        <v>0</v>
      </c>
      <c r="F53" s="67" t="n">
        <f aca="false">MAX(E53,F52)</f>
        <v>0</v>
      </c>
      <c r="G53" s="67" t="n">
        <f aca="false">MAX(F53,G52)</f>
        <v>0</v>
      </c>
      <c r="H53" s="67" t="n">
        <f aca="false">MAX(G53,H52)</f>
        <v>0</v>
      </c>
      <c r="I53" s="67" t="n">
        <f aca="false">MAX(H53,I52)</f>
        <v>0</v>
      </c>
      <c r="J53" s="67" t="n">
        <f aca="false">MAX(I53,J52)</f>
        <v>0</v>
      </c>
      <c r="K53" s="67" t="n">
        <f aca="false">MAX(J53,K52)</f>
        <v>0</v>
      </c>
      <c r="L53" s="67" t="n">
        <f aca="false">MAX(K53,L52)</f>
        <v>0</v>
      </c>
      <c r="M53" s="67" t="n">
        <f aca="false">MAX(L53,M52)</f>
        <v>0</v>
      </c>
      <c r="N53" s="67" t="n">
        <f aca="false">MAX(M53,N52)</f>
        <v>0</v>
      </c>
      <c r="O53" s="67" t="n">
        <f aca="false">MAX(N53,O52)</f>
        <v>0</v>
      </c>
      <c r="P53" s="67" t="n">
        <f aca="false">MAX(O53,P52)</f>
        <v>0</v>
      </c>
      <c r="Q53" s="67" t="n">
        <f aca="false">MAX(P53,Q52)</f>
        <v>0</v>
      </c>
      <c r="R53" s="67" t="n">
        <f aca="false">MAX(Q53,R52)</f>
        <v>0</v>
      </c>
      <c r="S53" s="67" t="n">
        <f aca="false">MAX(R53,S52)</f>
        <v>0</v>
      </c>
      <c r="T53" s="67" t="n">
        <f aca="false">MAX(S53,T52)</f>
        <v>0</v>
      </c>
      <c r="U53" s="67" t="n">
        <f aca="false">MAX(T53,U52)</f>
        <v>0</v>
      </c>
      <c r="V53" s="67" t="n">
        <f aca="false">MAX(U53,V52)</f>
        <v>0</v>
      </c>
      <c r="W53" s="67" t="n">
        <f aca="false">MAX(V53,W52)</f>
        <v>0</v>
      </c>
      <c r="X53" s="67" t="n">
        <f aca="false">MAX(W53,X52)</f>
        <v>0</v>
      </c>
      <c r="Y53" s="67" t="n">
        <f aca="false">MAX(X53,Y52)</f>
        <v>0</v>
      </c>
      <c r="Z53" s="67" t="n">
        <f aca="false">MAX(Y53,Z52)</f>
        <v>0</v>
      </c>
      <c r="AA53" s="67" t="n">
        <f aca="false">MAX(Z53,AA52)</f>
        <v>0</v>
      </c>
      <c r="AB53" s="67" t="n">
        <f aca="false">MAX(AA53,AB52)</f>
        <v>0</v>
      </c>
      <c r="AC53" s="67" t="n">
        <f aca="false">MAX(AB53,AC52)</f>
        <v>0</v>
      </c>
      <c r="AD53" s="67" t="n">
        <f aca="false">MAX(AC53,AD52)</f>
        <v>0</v>
      </c>
      <c r="AE53" s="67" t="n">
        <f aca="false">MAX(AD53,AE52)</f>
        <v>0</v>
      </c>
      <c r="AF53" s="67" t="n">
        <f aca="false">MAX(AE53,AF52)</f>
        <v>0</v>
      </c>
      <c r="AG53" s="67" t="n">
        <f aca="false">MAX(AF53,AG52)</f>
        <v>0</v>
      </c>
      <c r="AH53" s="67" t="n">
        <f aca="false">MAX(AG53,AH52)</f>
        <v>0</v>
      </c>
      <c r="AI53" s="67" t="n">
        <f aca="false">MAX(AH53,AI52)</f>
        <v>0</v>
      </c>
      <c r="AJ53" s="67" t="n">
        <f aca="false">MAX(AI53,AJ52)</f>
        <v>0</v>
      </c>
      <c r="AK53" s="67" t="n">
        <f aca="false">MAX(AJ53,AK52)</f>
        <v>0</v>
      </c>
      <c r="AL53" s="67" t="n">
        <f aca="false">MAX(AK53,AL52)</f>
        <v>0</v>
      </c>
      <c r="AM53" s="67" t="n">
        <f aca="false">MAX(AL53,AM52)</f>
        <v>0</v>
      </c>
      <c r="AN53" s="67" t="n">
        <f aca="false">MAX(AM53,AN52)</f>
        <v>0</v>
      </c>
      <c r="AO53" s="67" t="n">
        <f aca="false">MAX(AN53,AO52)</f>
        <v>0</v>
      </c>
      <c r="AP53" s="67" t="n">
        <f aca="false">MAX(AO53,AP52)</f>
        <v>0</v>
      </c>
      <c r="AQ53" s="67" t="n">
        <f aca="false">MAX(AP53,AQ52)</f>
        <v>0</v>
      </c>
      <c r="AR53" s="67" t="n">
        <f aca="false">MAX(AQ53,AR52)</f>
        <v>0</v>
      </c>
      <c r="AS53" s="67" t="n">
        <f aca="false">MAX(AR53,AS52)</f>
        <v>0</v>
      </c>
      <c r="AT53" s="67" t="n">
        <f aca="false">MAX(AS53,AT52)</f>
        <v>0</v>
      </c>
      <c r="AU53" s="67" t="n">
        <f aca="false">MAX(AT53,AU52)</f>
        <v>0</v>
      </c>
      <c r="AV53" s="67" t="n">
        <f aca="false">MAX(AU53,AV52)</f>
        <v>0</v>
      </c>
      <c r="AW53" s="67" t="n">
        <f aca="false">MAX(AV53,AW52)</f>
        <v>0</v>
      </c>
      <c r="AX53" s="67" t="n">
        <f aca="false">MAX(AW53,AX52)</f>
        <v>0</v>
      </c>
      <c r="AY53" s="67" t="n">
        <f aca="false">MAX(AX53,AY52)</f>
        <v>0</v>
      </c>
      <c r="AZ53" s="67" t="n">
        <f aca="false">MAX(AY53,AZ52)</f>
        <v>0</v>
      </c>
      <c r="BA53" s="67" t="n">
        <f aca="false">MAX(AZ53,BA52)</f>
        <v>0</v>
      </c>
      <c r="BB53" s="67" t="n">
        <f aca="false">MAX(BA53,BB52)</f>
        <v>0</v>
      </c>
      <c r="BC53" s="67" t="n">
        <f aca="false">MAX(BB53,BC52)</f>
        <v>0</v>
      </c>
      <c r="BD53" s="67" t="n">
        <f aca="false">MAX(BC53,BD52)</f>
        <v>0</v>
      </c>
      <c r="BE53" s="67" t="n">
        <f aca="false">MAX(BD53,BE52)</f>
        <v>3585.67871542091</v>
      </c>
      <c r="BF53" s="67" t="n">
        <f aca="false">MAX(BE53,BF52)</f>
        <v>7250.20045855521</v>
      </c>
      <c r="BG53" s="67" t="n">
        <f aca="false">MAX(BF53,BG52)</f>
        <v>10925.9722016895</v>
      </c>
      <c r="BH53" s="67" t="n">
        <f aca="false">MAX(BG53,BH52)</f>
        <v>14612.9939448238</v>
      </c>
      <c r="BI53" s="67" t="n">
        <f aca="false">MAX(BH53,BI52)</f>
        <v>18311.2656879581</v>
      </c>
      <c r="BJ53" s="67" t="n">
        <f aca="false">MAX(BI53,BJ52)</f>
        <v>18311.2656879581</v>
      </c>
    </row>
    <row r="54" customFormat="false" ht="15" hidden="false" customHeight="false" outlineLevel="0" collapsed="false">
      <c r="A54" s="6" t="s">
        <v>82</v>
      </c>
      <c r="C54" s="67" t="n">
        <f aca="false">-C53*Inputs!$E$83</f>
        <v>-0</v>
      </c>
      <c r="D54" s="67" t="n">
        <f aca="false">-(D53-C53)*Inputs!$E$83</f>
        <v>-0</v>
      </c>
      <c r="E54" s="67" t="n">
        <f aca="false">-(E53-D53)*Inputs!$E$83</f>
        <v>-0</v>
      </c>
      <c r="F54" s="67" t="n">
        <f aca="false">-(F53-E53)*Inputs!$E$83</f>
        <v>-0</v>
      </c>
      <c r="G54" s="67" t="n">
        <f aca="false">-(G53-F53)*Inputs!$E$83</f>
        <v>-0</v>
      </c>
      <c r="H54" s="67" t="n">
        <f aca="false">-(H53-G53)*Inputs!$E$83</f>
        <v>-0</v>
      </c>
      <c r="I54" s="67" t="n">
        <f aca="false">-(I53-H53)*Inputs!$E$83</f>
        <v>-0</v>
      </c>
      <c r="J54" s="67" t="n">
        <f aca="false">-(J53-I53)*Inputs!$E$83</f>
        <v>-0</v>
      </c>
      <c r="K54" s="67" t="n">
        <f aca="false">-(K53-J53)*Inputs!$E$83</f>
        <v>-0</v>
      </c>
      <c r="L54" s="67" t="n">
        <f aca="false">-(L53-K53)*Inputs!$E$83</f>
        <v>-0</v>
      </c>
      <c r="M54" s="67" t="n">
        <f aca="false">-(M53-L53)*Inputs!$E$83</f>
        <v>-0</v>
      </c>
      <c r="N54" s="67" t="n">
        <f aca="false">-(N53-M53)*Inputs!$E$83</f>
        <v>-0</v>
      </c>
      <c r="O54" s="67" t="n">
        <f aca="false">-(O53-N53)*Inputs!$E$83</f>
        <v>-0</v>
      </c>
      <c r="P54" s="67" t="n">
        <f aca="false">-(P53-O53)*Inputs!$E$83</f>
        <v>-0</v>
      </c>
      <c r="Q54" s="67" t="n">
        <f aca="false">-(Q53-P53)*Inputs!$E$83</f>
        <v>-0</v>
      </c>
      <c r="R54" s="67" t="n">
        <f aca="false">-(R53-Q53)*Inputs!$E$83</f>
        <v>-0</v>
      </c>
      <c r="S54" s="67" t="n">
        <f aca="false">-(S53-R53)*Inputs!$E$83</f>
        <v>-0</v>
      </c>
      <c r="T54" s="67" t="n">
        <f aca="false">-(T53-S53)*Inputs!$E$83</f>
        <v>-0</v>
      </c>
      <c r="U54" s="67" t="n">
        <f aca="false">-(U53-T53)*Inputs!$E$83</f>
        <v>-0</v>
      </c>
      <c r="V54" s="67" t="n">
        <f aca="false">-(V53-U53)*Inputs!$E$83</f>
        <v>-0</v>
      </c>
      <c r="W54" s="67" t="n">
        <f aca="false">-(W53-V53)*Inputs!$E$83</f>
        <v>-0</v>
      </c>
      <c r="X54" s="67" t="n">
        <f aca="false">-(X53-W53)*Inputs!$E$83</f>
        <v>-0</v>
      </c>
      <c r="Y54" s="67" t="n">
        <f aca="false">-(Y53-X53)*Inputs!$E$83</f>
        <v>-0</v>
      </c>
      <c r="Z54" s="67" t="n">
        <f aca="false">-(Z53-Y53)*Inputs!$E$83</f>
        <v>-0</v>
      </c>
      <c r="AA54" s="67" t="n">
        <f aca="false">-(AA53-Z53)*Inputs!$E$83</f>
        <v>-0</v>
      </c>
      <c r="AB54" s="67" t="n">
        <f aca="false">-(AB53-AA53)*Inputs!$E$83</f>
        <v>-0</v>
      </c>
      <c r="AC54" s="67" t="n">
        <f aca="false">-(AC53-AB53)*Inputs!$E$83</f>
        <v>-0</v>
      </c>
      <c r="AD54" s="67" t="n">
        <f aca="false">-(AD53-AC53)*Inputs!$E$83</f>
        <v>-0</v>
      </c>
      <c r="AE54" s="67" t="n">
        <f aca="false">-(AE53-AD53)*Inputs!$E$83</f>
        <v>-0</v>
      </c>
      <c r="AF54" s="67" t="n">
        <f aca="false">-(AF53-AE53)*Inputs!$E$83</f>
        <v>-0</v>
      </c>
      <c r="AG54" s="67" t="n">
        <f aca="false">-(AG53-AF53)*Inputs!$E$83</f>
        <v>-0</v>
      </c>
      <c r="AH54" s="67" t="n">
        <f aca="false">-(AH53-AG53)*Inputs!$E$83</f>
        <v>-0</v>
      </c>
      <c r="AI54" s="67" t="n">
        <f aca="false">-(AI53-AH53)*Inputs!$E$83</f>
        <v>-0</v>
      </c>
      <c r="AJ54" s="67" t="n">
        <f aca="false">-(AJ53-AI53)*Inputs!$E$83</f>
        <v>-0</v>
      </c>
      <c r="AK54" s="67" t="n">
        <f aca="false">-(AK53-AJ53)*Inputs!$E$83</f>
        <v>-0</v>
      </c>
      <c r="AL54" s="67" t="n">
        <f aca="false">-(AL53-AK53)*Inputs!$E$83</f>
        <v>-0</v>
      </c>
      <c r="AM54" s="67" t="n">
        <f aca="false">-(AM53-AL53)*Inputs!$E$83</f>
        <v>-0</v>
      </c>
      <c r="AN54" s="67" t="n">
        <f aca="false">-(AN53-AM53)*Inputs!$E$83</f>
        <v>-0</v>
      </c>
      <c r="AO54" s="67" t="n">
        <f aca="false">-(AO53-AN53)*Inputs!$E$83</f>
        <v>-0</v>
      </c>
      <c r="AP54" s="67" t="n">
        <f aca="false">-(AP53-AO53)*Inputs!$E$83</f>
        <v>-0</v>
      </c>
      <c r="AQ54" s="67" t="n">
        <f aca="false">-(AQ53-AP53)*Inputs!$E$83</f>
        <v>-0</v>
      </c>
      <c r="AR54" s="67" t="n">
        <f aca="false">-(AR53-AQ53)*Inputs!$E$83</f>
        <v>-0</v>
      </c>
      <c r="AS54" s="67" t="n">
        <f aca="false">-(AS53-AR53)*Inputs!$E$83</f>
        <v>-0</v>
      </c>
      <c r="AT54" s="67" t="n">
        <f aca="false">-(AT53-AS53)*Inputs!$E$83</f>
        <v>-0</v>
      </c>
      <c r="AU54" s="67" t="n">
        <f aca="false">-(AU53-AT53)*Inputs!$E$83</f>
        <v>-0</v>
      </c>
      <c r="AV54" s="67" t="n">
        <f aca="false">-(AV53-AU53)*Inputs!$E$83</f>
        <v>-0</v>
      </c>
      <c r="AW54" s="67" t="n">
        <f aca="false">-(AW53-AV53)*Inputs!$E$83</f>
        <v>-0</v>
      </c>
      <c r="AX54" s="67" t="n">
        <f aca="false">-(AX53-AW53)*Inputs!$E$83</f>
        <v>-0</v>
      </c>
      <c r="AY54" s="67" t="n">
        <f aca="false">-(AY53-AX53)*Inputs!$E$83</f>
        <v>-0</v>
      </c>
      <c r="AZ54" s="67" t="n">
        <f aca="false">-(AZ53-AY53)*Inputs!$E$83</f>
        <v>-0</v>
      </c>
      <c r="BA54" s="67" t="n">
        <f aca="false">-(BA53-AZ53)*Inputs!$E$83</f>
        <v>-0</v>
      </c>
      <c r="BB54" s="67" t="n">
        <f aca="false">-(BB53-BA53)*Inputs!$E$83</f>
        <v>-0</v>
      </c>
      <c r="BC54" s="67" t="n">
        <f aca="false">-(BC53-BB53)*Inputs!$E$83</f>
        <v>-0</v>
      </c>
      <c r="BD54" s="67" t="n">
        <f aca="false">-(BD53-BC53)*Inputs!$E$83</f>
        <v>-0</v>
      </c>
      <c r="BE54" s="67" t="n">
        <f aca="false">-(BE53-BD53)*Inputs!$E$83</f>
        <v>-752.992530238391</v>
      </c>
      <c r="BF54" s="67" t="n">
        <f aca="false">-(BF53-BE53)*Inputs!$E$83</f>
        <v>-769.549566058204</v>
      </c>
      <c r="BG54" s="67" t="n">
        <f aca="false">-(BG53-BF53)*Inputs!$E$83</f>
        <v>-771.912066058204</v>
      </c>
      <c r="BH54" s="67" t="n">
        <f aca="false">-(BH53-BG53)*Inputs!$E$83</f>
        <v>-774.274566058204</v>
      </c>
      <c r="BI54" s="67" t="n">
        <f aca="false">-(BI53-BH53)*Inputs!$E$83</f>
        <v>-776.637066058204</v>
      </c>
      <c r="BJ54" s="67" t="n">
        <f aca="false">-(BJ53-BI53)*Inputs!$E$83</f>
        <v>-0</v>
      </c>
    </row>
    <row r="55" customFormat="false" ht="15" hidden="false" customHeight="false" outlineLevel="0" collapsed="false">
      <c r="A55" s="113" t="s">
        <v>50</v>
      </c>
      <c r="C55" s="68" t="n">
        <f aca="false">C51+C54</f>
        <v>-10104.6678095238</v>
      </c>
      <c r="D55" s="68" t="n">
        <f aca="false">D51+D54</f>
        <v>-9090.56680952381</v>
      </c>
      <c r="E55" s="68" t="n">
        <f aca="false">E51+E54</f>
        <v>-5298.39280952381</v>
      </c>
      <c r="F55" s="68" t="n">
        <f aca="false">F51+F54</f>
        <v>-3903.61080952381</v>
      </c>
      <c r="G55" s="68" t="n">
        <f aca="false">G51+G54</f>
        <v>-2508.82880952381</v>
      </c>
      <c r="H55" s="68" t="n">
        <f aca="false">H51+H54</f>
        <v>-1114.04680952381</v>
      </c>
      <c r="I55" s="68" t="n">
        <f aca="false">I51+I54</f>
        <v>280.735190476187</v>
      </c>
      <c r="J55" s="68" t="n">
        <f aca="false">J51+J54</f>
        <v>291.985190476187</v>
      </c>
      <c r="K55" s="68" t="n">
        <f aca="false">K51+K54</f>
        <v>303.235190476187</v>
      </c>
      <c r="L55" s="68" t="n">
        <f aca="false">L51+L54</f>
        <v>314.485190476187</v>
      </c>
      <c r="M55" s="68" t="n">
        <f aca="false">M51+M54</f>
        <v>325.735190476187</v>
      </c>
      <c r="N55" s="68" t="n">
        <f aca="false">N51+N54</f>
        <v>-3935.68680952381</v>
      </c>
      <c r="O55" s="68" t="n">
        <f aca="false">O51+O54</f>
        <v>-3570.64533348572</v>
      </c>
      <c r="P55" s="68" t="n">
        <f aca="false">P51+P54</f>
        <v>-3559.39533348572</v>
      </c>
      <c r="Q55" s="68" t="n">
        <f aca="false">Q51+Q54</f>
        <v>991.777591314283</v>
      </c>
      <c r="R55" s="68" t="n">
        <f aca="false">R51+R54</f>
        <v>1003.02759131428</v>
      </c>
      <c r="S55" s="68" t="n">
        <f aca="false">S51+S54</f>
        <v>1014.27759131428</v>
      </c>
      <c r="T55" s="68" t="n">
        <f aca="false">T51+T54</f>
        <v>1025.52759131428</v>
      </c>
      <c r="U55" s="68" t="n">
        <f aca="false">U51+U54</f>
        <v>1036.77759131428</v>
      </c>
      <c r="V55" s="68" t="n">
        <f aca="false">V51+V54</f>
        <v>1048.02759131428</v>
      </c>
      <c r="W55" s="68" t="n">
        <f aca="false">W51+W54</f>
        <v>1059.27759131428</v>
      </c>
      <c r="X55" s="68" t="n">
        <f aca="false">X51+X54</f>
        <v>1070.52759131428</v>
      </c>
      <c r="Y55" s="68" t="n">
        <f aca="false">Y51+Y54</f>
        <v>1081.77759131428</v>
      </c>
      <c r="Z55" s="68" t="n">
        <f aca="false">Z51+Z54</f>
        <v>-3446.89533348572</v>
      </c>
      <c r="AA55" s="68" t="n">
        <f aca="false">AA51+AA54</f>
        <v>-3043.0006762769</v>
      </c>
      <c r="AB55" s="68" t="n">
        <f aca="false">AB51+AB54</f>
        <v>-3031.7506762769</v>
      </c>
      <c r="AC55" s="68" t="n">
        <f aca="false">AC51+AC54</f>
        <v>1803.16011064342</v>
      </c>
      <c r="AD55" s="68" t="n">
        <f aca="false">AD51+AD54</f>
        <v>1814.41011064342</v>
      </c>
      <c r="AE55" s="68" t="n">
        <f aca="false">AE51+AE54</f>
        <v>1825.66011064342</v>
      </c>
      <c r="AF55" s="68" t="n">
        <f aca="false">AF51+AF54</f>
        <v>1836.91011064342</v>
      </c>
      <c r="AG55" s="68" t="n">
        <f aca="false">AG51+AG54</f>
        <v>1848.16011064342</v>
      </c>
      <c r="AH55" s="68" t="n">
        <f aca="false">AH51+AH54</f>
        <v>1859.41011064342</v>
      </c>
      <c r="AI55" s="68" t="n">
        <f aca="false">AI51+AI54</f>
        <v>1870.66011064342</v>
      </c>
      <c r="AJ55" s="68" t="n">
        <f aca="false">AJ51+AJ54</f>
        <v>1881.91011064342</v>
      </c>
      <c r="AK55" s="68" t="n">
        <f aca="false">AK51+AK54</f>
        <v>1893.16011064342</v>
      </c>
      <c r="AL55" s="68" t="n">
        <f aca="false">AL51+AL54</f>
        <v>-2919.2506762769</v>
      </c>
      <c r="AM55" s="68" t="n">
        <f aca="false">AM51+AM54</f>
        <v>-2473.50105334675</v>
      </c>
      <c r="AN55" s="68" t="n">
        <f aca="false">AN51+AN54</f>
        <v>-2462.25105334675</v>
      </c>
      <c r="AO55" s="68" t="n">
        <f aca="false">AO51+AO54</f>
        <v>2673.89492817702</v>
      </c>
      <c r="AP55" s="68" t="n">
        <f aca="false">AP51+AP54</f>
        <v>2685.14492817702</v>
      </c>
      <c r="AQ55" s="68" t="n">
        <f aca="false">AQ51+AQ54</f>
        <v>2696.39492817702</v>
      </c>
      <c r="AR55" s="68" t="n">
        <f aca="false">AR51+AR54</f>
        <v>2707.64492817702</v>
      </c>
      <c r="AS55" s="68" t="n">
        <f aca="false">AS51+AS54</f>
        <v>2718.89492817702</v>
      </c>
      <c r="AT55" s="68" t="n">
        <f aca="false">AT51+AT54</f>
        <v>2730.14492817702</v>
      </c>
      <c r="AU55" s="68" t="n">
        <f aca="false">AU51+AU54</f>
        <v>2741.39492817702</v>
      </c>
      <c r="AV55" s="68" t="n">
        <f aca="false">AV51+AV54</f>
        <v>2752.64492817702</v>
      </c>
      <c r="AW55" s="68" t="n">
        <f aca="false">AW51+AW54</f>
        <v>2763.89492817702</v>
      </c>
      <c r="AX55" s="68" t="n">
        <f aca="false">AX51+AX54</f>
        <v>-2349.75105334675</v>
      </c>
      <c r="AY55" s="68" t="n">
        <f aca="false">AY51+AY54</f>
        <v>-1858.92888392466</v>
      </c>
      <c r="AZ55" s="68" t="n">
        <f aca="false">AZ51+AZ54</f>
        <v>-1847.67888392466</v>
      </c>
      <c r="BA55" s="68" t="n">
        <f aca="false">BA51+BA54</f>
        <v>3608.27174313431</v>
      </c>
      <c r="BB55" s="68" t="n">
        <f aca="false">BB51+BB54</f>
        <v>3619.52174313431</v>
      </c>
      <c r="BC55" s="68" t="n">
        <f aca="false">BC51+BC54</f>
        <v>3630.77174313431</v>
      </c>
      <c r="BD55" s="68" t="n">
        <f aca="false">BD51+BD54</f>
        <v>3642.02174313431</v>
      </c>
      <c r="BE55" s="68" t="n">
        <f aca="false">BE51+BE54</f>
        <v>2900.27921289592</v>
      </c>
      <c r="BF55" s="68" t="n">
        <f aca="false">BF51+BF54</f>
        <v>2894.9721770761</v>
      </c>
      <c r="BG55" s="68" t="n">
        <f aca="false">BG51+BG54</f>
        <v>2903.8596770761</v>
      </c>
      <c r="BH55" s="68" t="n">
        <f aca="false">BH51+BH54</f>
        <v>2912.7471770761</v>
      </c>
      <c r="BI55" s="68" t="n">
        <f aca="false">BI51+BI54</f>
        <v>2921.6346770761</v>
      </c>
      <c r="BJ55" s="68" t="n">
        <f aca="false">BJ51+BJ54</f>
        <v>-1735.17888392466</v>
      </c>
    </row>
    <row r="57" customFormat="false" ht="15.75" hidden="false" customHeight="true" outlineLevel="0" collapsed="false">
      <c r="A57" s="7" t="s">
        <v>432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</row>
    <row r="58" customFormat="false" ht="15" hidden="false" customHeight="false" outlineLevel="0" collapsed="false">
      <c r="A58" s="6" t="s">
        <v>433</v>
      </c>
      <c r="C58" s="67" t="n">
        <f aca="false">Inputs!$E$48*Inputs!$E$49</f>
        <v>95000</v>
      </c>
      <c r="D58" s="67" t="n">
        <f aca="false">IF(AND(D$5&gt;1,MOD(D$4-1,12)=0),Inputs!$E$8*Inputs!$E$49,0)</f>
        <v>0</v>
      </c>
      <c r="E58" s="67" t="n">
        <f aca="false">IF(AND(E$5&gt;1,MOD(E$4-1,12)=0),Inputs!$E$8*Inputs!$E$49,0)</f>
        <v>0</v>
      </c>
      <c r="F58" s="67" t="n">
        <f aca="false">IF(AND(F$5&gt;1,MOD(F$4-1,12)=0),Inputs!$E$8*Inputs!$E$49,0)</f>
        <v>0</v>
      </c>
      <c r="G58" s="67" t="n">
        <f aca="false">IF(AND(G$5&gt;1,MOD(G$4-1,12)=0),Inputs!$E$8*Inputs!$E$49,0)</f>
        <v>0</v>
      </c>
      <c r="H58" s="67" t="n">
        <f aca="false">IF(AND(H$5&gt;1,MOD(H$4-1,12)=0),Inputs!$E$8*Inputs!$E$49,0)</f>
        <v>0</v>
      </c>
      <c r="I58" s="67" t="n">
        <f aca="false">IF(AND(I$5&gt;1,MOD(I$4-1,12)=0),Inputs!$E$8*Inputs!$E$49,0)</f>
        <v>0</v>
      </c>
      <c r="J58" s="67" t="n">
        <f aca="false">IF(AND(J$5&gt;1,MOD(J$4-1,12)=0),Inputs!$E$8*Inputs!$E$49,0)</f>
        <v>0</v>
      </c>
      <c r="K58" s="67" t="n">
        <f aca="false">IF(AND(K$5&gt;1,MOD(K$4-1,12)=0),Inputs!$E$8*Inputs!$E$49,0)</f>
        <v>0</v>
      </c>
      <c r="L58" s="67" t="n">
        <f aca="false">IF(AND(L$5&gt;1,MOD(L$4-1,12)=0),Inputs!$E$8*Inputs!$E$49,0)</f>
        <v>0</v>
      </c>
      <c r="M58" s="67" t="n">
        <f aca="false">IF(AND(M$5&gt;1,MOD(M$4-1,12)=0),Inputs!$E$8*Inputs!$E$49,0)</f>
        <v>0</v>
      </c>
      <c r="N58" s="67" t="n">
        <f aca="false">IF(AND(N$5&gt;1,MOD(N$4-1,12)=0),Inputs!$E$8*Inputs!$E$49,0)</f>
        <v>0</v>
      </c>
      <c r="O58" s="67" t="n">
        <f aca="false">IF(AND(O$5&gt;1,MOD(O$4-1,12)=0),Inputs!$E$8*Inputs!$E$49,0)</f>
        <v>0</v>
      </c>
      <c r="P58" s="67" t="n">
        <f aca="false">IF(AND(P$5&gt;1,MOD(P$4-1,12)=0),Inputs!$E$8*Inputs!$E$49,0)</f>
        <v>0</v>
      </c>
      <c r="Q58" s="67" t="n">
        <f aca="false">IF(AND(Q$5&gt;1,MOD(Q$4-1,12)=0),Inputs!$E$8*Inputs!$E$49,0)</f>
        <v>0</v>
      </c>
      <c r="R58" s="67" t="n">
        <f aca="false">IF(AND(R$5&gt;1,MOD(R$4-1,12)=0),Inputs!$E$8*Inputs!$E$49,0)</f>
        <v>0</v>
      </c>
      <c r="S58" s="67" t="n">
        <f aca="false">IF(AND(S$5&gt;1,MOD(S$4-1,12)=0),Inputs!$E$8*Inputs!$E$49,0)</f>
        <v>0</v>
      </c>
      <c r="T58" s="67" t="n">
        <f aca="false">IF(AND(T$5&gt;1,MOD(T$4-1,12)=0),Inputs!$E$8*Inputs!$E$49,0)</f>
        <v>0</v>
      </c>
      <c r="U58" s="67" t="n">
        <f aca="false">IF(AND(U$5&gt;1,MOD(U$4-1,12)=0),Inputs!$E$8*Inputs!$E$49,0)</f>
        <v>0</v>
      </c>
      <c r="V58" s="67" t="n">
        <f aca="false">IF(AND(V$5&gt;1,MOD(V$4-1,12)=0),Inputs!$E$8*Inputs!$E$49,0)</f>
        <v>0</v>
      </c>
      <c r="W58" s="67" t="n">
        <f aca="false">IF(AND(W$5&gt;1,MOD(W$4-1,12)=0),Inputs!$E$8*Inputs!$E$49,0)</f>
        <v>0</v>
      </c>
      <c r="X58" s="67" t="n">
        <f aca="false">IF(AND(X$5&gt;1,MOD(X$4-1,12)=0),Inputs!$E$8*Inputs!$E$49,0)</f>
        <v>0</v>
      </c>
      <c r="Y58" s="67" t="n">
        <f aca="false">IF(AND(Y$5&gt;1,MOD(Y$4-1,12)=0),Inputs!$E$8*Inputs!$E$49,0)</f>
        <v>0</v>
      </c>
      <c r="Z58" s="67" t="n">
        <f aca="false">IF(AND(Z$5&gt;1,MOD(Z$4-1,12)=0),Inputs!$E$8*Inputs!$E$49,0)</f>
        <v>0</v>
      </c>
      <c r="AA58" s="67" t="n">
        <f aca="false">IF(AND(AA$5&gt;1,MOD(AA$4-1,12)=0),Inputs!$E$8*Inputs!$E$49,0)</f>
        <v>0</v>
      </c>
      <c r="AB58" s="67" t="n">
        <f aca="false">IF(AND(AB$5&gt;1,MOD(AB$4-1,12)=0),Inputs!$E$8*Inputs!$E$49,0)</f>
        <v>0</v>
      </c>
      <c r="AC58" s="67" t="n">
        <f aca="false">IF(AND(AC$5&gt;1,MOD(AC$4-1,12)=0),Inputs!$E$8*Inputs!$E$49,0)</f>
        <v>0</v>
      </c>
      <c r="AD58" s="67" t="n">
        <f aca="false">IF(AND(AD$5&gt;1,MOD(AD$4-1,12)=0),Inputs!$E$8*Inputs!$E$49,0)</f>
        <v>0</v>
      </c>
      <c r="AE58" s="67" t="n">
        <f aca="false">IF(AND(AE$5&gt;1,MOD(AE$4-1,12)=0),Inputs!$E$8*Inputs!$E$49,0)</f>
        <v>0</v>
      </c>
      <c r="AF58" s="67" t="n">
        <f aca="false">IF(AND(AF$5&gt;1,MOD(AF$4-1,12)=0),Inputs!$E$8*Inputs!$E$49,0)</f>
        <v>0</v>
      </c>
      <c r="AG58" s="67" t="n">
        <f aca="false">IF(AND(AG$5&gt;1,MOD(AG$4-1,12)=0),Inputs!$E$8*Inputs!$E$49,0)</f>
        <v>0</v>
      </c>
      <c r="AH58" s="67" t="n">
        <f aca="false">IF(AND(AH$5&gt;1,MOD(AH$4-1,12)=0),Inputs!$E$8*Inputs!$E$49,0)</f>
        <v>0</v>
      </c>
      <c r="AI58" s="67" t="n">
        <f aca="false">IF(AND(AI$5&gt;1,MOD(AI$4-1,12)=0),Inputs!$E$8*Inputs!$E$49,0)</f>
        <v>0</v>
      </c>
      <c r="AJ58" s="67" t="n">
        <f aca="false">IF(AND(AJ$5&gt;1,MOD(AJ$4-1,12)=0),Inputs!$E$8*Inputs!$E$49,0)</f>
        <v>0</v>
      </c>
      <c r="AK58" s="67" t="n">
        <f aca="false">IF(AND(AK$5&gt;1,MOD(AK$4-1,12)=0),Inputs!$E$8*Inputs!$E$49,0)</f>
        <v>0</v>
      </c>
      <c r="AL58" s="67" t="n">
        <f aca="false">IF(AND(AL$5&gt;1,MOD(AL$4-1,12)=0),Inputs!$E$8*Inputs!$E$49,0)</f>
        <v>0</v>
      </c>
      <c r="AM58" s="67" t="n">
        <f aca="false">IF(AND(AM$5&gt;1,MOD(AM$4-1,12)=0),Inputs!$E$8*Inputs!$E$49,0)</f>
        <v>0</v>
      </c>
      <c r="AN58" s="67" t="n">
        <f aca="false">IF(AND(AN$5&gt;1,MOD(AN$4-1,12)=0),Inputs!$E$8*Inputs!$E$49,0)</f>
        <v>0</v>
      </c>
      <c r="AO58" s="67" t="n">
        <f aca="false">IF(AND(AO$5&gt;1,MOD(AO$4-1,12)=0),Inputs!$E$8*Inputs!$E$49,0)</f>
        <v>0</v>
      </c>
      <c r="AP58" s="67" t="n">
        <f aca="false">IF(AND(AP$5&gt;1,MOD(AP$4-1,12)=0),Inputs!$E$8*Inputs!$E$49,0)</f>
        <v>0</v>
      </c>
      <c r="AQ58" s="67" t="n">
        <f aca="false">IF(AND(AQ$5&gt;1,MOD(AQ$4-1,12)=0),Inputs!$E$8*Inputs!$E$49,0)</f>
        <v>0</v>
      </c>
      <c r="AR58" s="67" t="n">
        <f aca="false">IF(AND(AR$5&gt;1,MOD(AR$4-1,12)=0),Inputs!$E$8*Inputs!$E$49,0)</f>
        <v>0</v>
      </c>
      <c r="AS58" s="67" t="n">
        <f aca="false">IF(AND(AS$5&gt;1,MOD(AS$4-1,12)=0),Inputs!$E$8*Inputs!$E$49,0)</f>
        <v>0</v>
      </c>
      <c r="AT58" s="67" t="n">
        <f aca="false">IF(AND(AT$5&gt;1,MOD(AT$4-1,12)=0),Inputs!$E$8*Inputs!$E$49,0)</f>
        <v>0</v>
      </c>
      <c r="AU58" s="67" t="n">
        <f aca="false">IF(AND(AU$5&gt;1,MOD(AU$4-1,12)=0),Inputs!$E$8*Inputs!$E$49,0)</f>
        <v>0</v>
      </c>
      <c r="AV58" s="67" t="n">
        <f aca="false">IF(AND(AV$5&gt;1,MOD(AV$4-1,12)=0),Inputs!$E$8*Inputs!$E$49,0)</f>
        <v>0</v>
      </c>
      <c r="AW58" s="67" t="n">
        <f aca="false">IF(AND(AW$5&gt;1,MOD(AW$4-1,12)=0),Inputs!$E$8*Inputs!$E$49,0)</f>
        <v>0</v>
      </c>
      <c r="AX58" s="67" t="n">
        <f aca="false">IF(AND(AX$5&gt;1,MOD(AX$4-1,12)=0),Inputs!$E$8*Inputs!$E$49,0)</f>
        <v>0</v>
      </c>
      <c r="AY58" s="67" t="n">
        <f aca="false">IF(AND(AY$5&gt;1,MOD(AY$4-1,12)=0),Inputs!$E$8*Inputs!$E$49,0)</f>
        <v>0</v>
      </c>
      <c r="AZ58" s="67" t="n">
        <f aca="false">IF(AND(AZ$5&gt;1,MOD(AZ$4-1,12)=0),Inputs!$E$8*Inputs!$E$49,0)</f>
        <v>0</v>
      </c>
      <c r="BA58" s="67" t="n">
        <f aca="false">IF(AND(BA$5&gt;1,MOD(BA$4-1,12)=0),Inputs!$E$8*Inputs!$E$49,0)</f>
        <v>0</v>
      </c>
      <c r="BB58" s="67" t="n">
        <f aca="false">IF(AND(BB$5&gt;1,MOD(BB$4-1,12)=0),Inputs!$E$8*Inputs!$E$49,0)</f>
        <v>0</v>
      </c>
      <c r="BC58" s="67" t="n">
        <f aca="false">IF(AND(BC$5&gt;1,MOD(BC$4-1,12)=0),Inputs!$E$8*Inputs!$E$49,0)</f>
        <v>0</v>
      </c>
      <c r="BD58" s="67" t="n">
        <f aca="false">IF(AND(BD$5&gt;1,MOD(BD$4-1,12)=0),Inputs!$E$8*Inputs!$E$49,0)</f>
        <v>0</v>
      </c>
      <c r="BE58" s="67" t="n">
        <f aca="false">IF(AND(BE$5&gt;1,MOD(BE$4-1,12)=0),Inputs!$E$8*Inputs!$E$49,0)</f>
        <v>0</v>
      </c>
      <c r="BF58" s="67" t="n">
        <f aca="false">IF(AND(BF$5&gt;1,MOD(BF$4-1,12)=0),Inputs!$E$8*Inputs!$E$49,0)</f>
        <v>0</v>
      </c>
      <c r="BG58" s="67" t="n">
        <f aca="false">IF(AND(BG$5&gt;1,MOD(BG$4-1,12)=0),Inputs!$E$8*Inputs!$E$49,0)</f>
        <v>0</v>
      </c>
      <c r="BH58" s="67" t="n">
        <f aca="false">IF(AND(BH$5&gt;1,MOD(BH$4-1,12)=0),Inputs!$E$8*Inputs!$E$49,0)</f>
        <v>0</v>
      </c>
      <c r="BI58" s="67" t="n">
        <f aca="false">IF(AND(BI$5&gt;1,MOD(BI$4-1,12)=0),Inputs!$E$8*Inputs!$E$49,0)</f>
        <v>0</v>
      </c>
      <c r="BJ58" s="67" t="n">
        <f aca="false">IF(AND(BJ$5&gt;1,MOD(BJ$4-1,12)=0),Inputs!$E$8*Inputs!$E$49,0)</f>
        <v>0</v>
      </c>
    </row>
    <row r="59" customFormat="false" ht="15" hidden="false" customHeight="false" outlineLevel="0" collapsed="false">
      <c r="A59" s="6" t="s">
        <v>434</v>
      </c>
      <c r="C59" s="67" t="n">
        <f aca="false">Inputs!$E$48*Inputs!$E$50</f>
        <v>40000</v>
      </c>
      <c r="D59" s="67" t="n">
        <f aca="false">IF(AND(D$5&gt;1,MOD(D$4-1,12)=0),Inputs!$E$8*Inputs!$E$50,0)</f>
        <v>0</v>
      </c>
      <c r="E59" s="67" t="n">
        <f aca="false">IF(AND(E$5&gt;1,MOD(E$4-1,12)=0),Inputs!$E$8*Inputs!$E$50,0)</f>
        <v>0</v>
      </c>
      <c r="F59" s="67" t="n">
        <f aca="false">IF(AND(F$5&gt;1,MOD(F$4-1,12)=0),Inputs!$E$8*Inputs!$E$50,0)</f>
        <v>0</v>
      </c>
      <c r="G59" s="67" t="n">
        <f aca="false">IF(AND(G$5&gt;1,MOD(G$4-1,12)=0),Inputs!$E$8*Inputs!$E$50,0)</f>
        <v>0</v>
      </c>
      <c r="H59" s="67" t="n">
        <f aca="false">IF(AND(H$5&gt;1,MOD(H$4-1,12)=0),Inputs!$E$8*Inputs!$E$50,0)</f>
        <v>0</v>
      </c>
      <c r="I59" s="67" t="n">
        <f aca="false">IF(AND(I$5&gt;1,MOD(I$4-1,12)=0),Inputs!$E$8*Inputs!$E$50,0)</f>
        <v>0</v>
      </c>
      <c r="J59" s="67" t="n">
        <f aca="false">IF(AND(J$5&gt;1,MOD(J$4-1,12)=0),Inputs!$E$8*Inputs!$E$50,0)</f>
        <v>0</v>
      </c>
      <c r="K59" s="67" t="n">
        <f aca="false">IF(AND(K$5&gt;1,MOD(K$4-1,12)=0),Inputs!$E$8*Inputs!$E$50,0)</f>
        <v>0</v>
      </c>
      <c r="L59" s="67" t="n">
        <f aca="false">IF(AND(L$5&gt;1,MOD(L$4-1,12)=0),Inputs!$E$8*Inputs!$E$50,0)</f>
        <v>0</v>
      </c>
      <c r="M59" s="67" t="n">
        <f aca="false">IF(AND(M$5&gt;1,MOD(M$4-1,12)=0),Inputs!$E$8*Inputs!$E$50,0)</f>
        <v>0</v>
      </c>
      <c r="N59" s="67" t="n">
        <f aca="false">IF(AND(N$5&gt;1,MOD(N$4-1,12)=0),Inputs!$E$8*Inputs!$E$50,0)</f>
        <v>0</v>
      </c>
      <c r="O59" s="67" t="n">
        <f aca="false">IF(AND(O$5&gt;1,MOD(O$4-1,12)=0),Inputs!$E$8*Inputs!$E$50,0)</f>
        <v>0</v>
      </c>
      <c r="P59" s="67" t="n">
        <f aca="false">IF(AND(P$5&gt;1,MOD(P$4-1,12)=0),Inputs!$E$8*Inputs!$E$50,0)</f>
        <v>0</v>
      </c>
      <c r="Q59" s="67" t="n">
        <f aca="false">IF(AND(Q$5&gt;1,MOD(Q$4-1,12)=0),Inputs!$E$8*Inputs!$E$50,0)</f>
        <v>0</v>
      </c>
      <c r="R59" s="67" t="n">
        <f aca="false">IF(AND(R$5&gt;1,MOD(R$4-1,12)=0),Inputs!$E$8*Inputs!$E$50,0)</f>
        <v>0</v>
      </c>
      <c r="S59" s="67" t="n">
        <f aca="false">IF(AND(S$5&gt;1,MOD(S$4-1,12)=0),Inputs!$E$8*Inputs!$E$50,0)</f>
        <v>0</v>
      </c>
      <c r="T59" s="67" t="n">
        <f aca="false">IF(AND(T$5&gt;1,MOD(T$4-1,12)=0),Inputs!$E$8*Inputs!$E$50,0)</f>
        <v>0</v>
      </c>
      <c r="U59" s="67" t="n">
        <f aca="false">IF(AND(U$5&gt;1,MOD(U$4-1,12)=0),Inputs!$E$8*Inputs!$E$50,0)</f>
        <v>0</v>
      </c>
      <c r="V59" s="67" t="n">
        <f aca="false">IF(AND(V$5&gt;1,MOD(V$4-1,12)=0),Inputs!$E$8*Inputs!$E$50,0)</f>
        <v>0</v>
      </c>
      <c r="W59" s="67" t="n">
        <f aca="false">IF(AND(W$5&gt;1,MOD(W$4-1,12)=0),Inputs!$E$8*Inputs!$E$50,0)</f>
        <v>0</v>
      </c>
      <c r="X59" s="67" t="n">
        <f aca="false">IF(AND(X$5&gt;1,MOD(X$4-1,12)=0),Inputs!$E$8*Inputs!$E$50,0)</f>
        <v>0</v>
      </c>
      <c r="Y59" s="67" t="n">
        <f aca="false">IF(AND(Y$5&gt;1,MOD(Y$4-1,12)=0),Inputs!$E$8*Inputs!$E$50,0)</f>
        <v>0</v>
      </c>
      <c r="Z59" s="67" t="n">
        <f aca="false">IF(AND(Z$5&gt;1,MOD(Z$4-1,12)=0),Inputs!$E$8*Inputs!$E$50,0)</f>
        <v>0</v>
      </c>
      <c r="AA59" s="67" t="n">
        <f aca="false">IF(AND(AA$5&gt;1,MOD(AA$4-1,12)=0),Inputs!$E$8*Inputs!$E$50,0)</f>
        <v>0</v>
      </c>
      <c r="AB59" s="67" t="n">
        <f aca="false">IF(AND(AB$5&gt;1,MOD(AB$4-1,12)=0),Inputs!$E$8*Inputs!$E$50,0)</f>
        <v>0</v>
      </c>
      <c r="AC59" s="67" t="n">
        <f aca="false">IF(AND(AC$5&gt;1,MOD(AC$4-1,12)=0),Inputs!$E$8*Inputs!$E$50,0)</f>
        <v>0</v>
      </c>
      <c r="AD59" s="67" t="n">
        <f aca="false">IF(AND(AD$5&gt;1,MOD(AD$4-1,12)=0),Inputs!$E$8*Inputs!$E$50,0)</f>
        <v>0</v>
      </c>
      <c r="AE59" s="67" t="n">
        <f aca="false">IF(AND(AE$5&gt;1,MOD(AE$4-1,12)=0),Inputs!$E$8*Inputs!$E$50,0)</f>
        <v>0</v>
      </c>
      <c r="AF59" s="67" t="n">
        <f aca="false">IF(AND(AF$5&gt;1,MOD(AF$4-1,12)=0),Inputs!$E$8*Inputs!$E$50,0)</f>
        <v>0</v>
      </c>
      <c r="AG59" s="67" t="n">
        <f aca="false">IF(AND(AG$5&gt;1,MOD(AG$4-1,12)=0),Inputs!$E$8*Inputs!$E$50,0)</f>
        <v>0</v>
      </c>
      <c r="AH59" s="67" t="n">
        <f aca="false">IF(AND(AH$5&gt;1,MOD(AH$4-1,12)=0),Inputs!$E$8*Inputs!$E$50,0)</f>
        <v>0</v>
      </c>
      <c r="AI59" s="67" t="n">
        <f aca="false">IF(AND(AI$5&gt;1,MOD(AI$4-1,12)=0),Inputs!$E$8*Inputs!$E$50,0)</f>
        <v>0</v>
      </c>
      <c r="AJ59" s="67" t="n">
        <f aca="false">IF(AND(AJ$5&gt;1,MOD(AJ$4-1,12)=0),Inputs!$E$8*Inputs!$E$50,0)</f>
        <v>0</v>
      </c>
      <c r="AK59" s="67" t="n">
        <f aca="false">IF(AND(AK$5&gt;1,MOD(AK$4-1,12)=0),Inputs!$E$8*Inputs!$E$50,0)</f>
        <v>0</v>
      </c>
      <c r="AL59" s="67" t="n">
        <f aca="false">IF(AND(AL$5&gt;1,MOD(AL$4-1,12)=0),Inputs!$E$8*Inputs!$E$50,0)</f>
        <v>0</v>
      </c>
      <c r="AM59" s="67" t="n">
        <f aca="false">IF(AND(AM$5&gt;1,MOD(AM$4-1,12)=0),Inputs!$E$8*Inputs!$E$50,0)</f>
        <v>0</v>
      </c>
      <c r="AN59" s="67" t="n">
        <f aca="false">IF(AND(AN$5&gt;1,MOD(AN$4-1,12)=0),Inputs!$E$8*Inputs!$E$50,0)</f>
        <v>0</v>
      </c>
      <c r="AO59" s="67" t="n">
        <f aca="false">IF(AND(AO$5&gt;1,MOD(AO$4-1,12)=0),Inputs!$E$8*Inputs!$E$50,0)</f>
        <v>0</v>
      </c>
      <c r="AP59" s="67" t="n">
        <f aca="false">IF(AND(AP$5&gt;1,MOD(AP$4-1,12)=0),Inputs!$E$8*Inputs!$E$50,0)</f>
        <v>0</v>
      </c>
      <c r="AQ59" s="67" t="n">
        <f aca="false">IF(AND(AQ$5&gt;1,MOD(AQ$4-1,12)=0),Inputs!$E$8*Inputs!$E$50,0)</f>
        <v>0</v>
      </c>
      <c r="AR59" s="67" t="n">
        <f aca="false">IF(AND(AR$5&gt;1,MOD(AR$4-1,12)=0),Inputs!$E$8*Inputs!$E$50,0)</f>
        <v>0</v>
      </c>
      <c r="AS59" s="67" t="n">
        <f aca="false">IF(AND(AS$5&gt;1,MOD(AS$4-1,12)=0),Inputs!$E$8*Inputs!$E$50,0)</f>
        <v>0</v>
      </c>
      <c r="AT59" s="67" t="n">
        <f aca="false">IF(AND(AT$5&gt;1,MOD(AT$4-1,12)=0),Inputs!$E$8*Inputs!$E$50,0)</f>
        <v>0</v>
      </c>
      <c r="AU59" s="67" t="n">
        <f aca="false">IF(AND(AU$5&gt;1,MOD(AU$4-1,12)=0),Inputs!$E$8*Inputs!$E$50,0)</f>
        <v>0</v>
      </c>
      <c r="AV59" s="67" t="n">
        <f aca="false">IF(AND(AV$5&gt;1,MOD(AV$4-1,12)=0),Inputs!$E$8*Inputs!$E$50,0)</f>
        <v>0</v>
      </c>
      <c r="AW59" s="67" t="n">
        <f aca="false">IF(AND(AW$5&gt;1,MOD(AW$4-1,12)=0),Inputs!$E$8*Inputs!$E$50,0)</f>
        <v>0</v>
      </c>
      <c r="AX59" s="67" t="n">
        <f aca="false">IF(AND(AX$5&gt;1,MOD(AX$4-1,12)=0),Inputs!$E$8*Inputs!$E$50,0)</f>
        <v>0</v>
      </c>
      <c r="AY59" s="67" t="n">
        <f aca="false">IF(AND(AY$5&gt;1,MOD(AY$4-1,12)=0),Inputs!$E$8*Inputs!$E$50,0)</f>
        <v>0</v>
      </c>
      <c r="AZ59" s="67" t="n">
        <f aca="false">IF(AND(AZ$5&gt;1,MOD(AZ$4-1,12)=0),Inputs!$E$8*Inputs!$E$50,0)</f>
        <v>0</v>
      </c>
      <c r="BA59" s="67" t="n">
        <f aca="false">IF(AND(BA$5&gt;1,MOD(BA$4-1,12)=0),Inputs!$E$8*Inputs!$E$50,0)</f>
        <v>0</v>
      </c>
      <c r="BB59" s="67" t="n">
        <f aca="false">IF(AND(BB$5&gt;1,MOD(BB$4-1,12)=0),Inputs!$E$8*Inputs!$E$50,0)</f>
        <v>0</v>
      </c>
      <c r="BC59" s="67" t="n">
        <f aca="false">IF(AND(BC$5&gt;1,MOD(BC$4-1,12)=0),Inputs!$E$8*Inputs!$E$50,0)</f>
        <v>0</v>
      </c>
      <c r="BD59" s="67" t="n">
        <f aca="false">IF(AND(BD$5&gt;1,MOD(BD$4-1,12)=0),Inputs!$E$8*Inputs!$E$50,0)</f>
        <v>0</v>
      </c>
      <c r="BE59" s="67" t="n">
        <f aca="false">IF(AND(BE$5&gt;1,MOD(BE$4-1,12)=0),Inputs!$E$8*Inputs!$E$50,0)</f>
        <v>0</v>
      </c>
      <c r="BF59" s="67" t="n">
        <f aca="false">IF(AND(BF$5&gt;1,MOD(BF$4-1,12)=0),Inputs!$E$8*Inputs!$E$50,0)</f>
        <v>0</v>
      </c>
      <c r="BG59" s="67" t="n">
        <f aca="false">IF(AND(BG$5&gt;1,MOD(BG$4-1,12)=0),Inputs!$E$8*Inputs!$E$50,0)</f>
        <v>0</v>
      </c>
      <c r="BH59" s="67" t="n">
        <f aca="false">IF(AND(BH$5&gt;1,MOD(BH$4-1,12)=0),Inputs!$E$8*Inputs!$E$50,0)</f>
        <v>0</v>
      </c>
      <c r="BI59" s="67" t="n">
        <f aca="false">IF(AND(BI$5&gt;1,MOD(BI$4-1,12)=0),Inputs!$E$8*Inputs!$E$50,0)</f>
        <v>0</v>
      </c>
      <c r="BJ59" s="67" t="n">
        <f aca="false">IF(AND(BJ$5&gt;1,MOD(BJ$4-1,12)=0),Inputs!$E$8*Inputs!$E$50,0)</f>
        <v>0</v>
      </c>
    </row>
    <row r="60" customFormat="false" ht="15" hidden="false" customHeight="false" outlineLevel="0" collapsed="false">
      <c r="A60" s="6" t="s">
        <v>435</v>
      </c>
      <c r="C60" s="67" t="n">
        <f aca="false">IF(C$4=1,Inputs!$E$51,0)</f>
        <v>3000</v>
      </c>
      <c r="D60" s="67" t="n">
        <f aca="false">IF(D$4=1,Inputs!$E$51,0)</f>
        <v>0</v>
      </c>
      <c r="E60" s="67" t="n">
        <f aca="false">IF(E$4=1,Inputs!$E$51,0)</f>
        <v>0</v>
      </c>
      <c r="F60" s="67" t="n">
        <f aca="false">IF(F$4=1,Inputs!$E$51,0)</f>
        <v>0</v>
      </c>
      <c r="G60" s="67" t="n">
        <f aca="false">IF(G$4=1,Inputs!$E$51,0)</f>
        <v>0</v>
      </c>
      <c r="H60" s="67" t="n">
        <f aca="false">IF(H$4=1,Inputs!$E$51,0)</f>
        <v>0</v>
      </c>
      <c r="I60" s="67" t="n">
        <f aca="false">IF(I$4=1,Inputs!$E$51,0)</f>
        <v>0</v>
      </c>
      <c r="J60" s="67" t="n">
        <f aca="false">IF(J$4=1,Inputs!$E$51,0)</f>
        <v>0</v>
      </c>
      <c r="K60" s="67" t="n">
        <f aca="false">IF(K$4=1,Inputs!$E$51,0)</f>
        <v>0</v>
      </c>
      <c r="L60" s="67" t="n">
        <f aca="false">IF(L$4=1,Inputs!$E$51,0)</f>
        <v>0</v>
      </c>
      <c r="M60" s="67" t="n">
        <f aca="false">IF(M$4=1,Inputs!$E$51,0)</f>
        <v>0</v>
      </c>
      <c r="N60" s="67" t="n">
        <f aca="false">IF(N$4=1,Inputs!$E$51,0)</f>
        <v>0</v>
      </c>
      <c r="O60" s="67" t="n">
        <f aca="false">IF(O$4=1,Inputs!$E$51,0)</f>
        <v>0</v>
      </c>
      <c r="P60" s="67" t="n">
        <f aca="false">IF(P$4=1,Inputs!$E$51,0)</f>
        <v>0</v>
      </c>
      <c r="Q60" s="67" t="n">
        <f aca="false">IF(Q$4=1,Inputs!$E$51,0)</f>
        <v>0</v>
      </c>
      <c r="R60" s="67" t="n">
        <f aca="false">IF(R$4=1,Inputs!$E$51,0)</f>
        <v>0</v>
      </c>
      <c r="S60" s="67" t="n">
        <f aca="false">IF(S$4=1,Inputs!$E$51,0)</f>
        <v>0</v>
      </c>
      <c r="T60" s="67" t="n">
        <f aca="false">IF(T$4=1,Inputs!$E$51,0)</f>
        <v>0</v>
      </c>
      <c r="U60" s="67" t="n">
        <f aca="false">IF(U$4=1,Inputs!$E$51,0)</f>
        <v>0</v>
      </c>
      <c r="V60" s="67" t="n">
        <f aca="false">IF(V$4=1,Inputs!$E$51,0)</f>
        <v>0</v>
      </c>
      <c r="W60" s="67" t="n">
        <f aca="false">IF(W$4=1,Inputs!$E$51,0)</f>
        <v>0</v>
      </c>
      <c r="X60" s="67" t="n">
        <f aca="false">IF(X$4=1,Inputs!$E$51,0)</f>
        <v>0</v>
      </c>
      <c r="Y60" s="67" t="n">
        <f aca="false">IF(Y$4=1,Inputs!$E$51,0)</f>
        <v>0</v>
      </c>
      <c r="Z60" s="67" t="n">
        <f aca="false">IF(Z$4=1,Inputs!$E$51,0)</f>
        <v>0</v>
      </c>
      <c r="AA60" s="67" t="n">
        <f aca="false">IF(AA$4=1,Inputs!$E$51,0)</f>
        <v>0</v>
      </c>
      <c r="AB60" s="67" t="n">
        <f aca="false">IF(AB$4=1,Inputs!$E$51,0)</f>
        <v>0</v>
      </c>
      <c r="AC60" s="67" t="n">
        <f aca="false">IF(AC$4=1,Inputs!$E$51,0)</f>
        <v>0</v>
      </c>
      <c r="AD60" s="67" t="n">
        <f aca="false">IF(AD$4=1,Inputs!$E$51,0)</f>
        <v>0</v>
      </c>
      <c r="AE60" s="67" t="n">
        <f aca="false">IF(AE$4=1,Inputs!$E$51,0)</f>
        <v>0</v>
      </c>
      <c r="AF60" s="67" t="n">
        <f aca="false">IF(AF$4=1,Inputs!$E$51,0)</f>
        <v>0</v>
      </c>
      <c r="AG60" s="67" t="n">
        <f aca="false">IF(AG$4=1,Inputs!$E$51,0)</f>
        <v>0</v>
      </c>
      <c r="AH60" s="67" t="n">
        <f aca="false">IF(AH$4=1,Inputs!$E$51,0)</f>
        <v>0</v>
      </c>
      <c r="AI60" s="67" t="n">
        <f aca="false">IF(AI$4=1,Inputs!$E$51,0)</f>
        <v>0</v>
      </c>
      <c r="AJ60" s="67" t="n">
        <f aca="false">IF(AJ$4=1,Inputs!$E$51,0)</f>
        <v>0</v>
      </c>
      <c r="AK60" s="67" t="n">
        <f aca="false">IF(AK$4=1,Inputs!$E$51,0)</f>
        <v>0</v>
      </c>
      <c r="AL60" s="67" t="n">
        <f aca="false">IF(AL$4=1,Inputs!$E$51,0)</f>
        <v>0</v>
      </c>
      <c r="AM60" s="67" t="n">
        <f aca="false">IF(AM$4=1,Inputs!$E$51,0)</f>
        <v>0</v>
      </c>
      <c r="AN60" s="67" t="n">
        <f aca="false">IF(AN$4=1,Inputs!$E$51,0)</f>
        <v>0</v>
      </c>
      <c r="AO60" s="67" t="n">
        <f aca="false">IF(AO$4=1,Inputs!$E$51,0)</f>
        <v>0</v>
      </c>
      <c r="AP60" s="67" t="n">
        <f aca="false">IF(AP$4=1,Inputs!$E$51,0)</f>
        <v>0</v>
      </c>
      <c r="AQ60" s="67" t="n">
        <f aca="false">IF(AQ$4=1,Inputs!$E$51,0)</f>
        <v>0</v>
      </c>
      <c r="AR60" s="67" t="n">
        <f aca="false">IF(AR$4=1,Inputs!$E$51,0)</f>
        <v>0</v>
      </c>
      <c r="AS60" s="67" t="n">
        <f aca="false">IF(AS$4=1,Inputs!$E$51,0)</f>
        <v>0</v>
      </c>
      <c r="AT60" s="67" t="n">
        <f aca="false">IF(AT$4=1,Inputs!$E$51,0)</f>
        <v>0</v>
      </c>
      <c r="AU60" s="67" t="n">
        <f aca="false">IF(AU$4=1,Inputs!$E$51,0)</f>
        <v>0</v>
      </c>
      <c r="AV60" s="67" t="n">
        <f aca="false">IF(AV$4=1,Inputs!$E$51,0)</f>
        <v>0</v>
      </c>
      <c r="AW60" s="67" t="n">
        <f aca="false">IF(AW$4=1,Inputs!$E$51,0)</f>
        <v>0</v>
      </c>
      <c r="AX60" s="67" t="n">
        <f aca="false">IF(AX$4=1,Inputs!$E$51,0)</f>
        <v>0</v>
      </c>
      <c r="AY60" s="67" t="n">
        <f aca="false">IF(AY$4=1,Inputs!$E$51,0)</f>
        <v>0</v>
      </c>
      <c r="AZ60" s="67" t="n">
        <f aca="false">IF(AZ$4=1,Inputs!$E$51,0)</f>
        <v>0</v>
      </c>
      <c r="BA60" s="67" t="n">
        <f aca="false">IF(BA$4=1,Inputs!$E$51,0)</f>
        <v>0</v>
      </c>
      <c r="BB60" s="67" t="n">
        <f aca="false">IF(BB$4=1,Inputs!$E$51,0)</f>
        <v>0</v>
      </c>
      <c r="BC60" s="67" t="n">
        <f aca="false">IF(BC$4=1,Inputs!$E$51,0)</f>
        <v>0</v>
      </c>
      <c r="BD60" s="67" t="n">
        <f aca="false">IF(BD$4=1,Inputs!$E$51,0)</f>
        <v>0</v>
      </c>
      <c r="BE60" s="67" t="n">
        <f aca="false">IF(BE$4=1,Inputs!$E$51,0)</f>
        <v>0</v>
      </c>
      <c r="BF60" s="67" t="n">
        <f aca="false">IF(BF$4=1,Inputs!$E$51,0)</f>
        <v>0</v>
      </c>
      <c r="BG60" s="67" t="n">
        <f aca="false">IF(BG$4=1,Inputs!$E$51,0)</f>
        <v>0</v>
      </c>
      <c r="BH60" s="67" t="n">
        <f aca="false">IF(BH$4=1,Inputs!$E$51,0)</f>
        <v>0</v>
      </c>
      <c r="BI60" s="67" t="n">
        <f aca="false">IF(BI$4=1,Inputs!$E$51,0)</f>
        <v>0</v>
      </c>
      <c r="BJ60" s="67" t="n">
        <f aca="false">IF(BJ$4=1,Inputs!$E$51,0)</f>
        <v>0</v>
      </c>
    </row>
    <row r="61" customFormat="false" ht="15" hidden="false" customHeight="false" outlineLevel="0" collapsed="false">
      <c r="A61" s="6" t="s">
        <v>436</v>
      </c>
      <c r="C61" s="67" t="n">
        <f aca="false">IF(AND(C$5&gt;1,MOD(C$4-1,12)=0),Inputs!$E$52*C8,0)</f>
        <v>0</v>
      </c>
      <c r="D61" s="67" t="n">
        <f aca="false">IF(AND(D$5&gt;1,MOD(D$4-1,12)=0),Inputs!$E$52*D8,0)</f>
        <v>0</v>
      </c>
      <c r="E61" s="67" t="n">
        <f aca="false">IF(AND(E$5&gt;1,MOD(E$4-1,12)=0),Inputs!$E$52*E8,0)</f>
        <v>0</v>
      </c>
      <c r="F61" s="67" t="n">
        <f aca="false">IF(AND(F$5&gt;1,MOD(F$4-1,12)=0),Inputs!$E$52*F8,0)</f>
        <v>0</v>
      </c>
      <c r="G61" s="67" t="n">
        <f aca="false">IF(AND(G$5&gt;1,MOD(G$4-1,12)=0),Inputs!$E$52*G8,0)</f>
        <v>0</v>
      </c>
      <c r="H61" s="67" t="n">
        <f aca="false">IF(AND(H$5&gt;1,MOD(H$4-1,12)=0),Inputs!$E$52*H8,0)</f>
        <v>0</v>
      </c>
      <c r="I61" s="67" t="n">
        <f aca="false">IF(AND(I$5&gt;1,MOD(I$4-1,12)=0),Inputs!$E$52*I8,0)</f>
        <v>0</v>
      </c>
      <c r="J61" s="67" t="n">
        <f aca="false">IF(AND(J$5&gt;1,MOD(J$4-1,12)=0),Inputs!$E$52*J8,0)</f>
        <v>0</v>
      </c>
      <c r="K61" s="67" t="n">
        <f aca="false">IF(AND(K$5&gt;1,MOD(K$4-1,12)=0),Inputs!$E$52*K8,0)</f>
        <v>0</v>
      </c>
      <c r="L61" s="67" t="n">
        <f aca="false">IF(AND(L$5&gt;1,MOD(L$4-1,12)=0),Inputs!$E$52*L8,0)</f>
        <v>0</v>
      </c>
      <c r="M61" s="67" t="n">
        <f aca="false">IF(AND(M$5&gt;1,MOD(M$4-1,12)=0),Inputs!$E$52*M8,0)</f>
        <v>0</v>
      </c>
      <c r="N61" s="67" t="n">
        <f aca="false">IF(AND(N$5&gt;1,MOD(N$4-1,12)=0),Inputs!$E$52*N8,0)</f>
        <v>0</v>
      </c>
      <c r="O61" s="67" t="n">
        <f aca="false">IF(AND(O$5&gt;1,MOD(O$4-1,12)=0),Inputs!$E$52*O8,0)</f>
        <v>2500</v>
      </c>
      <c r="P61" s="67" t="n">
        <f aca="false">IF(AND(P$5&gt;1,MOD(P$4-1,12)=0),Inputs!$E$52*P8,0)</f>
        <v>0</v>
      </c>
      <c r="Q61" s="67" t="n">
        <f aca="false">IF(AND(Q$5&gt;1,MOD(Q$4-1,12)=0),Inputs!$E$52*Q8,0)</f>
        <v>0</v>
      </c>
      <c r="R61" s="67" t="n">
        <f aca="false">IF(AND(R$5&gt;1,MOD(R$4-1,12)=0),Inputs!$E$52*R8,0)</f>
        <v>0</v>
      </c>
      <c r="S61" s="67" t="n">
        <f aca="false">IF(AND(S$5&gt;1,MOD(S$4-1,12)=0),Inputs!$E$52*S8,0)</f>
        <v>0</v>
      </c>
      <c r="T61" s="67" t="n">
        <f aca="false">IF(AND(T$5&gt;1,MOD(T$4-1,12)=0),Inputs!$E$52*T8,0)</f>
        <v>0</v>
      </c>
      <c r="U61" s="67" t="n">
        <f aca="false">IF(AND(U$5&gt;1,MOD(U$4-1,12)=0),Inputs!$E$52*U8,0)</f>
        <v>0</v>
      </c>
      <c r="V61" s="67" t="n">
        <f aca="false">IF(AND(V$5&gt;1,MOD(V$4-1,12)=0),Inputs!$E$52*V8,0)</f>
        <v>0</v>
      </c>
      <c r="W61" s="67" t="n">
        <f aca="false">IF(AND(W$5&gt;1,MOD(W$4-1,12)=0),Inputs!$E$52*W8,0)</f>
        <v>0</v>
      </c>
      <c r="X61" s="67" t="n">
        <f aca="false">IF(AND(X$5&gt;1,MOD(X$4-1,12)=0),Inputs!$E$52*X8,0)</f>
        <v>0</v>
      </c>
      <c r="Y61" s="67" t="n">
        <f aca="false">IF(AND(Y$5&gt;1,MOD(Y$4-1,12)=0),Inputs!$E$52*Y8,0)</f>
        <v>0</v>
      </c>
      <c r="Z61" s="67" t="n">
        <f aca="false">IF(AND(Z$5&gt;1,MOD(Z$4-1,12)=0),Inputs!$E$52*Z8,0)</f>
        <v>0</v>
      </c>
      <c r="AA61" s="67" t="n">
        <f aca="false">IF(AND(AA$5&gt;1,MOD(AA$4-1,12)=0),Inputs!$E$52*AA8,0)</f>
        <v>2500</v>
      </c>
      <c r="AB61" s="67" t="n">
        <f aca="false">IF(AND(AB$5&gt;1,MOD(AB$4-1,12)=0),Inputs!$E$52*AB8,0)</f>
        <v>0</v>
      </c>
      <c r="AC61" s="67" t="n">
        <f aca="false">IF(AND(AC$5&gt;1,MOD(AC$4-1,12)=0),Inputs!$E$52*AC8,0)</f>
        <v>0</v>
      </c>
      <c r="AD61" s="67" t="n">
        <f aca="false">IF(AND(AD$5&gt;1,MOD(AD$4-1,12)=0),Inputs!$E$52*AD8,0)</f>
        <v>0</v>
      </c>
      <c r="AE61" s="67" t="n">
        <f aca="false">IF(AND(AE$5&gt;1,MOD(AE$4-1,12)=0),Inputs!$E$52*AE8,0)</f>
        <v>0</v>
      </c>
      <c r="AF61" s="67" t="n">
        <f aca="false">IF(AND(AF$5&gt;1,MOD(AF$4-1,12)=0),Inputs!$E$52*AF8,0)</f>
        <v>0</v>
      </c>
      <c r="AG61" s="67" t="n">
        <f aca="false">IF(AND(AG$5&gt;1,MOD(AG$4-1,12)=0),Inputs!$E$52*AG8,0)</f>
        <v>0</v>
      </c>
      <c r="AH61" s="67" t="n">
        <f aca="false">IF(AND(AH$5&gt;1,MOD(AH$4-1,12)=0),Inputs!$E$52*AH8,0)</f>
        <v>0</v>
      </c>
      <c r="AI61" s="67" t="n">
        <f aca="false">IF(AND(AI$5&gt;1,MOD(AI$4-1,12)=0),Inputs!$E$52*AI8,0)</f>
        <v>0</v>
      </c>
      <c r="AJ61" s="67" t="n">
        <f aca="false">IF(AND(AJ$5&gt;1,MOD(AJ$4-1,12)=0),Inputs!$E$52*AJ8,0)</f>
        <v>0</v>
      </c>
      <c r="AK61" s="67" t="n">
        <f aca="false">IF(AND(AK$5&gt;1,MOD(AK$4-1,12)=0),Inputs!$E$52*AK8,0)</f>
        <v>0</v>
      </c>
      <c r="AL61" s="67" t="n">
        <f aca="false">IF(AND(AL$5&gt;1,MOD(AL$4-1,12)=0),Inputs!$E$52*AL8,0)</f>
        <v>0</v>
      </c>
      <c r="AM61" s="67" t="n">
        <f aca="false">IF(AND(AM$5&gt;1,MOD(AM$4-1,12)=0),Inputs!$E$52*AM8,0)</f>
        <v>2500</v>
      </c>
      <c r="AN61" s="67" t="n">
        <f aca="false">IF(AND(AN$5&gt;1,MOD(AN$4-1,12)=0),Inputs!$E$52*AN8,0)</f>
        <v>0</v>
      </c>
      <c r="AO61" s="67" t="n">
        <f aca="false">IF(AND(AO$5&gt;1,MOD(AO$4-1,12)=0),Inputs!$E$52*AO8,0)</f>
        <v>0</v>
      </c>
      <c r="AP61" s="67" t="n">
        <f aca="false">IF(AND(AP$5&gt;1,MOD(AP$4-1,12)=0),Inputs!$E$52*AP8,0)</f>
        <v>0</v>
      </c>
      <c r="AQ61" s="67" t="n">
        <f aca="false">IF(AND(AQ$5&gt;1,MOD(AQ$4-1,12)=0),Inputs!$E$52*AQ8,0)</f>
        <v>0</v>
      </c>
      <c r="AR61" s="67" t="n">
        <f aca="false">IF(AND(AR$5&gt;1,MOD(AR$4-1,12)=0),Inputs!$E$52*AR8,0)</f>
        <v>0</v>
      </c>
      <c r="AS61" s="67" t="n">
        <f aca="false">IF(AND(AS$5&gt;1,MOD(AS$4-1,12)=0),Inputs!$E$52*AS8,0)</f>
        <v>0</v>
      </c>
      <c r="AT61" s="67" t="n">
        <f aca="false">IF(AND(AT$5&gt;1,MOD(AT$4-1,12)=0),Inputs!$E$52*AT8,0)</f>
        <v>0</v>
      </c>
      <c r="AU61" s="67" t="n">
        <f aca="false">IF(AND(AU$5&gt;1,MOD(AU$4-1,12)=0),Inputs!$E$52*AU8,0)</f>
        <v>0</v>
      </c>
      <c r="AV61" s="67" t="n">
        <f aca="false">IF(AND(AV$5&gt;1,MOD(AV$4-1,12)=0),Inputs!$E$52*AV8,0)</f>
        <v>0</v>
      </c>
      <c r="AW61" s="67" t="n">
        <f aca="false">IF(AND(AW$5&gt;1,MOD(AW$4-1,12)=0),Inputs!$E$52*AW8,0)</f>
        <v>0</v>
      </c>
      <c r="AX61" s="67" t="n">
        <f aca="false">IF(AND(AX$5&gt;1,MOD(AX$4-1,12)=0),Inputs!$E$52*AX8,0)</f>
        <v>0</v>
      </c>
      <c r="AY61" s="67" t="n">
        <f aca="false">IF(AND(AY$5&gt;1,MOD(AY$4-1,12)=0),Inputs!$E$52*AY8,0)</f>
        <v>2500</v>
      </c>
      <c r="AZ61" s="67" t="n">
        <f aca="false">IF(AND(AZ$5&gt;1,MOD(AZ$4-1,12)=0),Inputs!$E$52*AZ8,0)</f>
        <v>0</v>
      </c>
      <c r="BA61" s="67" t="n">
        <f aca="false">IF(AND(BA$5&gt;1,MOD(BA$4-1,12)=0),Inputs!$E$52*BA8,0)</f>
        <v>0</v>
      </c>
      <c r="BB61" s="67" t="n">
        <f aca="false">IF(AND(BB$5&gt;1,MOD(BB$4-1,12)=0),Inputs!$E$52*BB8,0)</f>
        <v>0</v>
      </c>
      <c r="BC61" s="67" t="n">
        <f aca="false">IF(AND(BC$5&gt;1,MOD(BC$4-1,12)=0),Inputs!$E$52*BC8,0)</f>
        <v>0</v>
      </c>
      <c r="BD61" s="67" t="n">
        <f aca="false">IF(AND(BD$5&gt;1,MOD(BD$4-1,12)=0),Inputs!$E$52*BD8,0)</f>
        <v>0</v>
      </c>
      <c r="BE61" s="67" t="n">
        <f aca="false">IF(AND(BE$5&gt;1,MOD(BE$4-1,12)=0),Inputs!$E$52*BE8,0)</f>
        <v>0</v>
      </c>
      <c r="BF61" s="67" t="n">
        <f aca="false">IF(AND(BF$5&gt;1,MOD(BF$4-1,12)=0),Inputs!$E$52*BF8,0)</f>
        <v>0</v>
      </c>
      <c r="BG61" s="67" t="n">
        <f aca="false">IF(AND(BG$5&gt;1,MOD(BG$4-1,12)=0),Inputs!$E$52*BG8,0)</f>
        <v>0</v>
      </c>
      <c r="BH61" s="67" t="n">
        <f aca="false">IF(AND(BH$5&gt;1,MOD(BH$4-1,12)=0),Inputs!$E$52*BH8,0)</f>
        <v>0</v>
      </c>
      <c r="BI61" s="67" t="n">
        <f aca="false">IF(AND(BI$5&gt;1,MOD(BI$4-1,12)=0),Inputs!$E$52*BI8,0)</f>
        <v>0</v>
      </c>
      <c r="BJ61" s="67" t="n">
        <f aca="false">IF(AND(BJ$5&gt;1,MOD(BJ$4-1,12)=0),Inputs!$E$52*BJ8,0)</f>
        <v>0</v>
      </c>
    </row>
    <row r="62" customFormat="false" ht="15" hidden="false" customHeight="false" outlineLevel="0" collapsed="false">
      <c r="A62" s="4" t="s">
        <v>84</v>
      </c>
      <c r="C62" s="73" t="n">
        <f aca="false">C58+C59+C60+C61</f>
        <v>138000</v>
      </c>
      <c r="D62" s="73" t="n">
        <f aca="false">D58+D59+D60+D61</f>
        <v>0</v>
      </c>
      <c r="E62" s="73" t="n">
        <f aca="false">E58+E59+E60+E61</f>
        <v>0</v>
      </c>
      <c r="F62" s="73" t="n">
        <f aca="false">F58+F59+F60+F61</f>
        <v>0</v>
      </c>
      <c r="G62" s="73" t="n">
        <f aca="false">G58+G59+G60+G61</f>
        <v>0</v>
      </c>
      <c r="H62" s="73" t="n">
        <f aca="false">H58+H59+H60+H61</f>
        <v>0</v>
      </c>
      <c r="I62" s="73" t="n">
        <f aca="false">I58+I59+I60+I61</f>
        <v>0</v>
      </c>
      <c r="J62" s="73" t="n">
        <f aca="false">J58+J59+J60+J61</f>
        <v>0</v>
      </c>
      <c r="K62" s="73" t="n">
        <f aca="false">K58+K59+K60+K61</f>
        <v>0</v>
      </c>
      <c r="L62" s="73" t="n">
        <f aca="false">L58+L59+L60+L61</f>
        <v>0</v>
      </c>
      <c r="M62" s="73" t="n">
        <f aca="false">M58+M59+M60+M61</f>
        <v>0</v>
      </c>
      <c r="N62" s="73" t="n">
        <f aca="false">N58+N59+N60+N61</f>
        <v>0</v>
      </c>
      <c r="O62" s="73" t="n">
        <f aca="false">O58+O59+O60+O61</f>
        <v>2500</v>
      </c>
      <c r="P62" s="73" t="n">
        <f aca="false">P58+P59+P60+P61</f>
        <v>0</v>
      </c>
      <c r="Q62" s="73" t="n">
        <f aca="false">Q58+Q59+Q60+Q61</f>
        <v>0</v>
      </c>
      <c r="R62" s="73" t="n">
        <f aca="false">R58+R59+R60+R61</f>
        <v>0</v>
      </c>
      <c r="S62" s="73" t="n">
        <f aca="false">S58+S59+S60+S61</f>
        <v>0</v>
      </c>
      <c r="T62" s="73" t="n">
        <f aca="false">T58+T59+T60+T61</f>
        <v>0</v>
      </c>
      <c r="U62" s="73" t="n">
        <f aca="false">U58+U59+U60+U61</f>
        <v>0</v>
      </c>
      <c r="V62" s="73" t="n">
        <f aca="false">V58+V59+V60+V61</f>
        <v>0</v>
      </c>
      <c r="W62" s="73" t="n">
        <f aca="false">W58+W59+W60+W61</f>
        <v>0</v>
      </c>
      <c r="X62" s="73" t="n">
        <f aca="false">X58+X59+X60+X61</f>
        <v>0</v>
      </c>
      <c r="Y62" s="73" t="n">
        <f aca="false">Y58+Y59+Y60+Y61</f>
        <v>0</v>
      </c>
      <c r="Z62" s="73" t="n">
        <f aca="false">Z58+Z59+Z60+Z61</f>
        <v>0</v>
      </c>
      <c r="AA62" s="73" t="n">
        <f aca="false">AA58+AA59+AA60+AA61</f>
        <v>2500</v>
      </c>
      <c r="AB62" s="73" t="n">
        <f aca="false">AB58+AB59+AB60+AB61</f>
        <v>0</v>
      </c>
      <c r="AC62" s="73" t="n">
        <f aca="false">AC58+AC59+AC60+AC61</f>
        <v>0</v>
      </c>
      <c r="AD62" s="73" t="n">
        <f aca="false">AD58+AD59+AD60+AD61</f>
        <v>0</v>
      </c>
      <c r="AE62" s="73" t="n">
        <f aca="false">AE58+AE59+AE60+AE61</f>
        <v>0</v>
      </c>
      <c r="AF62" s="73" t="n">
        <f aca="false">AF58+AF59+AF60+AF61</f>
        <v>0</v>
      </c>
      <c r="AG62" s="73" t="n">
        <f aca="false">AG58+AG59+AG60+AG61</f>
        <v>0</v>
      </c>
      <c r="AH62" s="73" t="n">
        <f aca="false">AH58+AH59+AH60+AH61</f>
        <v>0</v>
      </c>
      <c r="AI62" s="73" t="n">
        <f aca="false">AI58+AI59+AI60+AI61</f>
        <v>0</v>
      </c>
      <c r="AJ62" s="73" t="n">
        <f aca="false">AJ58+AJ59+AJ60+AJ61</f>
        <v>0</v>
      </c>
      <c r="AK62" s="73" t="n">
        <f aca="false">AK58+AK59+AK60+AK61</f>
        <v>0</v>
      </c>
      <c r="AL62" s="73" t="n">
        <f aca="false">AL58+AL59+AL60+AL61</f>
        <v>0</v>
      </c>
      <c r="AM62" s="73" t="n">
        <f aca="false">AM58+AM59+AM60+AM61</f>
        <v>2500</v>
      </c>
      <c r="AN62" s="73" t="n">
        <f aca="false">AN58+AN59+AN60+AN61</f>
        <v>0</v>
      </c>
      <c r="AO62" s="73" t="n">
        <f aca="false">AO58+AO59+AO60+AO61</f>
        <v>0</v>
      </c>
      <c r="AP62" s="73" t="n">
        <f aca="false">AP58+AP59+AP60+AP61</f>
        <v>0</v>
      </c>
      <c r="AQ62" s="73" t="n">
        <f aca="false">AQ58+AQ59+AQ60+AQ61</f>
        <v>0</v>
      </c>
      <c r="AR62" s="73" t="n">
        <f aca="false">AR58+AR59+AR60+AR61</f>
        <v>0</v>
      </c>
      <c r="AS62" s="73" t="n">
        <f aca="false">AS58+AS59+AS60+AS61</f>
        <v>0</v>
      </c>
      <c r="AT62" s="73" t="n">
        <f aca="false">AT58+AT59+AT60+AT61</f>
        <v>0</v>
      </c>
      <c r="AU62" s="73" t="n">
        <f aca="false">AU58+AU59+AU60+AU61</f>
        <v>0</v>
      </c>
      <c r="AV62" s="73" t="n">
        <f aca="false">AV58+AV59+AV60+AV61</f>
        <v>0</v>
      </c>
      <c r="AW62" s="73" t="n">
        <f aca="false">AW58+AW59+AW60+AW61</f>
        <v>0</v>
      </c>
      <c r="AX62" s="73" t="n">
        <f aca="false">AX58+AX59+AX60+AX61</f>
        <v>0</v>
      </c>
      <c r="AY62" s="73" t="n">
        <f aca="false">AY58+AY59+AY60+AY61</f>
        <v>2500</v>
      </c>
      <c r="AZ62" s="73" t="n">
        <f aca="false">AZ58+AZ59+AZ60+AZ61</f>
        <v>0</v>
      </c>
      <c r="BA62" s="73" t="n">
        <f aca="false">BA58+BA59+BA60+BA61</f>
        <v>0</v>
      </c>
      <c r="BB62" s="73" t="n">
        <f aca="false">BB58+BB59+BB60+BB61</f>
        <v>0</v>
      </c>
      <c r="BC62" s="73" t="n">
        <f aca="false">BC58+BC59+BC60+BC61</f>
        <v>0</v>
      </c>
      <c r="BD62" s="73" t="n">
        <f aca="false">BD58+BD59+BD60+BD61</f>
        <v>0</v>
      </c>
      <c r="BE62" s="73" t="n">
        <f aca="false">BE58+BE59+BE60+BE61</f>
        <v>0</v>
      </c>
      <c r="BF62" s="73" t="n">
        <f aca="false">BF58+BF59+BF60+BF61</f>
        <v>0</v>
      </c>
      <c r="BG62" s="73" t="n">
        <f aca="false">BG58+BG59+BG60+BG61</f>
        <v>0</v>
      </c>
      <c r="BH62" s="73" t="n">
        <f aca="false">BH58+BH59+BH60+BH61</f>
        <v>0</v>
      </c>
      <c r="BI62" s="73" t="n">
        <f aca="false">BI58+BI59+BI60+BI61</f>
        <v>0</v>
      </c>
      <c r="BJ62" s="73" t="n">
        <f aca="false">BJ58+BJ59+BJ60+BJ61</f>
        <v>0</v>
      </c>
    </row>
    <row r="63" customFormat="false" ht="15" hidden="false" customHeight="false" outlineLevel="0" collapsed="false">
      <c r="A63" s="6" t="s">
        <v>437</v>
      </c>
      <c r="C63" s="67" t="n">
        <f aca="false">C62</f>
        <v>138000</v>
      </c>
      <c r="D63" s="67" t="n">
        <f aca="false">C63+D62</f>
        <v>138000</v>
      </c>
      <c r="E63" s="67" t="n">
        <f aca="false">D63+E62</f>
        <v>138000</v>
      </c>
      <c r="F63" s="67" t="n">
        <f aca="false">E63+F62</f>
        <v>138000</v>
      </c>
      <c r="G63" s="67" t="n">
        <f aca="false">F63+G62</f>
        <v>138000</v>
      </c>
      <c r="H63" s="67" t="n">
        <f aca="false">G63+H62</f>
        <v>138000</v>
      </c>
      <c r="I63" s="67" t="n">
        <f aca="false">H63+I62</f>
        <v>138000</v>
      </c>
      <c r="J63" s="67" t="n">
        <f aca="false">I63+J62</f>
        <v>138000</v>
      </c>
      <c r="K63" s="67" t="n">
        <f aca="false">J63+K62</f>
        <v>138000</v>
      </c>
      <c r="L63" s="67" t="n">
        <f aca="false">K63+L62</f>
        <v>138000</v>
      </c>
      <c r="M63" s="67" t="n">
        <f aca="false">L63+M62</f>
        <v>138000</v>
      </c>
      <c r="N63" s="67" t="n">
        <f aca="false">M63+N62</f>
        <v>138000</v>
      </c>
      <c r="O63" s="67" t="n">
        <f aca="false">N63+O62</f>
        <v>140500</v>
      </c>
      <c r="P63" s="67" t="n">
        <f aca="false">O63+P62</f>
        <v>140500</v>
      </c>
      <c r="Q63" s="67" t="n">
        <f aca="false">P63+Q62</f>
        <v>140500</v>
      </c>
      <c r="R63" s="67" t="n">
        <f aca="false">Q63+R62</f>
        <v>140500</v>
      </c>
      <c r="S63" s="67" t="n">
        <f aca="false">R63+S62</f>
        <v>140500</v>
      </c>
      <c r="T63" s="67" t="n">
        <f aca="false">S63+T62</f>
        <v>140500</v>
      </c>
      <c r="U63" s="67" t="n">
        <f aca="false">T63+U62</f>
        <v>140500</v>
      </c>
      <c r="V63" s="67" t="n">
        <f aca="false">U63+V62</f>
        <v>140500</v>
      </c>
      <c r="W63" s="67" t="n">
        <f aca="false">V63+W62</f>
        <v>140500</v>
      </c>
      <c r="X63" s="67" t="n">
        <f aca="false">W63+X62</f>
        <v>140500</v>
      </c>
      <c r="Y63" s="67" t="n">
        <f aca="false">X63+Y62</f>
        <v>140500</v>
      </c>
      <c r="Z63" s="67" t="n">
        <f aca="false">Y63+Z62</f>
        <v>140500</v>
      </c>
      <c r="AA63" s="67" t="n">
        <f aca="false">Z63+AA62</f>
        <v>143000</v>
      </c>
      <c r="AB63" s="67" t="n">
        <f aca="false">AA63+AB62</f>
        <v>143000</v>
      </c>
      <c r="AC63" s="67" t="n">
        <f aca="false">AB63+AC62</f>
        <v>143000</v>
      </c>
      <c r="AD63" s="67" t="n">
        <f aca="false">AC63+AD62</f>
        <v>143000</v>
      </c>
      <c r="AE63" s="67" t="n">
        <f aca="false">AD63+AE62</f>
        <v>143000</v>
      </c>
      <c r="AF63" s="67" t="n">
        <f aca="false">AE63+AF62</f>
        <v>143000</v>
      </c>
      <c r="AG63" s="67" t="n">
        <f aca="false">AF63+AG62</f>
        <v>143000</v>
      </c>
      <c r="AH63" s="67" t="n">
        <f aca="false">AG63+AH62</f>
        <v>143000</v>
      </c>
      <c r="AI63" s="67" t="n">
        <f aca="false">AH63+AI62</f>
        <v>143000</v>
      </c>
      <c r="AJ63" s="67" t="n">
        <f aca="false">AI63+AJ62</f>
        <v>143000</v>
      </c>
      <c r="AK63" s="67" t="n">
        <f aca="false">AJ63+AK62</f>
        <v>143000</v>
      </c>
      <c r="AL63" s="67" t="n">
        <f aca="false">AK63+AL62</f>
        <v>143000</v>
      </c>
      <c r="AM63" s="67" t="n">
        <f aca="false">AL63+AM62</f>
        <v>145500</v>
      </c>
      <c r="AN63" s="67" t="n">
        <f aca="false">AM63+AN62</f>
        <v>145500</v>
      </c>
      <c r="AO63" s="67" t="n">
        <f aca="false">AN63+AO62</f>
        <v>145500</v>
      </c>
      <c r="AP63" s="67" t="n">
        <f aca="false">AO63+AP62</f>
        <v>145500</v>
      </c>
      <c r="AQ63" s="67" t="n">
        <f aca="false">AP63+AQ62</f>
        <v>145500</v>
      </c>
      <c r="AR63" s="67" t="n">
        <f aca="false">AQ63+AR62</f>
        <v>145500</v>
      </c>
      <c r="AS63" s="67" t="n">
        <f aca="false">AR63+AS62</f>
        <v>145500</v>
      </c>
      <c r="AT63" s="67" t="n">
        <f aca="false">AS63+AT62</f>
        <v>145500</v>
      </c>
      <c r="AU63" s="67" t="n">
        <f aca="false">AT63+AU62</f>
        <v>145500</v>
      </c>
      <c r="AV63" s="67" t="n">
        <f aca="false">AU63+AV62</f>
        <v>145500</v>
      </c>
      <c r="AW63" s="67" t="n">
        <f aca="false">AV63+AW62</f>
        <v>145500</v>
      </c>
      <c r="AX63" s="67" t="n">
        <f aca="false">AW63+AX62</f>
        <v>145500</v>
      </c>
      <c r="AY63" s="67" t="n">
        <f aca="false">AX63+AY62</f>
        <v>148000</v>
      </c>
      <c r="AZ63" s="67" t="n">
        <f aca="false">AY63+AZ62</f>
        <v>148000</v>
      </c>
      <c r="BA63" s="67" t="n">
        <f aca="false">AZ63+BA62</f>
        <v>148000</v>
      </c>
      <c r="BB63" s="67" t="n">
        <f aca="false">BA63+BB62</f>
        <v>148000</v>
      </c>
      <c r="BC63" s="67" t="n">
        <f aca="false">BB63+BC62</f>
        <v>148000</v>
      </c>
      <c r="BD63" s="67" t="n">
        <f aca="false">BC63+BD62</f>
        <v>148000</v>
      </c>
      <c r="BE63" s="67" t="n">
        <f aca="false">BD63+BE62</f>
        <v>148000</v>
      </c>
      <c r="BF63" s="67" t="n">
        <f aca="false">BE63+BF62</f>
        <v>148000</v>
      </c>
      <c r="BG63" s="67" t="n">
        <f aca="false">BF63+BG62</f>
        <v>148000</v>
      </c>
      <c r="BH63" s="67" t="n">
        <f aca="false">BG63+BH62</f>
        <v>148000</v>
      </c>
      <c r="BI63" s="67" t="n">
        <f aca="false">BH63+BI62</f>
        <v>148000</v>
      </c>
      <c r="BJ63" s="67" t="n">
        <f aca="false">BI63+BJ62</f>
        <v>148000</v>
      </c>
    </row>
    <row r="64" customFormat="false" ht="15" hidden="false" customHeight="false" outlineLevel="0" collapsed="false">
      <c r="A64" s="6" t="s">
        <v>78</v>
      </c>
      <c r="C64" s="67" t="n">
        <f aca="false">-MIN(C63/MAX(1,Inputs!$E$82*12),C62)</f>
        <v>-1642.85714285714</v>
      </c>
      <c r="D64" s="67" t="n">
        <f aca="false">-MIN(D63/MAX(1,Inputs!$E$82*12),C66+D62)</f>
        <v>-1642.85714285714</v>
      </c>
      <c r="E64" s="67" t="n">
        <f aca="false">-MIN(E63/MAX(1,Inputs!$E$82*12),D66+E62)</f>
        <v>-1642.85714285714</v>
      </c>
      <c r="F64" s="67" t="n">
        <f aca="false">-MIN(F63/MAX(1,Inputs!$E$82*12),E66+F62)</f>
        <v>-1642.85714285714</v>
      </c>
      <c r="G64" s="67" t="n">
        <f aca="false">-MIN(G63/MAX(1,Inputs!$E$82*12),F66+G62)</f>
        <v>-1642.85714285714</v>
      </c>
      <c r="H64" s="67" t="n">
        <f aca="false">-MIN(H63/MAX(1,Inputs!$E$82*12),G66+H62)</f>
        <v>-1642.85714285714</v>
      </c>
      <c r="I64" s="67" t="n">
        <f aca="false">-MIN(I63/MAX(1,Inputs!$E$82*12),H66+I62)</f>
        <v>-1642.85714285714</v>
      </c>
      <c r="J64" s="67" t="n">
        <f aca="false">-MIN(J63/MAX(1,Inputs!$E$82*12),I66+J62)</f>
        <v>-1642.85714285714</v>
      </c>
      <c r="K64" s="67" t="n">
        <f aca="false">-MIN(K63/MAX(1,Inputs!$E$82*12),J66+K62)</f>
        <v>-1642.85714285714</v>
      </c>
      <c r="L64" s="67" t="n">
        <f aca="false">-MIN(L63/MAX(1,Inputs!$E$82*12),K66+L62)</f>
        <v>-1642.85714285714</v>
      </c>
      <c r="M64" s="67" t="n">
        <f aca="false">-MIN(M63/MAX(1,Inputs!$E$82*12),L66+M62)</f>
        <v>-1642.85714285714</v>
      </c>
      <c r="N64" s="67" t="n">
        <f aca="false">-MIN(N63/MAX(1,Inputs!$E$82*12),M66+N62)</f>
        <v>-1642.85714285714</v>
      </c>
      <c r="O64" s="67" t="n">
        <f aca="false">-MIN(O63/MAX(1,Inputs!$E$82*12),N66+O62)</f>
        <v>-1672.61904761905</v>
      </c>
      <c r="P64" s="67" t="n">
        <f aca="false">-MIN(P63/MAX(1,Inputs!$E$82*12),O66+P62)</f>
        <v>-1672.61904761905</v>
      </c>
      <c r="Q64" s="67" t="n">
        <f aca="false">-MIN(Q63/MAX(1,Inputs!$E$82*12),P66+Q62)</f>
        <v>-1672.61904761905</v>
      </c>
      <c r="R64" s="67" t="n">
        <f aca="false">-MIN(R63/MAX(1,Inputs!$E$82*12),Q66+R62)</f>
        <v>-1672.61904761905</v>
      </c>
      <c r="S64" s="67" t="n">
        <f aca="false">-MIN(S63/MAX(1,Inputs!$E$82*12),R66+S62)</f>
        <v>-1672.61904761905</v>
      </c>
      <c r="T64" s="67" t="n">
        <f aca="false">-MIN(T63/MAX(1,Inputs!$E$82*12),S66+T62)</f>
        <v>-1672.61904761905</v>
      </c>
      <c r="U64" s="67" t="n">
        <f aca="false">-MIN(U63/MAX(1,Inputs!$E$82*12),T66+U62)</f>
        <v>-1672.61904761905</v>
      </c>
      <c r="V64" s="67" t="n">
        <f aca="false">-MIN(V63/MAX(1,Inputs!$E$82*12),U66+V62)</f>
        <v>-1672.61904761905</v>
      </c>
      <c r="W64" s="67" t="n">
        <f aca="false">-MIN(W63/MAX(1,Inputs!$E$82*12),V66+W62)</f>
        <v>-1672.61904761905</v>
      </c>
      <c r="X64" s="67" t="n">
        <f aca="false">-MIN(X63/MAX(1,Inputs!$E$82*12),W66+X62)</f>
        <v>-1672.61904761905</v>
      </c>
      <c r="Y64" s="67" t="n">
        <f aca="false">-MIN(Y63/MAX(1,Inputs!$E$82*12),X66+Y62)</f>
        <v>-1672.61904761905</v>
      </c>
      <c r="Z64" s="67" t="n">
        <f aca="false">-MIN(Z63/MAX(1,Inputs!$E$82*12),Y66+Z62)</f>
        <v>-1672.61904761905</v>
      </c>
      <c r="AA64" s="67" t="n">
        <f aca="false">-MIN(AA63/MAX(1,Inputs!$E$82*12),Z66+AA62)</f>
        <v>-1702.38095238095</v>
      </c>
      <c r="AB64" s="67" t="n">
        <f aca="false">-MIN(AB63/MAX(1,Inputs!$E$82*12),AA66+AB62)</f>
        <v>-1702.38095238095</v>
      </c>
      <c r="AC64" s="67" t="n">
        <f aca="false">-MIN(AC63/MAX(1,Inputs!$E$82*12),AB66+AC62)</f>
        <v>-1702.38095238095</v>
      </c>
      <c r="AD64" s="67" t="n">
        <f aca="false">-MIN(AD63/MAX(1,Inputs!$E$82*12),AC66+AD62)</f>
        <v>-1702.38095238095</v>
      </c>
      <c r="AE64" s="67" t="n">
        <f aca="false">-MIN(AE63/MAX(1,Inputs!$E$82*12),AD66+AE62)</f>
        <v>-1702.38095238095</v>
      </c>
      <c r="AF64" s="67" t="n">
        <f aca="false">-MIN(AF63/MAX(1,Inputs!$E$82*12),AE66+AF62)</f>
        <v>-1702.38095238095</v>
      </c>
      <c r="AG64" s="67" t="n">
        <f aca="false">-MIN(AG63/MAX(1,Inputs!$E$82*12),AF66+AG62)</f>
        <v>-1702.38095238095</v>
      </c>
      <c r="AH64" s="67" t="n">
        <f aca="false">-MIN(AH63/MAX(1,Inputs!$E$82*12),AG66+AH62)</f>
        <v>-1702.38095238095</v>
      </c>
      <c r="AI64" s="67" t="n">
        <f aca="false">-MIN(AI63/MAX(1,Inputs!$E$82*12),AH66+AI62)</f>
        <v>-1702.38095238095</v>
      </c>
      <c r="AJ64" s="67" t="n">
        <f aca="false">-MIN(AJ63/MAX(1,Inputs!$E$82*12),AI66+AJ62)</f>
        <v>-1702.38095238095</v>
      </c>
      <c r="AK64" s="67" t="n">
        <f aca="false">-MIN(AK63/MAX(1,Inputs!$E$82*12),AJ66+AK62)</f>
        <v>-1702.38095238095</v>
      </c>
      <c r="AL64" s="67" t="n">
        <f aca="false">-MIN(AL63/MAX(1,Inputs!$E$82*12),AK66+AL62)</f>
        <v>-1702.38095238095</v>
      </c>
      <c r="AM64" s="67" t="n">
        <f aca="false">-MIN(AM63/MAX(1,Inputs!$E$82*12),AL66+AM62)</f>
        <v>-1732.14285714286</v>
      </c>
      <c r="AN64" s="67" t="n">
        <f aca="false">-MIN(AN63/MAX(1,Inputs!$E$82*12),AM66+AN62)</f>
        <v>-1732.14285714286</v>
      </c>
      <c r="AO64" s="67" t="n">
        <f aca="false">-MIN(AO63/MAX(1,Inputs!$E$82*12),AN66+AO62)</f>
        <v>-1732.14285714286</v>
      </c>
      <c r="AP64" s="67" t="n">
        <f aca="false">-MIN(AP63/MAX(1,Inputs!$E$82*12),AO66+AP62)</f>
        <v>-1732.14285714286</v>
      </c>
      <c r="AQ64" s="67" t="n">
        <f aca="false">-MIN(AQ63/MAX(1,Inputs!$E$82*12),AP66+AQ62)</f>
        <v>-1732.14285714286</v>
      </c>
      <c r="AR64" s="67" t="n">
        <f aca="false">-MIN(AR63/MAX(1,Inputs!$E$82*12),AQ66+AR62)</f>
        <v>-1732.14285714286</v>
      </c>
      <c r="AS64" s="67" t="n">
        <f aca="false">-MIN(AS63/MAX(1,Inputs!$E$82*12),AR66+AS62)</f>
        <v>-1732.14285714286</v>
      </c>
      <c r="AT64" s="67" t="n">
        <f aca="false">-MIN(AT63/MAX(1,Inputs!$E$82*12),AS66+AT62)</f>
        <v>-1732.14285714286</v>
      </c>
      <c r="AU64" s="67" t="n">
        <f aca="false">-MIN(AU63/MAX(1,Inputs!$E$82*12),AT66+AU62)</f>
        <v>-1732.14285714286</v>
      </c>
      <c r="AV64" s="67" t="n">
        <f aca="false">-MIN(AV63/MAX(1,Inputs!$E$82*12),AU66+AV62)</f>
        <v>-1732.14285714286</v>
      </c>
      <c r="AW64" s="67" t="n">
        <f aca="false">-MIN(AW63/MAX(1,Inputs!$E$82*12),AV66+AW62)</f>
        <v>-1732.14285714286</v>
      </c>
      <c r="AX64" s="67" t="n">
        <f aca="false">-MIN(AX63/MAX(1,Inputs!$E$82*12),AW66+AX62)</f>
        <v>-1732.14285714286</v>
      </c>
      <c r="AY64" s="67" t="n">
        <f aca="false">-MIN(AY63/MAX(1,Inputs!$E$82*12),AX66+AY62)</f>
        <v>-1761.90476190476</v>
      </c>
      <c r="AZ64" s="67" t="n">
        <f aca="false">-MIN(AZ63/MAX(1,Inputs!$E$82*12),AY66+AZ62)</f>
        <v>-1761.90476190476</v>
      </c>
      <c r="BA64" s="67" t="n">
        <f aca="false">-MIN(BA63/MAX(1,Inputs!$E$82*12),AZ66+BA62)</f>
        <v>-1761.90476190476</v>
      </c>
      <c r="BB64" s="67" t="n">
        <f aca="false">-MIN(BB63/MAX(1,Inputs!$E$82*12),BA66+BB62)</f>
        <v>-1761.90476190476</v>
      </c>
      <c r="BC64" s="67" t="n">
        <f aca="false">-MIN(BC63/MAX(1,Inputs!$E$82*12),BB66+BC62)</f>
        <v>-1761.90476190476</v>
      </c>
      <c r="BD64" s="67" t="n">
        <f aca="false">-MIN(BD63/MAX(1,Inputs!$E$82*12),BC66+BD62)</f>
        <v>-1761.90476190476</v>
      </c>
      <c r="BE64" s="67" t="n">
        <f aca="false">-MIN(BE63/MAX(1,Inputs!$E$82*12),BD66+BE62)</f>
        <v>-1761.90476190476</v>
      </c>
      <c r="BF64" s="67" t="n">
        <f aca="false">-MIN(BF63/MAX(1,Inputs!$E$82*12),BE66+BF62)</f>
        <v>-1761.90476190476</v>
      </c>
      <c r="BG64" s="67" t="n">
        <f aca="false">-MIN(BG63/MAX(1,Inputs!$E$82*12),BF66+BG62)</f>
        <v>-1761.90476190476</v>
      </c>
      <c r="BH64" s="67" t="n">
        <f aca="false">-MIN(BH63/MAX(1,Inputs!$E$82*12),BG66+BH62)</f>
        <v>-1761.90476190476</v>
      </c>
      <c r="BI64" s="67" t="n">
        <f aca="false">-MIN(BI63/MAX(1,Inputs!$E$82*12),BH66+BI62)</f>
        <v>-1761.90476190476</v>
      </c>
      <c r="BJ64" s="67" t="n">
        <f aca="false">-MIN(BJ63/MAX(1,Inputs!$E$82*12),BI66+BJ62)</f>
        <v>-1761.90476190476</v>
      </c>
    </row>
    <row r="65" customFormat="false" ht="15" hidden="false" customHeight="false" outlineLevel="0" collapsed="false">
      <c r="A65" s="6" t="s">
        <v>438</v>
      </c>
      <c r="C65" s="67" t="n">
        <f aca="false">C64</f>
        <v>-1642.85714285714</v>
      </c>
      <c r="D65" s="67" t="n">
        <f aca="false">C65+D64</f>
        <v>-3285.71428571429</v>
      </c>
      <c r="E65" s="67" t="n">
        <f aca="false">D65+E64</f>
        <v>-4928.57142857143</v>
      </c>
      <c r="F65" s="67" t="n">
        <f aca="false">E65+F64</f>
        <v>-6571.42857142857</v>
      </c>
      <c r="G65" s="67" t="n">
        <f aca="false">F65+G64</f>
        <v>-8214.28571428571</v>
      </c>
      <c r="H65" s="67" t="n">
        <f aca="false">G65+H64</f>
        <v>-9857.14285714286</v>
      </c>
      <c r="I65" s="67" t="n">
        <f aca="false">H65+I64</f>
        <v>-11500</v>
      </c>
      <c r="J65" s="67" t="n">
        <f aca="false">I65+J64</f>
        <v>-13142.8571428571</v>
      </c>
      <c r="K65" s="67" t="n">
        <f aca="false">J65+K64</f>
        <v>-14785.7142857143</v>
      </c>
      <c r="L65" s="67" t="n">
        <f aca="false">K65+L64</f>
        <v>-16428.5714285714</v>
      </c>
      <c r="M65" s="67" t="n">
        <f aca="false">L65+M64</f>
        <v>-18071.4285714286</v>
      </c>
      <c r="N65" s="67" t="n">
        <f aca="false">M65+N64</f>
        <v>-19714.2857142857</v>
      </c>
      <c r="O65" s="67" t="n">
        <f aca="false">N65+O64</f>
        <v>-21386.9047619048</v>
      </c>
      <c r="P65" s="67" t="n">
        <f aca="false">O65+P64</f>
        <v>-23059.5238095238</v>
      </c>
      <c r="Q65" s="67" t="n">
        <f aca="false">P65+Q64</f>
        <v>-24732.1428571428</v>
      </c>
      <c r="R65" s="67" t="n">
        <f aca="false">Q65+R64</f>
        <v>-26404.7619047619</v>
      </c>
      <c r="S65" s="67" t="n">
        <f aca="false">R65+S64</f>
        <v>-28077.3809523809</v>
      </c>
      <c r="T65" s="67" t="n">
        <f aca="false">S65+T64</f>
        <v>-29750</v>
      </c>
      <c r="U65" s="67" t="n">
        <f aca="false">T65+U64</f>
        <v>-31422.619047619</v>
      </c>
      <c r="V65" s="67" t="n">
        <f aca="false">U65+V64</f>
        <v>-33095.2380952381</v>
      </c>
      <c r="W65" s="67" t="n">
        <f aca="false">V65+W64</f>
        <v>-34767.8571428571</v>
      </c>
      <c r="X65" s="67" t="n">
        <f aca="false">W65+X64</f>
        <v>-36440.4761904762</v>
      </c>
      <c r="Y65" s="67" t="n">
        <f aca="false">X65+Y64</f>
        <v>-38113.0952380952</v>
      </c>
      <c r="Z65" s="67" t="n">
        <f aca="false">Y65+Z64</f>
        <v>-39785.7142857143</v>
      </c>
      <c r="AA65" s="67" t="n">
        <f aca="false">Z65+AA64</f>
        <v>-41488.0952380952</v>
      </c>
      <c r="AB65" s="67" t="n">
        <f aca="false">AA65+AB64</f>
        <v>-43190.4761904762</v>
      </c>
      <c r="AC65" s="67" t="n">
        <f aca="false">AB65+AC64</f>
        <v>-44892.8571428571</v>
      </c>
      <c r="AD65" s="67" t="n">
        <f aca="false">AC65+AD64</f>
        <v>-46595.2380952381</v>
      </c>
      <c r="AE65" s="67" t="n">
        <f aca="false">AD65+AE64</f>
        <v>-48297.619047619</v>
      </c>
      <c r="AF65" s="67" t="n">
        <f aca="false">AE65+AF64</f>
        <v>-50000</v>
      </c>
      <c r="AG65" s="67" t="n">
        <f aca="false">AF65+AG64</f>
        <v>-51702.3809523809</v>
      </c>
      <c r="AH65" s="67" t="n">
        <f aca="false">AG65+AH64</f>
        <v>-53404.7619047619</v>
      </c>
      <c r="AI65" s="67" t="n">
        <f aca="false">AH65+AI64</f>
        <v>-55107.1428571429</v>
      </c>
      <c r="AJ65" s="67" t="n">
        <f aca="false">AI65+AJ64</f>
        <v>-56809.5238095238</v>
      </c>
      <c r="AK65" s="67" t="n">
        <f aca="false">AJ65+AK64</f>
        <v>-58511.9047619048</v>
      </c>
      <c r="AL65" s="67" t="n">
        <f aca="false">AK65+AL64</f>
        <v>-60214.2857142857</v>
      </c>
      <c r="AM65" s="67" t="n">
        <f aca="false">AL65+AM64</f>
        <v>-61946.4285714286</v>
      </c>
      <c r="AN65" s="67" t="n">
        <f aca="false">AM65+AN64</f>
        <v>-63678.5714285714</v>
      </c>
      <c r="AO65" s="67" t="n">
        <f aca="false">AN65+AO64</f>
        <v>-65410.7142857143</v>
      </c>
      <c r="AP65" s="67" t="n">
        <f aca="false">AO65+AP64</f>
        <v>-67142.8571428571</v>
      </c>
      <c r="AQ65" s="67" t="n">
        <f aca="false">AP65+AQ64</f>
        <v>-68875</v>
      </c>
      <c r="AR65" s="67" t="n">
        <f aca="false">AQ65+AR64</f>
        <v>-70607.1428571428</v>
      </c>
      <c r="AS65" s="67" t="n">
        <f aca="false">AR65+AS64</f>
        <v>-72339.2857142857</v>
      </c>
      <c r="AT65" s="67" t="n">
        <f aca="false">AS65+AT64</f>
        <v>-74071.4285714286</v>
      </c>
      <c r="AU65" s="67" t="n">
        <f aca="false">AT65+AU64</f>
        <v>-75803.5714285714</v>
      </c>
      <c r="AV65" s="67" t="n">
        <f aca="false">AU65+AV64</f>
        <v>-77535.7142857143</v>
      </c>
      <c r="AW65" s="67" t="n">
        <f aca="false">AV65+AW64</f>
        <v>-79267.8571428571</v>
      </c>
      <c r="AX65" s="67" t="n">
        <f aca="false">AW65+AX64</f>
        <v>-81000</v>
      </c>
      <c r="AY65" s="67" t="n">
        <f aca="false">AX65+AY64</f>
        <v>-82761.9047619047</v>
      </c>
      <c r="AZ65" s="67" t="n">
        <f aca="false">AY65+AZ64</f>
        <v>-84523.8095238095</v>
      </c>
      <c r="BA65" s="67" t="n">
        <f aca="false">AZ65+BA64</f>
        <v>-86285.7142857143</v>
      </c>
      <c r="BB65" s="67" t="n">
        <f aca="false">BA65+BB64</f>
        <v>-88047.619047619</v>
      </c>
      <c r="BC65" s="67" t="n">
        <f aca="false">BB65+BC64</f>
        <v>-89809.5238095238</v>
      </c>
      <c r="BD65" s="67" t="n">
        <f aca="false">BC65+BD64</f>
        <v>-91571.4285714286</v>
      </c>
      <c r="BE65" s="67" t="n">
        <f aca="false">BD65+BE64</f>
        <v>-93333.3333333333</v>
      </c>
      <c r="BF65" s="67" t="n">
        <f aca="false">BE65+BF64</f>
        <v>-95095.2380952381</v>
      </c>
      <c r="BG65" s="67" t="n">
        <f aca="false">BF65+BG64</f>
        <v>-96857.1428571428</v>
      </c>
      <c r="BH65" s="67" t="n">
        <f aca="false">BG65+BH64</f>
        <v>-98619.0476190476</v>
      </c>
      <c r="BI65" s="67" t="n">
        <f aca="false">BH65+BI64</f>
        <v>-100380.952380952</v>
      </c>
      <c r="BJ65" s="67" t="n">
        <f aca="false">BI65+BJ64</f>
        <v>-102142.857142857</v>
      </c>
    </row>
    <row r="66" customFormat="false" ht="15" hidden="false" customHeight="false" outlineLevel="0" collapsed="false">
      <c r="A66" s="4" t="s">
        <v>92</v>
      </c>
      <c r="C66" s="73" t="n">
        <f aca="false">C63+C65</f>
        <v>136357.142857143</v>
      </c>
      <c r="D66" s="73" t="n">
        <f aca="false">D63+D65</f>
        <v>134714.285714286</v>
      </c>
      <c r="E66" s="73" t="n">
        <f aca="false">E63+E65</f>
        <v>133071.428571429</v>
      </c>
      <c r="F66" s="73" t="n">
        <f aca="false">F63+F65</f>
        <v>131428.571428571</v>
      </c>
      <c r="G66" s="73" t="n">
        <f aca="false">G63+G65</f>
        <v>129785.714285714</v>
      </c>
      <c r="H66" s="73" t="n">
        <f aca="false">H63+H65</f>
        <v>128142.857142857</v>
      </c>
      <c r="I66" s="73" t="n">
        <f aca="false">I63+I65</f>
        <v>126500</v>
      </c>
      <c r="J66" s="73" t="n">
        <f aca="false">J63+J65</f>
        <v>124857.142857143</v>
      </c>
      <c r="K66" s="73" t="n">
        <f aca="false">K63+K65</f>
        <v>123214.285714286</v>
      </c>
      <c r="L66" s="73" t="n">
        <f aca="false">L63+L65</f>
        <v>121571.428571429</v>
      </c>
      <c r="M66" s="73" t="n">
        <f aca="false">M63+M65</f>
        <v>119928.571428571</v>
      </c>
      <c r="N66" s="73" t="n">
        <f aca="false">N63+N65</f>
        <v>118285.714285714</v>
      </c>
      <c r="O66" s="73" t="n">
        <f aca="false">O63+O65</f>
        <v>119113.095238095</v>
      </c>
      <c r="P66" s="73" t="n">
        <f aca="false">P63+P65</f>
        <v>117440.476190476</v>
      </c>
      <c r="Q66" s="73" t="n">
        <f aca="false">Q63+Q65</f>
        <v>115767.857142857</v>
      </c>
      <c r="R66" s="73" t="n">
        <f aca="false">R63+R65</f>
        <v>114095.238095238</v>
      </c>
      <c r="S66" s="73" t="n">
        <f aca="false">S63+S65</f>
        <v>112422.619047619</v>
      </c>
      <c r="T66" s="73" t="n">
        <f aca="false">T63+T65</f>
        <v>110750</v>
      </c>
      <c r="U66" s="73" t="n">
        <f aca="false">U63+U65</f>
        <v>109077.380952381</v>
      </c>
      <c r="V66" s="73" t="n">
        <f aca="false">V63+V65</f>
        <v>107404.761904762</v>
      </c>
      <c r="W66" s="73" t="n">
        <f aca="false">W63+W65</f>
        <v>105732.142857143</v>
      </c>
      <c r="X66" s="73" t="n">
        <f aca="false">X63+X65</f>
        <v>104059.523809524</v>
      </c>
      <c r="Y66" s="73" t="n">
        <f aca="false">Y63+Y65</f>
        <v>102386.904761905</v>
      </c>
      <c r="Z66" s="73" t="n">
        <f aca="false">Z63+Z65</f>
        <v>100714.285714286</v>
      </c>
      <c r="AA66" s="73" t="n">
        <f aca="false">AA63+AA65</f>
        <v>101511.904761905</v>
      </c>
      <c r="AB66" s="73" t="n">
        <f aca="false">AB63+AB65</f>
        <v>99809.5238095238</v>
      </c>
      <c r="AC66" s="73" t="n">
        <f aca="false">AC63+AC65</f>
        <v>98107.1428571429</v>
      </c>
      <c r="AD66" s="73" t="n">
        <f aca="false">AD63+AD65</f>
        <v>96404.7619047619</v>
      </c>
      <c r="AE66" s="73" t="n">
        <f aca="false">AE63+AE65</f>
        <v>94702.380952381</v>
      </c>
      <c r="AF66" s="73" t="n">
        <f aca="false">AF63+AF65</f>
        <v>93000</v>
      </c>
      <c r="AG66" s="73" t="n">
        <f aca="false">AG63+AG65</f>
        <v>91297.6190476191</v>
      </c>
      <c r="AH66" s="73" t="n">
        <f aca="false">AH63+AH65</f>
        <v>89595.2380952381</v>
      </c>
      <c r="AI66" s="73" t="n">
        <f aca="false">AI63+AI65</f>
        <v>87892.8571428572</v>
      </c>
      <c r="AJ66" s="73" t="n">
        <f aca="false">AJ63+AJ65</f>
        <v>86190.4761904762</v>
      </c>
      <c r="AK66" s="73" t="n">
        <f aca="false">AK63+AK65</f>
        <v>84488.0952380952</v>
      </c>
      <c r="AL66" s="73" t="n">
        <f aca="false">AL63+AL65</f>
        <v>82785.7142857143</v>
      </c>
      <c r="AM66" s="73" t="n">
        <f aca="false">AM63+AM65</f>
        <v>83553.5714285714</v>
      </c>
      <c r="AN66" s="73" t="n">
        <f aca="false">AN63+AN65</f>
        <v>81821.4285714286</v>
      </c>
      <c r="AO66" s="73" t="n">
        <f aca="false">AO63+AO65</f>
        <v>80089.2857142857</v>
      </c>
      <c r="AP66" s="73" t="n">
        <f aca="false">AP63+AP65</f>
        <v>78357.1428571429</v>
      </c>
      <c r="AQ66" s="73" t="n">
        <f aca="false">AQ63+AQ65</f>
        <v>76625</v>
      </c>
      <c r="AR66" s="73" t="n">
        <f aca="false">AR63+AR65</f>
        <v>74892.8571428572</v>
      </c>
      <c r="AS66" s="73" t="n">
        <f aca="false">AS63+AS65</f>
        <v>73160.7142857143</v>
      </c>
      <c r="AT66" s="73" t="n">
        <f aca="false">AT63+AT65</f>
        <v>71428.5714285715</v>
      </c>
      <c r="AU66" s="73" t="n">
        <f aca="false">AU63+AU65</f>
        <v>69696.4285714286</v>
      </c>
      <c r="AV66" s="73" t="n">
        <f aca="false">AV63+AV65</f>
        <v>67964.2857142857</v>
      </c>
      <c r="AW66" s="73" t="n">
        <f aca="false">AW63+AW65</f>
        <v>66232.1428571429</v>
      </c>
      <c r="AX66" s="73" t="n">
        <f aca="false">AX63+AX65</f>
        <v>64500</v>
      </c>
      <c r="AY66" s="73" t="n">
        <f aca="false">AY63+AY65</f>
        <v>65238.0952380953</v>
      </c>
      <c r="AZ66" s="73" t="n">
        <f aca="false">AZ63+AZ65</f>
        <v>63476.1904761905</v>
      </c>
      <c r="BA66" s="73" t="n">
        <f aca="false">BA63+BA65</f>
        <v>61714.2857142857</v>
      </c>
      <c r="BB66" s="73" t="n">
        <f aca="false">BB63+BB65</f>
        <v>59952.380952381</v>
      </c>
      <c r="BC66" s="73" t="n">
        <f aca="false">BC63+BC65</f>
        <v>58190.4761904762</v>
      </c>
      <c r="BD66" s="73" t="n">
        <f aca="false">BD63+BD65</f>
        <v>56428.5714285715</v>
      </c>
      <c r="BE66" s="73" t="n">
        <f aca="false">BE63+BE65</f>
        <v>54666.6666666667</v>
      </c>
      <c r="BF66" s="73" t="n">
        <f aca="false">BF63+BF65</f>
        <v>52904.7619047619</v>
      </c>
      <c r="BG66" s="73" t="n">
        <f aca="false">BG63+BG65</f>
        <v>51142.8571428572</v>
      </c>
      <c r="BH66" s="73" t="n">
        <f aca="false">BH63+BH65</f>
        <v>49380.9523809524</v>
      </c>
      <c r="BI66" s="73" t="n">
        <f aca="false">BI63+BI65</f>
        <v>47619.0476190476</v>
      </c>
      <c r="BJ66" s="73" t="n">
        <f aca="false">BJ63+BJ65</f>
        <v>45857.1428571429</v>
      </c>
    </row>
    <row r="68" customFormat="false" ht="15.75" hidden="false" customHeight="true" outlineLevel="0" collapsed="false">
      <c r="A68" s="7" t="s">
        <v>439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</row>
    <row r="69" customFormat="false" ht="15" hidden="false" customHeight="false" outlineLevel="0" collapsed="false">
      <c r="A69" s="6" t="s">
        <v>440</v>
      </c>
      <c r="C69" s="67" t="n">
        <f aca="false">0</f>
        <v>0</v>
      </c>
      <c r="D69" s="67" t="n">
        <f aca="false">C72</f>
        <v>90000</v>
      </c>
      <c r="E69" s="67" t="n">
        <f aca="false">D72</f>
        <v>88500</v>
      </c>
      <c r="F69" s="67" t="n">
        <f aca="false">E72</f>
        <v>87000</v>
      </c>
      <c r="G69" s="67" t="n">
        <f aca="false">F72</f>
        <v>85500</v>
      </c>
      <c r="H69" s="67" t="n">
        <f aca="false">G72</f>
        <v>84000</v>
      </c>
      <c r="I69" s="67" t="n">
        <f aca="false">H72</f>
        <v>82500</v>
      </c>
      <c r="J69" s="67" t="n">
        <f aca="false">I72</f>
        <v>81000</v>
      </c>
      <c r="K69" s="67" t="n">
        <f aca="false">J72</f>
        <v>79500</v>
      </c>
      <c r="L69" s="67" t="n">
        <f aca="false">K72</f>
        <v>78000</v>
      </c>
      <c r="M69" s="67" t="n">
        <f aca="false">L72</f>
        <v>76500</v>
      </c>
      <c r="N69" s="67" t="n">
        <f aca="false">M72</f>
        <v>75000</v>
      </c>
      <c r="O69" s="67" t="n">
        <f aca="false">N72</f>
        <v>73500</v>
      </c>
      <c r="P69" s="67" t="n">
        <f aca="false">O72</f>
        <v>72000</v>
      </c>
      <c r="Q69" s="67" t="n">
        <f aca="false">P72</f>
        <v>70500</v>
      </c>
      <c r="R69" s="67" t="n">
        <f aca="false">Q72</f>
        <v>69000</v>
      </c>
      <c r="S69" s="67" t="n">
        <f aca="false">R72</f>
        <v>67500</v>
      </c>
      <c r="T69" s="67" t="n">
        <f aca="false">S72</f>
        <v>66000</v>
      </c>
      <c r="U69" s="67" t="n">
        <f aca="false">T72</f>
        <v>64500</v>
      </c>
      <c r="V69" s="67" t="n">
        <f aca="false">U72</f>
        <v>63000</v>
      </c>
      <c r="W69" s="67" t="n">
        <f aca="false">V72</f>
        <v>61500</v>
      </c>
      <c r="X69" s="67" t="n">
        <f aca="false">W72</f>
        <v>60000</v>
      </c>
      <c r="Y69" s="67" t="n">
        <f aca="false">X72</f>
        <v>58500</v>
      </c>
      <c r="Z69" s="67" t="n">
        <f aca="false">Y72</f>
        <v>57000</v>
      </c>
      <c r="AA69" s="67" t="n">
        <f aca="false">Z72</f>
        <v>55500</v>
      </c>
      <c r="AB69" s="67" t="n">
        <f aca="false">AA72</f>
        <v>54000</v>
      </c>
      <c r="AC69" s="67" t="n">
        <f aca="false">AB72</f>
        <v>52500</v>
      </c>
      <c r="AD69" s="67" t="n">
        <f aca="false">AC72</f>
        <v>51000</v>
      </c>
      <c r="AE69" s="67" t="n">
        <f aca="false">AD72</f>
        <v>49500</v>
      </c>
      <c r="AF69" s="67" t="n">
        <f aca="false">AE72</f>
        <v>48000</v>
      </c>
      <c r="AG69" s="67" t="n">
        <f aca="false">AF72</f>
        <v>46500</v>
      </c>
      <c r="AH69" s="67" t="n">
        <f aca="false">AG72</f>
        <v>45000</v>
      </c>
      <c r="AI69" s="67" t="n">
        <f aca="false">AH72</f>
        <v>43500</v>
      </c>
      <c r="AJ69" s="67" t="n">
        <f aca="false">AI72</f>
        <v>42000</v>
      </c>
      <c r="AK69" s="67" t="n">
        <f aca="false">AJ72</f>
        <v>40500</v>
      </c>
      <c r="AL69" s="67" t="n">
        <f aca="false">AK72</f>
        <v>39000</v>
      </c>
      <c r="AM69" s="67" t="n">
        <f aca="false">AL72</f>
        <v>37500</v>
      </c>
      <c r="AN69" s="67" t="n">
        <f aca="false">AM72</f>
        <v>36000</v>
      </c>
      <c r="AO69" s="67" t="n">
        <f aca="false">AN72</f>
        <v>34500</v>
      </c>
      <c r="AP69" s="67" t="n">
        <f aca="false">AO72</f>
        <v>33000</v>
      </c>
      <c r="AQ69" s="67" t="n">
        <f aca="false">AP72</f>
        <v>31500</v>
      </c>
      <c r="AR69" s="67" t="n">
        <f aca="false">AQ72</f>
        <v>30000</v>
      </c>
      <c r="AS69" s="67" t="n">
        <f aca="false">AR72</f>
        <v>28500</v>
      </c>
      <c r="AT69" s="67" t="n">
        <f aca="false">AS72</f>
        <v>27000</v>
      </c>
      <c r="AU69" s="67" t="n">
        <f aca="false">AT72</f>
        <v>25500</v>
      </c>
      <c r="AV69" s="67" t="n">
        <f aca="false">AU72</f>
        <v>24000</v>
      </c>
      <c r="AW69" s="67" t="n">
        <f aca="false">AV72</f>
        <v>22500</v>
      </c>
      <c r="AX69" s="67" t="n">
        <f aca="false">AW72</f>
        <v>21000</v>
      </c>
      <c r="AY69" s="67" t="n">
        <f aca="false">AX72</f>
        <v>19500</v>
      </c>
      <c r="AZ69" s="67" t="n">
        <f aca="false">AY72</f>
        <v>18000</v>
      </c>
      <c r="BA69" s="67" t="n">
        <f aca="false">AZ72</f>
        <v>16500</v>
      </c>
      <c r="BB69" s="67" t="n">
        <f aca="false">BA72</f>
        <v>15000</v>
      </c>
      <c r="BC69" s="67" t="n">
        <f aca="false">BB72</f>
        <v>13500</v>
      </c>
      <c r="BD69" s="67" t="n">
        <f aca="false">BC72</f>
        <v>12000</v>
      </c>
      <c r="BE69" s="67" t="n">
        <f aca="false">BD72</f>
        <v>10500</v>
      </c>
      <c r="BF69" s="67" t="n">
        <f aca="false">BE72</f>
        <v>9000</v>
      </c>
      <c r="BG69" s="67" t="n">
        <f aca="false">BF72</f>
        <v>7500</v>
      </c>
      <c r="BH69" s="67" t="n">
        <f aca="false">BG72</f>
        <v>6000</v>
      </c>
      <c r="BI69" s="67" t="n">
        <f aca="false">BH72</f>
        <v>4500</v>
      </c>
      <c r="BJ69" s="67" t="n">
        <f aca="false">BI72</f>
        <v>3000</v>
      </c>
    </row>
    <row r="70" customFormat="false" ht="15" hidden="false" customHeight="false" outlineLevel="0" collapsed="false">
      <c r="A70" s="6" t="s">
        <v>85</v>
      </c>
      <c r="C70" s="67" t="n">
        <f aca="false">IF(C$4=1,Inputs!$E$72,0)</f>
        <v>90000</v>
      </c>
      <c r="D70" s="67" t="n">
        <f aca="false">IF(D$4=1,Inputs!$E$72,0)</f>
        <v>0</v>
      </c>
      <c r="E70" s="67" t="n">
        <f aca="false">IF(E$4=1,Inputs!$E$72,0)</f>
        <v>0</v>
      </c>
      <c r="F70" s="67" t="n">
        <f aca="false">IF(F$4=1,Inputs!$E$72,0)</f>
        <v>0</v>
      </c>
      <c r="G70" s="67" t="n">
        <f aca="false">IF(G$4=1,Inputs!$E$72,0)</f>
        <v>0</v>
      </c>
      <c r="H70" s="67" t="n">
        <f aca="false">IF(H$4=1,Inputs!$E$72,0)</f>
        <v>0</v>
      </c>
      <c r="I70" s="67" t="n">
        <f aca="false">IF(I$4=1,Inputs!$E$72,0)</f>
        <v>0</v>
      </c>
      <c r="J70" s="67" t="n">
        <f aca="false">IF(J$4=1,Inputs!$E$72,0)</f>
        <v>0</v>
      </c>
      <c r="K70" s="67" t="n">
        <f aca="false">IF(K$4=1,Inputs!$E$72,0)</f>
        <v>0</v>
      </c>
      <c r="L70" s="67" t="n">
        <f aca="false">IF(L$4=1,Inputs!$E$72,0)</f>
        <v>0</v>
      </c>
      <c r="M70" s="67" t="n">
        <f aca="false">IF(M$4=1,Inputs!$E$72,0)</f>
        <v>0</v>
      </c>
      <c r="N70" s="67" t="n">
        <f aca="false">IF(N$4=1,Inputs!$E$72,0)</f>
        <v>0</v>
      </c>
      <c r="O70" s="67" t="n">
        <f aca="false">IF(O$4=1,Inputs!$E$72,0)</f>
        <v>0</v>
      </c>
      <c r="P70" s="67" t="n">
        <f aca="false">IF(P$4=1,Inputs!$E$72,0)</f>
        <v>0</v>
      </c>
      <c r="Q70" s="67" t="n">
        <f aca="false">IF(Q$4=1,Inputs!$E$72,0)</f>
        <v>0</v>
      </c>
      <c r="R70" s="67" t="n">
        <f aca="false">IF(R$4=1,Inputs!$E$72,0)</f>
        <v>0</v>
      </c>
      <c r="S70" s="67" t="n">
        <f aca="false">IF(S$4=1,Inputs!$E$72,0)</f>
        <v>0</v>
      </c>
      <c r="T70" s="67" t="n">
        <f aca="false">IF(T$4=1,Inputs!$E$72,0)</f>
        <v>0</v>
      </c>
      <c r="U70" s="67" t="n">
        <f aca="false">IF(U$4=1,Inputs!$E$72,0)</f>
        <v>0</v>
      </c>
      <c r="V70" s="67" t="n">
        <f aca="false">IF(V$4=1,Inputs!$E$72,0)</f>
        <v>0</v>
      </c>
      <c r="W70" s="67" t="n">
        <f aca="false">IF(W$4=1,Inputs!$E$72,0)</f>
        <v>0</v>
      </c>
      <c r="X70" s="67" t="n">
        <f aca="false">IF(X$4=1,Inputs!$E$72,0)</f>
        <v>0</v>
      </c>
      <c r="Y70" s="67" t="n">
        <f aca="false">IF(Y$4=1,Inputs!$E$72,0)</f>
        <v>0</v>
      </c>
      <c r="Z70" s="67" t="n">
        <f aca="false">IF(Z$4=1,Inputs!$E$72,0)</f>
        <v>0</v>
      </c>
      <c r="AA70" s="67" t="n">
        <f aca="false">IF(AA$4=1,Inputs!$E$72,0)</f>
        <v>0</v>
      </c>
      <c r="AB70" s="67" t="n">
        <f aca="false">IF(AB$4=1,Inputs!$E$72,0)</f>
        <v>0</v>
      </c>
      <c r="AC70" s="67" t="n">
        <f aca="false">IF(AC$4=1,Inputs!$E$72,0)</f>
        <v>0</v>
      </c>
      <c r="AD70" s="67" t="n">
        <f aca="false">IF(AD$4=1,Inputs!$E$72,0)</f>
        <v>0</v>
      </c>
      <c r="AE70" s="67" t="n">
        <f aca="false">IF(AE$4=1,Inputs!$E$72,0)</f>
        <v>0</v>
      </c>
      <c r="AF70" s="67" t="n">
        <f aca="false">IF(AF$4=1,Inputs!$E$72,0)</f>
        <v>0</v>
      </c>
      <c r="AG70" s="67" t="n">
        <f aca="false">IF(AG$4=1,Inputs!$E$72,0)</f>
        <v>0</v>
      </c>
      <c r="AH70" s="67" t="n">
        <f aca="false">IF(AH$4=1,Inputs!$E$72,0)</f>
        <v>0</v>
      </c>
      <c r="AI70" s="67" t="n">
        <f aca="false">IF(AI$4=1,Inputs!$E$72,0)</f>
        <v>0</v>
      </c>
      <c r="AJ70" s="67" t="n">
        <f aca="false">IF(AJ$4=1,Inputs!$E$72,0)</f>
        <v>0</v>
      </c>
      <c r="AK70" s="67" t="n">
        <f aca="false">IF(AK$4=1,Inputs!$E$72,0)</f>
        <v>0</v>
      </c>
      <c r="AL70" s="67" t="n">
        <f aca="false">IF(AL$4=1,Inputs!$E$72,0)</f>
        <v>0</v>
      </c>
      <c r="AM70" s="67" t="n">
        <f aca="false">IF(AM$4=1,Inputs!$E$72,0)</f>
        <v>0</v>
      </c>
      <c r="AN70" s="67" t="n">
        <f aca="false">IF(AN$4=1,Inputs!$E$72,0)</f>
        <v>0</v>
      </c>
      <c r="AO70" s="67" t="n">
        <f aca="false">IF(AO$4=1,Inputs!$E$72,0)</f>
        <v>0</v>
      </c>
      <c r="AP70" s="67" t="n">
        <f aca="false">IF(AP$4=1,Inputs!$E$72,0)</f>
        <v>0</v>
      </c>
      <c r="AQ70" s="67" t="n">
        <f aca="false">IF(AQ$4=1,Inputs!$E$72,0)</f>
        <v>0</v>
      </c>
      <c r="AR70" s="67" t="n">
        <f aca="false">IF(AR$4=1,Inputs!$E$72,0)</f>
        <v>0</v>
      </c>
      <c r="AS70" s="67" t="n">
        <f aca="false">IF(AS$4=1,Inputs!$E$72,0)</f>
        <v>0</v>
      </c>
      <c r="AT70" s="67" t="n">
        <f aca="false">IF(AT$4=1,Inputs!$E$72,0)</f>
        <v>0</v>
      </c>
      <c r="AU70" s="67" t="n">
        <f aca="false">IF(AU$4=1,Inputs!$E$72,0)</f>
        <v>0</v>
      </c>
      <c r="AV70" s="67" t="n">
        <f aca="false">IF(AV$4=1,Inputs!$E$72,0)</f>
        <v>0</v>
      </c>
      <c r="AW70" s="67" t="n">
        <f aca="false">IF(AW$4=1,Inputs!$E$72,0)</f>
        <v>0</v>
      </c>
      <c r="AX70" s="67" t="n">
        <f aca="false">IF(AX$4=1,Inputs!$E$72,0)</f>
        <v>0</v>
      </c>
      <c r="AY70" s="67" t="n">
        <f aca="false">IF(AY$4=1,Inputs!$E$72,0)</f>
        <v>0</v>
      </c>
      <c r="AZ70" s="67" t="n">
        <f aca="false">IF(AZ$4=1,Inputs!$E$72,0)</f>
        <v>0</v>
      </c>
      <c r="BA70" s="67" t="n">
        <f aca="false">IF(BA$4=1,Inputs!$E$72,0)</f>
        <v>0</v>
      </c>
      <c r="BB70" s="67" t="n">
        <f aca="false">IF(BB$4=1,Inputs!$E$72,0)</f>
        <v>0</v>
      </c>
      <c r="BC70" s="67" t="n">
        <f aca="false">IF(BC$4=1,Inputs!$E$72,0)</f>
        <v>0</v>
      </c>
      <c r="BD70" s="67" t="n">
        <f aca="false">IF(BD$4=1,Inputs!$E$72,0)</f>
        <v>0</v>
      </c>
      <c r="BE70" s="67" t="n">
        <f aca="false">IF(BE$4=1,Inputs!$E$72,0)</f>
        <v>0</v>
      </c>
      <c r="BF70" s="67" t="n">
        <f aca="false">IF(BF$4=1,Inputs!$E$72,0)</f>
        <v>0</v>
      </c>
      <c r="BG70" s="67" t="n">
        <f aca="false">IF(BG$4=1,Inputs!$E$72,0)</f>
        <v>0</v>
      </c>
      <c r="BH70" s="67" t="n">
        <f aca="false">IF(BH$4=1,Inputs!$E$72,0)</f>
        <v>0</v>
      </c>
      <c r="BI70" s="67" t="n">
        <f aca="false">IF(BI$4=1,Inputs!$E$72,0)</f>
        <v>0</v>
      </c>
      <c r="BJ70" s="67" t="n">
        <f aca="false">IF(BJ$4=1,Inputs!$E$72,0)</f>
        <v>0</v>
      </c>
    </row>
    <row r="71" customFormat="false" ht="15" hidden="false" customHeight="false" outlineLevel="0" collapsed="false">
      <c r="A71" s="6" t="s">
        <v>86</v>
      </c>
      <c r="C71" s="67" t="n">
        <f aca="false">-MIN(C69,Inputs!$E$72/MAX(1,Inputs!$E$74*12))</f>
        <v>-0</v>
      </c>
      <c r="D71" s="67" t="n">
        <f aca="false">-MIN(D69,Inputs!$E$72/MAX(1,Inputs!$E$74*12))</f>
        <v>-1500</v>
      </c>
      <c r="E71" s="67" t="n">
        <f aca="false">-MIN(E69,Inputs!$E$72/MAX(1,Inputs!$E$74*12))</f>
        <v>-1500</v>
      </c>
      <c r="F71" s="67" t="n">
        <f aca="false">-MIN(F69,Inputs!$E$72/MAX(1,Inputs!$E$74*12))</f>
        <v>-1500</v>
      </c>
      <c r="G71" s="67" t="n">
        <f aca="false">-MIN(G69,Inputs!$E$72/MAX(1,Inputs!$E$74*12))</f>
        <v>-1500</v>
      </c>
      <c r="H71" s="67" t="n">
        <f aca="false">-MIN(H69,Inputs!$E$72/MAX(1,Inputs!$E$74*12))</f>
        <v>-1500</v>
      </c>
      <c r="I71" s="67" t="n">
        <f aca="false">-MIN(I69,Inputs!$E$72/MAX(1,Inputs!$E$74*12))</f>
        <v>-1500</v>
      </c>
      <c r="J71" s="67" t="n">
        <f aca="false">-MIN(J69,Inputs!$E$72/MAX(1,Inputs!$E$74*12))</f>
        <v>-1500</v>
      </c>
      <c r="K71" s="67" t="n">
        <f aca="false">-MIN(K69,Inputs!$E$72/MAX(1,Inputs!$E$74*12))</f>
        <v>-1500</v>
      </c>
      <c r="L71" s="67" t="n">
        <f aca="false">-MIN(L69,Inputs!$E$72/MAX(1,Inputs!$E$74*12))</f>
        <v>-1500</v>
      </c>
      <c r="M71" s="67" t="n">
        <f aca="false">-MIN(M69,Inputs!$E$72/MAX(1,Inputs!$E$74*12))</f>
        <v>-1500</v>
      </c>
      <c r="N71" s="67" t="n">
        <f aca="false">-MIN(N69,Inputs!$E$72/MAX(1,Inputs!$E$74*12))</f>
        <v>-1500</v>
      </c>
      <c r="O71" s="67" t="n">
        <f aca="false">-MIN(O69,Inputs!$E$72/MAX(1,Inputs!$E$74*12))</f>
        <v>-1500</v>
      </c>
      <c r="P71" s="67" t="n">
        <f aca="false">-MIN(P69,Inputs!$E$72/MAX(1,Inputs!$E$74*12))</f>
        <v>-1500</v>
      </c>
      <c r="Q71" s="67" t="n">
        <f aca="false">-MIN(Q69,Inputs!$E$72/MAX(1,Inputs!$E$74*12))</f>
        <v>-1500</v>
      </c>
      <c r="R71" s="67" t="n">
        <f aca="false">-MIN(R69,Inputs!$E$72/MAX(1,Inputs!$E$74*12))</f>
        <v>-1500</v>
      </c>
      <c r="S71" s="67" t="n">
        <f aca="false">-MIN(S69,Inputs!$E$72/MAX(1,Inputs!$E$74*12))</f>
        <v>-1500</v>
      </c>
      <c r="T71" s="67" t="n">
        <f aca="false">-MIN(T69,Inputs!$E$72/MAX(1,Inputs!$E$74*12))</f>
        <v>-1500</v>
      </c>
      <c r="U71" s="67" t="n">
        <f aca="false">-MIN(U69,Inputs!$E$72/MAX(1,Inputs!$E$74*12))</f>
        <v>-1500</v>
      </c>
      <c r="V71" s="67" t="n">
        <f aca="false">-MIN(V69,Inputs!$E$72/MAX(1,Inputs!$E$74*12))</f>
        <v>-1500</v>
      </c>
      <c r="W71" s="67" t="n">
        <f aca="false">-MIN(W69,Inputs!$E$72/MAX(1,Inputs!$E$74*12))</f>
        <v>-1500</v>
      </c>
      <c r="X71" s="67" t="n">
        <f aca="false">-MIN(X69,Inputs!$E$72/MAX(1,Inputs!$E$74*12))</f>
        <v>-1500</v>
      </c>
      <c r="Y71" s="67" t="n">
        <f aca="false">-MIN(Y69,Inputs!$E$72/MAX(1,Inputs!$E$74*12))</f>
        <v>-1500</v>
      </c>
      <c r="Z71" s="67" t="n">
        <f aca="false">-MIN(Z69,Inputs!$E$72/MAX(1,Inputs!$E$74*12))</f>
        <v>-1500</v>
      </c>
      <c r="AA71" s="67" t="n">
        <f aca="false">-MIN(AA69,Inputs!$E$72/MAX(1,Inputs!$E$74*12))</f>
        <v>-1500</v>
      </c>
      <c r="AB71" s="67" t="n">
        <f aca="false">-MIN(AB69,Inputs!$E$72/MAX(1,Inputs!$E$74*12))</f>
        <v>-1500</v>
      </c>
      <c r="AC71" s="67" t="n">
        <f aca="false">-MIN(AC69,Inputs!$E$72/MAX(1,Inputs!$E$74*12))</f>
        <v>-1500</v>
      </c>
      <c r="AD71" s="67" t="n">
        <f aca="false">-MIN(AD69,Inputs!$E$72/MAX(1,Inputs!$E$74*12))</f>
        <v>-1500</v>
      </c>
      <c r="AE71" s="67" t="n">
        <f aca="false">-MIN(AE69,Inputs!$E$72/MAX(1,Inputs!$E$74*12))</f>
        <v>-1500</v>
      </c>
      <c r="AF71" s="67" t="n">
        <f aca="false">-MIN(AF69,Inputs!$E$72/MAX(1,Inputs!$E$74*12))</f>
        <v>-1500</v>
      </c>
      <c r="AG71" s="67" t="n">
        <f aca="false">-MIN(AG69,Inputs!$E$72/MAX(1,Inputs!$E$74*12))</f>
        <v>-1500</v>
      </c>
      <c r="AH71" s="67" t="n">
        <f aca="false">-MIN(AH69,Inputs!$E$72/MAX(1,Inputs!$E$74*12))</f>
        <v>-1500</v>
      </c>
      <c r="AI71" s="67" t="n">
        <f aca="false">-MIN(AI69,Inputs!$E$72/MAX(1,Inputs!$E$74*12))</f>
        <v>-1500</v>
      </c>
      <c r="AJ71" s="67" t="n">
        <f aca="false">-MIN(AJ69,Inputs!$E$72/MAX(1,Inputs!$E$74*12))</f>
        <v>-1500</v>
      </c>
      <c r="AK71" s="67" t="n">
        <f aca="false">-MIN(AK69,Inputs!$E$72/MAX(1,Inputs!$E$74*12))</f>
        <v>-1500</v>
      </c>
      <c r="AL71" s="67" t="n">
        <f aca="false">-MIN(AL69,Inputs!$E$72/MAX(1,Inputs!$E$74*12))</f>
        <v>-1500</v>
      </c>
      <c r="AM71" s="67" t="n">
        <f aca="false">-MIN(AM69,Inputs!$E$72/MAX(1,Inputs!$E$74*12))</f>
        <v>-1500</v>
      </c>
      <c r="AN71" s="67" t="n">
        <f aca="false">-MIN(AN69,Inputs!$E$72/MAX(1,Inputs!$E$74*12))</f>
        <v>-1500</v>
      </c>
      <c r="AO71" s="67" t="n">
        <f aca="false">-MIN(AO69,Inputs!$E$72/MAX(1,Inputs!$E$74*12))</f>
        <v>-1500</v>
      </c>
      <c r="AP71" s="67" t="n">
        <f aca="false">-MIN(AP69,Inputs!$E$72/MAX(1,Inputs!$E$74*12))</f>
        <v>-1500</v>
      </c>
      <c r="AQ71" s="67" t="n">
        <f aca="false">-MIN(AQ69,Inputs!$E$72/MAX(1,Inputs!$E$74*12))</f>
        <v>-1500</v>
      </c>
      <c r="AR71" s="67" t="n">
        <f aca="false">-MIN(AR69,Inputs!$E$72/MAX(1,Inputs!$E$74*12))</f>
        <v>-1500</v>
      </c>
      <c r="AS71" s="67" t="n">
        <f aca="false">-MIN(AS69,Inputs!$E$72/MAX(1,Inputs!$E$74*12))</f>
        <v>-1500</v>
      </c>
      <c r="AT71" s="67" t="n">
        <f aca="false">-MIN(AT69,Inputs!$E$72/MAX(1,Inputs!$E$74*12))</f>
        <v>-1500</v>
      </c>
      <c r="AU71" s="67" t="n">
        <f aca="false">-MIN(AU69,Inputs!$E$72/MAX(1,Inputs!$E$74*12))</f>
        <v>-1500</v>
      </c>
      <c r="AV71" s="67" t="n">
        <f aca="false">-MIN(AV69,Inputs!$E$72/MAX(1,Inputs!$E$74*12))</f>
        <v>-1500</v>
      </c>
      <c r="AW71" s="67" t="n">
        <f aca="false">-MIN(AW69,Inputs!$E$72/MAX(1,Inputs!$E$74*12))</f>
        <v>-1500</v>
      </c>
      <c r="AX71" s="67" t="n">
        <f aca="false">-MIN(AX69,Inputs!$E$72/MAX(1,Inputs!$E$74*12))</f>
        <v>-1500</v>
      </c>
      <c r="AY71" s="67" t="n">
        <f aca="false">-MIN(AY69,Inputs!$E$72/MAX(1,Inputs!$E$74*12))</f>
        <v>-1500</v>
      </c>
      <c r="AZ71" s="67" t="n">
        <f aca="false">-MIN(AZ69,Inputs!$E$72/MAX(1,Inputs!$E$74*12))</f>
        <v>-1500</v>
      </c>
      <c r="BA71" s="67" t="n">
        <f aca="false">-MIN(BA69,Inputs!$E$72/MAX(1,Inputs!$E$74*12))</f>
        <v>-1500</v>
      </c>
      <c r="BB71" s="67" t="n">
        <f aca="false">-MIN(BB69,Inputs!$E$72/MAX(1,Inputs!$E$74*12))</f>
        <v>-1500</v>
      </c>
      <c r="BC71" s="67" t="n">
        <f aca="false">-MIN(BC69,Inputs!$E$72/MAX(1,Inputs!$E$74*12))</f>
        <v>-1500</v>
      </c>
      <c r="BD71" s="67" t="n">
        <f aca="false">-MIN(BD69,Inputs!$E$72/MAX(1,Inputs!$E$74*12))</f>
        <v>-1500</v>
      </c>
      <c r="BE71" s="67" t="n">
        <f aca="false">-MIN(BE69,Inputs!$E$72/MAX(1,Inputs!$E$74*12))</f>
        <v>-1500</v>
      </c>
      <c r="BF71" s="67" t="n">
        <f aca="false">-MIN(BF69,Inputs!$E$72/MAX(1,Inputs!$E$74*12))</f>
        <v>-1500</v>
      </c>
      <c r="BG71" s="67" t="n">
        <f aca="false">-MIN(BG69,Inputs!$E$72/MAX(1,Inputs!$E$74*12))</f>
        <v>-1500</v>
      </c>
      <c r="BH71" s="67" t="n">
        <f aca="false">-MIN(BH69,Inputs!$E$72/MAX(1,Inputs!$E$74*12))</f>
        <v>-1500</v>
      </c>
      <c r="BI71" s="67" t="n">
        <f aca="false">-MIN(BI69,Inputs!$E$72/MAX(1,Inputs!$E$74*12))</f>
        <v>-1500</v>
      </c>
      <c r="BJ71" s="67" t="n">
        <f aca="false">-MIN(BJ69,Inputs!$E$72/MAX(1,Inputs!$E$74*12))</f>
        <v>-1500</v>
      </c>
    </row>
    <row r="72" customFormat="false" ht="15" hidden="false" customHeight="false" outlineLevel="0" collapsed="false">
      <c r="A72" s="4" t="s">
        <v>441</v>
      </c>
      <c r="C72" s="73" t="n">
        <f aca="false">C69+C70+C71</f>
        <v>90000</v>
      </c>
      <c r="D72" s="73" t="n">
        <f aca="false">D69+D70+D71</f>
        <v>88500</v>
      </c>
      <c r="E72" s="73" t="n">
        <f aca="false">E69+E70+E71</f>
        <v>87000</v>
      </c>
      <c r="F72" s="73" t="n">
        <f aca="false">F69+F70+F71</f>
        <v>85500</v>
      </c>
      <c r="G72" s="73" t="n">
        <f aca="false">G69+G70+G71</f>
        <v>84000</v>
      </c>
      <c r="H72" s="73" t="n">
        <f aca="false">H69+H70+H71</f>
        <v>82500</v>
      </c>
      <c r="I72" s="73" t="n">
        <f aca="false">I69+I70+I71</f>
        <v>81000</v>
      </c>
      <c r="J72" s="73" t="n">
        <f aca="false">J69+J70+J71</f>
        <v>79500</v>
      </c>
      <c r="K72" s="73" t="n">
        <f aca="false">K69+K70+K71</f>
        <v>78000</v>
      </c>
      <c r="L72" s="73" t="n">
        <f aca="false">L69+L70+L71</f>
        <v>76500</v>
      </c>
      <c r="M72" s="73" t="n">
        <f aca="false">M69+M70+M71</f>
        <v>75000</v>
      </c>
      <c r="N72" s="73" t="n">
        <f aca="false">N69+N70+N71</f>
        <v>73500</v>
      </c>
      <c r="O72" s="73" t="n">
        <f aca="false">O69+O70+O71</f>
        <v>72000</v>
      </c>
      <c r="P72" s="73" t="n">
        <f aca="false">P69+P70+P71</f>
        <v>70500</v>
      </c>
      <c r="Q72" s="73" t="n">
        <f aca="false">Q69+Q70+Q71</f>
        <v>69000</v>
      </c>
      <c r="R72" s="73" t="n">
        <f aca="false">R69+R70+R71</f>
        <v>67500</v>
      </c>
      <c r="S72" s="73" t="n">
        <f aca="false">S69+S70+S71</f>
        <v>66000</v>
      </c>
      <c r="T72" s="73" t="n">
        <f aca="false">T69+T70+T71</f>
        <v>64500</v>
      </c>
      <c r="U72" s="73" t="n">
        <f aca="false">U69+U70+U71</f>
        <v>63000</v>
      </c>
      <c r="V72" s="73" t="n">
        <f aca="false">V69+V70+V71</f>
        <v>61500</v>
      </c>
      <c r="W72" s="73" t="n">
        <f aca="false">W69+W70+W71</f>
        <v>60000</v>
      </c>
      <c r="X72" s="73" t="n">
        <f aca="false">X69+X70+X71</f>
        <v>58500</v>
      </c>
      <c r="Y72" s="73" t="n">
        <f aca="false">Y69+Y70+Y71</f>
        <v>57000</v>
      </c>
      <c r="Z72" s="73" t="n">
        <f aca="false">Z69+Z70+Z71</f>
        <v>55500</v>
      </c>
      <c r="AA72" s="73" t="n">
        <f aca="false">AA69+AA70+AA71</f>
        <v>54000</v>
      </c>
      <c r="AB72" s="73" t="n">
        <f aca="false">AB69+AB70+AB71</f>
        <v>52500</v>
      </c>
      <c r="AC72" s="73" t="n">
        <f aca="false">AC69+AC70+AC71</f>
        <v>51000</v>
      </c>
      <c r="AD72" s="73" t="n">
        <f aca="false">AD69+AD70+AD71</f>
        <v>49500</v>
      </c>
      <c r="AE72" s="73" t="n">
        <f aca="false">AE69+AE70+AE71</f>
        <v>48000</v>
      </c>
      <c r="AF72" s="73" t="n">
        <f aca="false">AF69+AF70+AF71</f>
        <v>46500</v>
      </c>
      <c r="AG72" s="73" t="n">
        <f aca="false">AG69+AG70+AG71</f>
        <v>45000</v>
      </c>
      <c r="AH72" s="73" t="n">
        <f aca="false">AH69+AH70+AH71</f>
        <v>43500</v>
      </c>
      <c r="AI72" s="73" t="n">
        <f aca="false">AI69+AI70+AI71</f>
        <v>42000</v>
      </c>
      <c r="AJ72" s="73" t="n">
        <f aca="false">AJ69+AJ70+AJ71</f>
        <v>40500</v>
      </c>
      <c r="AK72" s="73" t="n">
        <f aca="false">AK69+AK70+AK71</f>
        <v>39000</v>
      </c>
      <c r="AL72" s="73" t="n">
        <f aca="false">AL69+AL70+AL71</f>
        <v>37500</v>
      </c>
      <c r="AM72" s="73" t="n">
        <f aca="false">AM69+AM70+AM71</f>
        <v>36000</v>
      </c>
      <c r="AN72" s="73" t="n">
        <f aca="false">AN69+AN70+AN71</f>
        <v>34500</v>
      </c>
      <c r="AO72" s="73" t="n">
        <f aca="false">AO69+AO70+AO71</f>
        <v>33000</v>
      </c>
      <c r="AP72" s="73" t="n">
        <f aca="false">AP69+AP70+AP71</f>
        <v>31500</v>
      </c>
      <c r="AQ72" s="73" t="n">
        <f aca="false">AQ69+AQ70+AQ71</f>
        <v>30000</v>
      </c>
      <c r="AR72" s="73" t="n">
        <f aca="false">AR69+AR70+AR71</f>
        <v>28500</v>
      </c>
      <c r="AS72" s="73" t="n">
        <f aca="false">AS69+AS70+AS71</f>
        <v>27000</v>
      </c>
      <c r="AT72" s="73" t="n">
        <f aca="false">AT69+AT70+AT71</f>
        <v>25500</v>
      </c>
      <c r="AU72" s="73" t="n">
        <f aca="false">AU69+AU70+AU71</f>
        <v>24000</v>
      </c>
      <c r="AV72" s="73" t="n">
        <f aca="false">AV69+AV70+AV71</f>
        <v>22500</v>
      </c>
      <c r="AW72" s="73" t="n">
        <f aca="false">AW69+AW70+AW71</f>
        <v>21000</v>
      </c>
      <c r="AX72" s="73" t="n">
        <f aca="false">AX69+AX70+AX71</f>
        <v>19500</v>
      </c>
      <c r="AY72" s="73" t="n">
        <f aca="false">AY69+AY70+AY71</f>
        <v>18000</v>
      </c>
      <c r="AZ72" s="73" t="n">
        <f aca="false">AZ69+AZ70+AZ71</f>
        <v>16500</v>
      </c>
      <c r="BA72" s="73" t="n">
        <f aca="false">BA69+BA70+BA71</f>
        <v>15000</v>
      </c>
      <c r="BB72" s="73" t="n">
        <f aca="false">BB69+BB70+BB71</f>
        <v>13500</v>
      </c>
      <c r="BC72" s="73" t="n">
        <f aca="false">BC69+BC70+BC71</f>
        <v>12000</v>
      </c>
      <c r="BD72" s="73" t="n">
        <f aca="false">BD69+BD70+BD71</f>
        <v>10500</v>
      </c>
      <c r="BE72" s="73" t="n">
        <f aca="false">BE69+BE70+BE71</f>
        <v>9000</v>
      </c>
      <c r="BF72" s="73" t="n">
        <f aca="false">BF69+BF70+BF71</f>
        <v>7500</v>
      </c>
      <c r="BG72" s="73" t="n">
        <f aca="false">BG69+BG70+BG71</f>
        <v>6000</v>
      </c>
      <c r="BH72" s="73" t="n">
        <f aca="false">BH69+BH70+BH71</f>
        <v>4500</v>
      </c>
      <c r="BI72" s="73" t="n">
        <f aca="false">BI69+BI70+BI71</f>
        <v>3000</v>
      </c>
      <c r="BJ72" s="73" t="n">
        <f aca="false">BJ69+BJ70+BJ71</f>
        <v>1500</v>
      </c>
    </row>
    <row r="74" customFormat="false" ht="15.75" hidden="false" customHeight="true" outlineLevel="0" collapsed="false">
      <c r="A74" s="7" t="s">
        <v>316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</row>
    <row r="75" customFormat="false" ht="15" hidden="false" customHeight="false" outlineLevel="0" collapsed="false">
      <c r="A75" s="6" t="s">
        <v>90</v>
      </c>
      <c r="C75" s="67" t="n">
        <f aca="false">C24*Inputs!$E$77/30</f>
        <v>1041.6</v>
      </c>
      <c r="D75" s="67" t="n">
        <f aca="false">D24*Inputs!$E$77/30</f>
        <v>1215.2</v>
      </c>
      <c r="E75" s="67" t="n">
        <f aca="false">E24*Inputs!$E$77/30</f>
        <v>1881.6</v>
      </c>
      <c r="F75" s="67" t="n">
        <f aca="false">F24*Inputs!$E$77/30</f>
        <v>2116.8</v>
      </c>
      <c r="G75" s="67" t="n">
        <f aca="false">G24*Inputs!$E$77/30</f>
        <v>2352</v>
      </c>
      <c r="H75" s="67" t="n">
        <f aca="false">H24*Inputs!$E$77/30</f>
        <v>2587.2</v>
      </c>
      <c r="I75" s="67" t="n">
        <f aca="false">I24*Inputs!$E$77/30</f>
        <v>2822.4</v>
      </c>
      <c r="J75" s="67" t="n">
        <f aca="false">J24*Inputs!$E$77/30</f>
        <v>2822.4</v>
      </c>
      <c r="K75" s="67" t="n">
        <f aca="false">K24*Inputs!$E$77/30</f>
        <v>2822.4</v>
      </c>
      <c r="L75" s="67" t="n">
        <f aca="false">L24*Inputs!$E$77/30</f>
        <v>2822.4</v>
      </c>
      <c r="M75" s="67" t="n">
        <f aca="false">M24*Inputs!$E$77/30</f>
        <v>2822.4</v>
      </c>
      <c r="N75" s="67" t="n">
        <f aca="false">N24*Inputs!$E$77/30</f>
        <v>2083.2</v>
      </c>
      <c r="O75" s="67" t="n">
        <f aca="false">O24*Inputs!$E$77/30</f>
        <v>2218.71888</v>
      </c>
      <c r="P75" s="67" t="n">
        <f aca="false">P24*Inputs!$E$77/30</f>
        <v>2218.71888</v>
      </c>
      <c r="Q75" s="67" t="n">
        <f aca="false">Q24*Inputs!$E$77/30</f>
        <v>3002.93616</v>
      </c>
      <c r="R75" s="67" t="n">
        <f aca="false">R24*Inputs!$E$77/30</f>
        <v>3002.93616</v>
      </c>
      <c r="S75" s="67" t="n">
        <f aca="false">S24*Inputs!$E$77/30</f>
        <v>3002.93616</v>
      </c>
      <c r="T75" s="67" t="n">
        <f aca="false">T24*Inputs!$E$77/30</f>
        <v>3002.93616</v>
      </c>
      <c r="U75" s="67" t="n">
        <f aca="false">U24*Inputs!$E$77/30</f>
        <v>3002.93616</v>
      </c>
      <c r="V75" s="67" t="n">
        <f aca="false">V24*Inputs!$E$77/30</f>
        <v>3002.93616</v>
      </c>
      <c r="W75" s="67" t="n">
        <f aca="false">W24*Inputs!$E$77/30</f>
        <v>3002.93616</v>
      </c>
      <c r="X75" s="67" t="n">
        <f aca="false">X24*Inputs!$E$77/30</f>
        <v>3002.93616</v>
      </c>
      <c r="Y75" s="67" t="n">
        <f aca="false">Y24*Inputs!$E$77/30</f>
        <v>3002.93616</v>
      </c>
      <c r="Z75" s="67" t="n">
        <f aca="false">Z24*Inputs!$E$77/30</f>
        <v>2218.71888</v>
      </c>
      <c r="AA75" s="67" t="n">
        <f aca="false">AA24*Inputs!$E$77/30</f>
        <v>2363.195997792</v>
      </c>
      <c r="AB75" s="67" t="n">
        <f aca="false">AB24*Inputs!$E$77/30</f>
        <v>2363.195997792</v>
      </c>
      <c r="AC75" s="67" t="n">
        <f aca="false">AC24*Inputs!$E$77/30</f>
        <v>3195.172110144</v>
      </c>
      <c r="AD75" s="67" t="n">
        <f aca="false">AD24*Inputs!$E$77/30</f>
        <v>3195.172110144</v>
      </c>
      <c r="AE75" s="67" t="n">
        <f aca="false">AE24*Inputs!$E$77/30</f>
        <v>3195.172110144</v>
      </c>
      <c r="AF75" s="67" t="n">
        <f aca="false">AF24*Inputs!$E$77/30</f>
        <v>3195.172110144</v>
      </c>
      <c r="AG75" s="67" t="n">
        <f aca="false">AG24*Inputs!$E$77/30</f>
        <v>3195.172110144</v>
      </c>
      <c r="AH75" s="67" t="n">
        <f aca="false">AH24*Inputs!$E$77/30</f>
        <v>3195.172110144</v>
      </c>
      <c r="AI75" s="67" t="n">
        <f aca="false">AI24*Inputs!$E$77/30</f>
        <v>3195.172110144</v>
      </c>
      <c r="AJ75" s="67" t="n">
        <f aca="false">AJ24*Inputs!$E$77/30</f>
        <v>3195.172110144</v>
      </c>
      <c r="AK75" s="67" t="n">
        <f aca="false">AK24*Inputs!$E$77/30</f>
        <v>3195.172110144</v>
      </c>
      <c r="AL75" s="67" t="n">
        <f aca="false">AL24*Inputs!$E$77/30</f>
        <v>2363.195997792</v>
      </c>
      <c r="AM75" s="67" t="n">
        <f aca="false">AM24*Inputs!$E$77/30</f>
        <v>2517.23437880453</v>
      </c>
      <c r="AN75" s="67" t="n">
        <f aca="false">AN24*Inputs!$E$77/30</f>
        <v>2517.23437880453</v>
      </c>
      <c r="AO75" s="67" t="n">
        <f aca="false">AO24*Inputs!$E$77/30</f>
        <v>3399.87783639877</v>
      </c>
      <c r="AP75" s="67" t="n">
        <f aca="false">AP24*Inputs!$E$77/30</f>
        <v>3399.87783639877</v>
      </c>
      <c r="AQ75" s="67" t="n">
        <f aca="false">AQ24*Inputs!$E$77/30</f>
        <v>3399.87783639877</v>
      </c>
      <c r="AR75" s="67" t="n">
        <f aca="false">AR24*Inputs!$E$77/30</f>
        <v>3399.87783639877</v>
      </c>
      <c r="AS75" s="67" t="n">
        <f aca="false">AS24*Inputs!$E$77/30</f>
        <v>3399.87783639877</v>
      </c>
      <c r="AT75" s="67" t="n">
        <f aca="false">AT24*Inputs!$E$77/30</f>
        <v>3399.87783639877</v>
      </c>
      <c r="AU75" s="67" t="n">
        <f aca="false">AU24*Inputs!$E$77/30</f>
        <v>3399.87783639877</v>
      </c>
      <c r="AV75" s="67" t="n">
        <f aca="false">AV24*Inputs!$E$77/30</f>
        <v>3399.87783639877</v>
      </c>
      <c r="AW75" s="67" t="n">
        <f aca="false">AW24*Inputs!$E$77/30</f>
        <v>3399.87783639877</v>
      </c>
      <c r="AX75" s="67" t="n">
        <f aca="false">AX24*Inputs!$E$77/30</f>
        <v>2517.23437880453</v>
      </c>
      <c r="AY75" s="67" t="n">
        <f aca="false">AY24*Inputs!$E$77/30</f>
        <v>2681.47845641761</v>
      </c>
      <c r="AZ75" s="67" t="n">
        <f aca="false">AZ24*Inputs!$E$77/30</f>
        <v>2681.47845641761</v>
      </c>
      <c r="BA75" s="67" t="n">
        <f aca="false">BA24*Inputs!$E$77/30</f>
        <v>3617.87490057934</v>
      </c>
      <c r="BB75" s="67" t="n">
        <f aca="false">BB24*Inputs!$E$77/30</f>
        <v>3617.87490057934</v>
      </c>
      <c r="BC75" s="67" t="n">
        <f aca="false">BC24*Inputs!$E$77/30</f>
        <v>3617.87490057934</v>
      </c>
      <c r="BD75" s="67" t="n">
        <f aca="false">BD24*Inputs!$E$77/30</f>
        <v>3617.87490057934</v>
      </c>
      <c r="BE75" s="67" t="n">
        <f aca="false">BE24*Inputs!$E$77/30</f>
        <v>3617.87490057934</v>
      </c>
      <c r="BF75" s="67" t="n">
        <f aca="false">BF24*Inputs!$E$77/30</f>
        <v>3617.87490057934</v>
      </c>
      <c r="BG75" s="67" t="n">
        <f aca="false">BG24*Inputs!$E$77/30</f>
        <v>3617.87490057934</v>
      </c>
      <c r="BH75" s="67" t="n">
        <f aca="false">BH24*Inputs!$E$77/30</f>
        <v>3617.87490057934</v>
      </c>
      <c r="BI75" s="67" t="n">
        <f aca="false">BI24*Inputs!$E$77/30</f>
        <v>3617.87490057934</v>
      </c>
      <c r="BJ75" s="67" t="n">
        <f aca="false">BJ24*Inputs!$E$77/30</f>
        <v>2681.47845641761</v>
      </c>
    </row>
    <row r="76" customFormat="false" ht="15" hidden="false" customHeight="false" outlineLevel="0" collapsed="false">
      <c r="A76" s="6" t="s">
        <v>91</v>
      </c>
      <c r="C76" s="67" t="n">
        <f aca="false">-C32*Inputs!$E$78/30</f>
        <v>430.8144</v>
      </c>
      <c r="D76" s="67" t="n">
        <f aca="false">-D32*Inputs!$E$78/30</f>
        <v>502.6168</v>
      </c>
      <c r="E76" s="67" t="n">
        <f aca="false">-E32*Inputs!$E$78/30</f>
        <v>767.1744</v>
      </c>
      <c r="F76" s="67" t="n">
        <f aca="false">-F32*Inputs!$E$78/30</f>
        <v>863.0712</v>
      </c>
      <c r="G76" s="67" t="n">
        <f aca="false">-G32*Inputs!$E$78/30</f>
        <v>958.968</v>
      </c>
      <c r="H76" s="67" t="n">
        <f aca="false">-H32*Inputs!$E$78/30</f>
        <v>1054.8648</v>
      </c>
      <c r="I76" s="67" t="n">
        <f aca="false">-I32*Inputs!$E$78/30</f>
        <v>1150.7616</v>
      </c>
      <c r="J76" s="67" t="n">
        <f aca="false">-J32*Inputs!$E$78/30</f>
        <v>1150.7616</v>
      </c>
      <c r="K76" s="67" t="n">
        <f aca="false">-K32*Inputs!$E$78/30</f>
        <v>1150.7616</v>
      </c>
      <c r="L76" s="67" t="n">
        <f aca="false">-L32*Inputs!$E$78/30</f>
        <v>1150.7616</v>
      </c>
      <c r="M76" s="67" t="n">
        <f aca="false">-M32*Inputs!$E$78/30</f>
        <v>1150.7616</v>
      </c>
      <c r="N76" s="67" t="n">
        <f aca="false">-N32*Inputs!$E$78/30</f>
        <v>861.6288</v>
      </c>
      <c r="O76" s="67" t="n">
        <f aca="false">-O32*Inputs!$E$78/30</f>
        <v>918.45024192</v>
      </c>
      <c r="P76" s="67" t="n">
        <f aca="false">-P32*Inputs!$E$78/30</f>
        <v>918.45024192</v>
      </c>
      <c r="Q76" s="67" t="n">
        <f aca="false">-Q32*Inputs!$E$78/30</f>
        <v>1225.19122944</v>
      </c>
      <c r="R76" s="67" t="n">
        <f aca="false">-R32*Inputs!$E$78/30</f>
        <v>1225.19122944</v>
      </c>
      <c r="S76" s="67" t="n">
        <f aca="false">-S32*Inputs!$E$78/30</f>
        <v>1225.19122944</v>
      </c>
      <c r="T76" s="67" t="n">
        <f aca="false">-T32*Inputs!$E$78/30</f>
        <v>1225.19122944</v>
      </c>
      <c r="U76" s="67" t="n">
        <f aca="false">-U32*Inputs!$E$78/30</f>
        <v>1225.19122944</v>
      </c>
      <c r="V76" s="67" t="n">
        <f aca="false">-V32*Inputs!$E$78/30</f>
        <v>1225.19122944</v>
      </c>
      <c r="W76" s="67" t="n">
        <f aca="false">-W32*Inputs!$E$78/30</f>
        <v>1225.19122944</v>
      </c>
      <c r="X76" s="67" t="n">
        <f aca="false">-X32*Inputs!$E$78/30</f>
        <v>1225.19122944</v>
      </c>
      <c r="Y76" s="67" t="n">
        <f aca="false">-Y32*Inputs!$E$78/30</f>
        <v>1225.19122944</v>
      </c>
      <c r="Z76" s="67" t="n">
        <f aca="false">-Z32*Inputs!$E$78/30</f>
        <v>918.45024192</v>
      </c>
      <c r="AA76" s="67" t="n">
        <f aca="false">-AA32*Inputs!$E$78/30</f>
        <v>979.086491864928</v>
      </c>
      <c r="AB76" s="67" t="n">
        <f aca="false">-AB32*Inputs!$E$78/30</f>
        <v>979.086491864928</v>
      </c>
      <c r="AC76" s="67" t="n">
        <f aca="false">-AC32*Inputs!$E$78/30</f>
        <v>1304.5080055249</v>
      </c>
      <c r="AD76" s="67" t="n">
        <f aca="false">-AD32*Inputs!$E$78/30</f>
        <v>1304.5080055249</v>
      </c>
      <c r="AE76" s="67" t="n">
        <f aca="false">-AE32*Inputs!$E$78/30</f>
        <v>1304.5080055249</v>
      </c>
      <c r="AF76" s="67" t="n">
        <f aca="false">-AF32*Inputs!$E$78/30</f>
        <v>1304.5080055249</v>
      </c>
      <c r="AG76" s="67" t="n">
        <f aca="false">-AG32*Inputs!$E$78/30</f>
        <v>1304.5080055249</v>
      </c>
      <c r="AH76" s="67" t="n">
        <f aca="false">-AH32*Inputs!$E$78/30</f>
        <v>1304.5080055249</v>
      </c>
      <c r="AI76" s="67" t="n">
        <f aca="false">-AI32*Inputs!$E$78/30</f>
        <v>1304.5080055249</v>
      </c>
      <c r="AJ76" s="67" t="n">
        <f aca="false">-AJ32*Inputs!$E$78/30</f>
        <v>1304.5080055249</v>
      </c>
      <c r="AK76" s="67" t="n">
        <f aca="false">-AK32*Inputs!$E$78/30</f>
        <v>1304.5080055249</v>
      </c>
      <c r="AL76" s="67" t="n">
        <f aca="false">-AL32*Inputs!$E$78/30</f>
        <v>979.086491864928</v>
      </c>
      <c r="AM76" s="67" t="n">
        <f aca="false">-AM32*Inputs!$E$78/30</f>
        <v>1043.79875379378</v>
      </c>
      <c r="AN76" s="67" t="n">
        <f aca="false">-AN32*Inputs!$E$78/30</f>
        <v>1043.79875379378</v>
      </c>
      <c r="AO76" s="67" t="n">
        <f aca="false">-AO32*Inputs!$E$78/30</f>
        <v>1389.03843763564</v>
      </c>
      <c r="AP76" s="67" t="n">
        <f aca="false">-AP32*Inputs!$E$78/30</f>
        <v>1389.03843763564</v>
      </c>
      <c r="AQ76" s="67" t="n">
        <f aca="false">-AQ32*Inputs!$E$78/30</f>
        <v>1389.03843763564</v>
      </c>
      <c r="AR76" s="67" t="n">
        <f aca="false">-AR32*Inputs!$E$78/30</f>
        <v>1389.03843763564</v>
      </c>
      <c r="AS76" s="67" t="n">
        <f aca="false">-AS32*Inputs!$E$78/30</f>
        <v>1389.03843763564</v>
      </c>
      <c r="AT76" s="67" t="n">
        <f aca="false">-AT32*Inputs!$E$78/30</f>
        <v>1389.03843763564</v>
      </c>
      <c r="AU76" s="67" t="n">
        <f aca="false">-AU32*Inputs!$E$78/30</f>
        <v>1389.03843763564</v>
      </c>
      <c r="AV76" s="67" t="n">
        <f aca="false">-AV32*Inputs!$E$78/30</f>
        <v>1389.03843763564</v>
      </c>
      <c r="AW76" s="67" t="n">
        <f aca="false">-AW32*Inputs!$E$78/30</f>
        <v>1389.03843763564</v>
      </c>
      <c r="AX76" s="67" t="n">
        <f aca="false">-AX32*Inputs!$E$78/30</f>
        <v>1043.79875379378</v>
      </c>
      <c r="AY76" s="67" t="n">
        <f aca="false">-AY32*Inputs!$E$78/30</f>
        <v>1112.8664928819</v>
      </c>
      <c r="AZ76" s="67" t="n">
        <f aca="false">-AZ32*Inputs!$E$78/30</f>
        <v>1112.8664928819</v>
      </c>
      <c r="BA76" s="67" t="n">
        <f aca="false">-BA32*Inputs!$E$78/30</f>
        <v>1479.13127346973</v>
      </c>
      <c r="BB76" s="67" t="n">
        <f aca="false">-BB32*Inputs!$E$78/30</f>
        <v>1479.13127346973</v>
      </c>
      <c r="BC76" s="67" t="n">
        <f aca="false">-BC32*Inputs!$E$78/30</f>
        <v>1479.13127346973</v>
      </c>
      <c r="BD76" s="67" t="n">
        <f aca="false">-BD32*Inputs!$E$78/30</f>
        <v>1479.13127346973</v>
      </c>
      <c r="BE76" s="67" t="n">
        <f aca="false">-BE32*Inputs!$E$78/30</f>
        <v>1479.13127346973</v>
      </c>
      <c r="BF76" s="67" t="n">
        <f aca="false">-BF32*Inputs!$E$78/30</f>
        <v>1479.13127346973</v>
      </c>
      <c r="BG76" s="67" t="n">
        <f aca="false">-BG32*Inputs!$E$78/30</f>
        <v>1479.13127346973</v>
      </c>
      <c r="BH76" s="67" t="n">
        <f aca="false">-BH32*Inputs!$E$78/30</f>
        <v>1479.13127346973</v>
      </c>
      <c r="BI76" s="67" t="n">
        <f aca="false">-BI32*Inputs!$E$78/30</f>
        <v>1479.13127346973</v>
      </c>
      <c r="BJ76" s="67" t="n">
        <f aca="false">-BJ32*Inputs!$E$78/30</f>
        <v>1112.8664928819</v>
      </c>
    </row>
    <row r="77" customFormat="false" ht="15" hidden="false" customHeight="false" outlineLevel="0" collapsed="false">
      <c r="A77" s="6" t="s">
        <v>94</v>
      </c>
      <c r="C77" s="67" t="n">
        <f aca="false">-C32*Inputs!$E$79/30</f>
        <v>1005.2336</v>
      </c>
      <c r="D77" s="67" t="n">
        <f aca="false">-D32*Inputs!$E$79/30</f>
        <v>1172.77253333333</v>
      </c>
      <c r="E77" s="67" t="n">
        <f aca="false">-E32*Inputs!$E$79/30</f>
        <v>1790.0736</v>
      </c>
      <c r="F77" s="67" t="n">
        <f aca="false">-F32*Inputs!$E$79/30</f>
        <v>2013.8328</v>
      </c>
      <c r="G77" s="67" t="n">
        <f aca="false">-G32*Inputs!$E$79/30</f>
        <v>2237.592</v>
      </c>
      <c r="H77" s="67" t="n">
        <f aca="false">-H32*Inputs!$E$79/30</f>
        <v>2461.3512</v>
      </c>
      <c r="I77" s="67" t="n">
        <f aca="false">-I32*Inputs!$E$79/30</f>
        <v>2685.1104</v>
      </c>
      <c r="J77" s="67" t="n">
        <f aca="false">-J32*Inputs!$E$79/30</f>
        <v>2685.1104</v>
      </c>
      <c r="K77" s="67" t="n">
        <f aca="false">-K32*Inputs!$E$79/30</f>
        <v>2685.1104</v>
      </c>
      <c r="L77" s="67" t="n">
        <f aca="false">-L32*Inputs!$E$79/30</f>
        <v>2685.1104</v>
      </c>
      <c r="M77" s="67" t="n">
        <f aca="false">-M32*Inputs!$E$79/30</f>
        <v>2685.1104</v>
      </c>
      <c r="N77" s="67" t="n">
        <f aca="false">-N32*Inputs!$E$79/30</f>
        <v>2010.4672</v>
      </c>
      <c r="O77" s="67" t="n">
        <f aca="false">-O32*Inputs!$E$79/30</f>
        <v>2143.05056448</v>
      </c>
      <c r="P77" s="67" t="n">
        <f aca="false">-P32*Inputs!$E$79/30</f>
        <v>2143.05056448</v>
      </c>
      <c r="Q77" s="67" t="n">
        <f aca="false">-Q32*Inputs!$E$79/30</f>
        <v>2858.77953536</v>
      </c>
      <c r="R77" s="67" t="n">
        <f aca="false">-R32*Inputs!$E$79/30</f>
        <v>2858.77953536</v>
      </c>
      <c r="S77" s="67" t="n">
        <f aca="false">-S32*Inputs!$E$79/30</f>
        <v>2858.77953536</v>
      </c>
      <c r="T77" s="67" t="n">
        <f aca="false">-T32*Inputs!$E$79/30</f>
        <v>2858.77953536</v>
      </c>
      <c r="U77" s="67" t="n">
        <f aca="false">-U32*Inputs!$E$79/30</f>
        <v>2858.77953536</v>
      </c>
      <c r="V77" s="67" t="n">
        <f aca="false">-V32*Inputs!$E$79/30</f>
        <v>2858.77953536</v>
      </c>
      <c r="W77" s="67" t="n">
        <f aca="false">-W32*Inputs!$E$79/30</f>
        <v>2858.77953536</v>
      </c>
      <c r="X77" s="67" t="n">
        <f aca="false">-X32*Inputs!$E$79/30</f>
        <v>2858.77953536</v>
      </c>
      <c r="Y77" s="67" t="n">
        <f aca="false">-Y32*Inputs!$E$79/30</f>
        <v>2858.77953536</v>
      </c>
      <c r="Z77" s="67" t="n">
        <f aca="false">-Z32*Inputs!$E$79/30</f>
        <v>2143.05056448</v>
      </c>
      <c r="AA77" s="67" t="n">
        <f aca="false">-AA32*Inputs!$E$79/30</f>
        <v>2284.53514768483</v>
      </c>
      <c r="AB77" s="67" t="n">
        <f aca="false">-AB32*Inputs!$E$79/30</f>
        <v>2284.53514768483</v>
      </c>
      <c r="AC77" s="67" t="n">
        <f aca="false">-AC32*Inputs!$E$79/30</f>
        <v>3043.85201289142</v>
      </c>
      <c r="AD77" s="67" t="n">
        <f aca="false">-AD32*Inputs!$E$79/30</f>
        <v>3043.85201289142</v>
      </c>
      <c r="AE77" s="67" t="n">
        <f aca="false">-AE32*Inputs!$E$79/30</f>
        <v>3043.85201289142</v>
      </c>
      <c r="AF77" s="67" t="n">
        <f aca="false">-AF32*Inputs!$E$79/30</f>
        <v>3043.85201289142</v>
      </c>
      <c r="AG77" s="67" t="n">
        <f aca="false">-AG32*Inputs!$E$79/30</f>
        <v>3043.85201289142</v>
      </c>
      <c r="AH77" s="67" t="n">
        <f aca="false">-AH32*Inputs!$E$79/30</f>
        <v>3043.85201289142</v>
      </c>
      <c r="AI77" s="67" t="n">
        <f aca="false">-AI32*Inputs!$E$79/30</f>
        <v>3043.85201289142</v>
      </c>
      <c r="AJ77" s="67" t="n">
        <f aca="false">-AJ32*Inputs!$E$79/30</f>
        <v>3043.85201289142</v>
      </c>
      <c r="AK77" s="67" t="n">
        <f aca="false">-AK32*Inputs!$E$79/30</f>
        <v>3043.85201289142</v>
      </c>
      <c r="AL77" s="67" t="n">
        <f aca="false">-AL32*Inputs!$E$79/30</f>
        <v>2284.53514768483</v>
      </c>
      <c r="AM77" s="67" t="n">
        <f aca="false">-AM32*Inputs!$E$79/30</f>
        <v>2435.53042551882</v>
      </c>
      <c r="AN77" s="67" t="n">
        <f aca="false">-AN32*Inputs!$E$79/30</f>
        <v>2435.53042551882</v>
      </c>
      <c r="AO77" s="67" t="n">
        <f aca="false">-AO32*Inputs!$E$79/30</f>
        <v>3241.08968781649</v>
      </c>
      <c r="AP77" s="67" t="n">
        <f aca="false">-AP32*Inputs!$E$79/30</f>
        <v>3241.08968781649</v>
      </c>
      <c r="AQ77" s="67" t="n">
        <f aca="false">-AQ32*Inputs!$E$79/30</f>
        <v>3241.08968781649</v>
      </c>
      <c r="AR77" s="67" t="n">
        <f aca="false">-AR32*Inputs!$E$79/30</f>
        <v>3241.08968781649</v>
      </c>
      <c r="AS77" s="67" t="n">
        <f aca="false">-AS32*Inputs!$E$79/30</f>
        <v>3241.08968781649</v>
      </c>
      <c r="AT77" s="67" t="n">
        <f aca="false">-AT32*Inputs!$E$79/30</f>
        <v>3241.08968781649</v>
      </c>
      <c r="AU77" s="67" t="n">
        <f aca="false">-AU32*Inputs!$E$79/30</f>
        <v>3241.08968781649</v>
      </c>
      <c r="AV77" s="67" t="n">
        <f aca="false">-AV32*Inputs!$E$79/30</f>
        <v>3241.08968781649</v>
      </c>
      <c r="AW77" s="67" t="n">
        <f aca="false">-AW32*Inputs!$E$79/30</f>
        <v>3241.08968781649</v>
      </c>
      <c r="AX77" s="67" t="n">
        <f aca="false">-AX32*Inputs!$E$79/30</f>
        <v>2435.53042551882</v>
      </c>
      <c r="AY77" s="67" t="n">
        <f aca="false">-AY32*Inputs!$E$79/30</f>
        <v>2596.68848339111</v>
      </c>
      <c r="AZ77" s="67" t="n">
        <f aca="false">-AZ32*Inputs!$E$79/30</f>
        <v>2596.68848339111</v>
      </c>
      <c r="BA77" s="67" t="n">
        <f aca="false">-BA32*Inputs!$E$79/30</f>
        <v>3451.30630476271</v>
      </c>
      <c r="BB77" s="67" t="n">
        <f aca="false">-BB32*Inputs!$E$79/30</f>
        <v>3451.30630476271</v>
      </c>
      <c r="BC77" s="67" t="n">
        <f aca="false">-BC32*Inputs!$E$79/30</f>
        <v>3451.30630476271</v>
      </c>
      <c r="BD77" s="67" t="n">
        <f aca="false">-BD32*Inputs!$E$79/30</f>
        <v>3451.30630476271</v>
      </c>
      <c r="BE77" s="67" t="n">
        <f aca="false">-BE32*Inputs!$E$79/30</f>
        <v>3451.30630476271</v>
      </c>
      <c r="BF77" s="67" t="n">
        <f aca="false">-BF32*Inputs!$E$79/30</f>
        <v>3451.30630476271</v>
      </c>
      <c r="BG77" s="67" t="n">
        <f aca="false">-BG32*Inputs!$E$79/30</f>
        <v>3451.30630476271</v>
      </c>
      <c r="BH77" s="67" t="n">
        <f aca="false">-BH32*Inputs!$E$79/30</f>
        <v>3451.30630476271</v>
      </c>
      <c r="BI77" s="67" t="n">
        <f aca="false">-BI32*Inputs!$E$79/30</f>
        <v>3451.30630476271</v>
      </c>
      <c r="BJ77" s="67" t="n">
        <f aca="false">-BJ32*Inputs!$E$79/30</f>
        <v>2596.68848339111</v>
      </c>
    </row>
    <row r="78" customFormat="false" ht="15" hidden="false" customHeight="false" outlineLevel="0" collapsed="false">
      <c r="A78" s="6" t="s">
        <v>342</v>
      </c>
      <c r="C78" s="67" t="n">
        <f aca="false">-C75</f>
        <v>-1041.6</v>
      </c>
      <c r="D78" s="67" t="n">
        <f aca="false">C75-D75</f>
        <v>-173.600000000001</v>
      </c>
      <c r="E78" s="67" t="n">
        <f aca="false">D75-E75</f>
        <v>-666.399999999999</v>
      </c>
      <c r="F78" s="67" t="n">
        <f aca="false">E75-F75</f>
        <v>-235.200000000001</v>
      </c>
      <c r="G78" s="67" t="n">
        <f aca="false">F75-G75</f>
        <v>-235.199999999999</v>
      </c>
      <c r="H78" s="67" t="n">
        <f aca="false">G75-H75</f>
        <v>-235.2</v>
      </c>
      <c r="I78" s="67" t="n">
        <f aca="false">H75-I75</f>
        <v>-235.200000000001</v>
      </c>
      <c r="J78" s="67" t="n">
        <f aca="false">I75-J75</f>
        <v>0</v>
      </c>
      <c r="K78" s="67" t="n">
        <f aca="false">J75-K75</f>
        <v>0</v>
      </c>
      <c r="L78" s="67" t="n">
        <f aca="false">K75-L75</f>
        <v>0</v>
      </c>
      <c r="M78" s="67" t="n">
        <f aca="false">L75-M75</f>
        <v>0</v>
      </c>
      <c r="N78" s="67" t="n">
        <f aca="false">M75-N75</f>
        <v>739.2</v>
      </c>
      <c r="O78" s="67" t="n">
        <f aca="false">N75-O75</f>
        <v>-135.51888</v>
      </c>
      <c r="P78" s="67" t="n">
        <f aca="false">O75-P75</f>
        <v>0</v>
      </c>
      <c r="Q78" s="67" t="n">
        <f aca="false">P75-Q75</f>
        <v>-784.21728</v>
      </c>
      <c r="R78" s="67" t="n">
        <f aca="false">Q75-R75</f>
        <v>0</v>
      </c>
      <c r="S78" s="67" t="n">
        <f aca="false">R75-S75</f>
        <v>0</v>
      </c>
      <c r="T78" s="67" t="n">
        <f aca="false">S75-T75</f>
        <v>0</v>
      </c>
      <c r="U78" s="67" t="n">
        <f aca="false">T75-U75</f>
        <v>0</v>
      </c>
      <c r="V78" s="67" t="n">
        <f aca="false">U75-V75</f>
        <v>0</v>
      </c>
      <c r="W78" s="67" t="n">
        <f aca="false">V75-W75</f>
        <v>0</v>
      </c>
      <c r="X78" s="67" t="n">
        <f aca="false">W75-X75</f>
        <v>0</v>
      </c>
      <c r="Y78" s="67" t="n">
        <f aca="false">X75-Y75</f>
        <v>0</v>
      </c>
      <c r="Z78" s="67" t="n">
        <f aca="false">Y75-Z75</f>
        <v>784.21728</v>
      </c>
      <c r="AA78" s="67" t="n">
        <f aca="false">Z75-AA75</f>
        <v>-144.477117792</v>
      </c>
      <c r="AB78" s="67" t="n">
        <f aca="false">AA75-AB75</f>
        <v>0</v>
      </c>
      <c r="AC78" s="67" t="n">
        <f aca="false">AB75-AC75</f>
        <v>-831.976112352</v>
      </c>
      <c r="AD78" s="67" t="n">
        <f aca="false">AC75-AD75</f>
        <v>0</v>
      </c>
      <c r="AE78" s="67" t="n">
        <f aca="false">AD75-AE75</f>
        <v>0</v>
      </c>
      <c r="AF78" s="67" t="n">
        <f aca="false">AE75-AF75</f>
        <v>0</v>
      </c>
      <c r="AG78" s="67" t="n">
        <f aca="false">AF75-AG75</f>
        <v>0</v>
      </c>
      <c r="AH78" s="67" t="n">
        <f aca="false">AG75-AH75</f>
        <v>0</v>
      </c>
      <c r="AI78" s="67" t="n">
        <f aca="false">AH75-AI75</f>
        <v>0</v>
      </c>
      <c r="AJ78" s="67" t="n">
        <f aca="false">AI75-AJ75</f>
        <v>0</v>
      </c>
      <c r="AK78" s="67" t="n">
        <f aca="false">AJ75-AK75</f>
        <v>0</v>
      </c>
      <c r="AL78" s="67" t="n">
        <f aca="false">AK75-AL75</f>
        <v>831.976112352</v>
      </c>
      <c r="AM78" s="67" t="n">
        <f aca="false">AL75-AM75</f>
        <v>-154.038381012533</v>
      </c>
      <c r="AN78" s="67" t="n">
        <f aca="false">AM75-AN75</f>
        <v>0</v>
      </c>
      <c r="AO78" s="67" t="n">
        <f aca="false">AN75-AO75</f>
        <v>-882.643457594237</v>
      </c>
      <c r="AP78" s="67" t="n">
        <f aca="false">AO75-AP75</f>
        <v>0</v>
      </c>
      <c r="AQ78" s="67" t="n">
        <f aca="false">AP75-AQ75</f>
        <v>0</v>
      </c>
      <c r="AR78" s="67" t="n">
        <f aca="false">AQ75-AR75</f>
        <v>0</v>
      </c>
      <c r="AS78" s="67" t="n">
        <f aca="false">AR75-AS75</f>
        <v>0</v>
      </c>
      <c r="AT78" s="67" t="n">
        <f aca="false">AS75-AT75</f>
        <v>0</v>
      </c>
      <c r="AU78" s="67" t="n">
        <f aca="false">AT75-AU75</f>
        <v>0</v>
      </c>
      <c r="AV78" s="67" t="n">
        <f aca="false">AU75-AV75</f>
        <v>0</v>
      </c>
      <c r="AW78" s="67" t="n">
        <f aca="false">AV75-AW75</f>
        <v>0</v>
      </c>
      <c r="AX78" s="67" t="n">
        <f aca="false">AW75-AX75</f>
        <v>882.643457594237</v>
      </c>
      <c r="AY78" s="67" t="n">
        <f aca="false">AX75-AY75</f>
        <v>-164.244077613077</v>
      </c>
      <c r="AZ78" s="67" t="n">
        <f aca="false">AY75-AZ75</f>
        <v>0</v>
      </c>
      <c r="BA78" s="67" t="n">
        <f aca="false">AZ75-BA75</f>
        <v>-936.396444161726</v>
      </c>
      <c r="BB78" s="67" t="n">
        <f aca="false">BA75-BB75</f>
        <v>0</v>
      </c>
      <c r="BC78" s="67" t="n">
        <f aca="false">BB75-BC75</f>
        <v>0</v>
      </c>
      <c r="BD78" s="67" t="n">
        <f aca="false">BC75-BD75</f>
        <v>0</v>
      </c>
      <c r="BE78" s="67" t="n">
        <f aca="false">BD75-BE75</f>
        <v>0</v>
      </c>
      <c r="BF78" s="67" t="n">
        <f aca="false">BE75-BF75</f>
        <v>0</v>
      </c>
      <c r="BG78" s="67" t="n">
        <f aca="false">BF75-BG75</f>
        <v>0</v>
      </c>
      <c r="BH78" s="67" t="n">
        <f aca="false">BG75-BH75</f>
        <v>0</v>
      </c>
      <c r="BI78" s="67" t="n">
        <f aca="false">BH75-BI75</f>
        <v>0</v>
      </c>
      <c r="BJ78" s="67" t="n">
        <f aca="false">BI75-BJ75</f>
        <v>936.396444161726</v>
      </c>
    </row>
    <row r="79" customFormat="false" ht="15" hidden="false" customHeight="false" outlineLevel="0" collapsed="false">
      <c r="A79" s="6" t="s">
        <v>343</v>
      </c>
      <c r="C79" s="67" t="n">
        <f aca="false">-C76</f>
        <v>-430.8144</v>
      </c>
      <c r="D79" s="67" t="n">
        <f aca="false">C76-D76</f>
        <v>-71.8024000000001</v>
      </c>
      <c r="E79" s="67" t="n">
        <f aca="false">D76-E76</f>
        <v>-264.5576</v>
      </c>
      <c r="F79" s="67" t="n">
        <f aca="false">E76-F76</f>
        <v>-95.8968000000001</v>
      </c>
      <c r="G79" s="67" t="n">
        <f aca="false">F76-G76</f>
        <v>-95.8967999999998</v>
      </c>
      <c r="H79" s="67" t="n">
        <f aca="false">G76-H76</f>
        <v>-95.8968000000001</v>
      </c>
      <c r="I79" s="67" t="n">
        <f aca="false">H76-I76</f>
        <v>-95.8968000000004</v>
      </c>
      <c r="J79" s="67" t="n">
        <f aca="false">I76-J76</f>
        <v>0</v>
      </c>
      <c r="K79" s="67" t="n">
        <f aca="false">J76-K76</f>
        <v>0</v>
      </c>
      <c r="L79" s="67" t="n">
        <f aca="false">K76-L76</f>
        <v>0</v>
      </c>
      <c r="M79" s="67" t="n">
        <f aca="false">L76-M76</f>
        <v>0</v>
      </c>
      <c r="N79" s="67" t="n">
        <f aca="false">M76-N76</f>
        <v>289.1328</v>
      </c>
      <c r="O79" s="67" t="n">
        <f aca="false">N76-O76</f>
        <v>-56.82144192</v>
      </c>
      <c r="P79" s="67" t="n">
        <f aca="false">O76-P76</f>
        <v>0</v>
      </c>
      <c r="Q79" s="67" t="n">
        <f aca="false">P76-Q76</f>
        <v>-306.74098752</v>
      </c>
      <c r="R79" s="67" t="n">
        <f aca="false">Q76-R76</f>
        <v>0</v>
      </c>
      <c r="S79" s="67" t="n">
        <f aca="false">R76-S76</f>
        <v>0</v>
      </c>
      <c r="T79" s="67" t="n">
        <f aca="false">S76-T76</f>
        <v>0</v>
      </c>
      <c r="U79" s="67" t="n">
        <f aca="false">T76-U76</f>
        <v>0</v>
      </c>
      <c r="V79" s="67" t="n">
        <f aca="false">U76-V76</f>
        <v>0</v>
      </c>
      <c r="W79" s="67" t="n">
        <f aca="false">V76-W76</f>
        <v>0</v>
      </c>
      <c r="X79" s="67" t="n">
        <f aca="false">W76-X76</f>
        <v>0</v>
      </c>
      <c r="Y79" s="67" t="n">
        <f aca="false">X76-Y76</f>
        <v>0</v>
      </c>
      <c r="Z79" s="67" t="n">
        <f aca="false">Y76-Z76</f>
        <v>306.74098752</v>
      </c>
      <c r="AA79" s="67" t="n">
        <f aca="false">Z76-AA76</f>
        <v>-60.6362499449278</v>
      </c>
      <c r="AB79" s="67" t="n">
        <f aca="false">AA76-AB76</f>
        <v>0</v>
      </c>
      <c r="AC79" s="67" t="n">
        <f aca="false">AB76-AC76</f>
        <v>-325.421513659968</v>
      </c>
      <c r="AD79" s="67" t="n">
        <f aca="false">AC76-AD76</f>
        <v>0</v>
      </c>
      <c r="AE79" s="67" t="n">
        <f aca="false">AD76-AE76</f>
        <v>0</v>
      </c>
      <c r="AF79" s="67" t="n">
        <f aca="false">AE76-AF76</f>
        <v>0</v>
      </c>
      <c r="AG79" s="67" t="n">
        <f aca="false">AF76-AG76</f>
        <v>0</v>
      </c>
      <c r="AH79" s="67" t="n">
        <f aca="false">AG76-AH76</f>
        <v>0</v>
      </c>
      <c r="AI79" s="67" t="n">
        <f aca="false">AH76-AI76</f>
        <v>0</v>
      </c>
      <c r="AJ79" s="67" t="n">
        <f aca="false">AI76-AJ76</f>
        <v>0</v>
      </c>
      <c r="AK79" s="67" t="n">
        <f aca="false">AJ76-AK76</f>
        <v>0</v>
      </c>
      <c r="AL79" s="67" t="n">
        <f aca="false">AK76-AL76</f>
        <v>325.421513659968</v>
      </c>
      <c r="AM79" s="67" t="n">
        <f aca="false">AL76-AM76</f>
        <v>-64.7122619288523</v>
      </c>
      <c r="AN79" s="67" t="n">
        <f aca="false">AM76-AN76</f>
        <v>0</v>
      </c>
      <c r="AO79" s="67" t="n">
        <f aca="false">AN76-AO76</f>
        <v>-345.23968384186</v>
      </c>
      <c r="AP79" s="67" t="n">
        <f aca="false">AO76-AP76</f>
        <v>0</v>
      </c>
      <c r="AQ79" s="67" t="n">
        <f aca="false">AP76-AQ76</f>
        <v>0</v>
      </c>
      <c r="AR79" s="67" t="n">
        <f aca="false">AQ76-AR76</f>
        <v>0</v>
      </c>
      <c r="AS79" s="67" t="n">
        <f aca="false">AR76-AS76</f>
        <v>0</v>
      </c>
      <c r="AT79" s="67" t="n">
        <f aca="false">AS76-AT76</f>
        <v>0</v>
      </c>
      <c r="AU79" s="67" t="n">
        <f aca="false">AT76-AU76</f>
        <v>0</v>
      </c>
      <c r="AV79" s="67" t="n">
        <f aca="false">AU76-AV76</f>
        <v>0</v>
      </c>
      <c r="AW79" s="67" t="n">
        <f aca="false">AV76-AW76</f>
        <v>0</v>
      </c>
      <c r="AX79" s="67" t="n">
        <f aca="false">AW76-AX76</f>
        <v>345.23968384186</v>
      </c>
      <c r="AY79" s="67" t="n">
        <f aca="false">AX76-AY76</f>
        <v>-69.0677390881228</v>
      </c>
      <c r="AZ79" s="67" t="n">
        <f aca="false">AY76-AZ76</f>
        <v>0</v>
      </c>
      <c r="BA79" s="67" t="n">
        <f aca="false">AZ76-BA76</f>
        <v>-366.26478058783</v>
      </c>
      <c r="BB79" s="67" t="n">
        <f aca="false">BA76-BB76</f>
        <v>0</v>
      </c>
      <c r="BC79" s="67" t="n">
        <f aca="false">BB76-BC76</f>
        <v>0</v>
      </c>
      <c r="BD79" s="67" t="n">
        <f aca="false">BC76-BD76</f>
        <v>0</v>
      </c>
      <c r="BE79" s="67" t="n">
        <f aca="false">BD76-BE76</f>
        <v>0</v>
      </c>
      <c r="BF79" s="67" t="n">
        <f aca="false">BE76-BF76</f>
        <v>0</v>
      </c>
      <c r="BG79" s="67" t="n">
        <f aca="false">BF76-BG76</f>
        <v>0</v>
      </c>
      <c r="BH79" s="67" t="n">
        <f aca="false">BG76-BH76</f>
        <v>0</v>
      </c>
      <c r="BI79" s="67" t="n">
        <f aca="false">BH76-BI76</f>
        <v>0</v>
      </c>
      <c r="BJ79" s="67" t="n">
        <f aca="false">BI76-BJ76</f>
        <v>366.26478058783</v>
      </c>
    </row>
    <row r="80" customFormat="false" ht="15" hidden="false" customHeight="false" outlineLevel="0" collapsed="false">
      <c r="A80" s="6" t="s">
        <v>344</v>
      </c>
      <c r="C80" s="67" t="n">
        <f aca="false">C77</f>
        <v>1005.2336</v>
      </c>
      <c r="D80" s="67" t="n">
        <f aca="false">D77-C77</f>
        <v>167.538933333334</v>
      </c>
      <c r="E80" s="67" t="n">
        <f aca="false">E77-D77</f>
        <v>617.301066666666</v>
      </c>
      <c r="F80" s="67" t="n">
        <f aca="false">F77-E77</f>
        <v>223.7592</v>
      </c>
      <c r="G80" s="67" t="n">
        <f aca="false">G77-F77</f>
        <v>223.7592</v>
      </c>
      <c r="H80" s="67" t="n">
        <f aca="false">H77-G77</f>
        <v>223.7592</v>
      </c>
      <c r="I80" s="67" t="n">
        <f aca="false">I77-H77</f>
        <v>223.7592</v>
      </c>
      <c r="J80" s="67" t="n">
        <f aca="false">J77-I77</f>
        <v>0</v>
      </c>
      <c r="K80" s="67" t="n">
        <f aca="false">K77-J77</f>
        <v>0</v>
      </c>
      <c r="L80" s="67" t="n">
        <f aca="false">L77-K77</f>
        <v>0</v>
      </c>
      <c r="M80" s="67" t="n">
        <f aca="false">M77-L77</f>
        <v>0</v>
      </c>
      <c r="N80" s="67" t="n">
        <f aca="false">N77-M77</f>
        <v>-674.6432</v>
      </c>
      <c r="O80" s="67" t="n">
        <f aca="false">O77-N77</f>
        <v>132.58336448</v>
      </c>
      <c r="P80" s="67" t="n">
        <f aca="false">P77-O77</f>
        <v>0</v>
      </c>
      <c r="Q80" s="67" t="n">
        <f aca="false">Q77-P77</f>
        <v>715.72897088</v>
      </c>
      <c r="R80" s="67" t="n">
        <f aca="false">R77-Q77</f>
        <v>0</v>
      </c>
      <c r="S80" s="67" t="n">
        <f aca="false">S77-R77</f>
        <v>0</v>
      </c>
      <c r="T80" s="67" t="n">
        <f aca="false">T77-S77</f>
        <v>0</v>
      </c>
      <c r="U80" s="67" t="n">
        <f aca="false">U77-T77</f>
        <v>0</v>
      </c>
      <c r="V80" s="67" t="n">
        <f aca="false">V77-U77</f>
        <v>0</v>
      </c>
      <c r="W80" s="67" t="n">
        <f aca="false">W77-V77</f>
        <v>0</v>
      </c>
      <c r="X80" s="67" t="n">
        <f aca="false">X77-W77</f>
        <v>0</v>
      </c>
      <c r="Y80" s="67" t="n">
        <f aca="false">Y77-X77</f>
        <v>0</v>
      </c>
      <c r="Z80" s="67" t="n">
        <f aca="false">Z77-Y77</f>
        <v>-715.72897088</v>
      </c>
      <c r="AA80" s="67" t="n">
        <f aca="false">AA77-Z77</f>
        <v>141.484583204831</v>
      </c>
      <c r="AB80" s="67" t="n">
        <f aca="false">AB77-AA77</f>
        <v>0</v>
      </c>
      <c r="AC80" s="67" t="n">
        <f aca="false">AC77-AB77</f>
        <v>759.316865206592</v>
      </c>
      <c r="AD80" s="67" t="n">
        <f aca="false">AD77-AC77</f>
        <v>0</v>
      </c>
      <c r="AE80" s="67" t="n">
        <f aca="false">AE77-AD77</f>
        <v>0</v>
      </c>
      <c r="AF80" s="67" t="n">
        <f aca="false">AF77-AE77</f>
        <v>0</v>
      </c>
      <c r="AG80" s="67" t="n">
        <f aca="false">AG77-AF77</f>
        <v>0</v>
      </c>
      <c r="AH80" s="67" t="n">
        <f aca="false">AH77-AG77</f>
        <v>0</v>
      </c>
      <c r="AI80" s="67" t="n">
        <f aca="false">AI77-AH77</f>
        <v>0</v>
      </c>
      <c r="AJ80" s="67" t="n">
        <f aca="false">AJ77-AI77</f>
        <v>0</v>
      </c>
      <c r="AK80" s="67" t="n">
        <f aca="false">AK77-AJ77</f>
        <v>0</v>
      </c>
      <c r="AL80" s="67" t="n">
        <f aca="false">AL77-AK77</f>
        <v>-759.316865206592</v>
      </c>
      <c r="AM80" s="67" t="n">
        <f aca="false">AM77-AL77</f>
        <v>150.995277833988</v>
      </c>
      <c r="AN80" s="67" t="n">
        <f aca="false">AN77-AM77</f>
        <v>0</v>
      </c>
      <c r="AO80" s="67" t="n">
        <f aca="false">AO77-AN77</f>
        <v>805.559262297674</v>
      </c>
      <c r="AP80" s="67" t="n">
        <f aca="false">AP77-AO77</f>
        <v>0</v>
      </c>
      <c r="AQ80" s="67" t="n">
        <f aca="false">AQ77-AP77</f>
        <v>0</v>
      </c>
      <c r="AR80" s="67" t="n">
        <f aca="false">AR77-AQ77</f>
        <v>0</v>
      </c>
      <c r="AS80" s="67" t="n">
        <f aca="false">AS77-AR77</f>
        <v>0</v>
      </c>
      <c r="AT80" s="67" t="n">
        <f aca="false">AT77-AS77</f>
        <v>0</v>
      </c>
      <c r="AU80" s="67" t="n">
        <f aca="false">AU77-AT77</f>
        <v>0</v>
      </c>
      <c r="AV80" s="67" t="n">
        <f aca="false">AV77-AU77</f>
        <v>0</v>
      </c>
      <c r="AW80" s="67" t="n">
        <f aca="false">AW77-AV77</f>
        <v>0</v>
      </c>
      <c r="AX80" s="67" t="n">
        <f aca="false">AX77-AW77</f>
        <v>-805.559262297674</v>
      </c>
      <c r="AY80" s="67" t="n">
        <f aca="false">AY77-AX77</f>
        <v>161.158057872288</v>
      </c>
      <c r="AZ80" s="67" t="n">
        <f aca="false">AZ77-AY77</f>
        <v>0</v>
      </c>
      <c r="BA80" s="67" t="n">
        <f aca="false">BA77-AZ77</f>
        <v>854.617821371602</v>
      </c>
      <c r="BB80" s="67" t="n">
        <f aca="false">BB77-BA77</f>
        <v>0</v>
      </c>
      <c r="BC80" s="67" t="n">
        <f aca="false">BC77-BB77</f>
        <v>0</v>
      </c>
      <c r="BD80" s="67" t="n">
        <f aca="false">BD77-BC77</f>
        <v>0</v>
      </c>
      <c r="BE80" s="67" t="n">
        <f aca="false">BE77-BD77</f>
        <v>0</v>
      </c>
      <c r="BF80" s="67" t="n">
        <f aca="false">BF77-BE77</f>
        <v>0</v>
      </c>
      <c r="BG80" s="67" t="n">
        <f aca="false">BG77-BF77</f>
        <v>0</v>
      </c>
      <c r="BH80" s="67" t="n">
        <f aca="false">BH77-BG77</f>
        <v>0</v>
      </c>
      <c r="BI80" s="67" t="n">
        <f aca="false">BI77-BH77</f>
        <v>0</v>
      </c>
      <c r="BJ80" s="67" t="n">
        <f aca="false">BJ77-BI77</f>
        <v>-854.617821371602</v>
      </c>
    </row>
    <row r="82" customFormat="false" ht="15.75" hidden="false" customHeight="true" outlineLevel="0" collapsed="false">
      <c r="A82" s="7" t="s">
        <v>442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</row>
    <row r="83" customFormat="false" ht="15" hidden="false" customHeight="false" outlineLevel="0" collapsed="false">
      <c r="A83" s="4" t="s">
        <v>52</v>
      </c>
      <c r="C83" s="73" t="n">
        <f aca="false">C55-C64+C78+C79+C80</f>
        <v>-8928.99146666667</v>
      </c>
      <c r="D83" s="73" t="n">
        <f aca="false">D55-D64+D78+D79+D80</f>
        <v>-7525.57313333333</v>
      </c>
      <c r="E83" s="73" t="n">
        <f aca="false">E55-E64+E78+E79+E80</f>
        <v>-3969.1922</v>
      </c>
      <c r="F83" s="73" t="n">
        <f aca="false">F55-F64+F78+F79+F80</f>
        <v>-2368.09126666667</v>
      </c>
      <c r="G83" s="73" t="n">
        <f aca="false">G55-G64+G78+G79+G80</f>
        <v>-973.30926666667</v>
      </c>
      <c r="H83" s="73" t="n">
        <f aca="false">H55-H64+H78+H79+H80</f>
        <v>421.472733333329</v>
      </c>
      <c r="I83" s="73" t="n">
        <f aca="false">I55-I64+I78+I79+I80</f>
        <v>1816.25473333333</v>
      </c>
      <c r="J83" s="73" t="n">
        <f aca="false">J55-J64+J78+J79+J80</f>
        <v>1934.84233333333</v>
      </c>
      <c r="K83" s="73" t="n">
        <f aca="false">K55-K64+K78+K79+K80</f>
        <v>1946.09233333333</v>
      </c>
      <c r="L83" s="73" t="n">
        <f aca="false">L55-L64+L78+L79+L80</f>
        <v>1957.34233333333</v>
      </c>
      <c r="M83" s="73" t="n">
        <f aca="false">M55-M64+M78+M79+M80</f>
        <v>1968.59233333333</v>
      </c>
      <c r="N83" s="73" t="n">
        <f aca="false">N55-N64+N78+N79+N80</f>
        <v>-1939.14006666667</v>
      </c>
      <c r="O83" s="73" t="n">
        <f aca="false">O55-O64+O78+O79+O80</f>
        <v>-1957.78324330667</v>
      </c>
      <c r="P83" s="73" t="n">
        <f aca="false">P55-P64+P78+P79+P80</f>
        <v>-1886.77628586667</v>
      </c>
      <c r="Q83" s="73" t="n">
        <f aca="false">Q55-Q64+Q78+Q79+Q80</f>
        <v>2289.16734229333</v>
      </c>
      <c r="R83" s="73" t="n">
        <f aca="false">R55-R64+R78+R79+R80</f>
        <v>2675.64663893333</v>
      </c>
      <c r="S83" s="73" t="n">
        <f aca="false">S55-S64+S78+S79+S80</f>
        <v>2686.89663893333</v>
      </c>
      <c r="T83" s="73" t="n">
        <f aca="false">T55-T64+T78+T79+T80</f>
        <v>2698.14663893333</v>
      </c>
      <c r="U83" s="73" t="n">
        <f aca="false">U55-U64+U78+U79+U80</f>
        <v>2709.39663893333</v>
      </c>
      <c r="V83" s="73" t="n">
        <f aca="false">V55-V64+V78+V79+V80</f>
        <v>2720.64663893333</v>
      </c>
      <c r="W83" s="73" t="n">
        <f aca="false">W55-W64+W78+W79+W80</f>
        <v>2731.89663893333</v>
      </c>
      <c r="X83" s="73" t="n">
        <f aca="false">X55-X64+X78+X79+X80</f>
        <v>2743.14663893333</v>
      </c>
      <c r="Y83" s="73" t="n">
        <f aca="false">Y55-Y64+Y78+Y79+Y80</f>
        <v>2754.39663893333</v>
      </c>
      <c r="Z83" s="73" t="n">
        <f aca="false">Z55-Z64+Z78+Z79+Z80</f>
        <v>-1399.04698922667</v>
      </c>
      <c r="AA83" s="73" t="n">
        <f aca="false">AA55-AA64+AA78+AA79+AA80</f>
        <v>-1404.24850842805</v>
      </c>
      <c r="AB83" s="73" t="n">
        <f aca="false">AB55-AB64+AB78+AB79+AB80</f>
        <v>-1329.36972389595</v>
      </c>
      <c r="AC83" s="73" t="n">
        <f aca="false">AC55-AC64+AC78+AC79+AC80</f>
        <v>3107.460302219</v>
      </c>
      <c r="AD83" s="73" t="n">
        <f aca="false">AD55-AD64+AD78+AD79+AD80</f>
        <v>3516.79106302437</v>
      </c>
      <c r="AE83" s="73" t="n">
        <f aca="false">AE55-AE64+AE78+AE79+AE80</f>
        <v>3528.04106302437</v>
      </c>
      <c r="AF83" s="73" t="n">
        <f aca="false">AF55-AF64+AF78+AF79+AF80</f>
        <v>3539.29106302437</v>
      </c>
      <c r="AG83" s="73" t="n">
        <f aca="false">AG55-AG64+AG78+AG79+AG80</f>
        <v>3550.54106302437</v>
      </c>
      <c r="AH83" s="73" t="n">
        <f aca="false">AH55-AH64+AH78+AH79+AH80</f>
        <v>3561.79106302437</v>
      </c>
      <c r="AI83" s="73" t="n">
        <f aca="false">AI55-AI64+AI78+AI79+AI80</f>
        <v>3573.04106302437</v>
      </c>
      <c r="AJ83" s="73" t="n">
        <f aca="false">AJ55-AJ64+AJ78+AJ79+AJ80</f>
        <v>3584.29106302437</v>
      </c>
      <c r="AK83" s="73" t="n">
        <f aca="false">AK55-AK64+AK78+AK79+AK80</f>
        <v>3595.54106302437</v>
      </c>
      <c r="AL83" s="73" t="n">
        <f aca="false">AL55-AL64+AL78+AL79+AL80</f>
        <v>-818.788963090575</v>
      </c>
      <c r="AM83" s="73" t="n">
        <f aca="false">AM55-AM64+AM78+AM79+AM80</f>
        <v>-809.113561311287</v>
      </c>
      <c r="AN83" s="73" t="n">
        <f aca="false">AN55-AN64+AN78+AN79+AN80</f>
        <v>-730.10819620389</v>
      </c>
      <c r="AO83" s="73" t="n">
        <f aca="false">AO55-AO64+AO78+AO79+AO80</f>
        <v>3983.71390618145</v>
      </c>
      <c r="AP83" s="73" t="n">
        <f aca="false">AP55-AP64+AP78+AP79+AP80</f>
        <v>4417.28778531988</v>
      </c>
      <c r="AQ83" s="73" t="n">
        <f aca="false">AQ55-AQ64+AQ78+AQ79+AQ80</f>
        <v>4428.53778531988</v>
      </c>
      <c r="AR83" s="73" t="n">
        <f aca="false">AR55-AR64+AR78+AR79+AR80</f>
        <v>4439.78778531988</v>
      </c>
      <c r="AS83" s="73" t="n">
        <f aca="false">AS55-AS64+AS78+AS79+AS80</f>
        <v>4451.03778531988</v>
      </c>
      <c r="AT83" s="73" t="n">
        <f aca="false">AT55-AT64+AT78+AT79+AT80</f>
        <v>4462.28778531988</v>
      </c>
      <c r="AU83" s="73" t="n">
        <f aca="false">AU55-AU64+AU78+AU79+AU80</f>
        <v>4473.53778531988</v>
      </c>
      <c r="AV83" s="73" t="n">
        <f aca="false">AV55-AV64+AV78+AV79+AV80</f>
        <v>4484.78778531988</v>
      </c>
      <c r="AW83" s="73" t="n">
        <f aca="false">AW55-AW64+AW78+AW79+AW80</f>
        <v>4496.03778531988</v>
      </c>
      <c r="AX83" s="73" t="n">
        <f aca="false">AX55-AX64+AX78+AX79+AX80</f>
        <v>-195.284317065466</v>
      </c>
      <c r="AY83" s="73" t="n">
        <f aca="false">AY55-AY64+AY78+AY79+AY80</f>
        <v>-169.177880848807</v>
      </c>
      <c r="AZ83" s="73" t="n">
        <f aca="false">AZ55-AZ64+AZ78+AZ79+AZ80</f>
        <v>-85.774122019895</v>
      </c>
      <c r="BA83" s="73" t="n">
        <f aca="false">BA55-BA64+BA78+BA79+BA80</f>
        <v>4922.13310166111</v>
      </c>
      <c r="BB83" s="73" t="n">
        <f aca="false">BB55-BB64+BB78+BB79+BB80</f>
        <v>5381.42650503907</v>
      </c>
      <c r="BC83" s="73" t="n">
        <f aca="false">BC55-BC64+BC78+BC79+BC80</f>
        <v>5392.67650503907</v>
      </c>
      <c r="BD83" s="73" t="n">
        <f aca="false">BD55-BD64+BD78+BD79+BD80</f>
        <v>5403.92650503907</v>
      </c>
      <c r="BE83" s="73" t="n">
        <f aca="false">BE55-BE64+BE78+BE79+BE80</f>
        <v>4662.18397480068</v>
      </c>
      <c r="BF83" s="73" t="n">
        <f aca="false">BF55-BF64+BF78+BF79+BF80</f>
        <v>4656.87693898086</v>
      </c>
      <c r="BG83" s="73" t="n">
        <f aca="false">BG55-BG64+BG78+BG79+BG80</f>
        <v>4665.76443898086</v>
      </c>
      <c r="BH83" s="73" t="n">
        <f aca="false">BH55-BH64+BH78+BH79+BH80</f>
        <v>4674.65193898086</v>
      </c>
      <c r="BI83" s="73" t="n">
        <f aca="false">BI55-BI64+BI78+BI79+BI80</f>
        <v>4683.53943898086</v>
      </c>
      <c r="BJ83" s="73" t="n">
        <f aca="false">BJ55-BJ64+BJ78+BJ79+BJ80</f>
        <v>474.769281358059</v>
      </c>
    </row>
    <row r="84" customFormat="false" ht="15" hidden="false" customHeight="false" outlineLevel="0" collapsed="false">
      <c r="A84" s="6" t="s">
        <v>443</v>
      </c>
      <c r="C84" s="67" t="n">
        <f aca="false">-C62</f>
        <v>-138000</v>
      </c>
      <c r="D84" s="67" t="n">
        <f aca="false">-D62</f>
        <v>-0</v>
      </c>
      <c r="E84" s="67" t="n">
        <f aca="false">-E62</f>
        <v>-0</v>
      </c>
      <c r="F84" s="67" t="n">
        <f aca="false">-F62</f>
        <v>-0</v>
      </c>
      <c r="G84" s="67" t="n">
        <f aca="false">-G62</f>
        <v>-0</v>
      </c>
      <c r="H84" s="67" t="n">
        <f aca="false">-H62</f>
        <v>-0</v>
      </c>
      <c r="I84" s="67" t="n">
        <f aca="false">-I62</f>
        <v>-0</v>
      </c>
      <c r="J84" s="67" t="n">
        <f aca="false">-J62</f>
        <v>-0</v>
      </c>
      <c r="K84" s="67" t="n">
        <f aca="false">-K62</f>
        <v>-0</v>
      </c>
      <c r="L84" s="67" t="n">
        <f aca="false">-L62</f>
        <v>-0</v>
      </c>
      <c r="M84" s="67" t="n">
        <f aca="false">-M62</f>
        <v>-0</v>
      </c>
      <c r="N84" s="67" t="n">
        <f aca="false">-N62</f>
        <v>-0</v>
      </c>
      <c r="O84" s="67" t="n">
        <f aca="false">-O62</f>
        <v>-2500</v>
      </c>
      <c r="P84" s="67" t="n">
        <f aca="false">-P62</f>
        <v>-0</v>
      </c>
      <c r="Q84" s="67" t="n">
        <f aca="false">-Q62</f>
        <v>-0</v>
      </c>
      <c r="R84" s="67" t="n">
        <f aca="false">-R62</f>
        <v>-0</v>
      </c>
      <c r="S84" s="67" t="n">
        <f aca="false">-S62</f>
        <v>-0</v>
      </c>
      <c r="T84" s="67" t="n">
        <f aca="false">-T62</f>
        <v>-0</v>
      </c>
      <c r="U84" s="67" t="n">
        <f aca="false">-U62</f>
        <v>-0</v>
      </c>
      <c r="V84" s="67" t="n">
        <f aca="false">-V62</f>
        <v>-0</v>
      </c>
      <c r="W84" s="67" t="n">
        <f aca="false">-W62</f>
        <v>-0</v>
      </c>
      <c r="X84" s="67" t="n">
        <f aca="false">-X62</f>
        <v>-0</v>
      </c>
      <c r="Y84" s="67" t="n">
        <f aca="false">-Y62</f>
        <v>-0</v>
      </c>
      <c r="Z84" s="67" t="n">
        <f aca="false">-Z62</f>
        <v>-0</v>
      </c>
      <c r="AA84" s="67" t="n">
        <f aca="false">-AA62</f>
        <v>-2500</v>
      </c>
      <c r="AB84" s="67" t="n">
        <f aca="false">-AB62</f>
        <v>-0</v>
      </c>
      <c r="AC84" s="67" t="n">
        <f aca="false">-AC62</f>
        <v>-0</v>
      </c>
      <c r="AD84" s="67" t="n">
        <f aca="false">-AD62</f>
        <v>-0</v>
      </c>
      <c r="AE84" s="67" t="n">
        <f aca="false">-AE62</f>
        <v>-0</v>
      </c>
      <c r="AF84" s="67" t="n">
        <f aca="false">-AF62</f>
        <v>-0</v>
      </c>
      <c r="AG84" s="67" t="n">
        <f aca="false">-AG62</f>
        <v>-0</v>
      </c>
      <c r="AH84" s="67" t="n">
        <f aca="false">-AH62</f>
        <v>-0</v>
      </c>
      <c r="AI84" s="67" t="n">
        <f aca="false">-AI62</f>
        <v>-0</v>
      </c>
      <c r="AJ84" s="67" t="n">
        <f aca="false">-AJ62</f>
        <v>-0</v>
      </c>
      <c r="AK84" s="67" t="n">
        <f aca="false">-AK62</f>
        <v>-0</v>
      </c>
      <c r="AL84" s="67" t="n">
        <f aca="false">-AL62</f>
        <v>-0</v>
      </c>
      <c r="AM84" s="67" t="n">
        <f aca="false">-AM62</f>
        <v>-2500</v>
      </c>
      <c r="AN84" s="67" t="n">
        <f aca="false">-AN62</f>
        <v>-0</v>
      </c>
      <c r="AO84" s="67" t="n">
        <f aca="false">-AO62</f>
        <v>-0</v>
      </c>
      <c r="AP84" s="67" t="n">
        <f aca="false">-AP62</f>
        <v>-0</v>
      </c>
      <c r="AQ84" s="67" t="n">
        <f aca="false">-AQ62</f>
        <v>-0</v>
      </c>
      <c r="AR84" s="67" t="n">
        <f aca="false">-AR62</f>
        <v>-0</v>
      </c>
      <c r="AS84" s="67" t="n">
        <f aca="false">-AS62</f>
        <v>-0</v>
      </c>
      <c r="AT84" s="67" t="n">
        <f aca="false">-AT62</f>
        <v>-0</v>
      </c>
      <c r="AU84" s="67" t="n">
        <f aca="false">-AU62</f>
        <v>-0</v>
      </c>
      <c r="AV84" s="67" t="n">
        <f aca="false">-AV62</f>
        <v>-0</v>
      </c>
      <c r="AW84" s="67" t="n">
        <f aca="false">-AW62</f>
        <v>-0</v>
      </c>
      <c r="AX84" s="67" t="n">
        <f aca="false">-AX62</f>
        <v>-0</v>
      </c>
      <c r="AY84" s="67" t="n">
        <f aca="false">-AY62</f>
        <v>-2500</v>
      </c>
      <c r="AZ84" s="67" t="n">
        <f aca="false">-AZ62</f>
        <v>-0</v>
      </c>
      <c r="BA84" s="67" t="n">
        <f aca="false">-BA62</f>
        <v>-0</v>
      </c>
      <c r="BB84" s="67" t="n">
        <f aca="false">-BB62</f>
        <v>-0</v>
      </c>
      <c r="BC84" s="67" t="n">
        <f aca="false">-BC62</f>
        <v>-0</v>
      </c>
      <c r="BD84" s="67" t="n">
        <f aca="false">-BD62</f>
        <v>-0</v>
      </c>
      <c r="BE84" s="67" t="n">
        <f aca="false">-BE62</f>
        <v>-0</v>
      </c>
      <c r="BF84" s="67" t="n">
        <f aca="false">-BF62</f>
        <v>-0</v>
      </c>
      <c r="BG84" s="67" t="n">
        <f aca="false">-BG62</f>
        <v>-0</v>
      </c>
      <c r="BH84" s="67" t="n">
        <f aca="false">-BH62</f>
        <v>-0</v>
      </c>
      <c r="BI84" s="67" t="n">
        <f aca="false">-BI62</f>
        <v>-0</v>
      </c>
      <c r="BJ84" s="67" t="n">
        <f aca="false">-BJ62</f>
        <v>-0</v>
      </c>
    </row>
    <row r="85" customFormat="false" ht="15" hidden="false" customHeight="false" outlineLevel="0" collapsed="false">
      <c r="A85" s="6" t="s">
        <v>64</v>
      </c>
      <c r="C85" s="67" t="n">
        <f aca="false">IF(C$4=1,Inputs!$E$71,0)</f>
        <v>100000</v>
      </c>
      <c r="D85" s="67" t="n">
        <f aca="false">IF(D$4=1,Inputs!$E$71,0)</f>
        <v>0</v>
      </c>
      <c r="E85" s="67" t="n">
        <f aca="false">IF(E$4=1,Inputs!$E$71,0)</f>
        <v>0</v>
      </c>
      <c r="F85" s="67" t="n">
        <f aca="false">IF(F$4=1,Inputs!$E$71,0)</f>
        <v>0</v>
      </c>
      <c r="G85" s="67" t="n">
        <f aca="false">IF(G$4=1,Inputs!$E$71,0)</f>
        <v>0</v>
      </c>
      <c r="H85" s="67" t="n">
        <f aca="false">IF(H$4=1,Inputs!$E$71,0)</f>
        <v>0</v>
      </c>
      <c r="I85" s="67" t="n">
        <f aca="false">IF(I$4=1,Inputs!$E$71,0)</f>
        <v>0</v>
      </c>
      <c r="J85" s="67" t="n">
        <f aca="false">IF(J$4=1,Inputs!$E$71,0)</f>
        <v>0</v>
      </c>
      <c r="K85" s="67" t="n">
        <f aca="false">IF(K$4=1,Inputs!$E$71,0)</f>
        <v>0</v>
      </c>
      <c r="L85" s="67" t="n">
        <f aca="false">IF(L$4=1,Inputs!$E$71,0)</f>
        <v>0</v>
      </c>
      <c r="M85" s="67" t="n">
        <f aca="false">IF(M$4=1,Inputs!$E$71,0)</f>
        <v>0</v>
      </c>
      <c r="N85" s="67" t="n">
        <f aca="false">IF(N$4=1,Inputs!$E$71,0)</f>
        <v>0</v>
      </c>
      <c r="O85" s="67" t="n">
        <f aca="false">IF(O$4=1,Inputs!$E$71,0)</f>
        <v>0</v>
      </c>
      <c r="P85" s="67" t="n">
        <f aca="false">IF(P$4=1,Inputs!$E$71,0)</f>
        <v>0</v>
      </c>
      <c r="Q85" s="67" t="n">
        <f aca="false">IF(Q$4=1,Inputs!$E$71,0)</f>
        <v>0</v>
      </c>
      <c r="R85" s="67" t="n">
        <f aca="false">IF(R$4=1,Inputs!$E$71,0)</f>
        <v>0</v>
      </c>
      <c r="S85" s="67" t="n">
        <f aca="false">IF(S$4=1,Inputs!$E$71,0)</f>
        <v>0</v>
      </c>
      <c r="T85" s="67" t="n">
        <f aca="false">IF(T$4=1,Inputs!$E$71,0)</f>
        <v>0</v>
      </c>
      <c r="U85" s="67" t="n">
        <f aca="false">IF(U$4=1,Inputs!$E$71,0)</f>
        <v>0</v>
      </c>
      <c r="V85" s="67" t="n">
        <f aca="false">IF(V$4=1,Inputs!$E$71,0)</f>
        <v>0</v>
      </c>
      <c r="W85" s="67" t="n">
        <f aca="false">IF(W$4=1,Inputs!$E$71,0)</f>
        <v>0</v>
      </c>
      <c r="X85" s="67" t="n">
        <f aca="false">IF(X$4=1,Inputs!$E$71,0)</f>
        <v>0</v>
      </c>
      <c r="Y85" s="67" t="n">
        <f aca="false">IF(Y$4=1,Inputs!$E$71,0)</f>
        <v>0</v>
      </c>
      <c r="Z85" s="67" t="n">
        <f aca="false">IF(Z$4=1,Inputs!$E$71,0)</f>
        <v>0</v>
      </c>
      <c r="AA85" s="67" t="n">
        <f aca="false">IF(AA$4=1,Inputs!$E$71,0)</f>
        <v>0</v>
      </c>
      <c r="AB85" s="67" t="n">
        <f aca="false">IF(AB$4=1,Inputs!$E$71,0)</f>
        <v>0</v>
      </c>
      <c r="AC85" s="67" t="n">
        <f aca="false">IF(AC$4=1,Inputs!$E$71,0)</f>
        <v>0</v>
      </c>
      <c r="AD85" s="67" t="n">
        <f aca="false">IF(AD$4=1,Inputs!$E$71,0)</f>
        <v>0</v>
      </c>
      <c r="AE85" s="67" t="n">
        <f aca="false">IF(AE$4=1,Inputs!$E$71,0)</f>
        <v>0</v>
      </c>
      <c r="AF85" s="67" t="n">
        <f aca="false">IF(AF$4=1,Inputs!$E$71,0)</f>
        <v>0</v>
      </c>
      <c r="AG85" s="67" t="n">
        <f aca="false">IF(AG$4=1,Inputs!$E$71,0)</f>
        <v>0</v>
      </c>
      <c r="AH85" s="67" t="n">
        <f aca="false">IF(AH$4=1,Inputs!$E$71,0)</f>
        <v>0</v>
      </c>
      <c r="AI85" s="67" t="n">
        <f aca="false">IF(AI$4=1,Inputs!$E$71,0)</f>
        <v>0</v>
      </c>
      <c r="AJ85" s="67" t="n">
        <f aca="false">IF(AJ$4=1,Inputs!$E$71,0)</f>
        <v>0</v>
      </c>
      <c r="AK85" s="67" t="n">
        <f aca="false">IF(AK$4=1,Inputs!$E$71,0)</f>
        <v>0</v>
      </c>
      <c r="AL85" s="67" t="n">
        <f aca="false">IF(AL$4=1,Inputs!$E$71,0)</f>
        <v>0</v>
      </c>
      <c r="AM85" s="67" t="n">
        <f aca="false">IF(AM$4=1,Inputs!$E$71,0)</f>
        <v>0</v>
      </c>
      <c r="AN85" s="67" t="n">
        <f aca="false">IF(AN$4=1,Inputs!$E$71,0)</f>
        <v>0</v>
      </c>
      <c r="AO85" s="67" t="n">
        <f aca="false">IF(AO$4=1,Inputs!$E$71,0)</f>
        <v>0</v>
      </c>
      <c r="AP85" s="67" t="n">
        <f aca="false">IF(AP$4=1,Inputs!$E$71,0)</f>
        <v>0</v>
      </c>
      <c r="AQ85" s="67" t="n">
        <f aca="false">IF(AQ$4=1,Inputs!$E$71,0)</f>
        <v>0</v>
      </c>
      <c r="AR85" s="67" t="n">
        <f aca="false">IF(AR$4=1,Inputs!$E$71,0)</f>
        <v>0</v>
      </c>
      <c r="AS85" s="67" t="n">
        <f aca="false">IF(AS$4=1,Inputs!$E$71,0)</f>
        <v>0</v>
      </c>
      <c r="AT85" s="67" t="n">
        <f aca="false">IF(AT$4=1,Inputs!$E$71,0)</f>
        <v>0</v>
      </c>
      <c r="AU85" s="67" t="n">
        <f aca="false">IF(AU$4=1,Inputs!$E$71,0)</f>
        <v>0</v>
      </c>
      <c r="AV85" s="67" t="n">
        <f aca="false">IF(AV$4=1,Inputs!$E$71,0)</f>
        <v>0</v>
      </c>
      <c r="AW85" s="67" t="n">
        <f aca="false">IF(AW$4=1,Inputs!$E$71,0)</f>
        <v>0</v>
      </c>
      <c r="AX85" s="67" t="n">
        <f aca="false">IF(AX$4=1,Inputs!$E$71,0)</f>
        <v>0</v>
      </c>
      <c r="AY85" s="67" t="n">
        <f aca="false">IF(AY$4=1,Inputs!$E$71,0)</f>
        <v>0</v>
      </c>
      <c r="AZ85" s="67" t="n">
        <f aca="false">IF(AZ$4=1,Inputs!$E$71,0)</f>
        <v>0</v>
      </c>
      <c r="BA85" s="67" t="n">
        <f aca="false">IF(BA$4=1,Inputs!$E$71,0)</f>
        <v>0</v>
      </c>
      <c r="BB85" s="67" t="n">
        <f aca="false">IF(BB$4=1,Inputs!$E$71,0)</f>
        <v>0</v>
      </c>
      <c r="BC85" s="67" t="n">
        <f aca="false">IF(BC$4=1,Inputs!$E$71,0)</f>
        <v>0</v>
      </c>
      <c r="BD85" s="67" t="n">
        <f aca="false">IF(BD$4=1,Inputs!$E$71,0)</f>
        <v>0</v>
      </c>
      <c r="BE85" s="67" t="n">
        <f aca="false">IF(BE$4=1,Inputs!$E$71,0)</f>
        <v>0</v>
      </c>
      <c r="BF85" s="67" t="n">
        <f aca="false">IF(BF$4=1,Inputs!$E$71,0)</f>
        <v>0</v>
      </c>
      <c r="BG85" s="67" t="n">
        <f aca="false">IF(BG$4=1,Inputs!$E$71,0)</f>
        <v>0</v>
      </c>
      <c r="BH85" s="67" t="n">
        <f aca="false">IF(BH$4=1,Inputs!$E$71,0)</f>
        <v>0</v>
      </c>
      <c r="BI85" s="67" t="n">
        <f aca="false">IF(BI$4=1,Inputs!$E$71,0)</f>
        <v>0</v>
      </c>
      <c r="BJ85" s="67" t="n">
        <f aca="false">IF(BJ$4=1,Inputs!$E$71,0)</f>
        <v>0</v>
      </c>
    </row>
    <row r="86" customFormat="false" ht="15" hidden="false" customHeight="false" outlineLevel="0" collapsed="false">
      <c r="A86" s="6" t="s">
        <v>54</v>
      </c>
      <c r="C86" s="67" t="n">
        <f aca="false">C85+C70+C71</f>
        <v>190000</v>
      </c>
      <c r="D86" s="67" t="n">
        <f aca="false">D85+D70+D71</f>
        <v>-1500</v>
      </c>
      <c r="E86" s="67" t="n">
        <f aca="false">E85+E70+E71</f>
        <v>-1500</v>
      </c>
      <c r="F86" s="67" t="n">
        <f aca="false">F85+F70+F71</f>
        <v>-1500</v>
      </c>
      <c r="G86" s="67" t="n">
        <f aca="false">G85+G70+G71</f>
        <v>-1500</v>
      </c>
      <c r="H86" s="67" t="n">
        <f aca="false">H85+H70+H71</f>
        <v>-1500</v>
      </c>
      <c r="I86" s="67" t="n">
        <f aca="false">I85+I70+I71</f>
        <v>-1500</v>
      </c>
      <c r="J86" s="67" t="n">
        <f aca="false">J85+J70+J71</f>
        <v>-1500</v>
      </c>
      <c r="K86" s="67" t="n">
        <f aca="false">K85+K70+K71</f>
        <v>-1500</v>
      </c>
      <c r="L86" s="67" t="n">
        <f aca="false">L85+L70+L71</f>
        <v>-1500</v>
      </c>
      <c r="M86" s="67" t="n">
        <f aca="false">M85+M70+M71</f>
        <v>-1500</v>
      </c>
      <c r="N86" s="67" t="n">
        <f aca="false">N85+N70+N71</f>
        <v>-1500</v>
      </c>
      <c r="O86" s="67" t="n">
        <f aca="false">O85+O70+O71</f>
        <v>-1500</v>
      </c>
      <c r="P86" s="67" t="n">
        <f aca="false">P85+P70+P71</f>
        <v>-1500</v>
      </c>
      <c r="Q86" s="67" t="n">
        <f aca="false">Q85+Q70+Q71</f>
        <v>-1500</v>
      </c>
      <c r="R86" s="67" t="n">
        <f aca="false">R85+R70+R71</f>
        <v>-1500</v>
      </c>
      <c r="S86" s="67" t="n">
        <f aca="false">S85+S70+S71</f>
        <v>-1500</v>
      </c>
      <c r="T86" s="67" t="n">
        <f aca="false">T85+T70+T71</f>
        <v>-1500</v>
      </c>
      <c r="U86" s="67" t="n">
        <f aca="false">U85+U70+U71</f>
        <v>-1500</v>
      </c>
      <c r="V86" s="67" t="n">
        <f aca="false">V85+V70+V71</f>
        <v>-1500</v>
      </c>
      <c r="W86" s="67" t="n">
        <f aca="false">W85+W70+W71</f>
        <v>-1500</v>
      </c>
      <c r="X86" s="67" t="n">
        <f aca="false">X85+X70+X71</f>
        <v>-1500</v>
      </c>
      <c r="Y86" s="67" t="n">
        <f aca="false">Y85+Y70+Y71</f>
        <v>-1500</v>
      </c>
      <c r="Z86" s="67" t="n">
        <f aca="false">Z85+Z70+Z71</f>
        <v>-1500</v>
      </c>
      <c r="AA86" s="67" t="n">
        <f aca="false">AA85+AA70+AA71</f>
        <v>-1500</v>
      </c>
      <c r="AB86" s="67" t="n">
        <f aca="false">AB85+AB70+AB71</f>
        <v>-1500</v>
      </c>
      <c r="AC86" s="67" t="n">
        <f aca="false">AC85+AC70+AC71</f>
        <v>-1500</v>
      </c>
      <c r="AD86" s="67" t="n">
        <f aca="false">AD85+AD70+AD71</f>
        <v>-1500</v>
      </c>
      <c r="AE86" s="67" t="n">
        <f aca="false">AE85+AE70+AE71</f>
        <v>-1500</v>
      </c>
      <c r="AF86" s="67" t="n">
        <f aca="false">AF85+AF70+AF71</f>
        <v>-1500</v>
      </c>
      <c r="AG86" s="67" t="n">
        <f aca="false">AG85+AG70+AG71</f>
        <v>-1500</v>
      </c>
      <c r="AH86" s="67" t="n">
        <f aca="false">AH85+AH70+AH71</f>
        <v>-1500</v>
      </c>
      <c r="AI86" s="67" t="n">
        <f aca="false">AI85+AI70+AI71</f>
        <v>-1500</v>
      </c>
      <c r="AJ86" s="67" t="n">
        <f aca="false">AJ85+AJ70+AJ71</f>
        <v>-1500</v>
      </c>
      <c r="AK86" s="67" t="n">
        <f aca="false">AK85+AK70+AK71</f>
        <v>-1500</v>
      </c>
      <c r="AL86" s="67" t="n">
        <f aca="false">AL85+AL70+AL71</f>
        <v>-1500</v>
      </c>
      <c r="AM86" s="67" t="n">
        <f aca="false">AM85+AM70+AM71</f>
        <v>-1500</v>
      </c>
      <c r="AN86" s="67" t="n">
        <f aca="false">AN85+AN70+AN71</f>
        <v>-1500</v>
      </c>
      <c r="AO86" s="67" t="n">
        <f aca="false">AO85+AO70+AO71</f>
        <v>-1500</v>
      </c>
      <c r="AP86" s="67" t="n">
        <f aca="false">AP85+AP70+AP71</f>
        <v>-1500</v>
      </c>
      <c r="AQ86" s="67" t="n">
        <f aca="false">AQ85+AQ70+AQ71</f>
        <v>-1500</v>
      </c>
      <c r="AR86" s="67" t="n">
        <f aca="false">AR85+AR70+AR71</f>
        <v>-1500</v>
      </c>
      <c r="AS86" s="67" t="n">
        <f aca="false">AS85+AS70+AS71</f>
        <v>-1500</v>
      </c>
      <c r="AT86" s="67" t="n">
        <f aca="false">AT85+AT70+AT71</f>
        <v>-1500</v>
      </c>
      <c r="AU86" s="67" t="n">
        <f aca="false">AU85+AU70+AU71</f>
        <v>-1500</v>
      </c>
      <c r="AV86" s="67" t="n">
        <f aca="false">AV85+AV70+AV71</f>
        <v>-1500</v>
      </c>
      <c r="AW86" s="67" t="n">
        <f aca="false">AW85+AW70+AW71</f>
        <v>-1500</v>
      </c>
      <c r="AX86" s="67" t="n">
        <f aca="false">AX85+AX70+AX71</f>
        <v>-1500</v>
      </c>
      <c r="AY86" s="67" t="n">
        <f aca="false">AY85+AY70+AY71</f>
        <v>-1500</v>
      </c>
      <c r="AZ86" s="67" t="n">
        <f aca="false">AZ85+AZ70+AZ71</f>
        <v>-1500</v>
      </c>
      <c r="BA86" s="67" t="n">
        <f aca="false">BA85+BA70+BA71</f>
        <v>-1500</v>
      </c>
      <c r="BB86" s="67" t="n">
        <f aca="false">BB85+BB70+BB71</f>
        <v>-1500</v>
      </c>
      <c r="BC86" s="67" t="n">
        <f aca="false">BC85+BC70+BC71</f>
        <v>-1500</v>
      </c>
      <c r="BD86" s="67" t="n">
        <f aca="false">BD85+BD70+BD71</f>
        <v>-1500</v>
      </c>
      <c r="BE86" s="67" t="n">
        <f aca="false">BE85+BE70+BE71</f>
        <v>-1500</v>
      </c>
      <c r="BF86" s="67" t="n">
        <f aca="false">BF85+BF70+BF71</f>
        <v>-1500</v>
      </c>
      <c r="BG86" s="67" t="n">
        <f aca="false">BG85+BG70+BG71</f>
        <v>-1500</v>
      </c>
      <c r="BH86" s="67" t="n">
        <f aca="false">BH85+BH70+BH71</f>
        <v>-1500</v>
      </c>
      <c r="BI86" s="67" t="n">
        <f aca="false">BI85+BI70+BI71</f>
        <v>-1500</v>
      </c>
      <c r="BJ86" s="67" t="n">
        <f aca="false">BJ85+BJ70+BJ71</f>
        <v>-1500</v>
      </c>
    </row>
    <row r="87" customFormat="false" ht="15" hidden="false" customHeight="false" outlineLevel="0" collapsed="false">
      <c r="A87" s="113" t="s">
        <v>444</v>
      </c>
      <c r="C87" s="68" t="n">
        <f aca="false">C83+C84+C86</f>
        <v>43071.0085333333</v>
      </c>
      <c r="D87" s="68" t="n">
        <f aca="false">D83+D84+D86</f>
        <v>-9025.57313333333</v>
      </c>
      <c r="E87" s="68" t="n">
        <f aca="false">E83+E84+E86</f>
        <v>-5469.1922</v>
      </c>
      <c r="F87" s="68" t="n">
        <f aca="false">F83+F84+F86</f>
        <v>-3868.09126666667</v>
      </c>
      <c r="G87" s="68" t="n">
        <f aca="false">G83+G84+G86</f>
        <v>-2473.30926666667</v>
      </c>
      <c r="H87" s="68" t="n">
        <f aca="false">H83+H84+H86</f>
        <v>-1078.52726666667</v>
      </c>
      <c r="I87" s="68" t="n">
        <f aca="false">I83+I84+I86</f>
        <v>316.25473333333</v>
      </c>
      <c r="J87" s="68" t="n">
        <f aca="false">J83+J84+J86</f>
        <v>434.84233333333</v>
      </c>
      <c r="K87" s="68" t="n">
        <f aca="false">K83+K84+K86</f>
        <v>446.09233333333</v>
      </c>
      <c r="L87" s="68" t="n">
        <f aca="false">L83+L84+L86</f>
        <v>457.34233333333</v>
      </c>
      <c r="M87" s="68" t="n">
        <f aca="false">M83+M84+M86</f>
        <v>468.59233333333</v>
      </c>
      <c r="N87" s="68" t="n">
        <f aca="false">N83+N84+N86</f>
        <v>-3439.14006666667</v>
      </c>
      <c r="O87" s="68" t="n">
        <f aca="false">O83+O84+O86</f>
        <v>-5957.78324330667</v>
      </c>
      <c r="P87" s="68" t="n">
        <f aca="false">P83+P84+P86</f>
        <v>-3386.77628586667</v>
      </c>
      <c r="Q87" s="68" t="n">
        <f aca="false">Q83+Q84+Q86</f>
        <v>789.167342293331</v>
      </c>
      <c r="R87" s="68" t="n">
        <f aca="false">R83+R84+R86</f>
        <v>1175.64663893333</v>
      </c>
      <c r="S87" s="68" t="n">
        <f aca="false">S83+S84+S86</f>
        <v>1186.89663893333</v>
      </c>
      <c r="T87" s="68" t="n">
        <f aca="false">T83+T84+T86</f>
        <v>1198.14663893333</v>
      </c>
      <c r="U87" s="68" t="n">
        <f aca="false">U83+U84+U86</f>
        <v>1209.39663893333</v>
      </c>
      <c r="V87" s="68" t="n">
        <f aca="false">V83+V84+V86</f>
        <v>1220.64663893333</v>
      </c>
      <c r="W87" s="68" t="n">
        <f aca="false">W83+W84+W86</f>
        <v>1231.89663893333</v>
      </c>
      <c r="X87" s="68" t="n">
        <f aca="false">X83+X84+X86</f>
        <v>1243.14663893333</v>
      </c>
      <c r="Y87" s="68" t="n">
        <f aca="false">Y83+Y84+Y86</f>
        <v>1254.39663893333</v>
      </c>
      <c r="Z87" s="68" t="n">
        <f aca="false">Z83+Z84+Z86</f>
        <v>-2899.04698922667</v>
      </c>
      <c r="AA87" s="68" t="n">
        <f aca="false">AA83+AA84+AA86</f>
        <v>-5404.24850842805</v>
      </c>
      <c r="AB87" s="68" t="n">
        <f aca="false">AB83+AB84+AB86</f>
        <v>-2829.36972389595</v>
      </c>
      <c r="AC87" s="68" t="n">
        <f aca="false">AC83+AC84+AC86</f>
        <v>1607.460302219</v>
      </c>
      <c r="AD87" s="68" t="n">
        <f aca="false">AD83+AD84+AD86</f>
        <v>2016.79106302437</v>
      </c>
      <c r="AE87" s="68" t="n">
        <f aca="false">AE83+AE84+AE86</f>
        <v>2028.04106302437</v>
      </c>
      <c r="AF87" s="68" t="n">
        <f aca="false">AF83+AF84+AF86</f>
        <v>2039.29106302437</v>
      </c>
      <c r="AG87" s="68" t="n">
        <f aca="false">AG83+AG84+AG86</f>
        <v>2050.54106302437</v>
      </c>
      <c r="AH87" s="68" t="n">
        <f aca="false">AH83+AH84+AH86</f>
        <v>2061.79106302437</v>
      </c>
      <c r="AI87" s="68" t="n">
        <f aca="false">AI83+AI84+AI86</f>
        <v>2073.04106302437</v>
      </c>
      <c r="AJ87" s="68" t="n">
        <f aca="false">AJ83+AJ84+AJ86</f>
        <v>2084.29106302437</v>
      </c>
      <c r="AK87" s="68" t="n">
        <f aca="false">AK83+AK84+AK86</f>
        <v>2095.54106302437</v>
      </c>
      <c r="AL87" s="68" t="n">
        <f aca="false">AL83+AL84+AL86</f>
        <v>-2318.78896309057</v>
      </c>
      <c r="AM87" s="68" t="n">
        <f aca="false">AM83+AM84+AM86</f>
        <v>-4809.11356131129</v>
      </c>
      <c r="AN87" s="68" t="n">
        <f aca="false">AN83+AN84+AN86</f>
        <v>-2230.10819620389</v>
      </c>
      <c r="AO87" s="68" t="n">
        <f aca="false">AO83+AO84+AO86</f>
        <v>2483.71390618145</v>
      </c>
      <c r="AP87" s="68" t="n">
        <f aca="false">AP83+AP84+AP86</f>
        <v>2917.28778531988</v>
      </c>
      <c r="AQ87" s="68" t="n">
        <f aca="false">AQ83+AQ84+AQ86</f>
        <v>2928.53778531988</v>
      </c>
      <c r="AR87" s="68" t="n">
        <f aca="false">AR83+AR84+AR86</f>
        <v>2939.78778531988</v>
      </c>
      <c r="AS87" s="68" t="n">
        <f aca="false">AS83+AS84+AS86</f>
        <v>2951.03778531988</v>
      </c>
      <c r="AT87" s="68" t="n">
        <f aca="false">AT83+AT84+AT86</f>
        <v>2962.28778531988</v>
      </c>
      <c r="AU87" s="68" t="n">
        <f aca="false">AU83+AU84+AU86</f>
        <v>2973.53778531988</v>
      </c>
      <c r="AV87" s="68" t="n">
        <f aca="false">AV83+AV84+AV86</f>
        <v>2984.78778531988</v>
      </c>
      <c r="AW87" s="68" t="n">
        <f aca="false">AW83+AW84+AW86</f>
        <v>2996.03778531988</v>
      </c>
      <c r="AX87" s="68" t="n">
        <f aca="false">AX83+AX84+AX86</f>
        <v>-1695.28431706547</v>
      </c>
      <c r="AY87" s="68" t="n">
        <f aca="false">AY83+AY84+AY86</f>
        <v>-4169.17788084881</v>
      </c>
      <c r="AZ87" s="68" t="n">
        <f aca="false">AZ83+AZ84+AZ86</f>
        <v>-1585.7741220199</v>
      </c>
      <c r="BA87" s="68" t="n">
        <f aca="false">BA83+BA84+BA86</f>
        <v>3422.13310166111</v>
      </c>
      <c r="BB87" s="68" t="n">
        <f aca="false">BB83+BB84+BB86</f>
        <v>3881.42650503907</v>
      </c>
      <c r="BC87" s="68" t="n">
        <f aca="false">BC83+BC84+BC86</f>
        <v>3892.67650503907</v>
      </c>
      <c r="BD87" s="68" t="n">
        <f aca="false">BD83+BD84+BD86</f>
        <v>3903.92650503907</v>
      </c>
      <c r="BE87" s="68" t="n">
        <f aca="false">BE83+BE84+BE86</f>
        <v>3162.18397480068</v>
      </c>
      <c r="BF87" s="68" t="n">
        <f aca="false">BF83+BF84+BF86</f>
        <v>3156.87693898086</v>
      </c>
      <c r="BG87" s="68" t="n">
        <f aca="false">BG83+BG84+BG86</f>
        <v>3165.76443898086</v>
      </c>
      <c r="BH87" s="68" t="n">
        <f aca="false">BH83+BH84+BH86</f>
        <v>3174.65193898086</v>
      </c>
      <c r="BI87" s="68" t="n">
        <f aca="false">BI83+BI84+BI86</f>
        <v>3183.53943898086</v>
      </c>
      <c r="BJ87" s="68" t="n">
        <f aca="false">BJ83+BJ84+BJ86</f>
        <v>-1025.23071864194</v>
      </c>
    </row>
    <row r="88" customFormat="false" ht="15" hidden="false" customHeight="false" outlineLevel="0" collapsed="false">
      <c r="A88" s="6" t="s">
        <v>345</v>
      </c>
      <c r="C88" s="67" t="n">
        <f aca="false">0</f>
        <v>0</v>
      </c>
      <c r="D88" s="67" t="n">
        <f aca="false">C89</f>
        <v>43071.0085333333</v>
      </c>
      <c r="E88" s="67" t="n">
        <f aca="false">D89</f>
        <v>34045.4354</v>
      </c>
      <c r="F88" s="67" t="n">
        <f aca="false">E89</f>
        <v>28576.2432</v>
      </c>
      <c r="G88" s="67" t="n">
        <f aca="false">F89</f>
        <v>24708.1519333333</v>
      </c>
      <c r="H88" s="67" t="n">
        <f aca="false">G89</f>
        <v>22234.8426666667</v>
      </c>
      <c r="I88" s="67" t="n">
        <f aca="false">H89</f>
        <v>21156.3154</v>
      </c>
      <c r="J88" s="67" t="n">
        <f aca="false">I89</f>
        <v>21472.5701333333</v>
      </c>
      <c r="K88" s="67" t="n">
        <f aca="false">J89</f>
        <v>21907.4124666667</v>
      </c>
      <c r="L88" s="67" t="n">
        <f aca="false">K89</f>
        <v>22353.5048</v>
      </c>
      <c r="M88" s="67" t="n">
        <f aca="false">L89</f>
        <v>22810.8471333333</v>
      </c>
      <c r="N88" s="67" t="n">
        <f aca="false">M89</f>
        <v>23279.4394666666</v>
      </c>
      <c r="O88" s="67" t="n">
        <f aca="false">N89</f>
        <v>19840.2994</v>
      </c>
      <c r="P88" s="67" t="n">
        <f aca="false">O89</f>
        <v>13882.5161566933</v>
      </c>
      <c r="Q88" s="67" t="n">
        <f aca="false">P89</f>
        <v>10495.7398708266</v>
      </c>
      <c r="R88" s="67" t="n">
        <f aca="false">Q89</f>
        <v>11284.90721312</v>
      </c>
      <c r="S88" s="67" t="n">
        <f aca="false">R89</f>
        <v>12460.5538520533</v>
      </c>
      <c r="T88" s="67" t="n">
        <f aca="false">S89</f>
        <v>13647.4504909866</v>
      </c>
      <c r="U88" s="67" t="n">
        <f aca="false">T89</f>
        <v>14845.59712992</v>
      </c>
      <c r="V88" s="67" t="n">
        <f aca="false">U89</f>
        <v>16054.9937688533</v>
      </c>
      <c r="W88" s="67" t="n">
        <f aca="false">V89</f>
        <v>17275.6404077866</v>
      </c>
      <c r="X88" s="67" t="n">
        <f aca="false">W89</f>
        <v>18507.53704672</v>
      </c>
      <c r="Y88" s="67" t="n">
        <f aca="false">X89</f>
        <v>19750.6836856533</v>
      </c>
      <c r="Z88" s="67" t="n">
        <f aca="false">Y89</f>
        <v>21005.0803245866</v>
      </c>
      <c r="AA88" s="67" t="n">
        <f aca="false">Z89</f>
        <v>18106.0333353599</v>
      </c>
      <c r="AB88" s="67" t="n">
        <f aca="false">AA89</f>
        <v>12701.7848269319</v>
      </c>
      <c r="AC88" s="67" t="n">
        <f aca="false">AB89</f>
        <v>9872.41510303594</v>
      </c>
      <c r="AD88" s="67" t="n">
        <f aca="false">AC89</f>
        <v>11479.8754052549</v>
      </c>
      <c r="AE88" s="67" t="n">
        <f aca="false">AD89</f>
        <v>13496.6664682793</v>
      </c>
      <c r="AF88" s="67" t="n">
        <f aca="false">AE89</f>
        <v>15524.7075313037</v>
      </c>
      <c r="AG88" s="67" t="n">
        <f aca="false">AF89</f>
        <v>17563.9985943281</v>
      </c>
      <c r="AH88" s="67" t="n">
        <f aca="false">AG89</f>
        <v>19614.5396573524</v>
      </c>
      <c r="AI88" s="67" t="n">
        <f aca="false">AH89</f>
        <v>21676.3307203768</v>
      </c>
      <c r="AJ88" s="67" t="n">
        <f aca="false">AI89</f>
        <v>23749.3717834012</v>
      </c>
      <c r="AK88" s="67" t="n">
        <f aca="false">AJ89</f>
        <v>25833.6628464256</v>
      </c>
      <c r="AL88" s="67" t="n">
        <f aca="false">AK89</f>
        <v>27929.2039094499</v>
      </c>
      <c r="AM88" s="67" t="n">
        <f aca="false">AL89</f>
        <v>25610.4149463593</v>
      </c>
      <c r="AN88" s="67" t="n">
        <f aca="false">AM89</f>
        <v>20801.3013850481</v>
      </c>
      <c r="AO88" s="67" t="n">
        <f aca="false">AN89</f>
        <v>18571.1931888442</v>
      </c>
      <c r="AP88" s="67" t="n">
        <f aca="false">AO89</f>
        <v>21054.9070950256</v>
      </c>
      <c r="AQ88" s="67" t="n">
        <f aca="false">AP89</f>
        <v>23972.1948803455</v>
      </c>
      <c r="AR88" s="67" t="n">
        <f aca="false">AQ89</f>
        <v>26900.7326656654</v>
      </c>
      <c r="AS88" s="67" t="n">
        <f aca="false">AR89</f>
        <v>29840.5204509853</v>
      </c>
      <c r="AT88" s="67" t="n">
        <f aca="false">AS89</f>
        <v>32791.5582363051</v>
      </c>
      <c r="AU88" s="67" t="n">
        <f aca="false">AT89</f>
        <v>35753.846021625</v>
      </c>
      <c r="AV88" s="67" t="n">
        <f aca="false">AU89</f>
        <v>38727.3838069449</v>
      </c>
      <c r="AW88" s="67" t="n">
        <f aca="false">AV89</f>
        <v>41712.1715922648</v>
      </c>
      <c r="AX88" s="67" t="n">
        <f aca="false">AW89</f>
        <v>44708.2093775846</v>
      </c>
      <c r="AY88" s="67" t="n">
        <f aca="false">AX89</f>
        <v>43012.9250605192</v>
      </c>
      <c r="AZ88" s="67" t="n">
        <f aca="false">AY89</f>
        <v>38843.7471796704</v>
      </c>
      <c r="BA88" s="67" t="n">
        <f aca="false">AZ89</f>
        <v>37257.9730576505</v>
      </c>
      <c r="BB88" s="67" t="n">
        <f aca="false">BA89</f>
        <v>40680.1061593116</v>
      </c>
      <c r="BC88" s="67" t="n">
        <f aca="false">BB89</f>
        <v>44561.5326643506</v>
      </c>
      <c r="BD88" s="67" t="n">
        <f aca="false">BC89</f>
        <v>48454.2091693897</v>
      </c>
      <c r="BE88" s="67" t="n">
        <f aca="false">BD89</f>
        <v>52358.1356744288</v>
      </c>
      <c r="BF88" s="67" t="n">
        <f aca="false">BE89</f>
        <v>55520.3196492295</v>
      </c>
      <c r="BG88" s="67" t="n">
        <f aca="false">BF89</f>
        <v>58677.1965882103</v>
      </c>
      <c r="BH88" s="67" t="n">
        <f aca="false">BG89</f>
        <v>61842.9610271912</v>
      </c>
      <c r="BI88" s="67" t="n">
        <f aca="false">BH89</f>
        <v>65017.6129661721</v>
      </c>
      <c r="BJ88" s="67" t="n">
        <f aca="false">BI89</f>
        <v>68201.1524051529</v>
      </c>
    </row>
    <row r="89" customFormat="false" ht="15" hidden="false" customHeight="false" outlineLevel="0" collapsed="false">
      <c r="A89" s="113" t="s">
        <v>87</v>
      </c>
      <c r="C89" s="68" t="n">
        <f aca="false">C88+C87</f>
        <v>43071.0085333333</v>
      </c>
      <c r="D89" s="68" t="n">
        <f aca="false">D88+D87</f>
        <v>34045.4354</v>
      </c>
      <c r="E89" s="68" t="n">
        <f aca="false">E88+E87</f>
        <v>28576.2432</v>
      </c>
      <c r="F89" s="68" t="n">
        <f aca="false">F88+F87</f>
        <v>24708.1519333333</v>
      </c>
      <c r="G89" s="68" t="n">
        <f aca="false">G88+G87</f>
        <v>22234.8426666667</v>
      </c>
      <c r="H89" s="68" t="n">
        <f aca="false">H88+H87</f>
        <v>21156.3154</v>
      </c>
      <c r="I89" s="68" t="n">
        <f aca="false">I88+I87</f>
        <v>21472.5701333333</v>
      </c>
      <c r="J89" s="68" t="n">
        <f aca="false">J88+J87</f>
        <v>21907.4124666667</v>
      </c>
      <c r="K89" s="68" t="n">
        <f aca="false">K88+K87</f>
        <v>22353.5048</v>
      </c>
      <c r="L89" s="68" t="n">
        <f aca="false">L88+L87</f>
        <v>22810.8471333333</v>
      </c>
      <c r="M89" s="68" t="n">
        <f aca="false">M88+M87</f>
        <v>23279.4394666666</v>
      </c>
      <c r="N89" s="68" t="n">
        <f aca="false">N88+N87</f>
        <v>19840.2994</v>
      </c>
      <c r="O89" s="68" t="n">
        <f aca="false">O88+O87</f>
        <v>13882.5161566933</v>
      </c>
      <c r="P89" s="68" t="n">
        <f aca="false">P88+P87</f>
        <v>10495.7398708266</v>
      </c>
      <c r="Q89" s="68" t="n">
        <f aca="false">Q88+Q87</f>
        <v>11284.90721312</v>
      </c>
      <c r="R89" s="68" t="n">
        <f aca="false">R88+R87</f>
        <v>12460.5538520533</v>
      </c>
      <c r="S89" s="68" t="n">
        <f aca="false">S88+S87</f>
        <v>13647.4504909866</v>
      </c>
      <c r="T89" s="68" t="n">
        <f aca="false">T88+T87</f>
        <v>14845.59712992</v>
      </c>
      <c r="U89" s="68" t="n">
        <f aca="false">U88+U87</f>
        <v>16054.9937688533</v>
      </c>
      <c r="V89" s="68" t="n">
        <f aca="false">V88+V87</f>
        <v>17275.6404077866</v>
      </c>
      <c r="W89" s="68" t="n">
        <f aca="false">W88+W87</f>
        <v>18507.53704672</v>
      </c>
      <c r="X89" s="68" t="n">
        <f aca="false">X88+X87</f>
        <v>19750.6836856533</v>
      </c>
      <c r="Y89" s="68" t="n">
        <f aca="false">Y88+Y87</f>
        <v>21005.0803245866</v>
      </c>
      <c r="Z89" s="68" t="n">
        <f aca="false">Z88+Z87</f>
        <v>18106.0333353599</v>
      </c>
      <c r="AA89" s="68" t="n">
        <f aca="false">AA88+AA87</f>
        <v>12701.7848269319</v>
      </c>
      <c r="AB89" s="68" t="n">
        <f aca="false">AB88+AB87</f>
        <v>9872.41510303594</v>
      </c>
      <c r="AC89" s="68" t="n">
        <f aca="false">AC88+AC87</f>
        <v>11479.8754052549</v>
      </c>
      <c r="AD89" s="68" t="n">
        <f aca="false">AD88+AD87</f>
        <v>13496.6664682793</v>
      </c>
      <c r="AE89" s="68" t="n">
        <f aca="false">AE88+AE87</f>
        <v>15524.7075313037</v>
      </c>
      <c r="AF89" s="68" t="n">
        <f aca="false">AF88+AF87</f>
        <v>17563.9985943281</v>
      </c>
      <c r="AG89" s="68" t="n">
        <f aca="false">AG88+AG87</f>
        <v>19614.5396573524</v>
      </c>
      <c r="AH89" s="68" t="n">
        <f aca="false">AH88+AH87</f>
        <v>21676.3307203768</v>
      </c>
      <c r="AI89" s="68" t="n">
        <f aca="false">AI88+AI87</f>
        <v>23749.3717834012</v>
      </c>
      <c r="AJ89" s="68" t="n">
        <f aca="false">AJ88+AJ87</f>
        <v>25833.6628464256</v>
      </c>
      <c r="AK89" s="68" t="n">
        <f aca="false">AK88+AK87</f>
        <v>27929.2039094499</v>
      </c>
      <c r="AL89" s="68" t="n">
        <f aca="false">AL88+AL87</f>
        <v>25610.4149463593</v>
      </c>
      <c r="AM89" s="68" t="n">
        <f aca="false">AM88+AM87</f>
        <v>20801.3013850481</v>
      </c>
      <c r="AN89" s="68" t="n">
        <f aca="false">AN88+AN87</f>
        <v>18571.1931888442</v>
      </c>
      <c r="AO89" s="68" t="n">
        <f aca="false">AO88+AO87</f>
        <v>21054.9070950256</v>
      </c>
      <c r="AP89" s="68" t="n">
        <f aca="false">AP88+AP87</f>
        <v>23972.1948803455</v>
      </c>
      <c r="AQ89" s="68" t="n">
        <f aca="false">AQ88+AQ87</f>
        <v>26900.7326656654</v>
      </c>
      <c r="AR89" s="68" t="n">
        <f aca="false">AR88+AR87</f>
        <v>29840.5204509853</v>
      </c>
      <c r="AS89" s="68" t="n">
        <f aca="false">AS88+AS87</f>
        <v>32791.5582363051</v>
      </c>
      <c r="AT89" s="68" t="n">
        <f aca="false">AT88+AT87</f>
        <v>35753.846021625</v>
      </c>
      <c r="AU89" s="68" t="n">
        <f aca="false">AU88+AU87</f>
        <v>38727.3838069449</v>
      </c>
      <c r="AV89" s="68" t="n">
        <f aca="false">AV88+AV87</f>
        <v>41712.1715922648</v>
      </c>
      <c r="AW89" s="68" t="n">
        <f aca="false">AW88+AW87</f>
        <v>44708.2093775846</v>
      </c>
      <c r="AX89" s="68" t="n">
        <f aca="false">AX88+AX87</f>
        <v>43012.9250605192</v>
      </c>
      <c r="AY89" s="68" t="n">
        <f aca="false">AY88+AY87</f>
        <v>38843.7471796704</v>
      </c>
      <c r="AZ89" s="68" t="n">
        <f aca="false">AZ88+AZ87</f>
        <v>37257.9730576505</v>
      </c>
      <c r="BA89" s="68" t="n">
        <f aca="false">BA88+BA87</f>
        <v>40680.1061593116</v>
      </c>
      <c r="BB89" s="68" t="n">
        <f aca="false">BB88+BB87</f>
        <v>44561.5326643506</v>
      </c>
      <c r="BC89" s="68" t="n">
        <f aca="false">BC88+BC87</f>
        <v>48454.2091693897</v>
      </c>
      <c r="BD89" s="68" t="n">
        <f aca="false">BD88+BD87</f>
        <v>52358.1356744288</v>
      </c>
      <c r="BE89" s="68" t="n">
        <f aca="false">BE88+BE87</f>
        <v>55520.3196492295</v>
      </c>
      <c r="BF89" s="68" t="n">
        <f aca="false">BF88+BF87</f>
        <v>58677.1965882103</v>
      </c>
      <c r="BG89" s="68" t="n">
        <f aca="false">BG88+BG87</f>
        <v>61842.9610271912</v>
      </c>
      <c r="BH89" s="68" t="n">
        <f aca="false">BH88+BH87</f>
        <v>65017.6129661721</v>
      </c>
      <c r="BI89" s="68" t="n">
        <f aca="false">BI88+BI87</f>
        <v>68201.1524051529</v>
      </c>
      <c r="BJ89" s="68" t="n">
        <f aca="false">BJ88+BJ87</f>
        <v>67175.921686511</v>
      </c>
    </row>
    <row r="90" customFormat="false" ht="15" hidden="false" customHeight="false" outlineLevel="0" collapsed="false">
      <c r="A90" s="117" t="s">
        <v>445</v>
      </c>
      <c r="C90" s="116" t="n">
        <f aca="false">IF(C46&gt;0,1,0)</f>
        <v>0</v>
      </c>
      <c r="D90" s="116" t="n">
        <f aca="false">IF(D46&gt;0,1,0)</f>
        <v>0</v>
      </c>
      <c r="E90" s="116" t="n">
        <f aca="false">IF(E46&gt;0,1,0)</f>
        <v>0</v>
      </c>
      <c r="F90" s="116" t="n">
        <f aca="false">IF(F46&gt;0,1,0)</f>
        <v>0</v>
      </c>
      <c r="G90" s="116" t="n">
        <f aca="false">IF(G46&gt;0,1,0)</f>
        <v>0</v>
      </c>
      <c r="H90" s="116" t="n">
        <f aca="false">IF(H46&gt;0,1,0)</f>
        <v>1</v>
      </c>
      <c r="I90" s="116" t="n">
        <f aca="false">IF(I46&gt;0,1,0)</f>
        <v>1</v>
      </c>
      <c r="J90" s="116" t="n">
        <f aca="false">IF(J46&gt;0,1,0)</f>
        <v>1</v>
      </c>
      <c r="K90" s="116" t="n">
        <f aca="false">IF(K46&gt;0,1,0)</f>
        <v>1</v>
      </c>
      <c r="L90" s="116" t="n">
        <f aca="false">IF(L46&gt;0,1,0)</f>
        <v>1</v>
      </c>
      <c r="M90" s="116" t="n">
        <f aca="false">IF(M46&gt;0,1,0)</f>
        <v>1</v>
      </c>
      <c r="N90" s="116" t="n">
        <f aca="false">IF(N46&gt;0,1,0)</f>
        <v>0</v>
      </c>
      <c r="O90" s="116" t="n">
        <f aca="false">IF(O46&gt;0,1,0)</f>
        <v>0</v>
      </c>
      <c r="P90" s="116" t="n">
        <f aca="false">IF(P46&gt;0,1,0)</f>
        <v>0</v>
      </c>
      <c r="Q90" s="116" t="n">
        <f aca="false">IF(Q46&gt;0,1,0)</f>
        <v>1</v>
      </c>
      <c r="R90" s="116" t="n">
        <f aca="false">IF(R46&gt;0,1,0)</f>
        <v>1</v>
      </c>
      <c r="S90" s="116" t="n">
        <f aca="false">IF(S46&gt;0,1,0)</f>
        <v>1</v>
      </c>
      <c r="T90" s="116" t="n">
        <f aca="false">IF(T46&gt;0,1,0)</f>
        <v>1</v>
      </c>
      <c r="U90" s="116" t="n">
        <f aca="false">IF(U46&gt;0,1,0)</f>
        <v>1</v>
      </c>
      <c r="V90" s="116" t="n">
        <f aca="false">IF(V46&gt;0,1,0)</f>
        <v>1</v>
      </c>
      <c r="W90" s="116" t="n">
        <f aca="false">IF(W46&gt;0,1,0)</f>
        <v>1</v>
      </c>
      <c r="X90" s="116" t="n">
        <f aca="false">IF(X46&gt;0,1,0)</f>
        <v>1</v>
      </c>
      <c r="Y90" s="116" t="n">
        <f aca="false">IF(Y46&gt;0,1,0)</f>
        <v>1</v>
      </c>
      <c r="Z90" s="116" t="n">
        <f aca="false">IF(Z46&gt;0,1,0)</f>
        <v>0</v>
      </c>
      <c r="AA90" s="116" t="n">
        <f aca="false">IF(AA46&gt;0,1,0)</f>
        <v>0</v>
      </c>
      <c r="AB90" s="116" t="n">
        <f aca="false">IF(AB46&gt;0,1,0)</f>
        <v>0</v>
      </c>
      <c r="AC90" s="116" t="n">
        <f aca="false">IF(AC46&gt;0,1,0)</f>
        <v>1</v>
      </c>
      <c r="AD90" s="116" t="n">
        <f aca="false">IF(AD46&gt;0,1,0)</f>
        <v>1</v>
      </c>
      <c r="AE90" s="116" t="n">
        <f aca="false">IF(AE46&gt;0,1,0)</f>
        <v>1</v>
      </c>
      <c r="AF90" s="116" t="n">
        <f aca="false">IF(AF46&gt;0,1,0)</f>
        <v>1</v>
      </c>
      <c r="AG90" s="116" t="n">
        <f aca="false">IF(AG46&gt;0,1,0)</f>
        <v>1</v>
      </c>
      <c r="AH90" s="116" t="n">
        <f aca="false">IF(AH46&gt;0,1,0)</f>
        <v>1</v>
      </c>
      <c r="AI90" s="116" t="n">
        <f aca="false">IF(AI46&gt;0,1,0)</f>
        <v>1</v>
      </c>
      <c r="AJ90" s="116" t="n">
        <f aca="false">IF(AJ46&gt;0,1,0)</f>
        <v>1</v>
      </c>
      <c r="AK90" s="116" t="n">
        <f aca="false">IF(AK46&gt;0,1,0)</f>
        <v>1</v>
      </c>
      <c r="AL90" s="116" t="n">
        <f aca="false">IF(AL46&gt;0,1,0)</f>
        <v>0</v>
      </c>
      <c r="AM90" s="116" t="n">
        <f aca="false">IF(AM46&gt;0,1,0)</f>
        <v>0</v>
      </c>
      <c r="AN90" s="116" t="n">
        <f aca="false">IF(AN46&gt;0,1,0)</f>
        <v>0</v>
      </c>
      <c r="AO90" s="116" t="n">
        <f aca="false">IF(AO46&gt;0,1,0)</f>
        <v>1</v>
      </c>
      <c r="AP90" s="116" t="n">
        <f aca="false">IF(AP46&gt;0,1,0)</f>
        <v>1</v>
      </c>
      <c r="AQ90" s="116" t="n">
        <f aca="false">IF(AQ46&gt;0,1,0)</f>
        <v>1</v>
      </c>
      <c r="AR90" s="116" t="n">
        <f aca="false">IF(AR46&gt;0,1,0)</f>
        <v>1</v>
      </c>
      <c r="AS90" s="116" t="n">
        <f aca="false">IF(AS46&gt;0,1,0)</f>
        <v>1</v>
      </c>
      <c r="AT90" s="116" t="n">
        <f aca="false">IF(AT46&gt;0,1,0)</f>
        <v>1</v>
      </c>
      <c r="AU90" s="116" t="n">
        <f aca="false">IF(AU46&gt;0,1,0)</f>
        <v>1</v>
      </c>
      <c r="AV90" s="116" t="n">
        <f aca="false">IF(AV46&gt;0,1,0)</f>
        <v>1</v>
      </c>
      <c r="AW90" s="116" t="n">
        <f aca="false">IF(AW46&gt;0,1,0)</f>
        <v>1</v>
      </c>
      <c r="AX90" s="116" t="n">
        <f aca="false">IF(AX46&gt;0,1,0)</f>
        <v>0</v>
      </c>
      <c r="AY90" s="116" t="n">
        <f aca="false">IF(AY46&gt;0,1,0)</f>
        <v>1</v>
      </c>
      <c r="AZ90" s="116" t="n">
        <f aca="false">IF(AZ46&gt;0,1,0)</f>
        <v>1</v>
      </c>
      <c r="BA90" s="116" t="n">
        <f aca="false">IF(BA46&gt;0,1,0)</f>
        <v>1</v>
      </c>
      <c r="BB90" s="116" t="n">
        <f aca="false">IF(BB46&gt;0,1,0)</f>
        <v>1</v>
      </c>
      <c r="BC90" s="116" t="n">
        <f aca="false">IF(BC46&gt;0,1,0)</f>
        <v>1</v>
      </c>
      <c r="BD90" s="116" t="n">
        <f aca="false">IF(BD46&gt;0,1,0)</f>
        <v>1</v>
      </c>
      <c r="BE90" s="116" t="n">
        <f aca="false">IF(BE46&gt;0,1,0)</f>
        <v>1</v>
      </c>
      <c r="BF90" s="116" t="n">
        <f aca="false">IF(BF46&gt;0,1,0)</f>
        <v>1</v>
      </c>
      <c r="BG90" s="116" t="n">
        <f aca="false">IF(BG46&gt;0,1,0)</f>
        <v>1</v>
      </c>
      <c r="BH90" s="116" t="n">
        <f aca="false">IF(BH46&gt;0,1,0)</f>
        <v>1</v>
      </c>
      <c r="BI90" s="116" t="n">
        <f aca="false">IF(BI46&gt;0,1,0)</f>
        <v>1</v>
      </c>
      <c r="BJ90" s="116" t="n">
        <f aca="false">IF(BJ46&gt;0,1,0)</f>
        <v>1</v>
      </c>
    </row>
    <row r="92" customFormat="false" ht="15.75" hidden="false" customHeight="true" outlineLevel="0" collapsed="false">
      <c r="A92" s="7" t="s">
        <v>446</v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</row>
    <row r="93" customFormat="false" ht="15" hidden="false" customHeight="false" outlineLevel="0" collapsed="false">
      <c r="A93" s="117" t="s">
        <v>447</v>
      </c>
      <c r="C93" s="116" t="n">
        <f aca="false">IF(C55&gt;0,1,0)</f>
        <v>0</v>
      </c>
      <c r="D93" s="116" t="n">
        <f aca="false">IF(D55&gt;0,1,0)</f>
        <v>0</v>
      </c>
      <c r="E93" s="116" t="n">
        <f aca="false">IF(E55&gt;0,1,0)</f>
        <v>0</v>
      </c>
      <c r="F93" s="116" t="n">
        <f aca="false">IF(F55&gt;0,1,0)</f>
        <v>0</v>
      </c>
      <c r="G93" s="116" t="n">
        <f aca="false">IF(G55&gt;0,1,0)</f>
        <v>0</v>
      </c>
      <c r="H93" s="116" t="n">
        <f aca="false">IF(H55&gt;0,1,0)</f>
        <v>0</v>
      </c>
      <c r="I93" s="116" t="n">
        <f aca="false">IF(I55&gt;0,1,0)</f>
        <v>1</v>
      </c>
      <c r="J93" s="116" t="n">
        <f aca="false">IF(J55&gt;0,1,0)</f>
        <v>1</v>
      </c>
      <c r="K93" s="116" t="n">
        <f aca="false">IF(K55&gt;0,1,0)</f>
        <v>1</v>
      </c>
      <c r="L93" s="116" t="n">
        <f aca="false">IF(L55&gt;0,1,0)</f>
        <v>1</v>
      </c>
      <c r="M93" s="116" t="n">
        <f aca="false">IF(M55&gt;0,1,0)</f>
        <v>1</v>
      </c>
      <c r="N93" s="116" t="n">
        <f aca="false">IF(N55&gt;0,1,0)</f>
        <v>0</v>
      </c>
      <c r="O93" s="116" t="n">
        <f aca="false">IF(O55&gt;0,1,0)</f>
        <v>0</v>
      </c>
      <c r="P93" s="116" t="n">
        <f aca="false">IF(P55&gt;0,1,0)</f>
        <v>0</v>
      </c>
      <c r="Q93" s="116" t="n">
        <f aca="false">IF(Q55&gt;0,1,0)</f>
        <v>1</v>
      </c>
      <c r="R93" s="116" t="n">
        <f aca="false">IF(R55&gt;0,1,0)</f>
        <v>1</v>
      </c>
      <c r="S93" s="116" t="n">
        <f aca="false">IF(S55&gt;0,1,0)</f>
        <v>1</v>
      </c>
      <c r="T93" s="116" t="n">
        <f aca="false">IF(T55&gt;0,1,0)</f>
        <v>1</v>
      </c>
      <c r="U93" s="116" t="n">
        <f aca="false">IF(U55&gt;0,1,0)</f>
        <v>1</v>
      </c>
      <c r="V93" s="116" t="n">
        <f aca="false">IF(V55&gt;0,1,0)</f>
        <v>1</v>
      </c>
      <c r="W93" s="116" t="n">
        <f aca="false">IF(W55&gt;0,1,0)</f>
        <v>1</v>
      </c>
      <c r="X93" s="116" t="n">
        <f aca="false">IF(X55&gt;0,1,0)</f>
        <v>1</v>
      </c>
      <c r="Y93" s="116" t="n">
        <f aca="false">IF(Y55&gt;0,1,0)</f>
        <v>1</v>
      </c>
      <c r="Z93" s="116" t="n">
        <f aca="false">IF(Z55&gt;0,1,0)</f>
        <v>0</v>
      </c>
      <c r="AA93" s="116" t="n">
        <f aca="false">IF(AA55&gt;0,1,0)</f>
        <v>0</v>
      </c>
      <c r="AB93" s="116" t="n">
        <f aca="false">IF(AB55&gt;0,1,0)</f>
        <v>0</v>
      </c>
      <c r="AC93" s="116" t="n">
        <f aca="false">IF(AC55&gt;0,1,0)</f>
        <v>1</v>
      </c>
      <c r="AD93" s="116" t="n">
        <f aca="false">IF(AD55&gt;0,1,0)</f>
        <v>1</v>
      </c>
      <c r="AE93" s="116" t="n">
        <f aca="false">IF(AE55&gt;0,1,0)</f>
        <v>1</v>
      </c>
      <c r="AF93" s="116" t="n">
        <f aca="false">IF(AF55&gt;0,1,0)</f>
        <v>1</v>
      </c>
      <c r="AG93" s="116" t="n">
        <f aca="false">IF(AG55&gt;0,1,0)</f>
        <v>1</v>
      </c>
      <c r="AH93" s="116" t="n">
        <f aca="false">IF(AH55&gt;0,1,0)</f>
        <v>1</v>
      </c>
      <c r="AI93" s="116" t="n">
        <f aca="false">IF(AI55&gt;0,1,0)</f>
        <v>1</v>
      </c>
      <c r="AJ93" s="116" t="n">
        <f aca="false">IF(AJ55&gt;0,1,0)</f>
        <v>1</v>
      </c>
      <c r="AK93" s="116" t="n">
        <f aca="false">IF(AK55&gt;0,1,0)</f>
        <v>1</v>
      </c>
      <c r="AL93" s="116" t="n">
        <f aca="false">IF(AL55&gt;0,1,0)</f>
        <v>0</v>
      </c>
      <c r="AM93" s="116" t="n">
        <f aca="false">IF(AM55&gt;0,1,0)</f>
        <v>0</v>
      </c>
      <c r="AN93" s="116" t="n">
        <f aca="false">IF(AN55&gt;0,1,0)</f>
        <v>0</v>
      </c>
      <c r="AO93" s="116" t="n">
        <f aca="false">IF(AO55&gt;0,1,0)</f>
        <v>1</v>
      </c>
      <c r="AP93" s="116" t="n">
        <f aca="false">IF(AP55&gt;0,1,0)</f>
        <v>1</v>
      </c>
      <c r="AQ93" s="116" t="n">
        <f aca="false">IF(AQ55&gt;0,1,0)</f>
        <v>1</v>
      </c>
      <c r="AR93" s="116" t="n">
        <f aca="false">IF(AR55&gt;0,1,0)</f>
        <v>1</v>
      </c>
      <c r="AS93" s="116" t="n">
        <f aca="false">IF(AS55&gt;0,1,0)</f>
        <v>1</v>
      </c>
      <c r="AT93" s="116" t="n">
        <f aca="false">IF(AT55&gt;0,1,0)</f>
        <v>1</v>
      </c>
      <c r="AU93" s="116" t="n">
        <f aca="false">IF(AU55&gt;0,1,0)</f>
        <v>1</v>
      </c>
      <c r="AV93" s="116" t="n">
        <f aca="false">IF(AV55&gt;0,1,0)</f>
        <v>1</v>
      </c>
      <c r="AW93" s="116" t="n">
        <f aca="false">IF(AW55&gt;0,1,0)</f>
        <v>1</v>
      </c>
      <c r="AX93" s="116" t="n">
        <f aca="false">IF(AX55&gt;0,1,0)</f>
        <v>0</v>
      </c>
      <c r="AY93" s="116" t="n">
        <f aca="false">IF(AY55&gt;0,1,0)</f>
        <v>0</v>
      </c>
      <c r="AZ93" s="116" t="n">
        <f aca="false">IF(AZ55&gt;0,1,0)</f>
        <v>0</v>
      </c>
      <c r="BA93" s="116" t="n">
        <f aca="false">IF(BA55&gt;0,1,0)</f>
        <v>1</v>
      </c>
      <c r="BB93" s="116" t="n">
        <f aca="false">IF(BB55&gt;0,1,0)</f>
        <v>1</v>
      </c>
      <c r="BC93" s="116" t="n">
        <f aca="false">IF(BC55&gt;0,1,0)</f>
        <v>1</v>
      </c>
      <c r="BD93" s="116" t="n">
        <f aca="false">IF(BD55&gt;0,1,0)</f>
        <v>1</v>
      </c>
      <c r="BE93" s="116" t="n">
        <f aca="false">IF(BE55&gt;0,1,0)</f>
        <v>1</v>
      </c>
      <c r="BF93" s="116" t="n">
        <f aca="false">IF(BF55&gt;0,1,0)</f>
        <v>1</v>
      </c>
      <c r="BG93" s="116" t="n">
        <f aca="false">IF(BG55&gt;0,1,0)</f>
        <v>1</v>
      </c>
      <c r="BH93" s="116" t="n">
        <f aca="false">IF(BH55&gt;0,1,0)</f>
        <v>1</v>
      </c>
      <c r="BI93" s="116" t="n">
        <f aca="false">IF(BI55&gt;0,1,0)</f>
        <v>1</v>
      </c>
      <c r="BJ93" s="116" t="n">
        <f aca="false">IF(BJ55&gt;0,1,0)</f>
        <v>0</v>
      </c>
    </row>
    <row r="94" customFormat="false" ht="15" hidden="false" customHeight="false" outlineLevel="0" collapsed="false">
      <c r="A94" s="6" t="s">
        <v>448</v>
      </c>
      <c r="C94" s="67" t="n">
        <f aca="false">C83+C84</f>
        <v>-146928.991466667</v>
      </c>
      <c r="D94" s="67" t="n">
        <f aca="false">D83+D84</f>
        <v>-7525.57313333333</v>
      </c>
      <c r="E94" s="67" t="n">
        <f aca="false">E83+E84</f>
        <v>-3969.1922</v>
      </c>
      <c r="F94" s="67" t="n">
        <f aca="false">F83+F84</f>
        <v>-2368.09126666667</v>
      </c>
      <c r="G94" s="67" t="n">
        <f aca="false">G83+G84</f>
        <v>-973.30926666667</v>
      </c>
      <c r="H94" s="67" t="n">
        <f aca="false">H83+H84</f>
        <v>421.472733333329</v>
      </c>
      <c r="I94" s="67" t="n">
        <f aca="false">I83+I84</f>
        <v>1816.25473333333</v>
      </c>
      <c r="J94" s="67" t="n">
        <f aca="false">J83+J84</f>
        <v>1934.84233333333</v>
      </c>
      <c r="K94" s="67" t="n">
        <f aca="false">K83+K84</f>
        <v>1946.09233333333</v>
      </c>
      <c r="L94" s="67" t="n">
        <f aca="false">L83+L84</f>
        <v>1957.34233333333</v>
      </c>
      <c r="M94" s="67" t="n">
        <f aca="false">M83+M84</f>
        <v>1968.59233333333</v>
      </c>
      <c r="N94" s="67" t="n">
        <f aca="false">N83+N84</f>
        <v>-1939.14006666667</v>
      </c>
      <c r="O94" s="67" t="n">
        <f aca="false">O83+O84</f>
        <v>-4457.78324330667</v>
      </c>
      <c r="P94" s="67" t="n">
        <f aca="false">P83+P84</f>
        <v>-1886.77628586667</v>
      </c>
      <c r="Q94" s="67" t="n">
        <f aca="false">Q83+Q84</f>
        <v>2289.16734229333</v>
      </c>
      <c r="R94" s="67" t="n">
        <f aca="false">R83+R84</f>
        <v>2675.64663893333</v>
      </c>
      <c r="S94" s="67" t="n">
        <f aca="false">S83+S84</f>
        <v>2686.89663893333</v>
      </c>
      <c r="T94" s="67" t="n">
        <f aca="false">T83+T84</f>
        <v>2698.14663893333</v>
      </c>
      <c r="U94" s="67" t="n">
        <f aca="false">U83+U84</f>
        <v>2709.39663893333</v>
      </c>
      <c r="V94" s="67" t="n">
        <f aca="false">V83+V84</f>
        <v>2720.64663893333</v>
      </c>
      <c r="W94" s="67" t="n">
        <f aca="false">W83+W84</f>
        <v>2731.89663893333</v>
      </c>
      <c r="X94" s="67" t="n">
        <f aca="false">X83+X84</f>
        <v>2743.14663893333</v>
      </c>
      <c r="Y94" s="67" t="n">
        <f aca="false">Y83+Y84</f>
        <v>2754.39663893333</v>
      </c>
      <c r="Z94" s="67" t="n">
        <f aca="false">Z83+Z84</f>
        <v>-1399.04698922667</v>
      </c>
      <c r="AA94" s="67" t="n">
        <f aca="false">AA83+AA84</f>
        <v>-3904.24850842805</v>
      </c>
      <c r="AB94" s="67" t="n">
        <f aca="false">AB83+AB84</f>
        <v>-1329.36972389595</v>
      </c>
      <c r="AC94" s="67" t="n">
        <f aca="false">AC83+AC84</f>
        <v>3107.460302219</v>
      </c>
      <c r="AD94" s="67" t="n">
        <f aca="false">AD83+AD84</f>
        <v>3516.79106302437</v>
      </c>
      <c r="AE94" s="67" t="n">
        <f aca="false">AE83+AE84</f>
        <v>3528.04106302437</v>
      </c>
      <c r="AF94" s="67" t="n">
        <f aca="false">AF83+AF84</f>
        <v>3539.29106302437</v>
      </c>
      <c r="AG94" s="67" t="n">
        <f aca="false">AG83+AG84</f>
        <v>3550.54106302437</v>
      </c>
      <c r="AH94" s="67" t="n">
        <f aca="false">AH83+AH84</f>
        <v>3561.79106302437</v>
      </c>
      <c r="AI94" s="67" t="n">
        <f aca="false">AI83+AI84</f>
        <v>3573.04106302437</v>
      </c>
      <c r="AJ94" s="67" t="n">
        <f aca="false">AJ83+AJ84</f>
        <v>3584.29106302437</v>
      </c>
      <c r="AK94" s="67" t="n">
        <f aca="false">AK83+AK84</f>
        <v>3595.54106302437</v>
      </c>
      <c r="AL94" s="67" t="n">
        <f aca="false">AL83+AL84</f>
        <v>-818.788963090575</v>
      </c>
      <c r="AM94" s="67" t="n">
        <f aca="false">AM83+AM84</f>
        <v>-3309.11356131129</v>
      </c>
      <c r="AN94" s="67" t="n">
        <f aca="false">AN83+AN84</f>
        <v>-730.10819620389</v>
      </c>
      <c r="AO94" s="67" t="n">
        <f aca="false">AO83+AO84</f>
        <v>3983.71390618145</v>
      </c>
      <c r="AP94" s="67" t="n">
        <f aca="false">AP83+AP84</f>
        <v>4417.28778531988</v>
      </c>
      <c r="AQ94" s="67" t="n">
        <f aca="false">AQ83+AQ84</f>
        <v>4428.53778531988</v>
      </c>
      <c r="AR94" s="67" t="n">
        <f aca="false">AR83+AR84</f>
        <v>4439.78778531988</v>
      </c>
      <c r="AS94" s="67" t="n">
        <f aca="false">AS83+AS84</f>
        <v>4451.03778531988</v>
      </c>
      <c r="AT94" s="67" t="n">
        <f aca="false">AT83+AT84</f>
        <v>4462.28778531988</v>
      </c>
      <c r="AU94" s="67" t="n">
        <f aca="false">AU83+AU84</f>
        <v>4473.53778531988</v>
      </c>
      <c r="AV94" s="67" t="n">
        <f aca="false">AV83+AV84</f>
        <v>4484.78778531988</v>
      </c>
      <c r="AW94" s="67" t="n">
        <f aca="false">AW83+AW84</f>
        <v>4496.03778531988</v>
      </c>
      <c r="AX94" s="67" t="n">
        <f aca="false">AX83+AX84</f>
        <v>-195.284317065466</v>
      </c>
      <c r="AY94" s="67" t="n">
        <f aca="false">AY83+AY84</f>
        <v>-2669.17788084881</v>
      </c>
      <c r="AZ94" s="67" t="n">
        <f aca="false">AZ83+AZ84</f>
        <v>-85.774122019895</v>
      </c>
      <c r="BA94" s="67" t="n">
        <f aca="false">BA83+BA84</f>
        <v>4922.13310166111</v>
      </c>
      <c r="BB94" s="67" t="n">
        <f aca="false">BB83+BB84</f>
        <v>5381.42650503907</v>
      </c>
      <c r="BC94" s="67" t="n">
        <f aca="false">BC83+BC84</f>
        <v>5392.67650503907</v>
      </c>
      <c r="BD94" s="67" t="n">
        <f aca="false">BD83+BD84</f>
        <v>5403.92650503907</v>
      </c>
      <c r="BE94" s="67" t="n">
        <f aca="false">BE83+BE84</f>
        <v>4662.18397480068</v>
      </c>
      <c r="BF94" s="67" t="n">
        <f aca="false">BF83+BF84</f>
        <v>4656.87693898086</v>
      </c>
      <c r="BG94" s="67" t="n">
        <f aca="false">BG83+BG84</f>
        <v>4665.76443898086</v>
      </c>
      <c r="BH94" s="67" t="n">
        <f aca="false">BH83+BH84</f>
        <v>4674.65193898086</v>
      </c>
      <c r="BI94" s="67" t="n">
        <f aca="false">BI83+BI84</f>
        <v>4683.53943898086</v>
      </c>
      <c r="BJ94" s="67" t="n">
        <f aca="false">BJ83+BJ84</f>
        <v>474.769281358059</v>
      </c>
    </row>
    <row r="95" customFormat="false" ht="15" hidden="false" customHeight="false" outlineLevel="0" collapsed="false">
      <c r="A95" s="6" t="s">
        <v>449</v>
      </c>
      <c r="C95" s="67" t="n">
        <f aca="false">C94</f>
        <v>-146928.991466667</v>
      </c>
      <c r="D95" s="67" t="n">
        <f aca="false">C95+D94</f>
        <v>-154454.5646</v>
      </c>
      <c r="E95" s="67" t="n">
        <f aca="false">D95+E94</f>
        <v>-158423.7568</v>
      </c>
      <c r="F95" s="67" t="n">
        <f aca="false">E95+F94</f>
        <v>-160791.848066667</v>
      </c>
      <c r="G95" s="67" t="n">
        <f aca="false">F95+G94</f>
        <v>-161765.157333333</v>
      </c>
      <c r="H95" s="67" t="n">
        <f aca="false">G95+H94</f>
        <v>-161343.6846</v>
      </c>
      <c r="I95" s="67" t="n">
        <f aca="false">H95+I94</f>
        <v>-159527.429866667</v>
      </c>
      <c r="J95" s="67" t="n">
        <f aca="false">I95+J94</f>
        <v>-157592.587533333</v>
      </c>
      <c r="K95" s="67" t="n">
        <f aca="false">J95+K94</f>
        <v>-155646.4952</v>
      </c>
      <c r="L95" s="67" t="n">
        <f aca="false">K95+L94</f>
        <v>-153689.152866667</v>
      </c>
      <c r="M95" s="67" t="n">
        <f aca="false">L95+M94</f>
        <v>-151720.560533333</v>
      </c>
      <c r="N95" s="67" t="n">
        <f aca="false">M95+N94</f>
        <v>-153659.7006</v>
      </c>
      <c r="O95" s="67" t="n">
        <f aca="false">N95+O94</f>
        <v>-158117.483843307</v>
      </c>
      <c r="P95" s="67" t="n">
        <f aca="false">O95+P94</f>
        <v>-160004.260129173</v>
      </c>
      <c r="Q95" s="67" t="n">
        <f aca="false">P95+Q94</f>
        <v>-157715.09278688</v>
      </c>
      <c r="R95" s="67" t="n">
        <f aca="false">Q95+R94</f>
        <v>-155039.446147947</v>
      </c>
      <c r="S95" s="67" t="n">
        <f aca="false">R95+S94</f>
        <v>-152352.549509013</v>
      </c>
      <c r="T95" s="67" t="n">
        <f aca="false">S95+T94</f>
        <v>-149654.40287008</v>
      </c>
      <c r="U95" s="67" t="n">
        <f aca="false">T95+U94</f>
        <v>-146945.006231147</v>
      </c>
      <c r="V95" s="67" t="n">
        <f aca="false">U95+V94</f>
        <v>-144224.359592213</v>
      </c>
      <c r="W95" s="67" t="n">
        <f aca="false">V95+W94</f>
        <v>-141492.46295328</v>
      </c>
      <c r="X95" s="67" t="n">
        <f aca="false">W95+X94</f>
        <v>-138749.316314347</v>
      </c>
      <c r="Y95" s="67" t="n">
        <f aca="false">X95+Y94</f>
        <v>-135994.919675413</v>
      </c>
      <c r="Z95" s="67" t="n">
        <f aca="false">Y95+Z94</f>
        <v>-137393.96666464</v>
      </c>
      <c r="AA95" s="67" t="n">
        <f aca="false">Z95+AA94</f>
        <v>-141298.215173068</v>
      </c>
      <c r="AB95" s="67" t="n">
        <f aca="false">AA95+AB94</f>
        <v>-142627.584896964</v>
      </c>
      <c r="AC95" s="67" t="n">
        <f aca="false">AB95+AC94</f>
        <v>-139520.124594745</v>
      </c>
      <c r="AD95" s="67" t="n">
        <f aca="false">AC95+AD94</f>
        <v>-136003.333531721</v>
      </c>
      <c r="AE95" s="67" t="n">
        <f aca="false">AD95+AE94</f>
        <v>-132475.292468696</v>
      </c>
      <c r="AF95" s="67" t="n">
        <f aca="false">AE95+AF94</f>
        <v>-128936.001405672</v>
      </c>
      <c r="AG95" s="67" t="n">
        <f aca="false">AF95+AG94</f>
        <v>-125385.460342647</v>
      </c>
      <c r="AH95" s="67" t="n">
        <f aca="false">AG95+AH94</f>
        <v>-121823.669279623</v>
      </c>
      <c r="AI95" s="67" t="n">
        <f aca="false">AH95+AI94</f>
        <v>-118250.628216599</v>
      </c>
      <c r="AJ95" s="67" t="n">
        <f aca="false">AI95+AJ94</f>
        <v>-114666.337153574</v>
      </c>
      <c r="AK95" s="67" t="n">
        <f aca="false">AJ95+AK94</f>
        <v>-111070.79609055</v>
      </c>
      <c r="AL95" s="67" t="n">
        <f aca="false">AK95+AL94</f>
        <v>-111889.585053641</v>
      </c>
      <c r="AM95" s="67" t="n">
        <f aca="false">AL95+AM94</f>
        <v>-115198.698614952</v>
      </c>
      <c r="AN95" s="67" t="n">
        <f aca="false">AM95+AN94</f>
        <v>-115928.806811156</v>
      </c>
      <c r="AO95" s="67" t="n">
        <f aca="false">AN95+AO94</f>
        <v>-111945.092904974</v>
      </c>
      <c r="AP95" s="67" t="n">
        <f aca="false">AO95+AP94</f>
        <v>-107527.805119654</v>
      </c>
      <c r="AQ95" s="67" t="n">
        <f aca="false">AP95+AQ94</f>
        <v>-103099.267334335</v>
      </c>
      <c r="AR95" s="67" t="n">
        <f aca="false">AQ95+AR94</f>
        <v>-98659.4795490147</v>
      </c>
      <c r="AS95" s="67" t="n">
        <f aca="false">AR95+AS94</f>
        <v>-94208.4417636948</v>
      </c>
      <c r="AT95" s="67" t="n">
        <f aca="false">AS95+AT94</f>
        <v>-89746.1539783749</v>
      </c>
      <c r="AU95" s="67" t="n">
        <f aca="false">AT95+AU94</f>
        <v>-85272.616193055</v>
      </c>
      <c r="AV95" s="67" t="n">
        <f aca="false">AU95+AV94</f>
        <v>-80787.8284077352</v>
      </c>
      <c r="AW95" s="67" t="n">
        <f aca="false">AV95+AW94</f>
        <v>-76291.7906224153</v>
      </c>
      <c r="AX95" s="67" t="n">
        <f aca="false">AW95+AX94</f>
        <v>-76487.0749394808</v>
      </c>
      <c r="AY95" s="67" t="n">
        <f aca="false">AX95+AY94</f>
        <v>-79156.2528203296</v>
      </c>
      <c r="AZ95" s="67" t="n">
        <f aca="false">AY95+AZ94</f>
        <v>-79242.0269423495</v>
      </c>
      <c r="BA95" s="67" t="n">
        <f aca="false">AZ95+BA94</f>
        <v>-74319.8938406884</v>
      </c>
      <c r="BB95" s="67" t="n">
        <f aca="false">BA95+BB94</f>
        <v>-68938.4673356493</v>
      </c>
      <c r="BC95" s="67" t="n">
        <f aca="false">BB95+BC94</f>
        <v>-63545.7908306102</v>
      </c>
      <c r="BD95" s="67" t="n">
        <f aca="false">BC95+BD94</f>
        <v>-58141.8643255712</v>
      </c>
      <c r="BE95" s="67" t="n">
        <f aca="false">BD95+BE94</f>
        <v>-53479.6803507705</v>
      </c>
      <c r="BF95" s="67" t="n">
        <f aca="false">BE95+BF94</f>
        <v>-48822.8034117896</v>
      </c>
      <c r="BG95" s="67" t="n">
        <f aca="false">BF95+BG94</f>
        <v>-44157.0389728088</v>
      </c>
      <c r="BH95" s="67" t="n">
        <f aca="false">BG95+BH94</f>
        <v>-39482.3870338279</v>
      </c>
      <c r="BI95" s="67" t="n">
        <f aca="false">BH95+BI94</f>
        <v>-34798.847594847</v>
      </c>
      <c r="BJ95" s="67" t="n">
        <f aca="false">BI95+BJ94</f>
        <v>-34324.078313489</v>
      </c>
    </row>
    <row r="96" customFormat="false" ht="15" hidden="false" customHeight="false" outlineLevel="0" collapsed="false">
      <c r="A96" s="117" t="s">
        <v>450</v>
      </c>
      <c r="C96" s="67" t="n">
        <f aca="false">C95</f>
        <v>-146928.991466667</v>
      </c>
      <c r="D96" s="67" t="n">
        <f aca="false">MIN(C96,D95)</f>
        <v>-154454.5646</v>
      </c>
      <c r="E96" s="67" t="n">
        <f aca="false">MIN(D96,E95)</f>
        <v>-158423.7568</v>
      </c>
      <c r="F96" s="67" t="n">
        <f aca="false">MIN(E96,F95)</f>
        <v>-160791.848066667</v>
      </c>
      <c r="G96" s="67" t="n">
        <f aca="false">MIN(F96,G95)</f>
        <v>-161765.157333333</v>
      </c>
      <c r="H96" s="67" t="n">
        <f aca="false">MIN(G96,H95)</f>
        <v>-161765.157333333</v>
      </c>
      <c r="I96" s="67" t="n">
        <f aca="false">MIN(H96,I95)</f>
        <v>-161765.157333333</v>
      </c>
      <c r="J96" s="67" t="n">
        <f aca="false">MIN(I96,J95)</f>
        <v>-161765.157333333</v>
      </c>
      <c r="K96" s="67" t="n">
        <f aca="false">MIN(J96,K95)</f>
        <v>-161765.157333333</v>
      </c>
      <c r="L96" s="67" t="n">
        <f aca="false">MIN(K96,L95)</f>
        <v>-161765.157333333</v>
      </c>
      <c r="M96" s="67" t="n">
        <f aca="false">MIN(L96,M95)</f>
        <v>-161765.157333333</v>
      </c>
      <c r="N96" s="67" t="n">
        <f aca="false">MIN(M96,N95)</f>
        <v>-161765.157333333</v>
      </c>
      <c r="O96" s="67" t="n">
        <f aca="false">MIN(N96,O95)</f>
        <v>-161765.157333333</v>
      </c>
      <c r="P96" s="67" t="n">
        <f aca="false">MIN(O96,P95)</f>
        <v>-161765.157333333</v>
      </c>
      <c r="Q96" s="67" t="n">
        <f aca="false">MIN(P96,Q95)</f>
        <v>-161765.157333333</v>
      </c>
      <c r="R96" s="67" t="n">
        <f aca="false">MIN(Q96,R95)</f>
        <v>-161765.157333333</v>
      </c>
      <c r="S96" s="67" t="n">
        <f aca="false">MIN(R96,S95)</f>
        <v>-161765.157333333</v>
      </c>
      <c r="T96" s="67" t="n">
        <f aca="false">MIN(S96,T95)</f>
        <v>-161765.157333333</v>
      </c>
      <c r="U96" s="67" t="n">
        <f aca="false">MIN(T96,U95)</f>
        <v>-161765.157333333</v>
      </c>
      <c r="V96" s="67" t="n">
        <f aca="false">MIN(U96,V95)</f>
        <v>-161765.157333333</v>
      </c>
      <c r="W96" s="67" t="n">
        <f aca="false">MIN(V96,W95)</f>
        <v>-161765.157333333</v>
      </c>
      <c r="X96" s="67" t="n">
        <f aca="false">MIN(W96,X95)</f>
        <v>-161765.157333333</v>
      </c>
      <c r="Y96" s="67" t="n">
        <f aca="false">MIN(X96,Y95)</f>
        <v>-161765.157333333</v>
      </c>
      <c r="Z96" s="67" t="n">
        <f aca="false">MIN(Y96,Z95)</f>
        <v>-161765.157333333</v>
      </c>
      <c r="AA96" s="67" t="n">
        <f aca="false">MIN(Z96,AA95)</f>
        <v>-161765.157333333</v>
      </c>
      <c r="AB96" s="67" t="n">
        <f aca="false">MIN(AA96,AB95)</f>
        <v>-161765.157333333</v>
      </c>
      <c r="AC96" s="67" t="n">
        <f aca="false">MIN(AB96,AC95)</f>
        <v>-161765.157333333</v>
      </c>
      <c r="AD96" s="67" t="n">
        <f aca="false">MIN(AC96,AD95)</f>
        <v>-161765.157333333</v>
      </c>
      <c r="AE96" s="67" t="n">
        <f aca="false">MIN(AD96,AE95)</f>
        <v>-161765.157333333</v>
      </c>
      <c r="AF96" s="67" t="n">
        <f aca="false">MIN(AE96,AF95)</f>
        <v>-161765.157333333</v>
      </c>
      <c r="AG96" s="67" t="n">
        <f aca="false">MIN(AF96,AG95)</f>
        <v>-161765.157333333</v>
      </c>
      <c r="AH96" s="67" t="n">
        <f aca="false">MIN(AG96,AH95)</f>
        <v>-161765.157333333</v>
      </c>
      <c r="AI96" s="67" t="n">
        <f aca="false">MIN(AH96,AI95)</f>
        <v>-161765.157333333</v>
      </c>
      <c r="AJ96" s="67" t="n">
        <f aca="false">MIN(AI96,AJ95)</f>
        <v>-161765.157333333</v>
      </c>
      <c r="AK96" s="67" t="n">
        <f aca="false">MIN(AJ96,AK95)</f>
        <v>-161765.157333333</v>
      </c>
      <c r="AL96" s="67" t="n">
        <f aca="false">MIN(AK96,AL95)</f>
        <v>-161765.157333333</v>
      </c>
      <c r="AM96" s="67" t="n">
        <f aca="false">MIN(AL96,AM95)</f>
        <v>-161765.157333333</v>
      </c>
      <c r="AN96" s="67" t="n">
        <f aca="false">MIN(AM96,AN95)</f>
        <v>-161765.157333333</v>
      </c>
      <c r="AO96" s="67" t="n">
        <f aca="false">MIN(AN96,AO95)</f>
        <v>-161765.157333333</v>
      </c>
      <c r="AP96" s="67" t="n">
        <f aca="false">MIN(AO96,AP95)</f>
        <v>-161765.157333333</v>
      </c>
      <c r="AQ96" s="67" t="n">
        <f aca="false">MIN(AP96,AQ95)</f>
        <v>-161765.157333333</v>
      </c>
      <c r="AR96" s="67" t="n">
        <f aca="false">MIN(AQ96,AR95)</f>
        <v>-161765.157333333</v>
      </c>
      <c r="AS96" s="67" t="n">
        <f aca="false">MIN(AR96,AS95)</f>
        <v>-161765.157333333</v>
      </c>
      <c r="AT96" s="67" t="n">
        <f aca="false">MIN(AS96,AT95)</f>
        <v>-161765.157333333</v>
      </c>
      <c r="AU96" s="67" t="n">
        <f aca="false">MIN(AT96,AU95)</f>
        <v>-161765.157333333</v>
      </c>
      <c r="AV96" s="67" t="n">
        <f aca="false">MIN(AU96,AV95)</f>
        <v>-161765.157333333</v>
      </c>
      <c r="AW96" s="67" t="n">
        <f aca="false">MIN(AV96,AW95)</f>
        <v>-161765.157333333</v>
      </c>
      <c r="AX96" s="67" t="n">
        <f aca="false">MIN(AW96,AX95)</f>
        <v>-161765.157333333</v>
      </c>
      <c r="AY96" s="67" t="n">
        <f aca="false">MIN(AX96,AY95)</f>
        <v>-161765.157333333</v>
      </c>
      <c r="AZ96" s="67" t="n">
        <f aca="false">MIN(AY96,AZ95)</f>
        <v>-161765.157333333</v>
      </c>
      <c r="BA96" s="67" t="n">
        <f aca="false">MIN(AZ96,BA95)</f>
        <v>-161765.157333333</v>
      </c>
      <c r="BB96" s="67" t="n">
        <f aca="false">MIN(BA96,BB95)</f>
        <v>-161765.157333333</v>
      </c>
      <c r="BC96" s="67" t="n">
        <f aca="false">MIN(BB96,BC95)</f>
        <v>-161765.157333333</v>
      </c>
      <c r="BD96" s="67" t="n">
        <f aca="false">MIN(BC96,BD95)</f>
        <v>-161765.157333333</v>
      </c>
      <c r="BE96" s="67" t="n">
        <f aca="false">MIN(BD96,BE95)</f>
        <v>-161765.157333333</v>
      </c>
      <c r="BF96" s="67" t="n">
        <f aca="false">MIN(BE96,BF95)</f>
        <v>-161765.157333333</v>
      </c>
      <c r="BG96" s="67" t="n">
        <f aca="false">MIN(BF96,BG95)</f>
        <v>-161765.157333333</v>
      </c>
      <c r="BH96" s="67" t="n">
        <f aca="false">MIN(BG96,BH95)</f>
        <v>-161765.157333333</v>
      </c>
      <c r="BI96" s="67" t="n">
        <f aca="false">MIN(BH96,BI95)</f>
        <v>-161765.157333333</v>
      </c>
      <c r="BJ96" s="67" t="n">
        <f aca="false">MIN(BI96,BJ95)</f>
        <v>-161765.157333333</v>
      </c>
    </row>
    <row r="97" customFormat="false" ht="15" hidden="false" customHeight="false" outlineLevel="0" collapsed="false">
      <c r="A97" s="117" t="s">
        <v>451</v>
      </c>
      <c r="C97" s="116" t="n">
        <f aca="false">IF(AND(C95&gt;=0,C96&lt;0),1,0)</f>
        <v>0</v>
      </c>
      <c r="D97" s="116" t="n">
        <f aca="false">IF(AND(D95&gt;=0,D96&lt;0),1,0)</f>
        <v>0</v>
      </c>
      <c r="E97" s="116" t="n">
        <f aca="false">IF(AND(E95&gt;=0,E96&lt;0),1,0)</f>
        <v>0</v>
      </c>
      <c r="F97" s="116" t="n">
        <f aca="false">IF(AND(F95&gt;=0,F96&lt;0),1,0)</f>
        <v>0</v>
      </c>
      <c r="G97" s="116" t="n">
        <f aca="false">IF(AND(G95&gt;=0,G96&lt;0),1,0)</f>
        <v>0</v>
      </c>
      <c r="H97" s="116" t="n">
        <f aca="false">IF(AND(H95&gt;=0,H96&lt;0),1,0)</f>
        <v>0</v>
      </c>
      <c r="I97" s="116" t="n">
        <f aca="false">IF(AND(I95&gt;=0,I96&lt;0),1,0)</f>
        <v>0</v>
      </c>
      <c r="J97" s="116" t="n">
        <f aca="false">IF(AND(J95&gt;=0,J96&lt;0),1,0)</f>
        <v>0</v>
      </c>
      <c r="K97" s="116" t="n">
        <f aca="false">IF(AND(K95&gt;=0,K96&lt;0),1,0)</f>
        <v>0</v>
      </c>
      <c r="L97" s="116" t="n">
        <f aca="false">IF(AND(L95&gt;=0,L96&lt;0),1,0)</f>
        <v>0</v>
      </c>
      <c r="M97" s="116" t="n">
        <f aca="false">IF(AND(M95&gt;=0,M96&lt;0),1,0)</f>
        <v>0</v>
      </c>
      <c r="N97" s="116" t="n">
        <f aca="false">IF(AND(N95&gt;=0,N96&lt;0),1,0)</f>
        <v>0</v>
      </c>
      <c r="O97" s="116" t="n">
        <f aca="false">IF(AND(O95&gt;=0,O96&lt;0),1,0)</f>
        <v>0</v>
      </c>
      <c r="P97" s="116" t="n">
        <f aca="false">IF(AND(P95&gt;=0,P96&lt;0),1,0)</f>
        <v>0</v>
      </c>
      <c r="Q97" s="116" t="n">
        <f aca="false">IF(AND(Q95&gt;=0,Q96&lt;0),1,0)</f>
        <v>0</v>
      </c>
      <c r="R97" s="116" t="n">
        <f aca="false">IF(AND(R95&gt;=0,R96&lt;0),1,0)</f>
        <v>0</v>
      </c>
      <c r="S97" s="116" t="n">
        <f aca="false">IF(AND(S95&gt;=0,S96&lt;0),1,0)</f>
        <v>0</v>
      </c>
      <c r="T97" s="116" t="n">
        <f aca="false">IF(AND(T95&gt;=0,T96&lt;0),1,0)</f>
        <v>0</v>
      </c>
      <c r="U97" s="116" t="n">
        <f aca="false">IF(AND(U95&gt;=0,U96&lt;0),1,0)</f>
        <v>0</v>
      </c>
      <c r="V97" s="116" t="n">
        <f aca="false">IF(AND(V95&gt;=0,V96&lt;0),1,0)</f>
        <v>0</v>
      </c>
      <c r="W97" s="116" t="n">
        <f aca="false">IF(AND(W95&gt;=0,W96&lt;0),1,0)</f>
        <v>0</v>
      </c>
      <c r="X97" s="116" t="n">
        <f aca="false">IF(AND(X95&gt;=0,X96&lt;0),1,0)</f>
        <v>0</v>
      </c>
      <c r="Y97" s="116" t="n">
        <f aca="false">IF(AND(Y95&gt;=0,Y96&lt;0),1,0)</f>
        <v>0</v>
      </c>
      <c r="Z97" s="116" t="n">
        <f aca="false">IF(AND(Z95&gt;=0,Z96&lt;0),1,0)</f>
        <v>0</v>
      </c>
      <c r="AA97" s="116" t="n">
        <f aca="false">IF(AND(AA95&gt;=0,AA96&lt;0),1,0)</f>
        <v>0</v>
      </c>
      <c r="AB97" s="116" t="n">
        <f aca="false">IF(AND(AB95&gt;=0,AB96&lt;0),1,0)</f>
        <v>0</v>
      </c>
      <c r="AC97" s="116" t="n">
        <f aca="false">IF(AND(AC95&gt;=0,AC96&lt;0),1,0)</f>
        <v>0</v>
      </c>
      <c r="AD97" s="116" t="n">
        <f aca="false">IF(AND(AD95&gt;=0,AD96&lt;0),1,0)</f>
        <v>0</v>
      </c>
      <c r="AE97" s="116" t="n">
        <f aca="false">IF(AND(AE95&gt;=0,AE96&lt;0),1,0)</f>
        <v>0</v>
      </c>
      <c r="AF97" s="116" t="n">
        <f aca="false">IF(AND(AF95&gt;=0,AF96&lt;0),1,0)</f>
        <v>0</v>
      </c>
      <c r="AG97" s="116" t="n">
        <f aca="false">IF(AND(AG95&gt;=0,AG96&lt;0),1,0)</f>
        <v>0</v>
      </c>
      <c r="AH97" s="116" t="n">
        <f aca="false">IF(AND(AH95&gt;=0,AH96&lt;0),1,0)</f>
        <v>0</v>
      </c>
      <c r="AI97" s="116" t="n">
        <f aca="false">IF(AND(AI95&gt;=0,AI96&lt;0),1,0)</f>
        <v>0</v>
      </c>
      <c r="AJ97" s="116" t="n">
        <f aca="false">IF(AND(AJ95&gt;=0,AJ96&lt;0),1,0)</f>
        <v>0</v>
      </c>
      <c r="AK97" s="116" t="n">
        <f aca="false">IF(AND(AK95&gt;=0,AK96&lt;0),1,0)</f>
        <v>0</v>
      </c>
      <c r="AL97" s="116" t="n">
        <f aca="false">IF(AND(AL95&gt;=0,AL96&lt;0),1,0)</f>
        <v>0</v>
      </c>
      <c r="AM97" s="116" t="n">
        <f aca="false">IF(AND(AM95&gt;=0,AM96&lt;0),1,0)</f>
        <v>0</v>
      </c>
      <c r="AN97" s="116" t="n">
        <f aca="false">IF(AND(AN95&gt;=0,AN96&lt;0),1,0)</f>
        <v>0</v>
      </c>
      <c r="AO97" s="116" t="n">
        <f aca="false">IF(AND(AO95&gt;=0,AO96&lt;0),1,0)</f>
        <v>0</v>
      </c>
      <c r="AP97" s="116" t="n">
        <f aca="false">IF(AND(AP95&gt;=0,AP96&lt;0),1,0)</f>
        <v>0</v>
      </c>
      <c r="AQ97" s="116" t="n">
        <f aca="false">IF(AND(AQ95&gt;=0,AQ96&lt;0),1,0)</f>
        <v>0</v>
      </c>
      <c r="AR97" s="116" t="n">
        <f aca="false">IF(AND(AR95&gt;=0,AR96&lt;0),1,0)</f>
        <v>0</v>
      </c>
      <c r="AS97" s="116" t="n">
        <f aca="false">IF(AND(AS95&gt;=0,AS96&lt;0),1,0)</f>
        <v>0</v>
      </c>
      <c r="AT97" s="116" t="n">
        <f aca="false">IF(AND(AT95&gt;=0,AT96&lt;0),1,0)</f>
        <v>0</v>
      </c>
      <c r="AU97" s="116" t="n">
        <f aca="false">IF(AND(AU95&gt;=0,AU96&lt;0),1,0)</f>
        <v>0</v>
      </c>
      <c r="AV97" s="116" t="n">
        <f aca="false">IF(AND(AV95&gt;=0,AV96&lt;0),1,0)</f>
        <v>0</v>
      </c>
      <c r="AW97" s="116" t="n">
        <f aca="false">IF(AND(AW95&gt;=0,AW96&lt;0),1,0)</f>
        <v>0</v>
      </c>
      <c r="AX97" s="116" t="n">
        <f aca="false">IF(AND(AX95&gt;=0,AX96&lt;0),1,0)</f>
        <v>0</v>
      </c>
      <c r="AY97" s="116" t="n">
        <f aca="false">IF(AND(AY95&gt;=0,AY96&lt;0),1,0)</f>
        <v>0</v>
      </c>
      <c r="AZ97" s="116" t="n">
        <f aca="false">IF(AND(AZ95&gt;=0,AZ96&lt;0),1,0)</f>
        <v>0</v>
      </c>
      <c r="BA97" s="116" t="n">
        <f aca="false">IF(AND(BA95&gt;=0,BA96&lt;0),1,0)</f>
        <v>0</v>
      </c>
      <c r="BB97" s="116" t="n">
        <f aca="false">IF(AND(BB95&gt;=0,BB96&lt;0),1,0)</f>
        <v>0</v>
      </c>
      <c r="BC97" s="116" t="n">
        <f aca="false">IF(AND(BC95&gt;=0,BC96&lt;0),1,0)</f>
        <v>0</v>
      </c>
      <c r="BD97" s="116" t="n">
        <f aca="false">IF(AND(BD95&gt;=0,BD96&lt;0),1,0)</f>
        <v>0</v>
      </c>
      <c r="BE97" s="116" t="n">
        <f aca="false">IF(AND(BE95&gt;=0,BE96&lt;0),1,0)</f>
        <v>0</v>
      </c>
      <c r="BF97" s="116" t="n">
        <f aca="false">IF(AND(BF95&gt;=0,BF96&lt;0),1,0)</f>
        <v>0</v>
      </c>
      <c r="BG97" s="116" t="n">
        <f aca="false">IF(AND(BG95&gt;=0,BG96&lt;0),1,0)</f>
        <v>0</v>
      </c>
      <c r="BH97" s="116" t="n">
        <f aca="false">IF(AND(BH95&gt;=0,BH96&lt;0),1,0)</f>
        <v>0</v>
      </c>
      <c r="BI97" s="116" t="n">
        <f aca="false">IF(AND(BI95&gt;=0,BI96&lt;0),1,0)</f>
        <v>0</v>
      </c>
      <c r="BJ97" s="116" t="n">
        <f aca="false">IF(AND(BJ95&gt;=0,BJ96&lt;0),1,0)</f>
        <v>0</v>
      </c>
    </row>
    <row r="98" customFormat="false" ht="15" hidden="false" customHeight="false" outlineLevel="0" collapsed="false">
      <c r="A98" s="6" t="s">
        <v>452</v>
      </c>
      <c r="C98" s="67" t="n">
        <f aca="false">C83-C50*(1-Inputs!$E$83)+C84</f>
        <v>-146395.741466667</v>
      </c>
      <c r="D98" s="67" t="n">
        <f aca="false">D83-D50*(1-Inputs!$E$83)+D84</f>
        <v>-6996.76688333333</v>
      </c>
      <c r="E98" s="67" t="n">
        <f aca="false">E83-E50*(1-Inputs!$E$83)+E84</f>
        <v>-3449.27345</v>
      </c>
      <c r="F98" s="67" t="n">
        <f aca="false">F83-F50*(1-Inputs!$E$83)+F84</f>
        <v>-1857.06001666667</v>
      </c>
      <c r="G98" s="67" t="n">
        <f aca="false">G83-G50*(1-Inputs!$E$83)+G84</f>
        <v>-471.16551666667</v>
      </c>
      <c r="H98" s="67" t="n">
        <f aca="false">H83-H50*(1-Inputs!$E$83)+H84</f>
        <v>914.728983333329</v>
      </c>
      <c r="I98" s="67" t="n">
        <f aca="false">I83-I50*(1-Inputs!$E$83)+I84</f>
        <v>2300.62348333333</v>
      </c>
      <c r="J98" s="67" t="n">
        <f aca="false">J83-J50*(1-Inputs!$E$83)+J84</f>
        <v>2410.32358333333</v>
      </c>
      <c r="K98" s="67" t="n">
        <f aca="false">K83-K50*(1-Inputs!$E$83)+K84</f>
        <v>2412.68608333333</v>
      </c>
      <c r="L98" s="67" t="n">
        <f aca="false">L83-L50*(1-Inputs!$E$83)+L84</f>
        <v>2415.04858333333</v>
      </c>
      <c r="M98" s="67" t="n">
        <f aca="false">M83-M50*(1-Inputs!$E$83)+M84</f>
        <v>2417.41108333333</v>
      </c>
      <c r="N98" s="67" t="n">
        <f aca="false">N83-N50*(1-Inputs!$E$83)+N84</f>
        <v>-1499.20881666667</v>
      </c>
      <c r="O98" s="67" t="n">
        <f aca="false">O83-O50*(1-Inputs!$E$83)+O84</f>
        <v>-4026.73949330667</v>
      </c>
      <c r="P98" s="67" t="n">
        <f aca="false">P83-P50*(1-Inputs!$E$83)+P84</f>
        <v>-1464.62003586667</v>
      </c>
      <c r="Q98" s="67" t="n">
        <f aca="false">Q83-Q50*(1-Inputs!$E$83)+Q84</f>
        <v>2702.43609229333</v>
      </c>
      <c r="R98" s="67" t="n">
        <f aca="false">R83-R50*(1-Inputs!$E$83)+R84</f>
        <v>3080.02788893333</v>
      </c>
      <c r="S98" s="67" t="n">
        <f aca="false">S83-S50*(1-Inputs!$E$83)+S84</f>
        <v>3082.39038893333</v>
      </c>
      <c r="T98" s="67" t="n">
        <f aca="false">T83-T50*(1-Inputs!$E$83)+T84</f>
        <v>3084.75288893333</v>
      </c>
      <c r="U98" s="67" t="n">
        <f aca="false">U83-U50*(1-Inputs!$E$83)+U84</f>
        <v>3087.11538893333</v>
      </c>
      <c r="V98" s="67" t="n">
        <f aca="false">V83-V50*(1-Inputs!$E$83)+V84</f>
        <v>3089.47788893333</v>
      </c>
      <c r="W98" s="67" t="n">
        <f aca="false">W83-W50*(1-Inputs!$E$83)+W84</f>
        <v>3091.84038893333</v>
      </c>
      <c r="X98" s="67" t="n">
        <f aca="false">X83-X50*(1-Inputs!$E$83)+X84</f>
        <v>3094.20288893333</v>
      </c>
      <c r="Y98" s="67" t="n">
        <f aca="false">Y83-Y50*(1-Inputs!$E$83)+Y84</f>
        <v>3096.56538893333</v>
      </c>
      <c r="Z98" s="67" t="n">
        <f aca="false">Z83-Z50*(1-Inputs!$E$83)+Z84</f>
        <v>-1065.76573922667</v>
      </c>
      <c r="AA98" s="67" t="n">
        <f aca="false">AA83-AA50*(1-Inputs!$E$83)+AA84</f>
        <v>-3579.85475842805</v>
      </c>
      <c r="AB98" s="67" t="n">
        <f aca="false">AB83-AB50*(1-Inputs!$E$83)+AB84</f>
        <v>-1013.86347389595</v>
      </c>
      <c r="AC98" s="67" t="n">
        <f aca="false">AC83-AC50*(1-Inputs!$E$83)+AC84</f>
        <v>3414.079052219</v>
      </c>
      <c r="AD98" s="67" t="n">
        <f aca="false">AD83-AD50*(1-Inputs!$E$83)+AD84</f>
        <v>3814.52231302437</v>
      </c>
      <c r="AE98" s="67" t="n">
        <f aca="false">AE83-AE50*(1-Inputs!$E$83)+AE84</f>
        <v>3816.88481302437</v>
      </c>
      <c r="AF98" s="67" t="n">
        <f aca="false">AF83-AF50*(1-Inputs!$E$83)+AF84</f>
        <v>3819.24731302437</v>
      </c>
      <c r="AG98" s="67" t="n">
        <f aca="false">AG83-AG50*(1-Inputs!$E$83)+AG84</f>
        <v>3821.60981302437</v>
      </c>
      <c r="AH98" s="67" t="n">
        <f aca="false">AH83-AH50*(1-Inputs!$E$83)+AH84</f>
        <v>3823.97231302437</v>
      </c>
      <c r="AI98" s="67" t="n">
        <f aca="false">AI83-AI50*(1-Inputs!$E$83)+AI84</f>
        <v>3826.33481302437</v>
      </c>
      <c r="AJ98" s="67" t="n">
        <f aca="false">AJ83-AJ50*(1-Inputs!$E$83)+AJ84</f>
        <v>3828.69731302437</v>
      </c>
      <c r="AK98" s="67" t="n">
        <f aca="false">AK83-AK50*(1-Inputs!$E$83)+AK84</f>
        <v>3831.05981302437</v>
      </c>
      <c r="AL98" s="67" t="n">
        <f aca="false">AL83-AL50*(1-Inputs!$E$83)+AL84</f>
        <v>-592.157713090575</v>
      </c>
      <c r="AM98" s="67" t="n">
        <f aca="false">AM83-AM50*(1-Inputs!$E$83)+AM84</f>
        <v>-3091.36981131129</v>
      </c>
      <c r="AN98" s="67" t="n">
        <f aca="false">AN83-AN50*(1-Inputs!$E$83)+AN84</f>
        <v>-521.25194620389</v>
      </c>
      <c r="AO98" s="67" t="n">
        <f aca="false">AO83-AO50*(1-Inputs!$E$83)+AO84</f>
        <v>4183.68265618145</v>
      </c>
      <c r="AP98" s="67" t="n">
        <f aca="false">AP83-AP50*(1-Inputs!$E$83)+AP84</f>
        <v>4608.36903531988</v>
      </c>
      <c r="AQ98" s="67" t="n">
        <f aca="false">AQ83-AQ50*(1-Inputs!$E$83)+AQ84</f>
        <v>4610.73153531988</v>
      </c>
      <c r="AR98" s="67" t="n">
        <f aca="false">AR83-AR50*(1-Inputs!$E$83)+AR84</f>
        <v>4613.09403531988</v>
      </c>
      <c r="AS98" s="67" t="n">
        <f aca="false">AS83-AS50*(1-Inputs!$E$83)+AS84</f>
        <v>4615.45653531988</v>
      </c>
      <c r="AT98" s="67" t="n">
        <f aca="false">AT83-AT50*(1-Inputs!$E$83)+AT84</f>
        <v>4617.81903531988</v>
      </c>
      <c r="AU98" s="67" t="n">
        <f aca="false">AU83-AU50*(1-Inputs!$E$83)+AU84</f>
        <v>4620.18153531988</v>
      </c>
      <c r="AV98" s="67" t="n">
        <f aca="false">AV83-AV50*(1-Inputs!$E$83)+AV84</f>
        <v>4622.54403531988</v>
      </c>
      <c r="AW98" s="67" t="n">
        <f aca="false">AW83-AW50*(1-Inputs!$E$83)+AW84</f>
        <v>4624.90653531988</v>
      </c>
      <c r="AX98" s="67" t="n">
        <f aca="false">AX83-AX50*(1-Inputs!$E$83)+AX84</f>
        <v>-75.303067065466</v>
      </c>
      <c r="AY98" s="67" t="n">
        <f aca="false">AY83-AY50*(1-Inputs!$E$83)+AY84</f>
        <v>-2558.08413084881</v>
      </c>
      <c r="AZ98" s="67" t="n">
        <f aca="false">AZ83-AZ50*(1-Inputs!$E$83)+AZ84</f>
        <v>16.432127980105</v>
      </c>
      <c r="BA98" s="67" t="n">
        <f aca="false">BA83-BA50*(1-Inputs!$E$83)+BA84</f>
        <v>5015.45185166111</v>
      </c>
      <c r="BB98" s="67" t="n">
        <f aca="false">BB83-BB50*(1-Inputs!$E$83)+BB84</f>
        <v>5465.85775503907</v>
      </c>
      <c r="BC98" s="67" t="n">
        <f aca="false">BC83-BC50*(1-Inputs!$E$83)+BC84</f>
        <v>5468.22025503907</v>
      </c>
      <c r="BD98" s="67" t="n">
        <f aca="false">BD83-BD50*(1-Inputs!$E$83)+BD84</f>
        <v>5470.58275503907</v>
      </c>
      <c r="BE98" s="67" t="n">
        <f aca="false">BE83-BE50*(1-Inputs!$E$83)+BE84</f>
        <v>4719.95272480068</v>
      </c>
      <c r="BF98" s="67" t="n">
        <f aca="false">BF83-BF50*(1-Inputs!$E$83)+BF84</f>
        <v>4705.75818898086</v>
      </c>
      <c r="BG98" s="67" t="n">
        <f aca="false">BG83-BG50*(1-Inputs!$E$83)+BG84</f>
        <v>4705.75818898086</v>
      </c>
      <c r="BH98" s="67" t="n">
        <f aca="false">BH83-BH50*(1-Inputs!$E$83)+BH84</f>
        <v>4705.75818898086</v>
      </c>
      <c r="BI98" s="67" t="n">
        <f aca="false">BI83-BI50*(1-Inputs!$E$83)+BI84</f>
        <v>4705.75818898086</v>
      </c>
      <c r="BJ98" s="67" t="n">
        <f aca="false">BJ83-BJ50*(1-Inputs!$E$83)+BJ84</f>
        <v>488.100531358059</v>
      </c>
    </row>
    <row r="100" customFormat="false" ht="15.75" hidden="false" customHeight="true" outlineLevel="0" collapsed="false">
      <c r="A100" s="7" t="s">
        <v>453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</row>
    <row r="101" customFormat="false" ht="15" hidden="false" customHeight="false" outlineLevel="0" collapsed="false">
      <c r="A101" s="6" t="s">
        <v>97</v>
      </c>
      <c r="C101" s="67" t="n">
        <f aca="false">C85</f>
        <v>100000</v>
      </c>
      <c r="D101" s="67" t="n">
        <f aca="false">C101+D85</f>
        <v>100000</v>
      </c>
      <c r="E101" s="67" t="n">
        <f aca="false">D101+E85</f>
        <v>100000</v>
      </c>
      <c r="F101" s="67" t="n">
        <f aca="false">E101+F85</f>
        <v>100000</v>
      </c>
      <c r="G101" s="67" t="n">
        <f aca="false">F101+G85</f>
        <v>100000</v>
      </c>
      <c r="H101" s="67" t="n">
        <f aca="false">G101+H85</f>
        <v>100000</v>
      </c>
      <c r="I101" s="67" t="n">
        <f aca="false">H101+I85</f>
        <v>100000</v>
      </c>
      <c r="J101" s="67" t="n">
        <f aca="false">I101+J85</f>
        <v>100000</v>
      </c>
      <c r="K101" s="67" t="n">
        <f aca="false">J101+K85</f>
        <v>100000</v>
      </c>
      <c r="L101" s="67" t="n">
        <f aca="false">K101+L85</f>
        <v>100000</v>
      </c>
      <c r="M101" s="67" t="n">
        <f aca="false">L101+M85</f>
        <v>100000</v>
      </c>
      <c r="N101" s="67" t="n">
        <f aca="false">M101+N85</f>
        <v>100000</v>
      </c>
      <c r="O101" s="67" t="n">
        <f aca="false">N101+O85</f>
        <v>100000</v>
      </c>
      <c r="P101" s="67" t="n">
        <f aca="false">O101+P85</f>
        <v>100000</v>
      </c>
      <c r="Q101" s="67" t="n">
        <f aca="false">P101+Q85</f>
        <v>100000</v>
      </c>
      <c r="R101" s="67" t="n">
        <f aca="false">Q101+R85</f>
        <v>100000</v>
      </c>
      <c r="S101" s="67" t="n">
        <f aca="false">R101+S85</f>
        <v>100000</v>
      </c>
      <c r="T101" s="67" t="n">
        <f aca="false">S101+T85</f>
        <v>100000</v>
      </c>
      <c r="U101" s="67" t="n">
        <f aca="false">T101+U85</f>
        <v>100000</v>
      </c>
      <c r="V101" s="67" t="n">
        <f aca="false">U101+V85</f>
        <v>100000</v>
      </c>
      <c r="W101" s="67" t="n">
        <f aca="false">V101+W85</f>
        <v>100000</v>
      </c>
      <c r="X101" s="67" t="n">
        <f aca="false">W101+X85</f>
        <v>100000</v>
      </c>
      <c r="Y101" s="67" t="n">
        <f aca="false">X101+Y85</f>
        <v>100000</v>
      </c>
      <c r="Z101" s="67" t="n">
        <f aca="false">Y101+Z85</f>
        <v>100000</v>
      </c>
      <c r="AA101" s="67" t="n">
        <f aca="false">Z101+AA85</f>
        <v>100000</v>
      </c>
      <c r="AB101" s="67" t="n">
        <f aca="false">AA101+AB85</f>
        <v>100000</v>
      </c>
      <c r="AC101" s="67" t="n">
        <f aca="false">AB101+AC85</f>
        <v>100000</v>
      </c>
      <c r="AD101" s="67" t="n">
        <f aca="false">AC101+AD85</f>
        <v>100000</v>
      </c>
      <c r="AE101" s="67" t="n">
        <f aca="false">AD101+AE85</f>
        <v>100000</v>
      </c>
      <c r="AF101" s="67" t="n">
        <f aca="false">AE101+AF85</f>
        <v>100000</v>
      </c>
      <c r="AG101" s="67" t="n">
        <f aca="false">AF101+AG85</f>
        <v>100000</v>
      </c>
      <c r="AH101" s="67" t="n">
        <f aca="false">AG101+AH85</f>
        <v>100000</v>
      </c>
      <c r="AI101" s="67" t="n">
        <f aca="false">AH101+AI85</f>
        <v>100000</v>
      </c>
      <c r="AJ101" s="67" t="n">
        <f aca="false">AI101+AJ85</f>
        <v>100000</v>
      </c>
      <c r="AK101" s="67" t="n">
        <f aca="false">AJ101+AK85</f>
        <v>100000</v>
      </c>
      <c r="AL101" s="67" t="n">
        <f aca="false">AK101+AL85</f>
        <v>100000</v>
      </c>
      <c r="AM101" s="67" t="n">
        <f aca="false">AL101+AM85</f>
        <v>100000</v>
      </c>
      <c r="AN101" s="67" t="n">
        <f aca="false">AM101+AN85</f>
        <v>100000</v>
      </c>
      <c r="AO101" s="67" t="n">
        <f aca="false">AN101+AO85</f>
        <v>100000</v>
      </c>
      <c r="AP101" s="67" t="n">
        <f aca="false">AO101+AP85</f>
        <v>100000</v>
      </c>
      <c r="AQ101" s="67" t="n">
        <f aca="false">AP101+AQ85</f>
        <v>100000</v>
      </c>
      <c r="AR101" s="67" t="n">
        <f aca="false">AQ101+AR85</f>
        <v>100000</v>
      </c>
      <c r="AS101" s="67" t="n">
        <f aca="false">AR101+AS85</f>
        <v>100000</v>
      </c>
      <c r="AT101" s="67" t="n">
        <f aca="false">AS101+AT85</f>
        <v>100000</v>
      </c>
      <c r="AU101" s="67" t="n">
        <f aca="false">AT101+AU85</f>
        <v>100000</v>
      </c>
      <c r="AV101" s="67" t="n">
        <f aca="false">AU101+AV85</f>
        <v>100000</v>
      </c>
      <c r="AW101" s="67" t="n">
        <f aca="false">AV101+AW85</f>
        <v>100000</v>
      </c>
      <c r="AX101" s="67" t="n">
        <f aca="false">AW101+AX85</f>
        <v>100000</v>
      </c>
      <c r="AY101" s="67" t="n">
        <f aca="false">AX101+AY85</f>
        <v>100000</v>
      </c>
      <c r="AZ101" s="67" t="n">
        <f aca="false">AY101+AZ85</f>
        <v>100000</v>
      </c>
      <c r="BA101" s="67" t="n">
        <f aca="false">AZ101+BA85</f>
        <v>100000</v>
      </c>
      <c r="BB101" s="67" t="n">
        <f aca="false">BA101+BB85</f>
        <v>100000</v>
      </c>
      <c r="BC101" s="67" t="n">
        <f aca="false">BB101+BC85</f>
        <v>100000</v>
      </c>
      <c r="BD101" s="67" t="n">
        <f aca="false">BC101+BD85</f>
        <v>100000</v>
      </c>
      <c r="BE101" s="67" t="n">
        <f aca="false">BD101+BE85</f>
        <v>100000</v>
      </c>
      <c r="BF101" s="67" t="n">
        <f aca="false">BE101+BF85</f>
        <v>100000</v>
      </c>
      <c r="BG101" s="67" t="n">
        <f aca="false">BF101+BG85</f>
        <v>100000</v>
      </c>
      <c r="BH101" s="67" t="n">
        <f aca="false">BG101+BH85</f>
        <v>100000</v>
      </c>
      <c r="BI101" s="67" t="n">
        <f aca="false">BH101+BI85</f>
        <v>100000</v>
      </c>
      <c r="BJ101" s="67" t="n">
        <f aca="false">BI101+BJ85</f>
        <v>100000</v>
      </c>
    </row>
    <row r="102" customFormat="false" ht="15" hidden="false" customHeight="false" outlineLevel="0" collapsed="false">
      <c r="A102" s="6" t="s">
        <v>98</v>
      </c>
      <c r="C102" s="67" t="n">
        <f aca="false">C55</f>
        <v>-10104.6678095238</v>
      </c>
      <c r="D102" s="67" t="n">
        <f aca="false">C102+D55</f>
        <v>-19195.2346190476</v>
      </c>
      <c r="E102" s="67" t="n">
        <f aca="false">D102+E55</f>
        <v>-24493.6274285714</v>
      </c>
      <c r="F102" s="67" t="n">
        <f aca="false">E102+F55</f>
        <v>-28397.2382380952</v>
      </c>
      <c r="G102" s="67" t="n">
        <f aca="false">F102+G55</f>
        <v>-30906.0670476191</v>
      </c>
      <c r="H102" s="67" t="n">
        <f aca="false">G102+H55</f>
        <v>-32020.1138571429</v>
      </c>
      <c r="I102" s="67" t="n">
        <f aca="false">H102+I55</f>
        <v>-31739.3786666667</v>
      </c>
      <c r="J102" s="67" t="n">
        <f aca="false">I102+J55</f>
        <v>-31447.3934761905</v>
      </c>
      <c r="K102" s="67" t="n">
        <f aca="false">J102+K55</f>
        <v>-31144.1582857143</v>
      </c>
      <c r="L102" s="67" t="n">
        <f aca="false">K102+L55</f>
        <v>-30829.6730952381</v>
      </c>
      <c r="M102" s="67" t="n">
        <f aca="false">L102+M55</f>
        <v>-30503.9379047619</v>
      </c>
      <c r="N102" s="67" t="n">
        <f aca="false">M102+N55</f>
        <v>-34439.6247142857</v>
      </c>
      <c r="O102" s="67" t="n">
        <f aca="false">N102+O55</f>
        <v>-38010.2700477714</v>
      </c>
      <c r="P102" s="67" t="n">
        <f aca="false">O102+P55</f>
        <v>-41569.6653812572</v>
      </c>
      <c r="Q102" s="67" t="n">
        <f aca="false">P102+Q55</f>
        <v>-40577.8877899429</v>
      </c>
      <c r="R102" s="67" t="n">
        <f aca="false">Q102+R55</f>
        <v>-39574.8601986286</v>
      </c>
      <c r="S102" s="67" t="n">
        <f aca="false">R102+S55</f>
        <v>-38560.5826073143</v>
      </c>
      <c r="T102" s="67" t="n">
        <f aca="false">S102+T55</f>
        <v>-37535.055016</v>
      </c>
      <c r="U102" s="67" t="n">
        <f aca="false">T102+U55</f>
        <v>-36498.2774246857</v>
      </c>
      <c r="V102" s="67" t="n">
        <f aca="false">U102+V55</f>
        <v>-35450.2498333715</v>
      </c>
      <c r="W102" s="67" t="n">
        <f aca="false">V102+W55</f>
        <v>-34390.9722420572</v>
      </c>
      <c r="X102" s="67" t="n">
        <f aca="false">W102+X55</f>
        <v>-33320.4446507429</v>
      </c>
      <c r="Y102" s="67" t="n">
        <f aca="false">X102+Y55</f>
        <v>-32238.6670594286</v>
      </c>
      <c r="Z102" s="67" t="n">
        <f aca="false">Y102+Z55</f>
        <v>-35685.5623929143</v>
      </c>
      <c r="AA102" s="67" t="n">
        <f aca="false">Z102+AA55</f>
        <v>-38728.5630691912</v>
      </c>
      <c r="AB102" s="67" t="n">
        <f aca="false">AA102+AB55</f>
        <v>-41760.3137454681</v>
      </c>
      <c r="AC102" s="67" t="n">
        <f aca="false">AB102+AC55</f>
        <v>-39957.1536348247</v>
      </c>
      <c r="AD102" s="67" t="n">
        <f aca="false">AC102+AD55</f>
        <v>-38142.7435241813</v>
      </c>
      <c r="AE102" s="67" t="n">
        <f aca="false">AD102+AE55</f>
        <v>-36317.0834135379</v>
      </c>
      <c r="AF102" s="67" t="n">
        <f aca="false">AE102+AF55</f>
        <v>-34480.1733028944</v>
      </c>
      <c r="AG102" s="67" t="n">
        <f aca="false">AF102+AG55</f>
        <v>-32632.013192251</v>
      </c>
      <c r="AH102" s="67" t="n">
        <f aca="false">AG102+AH55</f>
        <v>-30772.6030816076</v>
      </c>
      <c r="AI102" s="67" t="n">
        <f aca="false">AH102+AI55</f>
        <v>-28901.9429709642</v>
      </c>
      <c r="AJ102" s="67" t="n">
        <f aca="false">AI102+AJ55</f>
        <v>-27020.0328603208</v>
      </c>
      <c r="AK102" s="67" t="n">
        <f aca="false">AJ102+AK55</f>
        <v>-25126.8727496773</v>
      </c>
      <c r="AL102" s="67" t="n">
        <f aca="false">AK102+AL55</f>
        <v>-28046.1234259542</v>
      </c>
      <c r="AM102" s="67" t="n">
        <f aca="false">AL102+AM55</f>
        <v>-30519.624479301</v>
      </c>
      <c r="AN102" s="67" t="n">
        <f aca="false">AM102+AN55</f>
        <v>-32981.8755326477</v>
      </c>
      <c r="AO102" s="67" t="n">
        <f aca="false">AN102+AO55</f>
        <v>-30307.9806044707</v>
      </c>
      <c r="AP102" s="67" t="n">
        <f aca="false">AO102+AP55</f>
        <v>-27622.8356762937</v>
      </c>
      <c r="AQ102" s="67" t="n">
        <f aca="false">AP102+AQ55</f>
        <v>-24926.4407481167</v>
      </c>
      <c r="AR102" s="67" t="n">
        <f aca="false">AQ102+AR55</f>
        <v>-22218.7958199397</v>
      </c>
      <c r="AS102" s="67" t="n">
        <f aca="false">AR102+AS55</f>
        <v>-19499.9008917626</v>
      </c>
      <c r="AT102" s="67" t="n">
        <f aca="false">AS102+AT55</f>
        <v>-16769.7559635856</v>
      </c>
      <c r="AU102" s="67" t="n">
        <f aca="false">AT102+AU55</f>
        <v>-14028.3610354086</v>
      </c>
      <c r="AV102" s="67" t="n">
        <f aca="false">AU102+AV55</f>
        <v>-11275.7161072316</v>
      </c>
      <c r="AW102" s="67" t="n">
        <f aca="false">AV102+AW55</f>
        <v>-8511.82117905456</v>
      </c>
      <c r="AX102" s="67" t="n">
        <f aca="false">AW102+AX55</f>
        <v>-10861.5722324013</v>
      </c>
      <c r="AY102" s="67" t="n">
        <f aca="false">AX102+AY55</f>
        <v>-12720.501116326</v>
      </c>
      <c r="AZ102" s="67" t="n">
        <f aca="false">AY102+AZ55</f>
        <v>-14568.1800002506</v>
      </c>
      <c r="BA102" s="67" t="n">
        <f aca="false">AZ102+BA55</f>
        <v>-10959.9082571163</v>
      </c>
      <c r="BB102" s="67" t="n">
        <f aca="false">BA102+BB55</f>
        <v>-7340.38651398201</v>
      </c>
      <c r="BC102" s="67" t="n">
        <f aca="false">BB102+BC55</f>
        <v>-3709.6147708477</v>
      </c>
      <c r="BD102" s="67" t="n">
        <f aca="false">BC102+BD55</f>
        <v>-67.5930277133984</v>
      </c>
      <c r="BE102" s="67" t="n">
        <f aca="false">BD102+BE55</f>
        <v>2832.68618518252</v>
      </c>
      <c r="BF102" s="67" t="n">
        <f aca="false">BE102+BF55</f>
        <v>5727.65836225862</v>
      </c>
      <c r="BG102" s="67" t="n">
        <f aca="false">BF102+BG55</f>
        <v>8631.51803933472</v>
      </c>
      <c r="BH102" s="67" t="n">
        <f aca="false">BG102+BH55</f>
        <v>11544.2652164108</v>
      </c>
      <c r="BI102" s="67" t="n">
        <f aca="false">BH102+BI55</f>
        <v>14465.8998934869</v>
      </c>
      <c r="BJ102" s="67" t="n">
        <f aca="false">BI102+BJ55</f>
        <v>12730.7210095623</v>
      </c>
    </row>
    <row r="103" customFormat="false" ht="15" hidden="false" customHeight="false" outlineLevel="0" collapsed="false">
      <c r="A103" s="4" t="s">
        <v>93</v>
      </c>
      <c r="C103" s="73" t="n">
        <f aca="false">C89+C75+C76+C66</f>
        <v>180900.565790476</v>
      </c>
      <c r="D103" s="73" t="n">
        <f aca="false">D89+D75+D76+D66</f>
        <v>170477.537914286</v>
      </c>
      <c r="E103" s="73" t="n">
        <f aca="false">E89+E75+E76+E66</f>
        <v>164296.446171429</v>
      </c>
      <c r="F103" s="73" t="n">
        <f aca="false">F89+F75+F76+F66</f>
        <v>159116.594561905</v>
      </c>
      <c r="G103" s="73" t="n">
        <f aca="false">G89+G75+G76+G66</f>
        <v>155331.524952381</v>
      </c>
      <c r="H103" s="73" t="n">
        <f aca="false">H89+H75+H76+H66</f>
        <v>152941.237342857</v>
      </c>
      <c r="I103" s="73" t="n">
        <f aca="false">I89+I75+I76+I66</f>
        <v>151945.731733333</v>
      </c>
      <c r="J103" s="73" t="n">
        <f aca="false">J89+J75+J76+J66</f>
        <v>150737.71692381</v>
      </c>
      <c r="K103" s="73" t="n">
        <f aca="false">K89+K75+K76+K66</f>
        <v>149540.952114286</v>
      </c>
      <c r="L103" s="73" t="n">
        <f aca="false">L89+L75+L76+L66</f>
        <v>148355.437304762</v>
      </c>
      <c r="M103" s="73" t="n">
        <f aca="false">M89+M75+M76+M66</f>
        <v>147181.172495238</v>
      </c>
      <c r="N103" s="73" t="n">
        <f aca="false">N89+N75+N76+N66</f>
        <v>141070.842485714</v>
      </c>
      <c r="O103" s="73" t="n">
        <f aca="false">O89+O75+O76+O66</f>
        <v>136132.780516709</v>
      </c>
      <c r="P103" s="73" t="n">
        <f aca="false">P89+P75+P76+P66</f>
        <v>131073.385183223</v>
      </c>
      <c r="Q103" s="73" t="n">
        <f aca="false">Q89+Q75+Q76+Q66</f>
        <v>131280.891745417</v>
      </c>
      <c r="R103" s="73" t="n">
        <f aca="false">R89+R75+R76+R66</f>
        <v>130783.919336731</v>
      </c>
      <c r="S103" s="73" t="n">
        <f aca="false">S89+S75+S76+S66</f>
        <v>130298.196928046</v>
      </c>
      <c r="T103" s="73" t="n">
        <f aca="false">T89+T75+T76+T66</f>
        <v>129823.72451936</v>
      </c>
      <c r="U103" s="73" t="n">
        <f aca="false">U89+U75+U76+U66</f>
        <v>129360.502110674</v>
      </c>
      <c r="V103" s="73" t="n">
        <f aca="false">V89+V75+V76+V66</f>
        <v>128908.529701989</v>
      </c>
      <c r="W103" s="73" t="n">
        <f aca="false">W89+W75+W76+W66</f>
        <v>128467.807293303</v>
      </c>
      <c r="X103" s="73" t="n">
        <f aca="false">X89+X75+X76+X66</f>
        <v>128038.334884617</v>
      </c>
      <c r="Y103" s="73" t="n">
        <f aca="false">Y89+Y75+Y76+Y66</f>
        <v>127620.112475931</v>
      </c>
      <c r="Z103" s="73" t="n">
        <f aca="false">Z89+Z75+Z76+Z66</f>
        <v>121957.488171566</v>
      </c>
      <c r="AA103" s="73" t="n">
        <f aca="false">AA89+AA75+AA76+AA66</f>
        <v>117555.972078494</v>
      </c>
      <c r="AB103" s="73" t="n">
        <f aca="false">AB89+AB75+AB76+AB66</f>
        <v>113024.221402217</v>
      </c>
      <c r="AC103" s="73" t="n">
        <f aca="false">AC89+AC75+AC76+AC66</f>
        <v>114086.698378067</v>
      </c>
      <c r="AD103" s="73" t="n">
        <f aca="false">AD89+AD75+AD76+AD66</f>
        <v>114401.10848871</v>
      </c>
      <c r="AE103" s="73" t="n">
        <f aca="false">AE89+AE75+AE76+AE66</f>
        <v>114726.768599354</v>
      </c>
      <c r="AF103" s="73" t="n">
        <f aca="false">AF89+AF75+AF76+AF66</f>
        <v>115063.678709997</v>
      </c>
      <c r="AG103" s="73" t="n">
        <f aca="false">AG89+AG75+AG76+AG66</f>
        <v>115411.83882064</v>
      </c>
      <c r="AH103" s="73" t="n">
        <f aca="false">AH89+AH75+AH76+AH66</f>
        <v>115771.248931284</v>
      </c>
      <c r="AI103" s="73" t="n">
        <f aca="false">AI89+AI75+AI76+AI66</f>
        <v>116141.909041927</v>
      </c>
      <c r="AJ103" s="73" t="n">
        <f aca="false">AJ89+AJ75+AJ76+AJ66</f>
        <v>116523.819152571</v>
      </c>
      <c r="AK103" s="73" t="n">
        <f aca="false">AK89+AK75+AK76+AK66</f>
        <v>116916.979263214</v>
      </c>
      <c r="AL103" s="73" t="n">
        <f aca="false">AL89+AL75+AL76+AL66</f>
        <v>111738.411721731</v>
      </c>
      <c r="AM103" s="73" t="n">
        <f aca="false">AM89+AM75+AM76+AM66</f>
        <v>107915.905946218</v>
      </c>
      <c r="AN103" s="73" t="n">
        <f aca="false">AN89+AN75+AN76+AN66</f>
        <v>103953.654892871</v>
      </c>
      <c r="AO103" s="73" t="n">
        <f aca="false">AO89+AO75+AO76+AO66</f>
        <v>105933.109083346</v>
      </c>
      <c r="AP103" s="73" t="n">
        <f aca="false">AP89+AP75+AP76+AP66</f>
        <v>107118.254011523</v>
      </c>
      <c r="AQ103" s="73" t="n">
        <f aca="false">AQ89+AQ75+AQ76+AQ66</f>
        <v>108314.6489397</v>
      </c>
      <c r="AR103" s="73" t="n">
        <f aca="false">AR89+AR75+AR76+AR66</f>
        <v>109522.293867877</v>
      </c>
      <c r="AS103" s="73" t="n">
        <f aca="false">AS89+AS75+AS76+AS66</f>
        <v>110741.188796054</v>
      </c>
      <c r="AT103" s="73" t="n">
        <f aca="false">AT89+AT75+AT76+AT66</f>
        <v>111971.333724231</v>
      </c>
      <c r="AU103" s="73" t="n">
        <f aca="false">AU89+AU75+AU76+AU66</f>
        <v>113212.728652408</v>
      </c>
      <c r="AV103" s="73" t="n">
        <f aca="false">AV89+AV75+AV76+AV66</f>
        <v>114465.373580585</v>
      </c>
      <c r="AW103" s="73" t="n">
        <f aca="false">AW89+AW75+AW76+AW66</f>
        <v>115729.268508762</v>
      </c>
      <c r="AX103" s="73" t="n">
        <f aca="false">AX89+AX75+AX76+AX66</f>
        <v>111073.958193118</v>
      </c>
      <c r="AY103" s="73" t="n">
        <f aca="false">AY89+AY75+AY76+AY66</f>
        <v>107876.187367065</v>
      </c>
      <c r="AZ103" s="73" t="n">
        <f aca="false">AZ89+AZ75+AZ76+AZ66</f>
        <v>104528.50848314</v>
      </c>
      <c r="BA103" s="73" t="n">
        <f aca="false">BA89+BA75+BA76+BA66</f>
        <v>107491.398047646</v>
      </c>
      <c r="BB103" s="73" t="n">
        <f aca="false">BB89+BB75+BB76+BB66</f>
        <v>109610.919790781</v>
      </c>
      <c r="BC103" s="73" t="n">
        <f aca="false">BC89+BC75+BC76+BC66</f>
        <v>111741.691533915</v>
      </c>
      <c r="BD103" s="73" t="n">
        <f aca="false">BD89+BD75+BD76+BD66</f>
        <v>113883.713277049</v>
      </c>
      <c r="BE103" s="73" t="n">
        <f aca="false">BE89+BE75+BE76+BE66</f>
        <v>115283.992489945</v>
      </c>
      <c r="BF103" s="73" t="n">
        <f aca="false">BF89+BF75+BF76+BF66</f>
        <v>116678.964667021</v>
      </c>
      <c r="BG103" s="73" t="n">
        <f aca="false">BG89+BG75+BG76+BG66</f>
        <v>118082.824344097</v>
      </c>
      <c r="BH103" s="73" t="n">
        <f aca="false">BH89+BH75+BH76+BH66</f>
        <v>119495.571521174</v>
      </c>
      <c r="BI103" s="73" t="n">
        <f aca="false">BI89+BI75+BI76+BI66</f>
        <v>120917.20619825</v>
      </c>
      <c r="BJ103" s="73" t="n">
        <f aca="false">BJ89+BJ75+BJ76+BJ66</f>
        <v>116827.409492953</v>
      </c>
    </row>
    <row r="104" customFormat="false" ht="15" hidden="false" customHeight="false" outlineLevel="0" collapsed="false">
      <c r="A104" s="6" t="s">
        <v>96</v>
      </c>
      <c r="C104" s="67" t="n">
        <f aca="false">C77+C72</f>
        <v>91005.2336</v>
      </c>
      <c r="D104" s="67" t="n">
        <f aca="false">D77+D72</f>
        <v>89672.7725333333</v>
      </c>
      <c r="E104" s="67" t="n">
        <f aca="false">E77+E72</f>
        <v>88790.0736</v>
      </c>
      <c r="F104" s="67" t="n">
        <f aca="false">F77+F72</f>
        <v>87513.8328</v>
      </c>
      <c r="G104" s="67" t="n">
        <f aca="false">G77+G72</f>
        <v>86237.592</v>
      </c>
      <c r="H104" s="67" t="n">
        <f aca="false">H77+H72</f>
        <v>84961.3512</v>
      </c>
      <c r="I104" s="67" t="n">
        <f aca="false">I77+I72</f>
        <v>83685.1104</v>
      </c>
      <c r="J104" s="67" t="n">
        <f aca="false">J77+J72</f>
        <v>82185.1104</v>
      </c>
      <c r="K104" s="67" t="n">
        <f aca="false">K77+K72</f>
        <v>80685.1104</v>
      </c>
      <c r="L104" s="67" t="n">
        <f aca="false">L77+L72</f>
        <v>79185.1104</v>
      </c>
      <c r="M104" s="67" t="n">
        <f aca="false">M77+M72</f>
        <v>77685.1104</v>
      </c>
      <c r="N104" s="67" t="n">
        <f aca="false">N77+N72</f>
        <v>75510.4672</v>
      </c>
      <c r="O104" s="67" t="n">
        <f aca="false">O77+O72</f>
        <v>74143.05056448</v>
      </c>
      <c r="P104" s="67" t="n">
        <f aca="false">P77+P72</f>
        <v>72643.05056448</v>
      </c>
      <c r="Q104" s="67" t="n">
        <f aca="false">Q77+Q72</f>
        <v>71858.77953536</v>
      </c>
      <c r="R104" s="67" t="n">
        <f aca="false">R77+R72</f>
        <v>70358.77953536</v>
      </c>
      <c r="S104" s="67" t="n">
        <f aca="false">S77+S72</f>
        <v>68858.77953536</v>
      </c>
      <c r="T104" s="67" t="n">
        <f aca="false">T77+T72</f>
        <v>67358.77953536</v>
      </c>
      <c r="U104" s="67" t="n">
        <f aca="false">U77+U72</f>
        <v>65858.77953536</v>
      </c>
      <c r="V104" s="67" t="n">
        <f aca="false">V77+V72</f>
        <v>64358.77953536</v>
      </c>
      <c r="W104" s="67" t="n">
        <f aca="false">W77+W72</f>
        <v>62858.77953536</v>
      </c>
      <c r="X104" s="67" t="n">
        <f aca="false">X77+X72</f>
        <v>61358.77953536</v>
      </c>
      <c r="Y104" s="67" t="n">
        <f aca="false">Y77+Y72</f>
        <v>59858.77953536</v>
      </c>
      <c r="Z104" s="67" t="n">
        <f aca="false">Z77+Z72</f>
        <v>57643.05056448</v>
      </c>
      <c r="AA104" s="67" t="n">
        <f aca="false">AA77+AA72</f>
        <v>56284.5351476848</v>
      </c>
      <c r="AB104" s="67" t="n">
        <f aca="false">AB77+AB72</f>
        <v>54784.5351476848</v>
      </c>
      <c r="AC104" s="67" t="n">
        <f aca="false">AC77+AC72</f>
        <v>54043.8520128914</v>
      </c>
      <c r="AD104" s="67" t="n">
        <f aca="false">AD77+AD72</f>
        <v>52543.8520128914</v>
      </c>
      <c r="AE104" s="67" t="n">
        <f aca="false">AE77+AE72</f>
        <v>51043.8520128914</v>
      </c>
      <c r="AF104" s="67" t="n">
        <f aca="false">AF77+AF72</f>
        <v>49543.8520128914</v>
      </c>
      <c r="AG104" s="67" t="n">
        <f aca="false">AG77+AG72</f>
        <v>48043.8520128914</v>
      </c>
      <c r="AH104" s="67" t="n">
        <f aca="false">AH77+AH72</f>
        <v>46543.8520128914</v>
      </c>
      <c r="AI104" s="67" t="n">
        <f aca="false">AI77+AI72</f>
        <v>45043.8520128914</v>
      </c>
      <c r="AJ104" s="67" t="n">
        <f aca="false">AJ77+AJ72</f>
        <v>43543.8520128914</v>
      </c>
      <c r="AK104" s="67" t="n">
        <f aca="false">AK77+AK72</f>
        <v>42043.8520128914</v>
      </c>
      <c r="AL104" s="67" t="n">
        <f aca="false">AL77+AL72</f>
        <v>39784.5351476848</v>
      </c>
      <c r="AM104" s="67" t="n">
        <f aca="false">AM77+AM72</f>
        <v>38435.5304255188</v>
      </c>
      <c r="AN104" s="67" t="n">
        <f aca="false">AN77+AN72</f>
        <v>36935.5304255188</v>
      </c>
      <c r="AO104" s="67" t="n">
        <f aca="false">AO77+AO72</f>
        <v>36241.0896878165</v>
      </c>
      <c r="AP104" s="67" t="n">
        <f aca="false">AP77+AP72</f>
        <v>34741.0896878165</v>
      </c>
      <c r="AQ104" s="67" t="n">
        <f aca="false">AQ77+AQ72</f>
        <v>33241.0896878165</v>
      </c>
      <c r="AR104" s="67" t="n">
        <f aca="false">AR77+AR72</f>
        <v>31741.0896878165</v>
      </c>
      <c r="AS104" s="67" t="n">
        <f aca="false">AS77+AS72</f>
        <v>30241.0896878165</v>
      </c>
      <c r="AT104" s="67" t="n">
        <f aca="false">AT77+AT72</f>
        <v>28741.0896878165</v>
      </c>
      <c r="AU104" s="67" t="n">
        <f aca="false">AU77+AU72</f>
        <v>27241.0896878165</v>
      </c>
      <c r="AV104" s="67" t="n">
        <f aca="false">AV77+AV72</f>
        <v>25741.0896878165</v>
      </c>
      <c r="AW104" s="67" t="n">
        <f aca="false">AW77+AW72</f>
        <v>24241.0896878165</v>
      </c>
      <c r="AX104" s="67" t="n">
        <f aca="false">AX77+AX72</f>
        <v>21935.5304255188</v>
      </c>
      <c r="AY104" s="67" t="n">
        <f aca="false">AY77+AY72</f>
        <v>20596.6884833911</v>
      </c>
      <c r="AZ104" s="67" t="n">
        <f aca="false">AZ77+AZ72</f>
        <v>19096.6884833911</v>
      </c>
      <c r="BA104" s="67" t="n">
        <f aca="false">BA77+BA72</f>
        <v>18451.3063047627</v>
      </c>
      <c r="BB104" s="67" t="n">
        <f aca="false">BB77+BB72</f>
        <v>16951.3063047627</v>
      </c>
      <c r="BC104" s="67" t="n">
        <f aca="false">BC77+BC72</f>
        <v>15451.3063047627</v>
      </c>
      <c r="BD104" s="67" t="n">
        <f aca="false">BD77+BD72</f>
        <v>13951.3063047627</v>
      </c>
      <c r="BE104" s="67" t="n">
        <f aca="false">BE77+BE72</f>
        <v>12451.3063047627</v>
      </c>
      <c r="BF104" s="67" t="n">
        <f aca="false">BF77+BF72</f>
        <v>10951.3063047627</v>
      </c>
      <c r="BG104" s="67" t="n">
        <f aca="false">BG77+BG72</f>
        <v>9451.30630476271</v>
      </c>
      <c r="BH104" s="67" t="n">
        <f aca="false">BH77+BH72</f>
        <v>7951.30630476271</v>
      </c>
      <c r="BI104" s="67" t="n">
        <f aca="false">BI77+BI72</f>
        <v>6451.30630476271</v>
      </c>
      <c r="BJ104" s="67" t="n">
        <f aca="false">BJ77+BJ72</f>
        <v>4096.68848339111</v>
      </c>
    </row>
    <row r="105" customFormat="false" ht="15" hidden="false" customHeight="false" outlineLevel="0" collapsed="false">
      <c r="A105" s="6" t="s">
        <v>99</v>
      </c>
      <c r="C105" s="67" t="n">
        <f aca="false">C101+C102</f>
        <v>89895.3321904762</v>
      </c>
      <c r="D105" s="67" t="n">
        <f aca="false">D101+D102</f>
        <v>80804.7653809524</v>
      </c>
      <c r="E105" s="67" t="n">
        <f aca="false">E101+E102</f>
        <v>75506.3725714286</v>
      </c>
      <c r="F105" s="67" t="n">
        <f aca="false">F101+F102</f>
        <v>71602.7617619048</v>
      </c>
      <c r="G105" s="67" t="n">
        <f aca="false">G101+G102</f>
        <v>69093.9329523809</v>
      </c>
      <c r="H105" s="67" t="n">
        <f aca="false">H101+H102</f>
        <v>67979.8861428571</v>
      </c>
      <c r="I105" s="67" t="n">
        <f aca="false">I101+I102</f>
        <v>68260.6213333333</v>
      </c>
      <c r="J105" s="67" t="n">
        <f aca="false">J101+J102</f>
        <v>68552.6065238095</v>
      </c>
      <c r="K105" s="67" t="n">
        <f aca="false">K101+K102</f>
        <v>68855.8417142857</v>
      </c>
      <c r="L105" s="67" t="n">
        <f aca="false">L101+L102</f>
        <v>69170.3269047619</v>
      </c>
      <c r="M105" s="67" t="n">
        <f aca="false">M101+M102</f>
        <v>69496.0620952381</v>
      </c>
      <c r="N105" s="67" t="n">
        <f aca="false">N101+N102</f>
        <v>65560.3752857143</v>
      </c>
      <c r="O105" s="67" t="n">
        <f aca="false">O101+O102</f>
        <v>61989.7299522286</v>
      </c>
      <c r="P105" s="67" t="n">
        <f aca="false">P101+P102</f>
        <v>58430.3346187428</v>
      </c>
      <c r="Q105" s="67" t="n">
        <f aca="false">Q101+Q102</f>
        <v>59422.1122100571</v>
      </c>
      <c r="R105" s="67" t="n">
        <f aca="false">R101+R102</f>
        <v>60425.1398013714</v>
      </c>
      <c r="S105" s="67" t="n">
        <f aca="false">S101+S102</f>
        <v>61439.4173926857</v>
      </c>
      <c r="T105" s="67" t="n">
        <f aca="false">T101+T102</f>
        <v>62464.944984</v>
      </c>
      <c r="U105" s="67" t="n">
        <f aca="false">U101+U102</f>
        <v>63501.7225753143</v>
      </c>
      <c r="V105" s="67" t="n">
        <f aca="false">V101+V102</f>
        <v>64549.7501666285</v>
      </c>
      <c r="W105" s="67" t="n">
        <f aca="false">W101+W102</f>
        <v>65609.0277579428</v>
      </c>
      <c r="X105" s="67" t="n">
        <f aca="false">X101+X102</f>
        <v>66679.5553492571</v>
      </c>
      <c r="Y105" s="67" t="n">
        <f aca="false">Y101+Y102</f>
        <v>67761.3329405714</v>
      </c>
      <c r="Z105" s="67" t="n">
        <f aca="false">Z101+Z102</f>
        <v>64314.4376070857</v>
      </c>
      <c r="AA105" s="67" t="n">
        <f aca="false">AA101+AA102</f>
        <v>61271.4369308088</v>
      </c>
      <c r="AB105" s="67" t="n">
        <f aca="false">AB101+AB102</f>
        <v>58239.6862545319</v>
      </c>
      <c r="AC105" s="67" t="n">
        <f aca="false">AC101+AC102</f>
        <v>60042.8463651753</v>
      </c>
      <c r="AD105" s="67" t="n">
        <f aca="false">AD101+AD102</f>
        <v>61857.2564758187</v>
      </c>
      <c r="AE105" s="67" t="n">
        <f aca="false">AE101+AE102</f>
        <v>63682.9165864621</v>
      </c>
      <c r="AF105" s="67" t="n">
        <f aca="false">AF101+AF102</f>
        <v>65519.8266971056</v>
      </c>
      <c r="AG105" s="67" t="n">
        <f aca="false">AG101+AG102</f>
        <v>67367.986807749</v>
      </c>
      <c r="AH105" s="67" t="n">
        <f aca="false">AH101+AH102</f>
        <v>69227.3969183924</v>
      </c>
      <c r="AI105" s="67" t="n">
        <f aca="false">AI101+AI102</f>
        <v>71098.0570290358</v>
      </c>
      <c r="AJ105" s="67" t="n">
        <f aca="false">AJ101+AJ102</f>
        <v>72979.9671396792</v>
      </c>
      <c r="AK105" s="67" t="n">
        <f aca="false">AK101+AK102</f>
        <v>74873.1272503227</v>
      </c>
      <c r="AL105" s="67" t="n">
        <f aca="false">AL101+AL102</f>
        <v>71953.8765740458</v>
      </c>
      <c r="AM105" s="67" t="n">
        <f aca="false">AM101+AM102</f>
        <v>69480.375520699</v>
      </c>
      <c r="AN105" s="67" t="n">
        <f aca="false">AN101+AN102</f>
        <v>67018.1244673523</v>
      </c>
      <c r="AO105" s="67" t="n">
        <f aca="false">AO101+AO102</f>
        <v>69692.0193955293</v>
      </c>
      <c r="AP105" s="67" t="n">
        <f aca="false">AP101+AP102</f>
        <v>72377.1643237063</v>
      </c>
      <c r="AQ105" s="67" t="n">
        <f aca="false">AQ101+AQ102</f>
        <v>75073.5592518833</v>
      </c>
      <c r="AR105" s="67" t="n">
        <f aca="false">AR101+AR102</f>
        <v>77781.2041800603</v>
      </c>
      <c r="AS105" s="67" t="n">
        <f aca="false">AS101+AS102</f>
        <v>80500.0991082374</v>
      </c>
      <c r="AT105" s="67" t="n">
        <f aca="false">AT101+AT102</f>
        <v>83230.2440364144</v>
      </c>
      <c r="AU105" s="67" t="n">
        <f aca="false">AU101+AU102</f>
        <v>85971.6389645914</v>
      </c>
      <c r="AV105" s="67" t="n">
        <f aca="false">AV101+AV102</f>
        <v>88724.2838927684</v>
      </c>
      <c r="AW105" s="67" t="n">
        <f aca="false">AW101+AW102</f>
        <v>91488.1788209454</v>
      </c>
      <c r="AX105" s="67" t="n">
        <f aca="false">AX101+AX102</f>
        <v>89138.4277675987</v>
      </c>
      <c r="AY105" s="67" t="n">
        <f aca="false">AY101+AY102</f>
        <v>87279.498883674</v>
      </c>
      <c r="AZ105" s="67" t="n">
        <f aca="false">AZ101+AZ102</f>
        <v>85431.8199997494</v>
      </c>
      <c r="BA105" s="67" t="n">
        <f aca="false">BA101+BA102</f>
        <v>89040.0917428837</v>
      </c>
      <c r="BB105" s="67" t="n">
        <f aca="false">BB101+BB102</f>
        <v>92659.613486018</v>
      </c>
      <c r="BC105" s="67" t="n">
        <f aca="false">BC101+BC102</f>
        <v>96290.3852291523</v>
      </c>
      <c r="BD105" s="67" t="n">
        <f aca="false">BD101+BD102</f>
        <v>99932.4069722866</v>
      </c>
      <c r="BE105" s="67" t="n">
        <f aca="false">BE101+BE102</f>
        <v>102832.686185183</v>
      </c>
      <c r="BF105" s="67" t="n">
        <f aca="false">BF101+BF102</f>
        <v>105727.658362259</v>
      </c>
      <c r="BG105" s="67" t="n">
        <f aca="false">BG101+BG102</f>
        <v>108631.518039335</v>
      </c>
      <c r="BH105" s="67" t="n">
        <f aca="false">BH101+BH102</f>
        <v>111544.265216411</v>
      </c>
      <c r="BI105" s="67" t="n">
        <f aca="false">BI101+BI102</f>
        <v>114465.899893487</v>
      </c>
      <c r="BJ105" s="67" t="n">
        <f aca="false">BJ101+BJ102</f>
        <v>112730.721009562</v>
      </c>
    </row>
    <row r="106" customFormat="false" ht="15" hidden="false" customHeight="false" outlineLevel="0" collapsed="false">
      <c r="A106" s="4" t="s">
        <v>100</v>
      </c>
      <c r="C106" s="73" t="n">
        <f aca="false">C104+C105</f>
        <v>180900.565790476</v>
      </c>
      <c r="D106" s="73" t="n">
        <f aca="false">D104+D105</f>
        <v>170477.537914286</v>
      </c>
      <c r="E106" s="73" t="n">
        <f aca="false">E104+E105</f>
        <v>164296.446171429</v>
      </c>
      <c r="F106" s="73" t="n">
        <f aca="false">F104+F105</f>
        <v>159116.594561905</v>
      </c>
      <c r="G106" s="73" t="n">
        <f aca="false">G104+G105</f>
        <v>155331.524952381</v>
      </c>
      <c r="H106" s="73" t="n">
        <f aca="false">H104+H105</f>
        <v>152941.237342857</v>
      </c>
      <c r="I106" s="73" t="n">
        <f aca="false">I104+I105</f>
        <v>151945.731733333</v>
      </c>
      <c r="J106" s="73" t="n">
        <f aca="false">J104+J105</f>
        <v>150737.71692381</v>
      </c>
      <c r="K106" s="73" t="n">
        <f aca="false">K104+K105</f>
        <v>149540.952114286</v>
      </c>
      <c r="L106" s="73" t="n">
        <f aca="false">L104+L105</f>
        <v>148355.437304762</v>
      </c>
      <c r="M106" s="73" t="n">
        <f aca="false">M104+M105</f>
        <v>147181.172495238</v>
      </c>
      <c r="N106" s="73" t="n">
        <f aca="false">N104+N105</f>
        <v>141070.842485714</v>
      </c>
      <c r="O106" s="73" t="n">
        <f aca="false">O104+O105</f>
        <v>136132.780516709</v>
      </c>
      <c r="P106" s="73" t="n">
        <f aca="false">P104+P105</f>
        <v>131073.385183223</v>
      </c>
      <c r="Q106" s="73" t="n">
        <f aca="false">Q104+Q105</f>
        <v>131280.891745417</v>
      </c>
      <c r="R106" s="73" t="n">
        <f aca="false">R104+R105</f>
        <v>130783.919336731</v>
      </c>
      <c r="S106" s="73" t="n">
        <f aca="false">S104+S105</f>
        <v>130298.196928046</v>
      </c>
      <c r="T106" s="73" t="n">
        <f aca="false">T104+T105</f>
        <v>129823.72451936</v>
      </c>
      <c r="U106" s="73" t="n">
        <f aca="false">U104+U105</f>
        <v>129360.502110674</v>
      </c>
      <c r="V106" s="73" t="n">
        <f aca="false">V104+V105</f>
        <v>128908.529701989</v>
      </c>
      <c r="W106" s="73" t="n">
        <f aca="false">W104+W105</f>
        <v>128467.807293303</v>
      </c>
      <c r="X106" s="73" t="n">
        <f aca="false">X104+X105</f>
        <v>128038.334884617</v>
      </c>
      <c r="Y106" s="73" t="n">
        <f aca="false">Y104+Y105</f>
        <v>127620.112475931</v>
      </c>
      <c r="Z106" s="73" t="n">
        <f aca="false">Z104+Z105</f>
        <v>121957.488171566</v>
      </c>
      <c r="AA106" s="73" t="n">
        <f aca="false">AA104+AA105</f>
        <v>117555.972078494</v>
      </c>
      <c r="AB106" s="73" t="n">
        <f aca="false">AB104+AB105</f>
        <v>113024.221402217</v>
      </c>
      <c r="AC106" s="73" t="n">
        <f aca="false">AC104+AC105</f>
        <v>114086.698378067</v>
      </c>
      <c r="AD106" s="73" t="n">
        <f aca="false">AD104+AD105</f>
        <v>114401.10848871</v>
      </c>
      <c r="AE106" s="73" t="n">
        <f aca="false">AE104+AE105</f>
        <v>114726.768599354</v>
      </c>
      <c r="AF106" s="73" t="n">
        <f aca="false">AF104+AF105</f>
        <v>115063.678709997</v>
      </c>
      <c r="AG106" s="73" t="n">
        <f aca="false">AG104+AG105</f>
        <v>115411.83882064</v>
      </c>
      <c r="AH106" s="73" t="n">
        <f aca="false">AH104+AH105</f>
        <v>115771.248931284</v>
      </c>
      <c r="AI106" s="73" t="n">
        <f aca="false">AI104+AI105</f>
        <v>116141.909041927</v>
      </c>
      <c r="AJ106" s="73" t="n">
        <f aca="false">AJ104+AJ105</f>
        <v>116523.819152571</v>
      </c>
      <c r="AK106" s="73" t="n">
        <f aca="false">AK104+AK105</f>
        <v>116916.979263214</v>
      </c>
      <c r="AL106" s="73" t="n">
        <f aca="false">AL104+AL105</f>
        <v>111738.411721731</v>
      </c>
      <c r="AM106" s="73" t="n">
        <f aca="false">AM104+AM105</f>
        <v>107915.905946218</v>
      </c>
      <c r="AN106" s="73" t="n">
        <f aca="false">AN104+AN105</f>
        <v>103953.654892871</v>
      </c>
      <c r="AO106" s="73" t="n">
        <f aca="false">AO104+AO105</f>
        <v>105933.109083346</v>
      </c>
      <c r="AP106" s="73" t="n">
        <f aca="false">AP104+AP105</f>
        <v>107118.254011523</v>
      </c>
      <c r="AQ106" s="73" t="n">
        <f aca="false">AQ104+AQ105</f>
        <v>108314.6489397</v>
      </c>
      <c r="AR106" s="73" t="n">
        <f aca="false">AR104+AR105</f>
        <v>109522.293867877</v>
      </c>
      <c r="AS106" s="73" t="n">
        <f aca="false">AS104+AS105</f>
        <v>110741.188796054</v>
      </c>
      <c r="AT106" s="73" t="n">
        <f aca="false">AT104+AT105</f>
        <v>111971.333724231</v>
      </c>
      <c r="AU106" s="73" t="n">
        <f aca="false">AU104+AU105</f>
        <v>113212.728652408</v>
      </c>
      <c r="AV106" s="73" t="n">
        <f aca="false">AV104+AV105</f>
        <v>114465.373580585</v>
      </c>
      <c r="AW106" s="73" t="n">
        <f aca="false">AW104+AW105</f>
        <v>115729.268508762</v>
      </c>
      <c r="AX106" s="73" t="n">
        <f aca="false">AX104+AX105</f>
        <v>111073.958193118</v>
      </c>
      <c r="AY106" s="73" t="n">
        <f aca="false">AY104+AY105</f>
        <v>107876.187367065</v>
      </c>
      <c r="AZ106" s="73" t="n">
        <f aca="false">AZ104+AZ105</f>
        <v>104528.50848314</v>
      </c>
      <c r="BA106" s="73" t="n">
        <f aca="false">BA104+BA105</f>
        <v>107491.398047646</v>
      </c>
      <c r="BB106" s="73" t="n">
        <f aca="false">BB104+BB105</f>
        <v>109610.919790781</v>
      </c>
      <c r="BC106" s="73" t="n">
        <f aca="false">BC104+BC105</f>
        <v>111741.691533915</v>
      </c>
      <c r="BD106" s="73" t="n">
        <f aca="false">BD104+BD105</f>
        <v>113883.713277049</v>
      </c>
      <c r="BE106" s="73" t="n">
        <f aca="false">BE104+BE105</f>
        <v>115283.992489945</v>
      </c>
      <c r="BF106" s="73" t="n">
        <f aca="false">BF104+BF105</f>
        <v>116678.964667021</v>
      </c>
      <c r="BG106" s="73" t="n">
        <f aca="false">BG104+BG105</f>
        <v>118082.824344097</v>
      </c>
      <c r="BH106" s="73" t="n">
        <f aca="false">BH104+BH105</f>
        <v>119495.571521174</v>
      </c>
      <c r="BI106" s="73" t="n">
        <f aca="false">BI104+BI105</f>
        <v>120917.20619825</v>
      </c>
      <c r="BJ106" s="73" t="n">
        <f aca="false">BJ104+BJ105</f>
        <v>116827.409492953</v>
      </c>
    </row>
    <row r="107" customFormat="false" ht="15" hidden="false" customHeight="false" outlineLevel="0" collapsed="false">
      <c r="A107" s="6" t="s">
        <v>454</v>
      </c>
      <c r="C107" s="67" t="n">
        <f aca="false">C103-C106</f>
        <v>0</v>
      </c>
      <c r="D107" s="67" t="n">
        <f aca="false">D103-D106</f>
        <v>0</v>
      </c>
      <c r="E107" s="67" t="n">
        <f aca="false">E103-E106</f>
        <v>0</v>
      </c>
      <c r="F107" s="67" t="n">
        <f aca="false">F103-F106</f>
        <v>0</v>
      </c>
      <c r="G107" s="67" t="n">
        <f aca="false">G103-G106</f>
        <v>0</v>
      </c>
      <c r="H107" s="67" t="n">
        <f aca="false">H103-H106</f>
        <v>0</v>
      </c>
      <c r="I107" s="67" t="n">
        <f aca="false">I103-I106</f>
        <v>0</v>
      </c>
      <c r="J107" s="67" t="n">
        <f aca="false">J103-J106</f>
        <v>0</v>
      </c>
      <c r="K107" s="67" t="n">
        <f aca="false">K103-K106</f>
        <v>0</v>
      </c>
      <c r="L107" s="67" t="n">
        <f aca="false">L103-L106</f>
        <v>0</v>
      </c>
      <c r="M107" s="67" t="n">
        <f aca="false">M103-M106</f>
        <v>0</v>
      </c>
      <c r="N107" s="67" t="n">
        <f aca="false">N103-N106</f>
        <v>0</v>
      </c>
      <c r="O107" s="67" t="n">
        <f aca="false">O103-O106</f>
        <v>0</v>
      </c>
      <c r="P107" s="67" t="n">
        <f aca="false">P103-P106</f>
        <v>0</v>
      </c>
      <c r="Q107" s="67" t="n">
        <f aca="false">Q103-Q106</f>
        <v>0</v>
      </c>
      <c r="R107" s="67" t="n">
        <f aca="false">R103-R106</f>
        <v>0</v>
      </c>
      <c r="S107" s="67" t="n">
        <f aca="false">S103-S106</f>
        <v>0</v>
      </c>
      <c r="T107" s="67" t="n">
        <f aca="false">T103-T106</f>
        <v>0</v>
      </c>
      <c r="U107" s="67" t="n">
        <f aca="false">U103-U106</f>
        <v>0</v>
      </c>
      <c r="V107" s="67" t="n">
        <f aca="false">V103-V106</f>
        <v>0</v>
      </c>
      <c r="W107" s="67" t="n">
        <f aca="false">W103-W106</f>
        <v>0</v>
      </c>
      <c r="X107" s="67" t="n">
        <f aca="false">X103-X106</f>
        <v>0</v>
      </c>
      <c r="Y107" s="67" t="n">
        <f aca="false">Y103-Y106</f>
        <v>0</v>
      </c>
      <c r="Z107" s="67" t="n">
        <f aca="false">Z103-Z106</f>
        <v>0</v>
      </c>
      <c r="AA107" s="67" t="n">
        <f aca="false">AA103-AA106</f>
        <v>0</v>
      </c>
      <c r="AB107" s="67" t="n">
        <f aca="false">AB103-AB106</f>
        <v>0</v>
      </c>
      <c r="AC107" s="67" t="n">
        <f aca="false">AC103-AC106</f>
        <v>0</v>
      </c>
      <c r="AD107" s="67" t="n">
        <f aca="false">AD103-AD106</f>
        <v>0</v>
      </c>
      <c r="AE107" s="67" t="n">
        <f aca="false">AE103-AE106</f>
        <v>0</v>
      </c>
      <c r="AF107" s="67" t="n">
        <f aca="false">AF103-AF106</f>
        <v>0</v>
      </c>
      <c r="AG107" s="67" t="n">
        <f aca="false">AG103-AG106</f>
        <v>0</v>
      </c>
      <c r="AH107" s="67" t="n">
        <f aca="false">AH103-AH106</f>
        <v>0</v>
      </c>
      <c r="AI107" s="67" t="n">
        <f aca="false">AI103-AI106</f>
        <v>0</v>
      </c>
      <c r="AJ107" s="67" t="n">
        <f aca="false">AJ103-AJ106</f>
        <v>0</v>
      </c>
      <c r="AK107" s="67" t="n">
        <f aca="false">AK103-AK106</f>
        <v>0</v>
      </c>
      <c r="AL107" s="67" t="n">
        <f aca="false">AL103-AL106</f>
        <v>0</v>
      </c>
      <c r="AM107" s="67" t="n">
        <f aca="false">AM103-AM106</f>
        <v>0</v>
      </c>
      <c r="AN107" s="67" t="n">
        <f aca="false">AN103-AN106</f>
        <v>0</v>
      </c>
      <c r="AO107" s="67" t="n">
        <f aca="false">AO103-AO106</f>
        <v>0</v>
      </c>
      <c r="AP107" s="67" t="n">
        <f aca="false">AP103-AP106</f>
        <v>0</v>
      </c>
      <c r="AQ107" s="67" t="n">
        <f aca="false">AQ103-AQ106</f>
        <v>0</v>
      </c>
      <c r="AR107" s="67" t="n">
        <f aca="false">AR103-AR106</f>
        <v>0</v>
      </c>
      <c r="AS107" s="67" t="n">
        <f aca="false">AS103-AS106</f>
        <v>0</v>
      </c>
      <c r="AT107" s="67" t="n">
        <f aca="false">AT103-AT106</f>
        <v>0</v>
      </c>
      <c r="AU107" s="67" t="n">
        <f aca="false">AU103-AU106</f>
        <v>0</v>
      </c>
      <c r="AV107" s="67" t="n">
        <f aca="false">AV103-AV106</f>
        <v>0</v>
      </c>
      <c r="AW107" s="67" t="n">
        <f aca="false">AW103-AW106</f>
        <v>0</v>
      </c>
      <c r="AX107" s="67" t="n">
        <f aca="false">AX103-AX106</f>
        <v>0</v>
      </c>
      <c r="AY107" s="67" t="n">
        <f aca="false">AY103-AY106</f>
        <v>0</v>
      </c>
      <c r="AZ107" s="67" t="n">
        <f aca="false">AZ103-AZ106</f>
        <v>0</v>
      </c>
      <c r="BA107" s="67" t="n">
        <f aca="false">BA103-BA106</f>
        <v>0</v>
      </c>
      <c r="BB107" s="67" t="n">
        <f aca="false">BB103-BB106</f>
        <v>0</v>
      </c>
      <c r="BC107" s="67" t="n">
        <f aca="false">BC103-BC106</f>
        <v>0</v>
      </c>
      <c r="BD107" s="67" t="n">
        <f aca="false">BD103-BD106</f>
        <v>0</v>
      </c>
      <c r="BE107" s="67" t="n">
        <f aca="false">BE103-BE106</f>
        <v>0</v>
      </c>
      <c r="BF107" s="67" t="n">
        <f aca="false">BF103-BF106</f>
        <v>0</v>
      </c>
      <c r="BG107" s="67" t="n">
        <f aca="false">BG103-BG106</f>
        <v>0</v>
      </c>
      <c r="BH107" s="67" t="n">
        <f aca="false">BH103-BH106</f>
        <v>0</v>
      </c>
      <c r="BI107" s="67" t="n">
        <f aca="false">BI103-BI106</f>
        <v>0</v>
      </c>
      <c r="BJ107" s="67" t="n">
        <f aca="false">BJ103-BJ106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BJ1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62" min="3" style="0" width="11"/>
  </cols>
  <sheetData>
    <row r="1" customFormat="false" ht="21.75" hidden="false" customHeight="true" outlineLevel="0" collapsed="false">
      <c r="A1" s="16" t="s">
        <v>455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348</v>
      </c>
    </row>
    <row r="3" customFormat="false" ht="15" hidden="false" customHeight="false" outlineLevel="0" collapsed="false">
      <c r="A3" s="33" t="s">
        <v>349</v>
      </c>
      <c r="C3" s="52" t="s">
        <v>350</v>
      </c>
      <c r="D3" s="52" t="s">
        <v>351</v>
      </c>
      <c r="E3" s="52" t="s">
        <v>352</v>
      </c>
      <c r="F3" s="52" t="s">
        <v>353</v>
      </c>
      <c r="G3" s="52" t="s">
        <v>354</v>
      </c>
      <c r="H3" s="52" t="s">
        <v>355</v>
      </c>
      <c r="I3" s="52" t="s">
        <v>356</v>
      </c>
      <c r="J3" s="52" t="s">
        <v>357</v>
      </c>
      <c r="K3" s="52" t="s">
        <v>358</v>
      </c>
      <c r="L3" s="52" t="s">
        <v>359</v>
      </c>
      <c r="M3" s="52" t="s">
        <v>360</v>
      </c>
      <c r="N3" s="52" t="s">
        <v>361</v>
      </c>
      <c r="O3" s="52" t="s">
        <v>362</v>
      </c>
      <c r="P3" s="52" t="s">
        <v>363</v>
      </c>
      <c r="Q3" s="52" t="s">
        <v>364</v>
      </c>
      <c r="R3" s="52" t="s">
        <v>365</v>
      </c>
      <c r="S3" s="52" t="s">
        <v>366</v>
      </c>
      <c r="T3" s="52" t="s">
        <v>367</v>
      </c>
      <c r="U3" s="52" t="s">
        <v>368</v>
      </c>
      <c r="V3" s="52" t="s">
        <v>369</v>
      </c>
      <c r="W3" s="52" t="s">
        <v>370</v>
      </c>
      <c r="X3" s="52" t="s">
        <v>371</v>
      </c>
      <c r="Y3" s="52" t="s">
        <v>372</v>
      </c>
      <c r="Z3" s="52" t="s">
        <v>373</v>
      </c>
      <c r="AA3" s="52" t="s">
        <v>374</v>
      </c>
      <c r="AB3" s="52" t="s">
        <v>375</v>
      </c>
      <c r="AC3" s="52" t="s">
        <v>376</v>
      </c>
      <c r="AD3" s="52" t="s">
        <v>377</v>
      </c>
      <c r="AE3" s="52" t="s">
        <v>378</v>
      </c>
      <c r="AF3" s="52" t="s">
        <v>379</v>
      </c>
      <c r="AG3" s="52" t="s">
        <v>380</v>
      </c>
      <c r="AH3" s="52" t="s">
        <v>381</v>
      </c>
      <c r="AI3" s="52" t="s">
        <v>382</v>
      </c>
      <c r="AJ3" s="52" t="s">
        <v>383</v>
      </c>
      <c r="AK3" s="52" t="s">
        <v>384</v>
      </c>
      <c r="AL3" s="52" t="s">
        <v>385</v>
      </c>
      <c r="AM3" s="52" t="s">
        <v>386</v>
      </c>
      <c r="AN3" s="52" t="s">
        <v>387</v>
      </c>
      <c r="AO3" s="52" t="s">
        <v>388</v>
      </c>
      <c r="AP3" s="52" t="s">
        <v>389</v>
      </c>
      <c r="AQ3" s="52" t="s">
        <v>390</v>
      </c>
      <c r="AR3" s="52" t="s">
        <v>391</v>
      </c>
      <c r="AS3" s="52" t="s">
        <v>392</v>
      </c>
      <c r="AT3" s="52" t="s">
        <v>393</v>
      </c>
      <c r="AU3" s="52" t="s">
        <v>394</v>
      </c>
      <c r="AV3" s="52" t="s">
        <v>395</v>
      </c>
      <c r="AW3" s="52" t="s">
        <v>396</v>
      </c>
      <c r="AX3" s="52" t="s">
        <v>397</v>
      </c>
      <c r="AY3" s="52" t="s">
        <v>398</v>
      </c>
      <c r="AZ3" s="52" t="s">
        <v>399</v>
      </c>
      <c r="BA3" s="52" t="s">
        <v>400</v>
      </c>
      <c r="BB3" s="52" t="s">
        <v>401</v>
      </c>
      <c r="BC3" s="52" t="s">
        <v>402</v>
      </c>
      <c r="BD3" s="52" t="s">
        <v>403</v>
      </c>
      <c r="BE3" s="52" t="s">
        <v>404</v>
      </c>
      <c r="BF3" s="52" t="s">
        <v>405</v>
      </c>
      <c r="BG3" s="52" t="s">
        <v>406</v>
      </c>
      <c r="BH3" s="52" t="s">
        <v>407</v>
      </c>
      <c r="BI3" s="52" t="s">
        <v>408</v>
      </c>
      <c r="BJ3" s="52" t="s">
        <v>409</v>
      </c>
    </row>
    <row r="4" customFormat="false" ht="15" hidden="false" customHeight="false" outlineLevel="0" collapsed="false">
      <c r="A4" s="72" t="s">
        <v>410</v>
      </c>
      <c r="C4" s="72" t="n">
        <v>1</v>
      </c>
      <c r="D4" s="72" t="n">
        <v>2</v>
      </c>
      <c r="E4" s="72" t="n">
        <v>3</v>
      </c>
      <c r="F4" s="72" t="n">
        <v>4</v>
      </c>
      <c r="G4" s="72" t="n">
        <v>5</v>
      </c>
      <c r="H4" s="72" t="n">
        <v>6</v>
      </c>
      <c r="I4" s="72" t="n">
        <v>7</v>
      </c>
      <c r="J4" s="72" t="n">
        <v>8</v>
      </c>
      <c r="K4" s="72" t="n">
        <v>9</v>
      </c>
      <c r="L4" s="72" t="n">
        <v>10</v>
      </c>
      <c r="M4" s="72" t="n">
        <v>11</v>
      </c>
      <c r="N4" s="72" t="n">
        <v>12</v>
      </c>
      <c r="O4" s="72" t="n">
        <v>13</v>
      </c>
      <c r="P4" s="72" t="n">
        <v>14</v>
      </c>
      <c r="Q4" s="72" t="n">
        <v>15</v>
      </c>
      <c r="R4" s="72" t="n">
        <v>16</v>
      </c>
      <c r="S4" s="72" t="n">
        <v>17</v>
      </c>
      <c r="T4" s="72" t="n">
        <v>18</v>
      </c>
      <c r="U4" s="72" t="n">
        <v>19</v>
      </c>
      <c r="V4" s="72" t="n">
        <v>20</v>
      </c>
      <c r="W4" s="72" t="n">
        <v>21</v>
      </c>
      <c r="X4" s="72" t="n">
        <v>22</v>
      </c>
      <c r="Y4" s="72" t="n">
        <v>23</v>
      </c>
      <c r="Z4" s="72" t="n">
        <v>24</v>
      </c>
      <c r="AA4" s="72" t="n">
        <v>25</v>
      </c>
      <c r="AB4" s="72" t="n">
        <v>26</v>
      </c>
      <c r="AC4" s="72" t="n">
        <v>27</v>
      </c>
      <c r="AD4" s="72" t="n">
        <v>28</v>
      </c>
      <c r="AE4" s="72" t="n">
        <v>29</v>
      </c>
      <c r="AF4" s="72" t="n">
        <v>30</v>
      </c>
      <c r="AG4" s="72" t="n">
        <v>31</v>
      </c>
      <c r="AH4" s="72" t="n">
        <v>32</v>
      </c>
      <c r="AI4" s="72" t="n">
        <v>33</v>
      </c>
      <c r="AJ4" s="72" t="n">
        <v>34</v>
      </c>
      <c r="AK4" s="72" t="n">
        <v>35</v>
      </c>
      <c r="AL4" s="72" t="n">
        <v>36</v>
      </c>
      <c r="AM4" s="72" t="n">
        <v>37</v>
      </c>
      <c r="AN4" s="72" t="n">
        <v>38</v>
      </c>
      <c r="AO4" s="72" t="n">
        <v>39</v>
      </c>
      <c r="AP4" s="72" t="n">
        <v>40</v>
      </c>
      <c r="AQ4" s="72" t="n">
        <v>41</v>
      </c>
      <c r="AR4" s="72" t="n">
        <v>42</v>
      </c>
      <c r="AS4" s="72" t="n">
        <v>43</v>
      </c>
      <c r="AT4" s="72" t="n">
        <v>44</v>
      </c>
      <c r="AU4" s="72" t="n">
        <v>45</v>
      </c>
      <c r="AV4" s="72" t="n">
        <v>46</v>
      </c>
      <c r="AW4" s="72" t="n">
        <v>47</v>
      </c>
      <c r="AX4" s="72" t="n">
        <v>48</v>
      </c>
      <c r="AY4" s="72" t="n">
        <v>49</v>
      </c>
      <c r="AZ4" s="72" t="n">
        <v>50</v>
      </c>
      <c r="BA4" s="72" t="n">
        <v>51</v>
      </c>
      <c r="BB4" s="72" t="n">
        <v>52</v>
      </c>
      <c r="BC4" s="72" t="n">
        <v>53</v>
      </c>
      <c r="BD4" s="72" t="n">
        <v>54</v>
      </c>
      <c r="BE4" s="72" t="n">
        <v>55</v>
      </c>
      <c r="BF4" s="72" t="n">
        <v>56</v>
      </c>
      <c r="BG4" s="72" t="n">
        <v>57</v>
      </c>
      <c r="BH4" s="72" t="n">
        <v>58</v>
      </c>
      <c r="BI4" s="72" t="n">
        <v>59</v>
      </c>
      <c r="BJ4" s="72" t="n">
        <v>60</v>
      </c>
    </row>
    <row r="5" customFormat="false" ht="15" hidden="false" customHeight="false" outlineLevel="0" collapsed="false">
      <c r="A5" s="72" t="s">
        <v>154</v>
      </c>
      <c r="C5" s="72" t="n">
        <f aca="false">ROUNDUP(C4*1/12,0)</f>
        <v>1</v>
      </c>
      <c r="D5" s="72" t="n">
        <f aca="false">ROUNDUP(D4*1/12,0)</f>
        <v>1</v>
      </c>
      <c r="E5" s="72" t="n">
        <f aca="false">ROUNDUP(E4*1/12,0)</f>
        <v>1</v>
      </c>
      <c r="F5" s="72" t="n">
        <f aca="false">ROUNDUP(F4*1/12,0)</f>
        <v>1</v>
      </c>
      <c r="G5" s="72" t="n">
        <f aca="false">ROUNDUP(G4*1/12,0)</f>
        <v>1</v>
      </c>
      <c r="H5" s="72" t="n">
        <f aca="false">ROUNDUP(H4*1/12,0)</f>
        <v>1</v>
      </c>
      <c r="I5" s="72" t="n">
        <f aca="false">ROUNDUP(I4*1/12,0)</f>
        <v>1</v>
      </c>
      <c r="J5" s="72" t="n">
        <f aca="false">ROUNDUP(J4*1/12,0)</f>
        <v>1</v>
      </c>
      <c r="K5" s="72" t="n">
        <f aca="false">ROUNDUP(K4*1/12,0)</f>
        <v>1</v>
      </c>
      <c r="L5" s="72" t="n">
        <f aca="false">ROUNDUP(L4*1/12,0)</f>
        <v>1</v>
      </c>
      <c r="M5" s="72" t="n">
        <f aca="false">ROUNDUP(M4*1/12,0)</f>
        <v>1</v>
      </c>
      <c r="N5" s="72" t="n">
        <f aca="false">ROUNDUP(N4*1/12,0)</f>
        <v>1</v>
      </c>
      <c r="O5" s="72" t="n">
        <f aca="false">ROUNDUP(O4*1/12,0)</f>
        <v>2</v>
      </c>
      <c r="P5" s="72" t="n">
        <f aca="false">ROUNDUP(P4*1/12,0)</f>
        <v>2</v>
      </c>
      <c r="Q5" s="72" t="n">
        <f aca="false">ROUNDUP(Q4*1/12,0)</f>
        <v>2</v>
      </c>
      <c r="R5" s="72" t="n">
        <f aca="false">ROUNDUP(R4*1/12,0)</f>
        <v>2</v>
      </c>
      <c r="S5" s="72" t="n">
        <f aca="false">ROUNDUP(S4*1/12,0)</f>
        <v>2</v>
      </c>
      <c r="T5" s="72" t="n">
        <f aca="false">ROUNDUP(T4*1/12,0)</f>
        <v>2</v>
      </c>
      <c r="U5" s="72" t="n">
        <f aca="false">ROUNDUP(U4*1/12,0)</f>
        <v>2</v>
      </c>
      <c r="V5" s="72" t="n">
        <f aca="false">ROUNDUP(V4*1/12,0)</f>
        <v>2</v>
      </c>
      <c r="W5" s="72" t="n">
        <f aca="false">ROUNDUP(W4*1/12,0)</f>
        <v>2</v>
      </c>
      <c r="X5" s="72" t="n">
        <f aca="false">ROUNDUP(X4*1/12,0)</f>
        <v>2</v>
      </c>
      <c r="Y5" s="72" t="n">
        <f aca="false">ROUNDUP(Y4*1/12,0)</f>
        <v>2</v>
      </c>
      <c r="Z5" s="72" t="n">
        <f aca="false">ROUNDUP(Z4*1/12,0)</f>
        <v>2</v>
      </c>
      <c r="AA5" s="72" t="n">
        <f aca="false">ROUNDUP(AA4*1/12,0)</f>
        <v>3</v>
      </c>
      <c r="AB5" s="72" t="n">
        <f aca="false">ROUNDUP(AB4*1/12,0)</f>
        <v>3</v>
      </c>
      <c r="AC5" s="72" t="n">
        <f aca="false">ROUNDUP(AC4*1/12,0)</f>
        <v>3</v>
      </c>
      <c r="AD5" s="72" t="n">
        <f aca="false">ROUNDUP(AD4*1/12,0)</f>
        <v>3</v>
      </c>
      <c r="AE5" s="72" t="n">
        <f aca="false">ROUNDUP(AE4*1/12,0)</f>
        <v>3</v>
      </c>
      <c r="AF5" s="72" t="n">
        <f aca="false">ROUNDUP(AF4*1/12,0)</f>
        <v>3</v>
      </c>
      <c r="AG5" s="72" t="n">
        <f aca="false">ROUNDUP(AG4*1/12,0)</f>
        <v>3</v>
      </c>
      <c r="AH5" s="72" t="n">
        <f aca="false">ROUNDUP(AH4*1/12,0)</f>
        <v>3</v>
      </c>
      <c r="AI5" s="72" t="n">
        <f aca="false">ROUNDUP(AI4*1/12,0)</f>
        <v>3</v>
      </c>
      <c r="AJ5" s="72" t="n">
        <f aca="false">ROUNDUP(AJ4*1/12,0)</f>
        <v>3</v>
      </c>
      <c r="AK5" s="72" t="n">
        <f aca="false">ROUNDUP(AK4*1/12,0)</f>
        <v>3</v>
      </c>
      <c r="AL5" s="72" t="n">
        <f aca="false">ROUNDUP(AL4*1/12,0)</f>
        <v>3</v>
      </c>
      <c r="AM5" s="72" t="n">
        <f aca="false">ROUNDUP(AM4*1/12,0)</f>
        <v>4</v>
      </c>
      <c r="AN5" s="72" t="n">
        <f aca="false">ROUNDUP(AN4*1/12,0)</f>
        <v>4</v>
      </c>
      <c r="AO5" s="72" t="n">
        <f aca="false">ROUNDUP(AO4*1/12,0)</f>
        <v>4</v>
      </c>
      <c r="AP5" s="72" t="n">
        <f aca="false">ROUNDUP(AP4*1/12,0)</f>
        <v>4</v>
      </c>
      <c r="AQ5" s="72" t="n">
        <f aca="false">ROUNDUP(AQ4*1/12,0)</f>
        <v>4</v>
      </c>
      <c r="AR5" s="72" t="n">
        <f aca="false">ROUNDUP(AR4*1/12,0)</f>
        <v>4</v>
      </c>
      <c r="AS5" s="72" t="n">
        <f aca="false">ROUNDUP(AS4*1/12,0)</f>
        <v>4</v>
      </c>
      <c r="AT5" s="72" t="n">
        <f aca="false">ROUNDUP(AT4*1/12,0)</f>
        <v>4</v>
      </c>
      <c r="AU5" s="72" t="n">
        <f aca="false">ROUNDUP(AU4*1/12,0)</f>
        <v>4</v>
      </c>
      <c r="AV5" s="72" t="n">
        <f aca="false">ROUNDUP(AV4*1/12,0)</f>
        <v>4</v>
      </c>
      <c r="AW5" s="72" t="n">
        <f aca="false">ROUNDUP(AW4*1/12,0)</f>
        <v>4</v>
      </c>
      <c r="AX5" s="72" t="n">
        <f aca="false">ROUNDUP(AX4*1/12,0)</f>
        <v>4</v>
      </c>
      <c r="AY5" s="72" t="n">
        <f aca="false">ROUNDUP(AY4*1/12,0)</f>
        <v>5</v>
      </c>
      <c r="AZ5" s="72" t="n">
        <f aca="false">ROUNDUP(AZ4*1/12,0)</f>
        <v>5</v>
      </c>
      <c r="BA5" s="72" t="n">
        <f aca="false">ROUNDUP(BA4*1/12,0)</f>
        <v>5</v>
      </c>
      <c r="BB5" s="72" t="n">
        <f aca="false">ROUNDUP(BB4*1/12,0)</f>
        <v>5</v>
      </c>
      <c r="BC5" s="72" t="n">
        <f aca="false">ROUNDUP(BC4*1/12,0)</f>
        <v>5</v>
      </c>
      <c r="BD5" s="72" t="n">
        <f aca="false">ROUNDUP(BD4*1/12,0)</f>
        <v>5</v>
      </c>
      <c r="BE5" s="72" t="n">
        <f aca="false">ROUNDUP(BE4*1/12,0)</f>
        <v>5</v>
      </c>
      <c r="BF5" s="72" t="n">
        <f aca="false">ROUNDUP(BF4*1/12,0)</f>
        <v>5</v>
      </c>
      <c r="BG5" s="72" t="n">
        <f aca="false">ROUNDUP(BG4*1/12,0)</f>
        <v>5</v>
      </c>
      <c r="BH5" s="72" t="n">
        <f aca="false">ROUNDUP(BH4*1/12,0)</f>
        <v>5</v>
      </c>
      <c r="BI5" s="72" t="n">
        <f aca="false">ROUNDUP(BI4*1/12,0)</f>
        <v>5</v>
      </c>
      <c r="BJ5" s="72" t="n">
        <f aca="false">ROUNDUP(BJ4*1/12,0)</f>
        <v>5</v>
      </c>
    </row>
    <row r="7" customFormat="false" ht="15.75" hidden="false" customHeight="true" outlineLevel="0" collapsed="false">
      <c r="A7" s="7" t="s">
        <v>456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6" t="s">
        <v>457</v>
      </c>
      <c r="C8" s="118" t="n">
        <f aca="false">Inputs!$E$55*(1+Inputs!$E$57)^(C$5-1)*MAX(0,MIN(1,C$4*1-Inputs!$E$58+1))/1</f>
        <v>1</v>
      </c>
      <c r="D8" s="118" t="n">
        <f aca="false">Inputs!$E$55*(1+Inputs!$E$57)^(D$5-1)*MAX(0,MIN(1,D$4*1-Inputs!$E$58+1))/1</f>
        <v>1</v>
      </c>
      <c r="E8" s="118" t="n">
        <f aca="false">Inputs!$E$55*(1+Inputs!$E$57)^(E$5-1)*MAX(0,MIN(1,E$4*1-Inputs!$E$58+1))/1</f>
        <v>1</v>
      </c>
      <c r="F8" s="118" t="n">
        <f aca="false">Inputs!$E$55*(1+Inputs!$E$57)^(F$5-1)*MAX(0,MIN(1,F$4*1-Inputs!$E$58+1))/1</f>
        <v>1</v>
      </c>
      <c r="G8" s="118" t="n">
        <f aca="false">Inputs!$E$55*(1+Inputs!$E$57)^(G$5-1)*MAX(0,MIN(1,G$4*1-Inputs!$E$58+1))/1</f>
        <v>1</v>
      </c>
      <c r="H8" s="118" t="n">
        <f aca="false">Inputs!$E$55*(1+Inputs!$E$57)^(H$5-1)*MAX(0,MIN(1,H$4*1-Inputs!$E$58+1))/1</f>
        <v>1</v>
      </c>
      <c r="I8" s="118" t="n">
        <f aca="false">Inputs!$E$55*(1+Inputs!$E$57)^(I$5-1)*MAX(0,MIN(1,I$4*1-Inputs!$E$58+1))/1</f>
        <v>1</v>
      </c>
      <c r="J8" s="118" t="n">
        <f aca="false">Inputs!$E$55*(1+Inputs!$E$57)^(J$5-1)*MAX(0,MIN(1,J$4*1-Inputs!$E$58+1))/1</f>
        <v>1</v>
      </c>
      <c r="K8" s="118" t="n">
        <f aca="false">Inputs!$E$55*(1+Inputs!$E$57)^(K$5-1)*MAX(0,MIN(1,K$4*1-Inputs!$E$58+1))/1</f>
        <v>1</v>
      </c>
      <c r="L8" s="118" t="n">
        <f aca="false">Inputs!$E$55*(1+Inputs!$E$57)^(L$5-1)*MAX(0,MIN(1,L$4*1-Inputs!$E$58+1))/1</f>
        <v>1</v>
      </c>
      <c r="M8" s="118" t="n">
        <f aca="false">Inputs!$E$55*(1+Inputs!$E$57)^(M$5-1)*MAX(0,MIN(1,M$4*1-Inputs!$E$58+1))/1</f>
        <v>1</v>
      </c>
      <c r="N8" s="118" t="n">
        <f aca="false">Inputs!$E$55*(1+Inputs!$E$57)^(N$5-1)*MAX(0,MIN(1,N$4*1-Inputs!$E$58+1))/1</f>
        <v>1</v>
      </c>
      <c r="O8" s="118" t="n">
        <f aca="false">Inputs!$E$55*(1+Inputs!$E$57)^(O$5-1)*MAX(0,MIN(1,O$4*1-Inputs!$E$58+1))/1</f>
        <v>1</v>
      </c>
      <c r="P8" s="118" t="n">
        <f aca="false">Inputs!$E$55*(1+Inputs!$E$57)^(P$5-1)*MAX(0,MIN(1,P$4*1-Inputs!$E$58+1))/1</f>
        <v>1</v>
      </c>
      <c r="Q8" s="118" t="n">
        <f aca="false">Inputs!$E$55*(1+Inputs!$E$57)^(Q$5-1)*MAX(0,MIN(1,Q$4*1-Inputs!$E$58+1))/1</f>
        <v>1</v>
      </c>
      <c r="R8" s="118" t="n">
        <f aca="false">Inputs!$E$55*(1+Inputs!$E$57)^(R$5-1)*MAX(0,MIN(1,R$4*1-Inputs!$E$58+1))/1</f>
        <v>1</v>
      </c>
      <c r="S8" s="118" t="n">
        <f aca="false">Inputs!$E$55*(1+Inputs!$E$57)^(S$5-1)*MAX(0,MIN(1,S$4*1-Inputs!$E$58+1))/1</f>
        <v>1</v>
      </c>
      <c r="T8" s="118" t="n">
        <f aca="false">Inputs!$E$55*(1+Inputs!$E$57)^(T$5-1)*MAX(0,MIN(1,T$4*1-Inputs!$E$58+1))/1</f>
        <v>1</v>
      </c>
      <c r="U8" s="118" t="n">
        <f aca="false">Inputs!$E$55*(1+Inputs!$E$57)^(U$5-1)*MAX(0,MIN(1,U$4*1-Inputs!$E$58+1))/1</f>
        <v>1</v>
      </c>
      <c r="V8" s="118" t="n">
        <f aca="false">Inputs!$E$55*(1+Inputs!$E$57)^(V$5-1)*MAX(0,MIN(1,V$4*1-Inputs!$E$58+1))/1</f>
        <v>1</v>
      </c>
      <c r="W8" s="118" t="n">
        <f aca="false">Inputs!$E$55*(1+Inputs!$E$57)^(W$5-1)*MAX(0,MIN(1,W$4*1-Inputs!$E$58+1))/1</f>
        <v>1</v>
      </c>
      <c r="X8" s="118" t="n">
        <f aca="false">Inputs!$E$55*(1+Inputs!$E$57)^(X$5-1)*MAX(0,MIN(1,X$4*1-Inputs!$E$58+1))/1</f>
        <v>1</v>
      </c>
      <c r="Y8" s="118" t="n">
        <f aca="false">Inputs!$E$55*(1+Inputs!$E$57)^(Y$5-1)*MAX(0,MIN(1,Y$4*1-Inputs!$E$58+1))/1</f>
        <v>1</v>
      </c>
      <c r="Z8" s="118" t="n">
        <f aca="false">Inputs!$E$55*(1+Inputs!$E$57)^(Z$5-1)*MAX(0,MIN(1,Z$4*1-Inputs!$E$58+1))/1</f>
        <v>1</v>
      </c>
      <c r="AA8" s="118" t="n">
        <f aca="false">Inputs!$E$55*(1+Inputs!$E$57)^(AA$5-1)*MAX(0,MIN(1,AA$4*1-Inputs!$E$58+1))/1</f>
        <v>1</v>
      </c>
      <c r="AB8" s="118" t="n">
        <f aca="false">Inputs!$E$55*(1+Inputs!$E$57)^(AB$5-1)*MAX(0,MIN(1,AB$4*1-Inputs!$E$58+1))/1</f>
        <v>1</v>
      </c>
      <c r="AC8" s="118" t="n">
        <f aca="false">Inputs!$E$55*(1+Inputs!$E$57)^(AC$5-1)*MAX(0,MIN(1,AC$4*1-Inputs!$E$58+1))/1</f>
        <v>1</v>
      </c>
      <c r="AD8" s="118" t="n">
        <f aca="false">Inputs!$E$55*(1+Inputs!$E$57)^(AD$5-1)*MAX(0,MIN(1,AD$4*1-Inputs!$E$58+1))/1</f>
        <v>1</v>
      </c>
      <c r="AE8" s="118" t="n">
        <f aca="false">Inputs!$E$55*(1+Inputs!$E$57)^(AE$5-1)*MAX(0,MIN(1,AE$4*1-Inputs!$E$58+1))/1</f>
        <v>1</v>
      </c>
      <c r="AF8" s="118" t="n">
        <f aca="false">Inputs!$E$55*(1+Inputs!$E$57)^(AF$5-1)*MAX(0,MIN(1,AF$4*1-Inputs!$E$58+1))/1</f>
        <v>1</v>
      </c>
      <c r="AG8" s="118" t="n">
        <f aca="false">Inputs!$E$55*(1+Inputs!$E$57)^(AG$5-1)*MAX(0,MIN(1,AG$4*1-Inputs!$E$58+1))/1</f>
        <v>1</v>
      </c>
      <c r="AH8" s="118" t="n">
        <f aca="false">Inputs!$E$55*(1+Inputs!$E$57)^(AH$5-1)*MAX(0,MIN(1,AH$4*1-Inputs!$E$58+1))/1</f>
        <v>1</v>
      </c>
      <c r="AI8" s="118" t="n">
        <f aca="false">Inputs!$E$55*(1+Inputs!$E$57)^(AI$5-1)*MAX(0,MIN(1,AI$4*1-Inputs!$E$58+1))/1</f>
        <v>1</v>
      </c>
      <c r="AJ8" s="118" t="n">
        <f aca="false">Inputs!$E$55*(1+Inputs!$E$57)^(AJ$5-1)*MAX(0,MIN(1,AJ$4*1-Inputs!$E$58+1))/1</f>
        <v>1</v>
      </c>
      <c r="AK8" s="118" t="n">
        <f aca="false">Inputs!$E$55*(1+Inputs!$E$57)^(AK$5-1)*MAX(0,MIN(1,AK$4*1-Inputs!$E$58+1))/1</f>
        <v>1</v>
      </c>
      <c r="AL8" s="118" t="n">
        <f aca="false">Inputs!$E$55*(1+Inputs!$E$57)^(AL$5-1)*MAX(0,MIN(1,AL$4*1-Inputs!$E$58+1))/1</f>
        <v>1</v>
      </c>
      <c r="AM8" s="118" t="n">
        <f aca="false">Inputs!$E$55*(1+Inputs!$E$57)^(AM$5-1)*MAX(0,MIN(1,AM$4*1-Inputs!$E$58+1))/1</f>
        <v>1</v>
      </c>
      <c r="AN8" s="118" t="n">
        <f aca="false">Inputs!$E$55*(1+Inputs!$E$57)^(AN$5-1)*MAX(0,MIN(1,AN$4*1-Inputs!$E$58+1))/1</f>
        <v>1</v>
      </c>
      <c r="AO8" s="118" t="n">
        <f aca="false">Inputs!$E$55*(1+Inputs!$E$57)^(AO$5-1)*MAX(0,MIN(1,AO$4*1-Inputs!$E$58+1))/1</f>
        <v>1</v>
      </c>
      <c r="AP8" s="118" t="n">
        <f aca="false">Inputs!$E$55*(1+Inputs!$E$57)^(AP$5-1)*MAX(0,MIN(1,AP$4*1-Inputs!$E$58+1))/1</f>
        <v>1</v>
      </c>
      <c r="AQ8" s="118" t="n">
        <f aca="false">Inputs!$E$55*(1+Inputs!$E$57)^(AQ$5-1)*MAX(0,MIN(1,AQ$4*1-Inputs!$E$58+1))/1</f>
        <v>1</v>
      </c>
      <c r="AR8" s="118" t="n">
        <f aca="false">Inputs!$E$55*(1+Inputs!$E$57)^(AR$5-1)*MAX(0,MIN(1,AR$4*1-Inputs!$E$58+1))/1</f>
        <v>1</v>
      </c>
      <c r="AS8" s="118" t="n">
        <f aca="false">Inputs!$E$55*(1+Inputs!$E$57)^(AS$5-1)*MAX(0,MIN(1,AS$4*1-Inputs!$E$58+1))/1</f>
        <v>1</v>
      </c>
      <c r="AT8" s="118" t="n">
        <f aca="false">Inputs!$E$55*(1+Inputs!$E$57)^(AT$5-1)*MAX(0,MIN(1,AT$4*1-Inputs!$E$58+1))/1</f>
        <v>1</v>
      </c>
      <c r="AU8" s="118" t="n">
        <f aca="false">Inputs!$E$55*(1+Inputs!$E$57)^(AU$5-1)*MAX(0,MIN(1,AU$4*1-Inputs!$E$58+1))/1</f>
        <v>1</v>
      </c>
      <c r="AV8" s="118" t="n">
        <f aca="false">Inputs!$E$55*(1+Inputs!$E$57)^(AV$5-1)*MAX(0,MIN(1,AV$4*1-Inputs!$E$58+1))/1</f>
        <v>1</v>
      </c>
      <c r="AW8" s="118" t="n">
        <f aca="false">Inputs!$E$55*(1+Inputs!$E$57)^(AW$5-1)*MAX(0,MIN(1,AW$4*1-Inputs!$E$58+1))/1</f>
        <v>1</v>
      </c>
      <c r="AX8" s="118" t="n">
        <f aca="false">Inputs!$E$55*(1+Inputs!$E$57)^(AX$5-1)*MAX(0,MIN(1,AX$4*1-Inputs!$E$58+1))/1</f>
        <v>1</v>
      </c>
      <c r="AY8" s="118" t="n">
        <f aca="false">Inputs!$E$55*(1+Inputs!$E$57)^(AY$5-1)*MAX(0,MIN(1,AY$4*1-Inputs!$E$58+1))/1</f>
        <v>1</v>
      </c>
      <c r="AZ8" s="118" t="n">
        <f aca="false">Inputs!$E$55*(1+Inputs!$E$57)^(AZ$5-1)*MAX(0,MIN(1,AZ$4*1-Inputs!$E$58+1))/1</f>
        <v>1</v>
      </c>
      <c r="BA8" s="118" t="n">
        <f aca="false">Inputs!$E$55*(1+Inputs!$E$57)^(BA$5-1)*MAX(0,MIN(1,BA$4*1-Inputs!$E$58+1))/1</f>
        <v>1</v>
      </c>
      <c r="BB8" s="118" t="n">
        <f aca="false">Inputs!$E$55*(1+Inputs!$E$57)^(BB$5-1)*MAX(0,MIN(1,BB$4*1-Inputs!$E$58+1))/1</f>
        <v>1</v>
      </c>
      <c r="BC8" s="118" t="n">
        <f aca="false">Inputs!$E$55*(1+Inputs!$E$57)^(BC$5-1)*MAX(0,MIN(1,BC$4*1-Inputs!$E$58+1))/1</f>
        <v>1</v>
      </c>
      <c r="BD8" s="118" t="n">
        <f aca="false">Inputs!$E$55*(1+Inputs!$E$57)^(BD$5-1)*MAX(0,MIN(1,BD$4*1-Inputs!$E$58+1))/1</f>
        <v>1</v>
      </c>
      <c r="BE8" s="118" t="n">
        <f aca="false">Inputs!$E$55*(1+Inputs!$E$57)^(BE$5-1)*MAX(0,MIN(1,BE$4*1-Inputs!$E$58+1))/1</f>
        <v>1</v>
      </c>
      <c r="BF8" s="118" t="n">
        <f aca="false">Inputs!$E$55*(1+Inputs!$E$57)^(BF$5-1)*MAX(0,MIN(1,BF$4*1-Inputs!$E$58+1))/1</f>
        <v>1</v>
      </c>
      <c r="BG8" s="118" t="n">
        <f aca="false">Inputs!$E$55*(1+Inputs!$E$57)^(BG$5-1)*MAX(0,MIN(1,BG$4*1-Inputs!$E$58+1))/1</f>
        <v>1</v>
      </c>
      <c r="BH8" s="118" t="n">
        <f aca="false">Inputs!$E$55*(1+Inputs!$E$57)^(BH$5-1)*MAX(0,MIN(1,BH$4*1-Inputs!$E$58+1))/1</f>
        <v>1</v>
      </c>
      <c r="BI8" s="118" t="n">
        <f aca="false">Inputs!$E$55*(1+Inputs!$E$57)^(BI$5-1)*MAX(0,MIN(1,BI$4*1-Inputs!$E$58+1))/1</f>
        <v>1</v>
      </c>
      <c r="BJ8" s="118" t="n">
        <f aca="false">Inputs!$E$55*(1+Inputs!$E$57)^(BJ$5-1)*MAX(0,MIN(1,BJ$4*1-Inputs!$E$58+1))/1</f>
        <v>1</v>
      </c>
    </row>
    <row r="9" customFormat="false" ht="15" hidden="false" customHeight="false" outlineLevel="0" collapsed="false">
      <c r="A9" s="6" t="s">
        <v>458</v>
      </c>
      <c r="C9" s="118" t="n">
        <f aca="false">Inputs!$E$59*(1+Inputs!$E$61)^(C$5-1)*MAX(0,MIN(1,C$4*1-Inputs!$E$62+1))/1</f>
        <v>1.2</v>
      </c>
      <c r="D9" s="118" t="n">
        <f aca="false">Inputs!$E$59*(1+Inputs!$E$61)^(D$5-1)*MAX(0,MIN(1,D$4*1-Inputs!$E$62+1))/1</f>
        <v>1.2</v>
      </c>
      <c r="E9" s="118" t="n">
        <f aca="false">Inputs!$E$59*(1+Inputs!$E$61)^(E$5-1)*MAX(0,MIN(1,E$4*1-Inputs!$E$62+1))/1</f>
        <v>1.2</v>
      </c>
      <c r="F9" s="118" t="n">
        <f aca="false">Inputs!$E$59*(1+Inputs!$E$61)^(F$5-1)*MAX(0,MIN(1,F$4*1-Inputs!$E$62+1))/1</f>
        <v>1.2</v>
      </c>
      <c r="G9" s="118" t="n">
        <f aca="false">Inputs!$E$59*(1+Inputs!$E$61)^(G$5-1)*MAX(0,MIN(1,G$4*1-Inputs!$E$62+1))/1</f>
        <v>1.2</v>
      </c>
      <c r="H9" s="118" t="n">
        <f aca="false">Inputs!$E$59*(1+Inputs!$E$61)^(H$5-1)*MAX(0,MIN(1,H$4*1-Inputs!$E$62+1))/1</f>
        <v>1.2</v>
      </c>
      <c r="I9" s="118" t="n">
        <f aca="false">Inputs!$E$59*(1+Inputs!$E$61)^(I$5-1)*MAX(0,MIN(1,I$4*1-Inputs!$E$62+1))/1</f>
        <v>1.2</v>
      </c>
      <c r="J9" s="118" t="n">
        <f aca="false">Inputs!$E$59*(1+Inputs!$E$61)^(J$5-1)*MAX(0,MIN(1,J$4*1-Inputs!$E$62+1))/1</f>
        <v>1.2</v>
      </c>
      <c r="K9" s="118" t="n">
        <f aca="false">Inputs!$E$59*(1+Inputs!$E$61)^(K$5-1)*MAX(0,MIN(1,K$4*1-Inputs!$E$62+1))/1</f>
        <v>1.2</v>
      </c>
      <c r="L9" s="118" t="n">
        <f aca="false">Inputs!$E$59*(1+Inputs!$E$61)^(L$5-1)*MAX(0,MIN(1,L$4*1-Inputs!$E$62+1))/1</f>
        <v>1.2</v>
      </c>
      <c r="M9" s="118" t="n">
        <f aca="false">Inputs!$E$59*(1+Inputs!$E$61)^(M$5-1)*MAX(0,MIN(1,M$4*1-Inputs!$E$62+1))/1</f>
        <v>1.2</v>
      </c>
      <c r="N9" s="118" t="n">
        <f aca="false">Inputs!$E$59*(1+Inputs!$E$61)^(N$5-1)*MAX(0,MIN(1,N$4*1-Inputs!$E$62+1))/1</f>
        <v>1.2</v>
      </c>
      <c r="O9" s="118" t="n">
        <f aca="false">Inputs!$E$59*(1+Inputs!$E$61)^(O$5-1)*MAX(0,MIN(1,O$4*1-Inputs!$E$62+1))/1</f>
        <v>1.2</v>
      </c>
      <c r="P9" s="118" t="n">
        <f aca="false">Inputs!$E$59*(1+Inputs!$E$61)^(P$5-1)*MAX(0,MIN(1,P$4*1-Inputs!$E$62+1))/1</f>
        <v>1.2</v>
      </c>
      <c r="Q9" s="118" t="n">
        <f aca="false">Inputs!$E$59*(1+Inputs!$E$61)^(Q$5-1)*MAX(0,MIN(1,Q$4*1-Inputs!$E$62+1))/1</f>
        <v>1.2</v>
      </c>
      <c r="R9" s="118" t="n">
        <f aca="false">Inputs!$E$59*(1+Inputs!$E$61)^(R$5-1)*MAX(0,MIN(1,R$4*1-Inputs!$E$62+1))/1</f>
        <v>1.2</v>
      </c>
      <c r="S9" s="118" t="n">
        <f aca="false">Inputs!$E$59*(1+Inputs!$E$61)^(S$5-1)*MAX(0,MIN(1,S$4*1-Inputs!$E$62+1))/1</f>
        <v>1.2</v>
      </c>
      <c r="T9" s="118" t="n">
        <f aca="false">Inputs!$E$59*(1+Inputs!$E$61)^(T$5-1)*MAX(0,MIN(1,T$4*1-Inputs!$E$62+1))/1</f>
        <v>1.2</v>
      </c>
      <c r="U9" s="118" t="n">
        <f aca="false">Inputs!$E$59*(1+Inputs!$E$61)^(U$5-1)*MAX(0,MIN(1,U$4*1-Inputs!$E$62+1))/1</f>
        <v>1.2</v>
      </c>
      <c r="V9" s="118" t="n">
        <f aca="false">Inputs!$E$59*(1+Inputs!$E$61)^(V$5-1)*MAX(0,MIN(1,V$4*1-Inputs!$E$62+1))/1</f>
        <v>1.2</v>
      </c>
      <c r="W9" s="118" t="n">
        <f aca="false">Inputs!$E$59*(1+Inputs!$E$61)^(W$5-1)*MAX(0,MIN(1,W$4*1-Inputs!$E$62+1))/1</f>
        <v>1.2</v>
      </c>
      <c r="X9" s="118" t="n">
        <f aca="false">Inputs!$E$59*(1+Inputs!$E$61)^(X$5-1)*MAX(0,MIN(1,X$4*1-Inputs!$E$62+1))/1</f>
        <v>1.2</v>
      </c>
      <c r="Y9" s="118" t="n">
        <f aca="false">Inputs!$E$59*(1+Inputs!$E$61)^(Y$5-1)*MAX(0,MIN(1,Y$4*1-Inputs!$E$62+1))/1</f>
        <v>1.2</v>
      </c>
      <c r="Z9" s="118" t="n">
        <f aca="false">Inputs!$E$59*(1+Inputs!$E$61)^(Z$5-1)*MAX(0,MIN(1,Z$4*1-Inputs!$E$62+1))/1</f>
        <v>1.2</v>
      </c>
      <c r="AA9" s="118" t="n">
        <f aca="false">Inputs!$E$59*(1+Inputs!$E$61)^(AA$5-1)*MAX(0,MIN(1,AA$4*1-Inputs!$E$62+1))/1</f>
        <v>1.2</v>
      </c>
      <c r="AB9" s="118" t="n">
        <f aca="false">Inputs!$E$59*(1+Inputs!$E$61)^(AB$5-1)*MAX(0,MIN(1,AB$4*1-Inputs!$E$62+1))/1</f>
        <v>1.2</v>
      </c>
      <c r="AC9" s="118" t="n">
        <f aca="false">Inputs!$E$59*(1+Inputs!$E$61)^(AC$5-1)*MAX(0,MIN(1,AC$4*1-Inputs!$E$62+1))/1</f>
        <v>1.2</v>
      </c>
      <c r="AD9" s="118" t="n">
        <f aca="false">Inputs!$E$59*(1+Inputs!$E$61)^(AD$5-1)*MAX(0,MIN(1,AD$4*1-Inputs!$E$62+1))/1</f>
        <v>1.2</v>
      </c>
      <c r="AE9" s="118" t="n">
        <f aca="false">Inputs!$E$59*(1+Inputs!$E$61)^(AE$5-1)*MAX(0,MIN(1,AE$4*1-Inputs!$E$62+1))/1</f>
        <v>1.2</v>
      </c>
      <c r="AF9" s="118" t="n">
        <f aca="false">Inputs!$E$59*(1+Inputs!$E$61)^(AF$5-1)*MAX(0,MIN(1,AF$4*1-Inputs!$E$62+1))/1</f>
        <v>1.2</v>
      </c>
      <c r="AG9" s="118" t="n">
        <f aca="false">Inputs!$E$59*(1+Inputs!$E$61)^(AG$5-1)*MAX(0,MIN(1,AG$4*1-Inputs!$E$62+1))/1</f>
        <v>1.2</v>
      </c>
      <c r="AH9" s="118" t="n">
        <f aca="false">Inputs!$E$59*(1+Inputs!$E$61)^(AH$5-1)*MAX(0,MIN(1,AH$4*1-Inputs!$E$62+1))/1</f>
        <v>1.2</v>
      </c>
      <c r="AI9" s="118" t="n">
        <f aca="false">Inputs!$E$59*(1+Inputs!$E$61)^(AI$5-1)*MAX(0,MIN(1,AI$4*1-Inputs!$E$62+1))/1</f>
        <v>1.2</v>
      </c>
      <c r="AJ9" s="118" t="n">
        <f aca="false">Inputs!$E$59*(1+Inputs!$E$61)^(AJ$5-1)*MAX(0,MIN(1,AJ$4*1-Inputs!$E$62+1))/1</f>
        <v>1.2</v>
      </c>
      <c r="AK9" s="118" t="n">
        <f aca="false">Inputs!$E$59*(1+Inputs!$E$61)^(AK$5-1)*MAX(0,MIN(1,AK$4*1-Inputs!$E$62+1))/1</f>
        <v>1.2</v>
      </c>
      <c r="AL9" s="118" t="n">
        <f aca="false">Inputs!$E$59*(1+Inputs!$E$61)^(AL$5-1)*MAX(0,MIN(1,AL$4*1-Inputs!$E$62+1))/1</f>
        <v>1.2</v>
      </c>
      <c r="AM9" s="118" t="n">
        <f aca="false">Inputs!$E$59*(1+Inputs!$E$61)^(AM$5-1)*MAX(0,MIN(1,AM$4*1-Inputs!$E$62+1))/1</f>
        <v>1.2</v>
      </c>
      <c r="AN9" s="118" t="n">
        <f aca="false">Inputs!$E$59*(1+Inputs!$E$61)^(AN$5-1)*MAX(0,MIN(1,AN$4*1-Inputs!$E$62+1))/1</f>
        <v>1.2</v>
      </c>
      <c r="AO9" s="118" t="n">
        <f aca="false">Inputs!$E$59*(1+Inputs!$E$61)^(AO$5-1)*MAX(0,MIN(1,AO$4*1-Inputs!$E$62+1))/1</f>
        <v>1.2</v>
      </c>
      <c r="AP9" s="118" t="n">
        <f aca="false">Inputs!$E$59*(1+Inputs!$E$61)^(AP$5-1)*MAX(0,MIN(1,AP$4*1-Inputs!$E$62+1))/1</f>
        <v>1.2</v>
      </c>
      <c r="AQ9" s="118" t="n">
        <f aca="false">Inputs!$E$59*(1+Inputs!$E$61)^(AQ$5-1)*MAX(0,MIN(1,AQ$4*1-Inputs!$E$62+1))/1</f>
        <v>1.2</v>
      </c>
      <c r="AR9" s="118" t="n">
        <f aca="false">Inputs!$E$59*(1+Inputs!$E$61)^(AR$5-1)*MAX(0,MIN(1,AR$4*1-Inputs!$E$62+1))/1</f>
        <v>1.2</v>
      </c>
      <c r="AS9" s="118" t="n">
        <f aca="false">Inputs!$E$59*(1+Inputs!$E$61)^(AS$5-1)*MAX(0,MIN(1,AS$4*1-Inputs!$E$62+1))/1</f>
        <v>1.2</v>
      </c>
      <c r="AT9" s="118" t="n">
        <f aca="false">Inputs!$E$59*(1+Inputs!$E$61)^(AT$5-1)*MAX(0,MIN(1,AT$4*1-Inputs!$E$62+1))/1</f>
        <v>1.2</v>
      </c>
      <c r="AU9" s="118" t="n">
        <f aca="false">Inputs!$E$59*(1+Inputs!$E$61)^(AU$5-1)*MAX(0,MIN(1,AU$4*1-Inputs!$E$62+1))/1</f>
        <v>1.2</v>
      </c>
      <c r="AV9" s="118" t="n">
        <f aca="false">Inputs!$E$59*(1+Inputs!$E$61)^(AV$5-1)*MAX(0,MIN(1,AV$4*1-Inputs!$E$62+1))/1</f>
        <v>1.2</v>
      </c>
      <c r="AW9" s="118" t="n">
        <f aca="false">Inputs!$E$59*(1+Inputs!$E$61)^(AW$5-1)*MAX(0,MIN(1,AW$4*1-Inputs!$E$62+1))/1</f>
        <v>1.2</v>
      </c>
      <c r="AX9" s="118" t="n">
        <f aca="false">Inputs!$E$59*(1+Inputs!$E$61)^(AX$5-1)*MAX(0,MIN(1,AX$4*1-Inputs!$E$62+1))/1</f>
        <v>1.2</v>
      </c>
      <c r="AY9" s="118" t="n">
        <f aca="false">Inputs!$E$59*(1+Inputs!$E$61)^(AY$5-1)*MAX(0,MIN(1,AY$4*1-Inputs!$E$62+1))/1</f>
        <v>1.2</v>
      </c>
      <c r="AZ9" s="118" t="n">
        <f aca="false">Inputs!$E$59*(1+Inputs!$E$61)^(AZ$5-1)*MAX(0,MIN(1,AZ$4*1-Inputs!$E$62+1))/1</f>
        <v>1.2</v>
      </c>
      <c r="BA9" s="118" t="n">
        <f aca="false">Inputs!$E$59*(1+Inputs!$E$61)^(BA$5-1)*MAX(0,MIN(1,BA$4*1-Inputs!$E$62+1))/1</f>
        <v>1.2</v>
      </c>
      <c r="BB9" s="118" t="n">
        <f aca="false">Inputs!$E$59*(1+Inputs!$E$61)^(BB$5-1)*MAX(0,MIN(1,BB$4*1-Inputs!$E$62+1))/1</f>
        <v>1.2</v>
      </c>
      <c r="BC9" s="118" t="n">
        <f aca="false">Inputs!$E$59*(1+Inputs!$E$61)^(BC$5-1)*MAX(0,MIN(1,BC$4*1-Inputs!$E$62+1))/1</f>
        <v>1.2</v>
      </c>
      <c r="BD9" s="118" t="n">
        <f aca="false">Inputs!$E$59*(1+Inputs!$E$61)^(BD$5-1)*MAX(0,MIN(1,BD$4*1-Inputs!$E$62+1))/1</f>
        <v>1.2</v>
      </c>
      <c r="BE9" s="118" t="n">
        <f aca="false">Inputs!$E$59*(1+Inputs!$E$61)^(BE$5-1)*MAX(0,MIN(1,BE$4*1-Inputs!$E$62+1))/1</f>
        <v>1.2</v>
      </c>
      <c r="BF9" s="118" t="n">
        <f aca="false">Inputs!$E$59*(1+Inputs!$E$61)^(BF$5-1)*MAX(0,MIN(1,BF$4*1-Inputs!$E$62+1))/1</f>
        <v>1.2</v>
      </c>
      <c r="BG9" s="118" t="n">
        <f aca="false">Inputs!$E$59*(1+Inputs!$E$61)^(BG$5-1)*MAX(0,MIN(1,BG$4*1-Inputs!$E$62+1))/1</f>
        <v>1.2</v>
      </c>
      <c r="BH9" s="118" t="n">
        <f aca="false">Inputs!$E$59*(1+Inputs!$E$61)^(BH$5-1)*MAX(0,MIN(1,BH$4*1-Inputs!$E$62+1))/1</f>
        <v>1.2</v>
      </c>
      <c r="BI9" s="118" t="n">
        <f aca="false">Inputs!$E$59*(1+Inputs!$E$61)^(BI$5-1)*MAX(0,MIN(1,BI$4*1-Inputs!$E$62+1))/1</f>
        <v>1.2</v>
      </c>
      <c r="BJ9" s="118" t="n">
        <f aca="false">Inputs!$E$59*(1+Inputs!$E$61)^(BJ$5-1)*MAX(0,MIN(1,BJ$4*1-Inputs!$E$62+1))/1</f>
        <v>1.2</v>
      </c>
    </row>
    <row r="10" customFormat="false" ht="15" hidden="false" customHeight="false" outlineLevel="0" collapsed="false">
      <c r="A10" s="6" t="s">
        <v>459</v>
      </c>
      <c r="C10" s="118" t="n">
        <f aca="false">Inputs!$E$63*(1+Inputs!$E$65)^(C$5-1)*MAX(0,MIN(1,C$4*1-Inputs!$E$66+1))/1</f>
        <v>1</v>
      </c>
      <c r="D10" s="118" t="n">
        <f aca="false">Inputs!$E$63*(1+Inputs!$E$65)^(D$5-1)*MAX(0,MIN(1,D$4*1-Inputs!$E$66+1))/1</f>
        <v>1</v>
      </c>
      <c r="E10" s="118" t="n">
        <f aca="false">Inputs!$E$63*(1+Inputs!$E$65)^(E$5-1)*MAX(0,MIN(1,E$4*1-Inputs!$E$66+1))/1</f>
        <v>1</v>
      </c>
      <c r="F10" s="118" t="n">
        <f aca="false">Inputs!$E$63*(1+Inputs!$E$65)^(F$5-1)*MAX(0,MIN(1,F$4*1-Inputs!$E$66+1))/1</f>
        <v>1</v>
      </c>
      <c r="G10" s="118" t="n">
        <f aca="false">Inputs!$E$63*(1+Inputs!$E$65)^(G$5-1)*MAX(0,MIN(1,G$4*1-Inputs!$E$66+1))/1</f>
        <v>1</v>
      </c>
      <c r="H10" s="118" t="n">
        <f aca="false">Inputs!$E$63*(1+Inputs!$E$65)^(H$5-1)*MAX(0,MIN(1,H$4*1-Inputs!$E$66+1))/1</f>
        <v>1</v>
      </c>
      <c r="I10" s="118" t="n">
        <f aca="false">Inputs!$E$63*(1+Inputs!$E$65)^(I$5-1)*MAX(0,MIN(1,I$4*1-Inputs!$E$66+1))/1</f>
        <v>1</v>
      </c>
      <c r="J10" s="118" t="n">
        <f aca="false">Inputs!$E$63*(1+Inputs!$E$65)^(J$5-1)*MAX(0,MIN(1,J$4*1-Inputs!$E$66+1))/1</f>
        <v>1</v>
      </c>
      <c r="K10" s="118" t="n">
        <f aca="false">Inputs!$E$63*(1+Inputs!$E$65)^(K$5-1)*MAX(0,MIN(1,K$4*1-Inputs!$E$66+1))/1</f>
        <v>1</v>
      </c>
      <c r="L10" s="118" t="n">
        <f aca="false">Inputs!$E$63*(1+Inputs!$E$65)^(L$5-1)*MAX(0,MIN(1,L$4*1-Inputs!$E$66+1))/1</f>
        <v>1</v>
      </c>
      <c r="M10" s="118" t="n">
        <f aca="false">Inputs!$E$63*(1+Inputs!$E$65)^(M$5-1)*MAX(0,MIN(1,M$4*1-Inputs!$E$66+1))/1</f>
        <v>1</v>
      </c>
      <c r="N10" s="118" t="n">
        <f aca="false">Inputs!$E$63*(1+Inputs!$E$65)^(N$5-1)*MAX(0,MIN(1,N$4*1-Inputs!$E$66+1))/1</f>
        <v>1</v>
      </c>
      <c r="O10" s="118" t="n">
        <f aca="false">Inputs!$E$63*(1+Inputs!$E$65)^(O$5-1)*MAX(0,MIN(1,O$4*1-Inputs!$E$66+1))/1</f>
        <v>1</v>
      </c>
      <c r="P10" s="118" t="n">
        <f aca="false">Inputs!$E$63*(1+Inputs!$E$65)^(P$5-1)*MAX(0,MIN(1,P$4*1-Inputs!$E$66+1))/1</f>
        <v>1</v>
      </c>
      <c r="Q10" s="118" t="n">
        <f aca="false">Inputs!$E$63*(1+Inputs!$E$65)^(Q$5-1)*MAX(0,MIN(1,Q$4*1-Inputs!$E$66+1))/1</f>
        <v>1</v>
      </c>
      <c r="R10" s="118" t="n">
        <f aca="false">Inputs!$E$63*(1+Inputs!$E$65)^(R$5-1)*MAX(0,MIN(1,R$4*1-Inputs!$E$66+1))/1</f>
        <v>1</v>
      </c>
      <c r="S10" s="118" t="n">
        <f aca="false">Inputs!$E$63*(1+Inputs!$E$65)^(S$5-1)*MAX(0,MIN(1,S$4*1-Inputs!$E$66+1))/1</f>
        <v>1</v>
      </c>
      <c r="T10" s="118" t="n">
        <f aca="false">Inputs!$E$63*(1+Inputs!$E$65)^(T$5-1)*MAX(0,MIN(1,T$4*1-Inputs!$E$66+1))/1</f>
        <v>1</v>
      </c>
      <c r="U10" s="118" t="n">
        <f aca="false">Inputs!$E$63*(1+Inputs!$E$65)^(U$5-1)*MAX(0,MIN(1,U$4*1-Inputs!$E$66+1))/1</f>
        <v>1</v>
      </c>
      <c r="V10" s="118" t="n">
        <f aca="false">Inputs!$E$63*(1+Inputs!$E$65)^(V$5-1)*MAX(0,MIN(1,V$4*1-Inputs!$E$66+1))/1</f>
        <v>1</v>
      </c>
      <c r="W10" s="118" t="n">
        <f aca="false">Inputs!$E$63*(1+Inputs!$E$65)^(W$5-1)*MAX(0,MIN(1,W$4*1-Inputs!$E$66+1))/1</f>
        <v>1</v>
      </c>
      <c r="X10" s="118" t="n">
        <f aca="false">Inputs!$E$63*(1+Inputs!$E$65)^(X$5-1)*MAX(0,MIN(1,X$4*1-Inputs!$E$66+1))/1</f>
        <v>1</v>
      </c>
      <c r="Y10" s="118" t="n">
        <f aca="false">Inputs!$E$63*(1+Inputs!$E$65)^(Y$5-1)*MAX(0,MIN(1,Y$4*1-Inputs!$E$66+1))/1</f>
        <v>1</v>
      </c>
      <c r="Z10" s="118" t="n">
        <f aca="false">Inputs!$E$63*(1+Inputs!$E$65)^(Z$5-1)*MAX(0,MIN(1,Z$4*1-Inputs!$E$66+1))/1</f>
        <v>1</v>
      </c>
      <c r="AA10" s="118" t="n">
        <f aca="false">Inputs!$E$63*(1+Inputs!$E$65)^(AA$5-1)*MAX(0,MIN(1,AA$4*1-Inputs!$E$66+1))/1</f>
        <v>1</v>
      </c>
      <c r="AB10" s="118" t="n">
        <f aca="false">Inputs!$E$63*(1+Inputs!$E$65)^(AB$5-1)*MAX(0,MIN(1,AB$4*1-Inputs!$E$66+1))/1</f>
        <v>1</v>
      </c>
      <c r="AC10" s="118" t="n">
        <f aca="false">Inputs!$E$63*(1+Inputs!$E$65)^(AC$5-1)*MAX(0,MIN(1,AC$4*1-Inputs!$E$66+1))/1</f>
        <v>1</v>
      </c>
      <c r="AD10" s="118" t="n">
        <f aca="false">Inputs!$E$63*(1+Inputs!$E$65)^(AD$5-1)*MAX(0,MIN(1,AD$4*1-Inputs!$E$66+1))/1</f>
        <v>1</v>
      </c>
      <c r="AE10" s="118" t="n">
        <f aca="false">Inputs!$E$63*(1+Inputs!$E$65)^(AE$5-1)*MAX(0,MIN(1,AE$4*1-Inputs!$E$66+1))/1</f>
        <v>1</v>
      </c>
      <c r="AF10" s="118" t="n">
        <f aca="false">Inputs!$E$63*(1+Inputs!$E$65)^(AF$5-1)*MAX(0,MIN(1,AF$4*1-Inputs!$E$66+1))/1</f>
        <v>1</v>
      </c>
      <c r="AG10" s="118" t="n">
        <f aca="false">Inputs!$E$63*(1+Inputs!$E$65)^(AG$5-1)*MAX(0,MIN(1,AG$4*1-Inputs!$E$66+1))/1</f>
        <v>1</v>
      </c>
      <c r="AH10" s="118" t="n">
        <f aca="false">Inputs!$E$63*(1+Inputs!$E$65)^(AH$5-1)*MAX(0,MIN(1,AH$4*1-Inputs!$E$66+1))/1</f>
        <v>1</v>
      </c>
      <c r="AI10" s="118" t="n">
        <f aca="false">Inputs!$E$63*(1+Inputs!$E$65)^(AI$5-1)*MAX(0,MIN(1,AI$4*1-Inputs!$E$66+1))/1</f>
        <v>1</v>
      </c>
      <c r="AJ10" s="118" t="n">
        <f aca="false">Inputs!$E$63*(1+Inputs!$E$65)^(AJ$5-1)*MAX(0,MIN(1,AJ$4*1-Inputs!$E$66+1))/1</f>
        <v>1</v>
      </c>
      <c r="AK10" s="118" t="n">
        <f aca="false">Inputs!$E$63*(1+Inputs!$E$65)^(AK$5-1)*MAX(0,MIN(1,AK$4*1-Inputs!$E$66+1))/1</f>
        <v>1</v>
      </c>
      <c r="AL10" s="118" t="n">
        <f aca="false">Inputs!$E$63*(1+Inputs!$E$65)^(AL$5-1)*MAX(0,MIN(1,AL$4*1-Inputs!$E$66+1))/1</f>
        <v>1</v>
      </c>
      <c r="AM10" s="118" t="n">
        <f aca="false">Inputs!$E$63*(1+Inputs!$E$65)^(AM$5-1)*MAX(0,MIN(1,AM$4*1-Inputs!$E$66+1))/1</f>
        <v>1</v>
      </c>
      <c r="AN10" s="118" t="n">
        <f aca="false">Inputs!$E$63*(1+Inputs!$E$65)^(AN$5-1)*MAX(0,MIN(1,AN$4*1-Inputs!$E$66+1))/1</f>
        <v>1</v>
      </c>
      <c r="AO10" s="118" t="n">
        <f aca="false">Inputs!$E$63*(1+Inputs!$E$65)^(AO$5-1)*MAX(0,MIN(1,AO$4*1-Inputs!$E$66+1))/1</f>
        <v>1</v>
      </c>
      <c r="AP10" s="118" t="n">
        <f aca="false">Inputs!$E$63*(1+Inputs!$E$65)^(AP$5-1)*MAX(0,MIN(1,AP$4*1-Inputs!$E$66+1))/1</f>
        <v>1</v>
      </c>
      <c r="AQ10" s="118" t="n">
        <f aca="false">Inputs!$E$63*(1+Inputs!$E$65)^(AQ$5-1)*MAX(0,MIN(1,AQ$4*1-Inputs!$E$66+1))/1</f>
        <v>1</v>
      </c>
      <c r="AR10" s="118" t="n">
        <f aca="false">Inputs!$E$63*(1+Inputs!$E$65)^(AR$5-1)*MAX(0,MIN(1,AR$4*1-Inputs!$E$66+1))/1</f>
        <v>1</v>
      </c>
      <c r="AS10" s="118" t="n">
        <f aca="false">Inputs!$E$63*(1+Inputs!$E$65)^(AS$5-1)*MAX(0,MIN(1,AS$4*1-Inputs!$E$66+1))/1</f>
        <v>1</v>
      </c>
      <c r="AT10" s="118" t="n">
        <f aca="false">Inputs!$E$63*(1+Inputs!$E$65)^(AT$5-1)*MAX(0,MIN(1,AT$4*1-Inputs!$E$66+1))/1</f>
        <v>1</v>
      </c>
      <c r="AU10" s="118" t="n">
        <f aca="false">Inputs!$E$63*(1+Inputs!$E$65)^(AU$5-1)*MAX(0,MIN(1,AU$4*1-Inputs!$E$66+1))/1</f>
        <v>1</v>
      </c>
      <c r="AV10" s="118" t="n">
        <f aca="false">Inputs!$E$63*(1+Inputs!$E$65)^(AV$5-1)*MAX(0,MIN(1,AV$4*1-Inputs!$E$66+1))/1</f>
        <v>1</v>
      </c>
      <c r="AW10" s="118" t="n">
        <f aca="false">Inputs!$E$63*(1+Inputs!$E$65)^(AW$5-1)*MAX(0,MIN(1,AW$4*1-Inputs!$E$66+1))/1</f>
        <v>1</v>
      </c>
      <c r="AX10" s="118" t="n">
        <f aca="false">Inputs!$E$63*(1+Inputs!$E$65)^(AX$5-1)*MAX(0,MIN(1,AX$4*1-Inputs!$E$66+1))/1</f>
        <v>1</v>
      </c>
      <c r="AY10" s="118" t="n">
        <f aca="false">Inputs!$E$63*(1+Inputs!$E$65)^(AY$5-1)*MAX(0,MIN(1,AY$4*1-Inputs!$E$66+1))/1</f>
        <v>1</v>
      </c>
      <c r="AZ10" s="118" t="n">
        <f aca="false">Inputs!$E$63*(1+Inputs!$E$65)^(AZ$5-1)*MAX(0,MIN(1,AZ$4*1-Inputs!$E$66+1))/1</f>
        <v>1</v>
      </c>
      <c r="BA10" s="118" t="n">
        <f aca="false">Inputs!$E$63*(1+Inputs!$E$65)^(BA$5-1)*MAX(0,MIN(1,BA$4*1-Inputs!$E$66+1))/1</f>
        <v>1</v>
      </c>
      <c r="BB10" s="118" t="n">
        <f aca="false">Inputs!$E$63*(1+Inputs!$E$65)^(BB$5-1)*MAX(0,MIN(1,BB$4*1-Inputs!$E$66+1))/1</f>
        <v>1</v>
      </c>
      <c r="BC10" s="118" t="n">
        <f aca="false">Inputs!$E$63*(1+Inputs!$E$65)^(BC$5-1)*MAX(0,MIN(1,BC$4*1-Inputs!$E$66+1))/1</f>
        <v>1</v>
      </c>
      <c r="BD10" s="118" t="n">
        <f aca="false">Inputs!$E$63*(1+Inputs!$E$65)^(BD$5-1)*MAX(0,MIN(1,BD$4*1-Inputs!$E$66+1))/1</f>
        <v>1</v>
      </c>
      <c r="BE10" s="118" t="n">
        <f aca="false">Inputs!$E$63*(1+Inputs!$E$65)^(BE$5-1)*MAX(0,MIN(1,BE$4*1-Inputs!$E$66+1))/1</f>
        <v>1</v>
      </c>
      <c r="BF10" s="118" t="n">
        <f aca="false">Inputs!$E$63*(1+Inputs!$E$65)^(BF$5-1)*MAX(0,MIN(1,BF$4*1-Inputs!$E$66+1))/1</f>
        <v>1</v>
      </c>
      <c r="BG10" s="118" t="n">
        <f aca="false">Inputs!$E$63*(1+Inputs!$E$65)^(BG$5-1)*MAX(0,MIN(1,BG$4*1-Inputs!$E$66+1))/1</f>
        <v>1</v>
      </c>
      <c r="BH10" s="118" t="n">
        <f aca="false">Inputs!$E$63*(1+Inputs!$E$65)^(BH$5-1)*MAX(0,MIN(1,BH$4*1-Inputs!$E$66+1))/1</f>
        <v>1</v>
      </c>
      <c r="BI10" s="118" t="n">
        <f aca="false">Inputs!$E$63*(1+Inputs!$E$65)^(BI$5-1)*MAX(0,MIN(1,BI$4*1-Inputs!$E$66+1))/1</f>
        <v>1</v>
      </c>
      <c r="BJ10" s="118" t="n">
        <f aca="false">Inputs!$E$63*(1+Inputs!$E$65)^(BJ$5-1)*MAX(0,MIN(1,BJ$4*1-Inputs!$E$66+1))/1</f>
        <v>1</v>
      </c>
    </row>
    <row r="11" customFormat="false" ht="15" hidden="false" customHeight="false" outlineLevel="0" collapsed="false">
      <c r="A11" s="113" t="s">
        <v>460</v>
      </c>
      <c r="C11" s="122" t="n">
        <f aca="false">C8+C9+C10</f>
        <v>3.2</v>
      </c>
      <c r="D11" s="122" t="n">
        <f aca="false">D8+D9+D10</f>
        <v>3.2</v>
      </c>
      <c r="E11" s="122" t="n">
        <f aca="false">E8+E9+E10</f>
        <v>3.2</v>
      </c>
      <c r="F11" s="122" t="n">
        <f aca="false">F8+F9+F10</f>
        <v>3.2</v>
      </c>
      <c r="G11" s="122" t="n">
        <f aca="false">G8+G9+G10</f>
        <v>3.2</v>
      </c>
      <c r="H11" s="122" t="n">
        <f aca="false">H8+H9+H10</f>
        <v>3.2</v>
      </c>
      <c r="I11" s="122" t="n">
        <f aca="false">I8+I9+I10</f>
        <v>3.2</v>
      </c>
      <c r="J11" s="122" t="n">
        <f aca="false">J8+J9+J10</f>
        <v>3.2</v>
      </c>
      <c r="K11" s="122" t="n">
        <f aca="false">K8+K9+K10</f>
        <v>3.2</v>
      </c>
      <c r="L11" s="122" t="n">
        <f aca="false">L8+L9+L10</f>
        <v>3.2</v>
      </c>
      <c r="M11" s="122" t="n">
        <f aca="false">M8+M9+M10</f>
        <v>3.2</v>
      </c>
      <c r="N11" s="122" t="n">
        <f aca="false">N8+N9+N10</f>
        <v>3.2</v>
      </c>
      <c r="O11" s="122" t="n">
        <f aca="false">O8+O9+O10</f>
        <v>3.2</v>
      </c>
      <c r="P11" s="122" t="n">
        <f aca="false">P8+P9+P10</f>
        <v>3.2</v>
      </c>
      <c r="Q11" s="122" t="n">
        <f aca="false">Q8+Q9+Q10</f>
        <v>3.2</v>
      </c>
      <c r="R11" s="122" t="n">
        <f aca="false">R8+R9+R10</f>
        <v>3.2</v>
      </c>
      <c r="S11" s="122" t="n">
        <f aca="false">S8+S9+S10</f>
        <v>3.2</v>
      </c>
      <c r="T11" s="122" t="n">
        <f aca="false">T8+T9+T10</f>
        <v>3.2</v>
      </c>
      <c r="U11" s="122" t="n">
        <f aca="false">U8+U9+U10</f>
        <v>3.2</v>
      </c>
      <c r="V11" s="122" t="n">
        <f aca="false">V8+V9+V10</f>
        <v>3.2</v>
      </c>
      <c r="W11" s="122" t="n">
        <f aca="false">W8+W9+W10</f>
        <v>3.2</v>
      </c>
      <c r="X11" s="122" t="n">
        <f aca="false">X8+X9+X10</f>
        <v>3.2</v>
      </c>
      <c r="Y11" s="122" t="n">
        <f aca="false">Y8+Y9+Y10</f>
        <v>3.2</v>
      </c>
      <c r="Z11" s="122" t="n">
        <f aca="false">Z8+Z9+Z10</f>
        <v>3.2</v>
      </c>
      <c r="AA11" s="122" t="n">
        <f aca="false">AA8+AA9+AA10</f>
        <v>3.2</v>
      </c>
      <c r="AB11" s="122" t="n">
        <f aca="false">AB8+AB9+AB10</f>
        <v>3.2</v>
      </c>
      <c r="AC11" s="122" t="n">
        <f aca="false">AC8+AC9+AC10</f>
        <v>3.2</v>
      </c>
      <c r="AD11" s="122" t="n">
        <f aca="false">AD8+AD9+AD10</f>
        <v>3.2</v>
      </c>
      <c r="AE11" s="122" t="n">
        <f aca="false">AE8+AE9+AE10</f>
        <v>3.2</v>
      </c>
      <c r="AF11" s="122" t="n">
        <f aca="false">AF8+AF9+AF10</f>
        <v>3.2</v>
      </c>
      <c r="AG11" s="122" t="n">
        <f aca="false">AG8+AG9+AG10</f>
        <v>3.2</v>
      </c>
      <c r="AH11" s="122" t="n">
        <f aca="false">AH8+AH9+AH10</f>
        <v>3.2</v>
      </c>
      <c r="AI11" s="122" t="n">
        <f aca="false">AI8+AI9+AI10</f>
        <v>3.2</v>
      </c>
      <c r="AJ11" s="122" t="n">
        <f aca="false">AJ8+AJ9+AJ10</f>
        <v>3.2</v>
      </c>
      <c r="AK11" s="122" t="n">
        <f aca="false">AK8+AK9+AK10</f>
        <v>3.2</v>
      </c>
      <c r="AL11" s="122" t="n">
        <f aca="false">AL8+AL9+AL10</f>
        <v>3.2</v>
      </c>
      <c r="AM11" s="122" t="n">
        <f aca="false">AM8+AM9+AM10</f>
        <v>3.2</v>
      </c>
      <c r="AN11" s="122" t="n">
        <f aca="false">AN8+AN9+AN10</f>
        <v>3.2</v>
      </c>
      <c r="AO11" s="122" t="n">
        <f aca="false">AO8+AO9+AO10</f>
        <v>3.2</v>
      </c>
      <c r="AP11" s="122" t="n">
        <f aca="false">AP8+AP9+AP10</f>
        <v>3.2</v>
      </c>
      <c r="AQ11" s="122" t="n">
        <f aca="false">AQ8+AQ9+AQ10</f>
        <v>3.2</v>
      </c>
      <c r="AR11" s="122" t="n">
        <f aca="false">AR8+AR9+AR10</f>
        <v>3.2</v>
      </c>
      <c r="AS11" s="122" t="n">
        <f aca="false">AS8+AS9+AS10</f>
        <v>3.2</v>
      </c>
      <c r="AT11" s="122" t="n">
        <f aca="false">AT8+AT9+AT10</f>
        <v>3.2</v>
      </c>
      <c r="AU11" s="122" t="n">
        <f aca="false">AU8+AU9+AU10</f>
        <v>3.2</v>
      </c>
      <c r="AV11" s="122" t="n">
        <f aca="false">AV8+AV9+AV10</f>
        <v>3.2</v>
      </c>
      <c r="AW11" s="122" t="n">
        <f aca="false">AW8+AW9+AW10</f>
        <v>3.2</v>
      </c>
      <c r="AX11" s="122" t="n">
        <f aca="false">AX8+AX9+AX10</f>
        <v>3.2</v>
      </c>
      <c r="AY11" s="122" t="n">
        <f aca="false">AY8+AY9+AY10</f>
        <v>3.2</v>
      </c>
      <c r="AZ11" s="122" t="n">
        <f aca="false">AZ8+AZ9+AZ10</f>
        <v>3.2</v>
      </c>
      <c r="BA11" s="122" t="n">
        <f aca="false">BA8+BA9+BA10</f>
        <v>3.2</v>
      </c>
      <c r="BB11" s="122" t="n">
        <f aca="false">BB8+BB9+BB10</f>
        <v>3.2</v>
      </c>
      <c r="BC11" s="122" t="n">
        <f aca="false">BC8+BC9+BC10</f>
        <v>3.2</v>
      </c>
      <c r="BD11" s="122" t="n">
        <f aca="false">BD8+BD9+BD10</f>
        <v>3.2</v>
      </c>
      <c r="BE11" s="122" t="n">
        <f aca="false">BE8+BE9+BE10</f>
        <v>3.2</v>
      </c>
      <c r="BF11" s="122" t="n">
        <f aca="false">BF8+BF9+BF10</f>
        <v>3.2</v>
      </c>
      <c r="BG11" s="122" t="n">
        <f aca="false">BG8+BG9+BG10</f>
        <v>3.2</v>
      </c>
      <c r="BH11" s="122" t="n">
        <f aca="false">BH8+BH9+BH10</f>
        <v>3.2</v>
      </c>
      <c r="BI11" s="122" t="n">
        <f aca="false">BI8+BI9+BI10</f>
        <v>3.2</v>
      </c>
      <c r="BJ11" s="122" t="n">
        <f aca="false">BJ8+BJ9+BJ10</f>
        <v>3.2</v>
      </c>
    </row>
    <row r="13" customFormat="false" ht="15.75" hidden="false" customHeight="true" outlineLevel="0" collapsed="false">
      <c r="A13" s="7" t="s">
        <v>461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customFormat="false" ht="15" hidden="false" customHeight="false" outlineLevel="0" collapsed="false">
      <c r="A14" s="6" t="s">
        <v>462</v>
      </c>
      <c r="C14" s="67" t="n">
        <f aca="false">-C8*Inputs!$E$56/12*1*(1+Inputs!$E$67)*(1+Inputs!$E$68)^(C$5-1)</f>
        <v>-3360</v>
      </c>
      <c r="D14" s="67" t="n">
        <f aca="false">-D8*Inputs!$E$56/12*1*(1+Inputs!$E$67)*(1+Inputs!$E$68)^(D$5-1)</f>
        <v>-3360</v>
      </c>
      <c r="E14" s="67" t="n">
        <f aca="false">-E8*Inputs!$E$56/12*1*(1+Inputs!$E$67)*(1+Inputs!$E$68)^(E$5-1)</f>
        <v>-3360</v>
      </c>
      <c r="F14" s="67" t="n">
        <f aca="false">-F8*Inputs!$E$56/12*1*(1+Inputs!$E$67)*(1+Inputs!$E$68)^(F$5-1)</f>
        <v>-3360</v>
      </c>
      <c r="G14" s="67" t="n">
        <f aca="false">-G8*Inputs!$E$56/12*1*(1+Inputs!$E$67)*(1+Inputs!$E$68)^(G$5-1)</f>
        <v>-3360</v>
      </c>
      <c r="H14" s="67" t="n">
        <f aca="false">-H8*Inputs!$E$56/12*1*(1+Inputs!$E$67)*(1+Inputs!$E$68)^(H$5-1)</f>
        <v>-3360</v>
      </c>
      <c r="I14" s="67" t="n">
        <f aca="false">-I8*Inputs!$E$56/12*1*(1+Inputs!$E$67)*(1+Inputs!$E$68)^(I$5-1)</f>
        <v>-3360</v>
      </c>
      <c r="J14" s="67" t="n">
        <f aca="false">-J8*Inputs!$E$56/12*1*(1+Inputs!$E$67)*(1+Inputs!$E$68)^(J$5-1)</f>
        <v>-3360</v>
      </c>
      <c r="K14" s="67" t="n">
        <f aca="false">-K8*Inputs!$E$56/12*1*(1+Inputs!$E$67)*(1+Inputs!$E$68)^(K$5-1)</f>
        <v>-3360</v>
      </c>
      <c r="L14" s="67" t="n">
        <f aca="false">-L8*Inputs!$E$56/12*1*(1+Inputs!$E$67)*(1+Inputs!$E$68)^(L$5-1)</f>
        <v>-3360</v>
      </c>
      <c r="M14" s="67" t="n">
        <f aca="false">-M8*Inputs!$E$56/12*1*(1+Inputs!$E$67)*(1+Inputs!$E$68)^(M$5-1)</f>
        <v>-3360</v>
      </c>
      <c r="N14" s="67" t="n">
        <f aca="false">-N8*Inputs!$E$56/12*1*(1+Inputs!$E$67)*(1+Inputs!$E$68)^(N$5-1)</f>
        <v>-3360</v>
      </c>
      <c r="O14" s="67" t="n">
        <f aca="false">-O8*Inputs!$E$56/12*1*(1+Inputs!$E$67)*(1+Inputs!$E$68)^(O$5-1)</f>
        <v>-3460.8</v>
      </c>
      <c r="P14" s="67" t="n">
        <f aca="false">-P8*Inputs!$E$56/12*1*(1+Inputs!$E$67)*(1+Inputs!$E$68)^(P$5-1)</f>
        <v>-3460.8</v>
      </c>
      <c r="Q14" s="67" t="n">
        <f aca="false">-Q8*Inputs!$E$56/12*1*(1+Inputs!$E$67)*(1+Inputs!$E$68)^(Q$5-1)</f>
        <v>-3460.8</v>
      </c>
      <c r="R14" s="67" t="n">
        <f aca="false">-R8*Inputs!$E$56/12*1*(1+Inputs!$E$67)*(1+Inputs!$E$68)^(R$5-1)</f>
        <v>-3460.8</v>
      </c>
      <c r="S14" s="67" t="n">
        <f aca="false">-S8*Inputs!$E$56/12*1*(1+Inputs!$E$67)*(1+Inputs!$E$68)^(S$5-1)</f>
        <v>-3460.8</v>
      </c>
      <c r="T14" s="67" t="n">
        <f aca="false">-T8*Inputs!$E$56/12*1*(1+Inputs!$E$67)*(1+Inputs!$E$68)^(T$5-1)</f>
        <v>-3460.8</v>
      </c>
      <c r="U14" s="67" t="n">
        <f aca="false">-U8*Inputs!$E$56/12*1*(1+Inputs!$E$67)*(1+Inputs!$E$68)^(U$5-1)</f>
        <v>-3460.8</v>
      </c>
      <c r="V14" s="67" t="n">
        <f aca="false">-V8*Inputs!$E$56/12*1*(1+Inputs!$E$67)*(1+Inputs!$E$68)^(V$5-1)</f>
        <v>-3460.8</v>
      </c>
      <c r="W14" s="67" t="n">
        <f aca="false">-W8*Inputs!$E$56/12*1*(1+Inputs!$E$67)*(1+Inputs!$E$68)^(W$5-1)</f>
        <v>-3460.8</v>
      </c>
      <c r="X14" s="67" t="n">
        <f aca="false">-X8*Inputs!$E$56/12*1*(1+Inputs!$E$67)*(1+Inputs!$E$68)^(X$5-1)</f>
        <v>-3460.8</v>
      </c>
      <c r="Y14" s="67" t="n">
        <f aca="false">-Y8*Inputs!$E$56/12*1*(1+Inputs!$E$67)*(1+Inputs!$E$68)^(Y$5-1)</f>
        <v>-3460.8</v>
      </c>
      <c r="Z14" s="67" t="n">
        <f aca="false">-Z8*Inputs!$E$56/12*1*(1+Inputs!$E$67)*(1+Inputs!$E$68)^(Z$5-1)</f>
        <v>-3460.8</v>
      </c>
      <c r="AA14" s="67" t="n">
        <f aca="false">-AA8*Inputs!$E$56/12*1*(1+Inputs!$E$67)*(1+Inputs!$E$68)^(AA$5-1)</f>
        <v>-3564.624</v>
      </c>
      <c r="AB14" s="67" t="n">
        <f aca="false">-AB8*Inputs!$E$56/12*1*(1+Inputs!$E$67)*(1+Inputs!$E$68)^(AB$5-1)</f>
        <v>-3564.624</v>
      </c>
      <c r="AC14" s="67" t="n">
        <f aca="false">-AC8*Inputs!$E$56/12*1*(1+Inputs!$E$67)*(1+Inputs!$E$68)^(AC$5-1)</f>
        <v>-3564.624</v>
      </c>
      <c r="AD14" s="67" t="n">
        <f aca="false">-AD8*Inputs!$E$56/12*1*(1+Inputs!$E$67)*(1+Inputs!$E$68)^(AD$5-1)</f>
        <v>-3564.624</v>
      </c>
      <c r="AE14" s="67" t="n">
        <f aca="false">-AE8*Inputs!$E$56/12*1*(1+Inputs!$E$67)*(1+Inputs!$E$68)^(AE$5-1)</f>
        <v>-3564.624</v>
      </c>
      <c r="AF14" s="67" t="n">
        <f aca="false">-AF8*Inputs!$E$56/12*1*(1+Inputs!$E$67)*(1+Inputs!$E$68)^(AF$5-1)</f>
        <v>-3564.624</v>
      </c>
      <c r="AG14" s="67" t="n">
        <f aca="false">-AG8*Inputs!$E$56/12*1*(1+Inputs!$E$67)*(1+Inputs!$E$68)^(AG$5-1)</f>
        <v>-3564.624</v>
      </c>
      <c r="AH14" s="67" t="n">
        <f aca="false">-AH8*Inputs!$E$56/12*1*(1+Inputs!$E$67)*(1+Inputs!$E$68)^(AH$5-1)</f>
        <v>-3564.624</v>
      </c>
      <c r="AI14" s="67" t="n">
        <f aca="false">-AI8*Inputs!$E$56/12*1*(1+Inputs!$E$67)*(1+Inputs!$E$68)^(AI$5-1)</f>
        <v>-3564.624</v>
      </c>
      <c r="AJ14" s="67" t="n">
        <f aca="false">-AJ8*Inputs!$E$56/12*1*(1+Inputs!$E$67)*(1+Inputs!$E$68)^(AJ$5-1)</f>
        <v>-3564.624</v>
      </c>
      <c r="AK14" s="67" t="n">
        <f aca="false">-AK8*Inputs!$E$56/12*1*(1+Inputs!$E$67)*(1+Inputs!$E$68)^(AK$5-1)</f>
        <v>-3564.624</v>
      </c>
      <c r="AL14" s="67" t="n">
        <f aca="false">-AL8*Inputs!$E$56/12*1*(1+Inputs!$E$67)*(1+Inputs!$E$68)^(AL$5-1)</f>
        <v>-3564.624</v>
      </c>
      <c r="AM14" s="67" t="n">
        <f aca="false">-AM8*Inputs!$E$56/12*1*(1+Inputs!$E$67)*(1+Inputs!$E$68)^(AM$5-1)</f>
        <v>-3671.56272</v>
      </c>
      <c r="AN14" s="67" t="n">
        <f aca="false">-AN8*Inputs!$E$56/12*1*(1+Inputs!$E$67)*(1+Inputs!$E$68)^(AN$5-1)</f>
        <v>-3671.56272</v>
      </c>
      <c r="AO14" s="67" t="n">
        <f aca="false">-AO8*Inputs!$E$56/12*1*(1+Inputs!$E$67)*(1+Inputs!$E$68)^(AO$5-1)</f>
        <v>-3671.56272</v>
      </c>
      <c r="AP14" s="67" t="n">
        <f aca="false">-AP8*Inputs!$E$56/12*1*(1+Inputs!$E$67)*(1+Inputs!$E$68)^(AP$5-1)</f>
        <v>-3671.56272</v>
      </c>
      <c r="AQ14" s="67" t="n">
        <f aca="false">-AQ8*Inputs!$E$56/12*1*(1+Inputs!$E$67)*(1+Inputs!$E$68)^(AQ$5-1)</f>
        <v>-3671.56272</v>
      </c>
      <c r="AR14" s="67" t="n">
        <f aca="false">-AR8*Inputs!$E$56/12*1*(1+Inputs!$E$67)*(1+Inputs!$E$68)^(AR$5-1)</f>
        <v>-3671.56272</v>
      </c>
      <c r="AS14" s="67" t="n">
        <f aca="false">-AS8*Inputs!$E$56/12*1*(1+Inputs!$E$67)*(1+Inputs!$E$68)^(AS$5-1)</f>
        <v>-3671.56272</v>
      </c>
      <c r="AT14" s="67" t="n">
        <f aca="false">-AT8*Inputs!$E$56/12*1*(1+Inputs!$E$67)*(1+Inputs!$E$68)^(AT$5-1)</f>
        <v>-3671.56272</v>
      </c>
      <c r="AU14" s="67" t="n">
        <f aca="false">-AU8*Inputs!$E$56/12*1*(1+Inputs!$E$67)*(1+Inputs!$E$68)^(AU$5-1)</f>
        <v>-3671.56272</v>
      </c>
      <c r="AV14" s="67" t="n">
        <f aca="false">-AV8*Inputs!$E$56/12*1*(1+Inputs!$E$67)*(1+Inputs!$E$68)^(AV$5-1)</f>
        <v>-3671.56272</v>
      </c>
      <c r="AW14" s="67" t="n">
        <f aca="false">-AW8*Inputs!$E$56/12*1*(1+Inputs!$E$67)*(1+Inputs!$E$68)^(AW$5-1)</f>
        <v>-3671.56272</v>
      </c>
      <c r="AX14" s="67" t="n">
        <f aca="false">-AX8*Inputs!$E$56/12*1*(1+Inputs!$E$67)*(1+Inputs!$E$68)^(AX$5-1)</f>
        <v>-3671.56272</v>
      </c>
      <c r="AY14" s="67" t="n">
        <f aca="false">-AY8*Inputs!$E$56/12*1*(1+Inputs!$E$67)*(1+Inputs!$E$68)^(AY$5-1)</f>
        <v>-3781.7096016</v>
      </c>
      <c r="AZ14" s="67" t="n">
        <f aca="false">-AZ8*Inputs!$E$56/12*1*(1+Inputs!$E$67)*(1+Inputs!$E$68)^(AZ$5-1)</f>
        <v>-3781.7096016</v>
      </c>
      <c r="BA14" s="67" t="n">
        <f aca="false">-BA8*Inputs!$E$56/12*1*(1+Inputs!$E$67)*(1+Inputs!$E$68)^(BA$5-1)</f>
        <v>-3781.7096016</v>
      </c>
      <c r="BB14" s="67" t="n">
        <f aca="false">-BB8*Inputs!$E$56/12*1*(1+Inputs!$E$67)*(1+Inputs!$E$68)^(BB$5-1)</f>
        <v>-3781.7096016</v>
      </c>
      <c r="BC14" s="67" t="n">
        <f aca="false">-BC8*Inputs!$E$56/12*1*(1+Inputs!$E$67)*(1+Inputs!$E$68)^(BC$5-1)</f>
        <v>-3781.7096016</v>
      </c>
      <c r="BD14" s="67" t="n">
        <f aca="false">-BD8*Inputs!$E$56/12*1*(1+Inputs!$E$67)*(1+Inputs!$E$68)^(BD$5-1)</f>
        <v>-3781.7096016</v>
      </c>
      <c r="BE14" s="67" t="n">
        <f aca="false">-BE8*Inputs!$E$56/12*1*(1+Inputs!$E$67)*(1+Inputs!$E$68)^(BE$5-1)</f>
        <v>-3781.7096016</v>
      </c>
      <c r="BF14" s="67" t="n">
        <f aca="false">-BF8*Inputs!$E$56/12*1*(1+Inputs!$E$67)*(1+Inputs!$E$68)^(BF$5-1)</f>
        <v>-3781.7096016</v>
      </c>
      <c r="BG14" s="67" t="n">
        <f aca="false">-BG8*Inputs!$E$56/12*1*(1+Inputs!$E$67)*(1+Inputs!$E$68)^(BG$5-1)</f>
        <v>-3781.7096016</v>
      </c>
      <c r="BH14" s="67" t="n">
        <f aca="false">-BH8*Inputs!$E$56/12*1*(1+Inputs!$E$67)*(1+Inputs!$E$68)^(BH$5-1)</f>
        <v>-3781.7096016</v>
      </c>
      <c r="BI14" s="67" t="n">
        <f aca="false">-BI8*Inputs!$E$56/12*1*(1+Inputs!$E$67)*(1+Inputs!$E$68)^(BI$5-1)</f>
        <v>-3781.7096016</v>
      </c>
      <c r="BJ14" s="67" t="n">
        <f aca="false">-BJ8*Inputs!$E$56/12*1*(1+Inputs!$E$67)*(1+Inputs!$E$68)^(BJ$5-1)</f>
        <v>-3781.7096016</v>
      </c>
    </row>
    <row r="15" customFormat="false" ht="15" hidden="false" customHeight="false" outlineLevel="0" collapsed="false">
      <c r="A15" s="6" t="s">
        <v>463</v>
      </c>
      <c r="C15" s="67" t="n">
        <f aca="false">-C9*Inputs!$E$60/12*1*(1+Inputs!$E$67)*(1+Inputs!$E$68)^(C$5-1)</f>
        <v>-3808</v>
      </c>
      <c r="D15" s="67" t="n">
        <f aca="false">-D9*Inputs!$E$60/12*1*(1+Inputs!$E$67)*(1+Inputs!$E$68)^(D$5-1)</f>
        <v>-3808</v>
      </c>
      <c r="E15" s="67" t="n">
        <f aca="false">-E9*Inputs!$E$60/12*1*(1+Inputs!$E$67)*(1+Inputs!$E$68)^(E$5-1)</f>
        <v>-3808</v>
      </c>
      <c r="F15" s="67" t="n">
        <f aca="false">-F9*Inputs!$E$60/12*1*(1+Inputs!$E$67)*(1+Inputs!$E$68)^(F$5-1)</f>
        <v>-3808</v>
      </c>
      <c r="G15" s="67" t="n">
        <f aca="false">-G9*Inputs!$E$60/12*1*(1+Inputs!$E$67)*(1+Inputs!$E$68)^(G$5-1)</f>
        <v>-3808</v>
      </c>
      <c r="H15" s="67" t="n">
        <f aca="false">-H9*Inputs!$E$60/12*1*(1+Inputs!$E$67)*(1+Inputs!$E$68)^(H$5-1)</f>
        <v>-3808</v>
      </c>
      <c r="I15" s="67" t="n">
        <f aca="false">-I9*Inputs!$E$60/12*1*(1+Inputs!$E$67)*(1+Inputs!$E$68)^(I$5-1)</f>
        <v>-3808</v>
      </c>
      <c r="J15" s="67" t="n">
        <f aca="false">-J9*Inputs!$E$60/12*1*(1+Inputs!$E$67)*(1+Inputs!$E$68)^(J$5-1)</f>
        <v>-3808</v>
      </c>
      <c r="K15" s="67" t="n">
        <f aca="false">-K9*Inputs!$E$60/12*1*(1+Inputs!$E$67)*(1+Inputs!$E$68)^(K$5-1)</f>
        <v>-3808</v>
      </c>
      <c r="L15" s="67" t="n">
        <f aca="false">-L9*Inputs!$E$60/12*1*(1+Inputs!$E$67)*(1+Inputs!$E$68)^(L$5-1)</f>
        <v>-3808</v>
      </c>
      <c r="M15" s="67" t="n">
        <f aca="false">-M9*Inputs!$E$60/12*1*(1+Inputs!$E$67)*(1+Inputs!$E$68)^(M$5-1)</f>
        <v>-3808</v>
      </c>
      <c r="N15" s="67" t="n">
        <f aca="false">-N9*Inputs!$E$60/12*1*(1+Inputs!$E$67)*(1+Inputs!$E$68)^(N$5-1)</f>
        <v>-3808</v>
      </c>
      <c r="O15" s="67" t="n">
        <f aca="false">-O9*Inputs!$E$60/12*1*(1+Inputs!$E$67)*(1+Inputs!$E$68)^(O$5-1)</f>
        <v>-3922.24</v>
      </c>
      <c r="P15" s="67" t="n">
        <f aca="false">-P9*Inputs!$E$60/12*1*(1+Inputs!$E$67)*(1+Inputs!$E$68)^(P$5-1)</f>
        <v>-3922.24</v>
      </c>
      <c r="Q15" s="67" t="n">
        <f aca="false">-Q9*Inputs!$E$60/12*1*(1+Inputs!$E$67)*(1+Inputs!$E$68)^(Q$5-1)</f>
        <v>-3922.24</v>
      </c>
      <c r="R15" s="67" t="n">
        <f aca="false">-R9*Inputs!$E$60/12*1*(1+Inputs!$E$67)*(1+Inputs!$E$68)^(R$5-1)</f>
        <v>-3922.24</v>
      </c>
      <c r="S15" s="67" t="n">
        <f aca="false">-S9*Inputs!$E$60/12*1*(1+Inputs!$E$67)*(1+Inputs!$E$68)^(S$5-1)</f>
        <v>-3922.24</v>
      </c>
      <c r="T15" s="67" t="n">
        <f aca="false">-T9*Inputs!$E$60/12*1*(1+Inputs!$E$67)*(1+Inputs!$E$68)^(T$5-1)</f>
        <v>-3922.24</v>
      </c>
      <c r="U15" s="67" t="n">
        <f aca="false">-U9*Inputs!$E$60/12*1*(1+Inputs!$E$67)*(1+Inputs!$E$68)^(U$5-1)</f>
        <v>-3922.24</v>
      </c>
      <c r="V15" s="67" t="n">
        <f aca="false">-V9*Inputs!$E$60/12*1*(1+Inputs!$E$67)*(1+Inputs!$E$68)^(V$5-1)</f>
        <v>-3922.24</v>
      </c>
      <c r="W15" s="67" t="n">
        <f aca="false">-W9*Inputs!$E$60/12*1*(1+Inputs!$E$67)*(1+Inputs!$E$68)^(W$5-1)</f>
        <v>-3922.24</v>
      </c>
      <c r="X15" s="67" t="n">
        <f aca="false">-X9*Inputs!$E$60/12*1*(1+Inputs!$E$67)*(1+Inputs!$E$68)^(X$5-1)</f>
        <v>-3922.24</v>
      </c>
      <c r="Y15" s="67" t="n">
        <f aca="false">-Y9*Inputs!$E$60/12*1*(1+Inputs!$E$67)*(1+Inputs!$E$68)^(Y$5-1)</f>
        <v>-3922.24</v>
      </c>
      <c r="Z15" s="67" t="n">
        <f aca="false">-Z9*Inputs!$E$60/12*1*(1+Inputs!$E$67)*(1+Inputs!$E$68)^(Z$5-1)</f>
        <v>-3922.24</v>
      </c>
      <c r="AA15" s="67" t="n">
        <f aca="false">-AA9*Inputs!$E$60/12*1*(1+Inputs!$E$67)*(1+Inputs!$E$68)^(AA$5-1)</f>
        <v>-4039.9072</v>
      </c>
      <c r="AB15" s="67" t="n">
        <f aca="false">-AB9*Inputs!$E$60/12*1*(1+Inputs!$E$67)*(1+Inputs!$E$68)^(AB$5-1)</f>
        <v>-4039.9072</v>
      </c>
      <c r="AC15" s="67" t="n">
        <f aca="false">-AC9*Inputs!$E$60/12*1*(1+Inputs!$E$67)*(1+Inputs!$E$68)^(AC$5-1)</f>
        <v>-4039.9072</v>
      </c>
      <c r="AD15" s="67" t="n">
        <f aca="false">-AD9*Inputs!$E$60/12*1*(1+Inputs!$E$67)*(1+Inputs!$E$68)^(AD$5-1)</f>
        <v>-4039.9072</v>
      </c>
      <c r="AE15" s="67" t="n">
        <f aca="false">-AE9*Inputs!$E$60/12*1*(1+Inputs!$E$67)*(1+Inputs!$E$68)^(AE$5-1)</f>
        <v>-4039.9072</v>
      </c>
      <c r="AF15" s="67" t="n">
        <f aca="false">-AF9*Inputs!$E$60/12*1*(1+Inputs!$E$67)*(1+Inputs!$E$68)^(AF$5-1)</f>
        <v>-4039.9072</v>
      </c>
      <c r="AG15" s="67" t="n">
        <f aca="false">-AG9*Inputs!$E$60/12*1*(1+Inputs!$E$67)*(1+Inputs!$E$68)^(AG$5-1)</f>
        <v>-4039.9072</v>
      </c>
      <c r="AH15" s="67" t="n">
        <f aca="false">-AH9*Inputs!$E$60/12*1*(1+Inputs!$E$67)*(1+Inputs!$E$68)^(AH$5-1)</f>
        <v>-4039.9072</v>
      </c>
      <c r="AI15" s="67" t="n">
        <f aca="false">-AI9*Inputs!$E$60/12*1*(1+Inputs!$E$67)*(1+Inputs!$E$68)^(AI$5-1)</f>
        <v>-4039.9072</v>
      </c>
      <c r="AJ15" s="67" t="n">
        <f aca="false">-AJ9*Inputs!$E$60/12*1*(1+Inputs!$E$67)*(1+Inputs!$E$68)^(AJ$5-1)</f>
        <v>-4039.9072</v>
      </c>
      <c r="AK15" s="67" t="n">
        <f aca="false">-AK9*Inputs!$E$60/12*1*(1+Inputs!$E$67)*(1+Inputs!$E$68)^(AK$5-1)</f>
        <v>-4039.9072</v>
      </c>
      <c r="AL15" s="67" t="n">
        <f aca="false">-AL9*Inputs!$E$60/12*1*(1+Inputs!$E$67)*(1+Inputs!$E$68)^(AL$5-1)</f>
        <v>-4039.9072</v>
      </c>
      <c r="AM15" s="67" t="n">
        <f aca="false">-AM9*Inputs!$E$60/12*1*(1+Inputs!$E$67)*(1+Inputs!$E$68)^(AM$5-1)</f>
        <v>-4161.104416</v>
      </c>
      <c r="AN15" s="67" t="n">
        <f aca="false">-AN9*Inputs!$E$60/12*1*(1+Inputs!$E$67)*(1+Inputs!$E$68)^(AN$5-1)</f>
        <v>-4161.104416</v>
      </c>
      <c r="AO15" s="67" t="n">
        <f aca="false">-AO9*Inputs!$E$60/12*1*(1+Inputs!$E$67)*(1+Inputs!$E$68)^(AO$5-1)</f>
        <v>-4161.104416</v>
      </c>
      <c r="AP15" s="67" t="n">
        <f aca="false">-AP9*Inputs!$E$60/12*1*(1+Inputs!$E$67)*(1+Inputs!$E$68)^(AP$5-1)</f>
        <v>-4161.104416</v>
      </c>
      <c r="AQ15" s="67" t="n">
        <f aca="false">-AQ9*Inputs!$E$60/12*1*(1+Inputs!$E$67)*(1+Inputs!$E$68)^(AQ$5-1)</f>
        <v>-4161.104416</v>
      </c>
      <c r="AR15" s="67" t="n">
        <f aca="false">-AR9*Inputs!$E$60/12*1*(1+Inputs!$E$67)*(1+Inputs!$E$68)^(AR$5-1)</f>
        <v>-4161.104416</v>
      </c>
      <c r="AS15" s="67" t="n">
        <f aca="false">-AS9*Inputs!$E$60/12*1*(1+Inputs!$E$67)*(1+Inputs!$E$68)^(AS$5-1)</f>
        <v>-4161.104416</v>
      </c>
      <c r="AT15" s="67" t="n">
        <f aca="false">-AT9*Inputs!$E$60/12*1*(1+Inputs!$E$67)*(1+Inputs!$E$68)^(AT$5-1)</f>
        <v>-4161.104416</v>
      </c>
      <c r="AU15" s="67" t="n">
        <f aca="false">-AU9*Inputs!$E$60/12*1*(1+Inputs!$E$67)*(1+Inputs!$E$68)^(AU$5-1)</f>
        <v>-4161.104416</v>
      </c>
      <c r="AV15" s="67" t="n">
        <f aca="false">-AV9*Inputs!$E$60/12*1*(1+Inputs!$E$67)*(1+Inputs!$E$68)^(AV$5-1)</f>
        <v>-4161.104416</v>
      </c>
      <c r="AW15" s="67" t="n">
        <f aca="false">-AW9*Inputs!$E$60/12*1*(1+Inputs!$E$67)*(1+Inputs!$E$68)^(AW$5-1)</f>
        <v>-4161.104416</v>
      </c>
      <c r="AX15" s="67" t="n">
        <f aca="false">-AX9*Inputs!$E$60/12*1*(1+Inputs!$E$67)*(1+Inputs!$E$68)^(AX$5-1)</f>
        <v>-4161.104416</v>
      </c>
      <c r="AY15" s="67" t="n">
        <f aca="false">-AY9*Inputs!$E$60/12*1*(1+Inputs!$E$67)*(1+Inputs!$E$68)^(AY$5-1)</f>
        <v>-4285.93754848</v>
      </c>
      <c r="AZ15" s="67" t="n">
        <f aca="false">-AZ9*Inputs!$E$60/12*1*(1+Inputs!$E$67)*(1+Inputs!$E$68)^(AZ$5-1)</f>
        <v>-4285.93754848</v>
      </c>
      <c r="BA15" s="67" t="n">
        <f aca="false">-BA9*Inputs!$E$60/12*1*(1+Inputs!$E$67)*(1+Inputs!$E$68)^(BA$5-1)</f>
        <v>-4285.93754848</v>
      </c>
      <c r="BB15" s="67" t="n">
        <f aca="false">-BB9*Inputs!$E$60/12*1*(1+Inputs!$E$67)*(1+Inputs!$E$68)^(BB$5-1)</f>
        <v>-4285.93754848</v>
      </c>
      <c r="BC15" s="67" t="n">
        <f aca="false">-BC9*Inputs!$E$60/12*1*(1+Inputs!$E$67)*(1+Inputs!$E$68)^(BC$5-1)</f>
        <v>-4285.93754848</v>
      </c>
      <c r="BD15" s="67" t="n">
        <f aca="false">-BD9*Inputs!$E$60/12*1*(1+Inputs!$E$67)*(1+Inputs!$E$68)^(BD$5-1)</f>
        <v>-4285.93754848</v>
      </c>
      <c r="BE15" s="67" t="n">
        <f aca="false">-BE9*Inputs!$E$60/12*1*(1+Inputs!$E$67)*(1+Inputs!$E$68)^(BE$5-1)</f>
        <v>-4285.93754848</v>
      </c>
      <c r="BF15" s="67" t="n">
        <f aca="false">-BF9*Inputs!$E$60/12*1*(1+Inputs!$E$67)*(1+Inputs!$E$68)^(BF$5-1)</f>
        <v>-4285.93754848</v>
      </c>
      <c r="BG15" s="67" t="n">
        <f aca="false">-BG9*Inputs!$E$60/12*1*(1+Inputs!$E$67)*(1+Inputs!$E$68)^(BG$5-1)</f>
        <v>-4285.93754848</v>
      </c>
      <c r="BH15" s="67" t="n">
        <f aca="false">-BH9*Inputs!$E$60/12*1*(1+Inputs!$E$67)*(1+Inputs!$E$68)^(BH$5-1)</f>
        <v>-4285.93754848</v>
      </c>
      <c r="BI15" s="67" t="n">
        <f aca="false">-BI9*Inputs!$E$60/12*1*(1+Inputs!$E$67)*(1+Inputs!$E$68)^(BI$5-1)</f>
        <v>-4285.93754848</v>
      </c>
      <c r="BJ15" s="67" t="n">
        <f aca="false">-BJ9*Inputs!$E$60/12*1*(1+Inputs!$E$67)*(1+Inputs!$E$68)^(BJ$5-1)</f>
        <v>-4285.93754848</v>
      </c>
    </row>
    <row r="16" customFormat="false" ht="15" hidden="false" customHeight="false" outlineLevel="0" collapsed="false">
      <c r="A16" s="6" t="s">
        <v>464</v>
      </c>
      <c r="C16" s="67" t="n">
        <f aca="false">-C10*Inputs!$E$64/12*1*(1+Inputs!$E$67)*(1+Inputs!$E$68)^(C$5-1)</f>
        <v>-2706.66666666667</v>
      </c>
      <c r="D16" s="67" t="n">
        <f aca="false">-D10*Inputs!$E$64/12*1*(1+Inputs!$E$67)*(1+Inputs!$E$68)^(D$5-1)</f>
        <v>-2706.66666666667</v>
      </c>
      <c r="E16" s="67" t="n">
        <f aca="false">-E10*Inputs!$E$64/12*1*(1+Inputs!$E$67)*(1+Inputs!$E$68)^(E$5-1)</f>
        <v>-2706.66666666667</v>
      </c>
      <c r="F16" s="67" t="n">
        <f aca="false">-F10*Inputs!$E$64/12*1*(1+Inputs!$E$67)*(1+Inputs!$E$68)^(F$5-1)</f>
        <v>-2706.66666666667</v>
      </c>
      <c r="G16" s="67" t="n">
        <f aca="false">-G10*Inputs!$E$64/12*1*(1+Inputs!$E$67)*(1+Inputs!$E$68)^(G$5-1)</f>
        <v>-2706.66666666667</v>
      </c>
      <c r="H16" s="67" t="n">
        <f aca="false">-H10*Inputs!$E$64/12*1*(1+Inputs!$E$67)*(1+Inputs!$E$68)^(H$5-1)</f>
        <v>-2706.66666666667</v>
      </c>
      <c r="I16" s="67" t="n">
        <f aca="false">-I10*Inputs!$E$64/12*1*(1+Inputs!$E$67)*(1+Inputs!$E$68)^(I$5-1)</f>
        <v>-2706.66666666667</v>
      </c>
      <c r="J16" s="67" t="n">
        <f aca="false">-J10*Inputs!$E$64/12*1*(1+Inputs!$E$67)*(1+Inputs!$E$68)^(J$5-1)</f>
        <v>-2706.66666666667</v>
      </c>
      <c r="K16" s="67" t="n">
        <f aca="false">-K10*Inputs!$E$64/12*1*(1+Inputs!$E$67)*(1+Inputs!$E$68)^(K$5-1)</f>
        <v>-2706.66666666667</v>
      </c>
      <c r="L16" s="67" t="n">
        <f aca="false">-L10*Inputs!$E$64/12*1*(1+Inputs!$E$67)*(1+Inputs!$E$68)^(L$5-1)</f>
        <v>-2706.66666666667</v>
      </c>
      <c r="M16" s="67" t="n">
        <f aca="false">-M10*Inputs!$E$64/12*1*(1+Inputs!$E$67)*(1+Inputs!$E$68)^(M$5-1)</f>
        <v>-2706.66666666667</v>
      </c>
      <c r="N16" s="67" t="n">
        <f aca="false">-N10*Inputs!$E$64/12*1*(1+Inputs!$E$67)*(1+Inputs!$E$68)^(N$5-1)</f>
        <v>-2706.66666666667</v>
      </c>
      <c r="O16" s="67" t="n">
        <f aca="false">-O10*Inputs!$E$64/12*1*(1+Inputs!$E$67)*(1+Inputs!$E$68)^(O$5-1)</f>
        <v>-2787.86666666667</v>
      </c>
      <c r="P16" s="67" t="n">
        <f aca="false">-P10*Inputs!$E$64/12*1*(1+Inputs!$E$67)*(1+Inputs!$E$68)^(P$5-1)</f>
        <v>-2787.86666666667</v>
      </c>
      <c r="Q16" s="67" t="n">
        <f aca="false">-Q10*Inputs!$E$64/12*1*(1+Inputs!$E$67)*(1+Inputs!$E$68)^(Q$5-1)</f>
        <v>-2787.86666666667</v>
      </c>
      <c r="R16" s="67" t="n">
        <f aca="false">-R10*Inputs!$E$64/12*1*(1+Inputs!$E$67)*(1+Inputs!$E$68)^(R$5-1)</f>
        <v>-2787.86666666667</v>
      </c>
      <c r="S16" s="67" t="n">
        <f aca="false">-S10*Inputs!$E$64/12*1*(1+Inputs!$E$67)*(1+Inputs!$E$68)^(S$5-1)</f>
        <v>-2787.86666666667</v>
      </c>
      <c r="T16" s="67" t="n">
        <f aca="false">-T10*Inputs!$E$64/12*1*(1+Inputs!$E$67)*(1+Inputs!$E$68)^(T$5-1)</f>
        <v>-2787.86666666667</v>
      </c>
      <c r="U16" s="67" t="n">
        <f aca="false">-U10*Inputs!$E$64/12*1*(1+Inputs!$E$67)*(1+Inputs!$E$68)^(U$5-1)</f>
        <v>-2787.86666666667</v>
      </c>
      <c r="V16" s="67" t="n">
        <f aca="false">-V10*Inputs!$E$64/12*1*(1+Inputs!$E$67)*(1+Inputs!$E$68)^(V$5-1)</f>
        <v>-2787.86666666667</v>
      </c>
      <c r="W16" s="67" t="n">
        <f aca="false">-W10*Inputs!$E$64/12*1*(1+Inputs!$E$67)*(1+Inputs!$E$68)^(W$5-1)</f>
        <v>-2787.86666666667</v>
      </c>
      <c r="X16" s="67" t="n">
        <f aca="false">-X10*Inputs!$E$64/12*1*(1+Inputs!$E$67)*(1+Inputs!$E$68)^(X$5-1)</f>
        <v>-2787.86666666667</v>
      </c>
      <c r="Y16" s="67" t="n">
        <f aca="false">-Y10*Inputs!$E$64/12*1*(1+Inputs!$E$67)*(1+Inputs!$E$68)^(Y$5-1)</f>
        <v>-2787.86666666667</v>
      </c>
      <c r="Z16" s="67" t="n">
        <f aca="false">-Z10*Inputs!$E$64/12*1*(1+Inputs!$E$67)*(1+Inputs!$E$68)^(Z$5-1)</f>
        <v>-2787.86666666667</v>
      </c>
      <c r="AA16" s="67" t="n">
        <f aca="false">-AA10*Inputs!$E$64/12*1*(1+Inputs!$E$67)*(1+Inputs!$E$68)^(AA$5-1)</f>
        <v>-2871.50266666667</v>
      </c>
      <c r="AB16" s="67" t="n">
        <f aca="false">-AB10*Inputs!$E$64/12*1*(1+Inputs!$E$67)*(1+Inputs!$E$68)^(AB$5-1)</f>
        <v>-2871.50266666667</v>
      </c>
      <c r="AC16" s="67" t="n">
        <f aca="false">-AC10*Inputs!$E$64/12*1*(1+Inputs!$E$67)*(1+Inputs!$E$68)^(AC$5-1)</f>
        <v>-2871.50266666667</v>
      </c>
      <c r="AD16" s="67" t="n">
        <f aca="false">-AD10*Inputs!$E$64/12*1*(1+Inputs!$E$67)*(1+Inputs!$E$68)^(AD$5-1)</f>
        <v>-2871.50266666667</v>
      </c>
      <c r="AE16" s="67" t="n">
        <f aca="false">-AE10*Inputs!$E$64/12*1*(1+Inputs!$E$67)*(1+Inputs!$E$68)^(AE$5-1)</f>
        <v>-2871.50266666667</v>
      </c>
      <c r="AF16" s="67" t="n">
        <f aca="false">-AF10*Inputs!$E$64/12*1*(1+Inputs!$E$67)*(1+Inputs!$E$68)^(AF$5-1)</f>
        <v>-2871.50266666667</v>
      </c>
      <c r="AG16" s="67" t="n">
        <f aca="false">-AG10*Inputs!$E$64/12*1*(1+Inputs!$E$67)*(1+Inputs!$E$68)^(AG$5-1)</f>
        <v>-2871.50266666667</v>
      </c>
      <c r="AH16" s="67" t="n">
        <f aca="false">-AH10*Inputs!$E$64/12*1*(1+Inputs!$E$67)*(1+Inputs!$E$68)^(AH$5-1)</f>
        <v>-2871.50266666667</v>
      </c>
      <c r="AI16" s="67" t="n">
        <f aca="false">-AI10*Inputs!$E$64/12*1*(1+Inputs!$E$67)*(1+Inputs!$E$68)^(AI$5-1)</f>
        <v>-2871.50266666667</v>
      </c>
      <c r="AJ16" s="67" t="n">
        <f aca="false">-AJ10*Inputs!$E$64/12*1*(1+Inputs!$E$67)*(1+Inputs!$E$68)^(AJ$5-1)</f>
        <v>-2871.50266666667</v>
      </c>
      <c r="AK16" s="67" t="n">
        <f aca="false">-AK10*Inputs!$E$64/12*1*(1+Inputs!$E$67)*(1+Inputs!$E$68)^(AK$5-1)</f>
        <v>-2871.50266666667</v>
      </c>
      <c r="AL16" s="67" t="n">
        <f aca="false">-AL10*Inputs!$E$64/12*1*(1+Inputs!$E$67)*(1+Inputs!$E$68)^(AL$5-1)</f>
        <v>-2871.50266666667</v>
      </c>
      <c r="AM16" s="67" t="n">
        <f aca="false">-AM10*Inputs!$E$64/12*1*(1+Inputs!$E$67)*(1+Inputs!$E$68)^(AM$5-1)</f>
        <v>-2957.64774666667</v>
      </c>
      <c r="AN16" s="67" t="n">
        <f aca="false">-AN10*Inputs!$E$64/12*1*(1+Inputs!$E$67)*(1+Inputs!$E$68)^(AN$5-1)</f>
        <v>-2957.64774666667</v>
      </c>
      <c r="AO16" s="67" t="n">
        <f aca="false">-AO10*Inputs!$E$64/12*1*(1+Inputs!$E$67)*(1+Inputs!$E$68)^(AO$5-1)</f>
        <v>-2957.64774666667</v>
      </c>
      <c r="AP16" s="67" t="n">
        <f aca="false">-AP10*Inputs!$E$64/12*1*(1+Inputs!$E$67)*(1+Inputs!$E$68)^(AP$5-1)</f>
        <v>-2957.64774666667</v>
      </c>
      <c r="AQ16" s="67" t="n">
        <f aca="false">-AQ10*Inputs!$E$64/12*1*(1+Inputs!$E$67)*(1+Inputs!$E$68)^(AQ$5-1)</f>
        <v>-2957.64774666667</v>
      </c>
      <c r="AR16" s="67" t="n">
        <f aca="false">-AR10*Inputs!$E$64/12*1*(1+Inputs!$E$67)*(1+Inputs!$E$68)^(AR$5-1)</f>
        <v>-2957.64774666667</v>
      </c>
      <c r="AS16" s="67" t="n">
        <f aca="false">-AS10*Inputs!$E$64/12*1*(1+Inputs!$E$67)*(1+Inputs!$E$68)^(AS$5-1)</f>
        <v>-2957.64774666667</v>
      </c>
      <c r="AT16" s="67" t="n">
        <f aca="false">-AT10*Inputs!$E$64/12*1*(1+Inputs!$E$67)*(1+Inputs!$E$68)^(AT$5-1)</f>
        <v>-2957.64774666667</v>
      </c>
      <c r="AU16" s="67" t="n">
        <f aca="false">-AU10*Inputs!$E$64/12*1*(1+Inputs!$E$67)*(1+Inputs!$E$68)^(AU$5-1)</f>
        <v>-2957.64774666667</v>
      </c>
      <c r="AV16" s="67" t="n">
        <f aca="false">-AV10*Inputs!$E$64/12*1*(1+Inputs!$E$67)*(1+Inputs!$E$68)^(AV$5-1)</f>
        <v>-2957.64774666667</v>
      </c>
      <c r="AW16" s="67" t="n">
        <f aca="false">-AW10*Inputs!$E$64/12*1*(1+Inputs!$E$67)*(1+Inputs!$E$68)^(AW$5-1)</f>
        <v>-2957.64774666667</v>
      </c>
      <c r="AX16" s="67" t="n">
        <f aca="false">-AX10*Inputs!$E$64/12*1*(1+Inputs!$E$67)*(1+Inputs!$E$68)^(AX$5-1)</f>
        <v>-2957.64774666667</v>
      </c>
      <c r="AY16" s="67" t="n">
        <f aca="false">-AY10*Inputs!$E$64/12*1*(1+Inputs!$E$67)*(1+Inputs!$E$68)^(AY$5-1)</f>
        <v>-3046.37717906667</v>
      </c>
      <c r="AZ16" s="67" t="n">
        <f aca="false">-AZ10*Inputs!$E$64/12*1*(1+Inputs!$E$67)*(1+Inputs!$E$68)^(AZ$5-1)</f>
        <v>-3046.37717906667</v>
      </c>
      <c r="BA16" s="67" t="n">
        <f aca="false">-BA10*Inputs!$E$64/12*1*(1+Inputs!$E$67)*(1+Inputs!$E$68)^(BA$5-1)</f>
        <v>-3046.37717906667</v>
      </c>
      <c r="BB16" s="67" t="n">
        <f aca="false">-BB10*Inputs!$E$64/12*1*(1+Inputs!$E$67)*(1+Inputs!$E$68)^(BB$5-1)</f>
        <v>-3046.37717906667</v>
      </c>
      <c r="BC16" s="67" t="n">
        <f aca="false">-BC10*Inputs!$E$64/12*1*(1+Inputs!$E$67)*(1+Inputs!$E$68)^(BC$5-1)</f>
        <v>-3046.37717906667</v>
      </c>
      <c r="BD16" s="67" t="n">
        <f aca="false">-BD10*Inputs!$E$64/12*1*(1+Inputs!$E$67)*(1+Inputs!$E$68)^(BD$5-1)</f>
        <v>-3046.37717906667</v>
      </c>
      <c r="BE16" s="67" t="n">
        <f aca="false">-BE10*Inputs!$E$64/12*1*(1+Inputs!$E$67)*(1+Inputs!$E$68)^(BE$5-1)</f>
        <v>-3046.37717906667</v>
      </c>
      <c r="BF16" s="67" t="n">
        <f aca="false">-BF10*Inputs!$E$64/12*1*(1+Inputs!$E$67)*(1+Inputs!$E$68)^(BF$5-1)</f>
        <v>-3046.37717906667</v>
      </c>
      <c r="BG16" s="67" t="n">
        <f aca="false">-BG10*Inputs!$E$64/12*1*(1+Inputs!$E$67)*(1+Inputs!$E$68)^(BG$5-1)</f>
        <v>-3046.37717906667</v>
      </c>
      <c r="BH16" s="67" t="n">
        <f aca="false">-BH10*Inputs!$E$64/12*1*(1+Inputs!$E$67)*(1+Inputs!$E$68)^(BH$5-1)</f>
        <v>-3046.37717906667</v>
      </c>
      <c r="BI16" s="67" t="n">
        <f aca="false">-BI10*Inputs!$E$64/12*1*(1+Inputs!$E$67)*(1+Inputs!$E$68)^(BI$5-1)</f>
        <v>-3046.37717906667</v>
      </c>
      <c r="BJ16" s="67" t="n">
        <f aca="false">-BJ10*Inputs!$E$64/12*1*(1+Inputs!$E$67)*(1+Inputs!$E$68)^(BJ$5-1)</f>
        <v>-3046.37717906667</v>
      </c>
    </row>
    <row r="17" customFormat="false" ht="15" hidden="false" customHeight="false" outlineLevel="0" collapsed="false">
      <c r="A17" s="113" t="s">
        <v>465</v>
      </c>
      <c r="C17" s="68" t="n">
        <f aca="false">C14+C15+C16</f>
        <v>-9874.66666666667</v>
      </c>
      <c r="D17" s="68" t="n">
        <f aca="false">D14+D15+D16</f>
        <v>-9874.66666666667</v>
      </c>
      <c r="E17" s="68" t="n">
        <f aca="false">E14+E15+E16</f>
        <v>-9874.66666666667</v>
      </c>
      <c r="F17" s="68" t="n">
        <f aca="false">F14+F15+F16</f>
        <v>-9874.66666666667</v>
      </c>
      <c r="G17" s="68" t="n">
        <f aca="false">G14+G15+G16</f>
        <v>-9874.66666666667</v>
      </c>
      <c r="H17" s="68" t="n">
        <f aca="false">H14+H15+H16</f>
        <v>-9874.66666666667</v>
      </c>
      <c r="I17" s="68" t="n">
        <f aca="false">I14+I15+I16</f>
        <v>-9874.66666666667</v>
      </c>
      <c r="J17" s="68" t="n">
        <f aca="false">J14+J15+J16</f>
        <v>-9874.66666666667</v>
      </c>
      <c r="K17" s="68" t="n">
        <f aca="false">K14+K15+K16</f>
        <v>-9874.66666666667</v>
      </c>
      <c r="L17" s="68" t="n">
        <f aca="false">L14+L15+L16</f>
        <v>-9874.66666666667</v>
      </c>
      <c r="M17" s="68" t="n">
        <f aca="false">M14+M15+M16</f>
        <v>-9874.66666666667</v>
      </c>
      <c r="N17" s="68" t="n">
        <f aca="false">N14+N15+N16</f>
        <v>-9874.66666666667</v>
      </c>
      <c r="O17" s="68" t="n">
        <f aca="false">O14+O15+O16</f>
        <v>-10170.9066666667</v>
      </c>
      <c r="P17" s="68" t="n">
        <f aca="false">P14+P15+P16</f>
        <v>-10170.9066666667</v>
      </c>
      <c r="Q17" s="68" t="n">
        <f aca="false">Q14+Q15+Q16</f>
        <v>-10170.9066666667</v>
      </c>
      <c r="R17" s="68" t="n">
        <f aca="false">R14+R15+R16</f>
        <v>-10170.9066666667</v>
      </c>
      <c r="S17" s="68" t="n">
        <f aca="false">S14+S15+S16</f>
        <v>-10170.9066666667</v>
      </c>
      <c r="T17" s="68" t="n">
        <f aca="false">T14+T15+T16</f>
        <v>-10170.9066666667</v>
      </c>
      <c r="U17" s="68" t="n">
        <f aca="false">U14+U15+U16</f>
        <v>-10170.9066666667</v>
      </c>
      <c r="V17" s="68" t="n">
        <f aca="false">V14+V15+V16</f>
        <v>-10170.9066666667</v>
      </c>
      <c r="W17" s="68" t="n">
        <f aca="false">W14+W15+W16</f>
        <v>-10170.9066666667</v>
      </c>
      <c r="X17" s="68" t="n">
        <f aca="false">X14+X15+X16</f>
        <v>-10170.9066666667</v>
      </c>
      <c r="Y17" s="68" t="n">
        <f aca="false">Y14+Y15+Y16</f>
        <v>-10170.9066666667</v>
      </c>
      <c r="Z17" s="68" t="n">
        <f aca="false">Z14+Z15+Z16</f>
        <v>-10170.9066666667</v>
      </c>
      <c r="AA17" s="68" t="n">
        <f aca="false">AA14+AA15+AA16</f>
        <v>-10476.0338666667</v>
      </c>
      <c r="AB17" s="68" t="n">
        <f aca="false">AB14+AB15+AB16</f>
        <v>-10476.0338666667</v>
      </c>
      <c r="AC17" s="68" t="n">
        <f aca="false">AC14+AC15+AC16</f>
        <v>-10476.0338666667</v>
      </c>
      <c r="AD17" s="68" t="n">
        <f aca="false">AD14+AD15+AD16</f>
        <v>-10476.0338666667</v>
      </c>
      <c r="AE17" s="68" t="n">
        <f aca="false">AE14+AE15+AE16</f>
        <v>-10476.0338666667</v>
      </c>
      <c r="AF17" s="68" t="n">
        <f aca="false">AF14+AF15+AF16</f>
        <v>-10476.0338666667</v>
      </c>
      <c r="AG17" s="68" t="n">
        <f aca="false">AG14+AG15+AG16</f>
        <v>-10476.0338666667</v>
      </c>
      <c r="AH17" s="68" t="n">
        <f aca="false">AH14+AH15+AH16</f>
        <v>-10476.0338666667</v>
      </c>
      <c r="AI17" s="68" t="n">
        <f aca="false">AI14+AI15+AI16</f>
        <v>-10476.0338666667</v>
      </c>
      <c r="AJ17" s="68" t="n">
        <f aca="false">AJ14+AJ15+AJ16</f>
        <v>-10476.0338666667</v>
      </c>
      <c r="AK17" s="68" t="n">
        <f aca="false">AK14+AK15+AK16</f>
        <v>-10476.0338666667</v>
      </c>
      <c r="AL17" s="68" t="n">
        <f aca="false">AL14+AL15+AL16</f>
        <v>-10476.0338666667</v>
      </c>
      <c r="AM17" s="68" t="n">
        <f aca="false">AM14+AM15+AM16</f>
        <v>-10790.3148826667</v>
      </c>
      <c r="AN17" s="68" t="n">
        <f aca="false">AN14+AN15+AN16</f>
        <v>-10790.3148826667</v>
      </c>
      <c r="AO17" s="68" t="n">
        <f aca="false">AO14+AO15+AO16</f>
        <v>-10790.3148826667</v>
      </c>
      <c r="AP17" s="68" t="n">
        <f aca="false">AP14+AP15+AP16</f>
        <v>-10790.3148826667</v>
      </c>
      <c r="AQ17" s="68" t="n">
        <f aca="false">AQ14+AQ15+AQ16</f>
        <v>-10790.3148826667</v>
      </c>
      <c r="AR17" s="68" t="n">
        <f aca="false">AR14+AR15+AR16</f>
        <v>-10790.3148826667</v>
      </c>
      <c r="AS17" s="68" t="n">
        <f aca="false">AS14+AS15+AS16</f>
        <v>-10790.3148826667</v>
      </c>
      <c r="AT17" s="68" t="n">
        <f aca="false">AT14+AT15+AT16</f>
        <v>-10790.3148826667</v>
      </c>
      <c r="AU17" s="68" t="n">
        <f aca="false">AU14+AU15+AU16</f>
        <v>-10790.3148826667</v>
      </c>
      <c r="AV17" s="68" t="n">
        <f aca="false">AV14+AV15+AV16</f>
        <v>-10790.3148826667</v>
      </c>
      <c r="AW17" s="68" t="n">
        <f aca="false">AW14+AW15+AW16</f>
        <v>-10790.3148826667</v>
      </c>
      <c r="AX17" s="68" t="n">
        <f aca="false">AX14+AX15+AX16</f>
        <v>-10790.3148826667</v>
      </c>
      <c r="AY17" s="68" t="n">
        <f aca="false">AY14+AY15+AY16</f>
        <v>-11114.0243291467</v>
      </c>
      <c r="AZ17" s="68" t="n">
        <f aca="false">AZ14+AZ15+AZ16</f>
        <v>-11114.0243291467</v>
      </c>
      <c r="BA17" s="68" t="n">
        <f aca="false">BA14+BA15+BA16</f>
        <v>-11114.0243291467</v>
      </c>
      <c r="BB17" s="68" t="n">
        <f aca="false">BB14+BB15+BB16</f>
        <v>-11114.0243291467</v>
      </c>
      <c r="BC17" s="68" t="n">
        <f aca="false">BC14+BC15+BC16</f>
        <v>-11114.0243291467</v>
      </c>
      <c r="BD17" s="68" t="n">
        <f aca="false">BD14+BD15+BD16</f>
        <v>-11114.0243291467</v>
      </c>
      <c r="BE17" s="68" t="n">
        <f aca="false">BE14+BE15+BE16</f>
        <v>-11114.0243291467</v>
      </c>
      <c r="BF17" s="68" t="n">
        <f aca="false">BF14+BF15+BF16</f>
        <v>-11114.0243291467</v>
      </c>
      <c r="BG17" s="68" t="n">
        <f aca="false">BG14+BG15+BG16</f>
        <v>-11114.0243291467</v>
      </c>
      <c r="BH17" s="68" t="n">
        <f aca="false">BH14+BH15+BH16</f>
        <v>-11114.0243291467</v>
      </c>
      <c r="BI17" s="68" t="n">
        <f aca="false">BI14+BI15+BI16</f>
        <v>-11114.0243291467</v>
      </c>
      <c r="BJ17" s="68" t="n">
        <f aca="false">BJ14+BJ15+BJ16</f>
        <v>-11114.0243291467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BJ36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62" min="3" style="0" width="11"/>
  </cols>
  <sheetData>
    <row r="1" customFormat="false" ht="21.75" hidden="false" customHeight="true" outlineLevel="0" collapsed="false">
      <c r="A1" s="16" t="s">
        <v>466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467</v>
      </c>
    </row>
    <row r="4" customFormat="false" ht="15.75" hidden="false" customHeight="true" outlineLevel="0" collapsed="false">
      <c r="A4" s="7" t="s">
        <v>468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customFormat="false" ht="15" hidden="false" customHeight="false" outlineLevel="0" collapsed="false">
      <c r="A5" s="33" t="s">
        <v>349</v>
      </c>
      <c r="C5" s="52" t="s">
        <v>350</v>
      </c>
      <c r="D5" s="52" t="s">
        <v>351</v>
      </c>
      <c r="E5" s="52" t="s">
        <v>352</v>
      </c>
      <c r="F5" s="52" t="s">
        <v>353</v>
      </c>
      <c r="G5" s="52" t="s">
        <v>354</v>
      </c>
      <c r="H5" s="52" t="s">
        <v>355</v>
      </c>
      <c r="I5" s="52" t="s">
        <v>356</v>
      </c>
      <c r="J5" s="52" t="s">
        <v>357</v>
      </c>
      <c r="K5" s="52" t="s">
        <v>358</v>
      </c>
      <c r="L5" s="52" t="s">
        <v>359</v>
      </c>
      <c r="M5" s="52" t="s">
        <v>360</v>
      </c>
      <c r="N5" s="52" t="s">
        <v>361</v>
      </c>
      <c r="O5" s="52" t="s">
        <v>362</v>
      </c>
      <c r="P5" s="52" t="s">
        <v>363</v>
      </c>
      <c r="Q5" s="52" t="s">
        <v>364</v>
      </c>
      <c r="R5" s="52" t="s">
        <v>365</v>
      </c>
      <c r="S5" s="52" t="s">
        <v>366</v>
      </c>
      <c r="T5" s="52" t="s">
        <v>367</v>
      </c>
      <c r="U5" s="52" t="s">
        <v>368</v>
      </c>
      <c r="V5" s="52" t="s">
        <v>369</v>
      </c>
      <c r="W5" s="52" t="s">
        <v>370</v>
      </c>
      <c r="X5" s="52" t="s">
        <v>371</v>
      </c>
      <c r="Y5" s="52" t="s">
        <v>372</v>
      </c>
      <c r="Z5" s="52" t="s">
        <v>373</v>
      </c>
      <c r="AA5" s="52" t="s">
        <v>374</v>
      </c>
      <c r="AB5" s="52" t="s">
        <v>375</v>
      </c>
      <c r="AC5" s="52" t="s">
        <v>376</v>
      </c>
      <c r="AD5" s="52" t="s">
        <v>377</v>
      </c>
      <c r="AE5" s="52" t="s">
        <v>378</v>
      </c>
      <c r="AF5" s="52" t="s">
        <v>379</v>
      </c>
      <c r="AG5" s="52" t="s">
        <v>380</v>
      </c>
      <c r="AH5" s="52" t="s">
        <v>381</v>
      </c>
      <c r="AI5" s="52" t="s">
        <v>382</v>
      </c>
      <c r="AJ5" s="52" t="s">
        <v>383</v>
      </c>
      <c r="AK5" s="52" t="s">
        <v>384</v>
      </c>
      <c r="AL5" s="52" t="s">
        <v>385</v>
      </c>
      <c r="AM5" s="52" t="s">
        <v>386</v>
      </c>
      <c r="AN5" s="52" t="s">
        <v>387</v>
      </c>
      <c r="AO5" s="52" t="s">
        <v>388</v>
      </c>
      <c r="AP5" s="52" t="s">
        <v>389</v>
      </c>
      <c r="AQ5" s="52" t="s">
        <v>390</v>
      </c>
      <c r="AR5" s="52" t="s">
        <v>391</v>
      </c>
      <c r="AS5" s="52" t="s">
        <v>392</v>
      </c>
      <c r="AT5" s="52" t="s">
        <v>393</v>
      </c>
      <c r="AU5" s="52" t="s">
        <v>394</v>
      </c>
      <c r="AV5" s="52" t="s">
        <v>395</v>
      </c>
      <c r="AW5" s="52" t="s">
        <v>396</v>
      </c>
      <c r="AX5" s="52" t="s">
        <v>397</v>
      </c>
      <c r="AY5" s="52" t="s">
        <v>398</v>
      </c>
      <c r="AZ5" s="52" t="s">
        <v>399</v>
      </c>
      <c r="BA5" s="52" t="s">
        <v>400</v>
      </c>
      <c r="BB5" s="52" t="s">
        <v>401</v>
      </c>
      <c r="BC5" s="52" t="s">
        <v>402</v>
      </c>
      <c r="BD5" s="52" t="s">
        <v>403</v>
      </c>
      <c r="BE5" s="52" t="s">
        <v>404</v>
      </c>
      <c r="BF5" s="52" t="s">
        <v>405</v>
      </c>
      <c r="BG5" s="52" t="s">
        <v>406</v>
      </c>
      <c r="BH5" s="52" t="s">
        <v>407</v>
      </c>
      <c r="BI5" s="52" t="s">
        <v>408</v>
      </c>
      <c r="BJ5" s="52" t="s">
        <v>409</v>
      </c>
    </row>
    <row r="6" customFormat="false" ht="15" hidden="false" customHeight="false" outlineLevel="0" collapsed="false">
      <c r="A6" s="72" t="s">
        <v>410</v>
      </c>
      <c r="C6" s="72" t="n">
        <v>1</v>
      </c>
      <c r="D6" s="72" t="n">
        <v>2</v>
      </c>
      <c r="E6" s="72" t="n">
        <v>3</v>
      </c>
      <c r="F6" s="72" t="n">
        <v>4</v>
      </c>
      <c r="G6" s="72" t="n">
        <v>5</v>
      </c>
      <c r="H6" s="72" t="n">
        <v>6</v>
      </c>
      <c r="I6" s="72" t="n">
        <v>7</v>
      </c>
      <c r="J6" s="72" t="n">
        <v>8</v>
      </c>
      <c r="K6" s="72" t="n">
        <v>9</v>
      </c>
      <c r="L6" s="72" t="n">
        <v>10</v>
      </c>
      <c r="M6" s="72" t="n">
        <v>11</v>
      </c>
      <c r="N6" s="72" t="n">
        <v>12</v>
      </c>
      <c r="O6" s="72" t="n">
        <v>13</v>
      </c>
      <c r="P6" s="72" t="n">
        <v>14</v>
      </c>
      <c r="Q6" s="72" t="n">
        <v>15</v>
      </c>
      <c r="R6" s="72" t="n">
        <v>16</v>
      </c>
      <c r="S6" s="72" t="n">
        <v>17</v>
      </c>
      <c r="T6" s="72" t="n">
        <v>18</v>
      </c>
      <c r="U6" s="72" t="n">
        <v>19</v>
      </c>
      <c r="V6" s="72" t="n">
        <v>20</v>
      </c>
      <c r="W6" s="72" t="n">
        <v>21</v>
      </c>
      <c r="X6" s="72" t="n">
        <v>22</v>
      </c>
      <c r="Y6" s="72" t="n">
        <v>23</v>
      </c>
      <c r="Z6" s="72" t="n">
        <v>24</v>
      </c>
      <c r="AA6" s="72" t="n">
        <v>25</v>
      </c>
      <c r="AB6" s="72" t="n">
        <v>26</v>
      </c>
      <c r="AC6" s="72" t="n">
        <v>27</v>
      </c>
      <c r="AD6" s="72" t="n">
        <v>28</v>
      </c>
      <c r="AE6" s="72" t="n">
        <v>29</v>
      </c>
      <c r="AF6" s="72" t="n">
        <v>30</v>
      </c>
      <c r="AG6" s="72" t="n">
        <v>31</v>
      </c>
      <c r="AH6" s="72" t="n">
        <v>32</v>
      </c>
      <c r="AI6" s="72" t="n">
        <v>33</v>
      </c>
      <c r="AJ6" s="72" t="n">
        <v>34</v>
      </c>
      <c r="AK6" s="72" t="n">
        <v>35</v>
      </c>
      <c r="AL6" s="72" t="n">
        <v>36</v>
      </c>
      <c r="AM6" s="72" t="n">
        <v>37</v>
      </c>
      <c r="AN6" s="72" t="n">
        <v>38</v>
      </c>
      <c r="AO6" s="72" t="n">
        <v>39</v>
      </c>
      <c r="AP6" s="72" t="n">
        <v>40</v>
      </c>
      <c r="AQ6" s="72" t="n">
        <v>41</v>
      </c>
      <c r="AR6" s="72" t="n">
        <v>42</v>
      </c>
      <c r="AS6" s="72" t="n">
        <v>43</v>
      </c>
      <c r="AT6" s="72" t="n">
        <v>44</v>
      </c>
      <c r="AU6" s="72" t="n">
        <v>45</v>
      </c>
      <c r="AV6" s="72" t="n">
        <v>46</v>
      </c>
      <c r="AW6" s="72" t="n">
        <v>47</v>
      </c>
      <c r="AX6" s="72" t="n">
        <v>48</v>
      </c>
      <c r="AY6" s="72" t="n">
        <v>49</v>
      </c>
      <c r="AZ6" s="72" t="n">
        <v>50</v>
      </c>
      <c r="BA6" s="72" t="n">
        <v>51</v>
      </c>
      <c r="BB6" s="72" t="n">
        <v>52</v>
      </c>
      <c r="BC6" s="72" t="n">
        <v>53</v>
      </c>
      <c r="BD6" s="72" t="n">
        <v>54</v>
      </c>
      <c r="BE6" s="72" t="n">
        <v>55</v>
      </c>
      <c r="BF6" s="72" t="n">
        <v>56</v>
      </c>
      <c r="BG6" s="72" t="n">
        <v>57</v>
      </c>
      <c r="BH6" s="72" t="n">
        <v>58</v>
      </c>
      <c r="BI6" s="72" t="n">
        <v>59</v>
      </c>
      <c r="BJ6" s="72" t="n">
        <v>60</v>
      </c>
    </row>
    <row r="7" customFormat="false" ht="15" hidden="false" customHeight="false" outlineLevel="0" collapsed="false">
      <c r="A7" s="72" t="s">
        <v>154</v>
      </c>
      <c r="C7" s="72" t="n">
        <f aca="false">ROUNDUP(C6*1/12,0)</f>
        <v>1</v>
      </c>
      <c r="D7" s="72" t="n">
        <f aca="false">ROUNDUP(D6*1/12,0)</f>
        <v>1</v>
      </c>
      <c r="E7" s="72" t="n">
        <f aca="false">ROUNDUP(E6*1/12,0)</f>
        <v>1</v>
      </c>
      <c r="F7" s="72" t="n">
        <f aca="false">ROUNDUP(F6*1/12,0)</f>
        <v>1</v>
      </c>
      <c r="G7" s="72" t="n">
        <f aca="false">ROUNDUP(G6*1/12,0)</f>
        <v>1</v>
      </c>
      <c r="H7" s="72" t="n">
        <f aca="false">ROUNDUP(H6*1/12,0)</f>
        <v>1</v>
      </c>
      <c r="I7" s="72" t="n">
        <f aca="false">ROUNDUP(I6*1/12,0)</f>
        <v>1</v>
      </c>
      <c r="J7" s="72" t="n">
        <f aca="false">ROUNDUP(J6*1/12,0)</f>
        <v>1</v>
      </c>
      <c r="K7" s="72" t="n">
        <f aca="false">ROUNDUP(K6*1/12,0)</f>
        <v>1</v>
      </c>
      <c r="L7" s="72" t="n">
        <f aca="false">ROUNDUP(L6*1/12,0)</f>
        <v>1</v>
      </c>
      <c r="M7" s="72" t="n">
        <f aca="false">ROUNDUP(M6*1/12,0)</f>
        <v>1</v>
      </c>
      <c r="N7" s="72" t="n">
        <f aca="false">ROUNDUP(N6*1/12,0)</f>
        <v>1</v>
      </c>
      <c r="O7" s="72" t="n">
        <f aca="false">ROUNDUP(O6*1/12,0)</f>
        <v>2</v>
      </c>
      <c r="P7" s="72" t="n">
        <f aca="false">ROUNDUP(P6*1/12,0)</f>
        <v>2</v>
      </c>
      <c r="Q7" s="72" t="n">
        <f aca="false">ROUNDUP(Q6*1/12,0)</f>
        <v>2</v>
      </c>
      <c r="R7" s="72" t="n">
        <f aca="false">ROUNDUP(R6*1/12,0)</f>
        <v>2</v>
      </c>
      <c r="S7" s="72" t="n">
        <f aca="false">ROUNDUP(S6*1/12,0)</f>
        <v>2</v>
      </c>
      <c r="T7" s="72" t="n">
        <f aca="false">ROUNDUP(T6*1/12,0)</f>
        <v>2</v>
      </c>
      <c r="U7" s="72" t="n">
        <f aca="false">ROUNDUP(U6*1/12,0)</f>
        <v>2</v>
      </c>
      <c r="V7" s="72" t="n">
        <f aca="false">ROUNDUP(V6*1/12,0)</f>
        <v>2</v>
      </c>
      <c r="W7" s="72" t="n">
        <f aca="false">ROUNDUP(W6*1/12,0)</f>
        <v>2</v>
      </c>
      <c r="X7" s="72" t="n">
        <f aca="false">ROUNDUP(X6*1/12,0)</f>
        <v>2</v>
      </c>
      <c r="Y7" s="72" t="n">
        <f aca="false">ROUNDUP(Y6*1/12,0)</f>
        <v>2</v>
      </c>
      <c r="Z7" s="72" t="n">
        <f aca="false">ROUNDUP(Z6*1/12,0)</f>
        <v>2</v>
      </c>
      <c r="AA7" s="72" t="n">
        <f aca="false">ROUNDUP(AA6*1/12,0)</f>
        <v>3</v>
      </c>
      <c r="AB7" s="72" t="n">
        <f aca="false">ROUNDUP(AB6*1/12,0)</f>
        <v>3</v>
      </c>
      <c r="AC7" s="72" t="n">
        <f aca="false">ROUNDUP(AC6*1/12,0)</f>
        <v>3</v>
      </c>
      <c r="AD7" s="72" t="n">
        <f aca="false">ROUNDUP(AD6*1/12,0)</f>
        <v>3</v>
      </c>
      <c r="AE7" s="72" t="n">
        <f aca="false">ROUNDUP(AE6*1/12,0)</f>
        <v>3</v>
      </c>
      <c r="AF7" s="72" t="n">
        <f aca="false">ROUNDUP(AF6*1/12,0)</f>
        <v>3</v>
      </c>
      <c r="AG7" s="72" t="n">
        <f aca="false">ROUNDUP(AG6*1/12,0)</f>
        <v>3</v>
      </c>
      <c r="AH7" s="72" t="n">
        <f aca="false">ROUNDUP(AH6*1/12,0)</f>
        <v>3</v>
      </c>
      <c r="AI7" s="72" t="n">
        <f aca="false">ROUNDUP(AI6*1/12,0)</f>
        <v>3</v>
      </c>
      <c r="AJ7" s="72" t="n">
        <f aca="false">ROUNDUP(AJ6*1/12,0)</f>
        <v>3</v>
      </c>
      <c r="AK7" s="72" t="n">
        <f aca="false">ROUNDUP(AK6*1/12,0)</f>
        <v>3</v>
      </c>
      <c r="AL7" s="72" t="n">
        <f aca="false">ROUNDUP(AL6*1/12,0)</f>
        <v>3</v>
      </c>
      <c r="AM7" s="72" t="n">
        <f aca="false">ROUNDUP(AM6*1/12,0)</f>
        <v>4</v>
      </c>
      <c r="AN7" s="72" t="n">
        <f aca="false">ROUNDUP(AN6*1/12,0)</f>
        <v>4</v>
      </c>
      <c r="AO7" s="72" t="n">
        <f aca="false">ROUNDUP(AO6*1/12,0)</f>
        <v>4</v>
      </c>
      <c r="AP7" s="72" t="n">
        <f aca="false">ROUNDUP(AP6*1/12,0)</f>
        <v>4</v>
      </c>
      <c r="AQ7" s="72" t="n">
        <f aca="false">ROUNDUP(AQ6*1/12,0)</f>
        <v>4</v>
      </c>
      <c r="AR7" s="72" t="n">
        <f aca="false">ROUNDUP(AR6*1/12,0)</f>
        <v>4</v>
      </c>
      <c r="AS7" s="72" t="n">
        <f aca="false">ROUNDUP(AS6*1/12,0)</f>
        <v>4</v>
      </c>
      <c r="AT7" s="72" t="n">
        <f aca="false">ROUNDUP(AT6*1/12,0)</f>
        <v>4</v>
      </c>
      <c r="AU7" s="72" t="n">
        <f aca="false">ROUNDUP(AU6*1/12,0)</f>
        <v>4</v>
      </c>
      <c r="AV7" s="72" t="n">
        <f aca="false">ROUNDUP(AV6*1/12,0)</f>
        <v>4</v>
      </c>
      <c r="AW7" s="72" t="n">
        <f aca="false">ROUNDUP(AW6*1/12,0)</f>
        <v>4</v>
      </c>
      <c r="AX7" s="72" t="n">
        <f aca="false">ROUNDUP(AX6*1/12,0)</f>
        <v>4</v>
      </c>
      <c r="AY7" s="72" t="n">
        <f aca="false">ROUNDUP(AY6*1/12,0)</f>
        <v>5</v>
      </c>
      <c r="AZ7" s="72" t="n">
        <f aca="false">ROUNDUP(AZ6*1/12,0)</f>
        <v>5</v>
      </c>
      <c r="BA7" s="72" t="n">
        <f aca="false">ROUNDUP(BA6*1/12,0)</f>
        <v>5</v>
      </c>
      <c r="BB7" s="72" t="n">
        <f aca="false">ROUNDUP(BB6*1/12,0)</f>
        <v>5</v>
      </c>
      <c r="BC7" s="72" t="n">
        <f aca="false">ROUNDUP(BC6*1/12,0)</f>
        <v>5</v>
      </c>
      <c r="BD7" s="72" t="n">
        <f aca="false">ROUNDUP(BD6*1/12,0)</f>
        <v>5</v>
      </c>
      <c r="BE7" s="72" t="n">
        <f aca="false">ROUNDUP(BE6*1/12,0)</f>
        <v>5</v>
      </c>
      <c r="BF7" s="72" t="n">
        <f aca="false">ROUNDUP(BF6*1/12,0)</f>
        <v>5</v>
      </c>
      <c r="BG7" s="72" t="n">
        <f aca="false">ROUNDUP(BG6*1/12,0)</f>
        <v>5</v>
      </c>
      <c r="BH7" s="72" t="n">
        <f aca="false">ROUNDUP(BH6*1/12,0)</f>
        <v>5</v>
      </c>
      <c r="BI7" s="72" t="n">
        <f aca="false">ROUNDUP(BI6*1/12,0)</f>
        <v>5</v>
      </c>
      <c r="BJ7" s="72" t="n">
        <f aca="false">ROUNDUP(BJ6*1/12,0)</f>
        <v>5</v>
      </c>
    </row>
    <row r="9" customFormat="false" ht="15.75" hidden="false" customHeight="true" outlineLevel="0" collapsed="false">
      <c r="A9" s="7" t="s">
        <v>411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customFormat="false" ht="15" hidden="false" customHeight="false" outlineLevel="0" collapsed="false">
      <c r="A10" s="6" t="s">
        <v>412</v>
      </c>
      <c r="C10" s="116" t="n">
        <f aca="false">Inputs!$B$7+Inputs!$B$8*(C$7-1)</f>
        <v>1</v>
      </c>
      <c r="D10" s="116" t="n">
        <f aca="false">Inputs!$B$7+Inputs!$B$8*(D$7-1)</f>
        <v>1</v>
      </c>
      <c r="E10" s="116" t="n">
        <f aca="false">Inputs!$B$7+Inputs!$B$8*(E$7-1)</f>
        <v>1</v>
      </c>
      <c r="F10" s="116" t="n">
        <f aca="false">Inputs!$B$7+Inputs!$B$8*(F$7-1)</f>
        <v>1</v>
      </c>
      <c r="G10" s="116" t="n">
        <f aca="false">Inputs!$B$7+Inputs!$B$8*(G$7-1)</f>
        <v>1</v>
      </c>
      <c r="H10" s="116" t="n">
        <f aca="false">Inputs!$B$7+Inputs!$B$8*(H$7-1)</f>
        <v>1</v>
      </c>
      <c r="I10" s="116" t="n">
        <f aca="false">Inputs!$B$7+Inputs!$B$8*(I$7-1)</f>
        <v>1</v>
      </c>
      <c r="J10" s="116" t="n">
        <f aca="false">Inputs!$B$7+Inputs!$B$8*(J$7-1)</f>
        <v>1</v>
      </c>
      <c r="K10" s="116" t="n">
        <f aca="false">Inputs!$B$7+Inputs!$B$8*(K$7-1)</f>
        <v>1</v>
      </c>
      <c r="L10" s="116" t="n">
        <f aca="false">Inputs!$B$7+Inputs!$B$8*(L$7-1)</f>
        <v>1</v>
      </c>
      <c r="M10" s="116" t="n">
        <f aca="false">Inputs!$B$7+Inputs!$B$8*(M$7-1)</f>
        <v>1</v>
      </c>
      <c r="N10" s="116" t="n">
        <f aca="false">Inputs!$B$7+Inputs!$B$8*(N$7-1)</f>
        <v>1</v>
      </c>
      <c r="O10" s="116" t="n">
        <f aca="false">Inputs!$B$7+Inputs!$B$8*(O$7-1)</f>
        <v>1</v>
      </c>
      <c r="P10" s="116" t="n">
        <f aca="false">Inputs!$B$7+Inputs!$B$8*(P$7-1)</f>
        <v>1</v>
      </c>
      <c r="Q10" s="116" t="n">
        <f aca="false">Inputs!$B$7+Inputs!$B$8*(Q$7-1)</f>
        <v>1</v>
      </c>
      <c r="R10" s="116" t="n">
        <f aca="false">Inputs!$B$7+Inputs!$B$8*(R$7-1)</f>
        <v>1</v>
      </c>
      <c r="S10" s="116" t="n">
        <f aca="false">Inputs!$B$7+Inputs!$B$8*(S$7-1)</f>
        <v>1</v>
      </c>
      <c r="T10" s="116" t="n">
        <f aca="false">Inputs!$B$7+Inputs!$B$8*(T$7-1)</f>
        <v>1</v>
      </c>
      <c r="U10" s="116" t="n">
        <f aca="false">Inputs!$B$7+Inputs!$B$8*(U$7-1)</f>
        <v>1</v>
      </c>
      <c r="V10" s="116" t="n">
        <f aca="false">Inputs!$B$7+Inputs!$B$8*(V$7-1)</f>
        <v>1</v>
      </c>
      <c r="W10" s="116" t="n">
        <f aca="false">Inputs!$B$7+Inputs!$B$8*(W$7-1)</f>
        <v>1</v>
      </c>
      <c r="X10" s="116" t="n">
        <f aca="false">Inputs!$B$7+Inputs!$B$8*(X$7-1)</f>
        <v>1</v>
      </c>
      <c r="Y10" s="116" t="n">
        <f aca="false">Inputs!$B$7+Inputs!$B$8*(Y$7-1)</f>
        <v>1</v>
      </c>
      <c r="Z10" s="116" t="n">
        <f aca="false">Inputs!$B$7+Inputs!$B$8*(Z$7-1)</f>
        <v>1</v>
      </c>
      <c r="AA10" s="116" t="n">
        <f aca="false">Inputs!$B$7+Inputs!$B$8*(AA$7-1)</f>
        <v>1</v>
      </c>
      <c r="AB10" s="116" t="n">
        <f aca="false">Inputs!$B$7+Inputs!$B$8*(AB$7-1)</f>
        <v>1</v>
      </c>
      <c r="AC10" s="116" t="n">
        <f aca="false">Inputs!$B$7+Inputs!$B$8*(AC$7-1)</f>
        <v>1</v>
      </c>
      <c r="AD10" s="116" t="n">
        <f aca="false">Inputs!$B$7+Inputs!$B$8*(AD$7-1)</f>
        <v>1</v>
      </c>
      <c r="AE10" s="116" t="n">
        <f aca="false">Inputs!$B$7+Inputs!$B$8*(AE$7-1)</f>
        <v>1</v>
      </c>
      <c r="AF10" s="116" t="n">
        <f aca="false">Inputs!$B$7+Inputs!$B$8*(AF$7-1)</f>
        <v>1</v>
      </c>
      <c r="AG10" s="116" t="n">
        <f aca="false">Inputs!$B$7+Inputs!$B$8*(AG$7-1)</f>
        <v>1</v>
      </c>
      <c r="AH10" s="116" t="n">
        <f aca="false">Inputs!$B$7+Inputs!$B$8*(AH$7-1)</f>
        <v>1</v>
      </c>
      <c r="AI10" s="116" t="n">
        <f aca="false">Inputs!$B$7+Inputs!$B$8*(AI$7-1)</f>
        <v>1</v>
      </c>
      <c r="AJ10" s="116" t="n">
        <f aca="false">Inputs!$B$7+Inputs!$B$8*(AJ$7-1)</f>
        <v>1</v>
      </c>
      <c r="AK10" s="116" t="n">
        <f aca="false">Inputs!$B$7+Inputs!$B$8*(AK$7-1)</f>
        <v>1</v>
      </c>
      <c r="AL10" s="116" t="n">
        <f aca="false">Inputs!$B$7+Inputs!$B$8*(AL$7-1)</f>
        <v>1</v>
      </c>
      <c r="AM10" s="116" t="n">
        <f aca="false">Inputs!$B$7+Inputs!$B$8*(AM$7-1)</f>
        <v>1</v>
      </c>
      <c r="AN10" s="116" t="n">
        <f aca="false">Inputs!$B$7+Inputs!$B$8*(AN$7-1)</f>
        <v>1</v>
      </c>
      <c r="AO10" s="116" t="n">
        <f aca="false">Inputs!$B$7+Inputs!$B$8*(AO$7-1)</f>
        <v>1</v>
      </c>
      <c r="AP10" s="116" t="n">
        <f aca="false">Inputs!$B$7+Inputs!$B$8*(AP$7-1)</f>
        <v>1</v>
      </c>
      <c r="AQ10" s="116" t="n">
        <f aca="false">Inputs!$B$7+Inputs!$B$8*(AQ$7-1)</f>
        <v>1</v>
      </c>
      <c r="AR10" s="116" t="n">
        <f aca="false">Inputs!$B$7+Inputs!$B$8*(AR$7-1)</f>
        <v>1</v>
      </c>
      <c r="AS10" s="116" t="n">
        <f aca="false">Inputs!$B$7+Inputs!$B$8*(AS$7-1)</f>
        <v>1</v>
      </c>
      <c r="AT10" s="116" t="n">
        <f aca="false">Inputs!$B$7+Inputs!$B$8*(AT$7-1)</f>
        <v>1</v>
      </c>
      <c r="AU10" s="116" t="n">
        <f aca="false">Inputs!$B$7+Inputs!$B$8*(AU$7-1)</f>
        <v>1</v>
      </c>
      <c r="AV10" s="116" t="n">
        <f aca="false">Inputs!$B$7+Inputs!$B$8*(AV$7-1)</f>
        <v>1</v>
      </c>
      <c r="AW10" s="116" t="n">
        <f aca="false">Inputs!$B$7+Inputs!$B$8*(AW$7-1)</f>
        <v>1</v>
      </c>
      <c r="AX10" s="116" t="n">
        <f aca="false">Inputs!$B$7+Inputs!$B$8*(AX$7-1)</f>
        <v>1</v>
      </c>
      <c r="AY10" s="116" t="n">
        <f aca="false">Inputs!$B$7+Inputs!$B$8*(AY$7-1)</f>
        <v>1</v>
      </c>
      <c r="AZ10" s="116" t="n">
        <f aca="false">Inputs!$B$7+Inputs!$B$8*(AZ$7-1)</f>
        <v>1</v>
      </c>
      <c r="BA10" s="116" t="n">
        <f aca="false">Inputs!$B$7+Inputs!$B$8*(BA$7-1)</f>
        <v>1</v>
      </c>
      <c r="BB10" s="116" t="n">
        <f aca="false">Inputs!$B$7+Inputs!$B$8*(BB$7-1)</f>
        <v>1</v>
      </c>
      <c r="BC10" s="116" t="n">
        <f aca="false">Inputs!$B$7+Inputs!$B$8*(BC$7-1)</f>
        <v>1</v>
      </c>
      <c r="BD10" s="116" t="n">
        <f aca="false">Inputs!$B$7+Inputs!$B$8*(BD$7-1)</f>
        <v>1</v>
      </c>
      <c r="BE10" s="116" t="n">
        <f aca="false">Inputs!$B$7+Inputs!$B$8*(BE$7-1)</f>
        <v>1</v>
      </c>
      <c r="BF10" s="116" t="n">
        <f aca="false">Inputs!$B$7+Inputs!$B$8*(BF$7-1)</f>
        <v>1</v>
      </c>
      <c r="BG10" s="116" t="n">
        <f aca="false">Inputs!$B$7+Inputs!$B$8*(BG$7-1)</f>
        <v>1</v>
      </c>
      <c r="BH10" s="116" t="n">
        <f aca="false">Inputs!$B$7+Inputs!$B$8*(BH$7-1)</f>
        <v>1</v>
      </c>
      <c r="BI10" s="116" t="n">
        <f aca="false">Inputs!$B$7+Inputs!$B$8*(BI$7-1)</f>
        <v>1</v>
      </c>
      <c r="BJ10" s="116" t="n">
        <f aca="false">Inputs!$B$7+Inputs!$B$8*(BJ$7-1)</f>
        <v>1</v>
      </c>
    </row>
    <row r="11" customFormat="false" ht="15" hidden="false" customHeight="false" outlineLevel="0" collapsed="false">
      <c r="A11" s="117" t="s">
        <v>413</v>
      </c>
      <c r="C11" s="118" t="n">
        <f aca="false">MAX(0,MIN(1,Inputs!$B$13-(C$6-1)*1))</f>
        <v>1</v>
      </c>
      <c r="D11" s="118" t="n">
        <f aca="false">MAX(0,MIN(1,Inputs!$B$13-(D$6-1)*1))</f>
        <v>1</v>
      </c>
      <c r="E11" s="118" t="n">
        <f aca="false">MAX(0,MIN(1,Inputs!$B$13-(E$6-1)*1))</f>
        <v>1</v>
      </c>
      <c r="F11" s="118" t="n">
        <f aca="false">MAX(0,MIN(1,Inputs!$B$13-(F$6-1)*1))</f>
        <v>1</v>
      </c>
      <c r="G11" s="118" t="n">
        <f aca="false">MAX(0,MIN(1,Inputs!$B$13-(G$6-1)*1))</f>
        <v>1</v>
      </c>
      <c r="H11" s="118" t="n">
        <f aca="false">MAX(0,MIN(1,Inputs!$B$13-(H$6-1)*1))</f>
        <v>1</v>
      </c>
      <c r="I11" s="118" t="n">
        <f aca="false">MAX(0,MIN(1,Inputs!$B$13-(I$6-1)*1))</f>
        <v>1</v>
      </c>
      <c r="J11" s="118" t="n">
        <f aca="false">MAX(0,MIN(1,Inputs!$B$13-(J$6-1)*1))</f>
        <v>1</v>
      </c>
      <c r="K11" s="118" t="n">
        <f aca="false">MAX(0,MIN(1,Inputs!$B$13-(K$6-1)*1))</f>
        <v>1</v>
      </c>
      <c r="L11" s="118" t="n">
        <f aca="false">MAX(0,MIN(1,Inputs!$B$13-(L$6-1)*1))</f>
        <v>0</v>
      </c>
      <c r="M11" s="118" t="n">
        <f aca="false">MAX(0,MIN(1,Inputs!$B$13-(M$6-1)*1))</f>
        <v>0</v>
      </c>
      <c r="N11" s="118" t="n">
        <f aca="false">MAX(0,MIN(1,Inputs!$B$13-(N$6-1)*1))</f>
        <v>0</v>
      </c>
      <c r="O11" s="118" t="n">
        <f aca="false">MAX(0,MIN(1,Inputs!$B$13-(O$6-1)*1))</f>
        <v>0</v>
      </c>
      <c r="P11" s="118" t="n">
        <f aca="false">MAX(0,MIN(1,Inputs!$B$13-(P$6-1)*1))</f>
        <v>0</v>
      </c>
      <c r="Q11" s="118" t="n">
        <f aca="false">MAX(0,MIN(1,Inputs!$B$13-(Q$6-1)*1))</f>
        <v>0</v>
      </c>
      <c r="R11" s="118" t="n">
        <f aca="false">MAX(0,MIN(1,Inputs!$B$13-(R$6-1)*1))</f>
        <v>0</v>
      </c>
      <c r="S11" s="118" t="n">
        <f aca="false">MAX(0,MIN(1,Inputs!$B$13-(S$6-1)*1))</f>
        <v>0</v>
      </c>
      <c r="T11" s="118" t="n">
        <f aca="false">MAX(0,MIN(1,Inputs!$B$13-(T$6-1)*1))</f>
        <v>0</v>
      </c>
      <c r="U11" s="118" t="n">
        <f aca="false">MAX(0,MIN(1,Inputs!$B$13-(U$6-1)*1))</f>
        <v>0</v>
      </c>
      <c r="V11" s="118" t="n">
        <f aca="false">MAX(0,MIN(1,Inputs!$B$13-(V$6-1)*1))</f>
        <v>0</v>
      </c>
      <c r="W11" s="118" t="n">
        <f aca="false">MAX(0,MIN(1,Inputs!$B$13-(W$6-1)*1))</f>
        <v>0</v>
      </c>
      <c r="X11" s="118" t="n">
        <f aca="false">MAX(0,MIN(1,Inputs!$B$13-(X$6-1)*1))</f>
        <v>0</v>
      </c>
      <c r="Y11" s="118" t="n">
        <f aca="false">MAX(0,MIN(1,Inputs!$B$13-(Y$6-1)*1))</f>
        <v>0</v>
      </c>
      <c r="Z11" s="118" t="n">
        <f aca="false">MAX(0,MIN(1,Inputs!$B$13-(Z$6-1)*1))</f>
        <v>0</v>
      </c>
      <c r="AA11" s="118" t="n">
        <f aca="false">MAX(0,MIN(1,Inputs!$B$13-(AA$6-1)*1))</f>
        <v>0</v>
      </c>
      <c r="AB11" s="118" t="n">
        <f aca="false">MAX(0,MIN(1,Inputs!$B$13-(AB$6-1)*1))</f>
        <v>0</v>
      </c>
      <c r="AC11" s="118" t="n">
        <f aca="false">MAX(0,MIN(1,Inputs!$B$13-(AC$6-1)*1))</f>
        <v>0</v>
      </c>
      <c r="AD11" s="118" t="n">
        <f aca="false">MAX(0,MIN(1,Inputs!$B$13-(AD$6-1)*1))</f>
        <v>0</v>
      </c>
      <c r="AE11" s="118" t="n">
        <f aca="false">MAX(0,MIN(1,Inputs!$B$13-(AE$6-1)*1))</f>
        <v>0</v>
      </c>
      <c r="AF11" s="118" t="n">
        <f aca="false">MAX(0,MIN(1,Inputs!$B$13-(AF$6-1)*1))</f>
        <v>0</v>
      </c>
      <c r="AG11" s="118" t="n">
        <f aca="false">MAX(0,MIN(1,Inputs!$B$13-(AG$6-1)*1))</f>
        <v>0</v>
      </c>
      <c r="AH11" s="118" t="n">
        <f aca="false">MAX(0,MIN(1,Inputs!$B$13-(AH$6-1)*1))</f>
        <v>0</v>
      </c>
      <c r="AI11" s="118" t="n">
        <f aca="false">MAX(0,MIN(1,Inputs!$B$13-(AI$6-1)*1))</f>
        <v>0</v>
      </c>
      <c r="AJ11" s="118" t="n">
        <f aca="false">MAX(0,MIN(1,Inputs!$B$13-(AJ$6-1)*1))</f>
        <v>0</v>
      </c>
      <c r="AK11" s="118" t="n">
        <f aca="false">MAX(0,MIN(1,Inputs!$B$13-(AK$6-1)*1))</f>
        <v>0</v>
      </c>
      <c r="AL11" s="118" t="n">
        <f aca="false">MAX(0,MIN(1,Inputs!$B$13-(AL$6-1)*1))</f>
        <v>0</v>
      </c>
      <c r="AM11" s="118" t="n">
        <f aca="false">MAX(0,MIN(1,Inputs!$B$13-(AM$6-1)*1))</f>
        <v>0</v>
      </c>
      <c r="AN11" s="118" t="n">
        <f aca="false">MAX(0,MIN(1,Inputs!$B$13-(AN$6-1)*1))</f>
        <v>0</v>
      </c>
      <c r="AO11" s="118" t="n">
        <f aca="false">MAX(0,MIN(1,Inputs!$B$13-(AO$6-1)*1))</f>
        <v>0</v>
      </c>
      <c r="AP11" s="118" t="n">
        <f aca="false">MAX(0,MIN(1,Inputs!$B$13-(AP$6-1)*1))</f>
        <v>0</v>
      </c>
      <c r="AQ11" s="118" t="n">
        <f aca="false">MAX(0,MIN(1,Inputs!$B$13-(AQ$6-1)*1))</f>
        <v>0</v>
      </c>
      <c r="AR11" s="118" t="n">
        <f aca="false">MAX(0,MIN(1,Inputs!$B$13-(AR$6-1)*1))</f>
        <v>0</v>
      </c>
      <c r="AS11" s="118" t="n">
        <f aca="false">MAX(0,MIN(1,Inputs!$B$13-(AS$6-1)*1))</f>
        <v>0</v>
      </c>
      <c r="AT11" s="118" t="n">
        <f aca="false">MAX(0,MIN(1,Inputs!$B$13-(AT$6-1)*1))</f>
        <v>0</v>
      </c>
      <c r="AU11" s="118" t="n">
        <f aca="false">MAX(0,MIN(1,Inputs!$B$13-(AU$6-1)*1))</f>
        <v>0</v>
      </c>
      <c r="AV11" s="118" t="n">
        <f aca="false">MAX(0,MIN(1,Inputs!$B$13-(AV$6-1)*1))</f>
        <v>0</v>
      </c>
      <c r="AW11" s="118" t="n">
        <f aca="false">MAX(0,MIN(1,Inputs!$B$13-(AW$6-1)*1))</f>
        <v>0</v>
      </c>
      <c r="AX11" s="118" t="n">
        <f aca="false">MAX(0,MIN(1,Inputs!$B$13-(AX$6-1)*1))</f>
        <v>0</v>
      </c>
      <c r="AY11" s="118" t="n">
        <f aca="false">MAX(0,MIN(1,Inputs!$B$13-(AY$6-1)*1))</f>
        <v>0</v>
      </c>
      <c r="AZ11" s="118" t="n">
        <f aca="false">MAX(0,MIN(1,Inputs!$B$13-(AZ$6-1)*1))</f>
        <v>0</v>
      </c>
      <c r="BA11" s="118" t="n">
        <f aca="false">MAX(0,MIN(1,Inputs!$B$13-(BA$6-1)*1))</f>
        <v>0</v>
      </c>
      <c r="BB11" s="118" t="n">
        <f aca="false">MAX(0,MIN(1,Inputs!$B$13-(BB$6-1)*1))</f>
        <v>0</v>
      </c>
      <c r="BC11" s="118" t="n">
        <f aca="false">MAX(0,MIN(1,Inputs!$B$13-(BC$6-1)*1))</f>
        <v>0</v>
      </c>
      <c r="BD11" s="118" t="n">
        <f aca="false">MAX(0,MIN(1,Inputs!$B$13-(BD$6-1)*1))</f>
        <v>0</v>
      </c>
      <c r="BE11" s="118" t="n">
        <f aca="false">MAX(0,MIN(1,Inputs!$B$13-(BE$6-1)*1))</f>
        <v>0</v>
      </c>
      <c r="BF11" s="118" t="n">
        <f aca="false">MAX(0,MIN(1,Inputs!$B$13-(BF$6-1)*1))</f>
        <v>0</v>
      </c>
      <c r="BG11" s="118" t="n">
        <f aca="false">MAX(0,MIN(1,Inputs!$B$13-(BG$6-1)*1))</f>
        <v>0</v>
      </c>
      <c r="BH11" s="118" t="n">
        <f aca="false">MAX(0,MIN(1,Inputs!$B$13-(BH$6-1)*1))</f>
        <v>0</v>
      </c>
      <c r="BI11" s="118" t="n">
        <f aca="false">MAX(0,MIN(1,Inputs!$B$13-(BI$6-1)*1))</f>
        <v>0</v>
      </c>
      <c r="BJ11" s="118" t="n">
        <f aca="false">MAX(0,MIN(1,Inputs!$B$13-(BJ$6-1)*1))</f>
        <v>0</v>
      </c>
    </row>
    <row r="12" customFormat="false" ht="15" hidden="false" customHeight="false" outlineLevel="0" collapsed="false">
      <c r="A12" s="38" t="s">
        <v>414</v>
      </c>
      <c r="C12" s="74" t="n">
        <f aca="false">IF(Inputs!$B$13&lt;=0,1,(C11*Inputs!$B$14+(1-Inputs!$B$14)/MAX(1,Inputs!$B$13)*(C11*(C$6-1)*1+C11*(C11-1)/2)+1-C11)/1)</f>
        <v>0.35</v>
      </c>
      <c r="D12" s="74" t="n">
        <f aca="false">IF(Inputs!$B$13&lt;=0,1,(D11*Inputs!$B$14+(1-Inputs!$B$14)/MAX(1,Inputs!$B$13)*(D11*(D$6-1)*1+D11*(D11-1)/2)+1-D11)/1)</f>
        <v>0.422222222222222</v>
      </c>
      <c r="E12" s="74" t="n">
        <f aca="false">IF(Inputs!$B$13&lt;=0,1,(E11*Inputs!$B$14+(1-Inputs!$B$14)/MAX(1,Inputs!$B$13)*(E11*(E$6-1)*1+E11*(E11-1)/2)+1-E11)/1)</f>
        <v>0.494444444444444</v>
      </c>
      <c r="F12" s="74" t="n">
        <f aca="false">IF(Inputs!$B$13&lt;=0,1,(F11*Inputs!$B$14+(1-Inputs!$B$14)/MAX(1,Inputs!$B$13)*(F11*(F$6-1)*1+F11*(F11-1)/2)+1-F11)/1)</f>
        <v>0.566666666666667</v>
      </c>
      <c r="G12" s="74" t="n">
        <f aca="false">IF(Inputs!$B$13&lt;=0,1,(G11*Inputs!$B$14+(1-Inputs!$B$14)/MAX(1,Inputs!$B$13)*(G11*(G$6-1)*1+G11*(G11-1)/2)+1-G11)/1)</f>
        <v>0.638888888888889</v>
      </c>
      <c r="H12" s="74" t="n">
        <f aca="false">IF(Inputs!$B$13&lt;=0,1,(H11*Inputs!$B$14+(1-Inputs!$B$14)/MAX(1,Inputs!$B$13)*(H11*(H$6-1)*1+H11*(H11-1)/2)+1-H11)/1)</f>
        <v>0.711111111111111</v>
      </c>
      <c r="I12" s="74" t="n">
        <f aca="false">IF(Inputs!$B$13&lt;=0,1,(I11*Inputs!$B$14+(1-Inputs!$B$14)/MAX(1,Inputs!$B$13)*(I11*(I$6-1)*1+I11*(I11-1)/2)+1-I11)/1)</f>
        <v>0.783333333333333</v>
      </c>
      <c r="J12" s="74" t="n">
        <f aca="false">IF(Inputs!$B$13&lt;=0,1,(J11*Inputs!$B$14+(1-Inputs!$B$14)/MAX(1,Inputs!$B$13)*(J11*(J$6-1)*1+J11*(J11-1)/2)+1-J11)/1)</f>
        <v>0.855555555555556</v>
      </c>
      <c r="K12" s="74" t="n">
        <f aca="false">IF(Inputs!$B$13&lt;=0,1,(K11*Inputs!$B$14+(1-Inputs!$B$14)/MAX(1,Inputs!$B$13)*(K11*(K$6-1)*1+K11*(K11-1)/2)+1-K11)/1)</f>
        <v>0.927777777777778</v>
      </c>
      <c r="L12" s="74" t="n">
        <f aca="false">IF(Inputs!$B$13&lt;=0,1,(L11*Inputs!$B$14+(1-Inputs!$B$14)/MAX(1,Inputs!$B$13)*(L11*(L$6-1)*1+L11*(L11-1)/2)+1-L11)/1)</f>
        <v>1</v>
      </c>
      <c r="M12" s="74" t="n">
        <f aca="false">IF(Inputs!$B$13&lt;=0,1,(M11*Inputs!$B$14+(1-Inputs!$B$14)/MAX(1,Inputs!$B$13)*(M11*(M$6-1)*1+M11*(M11-1)/2)+1-M11)/1)</f>
        <v>1</v>
      </c>
      <c r="N12" s="74" t="n">
        <f aca="false">IF(Inputs!$B$13&lt;=0,1,(N11*Inputs!$B$14+(1-Inputs!$B$14)/MAX(1,Inputs!$B$13)*(N11*(N$6-1)*1+N11*(N11-1)/2)+1-N11)/1)</f>
        <v>1</v>
      </c>
      <c r="O12" s="74" t="n">
        <f aca="false">IF(Inputs!$B$13&lt;=0,1,(O11*Inputs!$B$14+(1-Inputs!$B$14)/MAX(1,Inputs!$B$13)*(O11*(O$6-1)*1+O11*(O11-1)/2)+1-O11)/1)</f>
        <v>1</v>
      </c>
      <c r="P12" s="74" t="n">
        <f aca="false">IF(Inputs!$B$13&lt;=0,1,(P11*Inputs!$B$14+(1-Inputs!$B$14)/MAX(1,Inputs!$B$13)*(P11*(P$6-1)*1+P11*(P11-1)/2)+1-P11)/1)</f>
        <v>1</v>
      </c>
      <c r="Q12" s="74" t="n">
        <f aca="false">IF(Inputs!$B$13&lt;=0,1,(Q11*Inputs!$B$14+(1-Inputs!$B$14)/MAX(1,Inputs!$B$13)*(Q11*(Q$6-1)*1+Q11*(Q11-1)/2)+1-Q11)/1)</f>
        <v>1</v>
      </c>
      <c r="R12" s="74" t="n">
        <f aca="false">IF(Inputs!$B$13&lt;=0,1,(R11*Inputs!$B$14+(1-Inputs!$B$14)/MAX(1,Inputs!$B$13)*(R11*(R$6-1)*1+R11*(R11-1)/2)+1-R11)/1)</f>
        <v>1</v>
      </c>
      <c r="S12" s="74" t="n">
        <f aca="false">IF(Inputs!$B$13&lt;=0,1,(S11*Inputs!$B$14+(1-Inputs!$B$14)/MAX(1,Inputs!$B$13)*(S11*(S$6-1)*1+S11*(S11-1)/2)+1-S11)/1)</f>
        <v>1</v>
      </c>
      <c r="T12" s="74" t="n">
        <f aca="false">IF(Inputs!$B$13&lt;=0,1,(T11*Inputs!$B$14+(1-Inputs!$B$14)/MAX(1,Inputs!$B$13)*(T11*(T$6-1)*1+T11*(T11-1)/2)+1-T11)/1)</f>
        <v>1</v>
      </c>
      <c r="U12" s="74" t="n">
        <f aca="false">IF(Inputs!$B$13&lt;=0,1,(U11*Inputs!$B$14+(1-Inputs!$B$14)/MAX(1,Inputs!$B$13)*(U11*(U$6-1)*1+U11*(U11-1)/2)+1-U11)/1)</f>
        <v>1</v>
      </c>
      <c r="V12" s="74" t="n">
        <f aca="false">IF(Inputs!$B$13&lt;=0,1,(V11*Inputs!$B$14+(1-Inputs!$B$14)/MAX(1,Inputs!$B$13)*(V11*(V$6-1)*1+V11*(V11-1)/2)+1-V11)/1)</f>
        <v>1</v>
      </c>
      <c r="W12" s="74" t="n">
        <f aca="false">IF(Inputs!$B$13&lt;=0,1,(W11*Inputs!$B$14+(1-Inputs!$B$14)/MAX(1,Inputs!$B$13)*(W11*(W$6-1)*1+W11*(W11-1)/2)+1-W11)/1)</f>
        <v>1</v>
      </c>
      <c r="X12" s="74" t="n">
        <f aca="false">IF(Inputs!$B$13&lt;=0,1,(X11*Inputs!$B$14+(1-Inputs!$B$14)/MAX(1,Inputs!$B$13)*(X11*(X$6-1)*1+X11*(X11-1)/2)+1-X11)/1)</f>
        <v>1</v>
      </c>
      <c r="Y12" s="74" t="n">
        <f aca="false">IF(Inputs!$B$13&lt;=0,1,(Y11*Inputs!$B$14+(1-Inputs!$B$14)/MAX(1,Inputs!$B$13)*(Y11*(Y$6-1)*1+Y11*(Y11-1)/2)+1-Y11)/1)</f>
        <v>1</v>
      </c>
      <c r="Z12" s="74" t="n">
        <f aca="false">IF(Inputs!$B$13&lt;=0,1,(Z11*Inputs!$B$14+(1-Inputs!$B$14)/MAX(1,Inputs!$B$13)*(Z11*(Z$6-1)*1+Z11*(Z11-1)/2)+1-Z11)/1)</f>
        <v>1</v>
      </c>
      <c r="AA12" s="74" t="n">
        <f aca="false">IF(Inputs!$B$13&lt;=0,1,(AA11*Inputs!$B$14+(1-Inputs!$B$14)/MAX(1,Inputs!$B$13)*(AA11*(AA$6-1)*1+AA11*(AA11-1)/2)+1-AA11)/1)</f>
        <v>1</v>
      </c>
      <c r="AB12" s="74" t="n">
        <f aca="false">IF(Inputs!$B$13&lt;=0,1,(AB11*Inputs!$B$14+(1-Inputs!$B$14)/MAX(1,Inputs!$B$13)*(AB11*(AB$6-1)*1+AB11*(AB11-1)/2)+1-AB11)/1)</f>
        <v>1</v>
      </c>
      <c r="AC12" s="74" t="n">
        <f aca="false">IF(Inputs!$B$13&lt;=0,1,(AC11*Inputs!$B$14+(1-Inputs!$B$14)/MAX(1,Inputs!$B$13)*(AC11*(AC$6-1)*1+AC11*(AC11-1)/2)+1-AC11)/1)</f>
        <v>1</v>
      </c>
      <c r="AD12" s="74" t="n">
        <f aca="false">IF(Inputs!$B$13&lt;=0,1,(AD11*Inputs!$B$14+(1-Inputs!$B$14)/MAX(1,Inputs!$B$13)*(AD11*(AD$6-1)*1+AD11*(AD11-1)/2)+1-AD11)/1)</f>
        <v>1</v>
      </c>
      <c r="AE12" s="74" t="n">
        <f aca="false">IF(Inputs!$B$13&lt;=0,1,(AE11*Inputs!$B$14+(1-Inputs!$B$14)/MAX(1,Inputs!$B$13)*(AE11*(AE$6-1)*1+AE11*(AE11-1)/2)+1-AE11)/1)</f>
        <v>1</v>
      </c>
      <c r="AF12" s="74" t="n">
        <f aca="false">IF(Inputs!$B$13&lt;=0,1,(AF11*Inputs!$B$14+(1-Inputs!$B$14)/MAX(1,Inputs!$B$13)*(AF11*(AF$6-1)*1+AF11*(AF11-1)/2)+1-AF11)/1)</f>
        <v>1</v>
      </c>
      <c r="AG12" s="74" t="n">
        <f aca="false">IF(Inputs!$B$13&lt;=0,1,(AG11*Inputs!$B$14+(1-Inputs!$B$14)/MAX(1,Inputs!$B$13)*(AG11*(AG$6-1)*1+AG11*(AG11-1)/2)+1-AG11)/1)</f>
        <v>1</v>
      </c>
      <c r="AH12" s="74" t="n">
        <f aca="false">IF(Inputs!$B$13&lt;=0,1,(AH11*Inputs!$B$14+(1-Inputs!$B$14)/MAX(1,Inputs!$B$13)*(AH11*(AH$6-1)*1+AH11*(AH11-1)/2)+1-AH11)/1)</f>
        <v>1</v>
      </c>
      <c r="AI12" s="74" t="n">
        <f aca="false">IF(Inputs!$B$13&lt;=0,1,(AI11*Inputs!$B$14+(1-Inputs!$B$14)/MAX(1,Inputs!$B$13)*(AI11*(AI$6-1)*1+AI11*(AI11-1)/2)+1-AI11)/1)</f>
        <v>1</v>
      </c>
      <c r="AJ12" s="74" t="n">
        <f aca="false">IF(Inputs!$B$13&lt;=0,1,(AJ11*Inputs!$B$14+(1-Inputs!$B$14)/MAX(1,Inputs!$B$13)*(AJ11*(AJ$6-1)*1+AJ11*(AJ11-1)/2)+1-AJ11)/1)</f>
        <v>1</v>
      </c>
      <c r="AK12" s="74" t="n">
        <f aca="false">IF(Inputs!$B$13&lt;=0,1,(AK11*Inputs!$B$14+(1-Inputs!$B$14)/MAX(1,Inputs!$B$13)*(AK11*(AK$6-1)*1+AK11*(AK11-1)/2)+1-AK11)/1)</f>
        <v>1</v>
      </c>
      <c r="AL12" s="74" t="n">
        <f aca="false">IF(Inputs!$B$13&lt;=0,1,(AL11*Inputs!$B$14+(1-Inputs!$B$14)/MAX(1,Inputs!$B$13)*(AL11*(AL$6-1)*1+AL11*(AL11-1)/2)+1-AL11)/1)</f>
        <v>1</v>
      </c>
      <c r="AM12" s="74" t="n">
        <f aca="false">IF(Inputs!$B$13&lt;=0,1,(AM11*Inputs!$B$14+(1-Inputs!$B$14)/MAX(1,Inputs!$B$13)*(AM11*(AM$6-1)*1+AM11*(AM11-1)/2)+1-AM11)/1)</f>
        <v>1</v>
      </c>
      <c r="AN12" s="74" t="n">
        <f aca="false">IF(Inputs!$B$13&lt;=0,1,(AN11*Inputs!$B$14+(1-Inputs!$B$14)/MAX(1,Inputs!$B$13)*(AN11*(AN$6-1)*1+AN11*(AN11-1)/2)+1-AN11)/1)</f>
        <v>1</v>
      </c>
      <c r="AO12" s="74" t="n">
        <f aca="false">IF(Inputs!$B$13&lt;=0,1,(AO11*Inputs!$B$14+(1-Inputs!$B$14)/MAX(1,Inputs!$B$13)*(AO11*(AO$6-1)*1+AO11*(AO11-1)/2)+1-AO11)/1)</f>
        <v>1</v>
      </c>
      <c r="AP12" s="74" t="n">
        <f aca="false">IF(Inputs!$B$13&lt;=0,1,(AP11*Inputs!$B$14+(1-Inputs!$B$14)/MAX(1,Inputs!$B$13)*(AP11*(AP$6-1)*1+AP11*(AP11-1)/2)+1-AP11)/1)</f>
        <v>1</v>
      </c>
      <c r="AQ12" s="74" t="n">
        <f aca="false">IF(Inputs!$B$13&lt;=0,1,(AQ11*Inputs!$B$14+(1-Inputs!$B$14)/MAX(1,Inputs!$B$13)*(AQ11*(AQ$6-1)*1+AQ11*(AQ11-1)/2)+1-AQ11)/1)</f>
        <v>1</v>
      </c>
      <c r="AR12" s="74" t="n">
        <f aca="false">IF(Inputs!$B$13&lt;=0,1,(AR11*Inputs!$B$14+(1-Inputs!$B$14)/MAX(1,Inputs!$B$13)*(AR11*(AR$6-1)*1+AR11*(AR11-1)/2)+1-AR11)/1)</f>
        <v>1</v>
      </c>
      <c r="AS12" s="74" t="n">
        <f aca="false">IF(Inputs!$B$13&lt;=0,1,(AS11*Inputs!$B$14+(1-Inputs!$B$14)/MAX(1,Inputs!$B$13)*(AS11*(AS$6-1)*1+AS11*(AS11-1)/2)+1-AS11)/1)</f>
        <v>1</v>
      </c>
      <c r="AT12" s="74" t="n">
        <f aca="false">IF(Inputs!$B$13&lt;=0,1,(AT11*Inputs!$B$14+(1-Inputs!$B$14)/MAX(1,Inputs!$B$13)*(AT11*(AT$6-1)*1+AT11*(AT11-1)/2)+1-AT11)/1)</f>
        <v>1</v>
      </c>
      <c r="AU12" s="74" t="n">
        <f aca="false">IF(Inputs!$B$13&lt;=0,1,(AU11*Inputs!$B$14+(1-Inputs!$B$14)/MAX(1,Inputs!$B$13)*(AU11*(AU$6-1)*1+AU11*(AU11-1)/2)+1-AU11)/1)</f>
        <v>1</v>
      </c>
      <c r="AV12" s="74" t="n">
        <f aca="false">IF(Inputs!$B$13&lt;=0,1,(AV11*Inputs!$B$14+(1-Inputs!$B$14)/MAX(1,Inputs!$B$13)*(AV11*(AV$6-1)*1+AV11*(AV11-1)/2)+1-AV11)/1)</f>
        <v>1</v>
      </c>
      <c r="AW12" s="74" t="n">
        <f aca="false">IF(Inputs!$B$13&lt;=0,1,(AW11*Inputs!$B$14+(1-Inputs!$B$14)/MAX(1,Inputs!$B$13)*(AW11*(AW$6-1)*1+AW11*(AW11-1)/2)+1-AW11)/1)</f>
        <v>1</v>
      </c>
      <c r="AX12" s="74" t="n">
        <f aca="false">IF(Inputs!$B$13&lt;=0,1,(AX11*Inputs!$B$14+(1-Inputs!$B$14)/MAX(1,Inputs!$B$13)*(AX11*(AX$6-1)*1+AX11*(AX11-1)/2)+1-AX11)/1)</f>
        <v>1</v>
      </c>
      <c r="AY12" s="74" t="n">
        <f aca="false">IF(Inputs!$B$13&lt;=0,1,(AY11*Inputs!$B$14+(1-Inputs!$B$14)/MAX(1,Inputs!$B$13)*(AY11*(AY$6-1)*1+AY11*(AY11-1)/2)+1-AY11)/1)</f>
        <v>1</v>
      </c>
      <c r="AZ12" s="74" t="n">
        <f aca="false">IF(Inputs!$B$13&lt;=0,1,(AZ11*Inputs!$B$14+(1-Inputs!$B$14)/MAX(1,Inputs!$B$13)*(AZ11*(AZ$6-1)*1+AZ11*(AZ11-1)/2)+1-AZ11)/1)</f>
        <v>1</v>
      </c>
      <c r="BA12" s="74" t="n">
        <f aca="false">IF(Inputs!$B$13&lt;=0,1,(BA11*Inputs!$B$14+(1-Inputs!$B$14)/MAX(1,Inputs!$B$13)*(BA11*(BA$6-1)*1+BA11*(BA11-1)/2)+1-BA11)/1)</f>
        <v>1</v>
      </c>
      <c r="BB12" s="74" t="n">
        <f aca="false">IF(Inputs!$B$13&lt;=0,1,(BB11*Inputs!$B$14+(1-Inputs!$B$14)/MAX(1,Inputs!$B$13)*(BB11*(BB$6-1)*1+BB11*(BB11-1)/2)+1-BB11)/1)</f>
        <v>1</v>
      </c>
      <c r="BC12" s="74" t="n">
        <f aca="false">IF(Inputs!$B$13&lt;=0,1,(BC11*Inputs!$B$14+(1-Inputs!$B$14)/MAX(1,Inputs!$B$13)*(BC11*(BC$6-1)*1+BC11*(BC11-1)/2)+1-BC11)/1)</f>
        <v>1</v>
      </c>
      <c r="BD12" s="74" t="n">
        <f aca="false">IF(Inputs!$B$13&lt;=0,1,(BD11*Inputs!$B$14+(1-Inputs!$B$14)/MAX(1,Inputs!$B$13)*(BD11*(BD$6-1)*1+BD11*(BD11-1)/2)+1-BD11)/1)</f>
        <v>1</v>
      </c>
      <c r="BE12" s="74" t="n">
        <f aca="false">IF(Inputs!$B$13&lt;=0,1,(BE11*Inputs!$B$14+(1-Inputs!$B$14)/MAX(1,Inputs!$B$13)*(BE11*(BE$6-1)*1+BE11*(BE11-1)/2)+1-BE11)/1)</f>
        <v>1</v>
      </c>
      <c r="BF12" s="74" t="n">
        <f aca="false">IF(Inputs!$B$13&lt;=0,1,(BF11*Inputs!$B$14+(1-Inputs!$B$14)/MAX(1,Inputs!$B$13)*(BF11*(BF$6-1)*1+BF11*(BF11-1)/2)+1-BF11)/1)</f>
        <v>1</v>
      </c>
      <c r="BG12" s="74" t="n">
        <f aca="false">IF(Inputs!$B$13&lt;=0,1,(BG11*Inputs!$B$14+(1-Inputs!$B$14)/MAX(1,Inputs!$B$13)*(BG11*(BG$6-1)*1+BG11*(BG11-1)/2)+1-BG11)/1)</f>
        <v>1</v>
      </c>
      <c r="BH12" s="74" t="n">
        <f aca="false">IF(Inputs!$B$13&lt;=0,1,(BH11*Inputs!$B$14+(1-Inputs!$B$14)/MAX(1,Inputs!$B$13)*(BH11*(BH$6-1)*1+BH11*(BH11-1)/2)+1-BH11)/1)</f>
        <v>1</v>
      </c>
      <c r="BI12" s="74" t="n">
        <f aca="false">IF(Inputs!$B$13&lt;=0,1,(BI11*Inputs!$B$14+(1-Inputs!$B$14)/MAX(1,Inputs!$B$13)*(BI11*(BI$6-1)*1+BI11*(BI11-1)/2)+1-BI11)/1)</f>
        <v>1</v>
      </c>
      <c r="BJ12" s="74" t="n">
        <f aca="false">IF(Inputs!$B$13&lt;=0,1,(BJ11*Inputs!$B$14+(1-Inputs!$B$14)/MAX(1,Inputs!$B$13)*(BJ11*(BJ$6-1)*1+BJ11*(BJ11-1)/2)+1-BJ11)/1)</f>
        <v>1</v>
      </c>
    </row>
    <row r="13" customFormat="false" ht="15" hidden="false" customHeight="false" outlineLevel="0" collapsed="false">
      <c r="A13" s="6" t="s">
        <v>415</v>
      </c>
      <c r="C13" s="77" t="n">
        <f aca="false">IF(OR(MOD(C$6-1,12)&gt;=11,MOD(C$6-1,12)&lt;=1),1-Inputs!$B$10,1+Inputs!$B$10/3)</f>
        <v>0.7</v>
      </c>
      <c r="D13" s="77" t="n">
        <f aca="false">IF(OR(MOD(D$6-1,12)&gt;=11,MOD(D$6-1,12)&lt;=1),1-Inputs!$B$10,1+Inputs!$B$10/3)</f>
        <v>0.7</v>
      </c>
      <c r="E13" s="77" t="n">
        <f aca="false">IF(OR(MOD(E$6-1,12)&gt;=11,MOD(E$6-1,12)&lt;=1),1-Inputs!$B$10,1+Inputs!$B$10/3)</f>
        <v>1.1</v>
      </c>
      <c r="F13" s="77" t="n">
        <f aca="false">IF(OR(MOD(F$6-1,12)&gt;=11,MOD(F$6-1,12)&lt;=1),1-Inputs!$B$10,1+Inputs!$B$10/3)</f>
        <v>1.1</v>
      </c>
      <c r="G13" s="77" t="n">
        <f aca="false">IF(OR(MOD(G$6-1,12)&gt;=11,MOD(G$6-1,12)&lt;=1),1-Inputs!$B$10,1+Inputs!$B$10/3)</f>
        <v>1.1</v>
      </c>
      <c r="H13" s="77" t="n">
        <f aca="false">IF(OR(MOD(H$6-1,12)&gt;=11,MOD(H$6-1,12)&lt;=1),1-Inputs!$B$10,1+Inputs!$B$10/3)</f>
        <v>1.1</v>
      </c>
      <c r="I13" s="77" t="n">
        <f aca="false">IF(OR(MOD(I$6-1,12)&gt;=11,MOD(I$6-1,12)&lt;=1),1-Inputs!$B$10,1+Inputs!$B$10/3)</f>
        <v>1.1</v>
      </c>
      <c r="J13" s="77" t="n">
        <f aca="false">IF(OR(MOD(J$6-1,12)&gt;=11,MOD(J$6-1,12)&lt;=1),1-Inputs!$B$10,1+Inputs!$B$10/3)</f>
        <v>1.1</v>
      </c>
      <c r="K13" s="77" t="n">
        <f aca="false">IF(OR(MOD(K$6-1,12)&gt;=11,MOD(K$6-1,12)&lt;=1),1-Inputs!$B$10,1+Inputs!$B$10/3)</f>
        <v>1.1</v>
      </c>
      <c r="L13" s="77" t="n">
        <f aca="false">IF(OR(MOD(L$6-1,12)&gt;=11,MOD(L$6-1,12)&lt;=1),1-Inputs!$B$10,1+Inputs!$B$10/3)</f>
        <v>1.1</v>
      </c>
      <c r="M13" s="77" t="n">
        <f aca="false">IF(OR(MOD(M$6-1,12)&gt;=11,MOD(M$6-1,12)&lt;=1),1-Inputs!$B$10,1+Inputs!$B$10/3)</f>
        <v>1.1</v>
      </c>
      <c r="N13" s="77" t="n">
        <f aca="false">IF(OR(MOD(N$6-1,12)&gt;=11,MOD(N$6-1,12)&lt;=1),1-Inputs!$B$10,1+Inputs!$B$10/3)</f>
        <v>0.7</v>
      </c>
      <c r="O13" s="77" t="n">
        <f aca="false">IF(OR(MOD(O$6-1,12)&gt;=11,MOD(O$6-1,12)&lt;=1),1-Inputs!$B$10,1+Inputs!$B$10/3)</f>
        <v>0.7</v>
      </c>
      <c r="P13" s="77" t="n">
        <f aca="false">IF(OR(MOD(P$6-1,12)&gt;=11,MOD(P$6-1,12)&lt;=1),1-Inputs!$B$10,1+Inputs!$B$10/3)</f>
        <v>0.7</v>
      </c>
      <c r="Q13" s="77" t="n">
        <f aca="false">IF(OR(MOD(Q$6-1,12)&gt;=11,MOD(Q$6-1,12)&lt;=1),1-Inputs!$B$10,1+Inputs!$B$10/3)</f>
        <v>1.1</v>
      </c>
      <c r="R13" s="77" t="n">
        <f aca="false">IF(OR(MOD(R$6-1,12)&gt;=11,MOD(R$6-1,12)&lt;=1),1-Inputs!$B$10,1+Inputs!$B$10/3)</f>
        <v>1.1</v>
      </c>
      <c r="S13" s="77" t="n">
        <f aca="false">IF(OR(MOD(S$6-1,12)&gt;=11,MOD(S$6-1,12)&lt;=1),1-Inputs!$B$10,1+Inputs!$B$10/3)</f>
        <v>1.1</v>
      </c>
      <c r="T13" s="77" t="n">
        <f aca="false">IF(OR(MOD(T$6-1,12)&gt;=11,MOD(T$6-1,12)&lt;=1),1-Inputs!$B$10,1+Inputs!$B$10/3)</f>
        <v>1.1</v>
      </c>
      <c r="U13" s="77" t="n">
        <f aca="false">IF(OR(MOD(U$6-1,12)&gt;=11,MOD(U$6-1,12)&lt;=1),1-Inputs!$B$10,1+Inputs!$B$10/3)</f>
        <v>1.1</v>
      </c>
      <c r="V13" s="77" t="n">
        <f aca="false">IF(OR(MOD(V$6-1,12)&gt;=11,MOD(V$6-1,12)&lt;=1),1-Inputs!$B$10,1+Inputs!$B$10/3)</f>
        <v>1.1</v>
      </c>
      <c r="W13" s="77" t="n">
        <f aca="false">IF(OR(MOD(W$6-1,12)&gt;=11,MOD(W$6-1,12)&lt;=1),1-Inputs!$B$10,1+Inputs!$B$10/3)</f>
        <v>1.1</v>
      </c>
      <c r="X13" s="77" t="n">
        <f aca="false">IF(OR(MOD(X$6-1,12)&gt;=11,MOD(X$6-1,12)&lt;=1),1-Inputs!$B$10,1+Inputs!$B$10/3)</f>
        <v>1.1</v>
      </c>
      <c r="Y13" s="77" t="n">
        <f aca="false">IF(OR(MOD(Y$6-1,12)&gt;=11,MOD(Y$6-1,12)&lt;=1),1-Inputs!$B$10,1+Inputs!$B$10/3)</f>
        <v>1.1</v>
      </c>
      <c r="Z13" s="77" t="n">
        <f aca="false">IF(OR(MOD(Z$6-1,12)&gt;=11,MOD(Z$6-1,12)&lt;=1),1-Inputs!$B$10,1+Inputs!$B$10/3)</f>
        <v>0.7</v>
      </c>
      <c r="AA13" s="77" t="n">
        <f aca="false">IF(OR(MOD(AA$6-1,12)&gt;=11,MOD(AA$6-1,12)&lt;=1),1-Inputs!$B$10,1+Inputs!$B$10/3)</f>
        <v>0.7</v>
      </c>
      <c r="AB13" s="77" t="n">
        <f aca="false">IF(OR(MOD(AB$6-1,12)&gt;=11,MOD(AB$6-1,12)&lt;=1),1-Inputs!$B$10,1+Inputs!$B$10/3)</f>
        <v>0.7</v>
      </c>
      <c r="AC13" s="77" t="n">
        <f aca="false">IF(OR(MOD(AC$6-1,12)&gt;=11,MOD(AC$6-1,12)&lt;=1),1-Inputs!$B$10,1+Inputs!$B$10/3)</f>
        <v>1.1</v>
      </c>
      <c r="AD13" s="77" t="n">
        <f aca="false">IF(OR(MOD(AD$6-1,12)&gt;=11,MOD(AD$6-1,12)&lt;=1),1-Inputs!$B$10,1+Inputs!$B$10/3)</f>
        <v>1.1</v>
      </c>
      <c r="AE13" s="77" t="n">
        <f aca="false">IF(OR(MOD(AE$6-1,12)&gt;=11,MOD(AE$6-1,12)&lt;=1),1-Inputs!$B$10,1+Inputs!$B$10/3)</f>
        <v>1.1</v>
      </c>
      <c r="AF13" s="77" t="n">
        <f aca="false">IF(OR(MOD(AF$6-1,12)&gt;=11,MOD(AF$6-1,12)&lt;=1),1-Inputs!$B$10,1+Inputs!$B$10/3)</f>
        <v>1.1</v>
      </c>
      <c r="AG13" s="77" t="n">
        <f aca="false">IF(OR(MOD(AG$6-1,12)&gt;=11,MOD(AG$6-1,12)&lt;=1),1-Inputs!$B$10,1+Inputs!$B$10/3)</f>
        <v>1.1</v>
      </c>
      <c r="AH13" s="77" t="n">
        <f aca="false">IF(OR(MOD(AH$6-1,12)&gt;=11,MOD(AH$6-1,12)&lt;=1),1-Inputs!$B$10,1+Inputs!$B$10/3)</f>
        <v>1.1</v>
      </c>
      <c r="AI13" s="77" t="n">
        <f aca="false">IF(OR(MOD(AI$6-1,12)&gt;=11,MOD(AI$6-1,12)&lt;=1),1-Inputs!$B$10,1+Inputs!$B$10/3)</f>
        <v>1.1</v>
      </c>
      <c r="AJ13" s="77" t="n">
        <f aca="false">IF(OR(MOD(AJ$6-1,12)&gt;=11,MOD(AJ$6-1,12)&lt;=1),1-Inputs!$B$10,1+Inputs!$B$10/3)</f>
        <v>1.1</v>
      </c>
      <c r="AK13" s="77" t="n">
        <f aca="false">IF(OR(MOD(AK$6-1,12)&gt;=11,MOD(AK$6-1,12)&lt;=1),1-Inputs!$B$10,1+Inputs!$B$10/3)</f>
        <v>1.1</v>
      </c>
      <c r="AL13" s="77" t="n">
        <f aca="false">IF(OR(MOD(AL$6-1,12)&gt;=11,MOD(AL$6-1,12)&lt;=1),1-Inputs!$B$10,1+Inputs!$B$10/3)</f>
        <v>0.7</v>
      </c>
      <c r="AM13" s="77" t="n">
        <f aca="false">IF(OR(MOD(AM$6-1,12)&gt;=11,MOD(AM$6-1,12)&lt;=1),1-Inputs!$B$10,1+Inputs!$B$10/3)</f>
        <v>0.7</v>
      </c>
      <c r="AN13" s="77" t="n">
        <f aca="false">IF(OR(MOD(AN$6-1,12)&gt;=11,MOD(AN$6-1,12)&lt;=1),1-Inputs!$B$10,1+Inputs!$B$10/3)</f>
        <v>0.7</v>
      </c>
      <c r="AO13" s="77" t="n">
        <f aca="false">IF(OR(MOD(AO$6-1,12)&gt;=11,MOD(AO$6-1,12)&lt;=1),1-Inputs!$B$10,1+Inputs!$B$10/3)</f>
        <v>1.1</v>
      </c>
      <c r="AP13" s="77" t="n">
        <f aca="false">IF(OR(MOD(AP$6-1,12)&gt;=11,MOD(AP$6-1,12)&lt;=1),1-Inputs!$B$10,1+Inputs!$B$10/3)</f>
        <v>1.1</v>
      </c>
      <c r="AQ13" s="77" t="n">
        <f aca="false">IF(OR(MOD(AQ$6-1,12)&gt;=11,MOD(AQ$6-1,12)&lt;=1),1-Inputs!$B$10,1+Inputs!$B$10/3)</f>
        <v>1.1</v>
      </c>
      <c r="AR13" s="77" t="n">
        <f aca="false">IF(OR(MOD(AR$6-1,12)&gt;=11,MOD(AR$6-1,12)&lt;=1),1-Inputs!$B$10,1+Inputs!$B$10/3)</f>
        <v>1.1</v>
      </c>
      <c r="AS13" s="77" t="n">
        <f aca="false">IF(OR(MOD(AS$6-1,12)&gt;=11,MOD(AS$6-1,12)&lt;=1),1-Inputs!$B$10,1+Inputs!$B$10/3)</f>
        <v>1.1</v>
      </c>
      <c r="AT13" s="77" t="n">
        <f aca="false">IF(OR(MOD(AT$6-1,12)&gt;=11,MOD(AT$6-1,12)&lt;=1),1-Inputs!$B$10,1+Inputs!$B$10/3)</f>
        <v>1.1</v>
      </c>
      <c r="AU13" s="77" t="n">
        <f aca="false">IF(OR(MOD(AU$6-1,12)&gt;=11,MOD(AU$6-1,12)&lt;=1),1-Inputs!$B$10,1+Inputs!$B$10/3)</f>
        <v>1.1</v>
      </c>
      <c r="AV13" s="77" t="n">
        <f aca="false">IF(OR(MOD(AV$6-1,12)&gt;=11,MOD(AV$6-1,12)&lt;=1),1-Inputs!$B$10,1+Inputs!$B$10/3)</f>
        <v>1.1</v>
      </c>
      <c r="AW13" s="77" t="n">
        <f aca="false">IF(OR(MOD(AW$6-1,12)&gt;=11,MOD(AW$6-1,12)&lt;=1),1-Inputs!$B$10,1+Inputs!$B$10/3)</f>
        <v>1.1</v>
      </c>
      <c r="AX13" s="77" t="n">
        <f aca="false">IF(OR(MOD(AX$6-1,12)&gt;=11,MOD(AX$6-1,12)&lt;=1),1-Inputs!$B$10,1+Inputs!$B$10/3)</f>
        <v>0.7</v>
      </c>
      <c r="AY13" s="77" t="n">
        <f aca="false">IF(OR(MOD(AY$6-1,12)&gt;=11,MOD(AY$6-1,12)&lt;=1),1-Inputs!$B$10,1+Inputs!$B$10/3)</f>
        <v>0.7</v>
      </c>
      <c r="AZ13" s="77" t="n">
        <f aca="false">IF(OR(MOD(AZ$6-1,12)&gt;=11,MOD(AZ$6-1,12)&lt;=1),1-Inputs!$B$10,1+Inputs!$B$10/3)</f>
        <v>0.7</v>
      </c>
      <c r="BA13" s="77" t="n">
        <f aca="false">IF(OR(MOD(BA$6-1,12)&gt;=11,MOD(BA$6-1,12)&lt;=1),1-Inputs!$B$10,1+Inputs!$B$10/3)</f>
        <v>1.1</v>
      </c>
      <c r="BB13" s="77" t="n">
        <f aca="false">IF(OR(MOD(BB$6-1,12)&gt;=11,MOD(BB$6-1,12)&lt;=1),1-Inputs!$B$10,1+Inputs!$B$10/3)</f>
        <v>1.1</v>
      </c>
      <c r="BC13" s="77" t="n">
        <f aca="false">IF(OR(MOD(BC$6-1,12)&gt;=11,MOD(BC$6-1,12)&lt;=1),1-Inputs!$B$10,1+Inputs!$B$10/3)</f>
        <v>1.1</v>
      </c>
      <c r="BD13" s="77" t="n">
        <f aca="false">IF(OR(MOD(BD$6-1,12)&gt;=11,MOD(BD$6-1,12)&lt;=1),1-Inputs!$B$10,1+Inputs!$B$10/3)</f>
        <v>1.1</v>
      </c>
      <c r="BE13" s="77" t="n">
        <f aca="false">IF(OR(MOD(BE$6-1,12)&gt;=11,MOD(BE$6-1,12)&lt;=1),1-Inputs!$B$10,1+Inputs!$B$10/3)</f>
        <v>1.1</v>
      </c>
      <c r="BF13" s="77" t="n">
        <f aca="false">IF(OR(MOD(BF$6-1,12)&gt;=11,MOD(BF$6-1,12)&lt;=1),1-Inputs!$B$10,1+Inputs!$B$10/3)</f>
        <v>1.1</v>
      </c>
      <c r="BG13" s="77" t="n">
        <f aca="false">IF(OR(MOD(BG$6-1,12)&gt;=11,MOD(BG$6-1,12)&lt;=1),1-Inputs!$B$10,1+Inputs!$B$10/3)</f>
        <v>1.1</v>
      </c>
      <c r="BH13" s="77" t="n">
        <f aca="false">IF(OR(MOD(BH$6-1,12)&gt;=11,MOD(BH$6-1,12)&lt;=1),1-Inputs!$B$10,1+Inputs!$B$10/3)</f>
        <v>1.1</v>
      </c>
      <c r="BI13" s="77" t="n">
        <f aca="false">IF(OR(MOD(BI$6-1,12)&gt;=11,MOD(BI$6-1,12)&lt;=1),1-Inputs!$B$10,1+Inputs!$B$10/3)</f>
        <v>1.1</v>
      </c>
      <c r="BJ13" s="77" t="n">
        <f aca="false">IF(OR(MOD(BJ$6-1,12)&gt;=11,MOD(BJ$6-1,12)&lt;=1),1-Inputs!$B$10,1+Inputs!$B$10/3)</f>
        <v>0.7</v>
      </c>
    </row>
    <row r="14" customFormat="false" ht="15" hidden="false" customHeight="false" outlineLevel="0" collapsed="false">
      <c r="A14" s="6" t="s">
        <v>416</v>
      </c>
      <c r="C14" s="118" t="n">
        <f aca="false">C10*Inputs!$B$9*1*C13</f>
        <v>11.9</v>
      </c>
      <c r="D14" s="118" t="n">
        <f aca="false">D10*Inputs!$B$9*1*D13</f>
        <v>11.9</v>
      </c>
      <c r="E14" s="118" t="n">
        <f aca="false">E10*Inputs!$B$9*1*E13</f>
        <v>18.7</v>
      </c>
      <c r="F14" s="118" t="n">
        <f aca="false">F10*Inputs!$B$9*1*F13</f>
        <v>18.7</v>
      </c>
      <c r="G14" s="118" t="n">
        <f aca="false">G10*Inputs!$B$9*1*G13</f>
        <v>18.7</v>
      </c>
      <c r="H14" s="118" t="n">
        <f aca="false">H10*Inputs!$B$9*1*H13</f>
        <v>18.7</v>
      </c>
      <c r="I14" s="118" t="n">
        <f aca="false">I10*Inputs!$B$9*1*I13</f>
        <v>18.7</v>
      </c>
      <c r="J14" s="118" t="n">
        <f aca="false">J10*Inputs!$B$9*1*J13</f>
        <v>18.7</v>
      </c>
      <c r="K14" s="118" t="n">
        <f aca="false">K10*Inputs!$B$9*1*K13</f>
        <v>18.7</v>
      </c>
      <c r="L14" s="118" t="n">
        <f aca="false">L10*Inputs!$B$9*1*L13</f>
        <v>18.7</v>
      </c>
      <c r="M14" s="118" t="n">
        <f aca="false">M10*Inputs!$B$9*1*M13</f>
        <v>18.7</v>
      </c>
      <c r="N14" s="118" t="n">
        <f aca="false">N10*Inputs!$B$9*1*N13</f>
        <v>11.9</v>
      </c>
      <c r="O14" s="118" t="n">
        <f aca="false">O10*Inputs!$B$9*1*O13</f>
        <v>11.9</v>
      </c>
      <c r="P14" s="118" t="n">
        <f aca="false">P10*Inputs!$B$9*1*P13</f>
        <v>11.9</v>
      </c>
      <c r="Q14" s="118" t="n">
        <f aca="false">Q10*Inputs!$B$9*1*Q13</f>
        <v>18.7</v>
      </c>
      <c r="R14" s="118" t="n">
        <f aca="false">R10*Inputs!$B$9*1*R13</f>
        <v>18.7</v>
      </c>
      <c r="S14" s="118" t="n">
        <f aca="false">S10*Inputs!$B$9*1*S13</f>
        <v>18.7</v>
      </c>
      <c r="T14" s="118" t="n">
        <f aca="false">T10*Inputs!$B$9*1*T13</f>
        <v>18.7</v>
      </c>
      <c r="U14" s="118" t="n">
        <f aca="false">U10*Inputs!$B$9*1*U13</f>
        <v>18.7</v>
      </c>
      <c r="V14" s="118" t="n">
        <f aca="false">V10*Inputs!$B$9*1*V13</f>
        <v>18.7</v>
      </c>
      <c r="W14" s="118" t="n">
        <f aca="false">W10*Inputs!$B$9*1*W13</f>
        <v>18.7</v>
      </c>
      <c r="X14" s="118" t="n">
        <f aca="false">X10*Inputs!$B$9*1*X13</f>
        <v>18.7</v>
      </c>
      <c r="Y14" s="118" t="n">
        <f aca="false">Y10*Inputs!$B$9*1*Y13</f>
        <v>18.7</v>
      </c>
      <c r="Z14" s="118" t="n">
        <f aca="false">Z10*Inputs!$B$9*1*Z13</f>
        <v>11.9</v>
      </c>
      <c r="AA14" s="118" t="n">
        <f aca="false">AA10*Inputs!$B$9*1*AA13</f>
        <v>11.9</v>
      </c>
      <c r="AB14" s="118" t="n">
        <f aca="false">AB10*Inputs!$B$9*1*AB13</f>
        <v>11.9</v>
      </c>
      <c r="AC14" s="118" t="n">
        <f aca="false">AC10*Inputs!$B$9*1*AC13</f>
        <v>18.7</v>
      </c>
      <c r="AD14" s="118" t="n">
        <f aca="false">AD10*Inputs!$B$9*1*AD13</f>
        <v>18.7</v>
      </c>
      <c r="AE14" s="118" t="n">
        <f aca="false">AE10*Inputs!$B$9*1*AE13</f>
        <v>18.7</v>
      </c>
      <c r="AF14" s="118" t="n">
        <f aca="false">AF10*Inputs!$B$9*1*AF13</f>
        <v>18.7</v>
      </c>
      <c r="AG14" s="118" t="n">
        <f aca="false">AG10*Inputs!$B$9*1*AG13</f>
        <v>18.7</v>
      </c>
      <c r="AH14" s="118" t="n">
        <f aca="false">AH10*Inputs!$B$9*1*AH13</f>
        <v>18.7</v>
      </c>
      <c r="AI14" s="118" t="n">
        <f aca="false">AI10*Inputs!$B$9*1*AI13</f>
        <v>18.7</v>
      </c>
      <c r="AJ14" s="118" t="n">
        <f aca="false">AJ10*Inputs!$B$9*1*AJ13</f>
        <v>18.7</v>
      </c>
      <c r="AK14" s="118" t="n">
        <f aca="false">AK10*Inputs!$B$9*1*AK13</f>
        <v>18.7</v>
      </c>
      <c r="AL14" s="118" t="n">
        <f aca="false">AL10*Inputs!$B$9*1*AL13</f>
        <v>11.9</v>
      </c>
      <c r="AM14" s="118" t="n">
        <f aca="false">AM10*Inputs!$B$9*1*AM13</f>
        <v>11.9</v>
      </c>
      <c r="AN14" s="118" t="n">
        <f aca="false">AN10*Inputs!$B$9*1*AN13</f>
        <v>11.9</v>
      </c>
      <c r="AO14" s="118" t="n">
        <f aca="false">AO10*Inputs!$B$9*1*AO13</f>
        <v>18.7</v>
      </c>
      <c r="AP14" s="118" t="n">
        <f aca="false">AP10*Inputs!$B$9*1*AP13</f>
        <v>18.7</v>
      </c>
      <c r="AQ14" s="118" t="n">
        <f aca="false">AQ10*Inputs!$B$9*1*AQ13</f>
        <v>18.7</v>
      </c>
      <c r="AR14" s="118" t="n">
        <f aca="false">AR10*Inputs!$B$9*1*AR13</f>
        <v>18.7</v>
      </c>
      <c r="AS14" s="118" t="n">
        <f aca="false">AS10*Inputs!$B$9*1*AS13</f>
        <v>18.7</v>
      </c>
      <c r="AT14" s="118" t="n">
        <f aca="false">AT10*Inputs!$B$9*1*AT13</f>
        <v>18.7</v>
      </c>
      <c r="AU14" s="118" t="n">
        <f aca="false">AU10*Inputs!$B$9*1*AU13</f>
        <v>18.7</v>
      </c>
      <c r="AV14" s="118" t="n">
        <f aca="false">AV10*Inputs!$B$9*1*AV13</f>
        <v>18.7</v>
      </c>
      <c r="AW14" s="118" t="n">
        <f aca="false">AW10*Inputs!$B$9*1*AW13</f>
        <v>18.7</v>
      </c>
      <c r="AX14" s="118" t="n">
        <f aca="false">AX10*Inputs!$B$9*1*AX13</f>
        <v>11.9</v>
      </c>
      <c r="AY14" s="118" t="n">
        <f aca="false">AY10*Inputs!$B$9*1*AY13</f>
        <v>11.9</v>
      </c>
      <c r="AZ14" s="118" t="n">
        <f aca="false">AZ10*Inputs!$B$9*1*AZ13</f>
        <v>11.9</v>
      </c>
      <c r="BA14" s="118" t="n">
        <f aca="false">BA10*Inputs!$B$9*1*BA13</f>
        <v>18.7</v>
      </c>
      <c r="BB14" s="118" t="n">
        <f aca="false">BB10*Inputs!$B$9*1*BB13</f>
        <v>18.7</v>
      </c>
      <c r="BC14" s="118" t="n">
        <f aca="false">BC10*Inputs!$B$9*1*BC13</f>
        <v>18.7</v>
      </c>
      <c r="BD14" s="118" t="n">
        <f aca="false">BD10*Inputs!$B$9*1*BD13</f>
        <v>18.7</v>
      </c>
      <c r="BE14" s="118" t="n">
        <f aca="false">BE10*Inputs!$B$9*1*BE13</f>
        <v>18.7</v>
      </c>
      <c r="BF14" s="118" t="n">
        <f aca="false">BF10*Inputs!$B$9*1*BF13</f>
        <v>18.7</v>
      </c>
      <c r="BG14" s="118" t="n">
        <f aca="false">BG10*Inputs!$B$9*1*BG13</f>
        <v>18.7</v>
      </c>
      <c r="BH14" s="118" t="n">
        <f aca="false">BH10*Inputs!$B$9*1*BH13</f>
        <v>18.7</v>
      </c>
      <c r="BI14" s="118" t="n">
        <f aca="false">BI10*Inputs!$B$9*1*BI13</f>
        <v>18.7</v>
      </c>
      <c r="BJ14" s="118" t="n">
        <f aca="false">BJ10*Inputs!$B$9*1*BJ13</f>
        <v>11.9</v>
      </c>
    </row>
    <row r="15" customFormat="false" ht="15" hidden="false" customHeight="false" outlineLevel="0" collapsed="false">
      <c r="A15" s="6" t="s">
        <v>417</v>
      </c>
      <c r="C15" s="118" t="n">
        <f aca="false">C10*Inputs!$B$23*(1+Inputs!$B$24)^(C$7-1)*1*C12</f>
        <v>0.875</v>
      </c>
      <c r="D15" s="118" t="n">
        <f aca="false">D10*Inputs!$B$23*(1+Inputs!$B$24)^(D$7-1)*1*D12</f>
        <v>1.05555555555556</v>
      </c>
      <c r="E15" s="118" t="n">
        <f aca="false">E10*Inputs!$B$23*(1+Inputs!$B$24)^(E$7-1)*1*E12</f>
        <v>1.23611111111111</v>
      </c>
      <c r="F15" s="118" t="n">
        <f aca="false">F10*Inputs!$B$23*(1+Inputs!$B$24)^(F$7-1)*1*F12</f>
        <v>1.41666666666667</v>
      </c>
      <c r="G15" s="118" t="n">
        <f aca="false">G10*Inputs!$B$23*(1+Inputs!$B$24)^(G$7-1)*1*G12</f>
        <v>1.59722222222222</v>
      </c>
      <c r="H15" s="118" t="n">
        <f aca="false">H10*Inputs!$B$23*(1+Inputs!$B$24)^(H$7-1)*1*H12</f>
        <v>1.77777777777778</v>
      </c>
      <c r="I15" s="118" t="n">
        <f aca="false">I10*Inputs!$B$23*(1+Inputs!$B$24)^(I$7-1)*1*I12</f>
        <v>1.95833333333333</v>
      </c>
      <c r="J15" s="118" t="n">
        <f aca="false">J10*Inputs!$B$23*(1+Inputs!$B$24)^(J$7-1)*1*J12</f>
        <v>2.13888888888889</v>
      </c>
      <c r="K15" s="118" t="n">
        <f aca="false">K10*Inputs!$B$23*(1+Inputs!$B$24)^(K$7-1)*1*K12</f>
        <v>2.31944444444444</v>
      </c>
      <c r="L15" s="118" t="n">
        <f aca="false">L10*Inputs!$B$23*(1+Inputs!$B$24)^(L$7-1)*1*L12</f>
        <v>2.5</v>
      </c>
      <c r="M15" s="118" t="n">
        <f aca="false">M10*Inputs!$B$23*(1+Inputs!$B$24)^(M$7-1)*1*M12</f>
        <v>2.5</v>
      </c>
      <c r="N15" s="118" t="n">
        <f aca="false">N10*Inputs!$B$23*(1+Inputs!$B$24)^(N$7-1)*1*N12</f>
        <v>2.5</v>
      </c>
      <c r="O15" s="118" t="n">
        <f aca="false">O10*Inputs!$B$23*(1+Inputs!$B$24)^(O$7-1)*1*O12</f>
        <v>2.5</v>
      </c>
      <c r="P15" s="118" t="n">
        <f aca="false">P10*Inputs!$B$23*(1+Inputs!$B$24)^(P$7-1)*1*P12</f>
        <v>2.5</v>
      </c>
      <c r="Q15" s="118" t="n">
        <f aca="false">Q10*Inputs!$B$23*(1+Inputs!$B$24)^(Q$7-1)*1*Q12</f>
        <v>2.5</v>
      </c>
      <c r="R15" s="118" t="n">
        <f aca="false">R10*Inputs!$B$23*(1+Inputs!$B$24)^(R$7-1)*1*R12</f>
        <v>2.5</v>
      </c>
      <c r="S15" s="118" t="n">
        <f aca="false">S10*Inputs!$B$23*(1+Inputs!$B$24)^(S$7-1)*1*S12</f>
        <v>2.5</v>
      </c>
      <c r="T15" s="118" t="n">
        <f aca="false">T10*Inputs!$B$23*(1+Inputs!$B$24)^(T$7-1)*1*T12</f>
        <v>2.5</v>
      </c>
      <c r="U15" s="118" t="n">
        <f aca="false">U10*Inputs!$B$23*(1+Inputs!$B$24)^(U$7-1)*1*U12</f>
        <v>2.5</v>
      </c>
      <c r="V15" s="118" t="n">
        <f aca="false">V10*Inputs!$B$23*(1+Inputs!$B$24)^(V$7-1)*1*V12</f>
        <v>2.5</v>
      </c>
      <c r="W15" s="118" t="n">
        <f aca="false">W10*Inputs!$B$23*(1+Inputs!$B$24)^(W$7-1)*1*W12</f>
        <v>2.5</v>
      </c>
      <c r="X15" s="118" t="n">
        <f aca="false">X10*Inputs!$B$23*(1+Inputs!$B$24)^(X$7-1)*1*X12</f>
        <v>2.5</v>
      </c>
      <c r="Y15" s="118" t="n">
        <f aca="false">Y10*Inputs!$B$23*(1+Inputs!$B$24)^(Y$7-1)*1*Y12</f>
        <v>2.5</v>
      </c>
      <c r="Z15" s="118" t="n">
        <f aca="false">Z10*Inputs!$B$23*(1+Inputs!$B$24)^(Z$7-1)*1*Z12</f>
        <v>2.5</v>
      </c>
      <c r="AA15" s="118" t="n">
        <f aca="false">AA10*Inputs!$B$23*(1+Inputs!$B$24)^(AA$7-1)*1*AA12</f>
        <v>2.5</v>
      </c>
      <c r="AB15" s="118" t="n">
        <f aca="false">AB10*Inputs!$B$23*(1+Inputs!$B$24)^(AB$7-1)*1*AB12</f>
        <v>2.5</v>
      </c>
      <c r="AC15" s="118" t="n">
        <f aca="false">AC10*Inputs!$B$23*(1+Inputs!$B$24)^(AC$7-1)*1*AC12</f>
        <v>2.5</v>
      </c>
      <c r="AD15" s="118" t="n">
        <f aca="false">AD10*Inputs!$B$23*(1+Inputs!$B$24)^(AD$7-1)*1*AD12</f>
        <v>2.5</v>
      </c>
      <c r="AE15" s="118" t="n">
        <f aca="false">AE10*Inputs!$B$23*(1+Inputs!$B$24)^(AE$7-1)*1*AE12</f>
        <v>2.5</v>
      </c>
      <c r="AF15" s="118" t="n">
        <f aca="false">AF10*Inputs!$B$23*(1+Inputs!$B$24)^(AF$7-1)*1*AF12</f>
        <v>2.5</v>
      </c>
      <c r="AG15" s="118" t="n">
        <f aca="false">AG10*Inputs!$B$23*(1+Inputs!$B$24)^(AG$7-1)*1*AG12</f>
        <v>2.5</v>
      </c>
      <c r="AH15" s="118" t="n">
        <f aca="false">AH10*Inputs!$B$23*(1+Inputs!$B$24)^(AH$7-1)*1*AH12</f>
        <v>2.5</v>
      </c>
      <c r="AI15" s="118" t="n">
        <f aca="false">AI10*Inputs!$B$23*(1+Inputs!$B$24)^(AI$7-1)*1*AI12</f>
        <v>2.5</v>
      </c>
      <c r="AJ15" s="118" t="n">
        <f aca="false">AJ10*Inputs!$B$23*(1+Inputs!$B$24)^(AJ$7-1)*1*AJ12</f>
        <v>2.5</v>
      </c>
      <c r="AK15" s="118" t="n">
        <f aca="false">AK10*Inputs!$B$23*(1+Inputs!$B$24)^(AK$7-1)*1*AK12</f>
        <v>2.5</v>
      </c>
      <c r="AL15" s="118" t="n">
        <f aca="false">AL10*Inputs!$B$23*(1+Inputs!$B$24)^(AL$7-1)*1*AL12</f>
        <v>2.5</v>
      </c>
      <c r="AM15" s="118" t="n">
        <f aca="false">AM10*Inputs!$B$23*(1+Inputs!$B$24)^(AM$7-1)*1*AM12</f>
        <v>2.5</v>
      </c>
      <c r="AN15" s="118" t="n">
        <f aca="false">AN10*Inputs!$B$23*(1+Inputs!$B$24)^(AN$7-1)*1*AN12</f>
        <v>2.5</v>
      </c>
      <c r="AO15" s="118" t="n">
        <f aca="false">AO10*Inputs!$B$23*(1+Inputs!$B$24)^(AO$7-1)*1*AO12</f>
        <v>2.5</v>
      </c>
      <c r="AP15" s="118" t="n">
        <f aca="false">AP10*Inputs!$B$23*(1+Inputs!$B$24)^(AP$7-1)*1*AP12</f>
        <v>2.5</v>
      </c>
      <c r="AQ15" s="118" t="n">
        <f aca="false">AQ10*Inputs!$B$23*(1+Inputs!$B$24)^(AQ$7-1)*1*AQ12</f>
        <v>2.5</v>
      </c>
      <c r="AR15" s="118" t="n">
        <f aca="false">AR10*Inputs!$B$23*(1+Inputs!$B$24)^(AR$7-1)*1*AR12</f>
        <v>2.5</v>
      </c>
      <c r="AS15" s="118" t="n">
        <f aca="false">AS10*Inputs!$B$23*(1+Inputs!$B$24)^(AS$7-1)*1*AS12</f>
        <v>2.5</v>
      </c>
      <c r="AT15" s="118" t="n">
        <f aca="false">AT10*Inputs!$B$23*(1+Inputs!$B$24)^(AT$7-1)*1*AT12</f>
        <v>2.5</v>
      </c>
      <c r="AU15" s="118" t="n">
        <f aca="false">AU10*Inputs!$B$23*(1+Inputs!$B$24)^(AU$7-1)*1*AU12</f>
        <v>2.5</v>
      </c>
      <c r="AV15" s="118" t="n">
        <f aca="false">AV10*Inputs!$B$23*(1+Inputs!$B$24)^(AV$7-1)*1*AV12</f>
        <v>2.5</v>
      </c>
      <c r="AW15" s="118" t="n">
        <f aca="false">AW10*Inputs!$B$23*(1+Inputs!$B$24)^(AW$7-1)*1*AW12</f>
        <v>2.5</v>
      </c>
      <c r="AX15" s="118" t="n">
        <f aca="false">AX10*Inputs!$B$23*(1+Inputs!$B$24)^(AX$7-1)*1*AX12</f>
        <v>2.5</v>
      </c>
      <c r="AY15" s="118" t="n">
        <f aca="false">AY10*Inputs!$B$23*(1+Inputs!$B$24)^(AY$7-1)*1*AY12</f>
        <v>2.5</v>
      </c>
      <c r="AZ15" s="118" t="n">
        <f aca="false">AZ10*Inputs!$B$23*(1+Inputs!$B$24)^(AZ$7-1)*1*AZ12</f>
        <v>2.5</v>
      </c>
      <c r="BA15" s="118" t="n">
        <f aca="false">BA10*Inputs!$B$23*(1+Inputs!$B$24)^(BA$7-1)*1*BA12</f>
        <v>2.5</v>
      </c>
      <c r="BB15" s="118" t="n">
        <f aca="false">BB10*Inputs!$B$23*(1+Inputs!$B$24)^(BB$7-1)*1*BB12</f>
        <v>2.5</v>
      </c>
      <c r="BC15" s="118" t="n">
        <f aca="false">BC10*Inputs!$B$23*(1+Inputs!$B$24)^(BC$7-1)*1*BC12</f>
        <v>2.5</v>
      </c>
      <c r="BD15" s="118" t="n">
        <f aca="false">BD10*Inputs!$B$23*(1+Inputs!$B$24)^(BD$7-1)*1*BD12</f>
        <v>2.5</v>
      </c>
      <c r="BE15" s="118" t="n">
        <f aca="false">BE10*Inputs!$B$23*(1+Inputs!$B$24)^(BE$7-1)*1*BE12</f>
        <v>2.5</v>
      </c>
      <c r="BF15" s="118" t="n">
        <f aca="false">BF10*Inputs!$B$23*(1+Inputs!$B$24)^(BF$7-1)*1*BF12</f>
        <v>2.5</v>
      </c>
      <c r="BG15" s="118" t="n">
        <f aca="false">BG10*Inputs!$B$23*(1+Inputs!$B$24)^(BG$7-1)*1*BG12</f>
        <v>2.5</v>
      </c>
      <c r="BH15" s="118" t="n">
        <f aca="false">BH10*Inputs!$B$23*(1+Inputs!$B$24)^(BH$7-1)*1*BH12</f>
        <v>2.5</v>
      </c>
      <c r="BI15" s="118" t="n">
        <f aca="false">BI10*Inputs!$B$23*(1+Inputs!$B$24)^(BI$7-1)*1*BI12</f>
        <v>2.5</v>
      </c>
      <c r="BJ15" s="118" t="n">
        <f aca="false">BJ10*Inputs!$B$23*(1+Inputs!$B$24)^(BJ$7-1)*1*BJ12</f>
        <v>2.5</v>
      </c>
    </row>
    <row r="16" customFormat="false" ht="15" hidden="false" customHeight="false" outlineLevel="0" collapsed="false">
      <c r="A16" s="4" t="s">
        <v>418</v>
      </c>
      <c r="C16" s="119" t="n">
        <f aca="false">C14+C15</f>
        <v>12.775</v>
      </c>
      <c r="D16" s="119" t="n">
        <f aca="false">D14+D15</f>
        <v>12.9555555555556</v>
      </c>
      <c r="E16" s="119" t="n">
        <f aca="false">E14+E15</f>
        <v>19.9361111111111</v>
      </c>
      <c r="F16" s="119" t="n">
        <f aca="false">F14+F15</f>
        <v>20.1166666666667</v>
      </c>
      <c r="G16" s="119" t="n">
        <f aca="false">G14+G15</f>
        <v>20.2972222222222</v>
      </c>
      <c r="H16" s="119" t="n">
        <f aca="false">H14+H15</f>
        <v>20.4777777777778</v>
      </c>
      <c r="I16" s="119" t="n">
        <f aca="false">I14+I15</f>
        <v>20.6583333333333</v>
      </c>
      <c r="J16" s="119" t="n">
        <f aca="false">J14+J15</f>
        <v>20.8388888888889</v>
      </c>
      <c r="K16" s="119" t="n">
        <f aca="false">K14+K15</f>
        <v>21.0194444444444</v>
      </c>
      <c r="L16" s="119" t="n">
        <f aca="false">L14+L15</f>
        <v>21.2</v>
      </c>
      <c r="M16" s="119" t="n">
        <f aca="false">M14+M15</f>
        <v>21.2</v>
      </c>
      <c r="N16" s="119" t="n">
        <f aca="false">N14+N15</f>
        <v>14.4</v>
      </c>
      <c r="O16" s="119" t="n">
        <f aca="false">O14+O15</f>
        <v>14.4</v>
      </c>
      <c r="P16" s="119" t="n">
        <f aca="false">P14+P15</f>
        <v>14.4</v>
      </c>
      <c r="Q16" s="119" t="n">
        <f aca="false">Q14+Q15</f>
        <v>21.2</v>
      </c>
      <c r="R16" s="119" t="n">
        <f aca="false">R14+R15</f>
        <v>21.2</v>
      </c>
      <c r="S16" s="119" t="n">
        <f aca="false">S14+S15</f>
        <v>21.2</v>
      </c>
      <c r="T16" s="119" t="n">
        <f aca="false">T14+T15</f>
        <v>21.2</v>
      </c>
      <c r="U16" s="119" t="n">
        <f aca="false">U14+U15</f>
        <v>21.2</v>
      </c>
      <c r="V16" s="119" t="n">
        <f aca="false">V14+V15</f>
        <v>21.2</v>
      </c>
      <c r="W16" s="119" t="n">
        <f aca="false">W14+W15</f>
        <v>21.2</v>
      </c>
      <c r="X16" s="119" t="n">
        <f aca="false">X14+X15</f>
        <v>21.2</v>
      </c>
      <c r="Y16" s="119" t="n">
        <f aca="false">Y14+Y15</f>
        <v>21.2</v>
      </c>
      <c r="Z16" s="119" t="n">
        <f aca="false">Z14+Z15</f>
        <v>14.4</v>
      </c>
      <c r="AA16" s="119" t="n">
        <f aca="false">AA14+AA15</f>
        <v>14.4</v>
      </c>
      <c r="AB16" s="119" t="n">
        <f aca="false">AB14+AB15</f>
        <v>14.4</v>
      </c>
      <c r="AC16" s="119" t="n">
        <f aca="false">AC14+AC15</f>
        <v>21.2</v>
      </c>
      <c r="AD16" s="119" t="n">
        <f aca="false">AD14+AD15</f>
        <v>21.2</v>
      </c>
      <c r="AE16" s="119" t="n">
        <f aca="false">AE14+AE15</f>
        <v>21.2</v>
      </c>
      <c r="AF16" s="119" t="n">
        <f aca="false">AF14+AF15</f>
        <v>21.2</v>
      </c>
      <c r="AG16" s="119" t="n">
        <f aca="false">AG14+AG15</f>
        <v>21.2</v>
      </c>
      <c r="AH16" s="119" t="n">
        <f aca="false">AH14+AH15</f>
        <v>21.2</v>
      </c>
      <c r="AI16" s="119" t="n">
        <f aca="false">AI14+AI15</f>
        <v>21.2</v>
      </c>
      <c r="AJ16" s="119" t="n">
        <f aca="false">AJ14+AJ15</f>
        <v>21.2</v>
      </c>
      <c r="AK16" s="119" t="n">
        <f aca="false">AK14+AK15</f>
        <v>21.2</v>
      </c>
      <c r="AL16" s="119" t="n">
        <f aca="false">AL14+AL15</f>
        <v>14.4</v>
      </c>
      <c r="AM16" s="119" t="n">
        <f aca="false">AM14+AM15</f>
        <v>14.4</v>
      </c>
      <c r="AN16" s="119" t="n">
        <f aca="false">AN14+AN15</f>
        <v>14.4</v>
      </c>
      <c r="AO16" s="119" t="n">
        <f aca="false">AO14+AO15</f>
        <v>21.2</v>
      </c>
      <c r="AP16" s="119" t="n">
        <f aca="false">AP14+AP15</f>
        <v>21.2</v>
      </c>
      <c r="AQ16" s="119" t="n">
        <f aca="false">AQ14+AQ15</f>
        <v>21.2</v>
      </c>
      <c r="AR16" s="119" t="n">
        <f aca="false">AR14+AR15</f>
        <v>21.2</v>
      </c>
      <c r="AS16" s="119" t="n">
        <f aca="false">AS14+AS15</f>
        <v>21.2</v>
      </c>
      <c r="AT16" s="119" t="n">
        <f aca="false">AT14+AT15</f>
        <v>21.2</v>
      </c>
      <c r="AU16" s="119" t="n">
        <f aca="false">AU14+AU15</f>
        <v>21.2</v>
      </c>
      <c r="AV16" s="119" t="n">
        <f aca="false">AV14+AV15</f>
        <v>21.2</v>
      </c>
      <c r="AW16" s="119" t="n">
        <f aca="false">AW14+AW15</f>
        <v>21.2</v>
      </c>
      <c r="AX16" s="119" t="n">
        <f aca="false">AX14+AX15</f>
        <v>14.4</v>
      </c>
      <c r="AY16" s="119" t="n">
        <f aca="false">AY14+AY15</f>
        <v>14.4</v>
      </c>
      <c r="AZ16" s="119" t="n">
        <f aca="false">AZ14+AZ15</f>
        <v>14.4</v>
      </c>
      <c r="BA16" s="119" t="n">
        <f aca="false">BA14+BA15</f>
        <v>21.2</v>
      </c>
      <c r="BB16" s="119" t="n">
        <f aca="false">BB14+BB15</f>
        <v>21.2</v>
      </c>
      <c r="BC16" s="119" t="n">
        <f aca="false">BC14+BC15</f>
        <v>21.2</v>
      </c>
      <c r="BD16" s="119" t="n">
        <f aca="false">BD14+BD15</f>
        <v>21.2</v>
      </c>
      <c r="BE16" s="119" t="n">
        <f aca="false">BE14+BE15</f>
        <v>21.2</v>
      </c>
      <c r="BF16" s="119" t="n">
        <f aca="false">BF14+BF15</f>
        <v>21.2</v>
      </c>
      <c r="BG16" s="119" t="n">
        <f aca="false">BG14+BG15</f>
        <v>21.2</v>
      </c>
      <c r="BH16" s="119" t="n">
        <f aca="false">BH14+BH15</f>
        <v>21.2</v>
      </c>
      <c r="BI16" s="119" t="n">
        <f aca="false">BI14+BI15</f>
        <v>21.2</v>
      </c>
      <c r="BJ16" s="119" t="n">
        <f aca="false">BJ14+BJ15</f>
        <v>14.4</v>
      </c>
    </row>
    <row r="17" customFormat="false" ht="15" hidden="false" customHeight="false" outlineLevel="0" collapsed="false">
      <c r="A17" s="6" t="s">
        <v>419</v>
      </c>
      <c r="C17" s="116" t="n">
        <f aca="false">C14*Inputs!$B$17*(1+Inputs!$B$18)^(C$7-1)*C12</f>
        <v>324.87</v>
      </c>
      <c r="D17" s="116" t="n">
        <f aca="false">D14*Inputs!$B$17*(1+Inputs!$B$18)^(D$7-1)*D12</f>
        <v>391.906666666667</v>
      </c>
      <c r="E17" s="116" t="n">
        <f aca="false">E14*Inputs!$B$17*(1+Inputs!$B$18)^(E$7-1)*E12</f>
        <v>721.196666666667</v>
      </c>
      <c r="F17" s="116" t="n">
        <f aca="false">F14*Inputs!$B$17*(1+Inputs!$B$18)^(F$7-1)*F12</f>
        <v>826.54</v>
      </c>
      <c r="G17" s="116" t="n">
        <f aca="false">G14*Inputs!$B$17*(1+Inputs!$B$18)^(G$7-1)*G12</f>
        <v>931.883333333333</v>
      </c>
      <c r="H17" s="116" t="n">
        <f aca="false">H14*Inputs!$B$17*(1+Inputs!$B$18)^(H$7-1)*H12</f>
        <v>1037.22666666667</v>
      </c>
      <c r="I17" s="116" t="n">
        <f aca="false">I14*Inputs!$B$17*(1+Inputs!$B$18)^(I$7-1)*I12</f>
        <v>1142.57</v>
      </c>
      <c r="J17" s="116" t="n">
        <f aca="false">J14*Inputs!$B$17*(1+Inputs!$B$18)^(J$7-1)*J12</f>
        <v>1247.91333333333</v>
      </c>
      <c r="K17" s="116" t="n">
        <f aca="false">K14*Inputs!$B$17*(1+Inputs!$B$18)^(K$7-1)*K12</f>
        <v>1353.25666666667</v>
      </c>
      <c r="L17" s="116" t="n">
        <f aca="false">L14*Inputs!$B$17*(1+Inputs!$B$18)^(L$7-1)*L12</f>
        <v>1458.6</v>
      </c>
      <c r="M17" s="116" t="n">
        <f aca="false">M14*Inputs!$B$17*(1+Inputs!$B$18)^(M$7-1)*M12</f>
        <v>1458.6</v>
      </c>
      <c r="N17" s="116" t="n">
        <f aca="false">N14*Inputs!$B$17*(1+Inputs!$B$18)^(N$7-1)*N12</f>
        <v>928.2</v>
      </c>
      <c r="O17" s="116" t="n">
        <f aca="false">O14*Inputs!$B$17*(1+Inputs!$B$18)^(O$7-1)*O12</f>
        <v>928.2</v>
      </c>
      <c r="P17" s="116" t="n">
        <f aca="false">P14*Inputs!$B$17*(1+Inputs!$B$18)^(P$7-1)*P12</f>
        <v>928.2</v>
      </c>
      <c r="Q17" s="116" t="n">
        <f aca="false">Q14*Inputs!$B$17*(1+Inputs!$B$18)^(Q$7-1)*Q12</f>
        <v>1458.6</v>
      </c>
      <c r="R17" s="116" t="n">
        <f aca="false">R14*Inputs!$B$17*(1+Inputs!$B$18)^(R$7-1)*R12</f>
        <v>1458.6</v>
      </c>
      <c r="S17" s="116" t="n">
        <f aca="false">S14*Inputs!$B$17*(1+Inputs!$B$18)^(S$7-1)*S12</f>
        <v>1458.6</v>
      </c>
      <c r="T17" s="116" t="n">
        <f aca="false">T14*Inputs!$B$17*(1+Inputs!$B$18)^(T$7-1)*T12</f>
        <v>1458.6</v>
      </c>
      <c r="U17" s="116" t="n">
        <f aca="false">U14*Inputs!$B$17*(1+Inputs!$B$18)^(U$7-1)*U12</f>
        <v>1458.6</v>
      </c>
      <c r="V17" s="116" t="n">
        <f aca="false">V14*Inputs!$B$17*(1+Inputs!$B$18)^(V$7-1)*V12</f>
        <v>1458.6</v>
      </c>
      <c r="W17" s="116" t="n">
        <f aca="false">W14*Inputs!$B$17*(1+Inputs!$B$18)^(W$7-1)*W12</f>
        <v>1458.6</v>
      </c>
      <c r="X17" s="116" t="n">
        <f aca="false">X14*Inputs!$B$17*(1+Inputs!$B$18)^(X$7-1)*X12</f>
        <v>1458.6</v>
      </c>
      <c r="Y17" s="116" t="n">
        <f aca="false">Y14*Inputs!$B$17*(1+Inputs!$B$18)^(Y$7-1)*Y12</f>
        <v>1458.6</v>
      </c>
      <c r="Z17" s="116" t="n">
        <f aca="false">Z14*Inputs!$B$17*(1+Inputs!$B$18)^(Z$7-1)*Z12</f>
        <v>928.2</v>
      </c>
      <c r="AA17" s="116" t="n">
        <f aca="false">AA14*Inputs!$B$17*(1+Inputs!$B$18)^(AA$7-1)*AA12</f>
        <v>928.2</v>
      </c>
      <c r="AB17" s="116" t="n">
        <f aca="false">AB14*Inputs!$B$17*(1+Inputs!$B$18)^(AB$7-1)*AB12</f>
        <v>928.2</v>
      </c>
      <c r="AC17" s="116" t="n">
        <f aca="false">AC14*Inputs!$B$17*(1+Inputs!$B$18)^(AC$7-1)*AC12</f>
        <v>1458.6</v>
      </c>
      <c r="AD17" s="116" t="n">
        <f aca="false">AD14*Inputs!$B$17*(1+Inputs!$B$18)^(AD$7-1)*AD12</f>
        <v>1458.6</v>
      </c>
      <c r="AE17" s="116" t="n">
        <f aca="false">AE14*Inputs!$B$17*(1+Inputs!$B$18)^(AE$7-1)*AE12</f>
        <v>1458.6</v>
      </c>
      <c r="AF17" s="116" t="n">
        <f aca="false">AF14*Inputs!$B$17*(1+Inputs!$B$18)^(AF$7-1)*AF12</f>
        <v>1458.6</v>
      </c>
      <c r="AG17" s="116" t="n">
        <f aca="false">AG14*Inputs!$B$17*(1+Inputs!$B$18)^(AG$7-1)*AG12</f>
        <v>1458.6</v>
      </c>
      <c r="AH17" s="116" t="n">
        <f aca="false">AH14*Inputs!$B$17*(1+Inputs!$B$18)^(AH$7-1)*AH12</f>
        <v>1458.6</v>
      </c>
      <c r="AI17" s="116" t="n">
        <f aca="false">AI14*Inputs!$B$17*(1+Inputs!$B$18)^(AI$7-1)*AI12</f>
        <v>1458.6</v>
      </c>
      <c r="AJ17" s="116" t="n">
        <f aca="false">AJ14*Inputs!$B$17*(1+Inputs!$B$18)^(AJ$7-1)*AJ12</f>
        <v>1458.6</v>
      </c>
      <c r="AK17" s="116" t="n">
        <f aca="false">AK14*Inputs!$B$17*(1+Inputs!$B$18)^(AK$7-1)*AK12</f>
        <v>1458.6</v>
      </c>
      <c r="AL17" s="116" t="n">
        <f aca="false">AL14*Inputs!$B$17*(1+Inputs!$B$18)^(AL$7-1)*AL12</f>
        <v>928.2</v>
      </c>
      <c r="AM17" s="116" t="n">
        <f aca="false">AM14*Inputs!$B$17*(1+Inputs!$B$18)^(AM$7-1)*AM12</f>
        <v>928.2</v>
      </c>
      <c r="AN17" s="116" t="n">
        <f aca="false">AN14*Inputs!$B$17*(1+Inputs!$B$18)^(AN$7-1)*AN12</f>
        <v>928.2</v>
      </c>
      <c r="AO17" s="116" t="n">
        <f aca="false">AO14*Inputs!$B$17*(1+Inputs!$B$18)^(AO$7-1)*AO12</f>
        <v>1458.6</v>
      </c>
      <c r="AP17" s="116" t="n">
        <f aca="false">AP14*Inputs!$B$17*(1+Inputs!$B$18)^(AP$7-1)*AP12</f>
        <v>1458.6</v>
      </c>
      <c r="AQ17" s="116" t="n">
        <f aca="false">AQ14*Inputs!$B$17*(1+Inputs!$B$18)^(AQ$7-1)*AQ12</f>
        <v>1458.6</v>
      </c>
      <c r="AR17" s="116" t="n">
        <f aca="false">AR14*Inputs!$B$17*(1+Inputs!$B$18)^(AR$7-1)*AR12</f>
        <v>1458.6</v>
      </c>
      <c r="AS17" s="116" t="n">
        <f aca="false">AS14*Inputs!$B$17*(1+Inputs!$B$18)^(AS$7-1)*AS12</f>
        <v>1458.6</v>
      </c>
      <c r="AT17" s="116" t="n">
        <f aca="false">AT14*Inputs!$B$17*(1+Inputs!$B$18)^(AT$7-1)*AT12</f>
        <v>1458.6</v>
      </c>
      <c r="AU17" s="116" t="n">
        <f aca="false">AU14*Inputs!$B$17*(1+Inputs!$B$18)^(AU$7-1)*AU12</f>
        <v>1458.6</v>
      </c>
      <c r="AV17" s="116" t="n">
        <f aca="false">AV14*Inputs!$B$17*(1+Inputs!$B$18)^(AV$7-1)*AV12</f>
        <v>1458.6</v>
      </c>
      <c r="AW17" s="116" t="n">
        <f aca="false">AW14*Inputs!$B$17*(1+Inputs!$B$18)^(AW$7-1)*AW12</f>
        <v>1458.6</v>
      </c>
      <c r="AX17" s="116" t="n">
        <f aca="false">AX14*Inputs!$B$17*(1+Inputs!$B$18)^(AX$7-1)*AX12</f>
        <v>928.2</v>
      </c>
      <c r="AY17" s="116" t="n">
        <f aca="false">AY14*Inputs!$B$17*(1+Inputs!$B$18)^(AY$7-1)*AY12</f>
        <v>928.2</v>
      </c>
      <c r="AZ17" s="116" t="n">
        <f aca="false">AZ14*Inputs!$B$17*(1+Inputs!$B$18)^(AZ$7-1)*AZ12</f>
        <v>928.2</v>
      </c>
      <c r="BA17" s="116" t="n">
        <f aca="false">BA14*Inputs!$B$17*(1+Inputs!$B$18)^(BA$7-1)*BA12</f>
        <v>1458.6</v>
      </c>
      <c r="BB17" s="116" t="n">
        <f aca="false">BB14*Inputs!$B$17*(1+Inputs!$B$18)^(BB$7-1)*BB12</f>
        <v>1458.6</v>
      </c>
      <c r="BC17" s="116" t="n">
        <f aca="false">BC14*Inputs!$B$17*(1+Inputs!$B$18)^(BC$7-1)*BC12</f>
        <v>1458.6</v>
      </c>
      <c r="BD17" s="116" t="n">
        <f aca="false">BD14*Inputs!$B$17*(1+Inputs!$B$18)^(BD$7-1)*BD12</f>
        <v>1458.6</v>
      </c>
      <c r="BE17" s="116" t="n">
        <f aca="false">BE14*Inputs!$B$17*(1+Inputs!$B$18)^(BE$7-1)*BE12</f>
        <v>1458.6</v>
      </c>
      <c r="BF17" s="116" t="n">
        <f aca="false">BF14*Inputs!$B$17*(1+Inputs!$B$18)^(BF$7-1)*BF12</f>
        <v>1458.6</v>
      </c>
      <c r="BG17" s="116" t="n">
        <f aca="false">BG14*Inputs!$B$17*(1+Inputs!$B$18)^(BG$7-1)*BG12</f>
        <v>1458.6</v>
      </c>
      <c r="BH17" s="116" t="n">
        <f aca="false">BH14*Inputs!$B$17*(1+Inputs!$B$18)^(BH$7-1)*BH12</f>
        <v>1458.6</v>
      </c>
      <c r="BI17" s="116" t="n">
        <f aca="false">BI14*Inputs!$B$17*(1+Inputs!$B$18)^(BI$7-1)*BI12</f>
        <v>1458.6</v>
      </c>
      <c r="BJ17" s="116" t="n">
        <f aca="false">BJ14*Inputs!$B$17*(1+Inputs!$B$18)^(BJ$7-1)*BJ12</f>
        <v>928.2</v>
      </c>
    </row>
    <row r="18" customFormat="false" ht="15" hidden="false" customHeight="false" outlineLevel="0" collapsed="false">
      <c r="A18" s="6" t="s">
        <v>420</v>
      </c>
      <c r="C18" s="116" t="n">
        <f aca="false">C15*Inputs!$B$26</f>
        <v>87.5</v>
      </c>
      <c r="D18" s="116" t="n">
        <f aca="false">D15*Inputs!$B$26</f>
        <v>105.555555555556</v>
      </c>
      <c r="E18" s="116" t="n">
        <f aca="false">E15*Inputs!$B$26</f>
        <v>123.611111111111</v>
      </c>
      <c r="F18" s="116" t="n">
        <f aca="false">F15*Inputs!$B$26</f>
        <v>141.666666666667</v>
      </c>
      <c r="G18" s="116" t="n">
        <f aca="false">G15*Inputs!$B$26</f>
        <v>159.722222222222</v>
      </c>
      <c r="H18" s="116" t="n">
        <f aca="false">H15*Inputs!$B$26</f>
        <v>177.777777777778</v>
      </c>
      <c r="I18" s="116" t="n">
        <f aca="false">I15*Inputs!$B$26</f>
        <v>195.833333333333</v>
      </c>
      <c r="J18" s="116" t="n">
        <f aca="false">J15*Inputs!$B$26</f>
        <v>213.888888888889</v>
      </c>
      <c r="K18" s="116" t="n">
        <f aca="false">K15*Inputs!$B$26</f>
        <v>231.944444444444</v>
      </c>
      <c r="L18" s="116" t="n">
        <f aca="false">L15*Inputs!$B$26</f>
        <v>250</v>
      </c>
      <c r="M18" s="116" t="n">
        <f aca="false">M15*Inputs!$B$26</f>
        <v>250</v>
      </c>
      <c r="N18" s="116" t="n">
        <f aca="false">N15*Inputs!$B$26</f>
        <v>250</v>
      </c>
      <c r="O18" s="116" t="n">
        <f aca="false">O15*Inputs!$B$26</f>
        <v>250</v>
      </c>
      <c r="P18" s="116" t="n">
        <f aca="false">P15*Inputs!$B$26</f>
        <v>250</v>
      </c>
      <c r="Q18" s="116" t="n">
        <f aca="false">Q15*Inputs!$B$26</f>
        <v>250</v>
      </c>
      <c r="R18" s="116" t="n">
        <f aca="false">R15*Inputs!$B$26</f>
        <v>250</v>
      </c>
      <c r="S18" s="116" t="n">
        <f aca="false">S15*Inputs!$B$26</f>
        <v>250</v>
      </c>
      <c r="T18" s="116" t="n">
        <f aca="false">T15*Inputs!$B$26</f>
        <v>250</v>
      </c>
      <c r="U18" s="116" t="n">
        <f aca="false">U15*Inputs!$B$26</f>
        <v>250</v>
      </c>
      <c r="V18" s="116" t="n">
        <f aca="false">V15*Inputs!$B$26</f>
        <v>250</v>
      </c>
      <c r="W18" s="116" t="n">
        <f aca="false">W15*Inputs!$B$26</f>
        <v>250</v>
      </c>
      <c r="X18" s="116" t="n">
        <f aca="false">X15*Inputs!$B$26</f>
        <v>250</v>
      </c>
      <c r="Y18" s="116" t="n">
        <f aca="false">Y15*Inputs!$B$26</f>
        <v>250</v>
      </c>
      <c r="Z18" s="116" t="n">
        <f aca="false">Z15*Inputs!$B$26</f>
        <v>250</v>
      </c>
      <c r="AA18" s="116" t="n">
        <f aca="false">AA15*Inputs!$B$26</f>
        <v>250</v>
      </c>
      <c r="AB18" s="116" t="n">
        <f aca="false">AB15*Inputs!$B$26</f>
        <v>250</v>
      </c>
      <c r="AC18" s="116" t="n">
        <f aca="false">AC15*Inputs!$B$26</f>
        <v>250</v>
      </c>
      <c r="AD18" s="116" t="n">
        <f aca="false">AD15*Inputs!$B$26</f>
        <v>250</v>
      </c>
      <c r="AE18" s="116" t="n">
        <f aca="false">AE15*Inputs!$B$26</f>
        <v>250</v>
      </c>
      <c r="AF18" s="116" t="n">
        <f aca="false">AF15*Inputs!$B$26</f>
        <v>250</v>
      </c>
      <c r="AG18" s="116" t="n">
        <f aca="false">AG15*Inputs!$B$26</f>
        <v>250</v>
      </c>
      <c r="AH18" s="116" t="n">
        <f aca="false">AH15*Inputs!$B$26</f>
        <v>250</v>
      </c>
      <c r="AI18" s="116" t="n">
        <f aca="false">AI15*Inputs!$B$26</f>
        <v>250</v>
      </c>
      <c r="AJ18" s="116" t="n">
        <f aca="false">AJ15*Inputs!$B$26</f>
        <v>250</v>
      </c>
      <c r="AK18" s="116" t="n">
        <f aca="false">AK15*Inputs!$B$26</f>
        <v>250</v>
      </c>
      <c r="AL18" s="116" t="n">
        <f aca="false">AL15*Inputs!$B$26</f>
        <v>250</v>
      </c>
      <c r="AM18" s="116" t="n">
        <f aca="false">AM15*Inputs!$B$26</f>
        <v>250</v>
      </c>
      <c r="AN18" s="116" t="n">
        <f aca="false">AN15*Inputs!$B$26</f>
        <v>250</v>
      </c>
      <c r="AO18" s="116" t="n">
        <f aca="false">AO15*Inputs!$B$26</f>
        <v>250</v>
      </c>
      <c r="AP18" s="116" t="n">
        <f aca="false">AP15*Inputs!$B$26</f>
        <v>250</v>
      </c>
      <c r="AQ18" s="116" t="n">
        <f aca="false">AQ15*Inputs!$B$26</f>
        <v>250</v>
      </c>
      <c r="AR18" s="116" t="n">
        <f aca="false">AR15*Inputs!$B$26</f>
        <v>250</v>
      </c>
      <c r="AS18" s="116" t="n">
        <f aca="false">AS15*Inputs!$B$26</f>
        <v>250</v>
      </c>
      <c r="AT18" s="116" t="n">
        <f aca="false">AT15*Inputs!$B$26</f>
        <v>250</v>
      </c>
      <c r="AU18" s="116" t="n">
        <f aca="false">AU15*Inputs!$B$26</f>
        <v>250</v>
      </c>
      <c r="AV18" s="116" t="n">
        <f aca="false">AV15*Inputs!$B$26</f>
        <v>250</v>
      </c>
      <c r="AW18" s="116" t="n">
        <f aca="false">AW15*Inputs!$B$26</f>
        <v>250</v>
      </c>
      <c r="AX18" s="116" t="n">
        <f aca="false">AX15*Inputs!$B$26</f>
        <v>250</v>
      </c>
      <c r="AY18" s="116" t="n">
        <f aca="false">AY15*Inputs!$B$26</f>
        <v>250</v>
      </c>
      <c r="AZ18" s="116" t="n">
        <f aca="false">AZ15*Inputs!$B$26</f>
        <v>250</v>
      </c>
      <c r="BA18" s="116" t="n">
        <f aca="false">BA15*Inputs!$B$26</f>
        <v>250</v>
      </c>
      <c r="BB18" s="116" t="n">
        <f aca="false">BB15*Inputs!$B$26</f>
        <v>250</v>
      </c>
      <c r="BC18" s="116" t="n">
        <f aca="false">BC15*Inputs!$B$26</f>
        <v>250</v>
      </c>
      <c r="BD18" s="116" t="n">
        <f aca="false">BD15*Inputs!$B$26</f>
        <v>250</v>
      </c>
      <c r="BE18" s="116" t="n">
        <f aca="false">BE15*Inputs!$B$26</f>
        <v>250</v>
      </c>
      <c r="BF18" s="116" t="n">
        <f aca="false">BF15*Inputs!$B$26</f>
        <v>250</v>
      </c>
      <c r="BG18" s="116" t="n">
        <f aca="false">BG15*Inputs!$B$26</f>
        <v>250</v>
      </c>
      <c r="BH18" s="116" t="n">
        <f aca="false">BH15*Inputs!$B$26</f>
        <v>250</v>
      </c>
      <c r="BI18" s="116" t="n">
        <f aca="false">BI15*Inputs!$B$26</f>
        <v>250</v>
      </c>
      <c r="BJ18" s="116" t="n">
        <f aca="false">BJ15*Inputs!$B$26</f>
        <v>250</v>
      </c>
    </row>
    <row r="19" customFormat="false" ht="15" hidden="false" customHeight="false" outlineLevel="0" collapsed="false">
      <c r="A19" s="4" t="s">
        <v>421</v>
      </c>
      <c r="C19" s="120" t="n">
        <f aca="false">C17+C18</f>
        <v>412.37</v>
      </c>
      <c r="D19" s="120" t="n">
        <f aca="false">D17+D18</f>
        <v>497.462222222222</v>
      </c>
      <c r="E19" s="120" t="n">
        <f aca="false">E17+E18</f>
        <v>844.807777777778</v>
      </c>
      <c r="F19" s="120" t="n">
        <f aca="false">F17+F18</f>
        <v>968.206666666667</v>
      </c>
      <c r="G19" s="120" t="n">
        <f aca="false">G17+G18</f>
        <v>1091.60555555556</v>
      </c>
      <c r="H19" s="120" t="n">
        <f aca="false">H17+H18</f>
        <v>1215.00444444444</v>
      </c>
      <c r="I19" s="120" t="n">
        <f aca="false">I17+I18</f>
        <v>1338.40333333333</v>
      </c>
      <c r="J19" s="120" t="n">
        <f aca="false">J17+J18</f>
        <v>1461.80222222222</v>
      </c>
      <c r="K19" s="120" t="n">
        <f aca="false">K17+K18</f>
        <v>1585.20111111111</v>
      </c>
      <c r="L19" s="120" t="n">
        <f aca="false">L17+L18</f>
        <v>1708.6</v>
      </c>
      <c r="M19" s="120" t="n">
        <f aca="false">M17+M18</f>
        <v>1708.6</v>
      </c>
      <c r="N19" s="120" t="n">
        <f aca="false">N17+N18</f>
        <v>1178.2</v>
      </c>
      <c r="O19" s="120" t="n">
        <f aca="false">O17+O18</f>
        <v>1178.2</v>
      </c>
      <c r="P19" s="120" t="n">
        <f aca="false">P17+P18</f>
        <v>1178.2</v>
      </c>
      <c r="Q19" s="120" t="n">
        <f aca="false">Q17+Q18</f>
        <v>1708.6</v>
      </c>
      <c r="R19" s="120" t="n">
        <f aca="false">R17+R18</f>
        <v>1708.6</v>
      </c>
      <c r="S19" s="120" t="n">
        <f aca="false">S17+S18</f>
        <v>1708.6</v>
      </c>
      <c r="T19" s="120" t="n">
        <f aca="false">T17+T18</f>
        <v>1708.6</v>
      </c>
      <c r="U19" s="120" t="n">
        <f aca="false">U17+U18</f>
        <v>1708.6</v>
      </c>
      <c r="V19" s="120" t="n">
        <f aca="false">V17+V18</f>
        <v>1708.6</v>
      </c>
      <c r="W19" s="120" t="n">
        <f aca="false">W17+W18</f>
        <v>1708.6</v>
      </c>
      <c r="X19" s="120" t="n">
        <f aca="false">X17+X18</f>
        <v>1708.6</v>
      </c>
      <c r="Y19" s="120" t="n">
        <f aca="false">Y17+Y18</f>
        <v>1708.6</v>
      </c>
      <c r="Z19" s="120" t="n">
        <f aca="false">Z17+Z18</f>
        <v>1178.2</v>
      </c>
      <c r="AA19" s="120" t="n">
        <f aca="false">AA17+AA18</f>
        <v>1178.2</v>
      </c>
      <c r="AB19" s="120" t="n">
        <f aca="false">AB17+AB18</f>
        <v>1178.2</v>
      </c>
      <c r="AC19" s="120" t="n">
        <f aca="false">AC17+AC18</f>
        <v>1708.6</v>
      </c>
      <c r="AD19" s="120" t="n">
        <f aca="false">AD17+AD18</f>
        <v>1708.6</v>
      </c>
      <c r="AE19" s="120" t="n">
        <f aca="false">AE17+AE18</f>
        <v>1708.6</v>
      </c>
      <c r="AF19" s="120" t="n">
        <f aca="false">AF17+AF18</f>
        <v>1708.6</v>
      </c>
      <c r="AG19" s="120" t="n">
        <f aca="false">AG17+AG18</f>
        <v>1708.6</v>
      </c>
      <c r="AH19" s="120" t="n">
        <f aca="false">AH17+AH18</f>
        <v>1708.6</v>
      </c>
      <c r="AI19" s="120" t="n">
        <f aca="false">AI17+AI18</f>
        <v>1708.6</v>
      </c>
      <c r="AJ19" s="120" t="n">
        <f aca="false">AJ17+AJ18</f>
        <v>1708.6</v>
      </c>
      <c r="AK19" s="120" t="n">
        <f aca="false">AK17+AK18</f>
        <v>1708.6</v>
      </c>
      <c r="AL19" s="120" t="n">
        <f aca="false">AL17+AL18</f>
        <v>1178.2</v>
      </c>
      <c r="AM19" s="120" t="n">
        <f aca="false">AM17+AM18</f>
        <v>1178.2</v>
      </c>
      <c r="AN19" s="120" t="n">
        <f aca="false">AN17+AN18</f>
        <v>1178.2</v>
      </c>
      <c r="AO19" s="120" t="n">
        <f aca="false">AO17+AO18</f>
        <v>1708.6</v>
      </c>
      <c r="AP19" s="120" t="n">
        <f aca="false">AP17+AP18</f>
        <v>1708.6</v>
      </c>
      <c r="AQ19" s="120" t="n">
        <f aca="false">AQ17+AQ18</f>
        <v>1708.6</v>
      </c>
      <c r="AR19" s="120" t="n">
        <f aca="false">AR17+AR18</f>
        <v>1708.6</v>
      </c>
      <c r="AS19" s="120" t="n">
        <f aca="false">AS17+AS18</f>
        <v>1708.6</v>
      </c>
      <c r="AT19" s="120" t="n">
        <f aca="false">AT17+AT18</f>
        <v>1708.6</v>
      </c>
      <c r="AU19" s="120" t="n">
        <f aca="false">AU17+AU18</f>
        <v>1708.6</v>
      </c>
      <c r="AV19" s="120" t="n">
        <f aca="false">AV17+AV18</f>
        <v>1708.6</v>
      </c>
      <c r="AW19" s="120" t="n">
        <f aca="false">AW17+AW18</f>
        <v>1708.6</v>
      </c>
      <c r="AX19" s="120" t="n">
        <f aca="false">AX17+AX18</f>
        <v>1178.2</v>
      </c>
      <c r="AY19" s="120" t="n">
        <f aca="false">AY17+AY18</f>
        <v>1178.2</v>
      </c>
      <c r="AZ19" s="120" t="n">
        <f aca="false">AZ17+AZ18</f>
        <v>1178.2</v>
      </c>
      <c r="BA19" s="120" t="n">
        <f aca="false">BA17+BA18</f>
        <v>1708.6</v>
      </c>
      <c r="BB19" s="120" t="n">
        <f aca="false">BB17+BB18</f>
        <v>1708.6</v>
      </c>
      <c r="BC19" s="120" t="n">
        <f aca="false">BC17+BC18</f>
        <v>1708.6</v>
      </c>
      <c r="BD19" s="120" t="n">
        <f aca="false">BD17+BD18</f>
        <v>1708.6</v>
      </c>
      <c r="BE19" s="120" t="n">
        <f aca="false">BE17+BE18</f>
        <v>1708.6</v>
      </c>
      <c r="BF19" s="120" t="n">
        <f aca="false">BF17+BF18</f>
        <v>1708.6</v>
      </c>
      <c r="BG19" s="120" t="n">
        <f aca="false">BG17+BG18</f>
        <v>1708.6</v>
      </c>
      <c r="BH19" s="120" t="n">
        <f aca="false">BH17+BH18</f>
        <v>1708.6</v>
      </c>
      <c r="BI19" s="120" t="n">
        <f aca="false">BI17+BI18</f>
        <v>1708.6</v>
      </c>
      <c r="BJ19" s="120" t="n">
        <f aca="false">BJ17+BJ18</f>
        <v>1178.2</v>
      </c>
    </row>
    <row r="21" customFormat="false" ht="15.75" hidden="false" customHeight="true" outlineLevel="0" collapsed="false">
      <c r="A21" s="7" t="s">
        <v>44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customFormat="false" ht="15" hidden="false" customHeight="false" outlineLevel="0" collapsed="false">
      <c r="A22" s="6" t="s">
        <v>422</v>
      </c>
      <c r="C22" s="121" t="n">
        <f aca="false">Inputs!$B$19*(1+Inputs!$B$20)^(C$7-1)</f>
        <v>13</v>
      </c>
      <c r="D22" s="121" t="n">
        <f aca="false">Inputs!$B$19*(1+Inputs!$B$20)^(D$7-1)</f>
        <v>13</v>
      </c>
      <c r="E22" s="121" t="n">
        <f aca="false">Inputs!$B$19*(1+Inputs!$B$20)^(E$7-1)</f>
        <v>13</v>
      </c>
      <c r="F22" s="121" t="n">
        <f aca="false">Inputs!$B$19*(1+Inputs!$B$20)^(F$7-1)</f>
        <v>13</v>
      </c>
      <c r="G22" s="121" t="n">
        <f aca="false">Inputs!$B$19*(1+Inputs!$B$20)^(G$7-1)</f>
        <v>13</v>
      </c>
      <c r="H22" s="121" t="n">
        <f aca="false">Inputs!$B$19*(1+Inputs!$B$20)^(H$7-1)</f>
        <v>13</v>
      </c>
      <c r="I22" s="121" t="n">
        <f aca="false">Inputs!$B$19*(1+Inputs!$B$20)^(I$7-1)</f>
        <v>13</v>
      </c>
      <c r="J22" s="121" t="n">
        <f aca="false">Inputs!$B$19*(1+Inputs!$B$20)^(J$7-1)</f>
        <v>13</v>
      </c>
      <c r="K22" s="121" t="n">
        <f aca="false">Inputs!$B$19*(1+Inputs!$B$20)^(K$7-1)</f>
        <v>13</v>
      </c>
      <c r="L22" s="121" t="n">
        <f aca="false">Inputs!$B$19*(1+Inputs!$B$20)^(L$7-1)</f>
        <v>13</v>
      </c>
      <c r="M22" s="121" t="n">
        <f aca="false">Inputs!$B$19*(1+Inputs!$B$20)^(M$7-1)</f>
        <v>13</v>
      </c>
      <c r="N22" s="121" t="n">
        <f aca="false">Inputs!$B$19*(1+Inputs!$B$20)^(N$7-1)</f>
        <v>13</v>
      </c>
      <c r="O22" s="121" t="n">
        <f aca="false">Inputs!$B$19*(1+Inputs!$B$20)^(O$7-1)</f>
        <v>13.26</v>
      </c>
      <c r="P22" s="121" t="n">
        <f aca="false">Inputs!$B$19*(1+Inputs!$B$20)^(P$7-1)</f>
        <v>13.26</v>
      </c>
      <c r="Q22" s="121" t="n">
        <f aca="false">Inputs!$B$19*(1+Inputs!$B$20)^(Q$7-1)</f>
        <v>13.26</v>
      </c>
      <c r="R22" s="121" t="n">
        <f aca="false">Inputs!$B$19*(1+Inputs!$B$20)^(R$7-1)</f>
        <v>13.26</v>
      </c>
      <c r="S22" s="121" t="n">
        <f aca="false">Inputs!$B$19*(1+Inputs!$B$20)^(S$7-1)</f>
        <v>13.26</v>
      </c>
      <c r="T22" s="121" t="n">
        <f aca="false">Inputs!$B$19*(1+Inputs!$B$20)^(T$7-1)</f>
        <v>13.26</v>
      </c>
      <c r="U22" s="121" t="n">
        <f aca="false">Inputs!$B$19*(1+Inputs!$B$20)^(U$7-1)</f>
        <v>13.26</v>
      </c>
      <c r="V22" s="121" t="n">
        <f aca="false">Inputs!$B$19*(1+Inputs!$B$20)^(V$7-1)</f>
        <v>13.26</v>
      </c>
      <c r="W22" s="121" t="n">
        <f aca="false">Inputs!$B$19*(1+Inputs!$B$20)^(W$7-1)</f>
        <v>13.26</v>
      </c>
      <c r="X22" s="121" t="n">
        <f aca="false">Inputs!$B$19*(1+Inputs!$B$20)^(X$7-1)</f>
        <v>13.26</v>
      </c>
      <c r="Y22" s="121" t="n">
        <f aca="false">Inputs!$B$19*(1+Inputs!$B$20)^(Y$7-1)</f>
        <v>13.26</v>
      </c>
      <c r="Z22" s="121" t="n">
        <f aca="false">Inputs!$B$19*(1+Inputs!$B$20)^(Z$7-1)</f>
        <v>13.26</v>
      </c>
      <c r="AA22" s="121" t="n">
        <f aca="false">Inputs!$B$19*(1+Inputs!$B$20)^(AA$7-1)</f>
        <v>13.5252</v>
      </c>
      <c r="AB22" s="121" t="n">
        <f aca="false">Inputs!$B$19*(1+Inputs!$B$20)^(AB$7-1)</f>
        <v>13.5252</v>
      </c>
      <c r="AC22" s="121" t="n">
        <f aca="false">Inputs!$B$19*(1+Inputs!$B$20)^(AC$7-1)</f>
        <v>13.5252</v>
      </c>
      <c r="AD22" s="121" t="n">
        <f aca="false">Inputs!$B$19*(1+Inputs!$B$20)^(AD$7-1)</f>
        <v>13.5252</v>
      </c>
      <c r="AE22" s="121" t="n">
        <f aca="false">Inputs!$B$19*(1+Inputs!$B$20)^(AE$7-1)</f>
        <v>13.5252</v>
      </c>
      <c r="AF22" s="121" t="n">
        <f aca="false">Inputs!$B$19*(1+Inputs!$B$20)^(AF$7-1)</f>
        <v>13.5252</v>
      </c>
      <c r="AG22" s="121" t="n">
        <f aca="false">Inputs!$B$19*(1+Inputs!$B$20)^(AG$7-1)</f>
        <v>13.5252</v>
      </c>
      <c r="AH22" s="121" t="n">
        <f aca="false">Inputs!$B$19*(1+Inputs!$B$20)^(AH$7-1)</f>
        <v>13.5252</v>
      </c>
      <c r="AI22" s="121" t="n">
        <f aca="false">Inputs!$B$19*(1+Inputs!$B$20)^(AI$7-1)</f>
        <v>13.5252</v>
      </c>
      <c r="AJ22" s="121" t="n">
        <f aca="false">Inputs!$B$19*(1+Inputs!$B$20)^(AJ$7-1)</f>
        <v>13.5252</v>
      </c>
      <c r="AK22" s="121" t="n">
        <f aca="false">Inputs!$B$19*(1+Inputs!$B$20)^(AK$7-1)</f>
        <v>13.5252</v>
      </c>
      <c r="AL22" s="121" t="n">
        <f aca="false">Inputs!$B$19*(1+Inputs!$B$20)^(AL$7-1)</f>
        <v>13.5252</v>
      </c>
      <c r="AM22" s="121" t="n">
        <f aca="false">Inputs!$B$19*(1+Inputs!$B$20)^(AM$7-1)</f>
        <v>13.795704</v>
      </c>
      <c r="AN22" s="121" t="n">
        <f aca="false">Inputs!$B$19*(1+Inputs!$B$20)^(AN$7-1)</f>
        <v>13.795704</v>
      </c>
      <c r="AO22" s="121" t="n">
        <f aca="false">Inputs!$B$19*(1+Inputs!$B$20)^(AO$7-1)</f>
        <v>13.795704</v>
      </c>
      <c r="AP22" s="121" t="n">
        <f aca="false">Inputs!$B$19*(1+Inputs!$B$20)^(AP$7-1)</f>
        <v>13.795704</v>
      </c>
      <c r="AQ22" s="121" t="n">
        <f aca="false">Inputs!$B$19*(1+Inputs!$B$20)^(AQ$7-1)</f>
        <v>13.795704</v>
      </c>
      <c r="AR22" s="121" t="n">
        <f aca="false">Inputs!$B$19*(1+Inputs!$B$20)^(AR$7-1)</f>
        <v>13.795704</v>
      </c>
      <c r="AS22" s="121" t="n">
        <f aca="false">Inputs!$B$19*(1+Inputs!$B$20)^(AS$7-1)</f>
        <v>13.795704</v>
      </c>
      <c r="AT22" s="121" t="n">
        <f aca="false">Inputs!$B$19*(1+Inputs!$B$20)^(AT$7-1)</f>
        <v>13.795704</v>
      </c>
      <c r="AU22" s="121" t="n">
        <f aca="false">Inputs!$B$19*(1+Inputs!$B$20)^(AU$7-1)</f>
        <v>13.795704</v>
      </c>
      <c r="AV22" s="121" t="n">
        <f aca="false">Inputs!$B$19*(1+Inputs!$B$20)^(AV$7-1)</f>
        <v>13.795704</v>
      </c>
      <c r="AW22" s="121" t="n">
        <f aca="false">Inputs!$B$19*(1+Inputs!$B$20)^(AW$7-1)</f>
        <v>13.795704</v>
      </c>
      <c r="AX22" s="121" t="n">
        <f aca="false">Inputs!$B$19*(1+Inputs!$B$20)^(AX$7-1)</f>
        <v>13.795704</v>
      </c>
      <c r="AY22" s="121" t="n">
        <f aca="false">Inputs!$B$19*(1+Inputs!$B$20)^(AY$7-1)</f>
        <v>14.07161808</v>
      </c>
      <c r="AZ22" s="121" t="n">
        <f aca="false">Inputs!$B$19*(1+Inputs!$B$20)^(AZ$7-1)</f>
        <v>14.07161808</v>
      </c>
      <c r="BA22" s="121" t="n">
        <f aca="false">Inputs!$B$19*(1+Inputs!$B$20)^(BA$7-1)</f>
        <v>14.07161808</v>
      </c>
      <c r="BB22" s="121" t="n">
        <f aca="false">Inputs!$B$19*(1+Inputs!$B$20)^(BB$7-1)</f>
        <v>14.07161808</v>
      </c>
      <c r="BC22" s="121" t="n">
        <f aca="false">Inputs!$B$19*(1+Inputs!$B$20)^(BC$7-1)</f>
        <v>14.07161808</v>
      </c>
      <c r="BD22" s="121" t="n">
        <f aca="false">Inputs!$B$19*(1+Inputs!$B$20)^(BD$7-1)</f>
        <v>14.07161808</v>
      </c>
      <c r="BE22" s="121" t="n">
        <f aca="false">Inputs!$B$19*(1+Inputs!$B$20)^(BE$7-1)</f>
        <v>14.07161808</v>
      </c>
      <c r="BF22" s="121" t="n">
        <f aca="false">Inputs!$B$19*(1+Inputs!$B$20)^(BF$7-1)</f>
        <v>14.07161808</v>
      </c>
      <c r="BG22" s="121" t="n">
        <f aca="false">Inputs!$B$19*(1+Inputs!$B$20)^(BG$7-1)</f>
        <v>14.07161808</v>
      </c>
      <c r="BH22" s="121" t="n">
        <f aca="false">Inputs!$B$19*(1+Inputs!$B$20)^(BH$7-1)</f>
        <v>14.07161808</v>
      </c>
      <c r="BI22" s="121" t="n">
        <f aca="false">Inputs!$B$19*(1+Inputs!$B$20)^(BI$7-1)</f>
        <v>14.07161808</v>
      </c>
      <c r="BJ22" s="121" t="n">
        <f aca="false">Inputs!$B$19*(1+Inputs!$B$20)^(BJ$7-1)</f>
        <v>14.07161808</v>
      </c>
    </row>
    <row r="23" customFormat="false" ht="15" hidden="false" customHeight="false" outlineLevel="0" collapsed="false">
      <c r="A23" s="6" t="s">
        <v>423</v>
      </c>
      <c r="C23" s="67" t="n">
        <f aca="false">Inputs!$B$25*(1+Inputs!$B$20)^(C$7-1)</f>
        <v>1250</v>
      </c>
      <c r="D23" s="67" t="n">
        <f aca="false">Inputs!$B$25*(1+Inputs!$B$20)^(D$7-1)</f>
        <v>1250</v>
      </c>
      <c r="E23" s="67" t="n">
        <f aca="false">Inputs!$B$25*(1+Inputs!$B$20)^(E$7-1)</f>
        <v>1250</v>
      </c>
      <c r="F23" s="67" t="n">
        <f aca="false">Inputs!$B$25*(1+Inputs!$B$20)^(F$7-1)</f>
        <v>1250</v>
      </c>
      <c r="G23" s="67" t="n">
        <f aca="false">Inputs!$B$25*(1+Inputs!$B$20)^(G$7-1)</f>
        <v>1250</v>
      </c>
      <c r="H23" s="67" t="n">
        <f aca="false">Inputs!$B$25*(1+Inputs!$B$20)^(H$7-1)</f>
        <v>1250</v>
      </c>
      <c r="I23" s="67" t="n">
        <f aca="false">Inputs!$B$25*(1+Inputs!$B$20)^(I$7-1)</f>
        <v>1250</v>
      </c>
      <c r="J23" s="67" t="n">
        <f aca="false">Inputs!$B$25*(1+Inputs!$B$20)^(J$7-1)</f>
        <v>1250</v>
      </c>
      <c r="K23" s="67" t="n">
        <f aca="false">Inputs!$B$25*(1+Inputs!$B$20)^(K$7-1)</f>
        <v>1250</v>
      </c>
      <c r="L23" s="67" t="n">
        <f aca="false">Inputs!$B$25*(1+Inputs!$B$20)^(L$7-1)</f>
        <v>1250</v>
      </c>
      <c r="M23" s="67" t="n">
        <f aca="false">Inputs!$B$25*(1+Inputs!$B$20)^(M$7-1)</f>
        <v>1250</v>
      </c>
      <c r="N23" s="67" t="n">
        <f aca="false">Inputs!$B$25*(1+Inputs!$B$20)^(N$7-1)</f>
        <v>1250</v>
      </c>
      <c r="O23" s="67" t="n">
        <f aca="false">Inputs!$B$25*(1+Inputs!$B$20)^(O$7-1)</f>
        <v>1275</v>
      </c>
      <c r="P23" s="67" t="n">
        <f aca="false">Inputs!$B$25*(1+Inputs!$B$20)^(P$7-1)</f>
        <v>1275</v>
      </c>
      <c r="Q23" s="67" t="n">
        <f aca="false">Inputs!$B$25*(1+Inputs!$B$20)^(Q$7-1)</f>
        <v>1275</v>
      </c>
      <c r="R23" s="67" t="n">
        <f aca="false">Inputs!$B$25*(1+Inputs!$B$20)^(R$7-1)</f>
        <v>1275</v>
      </c>
      <c r="S23" s="67" t="n">
        <f aca="false">Inputs!$B$25*(1+Inputs!$B$20)^(S$7-1)</f>
        <v>1275</v>
      </c>
      <c r="T23" s="67" t="n">
        <f aca="false">Inputs!$B$25*(1+Inputs!$B$20)^(T$7-1)</f>
        <v>1275</v>
      </c>
      <c r="U23" s="67" t="n">
        <f aca="false">Inputs!$B$25*(1+Inputs!$B$20)^(U$7-1)</f>
        <v>1275</v>
      </c>
      <c r="V23" s="67" t="n">
        <f aca="false">Inputs!$B$25*(1+Inputs!$B$20)^(V$7-1)</f>
        <v>1275</v>
      </c>
      <c r="W23" s="67" t="n">
        <f aca="false">Inputs!$B$25*(1+Inputs!$B$20)^(W$7-1)</f>
        <v>1275</v>
      </c>
      <c r="X23" s="67" t="n">
        <f aca="false">Inputs!$B$25*(1+Inputs!$B$20)^(X$7-1)</f>
        <v>1275</v>
      </c>
      <c r="Y23" s="67" t="n">
        <f aca="false">Inputs!$B$25*(1+Inputs!$B$20)^(Y$7-1)</f>
        <v>1275</v>
      </c>
      <c r="Z23" s="67" t="n">
        <f aca="false">Inputs!$B$25*(1+Inputs!$B$20)^(Z$7-1)</f>
        <v>1275</v>
      </c>
      <c r="AA23" s="67" t="n">
        <f aca="false">Inputs!$B$25*(1+Inputs!$B$20)^(AA$7-1)</f>
        <v>1300.5</v>
      </c>
      <c r="AB23" s="67" t="n">
        <f aca="false">Inputs!$B$25*(1+Inputs!$B$20)^(AB$7-1)</f>
        <v>1300.5</v>
      </c>
      <c r="AC23" s="67" t="n">
        <f aca="false">Inputs!$B$25*(1+Inputs!$B$20)^(AC$7-1)</f>
        <v>1300.5</v>
      </c>
      <c r="AD23" s="67" t="n">
        <f aca="false">Inputs!$B$25*(1+Inputs!$B$20)^(AD$7-1)</f>
        <v>1300.5</v>
      </c>
      <c r="AE23" s="67" t="n">
        <f aca="false">Inputs!$B$25*(1+Inputs!$B$20)^(AE$7-1)</f>
        <v>1300.5</v>
      </c>
      <c r="AF23" s="67" t="n">
        <f aca="false">Inputs!$B$25*(1+Inputs!$B$20)^(AF$7-1)</f>
        <v>1300.5</v>
      </c>
      <c r="AG23" s="67" t="n">
        <f aca="false">Inputs!$B$25*(1+Inputs!$B$20)^(AG$7-1)</f>
        <v>1300.5</v>
      </c>
      <c r="AH23" s="67" t="n">
        <f aca="false">Inputs!$B$25*(1+Inputs!$B$20)^(AH$7-1)</f>
        <v>1300.5</v>
      </c>
      <c r="AI23" s="67" t="n">
        <f aca="false">Inputs!$B$25*(1+Inputs!$B$20)^(AI$7-1)</f>
        <v>1300.5</v>
      </c>
      <c r="AJ23" s="67" t="n">
        <f aca="false">Inputs!$B$25*(1+Inputs!$B$20)^(AJ$7-1)</f>
        <v>1300.5</v>
      </c>
      <c r="AK23" s="67" t="n">
        <f aca="false">Inputs!$B$25*(1+Inputs!$B$20)^(AK$7-1)</f>
        <v>1300.5</v>
      </c>
      <c r="AL23" s="67" t="n">
        <f aca="false">Inputs!$B$25*(1+Inputs!$B$20)^(AL$7-1)</f>
        <v>1300.5</v>
      </c>
      <c r="AM23" s="67" t="n">
        <f aca="false">Inputs!$B$25*(1+Inputs!$B$20)^(AM$7-1)</f>
        <v>1326.51</v>
      </c>
      <c r="AN23" s="67" t="n">
        <f aca="false">Inputs!$B$25*(1+Inputs!$B$20)^(AN$7-1)</f>
        <v>1326.51</v>
      </c>
      <c r="AO23" s="67" t="n">
        <f aca="false">Inputs!$B$25*(1+Inputs!$B$20)^(AO$7-1)</f>
        <v>1326.51</v>
      </c>
      <c r="AP23" s="67" t="n">
        <f aca="false">Inputs!$B$25*(1+Inputs!$B$20)^(AP$7-1)</f>
        <v>1326.51</v>
      </c>
      <c r="AQ23" s="67" t="n">
        <f aca="false">Inputs!$B$25*(1+Inputs!$B$20)^(AQ$7-1)</f>
        <v>1326.51</v>
      </c>
      <c r="AR23" s="67" t="n">
        <f aca="false">Inputs!$B$25*(1+Inputs!$B$20)^(AR$7-1)</f>
        <v>1326.51</v>
      </c>
      <c r="AS23" s="67" t="n">
        <f aca="false">Inputs!$B$25*(1+Inputs!$B$20)^(AS$7-1)</f>
        <v>1326.51</v>
      </c>
      <c r="AT23" s="67" t="n">
        <f aca="false">Inputs!$B$25*(1+Inputs!$B$20)^(AT$7-1)</f>
        <v>1326.51</v>
      </c>
      <c r="AU23" s="67" t="n">
        <f aca="false">Inputs!$B$25*(1+Inputs!$B$20)^(AU$7-1)</f>
        <v>1326.51</v>
      </c>
      <c r="AV23" s="67" t="n">
        <f aca="false">Inputs!$B$25*(1+Inputs!$B$20)^(AV$7-1)</f>
        <v>1326.51</v>
      </c>
      <c r="AW23" s="67" t="n">
        <f aca="false">Inputs!$B$25*(1+Inputs!$B$20)^(AW$7-1)</f>
        <v>1326.51</v>
      </c>
      <c r="AX23" s="67" t="n">
        <f aca="false">Inputs!$B$25*(1+Inputs!$B$20)^(AX$7-1)</f>
        <v>1326.51</v>
      </c>
      <c r="AY23" s="67" t="n">
        <f aca="false">Inputs!$B$25*(1+Inputs!$B$20)^(AY$7-1)</f>
        <v>1353.0402</v>
      </c>
      <c r="AZ23" s="67" t="n">
        <f aca="false">Inputs!$B$25*(1+Inputs!$B$20)^(AZ$7-1)</f>
        <v>1353.0402</v>
      </c>
      <c r="BA23" s="67" t="n">
        <f aca="false">Inputs!$B$25*(1+Inputs!$B$20)^(BA$7-1)</f>
        <v>1353.0402</v>
      </c>
      <c r="BB23" s="67" t="n">
        <f aca="false">Inputs!$B$25*(1+Inputs!$B$20)^(BB$7-1)</f>
        <v>1353.0402</v>
      </c>
      <c r="BC23" s="67" t="n">
        <f aca="false">Inputs!$B$25*(1+Inputs!$B$20)^(BC$7-1)</f>
        <v>1353.0402</v>
      </c>
      <c r="BD23" s="67" t="n">
        <f aca="false">Inputs!$B$25*(1+Inputs!$B$20)^(BD$7-1)</f>
        <v>1353.0402</v>
      </c>
      <c r="BE23" s="67" t="n">
        <f aca="false">Inputs!$B$25*(1+Inputs!$B$20)^(BE$7-1)</f>
        <v>1353.0402</v>
      </c>
      <c r="BF23" s="67" t="n">
        <f aca="false">Inputs!$B$25*(1+Inputs!$B$20)^(BF$7-1)</f>
        <v>1353.0402</v>
      </c>
      <c r="BG23" s="67" t="n">
        <f aca="false">Inputs!$B$25*(1+Inputs!$B$20)^(BG$7-1)</f>
        <v>1353.0402</v>
      </c>
      <c r="BH23" s="67" t="n">
        <f aca="false">Inputs!$B$25*(1+Inputs!$B$20)^(BH$7-1)</f>
        <v>1353.0402</v>
      </c>
      <c r="BI23" s="67" t="n">
        <f aca="false">Inputs!$B$25*(1+Inputs!$B$20)^(BI$7-1)</f>
        <v>1353.0402</v>
      </c>
      <c r="BJ23" s="67" t="n">
        <f aca="false">Inputs!$B$25*(1+Inputs!$B$20)^(BJ$7-1)</f>
        <v>1353.0402</v>
      </c>
    </row>
    <row r="24" customFormat="false" ht="15" hidden="false" customHeight="false" outlineLevel="0" collapsed="false">
      <c r="A24" s="6" t="s">
        <v>236</v>
      </c>
      <c r="C24" s="67" t="n">
        <f aca="false">C17*C22</f>
        <v>4223.31</v>
      </c>
      <c r="D24" s="67" t="n">
        <f aca="false">D17*D22</f>
        <v>5094.78666666667</v>
      </c>
      <c r="E24" s="67" t="n">
        <f aca="false">E17*E22</f>
        <v>9375.55666666667</v>
      </c>
      <c r="F24" s="67" t="n">
        <f aca="false">F17*F22</f>
        <v>10745.02</v>
      </c>
      <c r="G24" s="67" t="n">
        <f aca="false">G17*G22</f>
        <v>12114.4833333333</v>
      </c>
      <c r="H24" s="67" t="n">
        <f aca="false">H17*H22</f>
        <v>13483.9466666667</v>
      </c>
      <c r="I24" s="67" t="n">
        <f aca="false">I17*I22</f>
        <v>14853.41</v>
      </c>
      <c r="J24" s="67" t="n">
        <f aca="false">J17*J22</f>
        <v>16222.8733333333</v>
      </c>
      <c r="K24" s="67" t="n">
        <f aca="false">K17*K22</f>
        <v>17592.3366666667</v>
      </c>
      <c r="L24" s="67" t="n">
        <f aca="false">L17*L22</f>
        <v>18961.8</v>
      </c>
      <c r="M24" s="67" t="n">
        <f aca="false">M17*M22</f>
        <v>18961.8</v>
      </c>
      <c r="N24" s="67" t="n">
        <f aca="false">N17*N22</f>
        <v>12066.6</v>
      </c>
      <c r="O24" s="67" t="n">
        <f aca="false">O17*O22</f>
        <v>12307.932</v>
      </c>
      <c r="P24" s="67" t="n">
        <f aca="false">P17*P22</f>
        <v>12307.932</v>
      </c>
      <c r="Q24" s="67" t="n">
        <f aca="false">Q17*Q22</f>
        <v>19341.036</v>
      </c>
      <c r="R24" s="67" t="n">
        <f aca="false">R17*R22</f>
        <v>19341.036</v>
      </c>
      <c r="S24" s="67" t="n">
        <f aca="false">S17*S22</f>
        <v>19341.036</v>
      </c>
      <c r="T24" s="67" t="n">
        <f aca="false">T17*T22</f>
        <v>19341.036</v>
      </c>
      <c r="U24" s="67" t="n">
        <f aca="false">U17*U22</f>
        <v>19341.036</v>
      </c>
      <c r="V24" s="67" t="n">
        <f aca="false">V17*V22</f>
        <v>19341.036</v>
      </c>
      <c r="W24" s="67" t="n">
        <f aca="false">W17*W22</f>
        <v>19341.036</v>
      </c>
      <c r="X24" s="67" t="n">
        <f aca="false">X17*X22</f>
        <v>19341.036</v>
      </c>
      <c r="Y24" s="67" t="n">
        <f aca="false">Y17*Y22</f>
        <v>19341.036</v>
      </c>
      <c r="Z24" s="67" t="n">
        <f aca="false">Z17*Z22</f>
        <v>12307.932</v>
      </c>
      <c r="AA24" s="67" t="n">
        <f aca="false">AA17*AA22</f>
        <v>12554.09064</v>
      </c>
      <c r="AB24" s="67" t="n">
        <f aca="false">AB17*AB22</f>
        <v>12554.09064</v>
      </c>
      <c r="AC24" s="67" t="n">
        <f aca="false">AC17*AC22</f>
        <v>19727.85672</v>
      </c>
      <c r="AD24" s="67" t="n">
        <f aca="false">AD17*AD22</f>
        <v>19727.85672</v>
      </c>
      <c r="AE24" s="67" t="n">
        <f aca="false">AE17*AE22</f>
        <v>19727.85672</v>
      </c>
      <c r="AF24" s="67" t="n">
        <f aca="false">AF17*AF22</f>
        <v>19727.85672</v>
      </c>
      <c r="AG24" s="67" t="n">
        <f aca="false">AG17*AG22</f>
        <v>19727.85672</v>
      </c>
      <c r="AH24" s="67" t="n">
        <f aca="false">AH17*AH22</f>
        <v>19727.85672</v>
      </c>
      <c r="AI24" s="67" t="n">
        <f aca="false">AI17*AI22</f>
        <v>19727.85672</v>
      </c>
      <c r="AJ24" s="67" t="n">
        <f aca="false">AJ17*AJ22</f>
        <v>19727.85672</v>
      </c>
      <c r="AK24" s="67" t="n">
        <f aca="false">AK17*AK22</f>
        <v>19727.85672</v>
      </c>
      <c r="AL24" s="67" t="n">
        <f aca="false">AL17*AL22</f>
        <v>12554.09064</v>
      </c>
      <c r="AM24" s="67" t="n">
        <f aca="false">AM17*AM22</f>
        <v>12805.1724528</v>
      </c>
      <c r="AN24" s="67" t="n">
        <f aca="false">AN17*AN22</f>
        <v>12805.1724528</v>
      </c>
      <c r="AO24" s="67" t="n">
        <f aca="false">AO17*AO22</f>
        <v>20122.4138544</v>
      </c>
      <c r="AP24" s="67" t="n">
        <f aca="false">AP17*AP22</f>
        <v>20122.4138544</v>
      </c>
      <c r="AQ24" s="67" t="n">
        <f aca="false">AQ17*AQ22</f>
        <v>20122.4138544</v>
      </c>
      <c r="AR24" s="67" t="n">
        <f aca="false">AR17*AR22</f>
        <v>20122.4138544</v>
      </c>
      <c r="AS24" s="67" t="n">
        <f aca="false">AS17*AS22</f>
        <v>20122.4138544</v>
      </c>
      <c r="AT24" s="67" t="n">
        <f aca="false">AT17*AT22</f>
        <v>20122.4138544</v>
      </c>
      <c r="AU24" s="67" t="n">
        <f aca="false">AU17*AU22</f>
        <v>20122.4138544</v>
      </c>
      <c r="AV24" s="67" t="n">
        <f aca="false">AV17*AV22</f>
        <v>20122.4138544</v>
      </c>
      <c r="AW24" s="67" t="n">
        <f aca="false">AW17*AW22</f>
        <v>20122.4138544</v>
      </c>
      <c r="AX24" s="67" t="n">
        <f aca="false">AX17*AX22</f>
        <v>12805.1724528</v>
      </c>
      <c r="AY24" s="67" t="n">
        <f aca="false">AY17*AY22</f>
        <v>13061.275901856</v>
      </c>
      <c r="AZ24" s="67" t="n">
        <f aca="false">AZ17*AZ22</f>
        <v>13061.275901856</v>
      </c>
      <c r="BA24" s="67" t="n">
        <f aca="false">BA17*BA22</f>
        <v>20524.862131488</v>
      </c>
      <c r="BB24" s="67" t="n">
        <f aca="false">BB17*BB22</f>
        <v>20524.862131488</v>
      </c>
      <c r="BC24" s="67" t="n">
        <f aca="false">BC17*BC22</f>
        <v>20524.862131488</v>
      </c>
      <c r="BD24" s="67" t="n">
        <f aca="false">BD17*BD22</f>
        <v>20524.862131488</v>
      </c>
      <c r="BE24" s="67" t="n">
        <f aca="false">BE17*BE22</f>
        <v>20524.862131488</v>
      </c>
      <c r="BF24" s="67" t="n">
        <f aca="false">BF17*BF22</f>
        <v>20524.862131488</v>
      </c>
      <c r="BG24" s="67" t="n">
        <f aca="false">BG17*BG22</f>
        <v>20524.862131488</v>
      </c>
      <c r="BH24" s="67" t="n">
        <f aca="false">BH17*BH22</f>
        <v>20524.862131488</v>
      </c>
      <c r="BI24" s="67" t="n">
        <f aca="false">BI17*BI22</f>
        <v>20524.862131488</v>
      </c>
      <c r="BJ24" s="67" t="n">
        <f aca="false">BJ17*BJ22</f>
        <v>13061.275901856</v>
      </c>
    </row>
    <row r="25" customFormat="false" ht="15" hidden="false" customHeight="false" outlineLevel="0" collapsed="false">
      <c r="A25" s="6" t="s">
        <v>237</v>
      </c>
      <c r="C25" s="67" t="n">
        <f aca="false">C15*C23</f>
        <v>1093.75</v>
      </c>
      <c r="D25" s="67" t="n">
        <f aca="false">D15*D23</f>
        <v>1319.44444444444</v>
      </c>
      <c r="E25" s="67" t="n">
        <f aca="false">E15*E23</f>
        <v>1545.13888888889</v>
      </c>
      <c r="F25" s="67" t="n">
        <f aca="false">F15*F23</f>
        <v>1770.83333333333</v>
      </c>
      <c r="G25" s="67" t="n">
        <f aca="false">G15*G23</f>
        <v>1996.52777777778</v>
      </c>
      <c r="H25" s="67" t="n">
        <f aca="false">H15*H23</f>
        <v>2222.22222222222</v>
      </c>
      <c r="I25" s="67" t="n">
        <f aca="false">I15*I23</f>
        <v>2447.91666666667</v>
      </c>
      <c r="J25" s="67" t="n">
        <f aca="false">J15*J23</f>
        <v>2673.61111111111</v>
      </c>
      <c r="K25" s="67" t="n">
        <f aca="false">K15*K23</f>
        <v>2899.30555555556</v>
      </c>
      <c r="L25" s="67" t="n">
        <f aca="false">L15*L23</f>
        <v>3125</v>
      </c>
      <c r="M25" s="67" t="n">
        <f aca="false">M15*M23</f>
        <v>3125</v>
      </c>
      <c r="N25" s="67" t="n">
        <f aca="false">N15*N23</f>
        <v>3125</v>
      </c>
      <c r="O25" s="67" t="n">
        <f aca="false">O15*O23</f>
        <v>3187.5</v>
      </c>
      <c r="P25" s="67" t="n">
        <f aca="false">P15*P23</f>
        <v>3187.5</v>
      </c>
      <c r="Q25" s="67" t="n">
        <f aca="false">Q15*Q23</f>
        <v>3187.5</v>
      </c>
      <c r="R25" s="67" t="n">
        <f aca="false">R15*R23</f>
        <v>3187.5</v>
      </c>
      <c r="S25" s="67" t="n">
        <f aca="false">S15*S23</f>
        <v>3187.5</v>
      </c>
      <c r="T25" s="67" t="n">
        <f aca="false">T15*T23</f>
        <v>3187.5</v>
      </c>
      <c r="U25" s="67" t="n">
        <f aca="false">U15*U23</f>
        <v>3187.5</v>
      </c>
      <c r="V25" s="67" t="n">
        <f aca="false">V15*V23</f>
        <v>3187.5</v>
      </c>
      <c r="W25" s="67" t="n">
        <f aca="false">W15*W23</f>
        <v>3187.5</v>
      </c>
      <c r="X25" s="67" t="n">
        <f aca="false">X15*X23</f>
        <v>3187.5</v>
      </c>
      <c r="Y25" s="67" t="n">
        <f aca="false">Y15*Y23</f>
        <v>3187.5</v>
      </c>
      <c r="Z25" s="67" t="n">
        <f aca="false">Z15*Z23</f>
        <v>3187.5</v>
      </c>
      <c r="AA25" s="67" t="n">
        <f aca="false">AA15*AA23</f>
        <v>3251.25</v>
      </c>
      <c r="AB25" s="67" t="n">
        <f aca="false">AB15*AB23</f>
        <v>3251.25</v>
      </c>
      <c r="AC25" s="67" t="n">
        <f aca="false">AC15*AC23</f>
        <v>3251.25</v>
      </c>
      <c r="AD25" s="67" t="n">
        <f aca="false">AD15*AD23</f>
        <v>3251.25</v>
      </c>
      <c r="AE25" s="67" t="n">
        <f aca="false">AE15*AE23</f>
        <v>3251.25</v>
      </c>
      <c r="AF25" s="67" t="n">
        <f aca="false">AF15*AF23</f>
        <v>3251.25</v>
      </c>
      <c r="AG25" s="67" t="n">
        <f aca="false">AG15*AG23</f>
        <v>3251.25</v>
      </c>
      <c r="AH25" s="67" t="n">
        <f aca="false">AH15*AH23</f>
        <v>3251.25</v>
      </c>
      <c r="AI25" s="67" t="n">
        <f aca="false">AI15*AI23</f>
        <v>3251.25</v>
      </c>
      <c r="AJ25" s="67" t="n">
        <f aca="false">AJ15*AJ23</f>
        <v>3251.25</v>
      </c>
      <c r="AK25" s="67" t="n">
        <f aca="false">AK15*AK23</f>
        <v>3251.25</v>
      </c>
      <c r="AL25" s="67" t="n">
        <f aca="false">AL15*AL23</f>
        <v>3251.25</v>
      </c>
      <c r="AM25" s="67" t="n">
        <f aca="false">AM15*AM23</f>
        <v>3316.275</v>
      </c>
      <c r="AN25" s="67" t="n">
        <f aca="false">AN15*AN23</f>
        <v>3316.275</v>
      </c>
      <c r="AO25" s="67" t="n">
        <f aca="false">AO15*AO23</f>
        <v>3316.275</v>
      </c>
      <c r="AP25" s="67" t="n">
        <f aca="false">AP15*AP23</f>
        <v>3316.275</v>
      </c>
      <c r="AQ25" s="67" t="n">
        <f aca="false">AQ15*AQ23</f>
        <v>3316.275</v>
      </c>
      <c r="AR25" s="67" t="n">
        <f aca="false">AR15*AR23</f>
        <v>3316.275</v>
      </c>
      <c r="AS25" s="67" t="n">
        <f aca="false">AS15*AS23</f>
        <v>3316.275</v>
      </c>
      <c r="AT25" s="67" t="n">
        <f aca="false">AT15*AT23</f>
        <v>3316.275</v>
      </c>
      <c r="AU25" s="67" t="n">
        <f aca="false">AU15*AU23</f>
        <v>3316.275</v>
      </c>
      <c r="AV25" s="67" t="n">
        <f aca="false">AV15*AV23</f>
        <v>3316.275</v>
      </c>
      <c r="AW25" s="67" t="n">
        <f aca="false">AW15*AW23</f>
        <v>3316.275</v>
      </c>
      <c r="AX25" s="67" t="n">
        <f aca="false">AX15*AX23</f>
        <v>3316.275</v>
      </c>
      <c r="AY25" s="67" t="n">
        <f aca="false">AY15*AY23</f>
        <v>3382.6005</v>
      </c>
      <c r="AZ25" s="67" t="n">
        <f aca="false">AZ15*AZ23</f>
        <v>3382.6005</v>
      </c>
      <c r="BA25" s="67" t="n">
        <f aca="false">BA15*BA23</f>
        <v>3382.6005</v>
      </c>
      <c r="BB25" s="67" t="n">
        <f aca="false">BB15*BB23</f>
        <v>3382.6005</v>
      </c>
      <c r="BC25" s="67" t="n">
        <f aca="false">BC15*BC23</f>
        <v>3382.6005</v>
      </c>
      <c r="BD25" s="67" t="n">
        <f aca="false">BD15*BD23</f>
        <v>3382.6005</v>
      </c>
      <c r="BE25" s="67" t="n">
        <f aca="false">BE15*BE23</f>
        <v>3382.6005</v>
      </c>
      <c r="BF25" s="67" t="n">
        <f aca="false">BF15*BF23</f>
        <v>3382.6005</v>
      </c>
      <c r="BG25" s="67" t="n">
        <f aca="false">BG15*BG23</f>
        <v>3382.6005</v>
      </c>
      <c r="BH25" s="67" t="n">
        <f aca="false">BH15*BH23</f>
        <v>3382.6005</v>
      </c>
      <c r="BI25" s="67" t="n">
        <f aca="false">BI15*BI23</f>
        <v>3382.6005</v>
      </c>
      <c r="BJ25" s="67" t="n">
        <f aca="false">BJ15*BJ23</f>
        <v>3382.6005</v>
      </c>
    </row>
    <row r="26" customFormat="false" ht="15" hidden="false" customHeight="false" outlineLevel="0" collapsed="false">
      <c r="A26" s="113" t="s">
        <v>44</v>
      </c>
      <c r="C26" s="68" t="n">
        <f aca="false">C24+C25</f>
        <v>5317.06</v>
      </c>
      <c r="D26" s="68" t="n">
        <f aca="false">D24+D25</f>
        <v>6414.23111111111</v>
      </c>
      <c r="E26" s="68" t="n">
        <f aca="false">E24+E25</f>
        <v>10920.6955555556</v>
      </c>
      <c r="F26" s="68" t="n">
        <f aca="false">F24+F25</f>
        <v>12515.8533333333</v>
      </c>
      <c r="G26" s="68" t="n">
        <f aca="false">G24+G25</f>
        <v>14111.0111111111</v>
      </c>
      <c r="H26" s="68" t="n">
        <f aca="false">H24+H25</f>
        <v>15706.1688888889</v>
      </c>
      <c r="I26" s="68" t="n">
        <f aca="false">I24+I25</f>
        <v>17301.3266666667</v>
      </c>
      <c r="J26" s="68" t="n">
        <f aca="false">J24+J25</f>
        <v>18896.4844444445</v>
      </c>
      <c r="K26" s="68" t="n">
        <f aca="false">K24+K25</f>
        <v>20491.6422222222</v>
      </c>
      <c r="L26" s="68" t="n">
        <f aca="false">L24+L25</f>
        <v>22086.8</v>
      </c>
      <c r="M26" s="68" t="n">
        <f aca="false">M24+M25</f>
        <v>22086.8</v>
      </c>
      <c r="N26" s="68" t="n">
        <f aca="false">N24+N25</f>
        <v>15191.6</v>
      </c>
      <c r="O26" s="68" t="n">
        <f aca="false">O24+O25</f>
        <v>15495.432</v>
      </c>
      <c r="P26" s="68" t="n">
        <f aca="false">P24+P25</f>
        <v>15495.432</v>
      </c>
      <c r="Q26" s="68" t="n">
        <f aca="false">Q24+Q25</f>
        <v>22528.536</v>
      </c>
      <c r="R26" s="68" t="n">
        <f aca="false">R24+R25</f>
        <v>22528.536</v>
      </c>
      <c r="S26" s="68" t="n">
        <f aca="false">S24+S25</f>
        <v>22528.536</v>
      </c>
      <c r="T26" s="68" t="n">
        <f aca="false">T24+T25</f>
        <v>22528.536</v>
      </c>
      <c r="U26" s="68" t="n">
        <f aca="false">U24+U25</f>
        <v>22528.536</v>
      </c>
      <c r="V26" s="68" t="n">
        <f aca="false">V24+V25</f>
        <v>22528.536</v>
      </c>
      <c r="W26" s="68" t="n">
        <f aca="false">W24+W25</f>
        <v>22528.536</v>
      </c>
      <c r="X26" s="68" t="n">
        <f aca="false">X24+X25</f>
        <v>22528.536</v>
      </c>
      <c r="Y26" s="68" t="n">
        <f aca="false">Y24+Y25</f>
        <v>22528.536</v>
      </c>
      <c r="Z26" s="68" t="n">
        <f aca="false">Z24+Z25</f>
        <v>15495.432</v>
      </c>
      <c r="AA26" s="68" t="n">
        <f aca="false">AA24+AA25</f>
        <v>15805.34064</v>
      </c>
      <c r="AB26" s="68" t="n">
        <f aca="false">AB24+AB25</f>
        <v>15805.34064</v>
      </c>
      <c r="AC26" s="68" t="n">
        <f aca="false">AC24+AC25</f>
        <v>22979.10672</v>
      </c>
      <c r="AD26" s="68" t="n">
        <f aca="false">AD24+AD25</f>
        <v>22979.10672</v>
      </c>
      <c r="AE26" s="68" t="n">
        <f aca="false">AE24+AE25</f>
        <v>22979.10672</v>
      </c>
      <c r="AF26" s="68" t="n">
        <f aca="false">AF24+AF25</f>
        <v>22979.10672</v>
      </c>
      <c r="AG26" s="68" t="n">
        <f aca="false">AG24+AG25</f>
        <v>22979.10672</v>
      </c>
      <c r="AH26" s="68" t="n">
        <f aca="false">AH24+AH25</f>
        <v>22979.10672</v>
      </c>
      <c r="AI26" s="68" t="n">
        <f aca="false">AI24+AI25</f>
        <v>22979.10672</v>
      </c>
      <c r="AJ26" s="68" t="n">
        <f aca="false">AJ24+AJ25</f>
        <v>22979.10672</v>
      </c>
      <c r="AK26" s="68" t="n">
        <f aca="false">AK24+AK25</f>
        <v>22979.10672</v>
      </c>
      <c r="AL26" s="68" t="n">
        <f aca="false">AL24+AL25</f>
        <v>15805.34064</v>
      </c>
      <c r="AM26" s="68" t="n">
        <f aca="false">AM24+AM25</f>
        <v>16121.4474528</v>
      </c>
      <c r="AN26" s="68" t="n">
        <f aca="false">AN24+AN25</f>
        <v>16121.4474528</v>
      </c>
      <c r="AO26" s="68" t="n">
        <f aca="false">AO24+AO25</f>
        <v>23438.6888544</v>
      </c>
      <c r="AP26" s="68" t="n">
        <f aca="false">AP24+AP25</f>
        <v>23438.6888544</v>
      </c>
      <c r="AQ26" s="68" t="n">
        <f aca="false">AQ24+AQ25</f>
        <v>23438.6888544</v>
      </c>
      <c r="AR26" s="68" t="n">
        <f aca="false">AR24+AR25</f>
        <v>23438.6888544</v>
      </c>
      <c r="AS26" s="68" t="n">
        <f aca="false">AS24+AS25</f>
        <v>23438.6888544</v>
      </c>
      <c r="AT26" s="68" t="n">
        <f aca="false">AT24+AT25</f>
        <v>23438.6888544</v>
      </c>
      <c r="AU26" s="68" t="n">
        <f aca="false">AU24+AU25</f>
        <v>23438.6888544</v>
      </c>
      <c r="AV26" s="68" t="n">
        <f aca="false">AV24+AV25</f>
        <v>23438.6888544</v>
      </c>
      <c r="AW26" s="68" t="n">
        <f aca="false">AW24+AW25</f>
        <v>23438.6888544</v>
      </c>
      <c r="AX26" s="68" t="n">
        <f aca="false">AX24+AX25</f>
        <v>16121.4474528</v>
      </c>
      <c r="AY26" s="68" t="n">
        <f aca="false">AY24+AY25</f>
        <v>16443.876401856</v>
      </c>
      <c r="AZ26" s="68" t="n">
        <f aca="false">AZ24+AZ25</f>
        <v>16443.876401856</v>
      </c>
      <c r="BA26" s="68" t="n">
        <f aca="false">BA24+BA25</f>
        <v>23907.462631488</v>
      </c>
      <c r="BB26" s="68" t="n">
        <f aca="false">BB24+BB25</f>
        <v>23907.462631488</v>
      </c>
      <c r="BC26" s="68" t="n">
        <f aca="false">BC24+BC25</f>
        <v>23907.462631488</v>
      </c>
      <c r="BD26" s="68" t="n">
        <f aca="false">BD24+BD25</f>
        <v>23907.462631488</v>
      </c>
      <c r="BE26" s="68" t="n">
        <f aca="false">BE24+BE25</f>
        <v>23907.462631488</v>
      </c>
      <c r="BF26" s="68" t="n">
        <f aca="false">BF24+BF25</f>
        <v>23907.462631488</v>
      </c>
      <c r="BG26" s="68" t="n">
        <f aca="false">BG24+BG25</f>
        <v>23907.462631488</v>
      </c>
      <c r="BH26" s="68" t="n">
        <f aca="false">BH24+BH25</f>
        <v>23907.462631488</v>
      </c>
      <c r="BI26" s="68" t="n">
        <f aca="false">BI24+BI25</f>
        <v>23907.462631488</v>
      </c>
      <c r="BJ26" s="68" t="n">
        <f aca="false">BJ24+BJ25</f>
        <v>16443.876401856</v>
      </c>
    </row>
    <row r="28" customFormat="false" ht="15.75" hidden="false" customHeight="true" outlineLevel="0" collapsed="false">
      <c r="A28" s="7" t="s">
        <v>76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customFormat="false" ht="15" hidden="false" customHeight="false" outlineLevel="0" collapsed="false">
      <c r="A29" s="6" t="s">
        <v>424</v>
      </c>
      <c r="C29" s="67" t="n">
        <f aca="false">-C26*Inputs!$B$29</f>
        <v>-1834.3857</v>
      </c>
      <c r="D29" s="67" t="n">
        <f aca="false">-D26*Inputs!$B$29</f>
        <v>-2212.90973333333</v>
      </c>
      <c r="E29" s="67" t="n">
        <f aca="false">-E26*Inputs!$B$29</f>
        <v>-3767.63996666667</v>
      </c>
      <c r="F29" s="67" t="n">
        <f aca="false">-F26*Inputs!$B$29</f>
        <v>-4317.9694</v>
      </c>
      <c r="G29" s="67" t="n">
        <f aca="false">-G26*Inputs!$B$29</f>
        <v>-4868.29883333333</v>
      </c>
      <c r="H29" s="67" t="n">
        <f aca="false">-H26*Inputs!$B$29</f>
        <v>-5418.62826666667</v>
      </c>
      <c r="I29" s="67" t="n">
        <f aca="false">-I26*Inputs!$B$29</f>
        <v>-5968.9577</v>
      </c>
      <c r="J29" s="67" t="n">
        <f aca="false">-J26*Inputs!$B$29</f>
        <v>-6519.28713333334</v>
      </c>
      <c r="K29" s="67" t="n">
        <f aca="false">-K26*Inputs!$B$29</f>
        <v>-7069.61656666667</v>
      </c>
      <c r="L29" s="67" t="n">
        <f aca="false">-L26*Inputs!$B$29</f>
        <v>-7619.946</v>
      </c>
      <c r="M29" s="67" t="n">
        <f aca="false">-M26*Inputs!$B$29</f>
        <v>-7619.946</v>
      </c>
      <c r="N29" s="67" t="n">
        <f aca="false">-N26*Inputs!$B$29</f>
        <v>-5241.102</v>
      </c>
      <c r="O29" s="67" t="n">
        <f aca="false">-O26*Inputs!$B$29</f>
        <v>-5345.92404</v>
      </c>
      <c r="P29" s="67" t="n">
        <f aca="false">-P26*Inputs!$B$29</f>
        <v>-5345.92404</v>
      </c>
      <c r="Q29" s="67" t="n">
        <f aca="false">-Q26*Inputs!$B$29</f>
        <v>-7772.34492</v>
      </c>
      <c r="R29" s="67" t="n">
        <f aca="false">-R26*Inputs!$B$29</f>
        <v>-7772.34492</v>
      </c>
      <c r="S29" s="67" t="n">
        <f aca="false">-S26*Inputs!$B$29</f>
        <v>-7772.34492</v>
      </c>
      <c r="T29" s="67" t="n">
        <f aca="false">-T26*Inputs!$B$29</f>
        <v>-7772.34492</v>
      </c>
      <c r="U29" s="67" t="n">
        <f aca="false">-U26*Inputs!$B$29</f>
        <v>-7772.34492</v>
      </c>
      <c r="V29" s="67" t="n">
        <f aca="false">-V26*Inputs!$B$29</f>
        <v>-7772.34492</v>
      </c>
      <c r="W29" s="67" t="n">
        <f aca="false">-W26*Inputs!$B$29</f>
        <v>-7772.34492</v>
      </c>
      <c r="X29" s="67" t="n">
        <f aca="false">-X26*Inputs!$B$29</f>
        <v>-7772.34492</v>
      </c>
      <c r="Y29" s="67" t="n">
        <f aca="false">-Y26*Inputs!$B$29</f>
        <v>-7772.34492</v>
      </c>
      <c r="Z29" s="67" t="n">
        <f aca="false">-Z26*Inputs!$B$29</f>
        <v>-5345.92404</v>
      </c>
      <c r="AA29" s="67" t="n">
        <f aca="false">-AA26*Inputs!$B$29</f>
        <v>-5452.8425208</v>
      </c>
      <c r="AB29" s="67" t="n">
        <f aca="false">-AB26*Inputs!$B$29</f>
        <v>-5452.8425208</v>
      </c>
      <c r="AC29" s="67" t="n">
        <f aca="false">-AC26*Inputs!$B$29</f>
        <v>-7927.7918184</v>
      </c>
      <c r="AD29" s="67" t="n">
        <f aca="false">-AD26*Inputs!$B$29</f>
        <v>-7927.7918184</v>
      </c>
      <c r="AE29" s="67" t="n">
        <f aca="false">-AE26*Inputs!$B$29</f>
        <v>-7927.7918184</v>
      </c>
      <c r="AF29" s="67" t="n">
        <f aca="false">-AF26*Inputs!$B$29</f>
        <v>-7927.7918184</v>
      </c>
      <c r="AG29" s="67" t="n">
        <f aca="false">-AG26*Inputs!$B$29</f>
        <v>-7927.7918184</v>
      </c>
      <c r="AH29" s="67" t="n">
        <f aca="false">-AH26*Inputs!$B$29</f>
        <v>-7927.7918184</v>
      </c>
      <c r="AI29" s="67" t="n">
        <f aca="false">-AI26*Inputs!$B$29</f>
        <v>-7927.7918184</v>
      </c>
      <c r="AJ29" s="67" t="n">
        <f aca="false">-AJ26*Inputs!$B$29</f>
        <v>-7927.7918184</v>
      </c>
      <c r="AK29" s="67" t="n">
        <f aca="false">-AK26*Inputs!$B$29</f>
        <v>-7927.7918184</v>
      </c>
      <c r="AL29" s="67" t="n">
        <f aca="false">-AL26*Inputs!$B$29</f>
        <v>-5452.8425208</v>
      </c>
      <c r="AM29" s="67" t="n">
        <f aca="false">-AM26*Inputs!$B$29</f>
        <v>-5561.899371216</v>
      </c>
      <c r="AN29" s="67" t="n">
        <f aca="false">-AN26*Inputs!$B$29</f>
        <v>-5561.899371216</v>
      </c>
      <c r="AO29" s="67" t="n">
        <f aca="false">-AO26*Inputs!$B$29</f>
        <v>-8086.347654768</v>
      </c>
      <c r="AP29" s="67" t="n">
        <f aca="false">-AP26*Inputs!$B$29</f>
        <v>-8086.347654768</v>
      </c>
      <c r="AQ29" s="67" t="n">
        <f aca="false">-AQ26*Inputs!$B$29</f>
        <v>-8086.347654768</v>
      </c>
      <c r="AR29" s="67" t="n">
        <f aca="false">-AR26*Inputs!$B$29</f>
        <v>-8086.347654768</v>
      </c>
      <c r="AS29" s="67" t="n">
        <f aca="false">-AS26*Inputs!$B$29</f>
        <v>-8086.347654768</v>
      </c>
      <c r="AT29" s="67" t="n">
        <f aca="false">-AT26*Inputs!$B$29</f>
        <v>-8086.347654768</v>
      </c>
      <c r="AU29" s="67" t="n">
        <f aca="false">-AU26*Inputs!$B$29</f>
        <v>-8086.347654768</v>
      </c>
      <c r="AV29" s="67" t="n">
        <f aca="false">-AV26*Inputs!$B$29</f>
        <v>-8086.347654768</v>
      </c>
      <c r="AW29" s="67" t="n">
        <f aca="false">-AW26*Inputs!$B$29</f>
        <v>-8086.347654768</v>
      </c>
      <c r="AX29" s="67" t="n">
        <f aca="false">-AX26*Inputs!$B$29</f>
        <v>-5561.899371216</v>
      </c>
      <c r="AY29" s="67" t="n">
        <f aca="false">-AY26*Inputs!$B$29</f>
        <v>-5673.13735864032</v>
      </c>
      <c r="AZ29" s="67" t="n">
        <f aca="false">-AZ26*Inputs!$B$29</f>
        <v>-5673.13735864032</v>
      </c>
      <c r="BA29" s="67" t="n">
        <f aca="false">-BA26*Inputs!$B$29</f>
        <v>-8248.07460786336</v>
      </c>
      <c r="BB29" s="67" t="n">
        <f aca="false">-BB26*Inputs!$B$29</f>
        <v>-8248.07460786336</v>
      </c>
      <c r="BC29" s="67" t="n">
        <f aca="false">-BC26*Inputs!$B$29</f>
        <v>-8248.07460786336</v>
      </c>
      <c r="BD29" s="67" t="n">
        <f aca="false">-BD26*Inputs!$B$29</f>
        <v>-8248.07460786336</v>
      </c>
      <c r="BE29" s="67" t="n">
        <f aca="false">-BE26*Inputs!$B$29</f>
        <v>-8248.07460786336</v>
      </c>
      <c r="BF29" s="67" t="n">
        <f aca="false">-BF26*Inputs!$B$29</f>
        <v>-8248.07460786336</v>
      </c>
      <c r="BG29" s="67" t="n">
        <f aca="false">-BG26*Inputs!$B$29</f>
        <v>-8248.07460786336</v>
      </c>
      <c r="BH29" s="67" t="n">
        <f aca="false">-BH26*Inputs!$B$29</f>
        <v>-8248.07460786336</v>
      </c>
      <c r="BI29" s="67" t="n">
        <f aca="false">-BI26*Inputs!$B$29</f>
        <v>-8248.07460786336</v>
      </c>
      <c r="BJ29" s="67" t="n">
        <f aca="false">-BJ26*Inputs!$B$29</f>
        <v>-5673.13735864032</v>
      </c>
    </row>
    <row r="30" customFormat="false" ht="15" hidden="false" customHeight="false" outlineLevel="0" collapsed="false">
      <c r="A30" s="6" t="s">
        <v>425</v>
      </c>
      <c r="C30" s="67" t="n">
        <f aca="false">-C19*Inputs!$B$30*(1+Inputs!$B$34)^(C$7-1)</f>
        <v>-206.185</v>
      </c>
      <c r="D30" s="67" t="n">
        <f aca="false">-D19*Inputs!$B$30*(1+Inputs!$B$34)^(D$7-1)</f>
        <v>-248.731111111111</v>
      </c>
      <c r="E30" s="67" t="n">
        <f aca="false">-E19*Inputs!$B$30*(1+Inputs!$B$34)^(E$7-1)</f>
        <v>-422.403888888889</v>
      </c>
      <c r="F30" s="67" t="n">
        <f aca="false">-F19*Inputs!$B$30*(1+Inputs!$B$34)^(F$7-1)</f>
        <v>-484.103333333333</v>
      </c>
      <c r="G30" s="67" t="n">
        <f aca="false">-G19*Inputs!$B$30*(1+Inputs!$B$34)^(G$7-1)</f>
        <v>-545.802777777778</v>
      </c>
      <c r="H30" s="67" t="n">
        <f aca="false">-H19*Inputs!$B$30*(1+Inputs!$B$34)^(H$7-1)</f>
        <v>-607.502222222222</v>
      </c>
      <c r="I30" s="67" t="n">
        <f aca="false">-I19*Inputs!$B$30*(1+Inputs!$B$34)^(I$7-1)</f>
        <v>-669.201666666667</v>
      </c>
      <c r="J30" s="67" t="n">
        <f aca="false">-J19*Inputs!$B$30*(1+Inputs!$B$34)^(J$7-1)</f>
        <v>-730.901111111111</v>
      </c>
      <c r="K30" s="67" t="n">
        <f aca="false">-K19*Inputs!$B$30*(1+Inputs!$B$34)^(K$7-1)</f>
        <v>-792.600555555556</v>
      </c>
      <c r="L30" s="67" t="n">
        <f aca="false">-L19*Inputs!$B$30*(1+Inputs!$B$34)^(L$7-1)</f>
        <v>-854.3</v>
      </c>
      <c r="M30" s="67" t="n">
        <f aca="false">-M19*Inputs!$B$30*(1+Inputs!$B$34)^(M$7-1)</f>
        <v>-854.3</v>
      </c>
      <c r="N30" s="67" t="n">
        <f aca="false">-N19*Inputs!$B$30*(1+Inputs!$B$34)^(N$7-1)</f>
        <v>-589.1</v>
      </c>
      <c r="O30" s="67" t="n">
        <f aca="false">-O19*Inputs!$B$30*(1+Inputs!$B$34)^(O$7-1)</f>
        <v>-612.664</v>
      </c>
      <c r="P30" s="67" t="n">
        <f aca="false">-P19*Inputs!$B$30*(1+Inputs!$B$34)^(P$7-1)</f>
        <v>-612.664</v>
      </c>
      <c r="Q30" s="67" t="n">
        <f aca="false">-Q19*Inputs!$B$30*(1+Inputs!$B$34)^(Q$7-1)</f>
        <v>-888.472</v>
      </c>
      <c r="R30" s="67" t="n">
        <f aca="false">-R19*Inputs!$B$30*(1+Inputs!$B$34)^(R$7-1)</f>
        <v>-888.472</v>
      </c>
      <c r="S30" s="67" t="n">
        <f aca="false">-S19*Inputs!$B$30*(1+Inputs!$B$34)^(S$7-1)</f>
        <v>-888.472</v>
      </c>
      <c r="T30" s="67" t="n">
        <f aca="false">-T19*Inputs!$B$30*(1+Inputs!$B$34)^(T$7-1)</f>
        <v>-888.472</v>
      </c>
      <c r="U30" s="67" t="n">
        <f aca="false">-U19*Inputs!$B$30*(1+Inputs!$B$34)^(U$7-1)</f>
        <v>-888.472</v>
      </c>
      <c r="V30" s="67" t="n">
        <f aca="false">-V19*Inputs!$B$30*(1+Inputs!$B$34)^(V$7-1)</f>
        <v>-888.472</v>
      </c>
      <c r="W30" s="67" t="n">
        <f aca="false">-W19*Inputs!$B$30*(1+Inputs!$B$34)^(W$7-1)</f>
        <v>-888.472</v>
      </c>
      <c r="X30" s="67" t="n">
        <f aca="false">-X19*Inputs!$B$30*(1+Inputs!$B$34)^(X$7-1)</f>
        <v>-888.472</v>
      </c>
      <c r="Y30" s="67" t="n">
        <f aca="false">-Y19*Inputs!$B$30*(1+Inputs!$B$34)^(Y$7-1)</f>
        <v>-888.472</v>
      </c>
      <c r="Z30" s="67" t="n">
        <f aca="false">-Z19*Inputs!$B$30*(1+Inputs!$B$34)^(Z$7-1)</f>
        <v>-612.664</v>
      </c>
      <c r="AA30" s="67" t="n">
        <f aca="false">-AA19*Inputs!$B$30*(1+Inputs!$B$34)^(AA$7-1)</f>
        <v>-637.17056</v>
      </c>
      <c r="AB30" s="67" t="n">
        <f aca="false">-AB19*Inputs!$B$30*(1+Inputs!$B$34)^(AB$7-1)</f>
        <v>-637.17056</v>
      </c>
      <c r="AC30" s="67" t="n">
        <f aca="false">-AC19*Inputs!$B$30*(1+Inputs!$B$34)^(AC$7-1)</f>
        <v>-924.01088</v>
      </c>
      <c r="AD30" s="67" t="n">
        <f aca="false">-AD19*Inputs!$B$30*(1+Inputs!$B$34)^(AD$7-1)</f>
        <v>-924.01088</v>
      </c>
      <c r="AE30" s="67" t="n">
        <f aca="false">-AE19*Inputs!$B$30*(1+Inputs!$B$34)^(AE$7-1)</f>
        <v>-924.01088</v>
      </c>
      <c r="AF30" s="67" t="n">
        <f aca="false">-AF19*Inputs!$B$30*(1+Inputs!$B$34)^(AF$7-1)</f>
        <v>-924.01088</v>
      </c>
      <c r="AG30" s="67" t="n">
        <f aca="false">-AG19*Inputs!$B$30*(1+Inputs!$B$34)^(AG$7-1)</f>
        <v>-924.01088</v>
      </c>
      <c r="AH30" s="67" t="n">
        <f aca="false">-AH19*Inputs!$B$30*(1+Inputs!$B$34)^(AH$7-1)</f>
        <v>-924.01088</v>
      </c>
      <c r="AI30" s="67" t="n">
        <f aca="false">-AI19*Inputs!$B$30*(1+Inputs!$B$34)^(AI$7-1)</f>
        <v>-924.01088</v>
      </c>
      <c r="AJ30" s="67" t="n">
        <f aca="false">-AJ19*Inputs!$B$30*(1+Inputs!$B$34)^(AJ$7-1)</f>
        <v>-924.01088</v>
      </c>
      <c r="AK30" s="67" t="n">
        <f aca="false">-AK19*Inputs!$B$30*(1+Inputs!$B$34)^(AK$7-1)</f>
        <v>-924.01088</v>
      </c>
      <c r="AL30" s="67" t="n">
        <f aca="false">-AL19*Inputs!$B$30*(1+Inputs!$B$34)^(AL$7-1)</f>
        <v>-637.17056</v>
      </c>
      <c r="AM30" s="67" t="n">
        <f aca="false">-AM19*Inputs!$B$30*(1+Inputs!$B$34)^(AM$7-1)</f>
        <v>-662.6573824</v>
      </c>
      <c r="AN30" s="67" t="n">
        <f aca="false">-AN19*Inputs!$B$30*(1+Inputs!$B$34)^(AN$7-1)</f>
        <v>-662.6573824</v>
      </c>
      <c r="AO30" s="67" t="n">
        <f aca="false">-AO19*Inputs!$B$30*(1+Inputs!$B$34)^(AO$7-1)</f>
        <v>-960.9713152</v>
      </c>
      <c r="AP30" s="67" t="n">
        <f aca="false">-AP19*Inputs!$B$30*(1+Inputs!$B$34)^(AP$7-1)</f>
        <v>-960.9713152</v>
      </c>
      <c r="AQ30" s="67" t="n">
        <f aca="false">-AQ19*Inputs!$B$30*(1+Inputs!$B$34)^(AQ$7-1)</f>
        <v>-960.9713152</v>
      </c>
      <c r="AR30" s="67" t="n">
        <f aca="false">-AR19*Inputs!$B$30*(1+Inputs!$B$34)^(AR$7-1)</f>
        <v>-960.9713152</v>
      </c>
      <c r="AS30" s="67" t="n">
        <f aca="false">-AS19*Inputs!$B$30*(1+Inputs!$B$34)^(AS$7-1)</f>
        <v>-960.9713152</v>
      </c>
      <c r="AT30" s="67" t="n">
        <f aca="false">-AT19*Inputs!$B$30*(1+Inputs!$B$34)^(AT$7-1)</f>
        <v>-960.9713152</v>
      </c>
      <c r="AU30" s="67" t="n">
        <f aca="false">-AU19*Inputs!$B$30*(1+Inputs!$B$34)^(AU$7-1)</f>
        <v>-960.9713152</v>
      </c>
      <c r="AV30" s="67" t="n">
        <f aca="false">-AV19*Inputs!$B$30*(1+Inputs!$B$34)^(AV$7-1)</f>
        <v>-960.9713152</v>
      </c>
      <c r="AW30" s="67" t="n">
        <f aca="false">-AW19*Inputs!$B$30*(1+Inputs!$B$34)^(AW$7-1)</f>
        <v>-960.9713152</v>
      </c>
      <c r="AX30" s="67" t="n">
        <f aca="false">-AX19*Inputs!$B$30*(1+Inputs!$B$34)^(AX$7-1)</f>
        <v>-662.6573824</v>
      </c>
      <c r="AY30" s="67" t="n">
        <f aca="false">-AY19*Inputs!$B$30*(1+Inputs!$B$34)^(AY$7-1)</f>
        <v>-689.163677696</v>
      </c>
      <c r="AZ30" s="67" t="n">
        <f aca="false">-AZ19*Inputs!$B$30*(1+Inputs!$B$34)^(AZ$7-1)</f>
        <v>-689.163677696</v>
      </c>
      <c r="BA30" s="67" t="n">
        <f aca="false">-BA19*Inputs!$B$30*(1+Inputs!$B$34)^(BA$7-1)</f>
        <v>-999.410167808</v>
      </c>
      <c r="BB30" s="67" t="n">
        <f aca="false">-BB19*Inputs!$B$30*(1+Inputs!$B$34)^(BB$7-1)</f>
        <v>-999.410167808</v>
      </c>
      <c r="BC30" s="67" t="n">
        <f aca="false">-BC19*Inputs!$B$30*(1+Inputs!$B$34)^(BC$7-1)</f>
        <v>-999.410167808</v>
      </c>
      <c r="BD30" s="67" t="n">
        <f aca="false">-BD19*Inputs!$B$30*(1+Inputs!$B$34)^(BD$7-1)</f>
        <v>-999.410167808</v>
      </c>
      <c r="BE30" s="67" t="n">
        <f aca="false">-BE19*Inputs!$B$30*(1+Inputs!$B$34)^(BE$7-1)</f>
        <v>-999.410167808</v>
      </c>
      <c r="BF30" s="67" t="n">
        <f aca="false">-BF19*Inputs!$B$30*(1+Inputs!$B$34)^(BF$7-1)</f>
        <v>-999.410167808</v>
      </c>
      <c r="BG30" s="67" t="n">
        <f aca="false">-BG19*Inputs!$B$30*(1+Inputs!$B$34)^(BG$7-1)</f>
        <v>-999.410167808</v>
      </c>
      <c r="BH30" s="67" t="n">
        <f aca="false">-BH19*Inputs!$B$30*(1+Inputs!$B$34)^(BH$7-1)</f>
        <v>-999.410167808</v>
      </c>
      <c r="BI30" s="67" t="n">
        <f aca="false">-BI19*Inputs!$B$30*(1+Inputs!$B$34)^(BI$7-1)</f>
        <v>-999.410167808</v>
      </c>
      <c r="BJ30" s="67" t="n">
        <f aca="false">-BJ19*Inputs!$B$30*(1+Inputs!$B$34)^(BJ$7-1)</f>
        <v>-689.163677696</v>
      </c>
    </row>
    <row r="31" customFormat="false" ht="15" hidden="false" customHeight="false" outlineLevel="0" collapsed="false">
      <c r="A31" s="6" t="s">
        <v>241</v>
      </c>
      <c r="C31" s="67" t="n">
        <f aca="false">C29+C30</f>
        <v>-2040.5707</v>
      </c>
      <c r="D31" s="67" t="n">
        <f aca="false">D29+D30</f>
        <v>-2461.64084444444</v>
      </c>
      <c r="E31" s="67" t="n">
        <f aca="false">E29+E30</f>
        <v>-4190.04385555556</v>
      </c>
      <c r="F31" s="67" t="n">
        <f aca="false">F29+F30</f>
        <v>-4802.07273333333</v>
      </c>
      <c r="G31" s="67" t="n">
        <f aca="false">G29+G30</f>
        <v>-5414.10161111111</v>
      </c>
      <c r="H31" s="67" t="n">
        <f aca="false">H29+H30</f>
        <v>-6026.13048888889</v>
      </c>
      <c r="I31" s="67" t="n">
        <f aca="false">I29+I30</f>
        <v>-6638.15936666667</v>
      </c>
      <c r="J31" s="67" t="n">
        <f aca="false">J29+J30</f>
        <v>-7250.18824444445</v>
      </c>
      <c r="K31" s="67" t="n">
        <f aca="false">K29+K30</f>
        <v>-7862.21712222222</v>
      </c>
      <c r="L31" s="67" t="n">
        <f aca="false">L29+L30</f>
        <v>-8474.246</v>
      </c>
      <c r="M31" s="67" t="n">
        <f aca="false">M29+M30</f>
        <v>-8474.246</v>
      </c>
      <c r="N31" s="67" t="n">
        <f aca="false">N29+N30</f>
        <v>-5830.202</v>
      </c>
      <c r="O31" s="67" t="n">
        <f aca="false">O29+O30</f>
        <v>-5958.58804</v>
      </c>
      <c r="P31" s="67" t="n">
        <f aca="false">P29+P30</f>
        <v>-5958.58804</v>
      </c>
      <c r="Q31" s="67" t="n">
        <f aca="false">Q29+Q30</f>
        <v>-8660.81692</v>
      </c>
      <c r="R31" s="67" t="n">
        <f aca="false">R29+R30</f>
        <v>-8660.81692</v>
      </c>
      <c r="S31" s="67" t="n">
        <f aca="false">S29+S30</f>
        <v>-8660.81692</v>
      </c>
      <c r="T31" s="67" t="n">
        <f aca="false">T29+T30</f>
        <v>-8660.81692</v>
      </c>
      <c r="U31" s="67" t="n">
        <f aca="false">U29+U30</f>
        <v>-8660.81692</v>
      </c>
      <c r="V31" s="67" t="n">
        <f aca="false">V29+V30</f>
        <v>-8660.81692</v>
      </c>
      <c r="W31" s="67" t="n">
        <f aca="false">W29+W30</f>
        <v>-8660.81692</v>
      </c>
      <c r="X31" s="67" t="n">
        <f aca="false">X29+X30</f>
        <v>-8660.81692</v>
      </c>
      <c r="Y31" s="67" t="n">
        <f aca="false">Y29+Y30</f>
        <v>-8660.81692</v>
      </c>
      <c r="Z31" s="67" t="n">
        <f aca="false">Z29+Z30</f>
        <v>-5958.58804</v>
      </c>
      <c r="AA31" s="67" t="n">
        <f aca="false">AA29+AA30</f>
        <v>-6090.0130808</v>
      </c>
      <c r="AB31" s="67" t="n">
        <f aca="false">AB29+AB30</f>
        <v>-6090.0130808</v>
      </c>
      <c r="AC31" s="67" t="n">
        <f aca="false">AC29+AC30</f>
        <v>-8851.8026984</v>
      </c>
      <c r="AD31" s="67" t="n">
        <f aca="false">AD29+AD30</f>
        <v>-8851.8026984</v>
      </c>
      <c r="AE31" s="67" t="n">
        <f aca="false">AE29+AE30</f>
        <v>-8851.8026984</v>
      </c>
      <c r="AF31" s="67" t="n">
        <f aca="false">AF29+AF30</f>
        <v>-8851.8026984</v>
      </c>
      <c r="AG31" s="67" t="n">
        <f aca="false">AG29+AG30</f>
        <v>-8851.8026984</v>
      </c>
      <c r="AH31" s="67" t="n">
        <f aca="false">AH29+AH30</f>
        <v>-8851.8026984</v>
      </c>
      <c r="AI31" s="67" t="n">
        <f aca="false">AI29+AI30</f>
        <v>-8851.8026984</v>
      </c>
      <c r="AJ31" s="67" t="n">
        <f aca="false">AJ29+AJ30</f>
        <v>-8851.8026984</v>
      </c>
      <c r="AK31" s="67" t="n">
        <f aca="false">AK29+AK30</f>
        <v>-8851.8026984</v>
      </c>
      <c r="AL31" s="67" t="n">
        <f aca="false">AL29+AL30</f>
        <v>-6090.0130808</v>
      </c>
      <c r="AM31" s="67" t="n">
        <f aca="false">AM29+AM30</f>
        <v>-6224.556753616</v>
      </c>
      <c r="AN31" s="67" t="n">
        <f aca="false">AN29+AN30</f>
        <v>-6224.556753616</v>
      </c>
      <c r="AO31" s="67" t="n">
        <f aca="false">AO29+AO30</f>
        <v>-9047.318969968</v>
      </c>
      <c r="AP31" s="67" t="n">
        <f aca="false">AP29+AP30</f>
        <v>-9047.318969968</v>
      </c>
      <c r="AQ31" s="67" t="n">
        <f aca="false">AQ29+AQ30</f>
        <v>-9047.318969968</v>
      </c>
      <c r="AR31" s="67" t="n">
        <f aca="false">AR29+AR30</f>
        <v>-9047.318969968</v>
      </c>
      <c r="AS31" s="67" t="n">
        <f aca="false">AS29+AS30</f>
        <v>-9047.318969968</v>
      </c>
      <c r="AT31" s="67" t="n">
        <f aca="false">AT29+AT30</f>
        <v>-9047.318969968</v>
      </c>
      <c r="AU31" s="67" t="n">
        <f aca="false">AU29+AU30</f>
        <v>-9047.318969968</v>
      </c>
      <c r="AV31" s="67" t="n">
        <f aca="false">AV29+AV30</f>
        <v>-9047.318969968</v>
      </c>
      <c r="AW31" s="67" t="n">
        <f aca="false">AW29+AW30</f>
        <v>-9047.318969968</v>
      </c>
      <c r="AX31" s="67" t="n">
        <f aca="false">AX29+AX30</f>
        <v>-6224.556753616</v>
      </c>
      <c r="AY31" s="67" t="n">
        <f aca="false">AY29+AY30</f>
        <v>-6362.30103633632</v>
      </c>
      <c r="AZ31" s="67" t="n">
        <f aca="false">AZ29+AZ30</f>
        <v>-6362.30103633632</v>
      </c>
      <c r="BA31" s="67" t="n">
        <f aca="false">BA29+BA30</f>
        <v>-9247.48477567136</v>
      </c>
      <c r="BB31" s="67" t="n">
        <f aca="false">BB29+BB30</f>
        <v>-9247.48477567136</v>
      </c>
      <c r="BC31" s="67" t="n">
        <f aca="false">BC29+BC30</f>
        <v>-9247.48477567136</v>
      </c>
      <c r="BD31" s="67" t="n">
        <f aca="false">BD29+BD30</f>
        <v>-9247.48477567136</v>
      </c>
      <c r="BE31" s="67" t="n">
        <f aca="false">BE29+BE30</f>
        <v>-9247.48477567136</v>
      </c>
      <c r="BF31" s="67" t="n">
        <f aca="false">BF29+BF30</f>
        <v>-9247.48477567136</v>
      </c>
      <c r="BG31" s="67" t="n">
        <f aca="false">BG29+BG30</f>
        <v>-9247.48477567136</v>
      </c>
      <c r="BH31" s="67" t="n">
        <f aca="false">BH29+BH30</f>
        <v>-9247.48477567136</v>
      </c>
      <c r="BI31" s="67" t="n">
        <f aca="false">BI29+BI30</f>
        <v>-9247.48477567136</v>
      </c>
      <c r="BJ31" s="67" t="n">
        <f aca="false">BJ29+BJ30</f>
        <v>-6362.30103633632</v>
      </c>
    </row>
    <row r="32" customFormat="false" ht="15" hidden="false" customHeight="false" outlineLevel="0" collapsed="false">
      <c r="A32" s="6" t="s">
        <v>426</v>
      </c>
      <c r="C32" s="67" t="n">
        <f aca="false">-C26*Inputs!$B$31</f>
        <v>-164.82886</v>
      </c>
      <c r="D32" s="67" t="n">
        <f aca="false">-D26*Inputs!$B$31</f>
        <v>-198.841164444444</v>
      </c>
      <c r="E32" s="67" t="n">
        <f aca="false">-E26*Inputs!$B$31</f>
        <v>-338.541562222222</v>
      </c>
      <c r="F32" s="67" t="n">
        <f aca="false">-F26*Inputs!$B$31</f>
        <v>-387.991453333333</v>
      </c>
      <c r="G32" s="67" t="n">
        <f aca="false">-G26*Inputs!$B$31</f>
        <v>-437.441344444444</v>
      </c>
      <c r="H32" s="67" t="n">
        <f aca="false">-H26*Inputs!$B$31</f>
        <v>-486.891235555556</v>
      </c>
      <c r="I32" s="67" t="n">
        <f aca="false">-I26*Inputs!$B$31</f>
        <v>-536.341126666667</v>
      </c>
      <c r="J32" s="67" t="n">
        <f aca="false">-J26*Inputs!$B$31</f>
        <v>-585.791017777778</v>
      </c>
      <c r="K32" s="67" t="n">
        <f aca="false">-K26*Inputs!$B$31</f>
        <v>-635.240908888889</v>
      </c>
      <c r="L32" s="67" t="n">
        <f aca="false">-L26*Inputs!$B$31</f>
        <v>-684.6908</v>
      </c>
      <c r="M32" s="67" t="n">
        <f aca="false">-M26*Inputs!$B$31</f>
        <v>-684.6908</v>
      </c>
      <c r="N32" s="67" t="n">
        <f aca="false">-N26*Inputs!$B$31</f>
        <v>-470.9396</v>
      </c>
      <c r="O32" s="67" t="n">
        <f aca="false">-O26*Inputs!$B$31</f>
        <v>-480.358392</v>
      </c>
      <c r="P32" s="67" t="n">
        <f aca="false">-P26*Inputs!$B$31</f>
        <v>-480.358392</v>
      </c>
      <c r="Q32" s="67" t="n">
        <f aca="false">-Q26*Inputs!$B$31</f>
        <v>-698.384616</v>
      </c>
      <c r="R32" s="67" t="n">
        <f aca="false">-R26*Inputs!$B$31</f>
        <v>-698.384616</v>
      </c>
      <c r="S32" s="67" t="n">
        <f aca="false">-S26*Inputs!$B$31</f>
        <v>-698.384616</v>
      </c>
      <c r="T32" s="67" t="n">
        <f aca="false">-T26*Inputs!$B$31</f>
        <v>-698.384616</v>
      </c>
      <c r="U32" s="67" t="n">
        <f aca="false">-U26*Inputs!$B$31</f>
        <v>-698.384616</v>
      </c>
      <c r="V32" s="67" t="n">
        <f aca="false">-V26*Inputs!$B$31</f>
        <v>-698.384616</v>
      </c>
      <c r="W32" s="67" t="n">
        <f aca="false">-W26*Inputs!$B$31</f>
        <v>-698.384616</v>
      </c>
      <c r="X32" s="67" t="n">
        <f aca="false">-X26*Inputs!$B$31</f>
        <v>-698.384616</v>
      </c>
      <c r="Y32" s="67" t="n">
        <f aca="false">-Y26*Inputs!$B$31</f>
        <v>-698.384616</v>
      </c>
      <c r="Z32" s="67" t="n">
        <f aca="false">-Z26*Inputs!$B$31</f>
        <v>-480.358392</v>
      </c>
      <c r="AA32" s="67" t="n">
        <f aca="false">-AA26*Inputs!$B$31</f>
        <v>-489.96555984</v>
      </c>
      <c r="AB32" s="67" t="n">
        <f aca="false">-AB26*Inputs!$B$31</f>
        <v>-489.96555984</v>
      </c>
      <c r="AC32" s="67" t="n">
        <f aca="false">-AC26*Inputs!$B$31</f>
        <v>-712.35230832</v>
      </c>
      <c r="AD32" s="67" t="n">
        <f aca="false">-AD26*Inputs!$B$31</f>
        <v>-712.35230832</v>
      </c>
      <c r="AE32" s="67" t="n">
        <f aca="false">-AE26*Inputs!$B$31</f>
        <v>-712.35230832</v>
      </c>
      <c r="AF32" s="67" t="n">
        <f aca="false">-AF26*Inputs!$B$31</f>
        <v>-712.35230832</v>
      </c>
      <c r="AG32" s="67" t="n">
        <f aca="false">-AG26*Inputs!$B$31</f>
        <v>-712.35230832</v>
      </c>
      <c r="AH32" s="67" t="n">
        <f aca="false">-AH26*Inputs!$B$31</f>
        <v>-712.35230832</v>
      </c>
      <c r="AI32" s="67" t="n">
        <f aca="false">-AI26*Inputs!$B$31</f>
        <v>-712.35230832</v>
      </c>
      <c r="AJ32" s="67" t="n">
        <f aca="false">-AJ26*Inputs!$B$31</f>
        <v>-712.35230832</v>
      </c>
      <c r="AK32" s="67" t="n">
        <f aca="false">-AK26*Inputs!$B$31</f>
        <v>-712.35230832</v>
      </c>
      <c r="AL32" s="67" t="n">
        <f aca="false">-AL26*Inputs!$B$31</f>
        <v>-489.96555984</v>
      </c>
      <c r="AM32" s="67" t="n">
        <f aca="false">-AM26*Inputs!$B$31</f>
        <v>-499.7648710368</v>
      </c>
      <c r="AN32" s="67" t="n">
        <f aca="false">-AN26*Inputs!$B$31</f>
        <v>-499.7648710368</v>
      </c>
      <c r="AO32" s="67" t="n">
        <f aca="false">-AO26*Inputs!$B$31</f>
        <v>-726.5993544864</v>
      </c>
      <c r="AP32" s="67" t="n">
        <f aca="false">-AP26*Inputs!$B$31</f>
        <v>-726.5993544864</v>
      </c>
      <c r="AQ32" s="67" t="n">
        <f aca="false">-AQ26*Inputs!$B$31</f>
        <v>-726.5993544864</v>
      </c>
      <c r="AR32" s="67" t="n">
        <f aca="false">-AR26*Inputs!$B$31</f>
        <v>-726.5993544864</v>
      </c>
      <c r="AS32" s="67" t="n">
        <f aca="false">-AS26*Inputs!$B$31</f>
        <v>-726.5993544864</v>
      </c>
      <c r="AT32" s="67" t="n">
        <f aca="false">-AT26*Inputs!$B$31</f>
        <v>-726.5993544864</v>
      </c>
      <c r="AU32" s="67" t="n">
        <f aca="false">-AU26*Inputs!$B$31</f>
        <v>-726.5993544864</v>
      </c>
      <c r="AV32" s="67" t="n">
        <f aca="false">-AV26*Inputs!$B$31</f>
        <v>-726.5993544864</v>
      </c>
      <c r="AW32" s="67" t="n">
        <f aca="false">-AW26*Inputs!$B$31</f>
        <v>-726.5993544864</v>
      </c>
      <c r="AX32" s="67" t="n">
        <f aca="false">-AX26*Inputs!$B$31</f>
        <v>-499.7648710368</v>
      </c>
      <c r="AY32" s="67" t="n">
        <f aca="false">-AY26*Inputs!$B$31</f>
        <v>-509.760168457536</v>
      </c>
      <c r="AZ32" s="67" t="n">
        <f aca="false">-AZ26*Inputs!$B$31</f>
        <v>-509.760168457536</v>
      </c>
      <c r="BA32" s="67" t="n">
        <f aca="false">-BA26*Inputs!$B$31</f>
        <v>-741.131341576128</v>
      </c>
      <c r="BB32" s="67" t="n">
        <f aca="false">-BB26*Inputs!$B$31</f>
        <v>-741.131341576128</v>
      </c>
      <c r="BC32" s="67" t="n">
        <f aca="false">-BC26*Inputs!$B$31</f>
        <v>-741.131341576128</v>
      </c>
      <c r="BD32" s="67" t="n">
        <f aca="false">-BD26*Inputs!$B$31</f>
        <v>-741.131341576128</v>
      </c>
      <c r="BE32" s="67" t="n">
        <f aca="false">-BE26*Inputs!$B$31</f>
        <v>-741.131341576128</v>
      </c>
      <c r="BF32" s="67" t="n">
        <f aca="false">-BF26*Inputs!$B$31</f>
        <v>-741.131341576128</v>
      </c>
      <c r="BG32" s="67" t="n">
        <f aca="false">-BG26*Inputs!$B$31</f>
        <v>-741.131341576128</v>
      </c>
      <c r="BH32" s="67" t="n">
        <f aca="false">-BH26*Inputs!$B$31</f>
        <v>-741.131341576128</v>
      </c>
      <c r="BI32" s="67" t="n">
        <f aca="false">-BI26*Inputs!$B$31</f>
        <v>-741.131341576128</v>
      </c>
      <c r="BJ32" s="67" t="n">
        <f aca="false">-BJ26*Inputs!$B$31</f>
        <v>-509.760168457536</v>
      </c>
    </row>
    <row r="33" customFormat="false" ht="15" hidden="false" customHeight="false" outlineLevel="0" collapsed="false">
      <c r="A33" s="6" t="s">
        <v>427</v>
      </c>
      <c r="C33" s="67" t="n">
        <f aca="false">-C25*Inputs!$B$32-C15*Inputs!$B$33*(1+Inputs!$B$34)^(C$7-1)</f>
        <v>-159.6875</v>
      </c>
      <c r="D33" s="67" t="n">
        <f aca="false">-D25*Inputs!$B$32-D15*Inputs!$B$33*(1+Inputs!$B$34)^(D$7-1)</f>
        <v>-192.638888888889</v>
      </c>
      <c r="E33" s="67" t="n">
        <f aca="false">-E25*Inputs!$B$32-E15*Inputs!$B$33*(1+Inputs!$B$34)^(E$7-1)</f>
        <v>-225.590277777778</v>
      </c>
      <c r="F33" s="67" t="n">
        <f aca="false">-F25*Inputs!$B$32-F15*Inputs!$B$33*(1+Inputs!$B$34)^(F$7-1)</f>
        <v>-258.541666666667</v>
      </c>
      <c r="G33" s="67" t="n">
        <f aca="false">-G25*Inputs!$B$32-G15*Inputs!$B$33*(1+Inputs!$B$34)^(G$7-1)</f>
        <v>-291.493055555556</v>
      </c>
      <c r="H33" s="67" t="n">
        <f aca="false">-H25*Inputs!$B$32-H15*Inputs!$B$33*(1+Inputs!$B$34)^(H$7-1)</f>
        <v>-324.444444444445</v>
      </c>
      <c r="I33" s="67" t="n">
        <f aca="false">-I25*Inputs!$B$32-I15*Inputs!$B$33*(1+Inputs!$B$34)^(I$7-1)</f>
        <v>-357.395833333333</v>
      </c>
      <c r="J33" s="67" t="n">
        <f aca="false">-J25*Inputs!$B$32-J15*Inputs!$B$33*(1+Inputs!$B$34)^(J$7-1)</f>
        <v>-390.347222222222</v>
      </c>
      <c r="K33" s="67" t="n">
        <f aca="false">-K25*Inputs!$B$32-K15*Inputs!$B$33*(1+Inputs!$B$34)^(K$7-1)</f>
        <v>-423.298611111111</v>
      </c>
      <c r="L33" s="67" t="n">
        <f aca="false">-L25*Inputs!$B$32-L15*Inputs!$B$33*(1+Inputs!$B$34)^(L$7-1)</f>
        <v>-456.25</v>
      </c>
      <c r="M33" s="67" t="n">
        <f aca="false">-M25*Inputs!$B$32-M15*Inputs!$B$33*(1+Inputs!$B$34)^(M$7-1)</f>
        <v>-456.25</v>
      </c>
      <c r="N33" s="67" t="n">
        <f aca="false">-N25*Inputs!$B$32-N15*Inputs!$B$33*(1+Inputs!$B$34)^(N$7-1)</f>
        <v>-456.25</v>
      </c>
      <c r="O33" s="67" t="n">
        <f aca="false">-O25*Inputs!$B$32-O15*Inputs!$B$33*(1+Inputs!$B$34)^(O$7-1)</f>
        <v>-471.375</v>
      </c>
      <c r="P33" s="67" t="n">
        <f aca="false">-P25*Inputs!$B$32-P15*Inputs!$B$33*(1+Inputs!$B$34)^(P$7-1)</f>
        <v>-471.375</v>
      </c>
      <c r="Q33" s="67" t="n">
        <f aca="false">-Q25*Inputs!$B$32-Q15*Inputs!$B$33*(1+Inputs!$B$34)^(Q$7-1)</f>
        <v>-471.375</v>
      </c>
      <c r="R33" s="67" t="n">
        <f aca="false">-R25*Inputs!$B$32-R15*Inputs!$B$33*(1+Inputs!$B$34)^(R$7-1)</f>
        <v>-471.375</v>
      </c>
      <c r="S33" s="67" t="n">
        <f aca="false">-S25*Inputs!$B$32-S15*Inputs!$B$33*(1+Inputs!$B$34)^(S$7-1)</f>
        <v>-471.375</v>
      </c>
      <c r="T33" s="67" t="n">
        <f aca="false">-T25*Inputs!$B$32-T15*Inputs!$B$33*(1+Inputs!$B$34)^(T$7-1)</f>
        <v>-471.375</v>
      </c>
      <c r="U33" s="67" t="n">
        <f aca="false">-U25*Inputs!$B$32-U15*Inputs!$B$33*(1+Inputs!$B$34)^(U$7-1)</f>
        <v>-471.375</v>
      </c>
      <c r="V33" s="67" t="n">
        <f aca="false">-V25*Inputs!$B$32-V15*Inputs!$B$33*(1+Inputs!$B$34)^(V$7-1)</f>
        <v>-471.375</v>
      </c>
      <c r="W33" s="67" t="n">
        <f aca="false">-W25*Inputs!$B$32-W15*Inputs!$B$33*(1+Inputs!$B$34)^(W$7-1)</f>
        <v>-471.375</v>
      </c>
      <c r="X33" s="67" t="n">
        <f aca="false">-X25*Inputs!$B$32-X15*Inputs!$B$33*(1+Inputs!$B$34)^(X$7-1)</f>
        <v>-471.375</v>
      </c>
      <c r="Y33" s="67" t="n">
        <f aca="false">-Y25*Inputs!$B$32-Y15*Inputs!$B$33*(1+Inputs!$B$34)^(Y$7-1)</f>
        <v>-471.375</v>
      </c>
      <c r="Z33" s="67" t="n">
        <f aca="false">-Z25*Inputs!$B$32-Z15*Inputs!$B$33*(1+Inputs!$B$34)^(Z$7-1)</f>
        <v>-471.375</v>
      </c>
      <c r="AA33" s="67" t="n">
        <f aca="false">-AA25*Inputs!$B$32-AA15*Inputs!$B$33*(1+Inputs!$B$34)^(AA$7-1)</f>
        <v>-487.0425</v>
      </c>
      <c r="AB33" s="67" t="n">
        <f aca="false">-AB25*Inputs!$B$32-AB15*Inputs!$B$33*(1+Inputs!$B$34)^(AB$7-1)</f>
        <v>-487.0425</v>
      </c>
      <c r="AC33" s="67" t="n">
        <f aca="false">-AC25*Inputs!$B$32-AC15*Inputs!$B$33*(1+Inputs!$B$34)^(AC$7-1)</f>
        <v>-487.0425</v>
      </c>
      <c r="AD33" s="67" t="n">
        <f aca="false">-AD25*Inputs!$B$32-AD15*Inputs!$B$33*(1+Inputs!$B$34)^(AD$7-1)</f>
        <v>-487.0425</v>
      </c>
      <c r="AE33" s="67" t="n">
        <f aca="false">-AE25*Inputs!$B$32-AE15*Inputs!$B$33*(1+Inputs!$B$34)^(AE$7-1)</f>
        <v>-487.0425</v>
      </c>
      <c r="AF33" s="67" t="n">
        <f aca="false">-AF25*Inputs!$B$32-AF15*Inputs!$B$33*(1+Inputs!$B$34)^(AF$7-1)</f>
        <v>-487.0425</v>
      </c>
      <c r="AG33" s="67" t="n">
        <f aca="false">-AG25*Inputs!$B$32-AG15*Inputs!$B$33*(1+Inputs!$B$34)^(AG$7-1)</f>
        <v>-487.0425</v>
      </c>
      <c r="AH33" s="67" t="n">
        <f aca="false">-AH25*Inputs!$B$32-AH15*Inputs!$B$33*(1+Inputs!$B$34)^(AH$7-1)</f>
        <v>-487.0425</v>
      </c>
      <c r="AI33" s="67" t="n">
        <f aca="false">-AI25*Inputs!$B$32-AI15*Inputs!$B$33*(1+Inputs!$B$34)^(AI$7-1)</f>
        <v>-487.0425</v>
      </c>
      <c r="AJ33" s="67" t="n">
        <f aca="false">-AJ25*Inputs!$B$32-AJ15*Inputs!$B$33*(1+Inputs!$B$34)^(AJ$7-1)</f>
        <v>-487.0425</v>
      </c>
      <c r="AK33" s="67" t="n">
        <f aca="false">-AK25*Inputs!$B$32-AK15*Inputs!$B$33*(1+Inputs!$B$34)^(AK$7-1)</f>
        <v>-487.0425</v>
      </c>
      <c r="AL33" s="67" t="n">
        <f aca="false">-AL25*Inputs!$B$32-AL15*Inputs!$B$33*(1+Inputs!$B$34)^(AL$7-1)</f>
        <v>-487.0425</v>
      </c>
      <c r="AM33" s="67" t="n">
        <f aca="false">-AM25*Inputs!$B$32-AM15*Inputs!$B$33*(1+Inputs!$B$34)^(AM$7-1)</f>
        <v>-503.27295</v>
      </c>
      <c r="AN33" s="67" t="n">
        <f aca="false">-AN25*Inputs!$B$32-AN15*Inputs!$B$33*(1+Inputs!$B$34)^(AN$7-1)</f>
        <v>-503.27295</v>
      </c>
      <c r="AO33" s="67" t="n">
        <f aca="false">-AO25*Inputs!$B$32-AO15*Inputs!$B$33*(1+Inputs!$B$34)^(AO$7-1)</f>
        <v>-503.27295</v>
      </c>
      <c r="AP33" s="67" t="n">
        <f aca="false">-AP25*Inputs!$B$32-AP15*Inputs!$B$33*(1+Inputs!$B$34)^(AP$7-1)</f>
        <v>-503.27295</v>
      </c>
      <c r="AQ33" s="67" t="n">
        <f aca="false">-AQ25*Inputs!$B$32-AQ15*Inputs!$B$33*(1+Inputs!$B$34)^(AQ$7-1)</f>
        <v>-503.27295</v>
      </c>
      <c r="AR33" s="67" t="n">
        <f aca="false">-AR25*Inputs!$B$32-AR15*Inputs!$B$33*(1+Inputs!$B$34)^(AR$7-1)</f>
        <v>-503.27295</v>
      </c>
      <c r="AS33" s="67" t="n">
        <f aca="false">-AS25*Inputs!$B$32-AS15*Inputs!$B$33*(1+Inputs!$B$34)^(AS$7-1)</f>
        <v>-503.27295</v>
      </c>
      <c r="AT33" s="67" t="n">
        <f aca="false">-AT25*Inputs!$B$32-AT15*Inputs!$B$33*(1+Inputs!$B$34)^(AT$7-1)</f>
        <v>-503.27295</v>
      </c>
      <c r="AU33" s="67" t="n">
        <f aca="false">-AU25*Inputs!$B$32-AU15*Inputs!$B$33*(1+Inputs!$B$34)^(AU$7-1)</f>
        <v>-503.27295</v>
      </c>
      <c r="AV33" s="67" t="n">
        <f aca="false">-AV25*Inputs!$B$32-AV15*Inputs!$B$33*(1+Inputs!$B$34)^(AV$7-1)</f>
        <v>-503.27295</v>
      </c>
      <c r="AW33" s="67" t="n">
        <f aca="false">-AW25*Inputs!$B$32-AW15*Inputs!$B$33*(1+Inputs!$B$34)^(AW$7-1)</f>
        <v>-503.27295</v>
      </c>
      <c r="AX33" s="67" t="n">
        <f aca="false">-AX25*Inputs!$B$32-AX15*Inputs!$B$33*(1+Inputs!$B$34)^(AX$7-1)</f>
        <v>-503.27295</v>
      </c>
      <c r="AY33" s="67" t="n">
        <f aca="false">-AY25*Inputs!$B$32-AY15*Inputs!$B$33*(1+Inputs!$B$34)^(AY$7-1)</f>
        <v>-520.087593</v>
      </c>
      <c r="AZ33" s="67" t="n">
        <f aca="false">-AZ25*Inputs!$B$32-AZ15*Inputs!$B$33*(1+Inputs!$B$34)^(AZ$7-1)</f>
        <v>-520.087593</v>
      </c>
      <c r="BA33" s="67" t="n">
        <f aca="false">-BA25*Inputs!$B$32-BA15*Inputs!$B$33*(1+Inputs!$B$34)^(BA$7-1)</f>
        <v>-520.087593</v>
      </c>
      <c r="BB33" s="67" t="n">
        <f aca="false">-BB25*Inputs!$B$32-BB15*Inputs!$B$33*(1+Inputs!$B$34)^(BB$7-1)</f>
        <v>-520.087593</v>
      </c>
      <c r="BC33" s="67" t="n">
        <f aca="false">-BC25*Inputs!$B$32-BC15*Inputs!$B$33*(1+Inputs!$B$34)^(BC$7-1)</f>
        <v>-520.087593</v>
      </c>
      <c r="BD33" s="67" t="n">
        <f aca="false">-BD25*Inputs!$B$32-BD15*Inputs!$B$33*(1+Inputs!$B$34)^(BD$7-1)</f>
        <v>-520.087593</v>
      </c>
      <c r="BE33" s="67" t="n">
        <f aca="false">-BE25*Inputs!$B$32-BE15*Inputs!$B$33*(1+Inputs!$B$34)^(BE$7-1)</f>
        <v>-520.087593</v>
      </c>
      <c r="BF33" s="67" t="n">
        <f aca="false">-BF25*Inputs!$B$32-BF15*Inputs!$B$33*(1+Inputs!$B$34)^(BF$7-1)</f>
        <v>-520.087593</v>
      </c>
      <c r="BG33" s="67" t="n">
        <f aca="false">-BG25*Inputs!$B$32-BG15*Inputs!$B$33*(1+Inputs!$B$34)^(BG$7-1)</f>
        <v>-520.087593</v>
      </c>
      <c r="BH33" s="67" t="n">
        <f aca="false">-BH25*Inputs!$B$32-BH15*Inputs!$B$33*(1+Inputs!$B$34)^(BH$7-1)</f>
        <v>-520.087593</v>
      </c>
      <c r="BI33" s="67" t="n">
        <f aca="false">-BI25*Inputs!$B$32-BI15*Inputs!$B$33*(1+Inputs!$B$34)^(BI$7-1)</f>
        <v>-520.087593</v>
      </c>
      <c r="BJ33" s="67" t="n">
        <f aca="false">-BJ25*Inputs!$B$32-BJ15*Inputs!$B$33*(1+Inputs!$B$34)^(BJ$7-1)</f>
        <v>-520.087593</v>
      </c>
    </row>
    <row r="34" customFormat="false" ht="15" hidden="false" customHeight="false" outlineLevel="0" collapsed="false">
      <c r="A34" s="4" t="s">
        <v>76</v>
      </c>
      <c r="C34" s="73" t="n">
        <f aca="false">C31+C32+C33</f>
        <v>-2365.08706</v>
      </c>
      <c r="D34" s="73" t="n">
        <f aca="false">D31+D32+D33</f>
        <v>-2853.12089777778</v>
      </c>
      <c r="E34" s="73" t="n">
        <f aca="false">E31+E32+E33</f>
        <v>-4754.17569555556</v>
      </c>
      <c r="F34" s="73" t="n">
        <f aca="false">F31+F32+F33</f>
        <v>-5448.60585333333</v>
      </c>
      <c r="G34" s="73" t="n">
        <f aca="false">G31+G32+G33</f>
        <v>-6143.03601111111</v>
      </c>
      <c r="H34" s="73" t="n">
        <f aca="false">H31+H32+H33</f>
        <v>-6837.46616888889</v>
      </c>
      <c r="I34" s="73" t="n">
        <f aca="false">I31+I32+I33</f>
        <v>-7531.89632666667</v>
      </c>
      <c r="J34" s="73" t="n">
        <f aca="false">J31+J32+J33</f>
        <v>-8226.32648444445</v>
      </c>
      <c r="K34" s="73" t="n">
        <f aca="false">K31+K32+K33</f>
        <v>-8920.75664222222</v>
      </c>
      <c r="L34" s="73" t="n">
        <f aca="false">L31+L32+L33</f>
        <v>-9615.1868</v>
      </c>
      <c r="M34" s="73" t="n">
        <f aca="false">M31+M32+M33</f>
        <v>-9615.1868</v>
      </c>
      <c r="N34" s="73" t="n">
        <f aca="false">N31+N32+N33</f>
        <v>-6757.3916</v>
      </c>
      <c r="O34" s="73" t="n">
        <f aca="false">O31+O32+O33</f>
        <v>-6910.321432</v>
      </c>
      <c r="P34" s="73" t="n">
        <f aca="false">P31+P32+P33</f>
        <v>-6910.321432</v>
      </c>
      <c r="Q34" s="73" t="n">
        <f aca="false">Q31+Q32+Q33</f>
        <v>-9830.576536</v>
      </c>
      <c r="R34" s="73" t="n">
        <f aca="false">R31+R32+R33</f>
        <v>-9830.576536</v>
      </c>
      <c r="S34" s="73" t="n">
        <f aca="false">S31+S32+S33</f>
        <v>-9830.576536</v>
      </c>
      <c r="T34" s="73" t="n">
        <f aca="false">T31+T32+T33</f>
        <v>-9830.576536</v>
      </c>
      <c r="U34" s="73" t="n">
        <f aca="false">U31+U32+U33</f>
        <v>-9830.576536</v>
      </c>
      <c r="V34" s="73" t="n">
        <f aca="false">V31+V32+V33</f>
        <v>-9830.576536</v>
      </c>
      <c r="W34" s="73" t="n">
        <f aca="false">W31+W32+W33</f>
        <v>-9830.576536</v>
      </c>
      <c r="X34" s="73" t="n">
        <f aca="false">X31+X32+X33</f>
        <v>-9830.576536</v>
      </c>
      <c r="Y34" s="73" t="n">
        <f aca="false">Y31+Y32+Y33</f>
        <v>-9830.576536</v>
      </c>
      <c r="Z34" s="73" t="n">
        <f aca="false">Z31+Z32+Z33</f>
        <v>-6910.321432</v>
      </c>
      <c r="AA34" s="73" t="n">
        <f aca="false">AA31+AA32+AA33</f>
        <v>-7067.02114064</v>
      </c>
      <c r="AB34" s="73" t="n">
        <f aca="false">AB31+AB32+AB33</f>
        <v>-7067.02114064</v>
      </c>
      <c r="AC34" s="73" t="n">
        <f aca="false">AC31+AC32+AC33</f>
        <v>-10051.19750672</v>
      </c>
      <c r="AD34" s="73" t="n">
        <f aca="false">AD31+AD32+AD33</f>
        <v>-10051.19750672</v>
      </c>
      <c r="AE34" s="73" t="n">
        <f aca="false">AE31+AE32+AE33</f>
        <v>-10051.19750672</v>
      </c>
      <c r="AF34" s="73" t="n">
        <f aca="false">AF31+AF32+AF33</f>
        <v>-10051.19750672</v>
      </c>
      <c r="AG34" s="73" t="n">
        <f aca="false">AG31+AG32+AG33</f>
        <v>-10051.19750672</v>
      </c>
      <c r="AH34" s="73" t="n">
        <f aca="false">AH31+AH32+AH33</f>
        <v>-10051.19750672</v>
      </c>
      <c r="AI34" s="73" t="n">
        <f aca="false">AI31+AI32+AI33</f>
        <v>-10051.19750672</v>
      </c>
      <c r="AJ34" s="73" t="n">
        <f aca="false">AJ31+AJ32+AJ33</f>
        <v>-10051.19750672</v>
      </c>
      <c r="AK34" s="73" t="n">
        <f aca="false">AK31+AK32+AK33</f>
        <v>-10051.19750672</v>
      </c>
      <c r="AL34" s="73" t="n">
        <f aca="false">AL31+AL32+AL33</f>
        <v>-7067.02114064</v>
      </c>
      <c r="AM34" s="73" t="n">
        <f aca="false">AM31+AM32+AM33</f>
        <v>-7227.5945746528</v>
      </c>
      <c r="AN34" s="73" t="n">
        <f aca="false">AN31+AN32+AN33</f>
        <v>-7227.5945746528</v>
      </c>
      <c r="AO34" s="73" t="n">
        <f aca="false">AO31+AO32+AO33</f>
        <v>-10277.1912744544</v>
      </c>
      <c r="AP34" s="73" t="n">
        <f aca="false">AP31+AP32+AP33</f>
        <v>-10277.1912744544</v>
      </c>
      <c r="AQ34" s="73" t="n">
        <f aca="false">AQ31+AQ32+AQ33</f>
        <v>-10277.1912744544</v>
      </c>
      <c r="AR34" s="73" t="n">
        <f aca="false">AR31+AR32+AR33</f>
        <v>-10277.1912744544</v>
      </c>
      <c r="AS34" s="73" t="n">
        <f aca="false">AS31+AS32+AS33</f>
        <v>-10277.1912744544</v>
      </c>
      <c r="AT34" s="73" t="n">
        <f aca="false">AT31+AT32+AT33</f>
        <v>-10277.1912744544</v>
      </c>
      <c r="AU34" s="73" t="n">
        <f aca="false">AU31+AU32+AU33</f>
        <v>-10277.1912744544</v>
      </c>
      <c r="AV34" s="73" t="n">
        <f aca="false">AV31+AV32+AV33</f>
        <v>-10277.1912744544</v>
      </c>
      <c r="AW34" s="73" t="n">
        <f aca="false">AW31+AW32+AW33</f>
        <v>-10277.1912744544</v>
      </c>
      <c r="AX34" s="73" t="n">
        <f aca="false">AX31+AX32+AX33</f>
        <v>-7227.5945746528</v>
      </c>
      <c r="AY34" s="73" t="n">
        <f aca="false">AY31+AY32+AY33</f>
        <v>-7392.14879779386</v>
      </c>
      <c r="AZ34" s="73" t="n">
        <f aca="false">AZ31+AZ32+AZ33</f>
        <v>-7392.14879779386</v>
      </c>
      <c r="BA34" s="73" t="n">
        <f aca="false">BA31+BA32+BA33</f>
        <v>-10508.7037102475</v>
      </c>
      <c r="BB34" s="73" t="n">
        <f aca="false">BB31+BB32+BB33</f>
        <v>-10508.7037102475</v>
      </c>
      <c r="BC34" s="73" t="n">
        <f aca="false">BC31+BC32+BC33</f>
        <v>-10508.7037102475</v>
      </c>
      <c r="BD34" s="73" t="n">
        <f aca="false">BD31+BD32+BD33</f>
        <v>-10508.7037102475</v>
      </c>
      <c r="BE34" s="73" t="n">
        <f aca="false">BE31+BE32+BE33</f>
        <v>-10508.7037102475</v>
      </c>
      <c r="BF34" s="73" t="n">
        <f aca="false">BF31+BF32+BF33</f>
        <v>-10508.7037102475</v>
      </c>
      <c r="BG34" s="73" t="n">
        <f aca="false">BG31+BG32+BG33</f>
        <v>-10508.7037102475</v>
      </c>
      <c r="BH34" s="73" t="n">
        <f aca="false">BH31+BH32+BH33</f>
        <v>-10508.7037102475</v>
      </c>
      <c r="BI34" s="73" t="n">
        <f aca="false">BI31+BI32+BI33</f>
        <v>-10508.7037102475</v>
      </c>
      <c r="BJ34" s="73" t="n">
        <f aca="false">BJ31+BJ32+BJ33</f>
        <v>-7392.14879779386</v>
      </c>
    </row>
    <row r="35" customFormat="false" ht="15" hidden="false" customHeight="false" outlineLevel="0" collapsed="false">
      <c r="A35" s="113" t="s">
        <v>45</v>
      </c>
      <c r="C35" s="68" t="n">
        <f aca="false">C26+C34</f>
        <v>2951.97294</v>
      </c>
      <c r="D35" s="68" t="n">
        <f aca="false">D26+D34</f>
        <v>3561.11021333333</v>
      </c>
      <c r="E35" s="68" t="n">
        <f aca="false">E26+E34</f>
        <v>6166.51986</v>
      </c>
      <c r="F35" s="68" t="n">
        <f aca="false">F26+F34</f>
        <v>7067.24748</v>
      </c>
      <c r="G35" s="68" t="n">
        <f aca="false">G26+G34</f>
        <v>7967.9751</v>
      </c>
      <c r="H35" s="68" t="n">
        <f aca="false">H26+H34</f>
        <v>8868.70272</v>
      </c>
      <c r="I35" s="68" t="n">
        <f aca="false">I26+I34</f>
        <v>9769.43034</v>
      </c>
      <c r="J35" s="68" t="n">
        <f aca="false">J26+J34</f>
        <v>10670.15796</v>
      </c>
      <c r="K35" s="68" t="n">
        <f aca="false">K26+K34</f>
        <v>11570.88558</v>
      </c>
      <c r="L35" s="68" t="n">
        <f aca="false">L26+L34</f>
        <v>12471.6132</v>
      </c>
      <c r="M35" s="68" t="n">
        <f aca="false">M26+M34</f>
        <v>12471.6132</v>
      </c>
      <c r="N35" s="68" t="n">
        <f aca="false">N26+N34</f>
        <v>8434.2084</v>
      </c>
      <c r="O35" s="68" t="n">
        <f aca="false">O26+O34</f>
        <v>8585.110568</v>
      </c>
      <c r="P35" s="68" t="n">
        <f aca="false">P26+P34</f>
        <v>8585.110568</v>
      </c>
      <c r="Q35" s="68" t="n">
        <f aca="false">Q26+Q34</f>
        <v>12697.959464</v>
      </c>
      <c r="R35" s="68" t="n">
        <f aca="false">R26+R34</f>
        <v>12697.959464</v>
      </c>
      <c r="S35" s="68" t="n">
        <f aca="false">S26+S34</f>
        <v>12697.959464</v>
      </c>
      <c r="T35" s="68" t="n">
        <f aca="false">T26+T34</f>
        <v>12697.959464</v>
      </c>
      <c r="U35" s="68" t="n">
        <f aca="false">U26+U34</f>
        <v>12697.959464</v>
      </c>
      <c r="V35" s="68" t="n">
        <f aca="false">V26+V34</f>
        <v>12697.959464</v>
      </c>
      <c r="W35" s="68" t="n">
        <f aca="false">W26+W34</f>
        <v>12697.959464</v>
      </c>
      <c r="X35" s="68" t="n">
        <f aca="false">X26+X34</f>
        <v>12697.959464</v>
      </c>
      <c r="Y35" s="68" t="n">
        <f aca="false">Y26+Y34</f>
        <v>12697.959464</v>
      </c>
      <c r="Z35" s="68" t="n">
        <f aca="false">Z26+Z34</f>
        <v>8585.110568</v>
      </c>
      <c r="AA35" s="68" t="n">
        <f aca="false">AA26+AA34</f>
        <v>8738.31949936</v>
      </c>
      <c r="AB35" s="68" t="n">
        <f aca="false">AB26+AB34</f>
        <v>8738.31949936</v>
      </c>
      <c r="AC35" s="68" t="n">
        <f aca="false">AC26+AC34</f>
        <v>12927.90921328</v>
      </c>
      <c r="AD35" s="68" t="n">
        <f aca="false">AD26+AD34</f>
        <v>12927.90921328</v>
      </c>
      <c r="AE35" s="68" t="n">
        <f aca="false">AE26+AE34</f>
        <v>12927.90921328</v>
      </c>
      <c r="AF35" s="68" t="n">
        <f aca="false">AF26+AF34</f>
        <v>12927.90921328</v>
      </c>
      <c r="AG35" s="68" t="n">
        <f aca="false">AG26+AG34</f>
        <v>12927.90921328</v>
      </c>
      <c r="AH35" s="68" t="n">
        <f aca="false">AH26+AH34</f>
        <v>12927.90921328</v>
      </c>
      <c r="AI35" s="68" t="n">
        <f aca="false">AI26+AI34</f>
        <v>12927.90921328</v>
      </c>
      <c r="AJ35" s="68" t="n">
        <f aca="false">AJ26+AJ34</f>
        <v>12927.90921328</v>
      </c>
      <c r="AK35" s="68" t="n">
        <f aca="false">AK26+AK34</f>
        <v>12927.90921328</v>
      </c>
      <c r="AL35" s="68" t="n">
        <f aca="false">AL26+AL34</f>
        <v>8738.31949936</v>
      </c>
      <c r="AM35" s="68" t="n">
        <f aca="false">AM26+AM34</f>
        <v>8893.8528781472</v>
      </c>
      <c r="AN35" s="68" t="n">
        <f aca="false">AN26+AN34</f>
        <v>8893.8528781472</v>
      </c>
      <c r="AO35" s="68" t="n">
        <f aca="false">AO26+AO34</f>
        <v>13161.4975799456</v>
      </c>
      <c r="AP35" s="68" t="n">
        <f aca="false">AP26+AP34</f>
        <v>13161.4975799456</v>
      </c>
      <c r="AQ35" s="68" t="n">
        <f aca="false">AQ26+AQ34</f>
        <v>13161.4975799456</v>
      </c>
      <c r="AR35" s="68" t="n">
        <f aca="false">AR26+AR34</f>
        <v>13161.4975799456</v>
      </c>
      <c r="AS35" s="68" t="n">
        <f aca="false">AS26+AS34</f>
        <v>13161.4975799456</v>
      </c>
      <c r="AT35" s="68" t="n">
        <f aca="false">AT26+AT34</f>
        <v>13161.4975799456</v>
      </c>
      <c r="AU35" s="68" t="n">
        <f aca="false">AU26+AU34</f>
        <v>13161.4975799456</v>
      </c>
      <c r="AV35" s="68" t="n">
        <f aca="false">AV26+AV34</f>
        <v>13161.4975799456</v>
      </c>
      <c r="AW35" s="68" t="n">
        <f aca="false">AW26+AW34</f>
        <v>13161.4975799456</v>
      </c>
      <c r="AX35" s="68" t="n">
        <f aca="false">AX26+AX34</f>
        <v>8893.8528781472</v>
      </c>
      <c r="AY35" s="68" t="n">
        <f aca="false">AY26+AY34</f>
        <v>9051.72760406214</v>
      </c>
      <c r="AZ35" s="68" t="n">
        <f aca="false">AZ26+AZ34</f>
        <v>9051.72760406214</v>
      </c>
      <c r="BA35" s="68" t="n">
        <f aca="false">BA26+BA34</f>
        <v>13398.7589212405</v>
      </c>
      <c r="BB35" s="68" t="n">
        <f aca="false">BB26+BB34</f>
        <v>13398.7589212405</v>
      </c>
      <c r="BC35" s="68" t="n">
        <f aca="false">BC26+BC34</f>
        <v>13398.7589212405</v>
      </c>
      <c r="BD35" s="68" t="n">
        <f aca="false">BD26+BD34</f>
        <v>13398.7589212405</v>
      </c>
      <c r="BE35" s="68" t="n">
        <f aca="false">BE26+BE34</f>
        <v>13398.7589212405</v>
      </c>
      <c r="BF35" s="68" t="n">
        <f aca="false">BF26+BF34</f>
        <v>13398.7589212405</v>
      </c>
      <c r="BG35" s="68" t="n">
        <f aca="false">BG26+BG34</f>
        <v>13398.7589212405</v>
      </c>
      <c r="BH35" s="68" t="n">
        <f aca="false">BH26+BH34</f>
        <v>13398.7589212405</v>
      </c>
      <c r="BI35" s="68" t="n">
        <f aca="false">BI26+BI34</f>
        <v>13398.7589212405</v>
      </c>
      <c r="BJ35" s="68" t="n">
        <f aca="false">BJ26+BJ34</f>
        <v>9051.72760406214</v>
      </c>
    </row>
    <row r="37" customFormat="false" ht="15.75" hidden="false" customHeight="true" outlineLevel="0" collapsed="false">
      <c r="A37" s="7" t="s">
        <v>47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 customFormat="false" ht="15" hidden="false" customHeight="false" outlineLevel="0" collapsed="false">
      <c r="A38" s="6" t="s">
        <v>332</v>
      </c>
      <c r="C38" s="67" t="n">
        <f aca="false">C121</f>
        <v>-9874.66666666667</v>
      </c>
      <c r="D38" s="67" t="n">
        <f aca="false">D121</f>
        <v>-9874.66666666667</v>
      </c>
      <c r="E38" s="67" t="n">
        <f aca="false">E121</f>
        <v>-9874.66666666667</v>
      </c>
      <c r="F38" s="67" t="n">
        <f aca="false">F121</f>
        <v>-9874.66666666667</v>
      </c>
      <c r="G38" s="67" t="n">
        <f aca="false">G121</f>
        <v>-9874.66666666667</v>
      </c>
      <c r="H38" s="67" t="n">
        <f aca="false">H121</f>
        <v>-9874.66666666667</v>
      </c>
      <c r="I38" s="67" t="n">
        <f aca="false">I121</f>
        <v>-9874.66666666667</v>
      </c>
      <c r="J38" s="67" t="n">
        <f aca="false">J121</f>
        <v>-9874.66666666667</v>
      </c>
      <c r="K38" s="67" t="n">
        <f aca="false">K121</f>
        <v>-9874.66666666667</v>
      </c>
      <c r="L38" s="67" t="n">
        <f aca="false">L121</f>
        <v>-9874.66666666667</v>
      </c>
      <c r="M38" s="67" t="n">
        <f aca="false">M121</f>
        <v>-9874.66666666667</v>
      </c>
      <c r="N38" s="67" t="n">
        <f aca="false">N121</f>
        <v>-9874.66666666667</v>
      </c>
      <c r="O38" s="67" t="n">
        <f aca="false">O121</f>
        <v>-10170.9066666667</v>
      </c>
      <c r="P38" s="67" t="n">
        <f aca="false">P121</f>
        <v>-10170.9066666667</v>
      </c>
      <c r="Q38" s="67" t="n">
        <f aca="false">Q121</f>
        <v>-10170.9066666667</v>
      </c>
      <c r="R38" s="67" t="n">
        <f aca="false">R121</f>
        <v>-10170.9066666667</v>
      </c>
      <c r="S38" s="67" t="n">
        <f aca="false">S121</f>
        <v>-10170.9066666667</v>
      </c>
      <c r="T38" s="67" t="n">
        <f aca="false">T121</f>
        <v>-10170.9066666667</v>
      </c>
      <c r="U38" s="67" t="n">
        <f aca="false">U121</f>
        <v>-10170.9066666667</v>
      </c>
      <c r="V38" s="67" t="n">
        <f aca="false">V121</f>
        <v>-10170.9066666667</v>
      </c>
      <c r="W38" s="67" t="n">
        <f aca="false">W121</f>
        <v>-10170.9066666667</v>
      </c>
      <c r="X38" s="67" t="n">
        <f aca="false">X121</f>
        <v>-10170.9066666667</v>
      </c>
      <c r="Y38" s="67" t="n">
        <f aca="false">Y121</f>
        <v>-10170.9066666667</v>
      </c>
      <c r="Z38" s="67" t="n">
        <f aca="false">Z121</f>
        <v>-10170.9066666667</v>
      </c>
      <c r="AA38" s="67" t="n">
        <f aca="false">AA121</f>
        <v>-10476.0338666667</v>
      </c>
      <c r="AB38" s="67" t="n">
        <f aca="false">AB121</f>
        <v>-10476.0338666667</v>
      </c>
      <c r="AC38" s="67" t="n">
        <f aca="false">AC121</f>
        <v>-10476.0338666667</v>
      </c>
      <c r="AD38" s="67" t="n">
        <f aca="false">AD121</f>
        <v>-10476.0338666667</v>
      </c>
      <c r="AE38" s="67" t="n">
        <f aca="false">AE121</f>
        <v>-10476.0338666667</v>
      </c>
      <c r="AF38" s="67" t="n">
        <f aca="false">AF121</f>
        <v>-10476.0338666667</v>
      </c>
      <c r="AG38" s="67" t="n">
        <f aca="false">AG121</f>
        <v>-10476.0338666667</v>
      </c>
      <c r="AH38" s="67" t="n">
        <f aca="false">AH121</f>
        <v>-10476.0338666667</v>
      </c>
      <c r="AI38" s="67" t="n">
        <f aca="false">AI121</f>
        <v>-10476.0338666667</v>
      </c>
      <c r="AJ38" s="67" t="n">
        <f aca="false">AJ121</f>
        <v>-10476.0338666667</v>
      </c>
      <c r="AK38" s="67" t="n">
        <f aca="false">AK121</f>
        <v>-10476.0338666667</v>
      </c>
      <c r="AL38" s="67" t="n">
        <f aca="false">AL121</f>
        <v>-10476.0338666667</v>
      </c>
      <c r="AM38" s="67" t="n">
        <f aca="false">AM121</f>
        <v>-10790.3148826667</v>
      </c>
      <c r="AN38" s="67" t="n">
        <f aca="false">AN121</f>
        <v>-10790.3148826667</v>
      </c>
      <c r="AO38" s="67" t="n">
        <f aca="false">AO121</f>
        <v>-10790.3148826667</v>
      </c>
      <c r="AP38" s="67" t="n">
        <f aca="false">AP121</f>
        <v>-10790.3148826667</v>
      </c>
      <c r="AQ38" s="67" t="n">
        <f aca="false">AQ121</f>
        <v>-10790.3148826667</v>
      </c>
      <c r="AR38" s="67" t="n">
        <f aca="false">AR121</f>
        <v>-10790.3148826667</v>
      </c>
      <c r="AS38" s="67" t="n">
        <f aca="false">AS121</f>
        <v>-10790.3148826667</v>
      </c>
      <c r="AT38" s="67" t="n">
        <f aca="false">AT121</f>
        <v>-10790.3148826667</v>
      </c>
      <c r="AU38" s="67" t="n">
        <f aca="false">AU121</f>
        <v>-10790.3148826667</v>
      </c>
      <c r="AV38" s="67" t="n">
        <f aca="false">AV121</f>
        <v>-10790.3148826667</v>
      </c>
      <c r="AW38" s="67" t="n">
        <f aca="false">AW121</f>
        <v>-10790.3148826667</v>
      </c>
      <c r="AX38" s="67" t="n">
        <f aca="false">AX121</f>
        <v>-10790.3148826667</v>
      </c>
      <c r="AY38" s="67" t="n">
        <f aca="false">AY121</f>
        <v>-11114.0243291467</v>
      </c>
      <c r="AZ38" s="67" t="n">
        <f aca="false">AZ121</f>
        <v>-11114.0243291467</v>
      </c>
      <c r="BA38" s="67" t="n">
        <f aca="false">BA121</f>
        <v>-11114.0243291467</v>
      </c>
      <c r="BB38" s="67" t="n">
        <f aca="false">BB121</f>
        <v>-11114.0243291467</v>
      </c>
      <c r="BC38" s="67" t="n">
        <f aca="false">BC121</f>
        <v>-11114.0243291467</v>
      </c>
      <c r="BD38" s="67" t="n">
        <f aca="false">BD121</f>
        <v>-11114.0243291467</v>
      </c>
      <c r="BE38" s="67" t="n">
        <f aca="false">BE121</f>
        <v>-11114.0243291467</v>
      </c>
      <c r="BF38" s="67" t="n">
        <f aca="false">BF121</f>
        <v>-11114.0243291467</v>
      </c>
      <c r="BG38" s="67" t="n">
        <f aca="false">BG121</f>
        <v>-11114.0243291467</v>
      </c>
      <c r="BH38" s="67" t="n">
        <f aca="false">BH121</f>
        <v>-11114.0243291467</v>
      </c>
      <c r="BI38" s="67" t="n">
        <f aca="false">BI121</f>
        <v>-11114.0243291467</v>
      </c>
      <c r="BJ38" s="67" t="n">
        <f aca="false">BJ121</f>
        <v>-11114.0243291467</v>
      </c>
    </row>
    <row r="39" customFormat="false" ht="15" hidden="false" customHeight="false" outlineLevel="0" collapsed="false">
      <c r="A39" s="6" t="s">
        <v>333</v>
      </c>
      <c r="C39" s="67" t="n">
        <f aca="false">-Inputs!$B$37*C10*(1+Inputs!$B$34)^(C$7-1)*1</f>
        <v>-1050</v>
      </c>
      <c r="D39" s="67" t="n">
        <f aca="false">-Inputs!$B$37*D10*(1+Inputs!$B$34)^(D$7-1)*1</f>
        <v>-1050</v>
      </c>
      <c r="E39" s="67" t="n">
        <f aca="false">-Inputs!$B$37*E10*(1+Inputs!$B$34)^(E$7-1)*1</f>
        <v>-1050</v>
      </c>
      <c r="F39" s="67" t="n">
        <f aca="false">-Inputs!$B$37*F10*(1+Inputs!$B$34)^(F$7-1)*1</f>
        <v>-1050</v>
      </c>
      <c r="G39" s="67" t="n">
        <f aca="false">-Inputs!$B$37*G10*(1+Inputs!$B$34)^(G$7-1)*1</f>
        <v>-1050</v>
      </c>
      <c r="H39" s="67" t="n">
        <f aca="false">-Inputs!$B$37*H10*(1+Inputs!$B$34)^(H$7-1)*1</f>
        <v>-1050</v>
      </c>
      <c r="I39" s="67" t="n">
        <f aca="false">-Inputs!$B$37*I10*(1+Inputs!$B$34)^(I$7-1)*1</f>
        <v>-1050</v>
      </c>
      <c r="J39" s="67" t="n">
        <f aca="false">-Inputs!$B$37*J10*(1+Inputs!$B$34)^(J$7-1)*1</f>
        <v>-1050</v>
      </c>
      <c r="K39" s="67" t="n">
        <f aca="false">-Inputs!$B$37*K10*(1+Inputs!$B$34)^(K$7-1)*1</f>
        <v>-1050</v>
      </c>
      <c r="L39" s="67" t="n">
        <f aca="false">-Inputs!$B$37*L10*(1+Inputs!$B$34)^(L$7-1)*1</f>
        <v>-1050</v>
      </c>
      <c r="M39" s="67" t="n">
        <f aca="false">-Inputs!$B$37*M10*(1+Inputs!$B$34)^(M$7-1)*1</f>
        <v>-1050</v>
      </c>
      <c r="N39" s="67" t="n">
        <f aca="false">-Inputs!$B$37*N10*(1+Inputs!$B$34)^(N$7-1)*1</f>
        <v>-1050</v>
      </c>
      <c r="O39" s="67" t="n">
        <f aca="false">-Inputs!$B$37*O10*(1+Inputs!$B$34)^(O$7-1)*1</f>
        <v>-1092</v>
      </c>
      <c r="P39" s="67" t="n">
        <f aca="false">-Inputs!$B$37*P10*(1+Inputs!$B$34)^(P$7-1)*1</f>
        <v>-1092</v>
      </c>
      <c r="Q39" s="67" t="n">
        <f aca="false">-Inputs!$B$37*Q10*(1+Inputs!$B$34)^(Q$7-1)*1</f>
        <v>-1092</v>
      </c>
      <c r="R39" s="67" t="n">
        <f aca="false">-Inputs!$B$37*R10*(1+Inputs!$B$34)^(R$7-1)*1</f>
        <v>-1092</v>
      </c>
      <c r="S39" s="67" t="n">
        <f aca="false">-Inputs!$B$37*S10*(1+Inputs!$B$34)^(S$7-1)*1</f>
        <v>-1092</v>
      </c>
      <c r="T39" s="67" t="n">
        <f aca="false">-Inputs!$B$37*T10*(1+Inputs!$B$34)^(T$7-1)*1</f>
        <v>-1092</v>
      </c>
      <c r="U39" s="67" t="n">
        <f aca="false">-Inputs!$B$37*U10*(1+Inputs!$B$34)^(U$7-1)*1</f>
        <v>-1092</v>
      </c>
      <c r="V39" s="67" t="n">
        <f aca="false">-Inputs!$B$37*V10*(1+Inputs!$B$34)^(V$7-1)*1</f>
        <v>-1092</v>
      </c>
      <c r="W39" s="67" t="n">
        <f aca="false">-Inputs!$B$37*W10*(1+Inputs!$B$34)^(W$7-1)*1</f>
        <v>-1092</v>
      </c>
      <c r="X39" s="67" t="n">
        <f aca="false">-Inputs!$B$37*X10*(1+Inputs!$B$34)^(X$7-1)*1</f>
        <v>-1092</v>
      </c>
      <c r="Y39" s="67" t="n">
        <f aca="false">-Inputs!$B$37*Y10*(1+Inputs!$B$34)^(Y$7-1)*1</f>
        <v>-1092</v>
      </c>
      <c r="Z39" s="67" t="n">
        <f aca="false">-Inputs!$B$37*Z10*(1+Inputs!$B$34)^(Z$7-1)*1</f>
        <v>-1092</v>
      </c>
      <c r="AA39" s="67" t="n">
        <f aca="false">-Inputs!$B$37*AA10*(1+Inputs!$B$34)^(AA$7-1)*1</f>
        <v>-1135.68</v>
      </c>
      <c r="AB39" s="67" t="n">
        <f aca="false">-Inputs!$B$37*AB10*(1+Inputs!$B$34)^(AB$7-1)*1</f>
        <v>-1135.68</v>
      </c>
      <c r="AC39" s="67" t="n">
        <f aca="false">-Inputs!$B$37*AC10*(1+Inputs!$B$34)^(AC$7-1)*1</f>
        <v>-1135.68</v>
      </c>
      <c r="AD39" s="67" t="n">
        <f aca="false">-Inputs!$B$37*AD10*(1+Inputs!$B$34)^(AD$7-1)*1</f>
        <v>-1135.68</v>
      </c>
      <c r="AE39" s="67" t="n">
        <f aca="false">-Inputs!$B$37*AE10*(1+Inputs!$B$34)^(AE$7-1)*1</f>
        <v>-1135.68</v>
      </c>
      <c r="AF39" s="67" t="n">
        <f aca="false">-Inputs!$B$37*AF10*(1+Inputs!$B$34)^(AF$7-1)*1</f>
        <v>-1135.68</v>
      </c>
      <c r="AG39" s="67" t="n">
        <f aca="false">-Inputs!$B$37*AG10*(1+Inputs!$B$34)^(AG$7-1)*1</f>
        <v>-1135.68</v>
      </c>
      <c r="AH39" s="67" t="n">
        <f aca="false">-Inputs!$B$37*AH10*(1+Inputs!$B$34)^(AH$7-1)*1</f>
        <v>-1135.68</v>
      </c>
      <c r="AI39" s="67" t="n">
        <f aca="false">-Inputs!$B$37*AI10*(1+Inputs!$B$34)^(AI$7-1)*1</f>
        <v>-1135.68</v>
      </c>
      <c r="AJ39" s="67" t="n">
        <f aca="false">-Inputs!$B$37*AJ10*(1+Inputs!$B$34)^(AJ$7-1)*1</f>
        <v>-1135.68</v>
      </c>
      <c r="AK39" s="67" t="n">
        <f aca="false">-Inputs!$B$37*AK10*(1+Inputs!$B$34)^(AK$7-1)*1</f>
        <v>-1135.68</v>
      </c>
      <c r="AL39" s="67" t="n">
        <f aca="false">-Inputs!$B$37*AL10*(1+Inputs!$B$34)^(AL$7-1)*1</f>
        <v>-1135.68</v>
      </c>
      <c r="AM39" s="67" t="n">
        <f aca="false">-Inputs!$B$37*AM10*(1+Inputs!$B$34)^(AM$7-1)*1</f>
        <v>-1181.1072</v>
      </c>
      <c r="AN39" s="67" t="n">
        <f aca="false">-Inputs!$B$37*AN10*(1+Inputs!$B$34)^(AN$7-1)*1</f>
        <v>-1181.1072</v>
      </c>
      <c r="AO39" s="67" t="n">
        <f aca="false">-Inputs!$B$37*AO10*(1+Inputs!$B$34)^(AO$7-1)*1</f>
        <v>-1181.1072</v>
      </c>
      <c r="AP39" s="67" t="n">
        <f aca="false">-Inputs!$B$37*AP10*(1+Inputs!$B$34)^(AP$7-1)*1</f>
        <v>-1181.1072</v>
      </c>
      <c r="AQ39" s="67" t="n">
        <f aca="false">-Inputs!$B$37*AQ10*(1+Inputs!$B$34)^(AQ$7-1)*1</f>
        <v>-1181.1072</v>
      </c>
      <c r="AR39" s="67" t="n">
        <f aca="false">-Inputs!$B$37*AR10*(1+Inputs!$B$34)^(AR$7-1)*1</f>
        <v>-1181.1072</v>
      </c>
      <c r="AS39" s="67" t="n">
        <f aca="false">-Inputs!$B$37*AS10*(1+Inputs!$B$34)^(AS$7-1)*1</f>
        <v>-1181.1072</v>
      </c>
      <c r="AT39" s="67" t="n">
        <f aca="false">-Inputs!$B$37*AT10*(1+Inputs!$B$34)^(AT$7-1)*1</f>
        <v>-1181.1072</v>
      </c>
      <c r="AU39" s="67" t="n">
        <f aca="false">-Inputs!$B$37*AU10*(1+Inputs!$B$34)^(AU$7-1)*1</f>
        <v>-1181.1072</v>
      </c>
      <c r="AV39" s="67" t="n">
        <f aca="false">-Inputs!$B$37*AV10*(1+Inputs!$B$34)^(AV$7-1)*1</f>
        <v>-1181.1072</v>
      </c>
      <c r="AW39" s="67" t="n">
        <f aca="false">-Inputs!$B$37*AW10*(1+Inputs!$B$34)^(AW$7-1)*1</f>
        <v>-1181.1072</v>
      </c>
      <c r="AX39" s="67" t="n">
        <f aca="false">-Inputs!$B$37*AX10*(1+Inputs!$B$34)^(AX$7-1)*1</f>
        <v>-1181.1072</v>
      </c>
      <c r="AY39" s="67" t="n">
        <f aca="false">-Inputs!$B$37*AY10*(1+Inputs!$B$34)^(AY$7-1)*1</f>
        <v>-1228.351488</v>
      </c>
      <c r="AZ39" s="67" t="n">
        <f aca="false">-Inputs!$B$37*AZ10*(1+Inputs!$B$34)^(AZ$7-1)*1</f>
        <v>-1228.351488</v>
      </c>
      <c r="BA39" s="67" t="n">
        <f aca="false">-Inputs!$B$37*BA10*(1+Inputs!$B$34)^(BA$7-1)*1</f>
        <v>-1228.351488</v>
      </c>
      <c r="BB39" s="67" t="n">
        <f aca="false">-Inputs!$B$37*BB10*(1+Inputs!$B$34)^(BB$7-1)*1</f>
        <v>-1228.351488</v>
      </c>
      <c r="BC39" s="67" t="n">
        <f aca="false">-Inputs!$B$37*BC10*(1+Inputs!$B$34)^(BC$7-1)*1</f>
        <v>-1228.351488</v>
      </c>
      <c r="BD39" s="67" t="n">
        <f aca="false">-Inputs!$B$37*BD10*(1+Inputs!$B$34)^(BD$7-1)*1</f>
        <v>-1228.351488</v>
      </c>
      <c r="BE39" s="67" t="n">
        <f aca="false">-Inputs!$B$37*BE10*(1+Inputs!$B$34)^(BE$7-1)*1</f>
        <v>-1228.351488</v>
      </c>
      <c r="BF39" s="67" t="n">
        <f aca="false">-Inputs!$B$37*BF10*(1+Inputs!$B$34)^(BF$7-1)*1</f>
        <v>-1228.351488</v>
      </c>
      <c r="BG39" s="67" t="n">
        <f aca="false">-Inputs!$B$37*BG10*(1+Inputs!$B$34)^(BG$7-1)*1</f>
        <v>-1228.351488</v>
      </c>
      <c r="BH39" s="67" t="n">
        <f aca="false">-Inputs!$B$37*BH10*(1+Inputs!$B$34)^(BH$7-1)*1</f>
        <v>-1228.351488</v>
      </c>
      <c r="BI39" s="67" t="n">
        <f aca="false">-Inputs!$B$37*BI10*(1+Inputs!$B$34)^(BI$7-1)*1</f>
        <v>-1228.351488</v>
      </c>
      <c r="BJ39" s="67" t="n">
        <f aca="false">-Inputs!$B$37*BJ10*(1+Inputs!$B$34)^(BJ$7-1)*1</f>
        <v>-1228.351488</v>
      </c>
    </row>
    <row r="40" customFormat="false" ht="15" hidden="false" customHeight="false" outlineLevel="0" collapsed="false">
      <c r="A40" s="6" t="s">
        <v>334</v>
      </c>
      <c r="C40" s="67" t="n">
        <f aca="false">-Inputs!$B$38*C10*(1+Inputs!$B$34)^(C$7-1)*1</f>
        <v>-400</v>
      </c>
      <c r="D40" s="67" t="n">
        <f aca="false">-Inputs!$B$38*D10*(1+Inputs!$B$34)^(D$7-1)*1</f>
        <v>-400</v>
      </c>
      <c r="E40" s="67" t="n">
        <f aca="false">-Inputs!$B$38*E10*(1+Inputs!$B$34)^(E$7-1)*1</f>
        <v>-400</v>
      </c>
      <c r="F40" s="67" t="n">
        <f aca="false">-Inputs!$B$38*F10*(1+Inputs!$B$34)^(F$7-1)*1</f>
        <v>-400</v>
      </c>
      <c r="G40" s="67" t="n">
        <f aca="false">-Inputs!$B$38*G10*(1+Inputs!$B$34)^(G$7-1)*1</f>
        <v>-400</v>
      </c>
      <c r="H40" s="67" t="n">
        <f aca="false">-Inputs!$B$38*H10*(1+Inputs!$B$34)^(H$7-1)*1</f>
        <v>-400</v>
      </c>
      <c r="I40" s="67" t="n">
        <f aca="false">-Inputs!$B$38*I10*(1+Inputs!$B$34)^(I$7-1)*1</f>
        <v>-400</v>
      </c>
      <c r="J40" s="67" t="n">
        <f aca="false">-Inputs!$B$38*J10*(1+Inputs!$B$34)^(J$7-1)*1</f>
        <v>-400</v>
      </c>
      <c r="K40" s="67" t="n">
        <f aca="false">-Inputs!$B$38*K10*(1+Inputs!$B$34)^(K$7-1)*1</f>
        <v>-400</v>
      </c>
      <c r="L40" s="67" t="n">
        <f aca="false">-Inputs!$B$38*L10*(1+Inputs!$B$34)^(L$7-1)*1</f>
        <v>-400</v>
      </c>
      <c r="M40" s="67" t="n">
        <f aca="false">-Inputs!$B$38*M10*(1+Inputs!$B$34)^(M$7-1)*1</f>
        <v>-400</v>
      </c>
      <c r="N40" s="67" t="n">
        <f aca="false">-Inputs!$B$38*N10*(1+Inputs!$B$34)^(N$7-1)*1</f>
        <v>-400</v>
      </c>
      <c r="O40" s="67" t="n">
        <f aca="false">-Inputs!$B$38*O10*(1+Inputs!$B$34)^(O$7-1)*1</f>
        <v>-416</v>
      </c>
      <c r="P40" s="67" t="n">
        <f aca="false">-Inputs!$B$38*P10*(1+Inputs!$B$34)^(P$7-1)*1</f>
        <v>-416</v>
      </c>
      <c r="Q40" s="67" t="n">
        <f aca="false">-Inputs!$B$38*Q10*(1+Inputs!$B$34)^(Q$7-1)*1</f>
        <v>-416</v>
      </c>
      <c r="R40" s="67" t="n">
        <f aca="false">-Inputs!$B$38*R10*(1+Inputs!$B$34)^(R$7-1)*1</f>
        <v>-416</v>
      </c>
      <c r="S40" s="67" t="n">
        <f aca="false">-Inputs!$B$38*S10*(1+Inputs!$B$34)^(S$7-1)*1</f>
        <v>-416</v>
      </c>
      <c r="T40" s="67" t="n">
        <f aca="false">-Inputs!$B$38*T10*(1+Inputs!$B$34)^(T$7-1)*1</f>
        <v>-416</v>
      </c>
      <c r="U40" s="67" t="n">
        <f aca="false">-Inputs!$B$38*U10*(1+Inputs!$B$34)^(U$7-1)*1</f>
        <v>-416</v>
      </c>
      <c r="V40" s="67" t="n">
        <f aca="false">-Inputs!$B$38*V10*(1+Inputs!$B$34)^(V$7-1)*1</f>
        <v>-416</v>
      </c>
      <c r="W40" s="67" t="n">
        <f aca="false">-Inputs!$B$38*W10*(1+Inputs!$B$34)^(W$7-1)*1</f>
        <v>-416</v>
      </c>
      <c r="X40" s="67" t="n">
        <f aca="false">-Inputs!$B$38*X10*(1+Inputs!$B$34)^(X$7-1)*1</f>
        <v>-416</v>
      </c>
      <c r="Y40" s="67" t="n">
        <f aca="false">-Inputs!$B$38*Y10*(1+Inputs!$B$34)^(Y$7-1)*1</f>
        <v>-416</v>
      </c>
      <c r="Z40" s="67" t="n">
        <f aca="false">-Inputs!$B$38*Z10*(1+Inputs!$B$34)^(Z$7-1)*1</f>
        <v>-416</v>
      </c>
      <c r="AA40" s="67" t="n">
        <f aca="false">-Inputs!$B$38*AA10*(1+Inputs!$B$34)^(AA$7-1)*1</f>
        <v>-432.64</v>
      </c>
      <c r="AB40" s="67" t="n">
        <f aca="false">-Inputs!$B$38*AB10*(1+Inputs!$B$34)^(AB$7-1)*1</f>
        <v>-432.64</v>
      </c>
      <c r="AC40" s="67" t="n">
        <f aca="false">-Inputs!$B$38*AC10*(1+Inputs!$B$34)^(AC$7-1)*1</f>
        <v>-432.64</v>
      </c>
      <c r="AD40" s="67" t="n">
        <f aca="false">-Inputs!$B$38*AD10*(1+Inputs!$B$34)^(AD$7-1)*1</f>
        <v>-432.64</v>
      </c>
      <c r="AE40" s="67" t="n">
        <f aca="false">-Inputs!$B$38*AE10*(1+Inputs!$B$34)^(AE$7-1)*1</f>
        <v>-432.64</v>
      </c>
      <c r="AF40" s="67" t="n">
        <f aca="false">-Inputs!$B$38*AF10*(1+Inputs!$B$34)^(AF$7-1)*1</f>
        <v>-432.64</v>
      </c>
      <c r="AG40" s="67" t="n">
        <f aca="false">-Inputs!$B$38*AG10*(1+Inputs!$B$34)^(AG$7-1)*1</f>
        <v>-432.64</v>
      </c>
      <c r="AH40" s="67" t="n">
        <f aca="false">-Inputs!$B$38*AH10*(1+Inputs!$B$34)^(AH$7-1)*1</f>
        <v>-432.64</v>
      </c>
      <c r="AI40" s="67" t="n">
        <f aca="false">-Inputs!$B$38*AI10*(1+Inputs!$B$34)^(AI$7-1)*1</f>
        <v>-432.64</v>
      </c>
      <c r="AJ40" s="67" t="n">
        <f aca="false">-Inputs!$B$38*AJ10*(1+Inputs!$B$34)^(AJ$7-1)*1</f>
        <v>-432.64</v>
      </c>
      <c r="AK40" s="67" t="n">
        <f aca="false">-Inputs!$B$38*AK10*(1+Inputs!$B$34)^(AK$7-1)*1</f>
        <v>-432.64</v>
      </c>
      <c r="AL40" s="67" t="n">
        <f aca="false">-Inputs!$B$38*AL10*(1+Inputs!$B$34)^(AL$7-1)*1</f>
        <v>-432.64</v>
      </c>
      <c r="AM40" s="67" t="n">
        <f aca="false">-Inputs!$B$38*AM10*(1+Inputs!$B$34)^(AM$7-1)*1</f>
        <v>-449.9456</v>
      </c>
      <c r="AN40" s="67" t="n">
        <f aca="false">-Inputs!$B$38*AN10*(1+Inputs!$B$34)^(AN$7-1)*1</f>
        <v>-449.9456</v>
      </c>
      <c r="AO40" s="67" t="n">
        <f aca="false">-Inputs!$B$38*AO10*(1+Inputs!$B$34)^(AO$7-1)*1</f>
        <v>-449.9456</v>
      </c>
      <c r="AP40" s="67" t="n">
        <f aca="false">-Inputs!$B$38*AP10*(1+Inputs!$B$34)^(AP$7-1)*1</f>
        <v>-449.9456</v>
      </c>
      <c r="AQ40" s="67" t="n">
        <f aca="false">-Inputs!$B$38*AQ10*(1+Inputs!$B$34)^(AQ$7-1)*1</f>
        <v>-449.9456</v>
      </c>
      <c r="AR40" s="67" t="n">
        <f aca="false">-Inputs!$B$38*AR10*(1+Inputs!$B$34)^(AR$7-1)*1</f>
        <v>-449.9456</v>
      </c>
      <c r="AS40" s="67" t="n">
        <f aca="false">-Inputs!$B$38*AS10*(1+Inputs!$B$34)^(AS$7-1)*1</f>
        <v>-449.9456</v>
      </c>
      <c r="AT40" s="67" t="n">
        <f aca="false">-Inputs!$B$38*AT10*(1+Inputs!$B$34)^(AT$7-1)*1</f>
        <v>-449.9456</v>
      </c>
      <c r="AU40" s="67" t="n">
        <f aca="false">-Inputs!$B$38*AU10*(1+Inputs!$B$34)^(AU$7-1)*1</f>
        <v>-449.9456</v>
      </c>
      <c r="AV40" s="67" t="n">
        <f aca="false">-Inputs!$B$38*AV10*(1+Inputs!$B$34)^(AV$7-1)*1</f>
        <v>-449.9456</v>
      </c>
      <c r="AW40" s="67" t="n">
        <f aca="false">-Inputs!$B$38*AW10*(1+Inputs!$B$34)^(AW$7-1)*1</f>
        <v>-449.9456</v>
      </c>
      <c r="AX40" s="67" t="n">
        <f aca="false">-Inputs!$B$38*AX10*(1+Inputs!$B$34)^(AX$7-1)*1</f>
        <v>-449.9456</v>
      </c>
      <c r="AY40" s="67" t="n">
        <f aca="false">-Inputs!$B$38*AY10*(1+Inputs!$B$34)^(AY$7-1)*1</f>
        <v>-467.943424</v>
      </c>
      <c r="AZ40" s="67" t="n">
        <f aca="false">-Inputs!$B$38*AZ10*(1+Inputs!$B$34)^(AZ$7-1)*1</f>
        <v>-467.943424</v>
      </c>
      <c r="BA40" s="67" t="n">
        <f aca="false">-Inputs!$B$38*BA10*(1+Inputs!$B$34)^(BA$7-1)*1</f>
        <v>-467.943424</v>
      </c>
      <c r="BB40" s="67" t="n">
        <f aca="false">-Inputs!$B$38*BB10*(1+Inputs!$B$34)^(BB$7-1)*1</f>
        <v>-467.943424</v>
      </c>
      <c r="BC40" s="67" t="n">
        <f aca="false">-Inputs!$B$38*BC10*(1+Inputs!$B$34)^(BC$7-1)*1</f>
        <v>-467.943424</v>
      </c>
      <c r="BD40" s="67" t="n">
        <f aca="false">-Inputs!$B$38*BD10*(1+Inputs!$B$34)^(BD$7-1)*1</f>
        <v>-467.943424</v>
      </c>
      <c r="BE40" s="67" t="n">
        <f aca="false">-Inputs!$B$38*BE10*(1+Inputs!$B$34)^(BE$7-1)*1</f>
        <v>-467.943424</v>
      </c>
      <c r="BF40" s="67" t="n">
        <f aca="false">-Inputs!$B$38*BF10*(1+Inputs!$B$34)^(BF$7-1)*1</f>
        <v>-467.943424</v>
      </c>
      <c r="BG40" s="67" t="n">
        <f aca="false">-Inputs!$B$38*BG10*(1+Inputs!$B$34)^(BG$7-1)*1</f>
        <v>-467.943424</v>
      </c>
      <c r="BH40" s="67" t="n">
        <f aca="false">-Inputs!$B$38*BH10*(1+Inputs!$B$34)^(BH$7-1)*1</f>
        <v>-467.943424</v>
      </c>
      <c r="BI40" s="67" t="n">
        <f aca="false">-Inputs!$B$38*BI10*(1+Inputs!$B$34)^(BI$7-1)*1</f>
        <v>-467.943424</v>
      </c>
      <c r="BJ40" s="67" t="n">
        <f aca="false">-Inputs!$B$38*BJ10*(1+Inputs!$B$34)^(BJ$7-1)*1</f>
        <v>-467.943424</v>
      </c>
    </row>
    <row r="41" customFormat="false" ht="15" hidden="false" customHeight="false" outlineLevel="0" collapsed="false">
      <c r="A41" s="6" t="s">
        <v>335</v>
      </c>
      <c r="C41" s="67" t="n">
        <f aca="false">-Inputs!$B$39*C10*(1+Inputs!$B$34)^(C$7-1)*1</f>
        <v>-480</v>
      </c>
      <c r="D41" s="67" t="n">
        <f aca="false">-Inputs!$B$39*D10*(1+Inputs!$B$34)^(D$7-1)*1</f>
        <v>-480</v>
      </c>
      <c r="E41" s="67" t="n">
        <f aca="false">-Inputs!$B$39*E10*(1+Inputs!$B$34)^(E$7-1)*1</f>
        <v>-480</v>
      </c>
      <c r="F41" s="67" t="n">
        <f aca="false">-Inputs!$B$39*F10*(1+Inputs!$B$34)^(F$7-1)*1</f>
        <v>-480</v>
      </c>
      <c r="G41" s="67" t="n">
        <f aca="false">-Inputs!$B$39*G10*(1+Inputs!$B$34)^(G$7-1)*1</f>
        <v>-480</v>
      </c>
      <c r="H41" s="67" t="n">
        <f aca="false">-Inputs!$B$39*H10*(1+Inputs!$B$34)^(H$7-1)*1</f>
        <v>-480</v>
      </c>
      <c r="I41" s="67" t="n">
        <f aca="false">-Inputs!$B$39*I10*(1+Inputs!$B$34)^(I$7-1)*1</f>
        <v>-480</v>
      </c>
      <c r="J41" s="67" t="n">
        <f aca="false">-Inputs!$B$39*J10*(1+Inputs!$B$34)^(J$7-1)*1</f>
        <v>-480</v>
      </c>
      <c r="K41" s="67" t="n">
        <f aca="false">-Inputs!$B$39*K10*(1+Inputs!$B$34)^(K$7-1)*1</f>
        <v>-480</v>
      </c>
      <c r="L41" s="67" t="n">
        <f aca="false">-Inputs!$B$39*L10*(1+Inputs!$B$34)^(L$7-1)*1</f>
        <v>-480</v>
      </c>
      <c r="M41" s="67" t="n">
        <f aca="false">-Inputs!$B$39*M10*(1+Inputs!$B$34)^(M$7-1)*1</f>
        <v>-480</v>
      </c>
      <c r="N41" s="67" t="n">
        <f aca="false">-Inputs!$B$39*N10*(1+Inputs!$B$34)^(N$7-1)*1</f>
        <v>-480</v>
      </c>
      <c r="O41" s="67" t="n">
        <f aca="false">-Inputs!$B$39*O10*(1+Inputs!$B$34)^(O$7-1)*1</f>
        <v>-499.2</v>
      </c>
      <c r="P41" s="67" t="n">
        <f aca="false">-Inputs!$B$39*P10*(1+Inputs!$B$34)^(P$7-1)*1</f>
        <v>-499.2</v>
      </c>
      <c r="Q41" s="67" t="n">
        <f aca="false">-Inputs!$B$39*Q10*(1+Inputs!$B$34)^(Q$7-1)*1</f>
        <v>-499.2</v>
      </c>
      <c r="R41" s="67" t="n">
        <f aca="false">-Inputs!$B$39*R10*(1+Inputs!$B$34)^(R$7-1)*1</f>
        <v>-499.2</v>
      </c>
      <c r="S41" s="67" t="n">
        <f aca="false">-Inputs!$B$39*S10*(1+Inputs!$B$34)^(S$7-1)*1</f>
        <v>-499.2</v>
      </c>
      <c r="T41" s="67" t="n">
        <f aca="false">-Inputs!$B$39*T10*(1+Inputs!$B$34)^(T$7-1)*1</f>
        <v>-499.2</v>
      </c>
      <c r="U41" s="67" t="n">
        <f aca="false">-Inputs!$B$39*U10*(1+Inputs!$B$34)^(U$7-1)*1</f>
        <v>-499.2</v>
      </c>
      <c r="V41" s="67" t="n">
        <f aca="false">-Inputs!$B$39*V10*(1+Inputs!$B$34)^(V$7-1)*1</f>
        <v>-499.2</v>
      </c>
      <c r="W41" s="67" t="n">
        <f aca="false">-Inputs!$B$39*W10*(1+Inputs!$B$34)^(W$7-1)*1</f>
        <v>-499.2</v>
      </c>
      <c r="X41" s="67" t="n">
        <f aca="false">-Inputs!$B$39*X10*(1+Inputs!$B$34)^(X$7-1)*1</f>
        <v>-499.2</v>
      </c>
      <c r="Y41" s="67" t="n">
        <f aca="false">-Inputs!$B$39*Y10*(1+Inputs!$B$34)^(Y$7-1)*1</f>
        <v>-499.2</v>
      </c>
      <c r="Z41" s="67" t="n">
        <f aca="false">-Inputs!$B$39*Z10*(1+Inputs!$B$34)^(Z$7-1)*1</f>
        <v>-499.2</v>
      </c>
      <c r="AA41" s="67" t="n">
        <f aca="false">-Inputs!$B$39*AA10*(1+Inputs!$B$34)^(AA$7-1)*1</f>
        <v>-519.168</v>
      </c>
      <c r="AB41" s="67" t="n">
        <f aca="false">-Inputs!$B$39*AB10*(1+Inputs!$B$34)^(AB$7-1)*1</f>
        <v>-519.168</v>
      </c>
      <c r="AC41" s="67" t="n">
        <f aca="false">-Inputs!$B$39*AC10*(1+Inputs!$B$34)^(AC$7-1)*1</f>
        <v>-519.168</v>
      </c>
      <c r="AD41" s="67" t="n">
        <f aca="false">-Inputs!$B$39*AD10*(1+Inputs!$B$34)^(AD$7-1)*1</f>
        <v>-519.168</v>
      </c>
      <c r="AE41" s="67" t="n">
        <f aca="false">-Inputs!$B$39*AE10*(1+Inputs!$B$34)^(AE$7-1)*1</f>
        <v>-519.168</v>
      </c>
      <c r="AF41" s="67" t="n">
        <f aca="false">-Inputs!$B$39*AF10*(1+Inputs!$B$34)^(AF$7-1)*1</f>
        <v>-519.168</v>
      </c>
      <c r="AG41" s="67" t="n">
        <f aca="false">-Inputs!$B$39*AG10*(1+Inputs!$B$34)^(AG$7-1)*1</f>
        <v>-519.168</v>
      </c>
      <c r="AH41" s="67" t="n">
        <f aca="false">-Inputs!$B$39*AH10*(1+Inputs!$B$34)^(AH$7-1)*1</f>
        <v>-519.168</v>
      </c>
      <c r="AI41" s="67" t="n">
        <f aca="false">-Inputs!$B$39*AI10*(1+Inputs!$B$34)^(AI$7-1)*1</f>
        <v>-519.168</v>
      </c>
      <c r="AJ41" s="67" t="n">
        <f aca="false">-Inputs!$B$39*AJ10*(1+Inputs!$B$34)^(AJ$7-1)*1</f>
        <v>-519.168</v>
      </c>
      <c r="AK41" s="67" t="n">
        <f aca="false">-Inputs!$B$39*AK10*(1+Inputs!$B$34)^(AK$7-1)*1</f>
        <v>-519.168</v>
      </c>
      <c r="AL41" s="67" t="n">
        <f aca="false">-Inputs!$B$39*AL10*(1+Inputs!$B$34)^(AL$7-1)*1</f>
        <v>-519.168</v>
      </c>
      <c r="AM41" s="67" t="n">
        <f aca="false">-Inputs!$B$39*AM10*(1+Inputs!$B$34)^(AM$7-1)*1</f>
        <v>-539.93472</v>
      </c>
      <c r="AN41" s="67" t="n">
        <f aca="false">-Inputs!$B$39*AN10*(1+Inputs!$B$34)^(AN$7-1)*1</f>
        <v>-539.93472</v>
      </c>
      <c r="AO41" s="67" t="n">
        <f aca="false">-Inputs!$B$39*AO10*(1+Inputs!$B$34)^(AO$7-1)*1</f>
        <v>-539.93472</v>
      </c>
      <c r="AP41" s="67" t="n">
        <f aca="false">-Inputs!$B$39*AP10*(1+Inputs!$B$34)^(AP$7-1)*1</f>
        <v>-539.93472</v>
      </c>
      <c r="AQ41" s="67" t="n">
        <f aca="false">-Inputs!$B$39*AQ10*(1+Inputs!$B$34)^(AQ$7-1)*1</f>
        <v>-539.93472</v>
      </c>
      <c r="AR41" s="67" t="n">
        <f aca="false">-Inputs!$B$39*AR10*(1+Inputs!$B$34)^(AR$7-1)*1</f>
        <v>-539.93472</v>
      </c>
      <c r="AS41" s="67" t="n">
        <f aca="false">-Inputs!$B$39*AS10*(1+Inputs!$B$34)^(AS$7-1)*1</f>
        <v>-539.93472</v>
      </c>
      <c r="AT41" s="67" t="n">
        <f aca="false">-Inputs!$B$39*AT10*(1+Inputs!$B$34)^(AT$7-1)*1</f>
        <v>-539.93472</v>
      </c>
      <c r="AU41" s="67" t="n">
        <f aca="false">-Inputs!$B$39*AU10*(1+Inputs!$B$34)^(AU$7-1)*1</f>
        <v>-539.93472</v>
      </c>
      <c r="AV41" s="67" t="n">
        <f aca="false">-Inputs!$B$39*AV10*(1+Inputs!$B$34)^(AV$7-1)*1</f>
        <v>-539.93472</v>
      </c>
      <c r="AW41" s="67" t="n">
        <f aca="false">-Inputs!$B$39*AW10*(1+Inputs!$B$34)^(AW$7-1)*1</f>
        <v>-539.93472</v>
      </c>
      <c r="AX41" s="67" t="n">
        <f aca="false">-Inputs!$B$39*AX10*(1+Inputs!$B$34)^(AX$7-1)*1</f>
        <v>-539.93472</v>
      </c>
      <c r="AY41" s="67" t="n">
        <f aca="false">-Inputs!$B$39*AY10*(1+Inputs!$B$34)^(AY$7-1)*1</f>
        <v>-561.5321088</v>
      </c>
      <c r="AZ41" s="67" t="n">
        <f aca="false">-Inputs!$B$39*AZ10*(1+Inputs!$B$34)^(AZ$7-1)*1</f>
        <v>-561.5321088</v>
      </c>
      <c r="BA41" s="67" t="n">
        <f aca="false">-Inputs!$B$39*BA10*(1+Inputs!$B$34)^(BA$7-1)*1</f>
        <v>-561.5321088</v>
      </c>
      <c r="BB41" s="67" t="n">
        <f aca="false">-Inputs!$B$39*BB10*(1+Inputs!$B$34)^(BB$7-1)*1</f>
        <v>-561.5321088</v>
      </c>
      <c r="BC41" s="67" t="n">
        <f aca="false">-Inputs!$B$39*BC10*(1+Inputs!$B$34)^(BC$7-1)*1</f>
        <v>-561.5321088</v>
      </c>
      <c r="BD41" s="67" t="n">
        <f aca="false">-Inputs!$B$39*BD10*(1+Inputs!$B$34)^(BD$7-1)*1</f>
        <v>-561.5321088</v>
      </c>
      <c r="BE41" s="67" t="n">
        <f aca="false">-Inputs!$B$39*BE10*(1+Inputs!$B$34)^(BE$7-1)*1</f>
        <v>-561.5321088</v>
      </c>
      <c r="BF41" s="67" t="n">
        <f aca="false">-Inputs!$B$39*BF10*(1+Inputs!$B$34)^(BF$7-1)*1</f>
        <v>-561.5321088</v>
      </c>
      <c r="BG41" s="67" t="n">
        <f aca="false">-Inputs!$B$39*BG10*(1+Inputs!$B$34)^(BG$7-1)*1</f>
        <v>-561.5321088</v>
      </c>
      <c r="BH41" s="67" t="n">
        <f aca="false">-Inputs!$B$39*BH10*(1+Inputs!$B$34)^(BH$7-1)*1</f>
        <v>-561.5321088</v>
      </c>
      <c r="BI41" s="67" t="n">
        <f aca="false">-Inputs!$B$39*BI10*(1+Inputs!$B$34)^(BI$7-1)*1</f>
        <v>-561.5321088</v>
      </c>
      <c r="BJ41" s="67" t="n">
        <f aca="false">-Inputs!$B$39*BJ10*(1+Inputs!$B$34)^(BJ$7-1)*1</f>
        <v>-561.5321088</v>
      </c>
    </row>
    <row r="42" customFormat="false" ht="15" hidden="false" customHeight="false" outlineLevel="0" collapsed="false">
      <c r="A42" s="6" t="s">
        <v>336</v>
      </c>
      <c r="C42" s="67" t="n">
        <f aca="false">-Inputs!$B$40*C16*(1+Inputs!$B$34)^(C$7-1)</f>
        <v>-511</v>
      </c>
      <c r="D42" s="67" t="n">
        <f aca="false">-Inputs!$B$40*D16*(1+Inputs!$B$34)^(D$7-1)</f>
        <v>-518.222222222222</v>
      </c>
      <c r="E42" s="67" t="n">
        <f aca="false">-Inputs!$B$40*E16*(1+Inputs!$B$34)^(E$7-1)</f>
        <v>-797.444444444445</v>
      </c>
      <c r="F42" s="67" t="n">
        <f aca="false">-Inputs!$B$40*F16*(1+Inputs!$B$34)^(F$7-1)</f>
        <v>-804.666666666667</v>
      </c>
      <c r="G42" s="67" t="n">
        <f aca="false">-Inputs!$B$40*G16*(1+Inputs!$B$34)^(G$7-1)</f>
        <v>-811.888888888889</v>
      </c>
      <c r="H42" s="67" t="n">
        <f aca="false">-Inputs!$B$40*H16*(1+Inputs!$B$34)^(H$7-1)</f>
        <v>-819.111111111111</v>
      </c>
      <c r="I42" s="67" t="n">
        <f aca="false">-Inputs!$B$40*I16*(1+Inputs!$B$34)^(I$7-1)</f>
        <v>-826.333333333333</v>
      </c>
      <c r="J42" s="67" t="n">
        <f aca="false">-Inputs!$B$40*J16*(1+Inputs!$B$34)^(J$7-1)</f>
        <v>-833.555555555556</v>
      </c>
      <c r="K42" s="67" t="n">
        <f aca="false">-Inputs!$B$40*K16*(1+Inputs!$B$34)^(K$7-1)</f>
        <v>-840.777777777778</v>
      </c>
      <c r="L42" s="67" t="n">
        <f aca="false">-Inputs!$B$40*L16*(1+Inputs!$B$34)^(L$7-1)</f>
        <v>-848</v>
      </c>
      <c r="M42" s="67" t="n">
        <f aca="false">-Inputs!$B$40*M16*(1+Inputs!$B$34)^(M$7-1)</f>
        <v>-848</v>
      </c>
      <c r="N42" s="67" t="n">
        <f aca="false">-Inputs!$B$40*N16*(1+Inputs!$B$34)^(N$7-1)</f>
        <v>-576</v>
      </c>
      <c r="O42" s="67" t="n">
        <f aca="false">-Inputs!$B$40*O16*(1+Inputs!$B$34)^(O$7-1)</f>
        <v>-599.04</v>
      </c>
      <c r="P42" s="67" t="n">
        <f aca="false">-Inputs!$B$40*P16*(1+Inputs!$B$34)^(P$7-1)</f>
        <v>-599.04</v>
      </c>
      <c r="Q42" s="67" t="n">
        <f aca="false">-Inputs!$B$40*Q16*(1+Inputs!$B$34)^(Q$7-1)</f>
        <v>-881.92</v>
      </c>
      <c r="R42" s="67" t="n">
        <f aca="false">-Inputs!$B$40*R16*(1+Inputs!$B$34)^(R$7-1)</f>
        <v>-881.92</v>
      </c>
      <c r="S42" s="67" t="n">
        <f aca="false">-Inputs!$B$40*S16*(1+Inputs!$B$34)^(S$7-1)</f>
        <v>-881.92</v>
      </c>
      <c r="T42" s="67" t="n">
        <f aca="false">-Inputs!$B$40*T16*(1+Inputs!$B$34)^(T$7-1)</f>
        <v>-881.92</v>
      </c>
      <c r="U42" s="67" t="n">
        <f aca="false">-Inputs!$B$40*U16*(1+Inputs!$B$34)^(U$7-1)</f>
        <v>-881.92</v>
      </c>
      <c r="V42" s="67" t="n">
        <f aca="false">-Inputs!$B$40*V16*(1+Inputs!$B$34)^(V$7-1)</f>
        <v>-881.92</v>
      </c>
      <c r="W42" s="67" t="n">
        <f aca="false">-Inputs!$B$40*W16*(1+Inputs!$B$34)^(W$7-1)</f>
        <v>-881.92</v>
      </c>
      <c r="X42" s="67" t="n">
        <f aca="false">-Inputs!$B$40*X16*(1+Inputs!$B$34)^(X$7-1)</f>
        <v>-881.92</v>
      </c>
      <c r="Y42" s="67" t="n">
        <f aca="false">-Inputs!$B$40*Y16*(1+Inputs!$B$34)^(Y$7-1)</f>
        <v>-881.92</v>
      </c>
      <c r="Z42" s="67" t="n">
        <f aca="false">-Inputs!$B$40*Z16*(1+Inputs!$B$34)^(Z$7-1)</f>
        <v>-599.04</v>
      </c>
      <c r="AA42" s="67" t="n">
        <f aca="false">-Inputs!$B$40*AA16*(1+Inputs!$B$34)^(AA$7-1)</f>
        <v>-623.0016</v>
      </c>
      <c r="AB42" s="67" t="n">
        <f aca="false">-Inputs!$B$40*AB16*(1+Inputs!$B$34)^(AB$7-1)</f>
        <v>-623.0016</v>
      </c>
      <c r="AC42" s="67" t="n">
        <f aca="false">-Inputs!$B$40*AC16*(1+Inputs!$B$34)^(AC$7-1)</f>
        <v>-917.1968</v>
      </c>
      <c r="AD42" s="67" t="n">
        <f aca="false">-Inputs!$B$40*AD16*(1+Inputs!$B$34)^(AD$7-1)</f>
        <v>-917.1968</v>
      </c>
      <c r="AE42" s="67" t="n">
        <f aca="false">-Inputs!$B$40*AE16*(1+Inputs!$B$34)^(AE$7-1)</f>
        <v>-917.1968</v>
      </c>
      <c r="AF42" s="67" t="n">
        <f aca="false">-Inputs!$B$40*AF16*(1+Inputs!$B$34)^(AF$7-1)</f>
        <v>-917.1968</v>
      </c>
      <c r="AG42" s="67" t="n">
        <f aca="false">-Inputs!$B$40*AG16*(1+Inputs!$B$34)^(AG$7-1)</f>
        <v>-917.1968</v>
      </c>
      <c r="AH42" s="67" t="n">
        <f aca="false">-Inputs!$B$40*AH16*(1+Inputs!$B$34)^(AH$7-1)</f>
        <v>-917.1968</v>
      </c>
      <c r="AI42" s="67" t="n">
        <f aca="false">-Inputs!$B$40*AI16*(1+Inputs!$B$34)^(AI$7-1)</f>
        <v>-917.1968</v>
      </c>
      <c r="AJ42" s="67" t="n">
        <f aca="false">-Inputs!$B$40*AJ16*(1+Inputs!$B$34)^(AJ$7-1)</f>
        <v>-917.1968</v>
      </c>
      <c r="AK42" s="67" t="n">
        <f aca="false">-Inputs!$B$40*AK16*(1+Inputs!$B$34)^(AK$7-1)</f>
        <v>-917.1968</v>
      </c>
      <c r="AL42" s="67" t="n">
        <f aca="false">-Inputs!$B$40*AL16*(1+Inputs!$B$34)^(AL$7-1)</f>
        <v>-623.0016</v>
      </c>
      <c r="AM42" s="67" t="n">
        <f aca="false">-Inputs!$B$40*AM16*(1+Inputs!$B$34)^(AM$7-1)</f>
        <v>-647.921664</v>
      </c>
      <c r="AN42" s="67" t="n">
        <f aca="false">-Inputs!$B$40*AN16*(1+Inputs!$B$34)^(AN$7-1)</f>
        <v>-647.921664</v>
      </c>
      <c r="AO42" s="67" t="n">
        <f aca="false">-Inputs!$B$40*AO16*(1+Inputs!$B$34)^(AO$7-1)</f>
        <v>-953.884672</v>
      </c>
      <c r="AP42" s="67" t="n">
        <f aca="false">-Inputs!$B$40*AP16*(1+Inputs!$B$34)^(AP$7-1)</f>
        <v>-953.884672</v>
      </c>
      <c r="AQ42" s="67" t="n">
        <f aca="false">-Inputs!$B$40*AQ16*(1+Inputs!$B$34)^(AQ$7-1)</f>
        <v>-953.884672</v>
      </c>
      <c r="AR42" s="67" t="n">
        <f aca="false">-Inputs!$B$40*AR16*(1+Inputs!$B$34)^(AR$7-1)</f>
        <v>-953.884672</v>
      </c>
      <c r="AS42" s="67" t="n">
        <f aca="false">-Inputs!$B$40*AS16*(1+Inputs!$B$34)^(AS$7-1)</f>
        <v>-953.884672</v>
      </c>
      <c r="AT42" s="67" t="n">
        <f aca="false">-Inputs!$B$40*AT16*(1+Inputs!$B$34)^(AT$7-1)</f>
        <v>-953.884672</v>
      </c>
      <c r="AU42" s="67" t="n">
        <f aca="false">-Inputs!$B$40*AU16*(1+Inputs!$B$34)^(AU$7-1)</f>
        <v>-953.884672</v>
      </c>
      <c r="AV42" s="67" t="n">
        <f aca="false">-Inputs!$B$40*AV16*(1+Inputs!$B$34)^(AV$7-1)</f>
        <v>-953.884672</v>
      </c>
      <c r="AW42" s="67" t="n">
        <f aca="false">-Inputs!$B$40*AW16*(1+Inputs!$B$34)^(AW$7-1)</f>
        <v>-953.884672</v>
      </c>
      <c r="AX42" s="67" t="n">
        <f aca="false">-Inputs!$B$40*AX16*(1+Inputs!$B$34)^(AX$7-1)</f>
        <v>-647.921664</v>
      </c>
      <c r="AY42" s="67" t="n">
        <f aca="false">-Inputs!$B$40*AY16*(1+Inputs!$B$34)^(AY$7-1)</f>
        <v>-673.83853056</v>
      </c>
      <c r="AZ42" s="67" t="n">
        <f aca="false">-Inputs!$B$40*AZ16*(1+Inputs!$B$34)^(AZ$7-1)</f>
        <v>-673.83853056</v>
      </c>
      <c r="BA42" s="67" t="n">
        <f aca="false">-Inputs!$B$40*BA16*(1+Inputs!$B$34)^(BA$7-1)</f>
        <v>-992.04005888</v>
      </c>
      <c r="BB42" s="67" t="n">
        <f aca="false">-Inputs!$B$40*BB16*(1+Inputs!$B$34)^(BB$7-1)</f>
        <v>-992.04005888</v>
      </c>
      <c r="BC42" s="67" t="n">
        <f aca="false">-Inputs!$B$40*BC16*(1+Inputs!$B$34)^(BC$7-1)</f>
        <v>-992.04005888</v>
      </c>
      <c r="BD42" s="67" t="n">
        <f aca="false">-Inputs!$B$40*BD16*(1+Inputs!$B$34)^(BD$7-1)</f>
        <v>-992.04005888</v>
      </c>
      <c r="BE42" s="67" t="n">
        <f aca="false">-Inputs!$B$40*BE16*(1+Inputs!$B$34)^(BE$7-1)</f>
        <v>-992.04005888</v>
      </c>
      <c r="BF42" s="67" t="n">
        <f aca="false">-Inputs!$B$40*BF16*(1+Inputs!$B$34)^(BF$7-1)</f>
        <v>-992.04005888</v>
      </c>
      <c r="BG42" s="67" t="n">
        <f aca="false">-Inputs!$B$40*BG16*(1+Inputs!$B$34)^(BG$7-1)</f>
        <v>-992.04005888</v>
      </c>
      <c r="BH42" s="67" t="n">
        <f aca="false">-Inputs!$B$40*BH16*(1+Inputs!$B$34)^(BH$7-1)</f>
        <v>-992.04005888</v>
      </c>
      <c r="BI42" s="67" t="n">
        <f aca="false">-Inputs!$B$40*BI16*(1+Inputs!$B$34)^(BI$7-1)</f>
        <v>-992.04005888</v>
      </c>
      <c r="BJ42" s="67" t="n">
        <f aca="false">-Inputs!$B$40*BJ16*(1+Inputs!$B$34)^(BJ$7-1)</f>
        <v>-673.83853056</v>
      </c>
    </row>
    <row r="43" customFormat="false" ht="15" hidden="false" customHeight="false" outlineLevel="0" collapsed="false">
      <c r="A43" s="6" t="s">
        <v>337</v>
      </c>
      <c r="C43" s="67" t="n">
        <f aca="false">-Inputs!$B$41*C10*(1+Inputs!$B$34)^(C$7-1)*1</f>
        <v>-550</v>
      </c>
      <c r="D43" s="67" t="n">
        <f aca="false">-Inputs!$B$41*D10*(1+Inputs!$B$34)^(D$7-1)*1</f>
        <v>-550</v>
      </c>
      <c r="E43" s="67" t="n">
        <f aca="false">-Inputs!$B$41*E10*(1+Inputs!$B$34)^(E$7-1)*1</f>
        <v>-550</v>
      </c>
      <c r="F43" s="67" t="n">
        <f aca="false">-Inputs!$B$41*F10*(1+Inputs!$B$34)^(F$7-1)*1</f>
        <v>-550</v>
      </c>
      <c r="G43" s="67" t="n">
        <f aca="false">-Inputs!$B$41*G10*(1+Inputs!$B$34)^(G$7-1)*1</f>
        <v>-550</v>
      </c>
      <c r="H43" s="67" t="n">
        <f aca="false">-Inputs!$B$41*H10*(1+Inputs!$B$34)^(H$7-1)*1</f>
        <v>-550</v>
      </c>
      <c r="I43" s="67" t="n">
        <f aca="false">-Inputs!$B$41*I10*(1+Inputs!$B$34)^(I$7-1)*1</f>
        <v>-550</v>
      </c>
      <c r="J43" s="67" t="n">
        <f aca="false">-Inputs!$B$41*J10*(1+Inputs!$B$34)^(J$7-1)*1</f>
        <v>-550</v>
      </c>
      <c r="K43" s="67" t="n">
        <f aca="false">-Inputs!$B$41*K10*(1+Inputs!$B$34)^(K$7-1)*1</f>
        <v>-550</v>
      </c>
      <c r="L43" s="67" t="n">
        <f aca="false">-Inputs!$B$41*L10*(1+Inputs!$B$34)^(L$7-1)*1</f>
        <v>-550</v>
      </c>
      <c r="M43" s="67" t="n">
        <f aca="false">-Inputs!$B$41*M10*(1+Inputs!$B$34)^(M$7-1)*1</f>
        <v>-550</v>
      </c>
      <c r="N43" s="67" t="n">
        <f aca="false">-Inputs!$B$41*N10*(1+Inputs!$B$34)^(N$7-1)*1</f>
        <v>-550</v>
      </c>
      <c r="O43" s="67" t="n">
        <f aca="false">-Inputs!$B$41*O10*(1+Inputs!$B$34)^(O$7-1)*1</f>
        <v>-572</v>
      </c>
      <c r="P43" s="67" t="n">
        <f aca="false">-Inputs!$B$41*P10*(1+Inputs!$B$34)^(P$7-1)*1</f>
        <v>-572</v>
      </c>
      <c r="Q43" s="67" t="n">
        <f aca="false">-Inputs!$B$41*Q10*(1+Inputs!$B$34)^(Q$7-1)*1</f>
        <v>-572</v>
      </c>
      <c r="R43" s="67" t="n">
        <f aca="false">-Inputs!$B$41*R10*(1+Inputs!$B$34)^(R$7-1)*1</f>
        <v>-572</v>
      </c>
      <c r="S43" s="67" t="n">
        <f aca="false">-Inputs!$B$41*S10*(1+Inputs!$B$34)^(S$7-1)*1</f>
        <v>-572</v>
      </c>
      <c r="T43" s="67" t="n">
        <f aca="false">-Inputs!$B$41*T10*(1+Inputs!$B$34)^(T$7-1)*1</f>
        <v>-572</v>
      </c>
      <c r="U43" s="67" t="n">
        <f aca="false">-Inputs!$B$41*U10*(1+Inputs!$B$34)^(U$7-1)*1</f>
        <v>-572</v>
      </c>
      <c r="V43" s="67" t="n">
        <f aca="false">-Inputs!$B$41*V10*(1+Inputs!$B$34)^(V$7-1)*1</f>
        <v>-572</v>
      </c>
      <c r="W43" s="67" t="n">
        <f aca="false">-Inputs!$B$41*W10*(1+Inputs!$B$34)^(W$7-1)*1</f>
        <v>-572</v>
      </c>
      <c r="X43" s="67" t="n">
        <f aca="false">-Inputs!$B$41*X10*(1+Inputs!$B$34)^(X$7-1)*1</f>
        <v>-572</v>
      </c>
      <c r="Y43" s="67" t="n">
        <f aca="false">-Inputs!$B$41*Y10*(1+Inputs!$B$34)^(Y$7-1)*1</f>
        <v>-572</v>
      </c>
      <c r="Z43" s="67" t="n">
        <f aca="false">-Inputs!$B$41*Z10*(1+Inputs!$B$34)^(Z$7-1)*1</f>
        <v>-572</v>
      </c>
      <c r="AA43" s="67" t="n">
        <f aca="false">-Inputs!$B$41*AA10*(1+Inputs!$B$34)^(AA$7-1)*1</f>
        <v>-594.88</v>
      </c>
      <c r="AB43" s="67" t="n">
        <f aca="false">-Inputs!$B$41*AB10*(1+Inputs!$B$34)^(AB$7-1)*1</f>
        <v>-594.88</v>
      </c>
      <c r="AC43" s="67" t="n">
        <f aca="false">-Inputs!$B$41*AC10*(1+Inputs!$B$34)^(AC$7-1)*1</f>
        <v>-594.88</v>
      </c>
      <c r="AD43" s="67" t="n">
        <f aca="false">-Inputs!$B$41*AD10*(1+Inputs!$B$34)^(AD$7-1)*1</f>
        <v>-594.88</v>
      </c>
      <c r="AE43" s="67" t="n">
        <f aca="false">-Inputs!$B$41*AE10*(1+Inputs!$B$34)^(AE$7-1)*1</f>
        <v>-594.88</v>
      </c>
      <c r="AF43" s="67" t="n">
        <f aca="false">-Inputs!$B$41*AF10*(1+Inputs!$B$34)^(AF$7-1)*1</f>
        <v>-594.88</v>
      </c>
      <c r="AG43" s="67" t="n">
        <f aca="false">-Inputs!$B$41*AG10*(1+Inputs!$B$34)^(AG$7-1)*1</f>
        <v>-594.88</v>
      </c>
      <c r="AH43" s="67" t="n">
        <f aca="false">-Inputs!$B$41*AH10*(1+Inputs!$B$34)^(AH$7-1)*1</f>
        <v>-594.88</v>
      </c>
      <c r="AI43" s="67" t="n">
        <f aca="false">-Inputs!$B$41*AI10*(1+Inputs!$B$34)^(AI$7-1)*1</f>
        <v>-594.88</v>
      </c>
      <c r="AJ43" s="67" t="n">
        <f aca="false">-Inputs!$B$41*AJ10*(1+Inputs!$B$34)^(AJ$7-1)*1</f>
        <v>-594.88</v>
      </c>
      <c r="AK43" s="67" t="n">
        <f aca="false">-Inputs!$B$41*AK10*(1+Inputs!$B$34)^(AK$7-1)*1</f>
        <v>-594.88</v>
      </c>
      <c r="AL43" s="67" t="n">
        <f aca="false">-Inputs!$B$41*AL10*(1+Inputs!$B$34)^(AL$7-1)*1</f>
        <v>-594.88</v>
      </c>
      <c r="AM43" s="67" t="n">
        <f aca="false">-Inputs!$B$41*AM10*(1+Inputs!$B$34)^(AM$7-1)*1</f>
        <v>-618.6752</v>
      </c>
      <c r="AN43" s="67" t="n">
        <f aca="false">-Inputs!$B$41*AN10*(1+Inputs!$B$34)^(AN$7-1)*1</f>
        <v>-618.6752</v>
      </c>
      <c r="AO43" s="67" t="n">
        <f aca="false">-Inputs!$B$41*AO10*(1+Inputs!$B$34)^(AO$7-1)*1</f>
        <v>-618.6752</v>
      </c>
      <c r="AP43" s="67" t="n">
        <f aca="false">-Inputs!$B$41*AP10*(1+Inputs!$B$34)^(AP$7-1)*1</f>
        <v>-618.6752</v>
      </c>
      <c r="AQ43" s="67" t="n">
        <f aca="false">-Inputs!$B$41*AQ10*(1+Inputs!$B$34)^(AQ$7-1)*1</f>
        <v>-618.6752</v>
      </c>
      <c r="AR43" s="67" t="n">
        <f aca="false">-Inputs!$B$41*AR10*(1+Inputs!$B$34)^(AR$7-1)*1</f>
        <v>-618.6752</v>
      </c>
      <c r="AS43" s="67" t="n">
        <f aca="false">-Inputs!$B$41*AS10*(1+Inputs!$B$34)^(AS$7-1)*1</f>
        <v>-618.6752</v>
      </c>
      <c r="AT43" s="67" t="n">
        <f aca="false">-Inputs!$B$41*AT10*(1+Inputs!$B$34)^(AT$7-1)*1</f>
        <v>-618.6752</v>
      </c>
      <c r="AU43" s="67" t="n">
        <f aca="false">-Inputs!$B$41*AU10*(1+Inputs!$B$34)^(AU$7-1)*1</f>
        <v>-618.6752</v>
      </c>
      <c r="AV43" s="67" t="n">
        <f aca="false">-Inputs!$B$41*AV10*(1+Inputs!$B$34)^(AV$7-1)*1</f>
        <v>-618.6752</v>
      </c>
      <c r="AW43" s="67" t="n">
        <f aca="false">-Inputs!$B$41*AW10*(1+Inputs!$B$34)^(AW$7-1)*1</f>
        <v>-618.6752</v>
      </c>
      <c r="AX43" s="67" t="n">
        <f aca="false">-Inputs!$B$41*AX10*(1+Inputs!$B$34)^(AX$7-1)*1</f>
        <v>-618.6752</v>
      </c>
      <c r="AY43" s="67" t="n">
        <f aca="false">-Inputs!$B$41*AY10*(1+Inputs!$B$34)^(AY$7-1)*1</f>
        <v>-643.422208</v>
      </c>
      <c r="AZ43" s="67" t="n">
        <f aca="false">-Inputs!$B$41*AZ10*(1+Inputs!$B$34)^(AZ$7-1)*1</f>
        <v>-643.422208</v>
      </c>
      <c r="BA43" s="67" t="n">
        <f aca="false">-Inputs!$B$41*BA10*(1+Inputs!$B$34)^(BA$7-1)*1</f>
        <v>-643.422208</v>
      </c>
      <c r="BB43" s="67" t="n">
        <f aca="false">-Inputs!$B$41*BB10*(1+Inputs!$B$34)^(BB$7-1)*1</f>
        <v>-643.422208</v>
      </c>
      <c r="BC43" s="67" t="n">
        <f aca="false">-Inputs!$B$41*BC10*(1+Inputs!$B$34)^(BC$7-1)*1</f>
        <v>-643.422208</v>
      </c>
      <c r="BD43" s="67" t="n">
        <f aca="false">-Inputs!$B$41*BD10*(1+Inputs!$B$34)^(BD$7-1)*1</f>
        <v>-643.422208</v>
      </c>
      <c r="BE43" s="67" t="n">
        <f aca="false">-Inputs!$B$41*BE10*(1+Inputs!$B$34)^(BE$7-1)*1</f>
        <v>-643.422208</v>
      </c>
      <c r="BF43" s="67" t="n">
        <f aca="false">-Inputs!$B$41*BF10*(1+Inputs!$B$34)^(BF$7-1)*1</f>
        <v>-643.422208</v>
      </c>
      <c r="BG43" s="67" t="n">
        <f aca="false">-Inputs!$B$41*BG10*(1+Inputs!$B$34)^(BG$7-1)*1</f>
        <v>-643.422208</v>
      </c>
      <c r="BH43" s="67" t="n">
        <f aca="false">-Inputs!$B$41*BH10*(1+Inputs!$B$34)^(BH$7-1)*1</f>
        <v>-643.422208</v>
      </c>
      <c r="BI43" s="67" t="n">
        <f aca="false">-Inputs!$B$41*BI10*(1+Inputs!$B$34)^(BI$7-1)*1</f>
        <v>-643.422208</v>
      </c>
      <c r="BJ43" s="67" t="n">
        <f aca="false">-Inputs!$B$41*BJ10*(1+Inputs!$B$34)^(BJ$7-1)*1</f>
        <v>-643.422208</v>
      </c>
    </row>
    <row r="44" customFormat="false" ht="15" hidden="false" customHeight="false" outlineLevel="0" collapsed="false">
      <c r="A44" s="6" t="s">
        <v>338</v>
      </c>
      <c r="C44" s="67" t="n">
        <f aca="false">-Inputs!$B$42*(1+Inputs!$B$34)^(C$7-1)*1</f>
        <v>-125</v>
      </c>
      <c r="D44" s="67" t="n">
        <f aca="false">-Inputs!$B$42*(1+Inputs!$B$34)^(D$7-1)*1</f>
        <v>-125</v>
      </c>
      <c r="E44" s="67" t="n">
        <f aca="false">-Inputs!$B$42*(1+Inputs!$B$34)^(E$7-1)*1</f>
        <v>-125</v>
      </c>
      <c r="F44" s="67" t="n">
        <f aca="false">-Inputs!$B$42*(1+Inputs!$B$34)^(F$7-1)*1</f>
        <v>-125</v>
      </c>
      <c r="G44" s="67" t="n">
        <f aca="false">-Inputs!$B$42*(1+Inputs!$B$34)^(G$7-1)*1</f>
        <v>-125</v>
      </c>
      <c r="H44" s="67" t="n">
        <f aca="false">-Inputs!$B$42*(1+Inputs!$B$34)^(H$7-1)*1</f>
        <v>-125</v>
      </c>
      <c r="I44" s="67" t="n">
        <f aca="false">-Inputs!$B$42*(1+Inputs!$B$34)^(I$7-1)*1</f>
        <v>-125</v>
      </c>
      <c r="J44" s="67" t="n">
        <f aca="false">-Inputs!$B$42*(1+Inputs!$B$34)^(J$7-1)*1</f>
        <v>-125</v>
      </c>
      <c r="K44" s="67" t="n">
        <f aca="false">-Inputs!$B$42*(1+Inputs!$B$34)^(K$7-1)*1</f>
        <v>-125</v>
      </c>
      <c r="L44" s="67" t="n">
        <f aca="false">-Inputs!$B$42*(1+Inputs!$B$34)^(L$7-1)*1</f>
        <v>-125</v>
      </c>
      <c r="M44" s="67" t="n">
        <f aca="false">-Inputs!$B$42*(1+Inputs!$B$34)^(M$7-1)*1</f>
        <v>-125</v>
      </c>
      <c r="N44" s="67" t="n">
        <f aca="false">-Inputs!$B$42*(1+Inputs!$B$34)^(N$7-1)*1</f>
        <v>-125</v>
      </c>
      <c r="O44" s="67" t="n">
        <f aca="false">-Inputs!$B$42*(1+Inputs!$B$34)^(O$7-1)*1</f>
        <v>-130</v>
      </c>
      <c r="P44" s="67" t="n">
        <f aca="false">-Inputs!$B$42*(1+Inputs!$B$34)^(P$7-1)*1</f>
        <v>-130</v>
      </c>
      <c r="Q44" s="67" t="n">
        <f aca="false">-Inputs!$B$42*(1+Inputs!$B$34)^(Q$7-1)*1</f>
        <v>-130</v>
      </c>
      <c r="R44" s="67" t="n">
        <f aca="false">-Inputs!$B$42*(1+Inputs!$B$34)^(R$7-1)*1</f>
        <v>-130</v>
      </c>
      <c r="S44" s="67" t="n">
        <f aca="false">-Inputs!$B$42*(1+Inputs!$B$34)^(S$7-1)*1</f>
        <v>-130</v>
      </c>
      <c r="T44" s="67" t="n">
        <f aca="false">-Inputs!$B$42*(1+Inputs!$B$34)^(T$7-1)*1</f>
        <v>-130</v>
      </c>
      <c r="U44" s="67" t="n">
        <f aca="false">-Inputs!$B$42*(1+Inputs!$B$34)^(U$7-1)*1</f>
        <v>-130</v>
      </c>
      <c r="V44" s="67" t="n">
        <f aca="false">-Inputs!$B$42*(1+Inputs!$B$34)^(V$7-1)*1</f>
        <v>-130</v>
      </c>
      <c r="W44" s="67" t="n">
        <f aca="false">-Inputs!$B$42*(1+Inputs!$B$34)^(W$7-1)*1</f>
        <v>-130</v>
      </c>
      <c r="X44" s="67" t="n">
        <f aca="false">-Inputs!$B$42*(1+Inputs!$B$34)^(X$7-1)*1</f>
        <v>-130</v>
      </c>
      <c r="Y44" s="67" t="n">
        <f aca="false">-Inputs!$B$42*(1+Inputs!$B$34)^(Y$7-1)*1</f>
        <v>-130</v>
      </c>
      <c r="Z44" s="67" t="n">
        <f aca="false">-Inputs!$B$42*(1+Inputs!$B$34)^(Z$7-1)*1</f>
        <v>-130</v>
      </c>
      <c r="AA44" s="67" t="n">
        <f aca="false">-Inputs!$B$42*(1+Inputs!$B$34)^(AA$7-1)*1</f>
        <v>-135.2</v>
      </c>
      <c r="AB44" s="67" t="n">
        <f aca="false">-Inputs!$B$42*(1+Inputs!$B$34)^(AB$7-1)*1</f>
        <v>-135.2</v>
      </c>
      <c r="AC44" s="67" t="n">
        <f aca="false">-Inputs!$B$42*(1+Inputs!$B$34)^(AC$7-1)*1</f>
        <v>-135.2</v>
      </c>
      <c r="AD44" s="67" t="n">
        <f aca="false">-Inputs!$B$42*(1+Inputs!$B$34)^(AD$7-1)*1</f>
        <v>-135.2</v>
      </c>
      <c r="AE44" s="67" t="n">
        <f aca="false">-Inputs!$B$42*(1+Inputs!$B$34)^(AE$7-1)*1</f>
        <v>-135.2</v>
      </c>
      <c r="AF44" s="67" t="n">
        <f aca="false">-Inputs!$B$42*(1+Inputs!$B$34)^(AF$7-1)*1</f>
        <v>-135.2</v>
      </c>
      <c r="AG44" s="67" t="n">
        <f aca="false">-Inputs!$B$42*(1+Inputs!$B$34)^(AG$7-1)*1</f>
        <v>-135.2</v>
      </c>
      <c r="AH44" s="67" t="n">
        <f aca="false">-Inputs!$B$42*(1+Inputs!$B$34)^(AH$7-1)*1</f>
        <v>-135.2</v>
      </c>
      <c r="AI44" s="67" t="n">
        <f aca="false">-Inputs!$B$42*(1+Inputs!$B$34)^(AI$7-1)*1</f>
        <v>-135.2</v>
      </c>
      <c r="AJ44" s="67" t="n">
        <f aca="false">-Inputs!$B$42*(1+Inputs!$B$34)^(AJ$7-1)*1</f>
        <v>-135.2</v>
      </c>
      <c r="AK44" s="67" t="n">
        <f aca="false">-Inputs!$B$42*(1+Inputs!$B$34)^(AK$7-1)*1</f>
        <v>-135.2</v>
      </c>
      <c r="AL44" s="67" t="n">
        <f aca="false">-Inputs!$B$42*(1+Inputs!$B$34)^(AL$7-1)*1</f>
        <v>-135.2</v>
      </c>
      <c r="AM44" s="67" t="n">
        <f aca="false">-Inputs!$B$42*(1+Inputs!$B$34)^(AM$7-1)*1</f>
        <v>-140.608</v>
      </c>
      <c r="AN44" s="67" t="n">
        <f aca="false">-Inputs!$B$42*(1+Inputs!$B$34)^(AN$7-1)*1</f>
        <v>-140.608</v>
      </c>
      <c r="AO44" s="67" t="n">
        <f aca="false">-Inputs!$B$42*(1+Inputs!$B$34)^(AO$7-1)*1</f>
        <v>-140.608</v>
      </c>
      <c r="AP44" s="67" t="n">
        <f aca="false">-Inputs!$B$42*(1+Inputs!$B$34)^(AP$7-1)*1</f>
        <v>-140.608</v>
      </c>
      <c r="AQ44" s="67" t="n">
        <f aca="false">-Inputs!$B$42*(1+Inputs!$B$34)^(AQ$7-1)*1</f>
        <v>-140.608</v>
      </c>
      <c r="AR44" s="67" t="n">
        <f aca="false">-Inputs!$B$42*(1+Inputs!$B$34)^(AR$7-1)*1</f>
        <v>-140.608</v>
      </c>
      <c r="AS44" s="67" t="n">
        <f aca="false">-Inputs!$B$42*(1+Inputs!$B$34)^(AS$7-1)*1</f>
        <v>-140.608</v>
      </c>
      <c r="AT44" s="67" t="n">
        <f aca="false">-Inputs!$B$42*(1+Inputs!$B$34)^(AT$7-1)*1</f>
        <v>-140.608</v>
      </c>
      <c r="AU44" s="67" t="n">
        <f aca="false">-Inputs!$B$42*(1+Inputs!$B$34)^(AU$7-1)*1</f>
        <v>-140.608</v>
      </c>
      <c r="AV44" s="67" t="n">
        <f aca="false">-Inputs!$B$42*(1+Inputs!$B$34)^(AV$7-1)*1</f>
        <v>-140.608</v>
      </c>
      <c r="AW44" s="67" t="n">
        <f aca="false">-Inputs!$B$42*(1+Inputs!$B$34)^(AW$7-1)*1</f>
        <v>-140.608</v>
      </c>
      <c r="AX44" s="67" t="n">
        <f aca="false">-Inputs!$B$42*(1+Inputs!$B$34)^(AX$7-1)*1</f>
        <v>-140.608</v>
      </c>
      <c r="AY44" s="67" t="n">
        <f aca="false">-Inputs!$B$42*(1+Inputs!$B$34)^(AY$7-1)*1</f>
        <v>-146.23232</v>
      </c>
      <c r="AZ44" s="67" t="n">
        <f aca="false">-Inputs!$B$42*(1+Inputs!$B$34)^(AZ$7-1)*1</f>
        <v>-146.23232</v>
      </c>
      <c r="BA44" s="67" t="n">
        <f aca="false">-Inputs!$B$42*(1+Inputs!$B$34)^(BA$7-1)*1</f>
        <v>-146.23232</v>
      </c>
      <c r="BB44" s="67" t="n">
        <f aca="false">-Inputs!$B$42*(1+Inputs!$B$34)^(BB$7-1)*1</f>
        <v>-146.23232</v>
      </c>
      <c r="BC44" s="67" t="n">
        <f aca="false">-Inputs!$B$42*(1+Inputs!$B$34)^(BC$7-1)*1</f>
        <v>-146.23232</v>
      </c>
      <c r="BD44" s="67" t="n">
        <f aca="false">-Inputs!$B$42*(1+Inputs!$B$34)^(BD$7-1)*1</f>
        <v>-146.23232</v>
      </c>
      <c r="BE44" s="67" t="n">
        <f aca="false">-Inputs!$B$42*(1+Inputs!$B$34)^(BE$7-1)*1</f>
        <v>-146.23232</v>
      </c>
      <c r="BF44" s="67" t="n">
        <f aca="false">-Inputs!$B$42*(1+Inputs!$B$34)^(BF$7-1)*1</f>
        <v>-146.23232</v>
      </c>
      <c r="BG44" s="67" t="n">
        <f aca="false">-Inputs!$B$42*(1+Inputs!$B$34)^(BG$7-1)*1</f>
        <v>-146.23232</v>
      </c>
      <c r="BH44" s="67" t="n">
        <f aca="false">-Inputs!$B$42*(1+Inputs!$B$34)^(BH$7-1)*1</f>
        <v>-146.23232</v>
      </c>
      <c r="BI44" s="67" t="n">
        <f aca="false">-Inputs!$B$42*(1+Inputs!$B$34)^(BI$7-1)*1</f>
        <v>-146.23232</v>
      </c>
      <c r="BJ44" s="67" t="n">
        <f aca="false">-Inputs!$B$42*(1+Inputs!$B$34)^(BJ$7-1)*1</f>
        <v>-146.23232</v>
      </c>
    </row>
    <row r="45" customFormat="false" ht="15" hidden="false" customHeight="false" outlineLevel="0" collapsed="false">
      <c r="A45" s="6" t="s">
        <v>339</v>
      </c>
      <c r="C45" s="67" t="n">
        <f aca="false">-Inputs!$B$43*(1+Inputs!$B$44)^(C$7-1)*1</f>
        <v>-800</v>
      </c>
      <c r="D45" s="67" t="n">
        <f aca="false">-Inputs!$B$43*(1+Inputs!$B$44)^(D$7-1)*1</f>
        <v>-800</v>
      </c>
      <c r="E45" s="67" t="n">
        <f aca="false">-Inputs!$B$43*(1+Inputs!$B$44)^(E$7-1)*1</f>
        <v>-800</v>
      </c>
      <c r="F45" s="67" t="n">
        <f aca="false">-Inputs!$B$43*(1+Inputs!$B$44)^(F$7-1)*1</f>
        <v>-800</v>
      </c>
      <c r="G45" s="67" t="n">
        <f aca="false">-Inputs!$B$43*(1+Inputs!$B$44)^(G$7-1)*1</f>
        <v>-800</v>
      </c>
      <c r="H45" s="67" t="n">
        <f aca="false">-Inputs!$B$43*(1+Inputs!$B$44)^(H$7-1)*1</f>
        <v>-800</v>
      </c>
      <c r="I45" s="67" t="n">
        <f aca="false">-Inputs!$B$43*(1+Inputs!$B$44)^(I$7-1)*1</f>
        <v>-800</v>
      </c>
      <c r="J45" s="67" t="n">
        <f aca="false">-Inputs!$B$43*(1+Inputs!$B$44)^(J$7-1)*1</f>
        <v>-800</v>
      </c>
      <c r="K45" s="67" t="n">
        <f aca="false">-Inputs!$B$43*(1+Inputs!$B$44)^(K$7-1)*1</f>
        <v>-800</v>
      </c>
      <c r="L45" s="67" t="n">
        <f aca="false">-Inputs!$B$43*(1+Inputs!$B$44)^(L$7-1)*1</f>
        <v>-800</v>
      </c>
      <c r="M45" s="67" t="n">
        <f aca="false">-Inputs!$B$43*(1+Inputs!$B$44)^(M$7-1)*1</f>
        <v>-800</v>
      </c>
      <c r="N45" s="67" t="n">
        <f aca="false">-Inputs!$B$43*(1+Inputs!$B$44)^(N$7-1)*1</f>
        <v>-800</v>
      </c>
      <c r="O45" s="67" t="n">
        <f aca="false">-Inputs!$B$43*(1+Inputs!$B$44)^(O$7-1)*1</f>
        <v>-800</v>
      </c>
      <c r="P45" s="67" t="n">
        <f aca="false">-Inputs!$B$43*(1+Inputs!$B$44)^(P$7-1)*1</f>
        <v>-800</v>
      </c>
      <c r="Q45" s="67" t="n">
        <f aca="false">-Inputs!$B$43*(1+Inputs!$B$44)^(Q$7-1)*1</f>
        <v>-800</v>
      </c>
      <c r="R45" s="67" t="n">
        <f aca="false">-Inputs!$B$43*(1+Inputs!$B$44)^(R$7-1)*1</f>
        <v>-800</v>
      </c>
      <c r="S45" s="67" t="n">
        <f aca="false">-Inputs!$B$43*(1+Inputs!$B$44)^(S$7-1)*1</f>
        <v>-800</v>
      </c>
      <c r="T45" s="67" t="n">
        <f aca="false">-Inputs!$B$43*(1+Inputs!$B$44)^(T$7-1)*1</f>
        <v>-800</v>
      </c>
      <c r="U45" s="67" t="n">
        <f aca="false">-Inputs!$B$43*(1+Inputs!$B$44)^(U$7-1)*1</f>
        <v>-800</v>
      </c>
      <c r="V45" s="67" t="n">
        <f aca="false">-Inputs!$B$43*(1+Inputs!$B$44)^(V$7-1)*1</f>
        <v>-800</v>
      </c>
      <c r="W45" s="67" t="n">
        <f aca="false">-Inputs!$B$43*(1+Inputs!$B$44)^(W$7-1)*1</f>
        <v>-800</v>
      </c>
      <c r="X45" s="67" t="n">
        <f aca="false">-Inputs!$B$43*(1+Inputs!$B$44)^(X$7-1)*1</f>
        <v>-800</v>
      </c>
      <c r="Y45" s="67" t="n">
        <f aca="false">-Inputs!$B$43*(1+Inputs!$B$44)^(Y$7-1)*1</f>
        <v>-800</v>
      </c>
      <c r="Z45" s="67" t="n">
        <f aca="false">-Inputs!$B$43*(1+Inputs!$B$44)^(Z$7-1)*1</f>
        <v>-800</v>
      </c>
      <c r="AA45" s="67" t="n">
        <f aca="false">-Inputs!$B$43*(1+Inputs!$B$44)^(AA$7-1)*1</f>
        <v>-800</v>
      </c>
      <c r="AB45" s="67" t="n">
        <f aca="false">-Inputs!$B$43*(1+Inputs!$B$44)^(AB$7-1)*1</f>
        <v>-800</v>
      </c>
      <c r="AC45" s="67" t="n">
        <f aca="false">-Inputs!$B$43*(1+Inputs!$B$44)^(AC$7-1)*1</f>
        <v>-800</v>
      </c>
      <c r="AD45" s="67" t="n">
        <f aca="false">-Inputs!$B$43*(1+Inputs!$B$44)^(AD$7-1)*1</f>
        <v>-800</v>
      </c>
      <c r="AE45" s="67" t="n">
        <f aca="false">-Inputs!$B$43*(1+Inputs!$B$44)^(AE$7-1)*1</f>
        <v>-800</v>
      </c>
      <c r="AF45" s="67" t="n">
        <f aca="false">-Inputs!$B$43*(1+Inputs!$B$44)^(AF$7-1)*1</f>
        <v>-800</v>
      </c>
      <c r="AG45" s="67" t="n">
        <f aca="false">-Inputs!$B$43*(1+Inputs!$B$44)^(AG$7-1)*1</f>
        <v>-800</v>
      </c>
      <c r="AH45" s="67" t="n">
        <f aca="false">-Inputs!$B$43*(1+Inputs!$B$44)^(AH$7-1)*1</f>
        <v>-800</v>
      </c>
      <c r="AI45" s="67" t="n">
        <f aca="false">-Inputs!$B$43*(1+Inputs!$B$44)^(AI$7-1)*1</f>
        <v>-800</v>
      </c>
      <c r="AJ45" s="67" t="n">
        <f aca="false">-Inputs!$B$43*(1+Inputs!$B$44)^(AJ$7-1)*1</f>
        <v>-800</v>
      </c>
      <c r="AK45" s="67" t="n">
        <f aca="false">-Inputs!$B$43*(1+Inputs!$B$44)^(AK$7-1)*1</f>
        <v>-800</v>
      </c>
      <c r="AL45" s="67" t="n">
        <f aca="false">-Inputs!$B$43*(1+Inputs!$B$44)^(AL$7-1)*1</f>
        <v>-800</v>
      </c>
      <c r="AM45" s="67" t="n">
        <f aca="false">-Inputs!$B$43*(1+Inputs!$B$44)^(AM$7-1)*1</f>
        <v>-800</v>
      </c>
      <c r="AN45" s="67" t="n">
        <f aca="false">-Inputs!$B$43*(1+Inputs!$B$44)^(AN$7-1)*1</f>
        <v>-800</v>
      </c>
      <c r="AO45" s="67" t="n">
        <f aca="false">-Inputs!$B$43*(1+Inputs!$B$44)^(AO$7-1)*1</f>
        <v>-800</v>
      </c>
      <c r="AP45" s="67" t="n">
        <f aca="false">-Inputs!$B$43*(1+Inputs!$B$44)^(AP$7-1)*1</f>
        <v>-800</v>
      </c>
      <c r="AQ45" s="67" t="n">
        <f aca="false">-Inputs!$B$43*(1+Inputs!$B$44)^(AQ$7-1)*1</f>
        <v>-800</v>
      </c>
      <c r="AR45" s="67" t="n">
        <f aca="false">-Inputs!$B$43*(1+Inputs!$B$44)^(AR$7-1)*1</f>
        <v>-800</v>
      </c>
      <c r="AS45" s="67" t="n">
        <f aca="false">-Inputs!$B$43*(1+Inputs!$B$44)^(AS$7-1)*1</f>
        <v>-800</v>
      </c>
      <c r="AT45" s="67" t="n">
        <f aca="false">-Inputs!$B$43*(1+Inputs!$B$44)^(AT$7-1)*1</f>
        <v>-800</v>
      </c>
      <c r="AU45" s="67" t="n">
        <f aca="false">-Inputs!$B$43*(1+Inputs!$B$44)^(AU$7-1)*1</f>
        <v>-800</v>
      </c>
      <c r="AV45" s="67" t="n">
        <f aca="false">-Inputs!$B$43*(1+Inputs!$B$44)^(AV$7-1)*1</f>
        <v>-800</v>
      </c>
      <c r="AW45" s="67" t="n">
        <f aca="false">-Inputs!$B$43*(1+Inputs!$B$44)^(AW$7-1)*1</f>
        <v>-800</v>
      </c>
      <c r="AX45" s="67" t="n">
        <f aca="false">-Inputs!$B$43*(1+Inputs!$B$44)^(AX$7-1)*1</f>
        <v>-800</v>
      </c>
      <c r="AY45" s="67" t="n">
        <f aca="false">-Inputs!$B$43*(1+Inputs!$B$44)^(AY$7-1)*1</f>
        <v>-800</v>
      </c>
      <c r="AZ45" s="67" t="n">
        <f aca="false">-Inputs!$B$43*(1+Inputs!$B$44)^(AZ$7-1)*1</f>
        <v>-800</v>
      </c>
      <c r="BA45" s="67" t="n">
        <f aca="false">-Inputs!$B$43*(1+Inputs!$B$44)^(BA$7-1)*1</f>
        <v>-800</v>
      </c>
      <c r="BB45" s="67" t="n">
        <f aca="false">-Inputs!$B$43*(1+Inputs!$B$44)^(BB$7-1)*1</f>
        <v>-800</v>
      </c>
      <c r="BC45" s="67" t="n">
        <f aca="false">-Inputs!$B$43*(1+Inputs!$B$44)^(BC$7-1)*1</f>
        <v>-800</v>
      </c>
      <c r="BD45" s="67" t="n">
        <f aca="false">-Inputs!$B$43*(1+Inputs!$B$44)^(BD$7-1)*1</f>
        <v>-800</v>
      </c>
      <c r="BE45" s="67" t="n">
        <f aca="false">-Inputs!$B$43*(1+Inputs!$B$44)^(BE$7-1)*1</f>
        <v>-800</v>
      </c>
      <c r="BF45" s="67" t="n">
        <f aca="false">-Inputs!$B$43*(1+Inputs!$B$44)^(BF$7-1)*1</f>
        <v>-800</v>
      </c>
      <c r="BG45" s="67" t="n">
        <f aca="false">-Inputs!$B$43*(1+Inputs!$B$44)^(BG$7-1)*1</f>
        <v>-800</v>
      </c>
      <c r="BH45" s="67" t="n">
        <f aca="false">-Inputs!$B$43*(1+Inputs!$B$44)^(BH$7-1)*1</f>
        <v>-800</v>
      </c>
      <c r="BI45" s="67" t="n">
        <f aca="false">-Inputs!$B$43*(1+Inputs!$B$44)^(BI$7-1)*1</f>
        <v>-800</v>
      </c>
      <c r="BJ45" s="67" t="n">
        <f aca="false">-Inputs!$B$43*(1+Inputs!$B$44)^(BJ$7-1)*1</f>
        <v>-800</v>
      </c>
    </row>
    <row r="46" customFormat="false" ht="15" hidden="false" customHeight="false" outlineLevel="0" collapsed="false">
      <c r="A46" s="6" t="s">
        <v>340</v>
      </c>
      <c r="C46" s="67" t="n">
        <f aca="false">-Inputs!$B$45*(1+Inputs!$B$34)^(C$7-1)*1</f>
        <v>-380</v>
      </c>
      <c r="D46" s="67" t="n">
        <f aca="false">-Inputs!$B$45*(1+Inputs!$B$34)^(D$7-1)*1</f>
        <v>-380</v>
      </c>
      <c r="E46" s="67" t="n">
        <f aca="false">-Inputs!$B$45*(1+Inputs!$B$34)^(E$7-1)*1</f>
        <v>-380</v>
      </c>
      <c r="F46" s="67" t="n">
        <f aca="false">-Inputs!$B$45*(1+Inputs!$B$34)^(F$7-1)*1</f>
        <v>-380</v>
      </c>
      <c r="G46" s="67" t="n">
        <f aca="false">-Inputs!$B$45*(1+Inputs!$B$34)^(G$7-1)*1</f>
        <v>-380</v>
      </c>
      <c r="H46" s="67" t="n">
        <f aca="false">-Inputs!$B$45*(1+Inputs!$B$34)^(H$7-1)*1</f>
        <v>-380</v>
      </c>
      <c r="I46" s="67" t="n">
        <f aca="false">-Inputs!$B$45*(1+Inputs!$B$34)^(I$7-1)*1</f>
        <v>-380</v>
      </c>
      <c r="J46" s="67" t="n">
        <f aca="false">-Inputs!$B$45*(1+Inputs!$B$34)^(J$7-1)*1</f>
        <v>-380</v>
      </c>
      <c r="K46" s="67" t="n">
        <f aca="false">-Inputs!$B$45*(1+Inputs!$B$34)^(K$7-1)*1</f>
        <v>-380</v>
      </c>
      <c r="L46" s="67" t="n">
        <f aca="false">-Inputs!$B$45*(1+Inputs!$B$34)^(L$7-1)*1</f>
        <v>-380</v>
      </c>
      <c r="M46" s="67" t="n">
        <f aca="false">-Inputs!$B$45*(1+Inputs!$B$34)^(M$7-1)*1</f>
        <v>-380</v>
      </c>
      <c r="N46" s="67" t="n">
        <f aca="false">-Inputs!$B$45*(1+Inputs!$B$34)^(N$7-1)*1</f>
        <v>-380</v>
      </c>
      <c r="O46" s="67" t="n">
        <f aca="false">-Inputs!$B$45*(1+Inputs!$B$34)^(O$7-1)*1</f>
        <v>-395.2</v>
      </c>
      <c r="P46" s="67" t="n">
        <f aca="false">-Inputs!$B$45*(1+Inputs!$B$34)^(P$7-1)*1</f>
        <v>-395.2</v>
      </c>
      <c r="Q46" s="67" t="n">
        <f aca="false">-Inputs!$B$45*(1+Inputs!$B$34)^(Q$7-1)*1</f>
        <v>-395.2</v>
      </c>
      <c r="R46" s="67" t="n">
        <f aca="false">-Inputs!$B$45*(1+Inputs!$B$34)^(R$7-1)*1</f>
        <v>-395.2</v>
      </c>
      <c r="S46" s="67" t="n">
        <f aca="false">-Inputs!$B$45*(1+Inputs!$B$34)^(S$7-1)*1</f>
        <v>-395.2</v>
      </c>
      <c r="T46" s="67" t="n">
        <f aca="false">-Inputs!$B$45*(1+Inputs!$B$34)^(T$7-1)*1</f>
        <v>-395.2</v>
      </c>
      <c r="U46" s="67" t="n">
        <f aca="false">-Inputs!$B$45*(1+Inputs!$B$34)^(U$7-1)*1</f>
        <v>-395.2</v>
      </c>
      <c r="V46" s="67" t="n">
        <f aca="false">-Inputs!$B$45*(1+Inputs!$B$34)^(V$7-1)*1</f>
        <v>-395.2</v>
      </c>
      <c r="W46" s="67" t="n">
        <f aca="false">-Inputs!$B$45*(1+Inputs!$B$34)^(W$7-1)*1</f>
        <v>-395.2</v>
      </c>
      <c r="X46" s="67" t="n">
        <f aca="false">-Inputs!$B$45*(1+Inputs!$B$34)^(X$7-1)*1</f>
        <v>-395.2</v>
      </c>
      <c r="Y46" s="67" t="n">
        <f aca="false">-Inputs!$B$45*(1+Inputs!$B$34)^(Y$7-1)*1</f>
        <v>-395.2</v>
      </c>
      <c r="Z46" s="67" t="n">
        <f aca="false">-Inputs!$B$45*(1+Inputs!$B$34)^(Z$7-1)*1</f>
        <v>-395.2</v>
      </c>
      <c r="AA46" s="67" t="n">
        <f aca="false">-Inputs!$B$45*(1+Inputs!$B$34)^(AA$7-1)*1</f>
        <v>-411.008</v>
      </c>
      <c r="AB46" s="67" t="n">
        <f aca="false">-Inputs!$B$45*(1+Inputs!$B$34)^(AB$7-1)*1</f>
        <v>-411.008</v>
      </c>
      <c r="AC46" s="67" t="n">
        <f aca="false">-Inputs!$B$45*(1+Inputs!$B$34)^(AC$7-1)*1</f>
        <v>-411.008</v>
      </c>
      <c r="AD46" s="67" t="n">
        <f aca="false">-Inputs!$B$45*(1+Inputs!$B$34)^(AD$7-1)*1</f>
        <v>-411.008</v>
      </c>
      <c r="AE46" s="67" t="n">
        <f aca="false">-Inputs!$B$45*(1+Inputs!$B$34)^(AE$7-1)*1</f>
        <v>-411.008</v>
      </c>
      <c r="AF46" s="67" t="n">
        <f aca="false">-Inputs!$B$45*(1+Inputs!$B$34)^(AF$7-1)*1</f>
        <v>-411.008</v>
      </c>
      <c r="AG46" s="67" t="n">
        <f aca="false">-Inputs!$B$45*(1+Inputs!$B$34)^(AG$7-1)*1</f>
        <v>-411.008</v>
      </c>
      <c r="AH46" s="67" t="n">
        <f aca="false">-Inputs!$B$45*(1+Inputs!$B$34)^(AH$7-1)*1</f>
        <v>-411.008</v>
      </c>
      <c r="AI46" s="67" t="n">
        <f aca="false">-Inputs!$B$45*(1+Inputs!$B$34)^(AI$7-1)*1</f>
        <v>-411.008</v>
      </c>
      <c r="AJ46" s="67" t="n">
        <f aca="false">-Inputs!$B$45*(1+Inputs!$B$34)^(AJ$7-1)*1</f>
        <v>-411.008</v>
      </c>
      <c r="AK46" s="67" t="n">
        <f aca="false">-Inputs!$B$45*(1+Inputs!$B$34)^(AK$7-1)*1</f>
        <v>-411.008</v>
      </c>
      <c r="AL46" s="67" t="n">
        <f aca="false">-Inputs!$B$45*(1+Inputs!$B$34)^(AL$7-1)*1</f>
        <v>-411.008</v>
      </c>
      <c r="AM46" s="67" t="n">
        <f aca="false">-Inputs!$B$45*(1+Inputs!$B$34)^(AM$7-1)*1</f>
        <v>-427.44832</v>
      </c>
      <c r="AN46" s="67" t="n">
        <f aca="false">-Inputs!$B$45*(1+Inputs!$B$34)^(AN$7-1)*1</f>
        <v>-427.44832</v>
      </c>
      <c r="AO46" s="67" t="n">
        <f aca="false">-Inputs!$B$45*(1+Inputs!$B$34)^(AO$7-1)*1</f>
        <v>-427.44832</v>
      </c>
      <c r="AP46" s="67" t="n">
        <f aca="false">-Inputs!$B$45*(1+Inputs!$B$34)^(AP$7-1)*1</f>
        <v>-427.44832</v>
      </c>
      <c r="AQ46" s="67" t="n">
        <f aca="false">-Inputs!$B$45*(1+Inputs!$B$34)^(AQ$7-1)*1</f>
        <v>-427.44832</v>
      </c>
      <c r="AR46" s="67" t="n">
        <f aca="false">-Inputs!$B$45*(1+Inputs!$B$34)^(AR$7-1)*1</f>
        <v>-427.44832</v>
      </c>
      <c r="AS46" s="67" t="n">
        <f aca="false">-Inputs!$B$45*(1+Inputs!$B$34)^(AS$7-1)*1</f>
        <v>-427.44832</v>
      </c>
      <c r="AT46" s="67" t="n">
        <f aca="false">-Inputs!$B$45*(1+Inputs!$B$34)^(AT$7-1)*1</f>
        <v>-427.44832</v>
      </c>
      <c r="AU46" s="67" t="n">
        <f aca="false">-Inputs!$B$45*(1+Inputs!$B$34)^(AU$7-1)*1</f>
        <v>-427.44832</v>
      </c>
      <c r="AV46" s="67" t="n">
        <f aca="false">-Inputs!$B$45*(1+Inputs!$B$34)^(AV$7-1)*1</f>
        <v>-427.44832</v>
      </c>
      <c r="AW46" s="67" t="n">
        <f aca="false">-Inputs!$B$45*(1+Inputs!$B$34)^(AW$7-1)*1</f>
        <v>-427.44832</v>
      </c>
      <c r="AX46" s="67" t="n">
        <f aca="false">-Inputs!$B$45*(1+Inputs!$B$34)^(AX$7-1)*1</f>
        <v>-427.44832</v>
      </c>
      <c r="AY46" s="67" t="n">
        <f aca="false">-Inputs!$B$45*(1+Inputs!$B$34)^(AY$7-1)*1</f>
        <v>-444.5462528</v>
      </c>
      <c r="AZ46" s="67" t="n">
        <f aca="false">-Inputs!$B$45*(1+Inputs!$B$34)^(AZ$7-1)*1</f>
        <v>-444.5462528</v>
      </c>
      <c r="BA46" s="67" t="n">
        <f aca="false">-Inputs!$B$45*(1+Inputs!$B$34)^(BA$7-1)*1</f>
        <v>-444.5462528</v>
      </c>
      <c r="BB46" s="67" t="n">
        <f aca="false">-Inputs!$B$45*(1+Inputs!$B$34)^(BB$7-1)*1</f>
        <v>-444.5462528</v>
      </c>
      <c r="BC46" s="67" t="n">
        <f aca="false">-Inputs!$B$45*(1+Inputs!$B$34)^(BC$7-1)*1</f>
        <v>-444.5462528</v>
      </c>
      <c r="BD46" s="67" t="n">
        <f aca="false">-Inputs!$B$45*(1+Inputs!$B$34)^(BD$7-1)*1</f>
        <v>-444.5462528</v>
      </c>
      <c r="BE46" s="67" t="n">
        <f aca="false">-Inputs!$B$45*(1+Inputs!$B$34)^(BE$7-1)*1</f>
        <v>-444.5462528</v>
      </c>
      <c r="BF46" s="67" t="n">
        <f aca="false">-Inputs!$B$45*(1+Inputs!$B$34)^(BF$7-1)*1</f>
        <v>-444.5462528</v>
      </c>
      <c r="BG46" s="67" t="n">
        <f aca="false">-Inputs!$B$45*(1+Inputs!$B$34)^(BG$7-1)*1</f>
        <v>-444.5462528</v>
      </c>
      <c r="BH46" s="67" t="n">
        <f aca="false">-Inputs!$B$45*(1+Inputs!$B$34)^(BH$7-1)*1</f>
        <v>-444.5462528</v>
      </c>
      <c r="BI46" s="67" t="n">
        <f aca="false">-Inputs!$B$45*(1+Inputs!$B$34)^(BI$7-1)*1</f>
        <v>-444.5462528</v>
      </c>
      <c r="BJ46" s="67" t="n">
        <f aca="false">-Inputs!$B$45*(1+Inputs!$B$34)^(BJ$7-1)*1</f>
        <v>-444.5462528</v>
      </c>
    </row>
    <row r="47" customFormat="false" ht="15" hidden="false" customHeight="false" outlineLevel="0" collapsed="false">
      <c r="A47" s="113" t="s">
        <v>77</v>
      </c>
      <c r="C47" s="68" t="n">
        <f aca="false">C38+C39+C40+C41+C42+C43+C44+C45+C46</f>
        <v>-14170.6666666667</v>
      </c>
      <c r="D47" s="68" t="n">
        <f aca="false">D38+D39+D40+D41+D42+D43+D44+D45+D46</f>
        <v>-14177.8888888889</v>
      </c>
      <c r="E47" s="68" t="n">
        <f aca="false">E38+E39+E40+E41+E42+E43+E44+E45+E46</f>
        <v>-14457.1111111111</v>
      </c>
      <c r="F47" s="68" t="n">
        <f aca="false">F38+F39+F40+F41+F42+F43+F44+F45+F46</f>
        <v>-14464.3333333333</v>
      </c>
      <c r="G47" s="68" t="n">
        <f aca="false">G38+G39+G40+G41+G42+G43+G44+G45+G46</f>
        <v>-14471.5555555556</v>
      </c>
      <c r="H47" s="68" t="n">
        <f aca="false">H38+H39+H40+H41+H42+H43+H44+H45+H46</f>
        <v>-14478.7777777778</v>
      </c>
      <c r="I47" s="68" t="n">
        <f aca="false">I38+I39+I40+I41+I42+I43+I44+I45+I46</f>
        <v>-14486</v>
      </c>
      <c r="J47" s="68" t="n">
        <f aca="false">J38+J39+J40+J41+J42+J43+J44+J45+J46</f>
        <v>-14493.2222222222</v>
      </c>
      <c r="K47" s="68" t="n">
        <f aca="false">K38+K39+K40+K41+K42+K43+K44+K45+K46</f>
        <v>-14500.4444444444</v>
      </c>
      <c r="L47" s="68" t="n">
        <f aca="false">L38+L39+L40+L41+L42+L43+L44+L45+L46</f>
        <v>-14507.6666666667</v>
      </c>
      <c r="M47" s="68" t="n">
        <f aca="false">M38+M39+M40+M41+M42+M43+M44+M45+M46</f>
        <v>-14507.6666666667</v>
      </c>
      <c r="N47" s="68" t="n">
        <f aca="false">N38+N39+N40+N41+N42+N43+N44+N45+N46</f>
        <v>-14235.6666666667</v>
      </c>
      <c r="O47" s="68" t="n">
        <f aca="false">O38+O39+O40+O41+O42+O43+O44+O45+O46</f>
        <v>-14674.3466666667</v>
      </c>
      <c r="P47" s="68" t="n">
        <f aca="false">P38+P39+P40+P41+P42+P43+P44+P45+P46</f>
        <v>-14674.3466666667</v>
      </c>
      <c r="Q47" s="68" t="n">
        <f aca="false">Q38+Q39+Q40+Q41+Q42+Q43+Q44+Q45+Q46</f>
        <v>-14957.2266666667</v>
      </c>
      <c r="R47" s="68" t="n">
        <f aca="false">R38+R39+R40+R41+R42+R43+R44+R45+R46</f>
        <v>-14957.2266666667</v>
      </c>
      <c r="S47" s="68" t="n">
        <f aca="false">S38+S39+S40+S41+S42+S43+S44+S45+S46</f>
        <v>-14957.2266666667</v>
      </c>
      <c r="T47" s="68" t="n">
        <f aca="false">T38+T39+T40+T41+T42+T43+T44+T45+T46</f>
        <v>-14957.2266666667</v>
      </c>
      <c r="U47" s="68" t="n">
        <f aca="false">U38+U39+U40+U41+U42+U43+U44+U45+U46</f>
        <v>-14957.2266666667</v>
      </c>
      <c r="V47" s="68" t="n">
        <f aca="false">V38+V39+V40+V41+V42+V43+V44+V45+V46</f>
        <v>-14957.2266666667</v>
      </c>
      <c r="W47" s="68" t="n">
        <f aca="false">W38+W39+W40+W41+W42+W43+W44+W45+W46</f>
        <v>-14957.2266666667</v>
      </c>
      <c r="X47" s="68" t="n">
        <f aca="false">X38+X39+X40+X41+X42+X43+X44+X45+X46</f>
        <v>-14957.2266666667</v>
      </c>
      <c r="Y47" s="68" t="n">
        <f aca="false">Y38+Y39+Y40+Y41+Y42+Y43+Y44+Y45+Y46</f>
        <v>-14957.2266666667</v>
      </c>
      <c r="Z47" s="68" t="n">
        <f aca="false">Z38+Z39+Z40+Z41+Z42+Z43+Z44+Z45+Z46</f>
        <v>-14674.3466666667</v>
      </c>
      <c r="AA47" s="68" t="n">
        <f aca="false">AA38+AA39+AA40+AA41+AA42+AA43+AA44+AA45+AA46</f>
        <v>-15127.6114666667</v>
      </c>
      <c r="AB47" s="68" t="n">
        <f aca="false">AB38+AB39+AB40+AB41+AB42+AB43+AB44+AB45+AB46</f>
        <v>-15127.6114666667</v>
      </c>
      <c r="AC47" s="68" t="n">
        <f aca="false">AC38+AC39+AC40+AC41+AC42+AC43+AC44+AC45+AC46</f>
        <v>-15421.8066666667</v>
      </c>
      <c r="AD47" s="68" t="n">
        <f aca="false">AD38+AD39+AD40+AD41+AD42+AD43+AD44+AD45+AD46</f>
        <v>-15421.8066666667</v>
      </c>
      <c r="AE47" s="68" t="n">
        <f aca="false">AE38+AE39+AE40+AE41+AE42+AE43+AE44+AE45+AE46</f>
        <v>-15421.8066666667</v>
      </c>
      <c r="AF47" s="68" t="n">
        <f aca="false">AF38+AF39+AF40+AF41+AF42+AF43+AF44+AF45+AF46</f>
        <v>-15421.8066666667</v>
      </c>
      <c r="AG47" s="68" t="n">
        <f aca="false">AG38+AG39+AG40+AG41+AG42+AG43+AG44+AG45+AG46</f>
        <v>-15421.8066666667</v>
      </c>
      <c r="AH47" s="68" t="n">
        <f aca="false">AH38+AH39+AH40+AH41+AH42+AH43+AH44+AH45+AH46</f>
        <v>-15421.8066666667</v>
      </c>
      <c r="AI47" s="68" t="n">
        <f aca="false">AI38+AI39+AI40+AI41+AI42+AI43+AI44+AI45+AI46</f>
        <v>-15421.8066666667</v>
      </c>
      <c r="AJ47" s="68" t="n">
        <f aca="false">AJ38+AJ39+AJ40+AJ41+AJ42+AJ43+AJ44+AJ45+AJ46</f>
        <v>-15421.8066666667</v>
      </c>
      <c r="AK47" s="68" t="n">
        <f aca="false">AK38+AK39+AK40+AK41+AK42+AK43+AK44+AK45+AK46</f>
        <v>-15421.8066666667</v>
      </c>
      <c r="AL47" s="68" t="n">
        <f aca="false">AL38+AL39+AL40+AL41+AL42+AL43+AL44+AL45+AL46</f>
        <v>-15127.6114666667</v>
      </c>
      <c r="AM47" s="68" t="n">
        <f aca="false">AM38+AM39+AM40+AM41+AM42+AM43+AM44+AM45+AM46</f>
        <v>-15595.9555866667</v>
      </c>
      <c r="AN47" s="68" t="n">
        <f aca="false">AN38+AN39+AN40+AN41+AN42+AN43+AN44+AN45+AN46</f>
        <v>-15595.9555866667</v>
      </c>
      <c r="AO47" s="68" t="n">
        <f aca="false">AO38+AO39+AO40+AO41+AO42+AO43+AO44+AO45+AO46</f>
        <v>-15901.9185946667</v>
      </c>
      <c r="AP47" s="68" t="n">
        <f aca="false">AP38+AP39+AP40+AP41+AP42+AP43+AP44+AP45+AP46</f>
        <v>-15901.9185946667</v>
      </c>
      <c r="AQ47" s="68" t="n">
        <f aca="false">AQ38+AQ39+AQ40+AQ41+AQ42+AQ43+AQ44+AQ45+AQ46</f>
        <v>-15901.9185946667</v>
      </c>
      <c r="AR47" s="68" t="n">
        <f aca="false">AR38+AR39+AR40+AR41+AR42+AR43+AR44+AR45+AR46</f>
        <v>-15901.9185946667</v>
      </c>
      <c r="AS47" s="68" t="n">
        <f aca="false">AS38+AS39+AS40+AS41+AS42+AS43+AS44+AS45+AS46</f>
        <v>-15901.9185946667</v>
      </c>
      <c r="AT47" s="68" t="n">
        <f aca="false">AT38+AT39+AT40+AT41+AT42+AT43+AT44+AT45+AT46</f>
        <v>-15901.9185946667</v>
      </c>
      <c r="AU47" s="68" t="n">
        <f aca="false">AU38+AU39+AU40+AU41+AU42+AU43+AU44+AU45+AU46</f>
        <v>-15901.9185946667</v>
      </c>
      <c r="AV47" s="68" t="n">
        <f aca="false">AV38+AV39+AV40+AV41+AV42+AV43+AV44+AV45+AV46</f>
        <v>-15901.9185946667</v>
      </c>
      <c r="AW47" s="68" t="n">
        <f aca="false">AW38+AW39+AW40+AW41+AW42+AW43+AW44+AW45+AW46</f>
        <v>-15901.9185946667</v>
      </c>
      <c r="AX47" s="68" t="n">
        <f aca="false">AX38+AX39+AX40+AX41+AX42+AX43+AX44+AX45+AX46</f>
        <v>-15595.9555866667</v>
      </c>
      <c r="AY47" s="68" t="n">
        <f aca="false">AY38+AY39+AY40+AY41+AY42+AY43+AY44+AY45+AY46</f>
        <v>-16079.8906613067</v>
      </c>
      <c r="AZ47" s="68" t="n">
        <f aca="false">AZ38+AZ39+AZ40+AZ41+AZ42+AZ43+AZ44+AZ45+AZ46</f>
        <v>-16079.8906613067</v>
      </c>
      <c r="BA47" s="68" t="n">
        <f aca="false">BA38+BA39+BA40+BA41+BA42+BA43+BA44+BA45+BA46</f>
        <v>-16398.0921896267</v>
      </c>
      <c r="BB47" s="68" t="n">
        <f aca="false">BB38+BB39+BB40+BB41+BB42+BB43+BB44+BB45+BB46</f>
        <v>-16398.0921896267</v>
      </c>
      <c r="BC47" s="68" t="n">
        <f aca="false">BC38+BC39+BC40+BC41+BC42+BC43+BC44+BC45+BC46</f>
        <v>-16398.0921896267</v>
      </c>
      <c r="BD47" s="68" t="n">
        <f aca="false">BD38+BD39+BD40+BD41+BD42+BD43+BD44+BD45+BD46</f>
        <v>-16398.0921896267</v>
      </c>
      <c r="BE47" s="68" t="n">
        <f aca="false">BE38+BE39+BE40+BE41+BE42+BE43+BE44+BE45+BE46</f>
        <v>-16398.0921896267</v>
      </c>
      <c r="BF47" s="68" t="n">
        <f aca="false">BF38+BF39+BF40+BF41+BF42+BF43+BF44+BF45+BF46</f>
        <v>-16398.0921896267</v>
      </c>
      <c r="BG47" s="68" t="n">
        <f aca="false">BG38+BG39+BG40+BG41+BG42+BG43+BG44+BG45+BG46</f>
        <v>-16398.0921896267</v>
      </c>
      <c r="BH47" s="68" t="n">
        <f aca="false">BH38+BH39+BH40+BH41+BH42+BH43+BH44+BH45+BH46</f>
        <v>-16398.0921896267</v>
      </c>
      <c r="BI47" s="68" t="n">
        <f aca="false">BI38+BI39+BI40+BI41+BI42+BI43+BI44+BI45+BI46</f>
        <v>-16398.0921896267</v>
      </c>
      <c r="BJ47" s="68" t="n">
        <f aca="false">BJ38+BJ39+BJ40+BJ41+BJ42+BJ43+BJ44+BJ45+BJ46</f>
        <v>-16079.8906613067</v>
      </c>
    </row>
    <row r="48" customFormat="false" ht="15" hidden="false" customHeight="false" outlineLevel="0" collapsed="false">
      <c r="A48" s="113" t="s">
        <v>48</v>
      </c>
      <c r="C48" s="68" t="n">
        <f aca="false">C35+C47</f>
        <v>-11218.6937266667</v>
      </c>
      <c r="D48" s="68" t="n">
        <f aca="false">D35+D47</f>
        <v>-10616.7786755556</v>
      </c>
      <c r="E48" s="68" t="n">
        <f aca="false">E35+E47</f>
        <v>-8290.59125111111</v>
      </c>
      <c r="F48" s="68" t="n">
        <f aca="false">F35+F47</f>
        <v>-7397.08585333333</v>
      </c>
      <c r="G48" s="68" t="n">
        <f aca="false">G35+G47</f>
        <v>-6503.58045555556</v>
      </c>
      <c r="H48" s="68" t="n">
        <f aca="false">H35+H47</f>
        <v>-5610.07505777778</v>
      </c>
      <c r="I48" s="68" t="n">
        <f aca="false">I35+I47</f>
        <v>-4716.56966</v>
      </c>
      <c r="J48" s="68" t="n">
        <f aca="false">J35+J47</f>
        <v>-3823.06426222222</v>
      </c>
      <c r="K48" s="68" t="n">
        <f aca="false">K35+K47</f>
        <v>-2929.55886444444</v>
      </c>
      <c r="L48" s="68" t="n">
        <f aca="false">L35+L47</f>
        <v>-2036.05346666667</v>
      </c>
      <c r="M48" s="68" t="n">
        <f aca="false">M35+M47</f>
        <v>-2036.05346666667</v>
      </c>
      <c r="N48" s="68" t="n">
        <f aca="false">N35+N47</f>
        <v>-5801.45826666667</v>
      </c>
      <c r="O48" s="68" t="n">
        <f aca="false">O35+O47</f>
        <v>-6089.23609866667</v>
      </c>
      <c r="P48" s="68" t="n">
        <f aca="false">P35+P47</f>
        <v>-6089.23609866667</v>
      </c>
      <c r="Q48" s="68" t="n">
        <f aca="false">Q35+Q47</f>
        <v>-2259.26720266667</v>
      </c>
      <c r="R48" s="68" t="n">
        <f aca="false">R35+R47</f>
        <v>-2259.26720266667</v>
      </c>
      <c r="S48" s="68" t="n">
        <f aca="false">S35+S47</f>
        <v>-2259.26720266667</v>
      </c>
      <c r="T48" s="68" t="n">
        <f aca="false">T35+T47</f>
        <v>-2259.26720266667</v>
      </c>
      <c r="U48" s="68" t="n">
        <f aca="false">U35+U47</f>
        <v>-2259.26720266667</v>
      </c>
      <c r="V48" s="68" t="n">
        <f aca="false">V35+V47</f>
        <v>-2259.26720266667</v>
      </c>
      <c r="W48" s="68" t="n">
        <f aca="false">W35+W47</f>
        <v>-2259.26720266667</v>
      </c>
      <c r="X48" s="68" t="n">
        <f aca="false">X35+X47</f>
        <v>-2259.26720266667</v>
      </c>
      <c r="Y48" s="68" t="n">
        <f aca="false">Y35+Y47</f>
        <v>-2259.26720266667</v>
      </c>
      <c r="Z48" s="68" t="n">
        <f aca="false">Z35+Z47</f>
        <v>-6089.23609866667</v>
      </c>
      <c r="AA48" s="68" t="n">
        <f aca="false">AA35+AA47</f>
        <v>-6389.29196730667</v>
      </c>
      <c r="AB48" s="68" t="n">
        <f aca="false">AB35+AB47</f>
        <v>-6389.29196730667</v>
      </c>
      <c r="AC48" s="68" t="n">
        <f aca="false">AC35+AC47</f>
        <v>-2493.89745338666</v>
      </c>
      <c r="AD48" s="68" t="n">
        <f aca="false">AD35+AD47</f>
        <v>-2493.89745338666</v>
      </c>
      <c r="AE48" s="68" t="n">
        <f aca="false">AE35+AE47</f>
        <v>-2493.89745338666</v>
      </c>
      <c r="AF48" s="68" t="n">
        <f aca="false">AF35+AF47</f>
        <v>-2493.89745338666</v>
      </c>
      <c r="AG48" s="68" t="n">
        <f aca="false">AG35+AG47</f>
        <v>-2493.89745338666</v>
      </c>
      <c r="AH48" s="68" t="n">
        <f aca="false">AH35+AH47</f>
        <v>-2493.89745338666</v>
      </c>
      <c r="AI48" s="68" t="n">
        <f aca="false">AI35+AI47</f>
        <v>-2493.89745338666</v>
      </c>
      <c r="AJ48" s="68" t="n">
        <f aca="false">AJ35+AJ47</f>
        <v>-2493.89745338666</v>
      </c>
      <c r="AK48" s="68" t="n">
        <f aca="false">AK35+AK47</f>
        <v>-2493.89745338666</v>
      </c>
      <c r="AL48" s="68" t="n">
        <f aca="false">AL35+AL47</f>
        <v>-6389.29196730667</v>
      </c>
      <c r="AM48" s="68" t="n">
        <f aca="false">AM35+AM47</f>
        <v>-6702.10270851946</v>
      </c>
      <c r="AN48" s="68" t="n">
        <f aca="false">AN35+AN47</f>
        <v>-6702.10270851946</v>
      </c>
      <c r="AO48" s="68" t="n">
        <f aca="false">AO35+AO47</f>
        <v>-2740.42101472106</v>
      </c>
      <c r="AP48" s="68" t="n">
        <f aca="false">AP35+AP47</f>
        <v>-2740.42101472106</v>
      </c>
      <c r="AQ48" s="68" t="n">
        <f aca="false">AQ35+AQ47</f>
        <v>-2740.42101472106</v>
      </c>
      <c r="AR48" s="68" t="n">
        <f aca="false">AR35+AR47</f>
        <v>-2740.42101472106</v>
      </c>
      <c r="AS48" s="68" t="n">
        <f aca="false">AS35+AS47</f>
        <v>-2740.42101472106</v>
      </c>
      <c r="AT48" s="68" t="n">
        <f aca="false">AT35+AT47</f>
        <v>-2740.42101472106</v>
      </c>
      <c r="AU48" s="68" t="n">
        <f aca="false">AU35+AU47</f>
        <v>-2740.42101472106</v>
      </c>
      <c r="AV48" s="68" t="n">
        <f aca="false">AV35+AV47</f>
        <v>-2740.42101472106</v>
      </c>
      <c r="AW48" s="68" t="n">
        <f aca="false">AW35+AW47</f>
        <v>-2740.42101472106</v>
      </c>
      <c r="AX48" s="68" t="n">
        <f aca="false">AX35+AX47</f>
        <v>-6702.10270851946</v>
      </c>
      <c r="AY48" s="68" t="n">
        <f aca="false">AY35+AY47</f>
        <v>-7028.16305724453</v>
      </c>
      <c r="AZ48" s="68" t="n">
        <f aca="false">AZ35+AZ47</f>
        <v>-7028.16305724453</v>
      </c>
      <c r="BA48" s="68" t="n">
        <f aca="false">BA35+BA47</f>
        <v>-2999.33326838616</v>
      </c>
      <c r="BB48" s="68" t="n">
        <f aca="false">BB35+BB47</f>
        <v>-2999.33326838616</v>
      </c>
      <c r="BC48" s="68" t="n">
        <f aca="false">BC35+BC47</f>
        <v>-2999.33326838616</v>
      </c>
      <c r="BD48" s="68" t="n">
        <f aca="false">BD35+BD47</f>
        <v>-2999.33326838616</v>
      </c>
      <c r="BE48" s="68" t="n">
        <f aca="false">BE35+BE47</f>
        <v>-2999.33326838616</v>
      </c>
      <c r="BF48" s="68" t="n">
        <f aca="false">BF35+BF47</f>
        <v>-2999.33326838616</v>
      </c>
      <c r="BG48" s="68" t="n">
        <f aca="false">BG35+BG47</f>
        <v>-2999.33326838616</v>
      </c>
      <c r="BH48" s="68" t="n">
        <f aca="false">BH35+BH47</f>
        <v>-2999.33326838616</v>
      </c>
      <c r="BI48" s="68" t="n">
        <f aca="false">BI35+BI47</f>
        <v>-2999.33326838616</v>
      </c>
      <c r="BJ48" s="68" t="n">
        <f aca="false">BJ35+BJ47</f>
        <v>-7028.16305724453</v>
      </c>
    </row>
    <row r="50" customFormat="false" ht="15.75" hidden="false" customHeight="true" outlineLevel="0" collapsed="false">
      <c r="A50" s="7" t="s">
        <v>428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</row>
    <row r="51" customFormat="false" ht="15" hidden="false" customHeight="false" outlineLevel="0" collapsed="false">
      <c r="A51" s="4" t="s">
        <v>79</v>
      </c>
      <c r="C51" s="73" t="n">
        <f aca="false">C48+C66</f>
        <v>-12861.5508695238</v>
      </c>
      <c r="D51" s="73" t="n">
        <f aca="false">D48+D66</f>
        <v>-12259.6358184127</v>
      </c>
      <c r="E51" s="73" t="n">
        <f aca="false">E48+E66</f>
        <v>-9933.44839396826</v>
      </c>
      <c r="F51" s="73" t="n">
        <f aca="false">F48+F66</f>
        <v>-9039.94299619048</v>
      </c>
      <c r="G51" s="73" t="n">
        <f aca="false">G48+G66</f>
        <v>-8146.4375984127</v>
      </c>
      <c r="H51" s="73" t="n">
        <f aca="false">H48+H66</f>
        <v>-7252.93220063492</v>
      </c>
      <c r="I51" s="73" t="n">
        <f aca="false">I48+I66</f>
        <v>-6359.42680285714</v>
      </c>
      <c r="J51" s="73" t="n">
        <f aca="false">J48+J66</f>
        <v>-5465.92140507936</v>
      </c>
      <c r="K51" s="73" t="n">
        <f aca="false">K48+K66</f>
        <v>-4572.41600730159</v>
      </c>
      <c r="L51" s="73" t="n">
        <f aca="false">L48+L66</f>
        <v>-3678.91060952381</v>
      </c>
      <c r="M51" s="73" t="n">
        <f aca="false">M48+M66</f>
        <v>-3678.91060952381</v>
      </c>
      <c r="N51" s="73" t="n">
        <f aca="false">N48+N66</f>
        <v>-7444.31540952381</v>
      </c>
      <c r="O51" s="73" t="n">
        <f aca="false">O48+O66</f>
        <v>-7761.85514628572</v>
      </c>
      <c r="P51" s="73" t="n">
        <f aca="false">P48+P66</f>
        <v>-7761.85514628572</v>
      </c>
      <c r="Q51" s="73" t="n">
        <f aca="false">Q48+Q66</f>
        <v>-3931.88625028572</v>
      </c>
      <c r="R51" s="73" t="n">
        <f aca="false">R48+R66</f>
        <v>-3931.88625028572</v>
      </c>
      <c r="S51" s="73" t="n">
        <f aca="false">S48+S66</f>
        <v>-3931.88625028572</v>
      </c>
      <c r="T51" s="73" t="n">
        <f aca="false">T48+T66</f>
        <v>-3931.88625028572</v>
      </c>
      <c r="U51" s="73" t="n">
        <f aca="false">U48+U66</f>
        <v>-3931.88625028572</v>
      </c>
      <c r="V51" s="73" t="n">
        <f aca="false">V48+V66</f>
        <v>-3931.88625028572</v>
      </c>
      <c r="W51" s="73" t="n">
        <f aca="false">W48+W66</f>
        <v>-3931.88625028572</v>
      </c>
      <c r="X51" s="73" t="n">
        <f aca="false">X48+X66</f>
        <v>-3931.88625028572</v>
      </c>
      <c r="Y51" s="73" t="n">
        <f aca="false">Y48+Y66</f>
        <v>-3931.88625028572</v>
      </c>
      <c r="Z51" s="73" t="n">
        <f aca="false">Z48+Z66</f>
        <v>-7761.85514628572</v>
      </c>
      <c r="AA51" s="73" t="n">
        <f aca="false">AA48+AA66</f>
        <v>-8091.67291968762</v>
      </c>
      <c r="AB51" s="73" t="n">
        <f aca="false">AB48+AB66</f>
        <v>-8091.67291968762</v>
      </c>
      <c r="AC51" s="73" t="n">
        <f aca="false">AC48+AC66</f>
        <v>-4196.27840576761</v>
      </c>
      <c r="AD51" s="73" t="n">
        <f aca="false">AD48+AD66</f>
        <v>-4196.27840576761</v>
      </c>
      <c r="AE51" s="73" t="n">
        <f aca="false">AE48+AE66</f>
        <v>-4196.27840576761</v>
      </c>
      <c r="AF51" s="73" t="n">
        <f aca="false">AF48+AF66</f>
        <v>-4196.27840576761</v>
      </c>
      <c r="AG51" s="73" t="n">
        <f aca="false">AG48+AG66</f>
        <v>-4196.27840576761</v>
      </c>
      <c r="AH51" s="73" t="n">
        <f aca="false">AH48+AH66</f>
        <v>-4196.27840576761</v>
      </c>
      <c r="AI51" s="73" t="n">
        <f aca="false">AI48+AI66</f>
        <v>-4196.27840576761</v>
      </c>
      <c r="AJ51" s="73" t="n">
        <f aca="false">AJ48+AJ66</f>
        <v>-4196.27840576761</v>
      </c>
      <c r="AK51" s="73" t="n">
        <f aca="false">AK48+AK66</f>
        <v>-4196.27840576761</v>
      </c>
      <c r="AL51" s="73" t="n">
        <f aca="false">AL48+AL66</f>
        <v>-8091.67291968762</v>
      </c>
      <c r="AM51" s="73" t="n">
        <f aca="false">AM48+AM66</f>
        <v>-8434.24556566232</v>
      </c>
      <c r="AN51" s="73" t="n">
        <f aca="false">AN48+AN66</f>
        <v>-8434.24556566232</v>
      </c>
      <c r="AO51" s="73" t="n">
        <f aca="false">AO48+AO66</f>
        <v>-4472.56387186392</v>
      </c>
      <c r="AP51" s="73" t="n">
        <f aca="false">AP48+AP66</f>
        <v>-4472.56387186392</v>
      </c>
      <c r="AQ51" s="73" t="n">
        <f aca="false">AQ48+AQ66</f>
        <v>-4472.56387186392</v>
      </c>
      <c r="AR51" s="73" t="n">
        <f aca="false">AR48+AR66</f>
        <v>-4472.56387186392</v>
      </c>
      <c r="AS51" s="73" t="n">
        <f aca="false">AS48+AS66</f>
        <v>-4472.56387186392</v>
      </c>
      <c r="AT51" s="73" t="n">
        <f aca="false">AT48+AT66</f>
        <v>-4472.56387186392</v>
      </c>
      <c r="AU51" s="73" t="n">
        <f aca="false">AU48+AU66</f>
        <v>-4472.56387186392</v>
      </c>
      <c r="AV51" s="73" t="n">
        <f aca="false">AV48+AV66</f>
        <v>-4472.56387186392</v>
      </c>
      <c r="AW51" s="73" t="n">
        <f aca="false">AW48+AW66</f>
        <v>-4472.56387186392</v>
      </c>
      <c r="AX51" s="73" t="n">
        <f aca="false">AX48+AX66</f>
        <v>-8434.24556566232</v>
      </c>
      <c r="AY51" s="73" t="n">
        <f aca="false">AY48+AY66</f>
        <v>-8790.06781914929</v>
      </c>
      <c r="AZ51" s="73" t="n">
        <f aca="false">AZ48+AZ66</f>
        <v>-8790.06781914929</v>
      </c>
      <c r="BA51" s="73" t="n">
        <f aca="false">BA48+BA66</f>
        <v>-4761.23803029092</v>
      </c>
      <c r="BB51" s="73" t="n">
        <f aca="false">BB48+BB66</f>
        <v>-4761.23803029092</v>
      </c>
      <c r="BC51" s="73" t="n">
        <f aca="false">BC48+BC66</f>
        <v>-4761.23803029092</v>
      </c>
      <c r="BD51" s="73" t="n">
        <f aca="false">BD48+BD66</f>
        <v>-4761.23803029092</v>
      </c>
      <c r="BE51" s="73" t="n">
        <f aca="false">BE48+BE66</f>
        <v>-4761.23803029092</v>
      </c>
      <c r="BF51" s="73" t="n">
        <f aca="false">BF48+BF66</f>
        <v>-4761.23803029092</v>
      </c>
      <c r="BG51" s="73" t="n">
        <f aca="false">BG48+BG66</f>
        <v>-4761.23803029092</v>
      </c>
      <c r="BH51" s="73" t="n">
        <f aca="false">BH48+BH66</f>
        <v>-4761.23803029092</v>
      </c>
      <c r="BI51" s="73" t="n">
        <f aca="false">BI48+BI66</f>
        <v>-4761.23803029092</v>
      </c>
      <c r="BJ51" s="73" t="n">
        <f aca="false">BJ48+BJ66</f>
        <v>-8790.06781914929</v>
      </c>
    </row>
    <row r="52" customFormat="false" ht="15" hidden="false" customHeight="false" outlineLevel="0" collapsed="false">
      <c r="A52" s="6" t="s">
        <v>429</v>
      </c>
      <c r="C52" s="67" t="n">
        <f aca="false">-(C71+C72+C74)/2*Inputs!$B$73/12</f>
        <v>-675</v>
      </c>
      <c r="D52" s="67" t="n">
        <f aca="false">-(D71+D72+D74)/2*Inputs!$B$73/12</f>
        <v>-669.375</v>
      </c>
      <c r="E52" s="67" t="n">
        <f aca="false">-(E71+E72+E74)/2*Inputs!$B$73/12</f>
        <v>-658.125</v>
      </c>
      <c r="F52" s="67" t="n">
        <f aca="false">-(F71+F72+F74)/2*Inputs!$B$73/12</f>
        <v>-646.875</v>
      </c>
      <c r="G52" s="67" t="n">
        <f aca="false">-(G71+G72+G74)/2*Inputs!$B$73/12</f>
        <v>-635.625</v>
      </c>
      <c r="H52" s="67" t="n">
        <f aca="false">-(H71+H72+H74)/2*Inputs!$B$73/12</f>
        <v>-624.375</v>
      </c>
      <c r="I52" s="67" t="n">
        <f aca="false">-(I71+I72+I74)/2*Inputs!$B$73/12</f>
        <v>-613.125</v>
      </c>
      <c r="J52" s="67" t="n">
        <f aca="false">-(J71+J72+J74)/2*Inputs!$B$73/12</f>
        <v>-601.875</v>
      </c>
      <c r="K52" s="67" t="n">
        <f aca="false">-(K71+K72+K74)/2*Inputs!$B$73/12</f>
        <v>-590.625</v>
      </c>
      <c r="L52" s="67" t="n">
        <f aca="false">-(L71+L72+L74)/2*Inputs!$B$73/12</f>
        <v>-579.375</v>
      </c>
      <c r="M52" s="67" t="n">
        <f aca="false">-(M71+M72+M74)/2*Inputs!$B$73/12</f>
        <v>-568.125</v>
      </c>
      <c r="N52" s="67" t="n">
        <f aca="false">-(N71+N72+N74)/2*Inputs!$B$73/12</f>
        <v>-556.875</v>
      </c>
      <c r="O52" s="67" t="n">
        <f aca="false">-(O71+O72+O74)/2*Inputs!$B$73/12</f>
        <v>-545.625</v>
      </c>
      <c r="P52" s="67" t="n">
        <f aca="false">-(P71+P72+P74)/2*Inputs!$B$73/12</f>
        <v>-534.375</v>
      </c>
      <c r="Q52" s="67" t="n">
        <f aca="false">-(Q71+Q72+Q74)/2*Inputs!$B$73/12</f>
        <v>-523.125</v>
      </c>
      <c r="R52" s="67" t="n">
        <f aca="false">-(R71+R72+R74)/2*Inputs!$B$73/12</f>
        <v>-511.875</v>
      </c>
      <c r="S52" s="67" t="n">
        <f aca="false">-(S71+S72+S74)/2*Inputs!$B$73/12</f>
        <v>-500.625</v>
      </c>
      <c r="T52" s="67" t="n">
        <f aca="false">-(T71+T72+T74)/2*Inputs!$B$73/12</f>
        <v>-489.375</v>
      </c>
      <c r="U52" s="67" t="n">
        <f aca="false">-(U71+U72+U74)/2*Inputs!$B$73/12</f>
        <v>-478.125</v>
      </c>
      <c r="V52" s="67" t="n">
        <f aca="false">-(V71+V72+V74)/2*Inputs!$B$73/12</f>
        <v>-466.875</v>
      </c>
      <c r="W52" s="67" t="n">
        <f aca="false">-(W71+W72+W74)/2*Inputs!$B$73/12</f>
        <v>-455.625</v>
      </c>
      <c r="X52" s="67" t="n">
        <f aca="false">-(X71+X72+X74)/2*Inputs!$B$73/12</f>
        <v>-444.375</v>
      </c>
      <c r="Y52" s="67" t="n">
        <f aca="false">-(Y71+Y72+Y74)/2*Inputs!$B$73/12</f>
        <v>-433.125</v>
      </c>
      <c r="Z52" s="67" t="n">
        <f aca="false">-(Z71+Z72+Z74)/2*Inputs!$B$73/12</f>
        <v>-421.875</v>
      </c>
      <c r="AA52" s="67" t="n">
        <f aca="false">-(AA71+AA72+AA74)/2*Inputs!$B$73/12</f>
        <v>-410.625</v>
      </c>
      <c r="AB52" s="67" t="n">
        <f aca="false">-(AB71+AB72+AB74)/2*Inputs!$B$73/12</f>
        <v>-399.375</v>
      </c>
      <c r="AC52" s="67" t="n">
        <f aca="false">-(AC71+AC72+AC74)/2*Inputs!$B$73/12</f>
        <v>-388.125</v>
      </c>
      <c r="AD52" s="67" t="n">
        <f aca="false">-(AD71+AD72+AD74)/2*Inputs!$B$73/12</f>
        <v>-376.875</v>
      </c>
      <c r="AE52" s="67" t="n">
        <f aca="false">-(AE71+AE72+AE74)/2*Inputs!$B$73/12</f>
        <v>-365.625</v>
      </c>
      <c r="AF52" s="67" t="n">
        <f aca="false">-(AF71+AF72+AF74)/2*Inputs!$B$73/12</f>
        <v>-354.375</v>
      </c>
      <c r="AG52" s="67" t="n">
        <f aca="false">-(AG71+AG72+AG74)/2*Inputs!$B$73/12</f>
        <v>-343.125</v>
      </c>
      <c r="AH52" s="67" t="n">
        <f aca="false">-(AH71+AH72+AH74)/2*Inputs!$B$73/12</f>
        <v>-331.875</v>
      </c>
      <c r="AI52" s="67" t="n">
        <f aca="false">-(AI71+AI72+AI74)/2*Inputs!$B$73/12</f>
        <v>-320.625</v>
      </c>
      <c r="AJ52" s="67" t="n">
        <f aca="false">-(AJ71+AJ72+AJ74)/2*Inputs!$B$73/12</f>
        <v>-309.375</v>
      </c>
      <c r="AK52" s="67" t="n">
        <f aca="false">-(AK71+AK72+AK74)/2*Inputs!$B$73/12</f>
        <v>-298.125</v>
      </c>
      <c r="AL52" s="67" t="n">
        <f aca="false">-(AL71+AL72+AL74)/2*Inputs!$B$73/12</f>
        <v>-286.875</v>
      </c>
      <c r="AM52" s="67" t="n">
        <f aca="false">-(AM71+AM72+AM74)/2*Inputs!$B$73/12</f>
        <v>-275.625</v>
      </c>
      <c r="AN52" s="67" t="n">
        <f aca="false">-(AN71+AN72+AN74)/2*Inputs!$B$73/12</f>
        <v>-264.375</v>
      </c>
      <c r="AO52" s="67" t="n">
        <f aca="false">-(AO71+AO72+AO74)/2*Inputs!$B$73/12</f>
        <v>-253.125</v>
      </c>
      <c r="AP52" s="67" t="n">
        <f aca="false">-(AP71+AP72+AP74)/2*Inputs!$B$73/12</f>
        <v>-241.875</v>
      </c>
      <c r="AQ52" s="67" t="n">
        <f aca="false">-(AQ71+AQ72+AQ74)/2*Inputs!$B$73/12</f>
        <v>-230.625</v>
      </c>
      <c r="AR52" s="67" t="n">
        <f aca="false">-(AR71+AR72+AR74)/2*Inputs!$B$73/12</f>
        <v>-219.375</v>
      </c>
      <c r="AS52" s="67" t="n">
        <f aca="false">-(AS71+AS72+AS74)/2*Inputs!$B$73/12</f>
        <v>-208.125</v>
      </c>
      <c r="AT52" s="67" t="n">
        <f aca="false">-(AT71+AT72+AT74)/2*Inputs!$B$73/12</f>
        <v>-196.875</v>
      </c>
      <c r="AU52" s="67" t="n">
        <f aca="false">-(AU71+AU72+AU74)/2*Inputs!$B$73/12</f>
        <v>-185.625</v>
      </c>
      <c r="AV52" s="67" t="n">
        <f aca="false">-(AV71+AV72+AV74)/2*Inputs!$B$73/12</f>
        <v>-174.375</v>
      </c>
      <c r="AW52" s="67" t="n">
        <f aca="false">-(AW71+AW72+AW74)/2*Inputs!$B$73/12</f>
        <v>-163.125</v>
      </c>
      <c r="AX52" s="67" t="n">
        <f aca="false">-(AX71+AX72+AX74)/2*Inputs!$B$73/12</f>
        <v>-151.875</v>
      </c>
      <c r="AY52" s="67" t="n">
        <f aca="false">-(AY71+AY72+AY74)/2*Inputs!$B$73/12</f>
        <v>-140.625</v>
      </c>
      <c r="AZ52" s="67" t="n">
        <f aca="false">-(AZ71+AZ72+AZ74)/2*Inputs!$B$73/12</f>
        <v>-129.375</v>
      </c>
      <c r="BA52" s="67" t="n">
        <f aca="false">-(BA71+BA72+BA74)/2*Inputs!$B$73/12</f>
        <v>-118.125</v>
      </c>
      <c r="BB52" s="67" t="n">
        <f aca="false">-(BB71+BB72+BB74)/2*Inputs!$B$73/12</f>
        <v>-106.875</v>
      </c>
      <c r="BC52" s="67" t="n">
        <f aca="false">-(BC71+BC72+BC74)/2*Inputs!$B$73/12</f>
        <v>-95.625</v>
      </c>
      <c r="BD52" s="67" t="n">
        <f aca="false">-(BD71+BD72+BD74)/2*Inputs!$B$73/12</f>
        <v>-84.375</v>
      </c>
      <c r="BE52" s="67" t="n">
        <f aca="false">-(BE71+BE72+BE74)/2*Inputs!$B$73/12</f>
        <v>-73.125</v>
      </c>
      <c r="BF52" s="67" t="n">
        <f aca="false">-(BF71+BF72+BF74)/2*Inputs!$B$73/12</f>
        <v>-61.875</v>
      </c>
      <c r="BG52" s="67" t="n">
        <f aca="false">-(BG71+BG72+BG74)/2*Inputs!$B$73/12</f>
        <v>-50.625</v>
      </c>
      <c r="BH52" s="67" t="n">
        <f aca="false">-(BH71+BH72+BH74)/2*Inputs!$B$73/12</f>
        <v>-39.375</v>
      </c>
      <c r="BI52" s="67" t="n">
        <f aca="false">-(BI71+BI72+BI74)/2*Inputs!$B$73/12</f>
        <v>-28.125</v>
      </c>
      <c r="BJ52" s="67" t="n">
        <f aca="false">-(BJ71+BJ72+BJ74)/2*Inputs!$B$73/12</f>
        <v>-16.875</v>
      </c>
    </row>
    <row r="53" customFormat="false" ht="15" hidden="false" customHeight="false" outlineLevel="0" collapsed="false">
      <c r="A53" s="113" t="s">
        <v>81</v>
      </c>
      <c r="C53" s="68" t="n">
        <f aca="false">C51+C52</f>
        <v>-13536.5508695238</v>
      </c>
      <c r="D53" s="68" t="n">
        <f aca="false">D51+D52</f>
        <v>-12929.0108184127</v>
      </c>
      <c r="E53" s="68" t="n">
        <f aca="false">E51+E52</f>
        <v>-10591.5733939683</v>
      </c>
      <c r="F53" s="68" t="n">
        <f aca="false">F51+F52</f>
        <v>-9686.81799619048</v>
      </c>
      <c r="G53" s="68" t="n">
        <f aca="false">G51+G52</f>
        <v>-8782.0625984127</v>
      </c>
      <c r="H53" s="68" t="n">
        <f aca="false">H51+H52</f>
        <v>-7877.30720063492</v>
      </c>
      <c r="I53" s="68" t="n">
        <f aca="false">I51+I52</f>
        <v>-6972.55180285714</v>
      </c>
      <c r="J53" s="68" t="n">
        <f aca="false">J51+J52</f>
        <v>-6067.79640507936</v>
      </c>
      <c r="K53" s="68" t="n">
        <f aca="false">K51+K52</f>
        <v>-5163.04100730159</v>
      </c>
      <c r="L53" s="68" t="n">
        <f aca="false">L51+L52</f>
        <v>-4258.28560952381</v>
      </c>
      <c r="M53" s="68" t="n">
        <f aca="false">M51+M52</f>
        <v>-4247.03560952381</v>
      </c>
      <c r="N53" s="68" t="n">
        <f aca="false">N51+N52</f>
        <v>-8001.19040952381</v>
      </c>
      <c r="O53" s="68" t="n">
        <f aca="false">O51+O52</f>
        <v>-8307.48014628572</v>
      </c>
      <c r="P53" s="68" t="n">
        <f aca="false">P51+P52</f>
        <v>-8296.23014628572</v>
      </c>
      <c r="Q53" s="68" t="n">
        <f aca="false">Q51+Q52</f>
        <v>-4455.01125028572</v>
      </c>
      <c r="R53" s="68" t="n">
        <f aca="false">R51+R52</f>
        <v>-4443.76125028572</v>
      </c>
      <c r="S53" s="68" t="n">
        <f aca="false">S51+S52</f>
        <v>-4432.51125028572</v>
      </c>
      <c r="T53" s="68" t="n">
        <f aca="false">T51+T52</f>
        <v>-4421.26125028572</v>
      </c>
      <c r="U53" s="68" t="n">
        <f aca="false">U51+U52</f>
        <v>-4410.01125028572</v>
      </c>
      <c r="V53" s="68" t="n">
        <f aca="false">V51+V52</f>
        <v>-4398.76125028572</v>
      </c>
      <c r="W53" s="68" t="n">
        <f aca="false">W51+W52</f>
        <v>-4387.51125028572</v>
      </c>
      <c r="X53" s="68" t="n">
        <f aca="false">X51+X52</f>
        <v>-4376.26125028572</v>
      </c>
      <c r="Y53" s="68" t="n">
        <f aca="false">Y51+Y52</f>
        <v>-4365.01125028572</v>
      </c>
      <c r="Z53" s="68" t="n">
        <f aca="false">Z51+Z52</f>
        <v>-8183.73014628572</v>
      </c>
      <c r="AA53" s="68" t="n">
        <f aca="false">AA51+AA52</f>
        <v>-8502.29791968762</v>
      </c>
      <c r="AB53" s="68" t="n">
        <f aca="false">AB51+AB52</f>
        <v>-8491.04791968762</v>
      </c>
      <c r="AC53" s="68" t="n">
        <f aca="false">AC51+AC52</f>
        <v>-4584.40340576761</v>
      </c>
      <c r="AD53" s="68" t="n">
        <f aca="false">AD51+AD52</f>
        <v>-4573.15340576761</v>
      </c>
      <c r="AE53" s="68" t="n">
        <f aca="false">AE51+AE52</f>
        <v>-4561.90340576761</v>
      </c>
      <c r="AF53" s="68" t="n">
        <f aca="false">AF51+AF52</f>
        <v>-4550.65340576761</v>
      </c>
      <c r="AG53" s="68" t="n">
        <f aca="false">AG51+AG52</f>
        <v>-4539.40340576761</v>
      </c>
      <c r="AH53" s="68" t="n">
        <f aca="false">AH51+AH52</f>
        <v>-4528.15340576761</v>
      </c>
      <c r="AI53" s="68" t="n">
        <f aca="false">AI51+AI52</f>
        <v>-4516.90340576761</v>
      </c>
      <c r="AJ53" s="68" t="n">
        <f aca="false">AJ51+AJ52</f>
        <v>-4505.65340576761</v>
      </c>
      <c r="AK53" s="68" t="n">
        <f aca="false">AK51+AK52</f>
        <v>-4494.40340576761</v>
      </c>
      <c r="AL53" s="68" t="n">
        <f aca="false">AL51+AL52</f>
        <v>-8378.54791968762</v>
      </c>
      <c r="AM53" s="68" t="n">
        <f aca="false">AM51+AM52</f>
        <v>-8709.87056566232</v>
      </c>
      <c r="AN53" s="68" t="n">
        <f aca="false">AN51+AN52</f>
        <v>-8698.62056566232</v>
      </c>
      <c r="AO53" s="68" t="n">
        <f aca="false">AO51+AO52</f>
        <v>-4725.68887186392</v>
      </c>
      <c r="AP53" s="68" t="n">
        <f aca="false">AP51+AP52</f>
        <v>-4714.43887186392</v>
      </c>
      <c r="AQ53" s="68" t="n">
        <f aca="false">AQ51+AQ52</f>
        <v>-4703.18887186392</v>
      </c>
      <c r="AR53" s="68" t="n">
        <f aca="false">AR51+AR52</f>
        <v>-4691.93887186392</v>
      </c>
      <c r="AS53" s="68" t="n">
        <f aca="false">AS51+AS52</f>
        <v>-4680.68887186392</v>
      </c>
      <c r="AT53" s="68" t="n">
        <f aca="false">AT51+AT52</f>
        <v>-4669.43887186392</v>
      </c>
      <c r="AU53" s="68" t="n">
        <f aca="false">AU51+AU52</f>
        <v>-4658.18887186392</v>
      </c>
      <c r="AV53" s="68" t="n">
        <f aca="false">AV51+AV52</f>
        <v>-4646.93887186392</v>
      </c>
      <c r="AW53" s="68" t="n">
        <f aca="false">AW51+AW52</f>
        <v>-4635.68887186392</v>
      </c>
      <c r="AX53" s="68" t="n">
        <f aca="false">AX51+AX52</f>
        <v>-8586.12056566232</v>
      </c>
      <c r="AY53" s="68" t="n">
        <f aca="false">AY51+AY52</f>
        <v>-8930.69281914929</v>
      </c>
      <c r="AZ53" s="68" t="n">
        <f aca="false">AZ51+AZ52</f>
        <v>-8919.44281914929</v>
      </c>
      <c r="BA53" s="68" t="n">
        <f aca="false">BA51+BA52</f>
        <v>-4879.36303029092</v>
      </c>
      <c r="BB53" s="68" t="n">
        <f aca="false">BB51+BB52</f>
        <v>-4868.11303029092</v>
      </c>
      <c r="BC53" s="68" t="n">
        <f aca="false">BC51+BC52</f>
        <v>-4856.86303029092</v>
      </c>
      <c r="BD53" s="68" t="n">
        <f aca="false">BD51+BD52</f>
        <v>-4845.61303029092</v>
      </c>
      <c r="BE53" s="68" t="n">
        <f aca="false">BE51+BE52</f>
        <v>-4834.36303029092</v>
      </c>
      <c r="BF53" s="68" t="n">
        <f aca="false">BF51+BF52</f>
        <v>-4823.11303029092</v>
      </c>
      <c r="BG53" s="68" t="n">
        <f aca="false">BG51+BG52</f>
        <v>-4811.86303029092</v>
      </c>
      <c r="BH53" s="68" t="n">
        <f aca="false">BH51+BH52</f>
        <v>-4800.61303029092</v>
      </c>
      <c r="BI53" s="68" t="n">
        <f aca="false">BI51+BI52</f>
        <v>-4789.36303029092</v>
      </c>
      <c r="BJ53" s="68" t="n">
        <f aca="false">BJ51+BJ52</f>
        <v>-8806.94281914929</v>
      </c>
    </row>
    <row r="54" customFormat="false" ht="15" hidden="false" customHeight="false" outlineLevel="0" collapsed="false">
      <c r="A54" s="117" t="s">
        <v>430</v>
      </c>
      <c r="C54" s="67" t="n">
        <f aca="false">C53</f>
        <v>-13536.5508695238</v>
      </c>
      <c r="D54" s="67" t="n">
        <f aca="false">C54+D53</f>
        <v>-26465.5616879365</v>
      </c>
      <c r="E54" s="67" t="n">
        <f aca="false">D54+E53</f>
        <v>-37057.1350819048</v>
      </c>
      <c r="F54" s="67" t="n">
        <f aca="false">E54+F53</f>
        <v>-46743.9530780952</v>
      </c>
      <c r="G54" s="67" t="n">
        <f aca="false">F54+G53</f>
        <v>-55526.0156765079</v>
      </c>
      <c r="H54" s="67" t="n">
        <f aca="false">G54+H53</f>
        <v>-63403.3228771429</v>
      </c>
      <c r="I54" s="67" t="n">
        <f aca="false">H54+I53</f>
        <v>-70375.87468</v>
      </c>
      <c r="J54" s="67" t="n">
        <f aca="false">I54+J53</f>
        <v>-76443.6710850794</v>
      </c>
      <c r="K54" s="67" t="n">
        <f aca="false">J54+K53</f>
        <v>-81606.712092381</v>
      </c>
      <c r="L54" s="67" t="n">
        <f aca="false">K54+L53</f>
        <v>-85864.9977019048</v>
      </c>
      <c r="M54" s="67" t="n">
        <f aca="false">L54+M53</f>
        <v>-90112.0333114286</v>
      </c>
      <c r="N54" s="67" t="n">
        <f aca="false">M54+N53</f>
        <v>-98113.2237209524</v>
      </c>
      <c r="O54" s="67" t="n">
        <f aca="false">N54+O53</f>
        <v>-106420.703867238</v>
      </c>
      <c r="P54" s="67" t="n">
        <f aca="false">O54+P53</f>
        <v>-114716.934013524</v>
      </c>
      <c r="Q54" s="67" t="n">
        <f aca="false">P54+Q53</f>
        <v>-119171.94526381</v>
      </c>
      <c r="R54" s="67" t="n">
        <f aca="false">Q54+R53</f>
        <v>-123615.706514095</v>
      </c>
      <c r="S54" s="67" t="n">
        <f aca="false">R54+S53</f>
        <v>-128048.217764381</v>
      </c>
      <c r="T54" s="67" t="n">
        <f aca="false">S54+T53</f>
        <v>-132469.479014667</v>
      </c>
      <c r="U54" s="67" t="n">
        <f aca="false">T54+U53</f>
        <v>-136879.490264952</v>
      </c>
      <c r="V54" s="67" t="n">
        <f aca="false">U54+V53</f>
        <v>-141278.251515238</v>
      </c>
      <c r="W54" s="67" t="n">
        <f aca="false">V54+W53</f>
        <v>-145665.762765524</v>
      </c>
      <c r="X54" s="67" t="n">
        <f aca="false">W54+X53</f>
        <v>-150042.02401581</v>
      </c>
      <c r="Y54" s="67" t="n">
        <f aca="false">X54+Y53</f>
        <v>-154407.035266095</v>
      </c>
      <c r="Z54" s="67" t="n">
        <f aca="false">Y54+Z53</f>
        <v>-162590.765412381</v>
      </c>
      <c r="AA54" s="67" t="n">
        <f aca="false">Z54+AA53</f>
        <v>-171093.063332069</v>
      </c>
      <c r="AB54" s="67" t="n">
        <f aca="false">AA54+AB53</f>
        <v>-179584.111251756</v>
      </c>
      <c r="AC54" s="67" t="n">
        <f aca="false">AB54+AC53</f>
        <v>-184168.514657524</v>
      </c>
      <c r="AD54" s="67" t="n">
        <f aca="false">AC54+AD53</f>
        <v>-188741.668063291</v>
      </c>
      <c r="AE54" s="67" t="n">
        <f aca="false">AD54+AE53</f>
        <v>-193303.571469059</v>
      </c>
      <c r="AF54" s="67" t="n">
        <f aca="false">AE54+AF53</f>
        <v>-197854.224874827</v>
      </c>
      <c r="AG54" s="67" t="n">
        <f aca="false">AF54+AG53</f>
        <v>-202393.628280594</v>
      </c>
      <c r="AH54" s="67" t="n">
        <f aca="false">AG54+AH53</f>
        <v>-206921.781686362</v>
      </c>
      <c r="AI54" s="67" t="n">
        <f aca="false">AH54+AI53</f>
        <v>-211438.685092129</v>
      </c>
      <c r="AJ54" s="67" t="n">
        <f aca="false">AI54+AJ53</f>
        <v>-215944.338497897</v>
      </c>
      <c r="AK54" s="67" t="n">
        <f aca="false">AJ54+AK53</f>
        <v>-220438.741903665</v>
      </c>
      <c r="AL54" s="67" t="n">
        <f aca="false">AK54+AL53</f>
        <v>-228817.289823352</v>
      </c>
      <c r="AM54" s="67" t="n">
        <f aca="false">AL54+AM53</f>
        <v>-237527.160389015</v>
      </c>
      <c r="AN54" s="67" t="n">
        <f aca="false">AM54+AN53</f>
        <v>-246225.780954677</v>
      </c>
      <c r="AO54" s="67" t="n">
        <f aca="false">AN54+AO53</f>
        <v>-250951.469826541</v>
      </c>
      <c r="AP54" s="67" t="n">
        <f aca="false">AO54+AP53</f>
        <v>-255665.908698405</v>
      </c>
      <c r="AQ54" s="67" t="n">
        <f aca="false">AP54+AQ53</f>
        <v>-260369.097570269</v>
      </c>
      <c r="AR54" s="67" t="n">
        <f aca="false">AQ54+AR53</f>
        <v>-265061.036442133</v>
      </c>
      <c r="AS54" s="67" t="n">
        <f aca="false">AR54+AS53</f>
        <v>-269741.725313997</v>
      </c>
      <c r="AT54" s="67" t="n">
        <f aca="false">AS54+AT53</f>
        <v>-274411.164185861</v>
      </c>
      <c r="AU54" s="67" t="n">
        <f aca="false">AT54+AU53</f>
        <v>-279069.353057724</v>
      </c>
      <c r="AV54" s="67" t="n">
        <f aca="false">AU54+AV53</f>
        <v>-283716.291929588</v>
      </c>
      <c r="AW54" s="67" t="n">
        <f aca="false">AV54+AW53</f>
        <v>-288351.980801452</v>
      </c>
      <c r="AX54" s="67" t="n">
        <f aca="false">AW54+AX53</f>
        <v>-296938.101367115</v>
      </c>
      <c r="AY54" s="67" t="n">
        <f aca="false">AX54+AY53</f>
        <v>-305868.794186264</v>
      </c>
      <c r="AZ54" s="67" t="n">
        <f aca="false">AY54+AZ53</f>
        <v>-314788.237005413</v>
      </c>
      <c r="BA54" s="67" t="n">
        <f aca="false">AZ54+BA53</f>
        <v>-319667.600035704</v>
      </c>
      <c r="BB54" s="67" t="n">
        <f aca="false">BA54+BB53</f>
        <v>-324535.713065995</v>
      </c>
      <c r="BC54" s="67" t="n">
        <f aca="false">BB54+BC53</f>
        <v>-329392.576096286</v>
      </c>
      <c r="BD54" s="67" t="n">
        <f aca="false">BC54+BD53</f>
        <v>-334238.189126577</v>
      </c>
      <c r="BE54" s="67" t="n">
        <f aca="false">BD54+BE53</f>
        <v>-339072.552156868</v>
      </c>
      <c r="BF54" s="67" t="n">
        <f aca="false">BE54+BF53</f>
        <v>-343895.665187159</v>
      </c>
      <c r="BG54" s="67" t="n">
        <f aca="false">BF54+BG53</f>
        <v>-348707.52821745</v>
      </c>
      <c r="BH54" s="67" t="n">
        <f aca="false">BG54+BH53</f>
        <v>-353508.141247741</v>
      </c>
      <c r="BI54" s="67" t="n">
        <f aca="false">BH54+BI53</f>
        <v>-358297.504278032</v>
      </c>
      <c r="BJ54" s="67" t="n">
        <f aca="false">BI54+BJ53</f>
        <v>-367104.447097181</v>
      </c>
    </row>
    <row r="55" customFormat="false" ht="15" hidden="false" customHeight="false" outlineLevel="0" collapsed="false">
      <c r="A55" s="117" t="s">
        <v>431</v>
      </c>
      <c r="C55" s="67" t="n">
        <f aca="false">MAX(0,C54)</f>
        <v>0</v>
      </c>
      <c r="D55" s="67" t="n">
        <f aca="false">MAX(C55,D54)</f>
        <v>0</v>
      </c>
      <c r="E55" s="67" t="n">
        <f aca="false">MAX(D55,E54)</f>
        <v>0</v>
      </c>
      <c r="F55" s="67" t="n">
        <f aca="false">MAX(E55,F54)</f>
        <v>0</v>
      </c>
      <c r="G55" s="67" t="n">
        <f aca="false">MAX(F55,G54)</f>
        <v>0</v>
      </c>
      <c r="H55" s="67" t="n">
        <f aca="false">MAX(G55,H54)</f>
        <v>0</v>
      </c>
      <c r="I55" s="67" t="n">
        <f aca="false">MAX(H55,I54)</f>
        <v>0</v>
      </c>
      <c r="J55" s="67" t="n">
        <f aca="false">MAX(I55,J54)</f>
        <v>0</v>
      </c>
      <c r="K55" s="67" t="n">
        <f aca="false">MAX(J55,K54)</f>
        <v>0</v>
      </c>
      <c r="L55" s="67" t="n">
        <f aca="false">MAX(K55,L54)</f>
        <v>0</v>
      </c>
      <c r="M55" s="67" t="n">
        <f aca="false">MAX(L55,M54)</f>
        <v>0</v>
      </c>
      <c r="N55" s="67" t="n">
        <f aca="false">MAX(M55,N54)</f>
        <v>0</v>
      </c>
      <c r="O55" s="67" t="n">
        <f aca="false">MAX(N55,O54)</f>
        <v>0</v>
      </c>
      <c r="P55" s="67" t="n">
        <f aca="false">MAX(O55,P54)</f>
        <v>0</v>
      </c>
      <c r="Q55" s="67" t="n">
        <f aca="false">MAX(P55,Q54)</f>
        <v>0</v>
      </c>
      <c r="R55" s="67" t="n">
        <f aca="false">MAX(Q55,R54)</f>
        <v>0</v>
      </c>
      <c r="S55" s="67" t="n">
        <f aca="false">MAX(R55,S54)</f>
        <v>0</v>
      </c>
      <c r="T55" s="67" t="n">
        <f aca="false">MAX(S55,T54)</f>
        <v>0</v>
      </c>
      <c r="U55" s="67" t="n">
        <f aca="false">MAX(T55,U54)</f>
        <v>0</v>
      </c>
      <c r="V55" s="67" t="n">
        <f aca="false">MAX(U55,V54)</f>
        <v>0</v>
      </c>
      <c r="W55" s="67" t="n">
        <f aca="false">MAX(V55,W54)</f>
        <v>0</v>
      </c>
      <c r="X55" s="67" t="n">
        <f aca="false">MAX(W55,X54)</f>
        <v>0</v>
      </c>
      <c r="Y55" s="67" t="n">
        <f aca="false">MAX(X55,Y54)</f>
        <v>0</v>
      </c>
      <c r="Z55" s="67" t="n">
        <f aca="false">MAX(Y55,Z54)</f>
        <v>0</v>
      </c>
      <c r="AA55" s="67" t="n">
        <f aca="false">MAX(Z55,AA54)</f>
        <v>0</v>
      </c>
      <c r="AB55" s="67" t="n">
        <f aca="false">MAX(AA55,AB54)</f>
        <v>0</v>
      </c>
      <c r="AC55" s="67" t="n">
        <f aca="false">MAX(AB55,AC54)</f>
        <v>0</v>
      </c>
      <c r="AD55" s="67" t="n">
        <f aca="false">MAX(AC55,AD54)</f>
        <v>0</v>
      </c>
      <c r="AE55" s="67" t="n">
        <f aca="false">MAX(AD55,AE54)</f>
        <v>0</v>
      </c>
      <c r="AF55" s="67" t="n">
        <f aca="false">MAX(AE55,AF54)</f>
        <v>0</v>
      </c>
      <c r="AG55" s="67" t="n">
        <f aca="false">MAX(AF55,AG54)</f>
        <v>0</v>
      </c>
      <c r="AH55" s="67" t="n">
        <f aca="false">MAX(AG55,AH54)</f>
        <v>0</v>
      </c>
      <c r="AI55" s="67" t="n">
        <f aca="false">MAX(AH55,AI54)</f>
        <v>0</v>
      </c>
      <c r="AJ55" s="67" t="n">
        <f aca="false">MAX(AI55,AJ54)</f>
        <v>0</v>
      </c>
      <c r="AK55" s="67" t="n">
        <f aca="false">MAX(AJ55,AK54)</f>
        <v>0</v>
      </c>
      <c r="AL55" s="67" t="n">
        <f aca="false">MAX(AK55,AL54)</f>
        <v>0</v>
      </c>
      <c r="AM55" s="67" t="n">
        <f aca="false">MAX(AL55,AM54)</f>
        <v>0</v>
      </c>
      <c r="AN55" s="67" t="n">
        <f aca="false">MAX(AM55,AN54)</f>
        <v>0</v>
      </c>
      <c r="AO55" s="67" t="n">
        <f aca="false">MAX(AN55,AO54)</f>
        <v>0</v>
      </c>
      <c r="AP55" s="67" t="n">
        <f aca="false">MAX(AO55,AP54)</f>
        <v>0</v>
      </c>
      <c r="AQ55" s="67" t="n">
        <f aca="false">MAX(AP55,AQ54)</f>
        <v>0</v>
      </c>
      <c r="AR55" s="67" t="n">
        <f aca="false">MAX(AQ55,AR54)</f>
        <v>0</v>
      </c>
      <c r="AS55" s="67" t="n">
        <f aca="false">MAX(AR55,AS54)</f>
        <v>0</v>
      </c>
      <c r="AT55" s="67" t="n">
        <f aca="false">MAX(AS55,AT54)</f>
        <v>0</v>
      </c>
      <c r="AU55" s="67" t="n">
        <f aca="false">MAX(AT55,AU54)</f>
        <v>0</v>
      </c>
      <c r="AV55" s="67" t="n">
        <f aca="false">MAX(AU55,AV54)</f>
        <v>0</v>
      </c>
      <c r="AW55" s="67" t="n">
        <f aca="false">MAX(AV55,AW54)</f>
        <v>0</v>
      </c>
      <c r="AX55" s="67" t="n">
        <f aca="false">MAX(AW55,AX54)</f>
        <v>0</v>
      </c>
      <c r="AY55" s="67" t="n">
        <f aca="false">MAX(AX55,AY54)</f>
        <v>0</v>
      </c>
      <c r="AZ55" s="67" t="n">
        <f aca="false">MAX(AY55,AZ54)</f>
        <v>0</v>
      </c>
      <c r="BA55" s="67" t="n">
        <f aca="false">MAX(AZ55,BA54)</f>
        <v>0</v>
      </c>
      <c r="BB55" s="67" t="n">
        <f aca="false">MAX(BA55,BB54)</f>
        <v>0</v>
      </c>
      <c r="BC55" s="67" t="n">
        <f aca="false">MAX(BB55,BC54)</f>
        <v>0</v>
      </c>
      <c r="BD55" s="67" t="n">
        <f aca="false">MAX(BC55,BD54)</f>
        <v>0</v>
      </c>
      <c r="BE55" s="67" t="n">
        <f aca="false">MAX(BD55,BE54)</f>
        <v>0</v>
      </c>
      <c r="BF55" s="67" t="n">
        <f aca="false">MAX(BE55,BF54)</f>
        <v>0</v>
      </c>
      <c r="BG55" s="67" t="n">
        <f aca="false">MAX(BF55,BG54)</f>
        <v>0</v>
      </c>
      <c r="BH55" s="67" t="n">
        <f aca="false">MAX(BG55,BH54)</f>
        <v>0</v>
      </c>
      <c r="BI55" s="67" t="n">
        <f aca="false">MAX(BH55,BI54)</f>
        <v>0</v>
      </c>
      <c r="BJ55" s="67" t="n">
        <f aca="false">MAX(BI55,BJ54)</f>
        <v>0</v>
      </c>
    </row>
    <row r="56" customFormat="false" ht="15" hidden="false" customHeight="false" outlineLevel="0" collapsed="false">
      <c r="A56" s="6" t="s">
        <v>82</v>
      </c>
      <c r="C56" s="67" t="n">
        <f aca="false">-C55*Inputs!$B$83</f>
        <v>-0</v>
      </c>
      <c r="D56" s="67" t="n">
        <f aca="false">-(D55-C55)*Inputs!$B$83</f>
        <v>-0</v>
      </c>
      <c r="E56" s="67" t="n">
        <f aca="false">-(E55-D55)*Inputs!$B$83</f>
        <v>-0</v>
      </c>
      <c r="F56" s="67" t="n">
        <f aca="false">-(F55-E55)*Inputs!$B$83</f>
        <v>-0</v>
      </c>
      <c r="G56" s="67" t="n">
        <f aca="false">-(G55-F55)*Inputs!$B$83</f>
        <v>-0</v>
      </c>
      <c r="H56" s="67" t="n">
        <f aca="false">-(H55-G55)*Inputs!$B$83</f>
        <v>-0</v>
      </c>
      <c r="I56" s="67" t="n">
        <f aca="false">-(I55-H55)*Inputs!$B$83</f>
        <v>-0</v>
      </c>
      <c r="J56" s="67" t="n">
        <f aca="false">-(J55-I55)*Inputs!$B$83</f>
        <v>-0</v>
      </c>
      <c r="K56" s="67" t="n">
        <f aca="false">-(K55-J55)*Inputs!$B$83</f>
        <v>-0</v>
      </c>
      <c r="L56" s="67" t="n">
        <f aca="false">-(L55-K55)*Inputs!$B$83</f>
        <v>-0</v>
      </c>
      <c r="M56" s="67" t="n">
        <f aca="false">-(M55-L55)*Inputs!$B$83</f>
        <v>-0</v>
      </c>
      <c r="N56" s="67" t="n">
        <f aca="false">-(N55-M55)*Inputs!$B$83</f>
        <v>-0</v>
      </c>
      <c r="O56" s="67" t="n">
        <f aca="false">-(O55-N55)*Inputs!$B$83</f>
        <v>-0</v>
      </c>
      <c r="P56" s="67" t="n">
        <f aca="false">-(P55-O55)*Inputs!$B$83</f>
        <v>-0</v>
      </c>
      <c r="Q56" s="67" t="n">
        <f aca="false">-(Q55-P55)*Inputs!$B$83</f>
        <v>-0</v>
      </c>
      <c r="R56" s="67" t="n">
        <f aca="false">-(R55-Q55)*Inputs!$B$83</f>
        <v>-0</v>
      </c>
      <c r="S56" s="67" t="n">
        <f aca="false">-(S55-R55)*Inputs!$B$83</f>
        <v>-0</v>
      </c>
      <c r="T56" s="67" t="n">
        <f aca="false">-(T55-S55)*Inputs!$B$83</f>
        <v>-0</v>
      </c>
      <c r="U56" s="67" t="n">
        <f aca="false">-(U55-T55)*Inputs!$B$83</f>
        <v>-0</v>
      </c>
      <c r="V56" s="67" t="n">
        <f aca="false">-(V55-U55)*Inputs!$B$83</f>
        <v>-0</v>
      </c>
      <c r="W56" s="67" t="n">
        <f aca="false">-(W55-V55)*Inputs!$B$83</f>
        <v>-0</v>
      </c>
      <c r="X56" s="67" t="n">
        <f aca="false">-(X55-W55)*Inputs!$B$83</f>
        <v>-0</v>
      </c>
      <c r="Y56" s="67" t="n">
        <f aca="false">-(Y55-X55)*Inputs!$B$83</f>
        <v>-0</v>
      </c>
      <c r="Z56" s="67" t="n">
        <f aca="false">-(Z55-Y55)*Inputs!$B$83</f>
        <v>-0</v>
      </c>
      <c r="AA56" s="67" t="n">
        <f aca="false">-(AA55-Z55)*Inputs!$B$83</f>
        <v>-0</v>
      </c>
      <c r="AB56" s="67" t="n">
        <f aca="false">-(AB55-AA55)*Inputs!$B$83</f>
        <v>-0</v>
      </c>
      <c r="AC56" s="67" t="n">
        <f aca="false">-(AC55-AB55)*Inputs!$B$83</f>
        <v>-0</v>
      </c>
      <c r="AD56" s="67" t="n">
        <f aca="false">-(AD55-AC55)*Inputs!$B$83</f>
        <v>-0</v>
      </c>
      <c r="AE56" s="67" t="n">
        <f aca="false">-(AE55-AD55)*Inputs!$B$83</f>
        <v>-0</v>
      </c>
      <c r="AF56" s="67" t="n">
        <f aca="false">-(AF55-AE55)*Inputs!$B$83</f>
        <v>-0</v>
      </c>
      <c r="AG56" s="67" t="n">
        <f aca="false">-(AG55-AF55)*Inputs!$B$83</f>
        <v>-0</v>
      </c>
      <c r="AH56" s="67" t="n">
        <f aca="false">-(AH55-AG55)*Inputs!$B$83</f>
        <v>-0</v>
      </c>
      <c r="AI56" s="67" t="n">
        <f aca="false">-(AI55-AH55)*Inputs!$B$83</f>
        <v>-0</v>
      </c>
      <c r="AJ56" s="67" t="n">
        <f aca="false">-(AJ55-AI55)*Inputs!$B$83</f>
        <v>-0</v>
      </c>
      <c r="AK56" s="67" t="n">
        <f aca="false">-(AK55-AJ55)*Inputs!$B$83</f>
        <v>-0</v>
      </c>
      <c r="AL56" s="67" t="n">
        <f aca="false">-(AL55-AK55)*Inputs!$B$83</f>
        <v>-0</v>
      </c>
      <c r="AM56" s="67" t="n">
        <f aca="false">-(AM55-AL55)*Inputs!$B$83</f>
        <v>-0</v>
      </c>
      <c r="AN56" s="67" t="n">
        <f aca="false">-(AN55-AM55)*Inputs!$B$83</f>
        <v>-0</v>
      </c>
      <c r="AO56" s="67" t="n">
        <f aca="false">-(AO55-AN55)*Inputs!$B$83</f>
        <v>-0</v>
      </c>
      <c r="AP56" s="67" t="n">
        <f aca="false">-(AP55-AO55)*Inputs!$B$83</f>
        <v>-0</v>
      </c>
      <c r="AQ56" s="67" t="n">
        <f aca="false">-(AQ55-AP55)*Inputs!$B$83</f>
        <v>-0</v>
      </c>
      <c r="AR56" s="67" t="n">
        <f aca="false">-(AR55-AQ55)*Inputs!$B$83</f>
        <v>-0</v>
      </c>
      <c r="AS56" s="67" t="n">
        <f aca="false">-(AS55-AR55)*Inputs!$B$83</f>
        <v>-0</v>
      </c>
      <c r="AT56" s="67" t="n">
        <f aca="false">-(AT55-AS55)*Inputs!$B$83</f>
        <v>-0</v>
      </c>
      <c r="AU56" s="67" t="n">
        <f aca="false">-(AU55-AT55)*Inputs!$B$83</f>
        <v>-0</v>
      </c>
      <c r="AV56" s="67" t="n">
        <f aca="false">-(AV55-AU55)*Inputs!$B$83</f>
        <v>-0</v>
      </c>
      <c r="AW56" s="67" t="n">
        <f aca="false">-(AW55-AV55)*Inputs!$B$83</f>
        <v>-0</v>
      </c>
      <c r="AX56" s="67" t="n">
        <f aca="false">-(AX55-AW55)*Inputs!$B$83</f>
        <v>-0</v>
      </c>
      <c r="AY56" s="67" t="n">
        <f aca="false">-(AY55-AX55)*Inputs!$B$83</f>
        <v>-0</v>
      </c>
      <c r="AZ56" s="67" t="n">
        <f aca="false">-(AZ55-AY55)*Inputs!$B$83</f>
        <v>-0</v>
      </c>
      <c r="BA56" s="67" t="n">
        <f aca="false">-(BA55-AZ55)*Inputs!$B$83</f>
        <v>-0</v>
      </c>
      <c r="BB56" s="67" t="n">
        <f aca="false">-(BB55-BA55)*Inputs!$B$83</f>
        <v>-0</v>
      </c>
      <c r="BC56" s="67" t="n">
        <f aca="false">-(BC55-BB55)*Inputs!$B$83</f>
        <v>-0</v>
      </c>
      <c r="BD56" s="67" t="n">
        <f aca="false">-(BD55-BC55)*Inputs!$B$83</f>
        <v>-0</v>
      </c>
      <c r="BE56" s="67" t="n">
        <f aca="false">-(BE55-BD55)*Inputs!$B$83</f>
        <v>-0</v>
      </c>
      <c r="BF56" s="67" t="n">
        <f aca="false">-(BF55-BE55)*Inputs!$B$83</f>
        <v>-0</v>
      </c>
      <c r="BG56" s="67" t="n">
        <f aca="false">-(BG55-BF55)*Inputs!$B$83</f>
        <v>-0</v>
      </c>
      <c r="BH56" s="67" t="n">
        <f aca="false">-(BH55-BG55)*Inputs!$B$83</f>
        <v>-0</v>
      </c>
      <c r="BI56" s="67" t="n">
        <f aca="false">-(BI55-BH55)*Inputs!$B$83</f>
        <v>-0</v>
      </c>
      <c r="BJ56" s="67" t="n">
        <f aca="false">-(BJ55-BI55)*Inputs!$B$83</f>
        <v>-0</v>
      </c>
    </row>
    <row r="57" customFormat="false" ht="15" hidden="false" customHeight="false" outlineLevel="0" collapsed="false">
      <c r="A57" s="113" t="s">
        <v>50</v>
      </c>
      <c r="C57" s="68" t="n">
        <f aca="false">C53+C56</f>
        <v>-13536.5508695238</v>
      </c>
      <c r="D57" s="68" t="n">
        <f aca="false">D53+D56</f>
        <v>-12929.0108184127</v>
      </c>
      <c r="E57" s="68" t="n">
        <f aca="false">E53+E56</f>
        <v>-10591.5733939683</v>
      </c>
      <c r="F57" s="68" t="n">
        <f aca="false">F53+F56</f>
        <v>-9686.81799619048</v>
      </c>
      <c r="G57" s="68" t="n">
        <f aca="false">G53+G56</f>
        <v>-8782.0625984127</v>
      </c>
      <c r="H57" s="68" t="n">
        <f aca="false">H53+H56</f>
        <v>-7877.30720063492</v>
      </c>
      <c r="I57" s="68" t="n">
        <f aca="false">I53+I56</f>
        <v>-6972.55180285714</v>
      </c>
      <c r="J57" s="68" t="n">
        <f aca="false">J53+J56</f>
        <v>-6067.79640507936</v>
      </c>
      <c r="K57" s="68" t="n">
        <f aca="false">K53+K56</f>
        <v>-5163.04100730159</v>
      </c>
      <c r="L57" s="68" t="n">
        <f aca="false">L53+L56</f>
        <v>-4258.28560952381</v>
      </c>
      <c r="M57" s="68" t="n">
        <f aca="false">M53+M56</f>
        <v>-4247.03560952381</v>
      </c>
      <c r="N57" s="68" t="n">
        <f aca="false">N53+N56</f>
        <v>-8001.19040952381</v>
      </c>
      <c r="O57" s="68" t="n">
        <f aca="false">O53+O56</f>
        <v>-8307.48014628572</v>
      </c>
      <c r="P57" s="68" t="n">
        <f aca="false">P53+P56</f>
        <v>-8296.23014628572</v>
      </c>
      <c r="Q57" s="68" t="n">
        <f aca="false">Q53+Q56</f>
        <v>-4455.01125028572</v>
      </c>
      <c r="R57" s="68" t="n">
        <f aca="false">R53+R56</f>
        <v>-4443.76125028572</v>
      </c>
      <c r="S57" s="68" t="n">
        <f aca="false">S53+S56</f>
        <v>-4432.51125028572</v>
      </c>
      <c r="T57" s="68" t="n">
        <f aca="false">T53+T56</f>
        <v>-4421.26125028572</v>
      </c>
      <c r="U57" s="68" t="n">
        <f aca="false">U53+U56</f>
        <v>-4410.01125028572</v>
      </c>
      <c r="V57" s="68" t="n">
        <f aca="false">V53+V56</f>
        <v>-4398.76125028572</v>
      </c>
      <c r="W57" s="68" t="n">
        <f aca="false">W53+W56</f>
        <v>-4387.51125028572</v>
      </c>
      <c r="X57" s="68" t="n">
        <f aca="false">X53+X56</f>
        <v>-4376.26125028572</v>
      </c>
      <c r="Y57" s="68" t="n">
        <f aca="false">Y53+Y56</f>
        <v>-4365.01125028572</v>
      </c>
      <c r="Z57" s="68" t="n">
        <f aca="false">Z53+Z56</f>
        <v>-8183.73014628572</v>
      </c>
      <c r="AA57" s="68" t="n">
        <f aca="false">AA53+AA56</f>
        <v>-8502.29791968762</v>
      </c>
      <c r="AB57" s="68" t="n">
        <f aca="false">AB53+AB56</f>
        <v>-8491.04791968762</v>
      </c>
      <c r="AC57" s="68" t="n">
        <f aca="false">AC53+AC56</f>
        <v>-4584.40340576761</v>
      </c>
      <c r="AD57" s="68" t="n">
        <f aca="false">AD53+AD56</f>
        <v>-4573.15340576761</v>
      </c>
      <c r="AE57" s="68" t="n">
        <f aca="false">AE53+AE56</f>
        <v>-4561.90340576761</v>
      </c>
      <c r="AF57" s="68" t="n">
        <f aca="false">AF53+AF56</f>
        <v>-4550.65340576761</v>
      </c>
      <c r="AG57" s="68" t="n">
        <f aca="false">AG53+AG56</f>
        <v>-4539.40340576761</v>
      </c>
      <c r="AH57" s="68" t="n">
        <f aca="false">AH53+AH56</f>
        <v>-4528.15340576761</v>
      </c>
      <c r="AI57" s="68" t="n">
        <f aca="false">AI53+AI56</f>
        <v>-4516.90340576761</v>
      </c>
      <c r="AJ57" s="68" t="n">
        <f aca="false">AJ53+AJ56</f>
        <v>-4505.65340576761</v>
      </c>
      <c r="AK57" s="68" t="n">
        <f aca="false">AK53+AK56</f>
        <v>-4494.40340576761</v>
      </c>
      <c r="AL57" s="68" t="n">
        <f aca="false">AL53+AL56</f>
        <v>-8378.54791968762</v>
      </c>
      <c r="AM57" s="68" t="n">
        <f aca="false">AM53+AM56</f>
        <v>-8709.87056566232</v>
      </c>
      <c r="AN57" s="68" t="n">
        <f aca="false">AN53+AN56</f>
        <v>-8698.62056566232</v>
      </c>
      <c r="AO57" s="68" t="n">
        <f aca="false">AO53+AO56</f>
        <v>-4725.68887186392</v>
      </c>
      <c r="AP57" s="68" t="n">
        <f aca="false">AP53+AP56</f>
        <v>-4714.43887186392</v>
      </c>
      <c r="AQ57" s="68" t="n">
        <f aca="false">AQ53+AQ56</f>
        <v>-4703.18887186392</v>
      </c>
      <c r="AR57" s="68" t="n">
        <f aca="false">AR53+AR56</f>
        <v>-4691.93887186392</v>
      </c>
      <c r="AS57" s="68" t="n">
        <f aca="false">AS53+AS56</f>
        <v>-4680.68887186392</v>
      </c>
      <c r="AT57" s="68" t="n">
        <f aca="false">AT53+AT56</f>
        <v>-4669.43887186392</v>
      </c>
      <c r="AU57" s="68" t="n">
        <f aca="false">AU53+AU56</f>
        <v>-4658.18887186392</v>
      </c>
      <c r="AV57" s="68" t="n">
        <f aca="false">AV53+AV56</f>
        <v>-4646.93887186392</v>
      </c>
      <c r="AW57" s="68" t="n">
        <f aca="false">AW53+AW56</f>
        <v>-4635.68887186392</v>
      </c>
      <c r="AX57" s="68" t="n">
        <f aca="false">AX53+AX56</f>
        <v>-8586.12056566232</v>
      </c>
      <c r="AY57" s="68" t="n">
        <f aca="false">AY53+AY56</f>
        <v>-8930.69281914929</v>
      </c>
      <c r="AZ57" s="68" t="n">
        <f aca="false">AZ53+AZ56</f>
        <v>-8919.44281914929</v>
      </c>
      <c r="BA57" s="68" t="n">
        <f aca="false">BA53+BA56</f>
        <v>-4879.36303029092</v>
      </c>
      <c r="BB57" s="68" t="n">
        <f aca="false">BB53+BB56</f>
        <v>-4868.11303029092</v>
      </c>
      <c r="BC57" s="68" t="n">
        <f aca="false">BC53+BC56</f>
        <v>-4856.86303029092</v>
      </c>
      <c r="BD57" s="68" t="n">
        <f aca="false">BD53+BD56</f>
        <v>-4845.61303029092</v>
      </c>
      <c r="BE57" s="68" t="n">
        <f aca="false">BE53+BE56</f>
        <v>-4834.36303029092</v>
      </c>
      <c r="BF57" s="68" t="n">
        <f aca="false">BF53+BF56</f>
        <v>-4823.11303029092</v>
      </c>
      <c r="BG57" s="68" t="n">
        <f aca="false">BG53+BG56</f>
        <v>-4811.86303029092</v>
      </c>
      <c r="BH57" s="68" t="n">
        <f aca="false">BH53+BH56</f>
        <v>-4800.61303029092</v>
      </c>
      <c r="BI57" s="68" t="n">
        <f aca="false">BI53+BI56</f>
        <v>-4789.36303029092</v>
      </c>
      <c r="BJ57" s="68" t="n">
        <f aca="false">BJ53+BJ56</f>
        <v>-8806.94281914929</v>
      </c>
    </row>
    <row r="59" customFormat="false" ht="15.75" hidden="false" customHeight="true" outlineLevel="0" collapsed="false">
      <c r="A59" s="7" t="s">
        <v>432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 customFormat="false" ht="15" hidden="false" customHeight="false" outlineLevel="0" collapsed="false">
      <c r="A60" s="6" t="s">
        <v>433</v>
      </c>
      <c r="C60" s="67" t="n">
        <f aca="false">Inputs!$B$48*Inputs!$B$49</f>
        <v>95000</v>
      </c>
      <c r="D60" s="67" t="n">
        <f aca="false">IF(AND(D$7&gt;1,MOD(D$6-1,12)=0),Inputs!$B$8*Inputs!$B$49,0)</f>
        <v>0</v>
      </c>
      <c r="E60" s="67" t="n">
        <f aca="false">IF(AND(E$7&gt;1,MOD(E$6-1,12)=0),Inputs!$B$8*Inputs!$B$49,0)</f>
        <v>0</v>
      </c>
      <c r="F60" s="67" t="n">
        <f aca="false">IF(AND(F$7&gt;1,MOD(F$6-1,12)=0),Inputs!$B$8*Inputs!$B$49,0)</f>
        <v>0</v>
      </c>
      <c r="G60" s="67" t="n">
        <f aca="false">IF(AND(G$7&gt;1,MOD(G$6-1,12)=0),Inputs!$B$8*Inputs!$B$49,0)</f>
        <v>0</v>
      </c>
      <c r="H60" s="67" t="n">
        <f aca="false">IF(AND(H$7&gt;1,MOD(H$6-1,12)=0),Inputs!$B$8*Inputs!$B$49,0)</f>
        <v>0</v>
      </c>
      <c r="I60" s="67" t="n">
        <f aca="false">IF(AND(I$7&gt;1,MOD(I$6-1,12)=0),Inputs!$B$8*Inputs!$B$49,0)</f>
        <v>0</v>
      </c>
      <c r="J60" s="67" t="n">
        <f aca="false">IF(AND(J$7&gt;1,MOD(J$6-1,12)=0),Inputs!$B$8*Inputs!$B$49,0)</f>
        <v>0</v>
      </c>
      <c r="K60" s="67" t="n">
        <f aca="false">IF(AND(K$7&gt;1,MOD(K$6-1,12)=0),Inputs!$B$8*Inputs!$B$49,0)</f>
        <v>0</v>
      </c>
      <c r="L60" s="67" t="n">
        <f aca="false">IF(AND(L$7&gt;1,MOD(L$6-1,12)=0),Inputs!$B$8*Inputs!$B$49,0)</f>
        <v>0</v>
      </c>
      <c r="M60" s="67" t="n">
        <f aca="false">IF(AND(M$7&gt;1,MOD(M$6-1,12)=0),Inputs!$B$8*Inputs!$B$49,0)</f>
        <v>0</v>
      </c>
      <c r="N60" s="67" t="n">
        <f aca="false">IF(AND(N$7&gt;1,MOD(N$6-1,12)=0),Inputs!$B$8*Inputs!$B$49,0)</f>
        <v>0</v>
      </c>
      <c r="O60" s="67" t="n">
        <f aca="false">IF(AND(O$7&gt;1,MOD(O$6-1,12)=0),Inputs!$B$8*Inputs!$B$49,0)</f>
        <v>0</v>
      </c>
      <c r="P60" s="67" t="n">
        <f aca="false">IF(AND(P$7&gt;1,MOD(P$6-1,12)=0),Inputs!$B$8*Inputs!$B$49,0)</f>
        <v>0</v>
      </c>
      <c r="Q60" s="67" t="n">
        <f aca="false">IF(AND(Q$7&gt;1,MOD(Q$6-1,12)=0),Inputs!$B$8*Inputs!$B$49,0)</f>
        <v>0</v>
      </c>
      <c r="R60" s="67" t="n">
        <f aca="false">IF(AND(R$7&gt;1,MOD(R$6-1,12)=0),Inputs!$B$8*Inputs!$B$49,0)</f>
        <v>0</v>
      </c>
      <c r="S60" s="67" t="n">
        <f aca="false">IF(AND(S$7&gt;1,MOD(S$6-1,12)=0),Inputs!$B$8*Inputs!$B$49,0)</f>
        <v>0</v>
      </c>
      <c r="T60" s="67" t="n">
        <f aca="false">IF(AND(T$7&gt;1,MOD(T$6-1,12)=0),Inputs!$B$8*Inputs!$B$49,0)</f>
        <v>0</v>
      </c>
      <c r="U60" s="67" t="n">
        <f aca="false">IF(AND(U$7&gt;1,MOD(U$6-1,12)=0),Inputs!$B$8*Inputs!$B$49,0)</f>
        <v>0</v>
      </c>
      <c r="V60" s="67" t="n">
        <f aca="false">IF(AND(V$7&gt;1,MOD(V$6-1,12)=0),Inputs!$B$8*Inputs!$B$49,0)</f>
        <v>0</v>
      </c>
      <c r="W60" s="67" t="n">
        <f aca="false">IF(AND(W$7&gt;1,MOD(W$6-1,12)=0),Inputs!$B$8*Inputs!$B$49,0)</f>
        <v>0</v>
      </c>
      <c r="X60" s="67" t="n">
        <f aca="false">IF(AND(X$7&gt;1,MOD(X$6-1,12)=0),Inputs!$B$8*Inputs!$B$49,0)</f>
        <v>0</v>
      </c>
      <c r="Y60" s="67" t="n">
        <f aca="false">IF(AND(Y$7&gt;1,MOD(Y$6-1,12)=0),Inputs!$B$8*Inputs!$B$49,0)</f>
        <v>0</v>
      </c>
      <c r="Z60" s="67" t="n">
        <f aca="false">IF(AND(Z$7&gt;1,MOD(Z$6-1,12)=0),Inputs!$B$8*Inputs!$B$49,0)</f>
        <v>0</v>
      </c>
      <c r="AA60" s="67" t="n">
        <f aca="false">IF(AND(AA$7&gt;1,MOD(AA$6-1,12)=0),Inputs!$B$8*Inputs!$B$49,0)</f>
        <v>0</v>
      </c>
      <c r="AB60" s="67" t="n">
        <f aca="false">IF(AND(AB$7&gt;1,MOD(AB$6-1,12)=0),Inputs!$B$8*Inputs!$B$49,0)</f>
        <v>0</v>
      </c>
      <c r="AC60" s="67" t="n">
        <f aca="false">IF(AND(AC$7&gt;1,MOD(AC$6-1,12)=0),Inputs!$B$8*Inputs!$B$49,0)</f>
        <v>0</v>
      </c>
      <c r="AD60" s="67" t="n">
        <f aca="false">IF(AND(AD$7&gt;1,MOD(AD$6-1,12)=0),Inputs!$B$8*Inputs!$B$49,0)</f>
        <v>0</v>
      </c>
      <c r="AE60" s="67" t="n">
        <f aca="false">IF(AND(AE$7&gt;1,MOD(AE$6-1,12)=0),Inputs!$B$8*Inputs!$B$49,0)</f>
        <v>0</v>
      </c>
      <c r="AF60" s="67" t="n">
        <f aca="false">IF(AND(AF$7&gt;1,MOD(AF$6-1,12)=0),Inputs!$B$8*Inputs!$B$49,0)</f>
        <v>0</v>
      </c>
      <c r="AG60" s="67" t="n">
        <f aca="false">IF(AND(AG$7&gt;1,MOD(AG$6-1,12)=0),Inputs!$B$8*Inputs!$B$49,0)</f>
        <v>0</v>
      </c>
      <c r="AH60" s="67" t="n">
        <f aca="false">IF(AND(AH$7&gt;1,MOD(AH$6-1,12)=0),Inputs!$B$8*Inputs!$B$49,0)</f>
        <v>0</v>
      </c>
      <c r="AI60" s="67" t="n">
        <f aca="false">IF(AND(AI$7&gt;1,MOD(AI$6-1,12)=0),Inputs!$B$8*Inputs!$B$49,0)</f>
        <v>0</v>
      </c>
      <c r="AJ60" s="67" t="n">
        <f aca="false">IF(AND(AJ$7&gt;1,MOD(AJ$6-1,12)=0),Inputs!$B$8*Inputs!$B$49,0)</f>
        <v>0</v>
      </c>
      <c r="AK60" s="67" t="n">
        <f aca="false">IF(AND(AK$7&gt;1,MOD(AK$6-1,12)=0),Inputs!$B$8*Inputs!$B$49,0)</f>
        <v>0</v>
      </c>
      <c r="AL60" s="67" t="n">
        <f aca="false">IF(AND(AL$7&gt;1,MOD(AL$6-1,12)=0),Inputs!$B$8*Inputs!$B$49,0)</f>
        <v>0</v>
      </c>
      <c r="AM60" s="67" t="n">
        <f aca="false">IF(AND(AM$7&gt;1,MOD(AM$6-1,12)=0),Inputs!$B$8*Inputs!$B$49,0)</f>
        <v>0</v>
      </c>
      <c r="AN60" s="67" t="n">
        <f aca="false">IF(AND(AN$7&gt;1,MOD(AN$6-1,12)=0),Inputs!$B$8*Inputs!$B$49,0)</f>
        <v>0</v>
      </c>
      <c r="AO60" s="67" t="n">
        <f aca="false">IF(AND(AO$7&gt;1,MOD(AO$6-1,12)=0),Inputs!$B$8*Inputs!$B$49,0)</f>
        <v>0</v>
      </c>
      <c r="AP60" s="67" t="n">
        <f aca="false">IF(AND(AP$7&gt;1,MOD(AP$6-1,12)=0),Inputs!$B$8*Inputs!$B$49,0)</f>
        <v>0</v>
      </c>
      <c r="AQ60" s="67" t="n">
        <f aca="false">IF(AND(AQ$7&gt;1,MOD(AQ$6-1,12)=0),Inputs!$B$8*Inputs!$B$49,0)</f>
        <v>0</v>
      </c>
      <c r="AR60" s="67" t="n">
        <f aca="false">IF(AND(AR$7&gt;1,MOD(AR$6-1,12)=0),Inputs!$B$8*Inputs!$B$49,0)</f>
        <v>0</v>
      </c>
      <c r="AS60" s="67" t="n">
        <f aca="false">IF(AND(AS$7&gt;1,MOD(AS$6-1,12)=0),Inputs!$B$8*Inputs!$B$49,0)</f>
        <v>0</v>
      </c>
      <c r="AT60" s="67" t="n">
        <f aca="false">IF(AND(AT$7&gt;1,MOD(AT$6-1,12)=0),Inputs!$B$8*Inputs!$B$49,0)</f>
        <v>0</v>
      </c>
      <c r="AU60" s="67" t="n">
        <f aca="false">IF(AND(AU$7&gt;1,MOD(AU$6-1,12)=0),Inputs!$B$8*Inputs!$B$49,0)</f>
        <v>0</v>
      </c>
      <c r="AV60" s="67" t="n">
        <f aca="false">IF(AND(AV$7&gt;1,MOD(AV$6-1,12)=0),Inputs!$B$8*Inputs!$B$49,0)</f>
        <v>0</v>
      </c>
      <c r="AW60" s="67" t="n">
        <f aca="false">IF(AND(AW$7&gt;1,MOD(AW$6-1,12)=0),Inputs!$B$8*Inputs!$B$49,0)</f>
        <v>0</v>
      </c>
      <c r="AX60" s="67" t="n">
        <f aca="false">IF(AND(AX$7&gt;1,MOD(AX$6-1,12)=0),Inputs!$B$8*Inputs!$B$49,0)</f>
        <v>0</v>
      </c>
      <c r="AY60" s="67" t="n">
        <f aca="false">IF(AND(AY$7&gt;1,MOD(AY$6-1,12)=0),Inputs!$B$8*Inputs!$B$49,0)</f>
        <v>0</v>
      </c>
      <c r="AZ60" s="67" t="n">
        <f aca="false">IF(AND(AZ$7&gt;1,MOD(AZ$6-1,12)=0),Inputs!$B$8*Inputs!$B$49,0)</f>
        <v>0</v>
      </c>
      <c r="BA60" s="67" t="n">
        <f aca="false">IF(AND(BA$7&gt;1,MOD(BA$6-1,12)=0),Inputs!$B$8*Inputs!$B$49,0)</f>
        <v>0</v>
      </c>
      <c r="BB60" s="67" t="n">
        <f aca="false">IF(AND(BB$7&gt;1,MOD(BB$6-1,12)=0),Inputs!$B$8*Inputs!$B$49,0)</f>
        <v>0</v>
      </c>
      <c r="BC60" s="67" t="n">
        <f aca="false">IF(AND(BC$7&gt;1,MOD(BC$6-1,12)=0),Inputs!$B$8*Inputs!$B$49,0)</f>
        <v>0</v>
      </c>
      <c r="BD60" s="67" t="n">
        <f aca="false">IF(AND(BD$7&gt;1,MOD(BD$6-1,12)=0),Inputs!$B$8*Inputs!$B$49,0)</f>
        <v>0</v>
      </c>
      <c r="BE60" s="67" t="n">
        <f aca="false">IF(AND(BE$7&gt;1,MOD(BE$6-1,12)=0),Inputs!$B$8*Inputs!$B$49,0)</f>
        <v>0</v>
      </c>
      <c r="BF60" s="67" t="n">
        <f aca="false">IF(AND(BF$7&gt;1,MOD(BF$6-1,12)=0),Inputs!$B$8*Inputs!$B$49,0)</f>
        <v>0</v>
      </c>
      <c r="BG60" s="67" t="n">
        <f aca="false">IF(AND(BG$7&gt;1,MOD(BG$6-1,12)=0),Inputs!$B$8*Inputs!$B$49,0)</f>
        <v>0</v>
      </c>
      <c r="BH60" s="67" t="n">
        <f aca="false">IF(AND(BH$7&gt;1,MOD(BH$6-1,12)=0),Inputs!$B$8*Inputs!$B$49,0)</f>
        <v>0</v>
      </c>
      <c r="BI60" s="67" t="n">
        <f aca="false">IF(AND(BI$7&gt;1,MOD(BI$6-1,12)=0),Inputs!$B$8*Inputs!$B$49,0)</f>
        <v>0</v>
      </c>
      <c r="BJ60" s="67" t="n">
        <f aca="false">IF(AND(BJ$7&gt;1,MOD(BJ$6-1,12)=0),Inputs!$B$8*Inputs!$B$49,0)</f>
        <v>0</v>
      </c>
    </row>
    <row r="61" customFormat="false" ht="15" hidden="false" customHeight="false" outlineLevel="0" collapsed="false">
      <c r="A61" s="6" t="s">
        <v>434</v>
      </c>
      <c r="C61" s="67" t="n">
        <f aca="false">Inputs!$B$48*Inputs!$B$50</f>
        <v>40000</v>
      </c>
      <c r="D61" s="67" t="n">
        <f aca="false">IF(AND(D$7&gt;1,MOD(D$6-1,12)=0),Inputs!$B$8*Inputs!$B$50,0)</f>
        <v>0</v>
      </c>
      <c r="E61" s="67" t="n">
        <f aca="false">IF(AND(E$7&gt;1,MOD(E$6-1,12)=0),Inputs!$B$8*Inputs!$B$50,0)</f>
        <v>0</v>
      </c>
      <c r="F61" s="67" t="n">
        <f aca="false">IF(AND(F$7&gt;1,MOD(F$6-1,12)=0),Inputs!$B$8*Inputs!$B$50,0)</f>
        <v>0</v>
      </c>
      <c r="G61" s="67" t="n">
        <f aca="false">IF(AND(G$7&gt;1,MOD(G$6-1,12)=0),Inputs!$B$8*Inputs!$B$50,0)</f>
        <v>0</v>
      </c>
      <c r="H61" s="67" t="n">
        <f aca="false">IF(AND(H$7&gt;1,MOD(H$6-1,12)=0),Inputs!$B$8*Inputs!$B$50,0)</f>
        <v>0</v>
      </c>
      <c r="I61" s="67" t="n">
        <f aca="false">IF(AND(I$7&gt;1,MOD(I$6-1,12)=0),Inputs!$B$8*Inputs!$B$50,0)</f>
        <v>0</v>
      </c>
      <c r="J61" s="67" t="n">
        <f aca="false">IF(AND(J$7&gt;1,MOD(J$6-1,12)=0),Inputs!$B$8*Inputs!$B$50,0)</f>
        <v>0</v>
      </c>
      <c r="K61" s="67" t="n">
        <f aca="false">IF(AND(K$7&gt;1,MOD(K$6-1,12)=0),Inputs!$B$8*Inputs!$B$50,0)</f>
        <v>0</v>
      </c>
      <c r="L61" s="67" t="n">
        <f aca="false">IF(AND(L$7&gt;1,MOD(L$6-1,12)=0),Inputs!$B$8*Inputs!$B$50,0)</f>
        <v>0</v>
      </c>
      <c r="M61" s="67" t="n">
        <f aca="false">IF(AND(M$7&gt;1,MOD(M$6-1,12)=0),Inputs!$B$8*Inputs!$B$50,0)</f>
        <v>0</v>
      </c>
      <c r="N61" s="67" t="n">
        <f aca="false">IF(AND(N$7&gt;1,MOD(N$6-1,12)=0),Inputs!$B$8*Inputs!$B$50,0)</f>
        <v>0</v>
      </c>
      <c r="O61" s="67" t="n">
        <f aca="false">IF(AND(O$7&gt;1,MOD(O$6-1,12)=0),Inputs!$B$8*Inputs!$B$50,0)</f>
        <v>0</v>
      </c>
      <c r="P61" s="67" t="n">
        <f aca="false">IF(AND(P$7&gt;1,MOD(P$6-1,12)=0),Inputs!$B$8*Inputs!$B$50,0)</f>
        <v>0</v>
      </c>
      <c r="Q61" s="67" t="n">
        <f aca="false">IF(AND(Q$7&gt;1,MOD(Q$6-1,12)=0),Inputs!$B$8*Inputs!$B$50,0)</f>
        <v>0</v>
      </c>
      <c r="R61" s="67" t="n">
        <f aca="false">IF(AND(R$7&gt;1,MOD(R$6-1,12)=0),Inputs!$B$8*Inputs!$B$50,0)</f>
        <v>0</v>
      </c>
      <c r="S61" s="67" t="n">
        <f aca="false">IF(AND(S$7&gt;1,MOD(S$6-1,12)=0),Inputs!$B$8*Inputs!$B$50,0)</f>
        <v>0</v>
      </c>
      <c r="T61" s="67" t="n">
        <f aca="false">IF(AND(T$7&gt;1,MOD(T$6-1,12)=0),Inputs!$B$8*Inputs!$B$50,0)</f>
        <v>0</v>
      </c>
      <c r="U61" s="67" t="n">
        <f aca="false">IF(AND(U$7&gt;1,MOD(U$6-1,12)=0),Inputs!$B$8*Inputs!$B$50,0)</f>
        <v>0</v>
      </c>
      <c r="V61" s="67" t="n">
        <f aca="false">IF(AND(V$7&gt;1,MOD(V$6-1,12)=0),Inputs!$B$8*Inputs!$B$50,0)</f>
        <v>0</v>
      </c>
      <c r="W61" s="67" t="n">
        <f aca="false">IF(AND(W$7&gt;1,MOD(W$6-1,12)=0),Inputs!$B$8*Inputs!$B$50,0)</f>
        <v>0</v>
      </c>
      <c r="X61" s="67" t="n">
        <f aca="false">IF(AND(X$7&gt;1,MOD(X$6-1,12)=0),Inputs!$B$8*Inputs!$B$50,0)</f>
        <v>0</v>
      </c>
      <c r="Y61" s="67" t="n">
        <f aca="false">IF(AND(Y$7&gt;1,MOD(Y$6-1,12)=0),Inputs!$B$8*Inputs!$B$50,0)</f>
        <v>0</v>
      </c>
      <c r="Z61" s="67" t="n">
        <f aca="false">IF(AND(Z$7&gt;1,MOD(Z$6-1,12)=0),Inputs!$B$8*Inputs!$B$50,0)</f>
        <v>0</v>
      </c>
      <c r="AA61" s="67" t="n">
        <f aca="false">IF(AND(AA$7&gt;1,MOD(AA$6-1,12)=0),Inputs!$B$8*Inputs!$B$50,0)</f>
        <v>0</v>
      </c>
      <c r="AB61" s="67" t="n">
        <f aca="false">IF(AND(AB$7&gt;1,MOD(AB$6-1,12)=0),Inputs!$B$8*Inputs!$B$50,0)</f>
        <v>0</v>
      </c>
      <c r="AC61" s="67" t="n">
        <f aca="false">IF(AND(AC$7&gt;1,MOD(AC$6-1,12)=0),Inputs!$B$8*Inputs!$B$50,0)</f>
        <v>0</v>
      </c>
      <c r="AD61" s="67" t="n">
        <f aca="false">IF(AND(AD$7&gt;1,MOD(AD$6-1,12)=0),Inputs!$B$8*Inputs!$B$50,0)</f>
        <v>0</v>
      </c>
      <c r="AE61" s="67" t="n">
        <f aca="false">IF(AND(AE$7&gt;1,MOD(AE$6-1,12)=0),Inputs!$B$8*Inputs!$B$50,0)</f>
        <v>0</v>
      </c>
      <c r="AF61" s="67" t="n">
        <f aca="false">IF(AND(AF$7&gt;1,MOD(AF$6-1,12)=0),Inputs!$B$8*Inputs!$B$50,0)</f>
        <v>0</v>
      </c>
      <c r="AG61" s="67" t="n">
        <f aca="false">IF(AND(AG$7&gt;1,MOD(AG$6-1,12)=0),Inputs!$B$8*Inputs!$B$50,0)</f>
        <v>0</v>
      </c>
      <c r="AH61" s="67" t="n">
        <f aca="false">IF(AND(AH$7&gt;1,MOD(AH$6-1,12)=0),Inputs!$B$8*Inputs!$B$50,0)</f>
        <v>0</v>
      </c>
      <c r="AI61" s="67" t="n">
        <f aca="false">IF(AND(AI$7&gt;1,MOD(AI$6-1,12)=0),Inputs!$B$8*Inputs!$B$50,0)</f>
        <v>0</v>
      </c>
      <c r="AJ61" s="67" t="n">
        <f aca="false">IF(AND(AJ$7&gt;1,MOD(AJ$6-1,12)=0),Inputs!$B$8*Inputs!$B$50,0)</f>
        <v>0</v>
      </c>
      <c r="AK61" s="67" t="n">
        <f aca="false">IF(AND(AK$7&gt;1,MOD(AK$6-1,12)=0),Inputs!$B$8*Inputs!$B$50,0)</f>
        <v>0</v>
      </c>
      <c r="AL61" s="67" t="n">
        <f aca="false">IF(AND(AL$7&gt;1,MOD(AL$6-1,12)=0),Inputs!$B$8*Inputs!$B$50,0)</f>
        <v>0</v>
      </c>
      <c r="AM61" s="67" t="n">
        <f aca="false">IF(AND(AM$7&gt;1,MOD(AM$6-1,12)=0),Inputs!$B$8*Inputs!$B$50,0)</f>
        <v>0</v>
      </c>
      <c r="AN61" s="67" t="n">
        <f aca="false">IF(AND(AN$7&gt;1,MOD(AN$6-1,12)=0),Inputs!$B$8*Inputs!$B$50,0)</f>
        <v>0</v>
      </c>
      <c r="AO61" s="67" t="n">
        <f aca="false">IF(AND(AO$7&gt;1,MOD(AO$6-1,12)=0),Inputs!$B$8*Inputs!$B$50,0)</f>
        <v>0</v>
      </c>
      <c r="AP61" s="67" t="n">
        <f aca="false">IF(AND(AP$7&gt;1,MOD(AP$6-1,12)=0),Inputs!$B$8*Inputs!$B$50,0)</f>
        <v>0</v>
      </c>
      <c r="AQ61" s="67" t="n">
        <f aca="false">IF(AND(AQ$7&gt;1,MOD(AQ$6-1,12)=0),Inputs!$B$8*Inputs!$B$50,0)</f>
        <v>0</v>
      </c>
      <c r="AR61" s="67" t="n">
        <f aca="false">IF(AND(AR$7&gt;1,MOD(AR$6-1,12)=0),Inputs!$B$8*Inputs!$B$50,0)</f>
        <v>0</v>
      </c>
      <c r="AS61" s="67" t="n">
        <f aca="false">IF(AND(AS$7&gt;1,MOD(AS$6-1,12)=0),Inputs!$B$8*Inputs!$B$50,0)</f>
        <v>0</v>
      </c>
      <c r="AT61" s="67" t="n">
        <f aca="false">IF(AND(AT$7&gt;1,MOD(AT$6-1,12)=0),Inputs!$B$8*Inputs!$B$50,0)</f>
        <v>0</v>
      </c>
      <c r="AU61" s="67" t="n">
        <f aca="false">IF(AND(AU$7&gt;1,MOD(AU$6-1,12)=0),Inputs!$B$8*Inputs!$B$50,0)</f>
        <v>0</v>
      </c>
      <c r="AV61" s="67" t="n">
        <f aca="false">IF(AND(AV$7&gt;1,MOD(AV$6-1,12)=0),Inputs!$B$8*Inputs!$B$50,0)</f>
        <v>0</v>
      </c>
      <c r="AW61" s="67" t="n">
        <f aca="false">IF(AND(AW$7&gt;1,MOD(AW$6-1,12)=0),Inputs!$B$8*Inputs!$B$50,0)</f>
        <v>0</v>
      </c>
      <c r="AX61" s="67" t="n">
        <f aca="false">IF(AND(AX$7&gt;1,MOD(AX$6-1,12)=0),Inputs!$B$8*Inputs!$B$50,0)</f>
        <v>0</v>
      </c>
      <c r="AY61" s="67" t="n">
        <f aca="false">IF(AND(AY$7&gt;1,MOD(AY$6-1,12)=0),Inputs!$B$8*Inputs!$B$50,0)</f>
        <v>0</v>
      </c>
      <c r="AZ61" s="67" t="n">
        <f aca="false">IF(AND(AZ$7&gt;1,MOD(AZ$6-1,12)=0),Inputs!$B$8*Inputs!$B$50,0)</f>
        <v>0</v>
      </c>
      <c r="BA61" s="67" t="n">
        <f aca="false">IF(AND(BA$7&gt;1,MOD(BA$6-1,12)=0),Inputs!$B$8*Inputs!$B$50,0)</f>
        <v>0</v>
      </c>
      <c r="BB61" s="67" t="n">
        <f aca="false">IF(AND(BB$7&gt;1,MOD(BB$6-1,12)=0),Inputs!$B$8*Inputs!$B$50,0)</f>
        <v>0</v>
      </c>
      <c r="BC61" s="67" t="n">
        <f aca="false">IF(AND(BC$7&gt;1,MOD(BC$6-1,12)=0),Inputs!$B$8*Inputs!$B$50,0)</f>
        <v>0</v>
      </c>
      <c r="BD61" s="67" t="n">
        <f aca="false">IF(AND(BD$7&gt;1,MOD(BD$6-1,12)=0),Inputs!$B$8*Inputs!$B$50,0)</f>
        <v>0</v>
      </c>
      <c r="BE61" s="67" t="n">
        <f aca="false">IF(AND(BE$7&gt;1,MOD(BE$6-1,12)=0),Inputs!$B$8*Inputs!$B$50,0)</f>
        <v>0</v>
      </c>
      <c r="BF61" s="67" t="n">
        <f aca="false">IF(AND(BF$7&gt;1,MOD(BF$6-1,12)=0),Inputs!$B$8*Inputs!$B$50,0)</f>
        <v>0</v>
      </c>
      <c r="BG61" s="67" t="n">
        <f aca="false">IF(AND(BG$7&gt;1,MOD(BG$6-1,12)=0),Inputs!$B$8*Inputs!$B$50,0)</f>
        <v>0</v>
      </c>
      <c r="BH61" s="67" t="n">
        <f aca="false">IF(AND(BH$7&gt;1,MOD(BH$6-1,12)=0),Inputs!$B$8*Inputs!$B$50,0)</f>
        <v>0</v>
      </c>
      <c r="BI61" s="67" t="n">
        <f aca="false">IF(AND(BI$7&gt;1,MOD(BI$6-1,12)=0),Inputs!$B$8*Inputs!$B$50,0)</f>
        <v>0</v>
      </c>
      <c r="BJ61" s="67" t="n">
        <f aca="false">IF(AND(BJ$7&gt;1,MOD(BJ$6-1,12)=0),Inputs!$B$8*Inputs!$B$50,0)</f>
        <v>0</v>
      </c>
    </row>
    <row r="62" customFormat="false" ht="15" hidden="false" customHeight="false" outlineLevel="0" collapsed="false">
      <c r="A62" s="6" t="s">
        <v>435</v>
      </c>
      <c r="C62" s="67" t="n">
        <f aca="false">IF(C$6=1,Inputs!$B$51,0)</f>
        <v>3000</v>
      </c>
      <c r="D62" s="67" t="n">
        <f aca="false">IF(D$6=1,Inputs!$B$51,0)</f>
        <v>0</v>
      </c>
      <c r="E62" s="67" t="n">
        <f aca="false">IF(E$6=1,Inputs!$B$51,0)</f>
        <v>0</v>
      </c>
      <c r="F62" s="67" t="n">
        <f aca="false">IF(F$6=1,Inputs!$B$51,0)</f>
        <v>0</v>
      </c>
      <c r="G62" s="67" t="n">
        <f aca="false">IF(G$6=1,Inputs!$B$51,0)</f>
        <v>0</v>
      </c>
      <c r="H62" s="67" t="n">
        <f aca="false">IF(H$6=1,Inputs!$B$51,0)</f>
        <v>0</v>
      </c>
      <c r="I62" s="67" t="n">
        <f aca="false">IF(I$6=1,Inputs!$B$51,0)</f>
        <v>0</v>
      </c>
      <c r="J62" s="67" t="n">
        <f aca="false">IF(J$6=1,Inputs!$B$51,0)</f>
        <v>0</v>
      </c>
      <c r="K62" s="67" t="n">
        <f aca="false">IF(K$6=1,Inputs!$B$51,0)</f>
        <v>0</v>
      </c>
      <c r="L62" s="67" t="n">
        <f aca="false">IF(L$6=1,Inputs!$B$51,0)</f>
        <v>0</v>
      </c>
      <c r="M62" s="67" t="n">
        <f aca="false">IF(M$6=1,Inputs!$B$51,0)</f>
        <v>0</v>
      </c>
      <c r="N62" s="67" t="n">
        <f aca="false">IF(N$6=1,Inputs!$B$51,0)</f>
        <v>0</v>
      </c>
      <c r="O62" s="67" t="n">
        <f aca="false">IF(O$6=1,Inputs!$B$51,0)</f>
        <v>0</v>
      </c>
      <c r="P62" s="67" t="n">
        <f aca="false">IF(P$6=1,Inputs!$B$51,0)</f>
        <v>0</v>
      </c>
      <c r="Q62" s="67" t="n">
        <f aca="false">IF(Q$6=1,Inputs!$B$51,0)</f>
        <v>0</v>
      </c>
      <c r="R62" s="67" t="n">
        <f aca="false">IF(R$6=1,Inputs!$B$51,0)</f>
        <v>0</v>
      </c>
      <c r="S62" s="67" t="n">
        <f aca="false">IF(S$6=1,Inputs!$B$51,0)</f>
        <v>0</v>
      </c>
      <c r="T62" s="67" t="n">
        <f aca="false">IF(T$6=1,Inputs!$B$51,0)</f>
        <v>0</v>
      </c>
      <c r="U62" s="67" t="n">
        <f aca="false">IF(U$6=1,Inputs!$B$51,0)</f>
        <v>0</v>
      </c>
      <c r="V62" s="67" t="n">
        <f aca="false">IF(V$6=1,Inputs!$B$51,0)</f>
        <v>0</v>
      </c>
      <c r="W62" s="67" t="n">
        <f aca="false">IF(W$6=1,Inputs!$B$51,0)</f>
        <v>0</v>
      </c>
      <c r="X62" s="67" t="n">
        <f aca="false">IF(X$6=1,Inputs!$B$51,0)</f>
        <v>0</v>
      </c>
      <c r="Y62" s="67" t="n">
        <f aca="false">IF(Y$6=1,Inputs!$B$51,0)</f>
        <v>0</v>
      </c>
      <c r="Z62" s="67" t="n">
        <f aca="false">IF(Z$6=1,Inputs!$B$51,0)</f>
        <v>0</v>
      </c>
      <c r="AA62" s="67" t="n">
        <f aca="false">IF(AA$6=1,Inputs!$B$51,0)</f>
        <v>0</v>
      </c>
      <c r="AB62" s="67" t="n">
        <f aca="false">IF(AB$6=1,Inputs!$B$51,0)</f>
        <v>0</v>
      </c>
      <c r="AC62" s="67" t="n">
        <f aca="false">IF(AC$6=1,Inputs!$B$51,0)</f>
        <v>0</v>
      </c>
      <c r="AD62" s="67" t="n">
        <f aca="false">IF(AD$6=1,Inputs!$B$51,0)</f>
        <v>0</v>
      </c>
      <c r="AE62" s="67" t="n">
        <f aca="false">IF(AE$6=1,Inputs!$B$51,0)</f>
        <v>0</v>
      </c>
      <c r="AF62" s="67" t="n">
        <f aca="false">IF(AF$6=1,Inputs!$B$51,0)</f>
        <v>0</v>
      </c>
      <c r="AG62" s="67" t="n">
        <f aca="false">IF(AG$6=1,Inputs!$B$51,0)</f>
        <v>0</v>
      </c>
      <c r="AH62" s="67" t="n">
        <f aca="false">IF(AH$6=1,Inputs!$B$51,0)</f>
        <v>0</v>
      </c>
      <c r="AI62" s="67" t="n">
        <f aca="false">IF(AI$6=1,Inputs!$B$51,0)</f>
        <v>0</v>
      </c>
      <c r="AJ62" s="67" t="n">
        <f aca="false">IF(AJ$6=1,Inputs!$B$51,0)</f>
        <v>0</v>
      </c>
      <c r="AK62" s="67" t="n">
        <f aca="false">IF(AK$6=1,Inputs!$B$51,0)</f>
        <v>0</v>
      </c>
      <c r="AL62" s="67" t="n">
        <f aca="false">IF(AL$6=1,Inputs!$B$51,0)</f>
        <v>0</v>
      </c>
      <c r="AM62" s="67" t="n">
        <f aca="false">IF(AM$6=1,Inputs!$B$51,0)</f>
        <v>0</v>
      </c>
      <c r="AN62" s="67" t="n">
        <f aca="false">IF(AN$6=1,Inputs!$B$51,0)</f>
        <v>0</v>
      </c>
      <c r="AO62" s="67" t="n">
        <f aca="false">IF(AO$6=1,Inputs!$B$51,0)</f>
        <v>0</v>
      </c>
      <c r="AP62" s="67" t="n">
        <f aca="false">IF(AP$6=1,Inputs!$B$51,0)</f>
        <v>0</v>
      </c>
      <c r="AQ62" s="67" t="n">
        <f aca="false">IF(AQ$6=1,Inputs!$B$51,0)</f>
        <v>0</v>
      </c>
      <c r="AR62" s="67" t="n">
        <f aca="false">IF(AR$6=1,Inputs!$B$51,0)</f>
        <v>0</v>
      </c>
      <c r="AS62" s="67" t="n">
        <f aca="false">IF(AS$6=1,Inputs!$B$51,0)</f>
        <v>0</v>
      </c>
      <c r="AT62" s="67" t="n">
        <f aca="false">IF(AT$6=1,Inputs!$B$51,0)</f>
        <v>0</v>
      </c>
      <c r="AU62" s="67" t="n">
        <f aca="false">IF(AU$6=1,Inputs!$B$51,0)</f>
        <v>0</v>
      </c>
      <c r="AV62" s="67" t="n">
        <f aca="false">IF(AV$6=1,Inputs!$B$51,0)</f>
        <v>0</v>
      </c>
      <c r="AW62" s="67" t="n">
        <f aca="false">IF(AW$6=1,Inputs!$B$51,0)</f>
        <v>0</v>
      </c>
      <c r="AX62" s="67" t="n">
        <f aca="false">IF(AX$6=1,Inputs!$B$51,0)</f>
        <v>0</v>
      </c>
      <c r="AY62" s="67" t="n">
        <f aca="false">IF(AY$6=1,Inputs!$B$51,0)</f>
        <v>0</v>
      </c>
      <c r="AZ62" s="67" t="n">
        <f aca="false">IF(AZ$6=1,Inputs!$B$51,0)</f>
        <v>0</v>
      </c>
      <c r="BA62" s="67" t="n">
        <f aca="false">IF(BA$6=1,Inputs!$B$51,0)</f>
        <v>0</v>
      </c>
      <c r="BB62" s="67" t="n">
        <f aca="false">IF(BB$6=1,Inputs!$B$51,0)</f>
        <v>0</v>
      </c>
      <c r="BC62" s="67" t="n">
        <f aca="false">IF(BC$6=1,Inputs!$B$51,0)</f>
        <v>0</v>
      </c>
      <c r="BD62" s="67" t="n">
        <f aca="false">IF(BD$6=1,Inputs!$B$51,0)</f>
        <v>0</v>
      </c>
      <c r="BE62" s="67" t="n">
        <f aca="false">IF(BE$6=1,Inputs!$B$51,0)</f>
        <v>0</v>
      </c>
      <c r="BF62" s="67" t="n">
        <f aca="false">IF(BF$6=1,Inputs!$B$51,0)</f>
        <v>0</v>
      </c>
      <c r="BG62" s="67" t="n">
        <f aca="false">IF(BG$6=1,Inputs!$B$51,0)</f>
        <v>0</v>
      </c>
      <c r="BH62" s="67" t="n">
        <f aca="false">IF(BH$6=1,Inputs!$B$51,0)</f>
        <v>0</v>
      </c>
      <c r="BI62" s="67" t="n">
        <f aca="false">IF(BI$6=1,Inputs!$B$51,0)</f>
        <v>0</v>
      </c>
      <c r="BJ62" s="67" t="n">
        <f aca="false">IF(BJ$6=1,Inputs!$B$51,0)</f>
        <v>0</v>
      </c>
    </row>
    <row r="63" customFormat="false" ht="15" hidden="false" customHeight="false" outlineLevel="0" collapsed="false">
      <c r="A63" s="6" t="s">
        <v>436</v>
      </c>
      <c r="C63" s="67" t="n">
        <f aca="false">IF(AND(C$7&gt;1,MOD(C$6-1,12)=0),Inputs!$B$52*C10,0)</f>
        <v>0</v>
      </c>
      <c r="D63" s="67" t="n">
        <f aca="false">IF(AND(D$7&gt;1,MOD(D$6-1,12)=0),Inputs!$B$52*D10,0)</f>
        <v>0</v>
      </c>
      <c r="E63" s="67" t="n">
        <f aca="false">IF(AND(E$7&gt;1,MOD(E$6-1,12)=0),Inputs!$B$52*E10,0)</f>
        <v>0</v>
      </c>
      <c r="F63" s="67" t="n">
        <f aca="false">IF(AND(F$7&gt;1,MOD(F$6-1,12)=0),Inputs!$B$52*F10,0)</f>
        <v>0</v>
      </c>
      <c r="G63" s="67" t="n">
        <f aca="false">IF(AND(G$7&gt;1,MOD(G$6-1,12)=0),Inputs!$B$52*G10,0)</f>
        <v>0</v>
      </c>
      <c r="H63" s="67" t="n">
        <f aca="false">IF(AND(H$7&gt;1,MOD(H$6-1,12)=0),Inputs!$B$52*H10,0)</f>
        <v>0</v>
      </c>
      <c r="I63" s="67" t="n">
        <f aca="false">IF(AND(I$7&gt;1,MOD(I$6-1,12)=0),Inputs!$B$52*I10,0)</f>
        <v>0</v>
      </c>
      <c r="J63" s="67" t="n">
        <f aca="false">IF(AND(J$7&gt;1,MOD(J$6-1,12)=0),Inputs!$B$52*J10,0)</f>
        <v>0</v>
      </c>
      <c r="K63" s="67" t="n">
        <f aca="false">IF(AND(K$7&gt;1,MOD(K$6-1,12)=0),Inputs!$B$52*K10,0)</f>
        <v>0</v>
      </c>
      <c r="L63" s="67" t="n">
        <f aca="false">IF(AND(L$7&gt;1,MOD(L$6-1,12)=0),Inputs!$B$52*L10,0)</f>
        <v>0</v>
      </c>
      <c r="M63" s="67" t="n">
        <f aca="false">IF(AND(M$7&gt;1,MOD(M$6-1,12)=0),Inputs!$B$52*M10,0)</f>
        <v>0</v>
      </c>
      <c r="N63" s="67" t="n">
        <f aca="false">IF(AND(N$7&gt;1,MOD(N$6-1,12)=0),Inputs!$B$52*N10,0)</f>
        <v>0</v>
      </c>
      <c r="O63" s="67" t="n">
        <f aca="false">IF(AND(O$7&gt;1,MOD(O$6-1,12)=0),Inputs!$B$52*O10,0)</f>
        <v>2500</v>
      </c>
      <c r="P63" s="67" t="n">
        <f aca="false">IF(AND(P$7&gt;1,MOD(P$6-1,12)=0),Inputs!$B$52*P10,0)</f>
        <v>0</v>
      </c>
      <c r="Q63" s="67" t="n">
        <f aca="false">IF(AND(Q$7&gt;1,MOD(Q$6-1,12)=0),Inputs!$B$52*Q10,0)</f>
        <v>0</v>
      </c>
      <c r="R63" s="67" t="n">
        <f aca="false">IF(AND(R$7&gt;1,MOD(R$6-1,12)=0),Inputs!$B$52*R10,0)</f>
        <v>0</v>
      </c>
      <c r="S63" s="67" t="n">
        <f aca="false">IF(AND(S$7&gt;1,MOD(S$6-1,12)=0),Inputs!$B$52*S10,0)</f>
        <v>0</v>
      </c>
      <c r="T63" s="67" t="n">
        <f aca="false">IF(AND(T$7&gt;1,MOD(T$6-1,12)=0),Inputs!$B$52*T10,0)</f>
        <v>0</v>
      </c>
      <c r="U63" s="67" t="n">
        <f aca="false">IF(AND(U$7&gt;1,MOD(U$6-1,12)=0),Inputs!$B$52*U10,0)</f>
        <v>0</v>
      </c>
      <c r="V63" s="67" t="n">
        <f aca="false">IF(AND(V$7&gt;1,MOD(V$6-1,12)=0),Inputs!$B$52*V10,0)</f>
        <v>0</v>
      </c>
      <c r="W63" s="67" t="n">
        <f aca="false">IF(AND(W$7&gt;1,MOD(W$6-1,12)=0),Inputs!$B$52*W10,0)</f>
        <v>0</v>
      </c>
      <c r="X63" s="67" t="n">
        <f aca="false">IF(AND(X$7&gt;1,MOD(X$6-1,12)=0),Inputs!$B$52*X10,0)</f>
        <v>0</v>
      </c>
      <c r="Y63" s="67" t="n">
        <f aca="false">IF(AND(Y$7&gt;1,MOD(Y$6-1,12)=0),Inputs!$B$52*Y10,0)</f>
        <v>0</v>
      </c>
      <c r="Z63" s="67" t="n">
        <f aca="false">IF(AND(Z$7&gt;1,MOD(Z$6-1,12)=0),Inputs!$B$52*Z10,0)</f>
        <v>0</v>
      </c>
      <c r="AA63" s="67" t="n">
        <f aca="false">IF(AND(AA$7&gt;1,MOD(AA$6-1,12)=0),Inputs!$B$52*AA10,0)</f>
        <v>2500</v>
      </c>
      <c r="AB63" s="67" t="n">
        <f aca="false">IF(AND(AB$7&gt;1,MOD(AB$6-1,12)=0),Inputs!$B$52*AB10,0)</f>
        <v>0</v>
      </c>
      <c r="AC63" s="67" t="n">
        <f aca="false">IF(AND(AC$7&gt;1,MOD(AC$6-1,12)=0),Inputs!$B$52*AC10,0)</f>
        <v>0</v>
      </c>
      <c r="AD63" s="67" t="n">
        <f aca="false">IF(AND(AD$7&gt;1,MOD(AD$6-1,12)=0),Inputs!$B$52*AD10,0)</f>
        <v>0</v>
      </c>
      <c r="AE63" s="67" t="n">
        <f aca="false">IF(AND(AE$7&gt;1,MOD(AE$6-1,12)=0),Inputs!$B$52*AE10,0)</f>
        <v>0</v>
      </c>
      <c r="AF63" s="67" t="n">
        <f aca="false">IF(AND(AF$7&gt;1,MOD(AF$6-1,12)=0),Inputs!$B$52*AF10,0)</f>
        <v>0</v>
      </c>
      <c r="AG63" s="67" t="n">
        <f aca="false">IF(AND(AG$7&gt;1,MOD(AG$6-1,12)=0),Inputs!$B$52*AG10,0)</f>
        <v>0</v>
      </c>
      <c r="AH63" s="67" t="n">
        <f aca="false">IF(AND(AH$7&gt;1,MOD(AH$6-1,12)=0),Inputs!$B$52*AH10,0)</f>
        <v>0</v>
      </c>
      <c r="AI63" s="67" t="n">
        <f aca="false">IF(AND(AI$7&gt;1,MOD(AI$6-1,12)=0),Inputs!$B$52*AI10,0)</f>
        <v>0</v>
      </c>
      <c r="AJ63" s="67" t="n">
        <f aca="false">IF(AND(AJ$7&gt;1,MOD(AJ$6-1,12)=0),Inputs!$B$52*AJ10,0)</f>
        <v>0</v>
      </c>
      <c r="AK63" s="67" t="n">
        <f aca="false">IF(AND(AK$7&gt;1,MOD(AK$6-1,12)=0),Inputs!$B$52*AK10,0)</f>
        <v>0</v>
      </c>
      <c r="AL63" s="67" t="n">
        <f aca="false">IF(AND(AL$7&gt;1,MOD(AL$6-1,12)=0),Inputs!$B$52*AL10,0)</f>
        <v>0</v>
      </c>
      <c r="AM63" s="67" t="n">
        <f aca="false">IF(AND(AM$7&gt;1,MOD(AM$6-1,12)=0),Inputs!$B$52*AM10,0)</f>
        <v>2500</v>
      </c>
      <c r="AN63" s="67" t="n">
        <f aca="false">IF(AND(AN$7&gt;1,MOD(AN$6-1,12)=0),Inputs!$B$52*AN10,0)</f>
        <v>0</v>
      </c>
      <c r="AO63" s="67" t="n">
        <f aca="false">IF(AND(AO$7&gt;1,MOD(AO$6-1,12)=0),Inputs!$B$52*AO10,0)</f>
        <v>0</v>
      </c>
      <c r="AP63" s="67" t="n">
        <f aca="false">IF(AND(AP$7&gt;1,MOD(AP$6-1,12)=0),Inputs!$B$52*AP10,0)</f>
        <v>0</v>
      </c>
      <c r="AQ63" s="67" t="n">
        <f aca="false">IF(AND(AQ$7&gt;1,MOD(AQ$6-1,12)=0),Inputs!$B$52*AQ10,0)</f>
        <v>0</v>
      </c>
      <c r="AR63" s="67" t="n">
        <f aca="false">IF(AND(AR$7&gt;1,MOD(AR$6-1,12)=0),Inputs!$B$52*AR10,0)</f>
        <v>0</v>
      </c>
      <c r="AS63" s="67" t="n">
        <f aca="false">IF(AND(AS$7&gt;1,MOD(AS$6-1,12)=0),Inputs!$B$52*AS10,0)</f>
        <v>0</v>
      </c>
      <c r="AT63" s="67" t="n">
        <f aca="false">IF(AND(AT$7&gt;1,MOD(AT$6-1,12)=0),Inputs!$B$52*AT10,0)</f>
        <v>0</v>
      </c>
      <c r="AU63" s="67" t="n">
        <f aca="false">IF(AND(AU$7&gt;1,MOD(AU$6-1,12)=0),Inputs!$B$52*AU10,0)</f>
        <v>0</v>
      </c>
      <c r="AV63" s="67" t="n">
        <f aca="false">IF(AND(AV$7&gt;1,MOD(AV$6-1,12)=0),Inputs!$B$52*AV10,0)</f>
        <v>0</v>
      </c>
      <c r="AW63" s="67" t="n">
        <f aca="false">IF(AND(AW$7&gt;1,MOD(AW$6-1,12)=0),Inputs!$B$52*AW10,0)</f>
        <v>0</v>
      </c>
      <c r="AX63" s="67" t="n">
        <f aca="false">IF(AND(AX$7&gt;1,MOD(AX$6-1,12)=0),Inputs!$B$52*AX10,0)</f>
        <v>0</v>
      </c>
      <c r="AY63" s="67" t="n">
        <f aca="false">IF(AND(AY$7&gt;1,MOD(AY$6-1,12)=0),Inputs!$B$52*AY10,0)</f>
        <v>2500</v>
      </c>
      <c r="AZ63" s="67" t="n">
        <f aca="false">IF(AND(AZ$7&gt;1,MOD(AZ$6-1,12)=0),Inputs!$B$52*AZ10,0)</f>
        <v>0</v>
      </c>
      <c r="BA63" s="67" t="n">
        <f aca="false">IF(AND(BA$7&gt;1,MOD(BA$6-1,12)=0),Inputs!$B$52*BA10,0)</f>
        <v>0</v>
      </c>
      <c r="BB63" s="67" t="n">
        <f aca="false">IF(AND(BB$7&gt;1,MOD(BB$6-1,12)=0),Inputs!$B$52*BB10,0)</f>
        <v>0</v>
      </c>
      <c r="BC63" s="67" t="n">
        <f aca="false">IF(AND(BC$7&gt;1,MOD(BC$6-1,12)=0),Inputs!$B$52*BC10,0)</f>
        <v>0</v>
      </c>
      <c r="BD63" s="67" t="n">
        <f aca="false">IF(AND(BD$7&gt;1,MOD(BD$6-1,12)=0),Inputs!$B$52*BD10,0)</f>
        <v>0</v>
      </c>
      <c r="BE63" s="67" t="n">
        <f aca="false">IF(AND(BE$7&gt;1,MOD(BE$6-1,12)=0),Inputs!$B$52*BE10,0)</f>
        <v>0</v>
      </c>
      <c r="BF63" s="67" t="n">
        <f aca="false">IF(AND(BF$7&gt;1,MOD(BF$6-1,12)=0),Inputs!$B$52*BF10,0)</f>
        <v>0</v>
      </c>
      <c r="BG63" s="67" t="n">
        <f aca="false">IF(AND(BG$7&gt;1,MOD(BG$6-1,12)=0),Inputs!$B$52*BG10,0)</f>
        <v>0</v>
      </c>
      <c r="BH63" s="67" t="n">
        <f aca="false">IF(AND(BH$7&gt;1,MOD(BH$6-1,12)=0),Inputs!$B$52*BH10,0)</f>
        <v>0</v>
      </c>
      <c r="BI63" s="67" t="n">
        <f aca="false">IF(AND(BI$7&gt;1,MOD(BI$6-1,12)=0),Inputs!$B$52*BI10,0)</f>
        <v>0</v>
      </c>
      <c r="BJ63" s="67" t="n">
        <f aca="false">IF(AND(BJ$7&gt;1,MOD(BJ$6-1,12)=0),Inputs!$B$52*BJ10,0)</f>
        <v>0</v>
      </c>
    </row>
    <row r="64" customFormat="false" ht="15" hidden="false" customHeight="false" outlineLevel="0" collapsed="false">
      <c r="A64" s="4" t="s">
        <v>84</v>
      </c>
      <c r="C64" s="73" t="n">
        <f aca="false">C60+C61+C62+C63</f>
        <v>138000</v>
      </c>
      <c r="D64" s="73" t="n">
        <f aca="false">D60+D61+D62+D63</f>
        <v>0</v>
      </c>
      <c r="E64" s="73" t="n">
        <f aca="false">E60+E61+E62+E63</f>
        <v>0</v>
      </c>
      <c r="F64" s="73" t="n">
        <f aca="false">F60+F61+F62+F63</f>
        <v>0</v>
      </c>
      <c r="G64" s="73" t="n">
        <f aca="false">G60+G61+G62+G63</f>
        <v>0</v>
      </c>
      <c r="H64" s="73" t="n">
        <f aca="false">H60+H61+H62+H63</f>
        <v>0</v>
      </c>
      <c r="I64" s="73" t="n">
        <f aca="false">I60+I61+I62+I63</f>
        <v>0</v>
      </c>
      <c r="J64" s="73" t="n">
        <f aca="false">J60+J61+J62+J63</f>
        <v>0</v>
      </c>
      <c r="K64" s="73" t="n">
        <f aca="false">K60+K61+K62+K63</f>
        <v>0</v>
      </c>
      <c r="L64" s="73" t="n">
        <f aca="false">L60+L61+L62+L63</f>
        <v>0</v>
      </c>
      <c r="M64" s="73" t="n">
        <f aca="false">M60+M61+M62+M63</f>
        <v>0</v>
      </c>
      <c r="N64" s="73" t="n">
        <f aca="false">N60+N61+N62+N63</f>
        <v>0</v>
      </c>
      <c r="O64" s="73" t="n">
        <f aca="false">O60+O61+O62+O63</f>
        <v>2500</v>
      </c>
      <c r="P64" s="73" t="n">
        <f aca="false">P60+P61+P62+P63</f>
        <v>0</v>
      </c>
      <c r="Q64" s="73" t="n">
        <f aca="false">Q60+Q61+Q62+Q63</f>
        <v>0</v>
      </c>
      <c r="R64" s="73" t="n">
        <f aca="false">R60+R61+R62+R63</f>
        <v>0</v>
      </c>
      <c r="S64" s="73" t="n">
        <f aca="false">S60+S61+S62+S63</f>
        <v>0</v>
      </c>
      <c r="T64" s="73" t="n">
        <f aca="false">T60+T61+T62+T63</f>
        <v>0</v>
      </c>
      <c r="U64" s="73" t="n">
        <f aca="false">U60+U61+U62+U63</f>
        <v>0</v>
      </c>
      <c r="V64" s="73" t="n">
        <f aca="false">V60+V61+V62+V63</f>
        <v>0</v>
      </c>
      <c r="W64" s="73" t="n">
        <f aca="false">W60+W61+W62+W63</f>
        <v>0</v>
      </c>
      <c r="X64" s="73" t="n">
        <f aca="false">X60+X61+X62+X63</f>
        <v>0</v>
      </c>
      <c r="Y64" s="73" t="n">
        <f aca="false">Y60+Y61+Y62+Y63</f>
        <v>0</v>
      </c>
      <c r="Z64" s="73" t="n">
        <f aca="false">Z60+Z61+Z62+Z63</f>
        <v>0</v>
      </c>
      <c r="AA64" s="73" t="n">
        <f aca="false">AA60+AA61+AA62+AA63</f>
        <v>2500</v>
      </c>
      <c r="AB64" s="73" t="n">
        <f aca="false">AB60+AB61+AB62+AB63</f>
        <v>0</v>
      </c>
      <c r="AC64" s="73" t="n">
        <f aca="false">AC60+AC61+AC62+AC63</f>
        <v>0</v>
      </c>
      <c r="AD64" s="73" t="n">
        <f aca="false">AD60+AD61+AD62+AD63</f>
        <v>0</v>
      </c>
      <c r="AE64" s="73" t="n">
        <f aca="false">AE60+AE61+AE62+AE63</f>
        <v>0</v>
      </c>
      <c r="AF64" s="73" t="n">
        <f aca="false">AF60+AF61+AF62+AF63</f>
        <v>0</v>
      </c>
      <c r="AG64" s="73" t="n">
        <f aca="false">AG60+AG61+AG62+AG63</f>
        <v>0</v>
      </c>
      <c r="AH64" s="73" t="n">
        <f aca="false">AH60+AH61+AH62+AH63</f>
        <v>0</v>
      </c>
      <c r="AI64" s="73" t="n">
        <f aca="false">AI60+AI61+AI62+AI63</f>
        <v>0</v>
      </c>
      <c r="AJ64" s="73" t="n">
        <f aca="false">AJ60+AJ61+AJ62+AJ63</f>
        <v>0</v>
      </c>
      <c r="AK64" s="73" t="n">
        <f aca="false">AK60+AK61+AK62+AK63</f>
        <v>0</v>
      </c>
      <c r="AL64" s="73" t="n">
        <f aca="false">AL60+AL61+AL62+AL63</f>
        <v>0</v>
      </c>
      <c r="AM64" s="73" t="n">
        <f aca="false">AM60+AM61+AM62+AM63</f>
        <v>2500</v>
      </c>
      <c r="AN64" s="73" t="n">
        <f aca="false">AN60+AN61+AN62+AN63</f>
        <v>0</v>
      </c>
      <c r="AO64" s="73" t="n">
        <f aca="false">AO60+AO61+AO62+AO63</f>
        <v>0</v>
      </c>
      <c r="AP64" s="73" t="n">
        <f aca="false">AP60+AP61+AP62+AP63</f>
        <v>0</v>
      </c>
      <c r="AQ64" s="73" t="n">
        <f aca="false">AQ60+AQ61+AQ62+AQ63</f>
        <v>0</v>
      </c>
      <c r="AR64" s="73" t="n">
        <f aca="false">AR60+AR61+AR62+AR63</f>
        <v>0</v>
      </c>
      <c r="AS64" s="73" t="n">
        <f aca="false">AS60+AS61+AS62+AS63</f>
        <v>0</v>
      </c>
      <c r="AT64" s="73" t="n">
        <f aca="false">AT60+AT61+AT62+AT63</f>
        <v>0</v>
      </c>
      <c r="AU64" s="73" t="n">
        <f aca="false">AU60+AU61+AU62+AU63</f>
        <v>0</v>
      </c>
      <c r="AV64" s="73" t="n">
        <f aca="false">AV60+AV61+AV62+AV63</f>
        <v>0</v>
      </c>
      <c r="AW64" s="73" t="n">
        <f aca="false">AW60+AW61+AW62+AW63</f>
        <v>0</v>
      </c>
      <c r="AX64" s="73" t="n">
        <f aca="false">AX60+AX61+AX62+AX63</f>
        <v>0</v>
      </c>
      <c r="AY64" s="73" t="n">
        <f aca="false">AY60+AY61+AY62+AY63</f>
        <v>2500</v>
      </c>
      <c r="AZ64" s="73" t="n">
        <f aca="false">AZ60+AZ61+AZ62+AZ63</f>
        <v>0</v>
      </c>
      <c r="BA64" s="73" t="n">
        <f aca="false">BA60+BA61+BA62+BA63</f>
        <v>0</v>
      </c>
      <c r="BB64" s="73" t="n">
        <f aca="false">BB60+BB61+BB62+BB63</f>
        <v>0</v>
      </c>
      <c r="BC64" s="73" t="n">
        <f aca="false">BC60+BC61+BC62+BC63</f>
        <v>0</v>
      </c>
      <c r="BD64" s="73" t="n">
        <f aca="false">BD60+BD61+BD62+BD63</f>
        <v>0</v>
      </c>
      <c r="BE64" s="73" t="n">
        <f aca="false">BE60+BE61+BE62+BE63</f>
        <v>0</v>
      </c>
      <c r="BF64" s="73" t="n">
        <f aca="false">BF60+BF61+BF62+BF63</f>
        <v>0</v>
      </c>
      <c r="BG64" s="73" t="n">
        <f aca="false">BG60+BG61+BG62+BG63</f>
        <v>0</v>
      </c>
      <c r="BH64" s="73" t="n">
        <f aca="false">BH60+BH61+BH62+BH63</f>
        <v>0</v>
      </c>
      <c r="BI64" s="73" t="n">
        <f aca="false">BI60+BI61+BI62+BI63</f>
        <v>0</v>
      </c>
      <c r="BJ64" s="73" t="n">
        <f aca="false">BJ60+BJ61+BJ62+BJ63</f>
        <v>0</v>
      </c>
    </row>
    <row r="65" customFormat="false" ht="15" hidden="false" customHeight="false" outlineLevel="0" collapsed="false">
      <c r="A65" s="6" t="s">
        <v>437</v>
      </c>
      <c r="C65" s="67" t="n">
        <f aca="false">C64</f>
        <v>138000</v>
      </c>
      <c r="D65" s="67" t="n">
        <f aca="false">C65+D64</f>
        <v>138000</v>
      </c>
      <c r="E65" s="67" t="n">
        <f aca="false">D65+E64</f>
        <v>138000</v>
      </c>
      <c r="F65" s="67" t="n">
        <f aca="false">E65+F64</f>
        <v>138000</v>
      </c>
      <c r="G65" s="67" t="n">
        <f aca="false">F65+G64</f>
        <v>138000</v>
      </c>
      <c r="H65" s="67" t="n">
        <f aca="false">G65+H64</f>
        <v>138000</v>
      </c>
      <c r="I65" s="67" t="n">
        <f aca="false">H65+I64</f>
        <v>138000</v>
      </c>
      <c r="J65" s="67" t="n">
        <f aca="false">I65+J64</f>
        <v>138000</v>
      </c>
      <c r="K65" s="67" t="n">
        <f aca="false">J65+K64</f>
        <v>138000</v>
      </c>
      <c r="L65" s="67" t="n">
        <f aca="false">K65+L64</f>
        <v>138000</v>
      </c>
      <c r="M65" s="67" t="n">
        <f aca="false">L65+M64</f>
        <v>138000</v>
      </c>
      <c r="N65" s="67" t="n">
        <f aca="false">M65+N64</f>
        <v>138000</v>
      </c>
      <c r="O65" s="67" t="n">
        <f aca="false">N65+O64</f>
        <v>140500</v>
      </c>
      <c r="P65" s="67" t="n">
        <f aca="false">O65+P64</f>
        <v>140500</v>
      </c>
      <c r="Q65" s="67" t="n">
        <f aca="false">P65+Q64</f>
        <v>140500</v>
      </c>
      <c r="R65" s="67" t="n">
        <f aca="false">Q65+R64</f>
        <v>140500</v>
      </c>
      <c r="S65" s="67" t="n">
        <f aca="false">R65+S64</f>
        <v>140500</v>
      </c>
      <c r="T65" s="67" t="n">
        <f aca="false">S65+T64</f>
        <v>140500</v>
      </c>
      <c r="U65" s="67" t="n">
        <f aca="false">T65+U64</f>
        <v>140500</v>
      </c>
      <c r="V65" s="67" t="n">
        <f aca="false">U65+V64</f>
        <v>140500</v>
      </c>
      <c r="W65" s="67" t="n">
        <f aca="false">V65+W64</f>
        <v>140500</v>
      </c>
      <c r="X65" s="67" t="n">
        <f aca="false">W65+X64</f>
        <v>140500</v>
      </c>
      <c r="Y65" s="67" t="n">
        <f aca="false">X65+Y64</f>
        <v>140500</v>
      </c>
      <c r="Z65" s="67" t="n">
        <f aca="false">Y65+Z64</f>
        <v>140500</v>
      </c>
      <c r="AA65" s="67" t="n">
        <f aca="false">Z65+AA64</f>
        <v>143000</v>
      </c>
      <c r="AB65" s="67" t="n">
        <f aca="false">AA65+AB64</f>
        <v>143000</v>
      </c>
      <c r="AC65" s="67" t="n">
        <f aca="false">AB65+AC64</f>
        <v>143000</v>
      </c>
      <c r="AD65" s="67" t="n">
        <f aca="false">AC65+AD64</f>
        <v>143000</v>
      </c>
      <c r="AE65" s="67" t="n">
        <f aca="false">AD65+AE64</f>
        <v>143000</v>
      </c>
      <c r="AF65" s="67" t="n">
        <f aca="false">AE65+AF64</f>
        <v>143000</v>
      </c>
      <c r="AG65" s="67" t="n">
        <f aca="false">AF65+AG64</f>
        <v>143000</v>
      </c>
      <c r="AH65" s="67" t="n">
        <f aca="false">AG65+AH64</f>
        <v>143000</v>
      </c>
      <c r="AI65" s="67" t="n">
        <f aca="false">AH65+AI64</f>
        <v>143000</v>
      </c>
      <c r="AJ65" s="67" t="n">
        <f aca="false">AI65+AJ64</f>
        <v>143000</v>
      </c>
      <c r="AK65" s="67" t="n">
        <f aca="false">AJ65+AK64</f>
        <v>143000</v>
      </c>
      <c r="AL65" s="67" t="n">
        <f aca="false">AK65+AL64</f>
        <v>143000</v>
      </c>
      <c r="AM65" s="67" t="n">
        <f aca="false">AL65+AM64</f>
        <v>145500</v>
      </c>
      <c r="AN65" s="67" t="n">
        <f aca="false">AM65+AN64</f>
        <v>145500</v>
      </c>
      <c r="AO65" s="67" t="n">
        <f aca="false">AN65+AO64</f>
        <v>145500</v>
      </c>
      <c r="AP65" s="67" t="n">
        <f aca="false">AO65+AP64</f>
        <v>145500</v>
      </c>
      <c r="AQ65" s="67" t="n">
        <f aca="false">AP65+AQ64</f>
        <v>145500</v>
      </c>
      <c r="AR65" s="67" t="n">
        <f aca="false">AQ65+AR64</f>
        <v>145500</v>
      </c>
      <c r="AS65" s="67" t="n">
        <f aca="false">AR65+AS64</f>
        <v>145500</v>
      </c>
      <c r="AT65" s="67" t="n">
        <f aca="false">AS65+AT64</f>
        <v>145500</v>
      </c>
      <c r="AU65" s="67" t="n">
        <f aca="false">AT65+AU64</f>
        <v>145500</v>
      </c>
      <c r="AV65" s="67" t="n">
        <f aca="false">AU65+AV64</f>
        <v>145500</v>
      </c>
      <c r="AW65" s="67" t="n">
        <f aca="false">AV65+AW64</f>
        <v>145500</v>
      </c>
      <c r="AX65" s="67" t="n">
        <f aca="false">AW65+AX64</f>
        <v>145500</v>
      </c>
      <c r="AY65" s="67" t="n">
        <f aca="false">AX65+AY64</f>
        <v>148000</v>
      </c>
      <c r="AZ65" s="67" t="n">
        <f aca="false">AY65+AZ64</f>
        <v>148000</v>
      </c>
      <c r="BA65" s="67" t="n">
        <f aca="false">AZ65+BA64</f>
        <v>148000</v>
      </c>
      <c r="BB65" s="67" t="n">
        <f aca="false">BA65+BB64</f>
        <v>148000</v>
      </c>
      <c r="BC65" s="67" t="n">
        <f aca="false">BB65+BC64</f>
        <v>148000</v>
      </c>
      <c r="BD65" s="67" t="n">
        <f aca="false">BC65+BD64</f>
        <v>148000</v>
      </c>
      <c r="BE65" s="67" t="n">
        <f aca="false">BD65+BE64</f>
        <v>148000</v>
      </c>
      <c r="BF65" s="67" t="n">
        <f aca="false">BE65+BF64</f>
        <v>148000</v>
      </c>
      <c r="BG65" s="67" t="n">
        <f aca="false">BF65+BG64</f>
        <v>148000</v>
      </c>
      <c r="BH65" s="67" t="n">
        <f aca="false">BG65+BH64</f>
        <v>148000</v>
      </c>
      <c r="BI65" s="67" t="n">
        <f aca="false">BH65+BI64</f>
        <v>148000</v>
      </c>
      <c r="BJ65" s="67" t="n">
        <f aca="false">BI65+BJ64</f>
        <v>148000</v>
      </c>
    </row>
    <row r="66" customFormat="false" ht="15" hidden="false" customHeight="false" outlineLevel="0" collapsed="false">
      <c r="A66" s="6" t="s">
        <v>78</v>
      </c>
      <c r="C66" s="67" t="n">
        <f aca="false">-MIN(C65/MAX(1,Inputs!$B$82*12),C64)</f>
        <v>-1642.85714285714</v>
      </c>
      <c r="D66" s="67" t="n">
        <f aca="false">-MIN(D65/MAX(1,Inputs!$B$82*12),C68+D64)</f>
        <v>-1642.85714285714</v>
      </c>
      <c r="E66" s="67" t="n">
        <f aca="false">-MIN(E65/MAX(1,Inputs!$B$82*12),D68+E64)</f>
        <v>-1642.85714285714</v>
      </c>
      <c r="F66" s="67" t="n">
        <f aca="false">-MIN(F65/MAX(1,Inputs!$B$82*12),E68+F64)</f>
        <v>-1642.85714285714</v>
      </c>
      <c r="G66" s="67" t="n">
        <f aca="false">-MIN(G65/MAX(1,Inputs!$B$82*12),F68+G64)</f>
        <v>-1642.85714285714</v>
      </c>
      <c r="H66" s="67" t="n">
        <f aca="false">-MIN(H65/MAX(1,Inputs!$B$82*12),G68+H64)</f>
        <v>-1642.85714285714</v>
      </c>
      <c r="I66" s="67" t="n">
        <f aca="false">-MIN(I65/MAX(1,Inputs!$B$82*12),H68+I64)</f>
        <v>-1642.85714285714</v>
      </c>
      <c r="J66" s="67" t="n">
        <f aca="false">-MIN(J65/MAX(1,Inputs!$B$82*12),I68+J64)</f>
        <v>-1642.85714285714</v>
      </c>
      <c r="K66" s="67" t="n">
        <f aca="false">-MIN(K65/MAX(1,Inputs!$B$82*12),J68+K64)</f>
        <v>-1642.85714285714</v>
      </c>
      <c r="L66" s="67" t="n">
        <f aca="false">-MIN(L65/MAX(1,Inputs!$B$82*12),K68+L64)</f>
        <v>-1642.85714285714</v>
      </c>
      <c r="M66" s="67" t="n">
        <f aca="false">-MIN(M65/MAX(1,Inputs!$B$82*12),L68+M64)</f>
        <v>-1642.85714285714</v>
      </c>
      <c r="N66" s="67" t="n">
        <f aca="false">-MIN(N65/MAX(1,Inputs!$B$82*12),M68+N64)</f>
        <v>-1642.85714285714</v>
      </c>
      <c r="O66" s="67" t="n">
        <f aca="false">-MIN(O65/MAX(1,Inputs!$B$82*12),N68+O64)</f>
        <v>-1672.61904761905</v>
      </c>
      <c r="P66" s="67" t="n">
        <f aca="false">-MIN(P65/MAX(1,Inputs!$B$82*12),O68+P64)</f>
        <v>-1672.61904761905</v>
      </c>
      <c r="Q66" s="67" t="n">
        <f aca="false">-MIN(Q65/MAX(1,Inputs!$B$82*12),P68+Q64)</f>
        <v>-1672.61904761905</v>
      </c>
      <c r="R66" s="67" t="n">
        <f aca="false">-MIN(R65/MAX(1,Inputs!$B$82*12),Q68+R64)</f>
        <v>-1672.61904761905</v>
      </c>
      <c r="S66" s="67" t="n">
        <f aca="false">-MIN(S65/MAX(1,Inputs!$B$82*12),R68+S64)</f>
        <v>-1672.61904761905</v>
      </c>
      <c r="T66" s="67" t="n">
        <f aca="false">-MIN(T65/MAX(1,Inputs!$B$82*12),S68+T64)</f>
        <v>-1672.61904761905</v>
      </c>
      <c r="U66" s="67" t="n">
        <f aca="false">-MIN(U65/MAX(1,Inputs!$B$82*12),T68+U64)</f>
        <v>-1672.61904761905</v>
      </c>
      <c r="V66" s="67" t="n">
        <f aca="false">-MIN(V65/MAX(1,Inputs!$B$82*12),U68+V64)</f>
        <v>-1672.61904761905</v>
      </c>
      <c r="W66" s="67" t="n">
        <f aca="false">-MIN(W65/MAX(1,Inputs!$B$82*12),V68+W64)</f>
        <v>-1672.61904761905</v>
      </c>
      <c r="X66" s="67" t="n">
        <f aca="false">-MIN(X65/MAX(1,Inputs!$B$82*12),W68+X64)</f>
        <v>-1672.61904761905</v>
      </c>
      <c r="Y66" s="67" t="n">
        <f aca="false">-MIN(Y65/MAX(1,Inputs!$B$82*12),X68+Y64)</f>
        <v>-1672.61904761905</v>
      </c>
      <c r="Z66" s="67" t="n">
        <f aca="false">-MIN(Z65/MAX(1,Inputs!$B$82*12),Y68+Z64)</f>
        <v>-1672.61904761905</v>
      </c>
      <c r="AA66" s="67" t="n">
        <f aca="false">-MIN(AA65/MAX(1,Inputs!$B$82*12),Z68+AA64)</f>
        <v>-1702.38095238095</v>
      </c>
      <c r="AB66" s="67" t="n">
        <f aca="false">-MIN(AB65/MAX(1,Inputs!$B$82*12),AA68+AB64)</f>
        <v>-1702.38095238095</v>
      </c>
      <c r="AC66" s="67" t="n">
        <f aca="false">-MIN(AC65/MAX(1,Inputs!$B$82*12),AB68+AC64)</f>
        <v>-1702.38095238095</v>
      </c>
      <c r="AD66" s="67" t="n">
        <f aca="false">-MIN(AD65/MAX(1,Inputs!$B$82*12),AC68+AD64)</f>
        <v>-1702.38095238095</v>
      </c>
      <c r="AE66" s="67" t="n">
        <f aca="false">-MIN(AE65/MAX(1,Inputs!$B$82*12),AD68+AE64)</f>
        <v>-1702.38095238095</v>
      </c>
      <c r="AF66" s="67" t="n">
        <f aca="false">-MIN(AF65/MAX(1,Inputs!$B$82*12),AE68+AF64)</f>
        <v>-1702.38095238095</v>
      </c>
      <c r="AG66" s="67" t="n">
        <f aca="false">-MIN(AG65/MAX(1,Inputs!$B$82*12),AF68+AG64)</f>
        <v>-1702.38095238095</v>
      </c>
      <c r="AH66" s="67" t="n">
        <f aca="false">-MIN(AH65/MAX(1,Inputs!$B$82*12),AG68+AH64)</f>
        <v>-1702.38095238095</v>
      </c>
      <c r="AI66" s="67" t="n">
        <f aca="false">-MIN(AI65/MAX(1,Inputs!$B$82*12),AH68+AI64)</f>
        <v>-1702.38095238095</v>
      </c>
      <c r="AJ66" s="67" t="n">
        <f aca="false">-MIN(AJ65/MAX(1,Inputs!$B$82*12),AI68+AJ64)</f>
        <v>-1702.38095238095</v>
      </c>
      <c r="AK66" s="67" t="n">
        <f aca="false">-MIN(AK65/MAX(1,Inputs!$B$82*12),AJ68+AK64)</f>
        <v>-1702.38095238095</v>
      </c>
      <c r="AL66" s="67" t="n">
        <f aca="false">-MIN(AL65/MAX(1,Inputs!$B$82*12),AK68+AL64)</f>
        <v>-1702.38095238095</v>
      </c>
      <c r="AM66" s="67" t="n">
        <f aca="false">-MIN(AM65/MAX(1,Inputs!$B$82*12),AL68+AM64)</f>
        <v>-1732.14285714286</v>
      </c>
      <c r="AN66" s="67" t="n">
        <f aca="false">-MIN(AN65/MAX(1,Inputs!$B$82*12),AM68+AN64)</f>
        <v>-1732.14285714286</v>
      </c>
      <c r="AO66" s="67" t="n">
        <f aca="false">-MIN(AO65/MAX(1,Inputs!$B$82*12),AN68+AO64)</f>
        <v>-1732.14285714286</v>
      </c>
      <c r="AP66" s="67" t="n">
        <f aca="false">-MIN(AP65/MAX(1,Inputs!$B$82*12),AO68+AP64)</f>
        <v>-1732.14285714286</v>
      </c>
      <c r="AQ66" s="67" t="n">
        <f aca="false">-MIN(AQ65/MAX(1,Inputs!$B$82*12),AP68+AQ64)</f>
        <v>-1732.14285714286</v>
      </c>
      <c r="AR66" s="67" t="n">
        <f aca="false">-MIN(AR65/MAX(1,Inputs!$B$82*12),AQ68+AR64)</f>
        <v>-1732.14285714286</v>
      </c>
      <c r="AS66" s="67" t="n">
        <f aca="false">-MIN(AS65/MAX(1,Inputs!$B$82*12),AR68+AS64)</f>
        <v>-1732.14285714286</v>
      </c>
      <c r="AT66" s="67" t="n">
        <f aca="false">-MIN(AT65/MAX(1,Inputs!$B$82*12),AS68+AT64)</f>
        <v>-1732.14285714286</v>
      </c>
      <c r="AU66" s="67" t="n">
        <f aca="false">-MIN(AU65/MAX(1,Inputs!$B$82*12),AT68+AU64)</f>
        <v>-1732.14285714286</v>
      </c>
      <c r="AV66" s="67" t="n">
        <f aca="false">-MIN(AV65/MAX(1,Inputs!$B$82*12),AU68+AV64)</f>
        <v>-1732.14285714286</v>
      </c>
      <c r="AW66" s="67" t="n">
        <f aca="false">-MIN(AW65/MAX(1,Inputs!$B$82*12),AV68+AW64)</f>
        <v>-1732.14285714286</v>
      </c>
      <c r="AX66" s="67" t="n">
        <f aca="false">-MIN(AX65/MAX(1,Inputs!$B$82*12),AW68+AX64)</f>
        <v>-1732.14285714286</v>
      </c>
      <c r="AY66" s="67" t="n">
        <f aca="false">-MIN(AY65/MAX(1,Inputs!$B$82*12),AX68+AY64)</f>
        <v>-1761.90476190476</v>
      </c>
      <c r="AZ66" s="67" t="n">
        <f aca="false">-MIN(AZ65/MAX(1,Inputs!$B$82*12),AY68+AZ64)</f>
        <v>-1761.90476190476</v>
      </c>
      <c r="BA66" s="67" t="n">
        <f aca="false">-MIN(BA65/MAX(1,Inputs!$B$82*12),AZ68+BA64)</f>
        <v>-1761.90476190476</v>
      </c>
      <c r="BB66" s="67" t="n">
        <f aca="false">-MIN(BB65/MAX(1,Inputs!$B$82*12),BA68+BB64)</f>
        <v>-1761.90476190476</v>
      </c>
      <c r="BC66" s="67" t="n">
        <f aca="false">-MIN(BC65/MAX(1,Inputs!$B$82*12),BB68+BC64)</f>
        <v>-1761.90476190476</v>
      </c>
      <c r="BD66" s="67" t="n">
        <f aca="false">-MIN(BD65/MAX(1,Inputs!$B$82*12),BC68+BD64)</f>
        <v>-1761.90476190476</v>
      </c>
      <c r="BE66" s="67" t="n">
        <f aca="false">-MIN(BE65/MAX(1,Inputs!$B$82*12),BD68+BE64)</f>
        <v>-1761.90476190476</v>
      </c>
      <c r="BF66" s="67" t="n">
        <f aca="false">-MIN(BF65/MAX(1,Inputs!$B$82*12),BE68+BF64)</f>
        <v>-1761.90476190476</v>
      </c>
      <c r="BG66" s="67" t="n">
        <f aca="false">-MIN(BG65/MAX(1,Inputs!$B$82*12),BF68+BG64)</f>
        <v>-1761.90476190476</v>
      </c>
      <c r="BH66" s="67" t="n">
        <f aca="false">-MIN(BH65/MAX(1,Inputs!$B$82*12),BG68+BH64)</f>
        <v>-1761.90476190476</v>
      </c>
      <c r="BI66" s="67" t="n">
        <f aca="false">-MIN(BI65/MAX(1,Inputs!$B$82*12),BH68+BI64)</f>
        <v>-1761.90476190476</v>
      </c>
      <c r="BJ66" s="67" t="n">
        <f aca="false">-MIN(BJ65/MAX(1,Inputs!$B$82*12),BI68+BJ64)</f>
        <v>-1761.90476190476</v>
      </c>
    </row>
    <row r="67" customFormat="false" ht="15" hidden="false" customHeight="false" outlineLevel="0" collapsed="false">
      <c r="A67" s="6" t="s">
        <v>438</v>
      </c>
      <c r="C67" s="67" t="n">
        <f aca="false">C66</f>
        <v>-1642.85714285714</v>
      </c>
      <c r="D67" s="67" t="n">
        <f aca="false">C67+D66</f>
        <v>-3285.71428571429</v>
      </c>
      <c r="E67" s="67" t="n">
        <f aca="false">D67+E66</f>
        <v>-4928.57142857143</v>
      </c>
      <c r="F67" s="67" t="n">
        <f aca="false">E67+F66</f>
        <v>-6571.42857142857</v>
      </c>
      <c r="G67" s="67" t="n">
        <f aca="false">F67+G66</f>
        <v>-8214.28571428571</v>
      </c>
      <c r="H67" s="67" t="n">
        <f aca="false">G67+H66</f>
        <v>-9857.14285714286</v>
      </c>
      <c r="I67" s="67" t="n">
        <f aca="false">H67+I66</f>
        <v>-11500</v>
      </c>
      <c r="J67" s="67" t="n">
        <f aca="false">I67+J66</f>
        <v>-13142.8571428571</v>
      </c>
      <c r="K67" s="67" t="n">
        <f aca="false">J67+K66</f>
        <v>-14785.7142857143</v>
      </c>
      <c r="L67" s="67" t="n">
        <f aca="false">K67+L66</f>
        <v>-16428.5714285714</v>
      </c>
      <c r="M67" s="67" t="n">
        <f aca="false">L67+M66</f>
        <v>-18071.4285714286</v>
      </c>
      <c r="N67" s="67" t="n">
        <f aca="false">M67+N66</f>
        <v>-19714.2857142857</v>
      </c>
      <c r="O67" s="67" t="n">
        <f aca="false">N67+O66</f>
        <v>-21386.9047619048</v>
      </c>
      <c r="P67" s="67" t="n">
        <f aca="false">O67+P66</f>
        <v>-23059.5238095238</v>
      </c>
      <c r="Q67" s="67" t="n">
        <f aca="false">P67+Q66</f>
        <v>-24732.1428571428</v>
      </c>
      <c r="R67" s="67" t="n">
        <f aca="false">Q67+R66</f>
        <v>-26404.7619047619</v>
      </c>
      <c r="S67" s="67" t="n">
        <f aca="false">R67+S66</f>
        <v>-28077.3809523809</v>
      </c>
      <c r="T67" s="67" t="n">
        <f aca="false">S67+T66</f>
        <v>-29750</v>
      </c>
      <c r="U67" s="67" t="n">
        <f aca="false">T67+U66</f>
        <v>-31422.619047619</v>
      </c>
      <c r="V67" s="67" t="n">
        <f aca="false">U67+V66</f>
        <v>-33095.2380952381</v>
      </c>
      <c r="W67" s="67" t="n">
        <f aca="false">V67+W66</f>
        <v>-34767.8571428571</v>
      </c>
      <c r="X67" s="67" t="n">
        <f aca="false">W67+X66</f>
        <v>-36440.4761904762</v>
      </c>
      <c r="Y67" s="67" t="n">
        <f aca="false">X67+Y66</f>
        <v>-38113.0952380952</v>
      </c>
      <c r="Z67" s="67" t="n">
        <f aca="false">Y67+Z66</f>
        <v>-39785.7142857143</v>
      </c>
      <c r="AA67" s="67" t="n">
        <f aca="false">Z67+AA66</f>
        <v>-41488.0952380952</v>
      </c>
      <c r="AB67" s="67" t="n">
        <f aca="false">AA67+AB66</f>
        <v>-43190.4761904762</v>
      </c>
      <c r="AC67" s="67" t="n">
        <f aca="false">AB67+AC66</f>
        <v>-44892.8571428571</v>
      </c>
      <c r="AD67" s="67" t="n">
        <f aca="false">AC67+AD66</f>
        <v>-46595.2380952381</v>
      </c>
      <c r="AE67" s="67" t="n">
        <f aca="false">AD67+AE66</f>
        <v>-48297.619047619</v>
      </c>
      <c r="AF67" s="67" t="n">
        <f aca="false">AE67+AF66</f>
        <v>-50000</v>
      </c>
      <c r="AG67" s="67" t="n">
        <f aca="false">AF67+AG66</f>
        <v>-51702.3809523809</v>
      </c>
      <c r="AH67" s="67" t="n">
        <f aca="false">AG67+AH66</f>
        <v>-53404.7619047619</v>
      </c>
      <c r="AI67" s="67" t="n">
        <f aca="false">AH67+AI66</f>
        <v>-55107.1428571429</v>
      </c>
      <c r="AJ67" s="67" t="n">
        <f aca="false">AI67+AJ66</f>
        <v>-56809.5238095238</v>
      </c>
      <c r="AK67" s="67" t="n">
        <f aca="false">AJ67+AK66</f>
        <v>-58511.9047619048</v>
      </c>
      <c r="AL67" s="67" t="n">
        <f aca="false">AK67+AL66</f>
        <v>-60214.2857142857</v>
      </c>
      <c r="AM67" s="67" t="n">
        <f aca="false">AL67+AM66</f>
        <v>-61946.4285714286</v>
      </c>
      <c r="AN67" s="67" t="n">
        <f aca="false">AM67+AN66</f>
        <v>-63678.5714285714</v>
      </c>
      <c r="AO67" s="67" t="n">
        <f aca="false">AN67+AO66</f>
        <v>-65410.7142857143</v>
      </c>
      <c r="AP67" s="67" t="n">
        <f aca="false">AO67+AP66</f>
        <v>-67142.8571428571</v>
      </c>
      <c r="AQ67" s="67" t="n">
        <f aca="false">AP67+AQ66</f>
        <v>-68875</v>
      </c>
      <c r="AR67" s="67" t="n">
        <f aca="false">AQ67+AR66</f>
        <v>-70607.1428571428</v>
      </c>
      <c r="AS67" s="67" t="n">
        <f aca="false">AR67+AS66</f>
        <v>-72339.2857142857</v>
      </c>
      <c r="AT67" s="67" t="n">
        <f aca="false">AS67+AT66</f>
        <v>-74071.4285714286</v>
      </c>
      <c r="AU67" s="67" t="n">
        <f aca="false">AT67+AU66</f>
        <v>-75803.5714285714</v>
      </c>
      <c r="AV67" s="67" t="n">
        <f aca="false">AU67+AV66</f>
        <v>-77535.7142857143</v>
      </c>
      <c r="AW67" s="67" t="n">
        <f aca="false">AV67+AW66</f>
        <v>-79267.8571428571</v>
      </c>
      <c r="AX67" s="67" t="n">
        <f aca="false">AW67+AX66</f>
        <v>-81000</v>
      </c>
      <c r="AY67" s="67" t="n">
        <f aca="false">AX67+AY66</f>
        <v>-82761.9047619047</v>
      </c>
      <c r="AZ67" s="67" t="n">
        <f aca="false">AY67+AZ66</f>
        <v>-84523.8095238095</v>
      </c>
      <c r="BA67" s="67" t="n">
        <f aca="false">AZ67+BA66</f>
        <v>-86285.7142857143</v>
      </c>
      <c r="BB67" s="67" t="n">
        <f aca="false">BA67+BB66</f>
        <v>-88047.619047619</v>
      </c>
      <c r="BC67" s="67" t="n">
        <f aca="false">BB67+BC66</f>
        <v>-89809.5238095238</v>
      </c>
      <c r="BD67" s="67" t="n">
        <f aca="false">BC67+BD66</f>
        <v>-91571.4285714286</v>
      </c>
      <c r="BE67" s="67" t="n">
        <f aca="false">BD67+BE66</f>
        <v>-93333.3333333333</v>
      </c>
      <c r="BF67" s="67" t="n">
        <f aca="false">BE67+BF66</f>
        <v>-95095.2380952381</v>
      </c>
      <c r="BG67" s="67" t="n">
        <f aca="false">BF67+BG66</f>
        <v>-96857.1428571428</v>
      </c>
      <c r="BH67" s="67" t="n">
        <f aca="false">BG67+BH66</f>
        <v>-98619.0476190476</v>
      </c>
      <c r="BI67" s="67" t="n">
        <f aca="false">BH67+BI66</f>
        <v>-100380.952380952</v>
      </c>
      <c r="BJ67" s="67" t="n">
        <f aca="false">BI67+BJ66</f>
        <v>-102142.857142857</v>
      </c>
    </row>
    <row r="68" customFormat="false" ht="15" hidden="false" customHeight="false" outlineLevel="0" collapsed="false">
      <c r="A68" s="4" t="s">
        <v>92</v>
      </c>
      <c r="C68" s="73" t="n">
        <f aca="false">C65+C67</f>
        <v>136357.142857143</v>
      </c>
      <c r="D68" s="73" t="n">
        <f aca="false">D65+D67</f>
        <v>134714.285714286</v>
      </c>
      <c r="E68" s="73" t="n">
        <f aca="false">E65+E67</f>
        <v>133071.428571429</v>
      </c>
      <c r="F68" s="73" t="n">
        <f aca="false">F65+F67</f>
        <v>131428.571428571</v>
      </c>
      <c r="G68" s="73" t="n">
        <f aca="false">G65+G67</f>
        <v>129785.714285714</v>
      </c>
      <c r="H68" s="73" t="n">
        <f aca="false">H65+H67</f>
        <v>128142.857142857</v>
      </c>
      <c r="I68" s="73" t="n">
        <f aca="false">I65+I67</f>
        <v>126500</v>
      </c>
      <c r="J68" s="73" t="n">
        <f aca="false">J65+J67</f>
        <v>124857.142857143</v>
      </c>
      <c r="K68" s="73" t="n">
        <f aca="false">K65+K67</f>
        <v>123214.285714286</v>
      </c>
      <c r="L68" s="73" t="n">
        <f aca="false">L65+L67</f>
        <v>121571.428571429</v>
      </c>
      <c r="M68" s="73" t="n">
        <f aca="false">M65+M67</f>
        <v>119928.571428571</v>
      </c>
      <c r="N68" s="73" t="n">
        <f aca="false">N65+N67</f>
        <v>118285.714285714</v>
      </c>
      <c r="O68" s="73" t="n">
        <f aca="false">O65+O67</f>
        <v>119113.095238095</v>
      </c>
      <c r="P68" s="73" t="n">
        <f aca="false">P65+P67</f>
        <v>117440.476190476</v>
      </c>
      <c r="Q68" s="73" t="n">
        <f aca="false">Q65+Q67</f>
        <v>115767.857142857</v>
      </c>
      <c r="R68" s="73" t="n">
        <f aca="false">R65+R67</f>
        <v>114095.238095238</v>
      </c>
      <c r="S68" s="73" t="n">
        <f aca="false">S65+S67</f>
        <v>112422.619047619</v>
      </c>
      <c r="T68" s="73" t="n">
        <f aca="false">T65+T67</f>
        <v>110750</v>
      </c>
      <c r="U68" s="73" t="n">
        <f aca="false">U65+U67</f>
        <v>109077.380952381</v>
      </c>
      <c r="V68" s="73" t="n">
        <f aca="false">V65+V67</f>
        <v>107404.761904762</v>
      </c>
      <c r="W68" s="73" t="n">
        <f aca="false">W65+W67</f>
        <v>105732.142857143</v>
      </c>
      <c r="X68" s="73" t="n">
        <f aca="false">X65+X67</f>
        <v>104059.523809524</v>
      </c>
      <c r="Y68" s="73" t="n">
        <f aca="false">Y65+Y67</f>
        <v>102386.904761905</v>
      </c>
      <c r="Z68" s="73" t="n">
        <f aca="false">Z65+Z67</f>
        <v>100714.285714286</v>
      </c>
      <c r="AA68" s="73" t="n">
        <f aca="false">AA65+AA67</f>
        <v>101511.904761905</v>
      </c>
      <c r="AB68" s="73" t="n">
        <f aca="false">AB65+AB67</f>
        <v>99809.5238095238</v>
      </c>
      <c r="AC68" s="73" t="n">
        <f aca="false">AC65+AC67</f>
        <v>98107.1428571429</v>
      </c>
      <c r="AD68" s="73" t="n">
        <f aca="false">AD65+AD67</f>
        <v>96404.7619047619</v>
      </c>
      <c r="AE68" s="73" t="n">
        <f aca="false">AE65+AE67</f>
        <v>94702.380952381</v>
      </c>
      <c r="AF68" s="73" t="n">
        <f aca="false">AF65+AF67</f>
        <v>93000</v>
      </c>
      <c r="AG68" s="73" t="n">
        <f aca="false">AG65+AG67</f>
        <v>91297.6190476191</v>
      </c>
      <c r="AH68" s="73" t="n">
        <f aca="false">AH65+AH67</f>
        <v>89595.2380952381</v>
      </c>
      <c r="AI68" s="73" t="n">
        <f aca="false">AI65+AI67</f>
        <v>87892.8571428572</v>
      </c>
      <c r="AJ68" s="73" t="n">
        <f aca="false">AJ65+AJ67</f>
        <v>86190.4761904762</v>
      </c>
      <c r="AK68" s="73" t="n">
        <f aca="false">AK65+AK67</f>
        <v>84488.0952380952</v>
      </c>
      <c r="AL68" s="73" t="n">
        <f aca="false">AL65+AL67</f>
        <v>82785.7142857143</v>
      </c>
      <c r="AM68" s="73" t="n">
        <f aca="false">AM65+AM67</f>
        <v>83553.5714285714</v>
      </c>
      <c r="AN68" s="73" t="n">
        <f aca="false">AN65+AN67</f>
        <v>81821.4285714286</v>
      </c>
      <c r="AO68" s="73" t="n">
        <f aca="false">AO65+AO67</f>
        <v>80089.2857142857</v>
      </c>
      <c r="AP68" s="73" t="n">
        <f aca="false">AP65+AP67</f>
        <v>78357.1428571429</v>
      </c>
      <c r="AQ68" s="73" t="n">
        <f aca="false">AQ65+AQ67</f>
        <v>76625</v>
      </c>
      <c r="AR68" s="73" t="n">
        <f aca="false">AR65+AR67</f>
        <v>74892.8571428572</v>
      </c>
      <c r="AS68" s="73" t="n">
        <f aca="false">AS65+AS67</f>
        <v>73160.7142857143</v>
      </c>
      <c r="AT68" s="73" t="n">
        <f aca="false">AT65+AT67</f>
        <v>71428.5714285715</v>
      </c>
      <c r="AU68" s="73" t="n">
        <f aca="false">AU65+AU67</f>
        <v>69696.4285714286</v>
      </c>
      <c r="AV68" s="73" t="n">
        <f aca="false">AV65+AV67</f>
        <v>67964.2857142857</v>
      </c>
      <c r="AW68" s="73" t="n">
        <f aca="false">AW65+AW67</f>
        <v>66232.1428571429</v>
      </c>
      <c r="AX68" s="73" t="n">
        <f aca="false">AX65+AX67</f>
        <v>64500</v>
      </c>
      <c r="AY68" s="73" t="n">
        <f aca="false">AY65+AY67</f>
        <v>65238.0952380953</v>
      </c>
      <c r="AZ68" s="73" t="n">
        <f aca="false">AZ65+AZ67</f>
        <v>63476.1904761905</v>
      </c>
      <c r="BA68" s="73" t="n">
        <f aca="false">BA65+BA67</f>
        <v>61714.2857142857</v>
      </c>
      <c r="BB68" s="73" t="n">
        <f aca="false">BB65+BB67</f>
        <v>59952.380952381</v>
      </c>
      <c r="BC68" s="73" t="n">
        <f aca="false">BC65+BC67</f>
        <v>58190.4761904762</v>
      </c>
      <c r="BD68" s="73" t="n">
        <f aca="false">BD65+BD67</f>
        <v>56428.5714285715</v>
      </c>
      <c r="BE68" s="73" t="n">
        <f aca="false">BE65+BE67</f>
        <v>54666.6666666667</v>
      </c>
      <c r="BF68" s="73" t="n">
        <f aca="false">BF65+BF67</f>
        <v>52904.7619047619</v>
      </c>
      <c r="BG68" s="73" t="n">
        <f aca="false">BG65+BG67</f>
        <v>51142.8571428572</v>
      </c>
      <c r="BH68" s="73" t="n">
        <f aca="false">BH65+BH67</f>
        <v>49380.9523809524</v>
      </c>
      <c r="BI68" s="73" t="n">
        <f aca="false">BI65+BI67</f>
        <v>47619.0476190476</v>
      </c>
      <c r="BJ68" s="73" t="n">
        <f aca="false">BJ65+BJ67</f>
        <v>45857.1428571429</v>
      </c>
    </row>
    <row r="70" customFormat="false" ht="15.75" hidden="false" customHeight="true" outlineLevel="0" collapsed="false">
      <c r="A70" s="7" t="s">
        <v>439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</row>
    <row r="71" customFormat="false" ht="15" hidden="false" customHeight="false" outlineLevel="0" collapsed="false">
      <c r="A71" s="6" t="s">
        <v>440</v>
      </c>
      <c r="C71" s="67" t="n">
        <f aca="false">0</f>
        <v>0</v>
      </c>
      <c r="D71" s="67" t="n">
        <f aca="false">C74</f>
        <v>90000</v>
      </c>
      <c r="E71" s="67" t="n">
        <f aca="false">D74</f>
        <v>88500</v>
      </c>
      <c r="F71" s="67" t="n">
        <f aca="false">E74</f>
        <v>87000</v>
      </c>
      <c r="G71" s="67" t="n">
        <f aca="false">F74</f>
        <v>85500</v>
      </c>
      <c r="H71" s="67" t="n">
        <f aca="false">G74</f>
        <v>84000</v>
      </c>
      <c r="I71" s="67" t="n">
        <f aca="false">H74</f>
        <v>82500</v>
      </c>
      <c r="J71" s="67" t="n">
        <f aca="false">I74</f>
        <v>81000</v>
      </c>
      <c r="K71" s="67" t="n">
        <f aca="false">J74</f>
        <v>79500</v>
      </c>
      <c r="L71" s="67" t="n">
        <f aca="false">K74</f>
        <v>78000</v>
      </c>
      <c r="M71" s="67" t="n">
        <f aca="false">L74</f>
        <v>76500</v>
      </c>
      <c r="N71" s="67" t="n">
        <f aca="false">M74</f>
        <v>75000</v>
      </c>
      <c r="O71" s="67" t="n">
        <f aca="false">N74</f>
        <v>73500</v>
      </c>
      <c r="P71" s="67" t="n">
        <f aca="false">O74</f>
        <v>72000</v>
      </c>
      <c r="Q71" s="67" t="n">
        <f aca="false">P74</f>
        <v>70500</v>
      </c>
      <c r="R71" s="67" t="n">
        <f aca="false">Q74</f>
        <v>69000</v>
      </c>
      <c r="S71" s="67" t="n">
        <f aca="false">R74</f>
        <v>67500</v>
      </c>
      <c r="T71" s="67" t="n">
        <f aca="false">S74</f>
        <v>66000</v>
      </c>
      <c r="U71" s="67" t="n">
        <f aca="false">T74</f>
        <v>64500</v>
      </c>
      <c r="V71" s="67" t="n">
        <f aca="false">U74</f>
        <v>63000</v>
      </c>
      <c r="W71" s="67" t="n">
        <f aca="false">V74</f>
        <v>61500</v>
      </c>
      <c r="X71" s="67" t="n">
        <f aca="false">W74</f>
        <v>60000</v>
      </c>
      <c r="Y71" s="67" t="n">
        <f aca="false">X74</f>
        <v>58500</v>
      </c>
      <c r="Z71" s="67" t="n">
        <f aca="false">Y74</f>
        <v>57000</v>
      </c>
      <c r="AA71" s="67" t="n">
        <f aca="false">Z74</f>
        <v>55500</v>
      </c>
      <c r="AB71" s="67" t="n">
        <f aca="false">AA74</f>
        <v>54000</v>
      </c>
      <c r="AC71" s="67" t="n">
        <f aca="false">AB74</f>
        <v>52500</v>
      </c>
      <c r="AD71" s="67" t="n">
        <f aca="false">AC74</f>
        <v>51000</v>
      </c>
      <c r="AE71" s="67" t="n">
        <f aca="false">AD74</f>
        <v>49500</v>
      </c>
      <c r="AF71" s="67" t="n">
        <f aca="false">AE74</f>
        <v>48000</v>
      </c>
      <c r="AG71" s="67" t="n">
        <f aca="false">AF74</f>
        <v>46500</v>
      </c>
      <c r="AH71" s="67" t="n">
        <f aca="false">AG74</f>
        <v>45000</v>
      </c>
      <c r="AI71" s="67" t="n">
        <f aca="false">AH74</f>
        <v>43500</v>
      </c>
      <c r="AJ71" s="67" t="n">
        <f aca="false">AI74</f>
        <v>42000</v>
      </c>
      <c r="AK71" s="67" t="n">
        <f aca="false">AJ74</f>
        <v>40500</v>
      </c>
      <c r="AL71" s="67" t="n">
        <f aca="false">AK74</f>
        <v>39000</v>
      </c>
      <c r="AM71" s="67" t="n">
        <f aca="false">AL74</f>
        <v>37500</v>
      </c>
      <c r="AN71" s="67" t="n">
        <f aca="false">AM74</f>
        <v>36000</v>
      </c>
      <c r="AO71" s="67" t="n">
        <f aca="false">AN74</f>
        <v>34500</v>
      </c>
      <c r="AP71" s="67" t="n">
        <f aca="false">AO74</f>
        <v>33000</v>
      </c>
      <c r="AQ71" s="67" t="n">
        <f aca="false">AP74</f>
        <v>31500</v>
      </c>
      <c r="AR71" s="67" t="n">
        <f aca="false">AQ74</f>
        <v>30000</v>
      </c>
      <c r="AS71" s="67" t="n">
        <f aca="false">AR74</f>
        <v>28500</v>
      </c>
      <c r="AT71" s="67" t="n">
        <f aca="false">AS74</f>
        <v>27000</v>
      </c>
      <c r="AU71" s="67" t="n">
        <f aca="false">AT74</f>
        <v>25500</v>
      </c>
      <c r="AV71" s="67" t="n">
        <f aca="false">AU74</f>
        <v>24000</v>
      </c>
      <c r="AW71" s="67" t="n">
        <f aca="false">AV74</f>
        <v>22500</v>
      </c>
      <c r="AX71" s="67" t="n">
        <f aca="false">AW74</f>
        <v>21000</v>
      </c>
      <c r="AY71" s="67" t="n">
        <f aca="false">AX74</f>
        <v>19500</v>
      </c>
      <c r="AZ71" s="67" t="n">
        <f aca="false">AY74</f>
        <v>18000</v>
      </c>
      <c r="BA71" s="67" t="n">
        <f aca="false">AZ74</f>
        <v>16500</v>
      </c>
      <c r="BB71" s="67" t="n">
        <f aca="false">BA74</f>
        <v>15000</v>
      </c>
      <c r="BC71" s="67" t="n">
        <f aca="false">BB74</f>
        <v>13500</v>
      </c>
      <c r="BD71" s="67" t="n">
        <f aca="false">BC74</f>
        <v>12000</v>
      </c>
      <c r="BE71" s="67" t="n">
        <f aca="false">BD74</f>
        <v>10500</v>
      </c>
      <c r="BF71" s="67" t="n">
        <f aca="false">BE74</f>
        <v>9000</v>
      </c>
      <c r="BG71" s="67" t="n">
        <f aca="false">BF74</f>
        <v>7500</v>
      </c>
      <c r="BH71" s="67" t="n">
        <f aca="false">BG74</f>
        <v>6000</v>
      </c>
      <c r="BI71" s="67" t="n">
        <f aca="false">BH74</f>
        <v>4500</v>
      </c>
      <c r="BJ71" s="67" t="n">
        <f aca="false">BI74</f>
        <v>3000</v>
      </c>
    </row>
    <row r="72" customFormat="false" ht="15" hidden="false" customHeight="false" outlineLevel="0" collapsed="false">
      <c r="A72" s="6" t="s">
        <v>85</v>
      </c>
      <c r="C72" s="67" t="n">
        <f aca="false">IF(C$6=1,Inputs!$B$72,0)</f>
        <v>90000</v>
      </c>
      <c r="D72" s="67" t="n">
        <f aca="false">IF(D$6=1,Inputs!$B$72,0)</f>
        <v>0</v>
      </c>
      <c r="E72" s="67" t="n">
        <f aca="false">IF(E$6=1,Inputs!$B$72,0)</f>
        <v>0</v>
      </c>
      <c r="F72" s="67" t="n">
        <f aca="false">IF(F$6=1,Inputs!$B$72,0)</f>
        <v>0</v>
      </c>
      <c r="G72" s="67" t="n">
        <f aca="false">IF(G$6=1,Inputs!$B$72,0)</f>
        <v>0</v>
      </c>
      <c r="H72" s="67" t="n">
        <f aca="false">IF(H$6=1,Inputs!$B$72,0)</f>
        <v>0</v>
      </c>
      <c r="I72" s="67" t="n">
        <f aca="false">IF(I$6=1,Inputs!$B$72,0)</f>
        <v>0</v>
      </c>
      <c r="J72" s="67" t="n">
        <f aca="false">IF(J$6=1,Inputs!$B$72,0)</f>
        <v>0</v>
      </c>
      <c r="K72" s="67" t="n">
        <f aca="false">IF(K$6=1,Inputs!$B$72,0)</f>
        <v>0</v>
      </c>
      <c r="L72" s="67" t="n">
        <f aca="false">IF(L$6=1,Inputs!$B$72,0)</f>
        <v>0</v>
      </c>
      <c r="M72" s="67" t="n">
        <f aca="false">IF(M$6=1,Inputs!$B$72,0)</f>
        <v>0</v>
      </c>
      <c r="N72" s="67" t="n">
        <f aca="false">IF(N$6=1,Inputs!$B$72,0)</f>
        <v>0</v>
      </c>
      <c r="O72" s="67" t="n">
        <f aca="false">IF(O$6=1,Inputs!$B$72,0)</f>
        <v>0</v>
      </c>
      <c r="P72" s="67" t="n">
        <f aca="false">IF(P$6=1,Inputs!$B$72,0)</f>
        <v>0</v>
      </c>
      <c r="Q72" s="67" t="n">
        <f aca="false">IF(Q$6=1,Inputs!$B$72,0)</f>
        <v>0</v>
      </c>
      <c r="R72" s="67" t="n">
        <f aca="false">IF(R$6=1,Inputs!$B$72,0)</f>
        <v>0</v>
      </c>
      <c r="S72" s="67" t="n">
        <f aca="false">IF(S$6=1,Inputs!$B$72,0)</f>
        <v>0</v>
      </c>
      <c r="T72" s="67" t="n">
        <f aca="false">IF(T$6=1,Inputs!$B$72,0)</f>
        <v>0</v>
      </c>
      <c r="U72" s="67" t="n">
        <f aca="false">IF(U$6=1,Inputs!$B$72,0)</f>
        <v>0</v>
      </c>
      <c r="V72" s="67" t="n">
        <f aca="false">IF(V$6=1,Inputs!$B$72,0)</f>
        <v>0</v>
      </c>
      <c r="W72" s="67" t="n">
        <f aca="false">IF(W$6=1,Inputs!$B$72,0)</f>
        <v>0</v>
      </c>
      <c r="X72" s="67" t="n">
        <f aca="false">IF(X$6=1,Inputs!$B$72,0)</f>
        <v>0</v>
      </c>
      <c r="Y72" s="67" t="n">
        <f aca="false">IF(Y$6=1,Inputs!$B$72,0)</f>
        <v>0</v>
      </c>
      <c r="Z72" s="67" t="n">
        <f aca="false">IF(Z$6=1,Inputs!$B$72,0)</f>
        <v>0</v>
      </c>
      <c r="AA72" s="67" t="n">
        <f aca="false">IF(AA$6=1,Inputs!$B$72,0)</f>
        <v>0</v>
      </c>
      <c r="AB72" s="67" t="n">
        <f aca="false">IF(AB$6=1,Inputs!$B$72,0)</f>
        <v>0</v>
      </c>
      <c r="AC72" s="67" t="n">
        <f aca="false">IF(AC$6=1,Inputs!$B$72,0)</f>
        <v>0</v>
      </c>
      <c r="AD72" s="67" t="n">
        <f aca="false">IF(AD$6=1,Inputs!$B$72,0)</f>
        <v>0</v>
      </c>
      <c r="AE72" s="67" t="n">
        <f aca="false">IF(AE$6=1,Inputs!$B$72,0)</f>
        <v>0</v>
      </c>
      <c r="AF72" s="67" t="n">
        <f aca="false">IF(AF$6=1,Inputs!$B$72,0)</f>
        <v>0</v>
      </c>
      <c r="AG72" s="67" t="n">
        <f aca="false">IF(AG$6=1,Inputs!$B$72,0)</f>
        <v>0</v>
      </c>
      <c r="AH72" s="67" t="n">
        <f aca="false">IF(AH$6=1,Inputs!$B$72,0)</f>
        <v>0</v>
      </c>
      <c r="AI72" s="67" t="n">
        <f aca="false">IF(AI$6=1,Inputs!$B$72,0)</f>
        <v>0</v>
      </c>
      <c r="AJ72" s="67" t="n">
        <f aca="false">IF(AJ$6=1,Inputs!$B$72,0)</f>
        <v>0</v>
      </c>
      <c r="AK72" s="67" t="n">
        <f aca="false">IF(AK$6=1,Inputs!$B$72,0)</f>
        <v>0</v>
      </c>
      <c r="AL72" s="67" t="n">
        <f aca="false">IF(AL$6=1,Inputs!$B$72,0)</f>
        <v>0</v>
      </c>
      <c r="AM72" s="67" t="n">
        <f aca="false">IF(AM$6=1,Inputs!$B$72,0)</f>
        <v>0</v>
      </c>
      <c r="AN72" s="67" t="n">
        <f aca="false">IF(AN$6=1,Inputs!$B$72,0)</f>
        <v>0</v>
      </c>
      <c r="AO72" s="67" t="n">
        <f aca="false">IF(AO$6=1,Inputs!$B$72,0)</f>
        <v>0</v>
      </c>
      <c r="AP72" s="67" t="n">
        <f aca="false">IF(AP$6=1,Inputs!$B$72,0)</f>
        <v>0</v>
      </c>
      <c r="AQ72" s="67" t="n">
        <f aca="false">IF(AQ$6=1,Inputs!$B$72,0)</f>
        <v>0</v>
      </c>
      <c r="AR72" s="67" t="n">
        <f aca="false">IF(AR$6=1,Inputs!$B$72,0)</f>
        <v>0</v>
      </c>
      <c r="AS72" s="67" t="n">
        <f aca="false">IF(AS$6=1,Inputs!$B$72,0)</f>
        <v>0</v>
      </c>
      <c r="AT72" s="67" t="n">
        <f aca="false">IF(AT$6=1,Inputs!$B$72,0)</f>
        <v>0</v>
      </c>
      <c r="AU72" s="67" t="n">
        <f aca="false">IF(AU$6=1,Inputs!$B$72,0)</f>
        <v>0</v>
      </c>
      <c r="AV72" s="67" t="n">
        <f aca="false">IF(AV$6=1,Inputs!$B$72,0)</f>
        <v>0</v>
      </c>
      <c r="AW72" s="67" t="n">
        <f aca="false">IF(AW$6=1,Inputs!$B$72,0)</f>
        <v>0</v>
      </c>
      <c r="AX72" s="67" t="n">
        <f aca="false">IF(AX$6=1,Inputs!$B$72,0)</f>
        <v>0</v>
      </c>
      <c r="AY72" s="67" t="n">
        <f aca="false">IF(AY$6=1,Inputs!$B$72,0)</f>
        <v>0</v>
      </c>
      <c r="AZ72" s="67" t="n">
        <f aca="false">IF(AZ$6=1,Inputs!$B$72,0)</f>
        <v>0</v>
      </c>
      <c r="BA72" s="67" t="n">
        <f aca="false">IF(BA$6=1,Inputs!$B$72,0)</f>
        <v>0</v>
      </c>
      <c r="BB72" s="67" t="n">
        <f aca="false">IF(BB$6=1,Inputs!$B$72,0)</f>
        <v>0</v>
      </c>
      <c r="BC72" s="67" t="n">
        <f aca="false">IF(BC$6=1,Inputs!$B$72,0)</f>
        <v>0</v>
      </c>
      <c r="BD72" s="67" t="n">
        <f aca="false">IF(BD$6=1,Inputs!$B$72,0)</f>
        <v>0</v>
      </c>
      <c r="BE72" s="67" t="n">
        <f aca="false">IF(BE$6=1,Inputs!$B$72,0)</f>
        <v>0</v>
      </c>
      <c r="BF72" s="67" t="n">
        <f aca="false">IF(BF$6=1,Inputs!$B$72,0)</f>
        <v>0</v>
      </c>
      <c r="BG72" s="67" t="n">
        <f aca="false">IF(BG$6=1,Inputs!$B$72,0)</f>
        <v>0</v>
      </c>
      <c r="BH72" s="67" t="n">
        <f aca="false">IF(BH$6=1,Inputs!$B$72,0)</f>
        <v>0</v>
      </c>
      <c r="BI72" s="67" t="n">
        <f aca="false">IF(BI$6=1,Inputs!$B$72,0)</f>
        <v>0</v>
      </c>
      <c r="BJ72" s="67" t="n">
        <f aca="false">IF(BJ$6=1,Inputs!$B$72,0)</f>
        <v>0</v>
      </c>
    </row>
    <row r="73" customFormat="false" ht="15" hidden="false" customHeight="false" outlineLevel="0" collapsed="false">
      <c r="A73" s="6" t="s">
        <v>86</v>
      </c>
      <c r="C73" s="67" t="n">
        <f aca="false">-MIN(C71,Inputs!$B$72/MAX(1,Inputs!$B$74*12))</f>
        <v>-0</v>
      </c>
      <c r="D73" s="67" t="n">
        <f aca="false">-MIN(D71,Inputs!$B$72/MAX(1,Inputs!$B$74*12))</f>
        <v>-1500</v>
      </c>
      <c r="E73" s="67" t="n">
        <f aca="false">-MIN(E71,Inputs!$B$72/MAX(1,Inputs!$B$74*12))</f>
        <v>-1500</v>
      </c>
      <c r="F73" s="67" t="n">
        <f aca="false">-MIN(F71,Inputs!$B$72/MAX(1,Inputs!$B$74*12))</f>
        <v>-1500</v>
      </c>
      <c r="G73" s="67" t="n">
        <f aca="false">-MIN(G71,Inputs!$B$72/MAX(1,Inputs!$B$74*12))</f>
        <v>-1500</v>
      </c>
      <c r="H73" s="67" t="n">
        <f aca="false">-MIN(H71,Inputs!$B$72/MAX(1,Inputs!$B$74*12))</f>
        <v>-1500</v>
      </c>
      <c r="I73" s="67" t="n">
        <f aca="false">-MIN(I71,Inputs!$B$72/MAX(1,Inputs!$B$74*12))</f>
        <v>-1500</v>
      </c>
      <c r="J73" s="67" t="n">
        <f aca="false">-MIN(J71,Inputs!$B$72/MAX(1,Inputs!$B$74*12))</f>
        <v>-1500</v>
      </c>
      <c r="K73" s="67" t="n">
        <f aca="false">-MIN(K71,Inputs!$B$72/MAX(1,Inputs!$B$74*12))</f>
        <v>-1500</v>
      </c>
      <c r="L73" s="67" t="n">
        <f aca="false">-MIN(L71,Inputs!$B$72/MAX(1,Inputs!$B$74*12))</f>
        <v>-1500</v>
      </c>
      <c r="M73" s="67" t="n">
        <f aca="false">-MIN(M71,Inputs!$B$72/MAX(1,Inputs!$B$74*12))</f>
        <v>-1500</v>
      </c>
      <c r="N73" s="67" t="n">
        <f aca="false">-MIN(N71,Inputs!$B$72/MAX(1,Inputs!$B$74*12))</f>
        <v>-1500</v>
      </c>
      <c r="O73" s="67" t="n">
        <f aca="false">-MIN(O71,Inputs!$B$72/MAX(1,Inputs!$B$74*12))</f>
        <v>-1500</v>
      </c>
      <c r="P73" s="67" t="n">
        <f aca="false">-MIN(P71,Inputs!$B$72/MAX(1,Inputs!$B$74*12))</f>
        <v>-1500</v>
      </c>
      <c r="Q73" s="67" t="n">
        <f aca="false">-MIN(Q71,Inputs!$B$72/MAX(1,Inputs!$B$74*12))</f>
        <v>-1500</v>
      </c>
      <c r="R73" s="67" t="n">
        <f aca="false">-MIN(R71,Inputs!$B$72/MAX(1,Inputs!$B$74*12))</f>
        <v>-1500</v>
      </c>
      <c r="S73" s="67" t="n">
        <f aca="false">-MIN(S71,Inputs!$B$72/MAX(1,Inputs!$B$74*12))</f>
        <v>-1500</v>
      </c>
      <c r="T73" s="67" t="n">
        <f aca="false">-MIN(T71,Inputs!$B$72/MAX(1,Inputs!$B$74*12))</f>
        <v>-1500</v>
      </c>
      <c r="U73" s="67" t="n">
        <f aca="false">-MIN(U71,Inputs!$B$72/MAX(1,Inputs!$B$74*12))</f>
        <v>-1500</v>
      </c>
      <c r="V73" s="67" t="n">
        <f aca="false">-MIN(V71,Inputs!$B$72/MAX(1,Inputs!$B$74*12))</f>
        <v>-1500</v>
      </c>
      <c r="W73" s="67" t="n">
        <f aca="false">-MIN(W71,Inputs!$B$72/MAX(1,Inputs!$B$74*12))</f>
        <v>-1500</v>
      </c>
      <c r="X73" s="67" t="n">
        <f aca="false">-MIN(X71,Inputs!$B$72/MAX(1,Inputs!$B$74*12))</f>
        <v>-1500</v>
      </c>
      <c r="Y73" s="67" t="n">
        <f aca="false">-MIN(Y71,Inputs!$B$72/MAX(1,Inputs!$B$74*12))</f>
        <v>-1500</v>
      </c>
      <c r="Z73" s="67" t="n">
        <f aca="false">-MIN(Z71,Inputs!$B$72/MAX(1,Inputs!$B$74*12))</f>
        <v>-1500</v>
      </c>
      <c r="AA73" s="67" t="n">
        <f aca="false">-MIN(AA71,Inputs!$B$72/MAX(1,Inputs!$B$74*12))</f>
        <v>-1500</v>
      </c>
      <c r="AB73" s="67" t="n">
        <f aca="false">-MIN(AB71,Inputs!$B$72/MAX(1,Inputs!$B$74*12))</f>
        <v>-1500</v>
      </c>
      <c r="AC73" s="67" t="n">
        <f aca="false">-MIN(AC71,Inputs!$B$72/MAX(1,Inputs!$B$74*12))</f>
        <v>-1500</v>
      </c>
      <c r="AD73" s="67" t="n">
        <f aca="false">-MIN(AD71,Inputs!$B$72/MAX(1,Inputs!$B$74*12))</f>
        <v>-1500</v>
      </c>
      <c r="AE73" s="67" t="n">
        <f aca="false">-MIN(AE71,Inputs!$B$72/MAX(1,Inputs!$B$74*12))</f>
        <v>-1500</v>
      </c>
      <c r="AF73" s="67" t="n">
        <f aca="false">-MIN(AF71,Inputs!$B$72/MAX(1,Inputs!$B$74*12))</f>
        <v>-1500</v>
      </c>
      <c r="AG73" s="67" t="n">
        <f aca="false">-MIN(AG71,Inputs!$B$72/MAX(1,Inputs!$B$74*12))</f>
        <v>-1500</v>
      </c>
      <c r="AH73" s="67" t="n">
        <f aca="false">-MIN(AH71,Inputs!$B$72/MAX(1,Inputs!$B$74*12))</f>
        <v>-1500</v>
      </c>
      <c r="AI73" s="67" t="n">
        <f aca="false">-MIN(AI71,Inputs!$B$72/MAX(1,Inputs!$B$74*12))</f>
        <v>-1500</v>
      </c>
      <c r="AJ73" s="67" t="n">
        <f aca="false">-MIN(AJ71,Inputs!$B$72/MAX(1,Inputs!$B$74*12))</f>
        <v>-1500</v>
      </c>
      <c r="AK73" s="67" t="n">
        <f aca="false">-MIN(AK71,Inputs!$B$72/MAX(1,Inputs!$B$74*12))</f>
        <v>-1500</v>
      </c>
      <c r="AL73" s="67" t="n">
        <f aca="false">-MIN(AL71,Inputs!$B$72/MAX(1,Inputs!$B$74*12))</f>
        <v>-1500</v>
      </c>
      <c r="AM73" s="67" t="n">
        <f aca="false">-MIN(AM71,Inputs!$B$72/MAX(1,Inputs!$B$74*12))</f>
        <v>-1500</v>
      </c>
      <c r="AN73" s="67" t="n">
        <f aca="false">-MIN(AN71,Inputs!$B$72/MAX(1,Inputs!$B$74*12))</f>
        <v>-1500</v>
      </c>
      <c r="AO73" s="67" t="n">
        <f aca="false">-MIN(AO71,Inputs!$B$72/MAX(1,Inputs!$B$74*12))</f>
        <v>-1500</v>
      </c>
      <c r="AP73" s="67" t="n">
        <f aca="false">-MIN(AP71,Inputs!$B$72/MAX(1,Inputs!$B$74*12))</f>
        <v>-1500</v>
      </c>
      <c r="AQ73" s="67" t="n">
        <f aca="false">-MIN(AQ71,Inputs!$B$72/MAX(1,Inputs!$B$74*12))</f>
        <v>-1500</v>
      </c>
      <c r="AR73" s="67" t="n">
        <f aca="false">-MIN(AR71,Inputs!$B$72/MAX(1,Inputs!$B$74*12))</f>
        <v>-1500</v>
      </c>
      <c r="AS73" s="67" t="n">
        <f aca="false">-MIN(AS71,Inputs!$B$72/MAX(1,Inputs!$B$74*12))</f>
        <v>-1500</v>
      </c>
      <c r="AT73" s="67" t="n">
        <f aca="false">-MIN(AT71,Inputs!$B$72/MAX(1,Inputs!$B$74*12))</f>
        <v>-1500</v>
      </c>
      <c r="AU73" s="67" t="n">
        <f aca="false">-MIN(AU71,Inputs!$B$72/MAX(1,Inputs!$B$74*12))</f>
        <v>-1500</v>
      </c>
      <c r="AV73" s="67" t="n">
        <f aca="false">-MIN(AV71,Inputs!$B$72/MAX(1,Inputs!$B$74*12))</f>
        <v>-1500</v>
      </c>
      <c r="AW73" s="67" t="n">
        <f aca="false">-MIN(AW71,Inputs!$B$72/MAX(1,Inputs!$B$74*12))</f>
        <v>-1500</v>
      </c>
      <c r="AX73" s="67" t="n">
        <f aca="false">-MIN(AX71,Inputs!$B$72/MAX(1,Inputs!$B$74*12))</f>
        <v>-1500</v>
      </c>
      <c r="AY73" s="67" t="n">
        <f aca="false">-MIN(AY71,Inputs!$B$72/MAX(1,Inputs!$B$74*12))</f>
        <v>-1500</v>
      </c>
      <c r="AZ73" s="67" t="n">
        <f aca="false">-MIN(AZ71,Inputs!$B$72/MAX(1,Inputs!$B$74*12))</f>
        <v>-1500</v>
      </c>
      <c r="BA73" s="67" t="n">
        <f aca="false">-MIN(BA71,Inputs!$B$72/MAX(1,Inputs!$B$74*12))</f>
        <v>-1500</v>
      </c>
      <c r="BB73" s="67" t="n">
        <f aca="false">-MIN(BB71,Inputs!$B$72/MAX(1,Inputs!$B$74*12))</f>
        <v>-1500</v>
      </c>
      <c r="BC73" s="67" t="n">
        <f aca="false">-MIN(BC71,Inputs!$B$72/MAX(1,Inputs!$B$74*12))</f>
        <v>-1500</v>
      </c>
      <c r="BD73" s="67" t="n">
        <f aca="false">-MIN(BD71,Inputs!$B$72/MAX(1,Inputs!$B$74*12))</f>
        <v>-1500</v>
      </c>
      <c r="BE73" s="67" t="n">
        <f aca="false">-MIN(BE71,Inputs!$B$72/MAX(1,Inputs!$B$74*12))</f>
        <v>-1500</v>
      </c>
      <c r="BF73" s="67" t="n">
        <f aca="false">-MIN(BF71,Inputs!$B$72/MAX(1,Inputs!$B$74*12))</f>
        <v>-1500</v>
      </c>
      <c r="BG73" s="67" t="n">
        <f aca="false">-MIN(BG71,Inputs!$B$72/MAX(1,Inputs!$B$74*12))</f>
        <v>-1500</v>
      </c>
      <c r="BH73" s="67" t="n">
        <f aca="false">-MIN(BH71,Inputs!$B$72/MAX(1,Inputs!$B$74*12))</f>
        <v>-1500</v>
      </c>
      <c r="BI73" s="67" t="n">
        <f aca="false">-MIN(BI71,Inputs!$B$72/MAX(1,Inputs!$B$74*12))</f>
        <v>-1500</v>
      </c>
      <c r="BJ73" s="67" t="n">
        <f aca="false">-MIN(BJ71,Inputs!$B$72/MAX(1,Inputs!$B$74*12))</f>
        <v>-1500</v>
      </c>
    </row>
    <row r="74" customFormat="false" ht="15" hidden="false" customHeight="false" outlineLevel="0" collapsed="false">
      <c r="A74" s="4" t="s">
        <v>441</v>
      </c>
      <c r="C74" s="73" t="n">
        <f aca="false">C71+C72+C73</f>
        <v>90000</v>
      </c>
      <c r="D74" s="73" t="n">
        <f aca="false">D71+D72+D73</f>
        <v>88500</v>
      </c>
      <c r="E74" s="73" t="n">
        <f aca="false">E71+E72+E73</f>
        <v>87000</v>
      </c>
      <c r="F74" s="73" t="n">
        <f aca="false">F71+F72+F73</f>
        <v>85500</v>
      </c>
      <c r="G74" s="73" t="n">
        <f aca="false">G71+G72+G73</f>
        <v>84000</v>
      </c>
      <c r="H74" s="73" t="n">
        <f aca="false">H71+H72+H73</f>
        <v>82500</v>
      </c>
      <c r="I74" s="73" t="n">
        <f aca="false">I71+I72+I73</f>
        <v>81000</v>
      </c>
      <c r="J74" s="73" t="n">
        <f aca="false">J71+J72+J73</f>
        <v>79500</v>
      </c>
      <c r="K74" s="73" t="n">
        <f aca="false">K71+K72+K73</f>
        <v>78000</v>
      </c>
      <c r="L74" s="73" t="n">
        <f aca="false">L71+L72+L73</f>
        <v>76500</v>
      </c>
      <c r="M74" s="73" t="n">
        <f aca="false">M71+M72+M73</f>
        <v>75000</v>
      </c>
      <c r="N74" s="73" t="n">
        <f aca="false">N71+N72+N73</f>
        <v>73500</v>
      </c>
      <c r="O74" s="73" t="n">
        <f aca="false">O71+O72+O73</f>
        <v>72000</v>
      </c>
      <c r="P74" s="73" t="n">
        <f aca="false">P71+P72+P73</f>
        <v>70500</v>
      </c>
      <c r="Q74" s="73" t="n">
        <f aca="false">Q71+Q72+Q73</f>
        <v>69000</v>
      </c>
      <c r="R74" s="73" t="n">
        <f aca="false">R71+R72+R73</f>
        <v>67500</v>
      </c>
      <c r="S74" s="73" t="n">
        <f aca="false">S71+S72+S73</f>
        <v>66000</v>
      </c>
      <c r="T74" s="73" t="n">
        <f aca="false">T71+T72+T73</f>
        <v>64500</v>
      </c>
      <c r="U74" s="73" t="n">
        <f aca="false">U71+U72+U73</f>
        <v>63000</v>
      </c>
      <c r="V74" s="73" t="n">
        <f aca="false">V71+V72+V73</f>
        <v>61500</v>
      </c>
      <c r="W74" s="73" t="n">
        <f aca="false">W71+W72+W73</f>
        <v>60000</v>
      </c>
      <c r="X74" s="73" t="n">
        <f aca="false">X71+X72+X73</f>
        <v>58500</v>
      </c>
      <c r="Y74" s="73" t="n">
        <f aca="false">Y71+Y72+Y73</f>
        <v>57000</v>
      </c>
      <c r="Z74" s="73" t="n">
        <f aca="false">Z71+Z72+Z73</f>
        <v>55500</v>
      </c>
      <c r="AA74" s="73" t="n">
        <f aca="false">AA71+AA72+AA73</f>
        <v>54000</v>
      </c>
      <c r="AB74" s="73" t="n">
        <f aca="false">AB71+AB72+AB73</f>
        <v>52500</v>
      </c>
      <c r="AC74" s="73" t="n">
        <f aca="false">AC71+AC72+AC73</f>
        <v>51000</v>
      </c>
      <c r="AD74" s="73" t="n">
        <f aca="false">AD71+AD72+AD73</f>
        <v>49500</v>
      </c>
      <c r="AE74" s="73" t="n">
        <f aca="false">AE71+AE72+AE73</f>
        <v>48000</v>
      </c>
      <c r="AF74" s="73" t="n">
        <f aca="false">AF71+AF72+AF73</f>
        <v>46500</v>
      </c>
      <c r="AG74" s="73" t="n">
        <f aca="false">AG71+AG72+AG73</f>
        <v>45000</v>
      </c>
      <c r="AH74" s="73" t="n">
        <f aca="false">AH71+AH72+AH73</f>
        <v>43500</v>
      </c>
      <c r="AI74" s="73" t="n">
        <f aca="false">AI71+AI72+AI73</f>
        <v>42000</v>
      </c>
      <c r="AJ74" s="73" t="n">
        <f aca="false">AJ71+AJ72+AJ73</f>
        <v>40500</v>
      </c>
      <c r="AK74" s="73" t="n">
        <f aca="false">AK71+AK72+AK73</f>
        <v>39000</v>
      </c>
      <c r="AL74" s="73" t="n">
        <f aca="false">AL71+AL72+AL73</f>
        <v>37500</v>
      </c>
      <c r="AM74" s="73" t="n">
        <f aca="false">AM71+AM72+AM73</f>
        <v>36000</v>
      </c>
      <c r="AN74" s="73" t="n">
        <f aca="false">AN71+AN72+AN73</f>
        <v>34500</v>
      </c>
      <c r="AO74" s="73" t="n">
        <f aca="false">AO71+AO72+AO73</f>
        <v>33000</v>
      </c>
      <c r="AP74" s="73" t="n">
        <f aca="false">AP71+AP72+AP73</f>
        <v>31500</v>
      </c>
      <c r="AQ74" s="73" t="n">
        <f aca="false">AQ71+AQ72+AQ73</f>
        <v>30000</v>
      </c>
      <c r="AR74" s="73" t="n">
        <f aca="false">AR71+AR72+AR73</f>
        <v>28500</v>
      </c>
      <c r="AS74" s="73" t="n">
        <f aca="false">AS71+AS72+AS73</f>
        <v>27000</v>
      </c>
      <c r="AT74" s="73" t="n">
        <f aca="false">AT71+AT72+AT73</f>
        <v>25500</v>
      </c>
      <c r="AU74" s="73" t="n">
        <f aca="false">AU71+AU72+AU73</f>
        <v>24000</v>
      </c>
      <c r="AV74" s="73" t="n">
        <f aca="false">AV71+AV72+AV73</f>
        <v>22500</v>
      </c>
      <c r="AW74" s="73" t="n">
        <f aca="false">AW71+AW72+AW73</f>
        <v>21000</v>
      </c>
      <c r="AX74" s="73" t="n">
        <f aca="false">AX71+AX72+AX73</f>
        <v>19500</v>
      </c>
      <c r="AY74" s="73" t="n">
        <f aca="false">AY71+AY72+AY73</f>
        <v>18000</v>
      </c>
      <c r="AZ74" s="73" t="n">
        <f aca="false">AZ71+AZ72+AZ73</f>
        <v>16500</v>
      </c>
      <c r="BA74" s="73" t="n">
        <f aca="false">BA71+BA72+BA73</f>
        <v>15000</v>
      </c>
      <c r="BB74" s="73" t="n">
        <f aca="false">BB71+BB72+BB73</f>
        <v>13500</v>
      </c>
      <c r="BC74" s="73" t="n">
        <f aca="false">BC71+BC72+BC73</f>
        <v>12000</v>
      </c>
      <c r="BD74" s="73" t="n">
        <f aca="false">BD71+BD72+BD73</f>
        <v>10500</v>
      </c>
      <c r="BE74" s="73" t="n">
        <f aca="false">BE71+BE72+BE73</f>
        <v>9000</v>
      </c>
      <c r="BF74" s="73" t="n">
        <f aca="false">BF71+BF72+BF73</f>
        <v>7500</v>
      </c>
      <c r="BG74" s="73" t="n">
        <f aca="false">BG71+BG72+BG73</f>
        <v>6000</v>
      </c>
      <c r="BH74" s="73" t="n">
        <f aca="false">BH71+BH72+BH73</f>
        <v>4500</v>
      </c>
      <c r="BI74" s="73" t="n">
        <f aca="false">BI71+BI72+BI73</f>
        <v>3000</v>
      </c>
      <c r="BJ74" s="73" t="n">
        <f aca="false">BJ71+BJ72+BJ73</f>
        <v>1500</v>
      </c>
    </row>
    <row r="76" customFormat="false" ht="15.75" hidden="false" customHeight="true" outlineLevel="0" collapsed="false">
      <c r="A76" s="7" t="s">
        <v>316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</row>
    <row r="77" customFormat="false" ht="15" hidden="false" customHeight="false" outlineLevel="0" collapsed="false">
      <c r="A77" s="6" t="s">
        <v>90</v>
      </c>
      <c r="C77" s="67" t="n">
        <f aca="false">C26*Inputs!$B$77/30</f>
        <v>531.706</v>
      </c>
      <c r="D77" s="67" t="n">
        <f aca="false">D26*Inputs!$B$77/30</f>
        <v>641.423111111111</v>
      </c>
      <c r="E77" s="67" t="n">
        <f aca="false">E26*Inputs!$B$77/30</f>
        <v>1092.06955555556</v>
      </c>
      <c r="F77" s="67" t="n">
        <f aca="false">F26*Inputs!$B$77/30</f>
        <v>1251.58533333333</v>
      </c>
      <c r="G77" s="67" t="n">
        <f aca="false">G26*Inputs!$B$77/30</f>
        <v>1411.10111111111</v>
      </c>
      <c r="H77" s="67" t="n">
        <f aca="false">H26*Inputs!$B$77/30</f>
        <v>1570.61688888889</v>
      </c>
      <c r="I77" s="67" t="n">
        <f aca="false">I26*Inputs!$B$77/30</f>
        <v>1730.13266666667</v>
      </c>
      <c r="J77" s="67" t="n">
        <f aca="false">J26*Inputs!$B$77/30</f>
        <v>1889.64844444445</v>
      </c>
      <c r="K77" s="67" t="n">
        <f aca="false">K26*Inputs!$B$77/30</f>
        <v>2049.16422222222</v>
      </c>
      <c r="L77" s="67" t="n">
        <f aca="false">L26*Inputs!$B$77/30</f>
        <v>2208.68</v>
      </c>
      <c r="M77" s="67" t="n">
        <f aca="false">M26*Inputs!$B$77/30</f>
        <v>2208.68</v>
      </c>
      <c r="N77" s="67" t="n">
        <f aca="false">N26*Inputs!$B$77/30</f>
        <v>1519.16</v>
      </c>
      <c r="O77" s="67" t="n">
        <f aca="false">O26*Inputs!$B$77/30</f>
        <v>1549.5432</v>
      </c>
      <c r="P77" s="67" t="n">
        <f aca="false">P26*Inputs!$B$77/30</f>
        <v>1549.5432</v>
      </c>
      <c r="Q77" s="67" t="n">
        <f aca="false">Q26*Inputs!$B$77/30</f>
        <v>2252.8536</v>
      </c>
      <c r="R77" s="67" t="n">
        <f aca="false">R26*Inputs!$B$77/30</f>
        <v>2252.8536</v>
      </c>
      <c r="S77" s="67" t="n">
        <f aca="false">S26*Inputs!$B$77/30</f>
        <v>2252.8536</v>
      </c>
      <c r="T77" s="67" t="n">
        <f aca="false">T26*Inputs!$B$77/30</f>
        <v>2252.8536</v>
      </c>
      <c r="U77" s="67" t="n">
        <f aca="false">U26*Inputs!$B$77/30</f>
        <v>2252.8536</v>
      </c>
      <c r="V77" s="67" t="n">
        <f aca="false">V26*Inputs!$B$77/30</f>
        <v>2252.8536</v>
      </c>
      <c r="W77" s="67" t="n">
        <f aca="false">W26*Inputs!$B$77/30</f>
        <v>2252.8536</v>
      </c>
      <c r="X77" s="67" t="n">
        <f aca="false">X26*Inputs!$B$77/30</f>
        <v>2252.8536</v>
      </c>
      <c r="Y77" s="67" t="n">
        <f aca="false">Y26*Inputs!$B$77/30</f>
        <v>2252.8536</v>
      </c>
      <c r="Z77" s="67" t="n">
        <f aca="false">Z26*Inputs!$B$77/30</f>
        <v>1549.5432</v>
      </c>
      <c r="AA77" s="67" t="n">
        <f aca="false">AA26*Inputs!$B$77/30</f>
        <v>1580.534064</v>
      </c>
      <c r="AB77" s="67" t="n">
        <f aca="false">AB26*Inputs!$B$77/30</f>
        <v>1580.534064</v>
      </c>
      <c r="AC77" s="67" t="n">
        <f aca="false">AC26*Inputs!$B$77/30</f>
        <v>2297.910672</v>
      </c>
      <c r="AD77" s="67" t="n">
        <f aca="false">AD26*Inputs!$B$77/30</f>
        <v>2297.910672</v>
      </c>
      <c r="AE77" s="67" t="n">
        <f aca="false">AE26*Inputs!$B$77/30</f>
        <v>2297.910672</v>
      </c>
      <c r="AF77" s="67" t="n">
        <f aca="false">AF26*Inputs!$B$77/30</f>
        <v>2297.910672</v>
      </c>
      <c r="AG77" s="67" t="n">
        <f aca="false">AG26*Inputs!$B$77/30</f>
        <v>2297.910672</v>
      </c>
      <c r="AH77" s="67" t="n">
        <f aca="false">AH26*Inputs!$B$77/30</f>
        <v>2297.910672</v>
      </c>
      <c r="AI77" s="67" t="n">
        <f aca="false">AI26*Inputs!$B$77/30</f>
        <v>2297.910672</v>
      </c>
      <c r="AJ77" s="67" t="n">
        <f aca="false">AJ26*Inputs!$B$77/30</f>
        <v>2297.910672</v>
      </c>
      <c r="AK77" s="67" t="n">
        <f aca="false">AK26*Inputs!$B$77/30</f>
        <v>2297.910672</v>
      </c>
      <c r="AL77" s="67" t="n">
        <f aca="false">AL26*Inputs!$B$77/30</f>
        <v>1580.534064</v>
      </c>
      <c r="AM77" s="67" t="n">
        <f aca="false">AM26*Inputs!$B$77/30</f>
        <v>1612.14474528</v>
      </c>
      <c r="AN77" s="67" t="n">
        <f aca="false">AN26*Inputs!$B$77/30</f>
        <v>1612.14474528</v>
      </c>
      <c r="AO77" s="67" t="n">
        <f aca="false">AO26*Inputs!$B$77/30</f>
        <v>2343.86888544</v>
      </c>
      <c r="AP77" s="67" t="n">
        <f aca="false">AP26*Inputs!$B$77/30</f>
        <v>2343.86888544</v>
      </c>
      <c r="AQ77" s="67" t="n">
        <f aca="false">AQ26*Inputs!$B$77/30</f>
        <v>2343.86888544</v>
      </c>
      <c r="AR77" s="67" t="n">
        <f aca="false">AR26*Inputs!$B$77/30</f>
        <v>2343.86888544</v>
      </c>
      <c r="AS77" s="67" t="n">
        <f aca="false">AS26*Inputs!$B$77/30</f>
        <v>2343.86888544</v>
      </c>
      <c r="AT77" s="67" t="n">
        <f aca="false">AT26*Inputs!$B$77/30</f>
        <v>2343.86888544</v>
      </c>
      <c r="AU77" s="67" t="n">
        <f aca="false">AU26*Inputs!$B$77/30</f>
        <v>2343.86888544</v>
      </c>
      <c r="AV77" s="67" t="n">
        <f aca="false">AV26*Inputs!$B$77/30</f>
        <v>2343.86888544</v>
      </c>
      <c r="AW77" s="67" t="n">
        <f aca="false">AW26*Inputs!$B$77/30</f>
        <v>2343.86888544</v>
      </c>
      <c r="AX77" s="67" t="n">
        <f aca="false">AX26*Inputs!$B$77/30</f>
        <v>1612.14474528</v>
      </c>
      <c r="AY77" s="67" t="n">
        <f aca="false">AY26*Inputs!$B$77/30</f>
        <v>1644.3876401856</v>
      </c>
      <c r="AZ77" s="67" t="n">
        <f aca="false">AZ26*Inputs!$B$77/30</f>
        <v>1644.3876401856</v>
      </c>
      <c r="BA77" s="67" t="n">
        <f aca="false">BA26*Inputs!$B$77/30</f>
        <v>2390.7462631488</v>
      </c>
      <c r="BB77" s="67" t="n">
        <f aca="false">BB26*Inputs!$B$77/30</f>
        <v>2390.7462631488</v>
      </c>
      <c r="BC77" s="67" t="n">
        <f aca="false">BC26*Inputs!$B$77/30</f>
        <v>2390.7462631488</v>
      </c>
      <c r="BD77" s="67" t="n">
        <f aca="false">BD26*Inputs!$B$77/30</f>
        <v>2390.7462631488</v>
      </c>
      <c r="BE77" s="67" t="n">
        <f aca="false">BE26*Inputs!$B$77/30</f>
        <v>2390.7462631488</v>
      </c>
      <c r="BF77" s="67" t="n">
        <f aca="false">BF26*Inputs!$B$77/30</f>
        <v>2390.7462631488</v>
      </c>
      <c r="BG77" s="67" t="n">
        <f aca="false">BG26*Inputs!$B$77/30</f>
        <v>2390.7462631488</v>
      </c>
      <c r="BH77" s="67" t="n">
        <f aca="false">BH26*Inputs!$B$77/30</f>
        <v>2390.7462631488</v>
      </c>
      <c r="BI77" s="67" t="n">
        <f aca="false">BI26*Inputs!$B$77/30</f>
        <v>2390.7462631488</v>
      </c>
      <c r="BJ77" s="67" t="n">
        <f aca="false">BJ26*Inputs!$B$77/30</f>
        <v>1644.3876401856</v>
      </c>
    </row>
    <row r="78" customFormat="false" ht="15" hidden="false" customHeight="false" outlineLevel="0" collapsed="false">
      <c r="A78" s="6" t="s">
        <v>91</v>
      </c>
      <c r="C78" s="67" t="n">
        <f aca="false">-C34*Inputs!$B$78/30</f>
        <v>236.508706</v>
      </c>
      <c r="D78" s="67" t="n">
        <f aca="false">-D34*Inputs!$B$78/30</f>
        <v>285.312089777778</v>
      </c>
      <c r="E78" s="67" t="n">
        <f aca="false">-E34*Inputs!$B$78/30</f>
        <v>475.417569555556</v>
      </c>
      <c r="F78" s="67" t="n">
        <f aca="false">-F34*Inputs!$B$78/30</f>
        <v>544.860585333333</v>
      </c>
      <c r="G78" s="67" t="n">
        <f aca="false">-G34*Inputs!$B$78/30</f>
        <v>614.303601111111</v>
      </c>
      <c r="H78" s="67" t="n">
        <f aca="false">-H34*Inputs!$B$78/30</f>
        <v>683.746616888889</v>
      </c>
      <c r="I78" s="67" t="n">
        <f aca="false">-I34*Inputs!$B$78/30</f>
        <v>753.189632666667</v>
      </c>
      <c r="J78" s="67" t="n">
        <f aca="false">-J34*Inputs!$B$78/30</f>
        <v>822.632648444445</v>
      </c>
      <c r="K78" s="67" t="n">
        <f aca="false">-K34*Inputs!$B$78/30</f>
        <v>892.075664222222</v>
      </c>
      <c r="L78" s="67" t="n">
        <f aca="false">-L34*Inputs!$B$78/30</f>
        <v>961.51868</v>
      </c>
      <c r="M78" s="67" t="n">
        <f aca="false">-M34*Inputs!$B$78/30</f>
        <v>961.51868</v>
      </c>
      <c r="N78" s="67" t="n">
        <f aca="false">-N34*Inputs!$B$78/30</f>
        <v>675.73916</v>
      </c>
      <c r="O78" s="67" t="n">
        <f aca="false">-O34*Inputs!$B$78/30</f>
        <v>691.0321432</v>
      </c>
      <c r="P78" s="67" t="n">
        <f aca="false">-P34*Inputs!$B$78/30</f>
        <v>691.0321432</v>
      </c>
      <c r="Q78" s="67" t="n">
        <f aca="false">-Q34*Inputs!$B$78/30</f>
        <v>983.0576536</v>
      </c>
      <c r="R78" s="67" t="n">
        <f aca="false">-R34*Inputs!$B$78/30</f>
        <v>983.0576536</v>
      </c>
      <c r="S78" s="67" t="n">
        <f aca="false">-S34*Inputs!$B$78/30</f>
        <v>983.0576536</v>
      </c>
      <c r="T78" s="67" t="n">
        <f aca="false">-T34*Inputs!$B$78/30</f>
        <v>983.0576536</v>
      </c>
      <c r="U78" s="67" t="n">
        <f aca="false">-U34*Inputs!$B$78/30</f>
        <v>983.0576536</v>
      </c>
      <c r="V78" s="67" t="n">
        <f aca="false">-V34*Inputs!$B$78/30</f>
        <v>983.0576536</v>
      </c>
      <c r="W78" s="67" t="n">
        <f aca="false">-W34*Inputs!$B$78/30</f>
        <v>983.0576536</v>
      </c>
      <c r="X78" s="67" t="n">
        <f aca="false">-X34*Inputs!$B$78/30</f>
        <v>983.0576536</v>
      </c>
      <c r="Y78" s="67" t="n">
        <f aca="false">-Y34*Inputs!$B$78/30</f>
        <v>983.0576536</v>
      </c>
      <c r="Z78" s="67" t="n">
        <f aca="false">-Z34*Inputs!$B$78/30</f>
        <v>691.0321432</v>
      </c>
      <c r="AA78" s="67" t="n">
        <f aca="false">-AA34*Inputs!$B$78/30</f>
        <v>706.702114064</v>
      </c>
      <c r="AB78" s="67" t="n">
        <f aca="false">-AB34*Inputs!$B$78/30</f>
        <v>706.702114064</v>
      </c>
      <c r="AC78" s="67" t="n">
        <f aca="false">-AC34*Inputs!$B$78/30</f>
        <v>1005.119750672</v>
      </c>
      <c r="AD78" s="67" t="n">
        <f aca="false">-AD34*Inputs!$B$78/30</f>
        <v>1005.119750672</v>
      </c>
      <c r="AE78" s="67" t="n">
        <f aca="false">-AE34*Inputs!$B$78/30</f>
        <v>1005.119750672</v>
      </c>
      <c r="AF78" s="67" t="n">
        <f aca="false">-AF34*Inputs!$B$78/30</f>
        <v>1005.119750672</v>
      </c>
      <c r="AG78" s="67" t="n">
        <f aca="false">-AG34*Inputs!$B$78/30</f>
        <v>1005.119750672</v>
      </c>
      <c r="AH78" s="67" t="n">
        <f aca="false">-AH34*Inputs!$B$78/30</f>
        <v>1005.119750672</v>
      </c>
      <c r="AI78" s="67" t="n">
        <f aca="false">-AI34*Inputs!$B$78/30</f>
        <v>1005.119750672</v>
      </c>
      <c r="AJ78" s="67" t="n">
        <f aca="false">-AJ34*Inputs!$B$78/30</f>
        <v>1005.119750672</v>
      </c>
      <c r="AK78" s="67" t="n">
        <f aca="false">-AK34*Inputs!$B$78/30</f>
        <v>1005.119750672</v>
      </c>
      <c r="AL78" s="67" t="n">
        <f aca="false">-AL34*Inputs!$B$78/30</f>
        <v>706.702114064</v>
      </c>
      <c r="AM78" s="67" t="n">
        <f aca="false">-AM34*Inputs!$B$78/30</f>
        <v>722.75945746528</v>
      </c>
      <c r="AN78" s="67" t="n">
        <f aca="false">-AN34*Inputs!$B$78/30</f>
        <v>722.75945746528</v>
      </c>
      <c r="AO78" s="67" t="n">
        <f aca="false">-AO34*Inputs!$B$78/30</f>
        <v>1027.71912744544</v>
      </c>
      <c r="AP78" s="67" t="n">
        <f aca="false">-AP34*Inputs!$B$78/30</f>
        <v>1027.71912744544</v>
      </c>
      <c r="AQ78" s="67" t="n">
        <f aca="false">-AQ34*Inputs!$B$78/30</f>
        <v>1027.71912744544</v>
      </c>
      <c r="AR78" s="67" t="n">
        <f aca="false">-AR34*Inputs!$B$78/30</f>
        <v>1027.71912744544</v>
      </c>
      <c r="AS78" s="67" t="n">
        <f aca="false">-AS34*Inputs!$B$78/30</f>
        <v>1027.71912744544</v>
      </c>
      <c r="AT78" s="67" t="n">
        <f aca="false">-AT34*Inputs!$B$78/30</f>
        <v>1027.71912744544</v>
      </c>
      <c r="AU78" s="67" t="n">
        <f aca="false">-AU34*Inputs!$B$78/30</f>
        <v>1027.71912744544</v>
      </c>
      <c r="AV78" s="67" t="n">
        <f aca="false">-AV34*Inputs!$B$78/30</f>
        <v>1027.71912744544</v>
      </c>
      <c r="AW78" s="67" t="n">
        <f aca="false">-AW34*Inputs!$B$78/30</f>
        <v>1027.71912744544</v>
      </c>
      <c r="AX78" s="67" t="n">
        <f aca="false">-AX34*Inputs!$B$78/30</f>
        <v>722.75945746528</v>
      </c>
      <c r="AY78" s="67" t="n">
        <f aca="false">-AY34*Inputs!$B$78/30</f>
        <v>739.214879779386</v>
      </c>
      <c r="AZ78" s="67" t="n">
        <f aca="false">-AZ34*Inputs!$B$78/30</f>
        <v>739.214879779386</v>
      </c>
      <c r="BA78" s="67" t="n">
        <f aca="false">-BA34*Inputs!$B$78/30</f>
        <v>1050.87037102475</v>
      </c>
      <c r="BB78" s="67" t="n">
        <f aca="false">-BB34*Inputs!$B$78/30</f>
        <v>1050.87037102475</v>
      </c>
      <c r="BC78" s="67" t="n">
        <f aca="false">-BC34*Inputs!$B$78/30</f>
        <v>1050.87037102475</v>
      </c>
      <c r="BD78" s="67" t="n">
        <f aca="false">-BD34*Inputs!$B$78/30</f>
        <v>1050.87037102475</v>
      </c>
      <c r="BE78" s="67" t="n">
        <f aca="false">-BE34*Inputs!$B$78/30</f>
        <v>1050.87037102475</v>
      </c>
      <c r="BF78" s="67" t="n">
        <f aca="false">-BF34*Inputs!$B$78/30</f>
        <v>1050.87037102475</v>
      </c>
      <c r="BG78" s="67" t="n">
        <f aca="false">-BG34*Inputs!$B$78/30</f>
        <v>1050.87037102475</v>
      </c>
      <c r="BH78" s="67" t="n">
        <f aca="false">-BH34*Inputs!$B$78/30</f>
        <v>1050.87037102475</v>
      </c>
      <c r="BI78" s="67" t="n">
        <f aca="false">-BI34*Inputs!$B$78/30</f>
        <v>1050.87037102475</v>
      </c>
      <c r="BJ78" s="67" t="n">
        <f aca="false">-BJ34*Inputs!$B$78/30</f>
        <v>739.214879779386</v>
      </c>
    </row>
    <row r="79" customFormat="false" ht="15" hidden="false" customHeight="false" outlineLevel="0" collapsed="false">
      <c r="A79" s="6" t="s">
        <v>94</v>
      </c>
      <c r="C79" s="67" t="n">
        <f aca="false">-C34*Inputs!$B$79/30</f>
        <v>551.853647333333</v>
      </c>
      <c r="D79" s="67" t="n">
        <f aca="false">-D34*Inputs!$B$79/30</f>
        <v>665.728209481482</v>
      </c>
      <c r="E79" s="67" t="n">
        <f aca="false">-E34*Inputs!$B$79/30</f>
        <v>1109.3076622963</v>
      </c>
      <c r="F79" s="67" t="n">
        <f aca="false">-F34*Inputs!$B$79/30</f>
        <v>1271.34136577778</v>
      </c>
      <c r="G79" s="67" t="n">
        <f aca="false">-G34*Inputs!$B$79/30</f>
        <v>1433.37506925926</v>
      </c>
      <c r="H79" s="67" t="n">
        <f aca="false">-H34*Inputs!$B$79/30</f>
        <v>1595.40877274074</v>
      </c>
      <c r="I79" s="67" t="n">
        <f aca="false">-I34*Inputs!$B$79/30</f>
        <v>1757.44247622222</v>
      </c>
      <c r="J79" s="67" t="n">
        <f aca="false">-J34*Inputs!$B$79/30</f>
        <v>1919.4761797037</v>
      </c>
      <c r="K79" s="67" t="n">
        <f aca="false">-K34*Inputs!$B$79/30</f>
        <v>2081.50988318519</v>
      </c>
      <c r="L79" s="67" t="n">
        <f aca="false">-L34*Inputs!$B$79/30</f>
        <v>2243.54358666667</v>
      </c>
      <c r="M79" s="67" t="n">
        <f aca="false">-M34*Inputs!$B$79/30</f>
        <v>2243.54358666667</v>
      </c>
      <c r="N79" s="67" t="n">
        <f aca="false">-N34*Inputs!$B$79/30</f>
        <v>1576.72470666667</v>
      </c>
      <c r="O79" s="67" t="n">
        <f aca="false">-O34*Inputs!$B$79/30</f>
        <v>1612.40833413333</v>
      </c>
      <c r="P79" s="67" t="n">
        <f aca="false">-P34*Inputs!$B$79/30</f>
        <v>1612.40833413333</v>
      </c>
      <c r="Q79" s="67" t="n">
        <f aca="false">-Q34*Inputs!$B$79/30</f>
        <v>2293.80119173333</v>
      </c>
      <c r="R79" s="67" t="n">
        <f aca="false">-R34*Inputs!$B$79/30</f>
        <v>2293.80119173333</v>
      </c>
      <c r="S79" s="67" t="n">
        <f aca="false">-S34*Inputs!$B$79/30</f>
        <v>2293.80119173333</v>
      </c>
      <c r="T79" s="67" t="n">
        <f aca="false">-T34*Inputs!$B$79/30</f>
        <v>2293.80119173333</v>
      </c>
      <c r="U79" s="67" t="n">
        <f aca="false">-U34*Inputs!$B$79/30</f>
        <v>2293.80119173333</v>
      </c>
      <c r="V79" s="67" t="n">
        <f aca="false">-V34*Inputs!$B$79/30</f>
        <v>2293.80119173333</v>
      </c>
      <c r="W79" s="67" t="n">
        <f aca="false">-W34*Inputs!$B$79/30</f>
        <v>2293.80119173333</v>
      </c>
      <c r="X79" s="67" t="n">
        <f aca="false">-X34*Inputs!$B$79/30</f>
        <v>2293.80119173333</v>
      </c>
      <c r="Y79" s="67" t="n">
        <f aca="false">-Y34*Inputs!$B$79/30</f>
        <v>2293.80119173333</v>
      </c>
      <c r="Z79" s="67" t="n">
        <f aca="false">-Z34*Inputs!$B$79/30</f>
        <v>1612.40833413333</v>
      </c>
      <c r="AA79" s="67" t="n">
        <f aca="false">-AA34*Inputs!$B$79/30</f>
        <v>1648.97159948267</v>
      </c>
      <c r="AB79" s="67" t="n">
        <f aca="false">-AB34*Inputs!$B$79/30</f>
        <v>1648.97159948267</v>
      </c>
      <c r="AC79" s="67" t="n">
        <f aca="false">-AC34*Inputs!$B$79/30</f>
        <v>2345.27941823467</v>
      </c>
      <c r="AD79" s="67" t="n">
        <f aca="false">-AD34*Inputs!$B$79/30</f>
        <v>2345.27941823467</v>
      </c>
      <c r="AE79" s="67" t="n">
        <f aca="false">-AE34*Inputs!$B$79/30</f>
        <v>2345.27941823467</v>
      </c>
      <c r="AF79" s="67" t="n">
        <f aca="false">-AF34*Inputs!$B$79/30</f>
        <v>2345.27941823467</v>
      </c>
      <c r="AG79" s="67" t="n">
        <f aca="false">-AG34*Inputs!$B$79/30</f>
        <v>2345.27941823467</v>
      </c>
      <c r="AH79" s="67" t="n">
        <f aca="false">-AH34*Inputs!$B$79/30</f>
        <v>2345.27941823467</v>
      </c>
      <c r="AI79" s="67" t="n">
        <f aca="false">-AI34*Inputs!$B$79/30</f>
        <v>2345.27941823467</v>
      </c>
      <c r="AJ79" s="67" t="n">
        <f aca="false">-AJ34*Inputs!$B$79/30</f>
        <v>2345.27941823467</v>
      </c>
      <c r="AK79" s="67" t="n">
        <f aca="false">-AK34*Inputs!$B$79/30</f>
        <v>2345.27941823467</v>
      </c>
      <c r="AL79" s="67" t="n">
        <f aca="false">-AL34*Inputs!$B$79/30</f>
        <v>1648.97159948267</v>
      </c>
      <c r="AM79" s="67" t="n">
        <f aca="false">-AM34*Inputs!$B$79/30</f>
        <v>1686.43873408565</v>
      </c>
      <c r="AN79" s="67" t="n">
        <f aca="false">-AN34*Inputs!$B$79/30</f>
        <v>1686.43873408565</v>
      </c>
      <c r="AO79" s="67" t="n">
        <f aca="false">-AO34*Inputs!$B$79/30</f>
        <v>2398.01129737269</v>
      </c>
      <c r="AP79" s="67" t="n">
        <f aca="false">-AP34*Inputs!$B$79/30</f>
        <v>2398.01129737269</v>
      </c>
      <c r="AQ79" s="67" t="n">
        <f aca="false">-AQ34*Inputs!$B$79/30</f>
        <v>2398.01129737269</v>
      </c>
      <c r="AR79" s="67" t="n">
        <f aca="false">-AR34*Inputs!$B$79/30</f>
        <v>2398.01129737269</v>
      </c>
      <c r="AS79" s="67" t="n">
        <f aca="false">-AS34*Inputs!$B$79/30</f>
        <v>2398.01129737269</v>
      </c>
      <c r="AT79" s="67" t="n">
        <f aca="false">-AT34*Inputs!$B$79/30</f>
        <v>2398.01129737269</v>
      </c>
      <c r="AU79" s="67" t="n">
        <f aca="false">-AU34*Inputs!$B$79/30</f>
        <v>2398.01129737269</v>
      </c>
      <c r="AV79" s="67" t="n">
        <f aca="false">-AV34*Inputs!$B$79/30</f>
        <v>2398.01129737269</v>
      </c>
      <c r="AW79" s="67" t="n">
        <f aca="false">-AW34*Inputs!$B$79/30</f>
        <v>2398.01129737269</v>
      </c>
      <c r="AX79" s="67" t="n">
        <f aca="false">-AX34*Inputs!$B$79/30</f>
        <v>1686.43873408565</v>
      </c>
      <c r="AY79" s="67" t="n">
        <f aca="false">-AY34*Inputs!$B$79/30</f>
        <v>1724.83471948523</v>
      </c>
      <c r="AZ79" s="67" t="n">
        <f aca="false">-AZ34*Inputs!$B$79/30</f>
        <v>1724.83471948523</v>
      </c>
      <c r="BA79" s="67" t="n">
        <f aca="false">-BA34*Inputs!$B$79/30</f>
        <v>2452.03086572441</v>
      </c>
      <c r="BB79" s="67" t="n">
        <f aca="false">-BB34*Inputs!$B$79/30</f>
        <v>2452.03086572441</v>
      </c>
      <c r="BC79" s="67" t="n">
        <f aca="false">-BC34*Inputs!$B$79/30</f>
        <v>2452.03086572441</v>
      </c>
      <c r="BD79" s="67" t="n">
        <f aca="false">-BD34*Inputs!$B$79/30</f>
        <v>2452.03086572441</v>
      </c>
      <c r="BE79" s="67" t="n">
        <f aca="false">-BE34*Inputs!$B$79/30</f>
        <v>2452.03086572441</v>
      </c>
      <c r="BF79" s="67" t="n">
        <f aca="false">-BF34*Inputs!$B$79/30</f>
        <v>2452.03086572441</v>
      </c>
      <c r="BG79" s="67" t="n">
        <f aca="false">-BG34*Inputs!$B$79/30</f>
        <v>2452.03086572441</v>
      </c>
      <c r="BH79" s="67" t="n">
        <f aca="false">-BH34*Inputs!$B$79/30</f>
        <v>2452.03086572441</v>
      </c>
      <c r="BI79" s="67" t="n">
        <f aca="false">-BI34*Inputs!$B$79/30</f>
        <v>2452.03086572441</v>
      </c>
      <c r="BJ79" s="67" t="n">
        <f aca="false">-BJ34*Inputs!$B$79/30</f>
        <v>1724.83471948523</v>
      </c>
    </row>
    <row r="80" customFormat="false" ht="15" hidden="false" customHeight="false" outlineLevel="0" collapsed="false">
      <c r="A80" s="6" t="s">
        <v>342</v>
      </c>
      <c r="C80" s="67" t="n">
        <f aca="false">-C77</f>
        <v>-531.706</v>
      </c>
      <c r="D80" s="67" t="n">
        <f aca="false">C77-D77</f>
        <v>-109.717111111111</v>
      </c>
      <c r="E80" s="67" t="n">
        <f aca="false">D77-E77</f>
        <v>-450.646444444444</v>
      </c>
      <c r="F80" s="67" t="n">
        <f aca="false">E77-F77</f>
        <v>-159.515777777778</v>
      </c>
      <c r="G80" s="67" t="n">
        <f aca="false">F77-G77</f>
        <v>-159.515777777778</v>
      </c>
      <c r="H80" s="67" t="n">
        <f aca="false">G77-H77</f>
        <v>-159.515777777778</v>
      </c>
      <c r="I80" s="67" t="n">
        <f aca="false">H77-I77</f>
        <v>-159.515777777777</v>
      </c>
      <c r="J80" s="67" t="n">
        <f aca="false">I77-J77</f>
        <v>-159.515777777778</v>
      </c>
      <c r="K80" s="67" t="n">
        <f aca="false">J77-K77</f>
        <v>-159.515777777777</v>
      </c>
      <c r="L80" s="67" t="n">
        <f aca="false">K77-L77</f>
        <v>-159.515777777778</v>
      </c>
      <c r="M80" s="67" t="n">
        <f aca="false">L77-M77</f>
        <v>0</v>
      </c>
      <c r="N80" s="67" t="n">
        <f aca="false">M77-N77</f>
        <v>689.52</v>
      </c>
      <c r="O80" s="67" t="n">
        <f aca="false">N77-O77</f>
        <v>-30.3832</v>
      </c>
      <c r="P80" s="67" t="n">
        <f aca="false">O77-P77</f>
        <v>0</v>
      </c>
      <c r="Q80" s="67" t="n">
        <f aca="false">P77-Q77</f>
        <v>-703.310400000001</v>
      </c>
      <c r="R80" s="67" t="n">
        <f aca="false">Q77-R77</f>
        <v>0</v>
      </c>
      <c r="S80" s="67" t="n">
        <f aca="false">R77-S77</f>
        <v>0</v>
      </c>
      <c r="T80" s="67" t="n">
        <f aca="false">S77-T77</f>
        <v>0</v>
      </c>
      <c r="U80" s="67" t="n">
        <f aca="false">T77-U77</f>
        <v>0</v>
      </c>
      <c r="V80" s="67" t="n">
        <f aca="false">U77-V77</f>
        <v>0</v>
      </c>
      <c r="W80" s="67" t="n">
        <f aca="false">V77-W77</f>
        <v>0</v>
      </c>
      <c r="X80" s="67" t="n">
        <f aca="false">W77-X77</f>
        <v>0</v>
      </c>
      <c r="Y80" s="67" t="n">
        <f aca="false">X77-Y77</f>
        <v>0</v>
      </c>
      <c r="Z80" s="67" t="n">
        <f aca="false">Y77-Z77</f>
        <v>703.310400000001</v>
      </c>
      <c r="AA80" s="67" t="n">
        <f aca="false">Z77-AA77</f>
        <v>-30.9908640000001</v>
      </c>
      <c r="AB80" s="67" t="n">
        <f aca="false">AA77-AB77</f>
        <v>0</v>
      </c>
      <c r="AC80" s="67" t="n">
        <f aca="false">AB77-AC77</f>
        <v>-717.376608</v>
      </c>
      <c r="AD80" s="67" t="n">
        <f aca="false">AC77-AD77</f>
        <v>0</v>
      </c>
      <c r="AE80" s="67" t="n">
        <f aca="false">AD77-AE77</f>
        <v>0</v>
      </c>
      <c r="AF80" s="67" t="n">
        <f aca="false">AE77-AF77</f>
        <v>0</v>
      </c>
      <c r="AG80" s="67" t="n">
        <f aca="false">AF77-AG77</f>
        <v>0</v>
      </c>
      <c r="AH80" s="67" t="n">
        <f aca="false">AG77-AH77</f>
        <v>0</v>
      </c>
      <c r="AI80" s="67" t="n">
        <f aca="false">AH77-AI77</f>
        <v>0</v>
      </c>
      <c r="AJ80" s="67" t="n">
        <f aca="false">AI77-AJ77</f>
        <v>0</v>
      </c>
      <c r="AK80" s="67" t="n">
        <f aca="false">AJ77-AK77</f>
        <v>0</v>
      </c>
      <c r="AL80" s="67" t="n">
        <f aca="false">AK77-AL77</f>
        <v>717.376608</v>
      </c>
      <c r="AM80" s="67" t="n">
        <f aca="false">AL77-AM77</f>
        <v>-31.6106812800006</v>
      </c>
      <c r="AN80" s="67" t="n">
        <f aca="false">AM77-AN77</f>
        <v>0</v>
      </c>
      <c r="AO80" s="67" t="n">
        <f aca="false">AN77-AO77</f>
        <v>-731.72414016</v>
      </c>
      <c r="AP80" s="67" t="n">
        <f aca="false">AO77-AP77</f>
        <v>0</v>
      </c>
      <c r="AQ80" s="67" t="n">
        <f aca="false">AP77-AQ77</f>
        <v>0</v>
      </c>
      <c r="AR80" s="67" t="n">
        <f aca="false">AQ77-AR77</f>
        <v>0</v>
      </c>
      <c r="AS80" s="67" t="n">
        <f aca="false">AR77-AS77</f>
        <v>0</v>
      </c>
      <c r="AT80" s="67" t="n">
        <f aca="false">AS77-AT77</f>
        <v>0</v>
      </c>
      <c r="AU80" s="67" t="n">
        <f aca="false">AT77-AU77</f>
        <v>0</v>
      </c>
      <c r="AV80" s="67" t="n">
        <f aca="false">AU77-AV77</f>
        <v>0</v>
      </c>
      <c r="AW80" s="67" t="n">
        <f aca="false">AV77-AW77</f>
        <v>0</v>
      </c>
      <c r="AX80" s="67" t="n">
        <f aca="false">AW77-AX77</f>
        <v>731.72414016</v>
      </c>
      <c r="AY80" s="67" t="n">
        <f aca="false">AX77-AY77</f>
        <v>-32.2428949055993</v>
      </c>
      <c r="AZ80" s="67" t="n">
        <f aca="false">AY77-AZ77</f>
        <v>0</v>
      </c>
      <c r="BA80" s="67" t="n">
        <f aca="false">AZ77-BA77</f>
        <v>-746.358622963201</v>
      </c>
      <c r="BB80" s="67" t="n">
        <f aca="false">BA77-BB77</f>
        <v>0</v>
      </c>
      <c r="BC80" s="67" t="n">
        <f aca="false">BB77-BC77</f>
        <v>0</v>
      </c>
      <c r="BD80" s="67" t="n">
        <f aca="false">BC77-BD77</f>
        <v>0</v>
      </c>
      <c r="BE80" s="67" t="n">
        <f aca="false">BD77-BE77</f>
        <v>0</v>
      </c>
      <c r="BF80" s="67" t="n">
        <f aca="false">BE77-BF77</f>
        <v>0</v>
      </c>
      <c r="BG80" s="67" t="n">
        <f aca="false">BF77-BG77</f>
        <v>0</v>
      </c>
      <c r="BH80" s="67" t="n">
        <f aca="false">BG77-BH77</f>
        <v>0</v>
      </c>
      <c r="BI80" s="67" t="n">
        <f aca="false">BH77-BI77</f>
        <v>0</v>
      </c>
      <c r="BJ80" s="67" t="n">
        <f aca="false">BI77-BJ77</f>
        <v>746.358622963201</v>
      </c>
    </row>
    <row r="81" customFormat="false" ht="15" hidden="false" customHeight="false" outlineLevel="0" collapsed="false">
      <c r="A81" s="6" t="s">
        <v>343</v>
      </c>
      <c r="C81" s="67" t="n">
        <f aca="false">-C78</f>
        <v>-236.508706</v>
      </c>
      <c r="D81" s="67" t="n">
        <f aca="false">C78-D78</f>
        <v>-48.8033837777778</v>
      </c>
      <c r="E81" s="67" t="n">
        <f aca="false">D78-E78</f>
        <v>-190.105479777778</v>
      </c>
      <c r="F81" s="67" t="n">
        <f aca="false">E78-F78</f>
        <v>-69.4430157777778</v>
      </c>
      <c r="G81" s="67" t="n">
        <f aca="false">F78-G78</f>
        <v>-69.4430157777778</v>
      </c>
      <c r="H81" s="67" t="n">
        <f aca="false">G78-H78</f>
        <v>-69.443015777778</v>
      </c>
      <c r="I81" s="67" t="n">
        <f aca="false">H78-I78</f>
        <v>-69.4430157777775</v>
      </c>
      <c r="J81" s="67" t="n">
        <f aca="false">I78-J78</f>
        <v>-69.443015777778</v>
      </c>
      <c r="K81" s="67" t="n">
        <f aca="false">J78-K78</f>
        <v>-69.4430157777777</v>
      </c>
      <c r="L81" s="67" t="n">
        <f aca="false">K78-L78</f>
        <v>-69.4430157777778</v>
      </c>
      <c r="M81" s="67" t="n">
        <f aca="false">L78-M78</f>
        <v>0</v>
      </c>
      <c r="N81" s="67" t="n">
        <f aca="false">M78-N78</f>
        <v>285.77952</v>
      </c>
      <c r="O81" s="67" t="n">
        <f aca="false">N78-O78</f>
        <v>-15.2929832000001</v>
      </c>
      <c r="P81" s="67" t="n">
        <f aca="false">O78-P78</f>
        <v>0</v>
      </c>
      <c r="Q81" s="67" t="n">
        <f aca="false">P78-Q78</f>
        <v>-292.0255104</v>
      </c>
      <c r="R81" s="67" t="n">
        <f aca="false">Q78-R78</f>
        <v>0</v>
      </c>
      <c r="S81" s="67" t="n">
        <f aca="false">R78-S78</f>
        <v>0</v>
      </c>
      <c r="T81" s="67" t="n">
        <f aca="false">S78-T78</f>
        <v>0</v>
      </c>
      <c r="U81" s="67" t="n">
        <f aca="false">T78-U78</f>
        <v>0</v>
      </c>
      <c r="V81" s="67" t="n">
        <f aca="false">U78-V78</f>
        <v>0</v>
      </c>
      <c r="W81" s="67" t="n">
        <f aca="false">V78-W78</f>
        <v>0</v>
      </c>
      <c r="X81" s="67" t="n">
        <f aca="false">W78-X78</f>
        <v>0</v>
      </c>
      <c r="Y81" s="67" t="n">
        <f aca="false">X78-Y78</f>
        <v>0</v>
      </c>
      <c r="Z81" s="67" t="n">
        <f aca="false">Y78-Z78</f>
        <v>292.0255104</v>
      </c>
      <c r="AA81" s="67" t="n">
        <f aca="false">Z78-AA78</f>
        <v>-15.6699708640001</v>
      </c>
      <c r="AB81" s="67" t="n">
        <f aca="false">AA78-AB78</f>
        <v>0</v>
      </c>
      <c r="AC81" s="67" t="n">
        <f aca="false">AB78-AC78</f>
        <v>-298.417636608</v>
      </c>
      <c r="AD81" s="67" t="n">
        <f aca="false">AC78-AD78</f>
        <v>0</v>
      </c>
      <c r="AE81" s="67" t="n">
        <f aca="false">AD78-AE78</f>
        <v>0</v>
      </c>
      <c r="AF81" s="67" t="n">
        <f aca="false">AE78-AF78</f>
        <v>0</v>
      </c>
      <c r="AG81" s="67" t="n">
        <f aca="false">AF78-AG78</f>
        <v>0</v>
      </c>
      <c r="AH81" s="67" t="n">
        <f aca="false">AG78-AH78</f>
        <v>0</v>
      </c>
      <c r="AI81" s="67" t="n">
        <f aca="false">AH78-AI78</f>
        <v>0</v>
      </c>
      <c r="AJ81" s="67" t="n">
        <f aca="false">AI78-AJ78</f>
        <v>0</v>
      </c>
      <c r="AK81" s="67" t="n">
        <f aca="false">AJ78-AK78</f>
        <v>0</v>
      </c>
      <c r="AL81" s="67" t="n">
        <f aca="false">AK78-AL78</f>
        <v>298.417636608</v>
      </c>
      <c r="AM81" s="67" t="n">
        <f aca="false">AL78-AM78</f>
        <v>-16.05734340128</v>
      </c>
      <c r="AN81" s="67" t="n">
        <f aca="false">AM78-AN78</f>
        <v>0</v>
      </c>
      <c r="AO81" s="67" t="n">
        <f aca="false">AN78-AO78</f>
        <v>-304.95966998016</v>
      </c>
      <c r="AP81" s="67" t="n">
        <f aca="false">AO78-AP78</f>
        <v>0</v>
      </c>
      <c r="AQ81" s="67" t="n">
        <f aca="false">AP78-AQ78</f>
        <v>0</v>
      </c>
      <c r="AR81" s="67" t="n">
        <f aca="false">AQ78-AR78</f>
        <v>0</v>
      </c>
      <c r="AS81" s="67" t="n">
        <f aca="false">AR78-AS78</f>
        <v>0</v>
      </c>
      <c r="AT81" s="67" t="n">
        <f aca="false">AS78-AT78</f>
        <v>0</v>
      </c>
      <c r="AU81" s="67" t="n">
        <f aca="false">AT78-AU78</f>
        <v>0</v>
      </c>
      <c r="AV81" s="67" t="n">
        <f aca="false">AU78-AV78</f>
        <v>0</v>
      </c>
      <c r="AW81" s="67" t="n">
        <f aca="false">AV78-AW78</f>
        <v>0</v>
      </c>
      <c r="AX81" s="67" t="n">
        <f aca="false">AW78-AX78</f>
        <v>304.95966998016</v>
      </c>
      <c r="AY81" s="67" t="n">
        <f aca="false">AX78-AY78</f>
        <v>-16.4554223141055</v>
      </c>
      <c r="AZ81" s="67" t="n">
        <f aca="false">AY78-AZ78</f>
        <v>0</v>
      </c>
      <c r="BA81" s="67" t="n">
        <f aca="false">AZ78-BA78</f>
        <v>-311.655491245363</v>
      </c>
      <c r="BB81" s="67" t="n">
        <f aca="false">BA78-BB78</f>
        <v>0</v>
      </c>
      <c r="BC81" s="67" t="n">
        <f aca="false">BB78-BC78</f>
        <v>0</v>
      </c>
      <c r="BD81" s="67" t="n">
        <f aca="false">BC78-BD78</f>
        <v>0</v>
      </c>
      <c r="BE81" s="67" t="n">
        <f aca="false">BD78-BE78</f>
        <v>0</v>
      </c>
      <c r="BF81" s="67" t="n">
        <f aca="false">BE78-BF78</f>
        <v>0</v>
      </c>
      <c r="BG81" s="67" t="n">
        <f aca="false">BF78-BG78</f>
        <v>0</v>
      </c>
      <c r="BH81" s="67" t="n">
        <f aca="false">BG78-BH78</f>
        <v>0</v>
      </c>
      <c r="BI81" s="67" t="n">
        <f aca="false">BH78-BI78</f>
        <v>0</v>
      </c>
      <c r="BJ81" s="67" t="n">
        <f aca="false">BI78-BJ78</f>
        <v>311.655491245363</v>
      </c>
    </row>
    <row r="82" customFormat="false" ht="15" hidden="false" customHeight="false" outlineLevel="0" collapsed="false">
      <c r="A82" s="6" t="s">
        <v>344</v>
      </c>
      <c r="C82" s="67" t="n">
        <f aca="false">C79</f>
        <v>551.853647333333</v>
      </c>
      <c r="D82" s="67" t="n">
        <f aca="false">D79-C79</f>
        <v>113.874562148148</v>
      </c>
      <c r="E82" s="67" t="n">
        <f aca="false">E79-D79</f>
        <v>443.579452814815</v>
      </c>
      <c r="F82" s="67" t="n">
        <f aca="false">F79-E79</f>
        <v>162.033703481481</v>
      </c>
      <c r="G82" s="67" t="n">
        <f aca="false">G79-F79</f>
        <v>162.033703481482</v>
      </c>
      <c r="H82" s="67" t="n">
        <f aca="false">H79-G79</f>
        <v>162.033703481482</v>
      </c>
      <c r="I82" s="67" t="n">
        <f aca="false">I79-H79</f>
        <v>162.033703481481</v>
      </c>
      <c r="J82" s="67" t="n">
        <f aca="false">J79-I79</f>
        <v>162.033703481482</v>
      </c>
      <c r="K82" s="67" t="n">
        <f aca="false">K79-J79</f>
        <v>162.033703481481</v>
      </c>
      <c r="L82" s="67" t="n">
        <f aca="false">L79-K79</f>
        <v>162.033703481482</v>
      </c>
      <c r="M82" s="67" t="n">
        <f aca="false">M79-L79</f>
        <v>0</v>
      </c>
      <c r="N82" s="67" t="n">
        <f aca="false">N79-M79</f>
        <v>-666.818880000001</v>
      </c>
      <c r="O82" s="67" t="n">
        <f aca="false">O79-N79</f>
        <v>35.6836274666666</v>
      </c>
      <c r="P82" s="67" t="n">
        <f aca="false">P79-O79</f>
        <v>0</v>
      </c>
      <c r="Q82" s="67" t="n">
        <f aca="false">Q79-P79</f>
        <v>681.3928576</v>
      </c>
      <c r="R82" s="67" t="n">
        <f aca="false">R79-Q79</f>
        <v>0</v>
      </c>
      <c r="S82" s="67" t="n">
        <f aca="false">S79-R79</f>
        <v>0</v>
      </c>
      <c r="T82" s="67" t="n">
        <f aca="false">T79-S79</f>
        <v>0</v>
      </c>
      <c r="U82" s="67" t="n">
        <f aca="false">U79-T79</f>
        <v>0</v>
      </c>
      <c r="V82" s="67" t="n">
        <f aca="false">V79-U79</f>
        <v>0</v>
      </c>
      <c r="W82" s="67" t="n">
        <f aca="false">W79-V79</f>
        <v>0</v>
      </c>
      <c r="X82" s="67" t="n">
        <f aca="false">X79-W79</f>
        <v>0</v>
      </c>
      <c r="Y82" s="67" t="n">
        <f aca="false">Y79-X79</f>
        <v>0</v>
      </c>
      <c r="Z82" s="67" t="n">
        <f aca="false">Z79-Y79</f>
        <v>-681.3928576</v>
      </c>
      <c r="AA82" s="67" t="n">
        <f aca="false">AA79-Z79</f>
        <v>36.5632653493335</v>
      </c>
      <c r="AB82" s="67" t="n">
        <f aca="false">AB79-AA79</f>
        <v>0</v>
      </c>
      <c r="AC82" s="67" t="n">
        <f aca="false">AC79-AB79</f>
        <v>696.307818752001</v>
      </c>
      <c r="AD82" s="67" t="n">
        <f aca="false">AD79-AC79</f>
        <v>0</v>
      </c>
      <c r="AE82" s="67" t="n">
        <f aca="false">AE79-AD79</f>
        <v>0</v>
      </c>
      <c r="AF82" s="67" t="n">
        <f aca="false">AF79-AE79</f>
        <v>0</v>
      </c>
      <c r="AG82" s="67" t="n">
        <f aca="false">AG79-AF79</f>
        <v>0</v>
      </c>
      <c r="AH82" s="67" t="n">
        <f aca="false">AH79-AG79</f>
        <v>0</v>
      </c>
      <c r="AI82" s="67" t="n">
        <f aca="false">AI79-AH79</f>
        <v>0</v>
      </c>
      <c r="AJ82" s="67" t="n">
        <f aca="false">AJ79-AI79</f>
        <v>0</v>
      </c>
      <c r="AK82" s="67" t="n">
        <f aca="false">AK79-AJ79</f>
        <v>0</v>
      </c>
      <c r="AL82" s="67" t="n">
        <f aca="false">AL79-AK79</f>
        <v>-696.307818752001</v>
      </c>
      <c r="AM82" s="67" t="n">
        <f aca="false">AM79-AL79</f>
        <v>37.467134602987</v>
      </c>
      <c r="AN82" s="67" t="n">
        <f aca="false">AN79-AM79</f>
        <v>0</v>
      </c>
      <c r="AO82" s="67" t="n">
        <f aca="false">AO79-AN79</f>
        <v>711.57256328704</v>
      </c>
      <c r="AP82" s="67" t="n">
        <f aca="false">AP79-AO79</f>
        <v>0</v>
      </c>
      <c r="AQ82" s="67" t="n">
        <f aca="false">AQ79-AP79</f>
        <v>0</v>
      </c>
      <c r="AR82" s="67" t="n">
        <f aca="false">AR79-AQ79</f>
        <v>0</v>
      </c>
      <c r="AS82" s="67" t="n">
        <f aca="false">AS79-AR79</f>
        <v>0</v>
      </c>
      <c r="AT82" s="67" t="n">
        <f aca="false">AT79-AS79</f>
        <v>0</v>
      </c>
      <c r="AU82" s="67" t="n">
        <f aca="false">AU79-AT79</f>
        <v>0</v>
      </c>
      <c r="AV82" s="67" t="n">
        <f aca="false">AV79-AU79</f>
        <v>0</v>
      </c>
      <c r="AW82" s="67" t="n">
        <f aca="false">AW79-AV79</f>
        <v>0</v>
      </c>
      <c r="AX82" s="67" t="n">
        <f aca="false">AX79-AW79</f>
        <v>-711.57256328704</v>
      </c>
      <c r="AY82" s="67" t="n">
        <f aca="false">AY79-AX79</f>
        <v>38.3959853995796</v>
      </c>
      <c r="AZ82" s="67" t="n">
        <f aca="false">AZ79-AY79</f>
        <v>0</v>
      </c>
      <c r="BA82" s="67" t="n">
        <f aca="false">BA79-AZ79</f>
        <v>727.196146239181</v>
      </c>
      <c r="BB82" s="67" t="n">
        <f aca="false">BB79-BA79</f>
        <v>0</v>
      </c>
      <c r="BC82" s="67" t="n">
        <f aca="false">BC79-BB79</f>
        <v>0</v>
      </c>
      <c r="BD82" s="67" t="n">
        <f aca="false">BD79-BC79</f>
        <v>0</v>
      </c>
      <c r="BE82" s="67" t="n">
        <f aca="false">BE79-BD79</f>
        <v>0</v>
      </c>
      <c r="BF82" s="67" t="n">
        <f aca="false">BF79-BE79</f>
        <v>0</v>
      </c>
      <c r="BG82" s="67" t="n">
        <f aca="false">BG79-BF79</f>
        <v>0</v>
      </c>
      <c r="BH82" s="67" t="n">
        <f aca="false">BH79-BG79</f>
        <v>0</v>
      </c>
      <c r="BI82" s="67" t="n">
        <f aca="false">BI79-BH79</f>
        <v>0</v>
      </c>
      <c r="BJ82" s="67" t="n">
        <f aca="false">BJ79-BI79</f>
        <v>-727.196146239181</v>
      </c>
    </row>
    <row r="84" customFormat="false" ht="15.75" hidden="false" customHeight="true" outlineLevel="0" collapsed="false">
      <c r="A84" s="7" t="s">
        <v>442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</row>
    <row r="85" customFormat="false" ht="15" hidden="false" customHeight="false" outlineLevel="0" collapsed="false">
      <c r="A85" s="4" t="s">
        <v>52</v>
      </c>
      <c r="C85" s="73" t="n">
        <f aca="false">C57-C66+C80+C81+C82</f>
        <v>-12110.0547853333</v>
      </c>
      <c r="D85" s="73" t="n">
        <f aca="false">D57-D66+D80+D81+D82</f>
        <v>-11330.7996082963</v>
      </c>
      <c r="E85" s="73" t="n">
        <f aca="false">E57-E66+E80+E81+E82</f>
        <v>-9145.88872251852</v>
      </c>
      <c r="F85" s="73" t="n">
        <f aca="false">F57-F66+F80+F81+F82</f>
        <v>-8110.88594340741</v>
      </c>
      <c r="G85" s="73" t="n">
        <f aca="false">G57-G66+G80+G81+G82</f>
        <v>-7206.13054562963</v>
      </c>
      <c r="H85" s="73" t="n">
        <f aca="false">H57-H66+H80+H81+H82</f>
        <v>-6301.37514785185</v>
      </c>
      <c r="I85" s="73" t="n">
        <f aca="false">I57-I66+I80+I81+I82</f>
        <v>-5396.61975007407</v>
      </c>
      <c r="J85" s="73" t="n">
        <f aca="false">J57-J66+J80+J81+J82</f>
        <v>-4491.86435229629</v>
      </c>
      <c r="K85" s="73" t="n">
        <f aca="false">K57-K66+K80+K81+K82</f>
        <v>-3587.10895451852</v>
      </c>
      <c r="L85" s="73" t="n">
        <f aca="false">L57-L66+L80+L81+L82</f>
        <v>-2682.35355674074</v>
      </c>
      <c r="M85" s="73" t="n">
        <f aca="false">M57-M66+M80+M81+M82</f>
        <v>-2604.17846666667</v>
      </c>
      <c r="N85" s="73" t="n">
        <f aca="false">N57-N66+N80+N81+N82</f>
        <v>-6049.85262666667</v>
      </c>
      <c r="O85" s="73" t="n">
        <f aca="false">O57-O66+O80+O81+O82</f>
        <v>-6644.8536544</v>
      </c>
      <c r="P85" s="73" t="n">
        <f aca="false">P57-P66+P80+P81+P82</f>
        <v>-6623.61109866667</v>
      </c>
      <c r="Q85" s="73" t="n">
        <f aca="false">Q57-Q66+Q80+Q81+Q82</f>
        <v>-3096.33525546667</v>
      </c>
      <c r="R85" s="73" t="n">
        <f aca="false">R57-R66+R80+R81+R82</f>
        <v>-2771.14220266667</v>
      </c>
      <c r="S85" s="73" t="n">
        <f aca="false">S57-S66+S80+S81+S82</f>
        <v>-2759.89220266667</v>
      </c>
      <c r="T85" s="73" t="n">
        <f aca="false">T57-T66+T80+T81+T82</f>
        <v>-2748.64220266667</v>
      </c>
      <c r="U85" s="73" t="n">
        <f aca="false">U57-U66+U80+U81+U82</f>
        <v>-2737.39220266667</v>
      </c>
      <c r="V85" s="73" t="n">
        <f aca="false">V57-V66+V80+V81+V82</f>
        <v>-2726.14220266667</v>
      </c>
      <c r="W85" s="73" t="n">
        <f aca="false">W57-W66+W80+W81+W82</f>
        <v>-2714.89220266667</v>
      </c>
      <c r="X85" s="73" t="n">
        <f aca="false">X57-X66+X80+X81+X82</f>
        <v>-2703.64220266667</v>
      </c>
      <c r="Y85" s="73" t="n">
        <f aca="false">Y57-Y66+Y80+Y81+Y82</f>
        <v>-2692.39220266667</v>
      </c>
      <c r="Z85" s="73" t="n">
        <f aca="false">Z57-Z66+Z80+Z81+Z82</f>
        <v>-6197.16804586667</v>
      </c>
      <c r="AA85" s="73" t="n">
        <f aca="false">AA57-AA66+AA80+AA81+AA82</f>
        <v>-6810.01453682133</v>
      </c>
      <c r="AB85" s="73" t="n">
        <f aca="false">AB57-AB66+AB80+AB81+AB82</f>
        <v>-6788.66696730667</v>
      </c>
      <c r="AC85" s="73" t="n">
        <f aca="false">AC57-AC66+AC80+AC81+AC82</f>
        <v>-3201.50887924266</v>
      </c>
      <c r="AD85" s="73" t="n">
        <f aca="false">AD57-AD66+AD80+AD81+AD82</f>
        <v>-2870.77245338666</v>
      </c>
      <c r="AE85" s="73" t="n">
        <f aca="false">AE57-AE66+AE80+AE81+AE82</f>
        <v>-2859.52245338666</v>
      </c>
      <c r="AF85" s="73" t="n">
        <f aca="false">AF57-AF66+AF80+AF81+AF82</f>
        <v>-2848.27245338666</v>
      </c>
      <c r="AG85" s="73" t="n">
        <f aca="false">AG57-AG66+AG80+AG81+AG82</f>
        <v>-2837.02245338666</v>
      </c>
      <c r="AH85" s="73" t="n">
        <f aca="false">AH57-AH66+AH80+AH81+AH82</f>
        <v>-2825.77245338666</v>
      </c>
      <c r="AI85" s="73" t="n">
        <f aca="false">AI57-AI66+AI80+AI81+AI82</f>
        <v>-2814.52245338666</v>
      </c>
      <c r="AJ85" s="73" t="n">
        <f aca="false">AJ57-AJ66+AJ80+AJ81+AJ82</f>
        <v>-2803.27245338666</v>
      </c>
      <c r="AK85" s="73" t="n">
        <f aca="false">AK57-AK66+AK80+AK81+AK82</f>
        <v>-2792.02245338666</v>
      </c>
      <c r="AL85" s="73" t="n">
        <f aca="false">AL57-AL66+AL80+AL81+AL82</f>
        <v>-6356.68054145067</v>
      </c>
      <c r="AM85" s="73" t="n">
        <f aca="false">AM57-AM66+AM80+AM81+AM82</f>
        <v>-6987.92859859776</v>
      </c>
      <c r="AN85" s="73" t="n">
        <f aca="false">AN57-AN66+AN80+AN81+AN82</f>
        <v>-6966.47770851946</v>
      </c>
      <c r="AO85" s="73" t="n">
        <f aca="false">AO57-AO66+AO80+AO81+AO82</f>
        <v>-3318.65726157418</v>
      </c>
      <c r="AP85" s="73" t="n">
        <f aca="false">AP57-AP66+AP80+AP81+AP82</f>
        <v>-2982.29601472106</v>
      </c>
      <c r="AQ85" s="73" t="n">
        <f aca="false">AQ57-AQ66+AQ80+AQ81+AQ82</f>
        <v>-2971.04601472106</v>
      </c>
      <c r="AR85" s="73" t="n">
        <f aca="false">AR57-AR66+AR80+AR81+AR82</f>
        <v>-2959.79601472106</v>
      </c>
      <c r="AS85" s="73" t="n">
        <f aca="false">AS57-AS66+AS80+AS81+AS82</f>
        <v>-2948.54601472106</v>
      </c>
      <c r="AT85" s="73" t="n">
        <f aca="false">AT57-AT66+AT80+AT81+AT82</f>
        <v>-2937.29601472106</v>
      </c>
      <c r="AU85" s="73" t="n">
        <f aca="false">AU57-AU66+AU80+AU81+AU82</f>
        <v>-2926.04601472106</v>
      </c>
      <c r="AV85" s="73" t="n">
        <f aca="false">AV57-AV66+AV80+AV81+AV82</f>
        <v>-2914.79601472106</v>
      </c>
      <c r="AW85" s="73" t="n">
        <f aca="false">AW57-AW66+AW80+AW81+AW82</f>
        <v>-2903.54601472106</v>
      </c>
      <c r="AX85" s="73" t="n">
        <f aca="false">AX57-AX66+AX80+AX81+AX82</f>
        <v>-6528.86646166634</v>
      </c>
      <c r="AY85" s="73" t="n">
        <f aca="false">AY57-AY66+AY80+AY81+AY82</f>
        <v>-7179.09038906465</v>
      </c>
      <c r="AZ85" s="73" t="n">
        <f aca="false">AZ57-AZ66+AZ80+AZ81+AZ82</f>
        <v>-7157.53805724453</v>
      </c>
      <c r="BA85" s="73" t="n">
        <f aca="false">BA57-BA66+BA80+BA81+BA82</f>
        <v>-3448.27623635554</v>
      </c>
      <c r="BB85" s="73" t="n">
        <f aca="false">BB57-BB66+BB80+BB81+BB82</f>
        <v>-3106.20826838616</v>
      </c>
      <c r="BC85" s="73" t="n">
        <f aca="false">BC57-BC66+BC80+BC81+BC82</f>
        <v>-3094.95826838616</v>
      </c>
      <c r="BD85" s="73" t="n">
        <f aca="false">BD57-BD66+BD80+BD81+BD82</f>
        <v>-3083.70826838616</v>
      </c>
      <c r="BE85" s="73" t="n">
        <f aca="false">BE57-BE66+BE80+BE81+BE82</f>
        <v>-3072.45826838616</v>
      </c>
      <c r="BF85" s="73" t="n">
        <f aca="false">BF57-BF66+BF80+BF81+BF82</f>
        <v>-3061.20826838616</v>
      </c>
      <c r="BG85" s="73" t="n">
        <f aca="false">BG57-BG66+BG80+BG81+BG82</f>
        <v>-3049.95826838616</v>
      </c>
      <c r="BH85" s="73" t="n">
        <f aca="false">BH57-BH66+BH80+BH81+BH82</f>
        <v>-3038.70826838616</v>
      </c>
      <c r="BI85" s="73" t="n">
        <f aca="false">BI57-BI66+BI80+BI81+BI82</f>
        <v>-3027.45826838616</v>
      </c>
      <c r="BJ85" s="73" t="n">
        <f aca="false">BJ57-BJ66+BJ80+BJ81+BJ82</f>
        <v>-6714.22008927514</v>
      </c>
    </row>
    <row r="86" customFormat="false" ht="15" hidden="false" customHeight="false" outlineLevel="0" collapsed="false">
      <c r="A86" s="6" t="s">
        <v>443</v>
      </c>
      <c r="C86" s="67" t="n">
        <f aca="false">-C64</f>
        <v>-138000</v>
      </c>
      <c r="D86" s="67" t="n">
        <f aca="false">-D64</f>
        <v>-0</v>
      </c>
      <c r="E86" s="67" t="n">
        <f aca="false">-E64</f>
        <v>-0</v>
      </c>
      <c r="F86" s="67" t="n">
        <f aca="false">-F64</f>
        <v>-0</v>
      </c>
      <c r="G86" s="67" t="n">
        <f aca="false">-G64</f>
        <v>-0</v>
      </c>
      <c r="H86" s="67" t="n">
        <f aca="false">-H64</f>
        <v>-0</v>
      </c>
      <c r="I86" s="67" t="n">
        <f aca="false">-I64</f>
        <v>-0</v>
      </c>
      <c r="J86" s="67" t="n">
        <f aca="false">-J64</f>
        <v>-0</v>
      </c>
      <c r="K86" s="67" t="n">
        <f aca="false">-K64</f>
        <v>-0</v>
      </c>
      <c r="L86" s="67" t="n">
        <f aca="false">-L64</f>
        <v>-0</v>
      </c>
      <c r="M86" s="67" t="n">
        <f aca="false">-M64</f>
        <v>-0</v>
      </c>
      <c r="N86" s="67" t="n">
        <f aca="false">-N64</f>
        <v>-0</v>
      </c>
      <c r="O86" s="67" t="n">
        <f aca="false">-O64</f>
        <v>-2500</v>
      </c>
      <c r="P86" s="67" t="n">
        <f aca="false">-P64</f>
        <v>-0</v>
      </c>
      <c r="Q86" s="67" t="n">
        <f aca="false">-Q64</f>
        <v>-0</v>
      </c>
      <c r="R86" s="67" t="n">
        <f aca="false">-R64</f>
        <v>-0</v>
      </c>
      <c r="S86" s="67" t="n">
        <f aca="false">-S64</f>
        <v>-0</v>
      </c>
      <c r="T86" s="67" t="n">
        <f aca="false">-T64</f>
        <v>-0</v>
      </c>
      <c r="U86" s="67" t="n">
        <f aca="false">-U64</f>
        <v>-0</v>
      </c>
      <c r="V86" s="67" t="n">
        <f aca="false">-V64</f>
        <v>-0</v>
      </c>
      <c r="W86" s="67" t="n">
        <f aca="false">-W64</f>
        <v>-0</v>
      </c>
      <c r="X86" s="67" t="n">
        <f aca="false">-X64</f>
        <v>-0</v>
      </c>
      <c r="Y86" s="67" t="n">
        <f aca="false">-Y64</f>
        <v>-0</v>
      </c>
      <c r="Z86" s="67" t="n">
        <f aca="false">-Z64</f>
        <v>-0</v>
      </c>
      <c r="AA86" s="67" t="n">
        <f aca="false">-AA64</f>
        <v>-2500</v>
      </c>
      <c r="AB86" s="67" t="n">
        <f aca="false">-AB64</f>
        <v>-0</v>
      </c>
      <c r="AC86" s="67" t="n">
        <f aca="false">-AC64</f>
        <v>-0</v>
      </c>
      <c r="AD86" s="67" t="n">
        <f aca="false">-AD64</f>
        <v>-0</v>
      </c>
      <c r="AE86" s="67" t="n">
        <f aca="false">-AE64</f>
        <v>-0</v>
      </c>
      <c r="AF86" s="67" t="n">
        <f aca="false">-AF64</f>
        <v>-0</v>
      </c>
      <c r="AG86" s="67" t="n">
        <f aca="false">-AG64</f>
        <v>-0</v>
      </c>
      <c r="AH86" s="67" t="n">
        <f aca="false">-AH64</f>
        <v>-0</v>
      </c>
      <c r="AI86" s="67" t="n">
        <f aca="false">-AI64</f>
        <v>-0</v>
      </c>
      <c r="AJ86" s="67" t="n">
        <f aca="false">-AJ64</f>
        <v>-0</v>
      </c>
      <c r="AK86" s="67" t="n">
        <f aca="false">-AK64</f>
        <v>-0</v>
      </c>
      <c r="AL86" s="67" t="n">
        <f aca="false">-AL64</f>
        <v>-0</v>
      </c>
      <c r="AM86" s="67" t="n">
        <f aca="false">-AM64</f>
        <v>-2500</v>
      </c>
      <c r="AN86" s="67" t="n">
        <f aca="false">-AN64</f>
        <v>-0</v>
      </c>
      <c r="AO86" s="67" t="n">
        <f aca="false">-AO64</f>
        <v>-0</v>
      </c>
      <c r="AP86" s="67" t="n">
        <f aca="false">-AP64</f>
        <v>-0</v>
      </c>
      <c r="AQ86" s="67" t="n">
        <f aca="false">-AQ64</f>
        <v>-0</v>
      </c>
      <c r="AR86" s="67" t="n">
        <f aca="false">-AR64</f>
        <v>-0</v>
      </c>
      <c r="AS86" s="67" t="n">
        <f aca="false">-AS64</f>
        <v>-0</v>
      </c>
      <c r="AT86" s="67" t="n">
        <f aca="false">-AT64</f>
        <v>-0</v>
      </c>
      <c r="AU86" s="67" t="n">
        <f aca="false">-AU64</f>
        <v>-0</v>
      </c>
      <c r="AV86" s="67" t="n">
        <f aca="false">-AV64</f>
        <v>-0</v>
      </c>
      <c r="AW86" s="67" t="n">
        <f aca="false">-AW64</f>
        <v>-0</v>
      </c>
      <c r="AX86" s="67" t="n">
        <f aca="false">-AX64</f>
        <v>-0</v>
      </c>
      <c r="AY86" s="67" t="n">
        <f aca="false">-AY64</f>
        <v>-2500</v>
      </c>
      <c r="AZ86" s="67" t="n">
        <f aca="false">-AZ64</f>
        <v>-0</v>
      </c>
      <c r="BA86" s="67" t="n">
        <f aca="false">-BA64</f>
        <v>-0</v>
      </c>
      <c r="BB86" s="67" t="n">
        <f aca="false">-BB64</f>
        <v>-0</v>
      </c>
      <c r="BC86" s="67" t="n">
        <f aca="false">-BC64</f>
        <v>-0</v>
      </c>
      <c r="BD86" s="67" t="n">
        <f aca="false">-BD64</f>
        <v>-0</v>
      </c>
      <c r="BE86" s="67" t="n">
        <f aca="false">-BE64</f>
        <v>-0</v>
      </c>
      <c r="BF86" s="67" t="n">
        <f aca="false">-BF64</f>
        <v>-0</v>
      </c>
      <c r="BG86" s="67" t="n">
        <f aca="false">-BG64</f>
        <v>-0</v>
      </c>
      <c r="BH86" s="67" t="n">
        <f aca="false">-BH64</f>
        <v>-0</v>
      </c>
      <c r="BI86" s="67" t="n">
        <f aca="false">-BI64</f>
        <v>-0</v>
      </c>
      <c r="BJ86" s="67" t="n">
        <f aca="false">-BJ64</f>
        <v>-0</v>
      </c>
    </row>
    <row r="87" customFormat="false" ht="15" hidden="false" customHeight="false" outlineLevel="0" collapsed="false">
      <c r="A87" s="6" t="s">
        <v>64</v>
      </c>
      <c r="C87" s="67" t="n">
        <f aca="false">IF(C$6=1,Inputs!$B$71,0)</f>
        <v>100000</v>
      </c>
      <c r="D87" s="67" t="n">
        <f aca="false">IF(D$6=1,Inputs!$B$71,0)</f>
        <v>0</v>
      </c>
      <c r="E87" s="67" t="n">
        <f aca="false">IF(E$6=1,Inputs!$B$71,0)</f>
        <v>0</v>
      </c>
      <c r="F87" s="67" t="n">
        <f aca="false">IF(F$6=1,Inputs!$B$71,0)</f>
        <v>0</v>
      </c>
      <c r="G87" s="67" t="n">
        <f aca="false">IF(G$6=1,Inputs!$B$71,0)</f>
        <v>0</v>
      </c>
      <c r="H87" s="67" t="n">
        <f aca="false">IF(H$6=1,Inputs!$B$71,0)</f>
        <v>0</v>
      </c>
      <c r="I87" s="67" t="n">
        <f aca="false">IF(I$6=1,Inputs!$B$71,0)</f>
        <v>0</v>
      </c>
      <c r="J87" s="67" t="n">
        <f aca="false">IF(J$6=1,Inputs!$B$71,0)</f>
        <v>0</v>
      </c>
      <c r="K87" s="67" t="n">
        <f aca="false">IF(K$6=1,Inputs!$B$71,0)</f>
        <v>0</v>
      </c>
      <c r="L87" s="67" t="n">
        <f aca="false">IF(L$6=1,Inputs!$B$71,0)</f>
        <v>0</v>
      </c>
      <c r="M87" s="67" t="n">
        <f aca="false">IF(M$6=1,Inputs!$B$71,0)</f>
        <v>0</v>
      </c>
      <c r="N87" s="67" t="n">
        <f aca="false">IF(N$6=1,Inputs!$B$71,0)</f>
        <v>0</v>
      </c>
      <c r="O87" s="67" t="n">
        <f aca="false">IF(O$6=1,Inputs!$B$71,0)</f>
        <v>0</v>
      </c>
      <c r="P87" s="67" t="n">
        <f aca="false">IF(P$6=1,Inputs!$B$71,0)</f>
        <v>0</v>
      </c>
      <c r="Q87" s="67" t="n">
        <f aca="false">IF(Q$6=1,Inputs!$B$71,0)</f>
        <v>0</v>
      </c>
      <c r="R87" s="67" t="n">
        <f aca="false">IF(R$6=1,Inputs!$B$71,0)</f>
        <v>0</v>
      </c>
      <c r="S87" s="67" t="n">
        <f aca="false">IF(S$6=1,Inputs!$B$71,0)</f>
        <v>0</v>
      </c>
      <c r="T87" s="67" t="n">
        <f aca="false">IF(T$6=1,Inputs!$B$71,0)</f>
        <v>0</v>
      </c>
      <c r="U87" s="67" t="n">
        <f aca="false">IF(U$6=1,Inputs!$B$71,0)</f>
        <v>0</v>
      </c>
      <c r="V87" s="67" t="n">
        <f aca="false">IF(V$6=1,Inputs!$B$71,0)</f>
        <v>0</v>
      </c>
      <c r="W87" s="67" t="n">
        <f aca="false">IF(W$6=1,Inputs!$B$71,0)</f>
        <v>0</v>
      </c>
      <c r="X87" s="67" t="n">
        <f aca="false">IF(X$6=1,Inputs!$B$71,0)</f>
        <v>0</v>
      </c>
      <c r="Y87" s="67" t="n">
        <f aca="false">IF(Y$6=1,Inputs!$B$71,0)</f>
        <v>0</v>
      </c>
      <c r="Z87" s="67" t="n">
        <f aca="false">IF(Z$6=1,Inputs!$B$71,0)</f>
        <v>0</v>
      </c>
      <c r="AA87" s="67" t="n">
        <f aca="false">IF(AA$6=1,Inputs!$B$71,0)</f>
        <v>0</v>
      </c>
      <c r="AB87" s="67" t="n">
        <f aca="false">IF(AB$6=1,Inputs!$B$71,0)</f>
        <v>0</v>
      </c>
      <c r="AC87" s="67" t="n">
        <f aca="false">IF(AC$6=1,Inputs!$B$71,0)</f>
        <v>0</v>
      </c>
      <c r="AD87" s="67" t="n">
        <f aca="false">IF(AD$6=1,Inputs!$B$71,0)</f>
        <v>0</v>
      </c>
      <c r="AE87" s="67" t="n">
        <f aca="false">IF(AE$6=1,Inputs!$B$71,0)</f>
        <v>0</v>
      </c>
      <c r="AF87" s="67" t="n">
        <f aca="false">IF(AF$6=1,Inputs!$B$71,0)</f>
        <v>0</v>
      </c>
      <c r="AG87" s="67" t="n">
        <f aca="false">IF(AG$6=1,Inputs!$B$71,0)</f>
        <v>0</v>
      </c>
      <c r="AH87" s="67" t="n">
        <f aca="false">IF(AH$6=1,Inputs!$B$71,0)</f>
        <v>0</v>
      </c>
      <c r="AI87" s="67" t="n">
        <f aca="false">IF(AI$6=1,Inputs!$B$71,0)</f>
        <v>0</v>
      </c>
      <c r="AJ87" s="67" t="n">
        <f aca="false">IF(AJ$6=1,Inputs!$B$71,0)</f>
        <v>0</v>
      </c>
      <c r="AK87" s="67" t="n">
        <f aca="false">IF(AK$6=1,Inputs!$B$71,0)</f>
        <v>0</v>
      </c>
      <c r="AL87" s="67" t="n">
        <f aca="false">IF(AL$6=1,Inputs!$B$71,0)</f>
        <v>0</v>
      </c>
      <c r="AM87" s="67" t="n">
        <f aca="false">IF(AM$6=1,Inputs!$B$71,0)</f>
        <v>0</v>
      </c>
      <c r="AN87" s="67" t="n">
        <f aca="false">IF(AN$6=1,Inputs!$B$71,0)</f>
        <v>0</v>
      </c>
      <c r="AO87" s="67" t="n">
        <f aca="false">IF(AO$6=1,Inputs!$B$71,0)</f>
        <v>0</v>
      </c>
      <c r="AP87" s="67" t="n">
        <f aca="false">IF(AP$6=1,Inputs!$B$71,0)</f>
        <v>0</v>
      </c>
      <c r="AQ87" s="67" t="n">
        <f aca="false">IF(AQ$6=1,Inputs!$B$71,0)</f>
        <v>0</v>
      </c>
      <c r="AR87" s="67" t="n">
        <f aca="false">IF(AR$6=1,Inputs!$B$71,0)</f>
        <v>0</v>
      </c>
      <c r="AS87" s="67" t="n">
        <f aca="false">IF(AS$6=1,Inputs!$B$71,0)</f>
        <v>0</v>
      </c>
      <c r="AT87" s="67" t="n">
        <f aca="false">IF(AT$6=1,Inputs!$B$71,0)</f>
        <v>0</v>
      </c>
      <c r="AU87" s="67" t="n">
        <f aca="false">IF(AU$6=1,Inputs!$B$71,0)</f>
        <v>0</v>
      </c>
      <c r="AV87" s="67" t="n">
        <f aca="false">IF(AV$6=1,Inputs!$B$71,0)</f>
        <v>0</v>
      </c>
      <c r="AW87" s="67" t="n">
        <f aca="false">IF(AW$6=1,Inputs!$B$71,0)</f>
        <v>0</v>
      </c>
      <c r="AX87" s="67" t="n">
        <f aca="false">IF(AX$6=1,Inputs!$B$71,0)</f>
        <v>0</v>
      </c>
      <c r="AY87" s="67" t="n">
        <f aca="false">IF(AY$6=1,Inputs!$B$71,0)</f>
        <v>0</v>
      </c>
      <c r="AZ87" s="67" t="n">
        <f aca="false">IF(AZ$6=1,Inputs!$B$71,0)</f>
        <v>0</v>
      </c>
      <c r="BA87" s="67" t="n">
        <f aca="false">IF(BA$6=1,Inputs!$B$71,0)</f>
        <v>0</v>
      </c>
      <c r="BB87" s="67" t="n">
        <f aca="false">IF(BB$6=1,Inputs!$B$71,0)</f>
        <v>0</v>
      </c>
      <c r="BC87" s="67" t="n">
        <f aca="false">IF(BC$6=1,Inputs!$B$71,0)</f>
        <v>0</v>
      </c>
      <c r="BD87" s="67" t="n">
        <f aca="false">IF(BD$6=1,Inputs!$B$71,0)</f>
        <v>0</v>
      </c>
      <c r="BE87" s="67" t="n">
        <f aca="false">IF(BE$6=1,Inputs!$B$71,0)</f>
        <v>0</v>
      </c>
      <c r="BF87" s="67" t="n">
        <f aca="false">IF(BF$6=1,Inputs!$B$71,0)</f>
        <v>0</v>
      </c>
      <c r="BG87" s="67" t="n">
        <f aca="false">IF(BG$6=1,Inputs!$B$71,0)</f>
        <v>0</v>
      </c>
      <c r="BH87" s="67" t="n">
        <f aca="false">IF(BH$6=1,Inputs!$B$71,0)</f>
        <v>0</v>
      </c>
      <c r="BI87" s="67" t="n">
        <f aca="false">IF(BI$6=1,Inputs!$B$71,0)</f>
        <v>0</v>
      </c>
      <c r="BJ87" s="67" t="n">
        <f aca="false">IF(BJ$6=1,Inputs!$B$71,0)</f>
        <v>0</v>
      </c>
    </row>
    <row r="88" customFormat="false" ht="15" hidden="false" customHeight="false" outlineLevel="0" collapsed="false">
      <c r="A88" s="6" t="s">
        <v>54</v>
      </c>
      <c r="C88" s="67" t="n">
        <f aca="false">C87+C72+C73</f>
        <v>190000</v>
      </c>
      <c r="D88" s="67" t="n">
        <f aca="false">D87+D72+D73</f>
        <v>-1500</v>
      </c>
      <c r="E88" s="67" t="n">
        <f aca="false">E87+E72+E73</f>
        <v>-1500</v>
      </c>
      <c r="F88" s="67" t="n">
        <f aca="false">F87+F72+F73</f>
        <v>-1500</v>
      </c>
      <c r="G88" s="67" t="n">
        <f aca="false">G87+G72+G73</f>
        <v>-1500</v>
      </c>
      <c r="H88" s="67" t="n">
        <f aca="false">H87+H72+H73</f>
        <v>-1500</v>
      </c>
      <c r="I88" s="67" t="n">
        <f aca="false">I87+I72+I73</f>
        <v>-1500</v>
      </c>
      <c r="J88" s="67" t="n">
        <f aca="false">J87+J72+J73</f>
        <v>-1500</v>
      </c>
      <c r="K88" s="67" t="n">
        <f aca="false">K87+K72+K73</f>
        <v>-1500</v>
      </c>
      <c r="L88" s="67" t="n">
        <f aca="false">L87+L72+L73</f>
        <v>-1500</v>
      </c>
      <c r="M88" s="67" t="n">
        <f aca="false">M87+M72+M73</f>
        <v>-1500</v>
      </c>
      <c r="N88" s="67" t="n">
        <f aca="false">N87+N72+N73</f>
        <v>-1500</v>
      </c>
      <c r="O88" s="67" t="n">
        <f aca="false">O87+O72+O73</f>
        <v>-1500</v>
      </c>
      <c r="P88" s="67" t="n">
        <f aca="false">P87+P72+P73</f>
        <v>-1500</v>
      </c>
      <c r="Q88" s="67" t="n">
        <f aca="false">Q87+Q72+Q73</f>
        <v>-1500</v>
      </c>
      <c r="R88" s="67" t="n">
        <f aca="false">R87+R72+R73</f>
        <v>-1500</v>
      </c>
      <c r="S88" s="67" t="n">
        <f aca="false">S87+S72+S73</f>
        <v>-1500</v>
      </c>
      <c r="T88" s="67" t="n">
        <f aca="false">T87+T72+T73</f>
        <v>-1500</v>
      </c>
      <c r="U88" s="67" t="n">
        <f aca="false">U87+U72+U73</f>
        <v>-1500</v>
      </c>
      <c r="V88" s="67" t="n">
        <f aca="false">V87+V72+V73</f>
        <v>-1500</v>
      </c>
      <c r="W88" s="67" t="n">
        <f aca="false">W87+W72+W73</f>
        <v>-1500</v>
      </c>
      <c r="X88" s="67" t="n">
        <f aca="false">X87+X72+X73</f>
        <v>-1500</v>
      </c>
      <c r="Y88" s="67" t="n">
        <f aca="false">Y87+Y72+Y73</f>
        <v>-1500</v>
      </c>
      <c r="Z88" s="67" t="n">
        <f aca="false">Z87+Z72+Z73</f>
        <v>-1500</v>
      </c>
      <c r="AA88" s="67" t="n">
        <f aca="false">AA87+AA72+AA73</f>
        <v>-1500</v>
      </c>
      <c r="AB88" s="67" t="n">
        <f aca="false">AB87+AB72+AB73</f>
        <v>-1500</v>
      </c>
      <c r="AC88" s="67" t="n">
        <f aca="false">AC87+AC72+AC73</f>
        <v>-1500</v>
      </c>
      <c r="AD88" s="67" t="n">
        <f aca="false">AD87+AD72+AD73</f>
        <v>-1500</v>
      </c>
      <c r="AE88" s="67" t="n">
        <f aca="false">AE87+AE72+AE73</f>
        <v>-1500</v>
      </c>
      <c r="AF88" s="67" t="n">
        <f aca="false">AF87+AF72+AF73</f>
        <v>-1500</v>
      </c>
      <c r="AG88" s="67" t="n">
        <f aca="false">AG87+AG72+AG73</f>
        <v>-1500</v>
      </c>
      <c r="AH88" s="67" t="n">
        <f aca="false">AH87+AH72+AH73</f>
        <v>-1500</v>
      </c>
      <c r="AI88" s="67" t="n">
        <f aca="false">AI87+AI72+AI73</f>
        <v>-1500</v>
      </c>
      <c r="AJ88" s="67" t="n">
        <f aca="false">AJ87+AJ72+AJ73</f>
        <v>-1500</v>
      </c>
      <c r="AK88" s="67" t="n">
        <f aca="false">AK87+AK72+AK73</f>
        <v>-1500</v>
      </c>
      <c r="AL88" s="67" t="n">
        <f aca="false">AL87+AL72+AL73</f>
        <v>-1500</v>
      </c>
      <c r="AM88" s="67" t="n">
        <f aca="false">AM87+AM72+AM73</f>
        <v>-1500</v>
      </c>
      <c r="AN88" s="67" t="n">
        <f aca="false">AN87+AN72+AN73</f>
        <v>-1500</v>
      </c>
      <c r="AO88" s="67" t="n">
        <f aca="false">AO87+AO72+AO73</f>
        <v>-1500</v>
      </c>
      <c r="AP88" s="67" t="n">
        <f aca="false">AP87+AP72+AP73</f>
        <v>-1500</v>
      </c>
      <c r="AQ88" s="67" t="n">
        <f aca="false">AQ87+AQ72+AQ73</f>
        <v>-1500</v>
      </c>
      <c r="AR88" s="67" t="n">
        <f aca="false">AR87+AR72+AR73</f>
        <v>-1500</v>
      </c>
      <c r="AS88" s="67" t="n">
        <f aca="false">AS87+AS72+AS73</f>
        <v>-1500</v>
      </c>
      <c r="AT88" s="67" t="n">
        <f aca="false">AT87+AT72+AT73</f>
        <v>-1500</v>
      </c>
      <c r="AU88" s="67" t="n">
        <f aca="false">AU87+AU72+AU73</f>
        <v>-1500</v>
      </c>
      <c r="AV88" s="67" t="n">
        <f aca="false">AV87+AV72+AV73</f>
        <v>-1500</v>
      </c>
      <c r="AW88" s="67" t="n">
        <f aca="false">AW87+AW72+AW73</f>
        <v>-1500</v>
      </c>
      <c r="AX88" s="67" t="n">
        <f aca="false">AX87+AX72+AX73</f>
        <v>-1500</v>
      </c>
      <c r="AY88" s="67" t="n">
        <f aca="false">AY87+AY72+AY73</f>
        <v>-1500</v>
      </c>
      <c r="AZ88" s="67" t="n">
        <f aca="false">AZ87+AZ72+AZ73</f>
        <v>-1500</v>
      </c>
      <c r="BA88" s="67" t="n">
        <f aca="false">BA87+BA72+BA73</f>
        <v>-1500</v>
      </c>
      <c r="BB88" s="67" t="n">
        <f aca="false">BB87+BB72+BB73</f>
        <v>-1500</v>
      </c>
      <c r="BC88" s="67" t="n">
        <f aca="false">BC87+BC72+BC73</f>
        <v>-1500</v>
      </c>
      <c r="BD88" s="67" t="n">
        <f aca="false">BD87+BD72+BD73</f>
        <v>-1500</v>
      </c>
      <c r="BE88" s="67" t="n">
        <f aca="false">BE87+BE72+BE73</f>
        <v>-1500</v>
      </c>
      <c r="BF88" s="67" t="n">
        <f aca="false">BF87+BF72+BF73</f>
        <v>-1500</v>
      </c>
      <c r="BG88" s="67" t="n">
        <f aca="false">BG87+BG72+BG73</f>
        <v>-1500</v>
      </c>
      <c r="BH88" s="67" t="n">
        <f aca="false">BH87+BH72+BH73</f>
        <v>-1500</v>
      </c>
      <c r="BI88" s="67" t="n">
        <f aca="false">BI87+BI72+BI73</f>
        <v>-1500</v>
      </c>
      <c r="BJ88" s="67" t="n">
        <f aca="false">BJ87+BJ72+BJ73</f>
        <v>-1500</v>
      </c>
    </row>
    <row r="89" customFormat="false" ht="15" hidden="false" customHeight="false" outlineLevel="0" collapsed="false">
      <c r="A89" s="113" t="s">
        <v>444</v>
      </c>
      <c r="C89" s="68" t="n">
        <f aca="false">C85+C86+C88</f>
        <v>39889.9452146667</v>
      </c>
      <c r="D89" s="68" t="n">
        <f aca="false">D85+D86+D88</f>
        <v>-12830.7996082963</v>
      </c>
      <c r="E89" s="68" t="n">
        <f aca="false">E85+E86+E88</f>
        <v>-10645.8887225185</v>
      </c>
      <c r="F89" s="68" t="n">
        <f aca="false">F85+F86+F88</f>
        <v>-9610.88594340741</v>
      </c>
      <c r="G89" s="68" t="n">
        <f aca="false">G85+G86+G88</f>
        <v>-8706.13054562963</v>
      </c>
      <c r="H89" s="68" t="n">
        <f aca="false">H85+H86+H88</f>
        <v>-7801.37514785185</v>
      </c>
      <c r="I89" s="68" t="n">
        <f aca="false">I85+I86+I88</f>
        <v>-6896.61975007407</v>
      </c>
      <c r="J89" s="68" t="n">
        <f aca="false">J85+J86+J88</f>
        <v>-5991.86435229629</v>
      </c>
      <c r="K89" s="68" t="n">
        <f aca="false">K85+K86+K88</f>
        <v>-5087.10895451852</v>
      </c>
      <c r="L89" s="68" t="n">
        <f aca="false">L85+L86+L88</f>
        <v>-4182.35355674074</v>
      </c>
      <c r="M89" s="68" t="n">
        <f aca="false">M85+M86+M88</f>
        <v>-4104.17846666667</v>
      </c>
      <c r="N89" s="68" t="n">
        <f aca="false">N85+N86+N88</f>
        <v>-7549.85262666667</v>
      </c>
      <c r="O89" s="68" t="n">
        <f aca="false">O85+O86+O88</f>
        <v>-10644.8536544</v>
      </c>
      <c r="P89" s="68" t="n">
        <f aca="false">P85+P86+P88</f>
        <v>-8123.61109866667</v>
      </c>
      <c r="Q89" s="68" t="n">
        <f aca="false">Q85+Q86+Q88</f>
        <v>-4596.33525546667</v>
      </c>
      <c r="R89" s="68" t="n">
        <f aca="false">R85+R86+R88</f>
        <v>-4271.14220266667</v>
      </c>
      <c r="S89" s="68" t="n">
        <f aca="false">S85+S86+S88</f>
        <v>-4259.89220266667</v>
      </c>
      <c r="T89" s="68" t="n">
        <f aca="false">T85+T86+T88</f>
        <v>-4248.64220266667</v>
      </c>
      <c r="U89" s="68" t="n">
        <f aca="false">U85+U86+U88</f>
        <v>-4237.39220266667</v>
      </c>
      <c r="V89" s="68" t="n">
        <f aca="false">V85+V86+V88</f>
        <v>-4226.14220266667</v>
      </c>
      <c r="W89" s="68" t="n">
        <f aca="false">W85+W86+W88</f>
        <v>-4214.89220266667</v>
      </c>
      <c r="X89" s="68" t="n">
        <f aca="false">X85+X86+X88</f>
        <v>-4203.64220266667</v>
      </c>
      <c r="Y89" s="68" t="n">
        <f aca="false">Y85+Y86+Y88</f>
        <v>-4192.39220266667</v>
      </c>
      <c r="Z89" s="68" t="n">
        <f aca="false">Z85+Z86+Z88</f>
        <v>-7697.16804586667</v>
      </c>
      <c r="AA89" s="68" t="n">
        <f aca="false">AA85+AA86+AA88</f>
        <v>-10810.0145368213</v>
      </c>
      <c r="AB89" s="68" t="n">
        <f aca="false">AB85+AB86+AB88</f>
        <v>-8288.66696730667</v>
      </c>
      <c r="AC89" s="68" t="n">
        <f aca="false">AC85+AC86+AC88</f>
        <v>-4701.50887924266</v>
      </c>
      <c r="AD89" s="68" t="n">
        <f aca="false">AD85+AD86+AD88</f>
        <v>-4370.77245338666</v>
      </c>
      <c r="AE89" s="68" t="n">
        <f aca="false">AE85+AE86+AE88</f>
        <v>-4359.52245338666</v>
      </c>
      <c r="AF89" s="68" t="n">
        <f aca="false">AF85+AF86+AF88</f>
        <v>-4348.27245338666</v>
      </c>
      <c r="AG89" s="68" t="n">
        <f aca="false">AG85+AG86+AG88</f>
        <v>-4337.02245338666</v>
      </c>
      <c r="AH89" s="68" t="n">
        <f aca="false">AH85+AH86+AH88</f>
        <v>-4325.77245338666</v>
      </c>
      <c r="AI89" s="68" t="n">
        <f aca="false">AI85+AI86+AI88</f>
        <v>-4314.52245338666</v>
      </c>
      <c r="AJ89" s="68" t="n">
        <f aca="false">AJ85+AJ86+AJ88</f>
        <v>-4303.27245338666</v>
      </c>
      <c r="AK89" s="68" t="n">
        <f aca="false">AK85+AK86+AK88</f>
        <v>-4292.02245338666</v>
      </c>
      <c r="AL89" s="68" t="n">
        <f aca="false">AL85+AL86+AL88</f>
        <v>-7856.68054145067</v>
      </c>
      <c r="AM89" s="68" t="n">
        <f aca="false">AM85+AM86+AM88</f>
        <v>-10987.9285985978</v>
      </c>
      <c r="AN89" s="68" t="n">
        <f aca="false">AN85+AN86+AN88</f>
        <v>-8466.47770851946</v>
      </c>
      <c r="AO89" s="68" t="n">
        <f aca="false">AO85+AO86+AO88</f>
        <v>-4818.65726157418</v>
      </c>
      <c r="AP89" s="68" t="n">
        <f aca="false">AP85+AP86+AP88</f>
        <v>-4482.29601472106</v>
      </c>
      <c r="AQ89" s="68" t="n">
        <f aca="false">AQ85+AQ86+AQ88</f>
        <v>-4471.04601472106</v>
      </c>
      <c r="AR89" s="68" t="n">
        <f aca="false">AR85+AR86+AR88</f>
        <v>-4459.79601472106</v>
      </c>
      <c r="AS89" s="68" t="n">
        <f aca="false">AS85+AS86+AS88</f>
        <v>-4448.54601472106</v>
      </c>
      <c r="AT89" s="68" t="n">
        <f aca="false">AT85+AT86+AT88</f>
        <v>-4437.29601472106</v>
      </c>
      <c r="AU89" s="68" t="n">
        <f aca="false">AU85+AU86+AU88</f>
        <v>-4426.04601472106</v>
      </c>
      <c r="AV89" s="68" t="n">
        <f aca="false">AV85+AV86+AV88</f>
        <v>-4414.79601472106</v>
      </c>
      <c r="AW89" s="68" t="n">
        <f aca="false">AW85+AW86+AW88</f>
        <v>-4403.54601472106</v>
      </c>
      <c r="AX89" s="68" t="n">
        <f aca="false">AX85+AX86+AX88</f>
        <v>-8028.86646166634</v>
      </c>
      <c r="AY89" s="68" t="n">
        <f aca="false">AY85+AY86+AY88</f>
        <v>-11179.0903890647</v>
      </c>
      <c r="AZ89" s="68" t="n">
        <f aca="false">AZ85+AZ86+AZ88</f>
        <v>-8657.53805724453</v>
      </c>
      <c r="BA89" s="68" t="n">
        <f aca="false">BA85+BA86+BA88</f>
        <v>-4948.27623635554</v>
      </c>
      <c r="BB89" s="68" t="n">
        <f aca="false">BB85+BB86+BB88</f>
        <v>-4606.20826838616</v>
      </c>
      <c r="BC89" s="68" t="n">
        <f aca="false">BC85+BC86+BC88</f>
        <v>-4594.95826838616</v>
      </c>
      <c r="BD89" s="68" t="n">
        <f aca="false">BD85+BD86+BD88</f>
        <v>-4583.70826838616</v>
      </c>
      <c r="BE89" s="68" t="n">
        <f aca="false">BE85+BE86+BE88</f>
        <v>-4572.45826838616</v>
      </c>
      <c r="BF89" s="68" t="n">
        <f aca="false">BF85+BF86+BF88</f>
        <v>-4561.20826838616</v>
      </c>
      <c r="BG89" s="68" t="n">
        <f aca="false">BG85+BG86+BG88</f>
        <v>-4549.95826838616</v>
      </c>
      <c r="BH89" s="68" t="n">
        <f aca="false">BH85+BH86+BH88</f>
        <v>-4538.70826838616</v>
      </c>
      <c r="BI89" s="68" t="n">
        <f aca="false">BI85+BI86+BI88</f>
        <v>-4527.45826838616</v>
      </c>
      <c r="BJ89" s="68" t="n">
        <f aca="false">BJ85+BJ86+BJ88</f>
        <v>-8214.22008927514</v>
      </c>
    </row>
    <row r="90" customFormat="false" ht="15" hidden="false" customHeight="false" outlineLevel="0" collapsed="false">
      <c r="A90" s="6" t="s">
        <v>345</v>
      </c>
      <c r="C90" s="67" t="n">
        <f aca="false">0</f>
        <v>0</v>
      </c>
      <c r="D90" s="67" t="n">
        <f aca="false">C91</f>
        <v>39889.9452146667</v>
      </c>
      <c r="E90" s="67" t="n">
        <f aca="false">D91</f>
        <v>27059.1456063704</v>
      </c>
      <c r="F90" s="67" t="n">
        <f aca="false">E91</f>
        <v>16413.2568838518</v>
      </c>
      <c r="G90" s="67" t="n">
        <f aca="false">F91</f>
        <v>6802.37094044443</v>
      </c>
      <c r="H90" s="67" t="n">
        <f aca="false">G91</f>
        <v>-1903.7596051852</v>
      </c>
      <c r="I90" s="67" t="n">
        <f aca="false">H91</f>
        <v>-9705.13475303705</v>
      </c>
      <c r="J90" s="67" t="n">
        <f aca="false">I91</f>
        <v>-16601.7545031111</v>
      </c>
      <c r="K90" s="67" t="n">
        <f aca="false">J91</f>
        <v>-22593.6188554074</v>
      </c>
      <c r="L90" s="67" t="n">
        <f aca="false">K91</f>
        <v>-27680.7278099259</v>
      </c>
      <c r="M90" s="67" t="n">
        <f aca="false">L91</f>
        <v>-31863.0813666667</v>
      </c>
      <c r="N90" s="67" t="n">
        <f aca="false">M91</f>
        <v>-35967.2598333333</v>
      </c>
      <c r="O90" s="67" t="n">
        <f aca="false">N91</f>
        <v>-43517.11246</v>
      </c>
      <c r="P90" s="67" t="n">
        <f aca="false">O91</f>
        <v>-54161.9661144</v>
      </c>
      <c r="Q90" s="67" t="n">
        <f aca="false">P91</f>
        <v>-62285.5772130667</v>
      </c>
      <c r="R90" s="67" t="n">
        <f aca="false">Q91</f>
        <v>-66881.9124685333</v>
      </c>
      <c r="S90" s="67" t="n">
        <f aca="false">R91</f>
        <v>-71153.0546712</v>
      </c>
      <c r="T90" s="67" t="n">
        <f aca="false">S91</f>
        <v>-75412.9468738667</v>
      </c>
      <c r="U90" s="67" t="n">
        <f aca="false">T91</f>
        <v>-79661.5890765334</v>
      </c>
      <c r="V90" s="67" t="n">
        <f aca="false">U91</f>
        <v>-83898.9812792</v>
      </c>
      <c r="W90" s="67" t="n">
        <f aca="false">V91</f>
        <v>-88125.1234818667</v>
      </c>
      <c r="X90" s="67" t="n">
        <f aca="false">W91</f>
        <v>-92340.0156845334</v>
      </c>
      <c r="Y90" s="67" t="n">
        <f aca="false">X91</f>
        <v>-96543.6578872</v>
      </c>
      <c r="Z90" s="67" t="n">
        <f aca="false">Y91</f>
        <v>-100736.050089867</v>
      </c>
      <c r="AA90" s="67" t="n">
        <f aca="false">Z91</f>
        <v>-108433.218135733</v>
      </c>
      <c r="AB90" s="67" t="n">
        <f aca="false">AA91</f>
        <v>-119243.232672555</v>
      </c>
      <c r="AC90" s="67" t="n">
        <f aca="false">AB91</f>
        <v>-127531.899639861</v>
      </c>
      <c r="AD90" s="67" t="n">
        <f aca="false">AC91</f>
        <v>-132233.408519104</v>
      </c>
      <c r="AE90" s="67" t="n">
        <f aca="false">AD91</f>
        <v>-136604.180972491</v>
      </c>
      <c r="AF90" s="67" t="n">
        <f aca="false">AE91</f>
        <v>-140963.703425877</v>
      </c>
      <c r="AG90" s="67" t="n">
        <f aca="false">AF91</f>
        <v>-145311.975879264</v>
      </c>
      <c r="AH90" s="67" t="n">
        <f aca="false">AG91</f>
        <v>-149648.998332651</v>
      </c>
      <c r="AI90" s="67" t="n">
        <f aca="false">AH91</f>
        <v>-153974.770786037</v>
      </c>
      <c r="AJ90" s="67" t="n">
        <f aca="false">AI91</f>
        <v>-158289.293239424</v>
      </c>
      <c r="AK90" s="67" t="n">
        <f aca="false">AJ91</f>
        <v>-162592.565692811</v>
      </c>
      <c r="AL90" s="67" t="n">
        <f aca="false">AK91</f>
        <v>-166884.588146197</v>
      </c>
      <c r="AM90" s="67" t="n">
        <f aca="false">AL91</f>
        <v>-174741.268687648</v>
      </c>
      <c r="AN90" s="67" t="n">
        <f aca="false">AM91</f>
        <v>-185729.197286246</v>
      </c>
      <c r="AO90" s="67" t="n">
        <f aca="false">AN91</f>
        <v>-194195.674994765</v>
      </c>
      <c r="AP90" s="67" t="n">
        <f aca="false">AO91</f>
        <v>-199014.332256339</v>
      </c>
      <c r="AQ90" s="67" t="n">
        <f aca="false">AP91</f>
        <v>-203496.62827106</v>
      </c>
      <c r="AR90" s="67" t="n">
        <f aca="false">AQ91</f>
        <v>-207967.674285782</v>
      </c>
      <c r="AS90" s="67" t="n">
        <f aca="false">AR91</f>
        <v>-212427.470300503</v>
      </c>
      <c r="AT90" s="67" t="n">
        <f aca="false">AS91</f>
        <v>-216876.016315224</v>
      </c>
      <c r="AU90" s="67" t="n">
        <f aca="false">AT91</f>
        <v>-221313.312329945</v>
      </c>
      <c r="AV90" s="67" t="n">
        <f aca="false">AU91</f>
        <v>-225739.358344666</v>
      </c>
      <c r="AW90" s="67" t="n">
        <f aca="false">AV91</f>
        <v>-230154.154359387</v>
      </c>
      <c r="AX90" s="67" t="n">
        <f aca="false">AW91</f>
        <v>-234557.700374108</v>
      </c>
      <c r="AY90" s="67" t="n">
        <f aca="false">AX91</f>
        <v>-242586.566835774</v>
      </c>
      <c r="AZ90" s="67" t="n">
        <f aca="false">AY91</f>
        <v>-253765.657224839</v>
      </c>
      <c r="BA90" s="67" t="n">
        <f aca="false">AZ91</f>
        <v>-262423.195282083</v>
      </c>
      <c r="BB90" s="67" t="n">
        <f aca="false">BA91</f>
        <v>-267371.471518439</v>
      </c>
      <c r="BC90" s="67" t="n">
        <f aca="false">BB91</f>
        <v>-271977.679786825</v>
      </c>
      <c r="BD90" s="67" t="n">
        <f aca="false">BC91</f>
        <v>-276572.638055211</v>
      </c>
      <c r="BE90" s="67" t="n">
        <f aca="false">BD91</f>
        <v>-281156.346323597</v>
      </c>
      <c r="BF90" s="67" t="n">
        <f aca="false">BE91</f>
        <v>-285728.804591984</v>
      </c>
      <c r="BG90" s="67" t="n">
        <f aca="false">BF91</f>
        <v>-290290.01286037</v>
      </c>
      <c r="BH90" s="67" t="n">
        <f aca="false">BG91</f>
        <v>-294839.971128756</v>
      </c>
      <c r="BI90" s="67" t="n">
        <f aca="false">BH91</f>
        <v>-299378.679397142</v>
      </c>
      <c r="BJ90" s="67" t="n">
        <f aca="false">BI91</f>
        <v>-303906.137665528</v>
      </c>
    </row>
    <row r="91" customFormat="false" ht="15" hidden="false" customHeight="false" outlineLevel="0" collapsed="false">
      <c r="A91" s="113" t="s">
        <v>87</v>
      </c>
      <c r="C91" s="68" t="n">
        <f aca="false">C90+C89</f>
        <v>39889.9452146667</v>
      </c>
      <c r="D91" s="68" t="n">
        <f aca="false">D90+D89</f>
        <v>27059.1456063704</v>
      </c>
      <c r="E91" s="68" t="n">
        <f aca="false">E90+E89</f>
        <v>16413.2568838518</v>
      </c>
      <c r="F91" s="68" t="n">
        <f aca="false">F90+F89</f>
        <v>6802.37094044443</v>
      </c>
      <c r="G91" s="68" t="n">
        <f aca="false">G90+G89</f>
        <v>-1903.7596051852</v>
      </c>
      <c r="H91" s="68" t="n">
        <f aca="false">H90+H89</f>
        <v>-9705.13475303705</v>
      </c>
      <c r="I91" s="68" t="n">
        <f aca="false">I90+I89</f>
        <v>-16601.7545031111</v>
      </c>
      <c r="J91" s="68" t="n">
        <f aca="false">J90+J89</f>
        <v>-22593.6188554074</v>
      </c>
      <c r="K91" s="68" t="n">
        <f aca="false">K90+K89</f>
        <v>-27680.7278099259</v>
      </c>
      <c r="L91" s="68" t="n">
        <f aca="false">L90+L89</f>
        <v>-31863.0813666667</v>
      </c>
      <c r="M91" s="68" t="n">
        <f aca="false">M90+M89</f>
        <v>-35967.2598333333</v>
      </c>
      <c r="N91" s="68" t="n">
        <f aca="false">N90+N89</f>
        <v>-43517.11246</v>
      </c>
      <c r="O91" s="68" t="n">
        <f aca="false">O90+O89</f>
        <v>-54161.9661144</v>
      </c>
      <c r="P91" s="68" t="n">
        <f aca="false">P90+P89</f>
        <v>-62285.5772130667</v>
      </c>
      <c r="Q91" s="68" t="n">
        <f aca="false">Q90+Q89</f>
        <v>-66881.9124685333</v>
      </c>
      <c r="R91" s="68" t="n">
        <f aca="false">R90+R89</f>
        <v>-71153.0546712</v>
      </c>
      <c r="S91" s="68" t="n">
        <f aca="false">S90+S89</f>
        <v>-75412.9468738667</v>
      </c>
      <c r="T91" s="68" t="n">
        <f aca="false">T90+T89</f>
        <v>-79661.5890765334</v>
      </c>
      <c r="U91" s="68" t="n">
        <f aca="false">U90+U89</f>
        <v>-83898.9812792</v>
      </c>
      <c r="V91" s="68" t="n">
        <f aca="false">V90+V89</f>
        <v>-88125.1234818667</v>
      </c>
      <c r="W91" s="68" t="n">
        <f aca="false">W90+W89</f>
        <v>-92340.0156845334</v>
      </c>
      <c r="X91" s="68" t="n">
        <f aca="false">X90+X89</f>
        <v>-96543.6578872</v>
      </c>
      <c r="Y91" s="68" t="n">
        <f aca="false">Y90+Y89</f>
        <v>-100736.050089867</v>
      </c>
      <c r="Z91" s="68" t="n">
        <f aca="false">Z90+Z89</f>
        <v>-108433.218135733</v>
      </c>
      <c r="AA91" s="68" t="n">
        <f aca="false">AA90+AA89</f>
        <v>-119243.232672555</v>
      </c>
      <c r="AB91" s="68" t="n">
        <f aca="false">AB90+AB89</f>
        <v>-127531.899639861</v>
      </c>
      <c r="AC91" s="68" t="n">
        <f aca="false">AC90+AC89</f>
        <v>-132233.408519104</v>
      </c>
      <c r="AD91" s="68" t="n">
        <f aca="false">AD90+AD89</f>
        <v>-136604.180972491</v>
      </c>
      <c r="AE91" s="68" t="n">
        <f aca="false">AE90+AE89</f>
        <v>-140963.703425877</v>
      </c>
      <c r="AF91" s="68" t="n">
        <f aca="false">AF90+AF89</f>
        <v>-145311.975879264</v>
      </c>
      <c r="AG91" s="68" t="n">
        <f aca="false">AG90+AG89</f>
        <v>-149648.998332651</v>
      </c>
      <c r="AH91" s="68" t="n">
        <f aca="false">AH90+AH89</f>
        <v>-153974.770786037</v>
      </c>
      <c r="AI91" s="68" t="n">
        <f aca="false">AI90+AI89</f>
        <v>-158289.293239424</v>
      </c>
      <c r="AJ91" s="68" t="n">
        <f aca="false">AJ90+AJ89</f>
        <v>-162592.565692811</v>
      </c>
      <c r="AK91" s="68" t="n">
        <f aca="false">AK90+AK89</f>
        <v>-166884.588146197</v>
      </c>
      <c r="AL91" s="68" t="n">
        <f aca="false">AL90+AL89</f>
        <v>-174741.268687648</v>
      </c>
      <c r="AM91" s="68" t="n">
        <f aca="false">AM90+AM89</f>
        <v>-185729.197286246</v>
      </c>
      <c r="AN91" s="68" t="n">
        <f aca="false">AN90+AN89</f>
        <v>-194195.674994765</v>
      </c>
      <c r="AO91" s="68" t="n">
        <f aca="false">AO90+AO89</f>
        <v>-199014.332256339</v>
      </c>
      <c r="AP91" s="68" t="n">
        <f aca="false">AP90+AP89</f>
        <v>-203496.62827106</v>
      </c>
      <c r="AQ91" s="68" t="n">
        <f aca="false">AQ90+AQ89</f>
        <v>-207967.674285782</v>
      </c>
      <c r="AR91" s="68" t="n">
        <f aca="false">AR90+AR89</f>
        <v>-212427.470300503</v>
      </c>
      <c r="AS91" s="68" t="n">
        <f aca="false">AS90+AS89</f>
        <v>-216876.016315224</v>
      </c>
      <c r="AT91" s="68" t="n">
        <f aca="false">AT90+AT89</f>
        <v>-221313.312329945</v>
      </c>
      <c r="AU91" s="68" t="n">
        <f aca="false">AU90+AU89</f>
        <v>-225739.358344666</v>
      </c>
      <c r="AV91" s="68" t="n">
        <f aca="false">AV90+AV89</f>
        <v>-230154.154359387</v>
      </c>
      <c r="AW91" s="68" t="n">
        <f aca="false">AW90+AW89</f>
        <v>-234557.700374108</v>
      </c>
      <c r="AX91" s="68" t="n">
        <f aca="false">AX90+AX89</f>
        <v>-242586.566835774</v>
      </c>
      <c r="AY91" s="68" t="n">
        <f aca="false">AY90+AY89</f>
        <v>-253765.657224839</v>
      </c>
      <c r="AZ91" s="68" t="n">
        <f aca="false">AZ90+AZ89</f>
        <v>-262423.195282083</v>
      </c>
      <c r="BA91" s="68" t="n">
        <f aca="false">BA90+BA89</f>
        <v>-267371.471518439</v>
      </c>
      <c r="BB91" s="68" t="n">
        <f aca="false">BB90+BB89</f>
        <v>-271977.679786825</v>
      </c>
      <c r="BC91" s="68" t="n">
        <f aca="false">BC90+BC89</f>
        <v>-276572.638055211</v>
      </c>
      <c r="BD91" s="68" t="n">
        <f aca="false">BD90+BD89</f>
        <v>-281156.346323597</v>
      </c>
      <c r="BE91" s="68" t="n">
        <f aca="false">BE90+BE89</f>
        <v>-285728.804591984</v>
      </c>
      <c r="BF91" s="68" t="n">
        <f aca="false">BF90+BF89</f>
        <v>-290290.01286037</v>
      </c>
      <c r="BG91" s="68" t="n">
        <f aca="false">BG90+BG89</f>
        <v>-294839.971128756</v>
      </c>
      <c r="BH91" s="68" t="n">
        <f aca="false">BH90+BH89</f>
        <v>-299378.679397142</v>
      </c>
      <c r="BI91" s="68" t="n">
        <f aca="false">BI90+BI89</f>
        <v>-303906.137665528</v>
      </c>
      <c r="BJ91" s="68" t="n">
        <f aca="false">BJ90+BJ89</f>
        <v>-312120.357754803</v>
      </c>
    </row>
    <row r="92" customFormat="false" ht="15" hidden="false" customHeight="false" outlineLevel="0" collapsed="false">
      <c r="A92" s="117" t="s">
        <v>445</v>
      </c>
      <c r="C92" s="116" t="n">
        <f aca="false">IF(C48&gt;0,1,0)</f>
        <v>0</v>
      </c>
      <c r="D92" s="116" t="n">
        <f aca="false">IF(D48&gt;0,1,0)</f>
        <v>0</v>
      </c>
      <c r="E92" s="116" t="n">
        <f aca="false">IF(E48&gt;0,1,0)</f>
        <v>0</v>
      </c>
      <c r="F92" s="116" t="n">
        <f aca="false">IF(F48&gt;0,1,0)</f>
        <v>0</v>
      </c>
      <c r="G92" s="116" t="n">
        <f aca="false">IF(G48&gt;0,1,0)</f>
        <v>0</v>
      </c>
      <c r="H92" s="116" t="n">
        <f aca="false">IF(H48&gt;0,1,0)</f>
        <v>0</v>
      </c>
      <c r="I92" s="116" t="n">
        <f aca="false">IF(I48&gt;0,1,0)</f>
        <v>0</v>
      </c>
      <c r="J92" s="116" t="n">
        <f aca="false">IF(J48&gt;0,1,0)</f>
        <v>0</v>
      </c>
      <c r="K92" s="116" t="n">
        <f aca="false">IF(K48&gt;0,1,0)</f>
        <v>0</v>
      </c>
      <c r="L92" s="116" t="n">
        <f aca="false">IF(L48&gt;0,1,0)</f>
        <v>0</v>
      </c>
      <c r="M92" s="116" t="n">
        <f aca="false">IF(M48&gt;0,1,0)</f>
        <v>0</v>
      </c>
      <c r="N92" s="116" t="n">
        <f aca="false">IF(N48&gt;0,1,0)</f>
        <v>0</v>
      </c>
      <c r="O92" s="116" t="n">
        <f aca="false">IF(O48&gt;0,1,0)</f>
        <v>0</v>
      </c>
      <c r="P92" s="116" t="n">
        <f aca="false">IF(P48&gt;0,1,0)</f>
        <v>0</v>
      </c>
      <c r="Q92" s="116" t="n">
        <f aca="false">IF(Q48&gt;0,1,0)</f>
        <v>0</v>
      </c>
      <c r="R92" s="116" t="n">
        <f aca="false">IF(R48&gt;0,1,0)</f>
        <v>0</v>
      </c>
      <c r="S92" s="116" t="n">
        <f aca="false">IF(S48&gt;0,1,0)</f>
        <v>0</v>
      </c>
      <c r="T92" s="116" t="n">
        <f aca="false">IF(T48&gt;0,1,0)</f>
        <v>0</v>
      </c>
      <c r="U92" s="116" t="n">
        <f aca="false">IF(U48&gt;0,1,0)</f>
        <v>0</v>
      </c>
      <c r="V92" s="116" t="n">
        <f aca="false">IF(V48&gt;0,1,0)</f>
        <v>0</v>
      </c>
      <c r="W92" s="116" t="n">
        <f aca="false">IF(W48&gt;0,1,0)</f>
        <v>0</v>
      </c>
      <c r="X92" s="116" t="n">
        <f aca="false">IF(X48&gt;0,1,0)</f>
        <v>0</v>
      </c>
      <c r="Y92" s="116" t="n">
        <f aca="false">IF(Y48&gt;0,1,0)</f>
        <v>0</v>
      </c>
      <c r="Z92" s="116" t="n">
        <f aca="false">IF(Z48&gt;0,1,0)</f>
        <v>0</v>
      </c>
      <c r="AA92" s="116" t="n">
        <f aca="false">IF(AA48&gt;0,1,0)</f>
        <v>0</v>
      </c>
      <c r="AB92" s="116" t="n">
        <f aca="false">IF(AB48&gt;0,1,0)</f>
        <v>0</v>
      </c>
      <c r="AC92" s="116" t="n">
        <f aca="false">IF(AC48&gt;0,1,0)</f>
        <v>0</v>
      </c>
      <c r="AD92" s="116" t="n">
        <f aca="false">IF(AD48&gt;0,1,0)</f>
        <v>0</v>
      </c>
      <c r="AE92" s="116" t="n">
        <f aca="false">IF(AE48&gt;0,1,0)</f>
        <v>0</v>
      </c>
      <c r="AF92" s="116" t="n">
        <f aca="false">IF(AF48&gt;0,1,0)</f>
        <v>0</v>
      </c>
      <c r="AG92" s="116" t="n">
        <f aca="false">IF(AG48&gt;0,1,0)</f>
        <v>0</v>
      </c>
      <c r="AH92" s="116" t="n">
        <f aca="false">IF(AH48&gt;0,1,0)</f>
        <v>0</v>
      </c>
      <c r="AI92" s="116" t="n">
        <f aca="false">IF(AI48&gt;0,1,0)</f>
        <v>0</v>
      </c>
      <c r="AJ92" s="116" t="n">
        <f aca="false">IF(AJ48&gt;0,1,0)</f>
        <v>0</v>
      </c>
      <c r="AK92" s="116" t="n">
        <f aca="false">IF(AK48&gt;0,1,0)</f>
        <v>0</v>
      </c>
      <c r="AL92" s="116" t="n">
        <f aca="false">IF(AL48&gt;0,1,0)</f>
        <v>0</v>
      </c>
      <c r="AM92" s="116" t="n">
        <f aca="false">IF(AM48&gt;0,1,0)</f>
        <v>0</v>
      </c>
      <c r="AN92" s="116" t="n">
        <f aca="false">IF(AN48&gt;0,1,0)</f>
        <v>0</v>
      </c>
      <c r="AO92" s="116" t="n">
        <f aca="false">IF(AO48&gt;0,1,0)</f>
        <v>0</v>
      </c>
      <c r="AP92" s="116" t="n">
        <f aca="false">IF(AP48&gt;0,1,0)</f>
        <v>0</v>
      </c>
      <c r="AQ92" s="116" t="n">
        <f aca="false">IF(AQ48&gt;0,1,0)</f>
        <v>0</v>
      </c>
      <c r="AR92" s="116" t="n">
        <f aca="false">IF(AR48&gt;0,1,0)</f>
        <v>0</v>
      </c>
      <c r="AS92" s="116" t="n">
        <f aca="false">IF(AS48&gt;0,1,0)</f>
        <v>0</v>
      </c>
      <c r="AT92" s="116" t="n">
        <f aca="false">IF(AT48&gt;0,1,0)</f>
        <v>0</v>
      </c>
      <c r="AU92" s="116" t="n">
        <f aca="false">IF(AU48&gt;0,1,0)</f>
        <v>0</v>
      </c>
      <c r="AV92" s="116" t="n">
        <f aca="false">IF(AV48&gt;0,1,0)</f>
        <v>0</v>
      </c>
      <c r="AW92" s="116" t="n">
        <f aca="false">IF(AW48&gt;0,1,0)</f>
        <v>0</v>
      </c>
      <c r="AX92" s="116" t="n">
        <f aca="false">IF(AX48&gt;0,1,0)</f>
        <v>0</v>
      </c>
      <c r="AY92" s="116" t="n">
        <f aca="false">IF(AY48&gt;0,1,0)</f>
        <v>0</v>
      </c>
      <c r="AZ92" s="116" t="n">
        <f aca="false">IF(AZ48&gt;0,1,0)</f>
        <v>0</v>
      </c>
      <c r="BA92" s="116" t="n">
        <f aca="false">IF(BA48&gt;0,1,0)</f>
        <v>0</v>
      </c>
      <c r="BB92" s="116" t="n">
        <f aca="false">IF(BB48&gt;0,1,0)</f>
        <v>0</v>
      </c>
      <c r="BC92" s="116" t="n">
        <f aca="false">IF(BC48&gt;0,1,0)</f>
        <v>0</v>
      </c>
      <c r="BD92" s="116" t="n">
        <f aca="false">IF(BD48&gt;0,1,0)</f>
        <v>0</v>
      </c>
      <c r="BE92" s="116" t="n">
        <f aca="false">IF(BE48&gt;0,1,0)</f>
        <v>0</v>
      </c>
      <c r="BF92" s="116" t="n">
        <f aca="false">IF(BF48&gt;0,1,0)</f>
        <v>0</v>
      </c>
      <c r="BG92" s="116" t="n">
        <f aca="false">IF(BG48&gt;0,1,0)</f>
        <v>0</v>
      </c>
      <c r="BH92" s="116" t="n">
        <f aca="false">IF(BH48&gt;0,1,0)</f>
        <v>0</v>
      </c>
      <c r="BI92" s="116" t="n">
        <f aca="false">IF(BI48&gt;0,1,0)</f>
        <v>0</v>
      </c>
      <c r="BJ92" s="116" t="n">
        <f aca="false">IF(BJ48&gt;0,1,0)</f>
        <v>0</v>
      </c>
    </row>
    <row r="94" customFormat="false" ht="15.75" hidden="false" customHeight="true" outlineLevel="0" collapsed="false">
      <c r="A94" s="7" t="s">
        <v>446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</row>
    <row r="95" customFormat="false" ht="15" hidden="false" customHeight="false" outlineLevel="0" collapsed="false">
      <c r="A95" s="117" t="s">
        <v>447</v>
      </c>
      <c r="C95" s="116" t="n">
        <f aca="false">IF(C57&gt;0,1,0)</f>
        <v>0</v>
      </c>
      <c r="D95" s="116" t="n">
        <f aca="false">IF(D57&gt;0,1,0)</f>
        <v>0</v>
      </c>
      <c r="E95" s="116" t="n">
        <f aca="false">IF(E57&gt;0,1,0)</f>
        <v>0</v>
      </c>
      <c r="F95" s="116" t="n">
        <f aca="false">IF(F57&gt;0,1,0)</f>
        <v>0</v>
      </c>
      <c r="G95" s="116" t="n">
        <f aca="false">IF(G57&gt;0,1,0)</f>
        <v>0</v>
      </c>
      <c r="H95" s="116" t="n">
        <f aca="false">IF(H57&gt;0,1,0)</f>
        <v>0</v>
      </c>
      <c r="I95" s="116" t="n">
        <f aca="false">IF(I57&gt;0,1,0)</f>
        <v>0</v>
      </c>
      <c r="J95" s="116" t="n">
        <f aca="false">IF(J57&gt;0,1,0)</f>
        <v>0</v>
      </c>
      <c r="K95" s="116" t="n">
        <f aca="false">IF(K57&gt;0,1,0)</f>
        <v>0</v>
      </c>
      <c r="L95" s="116" t="n">
        <f aca="false">IF(L57&gt;0,1,0)</f>
        <v>0</v>
      </c>
      <c r="M95" s="116" t="n">
        <f aca="false">IF(M57&gt;0,1,0)</f>
        <v>0</v>
      </c>
      <c r="N95" s="116" t="n">
        <f aca="false">IF(N57&gt;0,1,0)</f>
        <v>0</v>
      </c>
      <c r="O95" s="116" t="n">
        <f aca="false">IF(O57&gt;0,1,0)</f>
        <v>0</v>
      </c>
      <c r="P95" s="116" t="n">
        <f aca="false">IF(P57&gt;0,1,0)</f>
        <v>0</v>
      </c>
      <c r="Q95" s="116" t="n">
        <f aca="false">IF(Q57&gt;0,1,0)</f>
        <v>0</v>
      </c>
      <c r="R95" s="116" t="n">
        <f aca="false">IF(R57&gt;0,1,0)</f>
        <v>0</v>
      </c>
      <c r="S95" s="116" t="n">
        <f aca="false">IF(S57&gt;0,1,0)</f>
        <v>0</v>
      </c>
      <c r="T95" s="116" t="n">
        <f aca="false">IF(T57&gt;0,1,0)</f>
        <v>0</v>
      </c>
      <c r="U95" s="116" t="n">
        <f aca="false">IF(U57&gt;0,1,0)</f>
        <v>0</v>
      </c>
      <c r="V95" s="116" t="n">
        <f aca="false">IF(V57&gt;0,1,0)</f>
        <v>0</v>
      </c>
      <c r="W95" s="116" t="n">
        <f aca="false">IF(W57&gt;0,1,0)</f>
        <v>0</v>
      </c>
      <c r="X95" s="116" t="n">
        <f aca="false">IF(X57&gt;0,1,0)</f>
        <v>0</v>
      </c>
      <c r="Y95" s="116" t="n">
        <f aca="false">IF(Y57&gt;0,1,0)</f>
        <v>0</v>
      </c>
      <c r="Z95" s="116" t="n">
        <f aca="false">IF(Z57&gt;0,1,0)</f>
        <v>0</v>
      </c>
      <c r="AA95" s="116" t="n">
        <f aca="false">IF(AA57&gt;0,1,0)</f>
        <v>0</v>
      </c>
      <c r="AB95" s="116" t="n">
        <f aca="false">IF(AB57&gt;0,1,0)</f>
        <v>0</v>
      </c>
      <c r="AC95" s="116" t="n">
        <f aca="false">IF(AC57&gt;0,1,0)</f>
        <v>0</v>
      </c>
      <c r="AD95" s="116" t="n">
        <f aca="false">IF(AD57&gt;0,1,0)</f>
        <v>0</v>
      </c>
      <c r="AE95" s="116" t="n">
        <f aca="false">IF(AE57&gt;0,1,0)</f>
        <v>0</v>
      </c>
      <c r="AF95" s="116" t="n">
        <f aca="false">IF(AF57&gt;0,1,0)</f>
        <v>0</v>
      </c>
      <c r="AG95" s="116" t="n">
        <f aca="false">IF(AG57&gt;0,1,0)</f>
        <v>0</v>
      </c>
      <c r="AH95" s="116" t="n">
        <f aca="false">IF(AH57&gt;0,1,0)</f>
        <v>0</v>
      </c>
      <c r="AI95" s="116" t="n">
        <f aca="false">IF(AI57&gt;0,1,0)</f>
        <v>0</v>
      </c>
      <c r="AJ95" s="116" t="n">
        <f aca="false">IF(AJ57&gt;0,1,0)</f>
        <v>0</v>
      </c>
      <c r="AK95" s="116" t="n">
        <f aca="false">IF(AK57&gt;0,1,0)</f>
        <v>0</v>
      </c>
      <c r="AL95" s="116" t="n">
        <f aca="false">IF(AL57&gt;0,1,0)</f>
        <v>0</v>
      </c>
      <c r="AM95" s="116" t="n">
        <f aca="false">IF(AM57&gt;0,1,0)</f>
        <v>0</v>
      </c>
      <c r="AN95" s="116" t="n">
        <f aca="false">IF(AN57&gt;0,1,0)</f>
        <v>0</v>
      </c>
      <c r="AO95" s="116" t="n">
        <f aca="false">IF(AO57&gt;0,1,0)</f>
        <v>0</v>
      </c>
      <c r="AP95" s="116" t="n">
        <f aca="false">IF(AP57&gt;0,1,0)</f>
        <v>0</v>
      </c>
      <c r="AQ95" s="116" t="n">
        <f aca="false">IF(AQ57&gt;0,1,0)</f>
        <v>0</v>
      </c>
      <c r="AR95" s="116" t="n">
        <f aca="false">IF(AR57&gt;0,1,0)</f>
        <v>0</v>
      </c>
      <c r="AS95" s="116" t="n">
        <f aca="false">IF(AS57&gt;0,1,0)</f>
        <v>0</v>
      </c>
      <c r="AT95" s="116" t="n">
        <f aca="false">IF(AT57&gt;0,1,0)</f>
        <v>0</v>
      </c>
      <c r="AU95" s="116" t="n">
        <f aca="false">IF(AU57&gt;0,1,0)</f>
        <v>0</v>
      </c>
      <c r="AV95" s="116" t="n">
        <f aca="false">IF(AV57&gt;0,1,0)</f>
        <v>0</v>
      </c>
      <c r="AW95" s="116" t="n">
        <f aca="false">IF(AW57&gt;0,1,0)</f>
        <v>0</v>
      </c>
      <c r="AX95" s="116" t="n">
        <f aca="false">IF(AX57&gt;0,1,0)</f>
        <v>0</v>
      </c>
      <c r="AY95" s="116" t="n">
        <f aca="false">IF(AY57&gt;0,1,0)</f>
        <v>0</v>
      </c>
      <c r="AZ95" s="116" t="n">
        <f aca="false">IF(AZ57&gt;0,1,0)</f>
        <v>0</v>
      </c>
      <c r="BA95" s="116" t="n">
        <f aca="false">IF(BA57&gt;0,1,0)</f>
        <v>0</v>
      </c>
      <c r="BB95" s="116" t="n">
        <f aca="false">IF(BB57&gt;0,1,0)</f>
        <v>0</v>
      </c>
      <c r="BC95" s="116" t="n">
        <f aca="false">IF(BC57&gt;0,1,0)</f>
        <v>0</v>
      </c>
      <c r="BD95" s="116" t="n">
        <f aca="false">IF(BD57&gt;0,1,0)</f>
        <v>0</v>
      </c>
      <c r="BE95" s="116" t="n">
        <f aca="false">IF(BE57&gt;0,1,0)</f>
        <v>0</v>
      </c>
      <c r="BF95" s="116" t="n">
        <f aca="false">IF(BF57&gt;0,1,0)</f>
        <v>0</v>
      </c>
      <c r="BG95" s="116" t="n">
        <f aca="false">IF(BG57&gt;0,1,0)</f>
        <v>0</v>
      </c>
      <c r="BH95" s="116" t="n">
        <f aca="false">IF(BH57&gt;0,1,0)</f>
        <v>0</v>
      </c>
      <c r="BI95" s="116" t="n">
        <f aca="false">IF(BI57&gt;0,1,0)</f>
        <v>0</v>
      </c>
      <c r="BJ95" s="116" t="n">
        <f aca="false">IF(BJ57&gt;0,1,0)</f>
        <v>0</v>
      </c>
    </row>
    <row r="96" customFormat="false" ht="15" hidden="false" customHeight="false" outlineLevel="0" collapsed="false">
      <c r="A96" s="6" t="s">
        <v>448</v>
      </c>
      <c r="C96" s="67" t="n">
        <f aca="false">C85+C86</f>
        <v>-150110.054785333</v>
      </c>
      <c r="D96" s="67" t="n">
        <f aca="false">D85+D86</f>
        <v>-11330.7996082963</v>
      </c>
      <c r="E96" s="67" t="n">
        <f aca="false">E85+E86</f>
        <v>-9145.88872251852</v>
      </c>
      <c r="F96" s="67" t="n">
        <f aca="false">F85+F86</f>
        <v>-8110.88594340741</v>
      </c>
      <c r="G96" s="67" t="n">
        <f aca="false">G85+G86</f>
        <v>-7206.13054562963</v>
      </c>
      <c r="H96" s="67" t="n">
        <f aca="false">H85+H86</f>
        <v>-6301.37514785185</v>
      </c>
      <c r="I96" s="67" t="n">
        <f aca="false">I85+I86</f>
        <v>-5396.61975007407</v>
      </c>
      <c r="J96" s="67" t="n">
        <f aca="false">J85+J86</f>
        <v>-4491.86435229629</v>
      </c>
      <c r="K96" s="67" t="n">
        <f aca="false">K85+K86</f>
        <v>-3587.10895451852</v>
      </c>
      <c r="L96" s="67" t="n">
        <f aca="false">L85+L86</f>
        <v>-2682.35355674074</v>
      </c>
      <c r="M96" s="67" t="n">
        <f aca="false">M85+M86</f>
        <v>-2604.17846666667</v>
      </c>
      <c r="N96" s="67" t="n">
        <f aca="false">N85+N86</f>
        <v>-6049.85262666667</v>
      </c>
      <c r="O96" s="67" t="n">
        <f aca="false">O85+O86</f>
        <v>-9144.8536544</v>
      </c>
      <c r="P96" s="67" t="n">
        <f aca="false">P85+P86</f>
        <v>-6623.61109866667</v>
      </c>
      <c r="Q96" s="67" t="n">
        <f aca="false">Q85+Q86</f>
        <v>-3096.33525546667</v>
      </c>
      <c r="R96" s="67" t="n">
        <f aca="false">R85+R86</f>
        <v>-2771.14220266667</v>
      </c>
      <c r="S96" s="67" t="n">
        <f aca="false">S85+S86</f>
        <v>-2759.89220266667</v>
      </c>
      <c r="T96" s="67" t="n">
        <f aca="false">T85+T86</f>
        <v>-2748.64220266667</v>
      </c>
      <c r="U96" s="67" t="n">
        <f aca="false">U85+U86</f>
        <v>-2737.39220266667</v>
      </c>
      <c r="V96" s="67" t="n">
        <f aca="false">V85+V86</f>
        <v>-2726.14220266667</v>
      </c>
      <c r="W96" s="67" t="n">
        <f aca="false">W85+W86</f>
        <v>-2714.89220266667</v>
      </c>
      <c r="X96" s="67" t="n">
        <f aca="false">X85+X86</f>
        <v>-2703.64220266667</v>
      </c>
      <c r="Y96" s="67" t="n">
        <f aca="false">Y85+Y86</f>
        <v>-2692.39220266667</v>
      </c>
      <c r="Z96" s="67" t="n">
        <f aca="false">Z85+Z86</f>
        <v>-6197.16804586667</v>
      </c>
      <c r="AA96" s="67" t="n">
        <f aca="false">AA85+AA86</f>
        <v>-9310.01453682133</v>
      </c>
      <c r="AB96" s="67" t="n">
        <f aca="false">AB85+AB86</f>
        <v>-6788.66696730667</v>
      </c>
      <c r="AC96" s="67" t="n">
        <f aca="false">AC85+AC86</f>
        <v>-3201.50887924266</v>
      </c>
      <c r="AD96" s="67" t="n">
        <f aca="false">AD85+AD86</f>
        <v>-2870.77245338666</v>
      </c>
      <c r="AE96" s="67" t="n">
        <f aca="false">AE85+AE86</f>
        <v>-2859.52245338666</v>
      </c>
      <c r="AF96" s="67" t="n">
        <f aca="false">AF85+AF86</f>
        <v>-2848.27245338666</v>
      </c>
      <c r="AG96" s="67" t="n">
        <f aca="false">AG85+AG86</f>
        <v>-2837.02245338666</v>
      </c>
      <c r="AH96" s="67" t="n">
        <f aca="false">AH85+AH86</f>
        <v>-2825.77245338666</v>
      </c>
      <c r="AI96" s="67" t="n">
        <f aca="false">AI85+AI86</f>
        <v>-2814.52245338666</v>
      </c>
      <c r="AJ96" s="67" t="n">
        <f aca="false">AJ85+AJ86</f>
        <v>-2803.27245338666</v>
      </c>
      <c r="AK96" s="67" t="n">
        <f aca="false">AK85+AK86</f>
        <v>-2792.02245338666</v>
      </c>
      <c r="AL96" s="67" t="n">
        <f aca="false">AL85+AL86</f>
        <v>-6356.68054145067</v>
      </c>
      <c r="AM96" s="67" t="n">
        <f aca="false">AM85+AM86</f>
        <v>-9487.92859859776</v>
      </c>
      <c r="AN96" s="67" t="n">
        <f aca="false">AN85+AN86</f>
        <v>-6966.47770851946</v>
      </c>
      <c r="AO96" s="67" t="n">
        <f aca="false">AO85+AO86</f>
        <v>-3318.65726157418</v>
      </c>
      <c r="AP96" s="67" t="n">
        <f aca="false">AP85+AP86</f>
        <v>-2982.29601472106</v>
      </c>
      <c r="AQ96" s="67" t="n">
        <f aca="false">AQ85+AQ86</f>
        <v>-2971.04601472106</v>
      </c>
      <c r="AR96" s="67" t="n">
        <f aca="false">AR85+AR86</f>
        <v>-2959.79601472106</v>
      </c>
      <c r="AS96" s="67" t="n">
        <f aca="false">AS85+AS86</f>
        <v>-2948.54601472106</v>
      </c>
      <c r="AT96" s="67" t="n">
        <f aca="false">AT85+AT86</f>
        <v>-2937.29601472106</v>
      </c>
      <c r="AU96" s="67" t="n">
        <f aca="false">AU85+AU86</f>
        <v>-2926.04601472106</v>
      </c>
      <c r="AV96" s="67" t="n">
        <f aca="false">AV85+AV86</f>
        <v>-2914.79601472106</v>
      </c>
      <c r="AW96" s="67" t="n">
        <f aca="false">AW85+AW86</f>
        <v>-2903.54601472106</v>
      </c>
      <c r="AX96" s="67" t="n">
        <f aca="false">AX85+AX86</f>
        <v>-6528.86646166634</v>
      </c>
      <c r="AY96" s="67" t="n">
        <f aca="false">AY85+AY86</f>
        <v>-9679.09038906465</v>
      </c>
      <c r="AZ96" s="67" t="n">
        <f aca="false">AZ85+AZ86</f>
        <v>-7157.53805724453</v>
      </c>
      <c r="BA96" s="67" t="n">
        <f aca="false">BA85+BA86</f>
        <v>-3448.27623635554</v>
      </c>
      <c r="BB96" s="67" t="n">
        <f aca="false">BB85+BB86</f>
        <v>-3106.20826838616</v>
      </c>
      <c r="BC96" s="67" t="n">
        <f aca="false">BC85+BC86</f>
        <v>-3094.95826838616</v>
      </c>
      <c r="BD96" s="67" t="n">
        <f aca="false">BD85+BD86</f>
        <v>-3083.70826838616</v>
      </c>
      <c r="BE96" s="67" t="n">
        <f aca="false">BE85+BE86</f>
        <v>-3072.45826838616</v>
      </c>
      <c r="BF96" s="67" t="n">
        <f aca="false">BF85+BF86</f>
        <v>-3061.20826838616</v>
      </c>
      <c r="BG96" s="67" t="n">
        <f aca="false">BG85+BG86</f>
        <v>-3049.95826838616</v>
      </c>
      <c r="BH96" s="67" t="n">
        <f aca="false">BH85+BH86</f>
        <v>-3038.70826838616</v>
      </c>
      <c r="BI96" s="67" t="n">
        <f aca="false">BI85+BI86</f>
        <v>-3027.45826838616</v>
      </c>
      <c r="BJ96" s="67" t="n">
        <f aca="false">BJ85+BJ86</f>
        <v>-6714.22008927514</v>
      </c>
    </row>
    <row r="97" customFormat="false" ht="15" hidden="false" customHeight="false" outlineLevel="0" collapsed="false">
      <c r="A97" s="6" t="s">
        <v>449</v>
      </c>
      <c r="C97" s="67" t="n">
        <f aca="false">C96</f>
        <v>-150110.054785333</v>
      </c>
      <c r="D97" s="67" t="n">
        <f aca="false">C97+D96</f>
        <v>-161440.85439363</v>
      </c>
      <c r="E97" s="67" t="n">
        <f aca="false">D97+E96</f>
        <v>-170586.743116148</v>
      </c>
      <c r="F97" s="67" t="n">
        <f aca="false">E97+F96</f>
        <v>-178697.629059556</v>
      </c>
      <c r="G97" s="67" t="n">
        <f aca="false">F97+G96</f>
        <v>-185903.759605185</v>
      </c>
      <c r="H97" s="67" t="n">
        <f aca="false">G97+H96</f>
        <v>-192205.134753037</v>
      </c>
      <c r="I97" s="67" t="n">
        <f aca="false">H97+I96</f>
        <v>-197601.754503111</v>
      </c>
      <c r="J97" s="67" t="n">
        <f aca="false">I97+J96</f>
        <v>-202093.618855407</v>
      </c>
      <c r="K97" s="67" t="n">
        <f aca="false">J97+K96</f>
        <v>-205680.727809926</v>
      </c>
      <c r="L97" s="67" t="n">
        <f aca="false">K97+L96</f>
        <v>-208363.081366667</v>
      </c>
      <c r="M97" s="67" t="n">
        <f aca="false">L97+M96</f>
        <v>-210967.259833333</v>
      </c>
      <c r="N97" s="67" t="n">
        <f aca="false">M97+N96</f>
        <v>-217017.11246</v>
      </c>
      <c r="O97" s="67" t="n">
        <f aca="false">N97+O96</f>
        <v>-226161.9661144</v>
      </c>
      <c r="P97" s="67" t="n">
        <f aca="false">O97+P96</f>
        <v>-232785.577213067</v>
      </c>
      <c r="Q97" s="67" t="n">
        <f aca="false">P97+Q96</f>
        <v>-235881.912468533</v>
      </c>
      <c r="R97" s="67" t="n">
        <f aca="false">Q97+R96</f>
        <v>-238653.0546712</v>
      </c>
      <c r="S97" s="67" t="n">
        <f aca="false">R97+S96</f>
        <v>-241412.946873867</v>
      </c>
      <c r="T97" s="67" t="n">
        <f aca="false">S97+T96</f>
        <v>-244161.589076533</v>
      </c>
      <c r="U97" s="67" t="n">
        <f aca="false">T97+U96</f>
        <v>-246898.9812792</v>
      </c>
      <c r="V97" s="67" t="n">
        <f aca="false">U97+V96</f>
        <v>-249625.123481867</v>
      </c>
      <c r="W97" s="67" t="n">
        <f aca="false">V97+W96</f>
        <v>-252340.015684533</v>
      </c>
      <c r="X97" s="67" t="n">
        <f aca="false">W97+X96</f>
        <v>-255043.6578872</v>
      </c>
      <c r="Y97" s="67" t="n">
        <f aca="false">X97+Y96</f>
        <v>-257736.050089867</v>
      </c>
      <c r="Z97" s="67" t="n">
        <f aca="false">Y97+Z96</f>
        <v>-263933.218135733</v>
      </c>
      <c r="AA97" s="67" t="n">
        <f aca="false">Z97+AA96</f>
        <v>-273243.232672555</v>
      </c>
      <c r="AB97" s="67" t="n">
        <f aca="false">AA97+AB96</f>
        <v>-280031.899639861</v>
      </c>
      <c r="AC97" s="67" t="n">
        <f aca="false">AB97+AC96</f>
        <v>-283233.408519104</v>
      </c>
      <c r="AD97" s="67" t="n">
        <f aca="false">AC97+AD96</f>
        <v>-286104.180972491</v>
      </c>
      <c r="AE97" s="67" t="n">
        <f aca="false">AD97+AE96</f>
        <v>-288963.703425877</v>
      </c>
      <c r="AF97" s="67" t="n">
        <f aca="false">AE97+AF96</f>
        <v>-291811.975879264</v>
      </c>
      <c r="AG97" s="67" t="n">
        <f aca="false">AF97+AG96</f>
        <v>-294648.998332651</v>
      </c>
      <c r="AH97" s="67" t="n">
        <f aca="false">AG97+AH96</f>
        <v>-297474.770786037</v>
      </c>
      <c r="AI97" s="67" t="n">
        <f aca="false">AH97+AI96</f>
        <v>-300289.293239424</v>
      </c>
      <c r="AJ97" s="67" t="n">
        <f aca="false">AI97+AJ96</f>
        <v>-303092.565692811</v>
      </c>
      <c r="AK97" s="67" t="n">
        <f aca="false">AJ97+AK96</f>
        <v>-305884.588146198</v>
      </c>
      <c r="AL97" s="67" t="n">
        <f aca="false">AK97+AL96</f>
        <v>-312241.268687648</v>
      </c>
      <c r="AM97" s="67" t="n">
        <f aca="false">AL97+AM96</f>
        <v>-321729.197286246</v>
      </c>
      <c r="AN97" s="67" t="n">
        <f aca="false">AM97+AN96</f>
        <v>-328695.674994765</v>
      </c>
      <c r="AO97" s="67" t="n">
        <f aca="false">AN97+AO96</f>
        <v>-332014.33225634</v>
      </c>
      <c r="AP97" s="67" t="n">
        <f aca="false">AO97+AP96</f>
        <v>-334996.628271061</v>
      </c>
      <c r="AQ97" s="67" t="n">
        <f aca="false">AP97+AQ96</f>
        <v>-337967.674285782</v>
      </c>
      <c r="AR97" s="67" t="n">
        <f aca="false">AQ97+AR96</f>
        <v>-340927.470300503</v>
      </c>
      <c r="AS97" s="67" t="n">
        <f aca="false">AR97+AS96</f>
        <v>-343876.016315224</v>
      </c>
      <c r="AT97" s="67" t="n">
        <f aca="false">AS97+AT96</f>
        <v>-346813.312329945</v>
      </c>
      <c r="AU97" s="67" t="n">
        <f aca="false">AT97+AU96</f>
        <v>-349739.358344666</v>
      </c>
      <c r="AV97" s="67" t="n">
        <f aca="false">AU97+AV96</f>
        <v>-352654.154359387</v>
      </c>
      <c r="AW97" s="67" t="n">
        <f aca="false">AV97+AW96</f>
        <v>-355557.700374108</v>
      </c>
      <c r="AX97" s="67" t="n">
        <f aca="false">AW97+AX96</f>
        <v>-362086.566835774</v>
      </c>
      <c r="AY97" s="67" t="n">
        <f aca="false">AX97+AY96</f>
        <v>-371765.657224839</v>
      </c>
      <c r="AZ97" s="67" t="n">
        <f aca="false">AY97+AZ96</f>
        <v>-378923.195282083</v>
      </c>
      <c r="BA97" s="67" t="n">
        <f aca="false">AZ97+BA96</f>
        <v>-382371.471518439</v>
      </c>
      <c r="BB97" s="67" t="n">
        <f aca="false">BA97+BB96</f>
        <v>-385477.679786825</v>
      </c>
      <c r="BC97" s="67" t="n">
        <f aca="false">BB97+BC96</f>
        <v>-388572.638055211</v>
      </c>
      <c r="BD97" s="67" t="n">
        <f aca="false">BC97+BD96</f>
        <v>-391656.346323597</v>
      </c>
      <c r="BE97" s="67" t="n">
        <f aca="false">BD97+BE96</f>
        <v>-394728.804591983</v>
      </c>
      <c r="BF97" s="67" t="n">
        <f aca="false">BE97+BF96</f>
        <v>-397790.01286037</v>
      </c>
      <c r="BG97" s="67" t="n">
        <f aca="false">BF97+BG96</f>
        <v>-400839.971128756</v>
      </c>
      <c r="BH97" s="67" t="n">
        <f aca="false">BG97+BH96</f>
        <v>-403878.679397142</v>
      </c>
      <c r="BI97" s="67" t="n">
        <f aca="false">BH97+BI96</f>
        <v>-406906.137665528</v>
      </c>
      <c r="BJ97" s="67" t="n">
        <f aca="false">BI97+BJ96</f>
        <v>-413620.357754803</v>
      </c>
    </row>
    <row r="98" customFormat="false" ht="15" hidden="false" customHeight="false" outlineLevel="0" collapsed="false">
      <c r="A98" s="117" t="s">
        <v>450</v>
      </c>
      <c r="C98" s="67" t="n">
        <f aca="false">C97</f>
        <v>-150110.054785333</v>
      </c>
      <c r="D98" s="67" t="n">
        <f aca="false">MIN(C98,D97)</f>
        <v>-161440.85439363</v>
      </c>
      <c r="E98" s="67" t="n">
        <f aca="false">MIN(D98,E97)</f>
        <v>-170586.743116148</v>
      </c>
      <c r="F98" s="67" t="n">
        <f aca="false">MIN(E98,F97)</f>
        <v>-178697.629059556</v>
      </c>
      <c r="G98" s="67" t="n">
        <f aca="false">MIN(F98,G97)</f>
        <v>-185903.759605185</v>
      </c>
      <c r="H98" s="67" t="n">
        <f aca="false">MIN(G98,H97)</f>
        <v>-192205.134753037</v>
      </c>
      <c r="I98" s="67" t="n">
        <f aca="false">MIN(H98,I97)</f>
        <v>-197601.754503111</v>
      </c>
      <c r="J98" s="67" t="n">
        <f aca="false">MIN(I98,J97)</f>
        <v>-202093.618855407</v>
      </c>
      <c r="K98" s="67" t="n">
        <f aca="false">MIN(J98,K97)</f>
        <v>-205680.727809926</v>
      </c>
      <c r="L98" s="67" t="n">
        <f aca="false">MIN(K98,L97)</f>
        <v>-208363.081366667</v>
      </c>
      <c r="M98" s="67" t="n">
        <f aca="false">MIN(L98,M97)</f>
        <v>-210967.259833333</v>
      </c>
      <c r="N98" s="67" t="n">
        <f aca="false">MIN(M98,N97)</f>
        <v>-217017.11246</v>
      </c>
      <c r="O98" s="67" t="n">
        <f aca="false">MIN(N98,O97)</f>
        <v>-226161.9661144</v>
      </c>
      <c r="P98" s="67" t="n">
        <f aca="false">MIN(O98,P97)</f>
        <v>-232785.577213067</v>
      </c>
      <c r="Q98" s="67" t="n">
        <f aca="false">MIN(P98,Q97)</f>
        <v>-235881.912468533</v>
      </c>
      <c r="R98" s="67" t="n">
        <f aca="false">MIN(Q98,R97)</f>
        <v>-238653.0546712</v>
      </c>
      <c r="S98" s="67" t="n">
        <f aca="false">MIN(R98,S97)</f>
        <v>-241412.946873867</v>
      </c>
      <c r="T98" s="67" t="n">
        <f aca="false">MIN(S98,T97)</f>
        <v>-244161.589076533</v>
      </c>
      <c r="U98" s="67" t="n">
        <f aca="false">MIN(T98,U97)</f>
        <v>-246898.9812792</v>
      </c>
      <c r="V98" s="67" t="n">
        <f aca="false">MIN(U98,V97)</f>
        <v>-249625.123481867</v>
      </c>
      <c r="W98" s="67" t="n">
        <f aca="false">MIN(V98,W97)</f>
        <v>-252340.015684533</v>
      </c>
      <c r="X98" s="67" t="n">
        <f aca="false">MIN(W98,X97)</f>
        <v>-255043.6578872</v>
      </c>
      <c r="Y98" s="67" t="n">
        <f aca="false">MIN(X98,Y97)</f>
        <v>-257736.050089867</v>
      </c>
      <c r="Z98" s="67" t="n">
        <f aca="false">MIN(Y98,Z97)</f>
        <v>-263933.218135733</v>
      </c>
      <c r="AA98" s="67" t="n">
        <f aca="false">MIN(Z98,AA97)</f>
        <v>-273243.232672555</v>
      </c>
      <c r="AB98" s="67" t="n">
        <f aca="false">MIN(AA98,AB97)</f>
        <v>-280031.899639861</v>
      </c>
      <c r="AC98" s="67" t="n">
        <f aca="false">MIN(AB98,AC97)</f>
        <v>-283233.408519104</v>
      </c>
      <c r="AD98" s="67" t="n">
        <f aca="false">MIN(AC98,AD97)</f>
        <v>-286104.180972491</v>
      </c>
      <c r="AE98" s="67" t="n">
        <f aca="false">MIN(AD98,AE97)</f>
        <v>-288963.703425877</v>
      </c>
      <c r="AF98" s="67" t="n">
        <f aca="false">MIN(AE98,AF97)</f>
        <v>-291811.975879264</v>
      </c>
      <c r="AG98" s="67" t="n">
        <f aca="false">MIN(AF98,AG97)</f>
        <v>-294648.998332651</v>
      </c>
      <c r="AH98" s="67" t="n">
        <f aca="false">MIN(AG98,AH97)</f>
        <v>-297474.770786037</v>
      </c>
      <c r="AI98" s="67" t="n">
        <f aca="false">MIN(AH98,AI97)</f>
        <v>-300289.293239424</v>
      </c>
      <c r="AJ98" s="67" t="n">
        <f aca="false">MIN(AI98,AJ97)</f>
        <v>-303092.565692811</v>
      </c>
      <c r="AK98" s="67" t="n">
        <f aca="false">MIN(AJ98,AK97)</f>
        <v>-305884.588146198</v>
      </c>
      <c r="AL98" s="67" t="n">
        <f aca="false">MIN(AK98,AL97)</f>
        <v>-312241.268687648</v>
      </c>
      <c r="AM98" s="67" t="n">
        <f aca="false">MIN(AL98,AM97)</f>
        <v>-321729.197286246</v>
      </c>
      <c r="AN98" s="67" t="n">
        <f aca="false">MIN(AM98,AN97)</f>
        <v>-328695.674994765</v>
      </c>
      <c r="AO98" s="67" t="n">
        <f aca="false">MIN(AN98,AO97)</f>
        <v>-332014.33225634</v>
      </c>
      <c r="AP98" s="67" t="n">
        <f aca="false">MIN(AO98,AP97)</f>
        <v>-334996.628271061</v>
      </c>
      <c r="AQ98" s="67" t="n">
        <f aca="false">MIN(AP98,AQ97)</f>
        <v>-337967.674285782</v>
      </c>
      <c r="AR98" s="67" t="n">
        <f aca="false">MIN(AQ98,AR97)</f>
        <v>-340927.470300503</v>
      </c>
      <c r="AS98" s="67" t="n">
        <f aca="false">MIN(AR98,AS97)</f>
        <v>-343876.016315224</v>
      </c>
      <c r="AT98" s="67" t="n">
        <f aca="false">MIN(AS98,AT97)</f>
        <v>-346813.312329945</v>
      </c>
      <c r="AU98" s="67" t="n">
        <f aca="false">MIN(AT98,AU97)</f>
        <v>-349739.358344666</v>
      </c>
      <c r="AV98" s="67" t="n">
        <f aca="false">MIN(AU98,AV97)</f>
        <v>-352654.154359387</v>
      </c>
      <c r="AW98" s="67" t="n">
        <f aca="false">MIN(AV98,AW97)</f>
        <v>-355557.700374108</v>
      </c>
      <c r="AX98" s="67" t="n">
        <f aca="false">MIN(AW98,AX97)</f>
        <v>-362086.566835774</v>
      </c>
      <c r="AY98" s="67" t="n">
        <f aca="false">MIN(AX98,AY97)</f>
        <v>-371765.657224839</v>
      </c>
      <c r="AZ98" s="67" t="n">
        <f aca="false">MIN(AY98,AZ97)</f>
        <v>-378923.195282083</v>
      </c>
      <c r="BA98" s="67" t="n">
        <f aca="false">MIN(AZ98,BA97)</f>
        <v>-382371.471518439</v>
      </c>
      <c r="BB98" s="67" t="n">
        <f aca="false">MIN(BA98,BB97)</f>
        <v>-385477.679786825</v>
      </c>
      <c r="BC98" s="67" t="n">
        <f aca="false">MIN(BB98,BC97)</f>
        <v>-388572.638055211</v>
      </c>
      <c r="BD98" s="67" t="n">
        <f aca="false">MIN(BC98,BD97)</f>
        <v>-391656.346323597</v>
      </c>
      <c r="BE98" s="67" t="n">
        <f aca="false">MIN(BD98,BE97)</f>
        <v>-394728.804591983</v>
      </c>
      <c r="BF98" s="67" t="n">
        <f aca="false">MIN(BE98,BF97)</f>
        <v>-397790.01286037</v>
      </c>
      <c r="BG98" s="67" t="n">
        <f aca="false">MIN(BF98,BG97)</f>
        <v>-400839.971128756</v>
      </c>
      <c r="BH98" s="67" t="n">
        <f aca="false">MIN(BG98,BH97)</f>
        <v>-403878.679397142</v>
      </c>
      <c r="BI98" s="67" t="n">
        <f aca="false">MIN(BH98,BI97)</f>
        <v>-406906.137665528</v>
      </c>
      <c r="BJ98" s="67" t="n">
        <f aca="false">MIN(BI98,BJ97)</f>
        <v>-413620.357754803</v>
      </c>
    </row>
    <row r="99" customFormat="false" ht="15" hidden="false" customHeight="false" outlineLevel="0" collapsed="false">
      <c r="A99" s="117" t="s">
        <v>451</v>
      </c>
      <c r="C99" s="116" t="n">
        <f aca="false">IF(AND(C97&gt;=0,C98&lt;0),1,0)</f>
        <v>0</v>
      </c>
      <c r="D99" s="116" t="n">
        <f aca="false">IF(AND(D97&gt;=0,D98&lt;0),1,0)</f>
        <v>0</v>
      </c>
      <c r="E99" s="116" t="n">
        <f aca="false">IF(AND(E97&gt;=0,E98&lt;0),1,0)</f>
        <v>0</v>
      </c>
      <c r="F99" s="116" t="n">
        <f aca="false">IF(AND(F97&gt;=0,F98&lt;0),1,0)</f>
        <v>0</v>
      </c>
      <c r="G99" s="116" t="n">
        <f aca="false">IF(AND(G97&gt;=0,G98&lt;0),1,0)</f>
        <v>0</v>
      </c>
      <c r="H99" s="116" t="n">
        <f aca="false">IF(AND(H97&gt;=0,H98&lt;0),1,0)</f>
        <v>0</v>
      </c>
      <c r="I99" s="116" t="n">
        <f aca="false">IF(AND(I97&gt;=0,I98&lt;0),1,0)</f>
        <v>0</v>
      </c>
      <c r="J99" s="116" t="n">
        <f aca="false">IF(AND(J97&gt;=0,J98&lt;0),1,0)</f>
        <v>0</v>
      </c>
      <c r="K99" s="116" t="n">
        <f aca="false">IF(AND(K97&gt;=0,K98&lt;0),1,0)</f>
        <v>0</v>
      </c>
      <c r="L99" s="116" t="n">
        <f aca="false">IF(AND(L97&gt;=0,L98&lt;0),1,0)</f>
        <v>0</v>
      </c>
      <c r="M99" s="116" t="n">
        <f aca="false">IF(AND(M97&gt;=0,M98&lt;0),1,0)</f>
        <v>0</v>
      </c>
      <c r="N99" s="116" t="n">
        <f aca="false">IF(AND(N97&gt;=0,N98&lt;0),1,0)</f>
        <v>0</v>
      </c>
      <c r="O99" s="116" t="n">
        <f aca="false">IF(AND(O97&gt;=0,O98&lt;0),1,0)</f>
        <v>0</v>
      </c>
      <c r="P99" s="116" t="n">
        <f aca="false">IF(AND(P97&gt;=0,P98&lt;0),1,0)</f>
        <v>0</v>
      </c>
      <c r="Q99" s="116" t="n">
        <f aca="false">IF(AND(Q97&gt;=0,Q98&lt;0),1,0)</f>
        <v>0</v>
      </c>
      <c r="R99" s="116" t="n">
        <f aca="false">IF(AND(R97&gt;=0,R98&lt;0),1,0)</f>
        <v>0</v>
      </c>
      <c r="S99" s="116" t="n">
        <f aca="false">IF(AND(S97&gt;=0,S98&lt;0),1,0)</f>
        <v>0</v>
      </c>
      <c r="T99" s="116" t="n">
        <f aca="false">IF(AND(T97&gt;=0,T98&lt;0),1,0)</f>
        <v>0</v>
      </c>
      <c r="U99" s="116" t="n">
        <f aca="false">IF(AND(U97&gt;=0,U98&lt;0),1,0)</f>
        <v>0</v>
      </c>
      <c r="V99" s="116" t="n">
        <f aca="false">IF(AND(V97&gt;=0,V98&lt;0),1,0)</f>
        <v>0</v>
      </c>
      <c r="W99" s="116" t="n">
        <f aca="false">IF(AND(W97&gt;=0,W98&lt;0),1,0)</f>
        <v>0</v>
      </c>
      <c r="X99" s="116" t="n">
        <f aca="false">IF(AND(X97&gt;=0,X98&lt;0),1,0)</f>
        <v>0</v>
      </c>
      <c r="Y99" s="116" t="n">
        <f aca="false">IF(AND(Y97&gt;=0,Y98&lt;0),1,0)</f>
        <v>0</v>
      </c>
      <c r="Z99" s="116" t="n">
        <f aca="false">IF(AND(Z97&gt;=0,Z98&lt;0),1,0)</f>
        <v>0</v>
      </c>
      <c r="AA99" s="116" t="n">
        <f aca="false">IF(AND(AA97&gt;=0,AA98&lt;0),1,0)</f>
        <v>0</v>
      </c>
      <c r="AB99" s="116" t="n">
        <f aca="false">IF(AND(AB97&gt;=0,AB98&lt;0),1,0)</f>
        <v>0</v>
      </c>
      <c r="AC99" s="116" t="n">
        <f aca="false">IF(AND(AC97&gt;=0,AC98&lt;0),1,0)</f>
        <v>0</v>
      </c>
      <c r="AD99" s="116" t="n">
        <f aca="false">IF(AND(AD97&gt;=0,AD98&lt;0),1,0)</f>
        <v>0</v>
      </c>
      <c r="AE99" s="116" t="n">
        <f aca="false">IF(AND(AE97&gt;=0,AE98&lt;0),1,0)</f>
        <v>0</v>
      </c>
      <c r="AF99" s="116" t="n">
        <f aca="false">IF(AND(AF97&gt;=0,AF98&lt;0),1,0)</f>
        <v>0</v>
      </c>
      <c r="AG99" s="116" t="n">
        <f aca="false">IF(AND(AG97&gt;=0,AG98&lt;0),1,0)</f>
        <v>0</v>
      </c>
      <c r="AH99" s="116" t="n">
        <f aca="false">IF(AND(AH97&gt;=0,AH98&lt;0),1,0)</f>
        <v>0</v>
      </c>
      <c r="AI99" s="116" t="n">
        <f aca="false">IF(AND(AI97&gt;=0,AI98&lt;0),1,0)</f>
        <v>0</v>
      </c>
      <c r="AJ99" s="116" t="n">
        <f aca="false">IF(AND(AJ97&gt;=0,AJ98&lt;0),1,0)</f>
        <v>0</v>
      </c>
      <c r="AK99" s="116" t="n">
        <f aca="false">IF(AND(AK97&gt;=0,AK98&lt;0),1,0)</f>
        <v>0</v>
      </c>
      <c r="AL99" s="116" t="n">
        <f aca="false">IF(AND(AL97&gt;=0,AL98&lt;0),1,0)</f>
        <v>0</v>
      </c>
      <c r="AM99" s="116" t="n">
        <f aca="false">IF(AND(AM97&gt;=0,AM98&lt;0),1,0)</f>
        <v>0</v>
      </c>
      <c r="AN99" s="116" t="n">
        <f aca="false">IF(AND(AN97&gt;=0,AN98&lt;0),1,0)</f>
        <v>0</v>
      </c>
      <c r="AO99" s="116" t="n">
        <f aca="false">IF(AND(AO97&gt;=0,AO98&lt;0),1,0)</f>
        <v>0</v>
      </c>
      <c r="AP99" s="116" t="n">
        <f aca="false">IF(AND(AP97&gt;=0,AP98&lt;0),1,0)</f>
        <v>0</v>
      </c>
      <c r="AQ99" s="116" t="n">
        <f aca="false">IF(AND(AQ97&gt;=0,AQ98&lt;0),1,0)</f>
        <v>0</v>
      </c>
      <c r="AR99" s="116" t="n">
        <f aca="false">IF(AND(AR97&gt;=0,AR98&lt;0),1,0)</f>
        <v>0</v>
      </c>
      <c r="AS99" s="116" t="n">
        <f aca="false">IF(AND(AS97&gt;=0,AS98&lt;0),1,0)</f>
        <v>0</v>
      </c>
      <c r="AT99" s="116" t="n">
        <f aca="false">IF(AND(AT97&gt;=0,AT98&lt;0),1,0)</f>
        <v>0</v>
      </c>
      <c r="AU99" s="116" t="n">
        <f aca="false">IF(AND(AU97&gt;=0,AU98&lt;0),1,0)</f>
        <v>0</v>
      </c>
      <c r="AV99" s="116" t="n">
        <f aca="false">IF(AND(AV97&gt;=0,AV98&lt;0),1,0)</f>
        <v>0</v>
      </c>
      <c r="AW99" s="116" t="n">
        <f aca="false">IF(AND(AW97&gt;=0,AW98&lt;0),1,0)</f>
        <v>0</v>
      </c>
      <c r="AX99" s="116" t="n">
        <f aca="false">IF(AND(AX97&gt;=0,AX98&lt;0),1,0)</f>
        <v>0</v>
      </c>
      <c r="AY99" s="116" t="n">
        <f aca="false">IF(AND(AY97&gt;=0,AY98&lt;0),1,0)</f>
        <v>0</v>
      </c>
      <c r="AZ99" s="116" t="n">
        <f aca="false">IF(AND(AZ97&gt;=0,AZ98&lt;0),1,0)</f>
        <v>0</v>
      </c>
      <c r="BA99" s="116" t="n">
        <f aca="false">IF(AND(BA97&gt;=0,BA98&lt;0),1,0)</f>
        <v>0</v>
      </c>
      <c r="BB99" s="116" t="n">
        <f aca="false">IF(AND(BB97&gt;=0,BB98&lt;0),1,0)</f>
        <v>0</v>
      </c>
      <c r="BC99" s="116" t="n">
        <f aca="false">IF(AND(BC97&gt;=0,BC98&lt;0),1,0)</f>
        <v>0</v>
      </c>
      <c r="BD99" s="116" t="n">
        <f aca="false">IF(AND(BD97&gt;=0,BD98&lt;0),1,0)</f>
        <v>0</v>
      </c>
      <c r="BE99" s="116" t="n">
        <f aca="false">IF(AND(BE97&gt;=0,BE98&lt;0),1,0)</f>
        <v>0</v>
      </c>
      <c r="BF99" s="116" t="n">
        <f aca="false">IF(AND(BF97&gt;=0,BF98&lt;0),1,0)</f>
        <v>0</v>
      </c>
      <c r="BG99" s="116" t="n">
        <f aca="false">IF(AND(BG97&gt;=0,BG98&lt;0),1,0)</f>
        <v>0</v>
      </c>
      <c r="BH99" s="116" t="n">
        <f aca="false">IF(AND(BH97&gt;=0,BH98&lt;0),1,0)</f>
        <v>0</v>
      </c>
      <c r="BI99" s="116" t="n">
        <f aca="false">IF(AND(BI97&gt;=0,BI98&lt;0),1,0)</f>
        <v>0</v>
      </c>
      <c r="BJ99" s="116" t="n">
        <f aca="false">IF(AND(BJ97&gt;=0,BJ98&lt;0),1,0)</f>
        <v>0</v>
      </c>
    </row>
    <row r="100" customFormat="false" ht="15" hidden="false" customHeight="false" outlineLevel="0" collapsed="false">
      <c r="A100" s="6" t="s">
        <v>452</v>
      </c>
      <c r="C100" s="67" t="n">
        <f aca="false">C85-C52*(1-Inputs!$B$83)+C86</f>
        <v>-149576.804785333</v>
      </c>
      <c r="D100" s="67" t="n">
        <f aca="false">D85-D52*(1-Inputs!$B$83)+D86</f>
        <v>-10801.9933582963</v>
      </c>
      <c r="E100" s="67" t="n">
        <f aca="false">E85-E52*(1-Inputs!$B$83)+E86</f>
        <v>-8625.96997251852</v>
      </c>
      <c r="F100" s="67" t="n">
        <f aca="false">F85-F52*(1-Inputs!$B$83)+F86</f>
        <v>-7599.85469340741</v>
      </c>
      <c r="G100" s="67" t="n">
        <f aca="false">G85-G52*(1-Inputs!$B$83)+G86</f>
        <v>-6703.98679562963</v>
      </c>
      <c r="H100" s="67" t="n">
        <f aca="false">H85-H52*(1-Inputs!$B$83)+H86</f>
        <v>-5808.11889785185</v>
      </c>
      <c r="I100" s="67" t="n">
        <f aca="false">I85-I52*(1-Inputs!$B$83)+I86</f>
        <v>-4912.25100007407</v>
      </c>
      <c r="J100" s="67" t="n">
        <f aca="false">J85-J52*(1-Inputs!$B$83)+J86</f>
        <v>-4016.38310229629</v>
      </c>
      <c r="K100" s="67" t="n">
        <f aca="false">K85-K52*(1-Inputs!$B$83)+K86</f>
        <v>-3120.51520451852</v>
      </c>
      <c r="L100" s="67" t="n">
        <f aca="false">L85-L52*(1-Inputs!$B$83)+L86</f>
        <v>-2224.64730674074</v>
      </c>
      <c r="M100" s="67" t="n">
        <f aca="false">M85-M52*(1-Inputs!$B$83)+M86</f>
        <v>-2155.35971666667</v>
      </c>
      <c r="N100" s="67" t="n">
        <f aca="false">N85-N52*(1-Inputs!$B$83)+N86</f>
        <v>-5609.92137666667</v>
      </c>
      <c r="O100" s="67" t="n">
        <f aca="false">O85-O52*(1-Inputs!$B$83)+O86</f>
        <v>-8713.8099044</v>
      </c>
      <c r="P100" s="67" t="n">
        <f aca="false">P85-P52*(1-Inputs!$B$83)+P86</f>
        <v>-6201.45484866667</v>
      </c>
      <c r="Q100" s="67" t="n">
        <f aca="false">Q85-Q52*(1-Inputs!$B$83)+Q86</f>
        <v>-2683.06650546667</v>
      </c>
      <c r="R100" s="67" t="n">
        <f aca="false">R85-R52*(1-Inputs!$B$83)+R86</f>
        <v>-2366.76095266667</v>
      </c>
      <c r="S100" s="67" t="n">
        <f aca="false">S85-S52*(1-Inputs!$B$83)+S86</f>
        <v>-2364.39845266667</v>
      </c>
      <c r="T100" s="67" t="n">
        <f aca="false">T85-T52*(1-Inputs!$B$83)+T86</f>
        <v>-2362.03595266667</v>
      </c>
      <c r="U100" s="67" t="n">
        <f aca="false">U85-U52*(1-Inputs!$B$83)+U86</f>
        <v>-2359.67345266667</v>
      </c>
      <c r="V100" s="67" t="n">
        <f aca="false">V85-V52*(1-Inputs!$B$83)+V86</f>
        <v>-2357.31095266667</v>
      </c>
      <c r="W100" s="67" t="n">
        <f aca="false">W85-W52*(1-Inputs!$B$83)+W86</f>
        <v>-2354.94845266667</v>
      </c>
      <c r="X100" s="67" t="n">
        <f aca="false">X85-X52*(1-Inputs!$B$83)+X86</f>
        <v>-2352.58595266667</v>
      </c>
      <c r="Y100" s="67" t="n">
        <f aca="false">Y85-Y52*(1-Inputs!$B$83)+Y86</f>
        <v>-2350.22345266667</v>
      </c>
      <c r="Z100" s="67" t="n">
        <f aca="false">Z85-Z52*(1-Inputs!$B$83)+Z86</f>
        <v>-5863.88679586667</v>
      </c>
      <c r="AA100" s="67" t="n">
        <f aca="false">AA85-AA52*(1-Inputs!$B$83)+AA86</f>
        <v>-8985.62078682134</v>
      </c>
      <c r="AB100" s="67" t="n">
        <f aca="false">AB85-AB52*(1-Inputs!$B$83)+AB86</f>
        <v>-6473.16071730667</v>
      </c>
      <c r="AC100" s="67" t="n">
        <f aca="false">AC85-AC52*(1-Inputs!$B$83)+AC86</f>
        <v>-2894.89012924266</v>
      </c>
      <c r="AD100" s="67" t="n">
        <f aca="false">AD85-AD52*(1-Inputs!$B$83)+AD86</f>
        <v>-2573.04120338666</v>
      </c>
      <c r="AE100" s="67" t="n">
        <f aca="false">AE85-AE52*(1-Inputs!$B$83)+AE86</f>
        <v>-2570.67870338666</v>
      </c>
      <c r="AF100" s="67" t="n">
        <f aca="false">AF85-AF52*(1-Inputs!$B$83)+AF86</f>
        <v>-2568.31620338666</v>
      </c>
      <c r="AG100" s="67" t="n">
        <f aca="false">AG85-AG52*(1-Inputs!$B$83)+AG86</f>
        <v>-2565.95370338666</v>
      </c>
      <c r="AH100" s="67" t="n">
        <f aca="false">AH85-AH52*(1-Inputs!$B$83)+AH86</f>
        <v>-2563.59120338666</v>
      </c>
      <c r="AI100" s="67" t="n">
        <f aca="false">AI85-AI52*(1-Inputs!$B$83)+AI86</f>
        <v>-2561.22870338666</v>
      </c>
      <c r="AJ100" s="67" t="n">
        <f aca="false">AJ85-AJ52*(1-Inputs!$B$83)+AJ86</f>
        <v>-2558.86620338666</v>
      </c>
      <c r="AK100" s="67" t="n">
        <f aca="false">AK85-AK52*(1-Inputs!$B$83)+AK86</f>
        <v>-2556.50370338666</v>
      </c>
      <c r="AL100" s="67" t="n">
        <f aca="false">AL85-AL52*(1-Inputs!$B$83)+AL86</f>
        <v>-6130.04929145067</v>
      </c>
      <c r="AM100" s="67" t="n">
        <f aca="false">AM85-AM52*(1-Inputs!$B$83)+AM86</f>
        <v>-9270.18484859776</v>
      </c>
      <c r="AN100" s="67" t="n">
        <f aca="false">AN85-AN52*(1-Inputs!$B$83)+AN86</f>
        <v>-6757.62145851946</v>
      </c>
      <c r="AO100" s="67" t="n">
        <f aca="false">AO85-AO52*(1-Inputs!$B$83)+AO86</f>
        <v>-3118.68851157418</v>
      </c>
      <c r="AP100" s="67" t="n">
        <f aca="false">AP85-AP52*(1-Inputs!$B$83)+AP86</f>
        <v>-2791.21476472106</v>
      </c>
      <c r="AQ100" s="67" t="n">
        <f aca="false">AQ85-AQ52*(1-Inputs!$B$83)+AQ86</f>
        <v>-2788.85226472106</v>
      </c>
      <c r="AR100" s="67" t="n">
        <f aca="false">AR85-AR52*(1-Inputs!$B$83)+AR86</f>
        <v>-2786.48976472106</v>
      </c>
      <c r="AS100" s="67" t="n">
        <f aca="false">AS85-AS52*(1-Inputs!$B$83)+AS86</f>
        <v>-2784.12726472106</v>
      </c>
      <c r="AT100" s="67" t="n">
        <f aca="false">AT85-AT52*(1-Inputs!$B$83)+AT86</f>
        <v>-2781.76476472106</v>
      </c>
      <c r="AU100" s="67" t="n">
        <f aca="false">AU85-AU52*(1-Inputs!$B$83)+AU86</f>
        <v>-2779.40226472106</v>
      </c>
      <c r="AV100" s="67" t="n">
        <f aca="false">AV85-AV52*(1-Inputs!$B$83)+AV86</f>
        <v>-2777.03976472106</v>
      </c>
      <c r="AW100" s="67" t="n">
        <f aca="false">AW85-AW52*(1-Inputs!$B$83)+AW86</f>
        <v>-2774.67726472106</v>
      </c>
      <c r="AX100" s="67" t="n">
        <f aca="false">AX85-AX52*(1-Inputs!$B$83)+AX86</f>
        <v>-6408.88521166634</v>
      </c>
      <c r="AY100" s="67" t="n">
        <f aca="false">AY85-AY52*(1-Inputs!$B$83)+AY86</f>
        <v>-9567.99663906465</v>
      </c>
      <c r="AZ100" s="67" t="n">
        <f aca="false">AZ85-AZ52*(1-Inputs!$B$83)+AZ86</f>
        <v>-7055.33180724453</v>
      </c>
      <c r="BA100" s="67" t="n">
        <f aca="false">BA85-BA52*(1-Inputs!$B$83)+BA86</f>
        <v>-3354.95748635554</v>
      </c>
      <c r="BB100" s="67" t="n">
        <f aca="false">BB85-BB52*(1-Inputs!$B$83)+BB86</f>
        <v>-3021.77701838616</v>
      </c>
      <c r="BC100" s="67" t="n">
        <f aca="false">BC85-BC52*(1-Inputs!$B$83)+BC86</f>
        <v>-3019.41451838616</v>
      </c>
      <c r="BD100" s="67" t="n">
        <f aca="false">BD85-BD52*(1-Inputs!$B$83)+BD86</f>
        <v>-3017.05201838616</v>
      </c>
      <c r="BE100" s="67" t="n">
        <f aca="false">BE85-BE52*(1-Inputs!$B$83)+BE86</f>
        <v>-3014.68951838615</v>
      </c>
      <c r="BF100" s="67" t="n">
        <f aca="false">BF85-BF52*(1-Inputs!$B$83)+BF86</f>
        <v>-3012.32701838616</v>
      </c>
      <c r="BG100" s="67" t="n">
        <f aca="false">BG85-BG52*(1-Inputs!$B$83)+BG86</f>
        <v>-3009.96451838616</v>
      </c>
      <c r="BH100" s="67" t="n">
        <f aca="false">BH85-BH52*(1-Inputs!$B$83)+BH86</f>
        <v>-3007.60201838616</v>
      </c>
      <c r="BI100" s="67" t="n">
        <f aca="false">BI85-BI52*(1-Inputs!$B$83)+BI86</f>
        <v>-3005.23951838616</v>
      </c>
      <c r="BJ100" s="67" t="n">
        <f aca="false">BJ85-BJ52*(1-Inputs!$B$83)+BJ86</f>
        <v>-6700.88883927514</v>
      </c>
    </row>
    <row r="102" customFormat="false" ht="15.75" hidden="false" customHeight="true" outlineLevel="0" collapsed="false">
      <c r="A102" s="7" t="s">
        <v>453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</row>
    <row r="103" customFormat="false" ht="15" hidden="false" customHeight="false" outlineLevel="0" collapsed="false">
      <c r="A103" s="6" t="s">
        <v>97</v>
      </c>
      <c r="C103" s="67" t="n">
        <f aca="false">C87</f>
        <v>100000</v>
      </c>
      <c r="D103" s="67" t="n">
        <f aca="false">C103+D87</f>
        <v>100000</v>
      </c>
      <c r="E103" s="67" t="n">
        <f aca="false">D103+E87</f>
        <v>100000</v>
      </c>
      <c r="F103" s="67" t="n">
        <f aca="false">E103+F87</f>
        <v>100000</v>
      </c>
      <c r="G103" s="67" t="n">
        <f aca="false">F103+G87</f>
        <v>100000</v>
      </c>
      <c r="H103" s="67" t="n">
        <f aca="false">G103+H87</f>
        <v>100000</v>
      </c>
      <c r="I103" s="67" t="n">
        <f aca="false">H103+I87</f>
        <v>100000</v>
      </c>
      <c r="J103" s="67" t="n">
        <f aca="false">I103+J87</f>
        <v>100000</v>
      </c>
      <c r="K103" s="67" t="n">
        <f aca="false">J103+K87</f>
        <v>100000</v>
      </c>
      <c r="L103" s="67" t="n">
        <f aca="false">K103+L87</f>
        <v>100000</v>
      </c>
      <c r="M103" s="67" t="n">
        <f aca="false">L103+M87</f>
        <v>100000</v>
      </c>
      <c r="N103" s="67" t="n">
        <f aca="false">M103+N87</f>
        <v>100000</v>
      </c>
      <c r="O103" s="67" t="n">
        <f aca="false">N103+O87</f>
        <v>100000</v>
      </c>
      <c r="P103" s="67" t="n">
        <f aca="false">O103+P87</f>
        <v>100000</v>
      </c>
      <c r="Q103" s="67" t="n">
        <f aca="false">P103+Q87</f>
        <v>100000</v>
      </c>
      <c r="R103" s="67" t="n">
        <f aca="false">Q103+R87</f>
        <v>100000</v>
      </c>
      <c r="S103" s="67" t="n">
        <f aca="false">R103+S87</f>
        <v>100000</v>
      </c>
      <c r="T103" s="67" t="n">
        <f aca="false">S103+T87</f>
        <v>100000</v>
      </c>
      <c r="U103" s="67" t="n">
        <f aca="false">T103+U87</f>
        <v>100000</v>
      </c>
      <c r="V103" s="67" t="n">
        <f aca="false">U103+V87</f>
        <v>100000</v>
      </c>
      <c r="W103" s="67" t="n">
        <f aca="false">V103+W87</f>
        <v>100000</v>
      </c>
      <c r="X103" s="67" t="n">
        <f aca="false">W103+X87</f>
        <v>100000</v>
      </c>
      <c r="Y103" s="67" t="n">
        <f aca="false">X103+Y87</f>
        <v>100000</v>
      </c>
      <c r="Z103" s="67" t="n">
        <f aca="false">Y103+Z87</f>
        <v>100000</v>
      </c>
      <c r="AA103" s="67" t="n">
        <f aca="false">Z103+AA87</f>
        <v>100000</v>
      </c>
      <c r="AB103" s="67" t="n">
        <f aca="false">AA103+AB87</f>
        <v>100000</v>
      </c>
      <c r="AC103" s="67" t="n">
        <f aca="false">AB103+AC87</f>
        <v>100000</v>
      </c>
      <c r="AD103" s="67" t="n">
        <f aca="false">AC103+AD87</f>
        <v>100000</v>
      </c>
      <c r="AE103" s="67" t="n">
        <f aca="false">AD103+AE87</f>
        <v>100000</v>
      </c>
      <c r="AF103" s="67" t="n">
        <f aca="false">AE103+AF87</f>
        <v>100000</v>
      </c>
      <c r="AG103" s="67" t="n">
        <f aca="false">AF103+AG87</f>
        <v>100000</v>
      </c>
      <c r="AH103" s="67" t="n">
        <f aca="false">AG103+AH87</f>
        <v>100000</v>
      </c>
      <c r="AI103" s="67" t="n">
        <f aca="false">AH103+AI87</f>
        <v>100000</v>
      </c>
      <c r="AJ103" s="67" t="n">
        <f aca="false">AI103+AJ87</f>
        <v>100000</v>
      </c>
      <c r="AK103" s="67" t="n">
        <f aca="false">AJ103+AK87</f>
        <v>100000</v>
      </c>
      <c r="AL103" s="67" t="n">
        <f aca="false">AK103+AL87</f>
        <v>100000</v>
      </c>
      <c r="AM103" s="67" t="n">
        <f aca="false">AL103+AM87</f>
        <v>100000</v>
      </c>
      <c r="AN103" s="67" t="n">
        <f aca="false">AM103+AN87</f>
        <v>100000</v>
      </c>
      <c r="AO103" s="67" t="n">
        <f aca="false">AN103+AO87</f>
        <v>100000</v>
      </c>
      <c r="AP103" s="67" t="n">
        <f aca="false">AO103+AP87</f>
        <v>100000</v>
      </c>
      <c r="AQ103" s="67" t="n">
        <f aca="false">AP103+AQ87</f>
        <v>100000</v>
      </c>
      <c r="AR103" s="67" t="n">
        <f aca="false">AQ103+AR87</f>
        <v>100000</v>
      </c>
      <c r="AS103" s="67" t="n">
        <f aca="false">AR103+AS87</f>
        <v>100000</v>
      </c>
      <c r="AT103" s="67" t="n">
        <f aca="false">AS103+AT87</f>
        <v>100000</v>
      </c>
      <c r="AU103" s="67" t="n">
        <f aca="false">AT103+AU87</f>
        <v>100000</v>
      </c>
      <c r="AV103" s="67" t="n">
        <f aca="false">AU103+AV87</f>
        <v>100000</v>
      </c>
      <c r="AW103" s="67" t="n">
        <f aca="false">AV103+AW87</f>
        <v>100000</v>
      </c>
      <c r="AX103" s="67" t="n">
        <f aca="false">AW103+AX87</f>
        <v>100000</v>
      </c>
      <c r="AY103" s="67" t="n">
        <f aca="false">AX103+AY87</f>
        <v>100000</v>
      </c>
      <c r="AZ103" s="67" t="n">
        <f aca="false">AY103+AZ87</f>
        <v>100000</v>
      </c>
      <c r="BA103" s="67" t="n">
        <f aca="false">AZ103+BA87</f>
        <v>100000</v>
      </c>
      <c r="BB103" s="67" t="n">
        <f aca="false">BA103+BB87</f>
        <v>100000</v>
      </c>
      <c r="BC103" s="67" t="n">
        <f aca="false">BB103+BC87</f>
        <v>100000</v>
      </c>
      <c r="BD103" s="67" t="n">
        <f aca="false">BC103+BD87</f>
        <v>100000</v>
      </c>
      <c r="BE103" s="67" t="n">
        <f aca="false">BD103+BE87</f>
        <v>100000</v>
      </c>
      <c r="BF103" s="67" t="n">
        <f aca="false">BE103+BF87</f>
        <v>100000</v>
      </c>
      <c r="BG103" s="67" t="n">
        <f aca="false">BF103+BG87</f>
        <v>100000</v>
      </c>
      <c r="BH103" s="67" t="n">
        <f aca="false">BG103+BH87</f>
        <v>100000</v>
      </c>
      <c r="BI103" s="67" t="n">
        <f aca="false">BH103+BI87</f>
        <v>100000</v>
      </c>
      <c r="BJ103" s="67" t="n">
        <f aca="false">BI103+BJ87</f>
        <v>100000</v>
      </c>
    </row>
    <row r="104" customFormat="false" ht="15" hidden="false" customHeight="false" outlineLevel="0" collapsed="false">
      <c r="A104" s="6" t="s">
        <v>98</v>
      </c>
      <c r="C104" s="67" t="n">
        <f aca="false">C57</f>
        <v>-13536.5508695238</v>
      </c>
      <c r="D104" s="67" t="n">
        <f aca="false">C104+D57</f>
        <v>-26465.5616879365</v>
      </c>
      <c r="E104" s="67" t="n">
        <f aca="false">D104+E57</f>
        <v>-37057.1350819048</v>
      </c>
      <c r="F104" s="67" t="n">
        <f aca="false">E104+F57</f>
        <v>-46743.9530780952</v>
      </c>
      <c r="G104" s="67" t="n">
        <f aca="false">F104+G57</f>
        <v>-55526.0156765079</v>
      </c>
      <c r="H104" s="67" t="n">
        <f aca="false">G104+H57</f>
        <v>-63403.3228771429</v>
      </c>
      <c r="I104" s="67" t="n">
        <f aca="false">H104+I57</f>
        <v>-70375.87468</v>
      </c>
      <c r="J104" s="67" t="n">
        <f aca="false">I104+J57</f>
        <v>-76443.6710850794</v>
      </c>
      <c r="K104" s="67" t="n">
        <f aca="false">J104+K57</f>
        <v>-81606.712092381</v>
      </c>
      <c r="L104" s="67" t="n">
        <f aca="false">K104+L57</f>
        <v>-85864.9977019048</v>
      </c>
      <c r="M104" s="67" t="n">
        <f aca="false">L104+M57</f>
        <v>-90112.0333114286</v>
      </c>
      <c r="N104" s="67" t="n">
        <f aca="false">M104+N57</f>
        <v>-98113.2237209524</v>
      </c>
      <c r="O104" s="67" t="n">
        <f aca="false">N104+O57</f>
        <v>-106420.703867238</v>
      </c>
      <c r="P104" s="67" t="n">
        <f aca="false">O104+P57</f>
        <v>-114716.934013524</v>
      </c>
      <c r="Q104" s="67" t="n">
        <f aca="false">P104+Q57</f>
        <v>-119171.94526381</v>
      </c>
      <c r="R104" s="67" t="n">
        <f aca="false">Q104+R57</f>
        <v>-123615.706514095</v>
      </c>
      <c r="S104" s="67" t="n">
        <f aca="false">R104+S57</f>
        <v>-128048.217764381</v>
      </c>
      <c r="T104" s="67" t="n">
        <f aca="false">S104+T57</f>
        <v>-132469.479014667</v>
      </c>
      <c r="U104" s="67" t="n">
        <f aca="false">T104+U57</f>
        <v>-136879.490264952</v>
      </c>
      <c r="V104" s="67" t="n">
        <f aca="false">U104+V57</f>
        <v>-141278.251515238</v>
      </c>
      <c r="W104" s="67" t="n">
        <f aca="false">V104+W57</f>
        <v>-145665.762765524</v>
      </c>
      <c r="X104" s="67" t="n">
        <f aca="false">W104+X57</f>
        <v>-150042.02401581</v>
      </c>
      <c r="Y104" s="67" t="n">
        <f aca="false">X104+Y57</f>
        <v>-154407.035266095</v>
      </c>
      <c r="Z104" s="67" t="n">
        <f aca="false">Y104+Z57</f>
        <v>-162590.765412381</v>
      </c>
      <c r="AA104" s="67" t="n">
        <f aca="false">Z104+AA57</f>
        <v>-171093.063332069</v>
      </c>
      <c r="AB104" s="67" t="n">
        <f aca="false">AA104+AB57</f>
        <v>-179584.111251756</v>
      </c>
      <c r="AC104" s="67" t="n">
        <f aca="false">AB104+AC57</f>
        <v>-184168.514657524</v>
      </c>
      <c r="AD104" s="67" t="n">
        <f aca="false">AC104+AD57</f>
        <v>-188741.668063291</v>
      </c>
      <c r="AE104" s="67" t="n">
        <f aca="false">AD104+AE57</f>
        <v>-193303.571469059</v>
      </c>
      <c r="AF104" s="67" t="n">
        <f aca="false">AE104+AF57</f>
        <v>-197854.224874827</v>
      </c>
      <c r="AG104" s="67" t="n">
        <f aca="false">AF104+AG57</f>
        <v>-202393.628280594</v>
      </c>
      <c r="AH104" s="67" t="n">
        <f aca="false">AG104+AH57</f>
        <v>-206921.781686362</v>
      </c>
      <c r="AI104" s="67" t="n">
        <f aca="false">AH104+AI57</f>
        <v>-211438.685092129</v>
      </c>
      <c r="AJ104" s="67" t="n">
        <f aca="false">AI104+AJ57</f>
        <v>-215944.338497897</v>
      </c>
      <c r="AK104" s="67" t="n">
        <f aca="false">AJ104+AK57</f>
        <v>-220438.741903665</v>
      </c>
      <c r="AL104" s="67" t="n">
        <f aca="false">AK104+AL57</f>
        <v>-228817.289823352</v>
      </c>
      <c r="AM104" s="67" t="n">
        <f aca="false">AL104+AM57</f>
        <v>-237527.160389015</v>
      </c>
      <c r="AN104" s="67" t="n">
        <f aca="false">AM104+AN57</f>
        <v>-246225.780954677</v>
      </c>
      <c r="AO104" s="67" t="n">
        <f aca="false">AN104+AO57</f>
        <v>-250951.469826541</v>
      </c>
      <c r="AP104" s="67" t="n">
        <f aca="false">AO104+AP57</f>
        <v>-255665.908698405</v>
      </c>
      <c r="AQ104" s="67" t="n">
        <f aca="false">AP104+AQ57</f>
        <v>-260369.097570269</v>
      </c>
      <c r="AR104" s="67" t="n">
        <f aca="false">AQ104+AR57</f>
        <v>-265061.036442133</v>
      </c>
      <c r="AS104" s="67" t="n">
        <f aca="false">AR104+AS57</f>
        <v>-269741.725313997</v>
      </c>
      <c r="AT104" s="67" t="n">
        <f aca="false">AS104+AT57</f>
        <v>-274411.164185861</v>
      </c>
      <c r="AU104" s="67" t="n">
        <f aca="false">AT104+AU57</f>
        <v>-279069.353057724</v>
      </c>
      <c r="AV104" s="67" t="n">
        <f aca="false">AU104+AV57</f>
        <v>-283716.291929588</v>
      </c>
      <c r="AW104" s="67" t="n">
        <f aca="false">AV104+AW57</f>
        <v>-288351.980801452</v>
      </c>
      <c r="AX104" s="67" t="n">
        <f aca="false">AW104+AX57</f>
        <v>-296938.101367115</v>
      </c>
      <c r="AY104" s="67" t="n">
        <f aca="false">AX104+AY57</f>
        <v>-305868.794186264</v>
      </c>
      <c r="AZ104" s="67" t="n">
        <f aca="false">AY104+AZ57</f>
        <v>-314788.237005413</v>
      </c>
      <c r="BA104" s="67" t="n">
        <f aca="false">AZ104+BA57</f>
        <v>-319667.600035704</v>
      </c>
      <c r="BB104" s="67" t="n">
        <f aca="false">BA104+BB57</f>
        <v>-324535.713065995</v>
      </c>
      <c r="BC104" s="67" t="n">
        <f aca="false">BB104+BC57</f>
        <v>-329392.576096286</v>
      </c>
      <c r="BD104" s="67" t="n">
        <f aca="false">BC104+BD57</f>
        <v>-334238.189126577</v>
      </c>
      <c r="BE104" s="67" t="n">
        <f aca="false">BD104+BE57</f>
        <v>-339072.552156868</v>
      </c>
      <c r="BF104" s="67" t="n">
        <f aca="false">BE104+BF57</f>
        <v>-343895.665187159</v>
      </c>
      <c r="BG104" s="67" t="n">
        <f aca="false">BF104+BG57</f>
        <v>-348707.52821745</v>
      </c>
      <c r="BH104" s="67" t="n">
        <f aca="false">BG104+BH57</f>
        <v>-353508.141247741</v>
      </c>
      <c r="BI104" s="67" t="n">
        <f aca="false">BH104+BI57</f>
        <v>-358297.504278032</v>
      </c>
      <c r="BJ104" s="67" t="n">
        <f aca="false">BI104+BJ57</f>
        <v>-367104.447097181</v>
      </c>
    </row>
    <row r="105" customFormat="false" ht="15" hidden="false" customHeight="false" outlineLevel="0" collapsed="false">
      <c r="A105" s="4" t="s">
        <v>93</v>
      </c>
      <c r="C105" s="73" t="n">
        <f aca="false">C91+C77+C78+C68</f>
        <v>177015.30277781</v>
      </c>
      <c r="D105" s="73" t="n">
        <f aca="false">D91+D77+D78+D68</f>
        <v>162700.166521545</v>
      </c>
      <c r="E105" s="73" t="n">
        <f aca="false">E91+E77+E78+E68</f>
        <v>151052.172580392</v>
      </c>
      <c r="F105" s="73" t="n">
        <f aca="false">F91+F77+F78+F68</f>
        <v>140027.388287683</v>
      </c>
      <c r="G105" s="73" t="n">
        <f aca="false">G91+G77+G78+G68</f>
        <v>129907.359392751</v>
      </c>
      <c r="H105" s="73" t="n">
        <f aca="false">H91+H77+H78+H68</f>
        <v>120692.085895598</v>
      </c>
      <c r="I105" s="73" t="n">
        <f aca="false">I91+I77+I78+I68</f>
        <v>112381.567796222</v>
      </c>
      <c r="J105" s="73" t="n">
        <f aca="false">J91+J77+J78+J68</f>
        <v>104975.805094624</v>
      </c>
      <c r="K105" s="73" t="n">
        <f aca="false">K91+K77+K78+K68</f>
        <v>98474.7977908042</v>
      </c>
      <c r="L105" s="73" t="n">
        <f aca="false">L91+L77+L78+L68</f>
        <v>92878.5458847619</v>
      </c>
      <c r="M105" s="73" t="n">
        <f aca="false">M91+M77+M78+M68</f>
        <v>87131.5102752381</v>
      </c>
      <c r="N105" s="73" t="n">
        <f aca="false">N91+N77+N78+N68</f>
        <v>76963.5009857143</v>
      </c>
      <c r="O105" s="73" t="n">
        <f aca="false">O91+O77+O78+O68</f>
        <v>67191.7044668952</v>
      </c>
      <c r="P105" s="73" t="n">
        <f aca="false">P91+P77+P78+P68</f>
        <v>57395.4743206095</v>
      </c>
      <c r="Q105" s="73" t="n">
        <f aca="false">Q91+Q77+Q78+Q68</f>
        <v>52121.8559279238</v>
      </c>
      <c r="R105" s="73" t="n">
        <f aca="false">R91+R77+R78+R68</f>
        <v>46178.0946776381</v>
      </c>
      <c r="S105" s="73" t="n">
        <f aca="false">S91+S77+S78+S68</f>
        <v>40245.5834273524</v>
      </c>
      <c r="T105" s="73" t="n">
        <f aca="false">T91+T77+T78+T68</f>
        <v>34324.3221770667</v>
      </c>
      <c r="U105" s="73" t="n">
        <f aca="false">U91+U77+U78+U68</f>
        <v>28414.310926781</v>
      </c>
      <c r="V105" s="73" t="n">
        <f aca="false">V91+V77+V78+V68</f>
        <v>22515.5496764952</v>
      </c>
      <c r="W105" s="73" t="n">
        <f aca="false">W91+W77+W78+W68</f>
        <v>16628.0384262095</v>
      </c>
      <c r="X105" s="73" t="n">
        <f aca="false">X91+X77+X78+X68</f>
        <v>10751.7771759238</v>
      </c>
      <c r="Y105" s="73" t="n">
        <f aca="false">Y91+Y77+Y78+Y68</f>
        <v>4886.7659256381</v>
      </c>
      <c r="Z105" s="73" t="n">
        <f aca="false">Z91+Z77+Z78+Z68</f>
        <v>-5478.35707824762</v>
      </c>
      <c r="AA105" s="73" t="n">
        <f aca="false">AA91+AA77+AA78+AA68</f>
        <v>-15444.0917325859</v>
      </c>
      <c r="AB105" s="73" t="n">
        <f aca="false">AB91+AB77+AB78+AB68</f>
        <v>-25435.1396522735</v>
      </c>
      <c r="AC105" s="73" t="n">
        <f aca="false">AC91+AC77+AC78+AC68</f>
        <v>-30823.2352392892</v>
      </c>
      <c r="AD105" s="73" t="n">
        <f aca="false">AD91+AD77+AD78+AD68</f>
        <v>-36896.3886450568</v>
      </c>
      <c r="AE105" s="73" t="n">
        <f aca="false">AE91+AE77+AE78+AE68</f>
        <v>-42958.2920508244</v>
      </c>
      <c r="AF105" s="73" t="n">
        <f aca="false">AF91+AF77+AF78+AF68</f>
        <v>-49008.945456592</v>
      </c>
      <c r="AG105" s="73" t="n">
        <f aca="false">AG91+AG77+AG78+AG68</f>
        <v>-55048.3488623596</v>
      </c>
      <c r="AH105" s="73" t="n">
        <f aca="false">AH91+AH77+AH78+AH68</f>
        <v>-61076.5022681272</v>
      </c>
      <c r="AI105" s="73" t="n">
        <f aca="false">AI91+AI77+AI78+AI68</f>
        <v>-67093.4056738948</v>
      </c>
      <c r="AJ105" s="73" t="n">
        <f aca="false">AJ91+AJ77+AJ78+AJ68</f>
        <v>-73099.0590796625</v>
      </c>
      <c r="AK105" s="73" t="n">
        <f aca="false">AK91+AK77+AK78+AK68</f>
        <v>-79093.4624854301</v>
      </c>
      <c r="AL105" s="73" t="n">
        <f aca="false">AL91+AL77+AL78+AL68</f>
        <v>-89668.3182238697</v>
      </c>
      <c r="AM105" s="73" t="n">
        <f aca="false">AM91+AM77+AM78+AM68</f>
        <v>-99840.721654929</v>
      </c>
      <c r="AN105" s="73" t="n">
        <f aca="false">AN91+AN77+AN78+AN68</f>
        <v>-110039.342220591</v>
      </c>
      <c r="AO105" s="73" t="n">
        <f aca="false">AO91+AO77+AO78+AO68</f>
        <v>-115553.458529168</v>
      </c>
      <c r="AP105" s="73" t="n">
        <f aca="false">AP91+AP77+AP78+AP68</f>
        <v>-121767.897401032</v>
      </c>
      <c r="AQ105" s="73" t="n">
        <f aca="false">AQ91+AQ77+AQ78+AQ68</f>
        <v>-127971.086272896</v>
      </c>
      <c r="AR105" s="73" t="n">
        <f aca="false">AR91+AR77+AR78+AR68</f>
        <v>-134163.02514476</v>
      </c>
      <c r="AS105" s="73" t="n">
        <f aca="false">AS91+AS77+AS78+AS68</f>
        <v>-140343.714016624</v>
      </c>
      <c r="AT105" s="73" t="n">
        <f aca="false">AT91+AT77+AT78+AT68</f>
        <v>-146513.152888488</v>
      </c>
      <c r="AU105" s="73" t="n">
        <f aca="false">AU91+AU77+AU78+AU68</f>
        <v>-152671.341760352</v>
      </c>
      <c r="AV105" s="73" t="n">
        <f aca="false">AV91+AV77+AV78+AV68</f>
        <v>-158818.280632216</v>
      </c>
      <c r="AW105" s="73" t="n">
        <f aca="false">AW91+AW77+AW78+AW68</f>
        <v>-164953.96950408</v>
      </c>
      <c r="AX105" s="73" t="n">
        <f aca="false">AX91+AX77+AX78+AX68</f>
        <v>-175751.662633029</v>
      </c>
      <c r="AY105" s="73" t="n">
        <f aca="false">AY91+AY77+AY78+AY68</f>
        <v>-186143.959466779</v>
      </c>
      <c r="AZ105" s="73" t="n">
        <f aca="false">AZ91+AZ77+AZ78+AZ68</f>
        <v>-196563.402285928</v>
      </c>
      <c r="BA105" s="73" t="n">
        <f aca="false">BA91+BA77+BA78+BA68</f>
        <v>-202215.56916998</v>
      </c>
      <c r="BB105" s="73" t="n">
        <f aca="false">BB91+BB77+BB78+BB68</f>
        <v>-208583.682200271</v>
      </c>
      <c r="BC105" s="73" t="n">
        <f aca="false">BC91+BC77+BC78+BC68</f>
        <v>-214940.545230561</v>
      </c>
      <c r="BD105" s="73" t="n">
        <f aca="false">BD91+BD77+BD78+BD68</f>
        <v>-221286.158260852</v>
      </c>
      <c r="BE105" s="73" t="n">
        <f aca="false">BE91+BE77+BE78+BE68</f>
        <v>-227620.521291143</v>
      </c>
      <c r="BF105" s="73" t="n">
        <f aca="false">BF91+BF77+BF78+BF68</f>
        <v>-233943.634321434</v>
      </c>
      <c r="BG105" s="73" t="n">
        <f aca="false">BG91+BG77+BG78+BG68</f>
        <v>-240255.497351725</v>
      </c>
      <c r="BH105" s="73" t="n">
        <f aca="false">BH91+BH77+BH78+BH68</f>
        <v>-246556.110382016</v>
      </c>
      <c r="BI105" s="73" t="n">
        <f aca="false">BI91+BI77+BI78+BI68</f>
        <v>-252845.473412307</v>
      </c>
      <c r="BJ105" s="73" t="n">
        <f aca="false">BJ91+BJ77+BJ78+BJ68</f>
        <v>-263879.612377695</v>
      </c>
    </row>
    <row r="106" customFormat="false" ht="15" hidden="false" customHeight="false" outlineLevel="0" collapsed="false">
      <c r="A106" s="6" t="s">
        <v>96</v>
      </c>
      <c r="C106" s="67" t="n">
        <f aca="false">C79+C74</f>
        <v>90551.8536473333</v>
      </c>
      <c r="D106" s="67" t="n">
        <f aca="false">D79+D74</f>
        <v>89165.7282094815</v>
      </c>
      <c r="E106" s="67" t="n">
        <f aca="false">E79+E74</f>
        <v>88109.3076622963</v>
      </c>
      <c r="F106" s="67" t="n">
        <f aca="false">F79+F74</f>
        <v>86771.3413657778</v>
      </c>
      <c r="G106" s="67" t="n">
        <f aca="false">G79+G74</f>
        <v>85433.3750692593</v>
      </c>
      <c r="H106" s="67" t="n">
        <f aca="false">H79+H74</f>
        <v>84095.4087727408</v>
      </c>
      <c r="I106" s="67" t="n">
        <f aca="false">I79+I74</f>
        <v>82757.4424762222</v>
      </c>
      <c r="J106" s="67" t="n">
        <f aca="false">J79+J74</f>
        <v>81419.4761797037</v>
      </c>
      <c r="K106" s="67" t="n">
        <f aca="false">K79+K74</f>
        <v>80081.5098831852</v>
      </c>
      <c r="L106" s="67" t="n">
        <f aca="false">L79+L74</f>
        <v>78743.5435866667</v>
      </c>
      <c r="M106" s="67" t="n">
        <f aca="false">M79+M74</f>
        <v>77243.5435866667</v>
      </c>
      <c r="N106" s="67" t="n">
        <f aca="false">N79+N74</f>
        <v>75076.7247066667</v>
      </c>
      <c r="O106" s="67" t="n">
        <f aca="false">O79+O74</f>
        <v>73612.4083341333</v>
      </c>
      <c r="P106" s="67" t="n">
        <f aca="false">P79+P74</f>
        <v>72112.4083341333</v>
      </c>
      <c r="Q106" s="67" t="n">
        <f aca="false">Q79+Q74</f>
        <v>71293.8011917333</v>
      </c>
      <c r="R106" s="67" t="n">
        <f aca="false">R79+R74</f>
        <v>69793.8011917333</v>
      </c>
      <c r="S106" s="67" t="n">
        <f aca="false">S79+S74</f>
        <v>68293.8011917333</v>
      </c>
      <c r="T106" s="67" t="n">
        <f aca="false">T79+T74</f>
        <v>66793.8011917333</v>
      </c>
      <c r="U106" s="67" t="n">
        <f aca="false">U79+U74</f>
        <v>65293.8011917333</v>
      </c>
      <c r="V106" s="67" t="n">
        <f aca="false">V79+V74</f>
        <v>63793.8011917333</v>
      </c>
      <c r="W106" s="67" t="n">
        <f aca="false">W79+W74</f>
        <v>62293.8011917333</v>
      </c>
      <c r="X106" s="67" t="n">
        <f aca="false">X79+X74</f>
        <v>60793.8011917333</v>
      </c>
      <c r="Y106" s="67" t="n">
        <f aca="false">Y79+Y74</f>
        <v>59293.8011917333</v>
      </c>
      <c r="Z106" s="67" t="n">
        <f aca="false">Z79+Z74</f>
        <v>57112.4083341333</v>
      </c>
      <c r="AA106" s="67" t="n">
        <f aca="false">AA79+AA74</f>
        <v>55648.9715994827</v>
      </c>
      <c r="AB106" s="67" t="n">
        <f aca="false">AB79+AB74</f>
        <v>54148.9715994827</v>
      </c>
      <c r="AC106" s="67" t="n">
        <f aca="false">AC79+AC74</f>
        <v>53345.2794182347</v>
      </c>
      <c r="AD106" s="67" t="n">
        <f aca="false">AD79+AD74</f>
        <v>51845.2794182347</v>
      </c>
      <c r="AE106" s="67" t="n">
        <f aca="false">AE79+AE74</f>
        <v>50345.2794182347</v>
      </c>
      <c r="AF106" s="67" t="n">
        <f aca="false">AF79+AF74</f>
        <v>48845.2794182347</v>
      </c>
      <c r="AG106" s="67" t="n">
        <f aca="false">AG79+AG74</f>
        <v>47345.2794182347</v>
      </c>
      <c r="AH106" s="67" t="n">
        <f aca="false">AH79+AH74</f>
        <v>45845.2794182347</v>
      </c>
      <c r="AI106" s="67" t="n">
        <f aca="false">AI79+AI74</f>
        <v>44345.2794182347</v>
      </c>
      <c r="AJ106" s="67" t="n">
        <f aca="false">AJ79+AJ74</f>
        <v>42845.2794182347</v>
      </c>
      <c r="AK106" s="67" t="n">
        <f aca="false">AK79+AK74</f>
        <v>41345.2794182347</v>
      </c>
      <c r="AL106" s="67" t="n">
        <f aca="false">AL79+AL74</f>
        <v>39148.9715994827</v>
      </c>
      <c r="AM106" s="67" t="n">
        <f aca="false">AM79+AM74</f>
        <v>37686.4387340857</v>
      </c>
      <c r="AN106" s="67" t="n">
        <f aca="false">AN79+AN74</f>
        <v>36186.4387340857</v>
      </c>
      <c r="AO106" s="67" t="n">
        <f aca="false">AO79+AO74</f>
        <v>35398.0112973727</v>
      </c>
      <c r="AP106" s="67" t="n">
        <f aca="false">AP79+AP74</f>
        <v>33898.0112973727</v>
      </c>
      <c r="AQ106" s="67" t="n">
        <f aca="false">AQ79+AQ74</f>
        <v>32398.0112973727</v>
      </c>
      <c r="AR106" s="67" t="n">
        <f aca="false">AR79+AR74</f>
        <v>30898.0112973727</v>
      </c>
      <c r="AS106" s="67" t="n">
        <f aca="false">AS79+AS74</f>
        <v>29398.0112973727</v>
      </c>
      <c r="AT106" s="67" t="n">
        <f aca="false">AT79+AT74</f>
        <v>27898.0112973727</v>
      </c>
      <c r="AU106" s="67" t="n">
        <f aca="false">AU79+AU74</f>
        <v>26398.0112973727</v>
      </c>
      <c r="AV106" s="67" t="n">
        <f aca="false">AV79+AV74</f>
        <v>24898.0112973727</v>
      </c>
      <c r="AW106" s="67" t="n">
        <f aca="false">AW79+AW74</f>
        <v>23398.0112973727</v>
      </c>
      <c r="AX106" s="67" t="n">
        <f aca="false">AX79+AX74</f>
        <v>21186.4387340857</v>
      </c>
      <c r="AY106" s="67" t="n">
        <f aca="false">AY79+AY74</f>
        <v>19724.8347194852</v>
      </c>
      <c r="AZ106" s="67" t="n">
        <f aca="false">AZ79+AZ74</f>
        <v>18224.8347194852</v>
      </c>
      <c r="BA106" s="67" t="n">
        <f aca="false">BA79+BA74</f>
        <v>17452.0308657244</v>
      </c>
      <c r="BB106" s="67" t="n">
        <f aca="false">BB79+BB74</f>
        <v>15952.0308657244</v>
      </c>
      <c r="BC106" s="67" t="n">
        <f aca="false">BC79+BC74</f>
        <v>14452.0308657244</v>
      </c>
      <c r="BD106" s="67" t="n">
        <f aca="false">BD79+BD74</f>
        <v>12952.0308657244</v>
      </c>
      <c r="BE106" s="67" t="n">
        <f aca="false">BE79+BE74</f>
        <v>11452.0308657244</v>
      </c>
      <c r="BF106" s="67" t="n">
        <f aca="false">BF79+BF74</f>
        <v>9952.03086572442</v>
      </c>
      <c r="BG106" s="67" t="n">
        <f aca="false">BG79+BG74</f>
        <v>8452.03086572442</v>
      </c>
      <c r="BH106" s="67" t="n">
        <f aca="false">BH79+BH74</f>
        <v>6952.03086572442</v>
      </c>
      <c r="BI106" s="67" t="n">
        <f aca="false">BI79+BI74</f>
        <v>5452.03086572442</v>
      </c>
      <c r="BJ106" s="67" t="n">
        <f aca="false">BJ79+BJ74</f>
        <v>3224.83471948523</v>
      </c>
    </row>
    <row r="107" customFormat="false" ht="15" hidden="false" customHeight="false" outlineLevel="0" collapsed="false">
      <c r="A107" s="6" t="s">
        <v>99</v>
      </c>
      <c r="C107" s="67" t="n">
        <f aca="false">C103+C104</f>
        <v>86463.4491304762</v>
      </c>
      <c r="D107" s="67" t="n">
        <f aca="false">D103+D104</f>
        <v>73534.4383120635</v>
      </c>
      <c r="E107" s="67" t="n">
        <f aca="false">E103+E104</f>
        <v>62942.8649180952</v>
      </c>
      <c r="F107" s="67" t="n">
        <f aca="false">F103+F104</f>
        <v>53256.0469219048</v>
      </c>
      <c r="G107" s="67" t="n">
        <f aca="false">G103+G104</f>
        <v>44473.9843234921</v>
      </c>
      <c r="H107" s="67" t="n">
        <f aca="false">H103+H104</f>
        <v>36596.6771228571</v>
      </c>
      <c r="I107" s="67" t="n">
        <f aca="false">I103+I104</f>
        <v>29624.12532</v>
      </c>
      <c r="J107" s="67" t="n">
        <f aca="false">J103+J104</f>
        <v>23556.3289149206</v>
      </c>
      <c r="K107" s="67" t="n">
        <f aca="false">K103+K104</f>
        <v>18393.287907619</v>
      </c>
      <c r="L107" s="67" t="n">
        <f aca="false">L103+L104</f>
        <v>14135.0022980952</v>
      </c>
      <c r="M107" s="67" t="n">
        <f aca="false">M103+M104</f>
        <v>9887.96668857143</v>
      </c>
      <c r="N107" s="67" t="n">
        <f aca="false">N103+N104</f>
        <v>1886.77627904761</v>
      </c>
      <c r="O107" s="67" t="n">
        <f aca="false">O103+O104</f>
        <v>-6420.7038672381</v>
      </c>
      <c r="P107" s="67" t="n">
        <f aca="false">P103+P104</f>
        <v>-14716.9340135238</v>
      </c>
      <c r="Q107" s="67" t="n">
        <f aca="false">Q103+Q104</f>
        <v>-19171.9452638095</v>
      </c>
      <c r="R107" s="67" t="n">
        <f aca="false">R103+R104</f>
        <v>-23615.7065140952</v>
      </c>
      <c r="S107" s="67" t="n">
        <f aca="false">S103+S104</f>
        <v>-28048.217764381</v>
      </c>
      <c r="T107" s="67" t="n">
        <f aca="false">T103+T104</f>
        <v>-32469.4790146667</v>
      </c>
      <c r="U107" s="67" t="n">
        <f aca="false">U103+U104</f>
        <v>-36879.4902649524</v>
      </c>
      <c r="V107" s="67" t="n">
        <f aca="false">V103+V104</f>
        <v>-41278.2515152381</v>
      </c>
      <c r="W107" s="67" t="n">
        <f aca="false">W103+W104</f>
        <v>-45665.7627655239</v>
      </c>
      <c r="X107" s="67" t="n">
        <f aca="false">X103+X104</f>
        <v>-50042.0240158096</v>
      </c>
      <c r="Y107" s="67" t="n">
        <f aca="false">Y103+Y104</f>
        <v>-54407.0352660953</v>
      </c>
      <c r="Z107" s="67" t="n">
        <f aca="false">Z103+Z104</f>
        <v>-62590.765412381</v>
      </c>
      <c r="AA107" s="67" t="n">
        <f aca="false">AA103+AA104</f>
        <v>-71093.0633320687</v>
      </c>
      <c r="AB107" s="67" t="n">
        <f aca="false">AB103+AB104</f>
        <v>-79584.1112517563</v>
      </c>
      <c r="AC107" s="67" t="n">
        <f aca="false">AC103+AC104</f>
        <v>-84168.5146575239</v>
      </c>
      <c r="AD107" s="67" t="n">
        <f aca="false">AD103+AD104</f>
        <v>-88741.6680632915</v>
      </c>
      <c r="AE107" s="67" t="n">
        <f aca="false">AE103+AE104</f>
        <v>-93303.5714690591</v>
      </c>
      <c r="AF107" s="67" t="n">
        <f aca="false">AF103+AF104</f>
        <v>-97854.2248748267</v>
      </c>
      <c r="AG107" s="67" t="n">
        <f aca="false">AG103+AG104</f>
        <v>-102393.628280594</v>
      </c>
      <c r="AH107" s="67" t="n">
        <f aca="false">AH103+AH104</f>
        <v>-106921.781686362</v>
      </c>
      <c r="AI107" s="67" t="n">
        <f aca="false">AI103+AI104</f>
        <v>-111438.685092129</v>
      </c>
      <c r="AJ107" s="67" t="n">
        <f aca="false">AJ103+AJ104</f>
        <v>-115944.338497897</v>
      </c>
      <c r="AK107" s="67" t="n">
        <f aca="false">AK103+AK104</f>
        <v>-120438.741903665</v>
      </c>
      <c r="AL107" s="67" t="n">
        <f aca="false">AL103+AL104</f>
        <v>-128817.289823352</v>
      </c>
      <c r="AM107" s="67" t="n">
        <f aca="false">AM103+AM104</f>
        <v>-137527.160389015</v>
      </c>
      <c r="AN107" s="67" t="n">
        <f aca="false">AN103+AN104</f>
        <v>-146225.780954677</v>
      </c>
      <c r="AO107" s="67" t="n">
        <f aca="false">AO103+AO104</f>
        <v>-150951.469826541</v>
      </c>
      <c r="AP107" s="67" t="n">
        <f aca="false">AP103+AP104</f>
        <v>-155665.908698405</v>
      </c>
      <c r="AQ107" s="67" t="n">
        <f aca="false">AQ103+AQ104</f>
        <v>-160369.097570269</v>
      </c>
      <c r="AR107" s="67" t="n">
        <f aca="false">AR103+AR104</f>
        <v>-165061.036442133</v>
      </c>
      <c r="AS107" s="67" t="n">
        <f aca="false">AS103+AS104</f>
        <v>-169741.725313997</v>
      </c>
      <c r="AT107" s="67" t="n">
        <f aca="false">AT103+AT104</f>
        <v>-174411.16418586</v>
      </c>
      <c r="AU107" s="67" t="n">
        <f aca="false">AU103+AU104</f>
        <v>-179069.353057724</v>
      </c>
      <c r="AV107" s="67" t="n">
        <f aca="false">AV103+AV104</f>
        <v>-183716.291929588</v>
      </c>
      <c r="AW107" s="67" t="n">
        <f aca="false">AW103+AW104</f>
        <v>-188351.980801452</v>
      </c>
      <c r="AX107" s="67" t="n">
        <f aca="false">AX103+AX104</f>
        <v>-196938.101367115</v>
      </c>
      <c r="AY107" s="67" t="n">
        <f aca="false">AY103+AY104</f>
        <v>-205868.794186264</v>
      </c>
      <c r="AZ107" s="67" t="n">
        <f aca="false">AZ103+AZ104</f>
        <v>-214788.237005413</v>
      </c>
      <c r="BA107" s="67" t="n">
        <f aca="false">BA103+BA104</f>
        <v>-219667.600035704</v>
      </c>
      <c r="BB107" s="67" t="n">
        <f aca="false">BB103+BB104</f>
        <v>-224535.713065995</v>
      </c>
      <c r="BC107" s="67" t="n">
        <f aca="false">BC103+BC104</f>
        <v>-229392.576096286</v>
      </c>
      <c r="BD107" s="67" t="n">
        <f aca="false">BD103+BD104</f>
        <v>-234238.189126577</v>
      </c>
      <c r="BE107" s="67" t="n">
        <f aca="false">BE103+BE104</f>
        <v>-239072.552156868</v>
      </c>
      <c r="BF107" s="67" t="n">
        <f aca="false">BF103+BF104</f>
        <v>-243895.665187159</v>
      </c>
      <c r="BG107" s="67" t="n">
        <f aca="false">BG103+BG104</f>
        <v>-248707.52821745</v>
      </c>
      <c r="BH107" s="67" t="n">
        <f aca="false">BH103+BH104</f>
        <v>-253508.141247741</v>
      </c>
      <c r="BI107" s="67" t="n">
        <f aca="false">BI103+BI104</f>
        <v>-258297.504278032</v>
      </c>
      <c r="BJ107" s="67" t="n">
        <f aca="false">BJ103+BJ104</f>
        <v>-267104.447097181</v>
      </c>
    </row>
    <row r="108" customFormat="false" ht="15" hidden="false" customHeight="false" outlineLevel="0" collapsed="false">
      <c r="A108" s="4" t="s">
        <v>100</v>
      </c>
      <c r="C108" s="73" t="n">
        <f aca="false">C106+C107</f>
        <v>177015.30277781</v>
      </c>
      <c r="D108" s="73" t="n">
        <f aca="false">D106+D107</f>
        <v>162700.166521545</v>
      </c>
      <c r="E108" s="73" t="n">
        <f aca="false">E106+E107</f>
        <v>151052.172580392</v>
      </c>
      <c r="F108" s="73" t="n">
        <f aca="false">F106+F107</f>
        <v>140027.388287683</v>
      </c>
      <c r="G108" s="73" t="n">
        <f aca="false">G106+G107</f>
        <v>129907.359392751</v>
      </c>
      <c r="H108" s="73" t="n">
        <f aca="false">H106+H107</f>
        <v>120692.085895598</v>
      </c>
      <c r="I108" s="73" t="n">
        <f aca="false">I106+I107</f>
        <v>112381.567796222</v>
      </c>
      <c r="J108" s="73" t="n">
        <f aca="false">J106+J107</f>
        <v>104975.805094624</v>
      </c>
      <c r="K108" s="73" t="n">
        <f aca="false">K106+K107</f>
        <v>98474.7977908042</v>
      </c>
      <c r="L108" s="73" t="n">
        <f aca="false">L106+L107</f>
        <v>92878.5458847619</v>
      </c>
      <c r="M108" s="73" t="n">
        <f aca="false">M106+M107</f>
        <v>87131.5102752381</v>
      </c>
      <c r="N108" s="73" t="n">
        <f aca="false">N106+N107</f>
        <v>76963.5009857143</v>
      </c>
      <c r="O108" s="73" t="n">
        <f aca="false">O106+O107</f>
        <v>67191.7044668952</v>
      </c>
      <c r="P108" s="73" t="n">
        <f aca="false">P106+P107</f>
        <v>57395.4743206095</v>
      </c>
      <c r="Q108" s="73" t="n">
        <f aca="false">Q106+Q107</f>
        <v>52121.8559279238</v>
      </c>
      <c r="R108" s="73" t="n">
        <f aca="false">R106+R107</f>
        <v>46178.0946776381</v>
      </c>
      <c r="S108" s="73" t="n">
        <f aca="false">S106+S107</f>
        <v>40245.5834273524</v>
      </c>
      <c r="T108" s="73" t="n">
        <f aca="false">T106+T107</f>
        <v>34324.3221770666</v>
      </c>
      <c r="U108" s="73" t="n">
        <f aca="false">U106+U107</f>
        <v>28414.3109267809</v>
      </c>
      <c r="V108" s="73" t="n">
        <f aca="false">V106+V107</f>
        <v>22515.5496764952</v>
      </c>
      <c r="W108" s="73" t="n">
        <f aca="false">W106+W107</f>
        <v>16628.0384262095</v>
      </c>
      <c r="X108" s="73" t="n">
        <f aca="false">X106+X107</f>
        <v>10751.7771759238</v>
      </c>
      <c r="Y108" s="73" t="n">
        <f aca="false">Y106+Y107</f>
        <v>4886.76592563803</v>
      </c>
      <c r="Z108" s="73" t="n">
        <f aca="false">Z106+Z107</f>
        <v>-5478.3570782477</v>
      </c>
      <c r="AA108" s="73" t="n">
        <f aca="false">AA106+AA107</f>
        <v>-15444.091732586</v>
      </c>
      <c r="AB108" s="73" t="n">
        <f aca="false">AB106+AB107</f>
        <v>-25435.1396522736</v>
      </c>
      <c r="AC108" s="73" t="n">
        <f aca="false">AC106+AC107</f>
        <v>-30823.2352392892</v>
      </c>
      <c r="AD108" s="73" t="n">
        <f aca="false">AD106+AD107</f>
        <v>-36896.3886450568</v>
      </c>
      <c r="AE108" s="73" t="n">
        <f aca="false">AE106+AE107</f>
        <v>-42958.2920508244</v>
      </c>
      <c r="AF108" s="73" t="n">
        <f aca="false">AF106+AF107</f>
        <v>-49008.945456592</v>
      </c>
      <c r="AG108" s="73" t="n">
        <f aca="false">AG106+AG107</f>
        <v>-55048.3488623596</v>
      </c>
      <c r="AH108" s="73" t="n">
        <f aca="false">AH106+AH107</f>
        <v>-61076.5022681272</v>
      </c>
      <c r="AI108" s="73" t="n">
        <f aca="false">AI106+AI107</f>
        <v>-67093.4056738948</v>
      </c>
      <c r="AJ108" s="73" t="n">
        <f aca="false">AJ106+AJ107</f>
        <v>-73099.0590796624</v>
      </c>
      <c r="AK108" s="73" t="n">
        <f aca="false">AK106+AK107</f>
        <v>-79093.46248543</v>
      </c>
      <c r="AL108" s="73" t="n">
        <f aca="false">AL106+AL107</f>
        <v>-89668.3182238696</v>
      </c>
      <c r="AM108" s="73" t="n">
        <f aca="false">AM106+AM107</f>
        <v>-99840.721654929</v>
      </c>
      <c r="AN108" s="73" t="n">
        <f aca="false">AN106+AN107</f>
        <v>-110039.342220591</v>
      </c>
      <c r="AO108" s="73" t="n">
        <f aca="false">AO106+AO107</f>
        <v>-115553.458529168</v>
      </c>
      <c r="AP108" s="73" t="n">
        <f aca="false">AP106+AP107</f>
        <v>-121767.897401032</v>
      </c>
      <c r="AQ108" s="73" t="n">
        <f aca="false">AQ106+AQ107</f>
        <v>-127971.086272896</v>
      </c>
      <c r="AR108" s="73" t="n">
        <f aca="false">AR106+AR107</f>
        <v>-134163.02514476</v>
      </c>
      <c r="AS108" s="73" t="n">
        <f aca="false">AS106+AS107</f>
        <v>-140343.714016624</v>
      </c>
      <c r="AT108" s="73" t="n">
        <f aca="false">AT106+AT107</f>
        <v>-146513.152888488</v>
      </c>
      <c r="AU108" s="73" t="n">
        <f aca="false">AU106+AU107</f>
        <v>-152671.341760352</v>
      </c>
      <c r="AV108" s="73" t="n">
        <f aca="false">AV106+AV107</f>
        <v>-158818.280632216</v>
      </c>
      <c r="AW108" s="73" t="n">
        <f aca="false">AW106+AW107</f>
        <v>-164953.96950408</v>
      </c>
      <c r="AX108" s="73" t="n">
        <f aca="false">AX106+AX107</f>
        <v>-175751.662633029</v>
      </c>
      <c r="AY108" s="73" t="n">
        <f aca="false">AY106+AY107</f>
        <v>-186143.959466779</v>
      </c>
      <c r="AZ108" s="73" t="n">
        <f aca="false">AZ106+AZ107</f>
        <v>-196563.402285928</v>
      </c>
      <c r="BA108" s="73" t="n">
        <f aca="false">BA106+BA107</f>
        <v>-202215.56916998</v>
      </c>
      <c r="BB108" s="73" t="n">
        <f aca="false">BB106+BB107</f>
        <v>-208583.682200271</v>
      </c>
      <c r="BC108" s="73" t="n">
        <f aca="false">BC106+BC107</f>
        <v>-214940.545230562</v>
      </c>
      <c r="BD108" s="73" t="n">
        <f aca="false">BD106+BD107</f>
        <v>-221286.158260853</v>
      </c>
      <c r="BE108" s="73" t="n">
        <f aca="false">BE106+BE107</f>
        <v>-227620.521291143</v>
      </c>
      <c r="BF108" s="73" t="n">
        <f aca="false">BF106+BF107</f>
        <v>-233943.634321434</v>
      </c>
      <c r="BG108" s="73" t="n">
        <f aca="false">BG106+BG107</f>
        <v>-240255.497351725</v>
      </c>
      <c r="BH108" s="73" t="n">
        <f aca="false">BH106+BH107</f>
        <v>-246556.110382016</v>
      </c>
      <c r="BI108" s="73" t="n">
        <f aca="false">BI106+BI107</f>
        <v>-252845.473412307</v>
      </c>
      <c r="BJ108" s="73" t="n">
        <f aca="false">BJ106+BJ107</f>
        <v>-263879.612377696</v>
      </c>
    </row>
    <row r="109" customFormat="false" ht="15" hidden="false" customHeight="false" outlineLevel="0" collapsed="false">
      <c r="A109" s="6" t="s">
        <v>454</v>
      </c>
      <c r="C109" s="67" t="n">
        <f aca="false">C105-C108</f>
        <v>0</v>
      </c>
      <c r="D109" s="67" t="n">
        <f aca="false">D105-D108</f>
        <v>0</v>
      </c>
      <c r="E109" s="67" t="n">
        <f aca="false">E105-E108</f>
        <v>0</v>
      </c>
      <c r="F109" s="67" t="n">
        <f aca="false">F105-F108</f>
        <v>0</v>
      </c>
      <c r="G109" s="67" t="n">
        <f aca="false">G105-G108</f>
        <v>0</v>
      </c>
      <c r="H109" s="67" t="n">
        <f aca="false">H105-H108</f>
        <v>0</v>
      </c>
      <c r="I109" s="67" t="n">
        <f aca="false">I105-I108</f>
        <v>0</v>
      </c>
      <c r="J109" s="67" t="n">
        <f aca="false">J105-J108</f>
        <v>0</v>
      </c>
      <c r="K109" s="67" t="n">
        <f aca="false">K105-K108</f>
        <v>0</v>
      </c>
      <c r="L109" s="67" t="n">
        <f aca="false">L105-L108</f>
        <v>0</v>
      </c>
      <c r="M109" s="67" t="n">
        <f aca="false">M105-M108</f>
        <v>0</v>
      </c>
      <c r="N109" s="67" t="n">
        <f aca="false">N105-N108</f>
        <v>0</v>
      </c>
      <c r="O109" s="67" t="n">
        <f aca="false">O105-O108</f>
        <v>0</v>
      </c>
      <c r="P109" s="67" t="n">
        <f aca="false">P105-P108</f>
        <v>0</v>
      </c>
      <c r="Q109" s="67" t="n">
        <f aca="false">Q105-Q108</f>
        <v>0</v>
      </c>
      <c r="R109" s="67" t="n">
        <f aca="false">R105-R108</f>
        <v>0</v>
      </c>
      <c r="S109" s="67" t="n">
        <f aca="false">S105-S108</f>
        <v>0</v>
      </c>
      <c r="T109" s="67" t="n">
        <f aca="false">T105-T108</f>
        <v>0</v>
      </c>
      <c r="U109" s="67" t="n">
        <f aca="false">U105-U108</f>
        <v>0</v>
      </c>
      <c r="V109" s="67" t="n">
        <f aca="false">V105-V108</f>
        <v>0</v>
      </c>
      <c r="W109" s="67" t="n">
        <f aca="false">W105-W108</f>
        <v>0</v>
      </c>
      <c r="X109" s="67" t="n">
        <f aca="false">X105-X108</f>
        <v>5.82076609134674E-011</v>
      </c>
      <c r="Y109" s="67" t="n">
        <f aca="false">Y105-Y108</f>
        <v>7.27595761418343E-011</v>
      </c>
      <c r="Z109" s="67" t="n">
        <f aca="false">Z105-Z108</f>
        <v>8.73114913702011E-011</v>
      </c>
      <c r="AA109" s="67" t="n">
        <f aca="false">AA105-AA108</f>
        <v>7.27595761418343E-011</v>
      </c>
      <c r="AB109" s="67" t="n">
        <f aca="false">AB105-AB108</f>
        <v>0</v>
      </c>
      <c r="AC109" s="67" t="n">
        <f aca="false">AC105-AC108</f>
        <v>0</v>
      </c>
      <c r="AD109" s="67" t="n">
        <f aca="false">AD105-AD108</f>
        <v>0</v>
      </c>
      <c r="AE109" s="67" t="n">
        <f aca="false">AE105-AE108</f>
        <v>0</v>
      </c>
      <c r="AF109" s="67" t="n">
        <f aca="false">AF105-AF108</f>
        <v>0</v>
      </c>
      <c r="AG109" s="67" t="n">
        <f aca="false">AG105-AG108</f>
        <v>0</v>
      </c>
      <c r="AH109" s="67" t="n">
        <f aca="false">AH105-AH108</f>
        <v>0</v>
      </c>
      <c r="AI109" s="67" t="n">
        <f aca="false">AI105-AI108</f>
        <v>0</v>
      </c>
      <c r="AJ109" s="67" t="n">
        <f aca="false">AJ105-AJ108</f>
        <v>0</v>
      </c>
      <c r="AK109" s="67" t="n">
        <f aca="false">AK105-AK108</f>
        <v>0</v>
      </c>
      <c r="AL109" s="67" t="n">
        <f aca="false">AL105-AL108</f>
        <v>0</v>
      </c>
      <c r="AM109" s="67" t="n">
        <f aca="false">AM105-AM108</f>
        <v>0</v>
      </c>
      <c r="AN109" s="67" t="n">
        <f aca="false">AN105-AN108</f>
        <v>0</v>
      </c>
      <c r="AO109" s="67" t="n">
        <f aca="false">AO105-AO108</f>
        <v>0</v>
      </c>
      <c r="AP109" s="67" t="n">
        <f aca="false">AP105-AP108</f>
        <v>0</v>
      </c>
      <c r="AQ109" s="67" t="n">
        <f aca="false">AQ105-AQ108</f>
        <v>0</v>
      </c>
      <c r="AR109" s="67" t="n">
        <f aca="false">AR105-AR108</f>
        <v>0</v>
      </c>
      <c r="AS109" s="67" t="n">
        <f aca="false">AS105-AS108</f>
        <v>0</v>
      </c>
      <c r="AT109" s="67" t="n">
        <f aca="false">AT105-AT108</f>
        <v>0</v>
      </c>
      <c r="AU109" s="67" t="n">
        <f aca="false">AU105-AU108</f>
        <v>0</v>
      </c>
      <c r="AV109" s="67" t="n">
        <f aca="false">AV105-AV108</f>
        <v>0</v>
      </c>
      <c r="AW109" s="67" t="n">
        <f aca="false">AW105-AW108</f>
        <v>0</v>
      </c>
      <c r="AX109" s="67" t="n">
        <f aca="false">AX105-AX108</f>
        <v>0</v>
      </c>
      <c r="AY109" s="67" t="n">
        <f aca="false">AY105-AY108</f>
        <v>0</v>
      </c>
      <c r="AZ109" s="67" t="n">
        <f aca="false">AZ105-AZ108</f>
        <v>0</v>
      </c>
      <c r="BA109" s="67" t="n">
        <f aca="false">BA105-BA108</f>
        <v>0</v>
      </c>
      <c r="BB109" s="67" t="n">
        <f aca="false">BB105-BB108</f>
        <v>0</v>
      </c>
      <c r="BC109" s="67" t="n">
        <f aca="false">BC105-BC108</f>
        <v>0</v>
      </c>
      <c r="BD109" s="67" t="n">
        <f aca="false">BD105-BD108</f>
        <v>0</v>
      </c>
      <c r="BE109" s="67" t="n">
        <f aca="false">BE105-BE108</f>
        <v>0</v>
      </c>
      <c r="BF109" s="67" t="n">
        <f aca="false">BF105-BF108</f>
        <v>0</v>
      </c>
      <c r="BG109" s="67" t="n">
        <f aca="false">BG105-BG108</f>
        <v>0</v>
      </c>
      <c r="BH109" s="67" t="n">
        <f aca="false">BH105-BH108</f>
        <v>0</v>
      </c>
      <c r="BI109" s="67" t="n">
        <f aca="false">BI105-BI108</f>
        <v>0</v>
      </c>
      <c r="BJ109" s="67" t="n">
        <f aca="false">BJ105-BJ108</f>
        <v>0</v>
      </c>
    </row>
    <row r="111" customFormat="false" ht="15.75" hidden="false" customHeight="true" outlineLevel="0" collapsed="false">
      <c r="A111" s="7" t="s">
        <v>456</v>
      </c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</row>
    <row r="112" customFormat="false" ht="15" hidden="false" customHeight="false" outlineLevel="0" collapsed="false">
      <c r="A112" s="6" t="s">
        <v>457</v>
      </c>
      <c r="C112" s="118" t="n">
        <f aca="false">Inputs!$B$55*(1+Inputs!$B$57)^(C$7-1)*MAX(0,MIN(1,C$6*1-Inputs!$B$58+1))/1</f>
        <v>1</v>
      </c>
      <c r="D112" s="118" t="n">
        <f aca="false">Inputs!$B$55*(1+Inputs!$B$57)^(D$7-1)*MAX(0,MIN(1,D$6*1-Inputs!$B$58+1))/1</f>
        <v>1</v>
      </c>
      <c r="E112" s="118" t="n">
        <f aca="false">Inputs!$B$55*(1+Inputs!$B$57)^(E$7-1)*MAX(0,MIN(1,E$6*1-Inputs!$B$58+1))/1</f>
        <v>1</v>
      </c>
      <c r="F112" s="118" t="n">
        <f aca="false">Inputs!$B$55*(1+Inputs!$B$57)^(F$7-1)*MAX(0,MIN(1,F$6*1-Inputs!$B$58+1))/1</f>
        <v>1</v>
      </c>
      <c r="G112" s="118" t="n">
        <f aca="false">Inputs!$B$55*(1+Inputs!$B$57)^(G$7-1)*MAX(0,MIN(1,G$6*1-Inputs!$B$58+1))/1</f>
        <v>1</v>
      </c>
      <c r="H112" s="118" t="n">
        <f aca="false">Inputs!$B$55*(1+Inputs!$B$57)^(H$7-1)*MAX(0,MIN(1,H$6*1-Inputs!$B$58+1))/1</f>
        <v>1</v>
      </c>
      <c r="I112" s="118" t="n">
        <f aca="false">Inputs!$B$55*(1+Inputs!$B$57)^(I$7-1)*MAX(0,MIN(1,I$6*1-Inputs!$B$58+1))/1</f>
        <v>1</v>
      </c>
      <c r="J112" s="118" t="n">
        <f aca="false">Inputs!$B$55*(1+Inputs!$B$57)^(J$7-1)*MAX(0,MIN(1,J$6*1-Inputs!$B$58+1))/1</f>
        <v>1</v>
      </c>
      <c r="K112" s="118" t="n">
        <f aca="false">Inputs!$B$55*(1+Inputs!$B$57)^(K$7-1)*MAX(0,MIN(1,K$6*1-Inputs!$B$58+1))/1</f>
        <v>1</v>
      </c>
      <c r="L112" s="118" t="n">
        <f aca="false">Inputs!$B$55*(1+Inputs!$B$57)^(L$7-1)*MAX(0,MIN(1,L$6*1-Inputs!$B$58+1))/1</f>
        <v>1</v>
      </c>
      <c r="M112" s="118" t="n">
        <f aca="false">Inputs!$B$55*(1+Inputs!$B$57)^(M$7-1)*MAX(0,MIN(1,M$6*1-Inputs!$B$58+1))/1</f>
        <v>1</v>
      </c>
      <c r="N112" s="118" t="n">
        <f aca="false">Inputs!$B$55*(1+Inputs!$B$57)^(N$7-1)*MAX(0,MIN(1,N$6*1-Inputs!$B$58+1))/1</f>
        <v>1</v>
      </c>
      <c r="O112" s="118" t="n">
        <f aca="false">Inputs!$B$55*(1+Inputs!$B$57)^(O$7-1)*MAX(0,MIN(1,O$6*1-Inputs!$B$58+1))/1</f>
        <v>1</v>
      </c>
      <c r="P112" s="118" t="n">
        <f aca="false">Inputs!$B$55*(1+Inputs!$B$57)^(P$7-1)*MAX(0,MIN(1,P$6*1-Inputs!$B$58+1))/1</f>
        <v>1</v>
      </c>
      <c r="Q112" s="118" t="n">
        <f aca="false">Inputs!$B$55*(1+Inputs!$B$57)^(Q$7-1)*MAX(0,MIN(1,Q$6*1-Inputs!$B$58+1))/1</f>
        <v>1</v>
      </c>
      <c r="R112" s="118" t="n">
        <f aca="false">Inputs!$B$55*(1+Inputs!$B$57)^(R$7-1)*MAX(0,MIN(1,R$6*1-Inputs!$B$58+1))/1</f>
        <v>1</v>
      </c>
      <c r="S112" s="118" t="n">
        <f aca="false">Inputs!$B$55*(1+Inputs!$B$57)^(S$7-1)*MAX(0,MIN(1,S$6*1-Inputs!$B$58+1))/1</f>
        <v>1</v>
      </c>
      <c r="T112" s="118" t="n">
        <f aca="false">Inputs!$B$55*(1+Inputs!$B$57)^(T$7-1)*MAX(0,MIN(1,T$6*1-Inputs!$B$58+1))/1</f>
        <v>1</v>
      </c>
      <c r="U112" s="118" t="n">
        <f aca="false">Inputs!$B$55*(1+Inputs!$B$57)^(U$7-1)*MAX(0,MIN(1,U$6*1-Inputs!$B$58+1))/1</f>
        <v>1</v>
      </c>
      <c r="V112" s="118" t="n">
        <f aca="false">Inputs!$B$55*(1+Inputs!$B$57)^(V$7-1)*MAX(0,MIN(1,V$6*1-Inputs!$B$58+1))/1</f>
        <v>1</v>
      </c>
      <c r="W112" s="118" t="n">
        <f aca="false">Inputs!$B$55*(1+Inputs!$B$57)^(W$7-1)*MAX(0,MIN(1,W$6*1-Inputs!$B$58+1))/1</f>
        <v>1</v>
      </c>
      <c r="X112" s="118" t="n">
        <f aca="false">Inputs!$B$55*(1+Inputs!$B$57)^(X$7-1)*MAX(0,MIN(1,X$6*1-Inputs!$B$58+1))/1</f>
        <v>1</v>
      </c>
      <c r="Y112" s="118" t="n">
        <f aca="false">Inputs!$B$55*(1+Inputs!$B$57)^(Y$7-1)*MAX(0,MIN(1,Y$6*1-Inputs!$B$58+1))/1</f>
        <v>1</v>
      </c>
      <c r="Z112" s="118" t="n">
        <f aca="false">Inputs!$B$55*(1+Inputs!$B$57)^(Z$7-1)*MAX(0,MIN(1,Z$6*1-Inputs!$B$58+1))/1</f>
        <v>1</v>
      </c>
      <c r="AA112" s="118" t="n">
        <f aca="false">Inputs!$B$55*(1+Inputs!$B$57)^(AA$7-1)*MAX(0,MIN(1,AA$6*1-Inputs!$B$58+1))/1</f>
        <v>1</v>
      </c>
      <c r="AB112" s="118" t="n">
        <f aca="false">Inputs!$B$55*(1+Inputs!$B$57)^(AB$7-1)*MAX(0,MIN(1,AB$6*1-Inputs!$B$58+1))/1</f>
        <v>1</v>
      </c>
      <c r="AC112" s="118" t="n">
        <f aca="false">Inputs!$B$55*(1+Inputs!$B$57)^(AC$7-1)*MAX(0,MIN(1,AC$6*1-Inputs!$B$58+1))/1</f>
        <v>1</v>
      </c>
      <c r="AD112" s="118" t="n">
        <f aca="false">Inputs!$B$55*(1+Inputs!$B$57)^(AD$7-1)*MAX(0,MIN(1,AD$6*1-Inputs!$B$58+1))/1</f>
        <v>1</v>
      </c>
      <c r="AE112" s="118" t="n">
        <f aca="false">Inputs!$B$55*(1+Inputs!$B$57)^(AE$7-1)*MAX(0,MIN(1,AE$6*1-Inputs!$B$58+1))/1</f>
        <v>1</v>
      </c>
      <c r="AF112" s="118" t="n">
        <f aca="false">Inputs!$B$55*(1+Inputs!$B$57)^(AF$7-1)*MAX(0,MIN(1,AF$6*1-Inputs!$B$58+1))/1</f>
        <v>1</v>
      </c>
      <c r="AG112" s="118" t="n">
        <f aca="false">Inputs!$B$55*(1+Inputs!$B$57)^(AG$7-1)*MAX(0,MIN(1,AG$6*1-Inputs!$B$58+1))/1</f>
        <v>1</v>
      </c>
      <c r="AH112" s="118" t="n">
        <f aca="false">Inputs!$B$55*(1+Inputs!$B$57)^(AH$7-1)*MAX(0,MIN(1,AH$6*1-Inputs!$B$58+1))/1</f>
        <v>1</v>
      </c>
      <c r="AI112" s="118" t="n">
        <f aca="false">Inputs!$B$55*(1+Inputs!$B$57)^(AI$7-1)*MAX(0,MIN(1,AI$6*1-Inputs!$B$58+1))/1</f>
        <v>1</v>
      </c>
      <c r="AJ112" s="118" t="n">
        <f aca="false">Inputs!$B$55*(1+Inputs!$B$57)^(AJ$7-1)*MAX(0,MIN(1,AJ$6*1-Inputs!$B$58+1))/1</f>
        <v>1</v>
      </c>
      <c r="AK112" s="118" t="n">
        <f aca="false">Inputs!$B$55*(1+Inputs!$B$57)^(AK$7-1)*MAX(0,MIN(1,AK$6*1-Inputs!$B$58+1))/1</f>
        <v>1</v>
      </c>
      <c r="AL112" s="118" t="n">
        <f aca="false">Inputs!$B$55*(1+Inputs!$B$57)^(AL$7-1)*MAX(0,MIN(1,AL$6*1-Inputs!$B$58+1))/1</f>
        <v>1</v>
      </c>
      <c r="AM112" s="118" t="n">
        <f aca="false">Inputs!$B$55*(1+Inputs!$B$57)^(AM$7-1)*MAX(0,MIN(1,AM$6*1-Inputs!$B$58+1))/1</f>
        <v>1</v>
      </c>
      <c r="AN112" s="118" t="n">
        <f aca="false">Inputs!$B$55*(1+Inputs!$B$57)^(AN$7-1)*MAX(0,MIN(1,AN$6*1-Inputs!$B$58+1))/1</f>
        <v>1</v>
      </c>
      <c r="AO112" s="118" t="n">
        <f aca="false">Inputs!$B$55*(1+Inputs!$B$57)^(AO$7-1)*MAX(0,MIN(1,AO$6*1-Inputs!$B$58+1))/1</f>
        <v>1</v>
      </c>
      <c r="AP112" s="118" t="n">
        <f aca="false">Inputs!$B$55*(1+Inputs!$B$57)^(AP$7-1)*MAX(0,MIN(1,AP$6*1-Inputs!$B$58+1))/1</f>
        <v>1</v>
      </c>
      <c r="AQ112" s="118" t="n">
        <f aca="false">Inputs!$B$55*(1+Inputs!$B$57)^(AQ$7-1)*MAX(0,MIN(1,AQ$6*1-Inputs!$B$58+1))/1</f>
        <v>1</v>
      </c>
      <c r="AR112" s="118" t="n">
        <f aca="false">Inputs!$B$55*(1+Inputs!$B$57)^(AR$7-1)*MAX(0,MIN(1,AR$6*1-Inputs!$B$58+1))/1</f>
        <v>1</v>
      </c>
      <c r="AS112" s="118" t="n">
        <f aca="false">Inputs!$B$55*(1+Inputs!$B$57)^(AS$7-1)*MAX(0,MIN(1,AS$6*1-Inputs!$B$58+1))/1</f>
        <v>1</v>
      </c>
      <c r="AT112" s="118" t="n">
        <f aca="false">Inputs!$B$55*(1+Inputs!$B$57)^(AT$7-1)*MAX(0,MIN(1,AT$6*1-Inputs!$B$58+1))/1</f>
        <v>1</v>
      </c>
      <c r="AU112" s="118" t="n">
        <f aca="false">Inputs!$B$55*(1+Inputs!$B$57)^(AU$7-1)*MAX(0,MIN(1,AU$6*1-Inputs!$B$58+1))/1</f>
        <v>1</v>
      </c>
      <c r="AV112" s="118" t="n">
        <f aca="false">Inputs!$B$55*(1+Inputs!$B$57)^(AV$7-1)*MAX(0,MIN(1,AV$6*1-Inputs!$B$58+1))/1</f>
        <v>1</v>
      </c>
      <c r="AW112" s="118" t="n">
        <f aca="false">Inputs!$B$55*(1+Inputs!$B$57)^(AW$7-1)*MAX(0,MIN(1,AW$6*1-Inputs!$B$58+1))/1</f>
        <v>1</v>
      </c>
      <c r="AX112" s="118" t="n">
        <f aca="false">Inputs!$B$55*(1+Inputs!$B$57)^(AX$7-1)*MAX(0,MIN(1,AX$6*1-Inputs!$B$58+1))/1</f>
        <v>1</v>
      </c>
      <c r="AY112" s="118" t="n">
        <f aca="false">Inputs!$B$55*(1+Inputs!$B$57)^(AY$7-1)*MAX(0,MIN(1,AY$6*1-Inputs!$B$58+1))/1</f>
        <v>1</v>
      </c>
      <c r="AZ112" s="118" t="n">
        <f aca="false">Inputs!$B$55*(1+Inputs!$B$57)^(AZ$7-1)*MAX(0,MIN(1,AZ$6*1-Inputs!$B$58+1))/1</f>
        <v>1</v>
      </c>
      <c r="BA112" s="118" t="n">
        <f aca="false">Inputs!$B$55*(1+Inputs!$B$57)^(BA$7-1)*MAX(0,MIN(1,BA$6*1-Inputs!$B$58+1))/1</f>
        <v>1</v>
      </c>
      <c r="BB112" s="118" t="n">
        <f aca="false">Inputs!$B$55*(1+Inputs!$B$57)^(BB$7-1)*MAX(0,MIN(1,BB$6*1-Inputs!$B$58+1))/1</f>
        <v>1</v>
      </c>
      <c r="BC112" s="118" t="n">
        <f aca="false">Inputs!$B$55*(1+Inputs!$B$57)^(BC$7-1)*MAX(0,MIN(1,BC$6*1-Inputs!$B$58+1))/1</f>
        <v>1</v>
      </c>
      <c r="BD112" s="118" t="n">
        <f aca="false">Inputs!$B$55*(1+Inputs!$B$57)^(BD$7-1)*MAX(0,MIN(1,BD$6*1-Inputs!$B$58+1))/1</f>
        <v>1</v>
      </c>
      <c r="BE112" s="118" t="n">
        <f aca="false">Inputs!$B$55*(1+Inputs!$B$57)^(BE$7-1)*MAX(0,MIN(1,BE$6*1-Inputs!$B$58+1))/1</f>
        <v>1</v>
      </c>
      <c r="BF112" s="118" t="n">
        <f aca="false">Inputs!$B$55*(1+Inputs!$B$57)^(BF$7-1)*MAX(0,MIN(1,BF$6*1-Inputs!$B$58+1))/1</f>
        <v>1</v>
      </c>
      <c r="BG112" s="118" t="n">
        <f aca="false">Inputs!$B$55*(1+Inputs!$B$57)^(BG$7-1)*MAX(0,MIN(1,BG$6*1-Inputs!$B$58+1))/1</f>
        <v>1</v>
      </c>
      <c r="BH112" s="118" t="n">
        <f aca="false">Inputs!$B$55*(1+Inputs!$B$57)^(BH$7-1)*MAX(0,MIN(1,BH$6*1-Inputs!$B$58+1))/1</f>
        <v>1</v>
      </c>
      <c r="BI112" s="118" t="n">
        <f aca="false">Inputs!$B$55*(1+Inputs!$B$57)^(BI$7-1)*MAX(0,MIN(1,BI$6*1-Inputs!$B$58+1))/1</f>
        <v>1</v>
      </c>
      <c r="BJ112" s="118" t="n">
        <f aca="false">Inputs!$B$55*(1+Inputs!$B$57)^(BJ$7-1)*MAX(0,MIN(1,BJ$6*1-Inputs!$B$58+1))/1</f>
        <v>1</v>
      </c>
    </row>
    <row r="113" customFormat="false" ht="15" hidden="false" customHeight="false" outlineLevel="0" collapsed="false">
      <c r="A113" s="6" t="s">
        <v>458</v>
      </c>
      <c r="C113" s="118" t="n">
        <f aca="false">Inputs!$B$59*(1+Inputs!$B$61)^(C$7-1)*MAX(0,MIN(1,C$6*1-Inputs!$B$62+1))/1</f>
        <v>1.2</v>
      </c>
      <c r="D113" s="118" t="n">
        <f aca="false">Inputs!$B$59*(1+Inputs!$B$61)^(D$7-1)*MAX(0,MIN(1,D$6*1-Inputs!$B$62+1))/1</f>
        <v>1.2</v>
      </c>
      <c r="E113" s="118" t="n">
        <f aca="false">Inputs!$B$59*(1+Inputs!$B$61)^(E$7-1)*MAX(0,MIN(1,E$6*1-Inputs!$B$62+1))/1</f>
        <v>1.2</v>
      </c>
      <c r="F113" s="118" t="n">
        <f aca="false">Inputs!$B$59*(1+Inputs!$B$61)^(F$7-1)*MAX(0,MIN(1,F$6*1-Inputs!$B$62+1))/1</f>
        <v>1.2</v>
      </c>
      <c r="G113" s="118" t="n">
        <f aca="false">Inputs!$B$59*(1+Inputs!$B$61)^(G$7-1)*MAX(0,MIN(1,G$6*1-Inputs!$B$62+1))/1</f>
        <v>1.2</v>
      </c>
      <c r="H113" s="118" t="n">
        <f aca="false">Inputs!$B$59*(1+Inputs!$B$61)^(H$7-1)*MAX(0,MIN(1,H$6*1-Inputs!$B$62+1))/1</f>
        <v>1.2</v>
      </c>
      <c r="I113" s="118" t="n">
        <f aca="false">Inputs!$B$59*(1+Inputs!$B$61)^(I$7-1)*MAX(0,MIN(1,I$6*1-Inputs!$B$62+1))/1</f>
        <v>1.2</v>
      </c>
      <c r="J113" s="118" t="n">
        <f aca="false">Inputs!$B$59*(1+Inputs!$B$61)^(J$7-1)*MAX(0,MIN(1,J$6*1-Inputs!$B$62+1))/1</f>
        <v>1.2</v>
      </c>
      <c r="K113" s="118" t="n">
        <f aca="false">Inputs!$B$59*(1+Inputs!$B$61)^(K$7-1)*MAX(0,MIN(1,K$6*1-Inputs!$B$62+1))/1</f>
        <v>1.2</v>
      </c>
      <c r="L113" s="118" t="n">
        <f aca="false">Inputs!$B$59*(1+Inputs!$B$61)^(L$7-1)*MAX(0,MIN(1,L$6*1-Inputs!$B$62+1))/1</f>
        <v>1.2</v>
      </c>
      <c r="M113" s="118" t="n">
        <f aca="false">Inputs!$B$59*(1+Inputs!$B$61)^(M$7-1)*MAX(0,MIN(1,M$6*1-Inputs!$B$62+1))/1</f>
        <v>1.2</v>
      </c>
      <c r="N113" s="118" t="n">
        <f aca="false">Inputs!$B$59*(1+Inputs!$B$61)^(N$7-1)*MAX(0,MIN(1,N$6*1-Inputs!$B$62+1))/1</f>
        <v>1.2</v>
      </c>
      <c r="O113" s="118" t="n">
        <f aca="false">Inputs!$B$59*(1+Inputs!$B$61)^(O$7-1)*MAX(0,MIN(1,O$6*1-Inputs!$B$62+1))/1</f>
        <v>1.2</v>
      </c>
      <c r="P113" s="118" t="n">
        <f aca="false">Inputs!$B$59*(1+Inputs!$B$61)^(P$7-1)*MAX(0,MIN(1,P$6*1-Inputs!$B$62+1))/1</f>
        <v>1.2</v>
      </c>
      <c r="Q113" s="118" t="n">
        <f aca="false">Inputs!$B$59*(1+Inputs!$B$61)^(Q$7-1)*MAX(0,MIN(1,Q$6*1-Inputs!$B$62+1))/1</f>
        <v>1.2</v>
      </c>
      <c r="R113" s="118" t="n">
        <f aca="false">Inputs!$B$59*(1+Inputs!$B$61)^(R$7-1)*MAX(0,MIN(1,R$6*1-Inputs!$B$62+1))/1</f>
        <v>1.2</v>
      </c>
      <c r="S113" s="118" t="n">
        <f aca="false">Inputs!$B$59*(1+Inputs!$B$61)^(S$7-1)*MAX(0,MIN(1,S$6*1-Inputs!$B$62+1))/1</f>
        <v>1.2</v>
      </c>
      <c r="T113" s="118" t="n">
        <f aca="false">Inputs!$B$59*(1+Inputs!$B$61)^(T$7-1)*MAX(0,MIN(1,T$6*1-Inputs!$B$62+1))/1</f>
        <v>1.2</v>
      </c>
      <c r="U113" s="118" t="n">
        <f aca="false">Inputs!$B$59*(1+Inputs!$B$61)^(U$7-1)*MAX(0,MIN(1,U$6*1-Inputs!$B$62+1))/1</f>
        <v>1.2</v>
      </c>
      <c r="V113" s="118" t="n">
        <f aca="false">Inputs!$B$59*(1+Inputs!$B$61)^(V$7-1)*MAX(0,MIN(1,V$6*1-Inputs!$B$62+1))/1</f>
        <v>1.2</v>
      </c>
      <c r="W113" s="118" t="n">
        <f aca="false">Inputs!$B$59*(1+Inputs!$B$61)^(W$7-1)*MAX(0,MIN(1,W$6*1-Inputs!$B$62+1))/1</f>
        <v>1.2</v>
      </c>
      <c r="X113" s="118" t="n">
        <f aca="false">Inputs!$B$59*(1+Inputs!$B$61)^(X$7-1)*MAX(0,MIN(1,X$6*1-Inputs!$B$62+1))/1</f>
        <v>1.2</v>
      </c>
      <c r="Y113" s="118" t="n">
        <f aca="false">Inputs!$B$59*(1+Inputs!$B$61)^(Y$7-1)*MAX(0,MIN(1,Y$6*1-Inputs!$B$62+1))/1</f>
        <v>1.2</v>
      </c>
      <c r="Z113" s="118" t="n">
        <f aca="false">Inputs!$B$59*(1+Inputs!$B$61)^(Z$7-1)*MAX(0,MIN(1,Z$6*1-Inputs!$B$62+1))/1</f>
        <v>1.2</v>
      </c>
      <c r="AA113" s="118" t="n">
        <f aca="false">Inputs!$B$59*(1+Inputs!$B$61)^(AA$7-1)*MAX(0,MIN(1,AA$6*1-Inputs!$B$62+1))/1</f>
        <v>1.2</v>
      </c>
      <c r="AB113" s="118" t="n">
        <f aca="false">Inputs!$B$59*(1+Inputs!$B$61)^(AB$7-1)*MAX(0,MIN(1,AB$6*1-Inputs!$B$62+1))/1</f>
        <v>1.2</v>
      </c>
      <c r="AC113" s="118" t="n">
        <f aca="false">Inputs!$B$59*(1+Inputs!$B$61)^(AC$7-1)*MAX(0,MIN(1,AC$6*1-Inputs!$B$62+1))/1</f>
        <v>1.2</v>
      </c>
      <c r="AD113" s="118" t="n">
        <f aca="false">Inputs!$B$59*(1+Inputs!$B$61)^(AD$7-1)*MAX(0,MIN(1,AD$6*1-Inputs!$B$62+1))/1</f>
        <v>1.2</v>
      </c>
      <c r="AE113" s="118" t="n">
        <f aca="false">Inputs!$B$59*(1+Inputs!$B$61)^(AE$7-1)*MAX(0,MIN(1,AE$6*1-Inputs!$B$62+1))/1</f>
        <v>1.2</v>
      </c>
      <c r="AF113" s="118" t="n">
        <f aca="false">Inputs!$B$59*(1+Inputs!$B$61)^(AF$7-1)*MAX(0,MIN(1,AF$6*1-Inputs!$B$62+1))/1</f>
        <v>1.2</v>
      </c>
      <c r="AG113" s="118" t="n">
        <f aca="false">Inputs!$B$59*(1+Inputs!$B$61)^(AG$7-1)*MAX(0,MIN(1,AG$6*1-Inputs!$B$62+1))/1</f>
        <v>1.2</v>
      </c>
      <c r="AH113" s="118" t="n">
        <f aca="false">Inputs!$B$59*(1+Inputs!$B$61)^(AH$7-1)*MAX(0,MIN(1,AH$6*1-Inputs!$B$62+1))/1</f>
        <v>1.2</v>
      </c>
      <c r="AI113" s="118" t="n">
        <f aca="false">Inputs!$B$59*(1+Inputs!$B$61)^(AI$7-1)*MAX(0,MIN(1,AI$6*1-Inputs!$B$62+1))/1</f>
        <v>1.2</v>
      </c>
      <c r="AJ113" s="118" t="n">
        <f aca="false">Inputs!$B$59*(1+Inputs!$B$61)^(AJ$7-1)*MAX(0,MIN(1,AJ$6*1-Inputs!$B$62+1))/1</f>
        <v>1.2</v>
      </c>
      <c r="AK113" s="118" t="n">
        <f aca="false">Inputs!$B$59*(1+Inputs!$B$61)^(AK$7-1)*MAX(0,MIN(1,AK$6*1-Inputs!$B$62+1))/1</f>
        <v>1.2</v>
      </c>
      <c r="AL113" s="118" t="n">
        <f aca="false">Inputs!$B$59*(1+Inputs!$B$61)^(AL$7-1)*MAX(0,MIN(1,AL$6*1-Inputs!$B$62+1))/1</f>
        <v>1.2</v>
      </c>
      <c r="AM113" s="118" t="n">
        <f aca="false">Inputs!$B$59*(1+Inputs!$B$61)^(AM$7-1)*MAX(0,MIN(1,AM$6*1-Inputs!$B$62+1))/1</f>
        <v>1.2</v>
      </c>
      <c r="AN113" s="118" t="n">
        <f aca="false">Inputs!$B$59*(1+Inputs!$B$61)^(AN$7-1)*MAX(0,MIN(1,AN$6*1-Inputs!$B$62+1))/1</f>
        <v>1.2</v>
      </c>
      <c r="AO113" s="118" t="n">
        <f aca="false">Inputs!$B$59*(1+Inputs!$B$61)^(AO$7-1)*MAX(0,MIN(1,AO$6*1-Inputs!$B$62+1))/1</f>
        <v>1.2</v>
      </c>
      <c r="AP113" s="118" t="n">
        <f aca="false">Inputs!$B$59*(1+Inputs!$B$61)^(AP$7-1)*MAX(0,MIN(1,AP$6*1-Inputs!$B$62+1))/1</f>
        <v>1.2</v>
      </c>
      <c r="AQ113" s="118" t="n">
        <f aca="false">Inputs!$B$59*(1+Inputs!$B$61)^(AQ$7-1)*MAX(0,MIN(1,AQ$6*1-Inputs!$B$62+1))/1</f>
        <v>1.2</v>
      </c>
      <c r="AR113" s="118" t="n">
        <f aca="false">Inputs!$B$59*(1+Inputs!$B$61)^(AR$7-1)*MAX(0,MIN(1,AR$6*1-Inputs!$B$62+1))/1</f>
        <v>1.2</v>
      </c>
      <c r="AS113" s="118" t="n">
        <f aca="false">Inputs!$B$59*(1+Inputs!$B$61)^(AS$7-1)*MAX(0,MIN(1,AS$6*1-Inputs!$B$62+1))/1</f>
        <v>1.2</v>
      </c>
      <c r="AT113" s="118" t="n">
        <f aca="false">Inputs!$B$59*(1+Inputs!$B$61)^(AT$7-1)*MAX(0,MIN(1,AT$6*1-Inputs!$B$62+1))/1</f>
        <v>1.2</v>
      </c>
      <c r="AU113" s="118" t="n">
        <f aca="false">Inputs!$B$59*(1+Inputs!$B$61)^(AU$7-1)*MAX(0,MIN(1,AU$6*1-Inputs!$B$62+1))/1</f>
        <v>1.2</v>
      </c>
      <c r="AV113" s="118" t="n">
        <f aca="false">Inputs!$B$59*(1+Inputs!$B$61)^(AV$7-1)*MAX(0,MIN(1,AV$6*1-Inputs!$B$62+1))/1</f>
        <v>1.2</v>
      </c>
      <c r="AW113" s="118" t="n">
        <f aca="false">Inputs!$B$59*(1+Inputs!$B$61)^(AW$7-1)*MAX(0,MIN(1,AW$6*1-Inputs!$B$62+1))/1</f>
        <v>1.2</v>
      </c>
      <c r="AX113" s="118" t="n">
        <f aca="false">Inputs!$B$59*(1+Inputs!$B$61)^(AX$7-1)*MAX(0,MIN(1,AX$6*1-Inputs!$B$62+1))/1</f>
        <v>1.2</v>
      </c>
      <c r="AY113" s="118" t="n">
        <f aca="false">Inputs!$B$59*(1+Inputs!$B$61)^(AY$7-1)*MAX(0,MIN(1,AY$6*1-Inputs!$B$62+1))/1</f>
        <v>1.2</v>
      </c>
      <c r="AZ113" s="118" t="n">
        <f aca="false">Inputs!$B$59*(1+Inputs!$B$61)^(AZ$7-1)*MAX(0,MIN(1,AZ$6*1-Inputs!$B$62+1))/1</f>
        <v>1.2</v>
      </c>
      <c r="BA113" s="118" t="n">
        <f aca="false">Inputs!$B$59*(1+Inputs!$B$61)^(BA$7-1)*MAX(0,MIN(1,BA$6*1-Inputs!$B$62+1))/1</f>
        <v>1.2</v>
      </c>
      <c r="BB113" s="118" t="n">
        <f aca="false">Inputs!$B$59*(1+Inputs!$B$61)^(BB$7-1)*MAX(0,MIN(1,BB$6*1-Inputs!$B$62+1))/1</f>
        <v>1.2</v>
      </c>
      <c r="BC113" s="118" t="n">
        <f aca="false">Inputs!$B$59*(1+Inputs!$B$61)^(BC$7-1)*MAX(0,MIN(1,BC$6*1-Inputs!$B$62+1))/1</f>
        <v>1.2</v>
      </c>
      <c r="BD113" s="118" t="n">
        <f aca="false">Inputs!$B$59*(1+Inputs!$B$61)^(BD$7-1)*MAX(0,MIN(1,BD$6*1-Inputs!$B$62+1))/1</f>
        <v>1.2</v>
      </c>
      <c r="BE113" s="118" t="n">
        <f aca="false">Inputs!$B$59*(1+Inputs!$B$61)^(BE$7-1)*MAX(0,MIN(1,BE$6*1-Inputs!$B$62+1))/1</f>
        <v>1.2</v>
      </c>
      <c r="BF113" s="118" t="n">
        <f aca="false">Inputs!$B$59*(1+Inputs!$B$61)^(BF$7-1)*MAX(0,MIN(1,BF$6*1-Inputs!$B$62+1))/1</f>
        <v>1.2</v>
      </c>
      <c r="BG113" s="118" t="n">
        <f aca="false">Inputs!$B$59*(1+Inputs!$B$61)^(BG$7-1)*MAX(0,MIN(1,BG$6*1-Inputs!$B$62+1))/1</f>
        <v>1.2</v>
      </c>
      <c r="BH113" s="118" t="n">
        <f aca="false">Inputs!$B$59*(1+Inputs!$B$61)^(BH$7-1)*MAX(0,MIN(1,BH$6*1-Inputs!$B$62+1))/1</f>
        <v>1.2</v>
      </c>
      <c r="BI113" s="118" t="n">
        <f aca="false">Inputs!$B$59*(1+Inputs!$B$61)^(BI$7-1)*MAX(0,MIN(1,BI$6*1-Inputs!$B$62+1))/1</f>
        <v>1.2</v>
      </c>
      <c r="BJ113" s="118" t="n">
        <f aca="false">Inputs!$B$59*(1+Inputs!$B$61)^(BJ$7-1)*MAX(0,MIN(1,BJ$6*1-Inputs!$B$62+1))/1</f>
        <v>1.2</v>
      </c>
    </row>
    <row r="114" customFormat="false" ht="15" hidden="false" customHeight="false" outlineLevel="0" collapsed="false">
      <c r="A114" s="6" t="s">
        <v>459</v>
      </c>
      <c r="C114" s="118" t="n">
        <f aca="false">Inputs!$B$63*(1+Inputs!$B$65)^(C$7-1)*MAX(0,MIN(1,C$6*1-Inputs!$B$66+1))/1</f>
        <v>1</v>
      </c>
      <c r="D114" s="118" t="n">
        <f aca="false">Inputs!$B$63*(1+Inputs!$B$65)^(D$7-1)*MAX(0,MIN(1,D$6*1-Inputs!$B$66+1))/1</f>
        <v>1</v>
      </c>
      <c r="E114" s="118" t="n">
        <f aca="false">Inputs!$B$63*(1+Inputs!$B$65)^(E$7-1)*MAX(0,MIN(1,E$6*1-Inputs!$B$66+1))/1</f>
        <v>1</v>
      </c>
      <c r="F114" s="118" t="n">
        <f aca="false">Inputs!$B$63*(1+Inputs!$B$65)^(F$7-1)*MAX(0,MIN(1,F$6*1-Inputs!$B$66+1))/1</f>
        <v>1</v>
      </c>
      <c r="G114" s="118" t="n">
        <f aca="false">Inputs!$B$63*(1+Inputs!$B$65)^(G$7-1)*MAX(0,MIN(1,G$6*1-Inputs!$B$66+1))/1</f>
        <v>1</v>
      </c>
      <c r="H114" s="118" t="n">
        <f aca="false">Inputs!$B$63*(1+Inputs!$B$65)^(H$7-1)*MAX(0,MIN(1,H$6*1-Inputs!$B$66+1))/1</f>
        <v>1</v>
      </c>
      <c r="I114" s="118" t="n">
        <f aca="false">Inputs!$B$63*(1+Inputs!$B$65)^(I$7-1)*MAX(0,MIN(1,I$6*1-Inputs!$B$66+1))/1</f>
        <v>1</v>
      </c>
      <c r="J114" s="118" t="n">
        <f aca="false">Inputs!$B$63*(1+Inputs!$B$65)^(J$7-1)*MAX(0,MIN(1,J$6*1-Inputs!$B$66+1))/1</f>
        <v>1</v>
      </c>
      <c r="K114" s="118" t="n">
        <f aca="false">Inputs!$B$63*(1+Inputs!$B$65)^(K$7-1)*MAX(0,MIN(1,K$6*1-Inputs!$B$66+1))/1</f>
        <v>1</v>
      </c>
      <c r="L114" s="118" t="n">
        <f aca="false">Inputs!$B$63*(1+Inputs!$B$65)^(L$7-1)*MAX(0,MIN(1,L$6*1-Inputs!$B$66+1))/1</f>
        <v>1</v>
      </c>
      <c r="M114" s="118" t="n">
        <f aca="false">Inputs!$B$63*(1+Inputs!$B$65)^(M$7-1)*MAX(0,MIN(1,M$6*1-Inputs!$B$66+1))/1</f>
        <v>1</v>
      </c>
      <c r="N114" s="118" t="n">
        <f aca="false">Inputs!$B$63*(1+Inputs!$B$65)^(N$7-1)*MAX(0,MIN(1,N$6*1-Inputs!$B$66+1))/1</f>
        <v>1</v>
      </c>
      <c r="O114" s="118" t="n">
        <f aca="false">Inputs!$B$63*(1+Inputs!$B$65)^(O$7-1)*MAX(0,MIN(1,O$6*1-Inputs!$B$66+1))/1</f>
        <v>1</v>
      </c>
      <c r="P114" s="118" t="n">
        <f aca="false">Inputs!$B$63*(1+Inputs!$B$65)^(P$7-1)*MAX(0,MIN(1,P$6*1-Inputs!$B$66+1))/1</f>
        <v>1</v>
      </c>
      <c r="Q114" s="118" t="n">
        <f aca="false">Inputs!$B$63*(1+Inputs!$B$65)^(Q$7-1)*MAX(0,MIN(1,Q$6*1-Inputs!$B$66+1))/1</f>
        <v>1</v>
      </c>
      <c r="R114" s="118" t="n">
        <f aca="false">Inputs!$B$63*(1+Inputs!$B$65)^(R$7-1)*MAX(0,MIN(1,R$6*1-Inputs!$B$66+1))/1</f>
        <v>1</v>
      </c>
      <c r="S114" s="118" t="n">
        <f aca="false">Inputs!$B$63*(1+Inputs!$B$65)^(S$7-1)*MAX(0,MIN(1,S$6*1-Inputs!$B$66+1))/1</f>
        <v>1</v>
      </c>
      <c r="T114" s="118" t="n">
        <f aca="false">Inputs!$B$63*(1+Inputs!$B$65)^(T$7-1)*MAX(0,MIN(1,T$6*1-Inputs!$B$66+1))/1</f>
        <v>1</v>
      </c>
      <c r="U114" s="118" t="n">
        <f aca="false">Inputs!$B$63*(1+Inputs!$B$65)^(U$7-1)*MAX(0,MIN(1,U$6*1-Inputs!$B$66+1))/1</f>
        <v>1</v>
      </c>
      <c r="V114" s="118" t="n">
        <f aca="false">Inputs!$B$63*(1+Inputs!$B$65)^(V$7-1)*MAX(0,MIN(1,V$6*1-Inputs!$B$66+1))/1</f>
        <v>1</v>
      </c>
      <c r="W114" s="118" t="n">
        <f aca="false">Inputs!$B$63*(1+Inputs!$B$65)^(W$7-1)*MAX(0,MIN(1,W$6*1-Inputs!$B$66+1))/1</f>
        <v>1</v>
      </c>
      <c r="X114" s="118" t="n">
        <f aca="false">Inputs!$B$63*(1+Inputs!$B$65)^(X$7-1)*MAX(0,MIN(1,X$6*1-Inputs!$B$66+1))/1</f>
        <v>1</v>
      </c>
      <c r="Y114" s="118" t="n">
        <f aca="false">Inputs!$B$63*(1+Inputs!$B$65)^(Y$7-1)*MAX(0,MIN(1,Y$6*1-Inputs!$B$66+1))/1</f>
        <v>1</v>
      </c>
      <c r="Z114" s="118" t="n">
        <f aca="false">Inputs!$B$63*(1+Inputs!$B$65)^(Z$7-1)*MAX(0,MIN(1,Z$6*1-Inputs!$B$66+1))/1</f>
        <v>1</v>
      </c>
      <c r="AA114" s="118" t="n">
        <f aca="false">Inputs!$B$63*(1+Inputs!$B$65)^(AA$7-1)*MAX(0,MIN(1,AA$6*1-Inputs!$B$66+1))/1</f>
        <v>1</v>
      </c>
      <c r="AB114" s="118" t="n">
        <f aca="false">Inputs!$B$63*(1+Inputs!$B$65)^(AB$7-1)*MAX(0,MIN(1,AB$6*1-Inputs!$B$66+1))/1</f>
        <v>1</v>
      </c>
      <c r="AC114" s="118" t="n">
        <f aca="false">Inputs!$B$63*(1+Inputs!$B$65)^(AC$7-1)*MAX(0,MIN(1,AC$6*1-Inputs!$B$66+1))/1</f>
        <v>1</v>
      </c>
      <c r="AD114" s="118" t="n">
        <f aca="false">Inputs!$B$63*(1+Inputs!$B$65)^(AD$7-1)*MAX(0,MIN(1,AD$6*1-Inputs!$B$66+1))/1</f>
        <v>1</v>
      </c>
      <c r="AE114" s="118" t="n">
        <f aca="false">Inputs!$B$63*(1+Inputs!$B$65)^(AE$7-1)*MAX(0,MIN(1,AE$6*1-Inputs!$B$66+1))/1</f>
        <v>1</v>
      </c>
      <c r="AF114" s="118" t="n">
        <f aca="false">Inputs!$B$63*(1+Inputs!$B$65)^(AF$7-1)*MAX(0,MIN(1,AF$6*1-Inputs!$B$66+1))/1</f>
        <v>1</v>
      </c>
      <c r="AG114" s="118" t="n">
        <f aca="false">Inputs!$B$63*(1+Inputs!$B$65)^(AG$7-1)*MAX(0,MIN(1,AG$6*1-Inputs!$B$66+1))/1</f>
        <v>1</v>
      </c>
      <c r="AH114" s="118" t="n">
        <f aca="false">Inputs!$B$63*(1+Inputs!$B$65)^(AH$7-1)*MAX(0,MIN(1,AH$6*1-Inputs!$B$66+1))/1</f>
        <v>1</v>
      </c>
      <c r="AI114" s="118" t="n">
        <f aca="false">Inputs!$B$63*(1+Inputs!$B$65)^(AI$7-1)*MAX(0,MIN(1,AI$6*1-Inputs!$B$66+1))/1</f>
        <v>1</v>
      </c>
      <c r="AJ114" s="118" t="n">
        <f aca="false">Inputs!$B$63*(1+Inputs!$B$65)^(AJ$7-1)*MAX(0,MIN(1,AJ$6*1-Inputs!$B$66+1))/1</f>
        <v>1</v>
      </c>
      <c r="AK114" s="118" t="n">
        <f aca="false">Inputs!$B$63*(1+Inputs!$B$65)^(AK$7-1)*MAX(0,MIN(1,AK$6*1-Inputs!$B$66+1))/1</f>
        <v>1</v>
      </c>
      <c r="AL114" s="118" t="n">
        <f aca="false">Inputs!$B$63*(1+Inputs!$B$65)^(AL$7-1)*MAX(0,MIN(1,AL$6*1-Inputs!$B$66+1))/1</f>
        <v>1</v>
      </c>
      <c r="AM114" s="118" t="n">
        <f aca="false">Inputs!$B$63*(1+Inputs!$B$65)^(AM$7-1)*MAX(0,MIN(1,AM$6*1-Inputs!$B$66+1))/1</f>
        <v>1</v>
      </c>
      <c r="AN114" s="118" t="n">
        <f aca="false">Inputs!$B$63*(1+Inputs!$B$65)^(AN$7-1)*MAX(0,MIN(1,AN$6*1-Inputs!$B$66+1))/1</f>
        <v>1</v>
      </c>
      <c r="AO114" s="118" t="n">
        <f aca="false">Inputs!$B$63*(1+Inputs!$B$65)^(AO$7-1)*MAX(0,MIN(1,AO$6*1-Inputs!$B$66+1))/1</f>
        <v>1</v>
      </c>
      <c r="AP114" s="118" t="n">
        <f aca="false">Inputs!$B$63*(1+Inputs!$B$65)^(AP$7-1)*MAX(0,MIN(1,AP$6*1-Inputs!$B$66+1))/1</f>
        <v>1</v>
      </c>
      <c r="AQ114" s="118" t="n">
        <f aca="false">Inputs!$B$63*(1+Inputs!$B$65)^(AQ$7-1)*MAX(0,MIN(1,AQ$6*1-Inputs!$B$66+1))/1</f>
        <v>1</v>
      </c>
      <c r="AR114" s="118" t="n">
        <f aca="false">Inputs!$B$63*(1+Inputs!$B$65)^(AR$7-1)*MAX(0,MIN(1,AR$6*1-Inputs!$B$66+1))/1</f>
        <v>1</v>
      </c>
      <c r="AS114" s="118" t="n">
        <f aca="false">Inputs!$B$63*(1+Inputs!$B$65)^(AS$7-1)*MAX(0,MIN(1,AS$6*1-Inputs!$B$66+1))/1</f>
        <v>1</v>
      </c>
      <c r="AT114" s="118" t="n">
        <f aca="false">Inputs!$B$63*(1+Inputs!$B$65)^(AT$7-1)*MAX(0,MIN(1,AT$6*1-Inputs!$B$66+1))/1</f>
        <v>1</v>
      </c>
      <c r="AU114" s="118" t="n">
        <f aca="false">Inputs!$B$63*(1+Inputs!$B$65)^(AU$7-1)*MAX(0,MIN(1,AU$6*1-Inputs!$B$66+1))/1</f>
        <v>1</v>
      </c>
      <c r="AV114" s="118" t="n">
        <f aca="false">Inputs!$B$63*(1+Inputs!$B$65)^(AV$7-1)*MAX(0,MIN(1,AV$6*1-Inputs!$B$66+1))/1</f>
        <v>1</v>
      </c>
      <c r="AW114" s="118" t="n">
        <f aca="false">Inputs!$B$63*(1+Inputs!$B$65)^(AW$7-1)*MAX(0,MIN(1,AW$6*1-Inputs!$B$66+1))/1</f>
        <v>1</v>
      </c>
      <c r="AX114" s="118" t="n">
        <f aca="false">Inputs!$B$63*(1+Inputs!$B$65)^(AX$7-1)*MAX(0,MIN(1,AX$6*1-Inputs!$B$66+1))/1</f>
        <v>1</v>
      </c>
      <c r="AY114" s="118" t="n">
        <f aca="false">Inputs!$B$63*(1+Inputs!$B$65)^(AY$7-1)*MAX(0,MIN(1,AY$6*1-Inputs!$B$66+1))/1</f>
        <v>1</v>
      </c>
      <c r="AZ114" s="118" t="n">
        <f aca="false">Inputs!$B$63*(1+Inputs!$B$65)^(AZ$7-1)*MAX(0,MIN(1,AZ$6*1-Inputs!$B$66+1))/1</f>
        <v>1</v>
      </c>
      <c r="BA114" s="118" t="n">
        <f aca="false">Inputs!$B$63*(1+Inputs!$B$65)^(BA$7-1)*MAX(0,MIN(1,BA$6*1-Inputs!$B$66+1))/1</f>
        <v>1</v>
      </c>
      <c r="BB114" s="118" t="n">
        <f aca="false">Inputs!$B$63*(1+Inputs!$B$65)^(BB$7-1)*MAX(0,MIN(1,BB$6*1-Inputs!$B$66+1))/1</f>
        <v>1</v>
      </c>
      <c r="BC114" s="118" t="n">
        <f aca="false">Inputs!$B$63*(1+Inputs!$B$65)^(BC$7-1)*MAX(0,MIN(1,BC$6*1-Inputs!$B$66+1))/1</f>
        <v>1</v>
      </c>
      <c r="BD114" s="118" t="n">
        <f aca="false">Inputs!$B$63*(1+Inputs!$B$65)^(BD$7-1)*MAX(0,MIN(1,BD$6*1-Inputs!$B$66+1))/1</f>
        <v>1</v>
      </c>
      <c r="BE114" s="118" t="n">
        <f aca="false">Inputs!$B$63*(1+Inputs!$B$65)^(BE$7-1)*MAX(0,MIN(1,BE$6*1-Inputs!$B$66+1))/1</f>
        <v>1</v>
      </c>
      <c r="BF114" s="118" t="n">
        <f aca="false">Inputs!$B$63*(1+Inputs!$B$65)^(BF$7-1)*MAX(0,MIN(1,BF$6*1-Inputs!$B$66+1))/1</f>
        <v>1</v>
      </c>
      <c r="BG114" s="118" t="n">
        <f aca="false">Inputs!$B$63*(1+Inputs!$B$65)^(BG$7-1)*MAX(0,MIN(1,BG$6*1-Inputs!$B$66+1))/1</f>
        <v>1</v>
      </c>
      <c r="BH114" s="118" t="n">
        <f aca="false">Inputs!$B$63*(1+Inputs!$B$65)^(BH$7-1)*MAX(0,MIN(1,BH$6*1-Inputs!$B$66+1))/1</f>
        <v>1</v>
      </c>
      <c r="BI114" s="118" t="n">
        <f aca="false">Inputs!$B$63*(1+Inputs!$B$65)^(BI$7-1)*MAX(0,MIN(1,BI$6*1-Inputs!$B$66+1))/1</f>
        <v>1</v>
      </c>
      <c r="BJ114" s="118" t="n">
        <f aca="false">Inputs!$B$63*(1+Inputs!$B$65)^(BJ$7-1)*MAX(0,MIN(1,BJ$6*1-Inputs!$B$66+1))/1</f>
        <v>1</v>
      </c>
    </row>
    <row r="115" customFormat="false" ht="15" hidden="false" customHeight="false" outlineLevel="0" collapsed="false">
      <c r="A115" s="113" t="s">
        <v>460</v>
      </c>
      <c r="C115" s="122" t="n">
        <f aca="false">C112+C113+C114</f>
        <v>3.2</v>
      </c>
      <c r="D115" s="122" t="n">
        <f aca="false">D112+D113+D114</f>
        <v>3.2</v>
      </c>
      <c r="E115" s="122" t="n">
        <f aca="false">E112+E113+E114</f>
        <v>3.2</v>
      </c>
      <c r="F115" s="122" t="n">
        <f aca="false">F112+F113+F114</f>
        <v>3.2</v>
      </c>
      <c r="G115" s="122" t="n">
        <f aca="false">G112+G113+G114</f>
        <v>3.2</v>
      </c>
      <c r="H115" s="122" t="n">
        <f aca="false">H112+H113+H114</f>
        <v>3.2</v>
      </c>
      <c r="I115" s="122" t="n">
        <f aca="false">I112+I113+I114</f>
        <v>3.2</v>
      </c>
      <c r="J115" s="122" t="n">
        <f aca="false">J112+J113+J114</f>
        <v>3.2</v>
      </c>
      <c r="K115" s="122" t="n">
        <f aca="false">K112+K113+K114</f>
        <v>3.2</v>
      </c>
      <c r="L115" s="122" t="n">
        <f aca="false">L112+L113+L114</f>
        <v>3.2</v>
      </c>
      <c r="M115" s="122" t="n">
        <f aca="false">M112+M113+M114</f>
        <v>3.2</v>
      </c>
      <c r="N115" s="122" t="n">
        <f aca="false">N112+N113+N114</f>
        <v>3.2</v>
      </c>
      <c r="O115" s="122" t="n">
        <f aca="false">O112+O113+O114</f>
        <v>3.2</v>
      </c>
      <c r="P115" s="122" t="n">
        <f aca="false">P112+P113+P114</f>
        <v>3.2</v>
      </c>
      <c r="Q115" s="122" t="n">
        <f aca="false">Q112+Q113+Q114</f>
        <v>3.2</v>
      </c>
      <c r="R115" s="122" t="n">
        <f aca="false">R112+R113+R114</f>
        <v>3.2</v>
      </c>
      <c r="S115" s="122" t="n">
        <f aca="false">S112+S113+S114</f>
        <v>3.2</v>
      </c>
      <c r="T115" s="122" t="n">
        <f aca="false">T112+T113+T114</f>
        <v>3.2</v>
      </c>
      <c r="U115" s="122" t="n">
        <f aca="false">U112+U113+U114</f>
        <v>3.2</v>
      </c>
      <c r="V115" s="122" t="n">
        <f aca="false">V112+V113+V114</f>
        <v>3.2</v>
      </c>
      <c r="W115" s="122" t="n">
        <f aca="false">W112+W113+W114</f>
        <v>3.2</v>
      </c>
      <c r="X115" s="122" t="n">
        <f aca="false">X112+X113+X114</f>
        <v>3.2</v>
      </c>
      <c r="Y115" s="122" t="n">
        <f aca="false">Y112+Y113+Y114</f>
        <v>3.2</v>
      </c>
      <c r="Z115" s="122" t="n">
        <f aca="false">Z112+Z113+Z114</f>
        <v>3.2</v>
      </c>
      <c r="AA115" s="122" t="n">
        <f aca="false">AA112+AA113+AA114</f>
        <v>3.2</v>
      </c>
      <c r="AB115" s="122" t="n">
        <f aca="false">AB112+AB113+AB114</f>
        <v>3.2</v>
      </c>
      <c r="AC115" s="122" t="n">
        <f aca="false">AC112+AC113+AC114</f>
        <v>3.2</v>
      </c>
      <c r="AD115" s="122" t="n">
        <f aca="false">AD112+AD113+AD114</f>
        <v>3.2</v>
      </c>
      <c r="AE115" s="122" t="n">
        <f aca="false">AE112+AE113+AE114</f>
        <v>3.2</v>
      </c>
      <c r="AF115" s="122" t="n">
        <f aca="false">AF112+AF113+AF114</f>
        <v>3.2</v>
      </c>
      <c r="AG115" s="122" t="n">
        <f aca="false">AG112+AG113+AG114</f>
        <v>3.2</v>
      </c>
      <c r="AH115" s="122" t="n">
        <f aca="false">AH112+AH113+AH114</f>
        <v>3.2</v>
      </c>
      <c r="AI115" s="122" t="n">
        <f aca="false">AI112+AI113+AI114</f>
        <v>3.2</v>
      </c>
      <c r="AJ115" s="122" t="n">
        <f aca="false">AJ112+AJ113+AJ114</f>
        <v>3.2</v>
      </c>
      <c r="AK115" s="122" t="n">
        <f aca="false">AK112+AK113+AK114</f>
        <v>3.2</v>
      </c>
      <c r="AL115" s="122" t="n">
        <f aca="false">AL112+AL113+AL114</f>
        <v>3.2</v>
      </c>
      <c r="AM115" s="122" t="n">
        <f aca="false">AM112+AM113+AM114</f>
        <v>3.2</v>
      </c>
      <c r="AN115" s="122" t="n">
        <f aca="false">AN112+AN113+AN114</f>
        <v>3.2</v>
      </c>
      <c r="AO115" s="122" t="n">
        <f aca="false">AO112+AO113+AO114</f>
        <v>3.2</v>
      </c>
      <c r="AP115" s="122" t="n">
        <f aca="false">AP112+AP113+AP114</f>
        <v>3.2</v>
      </c>
      <c r="AQ115" s="122" t="n">
        <f aca="false">AQ112+AQ113+AQ114</f>
        <v>3.2</v>
      </c>
      <c r="AR115" s="122" t="n">
        <f aca="false">AR112+AR113+AR114</f>
        <v>3.2</v>
      </c>
      <c r="AS115" s="122" t="n">
        <f aca="false">AS112+AS113+AS114</f>
        <v>3.2</v>
      </c>
      <c r="AT115" s="122" t="n">
        <f aca="false">AT112+AT113+AT114</f>
        <v>3.2</v>
      </c>
      <c r="AU115" s="122" t="n">
        <f aca="false">AU112+AU113+AU114</f>
        <v>3.2</v>
      </c>
      <c r="AV115" s="122" t="n">
        <f aca="false">AV112+AV113+AV114</f>
        <v>3.2</v>
      </c>
      <c r="AW115" s="122" t="n">
        <f aca="false">AW112+AW113+AW114</f>
        <v>3.2</v>
      </c>
      <c r="AX115" s="122" t="n">
        <f aca="false">AX112+AX113+AX114</f>
        <v>3.2</v>
      </c>
      <c r="AY115" s="122" t="n">
        <f aca="false">AY112+AY113+AY114</f>
        <v>3.2</v>
      </c>
      <c r="AZ115" s="122" t="n">
        <f aca="false">AZ112+AZ113+AZ114</f>
        <v>3.2</v>
      </c>
      <c r="BA115" s="122" t="n">
        <f aca="false">BA112+BA113+BA114</f>
        <v>3.2</v>
      </c>
      <c r="BB115" s="122" t="n">
        <f aca="false">BB112+BB113+BB114</f>
        <v>3.2</v>
      </c>
      <c r="BC115" s="122" t="n">
        <f aca="false">BC112+BC113+BC114</f>
        <v>3.2</v>
      </c>
      <c r="BD115" s="122" t="n">
        <f aca="false">BD112+BD113+BD114</f>
        <v>3.2</v>
      </c>
      <c r="BE115" s="122" t="n">
        <f aca="false">BE112+BE113+BE114</f>
        <v>3.2</v>
      </c>
      <c r="BF115" s="122" t="n">
        <f aca="false">BF112+BF113+BF114</f>
        <v>3.2</v>
      </c>
      <c r="BG115" s="122" t="n">
        <f aca="false">BG112+BG113+BG114</f>
        <v>3.2</v>
      </c>
      <c r="BH115" s="122" t="n">
        <f aca="false">BH112+BH113+BH114</f>
        <v>3.2</v>
      </c>
      <c r="BI115" s="122" t="n">
        <f aca="false">BI112+BI113+BI114</f>
        <v>3.2</v>
      </c>
      <c r="BJ115" s="122" t="n">
        <f aca="false">BJ112+BJ113+BJ114</f>
        <v>3.2</v>
      </c>
    </row>
    <row r="117" customFormat="false" ht="15.75" hidden="false" customHeight="true" outlineLevel="0" collapsed="false">
      <c r="A117" s="7" t="s">
        <v>461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</row>
    <row r="118" customFormat="false" ht="15" hidden="false" customHeight="false" outlineLevel="0" collapsed="false">
      <c r="A118" s="6" t="s">
        <v>462</v>
      </c>
      <c r="C118" s="67" t="n">
        <f aca="false">-C112*Inputs!$B$56/12*1*(1+Inputs!$B$67)*(1+Inputs!$B$68)^(C$7-1)</f>
        <v>-3360</v>
      </c>
      <c r="D118" s="67" t="n">
        <f aca="false">-D112*Inputs!$B$56/12*1*(1+Inputs!$B$67)*(1+Inputs!$B$68)^(D$7-1)</f>
        <v>-3360</v>
      </c>
      <c r="E118" s="67" t="n">
        <f aca="false">-E112*Inputs!$B$56/12*1*(1+Inputs!$B$67)*(1+Inputs!$B$68)^(E$7-1)</f>
        <v>-3360</v>
      </c>
      <c r="F118" s="67" t="n">
        <f aca="false">-F112*Inputs!$B$56/12*1*(1+Inputs!$B$67)*(1+Inputs!$B$68)^(F$7-1)</f>
        <v>-3360</v>
      </c>
      <c r="G118" s="67" t="n">
        <f aca="false">-G112*Inputs!$B$56/12*1*(1+Inputs!$B$67)*(1+Inputs!$B$68)^(G$7-1)</f>
        <v>-3360</v>
      </c>
      <c r="H118" s="67" t="n">
        <f aca="false">-H112*Inputs!$B$56/12*1*(1+Inputs!$B$67)*(1+Inputs!$B$68)^(H$7-1)</f>
        <v>-3360</v>
      </c>
      <c r="I118" s="67" t="n">
        <f aca="false">-I112*Inputs!$B$56/12*1*(1+Inputs!$B$67)*(1+Inputs!$B$68)^(I$7-1)</f>
        <v>-3360</v>
      </c>
      <c r="J118" s="67" t="n">
        <f aca="false">-J112*Inputs!$B$56/12*1*(1+Inputs!$B$67)*(1+Inputs!$B$68)^(J$7-1)</f>
        <v>-3360</v>
      </c>
      <c r="K118" s="67" t="n">
        <f aca="false">-K112*Inputs!$B$56/12*1*(1+Inputs!$B$67)*(1+Inputs!$B$68)^(K$7-1)</f>
        <v>-3360</v>
      </c>
      <c r="L118" s="67" t="n">
        <f aca="false">-L112*Inputs!$B$56/12*1*(1+Inputs!$B$67)*(1+Inputs!$B$68)^(L$7-1)</f>
        <v>-3360</v>
      </c>
      <c r="M118" s="67" t="n">
        <f aca="false">-M112*Inputs!$B$56/12*1*(1+Inputs!$B$67)*(1+Inputs!$B$68)^(M$7-1)</f>
        <v>-3360</v>
      </c>
      <c r="N118" s="67" t="n">
        <f aca="false">-N112*Inputs!$B$56/12*1*(1+Inputs!$B$67)*(1+Inputs!$B$68)^(N$7-1)</f>
        <v>-3360</v>
      </c>
      <c r="O118" s="67" t="n">
        <f aca="false">-O112*Inputs!$B$56/12*1*(1+Inputs!$B$67)*(1+Inputs!$B$68)^(O$7-1)</f>
        <v>-3460.8</v>
      </c>
      <c r="P118" s="67" t="n">
        <f aca="false">-P112*Inputs!$B$56/12*1*(1+Inputs!$B$67)*(1+Inputs!$B$68)^(P$7-1)</f>
        <v>-3460.8</v>
      </c>
      <c r="Q118" s="67" t="n">
        <f aca="false">-Q112*Inputs!$B$56/12*1*(1+Inputs!$B$67)*(1+Inputs!$B$68)^(Q$7-1)</f>
        <v>-3460.8</v>
      </c>
      <c r="R118" s="67" t="n">
        <f aca="false">-R112*Inputs!$B$56/12*1*(1+Inputs!$B$67)*(1+Inputs!$B$68)^(R$7-1)</f>
        <v>-3460.8</v>
      </c>
      <c r="S118" s="67" t="n">
        <f aca="false">-S112*Inputs!$B$56/12*1*(1+Inputs!$B$67)*(1+Inputs!$B$68)^(S$7-1)</f>
        <v>-3460.8</v>
      </c>
      <c r="T118" s="67" t="n">
        <f aca="false">-T112*Inputs!$B$56/12*1*(1+Inputs!$B$67)*(1+Inputs!$B$68)^(T$7-1)</f>
        <v>-3460.8</v>
      </c>
      <c r="U118" s="67" t="n">
        <f aca="false">-U112*Inputs!$B$56/12*1*(1+Inputs!$B$67)*(1+Inputs!$B$68)^(U$7-1)</f>
        <v>-3460.8</v>
      </c>
      <c r="V118" s="67" t="n">
        <f aca="false">-V112*Inputs!$B$56/12*1*(1+Inputs!$B$67)*(1+Inputs!$B$68)^(V$7-1)</f>
        <v>-3460.8</v>
      </c>
      <c r="W118" s="67" t="n">
        <f aca="false">-W112*Inputs!$B$56/12*1*(1+Inputs!$B$67)*(1+Inputs!$B$68)^(W$7-1)</f>
        <v>-3460.8</v>
      </c>
      <c r="X118" s="67" t="n">
        <f aca="false">-X112*Inputs!$B$56/12*1*(1+Inputs!$B$67)*(1+Inputs!$B$68)^(X$7-1)</f>
        <v>-3460.8</v>
      </c>
      <c r="Y118" s="67" t="n">
        <f aca="false">-Y112*Inputs!$B$56/12*1*(1+Inputs!$B$67)*(1+Inputs!$B$68)^(Y$7-1)</f>
        <v>-3460.8</v>
      </c>
      <c r="Z118" s="67" t="n">
        <f aca="false">-Z112*Inputs!$B$56/12*1*(1+Inputs!$B$67)*(1+Inputs!$B$68)^(Z$7-1)</f>
        <v>-3460.8</v>
      </c>
      <c r="AA118" s="67" t="n">
        <f aca="false">-AA112*Inputs!$B$56/12*1*(1+Inputs!$B$67)*(1+Inputs!$B$68)^(AA$7-1)</f>
        <v>-3564.624</v>
      </c>
      <c r="AB118" s="67" t="n">
        <f aca="false">-AB112*Inputs!$B$56/12*1*(1+Inputs!$B$67)*(1+Inputs!$B$68)^(AB$7-1)</f>
        <v>-3564.624</v>
      </c>
      <c r="AC118" s="67" t="n">
        <f aca="false">-AC112*Inputs!$B$56/12*1*(1+Inputs!$B$67)*(1+Inputs!$B$68)^(AC$7-1)</f>
        <v>-3564.624</v>
      </c>
      <c r="AD118" s="67" t="n">
        <f aca="false">-AD112*Inputs!$B$56/12*1*(1+Inputs!$B$67)*(1+Inputs!$B$68)^(AD$7-1)</f>
        <v>-3564.624</v>
      </c>
      <c r="AE118" s="67" t="n">
        <f aca="false">-AE112*Inputs!$B$56/12*1*(1+Inputs!$B$67)*(1+Inputs!$B$68)^(AE$7-1)</f>
        <v>-3564.624</v>
      </c>
      <c r="AF118" s="67" t="n">
        <f aca="false">-AF112*Inputs!$B$56/12*1*(1+Inputs!$B$67)*(1+Inputs!$B$68)^(AF$7-1)</f>
        <v>-3564.624</v>
      </c>
      <c r="AG118" s="67" t="n">
        <f aca="false">-AG112*Inputs!$B$56/12*1*(1+Inputs!$B$67)*(1+Inputs!$B$68)^(AG$7-1)</f>
        <v>-3564.624</v>
      </c>
      <c r="AH118" s="67" t="n">
        <f aca="false">-AH112*Inputs!$B$56/12*1*(1+Inputs!$B$67)*(1+Inputs!$B$68)^(AH$7-1)</f>
        <v>-3564.624</v>
      </c>
      <c r="AI118" s="67" t="n">
        <f aca="false">-AI112*Inputs!$B$56/12*1*(1+Inputs!$B$67)*(1+Inputs!$B$68)^(AI$7-1)</f>
        <v>-3564.624</v>
      </c>
      <c r="AJ118" s="67" t="n">
        <f aca="false">-AJ112*Inputs!$B$56/12*1*(1+Inputs!$B$67)*(1+Inputs!$B$68)^(AJ$7-1)</f>
        <v>-3564.624</v>
      </c>
      <c r="AK118" s="67" t="n">
        <f aca="false">-AK112*Inputs!$B$56/12*1*(1+Inputs!$B$67)*(1+Inputs!$B$68)^(AK$7-1)</f>
        <v>-3564.624</v>
      </c>
      <c r="AL118" s="67" t="n">
        <f aca="false">-AL112*Inputs!$B$56/12*1*(1+Inputs!$B$67)*(1+Inputs!$B$68)^(AL$7-1)</f>
        <v>-3564.624</v>
      </c>
      <c r="AM118" s="67" t="n">
        <f aca="false">-AM112*Inputs!$B$56/12*1*(1+Inputs!$B$67)*(1+Inputs!$B$68)^(AM$7-1)</f>
        <v>-3671.56272</v>
      </c>
      <c r="AN118" s="67" t="n">
        <f aca="false">-AN112*Inputs!$B$56/12*1*(1+Inputs!$B$67)*(1+Inputs!$B$68)^(AN$7-1)</f>
        <v>-3671.56272</v>
      </c>
      <c r="AO118" s="67" t="n">
        <f aca="false">-AO112*Inputs!$B$56/12*1*(1+Inputs!$B$67)*(1+Inputs!$B$68)^(AO$7-1)</f>
        <v>-3671.56272</v>
      </c>
      <c r="AP118" s="67" t="n">
        <f aca="false">-AP112*Inputs!$B$56/12*1*(1+Inputs!$B$67)*(1+Inputs!$B$68)^(AP$7-1)</f>
        <v>-3671.56272</v>
      </c>
      <c r="AQ118" s="67" t="n">
        <f aca="false">-AQ112*Inputs!$B$56/12*1*(1+Inputs!$B$67)*(1+Inputs!$B$68)^(AQ$7-1)</f>
        <v>-3671.56272</v>
      </c>
      <c r="AR118" s="67" t="n">
        <f aca="false">-AR112*Inputs!$B$56/12*1*(1+Inputs!$B$67)*(1+Inputs!$B$68)^(AR$7-1)</f>
        <v>-3671.56272</v>
      </c>
      <c r="AS118" s="67" t="n">
        <f aca="false">-AS112*Inputs!$B$56/12*1*(1+Inputs!$B$67)*(1+Inputs!$B$68)^(AS$7-1)</f>
        <v>-3671.56272</v>
      </c>
      <c r="AT118" s="67" t="n">
        <f aca="false">-AT112*Inputs!$B$56/12*1*(1+Inputs!$B$67)*(1+Inputs!$B$68)^(AT$7-1)</f>
        <v>-3671.56272</v>
      </c>
      <c r="AU118" s="67" t="n">
        <f aca="false">-AU112*Inputs!$B$56/12*1*(1+Inputs!$B$67)*(1+Inputs!$B$68)^(AU$7-1)</f>
        <v>-3671.56272</v>
      </c>
      <c r="AV118" s="67" t="n">
        <f aca="false">-AV112*Inputs!$B$56/12*1*(1+Inputs!$B$67)*(1+Inputs!$B$68)^(AV$7-1)</f>
        <v>-3671.56272</v>
      </c>
      <c r="AW118" s="67" t="n">
        <f aca="false">-AW112*Inputs!$B$56/12*1*(1+Inputs!$B$67)*(1+Inputs!$B$68)^(AW$7-1)</f>
        <v>-3671.56272</v>
      </c>
      <c r="AX118" s="67" t="n">
        <f aca="false">-AX112*Inputs!$B$56/12*1*(1+Inputs!$B$67)*(1+Inputs!$B$68)^(AX$7-1)</f>
        <v>-3671.56272</v>
      </c>
      <c r="AY118" s="67" t="n">
        <f aca="false">-AY112*Inputs!$B$56/12*1*(1+Inputs!$B$67)*(1+Inputs!$B$68)^(AY$7-1)</f>
        <v>-3781.7096016</v>
      </c>
      <c r="AZ118" s="67" t="n">
        <f aca="false">-AZ112*Inputs!$B$56/12*1*(1+Inputs!$B$67)*(1+Inputs!$B$68)^(AZ$7-1)</f>
        <v>-3781.7096016</v>
      </c>
      <c r="BA118" s="67" t="n">
        <f aca="false">-BA112*Inputs!$B$56/12*1*(1+Inputs!$B$67)*(1+Inputs!$B$68)^(BA$7-1)</f>
        <v>-3781.7096016</v>
      </c>
      <c r="BB118" s="67" t="n">
        <f aca="false">-BB112*Inputs!$B$56/12*1*(1+Inputs!$B$67)*(1+Inputs!$B$68)^(BB$7-1)</f>
        <v>-3781.7096016</v>
      </c>
      <c r="BC118" s="67" t="n">
        <f aca="false">-BC112*Inputs!$B$56/12*1*(1+Inputs!$B$67)*(1+Inputs!$B$68)^(BC$7-1)</f>
        <v>-3781.7096016</v>
      </c>
      <c r="BD118" s="67" t="n">
        <f aca="false">-BD112*Inputs!$B$56/12*1*(1+Inputs!$B$67)*(1+Inputs!$B$68)^(BD$7-1)</f>
        <v>-3781.7096016</v>
      </c>
      <c r="BE118" s="67" t="n">
        <f aca="false">-BE112*Inputs!$B$56/12*1*(1+Inputs!$B$67)*(1+Inputs!$B$68)^(BE$7-1)</f>
        <v>-3781.7096016</v>
      </c>
      <c r="BF118" s="67" t="n">
        <f aca="false">-BF112*Inputs!$B$56/12*1*(1+Inputs!$B$67)*(1+Inputs!$B$68)^(BF$7-1)</f>
        <v>-3781.7096016</v>
      </c>
      <c r="BG118" s="67" t="n">
        <f aca="false">-BG112*Inputs!$B$56/12*1*(1+Inputs!$B$67)*(1+Inputs!$B$68)^(BG$7-1)</f>
        <v>-3781.7096016</v>
      </c>
      <c r="BH118" s="67" t="n">
        <f aca="false">-BH112*Inputs!$B$56/12*1*(1+Inputs!$B$67)*(1+Inputs!$B$68)^(BH$7-1)</f>
        <v>-3781.7096016</v>
      </c>
      <c r="BI118" s="67" t="n">
        <f aca="false">-BI112*Inputs!$B$56/12*1*(1+Inputs!$B$67)*(1+Inputs!$B$68)^(BI$7-1)</f>
        <v>-3781.7096016</v>
      </c>
      <c r="BJ118" s="67" t="n">
        <f aca="false">-BJ112*Inputs!$B$56/12*1*(1+Inputs!$B$67)*(1+Inputs!$B$68)^(BJ$7-1)</f>
        <v>-3781.7096016</v>
      </c>
    </row>
    <row r="119" customFormat="false" ht="15" hidden="false" customHeight="false" outlineLevel="0" collapsed="false">
      <c r="A119" s="6" t="s">
        <v>463</v>
      </c>
      <c r="C119" s="67" t="n">
        <f aca="false">-C113*Inputs!$B$60/12*1*(1+Inputs!$B$67)*(1+Inputs!$B$68)^(C$7-1)</f>
        <v>-3808</v>
      </c>
      <c r="D119" s="67" t="n">
        <f aca="false">-D113*Inputs!$B$60/12*1*(1+Inputs!$B$67)*(1+Inputs!$B$68)^(D$7-1)</f>
        <v>-3808</v>
      </c>
      <c r="E119" s="67" t="n">
        <f aca="false">-E113*Inputs!$B$60/12*1*(1+Inputs!$B$67)*(1+Inputs!$B$68)^(E$7-1)</f>
        <v>-3808</v>
      </c>
      <c r="F119" s="67" t="n">
        <f aca="false">-F113*Inputs!$B$60/12*1*(1+Inputs!$B$67)*(1+Inputs!$B$68)^(F$7-1)</f>
        <v>-3808</v>
      </c>
      <c r="G119" s="67" t="n">
        <f aca="false">-G113*Inputs!$B$60/12*1*(1+Inputs!$B$67)*(1+Inputs!$B$68)^(G$7-1)</f>
        <v>-3808</v>
      </c>
      <c r="H119" s="67" t="n">
        <f aca="false">-H113*Inputs!$B$60/12*1*(1+Inputs!$B$67)*(1+Inputs!$B$68)^(H$7-1)</f>
        <v>-3808</v>
      </c>
      <c r="I119" s="67" t="n">
        <f aca="false">-I113*Inputs!$B$60/12*1*(1+Inputs!$B$67)*(1+Inputs!$B$68)^(I$7-1)</f>
        <v>-3808</v>
      </c>
      <c r="J119" s="67" t="n">
        <f aca="false">-J113*Inputs!$B$60/12*1*(1+Inputs!$B$67)*(1+Inputs!$B$68)^(J$7-1)</f>
        <v>-3808</v>
      </c>
      <c r="K119" s="67" t="n">
        <f aca="false">-K113*Inputs!$B$60/12*1*(1+Inputs!$B$67)*(1+Inputs!$B$68)^(K$7-1)</f>
        <v>-3808</v>
      </c>
      <c r="L119" s="67" t="n">
        <f aca="false">-L113*Inputs!$B$60/12*1*(1+Inputs!$B$67)*(1+Inputs!$B$68)^(L$7-1)</f>
        <v>-3808</v>
      </c>
      <c r="M119" s="67" t="n">
        <f aca="false">-M113*Inputs!$B$60/12*1*(1+Inputs!$B$67)*(1+Inputs!$B$68)^(M$7-1)</f>
        <v>-3808</v>
      </c>
      <c r="N119" s="67" t="n">
        <f aca="false">-N113*Inputs!$B$60/12*1*(1+Inputs!$B$67)*(1+Inputs!$B$68)^(N$7-1)</f>
        <v>-3808</v>
      </c>
      <c r="O119" s="67" t="n">
        <f aca="false">-O113*Inputs!$B$60/12*1*(1+Inputs!$B$67)*(1+Inputs!$B$68)^(O$7-1)</f>
        <v>-3922.24</v>
      </c>
      <c r="P119" s="67" t="n">
        <f aca="false">-P113*Inputs!$B$60/12*1*(1+Inputs!$B$67)*(1+Inputs!$B$68)^(P$7-1)</f>
        <v>-3922.24</v>
      </c>
      <c r="Q119" s="67" t="n">
        <f aca="false">-Q113*Inputs!$B$60/12*1*(1+Inputs!$B$67)*(1+Inputs!$B$68)^(Q$7-1)</f>
        <v>-3922.24</v>
      </c>
      <c r="R119" s="67" t="n">
        <f aca="false">-R113*Inputs!$B$60/12*1*(1+Inputs!$B$67)*(1+Inputs!$B$68)^(R$7-1)</f>
        <v>-3922.24</v>
      </c>
      <c r="S119" s="67" t="n">
        <f aca="false">-S113*Inputs!$B$60/12*1*(1+Inputs!$B$67)*(1+Inputs!$B$68)^(S$7-1)</f>
        <v>-3922.24</v>
      </c>
      <c r="T119" s="67" t="n">
        <f aca="false">-T113*Inputs!$B$60/12*1*(1+Inputs!$B$67)*(1+Inputs!$B$68)^(T$7-1)</f>
        <v>-3922.24</v>
      </c>
      <c r="U119" s="67" t="n">
        <f aca="false">-U113*Inputs!$B$60/12*1*(1+Inputs!$B$67)*(1+Inputs!$B$68)^(U$7-1)</f>
        <v>-3922.24</v>
      </c>
      <c r="V119" s="67" t="n">
        <f aca="false">-V113*Inputs!$B$60/12*1*(1+Inputs!$B$67)*(1+Inputs!$B$68)^(V$7-1)</f>
        <v>-3922.24</v>
      </c>
      <c r="W119" s="67" t="n">
        <f aca="false">-W113*Inputs!$B$60/12*1*(1+Inputs!$B$67)*(1+Inputs!$B$68)^(W$7-1)</f>
        <v>-3922.24</v>
      </c>
      <c r="X119" s="67" t="n">
        <f aca="false">-X113*Inputs!$B$60/12*1*(1+Inputs!$B$67)*(1+Inputs!$B$68)^(X$7-1)</f>
        <v>-3922.24</v>
      </c>
      <c r="Y119" s="67" t="n">
        <f aca="false">-Y113*Inputs!$B$60/12*1*(1+Inputs!$B$67)*(1+Inputs!$B$68)^(Y$7-1)</f>
        <v>-3922.24</v>
      </c>
      <c r="Z119" s="67" t="n">
        <f aca="false">-Z113*Inputs!$B$60/12*1*(1+Inputs!$B$67)*(1+Inputs!$B$68)^(Z$7-1)</f>
        <v>-3922.24</v>
      </c>
      <c r="AA119" s="67" t="n">
        <f aca="false">-AA113*Inputs!$B$60/12*1*(1+Inputs!$B$67)*(1+Inputs!$B$68)^(AA$7-1)</f>
        <v>-4039.9072</v>
      </c>
      <c r="AB119" s="67" t="n">
        <f aca="false">-AB113*Inputs!$B$60/12*1*(1+Inputs!$B$67)*(1+Inputs!$B$68)^(AB$7-1)</f>
        <v>-4039.9072</v>
      </c>
      <c r="AC119" s="67" t="n">
        <f aca="false">-AC113*Inputs!$B$60/12*1*(1+Inputs!$B$67)*(1+Inputs!$B$68)^(AC$7-1)</f>
        <v>-4039.9072</v>
      </c>
      <c r="AD119" s="67" t="n">
        <f aca="false">-AD113*Inputs!$B$60/12*1*(1+Inputs!$B$67)*(1+Inputs!$B$68)^(AD$7-1)</f>
        <v>-4039.9072</v>
      </c>
      <c r="AE119" s="67" t="n">
        <f aca="false">-AE113*Inputs!$B$60/12*1*(1+Inputs!$B$67)*(1+Inputs!$B$68)^(AE$7-1)</f>
        <v>-4039.9072</v>
      </c>
      <c r="AF119" s="67" t="n">
        <f aca="false">-AF113*Inputs!$B$60/12*1*(1+Inputs!$B$67)*(1+Inputs!$B$68)^(AF$7-1)</f>
        <v>-4039.9072</v>
      </c>
      <c r="AG119" s="67" t="n">
        <f aca="false">-AG113*Inputs!$B$60/12*1*(1+Inputs!$B$67)*(1+Inputs!$B$68)^(AG$7-1)</f>
        <v>-4039.9072</v>
      </c>
      <c r="AH119" s="67" t="n">
        <f aca="false">-AH113*Inputs!$B$60/12*1*(1+Inputs!$B$67)*(1+Inputs!$B$68)^(AH$7-1)</f>
        <v>-4039.9072</v>
      </c>
      <c r="AI119" s="67" t="n">
        <f aca="false">-AI113*Inputs!$B$60/12*1*(1+Inputs!$B$67)*(1+Inputs!$B$68)^(AI$7-1)</f>
        <v>-4039.9072</v>
      </c>
      <c r="AJ119" s="67" t="n">
        <f aca="false">-AJ113*Inputs!$B$60/12*1*(1+Inputs!$B$67)*(1+Inputs!$B$68)^(AJ$7-1)</f>
        <v>-4039.9072</v>
      </c>
      <c r="AK119" s="67" t="n">
        <f aca="false">-AK113*Inputs!$B$60/12*1*(1+Inputs!$B$67)*(1+Inputs!$B$68)^(AK$7-1)</f>
        <v>-4039.9072</v>
      </c>
      <c r="AL119" s="67" t="n">
        <f aca="false">-AL113*Inputs!$B$60/12*1*(1+Inputs!$B$67)*(1+Inputs!$B$68)^(AL$7-1)</f>
        <v>-4039.9072</v>
      </c>
      <c r="AM119" s="67" t="n">
        <f aca="false">-AM113*Inputs!$B$60/12*1*(1+Inputs!$B$67)*(1+Inputs!$B$68)^(AM$7-1)</f>
        <v>-4161.104416</v>
      </c>
      <c r="AN119" s="67" t="n">
        <f aca="false">-AN113*Inputs!$B$60/12*1*(1+Inputs!$B$67)*(1+Inputs!$B$68)^(AN$7-1)</f>
        <v>-4161.104416</v>
      </c>
      <c r="AO119" s="67" t="n">
        <f aca="false">-AO113*Inputs!$B$60/12*1*(1+Inputs!$B$67)*(1+Inputs!$B$68)^(AO$7-1)</f>
        <v>-4161.104416</v>
      </c>
      <c r="AP119" s="67" t="n">
        <f aca="false">-AP113*Inputs!$B$60/12*1*(1+Inputs!$B$67)*(1+Inputs!$B$68)^(AP$7-1)</f>
        <v>-4161.104416</v>
      </c>
      <c r="AQ119" s="67" t="n">
        <f aca="false">-AQ113*Inputs!$B$60/12*1*(1+Inputs!$B$67)*(1+Inputs!$B$68)^(AQ$7-1)</f>
        <v>-4161.104416</v>
      </c>
      <c r="AR119" s="67" t="n">
        <f aca="false">-AR113*Inputs!$B$60/12*1*(1+Inputs!$B$67)*(1+Inputs!$B$68)^(AR$7-1)</f>
        <v>-4161.104416</v>
      </c>
      <c r="AS119" s="67" t="n">
        <f aca="false">-AS113*Inputs!$B$60/12*1*(1+Inputs!$B$67)*(1+Inputs!$B$68)^(AS$7-1)</f>
        <v>-4161.104416</v>
      </c>
      <c r="AT119" s="67" t="n">
        <f aca="false">-AT113*Inputs!$B$60/12*1*(1+Inputs!$B$67)*(1+Inputs!$B$68)^(AT$7-1)</f>
        <v>-4161.104416</v>
      </c>
      <c r="AU119" s="67" t="n">
        <f aca="false">-AU113*Inputs!$B$60/12*1*(1+Inputs!$B$67)*(1+Inputs!$B$68)^(AU$7-1)</f>
        <v>-4161.104416</v>
      </c>
      <c r="AV119" s="67" t="n">
        <f aca="false">-AV113*Inputs!$B$60/12*1*(1+Inputs!$B$67)*(1+Inputs!$B$68)^(AV$7-1)</f>
        <v>-4161.104416</v>
      </c>
      <c r="AW119" s="67" t="n">
        <f aca="false">-AW113*Inputs!$B$60/12*1*(1+Inputs!$B$67)*(1+Inputs!$B$68)^(AW$7-1)</f>
        <v>-4161.104416</v>
      </c>
      <c r="AX119" s="67" t="n">
        <f aca="false">-AX113*Inputs!$B$60/12*1*(1+Inputs!$B$67)*(1+Inputs!$B$68)^(AX$7-1)</f>
        <v>-4161.104416</v>
      </c>
      <c r="AY119" s="67" t="n">
        <f aca="false">-AY113*Inputs!$B$60/12*1*(1+Inputs!$B$67)*(1+Inputs!$B$68)^(AY$7-1)</f>
        <v>-4285.93754848</v>
      </c>
      <c r="AZ119" s="67" t="n">
        <f aca="false">-AZ113*Inputs!$B$60/12*1*(1+Inputs!$B$67)*(1+Inputs!$B$68)^(AZ$7-1)</f>
        <v>-4285.93754848</v>
      </c>
      <c r="BA119" s="67" t="n">
        <f aca="false">-BA113*Inputs!$B$60/12*1*(1+Inputs!$B$67)*(1+Inputs!$B$68)^(BA$7-1)</f>
        <v>-4285.93754848</v>
      </c>
      <c r="BB119" s="67" t="n">
        <f aca="false">-BB113*Inputs!$B$60/12*1*(1+Inputs!$B$67)*(1+Inputs!$B$68)^(BB$7-1)</f>
        <v>-4285.93754848</v>
      </c>
      <c r="BC119" s="67" t="n">
        <f aca="false">-BC113*Inputs!$B$60/12*1*(1+Inputs!$B$67)*(1+Inputs!$B$68)^(BC$7-1)</f>
        <v>-4285.93754848</v>
      </c>
      <c r="BD119" s="67" t="n">
        <f aca="false">-BD113*Inputs!$B$60/12*1*(1+Inputs!$B$67)*(1+Inputs!$B$68)^(BD$7-1)</f>
        <v>-4285.93754848</v>
      </c>
      <c r="BE119" s="67" t="n">
        <f aca="false">-BE113*Inputs!$B$60/12*1*(1+Inputs!$B$67)*(1+Inputs!$B$68)^(BE$7-1)</f>
        <v>-4285.93754848</v>
      </c>
      <c r="BF119" s="67" t="n">
        <f aca="false">-BF113*Inputs!$B$60/12*1*(1+Inputs!$B$67)*(1+Inputs!$B$68)^(BF$7-1)</f>
        <v>-4285.93754848</v>
      </c>
      <c r="BG119" s="67" t="n">
        <f aca="false">-BG113*Inputs!$B$60/12*1*(1+Inputs!$B$67)*(1+Inputs!$B$68)^(BG$7-1)</f>
        <v>-4285.93754848</v>
      </c>
      <c r="BH119" s="67" t="n">
        <f aca="false">-BH113*Inputs!$B$60/12*1*(1+Inputs!$B$67)*(1+Inputs!$B$68)^(BH$7-1)</f>
        <v>-4285.93754848</v>
      </c>
      <c r="BI119" s="67" t="n">
        <f aca="false">-BI113*Inputs!$B$60/12*1*(1+Inputs!$B$67)*(1+Inputs!$B$68)^(BI$7-1)</f>
        <v>-4285.93754848</v>
      </c>
      <c r="BJ119" s="67" t="n">
        <f aca="false">-BJ113*Inputs!$B$60/12*1*(1+Inputs!$B$67)*(1+Inputs!$B$68)^(BJ$7-1)</f>
        <v>-4285.93754848</v>
      </c>
    </row>
    <row r="120" customFormat="false" ht="15" hidden="false" customHeight="false" outlineLevel="0" collapsed="false">
      <c r="A120" s="6" t="s">
        <v>464</v>
      </c>
      <c r="C120" s="67" t="n">
        <f aca="false">-C114*Inputs!$B$64/12*1*(1+Inputs!$B$67)*(1+Inputs!$B$68)^(C$7-1)</f>
        <v>-2706.66666666667</v>
      </c>
      <c r="D120" s="67" t="n">
        <f aca="false">-D114*Inputs!$B$64/12*1*(1+Inputs!$B$67)*(1+Inputs!$B$68)^(D$7-1)</f>
        <v>-2706.66666666667</v>
      </c>
      <c r="E120" s="67" t="n">
        <f aca="false">-E114*Inputs!$B$64/12*1*(1+Inputs!$B$67)*(1+Inputs!$B$68)^(E$7-1)</f>
        <v>-2706.66666666667</v>
      </c>
      <c r="F120" s="67" t="n">
        <f aca="false">-F114*Inputs!$B$64/12*1*(1+Inputs!$B$67)*(1+Inputs!$B$68)^(F$7-1)</f>
        <v>-2706.66666666667</v>
      </c>
      <c r="G120" s="67" t="n">
        <f aca="false">-G114*Inputs!$B$64/12*1*(1+Inputs!$B$67)*(1+Inputs!$B$68)^(G$7-1)</f>
        <v>-2706.66666666667</v>
      </c>
      <c r="H120" s="67" t="n">
        <f aca="false">-H114*Inputs!$B$64/12*1*(1+Inputs!$B$67)*(1+Inputs!$B$68)^(H$7-1)</f>
        <v>-2706.66666666667</v>
      </c>
      <c r="I120" s="67" t="n">
        <f aca="false">-I114*Inputs!$B$64/12*1*(1+Inputs!$B$67)*(1+Inputs!$B$68)^(I$7-1)</f>
        <v>-2706.66666666667</v>
      </c>
      <c r="J120" s="67" t="n">
        <f aca="false">-J114*Inputs!$B$64/12*1*(1+Inputs!$B$67)*(1+Inputs!$B$68)^(J$7-1)</f>
        <v>-2706.66666666667</v>
      </c>
      <c r="K120" s="67" t="n">
        <f aca="false">-K114*Inputs!$B$64/12*1*(1+Inputs!$B$67)*(1+Inputs!$B$68)^(K$7-1)</f>
        <v>-2706.66666666667</v>
      </c>
      <c r="L120" s="67" t="n">
        <f aca="false">-L114*Inputs!$B$64/12*1*(1+Inputs!$B$67)*(1+Inputs!$B$68)^(L$7-1)</f>
        <v>-2706.66666666667</v>
      </c>
      <c r="M120" s="67" t="n">
        <f aca="false">-M114*Inputs!$B$64/12*1*(1+Inputs!$B$67)*(1+Inputs!$B$68)^(M$7-1)</f>
        <v>-2706.66666666667</v>
      </c>
      <c r="N120" s="67" t="n">
        <f aca="false">-N114*Inputs!$B$64/12*1*(1+Inputs!$B$67)*(1+Inputs!$B$68)^(N$7-1)</f>
        <v>-2706.66666666667</v>
      </c>
      <c r="O120" s="67" t="n">
        <f aca="false">-O114*Inputs!$B$64/12*1*(1+Inputs!$B$67)*(1+Inputs!$B$68)^(O$7-1)</f>
        <v>-2787.86666666667</v>
      </c>
      <c r="P120" s="67" t="n">
        <f aca="false">-P114*Inputs!$B$64/12*1*(1+Inputs!$B$67)*(1+Inputs!$B$68)^(P$7-1)</f>
        <v>-2787.86666666667</v>
      </c>
      <c r="Q120" s="67" t="n">
        <f aca="false">-Q114*Inputs!$B$64/12*1*(1+Inputs!$B$67)*(1+Inputs!$B$68)^(Q$7-1)</f>
        <v>-2787.86666666667</v>
      </c>
      <c r="R120" s="67" t="n">
        <f aca="false">-R114*Inputs!$B$64/12*1*(1+Inputs!$B$67)*(1+Inputs!$B$68)^(R$7-1)</f>
        <v>-2787.86666666667</v>
      </c>
      <c r="S120" s="67" t="n">
        <f aca="false">-S114*Inputs!$B$64/12*1*(1+Inputs!$B$67)*(1+Inputs!$B$68)^(S$7-1)</f>
        <v>-2787.86666666667</v>
      </c>
      <c r="T120" s="67" t="n">
        <f aca="false">-T114*Inputs!$B$64/12*1*(1+Inputs!$B$67)*(1+Inputs!$B$68)^(T$7-1)</f>
        <v>-2787.86666666667</v>
      </c>
      <c r="U120" s="67" t="n">
        <f aca="false">-U114*Inputs!$B$64/12*1*(1+Inputs!$B$67)*(1+Inputs!$B$68)^(U$7-1)</f>
        <v>-2787.86666666667</v>
      </c>
      <c r="V120" s="67" t="n">
        <f aca="false">-V114*Inputs!$B$64/12*1*(1+Inputs!$B$67)*(1+Inputs!$B$68)^(V$7-1)</f>
        <v>-2787.86666666667</v>
      </c>
      <c r="W120" s="67" t="n">
        <f aca="false">-W114*Inputs!$B$64/12*1*(1+Inputs!$B$67)*(1+Inputs!$B$68)^(W$7-1)</f>
        <v>-2787.86666666667</v>
      </c>
      <c r="X120" s="67" t="n">
        <f aca="false">-X114*Inputs!$B$64/12*1*(1+Inputs!$B$67)*(1+Inputs!$B$68)^(X$7-1)</f>
        <v>-2787.86666666667</v>
      </c>
      <c r="Y120" s="67" t="n">
        <f aca="false">-Y114*Inputs!$B$64/12*1*(1+Inputs!$B$67)*(1+Inputs!$B$68)^(Y$7-1)</f>
        <v>-2787.86666666667</v>
      </c>
      <c r="Z120" s="67" t="n">
        <f aca="false">-Z114*Inputs!$B$64/12*1*(1+Inputs!$B$67)*(1+Inputs!$B$68)^(Z$7-1)</f>
        <v>-2787.86666666667</v>
      </c>
      <c r="AA120" s="67" t="n">
        <f aca="false">-AA114*Inputs!$B$64/12*1*(1+Inputs!$B$67)*(1+Inputs!$B$68)^(AA$7-1)</f>
        <v>-2871.50266666667</v>
      </c>
      <c r="AB120" s="67" t="n">
        <f aca="false">-AB114*Inputs!$B$64/12*1*(1+Inputs!$B$67)*(1+Inputs!$B$68)^(AB$7-1)</f>
        <v>-2871.50266666667</v>
      </c>
      <c r="AC120" s="67" t="n">
        <f aca="false">-AC114*Inputs!$B$64/12*1*(1+Inputs!$B$67)*(1+Inputs!$B$68)^(AC$7-1)</f>
        <v>-2871.50266666667</v>
      </c>
      <c r="AD120" s="67" t="n">
        <f aca="false">-AD114*Inputs!$B$64/12*1*(1+Inputs!$B$67)*(1+Inputs!$B$68)^(AD$7-1)</f>
        <v>-2871.50266666667</v>
      </c>
      <c r="AE120" s="67" t="n">
        <f aca="false">-AE114*Inputs!$B$64/12*1*(1+Inputs!$B$67)*(1+Inputs!$B$68)^(AE$7-1)</f>
        <v>-2871.50266666667</v>
      </c>
      <c r="AF120" s="67" t="n">
        <f aca="false">-AF114*Inputs!$B$64/12*1*(1+Inputs!$B$67)*(1+Inputs!$B$68)^(AF$7-1)</f>
        <v>-2871.50266666667</v>
      </c>
      <c r="AG120" s="67" t="n">
        <f aca="false">-AG114*Inputs!$B$64/12*1*(1+Inputs!$B$67)*(1+Inputs!$B$68)^(AG$7-1)</f>
        <v>-2871.50266666667</v>
      </c>
      <c r="AH120" s="67" t="n">
        <f aca="false">-AH114*Inputs!$B$64/12*1*(1+Inputs!$B$67)*(1+Inputs!$B$68)^(AH$7-1)</f>
        <v>-2871.50266666667</v>
      </c>
      <c r="AI120" s="67" t="n">
        <f aca="false">-AI114*Inputs!$B$64/12*1*(1+Inputs!$B$67)*(1+Inputs!$B$68)^(AI$7-1)</f>
        <v>-2871.50266666667</v>
      </c>
      <c r="AJ120" s="67" t="n">
        <f aca="false">-AJ114*Inputs!$B$64/12*1*(1+Inputs!$B$67)*(1+Inputs!$B$68)^(AJ$7-1)</f>
        <v>-2871.50266666667</v>
      </c>
      <c r="AK120" s="67" t="n">
        <f aca="false">-AK114*Inputs!$B$64/12*1*(1+Inputs!$B$67)*(1+Inputs!$B$68)^(AK$7-1)</f>
        <v>-2871.50266666667</v>
      </c>
      <c r="AL120" s="67" t="n">
        <f aca="false">-AL114*Inputs!$B$64/12*1*(1+Inputs!$B$67)*(1+Inputs!$B$68)^(AL$7-1)</f>
        <v>-2871.50266666667</v>
      </c>
      <c r="AM120" s="67" t="n">
        <f aca="false">-AM114*Inputs!$B$64/12*1*(1+Inputs!$B$67)*(1+Inputs!$B$68)^(AM$7-1)</f>
        <v>-2957.64774666667</v>
      </c>
      <c r="AN120" s="67" t="n">
        <f aca="false">-AN114*Inputs!$B$64/12*1*(1+Inputs!$B$67)*(1+Inputs!$B$68)^(AN$7-1)</f>
        <v>-2957.64774666667</v>
      </c>
      <c r="AO120" s="67" t="n">
        <f aca="false">-AO114*Inputs!$B$64/12*1*(1+Inputs!$B$67)*(1+Inputs!$B$68)^(AO$7-1)</f>
        <v>-2957.64774666667</v>
      </c>
      <c r="AP120" s="67" t="n">
        <f aca="false">-AP114*Inputs!$B$64/12*1*(1+Inputs!$B$67)*(1+Inputs!$B$68)^(AP$7-1)</f>
        <v>-2957.64774666667</v>
      </c>
      <c r="AQ120" s="67" t="n">
        <f aca="false">-AQ114*Inputs!$B$64/12*1*(1+Inputs!$B$67)*(1+Inputs!$B$68)^(AQ$7-1)</f>
        <v>-2957.64774666667</v>
      </c>
      <c r="AR120" s="67" t="n">
        <f aca="false">-AR114*Inputs!$B$64/12*1*(1+Inputs!$B$67)*(1+Inputs!$B$68)^(AR$7-1)</f>
        <v>-2957.64774666667</v>
      </c>
      <c r="AS120" s="67" t="n">
        <f aca="false">-AS114*Inputs!$B$64/12*1*(1+Inputs!$B$67)*(1+Inputs!$B$68)^(AS$7-1)</f>
        <v>-2957.64774666667</v>
      </c>
      <c r="AT120" s="67" t="n">
        <f aca="false">-AT114*Inputs!$B$64/12*1*(1+Inputs!$B$67)*(1+Inputs!$B$68)^(AT$7-1)</f>
        <v>-2957.64774666667</v>
      </c>
      <c r="AU120" s="67" t="n">
        <f aca="false">-AU114*Inputs!$B$64/12*1*(1+Inputs!$B$67)*(1+Inputs!$B$68)^(AU$7-1)</f>
        <v>-2957.64774666667</v>
      </c>
      <c r="AV120" s="67" t="n">
        <f aca="false">-AV114*Inputs!$B$64/12*1*(1+Inputs!$B$67)*(1+Inputs!$B$68)^(AV$7-1)</f>
        <v>-2957.64774666667</v>
      </c>
      <c r="AW120" s="67" t="n">
        <f aca="false">-AW114*Inputs!$B$64/12*1*(1+Inputs!$B$67)*(1+Inputs!$B$68)^(AW$7-1)</f>
        <v>-2957.64774666667</v>
      </c>
      <c r="AX120" s="67" t="n">
        <f aca="false">-AX114*Inputs!$B$64/12*1*(1+Inputs!$B$67)*(1+Inputs!$B$68)^(AX$7-1)</f>
        <v>-2957.64774666667</v>
      </c>
      <c r="AY120" s="67" t="n">
        <f aca="false">-AY114*Inputs!$B$64/12*1*(1+Inputs!$B$67)*(1+Inputs!$B$68)^(AY$7-1)</f>
        <v>-3046.37717906667</v>
      </c>
      <c r="AZ120" s="67" t="n">
        <f aca="false">-AZ114*Inputs!$B$64/12*1*(1+Inputs!$B$67)*(1+Inputs!$B$68)^(AZ$7-1)</f>
        <v>-3046.37717906667</v>
      </c>
      <c r="BA120" s="67" t="n">
        <f aca="false">-BA114*Inputs!$B$64/12*1*(1+Inputs!$B$67)*(1+Inputs!$B$68)^(BA$7-1)</f>
        <v>-3046.37717906667</v>
      </c>
      <c r="BB120" s="67" t="n">
        <f aca="false">-BB114*Inputs!$B$64/12*1*(1+Inputs!$B$67)*(1+Inputs!$B$68)^(BB$7-1)</f>
        <v>-3046.37717906667</v>
      </c>
      <c r="BC120" s="67" t="n">
        <f aca="false">-BC114*Inputs!$B$64/12*1*(1+Inputs!$B$67)*(1+Inputs!$B$68)^(BC$7-1)</f>
        <v>-3046.37717906667</v>
      </c>
      <c r="BD120" s="67" t="n">
        <f aca="false">-BD114*Inputs!$B$64/12*1*(1+Inputs!$B$67)*(1+Inputs!$B$68)^(BD$7-1)</f>
        <v>-3046.37717906667</v>
      </c>
      <c r="BE120" s="67" t="n">
        <f aca="false">-BE114*Inputs!$B$64/12*1*(1+Inputs!$B$67)*(1+Inputs!$B$68)^(BE$7-1)</f>
        <v>-3046.37717906667</v>
      </c>
      <c r="BF120" s="67" t="n">
        <f aca="false">-BF114*Inputs!$B$64/12*1*(1+Inputs!$B$67)*(1+Inputs!$B$68)^(BF$7-1)</f>
        <v>-3046.37717906667</v>
      </c>
      <c r="BG120" s="67" t="n">
        <f aca="false">-BG114*Inputs!$B$64/12*1*(1+Inputs!$B$67)*(1+Inputs!$B$68)^(BG$7-1)</f>
        <v>-3046.37717906667</v>
      </c>
      <c r="BH120" s="67" t="n">
        <f aca="false">-BH114*Inputs!$B$64/12*1*(1+Inputs!$B$67)*(1+Inputs!$B$68)^(BH$7-1)</f>
        <v>-3046.37717906667</v>
      </c>
      <c r="BI120" s="67" t="n">
        <f aca="false">-BI114*Inputs!$B$64/12*1*(1+Inputs!$B$67)*(1+Inputs!$B$68)^(BI$7-1)</f>
        <v>-3046.37717906667</v>
      </c>
      <c r="BJ120" s="67" t="n">
        <f aca="false">-BJ114*Inputs!$B$64/12*1*(1+Inputs!$B$67)*(1+Inputs!$B$68)^(BJ$7-1)</f>
        <v>-3046.37717906667</v>
      </c>
    </row>
    <row r="121" customFormat="false" ht="15" hidden="false" customHeight="false" outlineLevel="0" collapsed="false">
      <c r="A121" s="113" t="s">
        <v>465</v>
      </c>
      <c r="C121" s="68" t="n">
        <f aca="false">C118+C119+C120</f>
        <v>-9874.66666666667</v>
      </c>
      <c r="D121" s="68" t="n">
        <f aca="false">D118+D119+D120</f>
        <v>-9874.66666666667</v>
      </c>
      <c r="E121" s="68" t="n">
        <f aca="false">E118+E119+E120</f>
        <v>-9874.66666666667</v>
      </c>
      <c r="F121" s="68" t="n">
        <f aca="false">F118+F119+F120</f>
        <v>-9874.66666666667</v>
      </c>
      <c r="G121" s="68" t="n">
        <f aca="false">G118+G119+G120</f>
        <v>-9874.66666666667</v>
      </c>
      <c r="H121" s="68" t="n">
        <f aca="false">H118+H119+H120</f>
        <v>-9874.66666666667</v>
      </c>
      <c r="I121" s="68" t="n">
        <f aca="false">I118+I119+I120</f>
        <v>-9874.66666666667</v>
      </c>
      <c r="J121" s="68" t="n">
        <f aca="false">J118+J119+J120</f>
        <v>-9874.66666666667</v>
      </c>
      <c r="K121" s="68" t="n">
        <f aca="false">K118+K119+K120</f>
        <v>-9874.66666666667</v>
      </c>
      <c r="L121" s="68" t="n">
        <f aca="false">L118+L119+L120</f>
        <v>-9874.66666666667</v>
      </c>
      <c r="M121" s="68" t="n">
        <f aca="false">M118+M119+M120</f>
        <v>-9874.66666666667</v>
      </c>
      <c r="N121" s="68" t="n">
        <f aca="false">N118+N119+N120</f>
        <v>-9874.66666666667</v>
      </c>
      <c r="O121" s="68" t="n">
        <f aca="false">O118+O119+O120</f>
        <v>-10170.9066666667</v>
      </c>
      <c r="P121" s="68" t="n">
        <f aca="false">P118+P119+P120</f>
        <v>-10170.9066666667</v>
      </c>
      <c r="Q121" s="68" t="n">
        <f aca="false">Q118+Q119+Q120</f>
        <v>-10170.9066666667</v>
      </c>
      <c r="R121" s="68" t="n">
        <f aca="false">R118+R119+R120</f>
        <v>-10170.9066666667</v>
      </c>
      <c r="S121" s="68" t="n">
        <f aca="false">S118+S119+S120</f>
        <v>-10170.9066666667</v>
      </c>
      <c r="T121" s="68" t="n">
        <f aca="false">T118+T119+T120</f>
        <v>-10170.9066666667</v>
      </c>
      <c r="U121" s="68" t="n">
        <f aca="false">U118+U119+U120</f>
        <v>-10170.9066666667</v>
      </c>
      <c r="V121" s="68" t="n">
        <f aca="false">V118+V119+V120</f>
        <v>-10170.9066666667</v>
      </c>
      <c r="W121" s="68" t="n">
        <f aca="false">W118+W119+W120</f>
        <v>-10170.9066666667</v>
      </c>
      <c r="X121" s="68" t="n">
        <f aca="false">X118+X119+X120</f>
        <v>-10170.9066666667</v>
      </c>
      <c r="Y121" s="68" t="n">
        <f aca="false">Y118+Y119+Y120</f>
        <v>-10170.9066666667</v>
      </c>
      <c r="Z121" s="68" t="n">
        <f aca="false">Z118+Z119+Z120</f>
        <v>-10170.9066666667</v>
      </c>
      <c r="AA121" s="68" t="n">
        <f aca="false">AA118+AA119+AA120</f>
        <v>-10476.0338666667</v>
      </c>
      <c r="AB121" s="68" t="n">
        <f aca="false">AB118+AB119+AB120</f>
        <v>-10476.0338666667</v>
      </c>
      <c r="AC121" s="68" t="n">
        <f aca="false">AC118+AC119+AC120</f>
        <v>-10476.0338666667</v>
      </c>
      <c r="AD121" s="68" t="n">
        <f aca="false">AD118+AD119+AD120</f>
        <v>-10476.0338666667</v>
      </c>
      <c r="AE121" s="68" t="n">
        <f aca="false">AE118+AE119+AE120</f>
        <v>-10476.0338666667</v>
      </c>
      <c r="AF121" s="68" t="n">
        <f aca="false">AF118+AF119+AF120</f>
        <v>-10476.0338666667</v>
      </c>
      <c r="AG121" s="68" t="n">
        <f aca="false">AG118+AG119+AG120</f>
        <v>-10476.0338666667</v>
      </c>
      <c r="AH121" s="68" t="n">
        <f aca="false">AH118+AH119+AH120</f>
        <v>-10476.0338666667</v>
      </c>
      <c r="AI121" s="68" t="n">
        <f aca="false">AI118+AI119+AI120</f>
        <v>-10476.0338666667</v>
      </c>
      <c r="AJ121" s="68" t="n">
        <f aca="false">AJ118+AJ119+AJ120</f>
        <v>-10476.0338666667</v>
      </c>
      <c r="AK121" s="68" t="n">
        <f aca="false">AK118+AK119+AK120</f>
        <v>-10476.0338666667</v>
      </c>
      <c r="AL121" s="68" t="n">
        <f aca="false">AL118+AL119+AL120</f>
        <v>-10476.0338666667</v>
      </c>
      <c r="AM121" s="68" t="n">
        <f aca="false">AM118+AM119+AM120</f>
        <v>-10790.3148826667</v>
      </c>
      <c r="AN121" s="68" t="n">
        <f aca="false">AN118+AN119+AN120</f>
        <v>-10790.3148826667</v>
      </c>
      <c r="AO121" s="68" t="n">
        <f aca="false">AO118+AO119+AO120</f>
        <v>-10790.3148826667</v>
      </c>
      <c r="AP121" s="68" t="n">
        <f aca="false">AP118+AP119+AP120</f>
        <v>-10790.3148826667</v>
      </c>
      <c r="AQ121" s="68" t="n">
        <f aca="false">AQ118+AQ119+AQ120</f>
        <v>-10790.3148826667</v>
      </c>
      <c r="AR121" s="68" t="n">
        <f aca="false">AR118+AR119+AR120</f>
        <v>-10790.3148826667</v>
      </c>
      <c r="AS121" s="68" t="n">
        <f aca="false">AS118+AS119+AS120</f>
        <v>-10790.3148826667</v>
      </c>
      <c r="AT121" s="68" t="n">
        <f aca="false">AT118+AT119+AT120</f>
        <v>-10790.3148826667</v>
      </c>
      <c r="AU121" s="68" t="n">
        <f aca="false">AU118+AU119+AU120</f>
        <v>-10790.3148826667</v>
      </c>
      <c r="AV121" s="68" t="n">
        <f aca="false">AV118+AV119+AV120</f>
        <v>-10790.3148826667</v>
      </c>
      <c r="AW121" s="68" t="n">
        <f aca="false">AW118+AW119+AW120</f>
        <v>-10790.3148826667</v>
      </c>
      <c r="AX121" s="68" t="n">
        <f aca="false">AX118+AX119+AX120</f>
        <v>-10790.3148826667</v>
      </c>
      <c r="AY121" s="68" t="n">
        <f aca="false">AY118+AY119+AY120</f>
        <v>-11114.0243291467</v>
      </c>
      <c r="AZ121" s="68" t="n">
        <f aca="false">AZ118+AZ119+AZ120</f>
        <v>-11114.0243291467</v>
      </c>
      <c r="BA121" s="68" t="n">
        <f aca="false">BA118+BA119+BA120</f>
        <v>-11114.0243291467</v>
      </c>
      <c r="BB121" s="68" t="n">
        <f aca="false">BB118+BB119+BB120</f>
        <v>-11114.0243291467</v>
      </c>
      <c r="BC121" s="68" t="n">
        <f aca="false">BC118+BC119+BC120</f>
        <v>-11114.0243291467</v>
      </c>
      <c r="BD121" s="68" t="n">
        <f aca="false">BD118+BD119+BD120</f>
        <v>-11114.0243291467</v>
      </c>
      <c r="BE121" s="68" t="n">
        <f aca="false">BE118+BE119+BE120</f>
        <v>-11114.0243291467</v>
      </c>
      <c r="BF121" s="68" t="n">
        <f aca="false">BF118+BF119+BF120</f>
        <v>-11114.0243291467</v>
      </c>
      <c r="BG121" s="68" t="n">
        <f aca="false">BG118+BG119+BG120</f>
        <v>-11114.0243291467</v>
      </c>
      <c r="BH121" s="68" t="n">
        <f aca="false">BH118+BH119+BH120</f>
        <v>-11114.0243291467</v>
      </c>
      <c r="BI121" s="68" t="n">
        <f aca="false">BI118+BI119+BI120</f>
        <v>-11114.0243291467</v>
      </c>
      <c r="BJ121" s="68" t="n">
        <f aca="false">BJ118+BJ119+BJ120</f>
        <v>-11114.0243291467</v>
      </c>
    </row>
    <row r="124" customFormat="false" ht="15.75" hidden="false" customHeight="true" outlineLevel="0" collapsed="false">
      <c r="A124" s="7" t="s">
        <v>469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</row>
    <row r="125" customFormat="false" ht="15" hidden="false" customHeight="false" outlineLevel="0" collapsed="false">
      <c r="A125" s="33" t="s">
        <v>349</v>
      </c>
      <c r="C125" s="52" t="s">
        <v>350</v>
      </c>
      <c r="D125" s="52" t="s">
        <v>351</v>
      </c>
      <c r="E125" s="52" t="s">
        <v>352</v>
      </c>
      <c r="F125" s="52" t="s">
        <v>353</v>
      </c>
      <c r="G125" s="52" t="s">
        <v>354</v>
      </c>
      <c r="H125" s="52" t="s">
        <v>355</v>
      </c>
      <c r="I125" s="52" t="s">
        <v>356</v>
      </c>
      <c r="J125" s="52" t="s">
        <v>357</v>
      </c>
      <c r="K125" s="52" t="s">
        <v>358</v>
      </c>
      <c r="L125" s="52" t="s">
        <v>359</v>
      </c>
      <c r="M125" s="52" t="s">
        <v>360</v>
      </c>
      <c r="N125" s="52" t="s">
        <v>361</v>
      </c>
      <c r="O125" s="52" t="s">
        <v>362</v>
      </c>
      <c r="P125" s="52" t="s">
        <v>363</v>
      </c>
      <c r="Q125" s="52" t="s">
        <v>364</v>
      </c>
      <c r="R125" s="52" t="s">
        <v>365</v>
      </c>
      <c r="S125" s="52" t="s">
        <v>366</v>
      </c>
      <c r="T125" s="52" t="s">
        <v>367</v>
      </c>
      <c r="U125" s="52" t="s">
        <v>368</v>
      </c>
      <c r="V125" s="52" t="s">
        <v>369</v>
      </c>
      <c r="W125" s="52" t="s">
        <v>370</v>
      </c>
      <c r="X125" s="52" t="s">
        <v>371</v>
      </c>
      <c r="Y125" s="52" t="s">
        <v>372</v>
      </c>
      <c r="Z125" s="52" t="s">
        <v>373</v>
      </c>
      <c r="AA125" s="52" t="s">
        <v>374</v>
      </c>
      <c r="AB125" s="52" t="s">
        <v>375</v>
      </c>
      <c r="AC125" s="52" t="s">
        <v>376</v>
      </c>
      <c r="AD125" s="52" t="s">
        <v>377</v>
      </c>
      <c r="AE125" s="52" t="s">
        <v>378</v>
      </c>
      <c r="AF125" s="52" t="s">
        <v>379</v>
      </c>
      <c r="AG125" s="52" t="s">
        <v>380</v>
      </c>
      <c r="AH125" s="52" t="s">
        <v>381</v>
      </c>
      <c r="AI125" s="52" t="s">
        <v>382</v>
      </c>
      <c r="AJ125" s="52" t="s">
        <v>383</v>
      </c>
      <c r="AK125" s="52" t="s">
        <v>384</v>
      </c>
      <c r="AL125" s="52" t="s">
        <v>385</v>
      </c>
      <c r="AM125" s="52" t="s">
        <v>386</v>
      </c>
      <c r="AN125" s="52" t="s">
        <v>387</v>
      </c>
      <c r="AO125" s="52" t="s">
        <v>388</v>
      </c>
      <c r="AP125" s="52" t="s">
        <v>389</v>
      </c>
      <c r="AQ125" s="52" t="s">
        <v>390</v>
      </c>
      <c r="AR125" s="52" t="s">
        <v>391</v>
      </c>
      <c r="AS125" s="52" t="s">
        <v>392</v>
      </c>
      <c r="AT125" s="52" t="s">
        <v>393</v>
      </c>
      <c r="AU125" s="52" t="s">
        <v>394</v>
      </c>
      <c r="AV125" s="52" t="s">
        <v>395</v>
      </c>
      <c r="AW125" s="52" t="s">
        <v>396</v>
      </c>
      <c r="AX125" s="52" t="s">
        <v>397</v>
      </c>
      <c r="AY125" s="52" t="s">
        <v>398</v>
      </c>
      <c r="AZ125" s="52" t="s">
        <v>399</v>
      </c>
      <c r="BA125" s="52" t="s">
        <v>400</v>
      </c>
      <c r="BB125" s="52" t="s">
        <v>401</v>
      </c>
      <c r="BC125" s="52" t="s">
        <v>402</v>
      </c>
      <c r="BD125" s="52" t="s">
        <v>403</v>
      </c>
      <c r="BE125" s="52" t="s">
        <v>404</v>
      </c>
      <c r="BF125" s="52" t="s">
        <v>405</v>
      </c>
      <c r="BG125" s="52" t="s">
        <v>406</v>
      </c>
      <c r="BH125" s="52" t="s">
        <v>407</v>
      </c>
      <c r="BI125" s="52" t="s">
        <v>408</v>
      </c>
      <c r="BJ125" s="52" t="s">
        <v>409</v>
      </c>
    </row>
    <row r="126" customFormat="false" ht="15" hidden="false" customHeight="false" outlineLevel="0" collapsed="false">
      <c r="A126" s="72" t="s">
        <v>410</v>
      </c>
      <c r="C126" s="72" t="n">
        <v>1</v>
      </c>
      <c r="D126" s="72" t="n">
        <v>2</v>
      </c>
      <c r="E126" s="72" t="n">
        <v>3</v>
      </c>
      <c r="F126" s="72" t="n">
        <v>4</v>
      </c>
      <c r="G126" s="72" t="n">
        <v>5</v>
      </c>
      <c r="H126" s="72" t="n">
        <v>6</v>
      </c>
      <c r="I126" s="72" t="n">
        <v>7</v>
      </c>
      <c r="J126" s="72" t="n">
        <v>8</v>
      </c>
      <c r="K126" s="72" t="n">
        <v>9</v>
      </c>
      <c r="L126" s="72" t="n">
        <v>10</v>
      </c>
      <c r="M126" s="72" t="n">
        <v>11</v>
      </c>
      <c r="N126" s="72" t="n">
        <v>12</v>
      </c>
      <c r="O126" s="72" t="n">
        <v>13</v>
      </c>
      <c r="P126" s="72" t="n">
        <v>14</v>
      </c>
      <c r="Q126" s="72" t="n">
        <v>15</v>
      </c>
      <c r="R126" s="72" t="n">
        <v>16</v>
      </c>
      <c r="S126" s="72" t="n">
        <v>17</v>
      </c>
      <c r="T126" s="72" t="n">
        <v>18</v>
      </c>
      <c r="U126" s="72" t="n">
        <v>19</v>
      </c>
      <c r="V126" s="72" t="n">
        <v>20</v>
      </c>
      <c r="W126" s="72" t="n">
        <v>21</v>
      </c>
      <c r="X126" s="72" t="n">
        <v>22</v>
      </c>
      <c r="Y126" s="72" t="n">
        <v>23</v>
      </c>
      <c r="Z126" s="72" t="n">
        <v>24</v>
      </c>
      <c r="AA126" s="72" t="n">
        <v>25</v>
      </c>
      <c r="AB126" s="72" t="n">
        <v>26</v>
      </c>
      <c r="AC126" s="72" t="n">
        <v>27</v>
      </c>
      <c r="AD126" s="72" t="n">
        <v>28</v>
      </c>
      <c r="AE126" s="72" t="n">
        <v>29</v>
      </c>
      <c r="AF126" s="72" t="n">
        <v>30</v>
      </c>
      <c r="AG126" s="72" t="n">
        <v>31</v>
      </c>
      <c r="AH126" s="72" t="n">
        <v>32</v>
      </c>
      <c r="AI126" s="72" t="n">
        <v>33</v>
      </c>
      <c r="AJ126" s="72" t="n">
        <v>34</v>
      </c>
      <c r="AK126" s="72" t="n">
        <v>35</v>
      </c>
      <c r="AL126" s="72" t="n">
        <v>36</v>
      </c>
      <c r="AM126" s="72" t="n">
        <v>37</v>
      </c>
      <c r="AN126" s="72" t="n">
        <v>38</v>
      </c>
      <c r="AO126" s="72" t="n">
        <v>39</v>
      </c>
      <c r="AP126" s="72" t="n">
        <v>40</v>
      </c>
      <c r="AQ126" s="72" t="n">
        <v>41</v>
      </c>
      <c r="AR126" s="72" t="n">
        <v>42</v>
      </c>
      <c r="AS126" s="72" t="n">
        <v>43</v>
      </c>
      <c r="AT126" s="72" t="n">
        <v>44</v>
      </c>
      <c r="AU126" s="72" t="n">
        <v>45</v>
      </c>
      <c r="AV126" s="72" t="n">
        <v>46</v>
      </c>
      <c r="AW126" s="72" t="n">
        <v>47</v>
      </c>
      <c r="AX126" s="72" t="n">
        <v>48</v>
      </c>
      <c r="AY126" s="72" t="n">
        <v>49</v>
      </c>
      <c r="AZ126" s="72" t="n">
        <v>50</v>
      </c>
      <c r="BA126" s="72" t="n">
        <v>51</v>
      </c>
      <c r="BB126" s="72" t="n">
        <v>52</v>
      </c>
      <c r="BC126" s="72" t="n">
        <v>53</v>
      </c>
      <c r="BD126" s="72" t="n">
        <v>54</v>
      </c>
      <c r="BE126" s="72" t="n">
        <v>55</v>
      </c>
      <c r="BF126" s="72" t="n">
        <v>56</v>
      </c>
      <c r="BG126" s="72" t="n">
        <v>57</v>
      </c>
      <c r="BH126" s="72" t="n">
        <v>58</v>
      </c>
      <c r="BI126" s="72" t="n">
        <v>59</v>
      </c>
      <c r="BJ126" s="72" t="n">
        <v>60</v>
      </c>
    </row>
    <row r="127" customFormat="false" ht="15" hidden="false" customHeight="false" outlineLevel="0" collapsed="false">
      <c r="A127" s="72" t="s">
        <v>154</v>
      </c>
      <c r="C127" s="72" t="n">
        <f aca="false">ROUNDUP(C126*1/12,0)</f>
        <v>1</v>
      </c>
      <c r="D127" s="72" t="n">
        <f aca="false">ROUNDUP(D126*1/12,0)</f>
        <v>1</v>
      </c>
      <c r="E127" s="72" t="n">
        <f aca="false">ROUNDUP(E126*1/12,0)</f>
        <v>1</v>
      </c>
      <c r="F127" s="72" t="n">
        <f aca="false">ROUNDUP(F126*1/12,0)</f>
        <v>1</v>
      </c>
      <c r="G127" s="72" t="n">
        <f aca="false">ROUNDUP(G126*1/12,0)</f>
        <v>1</v>
      </c>
      <c r="H127" s="72" t="n">
        <f aca="false">ROUNDUP(H126*1/12,0)</f>
        <v>1</v>
      </c>
      <c r="I127" s="72" t="n">
        <f aca="false">ROUNDUP(I126*1/12,0)</f>
        <v>1</v>
      </c>
      <c r="J127" s="72" t="n">
        <f aca="false">ROUNDUP(J126*1/12,0)</f>
        <v>1</v>
      </c>
      <c r="K127" s="72" t="n">
        <f aca="false">ROUNDUP(K126*1/12,0)</f>
        <v>1</v>
      </c>
      <c r="L127" s="72" t="n">
        <f aca="false">ROUNDUP(L126*1/12,0)</f>
        <v>1</v>
      </c>
      <c r="M127" s="72" t="n">
        <f aca="false">ROUNDUP(M126*1/12,0)</f>
        <v>1</v>
      </c>
      <c r="N127" s="72" t="n">
        <f aca="false">ROUNDUP(N126*1/12,0)</f>
        <v>1</v>
      </c>
      <c r="O127" s="72" t="n">
        <f aca="false">ROUNDUP(O126*1/12,0)</f>
        <v>2</v>
      </c>
      <c r="P127" s="72" t="n">
        <f aca="false">ROUNDUP(P126*1/12,0)</f>
        <v>2</v>
      </c>
      <c r="Q127" s="72" t="n">
        <f aca="false">ROUNDUP(Q126*1/12,0)</f>
        <v>2</v>
      </c>
      <c r="R127" s="72" t="n">
        <f aca="false">ROUNDUP(R126*1/12,0)</f>
        <v>2</v>
      </c>
      <c r="S127" s="72" t="n">
        <f aca="false">ROUNDUP(S126*1/12,0)</f>
        <v>2</v>
      </c>
      <c r="T127" s="72" t="n">
        <f aca="false">ROUNDUP(T126*1/12,0)</f>
        <v>2</v>
      </c>
      <c r="U127" s="72" t="n">
        <f aca="false">ROUNDUP(U126*1/12,0)</f>
        <v>2</v>
      </c>
      <c r="V127" s="72" t="n">
        <f aca="false">ROUNDUP(V126*1/12,0)</f>
        <v>2</v>
      </c>
      <c r="W127" s="72" t="n">
        <f aca="false">ROUNDUP(W126*1/12,0)</f>
        <v>2</v>
      </c>
      <c r="X127" s="72" t="n">
        <f aca="false">ROUNDUP(X126*1/12,0)</f>
        <v>2</v>
      </c>
      <c r="Y127" s="72" t="n">
        <f aca="false">ROUNDUP(Y126*1/12,0)</f>
        <v>2</v>
      </c>
      <c r="Z127" s="72" t="n">
        <f aca="false">ROUNDUP(Z126*1/12,0)</f>
        <v>2</v>
      </c>
      <c r="AA127" s="72" t="n">
        <f aca="false">ROUNDUP(AA126*1/12,0)</f>
        <v>3</v>
      </c>
      <c r="AB127" s="72" t="n">
        <f aca="false">ROUNDUP(AB126*1/12,0)</f>
        <v>3</v>
      </c>
      <c r="AC127" s="72" t="n">
        <f aca="false">ROUNDUP(AC126*1/12,0)</f>
        <v>3</v>
      </c>
      <c r="AD127" s="72" t="n">
        <f aca="false">ROUNDUP(AD126*1/12,0)</f>
        <v>3</v>
      </c>
      <c r="AE127" s="72" t="n">
        <f aca="false">ROUNDUP(AE126*1/12,0)</f>
        <v>3</v>
      </c>
      <c r="AF127" s="72" t="n">
        <f aca="false">ROUNDUP(AF126*1/12,0)</f>
        <v>3</v>
      </c>
      <c r="AG127" s="72" t="n">
        <f aca="false">ROUNDUP(AG126*1/12,0)</f>
        <v>3</v>
      </c>
      <c r="AH127" s="72" t="n">
        <f aca="false">ROUNDUP(AH126*1/12,0)</f>
        <v>3</v>
      </c>
      <c r="AI127" s="72" t="n">
        <f aca="false">ROUNDUP(AI126*1/12,0)</f>
        <v>3</v>
      </c>
      <c r="AJ127" s="72" t="n">
        <f aca="false">ROUNDUP(AJ126*1/12,0)</f>
        <v>3</v>
      </c>
      <c r="AK127" s="72" t="n">
        <f aca="false">ROUNDUP(AK126*1/12,0)</f>
        <v>3</v>
      </c>
      <c r="AL127" s="72" t="n">
        <f aca="false">ROUNDUP(AL126*1/12,0)</f>
        <v>3</v>
      </c>
      <c r="AM127" s="72" t="n">
        <f aca="false">ROUNDUP(AM126*1/12,0)</f>
        <v>4</v>
      </c>
      <c r="AN127" s="72" t="n">
        <f aca="false">ROUNDUP(AN126*1/12,0)</f>
        <v>4</v>
      </c>
      <c r="AO127" s="72" t="n">
        <f aca="false">ROUNDUP(AO126*1/12,0)</f>
        <v>4</v>
      </c>
      <c r="AP127" s="72" t="n">
        <f aca="false">ROUNDUP(AP126*1/12,0)</f>
        <v>4</v>
      </c>
      <c r="AQ127" s="72" t="n">
        <f aca="false">ROUNDUP(AQ126*1/12,0)</f>
        <v>4</v>
      </c>
      <c r="AR127" s="72" t="n">
        <f aca="false">ROUNDUP(AR126*1/12,0)</f>
        <v>4</v>
      </c>
      <c r="AS127" s="72" t="n">
        <f aca="false">ROUNDUP(AS126*1/12,0)</f>
        <v>4</v>
      </c>
      <c r="AT127" s="72" t="n">
        <f aca="false">ROUNDUP(AT126*1/12,0)</f>
        <v>4</v>
      </c>
      <c r="AU127" s="72" t="n">
        <f aca="false">ROUNDUP(AU126*1/12,0)</f>
        <v>4</v>
      </c>
      <c r="AV127" s="72" t="n">
        <f aca="false">ROUNDUP(AV126*1/12,0)</f>
        <v>4</v>
      </c>
      <c r="AW127" s="72" t="n">
        <f aca="false">ROUNDUP(AW126*1/12,0)</f>
        <v>4</v>
      </c>
      <c r="AX127" s="72" t="n">
        <f aca="false">ROUNDUP(AX126*1/12,0)</f>
        <v>4</v>
      </c>
      <c r="AY127" s="72" t="n">
        <f aca="false">ROUNDUP(AY126*1/12,0)</f>
        <v>5</v>
      </c>
      <c r="AZ127" s="72" t="n">
        <f aca="false">ROUNDUP(AZ126*1/12,0)</f>
        <v>5</v>
      </c>
      <c r="BA127" s="72" t="n">
        <f aca="false">ROUNDUP(BA126*1/12,0)</f>
        <v>5</v>
      </c>
      <c r="BB127" s="72" t="n">
        <f aca="false">ROUNDUP(BB126*1/12,0)</f>
        <v>5</v>
      </c>
      <c r="BC127" s="72" t="n">
        <f aca="false">ROUNDUP(BC126*1/12,0)</f>
        <v>5</v>
      </c>
      <c r="BD127" s="72" t="n">
        <f aca="false">ROUNDUP(BD126*1/12,0)</f>
        <v>5</v>
      </c>
      <c r="BE127" s="72" t="n">
        <f aca="false">ROUNDUP(BE126*1/12,0)</f>
        <v>5</v>
      </c>
      <c r="BF127" s="72" t="n">
        <f aca="false">ROUNDUP(BF126*1/12,0)</f>
        <v>5</v>
      </c>
      <c r="BG127" s="72" t="n">
        <f aca="false">ROUNDUP(BG126*1/12,0)</f>
        <v>5</v>
      </c>
      <c r="BH127" s="72" t="n">
        <f aca="false">ROUNDUP(BH126*1/12,0)</f>
        <v>5</v>
      </c>
      <c r="BI127" s="72" t="n">
        <f aca="false">ROUNDUP(BI126*1/12,0)</f>
        <v>5</v>
      </c>
      <c r="BJ127" s="72" t="n">
        <f aca="false">ROUNDUP(BJ126*1/12,0)</f>
        <v>5</v>
      </c>
    </row>
    <row r="129" customFormat="false" ht="15.75" hidden="false" customHeight="true" outlineLevel="0" collapsed="false">
      <c r="A129" s="7" t="s">
        <v>411</v>
      </c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</row>
    <row r="130" customFormat="false" ht="15" hidden="false" customHeight="false" outlineLevel="0" collapsed="false">
      <c r="A130" s="6" t="s">
        <v>412</v>
      </c>
      <c r="C130" s="116" t="n">
        <f aca="false">Inputs!$C$7+Inputs!$C$8*(C$127-1)</f>
        <v>1</v>
      </c>
      <c r="D130" s="116" t="n">
        <f aca="false">Inputs!$C$7+Inputs!$C$8*(D$127-1)</f>
        <v>1</v>
      </c>
      <c r="E130" s="116" t="n">
        <f aca="false">Inputs!$C$7+Inputs!$C$8*(E$127-1)</f>
        <v>1</v>
      </c>
      <c r="F130" s="116" t="n">
        <f aca="false">Inputs!$C$7+Inputs!$C$8*(F$127-1)</f>
        <v>1</v>
      </c>
      <c r="G130" s="116" t="n">
        <f aca="false">Inputs!$C$7+Inputs!$C$8*(G$127-1)</f>
        <v>1</v>
      </c>
      <c r="H130" s="116" t="n">
        <f aca="false">Inputs!$C$7+Inputs!$C$8*(H$127-1)</f>
        <v>1</v>
      </c>
      <c r="I130" s="116" t="n">
        <f aca="false">Inputs!$C$7+Inputs!$C$8*(I$127-1)</f>
        <v>1</v>
      </c>
      <c r="J130" s="116" t="n">
        <f aca="false">Inputs!$C$7+Inputs!$C$8*(J$127-1)</f>
        <v>1</v>
      </c>
      <c r="K130" s="116" t="n">
        <f aca="false">Inputs!$C$7+Inputs!$C$8*(K$127-1)</f>
        <v>1</v>
      </c>
      <c r="L130" s="116" t="n">
        <f aca="false">Inputs!$C$7+Inputs!$C$8*(L$127-1)</f>
        <v>1</v>
      </c>
      <c r="M130" s="116" t="n">
        <f aca="false">Inputs!$C$7+Inputs!$C$8*(M$127-1)</f>
        <v>1</v>
      </c>
      <c r="N130" s="116" t="n">
        <f aca="false">Inputs!$C$7+Inputs!$C$8*(N$127-1)</f>
        <v>1</v>
      </c>
      <c r="O130" s="116" t="n">
        <f aca="false">Inputs!$C$7+Inputs!$C$8*(O$127-1)</f>
        <v>1</v>
      </c>
      <c r="P130" s="116" t="n">
        <f aca="false">Inputs!$C$7+Inputs!$C$8*(P$127-1)</f>
        <v>1</v>
      </c>
      <c r="Q130" s="116" t="n">
        <f aca="false">Inputs!$C$7+Inputs!$C$8*(Q$127-1)</f>
        <v>1</v>
      </c>
      <c r="R130" s="116" t="n">
        <f aca="false">Inputs!$C$7+Inputs!$C$8*(R$127-1)</f>
        <v>1</v>
      </c>
      <c r="S130" s="116" t="n">
        <f aca="false">Inputs!$C$7+Inputs!$C$8*(S$127-1)</f>
        <v>1</v>
      </c>
      <c r="T130" s="116" t="n">
        <f aca="false">Inputs!$C$7+Inputs!$C$8*(T$127-1)</f>
        <v>1</v>
      </c>
      <c r="U130" s="116" t="n">
        <f aca="false">Inputs!$C$7+Inputs!$C$8*(U$127-1)</f>
        <v>1</v>
      </c>
      <c r="V130" s="116" t="n">
        <f aca="false">Inputs!$C$7+Inputs!$C$8*(V$127-1)</f>
        <v>1</v>
      </c>
      <c r="W130" s="116" t="n">
        <f aca="false">Inputs!$C$7+Inputs!$C$8*(W$127-1)</f>
        <v>1</v>
      </c>
      <c r="X130" s="116" t="n">
        <f aca="false">Inputs!$C$7+Inputs!$C$8*(X$127-1)</f>
        <v>1</v>
      </c>
      <c r="Y130" s="116" t="n">
        <f aca="false">Inputs!$C$7+Inputs!$C$8*(Y$127-1)</f>
        <v>1</v>
      </c>
      <c r="Z130" s="116" t="n">
        <f aca="false">Inputs!$C$7+Inputs!$C$8*(Z$127-1)</f>
        <v>1</v>
      </c>
      <c r="AA130" s="116" t="n">
        <f aca="false">Inputs!$C$7+Inputs!$C$8*(AA$127-1)</f>
        <v>1</v>
      </c>
      <c r="AB130" s="116" t="n">
        <f aca="false">Inputs!$C$7+Inputs!$C$8*(AB$127-1)</f>
        <v>1</v>
      </c>
      <c r="AC130" s="116" t="n">
        <f aca="false">Inputs!$C$7+Inputs!$C$8*(AC$127-1)</f>
        <v>1</v>
      </c>
      <c r="AD130" s="116" t="n">
        <f aca="false">Inputs!$C$7+Inputs!$C$8*(AD$127-1)</f>
        <v>1</v>
      </c>
      <c r="AE130" s="116" t="n">
        <f aca="false">Inputs!$C$7+Inputs!$C$8*(AE$127-1)</f>
        <v>1</v>
      </c>
      <c r="AF130" s="116" t="n">
        <f aca="false">Inputs!$C$7+Inputs!$C$8*(AF$127-1)</f>
        <v>1</v>
      </c>
      <c r="AG130" s="116" t="n">
        <f aca="false">Inputs!$C$7+Inputs!$C$8*(AG$127-1)</f>
        <v>1</v>
      </c>
      <c r="AH130" s="116" t="n">
        <f aca="false">Inputs!$C$7+Inputs!$C$8*(AH$127-1)</f>
        <v>1</v>
      </c>
      <c r="AI130" s="116" t="n">
        <f aca="false">Inputs!$C$7+Inputs!$C$8*(AI$127-1)</f>
        <v>1</v>
      </c>
      <c r="AJ130" s="116" t="n">
        <f aca="false">Inputs!$C$7+Inputs!$C$8*(AJ$127-1)</f>
        <v>1</v>
      </c>
      <c r="AK130" s="116" t="n">
        <f aca="false">Inputs!$C$7+Inputs!$C$8*(AK$127-1)</f>
        <v>1</v>
      </c>
      <c r="AL130" s="116" t="n">
        <f aca="false">Inputs!$C$7+Inputs!$C$8*(AL$127-1)</f>
        <v>1</v>
      </c>
      <c r="AM130" s="116" t="n">
        <f aca="false">Inputs!$C$7+Inputs!$C$8*(AM$127-1)</f>
        <v>1</v>
      </c>
      <c r="AN130" s="116" t="n">
        <f aca="false">Inputs!$C$7+Inputs!$C$8*(AN$127-1)</f>
        <v>1</v>
      </c>
      <c r="AO130" s="116" t="n">
        <f aca="false">Inputs!$C$7+Inputs!$C$8*(AO$127-1)</f>
        <v>1</v>
      </c>
      <c r="AP130" s="116" t="n">
        <f aca="false">Inputs!$C$7+Inputs!$C$8*(AP$127-1)</f>
        <v>1</v>
      </c>
      <c r="AQ130" s="116" t="n">
        <f aca="false">Inputs!$C$7+Inputs!$C$8*(AQ$127-1)</f>
        <v>1</v>
      </c>
      <c r="AR130" s="116" t="n">
        <f aca="false">Inputs!$C$7+Inputs!$C$8*(AR$127-1)</f>
        <v>1</v>
      </c>
      <c r="AS130" s="116" t="n">
        <f aca="false">Inputs!$C$7+Inputs!$C$8*(AS$127-1)</f>
        <v>1</v>
      </c>
      <c r="AT130" s="116" t="n">
        <f aca="false">Inputs!$C$7+Inputs!$C$8*(AT$127-1)</f>
        <v>1</v>
      </c>
      <c r="AU130" s="116" t="n">
        <f aca="false">Inputs!$C$7+Inputs!$C$8*(AU$127-1)</f>
        <v>1</v>
      </c>
      <c r="AV130" s="116" t="n">
        <f aca="false">Inputs!$C$7+Inputs!$C$8*(AV$127-1)</f>
        <v>1</v>
      </c>
      <c r="AW130" s="116" t="n">
        <f aca="false">Inputs!$C$7+Inputs!$C$8*(AW$127-1)</f>
        <v>1</v>
      </c>
      <c r="AX130" s="116" t="n">
        <f aca="false">Inputs!$C$7+Inputs!$C$8*(AX$127-1)</f>
        <v>1</v>
      </c>
      <c r="AY130" s="116" t="n">
        <f aca="false">Inputs!$C$7+Inputs!$C$8*(AY$127-1)</f>
        <v>1</v>
      </c>
      <c r="AZ130" s="116" t="n">
        <f aca="false">Inputs!$C$7+Inputs!$C$8*(AZ$127-1)</f>
        <v>1</v>
      </c>
      <c r="BA130" s="116" t="n">
        <f aca="false">Inputs!$C$7+Inputs!$C$8*(BA$127-1)</f>
        <v>1</v>
      </c>
      <c r="BB130" s="116" t="n">
        <f aca="false">Inputs!$C$7+Inputs!$C$8*(BB$127-1)</f>
        <v>1</v>
      </c>
      <c r="BC130" s="116" t="n">
        <f aca="false">Inputs!$C$7+Inputs!$C$8*(BC$127-1)</f>
        <v>1</v>
      </c>
      <c r="BD130" s="116" t="n">
        <f aca="false">Inputs!$C$7+Inputs!$C$8*(BD$127-1)</f>
        <v>1</v>
      </c>
      <c r="BE130" s="116" t="n">
        <f aca="false">Inputs!$C$7+Inputs!$C$8*(BE$127-1)</f>
        <v>1</v>
      </c>
      <c r="BF130" s="116" t="n">
        <f aca="false">Inputs!$C$7+Inputs!$C$8*(BF$127-1)</f>
        <v>1</v>
      </c>
      <c r="BG130" s="116" t="n">
        <f aca="false">Inputs!$C$7+Inputs!$C$8*(BG$127-1)</f>
        <v>1</v>
      </c>
      <c r="BH130" s="116" t="n">
        <f aca="false">Inputs!$C$7+Inputs!$C$8*(BH$127-1)</f>
        <v>1</v>
      </c>
      <c r="BI130" s="116" t="n">
        <f aca="false">Inputs!$C$7+Inputs!$C$8*(BI$127-1)</f>
        <v>1</v>
      </c>
      <c r="BJ130" s="116" t="n">
        <f aca="false">Inputs!$C$7+Inputs!$C$8*(BJ$127-1)</f>
        <v>1</v>
      </c>
    </row>
    <row r="131" customFormat="false" ht="15" hidden="false" customHeight="false" outlineLevel="0" collapsed="false">
      <c r="A131" s="117" t="s">
        <v>413</v>
      </c>
      <c r="C131" s="118" t="n">
        <f aca="false">MAX(0,MIN(1,Inputs!$C$13-(C$126-1)*1))</f>
        <v>1</v>
      </c>
      <c r="D131" s="118" t="n">
        <f aca="false">MAX(0,MIN(1,Inputs!$C$13-(D$126-1)*1))</f>
        <v>1</v>
      </c>
      <c r="E131" s="118" t="n">
        <f aca="false">MAX(0,MIN(1,Inputs!$C$13-(E$126-1)*1))</f>
        <v>1</v>
      </c>
      <c r="F131" s="118" t="n">
        <f aca="false">MAX(0,MIN(1,Inputs!$C$13-(F$126-1)*1))</f>
        <v>1</v>
      </c>
      <c r="G131" s="118" t="n">
        <f aca="false">MAX(0,MIN(1,Inputs!$C$13-(G$126-1)*1))</f>
        <v>1</v>
      </c>
      <c r="H131" s="118" t="n">
        <f aca="false">MAX(0,MIN(1,Inputs!$C$13-(H$126-1)*1))</f>
        <v>1</v>
      </c>
      <c r="I131" s="118" t="n">
        <f aca="false">MAX(0,MIN(1,Inputs!$C$13-(I$126-1)*1))</f>
        <v>0</v>
      </c>
      <c r="J131" s="118" t="n">
        <f aca="false">MAX(0,MIN(1,Inputs!$C$13-(J$126-1)*1))</f>
        <v>0</v>
      </c>
      <c r="K131" s="118" t="n">
        <f aca="false">MAX(0,MIN(1,Inputs!$C$13-(K$126-1)*1))</f>
        <v>0</v>
      </c>
      <c r="L131" s="118" t="n">
        <f aca="false">MAX(0,MIN(1,Inputs!$C$13-(L$126-1)*1))</f>
        <v>0</v>
      </c>
      <c r="M131" s="118" t="n">
        <f aca="false">MAX(0,MIN(1,Inputs!$C$13-(M$126-1)*1))</f>
        <v>0</v>
      </c>
      <c r="N131" s="118" t="n">
        <f aca="false">MAX(0,MIN(1,Inputs!$C$13-(N$126-1)*1))</f>
        <v>0</v>
      </c>
      <c r="O131" s="118" t="n">
        <f aca="false">MAX(0,MIN(1,Inputs!$C$13-(O$126-1)*1))</f>
        <v>0</v>
      </c>
      <c r="P131" s="118" t="n">
        <f aca="false">MAX(0,MIN(1,Inputs!$C$13-(P$126-1)*1))</f>
        <v>0</v>
      </c>
      <c r="Q131" s="118" t="n">
        <f aca="false">MAX(0,MIN(1,Inputs!$C$13-(Q$126-1)*1))</f>
        <v>0</v>
      </c>
      <c r="R131" s="118" t="n">
        <f aca="false">MAX(0,MIN(1,Inputs!$C$13-(R$126-1)*1))</f>
        <v>0</v>
      </c>
      <c r="S131" s="118" t="n">
        <f aca="false">MAX(0,MIN(1,Inputs!$C$13-(S$126-1)*1))</f>
        <v>0</v>
      </c>
      <c r="T131" s="118" t="n">
        <f aca="false">MAX(0,MIN(1,Inputs!$C$13-(T$126-1)*1))</f>
        <v>0</v>
      </c>
      <c r="U131" s="118" t="n">
        <f aca="false">MAX(0,MIN(1,Inputs!$C$13-(U$126-1)*1))</f>
        <v>0</v>
      </c>
      <c r="V131" s="118" t="n">
        <f aca="false">MAX(0,MIN(1,Inputs!$C$13-(V$126-1)*1))</f>
        <v>0</v>
      </c>
      <c r="W131" s="118" t="n">
        <f aca="false">MAX(0,MIN(1,Inputs!$C$13-(W$126-1)*1))</f>
        <v>0</v>
      </c>
      <c r="X131" s="118" t="n">
        <f aca="false">MAX(0,MIN(1,Inputs!$C$13-(X$126-1)*1))</f>
        <v>0</v>
      </c>
      <c r="Y131" s="118" t="n">
        <f aca="false">MAX(0,MIN(1,Inputs!$C$13-(Y$126-1)*1))</f>
        <v>0</v>
      </c>
      <c r="Z131" s="118" t="n">
        <f aca="false">MAX(0,MIN(1,Inputs!$C$13-(Z$126-1)*1))</f>
        <v>0</v>
      </c>
      <c r="AA131" s="118" t="n">
        <f aca="false">MAX(0,MIN(1,Inputs!$C$13-(AA$126-1)*1))</f>
        <v>0</v>
      </c>
      <c r="AB131" s="118" t="n">
        <f aca="false">MAX(0,MIN(1,Inputs!$C$13-(AB$126-1)*1))</f>
        <v>0</v>
      </c>
      <c r="AC131" s="118" t="n">
        <f aca="false">MAX(0,MIN(1,Inputs!$C$13-(AC$126-1)*1))</f>
        <v>0</v>
      </c>
      <c r="AD131" s="118" t="n">
        <f aca="false">MAX(0,MIN(1,Inputs!$C$13-(AD$126-1)*1))</f>
        <v>0</v>
      </c>
      <c r="AE131" s="118" t="n">
        <f aca="false">MAX(0,MIN(1,Inputs!$C$13-(AE$126-1)*1))</f>
        <v>0</v>
      </c>
      <c r="AF131" s="118" t="n">
        <f aca="false">MAX(0,MIN(1,Inputs!$C$13-(AF$126-1)*1))</f>
        <v>0</v>
      </c>
      <c r="AG131" s="118" t="n">
        <f aca="false">MAX(0,MIN(1,Inputs!$C$13-(AG$126-1)*1))</f>
        <v>0</v>
      </c>
      <c r="AH131" s="118" t="n">
        <f aca="false">MAX(0,MIN(1,Inputs!$C$13-(AH$126-1)*1))</f>
        <v>0</v>
      </c>
      <c r="AI131" s="118" t="n">
        <f aca="false">MAX(0,MIN(1,Inputs!$C$13-(AI$126-1)*1))</f>
        <v>0</v>
      </c>
      <c r="AJ131" s="118" t="n">
        <f aca="false">MAX(0,MIN(1,Inputs!$C$13-(AJ$126-1)*1))</f>
        <v>0</v>
      </c>
      <c r="AK131" s="118" t="n">
        <f aca="false">MAX(0,MIN(1,Inputs!$C$13-(AK$126-1)*1))</f>
        <v>0</v>
      </c>
      <c r="AL131" s="118" t="n">
        <f aca="false">MAX(0,MIN(1,Inputs!$C$13-(AL$126-1)*1))</f>
        <v>0</v>
      </c>
      <c r="AM131" s="118" t="n">
        <f aca="false">MAX(0,MIN(1,Inputs!$C$13-(AM$126-1)*1))</f>
        <v>0</v>
      </c>
      <c r="AN131" s="118" t="n">
        <f aca="false">MAX(0,MIN(1,Inputs!$C$13-(AN$126-1)*1))</f>
        <v>0</v>
      </c>
      <c r="AO131" s="118" t="n">
        <f aca="false">MAX(0,MIN(1,Inputs!$C$13-(AO$126-1)*1))</f>
        <v>0</v>
      </c>
      <c r="AP131" s="118" t="n">
        <f aca="false">MAX(0,MIN(1,Inputs!$C$13-(AP$126-1)*1))</f>
        <v>0</v>
      </c>
      <c r="AQ131" s="118" t="n">
        <f aca="false">MAX(0,MIN(1,Inputs!$C$13-(AQ$126-1)*1))</f>
        <v>0</v>
      </c>
      <c r="AR131" s="118" t="n">
        <f aca="false">MAX(0,MIN(1,Inputs!$C$13-(AR$126-1)*1))</f>
        <v>0</v>
      </c>
      <c r="AS131" s="118" t="n">
        <f aca="false">MAX(0,MIN(1,Inputs!$C$13-(AS$126-1)*1))</f>
        <v>0</v>
      </c>
      <c r="AT131" s="118" t="n">
        <f aca="false">MAX(0,MIN(1,Inputs!$C$13-(AT$126-1)*1))</f>
        <v>0</v>
      </c>
      <c r="AU131" s="118" t="n">
        <f aca="false">MAX(0,MIN(1,Inputs!$C$13-(AU$126-1)*1))</f>
        <v>0</v>
      </c>
      <c r="AV131" s="118" t="n">
        <f aca="false">MAX(0,MIN(1,Inputs!$C$13-(AV$126-1)*1))</f>
        <v>0</v>
      </c>
      <c r="AW131" s="118" t="n">
        <f aca="false">MAX(0,MIN(1,Inputs!$C$13-(AW$126-1)*1))</f>
        <v>0</v>
      </c>
      <c r="AX131" s="118" t="n">
        <f aca="false">MAX(0,MIN(1,Inputs!$C$13-(AX$126-1)*1))</f>
        <v>0</v>
      </c>
      <c r="AY131" s="118" t="n">
        <f aca="false">MAX(0,MIN(1,Inputs!$C$13-(AY$126-1)*1))</f>
        <v>0</v>
      </c>
      <c r="AZ131" s="118" t="n">
        <f aca="false">MAX(0,MIN(1,Inputs!$C$13-(AZ$126-1)*1))</f>
        <v>0</v>
      </c>
      <c r="BA131" s="118" t="n">
        <f aca="false">MAX(0,MIN(1,Inputs!$C$13-(BA$126-1)*1))</f>
        <v>0</v>
      </c>
      <c r="BB131" s="118" t="n">
        <f aca="false">MAX(0,MIN(1,Inputs!$C$13-(BB$126-1)*1))</f>
        <v>0</v>
      </c>
      <c r="BC131" s="118" t="n">
        <f aca="false">MAX(0,MIN(1,Inputs!$C$13-(BC$126-1)*1))</f>
        <v>0</v>
      </c>
      <c r="BD131" s="118" t="n">
        <f aca="false">MAX(0,MIN(1,Inputs!$C$13-(BD$126-1)*1))</f>
        <v>0</v>
      </c>
      <c r="BE131" s="118" t="n">
        <f aca="false">MAX(0,MIN(1,Inputs!$C$13-(BE$126-1)*1))</f>
        <v>0</v>
      </c>
      <c r="BF131" s="118" t="n">
        <f aca="false">MAX(0,MIN(1,Inputs!$C$13-(BF$126-1)*1))</f>
        <v>0</v>
      </c>
      <c r="BG131" s="118" t="n">
        <f aca="false">MAX(0,MIN(1,Inputs!$C$13-(BG$126-1)*1))</f>
        <v>0</v>
      </c>
      <c r="BH131" s="118" t="n">
        <f aca="false">MAX(0,MIN(1,Inputs!$C$13-(BH$126-1)*1))</f>
        <v>0</v>
      </c>
      <c r="BI131" s="118" t="n">
        <f aca="false">MAX(0,MIN(1,Inputs!$C$13-(BI$126-1)*1))</f>
        <v>0</v>
      </c>
      <c r="BJ131" s="118" t="n">
        <f aca="false">MAX(0,MIN(1,Inputs!$C$13-(BJ$126-1)*1))</f>
        <v>0</v>
      </c>
    </row>
    <row r="132" customFormat="false" ht="15" hidden="false" customHeight="false" outlineLevel="0" collapsed="false">
      <c r="A132" s="38" t="s">
        <v>414</v>
      </c>
      <c r="C132" s="74" t="n">
        <f aca="false">IF(Inputs!$C$13&lt;=0,1,(C131*Inputs!$C$14+(1-Inputs!$C$14)/MAX(1,Inputs!$C$13)*(C131*(C$126-1)*1+C131*(C131-1)/2)+1-C131)/1)</f>
        <v>0.5</v>
      </c>
      <c r="D132" s="74" t="n">
        <f aca="false">IF(Inputs!$C$13&lt;=0,1,(D131*Inputs!$C$14+(1-Inputs!$C$14)/MAX(1,Inputs!$C$13)*(D131*(D$126-1)*1+D131*(D131-1)/2)+1-D131)/1)</f>
        <v>0.583333333333334</v>
      </c>
      <c r="E132" s="74" t="n">
        <f aca="false">IF(Inputs!$C$13&lt;=0,1,(E131*Inputs!$C$14+(1-Inputs!$C$14)/MAX(1,Inputs!$C$13)*(E131*(E$126-1)*1+E131*(E131-1)/2)+1-E131)/1)</f>
        <v>0.666666666666667</v>
      </c>
      <c r="F132" s="74" t="n">
        <f aca="false">IF(Inputs!$C$13&lt;=0,1,(F131*Inputs!$C$14+(1-Inputs!$C$14)/MAX(1,Inputs!$C$13)*(F131*(F$126-1)*1+F131*(F131-1)/2)+1-F131)/1)</f>
        <v>0.75</v>
      </c>
      <c r="G132" s="74" t="n">
        <f aca="false">IF(Inputs!$C$13&lt;=0,1,(G131*Inputs!$C$14+(1-Inputs!$C$14)/MAX(1,Inputs!$C$13)*(G131*(G$126-1)*1+G131*(G131-1)/2)+1-G131)/1)</f>
        <v>0.833333333333333</v>
      </c>
      <c r="H132" s="74" t="n">
        <f aca="false">IF(Inputs!$C$13&lt;=0,1,(H131*Inputs!$C$14+(1-Inputs!$C$14)/MAX(1,Inputs!$C$13)*(H131*(H$126-1)*1+H131*(H131-1)/2)+1-H131)/1)</f>
        <v>0.916666666666667</v>
      </c>
      <c r="I132" s="74" t="n">
        <f aca="false">IF(Inputs!$C$13&lt;=0,1,(I131*Inputs!$C$14+(1-Inputs!$C$14)/MAX(1,Inputs!$C$13)*(I131*(I$126-1)*1+I131*(I131-1)/2)+1-I131)/1)</f>
        <v>1</v>
      </c>
      <c r="J132" s="74" t="n">
        <f aca="false">IF(Inputs!$C$13&lt;=0,1,(J131*Inputs!$C$14+(1-Inputs!$C$14)/MAX(1,Inputs!$C$13)*(J131*(J$126-1)*1+J131*(J131-1)/2)+1-J131)/1)</f>
        <v>1</v>
      </c>
      <c r="K132" s="74" t="n">
        <f aca="false">IF(Inputs!$C$13&lt;=0,1,(K131*Inputs!$C$14+(1-Inputs!$C$14)/MAX(1,Inputs!$C$13)*(K131*(K$126-1)*1+K131*(K131-1)/2)+1-K131)/1)</f>
        <v>1</v>
      </c>
      <c r="L132" s="74" t="n">
        <f aca="false">IF(Inputs!$C$13&lt;=0,1,(L131*Inputs!$C$14+(1-Inputs!$C$14)/MAX(1,Inputs!$C$13)*(L131*(L$126-1)*1+L131*(L131-1)/2)+1-L131)/1)</f>
        <v>1</v>
      </c>
      <c r="M132" s="74" t="n">
        <f aca="false">IF(Inputs!$C$13&lt;=0,1,(M131*Inputs!$C$14+(1-Inputs!$C$14)/MAX(1,Inputs!$C$13)*(M131*(M$126-1)*1+M131*(M131-1)/2)+1-M131)/1)</f>
        <v>1</v>
      </c>
      <c r="N132" s="74" t="n">
        <f aca="false">IF(Inputs!$C$13&lt;=0,1,(N131*Inputs!$C$14+(1-Inputs!$C$14)/MAX(1,Inputs!$C$13)*(N131*(N$126-1)*1+N131*(N131-1)/2)+1-N131)/1)</f>
        <v>1</v>
      </c>
      <c r="O132" s="74" t="n">
        <f aca="false">IF(Inputs!$C$13&lt;=0,1,(O131*Inputs!$C$14+(1-Inputs!$C$14)/MAX(1,Inputs!$C$13)*(O131*(O$126-1)*1+O131*(O131-1)/2)+1-O131)/1)</f>
        <v>1</v>
      </c>
      <c r="P132" s="74" t="n">
        <f aca="false">IF(Inputs!$C$13&lt;=0,1,(P131*Inputs!$C$14+(1-Inputs!$C$14)/MAX(1,Inputs!$C$13)*(P131*(P$126-1)*1+P131*(P131-1)/2)+1-P131)/1)</f>
        <v>1</v>
      </c>
      <c r="Q132" s="74" t="n">
        <f aca="false">IF(Inputs!$C$13&lt;=0,1,(Q131*Inputs!$C$14+(1-Inputs!$C$14)/MAX(1,Inputs!$C$13)*(Q131*(Q$126-1)*1+Q131*(Q131-1)/2)+1-Q131)/1)</f>
        <v>1</v>
      </c>
      <c r="R132" s="74" t="n">
        <f aca="false">IF(Inputs!$C$13&lt;=0,1,(R131*Inputs!$C$14+(1-Inputs!$C$14)/MAX(1,Inputs!$C$13)*(R131*(R$126-1)*1+R131*(R131-1)/2)+1-R131)/1)</f>
        <v>1</v>
      </c>
      <c r="S132" s="74" t="n">
        <f aca="false">IF(Inputs!$C$13&lt;=0,1,(S131*Inputs!$C$14+(1-Inputs!$C$14)/MAX(1,Inputs!$C$13)*(S131*(S$126-1)*1+S131*(S131-1)/2)+1-S131)/1)</f>
        <v>1</v>
      </c>
      <c r="T132" s="74" t="n">
        <f aca="false">IF(Inputs!$C$13&lt;=0,1,(T131*Inputs!$C$14+(1-Inputs!$C$14)/MAX(1,Inputs!$C$13)*(T131*(T$126-1)*1+T131*(T131-1)/2)+1-T131)/1)</f>
        <v>1</v>
      </c>
      <c r="U132" s="74" t="n">
        <f aca="false">IF(Inputs!$C$13&lt;=0,1,(U131*Inputs!$C$14+(1-Inputs!$C$14)/MAX(1,Inputs!$C$13)*(U131*(U$126-1)*1+U131*(U131-1)/2)+1-U131)/1)</f>
        <v>1</v>
      </c>
      <c r="V132" s="74" t="n">
        <f aca="false">IF(Inputs!$C$13&lt;=0,1,(V131*Inputs!$C$14+(1-Inputs!$C$14)/MAX(1,Inputs!$C$13)*(V131*(V$126-1)*1+V131*(V131-1)/2)+1-V131)/1)</f>
        <v>1</v>
      </c>
      <c r="W132" s="74" t="n">
        <f aca="false">IF(Inputs!$C$13&lt;=0,1,(W131*Inputs!$C$14+(1-Inputs!$C$14)/MAX(1,Inputs!$C$13)*(W131*(W$126-1)*1+W131*(W131-1)/2)+1-W131)/1)</f>
        <v>1</v>
      </c>
      <c r="X132" s="74" t="n">
        <f aca="false">IF(Inputs!$C$13&lt;=0,1,(X131*Inputs!$C$14+(1-Inputs!$C$14)/MAX(1,Inputs!$C$13)*(X131*(X$126-1)*1+X131*(X131-1)/2)+1-X131)/1)</f>
        <v>1</v>
      </c>
      <c r="Y132" s="74" t="n">
        <f aca="false">IF(Inputs!$C$13&lt;=0,1,(Y131*Inputs!$C$14+(1-Inputs!$C$14)/MAX(1,Inputs!$C$13)*(Y131*(Y$126-1)*1+Y131*(Y131-1)/2)+1-Y131)/1)</f>
        <v>1</v>
      </c>
      <c r="Z132" s="74" t="n">
        <f aca="false">IF(Inputs!$C$13&lt;=0,1,(Z131*Inputs!$C$14+(1-Inputs!$C$14)/MAX(1,Inputs!$C$13)*(Z131*(Z$126-1)*1+Z131*(Z131-1)/2)+1-Z131)/1)</f>
        <v>1</v>
      </c>
      <c r="AA132" s="74" t="n">
        <f aca="false">IF(Inputs!$C$13&lt;=0,1,(AA131*Inputs!$C$14+(1-Inputs!$C$14)/MAX(1,Inputs!$C$13)*(AA131*(AA$126-1)*1+AA131*(AA131-1)/2)+1-AA131)/1)</f>
        <v>1</v>
      </c>
      <c r="AB132" s="74" t="n">
        <f aca="false">IF(Inputs!$C$13&lt;=0,1,(AB131*Inputs!$C$14+(1-Inputs!$C$14)/MAX(1,Inputs!$C$13)*(AB131*(AB$126-1)*1+AB131*(AB131-1)/2)+1-AB131)/1)</f>
        <v>1</v>
      </c>
      <c r="AC132" s="74" t="n">
        <f aca="false">IF(Inputs!$C$13&lt;=0,1,(AC131*Inputs!$C$14+(1-Inputs!$C$14)/MAX(1,Inputs!$C$13)*(AC131*(AC$126-1)*1+AC131*(AC131-1)/2)+1-AC131)/1)</f>
        <v>1</v>
      </c>
      <c r="AD132" s="74" t="n">
        <f aca="false">IF(Inputs!$C$13&lt;=0,1,(AD131*Inputs!$C$14+(1-Inputs!$C$14)/MAX(1,Inputs!$C$13)*(AD131*(AD$126-1)*1+AD131*(AD131-1)/2)+1-AD131)/1)</f>
        <v>1</v>
      </c>
      <c r="AE132" s="74" t="n">
        <f aca="false">IF(Inputs!$C$13&lt;=0,1,(AE131*Inputs!$C$14+(1-Inputs!$C$14)/MAX(1,Inputs!$C$13)*(AE131*(AE$126-1)*1+AE131*(AE131-1)/2)+1-AE131)/1)</f>
        <v>1</v>
      </c>
      <c r="AF132" s="74" t="n">
        <f aca="false">IF(Inputs!$C$13&lt;=0,1,(AF131*Inputs!$C$14+(1-Inputs!$C$14)/MAX(1,Inputs!$C$13)*(AF131*(AF$126-1)*1+AF131*(AF131-1)/2)+1-AF131)/1)</f>
        <v>1</v>
      </c>
      <c r="AG132" s="74" t="n">
        <f aca="false">IF(Inputs!$C$13&lt;=0,1,(AG131*Inputs!$C$14+(1-Inputs!$C$14)/MAX(1,Inputs!$C$13)*(AG131*(AG$126-1)*1+AG131*(AG131-1)/2)+1-AG131)/1)</f>
        <v>1</v>
      </c>
      <c r="AH132" s="74" t="n">
        <f aca="false">IF(Inputs!$C$13&lt;=0,1,(AH131*Inputs!$C$14+(1-Inputs!$C$14)/MAX(1,Inputs!$C$13)*(AH131*(AH$126-1)*1+AH131*(AH131-1)/2)+1-AH131)/1)</f>
        <v>1</v>
      </c>
      <c r="AI132" s="74" t="n">
        <f aca="false">IF(Inputs!$C$13&lt;=0,1,(AI131*Inputs!$C$14+(1-Inputs!$C$14)/MAX(1,Inputs!$C$13)*(AI131*(AI$126-1)*1+AI131*(AI131-1)/2)+1-AI131)/1)</f>
        <v>1</v>
      </c>
      <c r="AJ132" s="74" t="n">
        <f aca="false">IF(Inputs!$C$13&lt;=0,1,(AJ131*Inputs!$C$14+(1-Inputs!$C$14)/MAX(1,Inputs!$C$13)*(AJ131*(AJ$126-1)*1+AJ131*(AJ131-1)/2)+1-AJ131)/1)</f>
        <v>1</v>
      </c>
      <c r="AK132" s="74" t="n">
        <f aca="false">IF(Inputs!$C$13&lt;=0,1,(AK131*Inputs!$C$14+(1-Inputs!$C$14)/MAX(1,Inputs!$C$13)*(AK131*(AK$126-1)*1+AK131*(AK131-1)/2)+1-AK131)/1)</f>
        <v>1</v>
      </c>
      <c r="AL132" s="74" t="n">
        <f aca="false">IF(Inputs!$C$13&lt;=0,1,(AL131*Inputs!$C$14+(1-Inputs!$C$14)/MAX(1,Inputs!$C$13)*(AL131*(AL$126-1)*1+AL131*(AL131-1)/2)+1-AL131)/1)</f>
        <v>1</v>
      </c>
      <c r="AM132" s="74" t="n">
        <f aca="false">IF(Inputs!$C$13&lt;=0,1,(AM131*Inputs!$C$14+(1-Inputs!$C$14)/MAX(1,Inputs!$C$13)*(AM131*(AM$126-1)*1+AM131*(AM131-1)/2)+1-AM131)/1)</f>
        <v>1</v>
      </c>
      <c r="AN132" s="74" t="n">
        <f aca="false">IF(Inputs!$C$13&lt;=0,1,(AN131*Inputs!$C$14+(1-Inputs!$C$14)/MAX(1,Inputs!$C$13)*(AN131*(AN$126-1)*1+AN131*(AN131-1)/2)+1-AN131)/1)</f>
        <v>1</v>
      </c>
      <c r="AO132" s="74" t="n">
        <f aca="false">IF(Inputs!$C$13&lt;=0,1,(AO131*Inputs!$C$14+(1-Inputs!$C$14)/MAX(1,Inputs!$C$13)*(AO131*(AO$126-1)*1+AO131*(AO131-1)/2)+1-AO131)/1)</f>
        <v>1</v>
      </c>
      <c r="AP132" s="74" t="n">
        <f aca="false">IF(Inputs!$C$13&lt;=0,1,(AP131*Inputs!$C$14+(1-Inputs!$C$14)/MAX(1,Inputs!$C$13)*(AP131*(AP$126-1)*1+AP131*(AP131-1)/2)+1-AP131)/1)</f>
        <v>1</v>
      </c>
      <c r="AQ132" s="74" t="n">
        <f aca="false">IF(Inputs!$C$13&lt;=0,1,(AQ131*Inputs!$C$14+(1-Inputs!$C$14)/MAX(1,Inputs!$C$13)*(AQ131*(AQ$126-1)*1+AQ131*(AQ131-1)/2)+1-AQ131)/1)</f>
        <v>1</v>
      </c>
      <c r="AR132" s="74" t="n">
        <f aca="false">IF(Inputs!$C$13&lt;=0,1,(AR131*Inputs!$C$14+(1-Inputs!$C$14)/MAX(1,Inputs!$C$13)*(AR131*(AR$126-1)*1+AR131*(AR131-1)/2)+1-AR131)/1)</f>
        <v>1</v>
      </c>
      <c r="AS132" s="74" t="n">
        <f aca="false">IF(Inputs!$C$13&lt;=0,1,(AS131*Inputs!$C$14+(1-Inputs!$C$14)/MAX(1,Inputs!$C$13)*(AS131*(AS$126-1)*1+AS131*(AS131-1)/2)+1-AS131)/1)</f>
        <v>1</v>
      </c>
      <c r="AT132" s="74" t="n">
        <f aca="false">IF(Inputs!$C$13&lt;=0,1,(AT131*Inputs!$C$14+(1-Inputs!$C$14)/MAX(1,Inputs!$C$13)*(AT131*(AT$126-1)*1+AT131*(AT131-1)/2)+1-AT131)/1)</f>
        <v>1</v>
      </c>
      <c r="AU132" s="74" t="n">
        <f aca="false">IF(Inputs!$C$13&lt;=0,1,(AU131*Inputs!$C$14+(1-Inputs!$C$14)/MAX(1,Inputs!$C$13)*(AU131*(AU$126-1)*1+AU131*(AU131-1)/2)+1-AU131)/1)</f>
        <v>1</v>
      </c>
      <c r="AV132" s="74" t="n">
        <f aca="false">IF(Inputs!$C$13&lt;=0,1,(AV131*Inputs!$C$14+(1-Inputs!$C$14)/MAX(1,Inputs!$C$13)*(AV131*(AV$126-1)*1+AV131*(AV131-1)/2)+1-AV131)/1)</f>
        <v>1</v>
      </c>
      <c r="AW132" s="74" t="n">
        <f aca="false">IF(Inputs!$C$13&lt;=0,1,(AW131*Inputs!$C$14+(1-Inputs!$C$14)/MAX(1,Inputs!$C$13)*(AW131*(AW$126-1)*1+AW131*(AW131-1)/2)+1-AW131)/1)</f>
        <v>1</v>
      </c>
      <c r="AX132" s="74" t="n">
        <f aca="false">IF(Inputs!$C$13&lt;=0,1,(AX131*Inputs!$C$14+(1-Inputs!$C$14)/MAX(1,Inputs!$C$13)*(AX131*(AX$126-1)*1+AX131*(AX131-1)/2)+1-AX131)/1)</f>
        <v>1</v>
      </c>
      <c r="AY132" s="74" t="n">
        <f aca="false">IF(Inputs!$C$13&lt;=0,1,(AY131*Inputs!$C$14+(1-Inputs!$C$14)/MAX(1,Inputs!$C$13)*(AY131*(AY$126-1)*1+AY131*(AY131-1)/2)+1-AY131)/1)</f>
        <v>1</v>
      </c>
      <c r="AZ132" s="74" t="n">
        <f aca="false">IF(Inputs!$C$13&lt;=0,1,(AZ131*Inputs!$C$14+(1-Inputs!$C$14)/MAX(1,Inputs!$C$13)*(AZ131*(AZ$126-1)*1+AZ131*(AZ131-1)/2)+1-AZ131)/1)</f>
        <v>1</v>
      </c>
      <c r="BA132" s="74" t="n">
        <f aca="false">IF(Inputs!$C$13&lt;=0,1,(BA131*Inputs!$C$14+(1-Inputs!$C$14)/MAX(1,Inputs!$C$13)*(BA131*(BA$126-1)*1+BA131*(BA131-1)/2)+1-BA131)/1)</f>
        <v>1</v>
      </c>
      <c r="BB132" s="74" t="n">
        <f aca="false">IF(Inputs!$C$13&lt;=0,1,(BB131*Inputs!$C$14+(1-Inputs!$C$14)/MAX(1,Inputs!$C$13)*(BB131*(BB$126-1)*1+BB131*(BB131-1)/2)+1-BB131)/1)</f>
        <v>1</v>
      </c>
      <c r="BC132" s="74" t="n">
        <f aca="false">IF(Inputs!$C$13&lt;=0,1,(BC131*Inputs!$C$14+(1-Inputs!$C$14)/MAX(1,Inputs!$C$13)*(BC131*(BC$126-1)*1+BC131*(BC131-1)/2)+1-BC131)/1)</f>
        <v>1</v>
      </c>
      <c r="BD132" s="74" t="n">
        <f aca="false">IF(Inputs!$C$13&lt;=0,1,(BD131*Inputs!$C$14+(1-Inputs!$C$14)/MAX(1,Inputs!$C$13)*(BD131*(BD$126-1)*1+BD131*(BD131-1)/2)+1-BD131)/1)</f>
        <v>1</v>
      </c>
      <c r="BE132" s="74" t="n">
        <f aca="false">IF(Inputs!$C$13&lt;=0,1,(BE131*Inputs!$C$14+(1-Inputs!$C$14)/MAX(1,Inputs!$C$13)*(BE131*(BE$126-1)*1+BE131*(BE131-1)/2)+1-BE131)/1)</f>
        <v>1</v>
      </c>
      <c r="BF132" s="74" t="n">
        <f aca="false">IF(Inputs!$C$13&lt;=0,1,(BF131*Inputs!$C$14+(1-Inputs!$C$14)/MAX(1,Inputs!$C$13)*(BF131*(BF$126-1)*1+BF131*(BF131-1)/2)+1-BF131)/1)</f>
        <v>1</v>
      </c>
      <c r="BG132" s="74" t="n">
        <f aca="false">IF(Inputs!$C$13&lt;=0,1,(BG131*Inputs!$C$14+(1-Inputs!$C$14)/MAX(1,Inputs!$C$13)*(BG131*(BG$126-1)*1+BG131*(BG131-1)/2)+1-BG131)/1)</f>
        <v>1</v>
      </c>
      <c r="BH132" s="74" t="n">
        <f aca="false">IF(Inputs!$C$13&lt;=0,1,(BH131*Inputs!$C$14+(1-Inputs!$C$14)/MAX(1,Inputs!$C$13)*(BH131*(BH$126-1)*1+BH131*(BH131-1)/2)+1-BH131)/1)</f>
        <v>1</v>
      </c>
      <c r="BI132" s="74" t="n">
        <f aca="false">IF(Inputs!$C$13&lt;=0,1,(BI131*Inputs!$C$14+(1-Inputs!$C$14)/MAX(1,Inputs!$C$13)*(BI131*(BI$126-1)*1+BI131*(BI131-1)/2)+1-BI131)/1)</f>
        <v>1</v>
      </c>
      <c r="BJ132" s="74" t="n">
        <f aca="false">IF(Inputs!$C$13&lt;=0,1,(BJ131*Inputs!$C$14+(1-Inputs!$C$14)/MAX(1,Inputs!$C$13)*(BJ131*(BJ$126-1)*1+BJ131*(BJ131-1)/2)+1-BJ131)/1)</f>
        <v>1</v>
      </c>
    </row>
    <row r="133" customFormat="false" ht="15" hidden="false" customHeight="false" outlineLevel="0" collapsed="false">
      <c r="A133" s="6" t="s">
        <v>415</v>
      </c>
      <c r="C133" s="77" t="n">
        <f aca="false">IF(OR(MOD(C$126-1,12)&gt;=11,MOD(C$126-1,12)&lt;=1),1-Inputs!$C$10,1+Inputs!$C$10/3)</f>
        <v>0.75</v>
      </c>
      <c r="D133" s="77" t="n">
        <f aca="false">IF(OR(MOD(D$126-1,12)&gt;=11,MOD(D$126-1,12)&lt;=1),1-Inputs!$C$10,1+Inputs!$C$10/3)</f>
        <v>0.75</v>
      </c>
      <c r="E133" s="77" t="n">
        <f aca="false">IF(OR(MOD(E$126-1,12)&gt;=11,MOD(E$126-1,12)&lt;=1),1-Inputs!$C$10,1+Inputs!$C$10/3)</f>
        <v>1.08333333333333</v>
      </c>
      <c r="F133" s="77" t="n">
        <f aca="false">IF(OR(MOD(F$126-1,12)&gt;=11,MOD(F$126-1,12)&lt;=1),1-Inputs!$C$10,1+Inputs!$C$10/3)</f>
        <v>1.08333333333333</v>
      </c>
      <c r="G133" s="77" t="n">
        <f aca="false">IF(OR(MOD(G$126-1,12)&gt;=11,MOD(G$126-1,12)&lt;=1),1-Inputs!$C$10,1+Inputs!$C$10/3)</f>
        <v>1.08333333333333</v>
      </c>
      <c r="H133" s="77" t="n">
        <f aca="false">IF(OR(MOD(H$126-1,12)&gt;=11,MOD(H$126-1,12)&lt;=1),1-Inputs!$C$10,1+Inputs!$C$10/3)</f>
        <v>1.08333333333333</v>
      </c>
      <c r="I133" s="77" t="n">
        <f aca="false">IF(OR(MOD(I$126-1,12)&gt;=11,MOD(I$126-1,12)&lt;=1),1-Inputs!$C$10,1+Inputs!$C$10/3)</f>
        <v>1.08333333333333</v>
      </c>
      <c r="J133" s="77" t="n">
        <f aca="false">IF(OR(MOD(J$126-1,12)&gt;=11,MOD(J$126-1,12)&lt;=1),1-Inputs!$C$10,1+Inputs!$C$10/3)</f>
        <v>1.08333333333333</v>
      </c>
      <c r="K133" s="77" t="n">
        <f aca="false">IF(OR(MOD(K$126-1,12)&gt;=11,MOD(K$126-1,12)&lt;=1),1-Inputs!$C$10,1+Inputs!$C$10/3)</f>
        <v>1.08333333333333</v>
      </c>
      <c r="L133" s="77" t="n">
        <f aca="false">IF(OR(MOD(L$126-1,12)&gt;=11,MOD(L$126-1,12)&lt;=1),1-Inputs!$C$10,1+Inputs!$C$10/3)</f>
        <v>1.08333333333333</v>
      </c>
      <c r="M133" s="77" t="n">
        <f aca="false">IF(OR(MOD(M$126-1,12)&gt;=11,MOD(M$126-1,12)&lt;=1),1-Inputs!$C$10,1+Inputs!$C$10/3)</f>
        <v>1.08333333333333</v>
      </c>
      <c r="N133" s="77" t="n">
        <f aca="false">IF(OR(MOD(N$126-1,12)&gt;=11,MOD(N$126-1,12)&lt;=1),1-Inputs!$C$10,1+Inputs!$C$10/3)</f>
        <v>0.75</v>
      </c>
      <c r="O133" s="77" t="n">
        <f aca="false">IF(OR(MOD(O$126-1,12)&gt;=11,MOD(O$126-1,12)&lt;=1),1-Inputs!$C$10,1+Inputs!$C$10/3)</f>
        <v>0.75</v>
      </c>
      <c r="P133" s="77" t="n">
        <f aca="false">IF(OR(MOD(P$126-1,12)&gt;=11,MOD(P$126-1,12)&lt;=1),1-Inputs!$C$10,1+Inputs!$C$10/3)</f>
        <v>0.75</v>
      </c>
      <c r="Q133" s="77" t="n">
        <f aca="false">IF(OR(MOD(Q$126-1,12)&gt;=11,MOD(Q$126-1,12)&lt;=1),1-Inputs!$C$10,1+Inputs!$C$10/3)</f>
        <v>1.08333333333333</v>
      </c>
      <c r="R133" s="77" t="n">
        <f aca="false">IF(OR(MOD(R$126-1,12)&gt;=11,MOD(R$126-1,12)&lt;=1),1-Inputs!$C$10,1+Inputs!$C$10/3)</f>
        <v>1.08333333333333</v>
      </c>
      <c r="S133" s="77" t="n">
        <f aca="false">IF(OR(MOD(S$126-1,12)&gt;=11,MOD(S$126-1,12)&lt;=1),1-Inputs!$C$10,1+Inputs!$C$10/3)</f>
        <v>1.08333333333333</v>
      </c>
      <c r="T133" s="77" t="n">
        <f aca="false">IF(OR(MOD(T$126-1,12)&gt;=11,MOD(T$126-1,12)&lt;=1),1-Inputs!$C$10,1+Inputs!$C$10/3)</f>
        <v>1.08333333333333</v>
      </c>
      <c r="U133" s="77" t="n">
        <f aca="false">IF(OR(MOD(U$126-1,12)&gt;=11,MOD(U$126-1,12)&lt;=1),1-Inputs!$C$10,1+Inputs!$C$10/3)</f>
        <v>1.08333333333333</v>
      </c>
      <c r="V133" s="77" t="n">
        <f aca="false">IF(OR(MOD(V$126-1,12)&gt;=11,MOD(V$126-1,12)&lt;=1),1-Inputs!$C$10,1+Inputs!$C$10/3)</f>
        <v>1.08333333333333</v>
      </c>
      <c r="W133" s="77" t="n">
        <f aca="false">IF(OR(MOD(W$126-1,12)&gt;=11,MOD(W$126-1,12)&lt;=1),1-Inputs!$C$10,1+Inputs!$C$10/3)</f>
        <v>1.08333333333333</v>
      </c>
      <c r="X133" s="77" t="n">
        <f aca="false">IF(OR(MOD(X$126-1,12)&gt;=11,MOD(X$126-1,12)&lt;=1),1-Inputs!$C$10,1+Inputs!$C$10/3)</f>
        <v>1.08333333333333</v>
      </c>
      <c r="Y133" s="77" t="n">
        <f aca="false">IF(OR(MOD(Y$126-1,12)&gt;=11,MOD(Y$126-1,12)&lt;=1),1-Inputs!$C$10,1+Inputs!$C$10/3)</f>
        <v>1.08333333333333</v>
      </c>
      <c r="Z133" s="77" t="n">
        <f aca="false">IF(OR(MOD(Z$126-1,12)&gt;=11,MOD(Z$126-1,12)&lt;=1),1-Inputs!$C$10,1+Inputs!$C$10/3)</f>
        <v>0.75</v>
      </c>
      <c r="AA133" s="77" t="n">
        <f aca="false">IF(OR(MOD(AA$126-1,12)&gt;=11,MOD(AA$126-1,12)&lt;=1),1-Inputs!$C$10,1+Inputs!$C$10/3)</f>
        <v>0.75</v>
      </c>
      <c r="AB133" s="77" t="n">
        <f aca="false">IF(OR(MOD(AB$126-1,12)&gt;=11,MOD(AB$126-1,12)&lt;=1),1-Inputs!$C$10,1+Inputs!$C$10/3)</f>
        <v>0.75</v>
      </c>
      <c r="AC133" s="77" t="n">
        <f aca="false">IF(OR(MOD(AC$126-1,12)&gt;=11,MOD(AC$126-1,12)&lt;=1),1-Inputs!$C$10,1+Inputs!$C$10/3)</f>
        <v>1.08333333333333</v>
      </c>
      <c r="AD133" s="77" t="n">
        <f aca="false">IF(OR(MOD(AD$126-1,12)&gt;=11,MOD(AD$126-1,12)&lt;=1),1-Inputs!$C$10,1+Inputs!$C$10/3)</f>
        <v>1.08333333333333</v>
      </c>
      <c r="AE133" s="77" t="n">
        <f aca="false">IF(OR(MOD(AE$126-1,12)&gt;=11,MOD(AE$126-1,12)&lt;=1),1-Inputs!$C$10,1+Inputs!$C$10/3)</f>
        <v>1.08333333333333</v>
      </c>
      <c r="AF133" s="77" t="n">
        <f aca="false">IF(OR(MOD(AF$126-1,12)&gt;=11,MOD(AF$126-1,12)&lt;=1),1-Inputs!$C$10,1+Inputs!$C$10/3)</f>
        <v>1.08333333333333</v>
      </c>
      <c r="AG133" s="77" t="n">
        <f aca="false">IF(OR(MOD(AG$126-1,12)&gt;=11,MOD(AG$126-1,12)&lt;=1),1-Inputs!$C$10,1+Inputs!$C$10/3)</f>
        <v>1.08333333333333</v>
      </c>
      <c r="AH133" s="77" t="n">
        <f aca="false">IF(OR(MOD(AH$126-1,12)&gt;=11,MOD(AH$126-1,12)&lt;=1),1-Inputs!$C$10,1+Inputs!$C$10/3)</f>
        <v>1.08333333333333</v>
      </c>
      <c r="AI133" s="77" t="n">
        <f aca="false">IF(OR(MOD(AI$126-1,12)&gt;=11,MOD(AI$126-1,12)&lt;=1),1-Inputs!$C$10,1+Inputs!$C$10/3)</f>
        <v>1.08333333333333</v>
      </c>
      <c r="AJ133" s="77" t="n">
        <f aca="false">IF(OR(MOD(AJ$126-1,12)&gt;=11,MOD(AJ$126-1,12)&lt;=1),1-Inputs!$C$10,1+Inputs!$C$10/3)</f>
        <v>1.08333333333333</v>
      </c>
      <c r="AK133" s="77" t="n">
        <f aca="false">IF(OR(MOD(AK$126-1,12)&gt;=11,MOD(AK$126-1,12)&lt;=1),1-Inputs!$C$10,1+Inputs!$C$10/3)</f>
        <v>1.08333333333333</v>
      </c>
      <c r="AL133" s="77" t="n">
        <f aca="false">IF(OR(MOD(AL$126-1,12)&gt;=11,MOD(AL$126-1,12)&lt;=1),1-Inputs!$C$10,1+Inputs!$C$10/3)</f>
        <v>0.75</v>
      </c>
      <c r="AM133" s="77" t="n">
        <f aca="false">IF(OR(MOD(AM$126-1,12)&gt;=11,MOD(AM$126-1,12)&lt;=1),1-Inputs!$C$10,1+Inputs!$C$10/3)</f>
        <v>0.75</v>
      </c>
      <c r="AN133" s="77" t="n">
        <f aca="false">IF(OR(MOD(AN$126-1,12)&gt;=11,MOD(AN$126-1,12)&lt;=1),1-Inputs!$C$10,1+Inputs!$C$10/3)</f>
        <v>0.75</v>
      </c>
      <c r="AO133" s="77" t="n">
        <f aca="false">IF(OR(MOD(AO$126-1,12)&gt;=11,MOD(AO$126-1,12)&lt;=1),1-Inputs!$C$10,1+Inputs!$C$10/3)</f>
        <v>1.08333333333333</v>
      </c>
      <c r="AP133" s="77" t="n">
        <f aca="false">IF(OR(MOD(AP$126-1,12)&gt;=11,MOD(AP$126-1,12)&lt;=1),1-Inputs!$C$10,1+Inputs!$C$10/3)</f>
        <v>1.08333333333333</v>
      </c>
      <c r="AQ133" s="77" t="n">
        <f aca="false">IF(OR(MOD(AQ$126-1,12)&gt;=11,MOD(AQ$126-1,12)&lt;=1),1-Inputs!$C$10,1+Inputs!$C$10/3)</f>
        <v>1.08333333333333</v>
      </c>
      <c r="AR133" s="77" t="n">
        <f aca="false">IF(OR(MOD(AR$126-1,12)&gt;=11,MOD(AR$126-1,12)&lt;=1),1-Inputs!$C$10,1+Inputs!$C$10/3)</f>
        <v>1.08333333333333</v>
      </c>
      <c r="AS133" s="77" t="n">
        <f aca="false">IF(OR(MOD(AS$126-1,12)&gt;=11,MOD(AS$126-1,12)&lt;=1),1-Inputs!$C$10,1+Inputs!$C$10/3)</f>
        <v>1.08333333333333</v>
      </c>
      <c r="AT133" s="77" t="n">
        <f aca="false">IF(OR(MOD(AT$126-1,12)&gt;=11,MOD(AT$126-1,12)&lt;=1),1-Inputs!$C$10,1+Inputs!$C$10/3)</f>
        <v>1.08333333333333</v>
      </c>
      <c r="AU133" s="77" t="n">
        <f aca="false">IF(OR(MOD(AU$126-1,12)&gt;=11,MOD(AU$126-1,12)&lt;=1),1-Inputs!$C$10,1+Inputs!$C$10/3)</f>
        <v>1.08333333333333</v>
      </c>
      <c r="AV133" s="77" t="n">
        <f aca="false">IF(OR(MOD(AV$126-1,12)&gt;=11,MOD(AV$126-1,12)&lt;=1),1-Inputs!$C$10,1+Inputs!$C$10/3)</f>
        <v>1.08333333333333</v>
      </c>
      <c r="AW133" s="77" t="n">
        <f aca="false">IF(OR(MOD(AW$126-1,12)&gt;=11,MOD(AW$126-1,12)&lt;=1),1-Inputs!$C$10,1+Inputs!$C$10/3)</f>
        <v>1.08333333333333</v>
      </c>
      <c r="AX133" s="77" t="n">
        <f aca="false">IF(OR(MOD(AX$126-1,12)&gt;=11,MOD(AX$126-1,12)&lt;=1),1-Inputs!$C$10,1+Inputs!$C$10/3)</f>
        <v>0.75</v>
      </c>
      <c r="AY133" s="77" t="n">
        <f aca="false">IF(OR(MOD(AY$126-1,12)&gt;=11,MOD(AY$126-1,12)&lt;=1),1-Inputs!$C$10,1+Inputs!$C$10/3)</f>
        <v>0.75</v>
      </c>
      <c r="AZ133" s="77" t="n">
        <f aca="false">IF(OR(MOD(AZ$126-1,12)&gt;=11,MOD(AZ$126-1,12)&lt;=1),1-Inputs!$C$10,1+Inputs!$C$10/3)</f>
        <v>0.75</v>
      </c>
      <c r="BA133" s="77" t="n">
        <f aca="false">IF(OR(MOD(BA$126-1,12)&gt;=11,MOD(BA$126-1,12)&lt;=1),1-Inputs!$C$10,1+Inputs!$C$10/3)</f>
        <v>1.08333333333333</v>
      </c>
      <c r="BB133" s="77" t="n">
        <f aca="false">IF(OR(MOD(BB$126-1,12)&gt;=11,MOD(BB$126-1,12)&lt;=1),1-Inputs!$C$10,1+Inputs!$C$10/3)</f>
        <v>1.08333333333333</v>
      </c>
      <c r="BC133" s="77" t="n">
        <f aca="false">IF(OR(MOD(BC$126-1,12)&gt;=11,MOD(BC$126-1,12)&lt;=1),1-Inputs!$C$10,1+Inputs!$C$10/3)</f>
        <v>1.08333333333333</v>
      </c>
      <c r="BD133" s="77" t="n">
        <f aca="false">IF(OR(MOD(BD$126-1,12)&gt;=11,MOD(BD$126-1,12)&lt;=1),1-Inputs!$C$10,1+Inputs!$C$10/3)</f>
        <v>1.08333333333333</v>
      </c>
      <c r="BE133" s="77" t="n">
        <f aca="false">IF(OR(MOD(BE$126-1,12)&gt;=11,MOD(BE$126-1,12)&lt;=1),1-Inputs!$C$10,1+Inputs!$C$10/3)</f>
        <v>1.08333333333333</v>
      </c>
      <c r="BF133" s="77" t="n">
        <f aca="false">IF(OR(MOD(BF$126-1,12)&gt;=11,MOD(BF$126-1,12)&lt;=1),1-Inputs!$C$10,1+Inputs!$C$10/3)</f>
        <v>1.08333333333333</v>
      </c>
      <c r="BG133" s="77" t="n">
        <f aca="false">IF(OR(MOD(BG$126-1,12)&gt;=11,MOD(BG$126-1,12)&lt;=1),1-Inputs!$C$10,1+Inputs!$C$10/3)</f>
        <v>1.08333333333333</v>
      </c>
      <c r="BH133" s="77" t="n">
        <f aca="false">IF(OR(MOD(BH$126-1,12)&gt;=11,MOD(BH$126-1,12)&lt;=1),1-Inputs!$C$10,1+Inputs!$C$10/3)</f>
        <v>1.08333333333333</v>
      </c>
      <c r="BI133" s="77" t="n">
        <f aca="false">IF(OR(MOD(BI$126-1,12)&gt;=11,MOD(BI$126-1,12)&lt;=1),1-Inputs!$C$10,1+Inputs!$C$10/3)</f>
        <v>1.08333333333333</v>
      </c>
      <c r="BJ133" s="77" t="n">
        <f aca="false">IF(OR(MOD(BJ$126-1,12)&gt;=11,MOD(BJ$126-1,12)&lt;=1),1-Inputs!$C$10,1+Inputs!$C$10/3)</f>
        <v>0.75</v>
      </c>
    </row>
    <row r="134" customFormat="false" ht="15" hidden="false" customHeight="false" outlineLevel="0" collapsed="false">
      <c r="A134" s="6" t="s">
        <v>416</v>
      </c>
      <c r="C134" s="118" t="n">
        <f aca="false">C130*Inputs!$C$9*1*C133</f>
        <v>13.5</v>
      </c>
      <c r="D134" s="118" t="n">
        <f aca="false">D130*Inputs!$C$9*1*D133</f>
        <v>13.5</v>
      </c>
      <c r="E134" s="118" t="n">
        <f aca="false">E130*Inputs!$C$9*1*E133</f>
        <v>19.5</v>
      </c>
      <c r="F134" s="118" t="n">
        <f aca="false">F130*Inputs!$C$9*1*F133</f>
        <v>19.5</v>
      </c>
      <c r="G134" s="118" t="n">
        <f aca="false">G130*Inputs!$C$9*1*G133</f>
        <v>19.5</v>
      </c>
      <c r="H134" s="118" t="n">
        <f aca="false">H130*Inputs!$C$9*1*H133</f>
        <v>19.5</v>
      </c>
      <c r="I134" s="118" t="n">
        <f aca="false">I130*Inputs!$C$9*1*I133</f>
        <v>19.5</v>
      </c>
      <c r="J134" s="118" t="n">
        <f aca="false">J130*Inputs!$C$9*1*J133</f>
        <v>19.5</v>
      </c>
      <c r="K134" s="118" t="n">
        <f aca="false">K130*Inputs!$C$9*1*K133</f>
        <v>19.5</v>
      </c>
      <c r="L134" s="118" t="n">
        <f aca="false">L130*Inputs!$C$9*1*L133</f>
        <v>19.5</v>
      </c>
      <c r="M134" s="118" t="n">
        <f aca="false">M130*Inputs!$C$9*1*M133</f>
        <v>19.5</v>
      </c>
      <c r="N134" s="118" t="n">
        <f aca="false">N130*Inputs!$C$9*1*N133</f>
        <v>13.5</v>
      </c>
      <c r="O134" s="118" t="n">
        <f aca="false">O130*Inputs!$C$9*1*O133</f>
        <v>13.5</v>
      </c>
      <c r="P134" s="118" t="n">
        <f aca="false">P130*Inputs!$C$9*1*P133</f>
        <v>13.5</v>
      </c>
      <c r="Q134" s="118" t="n">
        <f aca="false">Q130*Inputs!$C$9*1*Q133</f>
        <v>19.5</v>
      </c>
      <c r="R134" s="118" t="n">
        <f aca="false">R130*Inputs!$C$9*1*R133</f>
        <v>19.5</v>
      </c>
      <c r="S134" s="118" t="n">
        <f aca="false">S130*Inputs!$C$9*1*S133</f>
        <v>19.5</v>
      </c>
      <c r="T134" s="118" t="n">
        <f aca="false">T130*Inputs!$C$9*1*T133</f>
        <v>19.5</v>
      </c>
      <c r="U134" s="118" t="n">
        <f aca="false">U130*Inputs!$C$9*1*U133</f>
        <v>19.5</v>
      </c>
      <c r="V134" s="118" t="n">
        <f aca="false">V130*Inputs!$C$9*1*V133</f>
        <v>19.5</v>
      </c>
      <c r="W134" s="118" t="n">
        <f aca="false">W130*Inputs!$C$9*1*W133</f>
        <v>19.5</v>
      </c>
      <c r="X134" s="118" t="n">
        <f aca="false">X130*Inputs!$C$9*1*X133</f>
        <v>19.5</v>
      </c>
      <c r="Y134" s="118" t="n">
        <f aca="false">Y130*Inputs!$C$9*1*Y133</f>
        <v>19.5</v>
      </c>
      <c r="Z134" s="118" t="n">
        <f aca="false">Z130*Inputs!$C$9*1*Z133</f>
        <v>13.5</v>
      </c>
      <c r="AA134" s="118" t="n">
        <f aca="false">AA130*Inputs!$C$9*1*AA133</f>
        <v>13.5</v>
      </c>
      <c r="AB134" s="118" t="n">
        <f aca="false">AB130*Inputs!$C$9*1*AB133</f>
        <v>13.5</v>
      </c>
      <c r="AC134" s="118" t="n">
        <f aca="false">AC130*Inputs!$C$9*1*AC133</f>
        <v>19.5</v>
      </c>
      <c r="AD134" s="118" t="n">
        <f aca="false">AD130*Inputs!$C$9*1*AD133</f>
        <v>19.5</v>
      </c>
      <c r="AE134" s="118" t="n">
        <f aca="false">AE130*Inputs!$C$9*1*AE133</f>
        <v>19.5</v>
      </c>
      <c r="AF134" s="118" t="n">
        <f aca="false">AF130*Inputs!$C$9*1*AF133</f>
        <v>19.5</v>
      </c>
      <c r="AG134" s="118" t="n">
        <f aca="false">AG130*Inputs!$C$9*1*AG133</f>
        <v>19.5</v>
      </c>
      <c r="AH134" s="118" t="n">
        <f aca="false">AH130*Inputs!$C$9*1*AH133</f>
        <v>19.5</v>
      </c>
      <c r="AI134" s="118" t="n">
        <f aca="false">AI130*Inputs!$C$9*1*AI133</f>
        <v>19.5</v>
      </c>
      <c r="AJ134" s="118" t="n">
        <f aca="false">AJ130*Inputs!$C$9*1*AJ133</f>
        <v>19.5</v>
      </c>
      <c r="AK134" s="118" t="n">
        <f aca="false">AK130*Inputs!$C$9*1*AK133</f>
        <v>19.5</v>
      </c>
      <c r="AL134" s="118" t="n">
        <f aca="false">AL130*Inputs!$C$9*1*AL133</f>
        <v>13.5</v>
      </c>
      <c r="AM134" s="118" t="n">
        <f aca="false">AM130*Inputs!$C$9*1*AM133</f>
        <v>13.5</v>
      </c>
      <c r="AN134" s="118" t="n">
        <f aca="false">AN130*Inputs!$C$9*1*AN133</f>
        <v>13.5</v>
      </c>
      <c r="AO134" s="118" t="n">
        <f aca="false">AO130*Inputs!$C$9*1*AO133</f>
        <v>19.5</v>
      </c>
      <c r="AP134" s="118" t="n">
        <f aca="false">AP130*Inputs!$C$9*1*AP133</f>
        <v>19.5</v>
      </c>
      <c r="AQ134" s="118" t="n">
        <f aca="false">AQ130*Inputs!$C$9*1*AQ133</f>
        <v>19.5</v>
      </c>
      <c r="AR134" s="118" t="n">
        <f aca="false">AR130*Inputs!$C$9*1*AR133</f>
        <v>19.5</v>
      </c>
      <c r="AS134" s="118" t="n">
        <f aca="false">AS130*Inputs!$C$9*1*AS133</f>
        <v>19.5</v>
      </c>
      <c r="AT134" s="118" t="n">
        <f aca="false">AT130*Inputs!$C$9*1*AT133</f>
        <v>19.5</v>
      </c>
      <c r="AU134" s="118" t="n">
        <f aca="false">AU130*Inputs!$C$9*1*AU133</f>
        <v>19.5</v>
      </c>
      <c r="AV134" s="118" t="n">
        <f aca="false">AV130*Inputs!$C$9*1*AV133</f>
        <v>19.5</v>
      </c>
      <c r="AW134" s="118" t="n">
        <f aca="false">AW130*Inputs!$C$9*1*AW133</f>
        <v>19.5</v>
      </c>
      <c r="AX134" s="118" t="n">
        <f aca="false">AX130*Inputs!$C$9*1*AX133</f>
        <v>13.5</v>
      </c>
      <c r="AY134" s="118" t="n">
        <f aca="false">AY130*Inputs!$C$9*1*AY133</f>
        <v>13.5</v>
      </c>
      <c r="AZ134" s="118" t="n">
        <f aca="false">AZ130*Inputs!$C$9*1*AZ133</f>
        <v>13.5</v>
      </c>
      <c r="BA134" s="118" t="n">
        <f aca="false">BA130*Inputs!$C$9*1*BA133</f>
        <v>19.5</v>
      </c>
      <c r="BB134" s="118" t="n">
        <f aca="false">BB130*Inputs!$C$9*1*BB133</f>
        <v>19.5</v>
      </c>
      <c r="BC134" s="118" t="n">
        <f aca="false">BC130*Inputs!$C$9*1*BC133</f>
        <v>19.5</v>
      </c>
      <c r="BD134" s="118" t="n">
        <f aca="false">BD130*Inputs!$C$9*1*BD133</f>
        <v>19.5</v>
      </c>
      <c r="BE134" s="118" t="n">
        <f aca="false">BE130*Inputs!$C$9*1*BE133</f>
        <v>19.5</v>
      </c>
      <c r="BF134" s="118" t="n">
        <f aca="false">BF130*Inputs!$C$9*1*BF133</f>
        <v>19.5</v>
      </c>
      <c r="BG134" s="118" t="n">
        <f aca="false">BG130*Inputs!$C$9*1*BG133</f>
        <v>19.5</v>
      </c>
      <c r="BH134" s="118" t="n">
        <f aca="false">BH130*Inputs!$C$9*1*BH133</f>
        <v>19.5</v>
      </c>
      <c r="BI134" s="118" t="n">
        <f aca="false">BI130*Inputs!$C$9*1*BI133</f>
        <v>19.5</v>
      </c>
      <c r="BJ134" s="118" t="n">
        <f aca="false">BJ130*Inputs!$C$9*1*BJ133</f>
        <v>13.5</v>
      </c>
    </row>
    <row r="135" customFormat="false" ht="15" hidden="false" customHeight="false" outlineLevel="0" collapsed="false">
      <c r="A135" s="6" t="s">
        <v>417</v>
      </c>
      <c r="C135" s="118" t="n">
        <f aca="false">C130*Inputs!$C$23*(1+Inputs!$C$24)^(C$127-1)*1*C132</f>
        <v>1.5</v>
      </c>
      <c r="D135" s="118" t="n">
        <f aca="false">D130*Inputs!$C$23*(1+Inputs!$C$24)^(D$127-1)*1*D132</f>
        <v>1.75</v>
      </c>
      <c r="E135" s="118" t="n">
        <f aca="false">E130*Inputs!$C$23*(1+Inputs!$C$24)^(E$127-1)*1*E132</f>
        <v>2</v>
      </c>
      <c r="F135" s="118" t="n">
        <f aca="false">F130*Inputs!$C$23*(1+Inputs!$C$24)^(F$127-1)*1*F132</f>
        <v>2.25</v>
      </c>
      <c r="G135" s="118" t="n">
        <f aca="false">G130*Inputs!$C$23*(1+Inputs!$C$24)^(G$127-1)*1*G132</f>
        <v>2.5</v>
      </c>
      <c r="H135" s="118" t="n">
        <f aca="false">H130*Inputs!$C$23*(1+Inputs!$C$24)^(H$127-1)*1*H132</f>
        <v>2.75</v>
      </c>
      <c r="I135" s="118" t="n">
        <f aca="false">I130*Inputs!$C$23*(1+Inputs!$C$24)^(I$127-1)*1*I132</f>
        <v>3</v>
      </c>
      <c r="J135" s="118" t="n">
        <f aca="false">J130*Inputs!$C$23*(1+Inputs!$C$24)^(J$127-1)*1*J132</f>
        <v>3</v>
      </c>
      <c r="K135" s="118" t="n">
        <f aca="false">K130*Inputs!$C$23*(1+Inputs!$C$24)^(K$127-1)*1*K132</f>
        <v>3</v>
      </c>
      <c r="L135" s="118" t="n">
        <f aca="false">L130*Inputs!$C$23*(1+Inputs!$C$24)^(L$127-1)*1*L132</f>
        <v>3</v>
      </c>
      <c r="M135" s="118" t="n">
        <f aca="false">M130*Inputs!$C$23*(1+Inputs!$C$24)^(M$127-1)*1*M132</f>
        <v>3</v>
      </c>
      <c r="N135" s="118" t="n">
        <f aca="false">N130*Inputs!$C$23*(1+Inputs!$C$24)^(N$127-1)*1*N132</f>
        <v>3</v>
      </c>
      <c r="O135" s="118" t="n">
        <f aca="false">O130*Inputs!$C$23*(1+Inputs!$C$24)^(O$127-1)*1*O132</f>
        <v>3.15</v>
      </c>
      <c r="P135" s="118" t="n">
        <f aca="false">P130*Inputs!$C$23*(1+Inputs!$C$24)^(P$127-1)*1*P132</f>
        <v>3.15</v>
      </c>
      <c r="Q135" s="118" t="n">
        <f aca="false">Q130*Inputs!$C$23*(1+Inputs!$C$24)^(Q$127-1)*1*Q132</f>
        <v>3.15</v>
      </c>
      <c r="R135" s="118" t="n">
        <f aca="false">R130*Inputs!$C$23*(1+Inputs!$C$24)^(R$127-1)*1*R132</f>
        <v>3.15</v>
      </c>
      <c r="S135" s="118" t="n">
        <f aca="false">S130*Inputs!$C$23*(1+Inputs!$C$24)^(S$127-1)*1*S132</f>
        <v>3.15</v>
      </c>
      <c r="T135" s="118" t="n">
        <f aca="false">T130*Inputs!$C$23*(1+Inputs!$C$24)^(T$127-1)*1*T132</f>
        <v>3.15</v>
      </c>
      <c r="U135" s="118" t="n">
        <f aca="false">U130*Inputs!$C$23*(1+Inputs!$C$24)^(U$127-1)*1*U132</f>
        <v>3.15</v>
      </c>
      <c r="V135" s="118" t="n">
        <f aca="false">V130*Inputs!$C$23*(1+Inputs!$C$24)^(V$127-1)*1*V132</f>
        <v>3.15</v>
      </c>
      <c r="W135" s="118" t="n">
        <f aca="false">W130*Inputs!$C$23*(1+Inputs!$C$24)^(W$127-1)*1*W132</f>
        <v>3.15</v>
      </c>
      <c r="X135" s="118" t="n">
        <f aca="false">X130*Inputs!$C$23*(1+Inputs!$C$24)^(X$127-1)*1*X132</f>
        <v>3.15</v>
      </c>
      <c r="Y135" s="118" t="n">
        <f aca="false">Y130*Inputs!$C$23*(1+Inputs!$C$24)^(Y$127-1)*1*Y132</f>
        <v>3.15</v>
      </c>
      <c r="Z135" s="118" t="n">
        <f aca="false">Z130*Inputs!$C$23*(1+Inputs!$C$24)^(Z$127-1)*1*Z132</f>
        <v>3.15</v>
      </c>
      <c r="AA135" s="118" t="n">
        <f aca="false">AA130*Inputs!$C$23*(1+Inputs!$C$24)^(AA$127-1)*1*AA132</f>
        <v>3.3075</v>
      </c>
      <c r="AB135" s="118" t="n">
        <f aca="false">AB130*Inputs!$C$23*(1+Inputs!$C$24)^(AB$127-1)*1*AB132</f>
        <v>3.3075</v>
      </c>
      <c r="AC135" s="118" t="n">
        <f aca="false">AC130*Inputs!$C$23*(1+Inputs!$C$24)^(AC$127-1)*1*AC132</f>
        <v>3.3075</v>
      </c>
      <c r="AD135" s="118" t="n">
        <f aca="false">AD130*Inputs!$C$23*(1+Inputs!$C$24)^(AD$127-1)*1*AD132</f>
        <v>3.3075</v>
      </c>
      <c r="AE135" s="118" t="n">
        <f aca="false">AE130*Inputs!$C$23*(1+Inputs!$C$24)^(AE$127-1)*1*AE132</f>
        <v>3.3075</v>
      </c>
      <c r="AF135" s="118" t="n">
        <f aca="false">AF130*Inputs!$C$23*(1+Inputs!$C$24)^(AF$127-1)*1*AF132</f>
        <v>3.3075</v>
      </c>
      <c r="AG135" s="118" t="n">
        <f aca="false">AG130*Inputs!$C$23*(1+Inputs!$C$24)^(AG$127-1)*1*AG132</f>
        <v>3.3075</v>
      </c>
      <c r="AH135" s="118" t="n">
        <f aca="false">AH130*Inputs!$C$23*(1+Inputs!$C$24)^(AH$127-1)*1*AH132</f>
        <v>3.3075</v>
      </c>
      <c r="AI135" s="118" t="n">
        <f aca="false">AI130*Inputs!$C$23*(1+Inputs!$C$24)^(AI$127-1)*1*AI132</f>
        <v>3.3075</v>
      </c>
      <c r="AJ135" s="118" t="n">
        <f aca="false">AJ130*Inputs!$C$23*(1+Inputs!$C$24)^(AJ$127-1)*1*AJ132</f>
        <v>3.3075</v>
      </c>
      <c r="AK135" s="118" t="n">
        <f aca="false">AK130*Inputs!$C$23*(1+Inputs!$C$24)^(AK$127-1)*1*AK132</f>
        <v>3.3075</v>
      </c>
      <c r="AL135" s="118" t="n">
        <f aca="false">AL130*Inputs!$C$23*(1+Inputs!$C$24)^(AL$127-1)*1*AL132</f>
        <v>3.3075</v>
      </c>
      <c r="AM135" s="118" t="n">
        <f aca="false">AM130*Inputs!$C$23*(1+Inputs!$C$24)^(AM$127-1)*1*AM132</f>
        <v>3.472875</v>
      </c>
      <c r="AN135" s="118" t="n">
        <f aca="false">AN130*Inputs!$C$23*(1+Inputs!$C$24)^(AN$127-1)*1*AN132</f>
        <v>3.472875</v>
      </c>
      <c r="AO135" s="118" t="n">
        <f aca="false">AO130*Inputs!$C$23*(1+Inputs!$C$24)^(AO$127-1)*1*AO132</f>
        <v>3.472875</v>
      </c>
      <c r="AP135" s="118" t="n">
        <f aca="false">AP130*Inputs!$C$23*(1+Inputs!$C$24)^(AP$127-1)*1*AP132</f>
        <v>3.472875</v>
      </c>
      <c r="AQ135" s="118" t="n">
        <f aca="false">AQ130*Inputs!$C$23*(1+Inputs!$C$24)^(AQ$127-1)*1*AQ132</f>
        <v>3.472875</v>
      </c>
      <c r="AR135" s="118" t="n">
        <f aca="false">AR130*Inputs!$C$23*(1+Inputs!$C$24)^(AR$127-1)*1*AR132</f>
        <v>3.472875</v>
      </c>
      <c r="AS135" s="118" t="n">
        <f aca="false">AS130*Inputs!$C$23*(1+Inputs!$C$24)^(AS$127-1)*1*AS132</f>
        <v>3.472875</v>
      </c>
      <c r="AT135" s="118" t="n">
        <f aca="false">AT130*Inputs!$C$23*(1+Inputs!$C$24)^(AT$127-1)*1*AT132</f>
        <v>3.472875</v>
      </c>
      <c r="AU135" s="118" t="n">
        <f aca="false">AU130*Inputs!$C$23*(1+Inputs!$C$24)^(AU$127-1)*1*AU132</f>
        <v>3.472875</v>
      </c>
      <c r="AV135" s="118" t="n">
        <f aca="false">AV130*Inputs!$C$23*(1+Inputs!$C$24)^(AV$127-1)*1*AV132</f>
        <v>3.472875</v>
      </c>
      <c r="AW135" s="118" t="n">
        <f aca="false">AW130*Inputs!$C$23*(1+Inputs!$C$24)^(AW$127-1)*1*AW132</f>
        <v>3.472875</v>
      </c>
      <c r="AX135" s="118" t="n">
        <f aca="false">AX130*Inputs!$C$23*(1+Inputs!$C$24)^(AX$127-1)*1*AX132</f>
        <v>3.472875</v>
      </c>
      <c r="AY135" s="118" t="n">
        <f aca="false">AY130*Inputs!$C$23*(1+Inputs!$C$24)^(AY$127-1)*1*AY132</f>
        <v>3.64651875</v>
      </c>
      <c r="AZ135" s="118" t="n">
        <f aca="false">AZ130*Inputs!$C$23*(1+Inputs!$C$24)^(AZ$127-1)*1*AZ132</f>
        <v>3.64651875</v>
      </c>
      <c r="BA135" s="118" t="n">
        <f aca="false">BA130*Inputs!$C$23*(1+Inputs!$C$24)^(BA$127-1)*1*BA132</f>
        <v>3.64651875</v>
      </c>
      <c r="BB135" s="118" t="n">
        <f aca="false">BB130*Inputs!$C$23*(1+Inputs!$C$24)^(BB$127-1)*1*BB132</f>
        <v>3.64651875</v>
      </c>
      <c r="BC135" s="118" t="n">
        <f aca="false">BC130*Inputs!$C$23*(1+Inputs!$C$24)^(BC$127-1)*1*BC132</f>
        <v>3.64651875</v>
      </c>
      <c r="BD135" s="118" t="n">
        <f aca="false">BD130*Inputs!$C$23*(1+Inputs!$C$24)^(BD$127-1)*1*BD132</f>
        <v>3.64651875</v>
      </c>
      <c r="BE135" s="118" t="n">
        <f aca="false">BE130*Inputs!$C$23*(1+Inputs!$C$24)^(BE$127-1)*1*BE132</f>
        <v>3.64651875</v>
      </c>
      <c r="BF135" s="118" t="n">
        <f aca="false">BF130*Inputs!$C$23*(1+Inputs!$C$24)^(BF$127-1)*1*BF132</f>
        <v>3.64651875</v>
      </c>
      <c r="BG135" s="118" t="n">
        <f aca="false">BG130*Inputs!$C$23*(1+Inputs!$C$24)^(BG$127-1)*1*BG132</f>
        <v>3.64651875</v>
      </c>
      <c r="BH135" s="118" t="n">
        <f aca="false">BH130*Inputs!$C$23*(1+Inputs!$C$24)^(BH$127-1)*1*BH132</f>
        <v>3.64651875</v>
      </c>
      <c r="BI135" s="118" t="n">
        <f aca="false">BI130*Inputs!$C$23*(1+Inputs!$C$24)^(BI$127-1)*1*BI132</f>
        <v>3.64651875</v>
      </c>
      <c r="BJ135" s="118" t="n">
        <f aca="false">BJ130*Inputs!$C$23*(1+Inputs!$C$24)^(BJ$127-1)*1*BJ132</f>
        <v>3.64651875</v>
      </c>
    </row>
    <row r="136" customFormat="false" ht="15" hidden="false" customHeight="false" outlineLevel="0" collapsed="false">
      <c r="A136" s="4" t="s">
        <v>418</v>
      </c>
      <c r="C136" s="119" t="n">
        <f aca="false">C134+C135</f>
        <v>15</v>
      </c>
      <c r="D136" s="119" t="n">
        <f aca="false">D134+D135</f>
        <v>15.25</v>
      </c>
      <c r="E136" s="119" t="n">
        <f aca="false">E134+E135</f>
        <v>21.5</v>
      </c>
      <c r="F136" s="119" t="n">
        <f aca="false">F134+F135</f>
        <v>21.75</v>
      </c>
      <c r="G136" s="119" t="n">
        <f aca="false">G134+G135</f>
        <v>22</v>
      </c>
      <c r="H136" s="119" t="n">
        <f aca="false">H134+H135</f>
        <v>22.25</v>
      </c>
      <c r="I136" s="119" t="n">
        <f aca="false">I134+I135</f>
        <v>22.5</v>
      </c>
      <c r="J136" s="119" t="n">
        <f aca="false">J134+J135</f>
        <v>22.5</v>
      </c>
      <c r="K136" s="119" t="n">
        <f aca="false">K134+K135</f>
        <v>22.5</v>
      </c>
      <c r="L136" s="119" t="n">
        <f aca="false">L134+L135</f>
        <v>22.5</v>
      </c>
      <c r="M136" s="119" t="n">
        <f aca="false">M134+M135</f>
        <v>22.5</v>
      </c>
      <c r="N136" s="119" t="n">
        <f aca="false">N134+N135</f>
        <v>16.5</v>
      </c>
      <c r="O136" s="119" t="n">
        <f aca="false">O134+O135</f>
        <v>16.65</v>
      </c>
      <c r="P136" s="119" t="n">
        <f aca="false">P134+P135</f>
        <v>16.65</v>
      </c>
      <c r="Q136" s="119" t="n">
        <f aca="false">Q134+Q135</f>
        <v>22.65</v>
      </c>
      <c r="R136" s="119" t="n">
        <f aca="false">R134+R135</f>
        <v>22.65</v>
      </c>
      <c r="S136" s="119" t="n">
        <f aca="false">S134+S135</f>
        <v>22.65</v>
      </c>
      <c r="T136" s="119" t="n">
        <f aca="false">T134+T135</f>
        <v>22.65</v>
      </c>
      <c r="U136" s="119" t="n">
        <f aca="false">U134+U135</f>
        <v>22.65</v>
      </c>
      <c r="V136" s="119" t="n">
        <f aca="false">V134+V135</f>
        <v>22.65</v>
      </c>
      <c r="W136" s="119" t="n">
        <f aca="false">W134+W135</f>
        <v>22.65</v>
      </c>
      <c r="X136" s="119" t="n">
        <f aca="false">X134+X135</f>
        <v>22.65</v>
      </c>
      <c r="Y136" s="119" t="n">
        <f aca="false">Y134+Y135</f>
        <v>22.65</v>
      </c>
      <c r="Z136" s="119" t="n">
        <f aca="false">Z134+Z135</f>
        <v>16.65</v>
      </c>
      <c r="AA136" s="119" t="n">
        <f aca="false">AA134+AA135</f>
        <v>16.8075</v>
      </c>
      <c r="AB136" s="119" t="n">
        <f aca="false">AB134+AB135</f>
        <v>16.8075</v>
      </c>
      <c r="AC136" s="119" t="n">
        <f aca="false">AC134+AC135</f>
        <v>22.8075</v>
      </c>
      <c r="AD136" s="119" t="n">
        <f aca="false">AD134+AD135</f>
        <v>22.8075</v>
      </c>
      <c r="AE136" s="119" t="n">
        <f aca="false">AE134+AE135</f>
        <v>22.8075</v>
      </c>
      <c r="AF136" s="119" t="n">
        <f aca="false">AF134+AF135</f>
        <v>22.8075</v>
      </c>
      <c r="AG136" s="119" t="n">
        <f aca="false">AG134+AG135</f>
        <v>22.8075</v>
      </c>
      <c r="AH136" s="119" t="n">
        <f aca="false">AH134+AH135</f>
        <v>22.8075</v>
      </c>
      <c r="AI136" s="119" t="n">
        <f aca="false">AI134+AI135</f>
        <v>22.8075</v>
      </c>
      <c r="AJ136" s="119" t="n">
        <f aca="false">AJ134+AJ135</f>
        <v>22.8075</v>
      </c>
      <c r="AK136" s="119" t="n">
        <f aca="false">AK134+AK135</f>
        <v>22.8075</v>
      </c>
      <c r="AL136" s="119" t="n">
        <f aca="false">AL134+AL135</f>
        <v>16.8075</v>
      </c>
      <c r="AM136" s="119" t="n">
        <f aca="false">AM134+AM135</f>
        <v>16.972875</v>
      </c>
      <c r="AN136" s="119" t="n">
        <f aca="false">AN134+AN135</f>
        <v>16.972875</v>
      </c>
      <c r="AO136" s="119" t="n">
        <f aca="false">AO134+AO135</f>
        <v>22.972875</v>
      </c>
      <c r="AP136" s="119" t="n">
        <f aca="false">AP134+AP135</f>
        <v>22.972875</v>
      </c>
      <c r="AQ136" s="119" t="n">
        <f aca="false">AQ134+AQ135</f>
        <v>22.972875</v>
      </c>
      <c r="AR136" s="119" t="n">
        <f aca="false">AR134+AR135</f>
        <v>22.972875</v>
      </c>
      <c r="AS136" s="119" t="n">
        <f aca="false">AS134+AS135</f>
        <v>22.972875</v>
      </c>
      <c r="AT136" s="119" t="n">
        <f aca="false">AT134+AT135</f>
        <v>22.972875</v>
      </c>
      <c r="AU136" s="119" t="n">
        <f aca="false">AU134+AU135</f>
        <v>22.972875</v>
      </c>
      <c r="AV136" s="119" t="n">
        <f aca="false">AV134+AV135</f>
        <v>22.972875</v>
      </c>
      <c r="AW136" s="119" t="n">
        <f aca="false">AW134+AW135</f>
        <v>22.972875</v>
      </c>
      <c r="AX136" s="119" t="n">
        <f aca="false">AX134+AX135</f>
        <v>16.972875</v>
      </c>
      <c r="AY136" s="119" t="n">
        <f aca="false">AY134+AY135</f>
        <v>17.14651875</v>
      </c>
      <c r="AZ136" s="119" t="n">
        <f aca="false">AZ134+AZ135</f>
        <v>17.14651875</v>
      </c>
      <c r="BA136" s="119" t="n">
        <f aca="false">BA134+BA135</f>
        <v>23.14651875</v>
      </c>
      <c r="BB136" s="119" t="n">
        <f aca="false">BB134+BB135</f>
        <v>23.14651875</v>
      </c>
      <c r="BC136" s="119" t="n">
        <f aca="false">BC134+BC135</f>
        <v>23.14651875</v>
      </c>
      <c r="BD136" s="119" t="n">
        <f aca="false">BD134+BD135</f>
        <v>23.14651875</v>
      </c>
      <c r="BE136" s="119" t="n">
        <f aca="false">BE134+BE135</f>
        <v>23.14651875</v>
      </c>
      <c r="BF136" s="119" t="n">
        <f aca="false">BF134+BF135</f>
        <v>23.14651875</v>
      </c>
      <c r="BG136" s="119" t="n">
        <f aca="false">BG134+BG135</f>
        <v>23.14651875</v>
      </c>
      <c r="BH136" s="119" t="n">
        <f aca="false">BH134+BH135</f>
        <v>23.14651875</v>
      </c>
      <c r="BI136" s="119" t="n">
        <f aca="false">BI134+BI135</f>
        <v>23.14651875</v>
      </c>
      <c r="BJ136" s="119" t="n">
        <f aca="false">BJ134+BJ135</f>
        <v>17.14651875</v>
      </c>
    </row>
    <row r="137" customFormat="false" ht="15" hidden="false" customHeight="false" outlineLevel="0" collapsed="false">
      <c r="A137" s="6" t="s">
        <v>419</v>
      </c>
      <c r="C137" s="116" t="n">
        <f aca="false">C134*Inputs!$C$17*(1+Inputs!$C$18)^(C$127-1)*C132</f>
        <v>594</v>
      </c>
      <c r="D137" s="116" t="n">
        <f aca="false">D134*Inputs!$C$17*(1+Inputs!$C$18)^(D$127-1)*D132</f>
        <v>693</v>
      </c>
      <c r="E137" s="116" t="n">
        <f aca="false">E134*Inputs!$C$17*(1+Inputs!$C$18)^(E$127-1)*E132</f>
        <v>1144</v>
      </c>
      <c r="F137" s="116" t="n">
        <f aca="false">F134*Inputs!$C$17*(1+Inputs!$C$18)^(F$127-1)*F132</f>
        <v>1287</v>
      </c>
      <c r="G137" s="116" t="n">
        <f aca="false">G134*Inputs!$C$17*(1+Inputs!$C$18)^(G$127-1)*G132</f>
        <v>1430</v>
      </c>
      <c r="H137" s="116" t="n">
        <f aca="false">H134*Inputs!$C$17*(1+Inputs!$C$18)^(H$127-1)*H132</f>
        <v>1573</v>
      </c>
      <c r="I137" s="116" t="n">
        <f aca="false">I134*Inputs!$C$17*(1+Inputs!$C$18)^(I$127-1)*I132</f>
        <v>1716</v>
      </c>
      <c r="J137" s="116" t="n">
        <f aca="false">J134*Inputs!$C$17*(1+Inputs!$C$18)^(J$127-1)*J132</f>
        <v>1716</v>
      </c>
      <c r="K137" s="116" t="n">
        <f aca="false">K134*Inputs!$C$17*(1+Inputs!$C$18)^(K$127-1)*K132</f>
        <v>1716</v>
      </c>
      <c r="L137" s="116" t="n">
        <f aca="false">L134*Inputs!$C$17*(1+Inputs!$C$18)^(L$127-1)*L132</f>
        <v>1716</v>
      </c>
      <c r="M137" s="116" t="n">
        <f aca="false">M134*Inputs!$C$17*(1+Inputs!$C$18)^(M$127-1)*M132</f>
        <v>1716</v>
      </c>
      <c r="N137" s="116" t="n">
        <f aca="false">N134*Inputs!$C$17*(1+Inputs!$C$18)^(N$127-1)*N132</f>
        <v>1188</v>
      </c>
      <c r="O137" s="116" t="n">
        <f aca="false">O134*Inputs!$C$17*(1+Inputs!$C$18)^(O$127-1)*O132</f>
        <v>1223.64</v>
      </c>
      <c r="P137" s="116" t="n">
        <f aca="false">P134*Inputs!$C$17*(1+Inputs!$C$18)^(P$127-1)*P132</f>
        <v>1223.64</v>
      </c>
      <c r="Q137" s="116" t="n">
        <f aca="false">Q134*Inputs!$C$17*(1+Inputs!$C$18)^(Q$127-1)*Q132</f>
        <v>1767.48</v>
      </c>
      <c r="R137" s="116" t="n">
        <f aca="false">R134*Inputs!$C$17*(1+Inputs!$C$18)^(R$127-1)*R132</f>
        <v>1767.48</v>
      </c>
      <c r="S137" s="116" t="n">
        <f aca="false">S134*Inputs!$C$17*(1+Inputs!$C$18)^(S$127-1)*S132</f>
        <v>1767.48</v>
      </c>
      <c r="T137" s="116" t="n">
        <f aca="false">T134*Inputs!$C$17*(1+Inputs!$C$18)^(T$127-1)*T132</f>
        <v>1767.48</v>
      </c>
      <c r="U137" s="116" t="n">
        <f aca="false">U134*Inputs!$C$17*(1+Inputs!$C$18)^(U$127-1)*U132</f>
        <v>1767.48</v>
      </c>
      <c r="V137" s="116" t="n">
        <f aca="false">V134*Inputs!$C$17*(1+Inputs!$C$18)^(V$127-1)*V132</f>
        <v>1767.48</v>
      </c>
      <c r="W137" s="116" t="n">
        <f aca="false">W134*Inputs!$C$17*(1+Inputs!$C$18)^(W$127-1)*W132</f>
        <v>1767.48</v>
      </c>
      <c r="X137" s="116" t="n">
        <f aca="false">X134*Inputs!$C$17*(1+Inputs!$C$18)^(X$127-1)*X132</f>
        <v>1767.48</v>
      </c>
      <c r="Y137" s="116" t="n">
        <f aca="false">Y134*Inputs!$C$17*(1+Inputs!$C$18)^(Y$127-1)*Y132</f>
        <v>1767.48</v>
      </c>
      <c r="Z137" s="116" t="n">
        <f aca="false">Z134*Inputs!$C$17*(1+Inputs!$C$18)^(Z$127-1)*Z132</f>
        <v>1223.64</v>
      </c>
      <c r="AA137" s="116" t="n">
        <f aca="false">AA134*Inputs!$C$17*(1+Inputs!$C$18)^(AA$127-1)*AA132</f>
        <v>1260.3492</v>
      </c>
      <c r="AB137" s="116" t="n">
        <f aca="false">AB134*Inputs!$C$17*(1+Inputs!$C$18)^(AB$127-1)*AB132</f>
        <v>1260.3492</v>
      </c>
      <c r="AC137" s="116" t="n">
        <f aca="false">AC134*Inputs!$C$17*(1+Inputs!$C$18)^(AC$127-1)*AC132</f>
        <v>1820.5044</v>
      </c>
      <c r="AD137" s="116" t="n">
        <f aca="false">AD134*Inputs!$C$17*(1+Inputs!$C$18)^(AD$127-1)*AD132</f>
        <v>1820.5044</v>
      </c>
      <c r="AE137" s="116" t="n">
        <f aca="false">AE134*Inputs!$C$17*(1+Inputs!$C$18)^(AE$127-1)*AE132</f>
        <v>1820.5044</v>
      </c>
      <c r="AF137" s="116" t="n">
        <f aca="false">AF134*Inputs!$C$17*(1+Inputs!$C$18)^(AF$127-1)*AF132</f>
        <v>1820.5044</v>
      </c>
      <c r="AG137" s="116" t="n">
        <f aca="false">AG134*Inputs!$C$17*(1+Inputs!$C$18)^(AG$127-1)*AG132</f>
        <v>1820.5044</v>
      </c>
      <c r="AH137" s="116" t="n">
        <f aca="false">AH134*Inputs!$C$17*(1+Inputs!$C$18)^(AH$127-1)*AH132</f>
        <v>1820.5044</v>
      </c>
      <c r="AI137" s="116" t="n">
        <f aca="false">AI134*Inputs!$C$17*(1+Inputs!$C$18)^(AI$127-1)*AI132</f>
        <v>1820.5044</v>
      </c>
      <c r="AJ137" s="116" t="n">
        <f aca="false">AJ134*Inputs!$C$17*(1+Inputs!$C$18)^(AJ$127-1)*AJ132</f>
        <v>1820.5044</v>
      </c>
      <c r="AK137" s="116" t="n">
        <f aca="false">AK134*Inputs!$C$17*(1+Inputs!$C$18)^(AK$127-1)*AK132</f>
        <v>1820.5044</v>
      </c>
      <c r="AL137" s="116" t="n">
        <f aca="false">AL134*Inputs!$C$17*(1+Inputs!$C$18)^(AL$127-1)*AL132</f>
        <v>1260.3492</v>
      </c>
      <c r="AM137" s="116" t="n">
        <f aca="false">AM134*Inputs!$C$17*(1+Inputs!$C$18)^(AM$127-1)*AM132</f>
        <v>1298.159676</v>
      </c>
      <c r="AN137" s="116" t="n">
        <f aca="false">AN134*Inputs!$C$17*(1+Inputs!$C$18)^(AN$127-1)*AN132</f>
        <v>1298.159676</v>
      </c>
      <c r="AO137" s="116" t="n">
        <f aca="false">AO134*Inputs!$C$17*(1+Inputs!$C$18)^(AO$127-1)*AO132</f>
        <v>1875.119532</v>
      </c>
      <c r="AP137" s="116" t="n">
        <f aca="false">AP134*Inputs!$C$17*(1+Inputs!$C$18)^(AP$127-1)*AP132</f>
        <v>1875.119532</v>
      </c>
      <c r="AQ137" s="116" t="n">
        <f aca="false">AQ134*Inputs!$C$17*(1+Inputs!$C$18)^(AQ$127-1)*AQ132</f>
        <v>1875.119532</v>
      </c>
      <c r="AR137" s="116" t="n">
        <f aca="false">AR134*Inputs!$C$17*(1+Inputs!$C$18)^(AR$127-1)*AR132</f>
        <v>1875.119532</v>
      </c>
      <c r="AS137" s="116" t="n">
        <f aca="false">AS134*Inputs!$C$17*(1+Inputs!$C$18)^(AS$127-1)*AS132</f>
        <v>1875.119532</v>
      </c>
      <c r="AT137" s="116" t="n">
        <f aca="false">AT134*Inputs!$C$17*(1+Inputs!$C$18)^(AT$127-1)*AT132</f>
        <v>1875.119532</v>
      </c>
      <c r="AU137" s="116" t="n">
        <f aca="false">AU134*Inputs!$C$17*(1+Inputs!$C$18)^(AU$127-1)*AU132</f>
        <v>1875.119532</v>
      </c>
      <c r="AV137" s="116" t="n">
        <f aca="false">AV134*Inputs!$C$17*(1+Inputs!$C$18)^(AV$127-1)*AV132</f>
        <v>1875.119532</v>
      </c>
      <c r="AW137" s="116" t="n">
        <f aca="false">AW134*Inputs!$C$17*(1+Inputs!$C$18)^(AW$127-1)*AW132</f>
        <v>1875.119532</v>
      </c>
      <c r="AX137" s="116" t="n">
        <f aca="false">AX134*Inputs!$C$17*(1+Inputs!$C$18)^(AX$127-1)*AX132</f>
        <v>1298.159676</v>
      </c>
      <c r="AY137" s="116" t="n">
        <f aca="false">AY134*Inputs!$C$17*(1+Inputs!$C$18)^(AY$127-1)*AY132</f>
        <v>1337.10446628</v>
      </c>
      <c r="AZ137" s="116" t="n">
        <f aca="false">AZ134*Inputs!$C$17*(1+Inputs!$C$18)^(AZ$127-1)*AZ132</f>
        <v>1337.10446628</v>
      </c>
      <c r="BA137" s="116" t="n">
        <f aca="false">BA134*Inputs!$C$17*(1+Inputs!$C$18)^(BA$127-1)*BA132</f>
        <v>1931.37311796</v>
      </c>
      <c r="BB137" s="116" t="n">
        <f aca="false">BB134*Inputs!$C$17*(1+Inputs!$C$18)^(BB$127-1)*BB132</f>
        <v>1931.37311796</v>
      </c>
      <c r="BC137" s="116" t="n">
        <f aca="false">BC134*Inputs!$C$17*(1+Inputs!$C$18)^(BC$127-1)*BC132</f>
        <v>1931.37311796</v>
      </c>
      <c r="BD137" s="116" t="n">
        <f aca="false">BD134*Inputs!$C$17*(1+Inputs!$C$18)^(BD$127-1)*BD132</f>
        <v>1931.37311796</v>
      </c>
      <c r="BE137" s="116" t="n">
        <f aca="false">BE134*Inputs!$C$17*(1+Inputs!$C$18)^(BE$127-1)*BE132</f>
        <v>1931.37311796</v>
      </c>
      <c r="BF137" s="116" t="n">
        <f aca="false">BF134*Inputs!$C$17*(1+Inputs!$C$18)^(BF$127-1)*BF132</f>
        <v>1931.37311796</v>
      </c>
      <c r="BG137" s="116" t="n">
        <f aca="false">BG134*Inputs!$C$17*(1+Inputs!$C$18)^(BG$127-1)*BG132</f>
        <v>1931.37311796</v>
      </c>
      <c r="BH137" s="116" t="n">
        <f aca="false">BH134*Inputs!$C$17*(1+Inputs!$C$18)^(BH$127-1)*BH132</f>
        <v>1931.37311796</v>
      </c>
      <c r="BI137" s="116" t="n">
        <f aca="false">BI134*Inputs!$C$17*(1+Inputs!$C$18)^(BI$127-1)*BI132</f>
        <v>1931.37311796</v>
      </c>
      <c r="BJ137" s="116" t="n">
        <f aca="false">BJ134*Inputs!$C$17*(1+Inputs!$C$18)^(BJ$127-1)*BJ132</f>
        <v>1337.10446628</v>
      </c>
    </row>
    <row r="138" customFormat="false" ht="15" hidden="false" customHeight="false" outlineLevel="0" collapsed="false">
      <c r="A138" s="6" t="s">
        <v>420</v>
      </c>
      <c r="C138" s="116" t="n">
        <f aca="false">C135*Inputs!$C$26</f>
        <v>150</v>
      </c>
      <c r="D138" s="116" t="n">
        <f aca="false">D135*Inputs!$C$26</f>
        <v>175</v>
      </c>
      <c r="E138" s="116" t="n">
        <f aca="false">E135*Inputs!$C$26</f>
        <v>200</v>
      </c>
      <c r="F138" s="116" t="n">
        <f aca="false">F135*Inputs!$C$26</f>
        <v>225</v>
      </c>
      <c r="G138" s="116" t="n">
        <f aca="false">G135*Inputs!$C$26</f>
        <v>250</v>
      </c>
      <c r="H138" s="116" t="n">
        <f aca="false">H135*Inputs!$C$26</f>
        <v>275</v>
      </c>
      <c r="I138" s="116" t="n">
        <f aca="false">I135*Inputs!$C$26</f>
        <v>300</v>
      </c>
      <c r="J138" s="116" t="n">
        <f aca="false">J135*Inputs!$C$26</f>
        <v>300</v>
      </c>
      <c r="K138" s="116" t="n">
        <f aca="false">K135*Inputs!$C$26</f>
        <v>300</v>
      </c>
      <c r="L138" s="116" t="n">
        <f aca="false">L135*Inputs!$C$26</f>
        <v>300</v>
      </c>
      <c r="M138" s="116" t="n">
        <f aca="false">M135*Inputs!$C$26</f>
        <v>300</v>
      </c>
      <c r="N138" s="116" t="n">
        <f aca="false">N135*Inputs!$C$26</f>
        <v>300</v>
      </c>
      <c r="O138" s="116" t="n">
        <f aca="false">O135*Inputs!$C$26</f>
        <v>315</v>
      </c>
      <c r="P138" s="116" t="n">
        <f aca="false">P135*Inputs!$C$26</f>
        <v>315</v>
      </c>
      <c r="Q138" s="116" t="n">
        <f aca="false">Q135*Inputs!$C$26</f>
        <v>315</v>
      </c>
      <c r="R138" s="116" t="n">
        <f aca="false">R135*Inputs!$C$26</f>
        <v>315</v>
      </c>
      <c r="S138" s="116" t="n">
        <f aca="false">S135*Inputs!$C$26</f>
        <v>315</v>
      </c>
      <c r="T138" s="116" t="n">
        <f aca="false">T135*Inputs!$C$26</f>
        <v>315</v>
      </c>
      <c r="U138" s="116" t="n">
        <f aca="false">U135*Inputs!$C$26</f>
        <v>315</v>
      </c>
      <c r="V138" s="116" t="n">
        <f aca="false">V135*Inputs!$C$26</f>
        <v>315</v>
      </c>
      <c r="W138" s="116" t="n">
        <f aca="false">W135*Inputs!$C$26</f>
        <v>315</v>
      </c>
      <c r="X138" s="116" t="n">
        <f aca="false">X135*Inputs!$C$26</f>
        <v>315</v>
      </c>
      <c r="Y138" s="116" t="n">
        <f aca="false">Y135*Inputs!$C$26</f>
        <v>315</v>
      </c>
      <c r="Z138" s="116" t="n">
        <f aca="false">Z135*Inputs!$C$26</f>
        <v>315</v>
      </c>
      <c r="AA138" s="116" t="n">
        <f aca="false">AA135*Inputs!$C$26</f>
        <v>330.75</v>
      </c>
      <c r="AB138" s="116" t="n">
        <f aca="false">AB135*Inputs!$C$26</f>
        <v>330.75</v>
      </c>
      <c r="AC138" s="116" t="n">
        <f aca="false">AC135*Inputs!$C$26</f>
        <v>330.75</v>
      </c>
      <c r="AD138" s="116" t="n">
        <f aca="false">AD135*Inputs!$C$26</f>
        <v>330.75</v>
      </c>
      <c r="AE138" s="116" t="n">
        <f aca="false">AE135*Inputs!$C$26</f>
        <v>330.75</v>
      </c>
      <c r="AF138" s="116" t="n">
        <f aca="false">AF135*Inputs!$C$26</f>
        <v>330.75</v>
      </c>
      <c r="AG138" s="116" t="n">
        <f aca="false">AG135*Inputs!$C$26</f>
        <v>330.75</v>
      </c>
      <c r="AH138" s="116" t="n">
        <f aca="false">AH135*Inputs!$C$26</f>
        <v>330.75</v>
      </c>
      <c r="AI138" s="116" t="n">
        <f aca="false">AI135*Inputs!$C$26</f>
        <v>330.75</v>
      </c>
      <c r="AJ138" s="116" t="n">
        <f aca="false">AJ135*Inputs!$C$26</f>
        <v>330.75</v>
      </c>
      <c r="AK138" s="116" t="n">
        <f aca="false">AK135*Inputs!$C$26</f>
        <v>330.75</v>
      </c>
      <c r="AL138" s="116" t="n">
        <f aca="false">AL135*Inputs!$C$26</f>
        <v>330.75</v>
      </c>
      <c r="AM138" s="116" t="n">
        <f aca="false">AM135*Inputs!$C$26</f>
        <v>347.2875</v>
      </c>
      <c r="AN138" s="116" t="n">
        <f aca="false">AN135*Inputs!$C$26</f>
        <v>347.2875</v>
      </c>
      <c r="AO138" s="116" t="n">
        <f aca="false">AO135*Inputs!$C$26</f>
        <v>347.2875</v>
      </c>
      <c r="AP138" s="116" t="n">
        <f aca="false">AP135*Inputs!$C$26</f>
        <v>347.2875</v>
      </c>
      <c r="AQ138" s="116" t="n">
        <f aca="false">AQ135*Inputs!$C$26</f>
        <v>347.2875</v>
      </c>
      <c r="AR138" s="116" t="n">
        <f aca="false">AR135*Inputs!$C$26</f>
        <v>347.2875</v>
      </c>
      <c r="AS138" s="116" t="n">
        <f aca="false">AS135*Inputs!$C$26</f>
        <v>347.2875</v>
      </c>
      <c r="AT138" s="116" t="n">
        <f aca="false">AT135*Inputs!$C$26</f>
        <v>347.2875</v>
      </c>
      <c r="AU138" s="116" t="n">
        <f aca="false">AU135*Inputs!$C$26</f>
        <v>347.2875</v>
      </c>
      <c r="AV138" s="116" t="n">
        <f aca="false">AV135*Inputs!$C$26</f>
        <v>347.2875</v>
      </c>
      <c r="AW138" s="116" t="n">
        <f aca="false">AW135*Inputs!$C$26</f>
        <v>347.2875</v>
      </c>
      <c r="AX138" s="116" t="n">
        <f aca="false">AX135*Inputs!$C$26</f>
        <v>347.2875</v>
      </c>
      <c r="AY138" s="116" t="n">
        <f aca="false">AY135*Inputs!$C$26</f>
        <v>364.651875</v>
      </c>
      <c r="AZ138" s="116" t="n">
        <f aca="false">AZ135*Inputs!$C$26</f>
        <v>364.651875</v>
      </c>
      <c r="BA138" s="116" t="n">
        <f aca="false">BA135*Inputs!$C$26</f>
        <v>364.651875</v>
      </c>
      <c r="BB138" s="116" t="n">
        <f aca="false">BB135*Inputs!$C$26</f>
        <v>364.651875</v>
      </c>
      <c r="BC138" s="116" t="n">
        <f aca="false">BC135*Inputs!$C$26</f>
        <v>364.651875</v>
      </c>
      <c r="BD138" s="116" t="n">
        <f aca="false">BD135*Inputs!$C$26</f>
        <v>364.651875</v>
      </c>
      <c r="BE138" s="116" t="n">
        <f aca="false">BE135*Inputs!$C$26</f>
        <v>364.651875</v>
      </c>
      <c r="BF138" s="116" t="n">
        <f aca="false">BF135*Inputs!$C$26</f>
        <v>364.651875</v>
      </c>
      <c r="BG138" s="116" t="n">
        <f aca="false">BG135*Inputs!$C$26</f>
        <v>364.651875</v>
      </c>
      <c r="BH138" s="116" t="n">
        <f aca="false">BH135*Inputs!$C$26</f>
        <v>364.651875</v>
      </c>
      <c r="BI138" s="116" t="n">
        <f aca="false">BI135*Inputs!$C$26</f>
        <v>364.651875</v>
      </c>
      <c r="BJ138" s="116" t="n">
        <f aca="false">BJ135*Inputs!$C$26</f>
        <v>364.651875</v>
      </c>
    </row>
    <row r="139" customFormat="false" ht="15" hidden="false" customHeight="false" outlineLevel="0" collapsed="false">
      <c r="A139" s="4" t="s">
        <v>421</v>
      </c>
      <c r="C139" s="120" t="n">
        <f aca="false">C137+C138</f>
        <v>744</v>
      </c>
      <c r="D139" s="120" t="n">
        <f aca="false">D137+D138</f>
        <v>868</v>
      </c>
      <c r="E139" s="120" t="n">
        <f aca="false">E137+E138</f>
        <v>1344</v>
      </c>
      <c r="F139" s="120" t="n">
        <f aca="false">F137+F138</f>
        <v>1512</v>
      </c>
      <c r="G139" s="120" t="n">
        <f aca="false">G137+G138</f>
        <v>1680</v>
      </c>
      <c r="H139" s="120" t="n">
        <f aca="false">H137+H138</f>
        <v>1848</v>
      </c>
      <c r="I139" s="120" t="n">
        <f aca="false">I137+I138</f>
        <v>2016</v>
      </c>
      <c r="J139" s="120" t="n">
        <f aca="false">J137+J138</f>
        <v>2016</v>
      </c>
      <c r="K139" s="120" t="n">
        <f aca="false">K137+K138</f>
        <v>2016</v>
      </c>
      <c r="L139" s="120" t="n">
        <f aca="false">L137+L138</f>
        <v>2016</v>
      </c>
      <c r="M139" s="120" t="n">
        <f aca="false">M137+M138</f>
        <v>2016</v>
      </c>
      <c r="N139" s="120" t="n">
        <f aca="false">N137+N138</f>
        <v>1488</v>
      </c>
      <c r="O139" s="120" t="n">
        <f aca="false">O137+O138</f>
        <v>1538.64</v>
      </c>
      <c r="P139" s="120" t="n">
        <f aca="false">P137+P138</f>
        <v>1538.64</v>
      </c>
      <c r="Q139" s="120" t="n">
        <f aca="false">Q137+Q138</f>
        <v>2082.48</v>
      </c>
      <c r="R139" s="120" t="n">
        <f aca="false">R137+R138</f>
        <v>2082.48</v>
      </c>
      <c r="S139" s="120" t="n">
        <f aca="false">S137+S138</f>
        <v>2082.48</v>
      </c>
      <c r="T139" s="120" t="n">
        <f aca="false">T137+T138</f>
        <v>2082.48</v>
      </c>
      <c r="U139" s="120" t="n">
        <f aca="false">U137+U138</f>
        <v>2082.48</v>
      </c>
      <c r="V139" s="120" t="n">
        <f aca="false">V137+V138</f>
        <v>2082.48</v>
      </c>
      <c r="W139" s="120" t="n">
        <f aca="false">W137+W138</f>
        <v>2082.48</v>
      </c>
      <c r="X139" s="120" t="n">
        <f aca="false">X137+X138</f>
        <v>2082.48</v>
      </c>
      <c r="Y139" s="120" t="n">
        <f aca="false">Y137+Y138</f>
        <v>2082.48</v>
      </c>
      <c r="Z139" s="120" t="n">
        <f aca="false">Z137+Z138</f>
        <v>1538.64</v>
      </c>
      <c r="AA139" s="120" t="n">
        <f aca="false">AA137+AA138</f>
        <v>1591.0992</v>
      </c>
      <c r="AB139" s="120" t="n">
        <f aca="false">AB137+AB138</f>
        <v>1591.0992</v>
      </c>
      <c r="AC139" s="120" t="n">
        <f aca="false">AC137+AC138</f>
        <v>2151.2544</v>
      </c>
      <c r="AD139" s="120" t="n">
        <f aca="false">AD137+AD138</f>
        <v>2151.2544</v>
      </c>
      <c r="AE139" s="120" t="n">
        <f aca="false">AE137+AE138</f>
        <v>2151.2544</v>
      </c>
      <c r="AF139" s="120" t="n">
        <f aca="false">AF137+AF138</f>
        <v>2151.2544</v>
      </c>
      <c r="AG139" s="120" t="n">
        <f aca="false">AG137+AG138</f>
        <v>2151.2544</v>
      </c>
      <c r="AH139" s="120" t="n">
        <f aca="false">AH137+AH138</f>
        <v>2151.2544</v>
      </c>
      <c r="AI139" s="120" t="n">
        <f aca="false">AI137+AI138</f>
        <v>2151.2544</v>
      </c>
      <c r="AJ139" s="120" t="n">
        <f aca="false">AJ137+AJ138</f>
        <v>2151.2544</v>
      </c>
      <c r="AK139" s="120" t="n">
        <f aca="false">AK137+AK138</f>
        <v>2151.2544</v>
      </c>
      <c r="AL139" s="120" t="n">
        <f aca="false">AL137+AL138</f>
        <v>1591.0992</v>
      </c>
      <c r="AM139" s="120" t="n">
        <f aca="false">AM137+AM138</f>
        <v>1645.447176</v>
      </c>
      <c r="AN139" s="120" t="n">
        <f aca="false">AN137+AN138</f>
        <v>1645.447176</v>
      </c>
      <c r="AO139" s="120" t="n">
        <f aca="false">AO137+AO138</f>
        <v>2222.407032</v>
      </c>
      <c r="AP139" s="120" t="n">
        <f aca="false">AP137+AP138</f>
        <v>2222.407032</v>
      </c>
      <c r="AQ139" s="120" t="n">
        <f aca="false">AQ137+AQ138</f>
        <v>2222.407032</v>
      </c>
      <c r="AR139" s="120" t="n">
        <f aca="false">AR137+AR138</f>
        <v>2222.407032</v>
      </c>
      <c r="AS139" s="120" t="n">
        <f aca="false">AS137+AS138</f>
        <v>2222.407032</v>
      </c>
      <c r="AT139" s="120" t="n">
        <f aca="false">AT137+AT138</f>
        <v>2222.407032</v>
      </c>
      <c r="AU139" s="120" t="n">
        <f aca="false">AU137+AU138</f>
        <v>2222.407032</v>
      </c>
      <c r="AV139" s="120" t="n">
        <f aca="false">AV137+AV138</f>
        <v>2222.407032</v>
      </c>
      <c r="AW139" s="120" t="n">
        <f aca="false">AW137+AW138</f>
        <v>2222.407032</v>
      </c>
      <c r="AX139" s="120" t="n">
        <f aca="false">AX137+AX138</f>
        <v>1645.447176</v>
      </c>
      <c r="AY139" s="120" t="n">
        <f aca="false">AY137+AY138</f>
        <v>1701.75634128</v>
      </c>
      <c r="AZ139" s="120" t="n">
        <f aca="false">AZ137+AZ138</f>
        <v>1701.75634128</v>
      </c>
      <c r="BA139" s="120" t="n">
        <f aca="false">BA137+BA138</f>
        <v>2296.02499296</v>
      </c>
      <c r="BB139" s="120" t="n">
        <f aca="false">BB137+BB138</f>
        <v>2296.02499296</v>
      </c>
      <c r="BC139" s="120" t="n">
        <f aca="false">BC137+BC138</f>
        <v>2296.02499296</v>
      </c>
      <c r="BD139" s="120" t="n">
        <f aca="false">BD137+BD138</f>
        <v>2296.02499296</v>
      </c>
      <c r="BE139" s="120" t="n">
        <f aca="false">BE137+BE138</f>
        <v>2296.02499296</v>
      </c>
      <c r="BF139" s="120" t="n">
        <f aca="false">BF137+BF138</f>
        <v>2296.02499296</v>
      </c>
      <c r="BG139" s="120" t="n">
        <f aca="false">BG137+BG138</f>
        <v>2296.02499296</v>
      </c>
      <c r="BH139" s="120" t="n">
        <f aca="false">BH137+BH138</f>
        <v>2296.02499296</v>
      </c>
      <c r="BI139" s="120" t="n">
        <f aca="false">BI137+BI138</f>
        <v>2296.02499296</v>
      </c>
      <c r="BJ139" s="120" t="n">
        <f aca="false">BJ137+BJ138</f>
        <v>1701.75634128</v>
      </c>
    </row>
    <row r="141" customFormat="false" ht="15.75" hidden="false" customHeight="true" outlineLevel="0" collapsed="false">
      <c r="A141" s="7" t="s">
        <v>44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</row>
    <row r="142" customFormat="false" ht="15" hidden="false" customHeight="false" outlineLevel="0" collapsed="false">
      <c r="A142" s="6" t="s">
        <v>422</v>
      </c>
      <c r="C142" s="121" t="n">
        <f aca="false">Inputs!$C$19*(1+Inputs!$C$20)^(C$127-1)</f>
        <v>14</v>
      </c>
      <c r="D142" s="121" t="n">
        <f aca="false">Inputs!$C$19*(1+Inputs!$C$20)^(D$127-1)</f>
        <v>14</v>
      </c>
      <c r="E142" s="121" t="n">
        <f aca="false">Inputs!$C$19*(1+Inputs!$C$20)^(E$127-1)</f>
        <v>14</v>
      </c>
      <c r="F142" s="121" t="n">
        <f aca="false">Inputs!$C$19*(1+Inputs!$C$20)^(F$127-1)</f>
        <v>14</v>
      </c>
      <c r="G142" s="121" t="n">
        <f aca="false">Inputs!$C$19*(1+Inputs!$C$20)^(G$127-1)</f>
        <v>14</v>
      </c>
      <c r="H142" s="121" t="n">
        <f aca="false">Inputs!$C$19*(1+Inputs!$C$20)^(H$127-1)</f>
        <v>14</v>
      </c>
      <c r="I142" s="121" t="n">
        <f aca="false">Inputs!$C$19*(1+Inputs!$C$20)^(I$127-1)</f>
        <v>14</v>
      </c>
      <c r="J142" s="121" t="n">
        <f aca="false">Inputs!$C$19*(1+Inputs!$C$20)^(J$127-1)</f>
        <v>14</v>
      </c>
      <c r="K142" s="121" t="n">
        <f aca="false">Inputs!$C$19*(1+Inputs!$C$20)^(K$127-1)</f>
        <v>14</v>
      </c>
      <c r="L142" s="121" t="n">
        <f aca="false">Inputs!$C$19*(1+Inputs!$C$20)^(L$127-1)</f>
        <v>14</v>
      </c>
      <c r="M142" s="121" t="n">
        <f aca="false">Inputs!$C$19*(1+Inputs!$C$20)^(M$127-1)</f>
        <v>14</v>
      </c>
      <c r="N142" s="121" t="n">
        <f aca="false">Inputs!$C$19*(1+Inputs!$C$20)^(N$127-1)</f>
        <v>14</v>
      </c>
      <c r="O142" s="121" t="n">
        <f aca="false">Inputs!$C$19*(1+Inputs!$C$20)^(O$127-1)</f>
        <v>14.42</v>
      </c>
      <c r="P142" s="121" t="n">
        <f aca="false">Inputs!$C$19*(1+Inputs!$C$20)^(P$127-1)</f>
        <v>14.42</v>
      </c>
      <c r="Q142" s="121" t="n">
        <f aca="false">Inputs!$C$19*(1+Inputs!$C$20)^(Q$127-1)</f>
        <v>14.42</v>
      </c>
      <c r="R142" s="121" t="n">
        <f aca="false">Inputs!$C$19*(1+Inputs!$C$20)^(R$127-1)</f>
        <v>14.42</v>
      </c>
      <c r="S142" s="121" t="n">
        <f aca="false">Inputs!$C$19*(1+Inputs!$C$20)^(S$127-1)</f>
        <v>14.42</v>
      </c>
      <c r="T142" s="121" t="n">
        <f aca="false">Inputs!$C$19*(1+Inputs!$C$20)^(T$127-1)</f>
        <v>14.42</v>
      </c>
      <c r="U142" s="121" t="n">
        <f aca="false">Inputs!$C$19*(1+Inputs!$C$20)^(U$127-1)</f>
        <v>14.42</v>
      </c>
      <c r="V142" s="121" t="n">
        <f aca="false">Inputs!$C$19*(1+Inputs!$C$20)^(V$127-1)</f>
        <v>14.42</v>
      </c>
      <c r="W142" s="121" t="n">
        <f aca="false">Inputs!$C$19*(1+Inputs!$C$20)^(W$127-1)</f>
        <v>14.42</v>
      </c>
      <c r="X142" s="121" t="n">
        <f aca="false">Inputs!$C$19*(1+Inputs!$C$20)^(X$127-1)</f>
        <v>14.42</v>
      </c>
      <c r="Y142" s="121" t="n">
        <f aca="false">Inputs!$C$19*(1+Inputs!$C$20)^(Y$127-1)</f>
        <v>14.42</v>
      </c>
      <c r="Z142" s="121" t="n">
        <f aca="false">Inputs!$C$19*(1+Inputs!$C$20)^(Z$127-1)</f>
        <v>14.42</v>
      </c>
      <c r="AA142" s="121" t="n">
        <f aca="false">Inputs!$C$19*(1+Inputs!$C$20)^(AA$127-1)</f>
        <v>14.8526</v>
      </c>
      <c r="AB142" s="121" t="n">
        <f aca="false">Inputs!$C$19*(1+Inputs!$C$20)^(AB$127-1)</f>
        <v>14.8526</v>
      </c>
      <c r="AC142" s="121" t="n">
        <f aca="false">Inputs!$C$19*(1+Inputs!$C$20)^(AC$127-1)</f>
        <v>14.8526</v>
      </c>
      <c r="AD142" s="121" t="n">
        <f aca="false">Inputs!$C$19*(1+Inputs!$C$20)^(AD$127-1)</f>
        <v>14.8526</v>
      </c>
      <c r="AE142" s="121" t="n">
        <f aca="false">Inputs!$C$19*(1+Inputs!$C$20)^(AE$127-1)</f>
        <v>14.8526</v>
      </c>
      <c r="AF142" s="121" t="n">
        <f aca="false">Inputs!$C$19*(1+Inputs!$C$20)^(AF$127-1)</f>
        <v>14.8526</v>
      </c>
      <c r="AG142" s="121" t="n">
        <f aca="false">Inputs!$C$19*(1+Inputs!$C$20)^(AG$127-1)</f>
        <v>14.8526</v>
      </c>
      <c r="AH142" s="121" t="n">
        <f aca="false">Inputs!$C$19*(1+Inputs!$C$20)^(AH$127-1)</f>
        <v>14.8526</v>
      </c>
      <c r="AI142" s="121" t="n">
        <f aca="false">Inputs!$C$19*(1+Inputs!$C$20)^(AI$127-1)</f>
        <v>14.8526</v>
      </c>
      <c r="AJ142" s="121" t="n">
        <f aca="false">Inputs!$C$19*(1+Inputs!$C$20)^(AJ$127-1)</f>
        <v>14.8526</v>
      </c>
      <c r="AK142" s="121" t="n">
        <f aca="false">Inputs!$C$19*(1+Inputs!$C$20)^(AK$127-1)</f>
        <v>14.8526</v>
      </c>
      <c r="AL142" s="121" t="n">
        <f aca="false">Inputs!$C$19*(1+Inputs!$C$20)^(AL$127-1)</f>
        <v>14.8526</v>
      </c>
      <c r="AM142" s="121" t="n">
        <f aca="false">Inputs!$C$19*(1+Inputs!$C$20)^(AM$127-1)</f>
        <v>15.298178</v>
      </c>
      <c r="AN142" s="121" t="n">
        <f aca="false">Inputs!$C$19*(1+Inputs!$C$20)^(AN$127-1)</f>
        <v>15.298178</v>
      </c>
      <c r="AO142" s="121" t="n">
        <f aca="false">Inputs!$C$19*(1+Inputs!$C$20)^(AO$127-1)</f>
        <v>15.298178</v>
      </c>
      <c r="AP142" s="121" t="n">
        <f aca="false">Inputs!$C$19*(1+Inputs!$C$20)^(AP$127-1)</f>
        <v>15.298178</v>
      </c>
      <c r="AQ142" s="121" t="n">
        <f aca="false">Inputs!$C$19*(1+Inputs!$C$20)^(AQ$127-1)</f>
        <v>15.298178</v>
      </c>
      <c r="AR142" s="121" t="n">
        <f aca="false">Inputs!$C$19*(1+Inputs!$C$20)^(AR$127-1)</f>
        <v>15.298178</v>
      </c>
      <c r="AS142" s="121" t="n">
        <f aca="false">Inputs!$C$19*(1+Inputs!$C$20)^(AS$127-1)</f>
        <v>15.298178</v>
      </c>
      <c r="AT142" s="121" t="n">
        <f aca="false">Inputs!$C$19*(1+Inputs!$C$20)^(AT$127-1)</f>
        <v>15.298178</v>
      </c>
      <c r="AU142" s="121" t="n">
        <f aca="false">Inputs!$C$19*(1+Inputs!$C$20)^(AU$127-1)</f>
        <v>15.298178</v>
      </c>
      <c r="AV142" s="121" t="n">
        <f aca="false">Inputs!$C$19*(1+Inputs!$C$20)^(AV$127-1)</f>
        <v>15.298178</v>
      </c>
      <c r="AW142" s="121" t="n">
        <f aca="false">Inputs!$C$19*(1+Inputs!$C$20)^(AW$127-1)</f>
        <v>15.298178</v>
      </c>
      <c r="AX142" s="121" t="n">
        <f aca="false">Inputs!$C$19*(1+Inputs!$C$20)^(AX$127-1)</f>
        <v>15.298178</v>
      </c>
      <c r="AY142" s="121" t="n">
        <f aca="false">Inputs!$C$19*(1+Inputs!$C$20)^(AY$127-1)</f>
        <v>15.75712334</v>
      </c>
      <c r="AZ142" s="121" t="n">
        <f aca="false">Inputs!$C$19*(1+Inputs!$C$20)^(AZ$127-1)</f>
        <v>15.75712334</v>
      </c>
      <c r="BA142" s="121" t="n">
        <f aca="false">Inputs!$C$19*(1+Inputs!$C$20)^(BA$127-1)</f>
        <v>15.75712334</v>
      </c>
      <c r="BB142" s="121" t="n">
        <f aca="false">Inputs!$C$19*(1+Inputs!$C$20)^(BB$127-1)</f>
        <v>15.75712334</v>
      </c>
      <c r="BC142" s="121" t="n">
        <f aca="false">Inputs!$C$19*(1+Inputs!$C$20)^(BC$127-1)</f>
        <v>15.75712334</v>
      </c>
      <c r="BD142" s="121" t="n">
        <f aca="false">Inputs!$C$19*(1+Inputs!$C$20)^(BD$127-1)</f>
        <v>15.75712334</v>
      </c>
      <c r="BE142" s="121" t="n">
        <f aca="false">Inputs!$C$19*(1+Inputs!$C$20)^(BE$127-1)</f>
        <v>15.75712334</v>
      </c>
      <c r="BF142" s="121" t="n">
        <f aca="false">Inputs!$C$19*(1+Inputs!$C$20)^(BF$127-1)</f>
        <v>15.75712334</v>
      </c>
      <c r="BG142" s="121" t="n">
        <f aca="false">Inputs!$C$19*(1+Inputs!$C$20)^(BG$127-1)</f>
        <v>15.75712334</v>
      </c>
      <c r="BH142" s="121" t="n">
        <f aca="false">Inputs!$C$19*(1+Inputs!$C$20)^(BH$127-1)</f>
        <v>15.75712334</v>
      </c>
      <c r="BI142" s="121" t="n">
        <f aca="false">Inputs!$C$19*(1+Inputs!$C$20)^(BI$127-1)</f>
        <v>15.75712334</v>
      </c>
      <c r="BJ142" s="121" t="n">
        <f aca="false">Inputs!$C$19*(1+Inputs!$C$20)^(BJ$127-1)</f>
        <v>15.75712334</v>
      </c>
    </row>
    <row r="143" customFormat="false" ht="15" hidden="false" customHeight="false" outlineLevel="0" collapsed="false">
      <c r="A143" s="6" t="s">
        <v>423</v>
      </c>
      <c r="C143" s="67" t="n">
        <f aca="false">Inputs!$C$25*(1+Inputs!$C$20)^(C$127-1)</f>
        <v>1400</v>
      </c>
      <c r="D143" s="67" t="n">
        <f aca="false">Inputs!$C$25*(1+Inputs!$C$20)^(D$127-1)</f>
        <v>1400</v>
      </c>
      <c r="E143" s="67" t="n">
        <f aca="false">Inputs!$C$25*(1+Inputs!$C$20)^(E$127-1)</f>
        <v>1400</v>
      </c>
      <c r="F143" s="67" t="n">
        <f aca="false">Inputs!$C$25*(1+Inputs!$C$20)^(F$127-1)</f>
        <v>1400</v>
      </c>
      <c r="G143" s="67" t="n">
        <f aca="false">Inputs!$C$25*(1+Inputs!$C$20)^(G$127-1)</f>
        <v>1400</v>
      </c>
      <c r="H143" s="67" t="n">
        <f aca="false">Inputs!$C$25*(1+Inputs!$C$20)^(H$127-1)</f>
        <v>1400</v>
      </c>
      <c r="I143" s="67" t="n">
        <f aca="false">Inputs!$C$25*(1+Inputs!$C$20)^(I$127-1)</f>
        <v>1400</v>
      </c>
      <c r="J143" s="67" t="n">
        <f aca="false">Inputs!$C$25*(1+Inputs!$C$20)^(J$127-1)</f>
        <v>1400</v>
      </c>
      <c r="K143" s="67" t="n">
        <f aca="false">Inputs!$C$25*(1+Inputs!$C$20)^(K$127-1)</f>
        <v>1400</v>
      </c>
      <c r="L143" s="67" t="n">
        <f aca="false">Inputs!$C$25*(1+Inputs!$C$20)^(L$127-1)</f>
        <v>1400</v>
      </c>
      <c r="M143" s="67" t="n">
        <f aca="false">Inputs!$C$25*(1+Inputs!$C$20)^(M$127-1)</f>
        <v>1400</v>
      </c>
      <c r="N143" s="67" t="n">
        <f aca="false">Inputs!$C$25*(1+Inputs!$C$20)^(N$127-1)</f>
        <v>1400</v>
      </c>
      <c r="O143" s="67" t="n">
        <f aca="false">Inputs!$C$25*(1+Inputs!$C$20)^(O$127-1)</f>
        <v>1442</v>
      </c>
      <c r="P143" s="67" t="n">
        <f aca="false">Inputs!$C$25*(1+Inputs!$C$20)^(P$127-1)</f>
        <v>1442</v>
      </c>
      <c r="Q143" s="67" t="n">
        <f aca="false">Inputs!$C$25*(1+Inputs!$C$20)^(Q$127-1)</f>
        <v>1442</v>
      </c>
      <c r="R143" s="67" t="n">
        <f aca="false">Inputs!$C$25*(1+Inputs!$C$20)^(R$127-1)</f>
        <v>1442</v>
      </c>
      <c r="S143" s="67" t="n">
        <f aca="false">Inputs!$C$25*(1+Inputs!$C$20)^(S$127-1)</f>
        <v>1442</v>
      </c>
      <c r="T143" s="67" t="n">
        <f aca="false">Inputs!$C$25*(1+Inputs!$C$20)^(T$127-1)</f>
        <v>1442</v>
      </c>
      <c r="U143" s="67" t="n">
        <f aca="false">Inputs!$C$25*(1+Inputs!$C$20)^(U$127-1)</f>
        <v>1442</v>
      </c>
      <c r="V143" s="67" t="n">
        <f aca="false">Inputs!$C$25*(1+Inputs!$C$20)^(V$127-1)</f>
        <v>1442</v>
      </c>
      <c r="W143" s="67" t="n">
        <f aca="false">Inputs!$C$25*(1+Inputs!$C$20)^(W$127-1)</f>
        <v>1442</v>
      </c>
      <c r="X143" s="67" t="n">
        <f aca="false">Inputs!$C$25*(1+Inputs!$C$20)^(X$127-1)</f>
        <v>1442</v>
      </c>
      <c r="Y143" s="67" t="n">
        <f aca="false">Inputs!$C$25*(1+Inputs!$C$20)^(Y$127-1)</f>
        <v>1442</v>
      </c>
      <c r="Z143" s="67" t="n">
        <f aca="false">Inputs!$C$25*(1+Inputs!$C$20)^(Z$127-1)</f>
        <v>1442</v>
      </c>
      <c r="AA143" s="67" t="n">
        <f aca="false">Inputs!$C$25*(1+Inputs!$C$20)^(AA$127-1)</f>
        <v>1485.26</v>
      </c>
      <c r="AB143" s="67" t="n">
        <f aca="false">Inputs!$C$25*(1+Inputs!$C$20)^(AB$127-1)</f>
        <v>1485.26</v>
      </c>
      <c r="AC143" s="67" t="n">
        <f aca="false">Inputs!$C$25*(1+Inputs!$C$20)^(AC$127-1)</f>
        <v>1485.26</v>
      </c>
      <c r="AD143" s="67" t="n">
        <f aca="false">Inputs!$C$25*(1+Inputs!$C$20)^(AD$127-1)</f>
        <v>1485.26</v>
      </c>
      <c r="AE143" s="67" t="n">
        <f aca="false">Inputs!$C$25*(1+Inputs!$C$20)^(AE$127-1)</f>
        <v>1485.26</v>
      </c>
      <c r="AF143" s="67" t="n">
        <f aca="false">Inputs!$C$25*(1+Inputs!$C$20)^(AF$127-1)</f>
        <v>1485.26</v>
      </c>
      <c r="AG143" s="67" t="n">
        <f aca="false">Inputs!$C$25*(1+Inputs!$C$20)^(AG$127-1)</f>
        <v>1485.26</v>
      </c>
      <c r="AH143" s="67" t="n">
        <f aca="false">Inputs!$C$25*(1+Inputs!$C$20)^(AH$127-1)</f>
        <v>1485.26</v>
      </c>
      <c r="AI143" s="67" t="n">
        <f aca="false">Inputs!$C$25*(1+Inputs!$C$20)^(AI$127-1)</f>
        <v>1485.26</v>
      </c>
      <c r="AJ143" s="67" t="n">
        <f aca="false">Inputs!$C$25*(1+Inputs!$C$20)^(AJ$127-1)</f>
        <v>1485.26</v>
      </c>
      <c r="AK143" s="67" t="n">
        <f aca="false">Inputs!$C$25*(1+Inputs!$C$20)^(AK$127-1)</f>
        <v>1485.26</v>
      </c>
      <c r="AL143" s="67" t="n">
        <f aca="false">Inputs!$C$25*(1+Inputs!$C$20)^(AL$127-1)</f>
        <v>1485.26</v>
      </c>
      <c r="AM143" s="67" t="n">
        <f aca="false">Inputs!$C$25*(1+Inputs!$C$20)^(AM$127-1)</f>
        <v>1529.8178</v>
      </c>
      <c r="AN143" s="67" t="n">
        <f aca="false">Inputs!$C$25*(1+Inputs!$C$20)^(AN$127-1)</f>
        <v>1529.8178</v>
      </c>
      <c r="AO143" s="67" t="n">
        <f aca="false">Inputs!$C$25*(1+Inputs!$C$20)^(AO$127-1)</f>
        <v>1529.8178</v>
      </c>
      <c r="AP143" s="67" t="n">
        <f aca="false">Inputs!$C$25*(1+Inputs!$C$20)^(AP$127-1)</f>
        <v>1529.8178</v>
      </c>
      <c r="AQ143" s="67" t="n">
        <f aca="false">Inputs!$C$25*(1+Inputs!$C$20)^(AQ$127-1)</f>
        <v>1529.8178</v>
      </c>
      <c r="AR143" s="67" t="n">
        <f aca="false">Inputs!$C$25*(1+Inputs!$C$20)^(AR$127-1)</f>
        <v>1529.8178</v>
      </c>
      <c r="AS143" s="67" t="n">
        <f aca="false">Inputs!$C$25*(1+Inputs!$C$20)^(AS$127-1)</f>
        <v>1529.8178</v>
      </c>
      <c r="AT143" s="67" t="n">
        <f aca="false">Inputs!$C$25*(1+Inputs!$C$20)^(AT$127-1)</f>
        <v>1529.8178</v>
      </c>
      <c r="AU143" s="67" t="n">
        <f aca="false">Inputs!$C$25*(1+Inputs!$C$20)^(AU$127-1)</f>
        <v>1529.8178</v>
      </c>
      <c r="AV143" s="67" t="n">
        <f aca="false">Inputs!$C$25*(1+Inputs!$C$20)^(AV$127-1)</f>
        <v>1529.8178</v>
      </c>
      <c r="AW143" s="67" t="n">
        <f aca="false">Inputs!$C$25*(1+Inputs!$C$20)^(AW$127-1)</f>
        <v>1529.8178</v>
      </c>
      <c r="AX143" s="67" t="n">
        <f aca="false">Inputs!$C$25*(1+Inputs!$C$20)^(AX$127-1)</f>
        <v>1529.8178</v>
      </c>
      <c r="AY143" s="67" t="n">
        <f aca="false">Inputs!$C$25*(1+Inputs!$C$20)^(AY$127-1)</f>
        <v>1575.712334</v>
      </c>
      <c r="AZ143" s="67" t="n">
        <f aca="false">Inputs!$C$25*(1+Inputs!$C$20)^(AZ$127-1)</f>
        <v>1575.712334</v>
      </c>
      <c r="BA143" s="67" t="n">
        <f aca="false">Inputs!$C$25*(1+Inputs!$C$20)^(BA$127-1)</f>
        <v>1575.712334</v>
      </c>
      <c r="BB143" s="67" t="n">
        <f aca="false">Inputs!$C$25*(1+Inputs!$C$20)^(BB$127-1)</f>
        <v>1575.712334</v>
      </c>
      <c r="BC143" s="67" t="n">
        <f aca="false">Inputs!$C$25*(1+Inputs!$C$20)^(BC$127-1)</f>
        <v>1575.712334</v>
      </c>
      <c r="BD143" s="67" t="n">
        <f aca="false">Inputs!$C$25*(1+Inputs!$C$20)^(BD$127-1)</f>
        <v>1575.712334</v>
      </c>
      <c r="BE143" s="67" t="n">
        <f aca="false">Inputs!$C$25*(1+Inputs!$C$20)^(BE$127-1)</f>
        <v>1575.712334</v>
      </c>
      <c r="BF143" s="67" t="n">
        <f aca="false">Inputs!$C$25*(1+Inputs!$C$20)^(BF$127-1)</f>
        <v>1575.712334</v>
      </c>
      <c r="BG143" s="67" t="n">
        <f aca="false">Inputs!$C$25*(1+Inputs!$C$20)^(BG$127-1)</f>
        <v>1575.712334</v>
      </c>
      <c r="BH143" s="67" t="n">
        <f aca="false">Inputs!$C$25*(1+Inputs!$C$20)^(BH$127-1)</f>
        <v>1575.712334</v>
      </c>
      <c r="BI143" s="67" t="n">
        <f aca="false">Inputs!$C$25*(1+Inputs!$C$20)^(BI$127-1)</f>
        <v>1575.712334</v>
      </c>
      <c r="BJ143" s="67" t="n">
        <f aca="false">Inputs!$C$25*(1+Inputs!$C$20)^(BJ$127-1)</f>
        <v>1575.712334</v>
      </c>
    </row>
    <row r="144" customFormat="false" ht="15" hidden="false" customHeight="false" outlineLevel="0" collapsed="false">
      <c r="A144" s="6" t="s">
        <v>236</v>
      </c>
      <c r="C144" s="67" t="n">
        <f aca="false">C137*C142</f>
        <v>8316</v>
      </c>
      <c r="D144" s="67" t="n">
        <f aca="false">D137*D142</f>
        <v>9702</v>
      </c>
      <c r="E144" s="67" t="n">
        <f aca="false">E137*E142</f>
        <v>16016</v>
      </c>
      <c r="F144" s="67" t="n">
        <f aca="false">F137*F142</f>
        <v>18018</v>
      </c>
      <c r="G144" s="67" t="n">
        <f aca="false">G137*G142</f>
        <v>20020</v>
      </c>
      <c r="H144" s="67" t="n">
        <f aca="false">H137*H142</f>
        <v>22022</v>
      </c>
      <c r="I144" s="67" t="n">
        <f aca="false">I137*I142</f>
        <v>24024</v>
      </c>
      <c r="J144" s="67" t="n">
        <f aca="false">J137*J142</f>
        <v>24024</v>
      </c>
      <c r="K144" s="67" t="n">
        <f aca="false">K137*K142</f>
        <v>24024</v>
      </c>
      <c r="L144" s="67" t="n">
        <f aca="false">L137*L142</f>
        <v>24024</v>
      </c>
      <c r="M144" s="67" t="n">
        <f aca="false">M137*M142</f>
        <v>24024</v>
      </c>
      <c r="N144" s="67" t="n">
        <f aca="false">N137*N142</f>
        <v>16632</v>
      </c>
      <c r="O144" s="67" t="n">
        <f aca="false">O137*O142</f>
        <v>17644.8888</v>
      </c>
      <c r="P144" s="67" t="n">
        <f aca="false">P137*P142</f>
        <v>17644.8888</v>
      </c>
      <c r="Q144" s="67" t="n">
        <f aca="false">Q137*Q142</f>
        <v>25487.0616</v>
      </c>
      <c r="R144" s="67" t="n">
        <f aca="false">R137*R142</f>
        <v>25487.0616</v>
      </c>
      <c r="S144" s="67" t="n">
        <f aca="false">S137*S142</f>
        <v>25487.0616</v>
      </c>
      <c r="T144" s="67" t="n">
        <f aca="false">T137*T142</f>
        <v>25487.0616</v>
      </c>
      <c r="U144" s="67" t="n">
        <f aca="false">U137*U142</f>
        <v>25487.0616</v>
      </c>
      <c r="V144" s="67" t="n">
        <f aca="false">V137*V142</f>
        <v>25487.0616</v>
      </c>
      <c r="W144" s="67" t="n">
        <f aca="false">W137*W142</f>
        <v>25487.0616</v>
      </c>
      <c r="X144" s="67" t="n">
        <f aca="false">X137*X142</f>
        <v>25487.0616</v>
      </c>
      <c r="Y144" s="67" t="n">
        <f aca="false">Y137*Y142</f>
        <v>25487.0616</v>
      </c>
      <c r="Z144" s="67" t="n">
        <f aca="false">Z137*Z142</f>
        <v>17644.8888</v>
      </c>
      <c r="AA144" s="67" t="n">
        <f aca="false">AA137*AA142</f>
        <v>18719.46252792</v>
      </c>
      <c r="AB144" s="67" t="n">
        <f aca="false">AB137*AB142</f>
        <v>18719.46252792</v>
      </c>
      <c r="AC144" s="67" t="n">
        <f aca="false">AC137*AC142</f>
        <v>27039.22365144</v>
      </c>
      <c r="AD144" s="67" t="n">
        <f aca="false">AD137*AD142</f>
        <v>27039.22365144</v>
      </c>
      <c r="AE144" s="67" t="n">
        <f aca="false">AE137*AE142</f>
        <v>27039.22365144</v>
      </c>
      <c r="AF144" s="67" t="n">
        <f aca="false">AF137*AF142</f>
        <v>27039.22365144</v>
      </c>
      <c r="AG144" s="67" t="n">
        <f aca="false">AG137*AG142</f>
        <v>27039.22365144</v>
      </c>
      <c r="AH144" s="67" t="n">
        <f aca="false">AH137*AH142</f>
        <v>27039.22365144</v>
      </c>
      <c r="AI144" s="67" t="n">
        <f aca="false">AI137*AI142</f>
        <v>27039.22365144</v>
      </c>
      <c r="AJ144" s="67" t="n">
        <f aca="false">AJ137*AJ142</f>
        <v>27039.22365144</v>
      </c>
      <c r="AK144" s="67" t="n">
        <f aca="false">AK137*AK142</f>
        <v>27039.22365144</v>
      </c>
      <c r="AL144" s="67" t="n">
        <f aca="false">AL137*AL142</f>
        <v>18719.46252792</v>
      </c>
      <c r="AM144" s="67" t="n">
        <f aca="false">AM137*AM142</f>
        <v>19859.4777958703</v>
      </c>
      <c r="AN144" s="67" t="n">
        <f aca="false">AN137*AN142</f>
        <v>19859.4777958703</v>
      </c>
      <c r="AO144" s="67" t="n">
        <f aca="false">AO137*AO142</f>
        <v>28685.9123718127</v>
      </c>
      <c r="AP144" s="67" t="n">
        <f aca="false">AP137*AP142</f>
        <v>28685.9123718127</v>
      </c>
      <c r="AQ144" s="67" t="n">
        <f aca="false">AQ137*AQ142</f>
        <v>28685.9123718127</v>
      </c>
      <c r="AR144" s="67" t="n">
        <f aca="false">AR137*AR142</f>
        <v>28685.9123718127</v>
      </c>
      <c r="AS144" s="67" t="n">
        <f aca="false">AS137*AS142</f>
        <v>28685.9123718127</v>
      </c>
      <c r="AT144" s="67" t="n">
        <f aca="false">AT137*AT142</f>
        <v>28685.9123718127</v>
      </c>
      <c r="AU144" s="67" t="n">
        <f aca="false">AU137*AU142</f>
        <v>28685.9123718127</v>
      </c>
      <c r="AV144" s="67" t="n">
        <f aca="false">AV137*AV142</f>
        <v>28685.9123718127</v>
      </c>
      <c r="AW144" s="67" t="n">
        <f aca="false">AW137*AW142</f>
        <v>28685.9123718127</v>
      </c>
      <c r="AX144" s="67" t="n">
        <f aca="false">AX137*AX142</f>
        <v>19859.4777958703</v>
      </c>
      <c r="AY144" s="67" t="n">
        <f aca="false">AY137*AY142</f>
        <v>21068.9199936388</v>
      </c>
      <c r="AZ144" s="67" t="n">
        <f aca="false">AZ137*AZ142</f>
        <v>21068.9199936388</v>
      </c>
      <c r="BA144" s="67" t="n">
        <f aca="false">BA137*BA142</f>
        <v>30432.8844352561</v>
      </c>
      <c r="BB144" s="67" t="n">
        <f aca="false">BB137*BB142</f>
        <v>30432.8844352561</v>
      </c>
      <c r="BC144" s="67" t="n">
        <f aca="false">BC137*BC142</f>
        <v>30432.8844352561</v>
      </c>
      <c r="BD144" s="67" t="n">
        <f aca="false">BD137*BD142</f>
        <v>30432.8844352561</v>
      </c>
      <c r="BE144" s="67" t="n">
        <f aca="false">BE137*BE142</f>
        <v>30432.8844352561</v>
      </c>
      <c r="BF144" s="67" t="n">
        <f aca="false">BF137*BF142</f>
        <v>30432.8844352561</v>
      </c>
      <c r="BG144" s="67" t="n">
        <f aca="false">BG137*BG142</f>
        <v>30432.8844352561</v>
      </c>
      <c r="BH144" s="67" t="n">
        <f aca="false">BH137*BH142</f>
        <v>30432.8844352561</v>
      </c>
      <c r="BI144" s="67" t="n">
        <f aca="false">BI137*BI142</f>
        <v>30432.8844352561</v>
      </c>
      <c r="BJ144" s="67" t="n">
        <f aca="false">BJ137*BJ142</f>
        <v>21068.9199936388</v>
      </c>
    </row>
    <row r="145" customFormat="false" ht="15" hidden="false" customHeight="false" outlineLevel="0" collapsed="false">
      <c r="A145" s="6" t="s">
        <v>237</v>
      </c>
      <c r="C145" s="67" t="n">
        <f aca="false">C135*C143</f>
        <v>2100</v>
      </c>
      <c r="D145" s="67" t="n">
        <f aca="false">D135*D143</f>
        <v>2450</v>
      </c>
      <c r="E145" s="67" t="n">
        <f aca="false">E135*E143</f>
        <v>2800</v>
      </c>
      <c r="F145" s="67" t="n">
        <f aca="false">F135*F143</f>
        <v>3150</v>
      </c>
      <c r="G145" s="67" t="n">
        <f aca="false">G135*G143</f>
        <v>3500</v>
      </c>
      <c r="H145" s="67" t="n">
        <f aca="false">H135*H143</f>
        <v>3850</v>
      </c>
      <c r="I145" s="67" t="n">
        <f aca="false">I135*I143</f>
        <v>4200</v>
      </c>
      <c r="J145" s="67" t="n">
        <f aca="false">J135*J143</f>
        <v>4200</v>
      </c>
      <c r="K145" s="67" t="n">
        <f aca="false">K135*K143</f>
        <v>4200</v>
      </c>
      <c r="L145" s="67" t="n">
        <f aca="false">L135*L143</f>
        <v>4200</v>
      </c>
      <c r="M145" s="67" t="n">
        <f aca="false">M135*M143</f>
        <v>4200</v>
      </c>
      <c r="N145" s="67" t="n">
        <f aca="false">N135*N143</f>
        <v>4200</v>
      </c>
      <c r="O145" s="67" t="n">
        <f aca="false">O135*O143</f>
        <v>4542.3</v>
      </c>
      <c r="P145" s="67" t="n">
        <f aca="false">P135*P143</f>
        <v>4542.3</v>
      </c>
      <c r="Q145" s="67" t="n">
        <f aca="false">Q135*Q143</f>
        <v>4542.3</v>
      </c>
      <c r="R145" s="67" t="n">
        <f aca="false">R135*R143</f>
        <v>4542.3</v>
      </c>
      <c r="S145" s="67" t="n">
        <f aca="false">S135*S143</f>
        <v>4542.3</v>
      </c>
      <c r="T145" s="67" t="n">
        <f aca="false">T135*T143</f>
        <v>4542.3</v>
      </c>
      <c r="U145" s="67" t="n">
        <f aca="false">U135*U143</f>
        <v>4542.3</v>
      </c>
      <c r="V145" s="67" t="n">
        <f aca="false">V135*V143</f>
        <v>4542.3</v>
      </c>
      <c r="W145" s="67" t="n">
        <f aca="false">W135*W143</f>
        <v>4542.3</v>
      </c>
      <c r="X145" s="67" t="n">
        <f aca="false">X135*X143</f>
        <v>4542.3</v>
      </c>
      <c r="Y145" s="67" t="n">
        <f aca="false">Y135*Y143</f>
        <v>4542.3</v>
      </c>
      <c r="Z145" s="67" t="n">
        <f aca="false">Z135*Z143</f>
        <v>4542.3</v>
      </c>
      <c r="AA145" s="67" t="n">
        <f aca="false">AA135*AA143</f>
        <v>4912.49745</v>
      </c>
      <c r="AB145" s="67" t="n">
        <f aca="false">AB135*AB143</f>
        <v>4912.49745</v>
      </c>
      <c r="AC145" s="67" t="n">
        <f aca="false">AC135*AC143</f>
        <v>4912.49745</v>
      </c>
      <c r="AD145" s="67" t="n">
        <f aca="false">AD135*AD143</f>
        <v>4912.49745</v>
      </c>
      <c r="AE145" s="67" t="n">
        <f aca="false">AE135*AE143</f>
        <v>4912.49745</v>
      </c>
      <c r="AF145" s="67" t="n">
        <f aca="false">AF135*AF143</f>
        <v>4912.49745</v>
      </c>
      <c r="AG145" s="67" t="n">
        <f aca="false">AG135*AG143</f>
        <v>4912.49745</v>
      </c>
      <c r="AH145" s="67" t="n">
        <f aca="false">AH135*AH143</f>
        <v>4912.49745</v>
      </c>
      <c r="AI145" s="67" t="n">
        <f aca="false">AI135*AI143</f>
        <v>4912.49745</v>
      </c>
      <c r="AJ145" s="67" t="n">
        <f aca="false">AJ135*AJ143</f>
        <v>4912.49745</v>
      </c>
      <c r="AK145" s="67" t="n">
        <f aca="false">AK135*AK143</f>
        <v>4912.49745</v>
      </c>
      <c r="AL145" s="67" t="n">
        <f aca="false">AL135*AL143</f>
        <v>4912.49745</v>
      </c>
      <c r="AM145" s="67" t="n">
        <f aca="false">AM135*AM143</f>
        <v>5312.865992175</v>
      </c>
      <c r="AN145" s="67" t="n">
        <f aca="false">AN135*AN143</f>
        <v>5312.865992175</v>
      </c>
      <c r="AO145" s="67" t="n">
        <f aca="false">AO135*AO143</f>
        <v>5312.865992175</v>
      </c>
      <c r="AP145" s="67" t="n">
        <f aca="false">AP135*AP143</f>
        <v>5312.865992175</v>
      </c>
      <c r="AQ145" s="67" t="n">
        <f aca="false">AQ135*AQ143</f>
        <v>5312.865992175</v>
      </c>
      <c r="AR145" s="67" t="n">
        <f aca="false">AR135*AR143</f>
        <v>5312.865992175</v>
      </c>
      <c r="AS145" s="67" t="n">
        <f aca="false">AS135*AS143</f>
        <v>5312.865992175</v>
      </c>
      <c r="AT145" s="67" t="n">
        <f aca="false">AT135*AT143</f>
        <v>5312.865992175</v>
      </c>
      <c r="AU145" s="67" t="n">
        <f aca="false">AU135*AU143</f>
        <v>5312.865992175</v>
      </c>
      <c r="AV145" s="67" t="n">
        <f aca="false">AV135*AV143</f>
        <v>5312.865992175</v>
      </c>
      <c r="AW145" s="67" t="n">
        <f aca="false">AW135*AW143</f>
        <v>5312.865992175</v>
      </c>
      <c r="AX145" s="67" t="n">
        <f aca="false">AX135*AX143</f>
        <v>5312.865992175</v>
      </c>
      <c r="AY145" s="67" t="n">
        <f aca="false">AY135*AY143</f>
        <v>5745.86457053727</v>
      </c>
      <c r="AZ145" s="67" t="n">
        <f aca="false">AZ135*AZ143</f>
        <v>5745.86457053727</v>
      </c>
      <c r="BA145" s="67" t="n">
        <f aca="false">BA135*BA143</f>
        <v>5745.86457053727</v>
      </c>
      <c r="BB145" s="67" t="n">
        <f aca="false">BB135*BB143</f>
        <v>5745.86457053727</v>
      </c>
      <c r="BC145" s="67" t="n">
        <f aca="false">BC135*BC143</f>
        <v>5745.86457053727</v>
      </c>
      <c r="BD145" s="67" t="n">
        <f aca="false">BD135*BD143</f>
        <v>5745.86457053727</v>
      </c>
      <c r="BE145" s="67" t="n">
        <f aca="false">BE135*BE143</f>
        <v>5745.86457053727</v>
      </c>
      <c r="BF145" s="67" t="n">
        <f aca="false">BF135*BF143</f>
        <v>5745.86457053727</v>
      </c>
      <c r="BG145" s="67" t="n">
        <f aca="false">BG135*BG143</f>
        <v>5745.86457053727</v>
      </c>
      <c r="BH145" s="67" t="n">
        <f aca="false">BH135*BH143</f>
        <v>5745.86457053727</v>
      </c>
      <c r="BI145" s="67" t="n">
        <f aca="false">BI135*BI143</f>
        <v>5745.86457053727</v>
      </c>
      <c r="BJ145" s="67" t="n">
        <f aca="false">BJ135*BJ143</f>
        <v>5745.86457053727</v>
      </c>
    </row>
    <row r="146" customFormat="false" ht="15" hidden="false" customHeight="false" outlineLevel="0" collapsed="false">
      <c r="A146" s="113" t="s">
        <v>44</v>
      </c>
      <c r="C146" s="68" t="n">
        <f aca="false">C144+C145</f>
        <v>10416</v>
      </c>
      <c r="D146" s="68" t="n">
        <f aca="false">D144+D145</f>
        <v>12152</v>
      </c>
      <c r="E146" s="68" t="n">
        <f aca="false">E144+E145</f>
        <v>18816</v>
      </c>
      <c r="F146" s="68" t="n">
        <f aca="false">F144+F145</f>
        <v>21168</v>
      </c>
      <c r="G146" s="68" t="n">
        <f aca="false">G144+G145</f>
        <v>23520</v>
      </c>
      <c r="H146" s="68" t="n">
        <f aca="false">H144+H145</f>
        <v>25872</v>
      </c>
      <c r="I146" s="68" t="n">
        <f aca="false">I144+I145</f>
        <v>28224</v>
      </c>
      <c r="J146" s="68" t="n">
        <f aca="false">J144+J145</f>
        <v>28224</v>
      </c>
      <c r="K146" s="68" t="n">
        <f aca="false">K144+K145</f>
        <v>28224</v>
      </c>
      <c r="L146" s="68" t="n">
        <f aca="false">L144+L145</f>
        <v>28224</v>
      </c>
      <c r="M146" s="68" t="n">
        <f aca="false">M144+M145</f>
        <v>28224</v>
      </c>
      <c r="N146" s="68" t="n">
        <f aca="false">N144+N145</f>
        <v>20832</v>
      </c>
      <c r="O146" s="68" t="n">
        <f aca="false">O144+O145</f>
        <v>22187.1888</v>
      </c>
      <c r="P146" s="68" t="n">
        <f aca="false">P144+P145</f>
        <v>22187.1888</v>
      </c>
      <c r="Q146" s="68" t="n">
        <f aca="false">Q144+Q145</f>
        <v>30029.3616</v>
      </c>
      <c r="R146" s="68" t="n">
        <f aca="false">R144+R145</f>
        <v>30029.3616</v>
      </c>
      <c r="S146" s="68" t="n">
        <f aca="false">S144+S145</f>
        <v>30029.3616</v>
      </c>
      <c r="T146" s="68" t="n">
        <f aca="false">T144+T145</f>
        <v>30029.3616</v>
      </c>
      <c r="U146" s="68" t="n">
        <f aca="false">U144+U145</f>
        <v>30029.3616</v>
      </c>
      <c r="V146" s="68" t="n">
        <f aca="false">V144+V145</f>
        <v>30029.3616</v>
      </c>
      <c r="W146" s="68" t="n">
        <f aca="false">W144+W145</f>
        <v>30029.3616</v>
      </c>
      <c r="X146" s="68" t="n">
        <f aca="false">X144+X145</f>
        <v>30029.3616</v>
      </c>
      <c r="Y146" s="68" t="n">
        <f aca="false">Y144+Y145</f>
        <v>30029.3616</v>
      </c>
      <c r="Z146" s="68" t="n">
        <f aca="false">Z144+Z145</f>
        <v>22187.1888</v>
      </c>
      <c r="AA146" s="68" t="n">
        <f aca="false">AA144+AA145</f>
        <v>23631.95997792</v>
      </c>
      <c r="AB146" s="68" t="n">
        <f aca="false">AB144+AB145</f>
        <v>23631.95997792</v>
      </c>
      <c r="AC146" s="68" t="n">
        <f aca="false">AC144+AC145</f>
        <v>31951.72110144</v>
      </c>
      <c r="AD146" s="68" t="n">
        <f aca="false">AD144+AD145</f>
        <v>31951.72110144</v>
      </c>
      <c r="AE146" s="68" t="n">
        <f aca="false">AE144+AE145</f>
        <v>31951.72110144</v>
      </c>
      <c r="AF146" s="68" t="n">
        <f aca="false">AF144+AF145</f>
        <v>31951.72110144</v>
      </c>
      <c r="AG146" s="68" t="n">
        <f aca="false">AG144+AG145</f>
        <v>31951.72110144</v>
      </c>
      <c r="AH146" s="68" t="n">
        <f aca="false">AH144+AH145</f>
        <v>31951.72110144</v>
      </c>
      <c r="AI146" s="68" t="n">
        <f aca="false">AI144+AI145</f>
        <v>31951.72110144</v>
      </c>
      <c r="AJ146" s="68" t="n">
        <f aca="false">AJ144+AJ145</f>
        <v>31951.72110144</v>
      </c>
      <c r="AK146" s="68" t="n">
        <f aca="false">AK144+AK145</f>
        <v>31951.72110144</v>
      </c>
      <c r="AL146" s="68" t="n">
        <f aca="false">AL144+AL145</f>
        <v>23631.95997792</v>
      </c>
      <c r="AM146" s="68" t="n">
        <f aca="false">AM144+AM145</f>
        <v>25172.3437880453</v>
      </c>
      <c r="AN146" s="68" t="n">
        <f aca="false">AN144+AN145</f>
        <v>25172.3437880453</v>
      </c>
      <c r="AO146" s="68" t="n">
        <f aca="false">AO144+AO145</f>
        <v>33998.7783639877</v>
      </c>
      <c r="AP146" s="68" t="n">
        <f aca="false">AP144+AP145</f>
        <v>33998.7783639877</v>
      </c>
      <c r="AQ146" s="68" t="n">
        <f aca="false">AQ144+AQ145</f>
        <v>33998.7783639877</v>
      </c>
      <c r="AR146" s="68" t="n">
        <f aca="false">AR144+AR145</f>
        <v>33998.7783639877</v>
      </c>
      <c r="AS146" s="68" t="n">
        <f aca="false">AS144+AS145</f>
        <v>33998.7783639877</v>
      </c>
      <c r="AT146" s="68" t="n">
        <f aca="false">AT144+AT145</f>
        <v>33998.7783639877</v>
      </c>
      <c r="AU146" s="68" t="n">
        <f aca="false">AU144+AU145</f>
        <v>33998.7783639877</v>
      </c>
      <c r="AV146" s="68" t="n">
        <f aca="false">AV144+AV145</f>
        <v>33998.7783639877</v>
      </c>
      <c r="AW146" s="68" t="n">
        <f aca="false">AW144+AW145</f>
        <v>33998.7783639877</v>
      </c>
      <c r="AX146" s="68" t="n">
        <f aca="false">AX144+AX145</f>
        <v>25172.3437880453</v>
      </c>
      <c r="AY146" s="68" t="n">
        <f aca="false">AY144+AY145</f>
        <v>26814.7845641761</v>
      </c>
      <c r="AZ146" s="68" t="n">
        <f aca="false">AZ144+AZ145</f>
        <v>26814.7845641761</v>
      </c>
      <c r="BA146" s="68" t="n">
        <f aca="false">BA144+BA145</f>
        <v>36178.7490057934</v>
      </c>
      <c r="BB146" s="68" t="n">
        <f aca="false">BB144+BB145</f>
        <v>36178.7490057934</v>
      </c>
      <c r="BC146" s="68" t="n">
        <f aca="false">BC144+BC145</f>
        <v>36178.7490057934</v>
      </c>
      <c r="BD146" s="68" t="n">
        <f aca="false">BD144+BD145</f>
        <v>36178.7490057934</v>
      </c>
      <c r="BE146" s="68" t="n">
        <f aca="false">BE144+BE145</f>
        <v>36178.7490057934</v>
      </c>
      <c r="BF146" s="68" t="n">
        <f aca="false">BF144+BF145</f>
        <v>36178.7490057934</v>
      </c>
      <c r="BG146" s="68" t="n">
        <f aca="false">BG144+BG145</f>
        <v>36178.7490057934</v>
      </c>
      <c r="BH146" s="68" t="n">
        <f aca="false">BH144+BH145</f>
        <v>36178.7490057934</v>
      </c>
      <c r="BI146" s="68" t="n">
        <f aca="false">BI144+BI145</f>
        <v>36178.7490057934</v>
      </c>
      <c r="BJ146" s="68" t="n">
        <f aca="false">BJ144+BJ145</f>
        <v>26814.7845641761</v>
      </c>
    </row>
    <row r="148" customFormat="false" ht="15.75" hidden="false" customHeight="true" outlineLevel="0" collapsed="false">
      <c r="A148" s="7" t="s">
        <v>76</v>
      </c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</row>
    <row r="149" customFormat="false" ht="15" hidden="false" customHeight="false" outlineLevel="0" collapsed="false">
      <c r="A149" s="6" t="s">
        <v>424</v>
      </c>
      <c r="C149" s="67" t="n">
        <f aca="false">-C146*Inputs!$C$29</f>
        <v>-3437.28</v>
      </c>
      <c r="D149" s="67" t="n">
        <f aca="false">-D146*Inputs!$C$29</f>
        <v>-4010.16</v>
      </c>
      <c r="E149" s="67" t="n">
        <f aca="false">-E146*Inputs!$C$29</f>
        <v>-6209.28</v>
      </c>
      <c r="F149" s="67" t="n">
        <f aca="false">-F146*Inputs!$C$29</f>
        <v>-6985.44</v>
      </c>
      <c r="G149" s="67" t="n">
        <f aca="false">-G146*Inputs!$C$29</f>
        <v>-7761.6</v>
      </c>
      <c r="H149" s="67" t="n">
        <f aca="false">-H146*Inputs!$C$29</f>
        <v>-8537.76</v>
      </c>
      <c r="I149" s="67" t="n">
        <f aca="false">-I146*Inputs!$C$29</f>
        <v>-9313.92</v>
      </c>
      <c r="J149" s="67" t="n">
        <f aca="false">-J146*Inputs!$C$29</f>
        <v>-9313.92</v>
      </c>
      <c r="K149" s="67" t="n">
        <f aca="false">-K146*Inputs!$C$29</f>
        <v>-9313.92</v>
      </c>
      <c r="L149" s="67" t="n">
        <f aca="false">-L146*Inputs!$C$29</f>
        <v>-9313.92</v>
      </c>
      <c r="M149" s="67" t="n">
        <f aca="false">-M146*Inputs!$C$29</f>
        <v>-9313.92</v>
      </c>
      <c r="N149" s="67" t="n">
        <f aca="false">-N146*Inputs!$C$29</f>
        <v>-6874.56</v>
      </c>
      <c r="O149" s="67" t="n">
        <f aca="false">-O146*Inputs!$C$29</f>
        <v>-7321.772304</v>
      </c>
      <c r="P149" s="67" t="n">
        <f aca="false">-P146*Inputs!$C$29</f>
        <v>-7321.772304</v>
      </c>
      <c r="Q149" s="67" t="n">
        <f aca="false">-Q146*Inputs!$C$29</f>
        <v>-9909.689328</v>
      </c>
      <c r="R149" s="67" t="n">
        <f aca="false">-R146*Inputs!$C$29</f>
        <v>-9909.689328</v>
      </c>
      <c r="S149" s="67" t="n">
        <f aca="false">-S146*Inputs!$C$29</f>
        <v>-9909.689328</v>
      </c>
      <c r="T149" s="67" t="n">
        <f aca="false">-T146*Inputs!$C$29</f>
        <v>-9909.689328</v>
      </c>
      <c r="U149" s="67" t="n">
        <f aca="false">-U146*Inputs!$C$29</f>
        <v>-9909.689328</v>
      </c>
      <c r="V149" s="67" t="n">
        <f aca="false">-V146*Inputs!$C$29</f>
        <v>-9909.689328</v>
      </c>
      <c r="W149" s="67" t="n">
        <f aca="false">-W146*Inputs!$C$29</f>
        <v>-9909.689328</v>
      </c>
      <c r="X149" s="67" t="n">
        <f aca="false">-X146*Inputs!$C$29</f>
        <v>-9909.689328</v>
      </c>
      <c r="Y149" s="67" t="n">
        <f aca="false">-Y146*Inputs!$C$29</f>
        <v>-9909.689328</v>
      </c>
      <c r="Z149" s="67" t="n">
        <f aca="false">-Z146*Inputs!$C$29</f>
        <v>-7321.772304</v>
      </c>
      <c r="AA149" s="67" t="n">
        <f aca="false">-AA146*Inputs!$C$29</f>
        <v>-7798.5467927136</v>
      </c>
      <c r="AB149" s="67" t="n">
        <f aca="false">-AB146*Inputs!$C$29</f>
        <v>-7798.5467927136</v>
      </c>
      <c r="AC149" s="67" t="n">
        <f aca="false">-AC146*Inputs!$C$29</f>
        <v>-10544.0679634752</v>
      </c>
      <c r="AD149" s="67" t="n">
        <f aca="false">-AD146*Inputs!$C$29</f>
        <v>-10544.0679634752</v>
      </c>
      <c r="AE149" s="67" t="n">
        <f aca="false">-AE146*Inputs!$C$29</f>
        <v>-10544.0679634752</v>
      </c>
      <c r="AF149" s="67" t="n">
        <f aca="false">-AF146*Inputs!$C$29</f>
        <v>-10544.0679634752</v>
      </c>
      <c r="AG149" s="67" t="n">
        <f aca="false">-AG146*Inputs!$C$29</f>
        <v>-10544.0679634752</v>
      </c>
      <c r="AH149" s="67" t="n">
        <f aca="false">-AH146*Inputs!$C$29</f>
        <v>-10544.0679634752</v>
      </c>
      <c r="AI149" s="67" t="n">
        <f aca="false">-AI146*Inputs!$C$29</f>
        <v>-10544.0679634752</v>
      </c>
      <c r="AJ149" s="67" t="n">
        <f aca="false">-AJ146*Inputs!$C$29</f>
        <v>-10544.0679634752</v>
      </c>
      <c r="AK149" s="67" t="n">
        <f aca="false">-AK146*Inputs!$C$29</f>
        <v>-10544.0679634752</v>
      </c>
      <c r="AL149" s="67" t="n">
        <f aca="false">-AL146*Inputs!$C$29</f>
        <v>-7798.5467927136</v>
      </c>
      <c r="AM149" s="67" t="n">
        <f aca="false">-AM146*Inputs!$C$29</f>
        <v>-8306.87345005496</v>
      </c>
      <c r="AN149" s="67" t="n">
        <f aca="false">-AN146*Inputs!$C$29</f>
        <v>-8306.87345005496</v>
      </c>
      <c r="AO149" s="67" t="n">
        <f aca="false">-AO146*Inputs!$C$29</f>
        <v>-11219.5968601159</v>
      </c>
      <c r="AP149" s="67" t="n">
        <f aca="false">-AP146*Inputs!$C$29</f>
        <v>-11219.5968601159</v>
      </c>
      <c r="AQ149" s="67" t="n">
        <f aca="false">-AQ146*Inputs!$C$29</f>
        <v>-11219.5968601159</v>
      </c>
      <c r="AR149" s="67" t="n">
        <f aca="false">-AR146*Inputs!$C$29</f>
        <v>-11219.5968601159</v>
      </c>
      <c r="AS149" s="67" t="n">
        <f aca="false">-AS146*Inputs!$C$29</f>
        <v>-11219.5968601159</v>
      </c>
      <c r="AT149" s="67" t="n">
        <f aca="false">-AT146*Inputs!$C$29</f>
        <v>-11219.5968601159</v>
      </c>
      <c r="AU149" s="67" t="n">
        <f aca="false">-AU146*Inputs!$C$29</f>
        <v>-11219.5968601159</v>
      </c>
      <c r="AV149" s="67" t="n">
        <f aca="false">-AV146*Inputs!$C$29</f>
        <v>-11219.5968601159</v>
      </c>
      <c r="AW149" s="67" t="n">
        <f aca="false">-AW146*Inputs!$C$29</f>
        <v>-11219.5968601159</v>
      </c>
      <c r="AX149" s="67" t="n">
        <f aca="false">-AX146*Inputs!$C$29</f>
        <v>-8306.87345005496</v>
      </c>
      <c r="AY149" s="67" t="n">
        <f aca="false">-AY146*Inputs!$C$29</f>
        <v>-8848.87890617811</v>
      </c>
      <c r="AZ149" s="67" t="n">
        <f aca="false">-AZ146*Inputs!$C$29</f>
        <v>-8848.87890617811</v>
      </c>
      <c r="BA149" s="67" t="n">
        <f aca="false">-BA146*Inputs!$C$29</f>
        <v>-11938.9871719118</v>
      </c>
      <c r="BB149" s="67" t="n">
        <f aca="false">-BB146*Inputs!$C$29</f>
        <v>-11938.9871719118</v>
      </c>
      <c r="BC149" s="67" t="n">
        <f aca="false">-BC146*Inputs!$C$29</f>
        <v>-11938.9871719118</v>
      </c>
      <c r="BD149" s="67" t="n">
        <f aca="false">-BD146*Inputs!$C$29</f>
        <v>-11938.9871719118</v>
      </c>
      <c r="BE149" s="67" t="n">
        <f aca="false">-BE146*Inputs!$C$29</f>
        <v>-11938.9871719118</v>
      </c>
      <c r="BF149" s="67" t="n">
        <f aca="false">-BF146*Inputs!$C$29</f>
        <v>-11938.9871719118</v>
      </c>
      <c r="BG149" s="67" t="n">
        <f aca="false">-BG146*Inputs!$C$29</f>
        <v>-11938.9871719118</v>
      </c>
      <c r="BH149" s="67" t="n">
        <f aca="false">-BH146*Inputs!$C$29</f>
        <v>-11938.9871719118</v>
      </c>
      <c r="BI149" s="67" t="n">
        <f aca="false">-BI146*Inputs!$C$29</f>
        <v>-11938.9871719118</v>
      </c>
      <c r="BJ149" s="67" t="n">
        <f aca="false">-BJ146*Inputs!$C$29</f>
        <v>-8848.87890617811</v>
      </c>
    </row>
    <row r="150" customFormat="false" ht="15" hidden="false" customHeight="false" outlineLevel="0" collapsed="false">
      <c r="A150" s="6" t="s">
        <v>425</v>
      </c>
      <c r="C150" s="67" t="n">
        <f aca="false">-C139*Inputs!$C$30*(1+Inputs!$C$34)^(C$127-1)</f>
        <v>-334.8</v>
      </c>
      <c r="D150" s="67" t="n">
        <f aca="false">-D139*Inputs!$C$30*(1+Inputs!$C$34)^(D$127-1)</f>
        <v>-390.6</v>
      </c>
      <c r="E150" s="67" t="n">
        <f aca="false">-E139*Inputs!$C$30*(1+Inputs!$C$34)^(E$127-1)</f>
        <v>-604.8</v>
      </c>
      <c r="F150" s="67" t="n">
        <f aca="false">-F139*Inputs!$C$30*(1+Inputs!$C$34)^(F$127-1)</f>
        <v>-680.4</v>
      </c>
      <c r="G150" s="67" t="n">
        <f aca="false">-G139*Inputs!$C$30*(1+Inputs!$C$34)^(G$127-1)</f>
        <v>-756</v>
      </c>
      <c r="H150" s="67" t="n">
        <f aca="false">-H139*Inputs!$C$30*(1+Inputs!$C$34)^(H$127-1)</f>
        <v>-831.6</v>
      </c>
      <c r="I150" s="67" t="n">
        <f aca="false">-I139*Inputs!$C$30*(1+Inputs!$C$34)^(I$127-1)</f>
        <v>-907.2</v>
      </c>
      <c r="J150" s="67" t="n">
        <f aca="false">-J139*Inputs!$C$30*(1+Inputs!$C$34)^(J$127-1)</f>
        <v>-907.2</v>
      </c>
      <c r="K150" s="67" t="n">
        <f aca="false">-K139*Inputs!$C$30*(1+Inputs!$C$34)^(K$127-1)</f>
        <v>-907.2</v>
      </c>
      <c r="L150" s="67" t="n">
        <f aca="false">-L139*Inputs!$C$30*(1+Inputs!$C$34)^(L$127-1)</f>
        <v>-907.2</v>
      </c>
      <c r="M150" s="67" t="n">
        <f aca="false">-M139*Inputs!$C$30*(1+Inputs!$C$34)^(M$127-1)</f>
        <v>-907.2</v>
      </c>
      <c r="N150" s="67" t="n">
        <f aca="false">-N139*Inputs!$C$30*(1+Inputs!$C$34)^(N$127-1)</f>
        <v>-669.6</v>
      </c>
      <c r="O150" s="67" t="n">
        <f aca="false">-O139*Inputs!$C$30*(1+Inputs!$C$34)^(O$127-1)</f>
        <v>-713.15964</v>
      </c>
      <c r="P150" s="67" t="n">
        <f aca="false">-P139*Inputs!$C$30*(1+Inputs!$C$34)^(P$127-1)</f>
        <v>-713.15964</v>
      </c>
      <c r="Q150" s="67" t="n">
        <f aca="false">-Q139*Inputs!$C$30*(1+Inputs!$C$34)^(Q$127-1)</f>
        <v>-965.22948</v>
      </c>
      <c r="R150" s="67" t="n">
        <f aca="false">-R139*Inputs!$C$30*(1+Inputs!$C$34)^(R$127-1)</f>
        <v>-965.22948</v>
      </c>
      <c r="S150" s="67" t="n">
        <f aca="false">-S139*Inputs!$C$30*(1+Inputs!$C$34)^(S$127-1)</f>
        <v>-965.22948</v>
      </c>
      <c r="T150" s="67" t="n">
        <f aca="false">-T139*Inputs!$C$30*(1+Inputs!$C$34)^(T$127-1)</f>
        <v>-965.22948</v>
      </c>
      <c r="U150" s="67" t="n">
        <f aca="false">-U139*Inputs!$C$30*(1+Inputs!$C$34)^(U$127-1)</f>
        <v>-965.22948</v>
      </c>
      <c r="V150" s="67" t="n">
        <f aca="false">-V139*Inputs!$C$30*(1+Inputs!$C$34)^(V$127-1)</f>
        <v>-965.22948</v>
      </c>
      <c r="W150" s="67" t="n">
        <f aca="false">-W139*Inputs!$C$30*(1+Inputs!$C$34)^(W$127-1)</f>
        <v>-965.22948</v>
      </c>
      <c r="X150" s="67" t="n">
        <f aca="false">-X139*Inputs!$C$30*(1+Inputs!$C$34)^(X$127-1)</f>
        <v>-965.22948</v>
      </c>
      <c r="Y150" s="67" t="n">
        <f aca="false">-Y139*Inputs!$C$30*(1+Inputs!$C$34)^(Y$127-1)</f>
        <v>-965.22948</v>
      </c>
      <c r="Z150" s="67" t="n">
        <f aca="false">-Z139*Inputs!$C$30*(1+Inputs!$C$34)^(Z$127-1)</f>
        <v>-713.15964</v>
      </c>
      <c r="AA150" s="67" t="n">
        <f aca="false">-AA139*Inputs!$C$30*(1+Inputs!$C$34)^(AA$127-1)</f>
        <v>-759.598713576</v>
      </c>
      <c r="AB150" s="67" t="n">
        <f aca="false">-AB139*Inputs!$C$30*(1+Inputs!$C$34)^(AB$127-1)</f>
        <v>-759.598713576</v>
      </c>
      <c r="AC150" s="67" t="n">
        <f aca="false">-AC139*Inputs!$C$30*(1+Inputs!$C$34)^(AC$127-1)</f>
        <v>-1027.019606832</v>
      </c>
      <c r="AD150" s="67" t="n">
        <f aca="false">-AD139*Inputs!$C$30*(1+Inputs!$C$34)^(AD$127-1)</f>
        <v>-1027.019606832</v>
      </c>
      <c r="AE150" s="67" t="n">
        <f aca="false">-AE139*Inputs!$C$30*(1+Inputs!$C$34)^(AE$127-1)</f>
        <v>-1027.019606832</v>
      </c>
      <c r="AF150" s="67" t="n">
        <f aca="false">-AF139*Inputs!$C$30*(1+Inputs!$C$34)^(AF$127-1)</f>
        <v>-1027.019606832</v>
      </c>
      <c r="AG150" s="67" t="n">
        <f aca="false">-AG139*Inputs!$C$30*(1+Inputs!$C$34)^(AG$127-1)</f>
        <v>-1027.019606832</v>
      </c>
      <c r="AH150" s="67" t="n">
        <f aca="false">-AH139*Inputs!$C$30*(1+Inputs!$C$34)^(AH$127-1)</f>
        <v>-1027.019606832</v>
      </c>
      <c r="AI150" s="67" t="n">
        <f aca="false">-AI139*Inputs!$C$30*(1+Inputs!$C$34)^(AI$127-1)</f>
        <v>-1027.019606832</v>
      </c>
      <c r="AJ150" s="67" t="n">
        <f aca="false">-AJ139*Inputs!$C$30*(1+Inputs!$C$34)^(AJ$127-1)</f>
        <v>-1027.019606832</v>
      </c>
      <c r="AK150" s="67" t="n">
        <f aca="false">-AK139*Inputs!$C$30*(1+Inputs!$C$34)^(AK$127-1)</f>
        <v>-1027.019606832</v>
      </c>
      <c r="AL150" s="67" t="n">
        <f aca="false">-AL139*Inputs!$C$30*(1+Inputs!$C$34)^(AL$127-1)</f>
        <v>-759.598713576</v>
      </c>
      <c r="AM150" s="67" t="n">
        <f aca="false">-AM139*Inputs!$C$30*(1+Inputs!$C$34)^(AM$127-1)</f>
        <v>-809.111050330028</v>
      </c>
      <c r="AN150" s="67" t="n">
        <f aca="false">-AN139*Inputs!$C$30*(1+Inputs!$C$34)^(AN$127-1)</f>
        <v>-809.111050330028</v>
      </c>
      <c r="AO150" s="67" t="n">
        <f aca="false">-AO139*Inputs!$C$30*(1+Inputs!$C$34)^(AO$127-1)</f>
        <v>-1092.81787598532</v>
      </c>
      <c r="AP150" s="67" t="n">
        <f aca="false">-AP139*Inputs!$C$30*(1+Inputs!$C$34)^(AP$127-1)</f>
        <v>-1092.81787598532</v>
      </c>
      <c r="AQ150" s="67" t="n">
        <f aca="false">-AQ139*Inputs!$C$30*(1+Inputs!$C$34)^(AQ$127-1)</f>
        <v>-1092.81787598532</v>
      </c>
      <c r="AR150" s="67" t="n">
        <f aca="false">-AR139*Inputs!$C$30*(1+Inputs!$C$34)^(AR$127-1)</f>
        <v>-1092.81787598532</v>
      </c>
      <c r="AS150" s="67" t="n">
        <f aca="false">-AS139*Inputs!$C$30*(1+Inputs!$C$34)^(AS$127-1)</f>
        <v>-1092.81787598532</v>
      </c>
      <c r="AT150" s="67" t="n">
        <f aca="false">-AT139*Inputs!$C$30*(1+Inputs!$C$34)^(AT$127-1)</f>
        <v>-1092.81787598532</v>
      </c>
      <c r="AU150" s="67" t="n">
        <f aca="false">-AU139*Inputs!$C$30*(1+Inputs!$C$34)^(AU$127-1)</f>
        <v>-1092.81787598532</v>
      </c>
      <c r="AV150" s="67" t="n">
        <f aca="false">-AV139*Inputs!$C$30*(1+Inputs!$C$34)^(AV$127-1)</f>
        <v>-1092.81787598532</v>
      </c>
      <c r="AW150" s="67" t="n">
        <f aca="false">-AW139*Inputs!$C$30*(1+Inputs!$C$34)^(AW$127-1)</f>
        <v>-1092.81787598532</v>
      </c>
      <c r="AX150" s="67" t="n">
        <f aca="false">-AX139*Inputs!$C$30*(1+Inputs!$C$34)^(AX$127-1)</f>
        <v>-809.111050330028</v>
      </c>
      <c r="AY150" s="67" t="n">
        <f aca="false">-AY139*Inputs!$C$30*(1+Inputs!$C$34)^(AY$127-1)</f>
        <v>-861.903789562803</v>
      </c>
      <c r="AZ150" s="67" t="n">
        <f aca="false">-AZ139*Inputs!$C$30*(1+Inputs!$C$34)^(AZ$127-1)</f>
        <v>-861.903789562803</v>
      </c>
      <c r="BA150" s="67" t="n">
        <f aca="false">-BA139*Inputs!$C$30*(1+Inputs!$C$34)^(BA$127-1)</f>
        <v>-1162.8883609005</v>
      </c>
      <c r="BB150" s="67" t="n">
        <f aca="false">-BB139*Inputs!$C$30*(1+Inputs!$C$34)^(BB$127-1)</f>
        <v>-1162.8883609005</v>
      </c>
      <c r="BC150" s="67" t="n">
        <f aca="false">-BC139*Inputs!$C$30*(1+Inputs!$C$34)^(BC$127-1)</f>
        <v>-1162.8883609005</v>
      </c>
      <c r="BD150" s="67" t="n">
        <f aca="false">-BD139*Inputs!$C$30*(1+Inputs!$C$34)^(BD$127-1)</f>
        <v>-1162.8883609005</v>
      </c>
      <c r="BE150" s="67" t="n">
        <f aca="false">-BE139*Inputs!$C$30*(1+Inputs!$C$34)^(BE$127-1)</f>
        <v>-1162.8883609005</v>
      </c>
      <c r="BF150" s="67" t="n">
        <f aca="false">-BF139*Inputs!$C$30*(1+Inputs!$C$34)^(BF$127-1)</f>
        <v>-1162.8883609005</v>
      </c>
      <c r="BG150" s="67" t="n">
        <f aca="false">-BG139*Inputs!$C$30*(1+Inputs!$C$34)^(BG$127-1)</f>
        <v>-1162.8883609005</v>
      </c>
      <c r="BH150" s="67" t="n">
        <f aca="false">-BH139*Inputs!$C$30*(1+Inputs!$C$34)^(BH$127-1)</f>
        <v>-1162.8883609005</v>
      </c>
      <c r="BI150" s="67" t="n">
        <f aca="false">-BI139*Inputs!$C$30*(1+Inputs!$C$34)^(BI$127-1)</f>
        <v>-1162.8883609005</v>
      </c>
      <c r="BJ150" s="67" t="n">
        <f aca="false">-BJ139*Inputs!$C$30*(1+Inputs!$C$34)^(BJ$127-1)</f>
        <v>-861.903789562803</v>
      </c>
    </row>
    <row r="151" customFormat="false" ht="15" hidden="false" customHeight="false" outlineLevel="0" collapsed="false">
      <c r="A151" s="6" t="s">
        <v>241</v>
      </c>
      <c r="C151" s="67" t="n">
        <f aca="false">C149+C150</f>
        <v>-3772.08</v>
      </c>
      <c r="D151" s="67" t="n">
        <f aca="false">D149+D150</f>
        <v>-4400.76</v>
      </c>
      <c r="E151" s="67" t="n">
        <f aca="false">E149+E150</f>
        <v>-6814.08</v>
      </c>
      <c r="F151" s="67" t="n">
        <f aca="false">F149+F150</f>
        <v>-7665.84</v>
      </c>
      <c r="G151" s="67" t="n">
        <f aca="false">G149+G150</f>
        <v>-8517.6</v>
      </c>
      <c r="H151" s="67" t="n">
        <f aca="false">H149+H150</f>
        <v>-9369.36</v>
      </c>
      <c r="I151" s="67" t="n">
        <f aca="false">I149+I150</f>
        <v>-10221.12</v>
      </c>
      <c r="J151" s="67" t="n">
        <f aca="false">J149+J150</f>
        <v>-10221.12</v>
      </c>
      <c r="K151" s="67" t="n">
        <f aca="false">K149+K150</f>
        <v>-10221.12</v>
      </c>
      <c r="L151" s="67" t="n">
        <f aca="false">L149+L150</f>
        <v>-10221.12</v>
      </c>
      <c r="M151" s="67" t="n">
        <f aca="false">M149+M150</f>
        <v>-10221.12</v>
      </c>
      <c r="N151" s="67" t="n">
        <f aca="false">N149+N150</f>
        <v>-7544.16</v>
      </c>
      <c r="O151" s="67" t="n">
        <f aca="false">O149+O150</f>
        <v>-8034.931944</v>
      </c>
      <c r="P151" s="67" t="n">
        <f aca="false">P149+P150</f>
        <v>-8034.931944</v>
      </c>
      <c r="Q151" s="67" t="n">
        <f aca="false">Q149+Q150</f>
        <v>-10874.918808</v>
      </c>
      <c r="R151" s="67" t="n">
        <f aca="false">R149+R150</f>
        <v>-10874.918808</v>
      </c>
      <c r="S151" s="67" t="n">
        <f aca="false">S149+S150</f>
        <v>-10874.918808</v>
      </c>
      <c r="T151" s="67" t="n">
        <f aca="false">T149+T150</f>
        <v>-10874.918808</v>
      </c>
      <c r="U151" s="67" t="n">
        <f aca="false">U149+U150</f>
        <v>-10874.918808</v>
      </c>
      <c r="V151" s="67" t="n">
        <f aca="false">V149+V150</f>
        <v>-10874.918808</v>
      </c>
      <c r="W151" s="67" t="n">
        <f aca="false">W149+W150</f>
        <v>-10874.918808</v>
      </c>
      <c r="X151" s="67" t="n">
        <f aca="false">X149+X150</f>
        <v>-10874.918808</v>
      </c>
      <c r="Y151" s="67" t="n">
        <f aca="false">Y149+Y150</f>
        <v>-10874.918808</v>
      </c>
      <c r="Z151" s="67" t="n">
        <f aca="false">Z149+Z150</f>
        <v>-8034.931944</v>
      </c>
      <c r="AA151" s="67" t="n">
        <f aca="false">AA149+AA150</f>
        <v>-8558.1455062896</v>
      </c>
      <c r="AB151" s="67" t="n">
        <f aca="false">AB149+AB150</f>
        <v>-8558.1455062896</v>
      </c>
      <c r="AC151" s="67" t="n">
        <f aca="false">AC149+AC150</f>
        <v>-11571.0875703072</v>
      </c>
      <c r="AD151" s="67" t="n">
        <f aca="false">AD149+AD150</f>
        <v>-11571.0875703072</v>
      </c>
      <c r="AE151" s="67" t="n">
        <f aca="false">AE149+AE150</f>
        <v>-11571.0875703072</v>
      </c>
      <c r="AF151" s="67" t="n">
        <f aca="false">AF149+AF150</f>
        <v>-11571.0875703072</v>
      </c>
      <c r="AG151" s="67" t="n">
        <f aca="false">AG149+AG150</f>
        <v>-11571.0875703072</v>
      </c>
      <c r="AH151" s="67" t="n">
        <f aca="false">AH149+AH150</f>
        <v>-11571.0875703072</v>
      </c>
      <c r="AI151" s="67" t="n">
        <f aca="false">AI149+AI150</f>
        <v>-11571.0875703072</v>
      </c>
      <c r="AJ151" s="67" t="n">
        <f aca="false">AJ149+AJ150</f>
        <v>-11571.0875703072</v>
      </c>
      <c r="AK151" s="67" t="n">
        <f aca="false">AK149+AK150</f>
        <v>-11571.0875703072</v>
      </c>
      <c r="AL151" s="67" t="n">
        <f aca="false">AL149+AL150</f>
        <v>-8558.1455062896</v>
      </c>
      <c r="AM151" s="67" t="n">
        <f aca="false">AM149+AM150</f>
        <v>-9115.98450038499</v>
      </c>
      <c r="AN151" s="67" t="n">
        <f aca="false">AN149+AN150</f>
        <v>-9115.98450038499</v>
      </c>
      <c r="AO151" s="67" t="n">
        <f aca="false">AO149+AO150</f>
        <v>-12312.4147361013</v>
      </c>
      <c r="AP151" s="67" t="n">
        <f aca="false">AP149+AP150</f>
        <v>-12312.4147361013</v>
      </c>
      <c r="AQ151" s="67" t="n">
        <f aca="false">AQ149+AQ150</f>
        <v>-12312.4147361013</v>
      </c>
      <c r="AR151" s="67" t="n">
        <f aca="false">AR149+AR150</f>
        <v>-12312.4147361013</v>
      </c>
      <c r="AS151" s="67" t="n">
        <f aca="false">AS149+AS150</f>
        <v>-12312.4147361013</v>
      </c>
      <c r="AT151" s="67" t="n">
        <f aca="false">AT149+AT150</f>
        <v>-12312.4147361013</v>
      </c>
      <c r="AU151" s="67" t="n">
        <f aca="false">AU149+AU150</f>
        <v>-12312.4147361013</v>
      </c>
      <c r="AV151" s="67" t="n">
        <f aca="false">AV149+AV150</f>
        <v>-12312.4147361013</v>
      </c>
      <c r="AW151" s="67" t="n">
        <f aca="false">AW149+AW150</f>
        <v>-12312.4147361013</v>
      </c>
      <c r="AX151" s="67" t="n">
        <f aca="false">AX149+AX150</f>
        <v>-9115.98450038499</v>
      </c>
      <c r="AY151" s="67" t="n">
        <f aca="false">AY149+AY150</f>
        <v>-9710.78269574092</v>
      </c>
      <c r="AZ151" s="67" t="n">
        <f aca="false">AZ149+AZ150</f>
        <v>-9710.78269574092</v>
      </c>
      <c r="BA151" s="67" t="n">
        <f aca="false">BA149+BA150</f>
        <v>-13101.8755328123</v>
      </c>
      <c r="BB151" s="67" t="n">
        <f aca="false">BB149+BB150</f>
        <v>-13101.8755328123</v>
      </c>
      <c r="BC151" s="67" t="n">
        <f aca="false">BC149+BC150</f>
        <v>-13101.8755328123</v>
      </c>
      <c r="BD151" s="67" t="n">
        <f aca="false">BD149+BD150</f>
        <v>-13101.8755328123</v>
      </c>
      <c r="BE151" s="67" t="n">
        <f aca="false">BE149+BE150</f>
        <v>-13101.8755328123</v>
      </c>
      <c r="BF151" s="67" t="n">
        <f aca="false">BF149+BF150</f>
        <v>-13101.8755328123</v>
      </c>
      <c r="BG151" s="67" t="n">
        <f aca="false">BG149+BG150</f>
        <v>-13101.8755328123</v>
      </c>
      <c r="BH151" s="67" t="n">
        <f aca="false">BH149+BH150</f>
        <v>-13101.8755328123</v>
      </c>
      <c r="BI151" s="67" t="n">
        <f aca="false">BI149+BI150</f>
        <v>-13101.8755328123</v>
      </c>
      <c r="BJ151" s="67" t="n">
        <f aca="false">BJ149+BJ150</f>
        <v>-9710.78269574092</v>
      </c>
    </row>
    <row r="152" customFormat="false" ht="15" hidden="false" customHeight="false" outlineLevel="0" collapsed="false">
      <c r="A152" s="6" t="s">
        <v>426</v>
      </c>
      <c r="C152" s="67" t="n">
        <f aca="false">-C146*Inputs!$C$31</f>
        <v>-302.064</v>
      </c>
      <c r="D152" s="67" t="n">
        <f aca="false">-D146*Inputs!$C$31</f>
        <v>-352.408</v>
      </c>
      <c r="E152" s="67" t="n">
        <f aca="false">-E146*Inputs!$C$31</f>
        <v>-545.664</v>
      </c>
      <c r="F152" s="67" t="n">
        <f aca="false">-F146*Inputs!$C$31</f>
        <v>-613.872</v>
      </c>
      <c r="G152" s="67" t="n">
        <f aca="false">-G146*Inputs!$C$31</f>
        <v>-682.08</v>
      </c>
      <c r="H152" s="67" t="n">
        <f aca="false">-H146*Inputs!$C$31</f>
        <v>-750.288</v>
      </c>
      <c r="I152" s="67" t="n">
        <f aca="false">-I146*Inputs!$C$31</f>
        <v>-818.496</v>
      </c>
      <c r="J152" s="67" t="n">
        <f aca="false">-J146*Inputs!$C$31</f>
        <v>-818.496</v>
      </c>
      <c r="K152" s="67" t="n">
        <f aca="false">-K146*Inputs!$C$31</f>
        <v>-818.496</v>
      </c>
      <c r="L152" s="67" t="n">
        <f aca="false">-L146*Inputs!$C$31</f>
        <v>-818.496</v>
      </c>
      <c r="M152" s="67" t="n">
        <f aca="false">-M146*Inputs!$C$31</f>
        <v>-818.496</v>
      </c>
      <c r="N152" s="67" t="n">
        <f aca="false">-N146*Inputs!$C$31</f>
        <v>-604.128</v>
      </c>
      <c r="O152" s="67" t="n">
        <f aca="false">-O146*Inputs!$C$31</f>
        <v>-643.4284752</v>
      </c>
      <c r="P152" s="67" t="n">
        <f aca="false">-P146*Inputs!$C$31</f>
        <v>-643.4284752</v>
      </c>
      <c r="Q152" s="67" t="n">
        <f aca="false">-Q146*Inputs!$C$31</f>
        <v>-870.8514864</v>
      </c>
      <c r="R152" s="67" t="n">
        <f aca="false">-R146*Inputs!$C$31</f>
        <v>-870.8514864</v>
      </c>
      <c r="S152" s="67" t="n">
        <f aca="false">-S146*Inputs!$C$31</f>
        <v>-870.8514864</v>
      </c>
      <c r="T152" s="67" t="n">
        <f aca="false">-T146*Inputs!$C$31</f>
        <v>-870.8514864</v>
      </c>
      <c r="U152" s="67" t="n">
        <f aca="false">-U146*Inputs!$C$31</f>
        <v>-870.8514864</v>
      </c>
      <c r="V152" s="67" t="n">
        <f aca="false">-V146*Inputs!$C$31</f>
        <v>-870.8514864</v>
      </c>
      <c r="W152" s="67" t="n">
        <f aca="false">-W146*Inputs!$C$31</f>
        <v>-870.8514864</v>
      </c>
      <c r="X152" s="67" t="n">
        <f aca="false">-X146*Inputs!$C$31</f>
        <v>-870.8514864</v>
      </c>
      <c r="Y152" s="67" t="n">
        <f aca="false">-Y146*Inputs!$C$31</f>
        <v>-870.8514864</v>
      </c>
      <c r="Z152" s="67" t="n">
        <f aca="false">-Z146*Inputs!$C$31</f>
        <v>-643.4284752</v>
      </c>
      <c r="AA152" s="67" t="n">
        <f aca="false">-AA146*Inputs!$C$31</f>
        <v>-685.32683935968</v>
      </c>
      <c r="AB152" s="67" t="n">
        <f aca="false">-AB146*Inputs!$C$31</f>
        <v>-685.32683935968</v>
      </c>
      <c r="AC152" s="67" t="n">
        <f aca="false">-AC146*Inputs!$C$31</f>
        <v>-926.59991194176</v>
      </c>
      <c r="AD152" s="67" t="n">
        <f aca="false">-AD146*Inputs!$C$31</f>
        <v>-926.59991194176</v>
      </c>
      <c r="AE152" s="67" t="n">
        <f aca="false">-AE146*Inputs!$C$31</f>
        <v>-926.59991194176</v>
      </c>
      <c r="AF152" s="67" t="n">
        <f aca="false">-AF146*Inputs!$C$31</f>
        <v>-926.59991194176</v>
      </c>
      <c r="AG152" s="67" t="n">
        <f aca="false">-AG146*Inputs!$C$31</f>
        <v>-926.59991194176</v>
      </c>
      <c r="AH152" s="67" t="n">
        <f aca="false">-AH146*Inputs!$C$31</f>
        <v>-926.59991194176</v>
      </c>
      <c r="AI152" s="67" t="n">
        <f aca="false">-AI146*Inputs!$C$31</f>
        <v>-926.59991194176</v>
      </c>
      <c r="AJ152" s="67" t="n">
        <f aca="false">-AJ146*Inputs!$C$31</f>
        <v>-926.59991194176</v>
      </c>
      <c r="AK152" s="67" t="n">
        <f aca="false">-AK146*Inputs!$C$31</f>
        <v>-926.59991194176</v>
      </c>
      <c r="AL152" s="67" t="n">
        <f aca="false">-AL146*Inputs!$C$31</f>
        <v>-685.32683935968</v>
      </c>
      <c r="AM152" s="67" t="n">
        <f aca="false">-AM146*Inputs!$C$31</f>
        <v>-729.997969853315</v>
      </c>
      <c r="AN152" s="67" t="n">
        <f aca="false">-AN146*Inputs!$C$31</f>
        <v>-729.997969853315</v>
      </c>
      <c r="AO152" s="67" t="n">
        <f aca="false">-AO146*Inputs!$C$31</f>
        <v>-985.964572555643</v>
      </c>
      <c r="AP152" s="67" t="n">
        <f aca="false">-AP146*Inputs!$C$31</f>
        <v>-985.964572555643</v>
      </c>
      <c r="AQ152" s="67" t="n">
        <f aca="false">-AQ146*Inputs!$C$31</f>
        <v>-985.964572555643</v>
      </c>
      <c r="AR152" s="67" t="n">
        <f aca="false">-AR146*Inputs!$C$31</f>
        <v>-985.964572555643</v>
      </c>
      <c r="AS152" s="67" t="n">
        <f aca="false">-AS146*Inputs!$C$31</f>
        <v>-985.964572555643</v>
      </c>
      <c r="AT152" s="67" t="n">
        <f aca="false">-AT146*Inputs!$C$31</f>
        <v>-985.964572555643</v>
      </c>
      <c r="AU152" s="67" t="n">
        <f aca="false">-AU146*Inputs!$C$31</f>
        <v>-985.964572555643</v>
      </c>
      <c r="AV152" s="67" t="n">
        <f aca="false">-AV146*Inputs!$C$31</f>
        <v>-985.964572555643</v>
      </c>
      <c r="AW152" s="67" t="n">
        <f aca="false">-AW146*Inputs!$C$31</f>
        <v>-985.964572555643</v>
      </c>
      <c r="AX152" s="67" t="n">
        <f aca="false">-AX146*Inputs!$C$31</f>
        <v>-729.997969853315</v>
      </c>
      <c r="AY152" s="67" t="n">
        <f aca="false">-AY146*Inputs!$C$31</f>
        <v>-777.628752361107</v>
      </c>
      <c r="AZ152" s="67" t="n">
        <f aca="false">-AZ146*Inputs!$C$31</f>
        <v>-777.628752361107</v>
      </c>
      <c r="BA152" s="67" t="n">
        <f aca="false">-BA146*Inputs!$C$31</f>
        <v>-1049.18372116801</v>
      </c>
      <c r="BB152" s="67" t="n">
        <f aca="false">-BB146*Inputs!$C$31</f>
        <v>-1049.18372116801</v>
      </c>
      <c r="BC152" s="67" t="n">
        <f aca="false">-BC146*Inputs!$C$31</f>
        <v>-1049.18372116801</v>
      </c>
      <c r="BD152" s="67" t="n">
        <f aca="false">-BD146*Inputs!$C$31</f>
        <v>-1049.18372116801</v>
      </c>
      <c r="BE152" s="67" t="n">
        <f aca="false">-BE146*Inputs!$C$31</f>
        <v>-1049.18372116801</v>
      </c>
      <c r="BF152" s="67" t="n">
        <f aca="false">-BF146*Inputs!$C$31</f>
        <v>-1049.18372116801</v>
      </c>
      <c r="BG152" s="67" t="n">
        <f aca="false">-BG146*Inputs!$C$31</f>
        <v>-1049.18372116801</v>
      </c>
      <c r="BH152" s="67" t="n">
        <f aca="false">-BH146*Inputs!$C$31</f>
        <v>-1049.18372116801</v>
      </c>
      <c r="BI152" s="67" t="n">
        <f aca="false">-BI146*Inputs!$C$31</f>
        <v>-1049.18372116801</v>
      </c>
      <c r="BJ152" s="67" t="n">
        <f aca="false">-BJ146*Inputs!$C$31</f>
        <v>-777.628752361107</v>
      </c>
    </row>
    <row r="153" customFormat="false" ht="15" hidden="false" customHeight="false" outlineLevel="0" collapsed="false">
      <c r="A153" s="6" t="s">
        <v>427</v>
      </c>
      <c r="C153" s="67" t="n">
        <f aca="false">-C145*Inputs!$C$32-C135*Inputs!$C$33*(1+Inputs!$C$34)^(C$127-1)</f>
        <v>-234</v>
      </c>
      <c r="D153" s="67" t="n">
        <f aca="false">-D145*Inputs!$C$32-D135*Inputs!$C$33*(1+Inputs!$C$34)^(D$127-1)</f>
        <v>-273</v>
      </c>
      <c r="E153" s="67" t="n">
        <f aca="false">-E145*Inputs!$C$32-E135*Inputs!$C$33*(1+Inputs!$C$34)^(E$127-1)</f>
        <v>-312</v>
      </c>
      <c r="F153" s="67" t="n">
        <f aca="false">-F145*Inputs!$C$32-F135*Inputs!$C$33*(1+Inputs!$C$34)^(F$127-1)</f>
        <v>-351</v>
      </c>
      <c r="G153" s="67" t="n">
        <f aca="false">-G145*Inputs!$C$32-G135*Inputs!$C$33*(1+Inputs!$C$34)^(G$127-1)</f>
        <v>-390</v>
      </c>
      <c r="H153" s="67" t="n">
        <f aca="false">-H145*Inputs!$C$32-H135*Inputs!$C$33*(1+Inputs!$C$34)^(H$127-1)</f>
        <v>-429</v>
      </c>
      <c r="I153" s="67" t="n">
        <f aca="false">-I145*Inputs!$C$32-I135*Inputs!$C$33*(1+Inputs!$C$34)^(I$127-1)</f>
        <v>-468</v>
      </c>
      <c r="J153" s="67" t="n">
        <f aca="false">-J145*Inputs!$C$32-J135*Inputs!$C$33*(1+Inputs!$C$34)^(J$127-1)</f>
        <v>-468</v>
      </c>
      <c r="K153" s="67" t="n">
        <f aca="false">-K145*Inputs!$C$32-K135*Inputs!$C$33*(1+Inputs!$C$34)^(K$127-1)</f>
        <v>-468</v>
      </c>
      <c r="L153" s="67" t="n">
        <f aca="false">-L145*Inputs!$C$32-L135*Inputs!$C$33*(1+Inputs!$C$34)^(L$127-1)</f>
        <v>-468</v>
      </c>
      <c r="M153" s="67" t="n">
        <f aca="false">-M145*Inputs!$C$32-M135*Inputs!$C$33*(1+Inputs!$C$34)^(M$127-1)</f>
        <v>-468</v>
      </c>
      <c r="N153" s="67" t="n">
        <f aca="false">-N145*Inputs!$C$32-N135*Inputs!$C$33*(1+Inputs!$C$34)^(N$127-1)</f>
        <v>-468</v>
      </c>
      <c r="O153" s="67" t="n">
        <f aca="false">-O145*Inputs!$C$32-O135*Inputs!$C$33*(1+Inputs!$C$34)^(O$127-1)</f>
        <v>-506.142</v>
      </c>
      <c r="P153" s="67" t="n">
        <f aca="false">-P145*Inputs!$C$32-P135*Inputs!$C$33*(1+Inputs!$C$34)^(P$127-1)</f>
        <v>-506.142</v>
      </c>
      <c r="Q153" s="67" t="n">
        <f aca="false">-Q145*Inputs!$C$32-Q135*Inputs!$C$33*(1+Inputs!$C$34)^(Q$127-1)</f>
        <v>-506.142</v>
      </c>
      <c r="R153" s="67" t="n">
        <f aca="false">-R145*Inputs!$C$32-R135*Inputs!$C$33*(1+Inputs!$C$34)^(R$127-1)</f>
        <v>-506.142</v>
      </c>
      <c r="S153" s="67" t="n">
        <f aca="false">-S145*Inputs!$C$32-S135*Inputs!$C$33*(1+Inputs!$C$34)^(S$127-1)</f>
        <v>-506.142</v>
      </c>
      <c r="T153" s="67" t="n">
        <f aca="false">-T145*Inputs!$C$32-T135*Inputs!$C$33*(1+Inputs!$C$34)^(T$127-1)</f>
        <v>-506.142</v>
      </c>
      <c r="U153" s="67" t="n">
        <f aca="false">-U145*Inputs!$C$32-U135*Inputs!$C$33*(1+Inputs!$C$34)^(U$127-1)</f>
        <v>-506.142</v>
      </c>
      <c r="V153" s="67" t="n">
        <f aca="false">-V145*Inputs!$C$32-V135*Inputs!$C$33*(1+Inputs!$C$34)^(V$127-1)</f>
        <v>-506.142</v>
      </c>
      <c r="W153" s="67" t="n">
        <f aca="false">-W145*Inputs!$C$32-W135*Inputs!$C$33*(1+Inputs!$C$34)^(W$127-1)</f>
        <v>-506.142</v>
      </c>
      <c r="X153" s="67" t="n">
        <f aca="false">-X145*Inputs!$C$32-X135*Inputs!$C$33*(1+Inputs!$C$34)^(X$127-1)</f>
        <v>-506.142</v>
      </c>
      <c r="Y153" s="67" t="n">
        <f aca="false">-Y145*Inputs!$C$32-Y135*Inputs!$C$33*(1+Inputs!$C$34)^(Y$127-1)</f>
        <v>-506.142</v>
      </c>
      <c r="Z153" s="67" t="n">
        <f aca="false">-Z145*Inputs!$C$32-Z135*Inputs!$C$33*(1+Inputs!$C$34)^(Z$127-1)</f>
        <v>-506.142</v>
      </c>
      <c r="AA153" s="67" t="n">
        <f aca="false">-AA145*Inputs!$C$32-AA135*Inputs!$C$33*(1+Inputs!$C$34)^(AA$127-1)</f>
        <v>-547.392573</v>
      </c>
      <c r="AB153" s="67" t="n">
        <f aca="false">-AB145*Inputs!$C$32-AB135*Inputs!$C$33*(1+Inputs!$C$34)^(AB$127-1)</f>
        <v>-547.392573</v>
      </c>
      <c r="AC153" s="67" t="n">
        <f aca="false">-AC145*Inputs!$C$32-AC135*Inputs!$C$33*(1+Inputs!$C$34)^(AC$127-1)</f>
        <v>-547.392573</v>
      </c>
      <c r="AD153" s="67" t="n">
        <f aca="false">-AD145*Inputs!$C$32-AD135*Inputs!$C$33*(1+Inputs!$C$34)^(AD$127-1)</f>
        <v>-547.392573</v>
      </c>
      <c r="AE153" s="67" t="n">
        <f aca="false">-AE145*Inputs!$C$32-AE135*Inputs!$C$33*(1+Inputs!$C$34)^(AE$127-1)</f>
        <v>-547.392573</v>
      </c>
      <c r="AF153" s="67" t="n">
        <f aca="false">-AF145*Inputs!$C$32-AF135*Inputs!$C$33*(1+Inputs!$C$34)^(AF$127-1)</f>
        <v>-547.392573</v>
      </c>
      <c r="AG153" s="67" t="n">
        <f aca="false">-AG145*Inputs!$C$32-AG135*Inputs!$C$33*(1+Inputs!$C$34)^(AG$127-1)</f>
        <v>-547.392573</v>
      </c>
      <c r="AH153" s="67" t="n">
        <f aca="false">-AH145*Inputs!$C$32-AH135*Inputs!$C$33*(1+Inputs!$C$34)^(AH$127-1)</f>
        <v>-547.392573</v>
      </c>
      <c r="AI153" s="67" t="n">
        <f aca="false">-AI145*Inputs!$C$32-AI135*Inputs!$C$33*(1+Inputs!$C$34)^(AI$127-1)</f>
        <v>-547.392573</v>
      </c>
      <c r="AJ153" s="67" t="n">
        <f aca="false">-AJ145*Inputs!$C$32-AJ135*Inputs!$C$33*(1+Inputs!$C$34)^(AJ$127-1)</f>
        <v>-547.392573</v>
      </c>
      <c r="AK153" s="67" t="n">
        <f aca="false">-AK145*Inputs!$C$32-AK135*Inputs!$C$33*(1+Inputs!$C$34)^(AK$127-1)</f>
        <v>-547.392573</v>
      </c>
      <c r="AL153" s="67" t="n">
        <f aca="false">-AL145*Inputs!$C$32-AL135*Inputs!$C$33*(1+Inputs!$C$34)^(AL$127-1)</f>
        <v>-547.392573</v>
      </c>
      <c r="AM153" s="67" t="n">
        <f aca="false">-AM145*Inputs!$C$32-AM135*Inputs!$C$33*(1+Inputs!$C$34)^(AM$127-1)</f>
        <v>-592.0050676995</v>
      </c>
      <c r="AN153" s="67" t="n">
        <f aca="false">-AN145*Inputs!$C$32-AN135*Inputs!$C$33*(1+Inputs!$C$34)^(AN$127-1)</f>
        <v>-592.0050676995</v>
      </c>
      <c r="AO153" s="67" t="n">
        <f aca="false">-AO145*Inputs!$C$32-AO135*Inputs!$C$33*(1+Inputs!$C$34)^(AO$127-1)</f>
        <v>-592.0050676995</v>
      </c>
      <c r="AP153" s="67" t="n">
        <f aca="false">-AP145*Inputs!$C$32-AP135*Inputs!$C$33*(1+Inputs!$C$34)^(AP$127-1)</f>
        <v>-592.0050676995</v>
      </c>
      <c r="AQ153" s="67" t="n">
        <f aca="false">-AQ145*Inputs!$C$32-AQ135*Inputs!$C$33*(1+Inputs!$C$34)^(AQ$127-1)</f>
        <v>-592.0050676995</v>
      </c>
      <c r="AR153" s="67" t="n">
        <f aca="false">-AR145*Inputs!$C$32-AR135*Inputs!$C$33*(1+Inputs!$C$34)^(AR$127-1)</f>
        <v>-592.0050676995</v>
      </c>
      <c r="AS153" s="67" t="n">
        <f aca="false">-AS145*Inputs!$C$32-AS135*Inputs!$C$33*(1+Inputs!$C$34)^(AS$127-1)</f>
        <v>-592.0050676995</v>
      </c>
      <c r="AT153" s="67" t="n">
        <f aca="false">-AT145*Inputs!$C$32-AT135*Inputs!$C$33*(1+Inputs!$C$34)^(AT$127-1)</f>
        <v>-592.0050676995</v>
      </c>
      <c r="AU153" s="67" t="n">
        <f aca="false">-AU145*Inputs!$C$32-AU135*Inputs!$C$33*(1+Inputs!$C$34)^(AU$127-1)</f>
        <v>-592.0050676995</v>
      </c>
      <c r="AV153" s="67" t="n">
        <f aca="false">-AV145*Inputs!$C$32-AV135*Inputs!$C$33*(1+Inputs!$C$34)^(AV$127-1)</f>
        <v>-592.0050676995</v>
      </c>
      <c r="AW153" s="67" t="n">
        <f aca="false">-AW145*Inputs!$C$32-AW135*Inputs!$C$33*(1+Inputs!$C$34)^(AW$127-1)</f>
        <v>-592.0050676995</v>
      </c>
      <c r="AX153" s="67" t="n">
        <f aca="false">-AX145*Inputs!$C$32-AX135*Inputs!$C$33*(1+Inputs!$C$34)^(AX$127-1)</f>
        <v>-592.0050676995</v>
      </c>
      <c r="AY153" s="67" t="n">
        <f aca="false">-AY145*Inputs!$C$32-AY135*Inputs!$C$33*(1+Inputs!$C$34)^(AY$127-1)</f>
        <v>-640.25348071701</v>
      </c>
      <c r="AZ153" s="67" t="n">
        <f aca="false">-AZ145*Inputs!$C$32-AZ135*Inputs!$C$33*(1+Inputs!$C$34)^(AZ$127-1)</f>
        <v>-640.25348071701</v>
      </c>
      <c r="BA153" s="67" t="n">
        <f aca="false">-BA145*Inputs!$C$32-BA135*Inputs!$C$33*(1+Inputs!$C$34)^(BA$127-1)</f>
        <v>-640.25348071701</v>
      </c>
      <c r="BB153" s="67" t="n">
        <f aca="false">-BB145*Inputs!$C$32-BB135*Inputs!$C$33*(1+Inputs!$C$34)^(BB$127-1)</f>
        <v>-640.25348071701</v>
      </c>
      <c r="BC153" s="67" t="n">
        <f aca="false">-BC145*Inputs!$C$32-BC135*Inputs!$C$33*(1+Inputs!$C$34)^(BC$127-1)</f>
        <v>-640.25348071701</v>
      </c>
      <c r="BD153" s="67" t="n">
        <f aca="false">-BD145*Inputs!$C$32-BD135*Inputs!$C$33*(1+Inputs!$C$34)^(BD$127-1)</f>
        <v>-640.25348071701</v>
      </c>
      <c r="BE153" s="67" t="n">
        <f aca="false">-BE145*Inputs!$C$32-BE135*Inputs!$C$33*(1+Inputs!$C$34)^(BE$127-1)</f>
        <v>-640.25348071701</v>
      </c>
      <c r="BF153" s="67" t="n">
        <f aca="false">-BF145*Inputs!$C$32-BF135*Inputs!$C$33*(1+Inputs!$C$34)^(BF$127-1)</f>
        <v>-640.25348071701</v>
      </c>
      <c r="BG153" s="67" t="n">
        <f aca="false">-BG145*Inputs!$C$32-BG135*Inputs!$C$33*(1+Inputs!$C$34)^(BG$127-1)</f>
        <v>-640.25348071701</v>
      </c>
      <c r="BH153" s="67" t="n">
        <f aca="false">-BH145*Inputs!$C$32-BH135*Inputs!$C$33*(1+Inputs!$C$34)^(BH$127-1)</f>
        <v>-640.25348071701</v>
      </c>
      <c r="BI153" s="67" t="n">
        <f aca="false">-BI145*Inputs!$C$32-BI135*Inputs!$C$33*(1+Inputs!$C$34)^(BI$127-1)</f>
        <v>-640.25348071701</v>
      </c>
      <c r="BJ153" s="67" t="n">
        <f aca="false">-BJ145*Inputs!$C$32-BJ135*Inputs!$C$33*(1+Inputs!$C$34)^(BJ$127-1)</f>
        <v>-640.25348071701</v>
      </c>
    </row>
    <row r="154" customFormat="false" ht="15" hidden="false" customHeight="false" outlineLevel="0" collapsed="false">
      <c r="A154" s="4" t="s">
        <v>76</v>
      </c>
      <c r="C154" s="73" t="n">
        <f aca="false">C151+C152+C153</f>
        <v>-4308.144</v>
      </c>
      <c r="D154" s="73" t="n">
        <f aca="false">D151+D152+D153</f>
        <v>-5026.168</v>
      </c>
      <c r="E154" s="73" t="n">
        <f aca="false">E151+E152+E153</f>
        <v>-7671.744</v>
      </c>
      <c r="F154" s="73" t="n">
        <f aca="false">F151+F152+F153</f>
        <v>-8630.712</v>
      </c>
      <c r="G154" s="73" t="n">
        <f aca="false">G151+G152+G153</f>
        <v>-9589.68</v>
      </c>
      <c r="H154" s="73" t="n">
        <f aca="false">H151+H152+H153</f>
        <v>-10548.648</v>
      </c>
      <c r="I154" s="73" t="n">
        <f aca="false">I151+I152+I153</f>
        <v>-11507.616</v>
      </c>
      <c r="J154" s="73" t="n">
        <f aca="false">J151+J152+J153</f>
        <v>-11507.616</v>
      </c>
      <c r="K154" s="73" t="n">
        <f aca="false">K151+K152+K153</f>
        <v>-11507.616</v>
      </c>
      <c r="L154" s="73" t="n">
        <f aca="false">L151+L152+L153</f>
        <v>-11507.616</v>
      </c>
      <c r="M154" s="73" t="n">
        <f aca="false">M151+M152+M153</f>
        <v>-11507.616</v>
      </c>
      <c r="N154" s="73" t="n">
        <f aca="false">N151+N152+N153</f>
        <v>-8616.288</v>
      </c>
      <c r="O154" s="73" t="n">
        <f aca="false">O151+O152+O153</f>
        <v>-9184.5024192</v>
      </c>
      <c r="P154" s="73" t="n">
        <f aca="false">P151+P152+P153</f>
        <v>-9184.5024192</v>
      </c>
      <c r="Q154" s="73" t="n">
        <f aca="false">Q151+Q152+Q153</f>
        <v>-12251.9122944</v>
      </c>
      <c r="R154" s="73" t="n">
        <f aca="false">R151+R152+R153</f>
        <v>-12251.9122944</v>
      </c>
      <c r="S154" s="73" t="n">
        <f aca="false">S151+S152+S153</f>
        <v>-12251.9122944</v>
      </c>
      <c r="T154" s="73" t="n">
        <f aca="false">T151+T152+T153</f>
        <v>-12251.9122944</v>
      </c>
      <c r="U154" s="73" t="n">
        <f aca="false">U151+U152+U153</f>
        <v>-12251.9122944</v>
      </c>
      <c r="V154" s="73" t="n">
        <f aca="false">V151+V152+V153</f>
        <v>-12251.9122944</v>
      </c>
      <c r="W154" s="73" t="n">
        <f aca="false">W151+W152+W153</f>
        <v>-12251.9122944</v>
      </c>
      <c r="X154" s="73" t="n">
        <f aca="false">X151+X152+X153</f>
        <v>-12251.9122944</v>
      </c>
      <c r="Y154" s="73" t="n">
        <f aca="false">Y151+Y152+Y153</f>
        <v>-12251.9122944</v>
      </c>
      <c r="Z154" s="73" t="n">
        <f aca="false">Z151+Z152+Z153</f>
        <v>-9184.5024192</v>
      </c>
      <c r="AA154" s="73" t="n">
        <f aca="false">AA151+AA152+AA153</f>
        <v>-9790.86491864928</v>
      </c>
      <c r="AB154" s="73" t="n">
        <f aca="false">AB151+AB152+AB153</f>
        <v>-9790.86491864928</v>
      </c>
      <c r="AC154" s="73" t="n">
        <f aca="false">AC151+AC152+AC153</f>
        <v>-13045.080055249</v>
      </c>
      <c r="AD154" s="73" t="n">
        <f aca="false">AD151+AD152+AD153</f>
        <v>-13045.080055249</v>
      </c>
      <c r="AE154" s="73" t="n">
        <f aca="false">AE151+AE152+AE153</f>
        <v>-13045.080055249</v>
      </c>
      <c r="AF154" s="73" t="n">
        <f aca="false">AF151+AF152+AF153</f>
        <v>-13045.080055249</v>
      </c>
      <c r="AG154" s="73" t="n">
        <f aca="false">AG151+AG152+AG153</f>
        <v>-13045.080055249</v>
      </c>
      <c r="AH154" s="73" t="n">
        <f aca="false">AH151+AH152+AH153</f>
        <v>-13045.080055249</v>
      </c>
      <c r="AI154" s="73" t="n">
        <f aca="false">AI151+AI152+AI153</f>
        <v>-13045.080055249</v>
      </c>
      <c r="AJ154" s="73" t="n">
        <f aca="false">AJ151+AJ152+AJ153</f>
        <v>-13045.080055249</v>
      </c>
      <c r="AK154" s="73" t="n">
        <f aca="false">AK151+AK152+AK153</f>
        <v>-13045.080055249</v>
      </c>
      <c r="AL154" s="73" t="n">
        <f aca="false">AL151+AL152+AL153</f>
        <v>-9790.86491864928</v>
      </c>
      <c r="AM154" s="73" t="n">
        <f aca="false">AM151+AM152+AM153</f>
        <v>-10437.9875379378</v>
      </c>
      <c r="AN154" s="73" t="n">
        <f aca="false">AN151+AN152+AN153</f>
        <v>-10437.9875379378</v>
      </c>
      <c r="AO154" s="73" t="n">
        <f aca="false">AO151+AO152+AO153</f>
        <v>-13890.3843763564</v>
      </c>
      <c r="AP154" s="73" t="n">
        <f aca="false">AP151+AP152+AP153</f>
        <v>-13890.3843763564</v>
      </c>
      <c r="AQ154" s="73" t="n">
        <f aca="false">AQ151+AQ152+AQ153</f>
        <v>-13890.3843763564</v>
      </c>
      <c r="AR154" s="73" t="n">
        <f aca="false">AR151+AR152+AR153</f>
        <v>-13890.3843763564</v>
      </c>
      <c r="AS154" s="73" t="n">
        <f aca="false">AS151+AS152+AS153</f>
        <v>-13890.3843763564</v>
      </c>
      <c r="AT154" s="73" t="n">
        <f aca="false">AT151+AT152+AT153</f>
        <v>-13890.3843763564</v>
      </c>
      <c r="AU154" s="73" t="n">
        <f aca="false">AU151+AU152+AU153</f>
        <v>-13890.3843763564</v>
      </c>
      <c r="AV154" s="73" t="n">
        <f aca="false">AV151+AV152+AV153</f>
        <v>-13890.3843763564</v>
      </c>
      <c r="AW154" s="73" t="n">
        <f aca="false">AW151+AW152+AW153</f>
        <v>-13890.3843763564</v>
      </c>
      <c r="AX154" s="73" t="n">
        <f aca="false">AX151+AX152+AX153</f>
        <v>-10437.9875379378</v>
      </c>
      <c r="AY154" s="73" t="n">
        <f aca="false">AY151+AY152+AY153</f>
        <v>-11128.664928819</v>
      </c>
      <c r="AZ154" s="73" t="n">
        <f aca="false">AZ151+AZ152+AZ153</f>
        <v>-11128.664928819</v>
      </c>
      <c r="BA154" s="73" t="n">
        <f aca="false">BA151+BA152+BA153</f>
        <v>-14791.3127346973</v>
      </c>
      <c r="BB154" s="73" t="n">
        <f aca="false">BB151+BB152+BB153</f>
        <v>-14791.3127346973</v>
      </c>
      <c r="BC154" s="73" t="n">
        <f aca="false">BC151+BC152+BC153</f>
        <v>-14791.3127346973</v>
      </c>
      <c r="BD154" s="73" t="n">
        <f aca="false">BD151+BD152+BD153</f>
        <v>-14791.3127346973</v>
      </c>
      <c r="BE154" s="73" t="n">
        <f aca="false">BE151+BE152+BE153</f>
        <v>-14791.3127346973</v>
      </c>
      <c r="BF154" s="73" t="n">
        <f aca="false">BF151+BF152+BF153</f>
        <v>-14791.3127346973</v>
      </c>
      <c r="BG154" s="73" t="n">
        <f aca="false">BG151+BG152+BG153</f>
        <v>-14791.3127346973</v>
      </c>
      <c r="BH154" s="73" t="n">
        <f aca="false">BH151+BH152+BH153</f>
        <v>-14791.3127346973</v>
      </c>
      <c r="BI154" s="73" t="n">
        <f aca="false">BI151+BI152+BI153</f>
        <v>-14791.3127346973</v>
      </c>
      <c r="BJ154" s="73" t="n">
        <f aca="false">BJ151+BJ152+BJ153</f>
        <v>-11128.664928819</v>
      </c>
    </row>
    <row r="155" customFormat="false" ht="15" hidden="false" customHeight="false" outlineLevel="0" collapsed="false">
      <c r="A155" s="113" t="s">
        <v>45</v>
      </c>
      <c r="C155" s="68" t="n">
        <f aca="false">C146+C154</f>
        <v>6107.856</v>
      </c>
      <c r="D155" s="68" t="n">
        <f aca="false">D146+D154</f>
        <v>7125.832</v>
      </c>
      <c r="E155" s="68" t="n">
        <f aca="false">E146+E154</f>
        <v>11144.256</v>
      </c>
      <c r="F155" s="68" t="n">
        <f aca="false">F146+F154</f>
        <v>12537.288</v>
      </c>
      <c r="G155" s="68" t="n">
        <f aca="false">G146+G154</f>
        <v>13930.32</v>
      </c>
      <c r="H155" s="68" t="n">
        <f aca="false">H146+H154</f>
        <v>15323.352</v>
      </c>
      <c r="I155" s="68" t="n">
        <f aca="false">I146+I154</f>
        <v>16716.384</v>
      </c>
      <c r="J155" s="68" t="n">
        <f aca="false">J146+J154</f>
        <v>16716.384</v>
      </c>
      <c r="K155" s="68" t="n">
        <f aca="false">K146+K154</f>
        <v>16716.384</v>
      </c>
      <c r="L155" s="68" t="n">
        <f aca="false">L146+L154</f>
        <v>16716.384</v>
      </c>
      <c r="M155" s="68" t="n">
        <f aca="false">M146+M154</f>
        <v>16716.384</v>
      </c>
      <c r="N155" s="68" t="n">
        <f aca="false">N146+N154</f>
        <v>12215.712</v>
      </c>
      <c r="O155" s="68" t="n">
        <f aca="false">O146+O154</f>
        <v>13002.6863808</v>
      </c>
      <c r="P155" s="68" t="n">
        <f aca="false">P146+P154</f>
        <v>13002.6863808</v>
      </c>
      <c r="Q155" s="68" t="n">
        <f aca="false">Q146+Q154</f>
        <v>17777.4493056</v>
      </c>
      <c r="R155" s="68" t="n">
        <f aca="false">R146+R154</f>
        <v>17777.4493056</v>
      </c>
      <c r="S155" s="68" t="n">
        <f aca="false">S146+S154</f>
        <v>17777.4493056</v>
      </c>
      <c r="T155" s="68" t="n">
        <f aca="false">T146+T154</f>
        <v>17777.4493056</v>
      </c>
      <c r="U155" s="68" t="n">
        <f aca="false">U146+U154</f>
        <v>17777.4493056</v>
      </c>
      <c r="V155" s="68" t="n">
        <f aca="false">V146+V154</f>
        <v>17777.4493056</v>
      </c>
      <c r="W155" s="68" t="n">
        <f aca="false">W146+W154</f>
        <v>17777.4493056</v>
      </c>
      <c r="X155" s="68" t="n">
        <f aca="false">X146+X154</f>
        <v>17777.4493056</v>
      </c>
      <c r="Y155" s="68" t="n">
        <f aca="false">Y146+Y154</f>
        <v>17777.4493056</v>
      </c>
      <c r="Z155" s="68" t="n">
        <f aca="false">Z146+Z154</f>
        <v>13002.6863808</v>
      </c>
      <c r="AA155" s="68" t="n">
        <f aca="false">AA146+AA154</f>
        <v>13841.0950592707</v>
      </c>
      <c r="AB155" s="68" t="n">
        <f aca="false">AB146+AB154</f>
        <v>13841.0950592707</v>
      </c>
      <c r="AC155" s="68" t="n">
        <f aca="false">AC146+AC154</f>
        <v>18906.641046191</v>
      </c>
      <c r="AD155" s="68" t="n">
        <f aca="false">AD146+AD154</f>
        <v>18906.641046191</v>
      </c>
      <c r="AE155" s="68" t="n">
        <f aca="false">AE146+AE154</f>
        <v>18906.641046191</v>
      </c>
      <c r="AF155" s="68" t="n">
        <f aca="false">AF146+AF154</f>
        <v>18906.641046191</v>
      </c>
      <c r="AG155" s="68" t="n">
        <f aca="false">AG146+AG154</f>
        <v>18906.641046191</v>
      </c>
      <c r="AH155" s="68" t="n">
        <f aca="false">AH146+AH154</f>
        <v>18906.641046191</v>
      </c>
      <c r="AI155" s="68" t="n">
        <f aca="false">AI146+AI154</f>
        <v>18906.641046191</v>
      </c>
      <c r="AJ155" s="68" t="n">
        <f aca="false">AJ146+AJ154</f>
        <v>18906.641046191</v>
      </c>
      <c r="AK155" s="68" t="n">
        <f aca="false">AK146+AK154</f>
        <v>18906.641046191</v>
      </c>
      <c r="AL155" s="68" t="n">
        <f aca="false">AL146+AL154</f>
        <v>13841.0950592707</v>
      </c>
      <c r="AM155" s="68" t="n">
        <f aca="false">AM146+AM154</f>
        <v>14734.3562501075</v>
      </c>
      <c r="AN155" s="68" t="n">
        <f aca="false">AN146+AN154</f>
        <v>14734.3562501075</v>
      </c>
      <c r="AO155" s="68" t="n">
        <f aca="false">AO146+AO154</f>
        <v>20108.3939876313</v>
      </c>
      <c r="AP155" s="68" t="n">
        <f aca="false">AP146+AP154</f>
        <v>20108.3939876313</v>
      </c>
      <c r="AQ155" s="68" t="n">
        <f aca="false">AQ146+AQ154</f>
        <v>20108.3939876313</v>
      </c>
      <c r="AR155" s="68" t="n">
        <f aca="false">AR146+AR154</f>
        <v>20108.3939876313</v>
      </c>
      <c r="AS155" s="68" t="n">
        <f aca="false">AS146+AS154</f>
        <v>20108.3939876313</v>
      </c>
      <c r="AT155" s="68" t="n">
        <f aca="false">AT146+AT154</f>
        <v>20108.3939876313</v>
      </c>
      <c r="AU155" s="68" t="n">
        <f aca="false">AU146+AU154</f>
        <v>20108.3939876313</v>
      </c>
      <c r="AV155" s="68" t="n">
        <f aca="false">AV146+AV154</f>
        <v>20108.3939876313</v>
      </c>
      <c r="AW155" s="68" t="n">
        <f aca="false">AW146+AW154</f>
        <v>20108.3939876313</v>
      </c>
      <c r="AX155" s="68" t="n">
        <f aca="false">AX146+AX154</f>
        <v>14734.3562501075</v>
      </c>
      <c r="AY155" s="68" t="n">
        <f aca="false">AY146+AY154</f>
        <v>15686.1196353571</v>
      </c>
      <c r="AZ155" s="68" t="n">
        <f aca="false">AZ146+AZ154</f>
        <v>15686.1196353571</v>
      </c>
      <c r="BA155" s="68" t="n">
        <f aca="false">BA146+BA154</f>
        <v>21387.436271096</v>
      </c>
      <c r="BB155" s="68" t="n">
        <f aca="false">BB146+BB154</f>
        <v>21387.436271096</v>
      </c>
      <c r="BC155" s="68" t="n">
        <f aca="false">BC146+BC154</f>
        <v>21387.436271096</v>
      </c>
      <c r="BD155" s="68" t="n">
        <f aca="false">BD146+BD154</f>
        <v>21387.436271096</v>
      </c>
      <c r="BE155" s="68" t="n">
        <f aca="false">BE146+BE154</f>
        <v>21387.436271096</v>
      </c>
      <c r="BF155" s="68" t="n">
        <f aca="false">BF146+BF154</f>
        <v>21387.436271096</v>
      </c>
      <c r="BG155" s="68" t="n">
        <f aca="false">BG146+BG154</f>
        <v>21387.436271096</v>
      </c>
      <c r="BH155" s="68" t="n">
        <f aca="false">BH146+BH154</f>
        <v>21387.436271096</v>
      </c>
      <c r="BI155" s="68" t="n">
        <f aca="false">BI146+BI154</f>
        <v>21387.436271096</v>
      </c>
      <c r="BJ155" s="68" t="n">
        <f aca="false">BJ146+BJ154</f>
        <v>15686.1196353571</v>
      </c>
    </row>
    <row r="157" customFormat="false" ht="15.75" hidden="false" customHeight="true" outlineLevel="0" collapsed="false">
      <c r="A157" s="7" t="s">
        <v>47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</row>
    <row r="158" customFormat="false" ht="15" hidden="false" customHeight="false" outlineLevel="0" collapsed="false">
      <c r="A158" s="6" t="s">
        <v>332</v>
      </c>
      <c r="C158" s="67" t="n">
        <f aca="false">C241</f>
        <v>-9874.66666666667</v>
      </c>
      <c r="D158" s="67" t="n">
        <f aca="false">D241</f>
        <v>-9874.66666666667</v>
      </c>
      <c r="E158" s="67" t="n">
        <f aca="false">E241</f>
        <v>-9874.66666666667</v>
      </c>
      <c r="F158" s="67" t="n">
        <f aca="false">F241</f>
        <v>-9874.66666666667</v>
      </c>
      <c r="G158" s="67" t="n">
        <f aca="false">G241</f>
        <v>-9874.66666666667</v>
      </c>
      <c r="H158" s="67" t="n">
        <f aca="false">H241</f>
        <v>-9874.66666666667</v>
      </c>
      <c r="I158" s="67" t="n">
        <f aca="false">I241</f>
        <v>-9874.66666666667</v>
      </c>
      <c r="J158" s="67" t="n">
        <f aca="false">J241</f>
        <v>-9874.66666666667</v>
      </c>
      <c r="K158" s="67" t="n">
        <f aca="false">K241</f>
        <v>-9874.66666666667</v>
      </c>
      <c r="L158" s="67" t="n">
        <f aca="false">L241</f>
        <v>-9874.66666666667</v>
      </c>
      <c r="M158" s="67" t="n">
        <f aca="false">M241</f>
        <v>-9874.66666666667</v>
      </c>
      <c r="N158" s="67" t="n">
        <f aca="false">N241</f>
        <v>-9874.66666666667</v>
      </c>
      <c r="O158" s="67" t="n">
        <f aca="false">O241</f>
        <v>-10170.9066666667</v>
      </c>
      <c r="P158" s="67" t="n">
        <f aca="false">P241</f>
        <v>-10170.9066666667</v>
      </c>
      <c r="Q158" s="67" t="n">
        <f aca="false">Q241</f>
        <v>-10170.9066666667</v>
      </c>
      <c r="R158" s="67" t="n">
        <f aca="false">R241</f>
        <v>-10170.9066666667</v>
      </c>
      <c r="S158" s="67" t="n">
        <f aca="false">S241</f>
        <v>-10170.9066666667</v>
      </c>
      <c r="T158" s="67" t="n">
        <f aca="false">T241</f>
        <v>-10170.9066666667</v>
      </c>
      <c r="U158" s="67" t="n">
        <f aca="false">U241</f>
        <v>-10170.9066666667</v>
      </c>
      <c r="V158" s="67" t="n">
        <f aca="false">V241</f>
        <v>-10170.9066666667</v>
      </c>
      <c r="W158" s="67" t="n">
        <f aca="false">W241</f>
        <v>-10170.9066666667</v>
      </c>
      <c r="X158" s="67" t="n">
        <f aca="false">X241</f>
        <v>-10170.9066666667</v>
      </c>
      <c r="Y158" s="67" t="n">
        <f aca="false">Y241</f>
        <v>-10170.9066666667</v>
      </c>
      <c r="Z158" s="67" t="n">
        <f aca="false">Z241</f>
        <v>-10170.9066666667</v>
      </c>
      <c r="AA158" s="67" t="n">
        <f aca="false">AA241</f>
        <v>-10476.0338666667</v>
      </c>
      <c r="AB158" s="67" t="n">
        <f aca="false">AB241</f>
        <v>-10476.0338666667</v>
      </c>
      <c r="AC158" s="67" t="n">
        <f aca="false">AC241</f>
        <v>-10476.0338666667</v>
      </c>
      <c r="AD158" s="67" t="n">
        <f aca="false">AD241</f>
        <v>-10476.0338666667</v>
      </c>
      <c r="AE158" s="67" t="n">
        <f aca="false">AE241</f>
        <v>-10476.0338666667</v>
      </c>
      <c r="AF158" s="67" t="n">
        <f aca="false">AF241</f>
        <v>-10476.0338666667</v>
      </c>
      <c r="AG158" s="67" t="n">
        <f aca="false">AG241</f>
        <v>-10476.0338666667</v>
      </c>
      <c r="AH158" s="67" t="n">
        <f aca="false">AH241</f>
        <v>-10476.0338666667</v>
      </c>
      <c r="AI158" s="67" t="n">
        <f aca="false">AI241</f>
        <v>-10476.0338666667</v>
      </c>
      <c r="AJ158" s="67" t="n">
        <f aca="false">AJ241</f>
        <v>-10476.0338666667</v>
      </c>
      <c r="AK158" s="67" t="n">
        <f aca="false">AK241</f>
        <v>-10476.0338666667</v>
      </c>
      <c r="AL158" s="67" t="n">
        <f aca="false">AL241</f>
        <v>-10476.0338666667</v>
      </c>
      <c r="AM158" s="67" t="n">
        <f aca="false">AM241</f>
        <v>-10790.3148826667</v>
      </c>
      <c r="AN158" s="67" t="n">
        <f aca="false">AN241</f>
        <v>-10790.3148826667</v>
      </c>
      <c r="AO158" s="67" t="n">
        <f aca="false">AO241</f>
        <v>-10790.3148826667</v>
      </c>
      <c r="AP158" s="67" t="n">
        <f aca="false">AP241</f>
        <v>-10790.3148826667</v>
      </c>
      <c r="AQ158" s="67" t="n">
        <f aca="false">AQ241</f>
        <v>-10790.3148826667</v>
      </c>
      <c r="AR158" s="67" t="n">
        <f aca="false">AR241</f>
        <v>-10790.3148826667</v>
      </c>
      <c r="AS158" s="67" t="n">
        <f aca="false">AS241</f>
        <v>-10790.3148826667</v>
      </c>
      <c r="AT158" s="67" t="n">
        <f aca="false">AT241</f>
        <v>-10790.3148826667</v>
      </c>
      <c r="AU158" s="67" t="n">
        <f aca="false">AU241</f>
        <v>-10790.3148826667</v>
      </c>
      <c r="AV158" s="67" t="n">
        <f aca="false">AV241</f>
        <v>-10790.3148826667</v>
      </c>
      <c r="AW158" s="67" t="n">
        <f aca="false">AW241</f>
        <v>-10790.3148826667</v>
      </c>
      <c r="AX158" s="67" t="n">
        <f aca="false">AX241</f>
        <v>-10790.3148826667</v>
      </c>
      <c r="AY158" s="67" t="n">
        <f aca="false">AY241</f>
        <v>-11114.0243291467</v>
      </c>
      <c r="AZ158" s="67" t="n">
        <f aca="false">AZ241</f>
        <v>-11114.0243291467</v>
      </c>
      <c r="BA158" s="67" t="n">
        <f aca="false">BA241</f>
        <v>-11114.0243291467</v>
      </c>
      <c r="BB158" s="67" t="n">
        <f aca="false">BB241</f>
        <v>-11114.0243291467</v>
      </c>
      <c r="BC158" s="67" t="n">
        <f aca="false">BC241</f>
        <v>-11114.0243291467</v>
      </c>
      <c r="BD158" s="67" t="n">
        <f aca="false">BD241</f>
        <v>-11114.0243291467</v>
      </c>
      <c r="BE158" s="67" t="n">
        <f aca="false">BE241</f>
        <v>-11114.0243291467</v>
      </c>
      <c r="BF158" s="67" t="n">
        <f aca="false">BF241</f>
        <v>-11114.0243291467</v>
      </c>
      <c r="BG158" s="67" t="n">
        <f aca="false">BG241</f>
        <v>-11114.0243291467</v>
      </c>
      <c r="BH158" s="67" t="n">
        <f aca="false">BH241</f>
        <v>-11114.0243291467</v>
      </c>
      <c r="BI158" s="67" t="n">
        <f aca="false">BI241</f>
        <v>-11114.0243291467</v>
      </c>
      <c r="BJ158" s="67" t="n">
        <f aca="false">BJ241</f>
        <v>-11114.0243291467</v>
      </c>
    </row>
    <row r="159" customFormat="false" ht="15" hidden="false" customHeight="false" outlineLevel="0" collapsed="false">
      <c r="A159" s="6" t="s">
        <v>333</v>
      </c>
      <c r="C159" s="67" t="n">
        <f aca="false">-Inputs!$C$37*C130*(1+Inputs!$C$34)^(C$127-1)*1</f>
        <v>-950</v>
      </c>
      <c r="D159" s="67" t="n">
        <f aca="false">-Inputs!$C$37*D130*(1+Inputs!$C$34)^(D$127-1)*1</f>
        <v>-950</v>
      </c>
      <c r="E159" s="67" t="n">
        <f aca="false">-Inputs!$C$37*E130*(1+Inputs!$C$34)^(E$127-1)*1</f>
        <v>-950</v>
      </c>
      <c r="F159" s="67" t="n">
        <f aca="false">-Inputs!$C$37*F130*(1+Inputs!$C$34)^(F$127-1)*1</f>
        <v>-950</v>
      </c>
      <c r="G159" s="67" t="n">
        <f aca="false">-Inputs!$C$37*G130*(1+Inputs!$C$34)^(G$127-1)*1</f>
        <v>-950</v>
      </c>
      <c r="H159" s="67" t="n">
        <f aca="false">-Inputs!$C$37*H130*(1+Inputs!$C$34)^(H$127-1)*1</f>
        <v>-950</v>
      </c>
      <c r="I159" s="67" t="n">
        <f aca="false">-Inputs!$C$37*I130*(1+Inputs!$C$34)^(I$127-1)*1</f>
        <v>-950</v>
      </c>
      <c r="J159" s="67" t="n">
        <f aca="false">-Inputs!$C$37*J130*(1+Inputs!$C$34)^(J$127-1)*1</f>
        <v>-950</v>
      </c>
      <c r="K159" s="67" t="n">
        <f aca="false">-Inputs!$C$37*K130*(1+Inputs!$C$34)^(K$127-1)*1</f>
        <v>-950</v>
      </c>
      <c r="L159" s="67" t="n">
        <f aca="false">-Inputs!$C$37*L130*(1+Inputs!$C$34)^(L$127-1)*1</f>
        <v>-950</v>
      </c>
      <c r="M159" s="67" t="n">
        <f aca="false">-Inputs!$C$37*M130*(1+Inputs!$C$34)^(M$127-1)*1</f>
        <v>-950</v>
      </c>
      <c r="N159" s="67" t="n">
        <f aca="false">-Inputs!$C$37*N130*(1+Inputs!$C$34)^(N$127-1)*1</f>
        <v>-950</v>
      </c>
      <c r="O159" s="67" t="n">
        <f aca="false">-Inputs!$C$37*O130*(1+Inputs!$C$34)^(O$127-1)*1</f>
        <v>-978.5</v>
      </c>
      <c r="P159" s="67" t="n">
        <f aca="false">-Inputs!$C$37*P130*(1+Inputs!$C$34)^(P$127-1)*1</f>
        <v>-978.5</v>
      </c>
      <c r="Q159" s="67" t="n">
        <f aca="false">-Inputs!$C$37*Q130*(1+Inputs!$C$34)^(Q$127-1)*1</f>
        <v>-978.5</v>
      </c>
      <c r="R159" s="67" t="n">
        <f aca="false">-Inputs!$C$37*R130*(1+Inputs!$C$34)^(R$127-1)*1</f>
        <v>-978.5</v>
      </c>
      <c r="S159" s="67" t="n">
        <f aca="false">-Inputs!$C$37*S130*(1+Inputs!$C$34)^(S$127-1)*1</f>
        <v>-978.5</v>
      </c>
      <c r="T159" s="67" t="n">
        <f aca="false">-Inputs!$C$37*T130*(1+Inputs!$C$34)^(T$127-1)*1</f>
        <v>-978.5</v>
      </c>
      <c r="U159" s="67" t="n">
        <f aca="false">-Inputs!$C$37*U130*(1+Inputs!$C$34)^(U$127-1)*1</f>
        <v>-978.5</v>
      </c>
      <c r="V159" s="67" t="n">
        <f aca="false">-Inputs!$C$37*V130*(1+Inputs!$C$34)^(V$127-1)*1</f>
        <v>-978.5</v>
      </c>
      <c r="W159" s="67" t="n">
        <f aca="false">-Inputs!$C$37*W130*(1+Inputs!$C$34)^(W$127-1)*1</f>
        <v>-978.5</v>
      </c>
      <c r="X159" s="67" t="n">
        <f aca="false">-Inputs!$C$37*X130*(1+Inputs!$C$34)^(X$127-1)*1</f>
        <v>-978.5</v>
      </c>
      <c r="Y159" s="67" t="n">
        <f aca="false">-Inputs!$C$37*Y130*(1+Inputs!$C$34)^(Y$127-1)*1</f>
        <v>-978.5</v>
      </c>
      <c r="Z159" s="67" t="n">
        <f aca="false">-Inputs!$C$37*Z130*(1+Inputs!$C$34)^(Z$127-1)*1</f>
        <v>-978.5</v>
      </c>
      <c r="AA159" s="67" t="n">
        <f aca="false">-Inputs!$C$37*AA130*(1+Inputs!$C$34)^(AA$127-1)*1</f>
        <v>-1007.855</v>
      </c>
      <c r="AB159" s="67" t="n">
        <f aca="false">-Inputs!$C$37*AB130*(1+Inputs!$C$34)^(AB$127-1)*1</f>
        <v>-1007.855</v>
      </c>
      <c r="AC159" s="67" t="n">
        <f aca="false">-Inputs!$C$37*AC130*(1+Inputs!$C$34)^(AC$127-1)*1</f>
        <v>-1007.855</v>
      </c>
      <c r="AD159" s="67" t="n">
        <f aca="false">-Inputs!$C$37*AD130*(1+Inputs!$C$34)^(AD$127-1)*1</f>
        <v>-1007.855</v>
      </c>
      <c r="AE159" s="67" t="n">
        <f aca="false">-Inputs!$C$37*AE130*(1+Inputs!$C$34)^(AE$127-1)*1</f>
        <v>-1007.855</v>
      </c>
      <c r="AF159" s="67" t="n">
        <f aca="false">-Inputs!$C$37*AF130*(1+Inputs!$C$34)^(AF$127-1)*1</f>
        <v>-1007.855</v>
      </c>
      <c r="AG159" s="67" t="n">
        <f aca="false">-Inputs!$C$37*AG130*(1+Inputs!$C$34)^(AG$127-1)*1</f>
        <v>-1007.855</v>
      </c>
      <c r="AH159" s="67" t="n">
        <f aca="false">-Inputs!$C$37*AH130*(1+Inputs!$C$34)^(AH$127-1)*1</f>
        <v>-1007.855</v>
      </c>
      <c r="AI159" s="67" t="n">
        <f aca="false">-Inputs!$C$37*AI130*(1+Inputs!$C$34)^(AI$127-1)*1</f>
        <v>-1007.855</v>
      </c>
      <c r="AJ159" s="67" t="n">
        <f aca="false">-Inputs!$C$37*AJ130*(1+Inputs!$C$34)^(AJ$127-1)*1</f>
        <v>-1007.855</v>
      </c>
      <c r="AK159" s="67" t="n">
        <f aca="false">-Inputs!$C$37*AK130*(1+Inputs!$C$34)^(AK$127-1)*1</f>
        <v>-1007.855</v>
      </c>
      <c r="AL159" s="67" t="n">
        <f aca="false">-Inputs!$C$37*AL130*(1+Inputs!$C$34)^(AL$127-1)*1</f>
        <v>-1007.855</v>
      </c>
      <c r="AM159" s="67" t="n">
        <f aca="false">-Inputs!$C$37*AM130*(1+Inputs!$C$34)^(AM$127-1)*1</f>
        <v>-1038.09065</v>
      </c>
      <c r="AN159" s="67" t="n">
        <f aca="false">-Inputs!$C$37*AN130*(1+Inputs!$C$34)^(AN$127-1)*1</f>
        <v>-1038.09065</v>
      </c>
      <c r="AO159" s="67" t="n">
        <f aca="false">-Inputs!$C$37*AO130*(1+Inputs!$C$34)^(AO$127-1)*1</f>
        <v>-1038.09065</v>
      </c>
      <c r="AP159" s="67" t="n">
        <f aca="false">-Inputs!$C$37*AP130*(1+Inputs!$C$34)^(AP$127-1)*1</f>
        <v>-1038.09065</v>
      </c>
      <c r="AQ159" s="67" t="n">
        <f aca="false">-Inputs!$C$37*AQ130*(1+Inputs!$C$34)^(AQ$127-1)*1</f>
        <v>-1038.09065</v>
      </c>
      <c r="AR159" s="67" t="n">
        <f aca="false">-Inputs!$C$37*AR130*(1+Inputs!$C$34)^(AR$127-1)*1</f>
        <v>-1038.09065</v>
      </c>
      <c r="AS159" s="67" t="n">
        <f aca="false">-Inputs!$C$37*AS130*(1+Inputs!$C$34)^(AS$127-1)*1</f>
        <v>-1038.09065</v>
      </c>
      <c r="AT159" s="67" t="n">
        <f aca="false">-Inputs!$C$37*AT130*(1+Inputs!$C$34)^(AT$127-1)*1</f>
        <v>-1038.09065</v>
      </c>
      <c r="AU159" s="67" t="n">
        <f aca="false">-Inputs!$C$37*AU130*(1+Inputs!$C$34)^(AU$127-1)*1</f>
        <v>-1038.09065</v>
      </c>
      <c r="AV159" s="67" t="n">
        <f aca="false">-Inputs!$C$37*AV130*(1+Inputs!$C$34)^(AV$127-1)*1</f>
        <v>-1038.09065</v>
      </c>
      <c r="AW159" s="67" t="n">
        <f aca="false">-Inputs!$C$37*AW130*(1+Inputs!$C$34)^(AW$127-1)*1</f>
        <v>-1038.09065</v>
      </c>
      <c r="AX159" s="67" t="n">
        <f aca="false">-Inputs!$C$37*AX130*(1+Inputs!$C$34)^(AX$127-1)*1</f>
        <v>-1038.09065</v>
      </c>
      <c r="AY159" s="67" t="n">
        <f aca="false">-Inputs!$C$37*AY130*(1+Inputs!$C$34)^(AY$127-1)*1</f>
        <v>-1069.2333695</v>
      </c>
      <c r="AZ159" s="67" t="n">
        <f aca="false">-Inputs!$C$37*AZ130*(1+Inputs!$C$34)^(AZ$127-1)*1</f>
        <v>-1069.2333695</v>
      </c>
      <c r="BA159" s="67" t="n">
        <f aca="false">-Inputs!$C$37*BA130*(1+Inputs!$C$34)^(BA$127-1)*1</f>
        <v>-1069.2333695</v>
      </c>
      <c r="BB159" s="67" t="n">
        <f aca="false">-Inputs!$C$37*BB130*(1+Inputs!$C$34)^(BB$127-1)*1</f>
        <v>-1069.2333695</v>
      </c>
      <c r="BC159" s="67" t="n">
        <f aca="false">-Inputs!$C$37*BC130*(1+Inputs!$C$34)^(BC$127-1)*1</f>
        <v>-1069.2333695</v>
      </c>
      <c r="BD159" s="67" t="n">
        <f aca="false">-Inputs!$C$37*BD130*(1+Inputs!$C$34)^(BD$127-1)*1</f>
        <v>-1069.2333695</v>
      </c>
      <c r="BE159" s="67" t="n">
        <f aca="false">-Inputs!$C$37*BE130*(1+Inputs!$C$34)^(BE$127-1)*1</f>
        <v>-1069.2333695</v>
      </c>
      <c r="BF159" s="67" t="n">
        <f aca="false">-Inputs!$C$37*BF130*(1+Inputs!$C$34)^(BF$127-1)*1</f>
        <v>-1069.2333695</v>
      </c>
      <c r="BG159" s="67" t="n">
        <f aca="false">-Inputs!$C$37*BG130*(1+Inputs!$C$34)^(BG$127-1)*1</f>
        <v>-1069.2333695</v>
      </c>
      <c r="BH159" s="67" t="n">
        <f aca="false">-Inputs!$C$37*BH130*(1+Inputs!$C$34)^(BH$127-1)*1</f>
        <v>-1069.2333695</v>
      </c>
      <c r="BI159" s="67" t="n">
        <f aca="false">-Inputs!$C$37*BI130*(1+Inputs!$C$34)^(BI$127-1)*1</f>
        <v>-1069.2333695</v>
      </c>
      <c r="BJ159" s="67" t="n">
        <f aca="false">-Inputs!$C$37*BJ130*(1+Inputs!$C$34)^(BJ$127-1)*1</f>
        <v>-1069.2333695</v>
      </c>
    </row>
    <row r="160" customFormat="false" ht="15" hidden="false" customHeight="false" outlineLevel="0" collapsed="false">
      <c r="A160" s="6" t="s">
        <v>334</v>
      </c>
      <c r="C160" s="67" t="n">
        <f aca="false">-Inputs!$C$38*C130*(1+Inputs!$C$34)^(C$127-1)*1</f>
        <v>-380</v>
      </c>
      <c r="D160" s="67" t="n">
        <f aca="false">-Inputs!$C$38*D130*(1+Inputs!$C$34)^(D$127-1)*1</f>
        <v>-380</v>
      </c>
      <c r="E160" s="67" t="n">
        <f aca="false">-Inputs!$C$38*E130*(1+Inputs!$C$34)^(E$127-1)*1</f>
        <v>-380</v>
      </c>
      <c r="F160" s="67" t="n">
        <f aca="false">-Inputs!$C$38*F130*(1+Inputs!$C$34)^(F$127-1)*1</f>
        <v>-380</v>
      </c>
      <c r="G160" s="67" t="n">
        <f aca="false">-Inputs!$C$38*G130*(1+Inputs!$C$34)^(G$127-1)*1</f>
        <v>-380</v>
      </c>
      <c r="H160" s="67" t="n">
        <f aca="false">-Inputs!$C$38*H130*(1+Inputs!$C$34)^(H$127-1)*1</f>
        <v>-380</v>
      </c>
      <c r="I160" s="67" t="n">
        <f aca="false">-Inputs!$C$38*I130*(1+Inputs!$C$34)^(I$127-1)*1</f>
        <v>-380</v>
      </c>
      <c r="J160" s="67" t="n">
        <f aca="false">-Inputs!$C$38*J130*(1+Inputs!$C$34)^(J$127-1)*1</f>
        <v>-380</v>
      </c>
      <c r="K160" s="67" t="n">
        <f aca="false">-Inputs!$C$38*K130*(1+Inputs!$C$34)^(K$127-1)*1</f>
        <v>-380</v>
      </c>
      <c r="L160" s="67" t="n">
        <f aca="false">-Inputs!$C$38*L130*(1+Inputs!$C$34)^(L$127-1)*1</f>
        <v>-380</v>
      </c>
      <c r="M160" s="67" t="n">
        <f aca="false">-Inputs!$C$38*M130*(1+Inputs!$C$34)^(M$127-1)*1</f>
        <v>-380</v>
      </c>
      <c r="N160" s="67" t="n">
        <f aca="false">-Inputs!$C$38*N130*(1+Inputs!$C$34)^(N$127-1)*1</f>
        <v>-380</v>
      </c>
      <c r="O160" s="67" t="n">
        <f aca="false">-Inputs!$C$38*O130*(1+Inputs!$C$34)^(O$127-1)*1</f>
        <v>-391.4</v>
      </c>
      <c r="P160" s="67" t="n">
        <f aca="false">-Inputs!$C$38*P130*(1+Inputs!$C$34)^(P$127-1)*1</f>
        <v>-391.4</v>
      </c>
      <c r="Q160" s="67" t="n">
        <f aca="false">-Inputs!$C$38*Q130*(1+Inputs!$C$34)^(Q$127-1)*1</f>
        <v>-391.4</v>
      </c>
      <c r="R160" s="67" t="n">
        <f aca="false">-Inputs!$C$38*R130*(1+Inputs!$C$34)^(R$127-1)*1</f>
        <v>-391.4</v>
      </c>
      <c r="S160" s="67" t="n">
        <f aca="false">-Inputs!$C$38*S130*(1+Inputs!$C$34)^(S$127-1)*1</f>
        <v>-391.4</v>
      </c>
      <c r="T160" s="67" t="n">
        <f aca="false">-Inputs!$C$38*T130*(1+Inputs!$C$34)^(T$127-1)*1</f>
        <v>-391.4</v>
      </c>
      <c r="U160" s="67" t="n">
        <f aca="false">-Inputs!$C$38*U130*(1+Inputs!$C$34)^(U$127-1)*1</f>
        <v>-391.4</v>
      </c>
      <c r="V160" s="67" t="n">
        <f aca="false">-Inputs!$C$38*V130*(1+Inputs!$C$34)^(V$127-1)*1</f>
        <v>-391.4</v>
      </c>
      <c r="W160" s="67" t="n">
        <f aca="false">-Inputs!$C$38*W130*(1+Inputs!$C$34)^(W$127-1)*1</f>
        <v>-391.4</v>
      </c>
      <c r="X160" s="67" t="n">
        <f aca="false">-Inputs!$C$38*X130*(1+Inputs!$C$34)^(X$127-1)*1</f>
        <v>-391.4</v>
      </c>
      <c r="Y160" s="67" t="n">
        <f aca="false">-Inputs!$C$38*Y130*(1+Inputs!$C$34)^(Y$127-1)*1</f>
        <v>-391.4</v>
      </c>
      <c r="Z160" s="67" t="n">
        <f aca="false">-Inputs!$C$38*Z130*(1+Inputs!$C$34)^(Z$127-1)*1</f>
        <v>-391.4</v>
      </c>
      <c r="AA160" s="67" t="n">
        <f aca="false">-Inputs!$C$38*AA130*(1+Inputs!$C$34)^(AA$127-1)*1</f>
        <v>-403.142</v>
      </c>
      <c r="AB160" s="67" t="n">
        <f aca="false">-Inputs!$C$38*AB130*(1+Inputs!$C$34)^(AB$127-1)*1</f>
        <v>-403.142</v>
      </c>
      <c r="AC160" s="67" t="n">
        <f aca="false">-Inputs!$C$38*AC130*(1+Inputs!$C$34)^(AC$127-1)*1</f>
        <v>-403.142</v>
      </c>
      <c r="AD160" s="67" t="n">
        <f aca="false">-Inputs!$C$38*AD130*(1+Inputs!$C$34)^(AD$127-1)*1</f>
        <v>-403.142</v>
      </c>
      <c r="AE160" s="67" t="n">
        <f aca="false">-Inputs!$C$38*AE130*(1+Inputs!$C$34)^(AE$127-1)*1</f>
        <v>-403.142</v>
      </c>
      <c r="AF160" s="67" t="n">
        <f aca="false">-Inputs!$C$38*AF130*(1+Inputs!$C$34)^(AF$127-1)*1</f>
        <v>-403.142</v>
      </c>
      <c r="AG160" s="67" t="n">
        <f aca="false">-Inputs!$C$38*AG130*(1+Inputs!$C$34)^(AG$127-1)*1</f>
        <v>-403.142</v>
      </c>
      <c r="AH160" s="67" t="n">
        <f aca="false">-Inputs!$C$38*AH130*(1+Inputs!$C$34)^(AH$127-1)*1</f>
        <v>-403.142</v>
      </c>
      <c r="AI160" s="67" t="n">
        <f aca="false">-Inputs!$C$38*AI130*(1+Inputs!$C$34)^(AI$127-1)*1</f>
        <v>-403.142</v>
      </c>
      <c r="AJ160" s="67" t="n">
        <f aca="false">-Inputs!$C$38*AJ130*(1+Inputs!$C$34)^(AJ$127-1)*1</f>
        <v>-403.142</v>
      </c>
      <c r="AK160" s="67" t="n">
        <f aca="false">-Inputs!$C$38*AK130*(1+Inputs!$C$34)^(AK$127-1)*1</f>
        <v>-403.142</v>
      </c>
      <c r="AL160" s="67" t="n">
        <f aca="false">-Inputs!$C$38*AL130*(1+Inputs!$C$34)^(AL$127-1)*1</f>
        <v>-403.142</v>
      </c>
      <c r="AM160" s="67" t="n">
        <f aca="false">-Inputs!$C$38*AM130*(1+Inputs!$C$34)^(AM$127-1)*1</f>
        <v>-415.23626</v>
      </c>
      <c r="AN160" s="67" t="n">
        <f aca="false">-Inputs!$C$38*AN130*(1+Inputs!$C$34)^(AN$127-1)*1</f>
        <v>-415.23626</v>
      </c>
      <c r="AO160" s="67" t="n">
        <f aca="false">-Inputs!$C$38*AO130*(1+Inputs!$C$34)^(AO$127-1)*1</f>
        <v>-415.23626</v>
      </c>
      <c r="AP160" s="67" t="n">
        <f aca="false">-Inputs!$C$38*AP130*(1+Inputs!$C$34)^(AP$127-1)*1</f>
        <v>-415.23626</v>
      </c>
      <c r="AQ160" s="67" t="n">
        <f aca="false">-Inputs!$C$38*AQ130*(1+Inputs!$C$34)^(AQ$127-1)*1</f>
        <v>-415.23626</v>
      </c>
      <c r="AR160" s="67" t="n">
        <f aca="false">-Inputs!$C$38*AR130*(1+Inputs!$C$34)^(AR$127-1)*1</f>
        <v>-415.23626</v>
      </c>
      <c r="AS160" s="67" t="n">
        <f aca="false">-Inputs!$C$38*AS130*(1+Inputs!$C$34)^(AS$127-1)*1</f>
        <v>-415.23626</v>
      </c>
      <c r="AT160" s="67" t="n">
        <f aca="false">-Inputs!$C$38*AT130*(1+Inputs!$C$34)^(AT$127-1)*1</f>
        <v>-415.23626</v>
      </c>
      <c r="AU160" s="67" t="n">
        <f aca="false">-Inputs!$C$38*AU130*(1+Inputs!$C$34)^(AU$127-1)*1</f>
        <v>-415.23626</v>
      </c>
      <c r="AV160" s="67" t="n">
        <f aca="false">-Inputs!$C$38*AV130*(1+Inputs!$C$34)^(AV$127-1)*1</f>
        <v>-415.23626</v>
      </c>
      <c r="AW160" s="67" t="n">
        <f aca="false">-Inputs!$C$38*AW130*(1+Inputs!$C$34)^(AW$127-1)*1</f>
        <v>-415.23626</v>
      </c>
      <c r="AX160" s="67" t="n">
        <f aca="false">-Inputs!$C$38*AX130*(1+Inputs!$C$34)^(AX$127-1)*1</f>
        <v>-415.23626</v>
      </c>
      <c r="AY160" s="67" t="n">
        <f aca="false">-Inputs!$C$38*AY130*(1+Inputs!$C$34)^(AY$127-1)*1</f>
        <v>-427.6933478</v>
      </c>
      <c r="AZ160" s="67" t="n">
        <f aca="false">-Inputs!$C$38*AZ130*(1+Inputs!$C$34)^(AZ$127-1)*1</f>
        <v>-427.6933478</v>
      </c>
      <c r="BA160" s="67" t="n">
        <f aca="false">-Inputs!$C$38*BA130*(1+Inputs!$C$34)^(BA$127-1)*1</f>
        <v>-427.6933478</v>
      </c>
      <c r="BB160" s="67" t="n">
        <f aca="false">-Inputs!$C$38*BB130*(1+Inputs!$C$34)^(BB$127-1)*1</f>
        <v>-427.6933478</v>
      </c>
      <c r="BC160" s="67" t="n">
        <f aca="false">-Inputs!$C$38*BC130*(1+Inputs!$C$34)^(BC$127-1)*1</f>
        <v>-427.6933478</v>
      </c>
      <c r="BD160" s="67" t="n">
        <f aca="false">-Inputs!$C$38*BD130*(1+Inputs!$C$34)^(BD$127-1)*1</f>
        <v>-427.6933478</v>
      </c>
      <c r="BE160" s="67" t="n">
        <f aca="false">-Inputs!$C$38*BE130*(1+Inputs!$C$34)^(BE$127-1)*1</f>
        <v>-427.6933478</v>
      </c>
      <c r="BF160" s="67" t="n">
        <f aca="false">-Inputs!$C$38*BF130*(1+Inputs!$C$34)^(BF$127-1)*1</f>
        <v>-427.6933478</v>
      </c>
      <c r="BG160" s="67" t="n">
        <f aca="false">-Inputs!$C$38*BG130*(1+Inputs!$C$34)^(BG$127-1)*1</f>
        <v>-427.6933478</v>
      </c>
      <c r="BH160" s="67" t="n">
        <f aca="false">-Inputs!$C$38*BH130*(1+Inputs!$C$34)^(BH$127-1)*1</f>
        <v>-427.6933478</v>
      </c>
      <c r="BI160" s="67" t="n">
        <f aca="false">-Inputs!$C$38*BI130*(1+Inputs!$C$34)^(BI$127-1)*1</f>
        <v>-427.6933478</v>
      </c>
      <c r="BJ160" s="67" t="n">
        <f aca="false">-Inputs!$C$38*BJ130*(1+Inputs!$C$34)^(BJ$127-1)*1</f>
        <v>-427.6933478</v>
      </c>
    </row>
    <row r="161" customFormat="false" ht="15" hidden="false" customHeight="false" outlineLevel="0" collapsed="false">
      <c r="A161" s="6" t="s">
        <v>335</v>
      </c>
      <c r="C161" s="67" t="n">
        <f aca="false">-Inputs!$C$39*C130*(1+Inputs!$C$34)^(C$127-1)*1</f>
        <v>-450</v>
      </c>
      <c r="D161" s="67" t="n">
        <f aca="false">-Inputs!$C$39*D130*(1+Inputs!$C$34)^(D$127-1)*1</f>
        <v>-450</v>
      </c>
      <c r="E161" s="67" t="n">
        <f aca="false">-Inputs!$C$39*E130*(1+Inputs!$C$34)^(E$127-1)*1</f>
        <v>-450</v>
      </c>
      <c r="F161" s="67" t="n">
        <f aca="false">-Inputs!$C$39*F130*(1+Inputs!$C$34)^(F$127-1)*1</f>
        <v>-450</v>
      </c>
      <c r="G161" s="67" t="n">
        <f aca="false">-Inputs!$C$39*G130*(1+Inputs!$C$34)^(G$127-1)*1</f>
        <v>-450</v>
      </c>
      <c r="H161" s="67" t="n">
        <f aca="false">-Inputs!$C$39*H130*(1+Inputs!$C$34)^(H$127-1)*1</f>
        <v>-450</v>
      </c>
      <c r="I161" s="67" t="n">
        <f aca="false">-Inputs!$C$39*I130*(1+Inputs!$C$34)^(I$127-1)*1</f>
        <v>-450</v>
      </c>
      <c r="J161" s="67" t="n">
        <f aca="false">-Inputs!$C$39*J130*(1+Inputs!$C$34)^(J$127-1)*1</f>
        <v>-450</v>
      </c>
      <c r="K161" s="67" t="n">
        <f aca="false">-Inputs!$C$39*K130*(1+Inputs!$C$34)^(K$127-1)*1</f>
        <v>-450</v>
      </c>
      <c r="L161" s="67" t="n">
        <f aca="false">-Inputs!$C$39*L130*(1+Inputs!$C$34)^(L$127-1)*1</f>
        <v>-450</v>
      </c>
      <c r="M161" s="67" t="n">
        <f aca="false">-Inputs!$C$39*M130*(1+Inputs!$C$34)^(M$127-1)*1</f>
        <v>-450</v>
      </c>
      <c r="N161" s="67" t="n">
        <f aca="false">-Inputs!$C$39*N130*(1+Inputs!$C$34)^(N$127-1)*1</f>
        <v>-450</v>
      </c>
      <c r="O161" s="67" t="n">
        <f aca="false">-Inputs!$C$39*O130*(1+Inputs!$C$34)^(O$127-1)*1</f>
        <v>-463.5</v>
      </c>
      <c r="P161" s="67" t="n">
        <f aca="false">-Inputs!$C$39*P130*(1+Inputs!$C$34)^(P$127-1)*1</f>
        <v>-463.5</v>
      </c>
      <c r="Q161" s="67" t="n">
        <f aca="false">-Inputs!$C$39*Q130*(1+Inputs!$C$34)^(Q$127-1)*1</f>
        <v>-463.5</v>
      </c>
      <c r="R161" s="67" t="n">
        <f aca="false">-Inputs!$C$39*R130*(1+Inputs!$C$34)^(R$127-1)*1</f>
        <v>-463.5</v>
      </c>
      <c r="S161" s="67" t="n">
        <f aca="false">-Inputs!$C$39*S130*(1+Inputs!$C$34)^(S$127-1)*1</f>
        <v>-463.5</v>
      </c>
      <c r="T161" s="67" t="n">
        <f aca="false">-Inputs!$C$39*T130*(1+Inputs!$C$34)^(T$127-1)*1</f>
        <v>-463.5</v>
      </c>
      <c r="U161" s="67" t="n">
        <f aca="false">-Inputs!$C$39*U130*(1+Inputs!$C$34)^(U$127-1)*1</f>
        <v>-463.5</v>
      </c>
      <c r="V161" s="67" t="n">
        <f aca="false">-Inputs!$C$39*V130*(1+Inputs!$C$34)^(V$127-1)*1</f>
        <v>-463.5</v>
      </c>
      <c r="W161" s="67" t="n">
        <f aca="false">-Inputs!$C$39*W130*(1+Inputs!$C$34)^(W$127-1)*1</f>
        <v>-463.5</v>
      </c>
      <c r="X161" s="67" t="n">
        <f aca="false">-Inputs!$C$39*X130*(1+Inputs!$C$34)^(X$127-1)*1</f>
        <v>-463.5</v>
      </c>
      <c r="Y161" s="67" t="n">
        <f aca="false">-Inputs!$C$39*Y130*(1+Inputs!$C$34)^(Y$127-1)*1</f>
        <v>-463.5</v>
      </c>
      <c r="Z161" s="67" t="n">
        <f aca="false">-Inputs!$C$39*Z130*(1+Inputs!$C$34)^(Z$127-1)*1</f>
        <v>-463.5</v>
      </c>
      <c r="AA161" s="67" t="n">
        <f aca="false">-Inputs!$C$39*AA130*(1+Inputs!$C$34)^(AA$127-1)*1</f>
        <v>-477.405</v>
      </c>
      <c r="AB161" s="67" t="n">
        <f aca="false">-Inputs!$C$39*AB130*(1+Inputs!$C$34)^(AB$127-1)*1</f>
        <v>-477.405</v>
      </c>
      <c r="AC161" s="67" t="n">
        <f aca="false">-Inputs!$C$39*AC130*(1+Inputs!$C$34)^(AC$127-1)*1</f>
        <v>-477.405</v>
      </c>
      <c r="AD161" s="67" t="n">
        <f aca="false">-Inputs!$C$39*AD130*(1+Inputs!$C$34)^(AD$127-1)*1</f>
        <v>-477.405</v>
      </c>
      <c r="AE161" s="67" t="n">
        <f aca="false">-Inputs!$C$39*AE130*(1+Inputs!$C$34)^(AE$127-1)*1</f>
        <v>-477.405</v>
      </c>
      <c r="AF161" s="67" t="n">
        <f aca="false">-Inputs!$C$39*AF130*(1+Inputs!$C$34)^(AF$127-1)*1</f>
        <v>-477.405</v>
      </c>
      <c r="AG161" s="67" t="n">
        <f aca="false">-Inputs!$C$39*AG130*(1+Inputs!$C$34)^(AG$127-1)*1</f>
        <v>-477.405</v>
      </c>
      <c r="AH161" s="67" t="n">
        <f aca="false">-Inputs!$C$39*AH130*(1+Inputs!$C$34)^(AH$127-1)*1</f>
        <v>-477.405</v>
      </c>
      <c r="AI161" s="67" t="n">
        <f aca="false">-Inputs!$C$39*AI130*(1+Inputs!$C$34)^(AI$127-1)*1</f>
        <v>-477.405</v>
      </c>
      <c r="AJ161" s="67" t="n">
        <f aca="false">-Inputs!$C$39*AJ130*(1+Inputs!$C$34)^(AJ$127-1)*1</f>
        <v>-477.405</v>
      </c>
      <c r="AK161" s="67" t="n">
        <f aca="false">-Inputs!$C$39*AK130*(1+Inputs!$C$34)^(AK$127-1)*1</f>
        <v>-477.405</v>
      </c>
      <c r="AL161" s="67" t="n">
        <f aca="false">-Inputs!$C$39*AL130*(1+Inputs!$C$34)^(AL$127-1)*1</f>
        <v>-477.405</v>
      </c>
      <c r="AM161" s="67" t="n">
        <f aca="false">-Inputs!$C$39*AM130*(1+Inputs!$C$34)^(AM$127-1)*1</f>
        <v>-491.72715</v>
      </c>
      <c r="AN161" s="67" t="n">
        <f aca="false">-Inputs!$C$39*AN130*(1+Inputs!$C$34)^(AN$127-1)*1</f>
        <v>-491.72715</v>
      </c>
      <c r="AO161" s="67" t="n">
        <f aca="false">-Inputs!$C$39*AO130*(1+Inputs!$C$34)^(AO$127-1)*1</f>
        <v>-491.72715</v>
      </c>
      <c r="AP161" s="67" t="n">
        <f aca="false">-Inputs!$C$39*AP130*(1+Inputs!$C$34)^(AP$127-1)*1</f>
        <v>-491.72715</v>
      </c>
      <c r="AQ161" s="67" t="n">
        <f aca="false">-Inputs!$C$39*AQ130*(1+Inputs!$C$34)^(AQ$127-1)*1</f>
        <v>-491.72715</v>
      </c>
      <c r="AR161" s="67" t="n">
        <f aca="false">-Inputs!$C$39*AR130*(1+Inputs!$C$34)^(AR$127-1)*1</f>
        <v>-491.72715</v>
      </c>
      <c r="AS161" s="67" t="n">
        <f aca="false">-Inputs!$C$39*AS130*(1+Inputs!$C$34)^(AS$127-1)*1</f>
        <v>-491.72715</v>
      </c>
      <c r="AT161" s="67" t="n">
        <f aca="false">-Inputs!$C$39*AT130*(1+Inputs!$C$34)^(AT$127-1)*1</f>
        <v>-491.72715</v>
      </c>
      <c r="AU161" s="67" t="n">
        <f aca="false">-Inputs!$C$39*AU130*(1+Inputs!$C$34)^(AU$127-1)*1</f>
        <v>-491.72715</v>
      </c>
      <c r="AV161" s="67" t="n">
        <f aca="false">-Inputs!$C$39*AV130*(1+Inputs!$C$34)^(AV$127-1)*1</f>
        <v>-491.72715</v>
      </c>
      <c r="AW161" s="67" t="n">
        <f aca="false">-Inputs!$C$39*AW130*(1+Inputs!$C$34)^(AW$127-1)*1</f>
        <v>-491.72715</v>
      </c>
      <c r="AX161" s="67" t="n">
        <f aca="false">-Inputs!$C$39*AX130*(1+Inputs!$C$34)^(AX$127-1)*1</f>
        <v>-491.72715</v>
      </c>
      <c r="AY161" s="67" t="n">
        <f aca="false">-Inputs!$C$39*AY130*(1+Inputs!$C$34)^(AY$127-1)*1</f>
        <v>-506.4789645</v>
      </c>
      <c r="AZ161" s="67" t="n">
        <f aca="false">-Inputs!$C$39*AZ130*(1+Inputs!$C$34)^(AZ$127-1)*1</f>
        <v>-506.4789645</v>
      </c>
      <c r="BA161" s="67" t="n">
        <f aca="false">-Inputs!$C$39*BA130*(1+Inputs!$C$34)^(BA$127-1)*1</f>
        <v>-506.4789645</v>
      </c>
      <c r="BB161" s="67" t="n">
        <f aca="false">-Inputs!$C$39*BB130*(1+Inputs!$C$34)^(BB$127-1)*1</f>
        <v>-506.4789645</v>
      </c>
      <c r="BC161" s="67" t="n">
        <f aca="false">-Inputs!$C$39*BC130*(1+Inputs!$C$34)^(BC$127-1)*1</f>
        <v>-506.4789645</v>
      </c>
      <c r="BD161" s="67" t="n">
        <f aca="false">-Inputs!$C$39*BD130*(1+Inputs!$C$34)^(BD$127-1)*1</f>
        <v>-506.4789645</v>
      </c>
      <c r="BE161" s="67" t="n">
        <f aca="false">-Inputs!$C$39*BE130*(1+Inputs!$C$34)^(BE$127-1)*1</f>
        <v>-506.4789645</v>
      </c>
      <c r="BF161" s="67" t="n">
        <f aca="false">-Inputs!$C$39*BF130*(1+Inputs!$C$34)^(BF$127-1)*1</f>
        <v>-506.4789645</v>
      </c>
      <c r="BG161" s="67" t="n">
        <f aca="false">-Inputs!$C$39*BG130*(1+Inputs!$C$34)^(BG$127-1)*1</f>
        <v>-506.4789645</v>
      </c>
      <c r="BH161" s="67" t="n">
        <f aca="false">-Inputs!$C$39*BH130*(1+Inputs!$C$34)^(BH$127-1)*1</f>
        <v>-506.4789645</v>
      </c>
      <c r="BI161" s="67" t="n">
        <f aca="false">-Inputs!$C$39*BI130*(1+Inputs!$C$34)^(BI$127-1)*1</f>
        <v>-506.4789645</v>
      </c>
      <c r="BJ161" s="67" t="n">
        <f aca="false">-Inputs!$C$39*BJ130*(1+Inputs!$C$34)^(BJ$127-1)*1</f>
        <v>-506.4789645</v>
      </c>
    </row>
    <row r="162" customFormat="false" ht="15" hidden="false" customHeight="false" outlineLevel="0" collapsed="false">
      <c r="A162" s="6" t="s">
        <v>336</v>
      </c>
      <c r="C162" s="67" t="n">
        <f aca="false">-Inputs!$C$40*C136*(1+Inputs!$C$34)^(C$127-1)</f>
        <v>-570</v>
      </c>
      <c r="D162" s="67" t="n">
        <f aca="false">-Inputs!$C$40*D136*(1+Inputs!$C$34)^(D$127-1)</f>
        <v>-579.5</v>
      </c>
      <c r="E162" s="67" t="n">
        <f aca="false">-Inputs!$C$40*E136*(1+Inputs!$C$34)^(E$127-1)</f>
        <v>-817</v>
      </c>
      <c r="F162" s="67" t="n">
        <f aca="false">-Inputs!$C$40*F136*(1+Inputs!$C$34)^(F$127-1)</f>
        <v>-826.5</v>
      </c>
      <c r="G162" s="67" t="n">
        <f aca="false">-Inputs!$C$40*G136*(1+Inputs!$C$34)^(G$127-1)</f>
        <v>-836</v>
      </c>
      <c r="H162" s="67" t="n">
        <f aca="false">-Inputs!$C$40*H136*(1+Inputs!$C$34)^(H$127-1)</f>
        <v>-845.5</v>
      </c>
      <c r="I162" s="67" t="n">
        <f aca="false">-Inputs!$C$40*I136*(1+Inputs!$C$34)^(I$127-1)</f>
        <v>-855</v>
      </c>
      <c r="J162" s="67" t="n">
        <f aca="false">-Inputs!$C$40*J136*(1+Inputs!$C$34)^(J$127-1)</f>
        <v>-855</v>
      </c>
      <c r="K162" s="67" t="n">
        <f aca="false">-Inputs!$C$40*K136*(1+Inputs!$C$34)^(K$127-1)</f>
        <v>-855</v>
      </c>
      <c r="L162" s="67" t="n">
        <f aca="false">-Inputs!$C$40*L136*(1+Inputs!$C$34)^(L$127-1)</f>
        <v>-855</v>
      </c>
      <c r="M162" s="67" t="n">
        <f aca="false">-Inputs!$C$40*M136*(1+Inputs!$C$34)^(M$127-1)</f>
        <v>-855</v>
      </c>
      <c r="N162" s="67" t="n">
        <f aca="false">-Inputs!$C$40*N136*(1+Inputs!$C$34)^(N$127-1)</f>
        <v>-627</v>
      </c>
      <c r="O162" s="67" t="n">
        <f aca="false">-Inputs!$C$40*O136*(1+Inputs!$C$34)^(O$127-1)</f>
        <v>-651.681</v>
      </c>
      <c r="P162" s="67" t="n">
        <f aca="false">-Inputs!$C$40*P136*(1+Inputs!$C$34)^(P$127-1)</f>
        <v>-651.681</v>
      </c>
      <c r="Q162" s="67" t="n">
        <f aca="false">-Inputs!$C$40*Q136*(1+Inputs!$C$34)^(Q$127-1)</f>
        <v>-886.521</v>
      </c>
      <c r="R162" s="67" t="n">
        <f aca="false">-Inputs!$C$40*R136*(1+Inputs!$C$34)^(R$127-1)</f>
        <v>-886.521</v>
      </c>
      <c r="S162" s="67" t="n">
        <f aca="false">-Inputs!$C$40*S136*(1+Inputs!$C$34)^(S$127-1)</f>
        <v>-886.521</v>
      </c>
      <c r="T162" s="67" t="n">
        <f aca="false">-Inputs!$C$40*T136*(1+Inputs!$C$34)^(T$127-1)</f>
        <v>-886.521</v>
      </c>
      <c r="U162" s="67" t="n">
        <f aca="false">-Inputs!$C$40*U136*(1+Inputs!$C$34)^(U$127-1)</f>
        <v>-886.521</v>
      </c>
      <c r="V162" s="67" t="n">
        <f aca="false">-Inputs!$C$40*V136*(1+Inputs!$C$34)^(V$127-1)</f>
        <v>-886.521</v>
      </c>
      <c r="W162" s="67" t="n">
        <f aca="false">-Inputs!$C$40*W136*(1+Inputs!$C$34)^(W$127-1)</f>
        <v>-886.521</v>
      </c>
      <c r="X162" s="67" t="n">
        <f aca="false">-Inputs!$C$40*X136*(1+Inputs!$C$34)^(X$127-1)</f>
        <v>-886.521</v>
      </c>
      <c r="Y162" s="67" t="n">
        <f aca="false">-Inputs!$C$40*Y136*(1+Inputs!$C$34)^(Y$127-1)</f>
        <v>-886.521</v>
      </c>
      <c r="Z162" s="67" t="n">
        <f aca="false">-Inputs!$C$40*Z136*(1+Inputs!$C$34)^(Z$127-1)</f>
        <v>-651.681</v>
      </c>
      <c r="AA162" s="67" t="n">
        <f aca="false">-Inputs!$C$40*AA136*(1+Inputs!$C$34)^(AA$127-1)</f>
        <v>-677.5809165</v>
      </c>
      <c r="AB162" s="67" t="n">
        <f aca="false">-Inputs!$C$40*AB136*(1+Inputs!$C$34)^(AB$127-1)</f>
        <v>-677.5809165</v>
      </c>
      <c r="AC162" s="67" t="n">
        <f aca="false">-Inputs!$C$40*AC136*(1+Inputs!$C$34)^(AC$127-1)</f>
        <v>-919.4661165</v>
      </c>
      <c r="AD162" s="67" t="n">
        <f aca="false">-Inputs!$C$40*AD136*(1+Inputs!$C$34)^(AD$127-1)</f>
        <v>-919.4661165</v>
      </c>
      <c r="AE162" s="67" t="n">
        <f aca="false">-Inputs!$C$40*AE136*(1+Inputs!$C$34)^(AE$127-1)</f>
        <v>-919.4661165</v>
      </c>
      <c r="AF162" s="67" t="n">
        <f aca="false">-Inputs!$C$40*AF136*(1+Inputs!$C$34)^(AF$127-1)</f>
        <v>-919.4661165</v>
      </c>
      <c r="AG162" s="67" t="n">
        <f aca="false">-Inputs!$C$40*AG136*(1+Inputs!$C$34)^(AG$127-1)</f>
        <v>-919.4661165</v>
      </c>
      <c r="AH162" s="67" t="n">
        <f aca="false">-Inputs!$C$40*AH136*(1+Inputs!$C$34)^(AH$127-1)</f>
        <v>-919.4661165</v>
      </c>
      <c r="AI162" s="67" t="n">
        <f aca="false">-Inputs!$C$40*AI136*(1+Inputs!$C$34)^(AI$127-1)</f>
        <v>-919.4661165</v>
      </c>
      <c r="AJ162" s="67" t="n">
        <f aca="false">-Inputs!$C$40*AJ136*(1+Inputs!$C$34)^(AJ$127-1)</f>
        <v>-919.4661165</v>
      </c>
      <c r="AK162" s="67" t="n">
        <f aca="false">-Inputs!$C$40*AK136*(1+Inputs!$C$34)^(AK$127-1)</f>
        <v>-919.4661165</v>
      </c>
      <c r="AL162" s="67" t="n">
        <f aca="false">-Inputs!$C$40*AL136*(1+Inputs!$C$34)^(AL$127-1)</f>
        <v>-677.5809165</v>
      </c>
      <c r="AM162" s="67" t="n">
        <f aca="false">-Inputs!$C$40*AM136*(1+Inputs!$C$34)^(AM$127-1)</f>
        <v>-704.77531364475</v>
      </c>
      <c r="AN162" s="67" t="n">
        <f aca="false">-Inputs!$C$40*AN136*(1+Inputs!$C$34)^(AN$127-1)</f>
        <v>-704.77531364475</v>
      </c>
      <c r="AO162" s="67" t="n">
        <f aca="false">-Inputs!$C$40*AO136*(1+Inputs!$C$34)^(AO$127-1)</f>
        <v>-953.91706964475</v>
      </c>
      <c r="AP162" s="67" t="n">
        <f aca="false">-Inputs!$C$40*AP136*(1+Inputs!$C$34)^(AP$127-1)</f>
        <v>-953.91706964475</v>
      </c>
      <c r="AQ162" s="67" t="n">
        <f aca="false">-Inputs!$C$40*AQ136*(1+Inputs!$C$34)^(AQ$127-1)</f>
        <v>-953.91706964475</v>
      </c>
      <c r="AR162" s="67" t="n">
        <f aca="false">-Inputs!$C$40*AR136*(1+Inputs!$C$34)^(AR$127-1)</f>
        <v>-953.91706964475</v>
      </c>
      <c r="AS162" s="67" t="n">
        <f aca="false">-Inputs!$C$40*AS136*(1+Inputs!$C$34)^(AS$127-1)</f>
        <v>-953.91706964475</v>
      </c>
      <c r="AT162" s="67" t="n">
        <f aca="false">-Inputs!$C$40*AT136*(1+Inputs!$C$34)^(AT$127-1)</f>
        <v>-953.91706964475</v>
      </c>
      <c r="AU162" s="67" t="n">
        <f aca="false">-Inputs!$C$40*AU136*(1+Inputs!$C$34)^(AU$127-1)</f>
        <v>-953.91706964475</v>
      </c>
      <c r="AV162" s="67" t="n">
        <f aca="false">-Inputs!$C$40*AV136*(1+Inputs!$C$34)^(AV$127-1)</f>
        <v>-953.91706964475</v>
      </c>
      <c r="AW162" s="67" t="n">
        <f aca="false">-Inputs!$C$40*AW136*(1+Inputs!$C$34)^(AW$127-1)</f>
        <v>-953.91706964475</v>
      </c>
      <c r="AX162" s="67" t="n">
        <f aca="false">-Inputs!$C$40*AX136*(1+Inputs!$C$34)^(AX$127-1)</f>
        <v>-704.77531364475</v>
      </c>
      <c r="AY162" s="67" t="n">
        <f aca="false">-Inputs!$C$40*AY136*(1+Inputs!$C$34)^(AY$127-1)</f>
        <v>-733.345200730297</v>
      </c>
      <c r="AZ162" s="67" t="n">
        <f aca="false">-Inputs!$C$40*AZ136*(1+Inputs!$C$34)^(AZ$127-1)</f>
        <v>-733.345200730297</v>
      </c>
      <c r="BA162" s="67" t="n">
        <f aca="false">-Inputs!$C$40*BA136*(1+Inputs!$C$34)^(BA$127-1)</f>
        <v>-989.961209410297</v>
      </c>
      <c r="BB162" s="67" t="n">
        <f aca="false">-Inputs!$C$40*BB136*(1+Inputs!$C$34)^(BB$127-1)</f>
        <v>-989.961209410297</v>
      </c>
      <c r="BC162" s="67" t="n">
        <f aca="false">-Inputs!$C$40*BC136*(1+Inputs!$C$34)^(BC$127-1)</f>
        <v>-989.961209410297</v>
      </c>
      <c r="BD162" s="67" t="n">
        <f aca="false">-Inputs!$C$40*BD136*(1+Inputs!$C$34)^(BD$127-1)</f>
        <v>-989.961209410297</v>
      </c>
      <c r="BE162" s="67" t="n">
        <f aca="false">-Inputs!$C$40*BE136*(1+Inputs!$C$34)^(BE$127-1)</f>
        <v>-989.961209410297</v>
      </c>
      <c r="BF162" s="67" t="n">
        <f aca="false">-Inputs!$C$40*BF136*(1+Inputs!$C$34)^(BF$127-1)</f>
        <v>-989.961209410297</v>
      </c>
      <c r="BG162" s="67" t="n">
        <f aca="false">-Inputs!$C$40*BG136*(1+Inputs!$C$34)^(BG$127-1)</f>
        <v>-989.961209410297</v>
      </c>
      <c r="BH162" s="67" t="n">
        <f aca="false">-Inputs!$C$40*BH136*(1+Inputs!$C$34)^(BH$127-1)</f>
        <v>-989.961209410297</v>
      </c>
      <c r="BI162" s="67" t="n">
        <f aca="false">-Inputs!$C$40*BI136*(1+Inputs!$C$34)^(BI$127-1)</f>
        <v>-989.961209410297</v>
      </c>
      <c r="BJ162" s="67" t="n">
        <f aca="false">-Inputs!$C$40*BJ136*(1+Inputs!$C$34)^(BJ$127-1)</f>
        <v>-733.345200730297</v>
      </c>
    </row>
    <row r="163" customFormat="false" ht="15" hidden="false" customHeight="false" outlineLevel="0" collapsed="false">
      <c r="A163" s="6" t="s">
        <v>337</v>
      </c>
      <c r="C163" s="67" t="n">
        <f aca="false">-Inputs!$C$41*C130*(1+Inputs!$C$34)^(C$127-1)*1</f>
        <v>-500</v>
      </c>
      <c r="D163" s="67" t="n">
        <f aca="false">-Inputs!$C$41*D130*(1+Inputs!$C$34)^(D$127-1)*1</f>
        <v>-500</v>
      </c>
      <c r="E163" s="67" t="n">
        <f aca="false">-Inputs!$C$41*E130*(1+Inputs!$C$34)^(E$127-1)*1</f>
        <v>-500</v>
      </c>
      <c r="F163" s="67" t="n">
        <f aca="false">-Inputs!$C$41*F130*(1+Inputs!$C$34)^(F$127-1)*1</f>
        <v>-500</v>
      </c>
      <c r="G163" s="67" t="n">
        <f aca="false">-Inputs!$C$41*G130*(1+Inputs!$C$34)^(G$127-1)*1</f>
        <v>-500</v>
      </c>
      <c r="H163" s="67" t="n">
        <f aca="false">-Inputs!$C$41*H130*(1+Inputs!$C$34)^(H$127-1)*1</f>
        <v>-500</v>
      </c>
      <c r="I163" s="67" t="n">
        <f aca="false">-Inputs!$C$41*I130*(1+Inputs!$C$34)^(I$127-1)*1</f>
        <v>-500</v>
      </c>
      <c r="J163" s="67" t="n">
        <f aca="false">-Inputs!$C$41*J130*(1+Inputs!$C$34)^(J$127-1)*1</f>
        <v>-500</v>
      </c>
      <c r="K163" s="67" t="n">
        <f aca="false">-Inputs!$C$41*K130*(1+Inputs!$C$34)^(K$127-1)*1</f>
        <v>-500</v>
      </c>
      <c r="L163" s="67" t="n">
        <f aca="false">-Inputs!$C$41*L130*(1+Inputs!$C$34)^(L$127-1)*1</f>
        <v>-500</v>
      </c>
      <c r="M163" s="67" t="n">
        <f aca="false">-Inputs!$C$41*M130*(1+Inputs!$C$34)^(M$127-1)*1</f>
        <v>-500</v>
      </c>
      <c r="N163" s="67" t="n">
        <f aca="false">-Inputs!$C$41*N130*(1+Inputs!$C$34)^(N$127-1)*1</f>
        <v>-500</v>
      </c>
      <c r="O163" s="67" t="n">
        <f aca="false">-Inputs!$C$41*O130*(1+Inputs!$C$34)^(O$127-1)*1</f>
        <v>-515</v>
      </c>
      <c r="P163" s="67" t="n">
        <f aca="false">-Inputs!$C$41*P130*(1+Inputs!$C$34)^(P$127-1)*1</f>
        <v>-515</v>
      </c>
      <c r="Q163" s="67" t="n">
        <f aca="false">-Inputs!$C$41*Q130*(1+Inputs!$C$34)^(Q$127-1)*1</f>
        <v>-515</v>
      </c>
      <c r="R163" s="67" t="n">
        <f aca="false">-Inputs!$C$41*R130*(1+Inputs!$C$34)^(R$127-1)*1</f>
        <v>-515</v>
      </c>
      <c r="S163" s="67" t="n">
        <f aca="false">-Inputs!$C$41*S130*(1+Inputs!$C$34)^(S$127-1)*1</f>
        <v>-515</v>
      </c>
      <c r="T163" s="67" t="n">
        <f aca="false">-Inputs!$C$41*T130*(1+Inputs!$C$34)^(T$127-1)*1</f>
        <v>-515</v>
      </c>
      <c r="U163" s="67" t="n">
        <f aca="false">-Inputs!$C$41*U130*(1+Inputs!$C$34)^(U$127-1)*1</f>
        <v>-515</v>
      </c>
      <c r="V163" s="67" t="n">
        <f aca="false">-Inputs!$C$41*V130*(1+Inputs!$C$34)^(V$127-1)*1</f>
        <v>-515</v>
      </c>
      <c r="W163" s="67" t="n">
        <f aca="false">-Inputs!$C$41*W130*(1+Inputs!$C$34)^(W$127-1)*1</f>
        <v>-515</v>
      </c>
      <c r="X163" s="67" t="n">
        <f aca="false">-Inputs!$C$41*X130*(1+Inputs!$C$34)^(X$127-1)*1</f>
        <v>-515</v>
      </c>
      <c r="Y163" s="67" t="n">
        <f aca="false">-Inputs!$C$41*Y130*(1+Inputs!$C$34)^(Y$127-1)*1</f>
        <v>-515</v>
      </c>
      <c r="Z163" s="67" t="n">
        <f aca="false">-Inputs!$C$41*Z130*(1+Inputs!$C$34)^(Z$127-1)*1</f>
        <v>-515</v>
      </c>
      <c r="AA163" s="67" t="n">
        <f aca="false">-Inputs!$C$41*AA130*(1+Inputs!$C$34)^(AA$127-1)*1</f>
        <v>-530.45</v>
      </c>
      <c r="AB163" s="67" t="n">
        <f aca="false">-Inputs!$C$41*AB130*(1+Inputs!$C$34)^(AB$127-1)*1</f>
        <v>-530.45</v>
      </c>
      <c r="AC163" s="67" t="n">
        <f aca="false">-Inputs!$C$41*AC130*(1+Inputs!$C$34)^(AC$127-1)*1</f>
        <v>-530.45</v>
      </c>
      <c r="AD163" s="67" t="n">
        <f aca="false">-Inputs!$C$41*AD130*(1+Inputs!$C$34)^(AD$127-1)*1</f>
        <v>-530.45</v>
      </c>
      <c r="AE163" s="67" t="n">
        <f aca="false">-Inputs!$C$41*AE130*(1+Inputs!$C$34)^(AE$127-1)*1</f>
        <v>-530.45</v>
      </c>
      <c r="AF163" s="67" t="n">
        <f aca="false">-Inputs!$C$41*AF130*(1+Inputs!$C$34)^(AF$127-1)*1</f>
        <v>-530.45</v>
      </c>
      <c r="AG163" s="67" t="n">
        <f aca="false">-Inputs!$C$41*AG130*(1+Inputs!$C$34)^(AG$127-1)*1</f>
        <v>-530.45</v>
      </c>
      <c r="AH163" s="67" t="n">
        <f aca="false">-Inputs!$C$41*AH130*(1+Inputs!$C$34)^(AH$127-1)*1</f>
        <v>-530.45</v>
      </c>
      <c r="AI163" s="67" t="n">
        <f aca="false">-Inputs!$C$41*AI130*(1+Inputs!$C$34)^(AI$127-1)*1</f>
        <v>-530.45</v>
      </c>
      <c r="AJ163" s="67" t="n">
        <f aca="false">-Inputs!$C$41*AJ130*(1+Inputs!$C$34)^(AJ$127-1)*1</f>
        <v>-530.45</v>
      </c>
      <c r="AK163" s="67" t="n">
        <f aca="false">-Inputs!$C$41*AK130*(1+Inputs!$C$34)^(AK$127-1)*1</f>
        <v>-530.45</v>
      </c>
      <c r="AL163" s="67" t="n">
        <f aca="false">-Inputs!$C$41*AL130*(1+Inputs!$C$34)^(AL$127-1)*1</f>
        <v>-530.45</v>
      </c>
      <c r="AM163" s="67" t="n">
        <f aca="false">-Inputs!$C$41*AM130*(1+Inputs!$C$34)^(AM$127-1)*1</f>
        <v>-546.3635</v>
      </c>
      <c r="AN163" s="67" t="n">
        <f aca="false">-Inputs!$C$41*AN130*(1+Inputs!$C$34)^(AN$127-1)*1</f>
        <v>-546.3635</v>
      </c>
      <c r="AO163" s="67" t="n">
        <f aca="false">-Inputs!$C$41*AO130*(1+Inputs!$C$34)^(AO$127-1)*1</f>
        <v>-546.3635</v>
      </c>
      <c r="AP163" s="67" t="n">
        <f aca="false">-Inputs!$C$41*AP130*(1+Inputs!$C$34)^(AP$127-1)*1</f>
        <v>-546.3635</v>
      </c>
      <c r="AQ163" s="67" t="n">
        <f aca="false">-Inputs!$C$41*AQ130*(1+Inputs!$C$34)^(AQ$127-1)*1</f>
        <v>-546.3635</v>
      </c>
      <c r="AR163" s="67" t="n">
        <f aca="false">-Inputs!$C$41*AR130*(1+Inputs!$C$34)^(AR$127-1)*1</f>
        <v>-546.3635</v>
      </c>
      <c r="AS163" s="67" t="n">
        <f aca="false">-Inputs!$C$41*AS130*(1+Inputs!$C$34)^(AS$127-1)*1</f>
        <v>-546.3635</v>
      </c>
      <c r="AT163" s="67" t="n">
        <f aca="false">-Inputs!$C$41*AT130*(1+Inputs!$C$34)^(AT$127-1)*1</f>
        <v>-546.3635</v>
      </c>
      <c r="AU163" s="67" t="n">
        <f aca="false">-Inputs!$C$41*AU130*(1+Inputs!$C$34)^(AU$127-1)*1</f>
        <v>-546.3635</v>
      </c>
      <c r="AV163" s="67" t="n">
        <f aca="false">-Inputs!$C$41*AV130*(1+Inputs!$C$34)^(AV$127-1)*1</f>
        <v>-546.3635</v>
      </c>
      <c r="AW163" s="67" t="n">
        <f aca="false">-Inputs!$C$41*AW130*(1+Inputs!$C$34)^(AW$127-1)*1</f>
        <v>-546.3635</v>
      </c>
      <c r="AX163" s="67" t="n">
        <f aca="false">-Inputs!$C$41*AX130*(1+Inputs!$C$34)^(AX$127-1)*1</f>
        <v>-546.3635</v>
      </c>
      <c r="AY163" s="67" t="n">
        <f aca="false">-Inputs!$C$41*AY130*(1+Inputs!$C$34)^(AY$127-1)*1</f>
        <v>-562.754405</v>
      </c>
      <c r="AZ163" s="67" t="n">
        <f aca="false">-Inputs!$C$41*AZ130*(1+Inputs!$C$34)^(AZ$127-1)*1</f>
        <v>-562.754405</v>
      </c>
      <c r="BA163" s="67" t="n">
        <f aca="false">-Inputs!$C$41*BA130*(1+Inputs!$C$34)^(BA$127-1)*1</f>
        <v>-562.754405</v>
      </c>
      <c r="BB163" s="67" t="n">
        <f aca="false">-Inputs!$C$41*BB130*(1+Inputs!$C$34)^(BB$127-1)*1</f>
        <v>-562.754405</v>
      </c>
      <c r="BC163" s="67" t="n">
        <f aca="false">-Inputs!$C$41*BC130*(1+Inputs!$C$34)^(BC$127-1)*1</f>
        <v>-562.754405</v>
      </c>
      <c r="BD163" s="67" t="n">
        <f aca="false">-Inputs!$C$41*BD130*(1+Inputs!$C$34)^(BD$127-1)*1</f>
        <v>-562.754405</v>
      </c>
      <c r="BE163" s="67" t="n">
        <f aca="false">-Inputs!$C$41*BE130*(1+Inputs!$C$34)^(BE$127-1)*1</f>
        <v>-562.754405</v>
      </c>
      <c r="BF163" s="67" t="n">
        <f aca="false">-Inputs!$C$41*BF130*(1+Inputs!$C$34)^(BF$127-1)*1</f>
        <v>-562.754405</v>
      </c>
      <c r="BG163" s="67" t="n">
        <f aca="false">-Inputs!$C$41*BG130*(1+Inputs!$C$34)^(BG$127-1)*1</f>
        <v>-562.754405</v>
      </c>
      <c r="BH163" s="67" t="n">
        <f aca="false">-Inputs!$C$41*BH130*(1+Inputs!$C$34)^(BH$127-1)*1</f>
        <v>-562.754405</v>
      </c>
      <c r="BI163" s="67" t="n">
        <f aca="false">-Inputs!$C$41*BI130*(1+Inputs!$C$34)^(BI$127-1)*1</f>
        <v>-562.754405</v>
      </c>
      <c r="BJ163" s="67" t="n">
        <f aca="false">-Inputs!$C$41*BJ130*(1+Inputs!$C$34)^(BJ$127-1)*1</f>
        <v>-562.754405</v>
      </c>
    </row>
    <row r="164" customFormat="false" ht="15" hidden="false" customHeight="false" outlineLevel="0" collapsed="false">
      <c r="A164" s="6" t="s">
        <v>338</v>
      </c>
      <c r="C164" s="67" t="n">
        <f aca="false">-Inputs!$C$42*(1+Inputs!$C$34)^(C$127-1)*1</f>
        <v>-120</v>
      </c>
      <c r="D164" s="67" t="n">
        <f aca="false">-Inputs!$C$42*(1+Inputs!$C$34)^(D$127-1)*1</f>
        <v>-120</v>
      </c>
      <c r="E164" s="67" t="n">
        <f aca="false">-Inputs!$C$42*(1+Inputs!$C$34)^(E$127-1)*1</f>
        <v>-120</v>
      </c>
      <c r="F164" s="67" t="n">
        <f aca="false">-Inputs!$C$42*(1+Inputs!$C$34)^(F$127-1)*1</f>
        <v>-120</v>
      </c>
      <c r="G164" s="67" t="n">
        <f aca="false">-Inputs!$C$42*(1+Inputs!$C$34)^(G$127-1)*1</f>
        <v>-120</v>
      </c>
      <c r="H164" s="67" t="n">
        <f aca="false">-Inputs!$C$42*(1+Inputs!$C$34)^(H$127-1)*1</f>
        <v>-120</v>
      </c>
      <c r="I164" s="67" t="n">
        <f aca="false">-Inputs!$C$42*(1+Inputs!$C$34)^(I$127-1)*1</f>
        <v>-120</v>
      </c>
      <c r="J164" s="67" t="n">
        <f aca="false">-Inputs!$C$42*(1+Inputs!$C$34)^(J$127-1)*1</f>
        <v>-120</v>
      </c>
      <c r="K164" s="67" t="n">
        <f aca="false">-Inputs!$C$42*(1+Inputs!$C$34)^(K$127-1)*1</f>
        <v>-120</v>
      </c>
      <c r="L164" s="67" t="n">
        <f aca="false">-Inputs!$C$42*(1+Inputs!$C$34)^(L$127-1)*1</f>
        <v>-120</v>
      </c>
      <c r="M164" s="67" t="n">
        <f aca="false">-Inputs!$C$42*(1+Inputs!$C$34)^(M$127-1)*1</f>
        <v>-120</v>
      </c>
      <c r="N164" s="67" t="n">
        <f aca="false">-Inputs!$C$42*(1+Inputs!$C$34)^(N$127-1)*1</f>
        <v>-120</v>
      </c>
      <c r="O164" s="67" t="n">
        <f aca="false">-Inputs!$C$42*(1+Inputs!$C$34)^(O$127-1)*1</f>
        <v>-123.6</v>
      </c>
      <c r="P164" s="67" t="n">
        <f aca="false">-Inputs!$C$42*(1+Inputs!$C$34)^(P$127-1)*1</f>
        <v>-123.6</v>
      </c>
      <c r="Q164" s="67" t="n">
        <f aca="false">-Inputs!$C$42*(1+Inputs!$C$34)^(Q$127-1)*1</f>
        <v>-123.6</v>
      </c>
      <c r="R164" s="67" t="n">
        <f aca="false">-Inputs!$C$42*(1+Inputs!$C$34)^(R$127-1)*1</f>
        <v>-123.6</v>
      </c>
      <c r="S164" s="67" t="n">
        <f aca="false">-Inputs!$C$42*(1+Inputs!$C$34)^(S$127-1)*1</f>
        <v>-123.6</v>
      </c>
      <c r="T164" s="67" t="n">
        <f aca="false">-Inputs!$C$42*(1+Inputs!$C$34)^(T$127-1)*1</f>
        <v>-123.6</v>
      </c>
      <c r="U164" s="67" t="n">
        <f aca="false">-Inputs!$C$42*(1+Inputs!$C$34)^(U$127-1)*1</f>
        <v>-123.6</v>
      </c>
      <c r="V164" s="67" t="n">
        <f aca="false">-Inputs!$C$42*(1+Inputs!$C$34)^(V$127-1)*1</f>
        <v>-123.6</v>
      </c>
      <c r="W164" s="67" t="n">
        <f aca="false">-Inputs!$C$42*(1+Inputs!$C$34)^(W$127-1)*1</f>
        <v>-123.6</v>
      </c>
      <c r="X164" s="67" t="n">
        <f aca="false">-Inputs!$C$42*(1+Inputs!$C$34)^(X$127-1)*1</f>
        <v>-123.6</v>
      </c>
      <c r="Y164" s="67" t="n">
        <f aca="false">-Inputs!$C$42*(1+Inputs!$C$34)^(Y$127-1)*1</f>
        <v>-123.6</v>
      </c>
      <c r="Z164" s="67" t="n">
        <f aca="false">-Inputs!$C$42*(1+Inputs!$C$34)^(Z$127-1)*1</f>
        <v>-123.6</v>
      </c>
      <c r="AA164" s="67" t="n">
        <f aca="false">-Inputs!$C$42*(1+Inputs!$C$34)^(AA$127-1)*1</f>
        <v>-127.308</v>
      </c>
      <c r="AB164" s="67" t="n">
        <f aca="false">-Inputs!$C$42*(1+Inputs!$C$34)^(AB$127-1)*1</f>
        <v>-127.308</v>
      </c>
      <c r="AC164" s="67" t="n">
        <f aca="false">-Inputs!$C$42*(1+Inputs!$C$34)^(AC$127-1)*1</f>
        <v>-127.308</v>
      </c>
      <c r="AD164" s="67" t="n">
        <f aca="false">-Inputs!$C$42*(1+Inputs!$C$34)^(AD$127-1)*1</f>
        <v>-127.308</v>
      </c>
      <c r="AE164" s="67" t="n">
        <f aca="false">-Inputs!$C$42*(1+Inputs!$C$34)^(AE$127-1)*1</f>
        <v>-127.308</v>
      </c>
      <c r="AF164" s="67" t="n">
        <f aca="false">-Inputs!$C$42*(1+Inputs!$C$34)^(AF$127-1)*1</f>
        <v>-127.308</v>
      </c>
      <c r="AG164" s="67" t="n">
        <f aca="false">-Inputs!$C$42*(1+Inputs!$C$34)^(AG$127-1)*1</f>
        <v>-127.308</v>
      </c>
      <c r="AH164" s="67" t="n">
        <f aca="false">-Inputs!$C$42*(1+Inputs!$C$34)^(AH$127-1)*1</f>
        <v>-127.308</v>
      </c>
      <c r="AI164" s="67" t="n">
        <f aca="false">-Inputs!$C$42*(1+Inputs!$C$34)^(AI$127-1)*1</f>
        <v>-127.308</v>
      </c>
      <c r="AJ164" s="67" t="n">
        <f aca="false">-Inputs!$C$42*(1+Inputs!$C$34)^(AJ$127-1)*1</f>
        <v>-127.308</v>
      </c>
      <c r="AK164" s="67" t="n">
        <f aca="false">-Inputs!$C$42*(1+Inputs!$C$34)^(AK$127-1)*1</f>
        <v>-127.308</v>
      </c>
      <c r="AL164" s="67" t="n">
        <f aca="false">-Inputs!$C$42*(1+Inputs!$C$34)^(AL$127-1)*1</f>
        <v>-127.308</v>
      </c>
      <c r="AM164" s="67" t="n">
        <f aca="false">-Inputs!$C$42*(1+Inputs!$C$34)^(AM$127-1)*1</f>
        <v>-131.12724</v>
      </c>
      <c r="AN164" s="67" t="n">
        <f aca="false">-Inputs!$C$42*(1+Inputs!$C$34)^(AN$127-1)*1</f>
        <v>-131.12724</v>
      </c>
      <c r="AO164" s="67" t="n">
        <f aca="false">-Inputs!$C$42*(1+Inputs!$C$34)^(AO$127-1)*1</f>
        <v>-131.12724</v>
      </c>
      <c r="AP164" s="67" t="n">
        <f aca="false">-Inputs!$C$42*(1+Inputs!$C$34)^(AP$127-1)*1</f>
        <v>-131.12724</v>
      </c>
      <c r="AQ164" s="67" t="n">
        <f aca="false">-Inputs!$C$42*(1+Inputs!$C$34)^(AQ$127-1)*1</f>
        <v>-131.12724</v>
      </c>
      <c r="AR164" s="67" t="n">
        <f aca="false">-Inputs!$C$42*(1+Inputs!$C$34)^(AR$127-1)*1</f>
        <v>-131.12724</v>
      </c>
      <c r="AS164" s="67" t="n">
        <f aca="false">-Inputs!$C$42*(1+Inputs!$C$34)^(AS$127-1)*1</f>
        <v>-131.12724</v>
      </c>
      <c r="AT164" s="67" t="n">
        <f aca="false">-Inputs!$C$42*(1+Inputs!$C$34)^(AT$127-1)*1</f>
        <v>-131.12724</v>
      </c>
      <c r="AU164" s="67" t="n">
        <f aca="false">-Inputs!$C$42*(1+Inputs!$C$34)^(AU$127-1)*1</f>
        <v>-131.12724</v>
      </c>
      <c r="AV164" s="67" t="n">
        <f aca="false">-Inputs!$C$42*(1+Inputs!$C$34)^(AV$127-1)*1</f>
        <v>-131.12724</v>
      </c>
      <c r="AW164" s="67" t="n">
        <f aca="false">-Inputs!$C$42*(1+Inputs!$C$34)^(AW$127-1)*1</f>
        <v>-131.12724</v>
      </c>
      <c r="AX164" s="67" t="n">
        <f aca="false">-Inputs!$C$42*(1+Inputs!$C$34)^(AX$127-1)*1</f>
        <v>-131.12724</v>
      </c>
      <c r="AY164" s="67" t="n">
        <f aca="false">-Inputs!$C$42*(1+Inputs!$C$34)^(AY$127-1)*1</f>
        <v>-135.0610572</v>
      </c>
      <c r="AZ164" s="67" t="n">
        <f aca="false">-Inputs!$C$42*(1+Inputs!$C$34)^(AZ$127-1)*1</f>
        <v>-135.0610572</v>
      </c>
      <c r="BA164" s="67" t="n">
        <f aca="false">-Inputs!$C$42*(1+Inputs!$C$34)^(BA$127-1)*1</f>
        <v>-135.0610572</v>
      </c>
      <c r="BB164" s="67" t="n">
        <f aca="false">-Inputs!$C$42*(1+Inputs!$C$34)^(BB$127-1)*1</f>
        <v>-135.0610572</v>
      </c>
      <c r="BC164" s="67" t="n">
        <f aca="false">-Inputs!$C$42*(1+Inputs!$C$34)^(BC$127-1)*1</f>
        <v>-135.0610572</v>
      </c>
      <c r="BD164" s="67" t="n">
        <f aca="false">-Inputs!$C$42*(1+Inputs!$C$34)^(BD$127-1)*1</f>
        <v>-135.0610572</v>
      </c>
      <c r="BE164" s="67" t="n">
        <f aca="false">-Inputs!$C$42*(1+Inputs!$C$34)^(BE$127-1)*1</f>
        <v>-135.0610572</v>
      </c>
      <c r="BF164" s="67" t="n">
        <f aca="false">-Inputs!$C$42*(1+Inputs!$C$34)^(BF$127-1)*1</f>
        <v>-135.0610572</v>
      </c>
      <c r="BG164" s="67" t="n">
        <f aca="false">-Inputs!$C$42*(1+Inputs!$C$34)^(BG$127-1)*1</f>
        <v>-135.0610572</v>
      </c>
      <c r="BH164" s="67" t="n">
        <f aca="false">-Inputs!$C$42*(1+Inputs!$C$34)^(BH$127-1)*1</f>
        <v>-135.0610572</v>
      </c>
      <c r="BI164" s="67" t="n">
        <f aca="false">-Inputs!$C$42*(1+Inputs!$C$34)^(BI$127-1)*1</f>
        <v>-135.0610572</v>
      </c>
      <c r="BJ164" s="67" t="n">
        <f aca="false">-Inputs!$C$42*(1+Inputs!$C$34)^(BJ$127-1)*1</f>
        <v>-135.0610572</v>
      </c>
    </row>
    <row r="165" customFormat="false" ht="15" hidden="false" customHeight="false" outlineLevel="0" collapsed="false">
      <c r="A165" s="6" t="s">
        <v>339</v>
      </c>
      <c r="C165" s="67" t="n">
        <f aca="false">-Inputs!$C$43*(1+Inputs!$C$44)^(C$127-1)*1</f>
        <v>-700</v>
      </c>
      <c r="D165" s="67" t="n">
        <f aca="false">-Inputs!$C$43*(1+Inputs!$C$44)^(D$127-1)*1</f>
        <v>-700</v>
      </c>
      <c r="E165" s="67" t="n">
        <f aca="false">-Inputs!$C$43*(1+Inputs!$C$44)^(E$127-1)*1</f>
        <v>-700</v>
      </c>
      <c r="F165" s="67" t="n">
        <f aca="false">-Inputs!$C$43*(1+Inputs!$C$44)^(F$127-1)*1</f>
        <v>-700</v>
      </c>
      <c r="G165" s="67" t="n">
        <f aca="false">-Inputs!$C$43*(1+Inputs!$C$44)^(G$127-1)*1</f>
        <v>-700</v>
      </c>
      <c r="H165" s="67" t="n">
        <f aca="false">-Inputs!$C$43*(1+Inputs!$C$44)^(H$127-1)*1</f>
        <v>-700</v>
      </c>
      <c r="I165" s="67" t="n">
        <f aca="false">-Inputs!$C$43*(1+Inputs!$C$44)^(I$127-1)*1</f>
        <v>-700</v>
      </c>
      <c r="J165" s="67" t="n">
        <f aca="false">-Inputs!$C$43*(1+Inputs!$C$44)^(J$127-1)*1</f>
        <v>-700</v>
      </c>
      <c r="K165" s="67" t="n">
        <f aca="false">-Inputs!$C$43*(1+Inputs!$C$44)^(K$127-1)*1</f>
        <v>-700</v>
      </c>
      <c r="L165" s="67" t="n">
        <f aca="false">-Inputs!$C$43*(1+Inputs!$C$44)^(L$127-1)*1</f>
        <v>-700</v>
      </c>
      <c r="M165" s="67" t="n">
        <f aca="false">-Inputs!$C$43*(1+Inputs!$C$44)^(M$127-1)*1</f>
        <v>-700</v>
      </c>
      <c r="N165" s="67" t="n">
        <f aca="false">-Inputs!$C$43*(1+Inputs!$C$44)^(N$127-1)*1</f>
        <v>-700</v>
      </c>
      <c r="O165" s="67" t="n">
        <f aca="false">-Inputs!$C$43*(1+Inputs!$C$44)^(O$127-1)*1</f>
        <v>-700</v>
      </c>
      <c r="P165" s="67" t="n">
        <f aca="false">-Inputs!$C$43*(1+Inputs!$C$44)^(P$127-1)*1</f>
        <v>-700</v>
      </c>
      <c r="Q165" s="67" t="n">
        <f aca="false">-Inputs!$C$43*(1+Inputs!$C$44)^(Q$127-1)*1</f>
        <v>-700</v>
      </c>
      <c r="R165" s="67" t="n">
        <f aca="false">-Inputs!$C$43*(1+Inputs!$C$44)^(R$127-1)*1</f>
        <v>-700</v>
      </c>
      <c r="S165" s="67" t="n">
        <f aca="false">-Inputs!$C$43*(1+Inputs!$C$44)^(S$127-1)*1</f>
        <v>-700</v>
      </c>
      <c r="T165" s="67" t="n">
        <f aca="false">-Inputs!$C$43*(1+Inputs!$C$44)^(T$127-1)*1</f>
        <v>-700</v>
      </c>
      <c r="U165" s="67" t="n">
        <f aca="false">-Inputs!$C$43*(1+Inputs!$C$44)^(U$127-1)*1</f>
        <v>-700</v>
      </c>
      <c r="V165" s="67" t="n">
        <f aca="false">-Inputs!$C$43*(1+Inputs!$C$44)^(V$127-1)*1</f>
        <v>-700</v>
      </c>
      <c r="W165" s="67" t="n">
        <f aca="false">-Inputs!$C$43*(1+Inputs!$C$44)^(W$127-1)*1</f>
        <v>-700</v>
      </c>
      <c r="X165" s="67" t="n">
        <f aca="false">-Inputs!$C$43*(1+Inputs!$C$44)^(X$127-1)*1</f>
        <v>-700</v>
      </c>
      <c r="Y165" s="67" t="n">
        <f aca="false">-Inputs!$C$43*(1+Inputs!$C$44)^(Y$127-1)*1</f>
        <v>-700</v>
      </c>
      <c r="Z165" s="67" t="n">
        <f aca="false">-Inputs!$C$43*(1+Inputs!$C$44)^(Z$127-1)*1</f>
        <v>-700</v>
      </c>
      <c r="AA165" s="67" t="n">
        <f aca="false">-Inputs!$C$43*(1+Inputs!$C$44)^(AA$127-1)*1</f>
        <v>-700</v>
      </c>
      <c r="AB165" s="67" t="n">
        <f aca="false">-Inputs!$C$43*(1+Inputs!$C$44)^(AB$127-1)*1</f>
        <v>-700</v>
      </c>
      <c r="AC165" s="67" t="n">
        <f aca="false">-Inputs!$C$43*(1+Inputs!$C$44)^(AC$127-1)*1</f>
        <v>-700</v>
      </c>
      <c r="AD165" s="67" t="n">
        <f aca="false">-Inputs!$C$43*(1+Inputs!$C$44)^(AD$127-1)*1</f>
        <v>-700</v>
      </c>
      <c r="AE165" s="67" t="n">
        <f aca="false">-Inputs!$C$43*(1+Inputs!$C$44)^(AE$127-1)*1</f>
        <v>-700</v>
      </c>
      <c r="AF165" s="67" t="n">
        <f aca="false">-Inputs!$C$43*(1+Inputs!$C$44)^(AF$127-1)*1</f>
        <v>-700</v>
      </c>
      <c r="AG165" s="67" t="n">
        <f aca="false">-Inputs!$C$43*(1+Inputs!$C$44)^(AG$127-1)*1</f>
        <v>-700</v>
      </c>
      <c r="AH165" s="67" t="n">
        <f aca="false">-Inputs!$C$43*(1+Inputs!$C$44)^(AH$127-1)*1</f>
        <v>-700</v>
      </c>
      <c r="AI165" s="67" t="n">
        <f aca="false">-Inputs!$C$43*(1+Inputs!$C$44)^(AI$127-1)*1</f>
        <v>-700</v>
      </c>
      <c r="AJ165" s="67" t="n">
        <f aca="false">-Inputs!$C$43*(1+Inputs!$C$44)^(AJ$127-1)*1</f>
        <v>-700</v>
      </c>
      <c r="AK165" s="67" t="n">
        <f aca="false">-Inputs!$C$43*(1+Inputs!$C$44)^(AK$127-1)*1</f>
        <v>-700</v>
      </c>
      <c r="AL165" s="67" t="n">
        <f aca="false">-Inputs!$C$43*(1+Inputs!$C$44)^(AL$127-1)*1</f>
        <v>-700</v>
      </c>
      <c r="AM165" s="67" t="n">
        <f aca="false">-Inputs!$C$43*(1+Inputs!$C$44)^(AM$127-1)*1</f>
        <v>-700</v>
      </c>
      <c r="AN165" s="67" t="n">
        <f aca="false">-Inputs!$C$43*(1+Inputs!$C$44)^(AN$127-1)*1</f>
        <v>-700</v>
      </c>
      <c r="AO165" s="67" t="n">
        <f aca="false">-Inputs!$C$43*(1+Inputs!$C$44)^(AO$127-1)*1</f>
        <v>-700</v>
      </c>
      <c r="AP165" s="67" t="n">
        <f aca="false">-Inputs!$C$43*(1+Inputs!$C$44)^(AP$127-1)*1</f>
        <v>-700</v>
      </c>
      <c r="AQ165" s="67" t="n">
        <f aca="false">-Inputs!$C$43*(1+Inputs!$C$44)^(AQ$127-1)*1</f>
        <v>-700</v>
      </c>
      <c r="AR165" s="67" t="n">
        <f aca="false">-Inputs!$C$43*(1+Inputs!$C$44)^(AR$127-1)*1</f>
        <v>-700</v>
      </c>
      <c r="AS165" s="67" t="n">
        <f aca="false">-Inputs!$C$43*(1+Inputs!$C$44)^(AS$127-1)*1</f>
        <v>-700</v>
      </c>
      <c r="AT165" s="67" t="n">
        <f aca="false">-Inputs!$C$43*(1+Inputs!$C$44)^(AT$127-1)*1</f>
        <v>-700</v>
      </c>
      <c r="AU165" s="67" t="n">
        <f aca="false">-Inputs!$C$43*(1+Inputs!$C$44)^(AU$127-1)*1</f>
        <v>-700</v>
      </c>
      <c r="AV165" s="67" t="n">
        <f aca="false">-Inputs!$C$43*(1+Inputs!$C$44)^(AV$127-1)*1</f>
        <v>-700</v>
      </c>
      <c r="AW165" s="67" t="n">
        <f aca="false">-Inputs!$C$43*(1+Inputs!$C$44)^(AW$127-1)*1</f>
        <v>-700</v>
      </c>
      <c r="AX165" s="67" t="n">
        <f aca="false">-Inputs!$C$43*(1+Inputs!$C$44)^(AX$127-1)*1</f>
        <v>-700</v>
      </c>
      <c r="AY165" s="67" t="n">
        <f aca="false">-Inputs!$C$43*(1+Inputs!$C$44)^(AY$127-1)*1</f>
        <v>-700</v>
      </c>
      <c r="AZ165" s="67" t="n">
        <f aca="false">-Inputs!$C$43*(1+Inputs!$C$44)^(AZ$127-1)*1</f>
        <v>-700</v>
      </c>
      <c r="BA165" s="67" t="n">
        <f aca="false">-Inputs!$C$43*(1+Inputs!$C$44)^(BA$127-1)*1</f>
        <v>-700</v>
      </c>
      <c r="BB165" s="67" t="n">
        <f aca="false">-Inputs!$C$43*(1+Inputs!$C$44)^(BB$127-1)*1</f>
        <v>-700</v>
      </c>
      <c r="BC165" s="67" t="n">
        <f aca="false">-Inputs!$C$43*(1+Inputs!$C$44)^(BC$127-1)*1</f>
        <v>-700</v>
      </c>
      <c r="BD165" s="67" t="n">
        <f aca="false">-Inputs!$C$43*(1+Inputs!$C$44)^(BD$127-1)*1</f>
        <v>-700</v>
      </c>
      <c r="BE165" s="67" t="n">
        <f aca="false">-Inputs!$C$43*(1+Inputs!$C$44)^(BE$127-1)*1</f>
        <v>-700</v>
      </c>
      <c r="BF165" s="67" t="n">
        <f aca="false">-Inputs!$C$43*(1+Inputs!$C$44)^(BF$127-1)*1</f>
        <v>-700</v>
      </c>
      <c r="BG165" s="67" t="n">
        <f aca="false">-Inputs!$C$43*(1+Inputs!$C$44)^(BG$127-1)*1</f>
        <v>-700</v>
      </c>
      <c r="BH165" s="67" t="n">
        <f aca="false">-Inputs!$C$43*(1+Inputs!$C$44)^(BH$127-1)*1</f>
        <v>-700</v>
      </c>
      <c r="BI165" s="67" t="n">
        <f aca="false">-Inputs!$C$43*(1+Inputs!$C$44)^(BI$127-1)*1</f>
        <v>-700</v>
      </c>
      <c r="BJ165" s="67" t="n">
        <f aca="false">-Inputs!$C$43*(1+Inputs!$C$44)^(BJ$127-1)*1</f>
        <v>-700</v>
      </c>
    </row>
    <row r="166" customFormat="false" ht="15" hidden="false" customHeight="false" outlineLevel="0" collapsed="false">
      <c r="A166" s="6" t="s">
        <v>340</v>
      </c>
      <c r="C166" s="67" t="n">
        <f aca="false">-Inputs!$C$45*(1+Inputs!$C$34)^(C$127-1)*1</f>
        <v>-350</v>
      </c>
      <c r="D166" s="67" t="n">
        <f aca="false">-Inputs!$C$45*(1+Inputs!$C$34)^(D$127-1)*1</f>
        <v>-350</v>
      </c>
      <c r="E166" s="67" t="n">
        <f aca="false">-Inputs!$C$45*(1+Inputs!$C$34)^(E$127-1)*1</f>
        <v>-350</v>
      </c>
      <c r="F166" s="67" t="n">
        <f aca="false">-Inputs!$C$45*(1+Inputs!$C$34)^(F$127-1)*1</f>
        <v>-350</v>
      </c>
      <c r="G166" s="67" t="n">
        <f aca="false">-Inputs!$C$45*(1+Inputs!$C$34)^(G$127-1)*1</f>
        <v>-350</v>
      </c>
      <c r="H166" s="67" t="n">
        <f aca="false">-Inputs!$C$45*(1+Inputs!$C$34)^(H$127-1)*1</f>
        <v>-350</v>
      </c>
      <c r="I166" s="67" t="n">
        <f aca="false">-Inputs!$C$45*(1+Inputs!$C$34)^(I$127-1)*1</f>
        <v>-350</v>
      </c>
      <c r="J166" s="67" t="n">
        <f aca="false">-Inputs!$C$45*(1+Inputs!$C$34)^(J$127-1)*1</f>
        <v>-350</v>
      </c>
      <c r="K166" s="67" t="n">
        <f aca="false">-Inputs!$C$45*(1+Inputs!$C$34)^(K$127-1)*1</f>
        <v>-350</v>
      </c>
      <c r="L166" s="67" t="n">
        <f aca="false">-Inputs!$C$45*(1+Inputs!$C$34)^(L$127-1)*1</f>
        <v>-350</v>
      </c>
      <c r="M166" s="67" t="n">
        <f aca="false">-Inputs!$C$45*(1+Inputs!$C$34)^(M$127-1)*1</f>
        <v>-350</v>
      </c>
      <c r="N166" s="67" t="n">
        <f aca="false">-Inputs!$C$45*(1+Inputs!$C$34)^(N$127-1)*1</f>
        <v>-350</v>
      </c>
      <c r="O166" s="67" t="n">
        <f aca="false">-Inputs!$C$45*(1+Inputs!$C$34)^(O$127-1)*1</f>
        <v>-360.5</v>
      </c>
      <c r="P166" s="67" t="n">
        <f aca="false">-Inputs!$C$45*(1+Inputs!$C$34)^(P$127-1)*1</f>
        <v>-360.5</v>
      </c>
      <c r="Q166" s="67" t="n">
        <f aca="false">-Inputs!$C$45*(1+Inputs!$C$34)^(Q$127-1)*1</f>
        <v>-360.5</v>
      </c>
      <c r="R166" s="67" t="n">
        <f aca="false">-Inputs!$C$45*(1+Inputs!$C$34)^(R$127-1)*1</f>
        <v>-360.5</v>
      </c>
      <c r="S166" s="67" t="n">
        <f aca="false">-Inputs!$C$45*(1+Inputs!$C$34)^(S$127-1)*1</f>
        <v>-360.5</v>
      </c>
      <c r="T166" s="67" t="n">
        <f aca="false">-Inputs!$C$45*(1+Inputs!$C$34)^(T$127-1)*1</f>
        <v>-360.5</v>
      </c>
      <c r="U166" s="67" t="n">
        <f aca="false">-Inputs!$C$45*(1+Inputs!$C$34)^(U$127-1)*1</f>
        <v>-360.5</v>
      </c>
      <c r="V166" s="67" t="n">
        <f aca="false">-Inputs!$C$45*(1+Inputs!$C$34)^(V$127-1)*1</f>
        <v>-360.5</v>
      </c>
      <c r="W166" s="67" t="n">
        <f aca="false">-Inputs!$C$45*(1+Inputs!$C$34)^(W$127-1)*1</f>
        <v>-360.5</v>
      </c>
      <c r="X166" s="67" t="n">
        <f aca="false">-Inputs!$C$45*(1+Inputs!$C$34)^(X$127-1)*1</f>
        <v>-360.5</v>
      </c>
      <c r="Y166" s="67" t="n">
        <f aca="false">-Inputs!$C$45*(1+Inputs!$C$34)^(Y$127-1)*1</f>
        <v>-360.5</v>
      </c>
      <c r="Z166" s="67" t="n">
        <f aca="false">-Inputs!$C$45*(1+Inputs!$C$34)^(Z$127-1)*1</f>
        <v>-360.5</v>
      </c>
      <c r="AA166" s="67" t="n">
        <f aca="false">-Inputs!$C$45*(1+Inputs!$C$34)^(AA$127-1)*1</f>
        <v>-371.315</v>
      </c>
      <c r="AB166" s="67" t="n">
        <f aca="false">-Inputs!$C$45*(1+Inputs!$C$34)^(AB$127-1)*1</f>
        <v>-371.315</v>
      </c>
      <c r="AC166" s="67" t="n">
        <f aca="false">-Inputs!$C$45*(1+Inputs!$C$34)^(AC$127-1)*1</f>
        <v>-371.315</v>
      </c>
      <c r="AD166" s="67" t="n">
        <f aca="false">-Inputs!$C$45*(1+Inputs!$C$34)^(AD$127-1)*1</f>
        <v>-371.315</v>
      </c>
      <c r="AE166" s="67" t="n">
        <f aca="false">-Inputs!$C$45*(1+Inputs!$C$34)^(AE$127-1)*1</f>
        <v>-371.315</v>
      </c>
      <c r="AF166" s="67" t="n">
        <f aca="false">-Inputs!$C$45*(1+Inputs!$C$34)^(AF$127-1)*1</f>
        <v>-371.315</v>
      </c>
      <c r="AG166" s="67" t="n">
        <f aca="false">-Inputs!$C$45*(1+Inputs!$C$34)^(AG$127-1)*1</f>
        <v>-371.315</v>
      </c>
      <c r="AH166" s="67" t="n">
        <f aca="false">-Inputs!$C$45*(1+Inputs!$C$34)^(AH$127-1)*1</f>
        <v>-371.315</v>
      </c>
      <c r="AI166" s="67" t="n">
        <f aca="false">-Inputs!$C$45*(1+Inputs!$C$34)^(AI$127-1)*1</f>
        <v>-371.315</v>
      </c>
      <c r="AJ166" s="67" t="n">
        <f aca="false">-Inputs!$C$45*(1+Inputs!$C$34)^(AJ$127-1)*1</f>
        <v>-371.315</v>
      </c>
      <c r="AK166" s="67" t="n">
        <f aca="false">-Inputs!$C$45*(1+Inputs!$C$34)^(AK$127-1)*1</f>
        <v>-371.315</v>
      </c>
      <c r="AL166" s="67" t="n">
        <f aca="false">-Inputs!$C$45*(1+Inputs!$C$34)^(AL$127-1)*1</f>
        <v>-371.315</v>
      </c>
      <c r="AM166" s="67" t="n">
        <f aca="false">-Inputs!$C$45*(1+Inputs!$C$34)^(AM$127-1)*1</f>
        <v>-382.45445</v>
      </c>
      <c r="AN166" s="67" t="n">
        <f aca="false">-Inputs!$C$45*(1+Inputs!$C$34)^(AN$127-1)*1</f>
        <v>-382.45445</v>
      </c>
      <c r="AO166" s="67" t="n">
        <f aca="false">-Inputs!$C$45*(1+Inputs!$C$34)^(AO$127-1)*1</f>
        <v>-382.45445</v>
      </c>
      <c r="AP166" s="67" t="n">
        <f aca="false">-Inputs!$C$45*(1+Inputs!$C$34)^(AP$127-1)*1</f>
        <v>-382.45445</v>
      </c>
      <c r="AQ166" s="67" t="n">
        <f aca="false">-Inputs!$C$45*(1+Inputs!$C$34)^(AQ$127-1)*1</f>
        <v>-382.45445</v>
      </c>
      <c r="AR166" s="67" t="n">
        <f aca="false">-Inputs!$C$45*(1+Inputs!$C$34)^(AR$127-1)*1</f>
        <v>-382.45445</v>
      </c>
      <c r="AS166" s="67" t="n">
        <f aca="false">-Inputs!$C$45*(1+Inputs!$C$34)^(AS$127-1)*1</f>
        <v>-382.45445</v>
      </c>
      <c r="AT166" s="67" t="n">
        <f aca="false">-Inputs!$C$45*(1+Inputs!$C$34)^(AT$127-1)*1</f>
        <v>-382.45445</v>
      </c>
      <c r="AU166" s="67" t="n">
        <f aca="false">-Inputs!$C$45*(1+Inputs!$C$34)^(AU$127-1)*1</f>
        <v>-382.45445</v>
      </c>
      <c r="AV166" s="67" t="n">
        <f aca="false">-Inputs!$C$45*(1+Inputs!$C$34)^(AV$127-1)*1</f>
        <v>-382.45445</v>
      </c>
      <c r="AW166" s="67" t="n">
        <f aca="false">-Inputs!$C$45*(1+Inputs!$C$34)^(AW$127-1)*1</f>
        <v>-382.45445</v>
      </c>
      <c r="AX166" s="67" t="n">
        <f aca="false">-Inputs!$C$45*(1+Inputs!$C$34)^(AX$127-1)*1</f>
        <v>-382.45445</v>
      </c>
      <c r="AY166" s="67" t="n">
        <f aca="false">-Inputs!$C$45*(1+Inputs!$C$34)^(AY$127-1)*1</f>
        <v>-393.9280835</v>
      </c>
      <c r="AZ166" s="67" t="n">
        <f aca="false">-Inputs!$C$45*(1+Inputs!$C$34)^(AZ$127-1)*1</f>
        <v>-393.9280835</v>
      </c>
      <c r="BA166" s="67" t="n">
        <f aca="false">-Inputs!$C$45*(1+Inputs!$C$34)^(BA$127-1)*1</f>
        <v>-393.9280835</v>
      </c>
      <c r="BB166" s="67" t="n">
        <f aca="false">-Inputs!$C$45*(1+Inputs!$C$34)^(BB$127-1)*1</f>
        <v>-393.9280835</v>
      </c>
      <c r="BC166" s="67" t="n">
        <f aca="false">-Inputs!$C$45*(1+Inputs!$C$34)^(BC$127-1)*1</f>
        <v>-393.9280835</v>
      </c>
      <c r="BD166" s="67" t="n">
        <f aca="false">-Inputs!$C$45*(1+Inputs!$C$34)^(BD$127-1)*1</f>
        <v>-393.9280835</v>
      </c>
      <c r="BE166" s="67" t="n">
        <f aca="false">-Inputs!$C$45*(1+Inputs!$C$34)^(BE$127-1)*1</f>
        <v>-393.9280835</v>
      </c>
      <c r="BF166" s="67" t="n">
        <f aca="false">-Inputs!$C$45*(1+Inputs!$C$34)^(BF$127-1)*1</f>
        <v>-393.9280835</v>
      </c>
      <c r="BG166" s="67" t="n">
        <f aca="false">-Inputs!$C$45*(1+Inputs!$C$34)^(BG$127-1)*1</f>
        <v>-393.9280835</v>
      </c>
      <c r="BH166" s="67" t="n">
        <f aca="false">-Inputs!$C$45*(1+Inputs!$C$34)^(BH$127-1)*1</f>
        <v>-393.9280835</v>
      </c>
      <c r="BI166" s="67" t="n">
        <f aca="false">-Inputs!$C$45*(1+Inputs!$C$34)^(BI$127-1)*1</f>
        <v>-393.9280835</v>
      </c>
      <c r="BJ166" s="67" t="n">
        <f aca="false">-Inputs!$C$45*(1+Inputs!$C$34)^(BJ$127-1)*1</f>
        <v>-393.9280835</v>
      </c>
    </row>
    <row r="167" customFormat="false" ht="15" hidden="false" customHeight="false" outlineLevel="0" collapsed="false">
      <c r="A167" s="113" t="s">
        <v>77</v>
      </c>
      <c r="C167" s="68" t="n">
        <f aca="false">C158+C159+C160+C161+C162+C163+C164+C165+C166</f>
        <v>-13894.6666666667</v>
      </c>
      <c r="D167" s="68" t="n">
        <f aca="false">D158+D159+D160+D161+D162+D163+D164+D165+D166</f>
        <v>-13904.1666666667</v>
      </c>
      <c r="E167" s="68" t="n">
        <f aca="false">E158+E159+E160+E161+E162+E163+E164+E165+E166</f>
        <v>-14141.6666666667</v>
      </c>
      <c r="F167" s="68" t="n">
        <f aca="false">F158+F159+F160+F161+F162+F163+F164+F165+F166</f>
        <v>-14151.1666666667</v>
      </c>
      <c r="G167" s="68" t="n">
        <f aca="false">G158+G159+G160+G161+G162+G163+G164+G165+G166</f>
        <v>-14160.6666666667</v>
      </c>
      <c r="H167" s="68" t="n">
        <f aca="false">H158+H159+H160+H161+H162+H163+H164+H165+H166</f>
        <v>-14170.1666666667</v>
      </c>
      <c r="I167" s="68" t="n">
        <f aca="false">I158+I159+I160+I161+I162+I163+I164+I165+I166</f>
        <v>-14179.6666666667</v>
      </c>
      <c r="J167" s="68" t="n">
        <f aca="false">J158+J159+J160+J161+J162+J163+J164+J165+J166</f>
        <v>-14179.6666666667</v>
      </c>
      <c r="K167" s="68" t="n">
        <f aca="false">K158+K159+K160+K161+K162+K163+K164+K165+K166</f>
        <v>-14179.6666666667</v>
      </c>
      <c r="L167" s="68" t="n">
        <f aca="false">L158+L159+L160+L161+L162+L163+L164+L165+L166</f>
        <v>-14179.6666666667</v>
      </c>
      <c r="M167" s="68" t="n">
        <f aca="false">M158+M159+M160+M161+M162+M163+M164+M165+M166</f>
        <v>-14179.6666666667</v>
      </c>
      <c r="N167" s="68" t="n">
        <f aca="false">N158+N159+N160+N161+N162+N163+N164+N165+N166</f>
        <v>-13951.6666666667</v>
      </c>
      <c r="O167" s="68" t="n">
        <f aca="false">O158+O159+O160+O161+O162+O163+O164+O165+O166</f>
        <v>-14355.0876666667</v>
      </c>
      <c r="P167" s="68" t="n">
        <f aca="false">P158+P159+P160+P161+P162+P163+P164+P165+P166</f>
        <v>-14355.0876666667</v>
      </c>
      <c r="Q167" s="68" t="n">
        <f aca="false">Q158+Q159+Q160+Q161+Q162+Q163+Q164+Q165+Q166</f>
        <v>-14589.9276666667</v>
      </c>
      <c r="R167" s="68" t="n">
        <f aca="false">R158+R159+R160+R161+R162+R163+R164+R165+R166</f>
        <v>-14589.9276666667</v>
      </c>
      <c r="S167" s="68" t="n">
        <f aca="false">S158+S159+S160+S161+S162+S163+S164+S165+S166</f>
        <v>-14589.9276666667</v>
      </c>
      <c r="T167" s="68" t="n">
        <f aca="false">T158+T159+T160+T161+T162+T163+T164+T165+T166</f>
        <v>-14589.9276666667</v>
      </c>
      <c r="U167" s="68" t="n">
        <f aca="false">U158+U159+U160+U161+U162+U163+U164+U165+U166</f>
        <v>-14589.9276666667</v>
      </c>
      <c r="V167" s="68" t="n">
        <f aca="false">V158+V159+V160+V161+V162+V163+V164+V165+V166</f>
        <v>-14589.9276666667</v>
      </c>
      <c r="W167" s="68" t="n">
        <f aca="false">W158+W159+W160+W161+W162+W163+W164+W165+W166</f>
        <v>-14589.9276666667</v>
      </c>
      <c r="X167" s="68" t="n">
        <f aca="false">X158+X159+X160+X161+X162+X163+X164+X165+X166</f>
        <v>-14589.9276666667</v>
      </c>
      <c r="Y167" s="68" t="n">
        <f aca="false">Y158+Y159+Y160+Y161+Y162+Y163+Y164+Y165+Y166</f>
        <v>-14589.9276666667</v>
      </c>
      <c r="Z167" s="68" t="n">
        <f aca="false">Z158+Z159+Z160+Z161+Z162+Z163+Z164+Z165+Z166</f>
        <v>-14355.0876666667</v>
      </c>
      <c r="AA167" s="68" t="n">
        <f aca="false">AA158+AA159+AA160+AA161+AA162+AA163+AA164+AA165+AA166</f>
        <v>-14771.0897831667</v>
      </c>
      <c r="AB167" s="68" t="n">
        <f aca="false">AB158+AB159+AB160+AB161+AB162+AB163+AB164+AB165+AB166</f>
        <v>-14771.0897831667</v>
      </c>
      <c r="AC167" s="68" t="n">
        <f aca="false">AC158+AC159+AC160+AC161+AC162+AC163+AC164+AC165+AC166</f>
        <v>-15012.9749831667</v>
      </c>
      <c r="AD167" s="68" t="n">
        <f aca="false">AD158+AD159+AD160+AD161+AD162+AD163+AD164+AD165+AD166</f>
        <v>-15012.9749831667</v>
      </c>
      <c r="AE167" s="68" t="n">
        <f aca="false">AE158+AE159+AE160+AE161+AE162+AE163+AE164+AE165+AE166</f>
        <v>-15012.9749831667</v>
      </c>
      <c r="AF167" s="68" t="n">
        <f aca="false">AF158+AF159+AF160+AF161+AF162+AF163+AF164+AF165+AF166</f>
        <v>-15012.9749831667</v>
      </c>
      <c r="AG167" s="68" t="n">
        <f aca="false">AG158+AG159+AG160+AG161+AG162+AG163+AG164+AG165+AG166</f>
        <v>-15012.9749831667</v>
      </c>
      <c r="AH167" s="68" t="n">
        <f aca="false">AH158+AH159+AH160+AH161+AH162+AH163+AH164+AH165+AH166</f>
        <v>-15012.9749831667</v>
      </c>
      <c r="AI167" s="68" t="n">
        <f aca="false">AI158+AI159+AI160+AI161+AI162+AI163+AI164+AI165+AI166</f>
        <v>-15012.9749831667</v>
      </c>
      <c r="AJ167" s="68" t="n">
        <f aca="false">AJ158+AJ159+AJ160+AJ161+AJ162+AJ163+AJ164+AJ165+AJ166</f>
        <v>-15012.9749831667</v>
      </c>
      <c r="AK167" s="68" t="n">
        <f aca="false">AK158+AK159+AK160+AK161+AK162+AK163+AK164+AK165+AK166</f>
        <v>-15012.9749831667</v>
      </c>
      <c r="AL167" s="68" t="n">
        <f aca="false">AL158+AL159+AL160+AL161+AL162+AL163+AL164+AL165+AL166</f>
        <v>-14771.0897831667</v>
      </c>
      <c r="AM167" s="68" t="n">
        <f aca="false">AM158+AM159+AM160+AM161+AM162+AM163+AM164+AM165+AM166</f>
        <v>-15200.0894463114</v>
      </c>
      <c r="AN167" s="68" t="n">
        <f aca="false">AN158+AN159+AN160+AN161+AN162+AN163+AN164+AN165+AN166</f>
        <v>-15200.0894463114</v>
      </c>
      <c r="AO167" s="68" t="n">
        <f aca="false">AO158+AO159+AO160+AO161+AO162+AO163+AO164+AO165+AO166</f>
        <v>-15449.2312023114</v>
      </c>
      <c r="AP167" s="68" t="n">
        <f aca="false">AP158+AP159+AP160+AP161+AP162+AP163+AP164+AP165+AP166</f>
        <v>-15449.2312023114</v>
      </c>
      <c r="AQ167" s="68" t="n">
        <f aca="false">AQ158+AQ159+AQ160+AQ161+AQ162+AQ163+AQ164+AQ165+AQ166</f>
        <v>-15449.2312023114</v>
      </c>
      <c r="AR167" s="68" t="n">
        <f aca="false">AR158+AR159+AR160+AR161+AR162+AR163+AR164+AR165+AR166</f>
        <v>-15449.2312023114</v>
      </c>
      <c r="AS167" s="68" t="n">
        <f aca="false">AS158+AS159+AS160+AS161+AS162+AS163+AS164+AS165+AS166</f>
        <v>-15449.2312023114</v>
      </c>
      <c r="AT167" s="68" t="n">
        <f aca="false">AT158+AT159+AT160+AT161+AT162+AT163+AT164+AT165+AT166</f>
        <v>-15449.2312023114</v>
      </c>
      <c r="AU167" s="68" t="n">
        <f aca="false">AU158+AU159+AU160+AU161+AU162+AU163+AU164+AU165+AU166</f>
        <v>-15449.2312023114</v>
      </c>
      <c r="AV167" s="68" t="n">
        <f aca="false">AV158+AV159+AV160+AV161+AV162+AV163+AV164+AV165+AV166</f>
        <v>-15449.2312023114</v>
      </c>
      <c r="AW167" s="68" t="n">
        <f aca="false">AW158+AW159+AW160+AW161+AW162+AW163+AW164+AW165+AW166</f>
        <v>-15449.2312023114</v>
      </c>
      <c r="AX167" s="68" t="n">
        <f aca="false">AX158+AX159+AX160+AX161+AX162+AX163+AX164+AX165+AX166</f>
        <v>-15200.0894463114</v>
      </c>
      <c r="AY167" s="68" t="n">
        <f aca="false">AY158+AY159+AY160+AY161+AY162+AY163+AY164+AY165+AY166</f>
        <v>-15642.518757377</v>
      </c>
      <c r="AZ167" s="68" t="n">
        <f aca="false">AZ158+AZ159+AZ160+AZ161+AZ162+AZ163+AZ164+AZ165+AZ166</f>
        <v>-15642.518757377</v>
      </c>
      <c r="BA167" s="68" t="n">
        <f aca="false">BA158+BA159+BA160+BA161+BA162+BA163+BA164+BA165+BA166</f>
        <v>-15899.134766057</v>
      </c>
      <c r="BB167" s="68" t="n">
        <f aca="false">BB158+BB159+BB160+BB161+BB162+BB163+BB164+BB165+BB166</f>
        <v>-15899.134766057</v>
      </c>
      <c r="BC167" s="68" t="n">
        <f aca="false">BC158+BC159+BC160+BC161+BC162+BC163+BC164+BC165+BC166</f>
        <v>-15899.134766057</v>
      </c>
      <c r="BD167" s="68" t="n">
        <f aca="false">BD158+BD159+BD160+BD161+BD162+BD163+BD164+BD165+BD166</f>
        <v>-15899.134766057</v>
      </c>
      <c r="BE167" s="68" t="n">
        <f aca="false">BE158+BE159+BE160+BE161+BE162+BE163+BE164+BE165+BE166</f>
        <v>-15899.134766057</v>
      </c>
      <c r="BF167" s="68" t="n">
        <f aca="false">BF158+BF159+BF160+BF161+BF162+BF163+BF164+BF165+BF166</f>
        <v>-15899.134766057</v>
      </c>
      <c r="BG167" s="68" t="n">
        <f aca="false">BG158+BG159+BG160+BG161+BG162+BG163+BG164+BG165+BG166</f>
        <v>-15899.134766057</v>
      </c>
      <c r="BH167" s="68" t="n">
        <f aca="false">BH158+BH159+BH160+BH161+BH162+BH163+BH164+BH165+BH166</f>
        <v>-15899.134766057</v>
      </c>
      <c r="BI167" s="68" t="n">
        <f aca="false">BI158+BI159+BI160+BI161+BI162+BI163+BI164+BI165+BI166</f>
        <v>-15899.134766057</v>
      </c>
      <c r="BJ167" s="68" t="n">
        <f aca="false">BJ158+BJ159+BJ160+BJ161+BJ162+BJ163+BJ164+BJ165+BJ166</f>
        <v>-15642.518757377</v>
      </c>
    </row>
    <row r="168" customFormat="false" ht="15" hidden="false" customHeight="false" outlineLevel="0" collapsed="false">
      <c r="A168" s="113" t="s">
        <v>48</v>
      </c>
      <c r="C168" s="68" t="n">
        <f aca="false">C155+C167</f>
        <v>-7786.81066666667</v>
      </c>
      <c r="D168" s="68" t="n">
        <f aca="false">D155+D167</f>
        <v>-6778.33466666667</v>
      </c>
      <c r="E168" s="68" t="n">
        <f aca="false">E155+E167</f>
        <v>-2997.41066666667</v>
      </c>
      <c r="F168" s="68" t="n">
        <f aca="false">F155+F167</f>
        <v>-1613.87866666667</v>
      </c>
      <c r="G168" s="68" t="n">
        <f aca="false">G155+G167</f>
        <v>-230.34666666667</v>
      </c>
      <c r="H168" s="68" t="n">
        <f aca="false">H155+H167</f>
        <v>1153.18533333333</v>
      </c>
      <c r="I168" s="68" t="n">
        <f aca="false">I155+I167</f>
        <v>2536.71733333333</v>
      </c>
      <c r="J168" s="68" t="n">
        <f aca="false">J155+J167</f>
        <v>2536.71733333333</v>
      </c>
      <c r="K168" s="68" t="n">
        <f aca="false">K155+K167</f>
        <v>2536.71733333333</v>
      </c>
      <c r="L168" s="68" t="n">
        <f aca="false">L155+L167</f>
        <v>2536.71733333333</v>
      </c>
      <c r="M168" s="68" t="n">
        <f aca="false">M155+M167</f>
        <v>2536.71733333333</v>
      </c>
      <c r="N168" s="68" t="n">
        <f aca="false">N155+N167</f>
        <v>-1735.95466666667</v>
      </c>
      <c r="O168" s="68" t="n">
        <f aca="false">O155+O167</f>
        <v>-1352.40128586667</v>
      </c>
      <c r="P168" s="68" t="n">
        <f aca="false">P155+P167</f>
        <v>-1352.40128586667</v>
      </c>
      <c r="Q168" s="68" t="n">
        <f aca="false">Q155+Q167</f>
        <v>3187.52163893333</v>
      </c>
      <c r="R168" s="68" t="n">
        <f aca="false">R155+R167</f>
        <v>3187.52163893333</v>
      </c>
      <c r="S168" s="68" t="n">
        <f aca="false">S155+S167</f>
        <v>3187.52163893333</v>
      </c>
      <c r="T168" s="68" t="n">
        <f aca="false">T155+T167</f>
        <v>3187.52163893333</v>
      </c>
      <c r="U168" s="68" t="n">
        <f aca="false">U155+U167</f>
        <v>3187.52163893333</v>
      </c>
      <c r="V168" s="68" t="n">
        <f aca="false">V155+V167</f>
        <v>3187.52163893333</v>
      </c>
      <c r="W168" s="68" t="n">
        <f aca="false">W155+W167</f>
        <v>3187.52163893333</v>
      </c>
      <c r="X168" s="68" t="n">
        <f aca="false">X155+X167</f>
        <v>3187.52163893333</v>
      </c>
      <c r="Y168" s="68" t="n">
        <f aca="false">Y155+Y167</f>
        <v>3187.52163893333</v>
      </c>
      <c r="Z168" s="68" t="n">
        <f aca="false">Z155+Z167</f>
        <v>-1352.40128586667</v>
      </c>
      <c r="AA168" s="68" t="n">
        <f aca="false">AA155+AA167</f>
        <v>-929.99472389595</v>
      </c>
      <c r="AB168" s="68" t="n">
        <f aca="false">AB155+AB167</f>
        <v>-929.99472389595</v>
      </c>
      <c r="AC168" s="68" t="n">
        <f aca="false">AC155+AC167</f>
        <v>3893.66606302437</v>
      </c>
      <c r="AD168" s="68" t="n">
        <f aca="false">AD155+AD167</f>
        <v>3893.66606302437</v>
      </c>
      <c r="AE168" s="68" t="n">
        <f aca="false">AE155+AE167</f>
        <v>3893.66606302437</v>
      </c>
      <c r="AF168" s="68" t="n">
        <f aca="false">AF155+AF167</f>
        <v>3893.66606302437</v>
      </c>
      <c r="AG168" s="68" t="n">
        <f aca="false">AG155+AG167</f>
        <v>3893.66606302437</v>
      </c>
      <c r="AH168" s="68" t="n">
        <f aca="false">AH155+AH167</f>
        <v>3893.66606302437</v>
      </c>
      <c r="AI168" s="68" t="n">
        <f aca="false">AI155+AI167</f>
        <v>3893.66606302437</v>
      </c>
      <c r="AJ168" s="68" t="n">
        <f aca="false">AJ155+AJ167</f>
        <v>3893.66606302437</v>
      </c>
      <c r="AK168" s="68" t="n">
        <f aca="false">AK155+AK167</f>
        <v>3893.66606302437</v>
      </c>
      <c r="AL168" s="68" t="n">
        <f aca="false">AL155+AL167</f>
        <v>-929.99472389595</v>
      </c>
      <c r="AM168" s="68" t="n">
        <f aca="false">AM155+AM167</f>
        <v>-465.73319620389</v>
      </c>
      <c r="AN168" s="68" t="n">
        <f aca="false">AN155+AN167</f>
        <v>-465.73319620389</v>
      </c>
      <c r="AO168" s="68" t="n">
        <f aca="false">AO155+AO167</f>
        <v>4659.16278531988</v>
      </c>
      <c r="AP168" s="68" t="n">
        <f aca="false">AP155+AP167</f>
        <v>4659.16278531988</v>
      </c>
      <c r="AQ168" s="68" t="n">
        <f aca="false">AQ155+AQ167</f>
        <v>4659.16278531988</v>
      </c>
      <c r="AR168" s="68" t="n">
        <f aca="false">AR155+AR167</f>
        <v>4659.16278531988</v>
      </c>
      <c r="AS168" s="68" t="n">
        <f aca="false">AS155+AS167</f>
        <v>4659.16278531988</v>
      </c>
      <c r="AT168" s="68" t="n">
        <f aca="false">AT155+AT167</f>
        <v>4659.16278531988</v>
      </c>
      <c r="AU168" s="68" t="n">
        <f aca="false">AU155+AU167</f>
        <v>4659.16278531988</v>
      </c>
      <c r="AV168" s="68" t="n">
        <f aca="false">AV155+AV167</f>
        <v>4659.16278531988</v>
      </c>
      <c r="AW168" s="68" t="n">
        <f aca="false">AW155+AW167</f>
        <v>4659.16278531988</v>
      </c>
      <c r="AX168" s="68" t="n">
        <f aca="false">AX155+AX167</f>
        <v>-465.73319620389</v>
      </c>
      <c r="AY168" s="68" t="n">
        <f aca="false">AY155+AY167</f>
        <v>43.600877980105</v>
      </c>
      <c r="AZ168" s="68" t="n">
        <f aca="false">AZ155+AZ167</f>
        <v>43.600877980105</v>
      </c>
      <c r="BA168" s="68" t="n">
        <f aca="false">BA155+BA167</f>
        <v>5488.30150503907</v>
      </c>
      <c r="BB168" s="68" t="n">
        <f aca="false">BB155+BB167</f>
        <v>5488.30150503907</v>
      </c>
      <c r="BC168" s="68" t="n">
        <f aca="false">BC155+BC167</f>
        <v>5488.30150503907</v>
      </c>
      <c r="BD168" s="68" t="n">
        <f aca="false">BD155+BD167</f>
        <v>5488.30150503907</v>
      </c>
      <c r="BE168" s="68" t="n">
        <f aca="false">BE155+BE167</f>
        <v>5488.30150503907</v>
      </c>
      <c r="BF168" s="68" t="n">
        <f aca="false">BF155+BF167</f>
        <v>5488.30150503907</v>
      </c>
      <c r="BG168" s="68" t="n">
        <f aca="false">BG155+BG167</f>
        <v>5488.30150503907</v>
      </c>
      <c r="BH168" s="68" t="n">
        <f aca="false">BH155+BH167</f>
        <v>5488.30150503907</v>
      </c>
      <c r="BI168" s="68" t="n">
        <f aca="false">BI155+BI167</f>
        <v>5488.30150503907</v>
      </c>
      <c r="BJ168" s="68" t="n">
        <f aca="false">BJ155+BJ167</f>
        <v>43.600877980105</v>
      </c>
    </row>
    <row r="170" customFormat="false" ht="15.75" hidden="false" customHeight="true" outlineLevel="0" collapsed="false">
      <c r="A170" s="7" t="s">
        <v>428</v>
      </c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</row>
    <row r="171" customFormat="false" ht="15" hidden="false" customHeight="false" outlineLevel="0" collapsed="false">
      <c r="A171" s="4" t="s">
        <v>79</v>
      </c>
      <c r="C171" s="73" t="n">
        <f aca="false">C168+C186</f>
        <v>-9429.66780952381</v>
      </c>
      <c r="D171" s="73" t="n">
        <f aca="false">D168+D186</f>
        <v>-8421.19180952381</v>
      </c>
      <c r="E171" s="73" t="n">
        <f aca="false">E168+E186</f>
        <v>-4640.26780952381</v>
      </c>
      <c r="F171" s="73" t="n">
        <f aca="false">F168+F186</f>
        <v>-3256.73580952381</v>
      </c>
      <c r="G171" s="73" t="n">
        <f aca="false">G168+G186</f>
        <v>-1873.20380952381</v>
      </c>
      <c r="H171" s="73" t="n">
        <f aca="false">H168+H186</f>
        <v>-489.671809523814</v>
      </c>
      <c r="I171" s="73" t="n">
        <f aca="false">I168+I186</f>
        <v>893.860190476187</v>
      </c>
      <c r="J171" s="73" t="n">
        <f aca="false">J168+J186</f>
        <v>893.860190476187</v>
      </c>
      <c r="K171" s="73" t="n">
        <f aca="false">K168+K186</f>
        <v>893.860190476187</v>
      </c>
      <c r="L171" s="73" t="n">
        <f aca="false">L168+L186</f>
        <v>893.860190476187</v>
      </c>
      <c r="M171" s="73" t="n">
        <f aca="false">M168+M186</f>
        <v>893.860190476187</v>
      </c>
      <c r="N171" s="73" t="n">
        <f aca="false">N168+N186</f>
        <v>-3378.81180952381</v>
      </c>
      <c r="O171" s="73" t="n">
        <f aca="false">O168+O186</f>
        <v>-3025.02033348572</v>
      </c>
      <c r="P171" s="73" t="n">
        <f aca="false">P168+P186</f>
        <v>-3025.02033348572</v>
      </c>
      <c r="Q171" s="73" t="n">
        <f aca="false">Q168+Q186</f>
        <v>1514.90259131428</v>
      </c>
      <c r="R171" s="73" t="n">
        <f aca="false">R168+R186</f>
        <v>1514.90259131428</v>
      </c>
      <c r="S171" s="73" t="n">
        <f aca="false">S168+S186</f>
        <v>1514.90259131428</v>
      </c>
      <c r="T171" s="73" t="n">
        <f aca="false">T168+T186</f>
        <v>1514.90259131428</v>
      </c>
      <c r="U171" s="73" t="n">
        <f aca="false">U168+U186</f>
        <v>1514.90259131428</v>
      </c>
      <c r="V171" s="73" t="n">
        <f aca="false">V168+V186</f>
        <v>1514.90259131428</v>
      </c>
      <c r="W171" s="73" t="n">
        <f aca="false">W168+W186</f>
        <v>1514.90259131428</v>
      </c>
      <c r="X171" s="73" t="n">
        <f aca="false">X168+X186</f>
        <v>1514.90259131428</v>
      </c>
      <c r="Y171" s="73" t="n">
        <f aca="false">Y168+Y186</f>
        <v>1514.90259131428</v>
      </c>
      <c r="Z171" s="73" t="n">
        <f aca="false">Z168+Z186</f>
        <v>-3025.02033348572</v>
      </c>
      <c r="AA171" s="73" t="n">
        <f aca="false">AA168+AA186</f>
        <v>-2632.3756762769</v>
      </c>
      <c r="AB171" s="73" t="n">
        <f aca="false">AB168+AB186</f>
        <v>-2632.3756762769</v>
      </c>
      <c r="AC171" s="73" t="n">
        <f aca="false">AC168+AC186</f>
        <v>2191.28511064342</v>
      </c>
      <c r="AD171" s="73" t="n">
        <f aca="false">AD168+AD186</f>
        <v>2191.28511064342</v>
      </c>
      <c r="AE171" s="73" t="n">
        <f aca="false">AE168+AE186</f>
        <v>2191.28511064342</v>
      </c>
      <c r="AF171" s="73" t="n">
        <f aca="false">AF168+AF186</f>
        <v>2191.28511064342</v>
      </c>
      <c r="AG171" s="73" t="n">
        <f aca="false">AG168+AG186</f>
        <v>2191.28511064342</v>
      </c>
      <c r="AH171" s="73" t="n">
        <f aca="false">AH168+AH186</f>
        <v>2191.28511064342</v>
      </c>
      <c r="AI171" s="73" t="n">
        <f aca="false">AI168+AI186</f>
        <v>2191.28511064342</v>
      </c>
      <c r="AJ171" s="73" t="n">
        <f aca="false">AJ168+AJ186</f>
        <v>2191.28511064342</v>
      </c>
      <c r="AK171" s="73" t="n">
        <f aca="false">AK168+AK186</f>
        <v>2191.28511064342</v>
      </c>
      <c r="AL171" s="73" t="n">
        <f aca="false">AL168+AL186</f>
        <v>-2632.3756762769</v>
      </c>
      <c r="AM171" s="73" t="n">
        <f aca="false">AM168+AM186</f>
        <v>-2197.87605334675</v>
      </c>
      <c r="AN171" s="73" t="n">
        <f aca="false">AN168+AN186</f>
        <v>-2197.87605334675</v>
      </c>
      <c r="AO171" s="73" t="n">
        <f aca="false">AO168+AO186</f>
        <v>2927.01992817702</v>
      </c>
      <c r="AP171" s="73" t="n">
        <f aca="false">AP168+AP186</f>
        <v>2927.01992817702</v>
      </c>
      <c r="AQ171" s="73" t="n">
        <f aca="false">AQ168+AQ186</f>
        <v>2927.01992817702</v>
      </c>
      <c r="AR171" s="73" t="n">
        <f aca="false">AR168+AR186</f>
        <v>2927.01992817702</v>
      </c>
      <c r="AS171" s="73" t="n">
        <f aca="false">AS168+AS186</f>
        <v>2927.01992817702</v>
      </c>
      <c r="AT171" s="73" t="n">
        <f aca="false">AT168+AT186</f>
        <v>2927.01992817702</v>
      </c>
      <c r="AU171" s="73" t="n">
        <f aca="false">AU168+AU186</f>
        <v>2927.01992817702</v>
      </c>
      <c r="AV171" s="73" t="n">
        <f aca="false">AV168+AV186</f>
        <v>2927.01992817702</v>
      </c>
      <c r="AW171" s="73" t="n">
        <f aca="false">AW168+AW186</f>
        <v>2927.01992817702</v>
      </c>
      <c r="AX171" s="73" t="n">
        <f aca="false">AX168+AX186</f>
        <v>-2197.87605334675</v>
      </c>
      <c r="AY171" s="73" t="n">
        <f aca="false">AY168+AY186</f>
        <v>-1718.30388392466</v>
      </c>
      <c r="AZ171" s="73" t="n">
        <f aca="false">AZ168+AZ186</f>
        <v>-1718.30388392466</v>
      </c>
      <c r="BA171" s="73" t="n">
        <f aca="false">BA168+BA186</f>
        <v>3726.39674313431</v>
      </c>
      <c r="BB171" s="73" t="n">
        <f aca="false">BB168+BB186</f>
        <v>3726.39674313431</v>
      </c>
      <c r="BC171" s="73" t="n">
        <f aca="false">BC168+BC186</f>
        <v>3726.39674313431</v>
      </c>
      <c r="BD171" s="73" t="n">
        <f aca="false">BD168+BD186</f>
        <v>3726.39674313431</v>
      </c>
      <c r="BE171" s="73" t="n">
        <f aca="false">BE168+BE186</f>
        <v>3726.39674313431</v>
      </c>
      <c r="BF171" s="73" t="n">
        <f aca="false">BF168+BF186</f>
        <v>3726.39674313431</v>
      </c>
      <c r="BG171" s="73" t="n">
        <f aca="false">BG168+BG186</f>
        <v>3726.39674313431</v>
      </c>
      <c r="BH171" s="73" t="n">
        <f aca="false">BH168+BH186</f>
        <v>3726.39674313431</v>
      </c>
      <c r="BI171" s="73" t="n">
        <f aca="false">BI168+BI186</f>
        <v>3726.39674313431</v>
      </c>
      <c r="BJ171" s="73" t="n">
        <f aca="false">BJ168+BJ186</f>
        <v>-1718.30388392466</v>
      </c>
    </row>
    <row r="172" customFormat="false" ht="15" hidden="false" customHeight="false" outlineLevel="0" collapsed="false">
      <c r="A172" s="6" t="s">
        <v>429</v>
      </c>
      <c r="C172" s="67" t="n">
        <f aca="false">-(C191+C192+C194)/2*Inputs!$C$73/12</f>
        <v>-675</v>
      </c>
      <c r="D172" s="67" t="n">
        <f aca="false">-(D191+D192+D194)/2*Inputs!$C$73/12</f>
        <v>-669.375</v>
      </c>
      <c r="E172" s="67" t="n">
        <f aca="false">-(E191+E192+E194)/2*Inputs!$C$73/12</f>
        <v>-658.125</v>
      </c>
      <c r="F172" s="67" t="n">
        <f aca="false">-(F191+F192+F194)/2*Inputs!$C$73/12</f>
        <v>-646.875</v>
      </c>
      <c r="G172" s="67" t="n">
        <f aca="false">-(G191+G192+G194)/2*Inputs!$C$73/12</f>
        <v>-635.625</v>
      </c>
      <c r="H172" s="67" t="n">
        <f aca="false">-(H191+H192+H194)/2*Inputs!$C$73/12</f>
        <v>-624.375</v>
      </c>
      <c r="I172" s="67" t="n">
        <f aca="false">-(I191+I192+I194)/2*Inputs!$C$73/12</f>
        <v>-613.125</v>
      </c>
      <c r="J172" s="67" t="n">
        <f aca="false">-(J191+J192+J194)/2*Inputs!$C$73/12</f>
        <v>-601.875</v>
      </c>
      <c r="K172" s="67" t="n">
        <f aca="false">-(K191+K192+K194)/2*Inputs!$C$73/12</f>
        <v>-590.625</v>
      </c>
      <c r="L172" s="67" t="n">
        <f aca="false">-(L191+L192+L194)/2*Inputs!$C$73/12</f>
        <v>-579.375</v>
      </c>
      <c r="M172" s="67" t="n">
        <f aca="false">-(M191+M192+M194)/2*Inputs!$C$73/12</f>
        <v>-568.125</v>
      </c>
      <c r="N172" s="67" t="n">
        <f aca="false">-(N191+N192+N194)/2*Inputs!$C$73/12</f>
        <v>-556.875</v>
      </c>
      <c r="O172" s="67" t="n">
        <f aca="false">-(O191+O192+O194)/2*Inputs!$C$73/12</f>
        <v>-545.625</v>
      </c>
      <c r="P172" s="67" t="n">
        <f aca="false">-(P191+P192+P194)/2*Inputs!$C$73/12</f>
        <v>-534.375</v>
      </c>
      <c r="Q172" s="67" t="n">
        <f aca="false">-(Q191+Q192+Q194)/2*Inputs!$C$73/12</f>
        <v>-523.125</v>
      </c>
      <c r="R172" s="67" t="n">
        <f aca="false">-(R191+R192+R194)/2*Inputs!$C$73/12</f>
        <v>-511.875</v>
      </c>
      <c r="S172" s="67" t="n">
        <f aca="false">-(S191+S192+S194)/2*Inputs!$C$73/12</f>
        <v>-500.625</v>
      </c>
      <c r="T172" s="67" t="n">
        <f aca="false">-(T191+T192+T194)/2*Inputs!$C$73/12</f>
        <v>-489.375</v>
      </c>
      <c r="U172" s="67" t="n">
        <f aca="false">-(U191+U192+U194)/2*Inputs!$C$73/12</f>
        <v>-478.125</v>
      </c>
      <c r="V172" s="67" t="n">
        <f aca="false">-(V191+V192+V194)/2*Inputs!$C$73/12</f>
        <v>-466.875</v>
      </c>
      <c r="W172" s="67" t="n">
        <f aca="false">-(W191+W192+W194)/2*Inputs!$C$73/12</f>
        <v>-455.625</v>
      </c>
      <c r="X172" s="67" t="n">
        <f aca="false">-(X191+X192+X194)/2*Inputs!$C$73/12</f>
        <v>-444.375</v>
      </c>
      <c r="Y172" s="67" t="n">
        <f aca="false">-(Y191+Y192+Y194)/2*Inputs!$C$73/12</f>
        <v>-433.125</v>
      </c>
      <c r="Z172" s="67" t="n">
        <f aca="false">-(Z191+Z192+Z194)/2*Inputs!$C$73/12</f>
        <v>-421.875</v>
      </c>
      <c r="AA172" s="67" t="n">
        <f aca="false">-(AA191+AA192+AA194)/2*Inputs!$C$73/12</f>
        <v>-410.625</v>
      </c>
      <c r="AB172" s="67" t="n">
        <f aca="false">-(AB191+AB192+AB194)/2*Inputs!$C$73/12</f>
        <v>-399.375</v>
      </c>
      <c r="AC172" s="67" t="n">
        <f aca="false">-(AC191+AC192+AC194)/2*Inputs!$C$73/12</f>
        <v>-388.125</v>
      </c>
      <c r="AD172" s="67" t="n">
        <f aca="false">-(AD191+AD192+AD194)/2*Inputs!$C$73/12</f>
        <v>-376.875</v>
      </c>
      <c r="AE172" s="67" t="n">
        <f aca="false">-(AE191+AE192+AE194)/2*Inputs!$C$73/12</f>
        <v>-365.625</v>
      </c>
      <c r="AF172" s="67" t="n">
        <f aca="false">-(AF191+AF192+AF194)/2*Inputs!$C$73/12</f>
        <v>-354.375</v>
      </c>
      <c r="AG172" s="67" t="n">
        <f aca="false">-(AG191+AG192+AG194)/2*Inputs!$C$73/12</f>
        <v>-343.125</v>
      </c>
      <c r="AH172" s="67" t="n">
        <f aca="false">-(AH191+AH192+AH194)/2*Inputs!$C$73/12</f>
        <v>-331.875</v>
      </c>
      <c r="AI172" s="67" t="n">
        <f aca="false">-(AI191+AI192+AI194)/2*Inputs!$C$73/12</f>
        <v>-320.625</v>
      </c>
      <c r="AJ172" s="67" t="n">
        <f aca="false">-(AJ191+AJ192+AJ194)/2*Inputs!$C$73/12</f>
        <v>-309.375</v>
      </c>
      <c r="AK172" s="67" t="n">
        <f aca="false">-(AK191+AK192+AK194)/2*Inputs!$C$73/12</f>
        <v>-298.125</v>
      </c>
      <c r="AL172" s="67" t="n">
        <f aca="false">-(AL191+AL192+AL194)/2*Inputs!$C$73/12</f>
        <v>-286.875</v>
      </c>
      <c r="AM172" s="67" t="n">
        <f aca="false">-(AM191+AM192+AM194)/2*Inputs!$C$73/12</f>
        <v>-275.625</v>
      </c>
      <c r="AN172" s="67" t="n">
        <f aca="false">-(AN191+AN192+AN194)/2*Inputs!$C$73/12</f>
        <v>-264.375</v>
      </c>
      <c r="AO172" s="67" t="n">
        <f aca="false">-(AO191+AO192+AO194)/2*Inputs!$C$73/12</f>
        <v>-253.125</v>
      </c>
      <c r="AP172" s="67" t="n">
        <f aca="false">-(AP191+AP192+AP194)/2*Inputs!$C$73/12</f>
        <v>-241.875</v>
      </c>
      <c r="AQ172" s="67" t="n">
        <f aca="false">-(AQ191+AQ192+AQ194)/2*Inputs!$C$73/12</f>
        <v>-230.625</v>
      </c>
      <c r="AR172" s="67" t="n">
        <f aca="false">-(AR191+AR192+AR194)/2*Inputs!$C$73/12</f>
        <v>-219.375</v>
      </c>
      <c r="AS172" s="67" t="n">
        <f aca="false">-(AS191+AS192+AS194)/2*Inputs!$C$73/12</f>
        <v>-208.125</v>
      </c>
      <c r="AT172" s="67" t="n">
        <f aca="false">-(AT191+AT192+AT194)/2*Inputs!$C$73/12</f>
        <v>-196.875</v>
      </c>
      <c r="AU172" s="67" t="n">
        <f aca="false">-(AU191+AU192+AU194)/2*Inputs!$C$73/12</f>
        <v>-185.625</v>
      </c>
      <c r="AV172" s="67" t="n">
        <f aca="false">-(AV191+AV192+AV194)/2*Inputs!$C$73/12</f>
        <v>-174.375</v>
      </c>
      <c r="AW172" s="67" t="n">
        <f aca="false">-(AW191+AW192+AW194)/2*Inputs!$C$73/12</f>
        <v>-163.125</v>
      </c>
      <c r="AX172" s="67" t="n">
        <f aca="false">-(AX191+AX192+AX194)/2*Inputs!$C$73/12</f>
        <v>-151.875</v>
      </c>
      <c r="AY172" s="67" t="n">
        <f aca="false">-(AY191+AY192+AY194)/2*Inputs!$C$73/12</f>
        <v>-140.625</v>
      </c>
      <c r="AZ172" s="67" t="n">
        <f aca="false">-(AZ191+AZ192+AZ194)/2*Inputs!$C$73/12</f>
        <v>-129.375</v>
      </c>
      <c r="BA172" s="67" t="n">
        <f aca="false">-(BA191+BA192+BA194)/2*Inputs!$C$73/12</f>
        <v>-118.125</v>
      </c>
      <c r="BB172" s="67" t="n">
        <f aca="false">-(BB191+BB192+BB194)/2*Inputs!$C$73/12</f>
        <v>-106.875</v>
      </c>
      <c r="BC172" s="67" t="n">
        <f aca="false">-(BC191+BC192+BC194)/2*Inputs!$C$73/12</f>
        <v>-95.625</v>
      </c>
      <c r="BD172" s="67" t="n">
        <f aca="false">-(BD191+BD192+BD194)/2*Inputs!$C$73/12</f>
        <v>-84.375</v>
      </c>
      <c r="BE172" s="67" t="n">
        <f aca="false">-(BE191+BE192+BE194)/2*Inputs!$C$73/12</f>
        <v>-73.125</v>
      </c>
      <c r="BF172" s="67" t="n">
        <f aca="false">-(BF191+BF192+BF194)/2*Inputs!$C$73/12</f>
        <v>-61.875</v>
      </c>
      <c r="BG172" s="67" t="n">
        <f aca="false">-(BG191+BG192+BG194)/2*Inputs!$C$73/12</f>
        <v>-50.625</v>
      </c>
      <c r="BH172" s="67" t="n">
        <f aca="false">-(BH191+BH192+BH194)/2*Inputs!$C$73/12</f>
        <v>-39.375</v>
      </c>
      <c r="BI172" s="67" t="n">
        <f aca="false">-(BI191+BI192+BI194)/2*Inputs!$C$73/12</f>
        <v>-28.125</v>
      </c>
      <c r="BJ172" s="67" t="n">
        <f aca="false">-(BJ191+BJ192+BJ194)/2*Inputs!$C$73/12</f>
        <v>-16.875</v>
      </c>
    </row>
    <row r="173" customFormat="false" ht="15" hidden="false" customHeight="false" outlineLevel="0" collapsed="false">
      <c r="A173" s="113" t="s">
        <v>81</v>
      </c>
      <c r="C173" s="68" t="n">
        <f aca="false">C171+C172</f>
        <v>-10104.6678095238</v>
      </c>
      <c r="D173" s="68" t="n">
        <f aca="false">D171+D172</f>
        <v>-9090.56680952381</v>
      </c>
      <c r="E173" s="68" t="n">
        <f aca="false">E171+E172</f>
        <v>-5298.39280952381</v>
      </c>
      <c r="F173" s="68" t="n">
        <f aca="false">F171+F172</f>
        <v>-3903.61080952381</v>
      </c>
      <c r="G173" s="68" t="n">
        <f aca="false">G171+G172</f>
        <v>-2508.82880952381</v>
      </c>
      <c r="H173" s="68" t="n">
        <f aca="false">H171+H172</f>
        <v>-1114.04680952381</v>
      </c>
      <c r="I173" s="68" t="n">
        <f aca="false">I171+I172</f>
        <v>280.735190476187</v>
      </c>
      <c r="J173" s="68" t="n">
        <f aca="false">J171+J172</f>
        <v>291.985190476187</v>
      </c>
      <c r="K173" s="68" t="n">
        <f aca="false">K171+K172</f>
        <v>303.235190476187</v>
      </c>
      <c r="L173" s="68" t="n">
        <f aca="false">L171+L172</f>
        <v>314.485190476187</v>
      </c>
      <c r="M173" s="68" t="n">
        <f aca="false">M171+M172</f>
        <v>325.735190476187</v>
      </c>
      <c r="N173" s="68" t="n">
        <f aca="false">N171+N172</f>
        <v>-3935.68680952381</v>
      </c>
      <c r="O173" s="68" t="n">
        <f aca="false">O171+O172</f>
        <v>-3570.64533348572</v>
      </c>
      <c r="P173" s="68" t="n">
        <f aca="false">P171+P172</f>
        <v>-3559.39533348572</v>
      </c>
      <c r="Q173" s="68" t="n">
        <f aca="false">Q171+Q172</f>
        <v>991.777591314283</v>
      </c>
      <c r="R173" s="68" t="n">
        <f aca="false">R171+R172</f>
        <v>1003.02759131428</v>
      </c>
      <c r="S173" s="68" t="n">
        <f aca="false">S171+S172</f>
        <v>1014.27759131428</v>
      </c>
      <c r="T173" s="68" t="n">
        <f aca="false">T171+T172</f>
        <v>1025.52759131428</v>
      </c>
      <c r="U173" s="68" t="n">
        <f aca="false">U171+U172</f>
        <v>1036.77759131428</v>
      </c>
      <c r="V173" s="68" t="n">
        <f aca="false">V171+V172</f>
        <v>1048.02759131428</v>
      </c>
      <c r="W173" s="68" t="n">
        <f aca="false">W171+W172</f>
        <v>1059.27759131428</v>
      </c>
      <c r="X173" s="68" t="n">
        <f aca="false">X171+X172</f>
        <v>1070.52759131428</v>
      </c>
      <c r="Y173" s="68" t="n">
        <f aca="false">Y171+Y172</f>
        <v>1081.77759131428</v>
      </c>
      <c r="Z173" s="68" t="n">
        <f aca="false">Z171+Z172</f>
        <v>-3446.89533348572</v>
      </c>
      <c r="AA173" s="68" t="n">
        <f aca="false">AA171+AA172</f>
        <v>-3043.0006762769</v>
      </c>
      <c r="AB173" s="68" t="n">
        <f aca="false">AB171+AB172</f>
        <v>-3031.7506762769</v>
      </c>
      <c r="AC173" s="68" t="n">
        <f aca="false">AC171+AC172</f>
        <v>1803.16011064342</v>
      </c>
      <c r="AD173" s="68" t="n">
        <f aca="false">AD171+AD172</f>
        <v>1814.41011064342</v>
      </c>
      <c r="AE173" s="68" t="n">
        <f aca="false">AE171+AE172</f>
        <v>1825.66011064342</v>
      </c>
      <c r="AF173" s="68" t="n">
        <f aca="false">AF171+AF172</f>
        <v>1836.91011064342</v>
      </c>
      <c r="AG173" s="68" t="n">
        <f aca="false">AG171+AG172</f>
        <v>1848.16011064342</v>
      </c>
      <c r="AH173" s="68" t="n">
        <f aca="false">AH171+AH172</f>
        <v>1859.41011064342</v>
      </c>
      <c r="AI173" s="68" t="n">
        <f aca="false">AI171+AI172</f>
        <v>1870.66011064342</v>
      </c>
      <c r="AJ173" s="68" t="n">
        <f aca="false">AJ171+AJ172</f>
        <v>1881.91011064342</v>
      </c>
      <c r="AK173" s="68" t="n">
        <f aca="false">AK171+AK172</f>
        <v>1893.16011064342</v>
      </c>
      <c r="AL173" s="68" t="n">
        <f aca="false">AL171+AL172</f>
        <v>-2919.2506762769</v>
      </c>
      <c r="AM173" s="68" t="n">
        <f aca="false">AM171+AM172</f>
        <v>-2473.50105334675</v>
      </c>
      <c r="AN173" s="68" t="n">
        <f aca="false">AN171+AN172</f>
        <v>-2462.25105334675</v>
      </c>
      <c r="AO173" s="68" t="n">
        <f aca="false">AO171+AO172</f>
        <v>2673.89492817702</v>
      </c>
      <c r="AP173" s="68" t="n">
        <f aca="false">AP171+AP172</f>
        <v>2685.14492817702</v>
      </c>
      <c r="AQ173" s="68" t="n">
        <f aca="false">AQ171+AQ172</f>
        <v>2696.39492817702</v>
      </c>
      <c r="AR173" s="68" t="n">
        <f aca="false">AR171+AR172</f>
        <v>2707.64492817702</v>
      </c>
      <c r="AS173" s="68" t="n">
        <f aca="false">AS171+AS172</f>
        <v>2718.89492817702</v>
      </c>
      <c r="AT173" s="68" t="n">
        <f aca="false">AT171+AT172</f>
        <v>2730.14492817702</v>
      </c>
      <c r="AU173" s="68" t="n">
        <f aca="false">AU171+AU172</f>
        <v>2741.39492817702</v>
      </c>
      <c r="AV173" s="68" t="n">
        <f aca="false">AV171+AV172</f>
        <v>2752.64492817702</v>
      </c>
      <c r="AW173" s="68" t="n">
        <f aca="false">AW171+AW172</f>
        <v>2763.89492817702</v>
      </c>
      <c r="AX173" s="68" t="n">
        <f aca="false">AX171+AX172</f>
        <v>-2349.75105334675</v>
      </c>
      <c r="AY173" s="68" t="n">
        <f aca="false">AY171+AY172</f>
        <v>-1858.92888392466</v>
      </c>
      <c r="AZ173" s="68" t="n">
        <f aca="false">AZ171+AZ172</f>
        <v>-1847.67888392466</v>
      </c>
      <c r="BA173" s="68" t="n">
        <f aca="false">BA171+BA172</f>
        <v>3608.27174313431</v>
      </c>
      <c r="BB173" s="68" t="n">
        <f aca="false">BB171+BB172</f>
        <v>3619.52174313431</v>
      </c>
      <c r="BC173" s="68" t="n">
        <f aca="false">BC171+BC172</f>
        <v>3630.77174313431</v>
      </c>
      <c r="BD173" s="68" t="n">
        <f aca="false">BD171+BD172</f>
        <v>3642.02174313431</v>
      </c>
      <c r="BE173" s="68" t="n">
        <f aca="false">BE171+BE172</f>
        <v>3653.27174313431</v>
      </c>
      <c r="BF173" s="68" t="n">
        <f aca="false">BF171+BF172</f>
        <v>3664.52174313431</v>
      </c>
      <c r="BG173" s="68" t="n">
        <f aca="false">BG171+BG172</f>
        <v>3675.77174313431</v>
      </c>
      <c r="BH173" s="68" t="n">
        <f aca="false">BH171+BH172</f>
        <v>3687.02174313431</v>
      </c>
      <c r="BI173" s="68" t="n">
        <f aca="false">BI171+BI172</f>
        <v>3698.27174313431</v>
      </c>
      <c r="BJ173" s="68" t="n">
        <f aca="false">BJ171+BJ172</f>
        <v>-1735.17888392466</v>
      </c>
    </row>
    <row r="174" customFormat="false" ht="15" hidden="false" customHeight="false" outlineLevel="0" collapsed="false">
      <c r="A174" s="117" t="s">
        <v>430</v>
      </c>
      <c r="C174" s="67" t="n">
        <f aca="false">C173</f>
        <v>-10104.6678095238</v>
      </c>
      <c r="D174" s="67" t="n">
        <f aca="false">C174+D173</f>
        <v>-19195.2346190476</v>
      </c>
      <c r="E174" s="67" t="n">
        <f aca="false">D174+E173</f>
        <v>-24493.6274285714</v>
      </c>
      <c r="F174" s="67" t="n">
        <f aca="false">E174+F173</f>
        <v>-28397.2382380952</v>
      </c>
      <c r="G174" s="67" t="n">
        <f aca="false">F174+G173</f>
        <v>-30906.0670476191</v>
      </c>
      <c r="H174" s="67" t="n">
        <f aca="false">G174+H173</f>
        <v>-32020.1138571429</v>
      </c>
      <c r="I174" s="67" t="n">
        <f aca="false">H174+I173</f>
        <v>-31739.3786666667</v>
      </c>
      <c r="J174" s="67" t="n">
        <f aca="false">I174+J173</f>
        <v>-31447.3934761905</v>
      </c>
      <c r="K174" s="67" t="n">
        <f aca="false">J174+K173</f>
        <v>-31144.1582857143</v>
      </c>
      <c r="L174" s="67" t="n">
        <f aca="false">K174+L173</f>
        <v>-30829.6730952381</v>
      </c>
      <c r="M174" s="67" t="n">
        <f aca="false">L174+M173</f>
        <v>-30503.9379047619</v>
      </c>
      <c r="N174" s="67" t="n">
        <f aca="false">M174+N173</f>
        <v>-34439.6247142857</v>
      </c>
      <c r="O174" s="67" t="n">
        <f aca="false">N174+O173</f>
        <v>-38010.2700477714</v>
      </c>
      <c r="P174" s="67" t="n">
        <f aca="false">O174+P173</f>
        <v>-41569.6653812572</v>
      </c>
      <c r="Q174" s="67" t="n">
        <f aca="false">P174+Q173</f>
        <v>-40577.8877899429</v>
      </c>
      <c r="R174" s="67" t="n">
        <f aca="false">Q174+R173</f>
        <v>-39574.8601986286</v>
      </c>
      <c r="S174" s="67" t="n">
        <f aca="false">R174+S173</f>
        <v>-38560.5826073143</v>
      </c>
      <c r="T174" s="67" t="n">
        <f aca="false">S174+T173</f>
        <v>-37535.055016</v>
      </c>
      <c r="U174" s="67" t="n">
        <f aca="false">T174+U173</f>
        <v>-36498.2774246857</v>
      </c>
      <c r="V174" s="67" t="n">
        <f aca="false">U174+V173</f>
        <v>-35450.2498333715</v>
      </c>
      <c r="W174" s="67" t="n">
        <f aca="false">V174+W173</f>
        <v>-34390.9722420572</v>
      </c>
      <c r="X174" s="67" t="n">
        <f aca="false">W174+X173</f>
        <v>-33320.4446507429</v>
      </c>
      <c r="Y174" s="67" t="n">
        <f aca="false">X174+Y173</f>
        <v>-32238.6670594286</v>
      </c>
      <c r="Z174" s="67" t="n">
        <f aca="false">Y174+Z173</f>
        <v>-35685.5623929143</v>
      </c>
      <c r="AA174" s="67" t="n">
        <f aca="false">Z174+AA173</f>
        <v>-38728.5630691912</v>
      </c>
      <c r="AB174" s="67" t="n">
        <f aca="false">AA174+AB173</f>
        <v>-41760.3137454681</v>
      </c>
      <c r="AC174" s="67" t="n">
        <f aca="false">AB174+AC173</f>
        <v>-39957.1536348247</v>
      </c>
      <c r="AD174" s="67" t="n">
        <f aca="false">AC174+AD173</f>
        <v>-38142.7435241813</v>
      </c>
      <c r="AE174" s="67" t="n">
        <f aca="false">AD174+AE173</f>
        <v>-36317.0834135379</v>
      </c>
      <c r="AF174" s="67" t="n">
        <f aca="false">AE174+AF173</f>
        <v>-34480.1733028944</v>
      </c>
      <c r="AG174" s="67" t="n">
        <f aca="false">AF174+AG173</f>
        <v>-32632.013192251</v>
      </c>
      <c r="AH174" s="67" t="n">
        <f aca="false">AG174+AH173</f>
        <v>-30772.6030816076</v>
      </c>
      <c r="AI174" s="67" t="n">
        <f aca="false">AH174+AI173</f>
        <v>-28901.9429709642</v>
      </c>
      <c r="AJ174" s="67" t="n">
        <f aca="false">AI174+AJ173</f>
        <v>-27020.0328603208</v>
      </c>
      <c r="AK174" s="67" t="n">
        <f aca="false">AJ174+AK173</f>
        <v>-25126.8727496773</v>
      </c>
      <c r="AL174" s="67" t="n">
        <f aca="false">AK174+AL173</f>
        <v>-28046.1234259542</v>
      </c>
      <c r="AM174" s="67" t="n">
        <f aca="false">AL174+AM173</f>
        <v>-30519.624479301</v>
      </c>
      <c r="AN174" s="67" t="n">
        <f aca="false">AM174+AN173</f>
        <v>-32981.8755326477</v>
      </c>
      <c r="AO174" s="67" t="n">
        <f aca="false">AN174+AO173</f>
        <v>-30307.9806044707</v>
      </c>
      <c r="AP174" s="67" t="n">
        <f aca="false">AO174+AP173</f>
        <v>-27622.8356762937</v>
      </c>
      <c r="AQ174" s="67" t="n">
        <f aca="false">AP174+AQ173</f>
        <v>-24926.4407481167</v>
      </c>
      <c r="AR174" s="67" t="n">
        <f aca="false">AQ174+AR173</f>
        <v>-22218.7958199397</v>
      </c>
      <c r="AS174" s="67" t="n">
        <f aca="false">AR174+AS173</f>
        <v>-19499.9008917626</v>
      </c>
      <c r="AT174" s="67" t="n">
        <f aca="false">AS174+AT173</f>
        <v>-16769.7559635856</v>
      </c>
      <c r="AU174" s="67" t="n">
        <f aca="false">AT174+AU173</f>
        <v>-14028.3610354086</v>
      </c>
      <c r="AV174" s="67" t="n">
        <f aca="false">AU174+AV173</f>
        <v>-11275.7161072316</v>
      </c>
      <c r="AW174" s="67" t="n">
        <f aca="false">AV174+AW173</f>
        <v>-8511.82117905456</v>
      </c>
      <c r="AX174" s="67" t="n">
        <f aca="false">AW174+AX173</f>
        <v>-10861.5722324013</v>
      </c>
      <c r="AY174" s="67" t="n">
        <f aca="false">AX174+AY173</f>
        <v>-12720.501116326</v>
      </c>
      <c r="AZ174" s="67" t="n">
        <f aca="false">AY174+AZ173</f>
        <v>-14568.1800002506</v>
      </c>
      <c r="BA174" s="67" t="n">
        <f aca="false">AZ174+BA173</f>
        <v>-10959.9082571163</v>
      </c>
      <c r="BB174" s="67" t="n">
        <f aca="false">BA174+BB173</f>
        <v>-7340.38651398201</v>
      </c>
      <c r="BC174" s="67" t="n">
        <f aca="false">BB174+BC173</f>
        <v>-3709.6147708477</v>
      </c>
      <c r="BD174" s="67" t="n">
        <f aca="false">BC174+BD173</f>
        <v>-67.5930277133984</v>
      </c>
      <c r="BE174" s="67" t="n">
        <f aca="false">BD174+BE173</f>
        <v>3585.67871542091</v>
      </c>
      <c r="BF174" s="67" t="n">
        <f aca="false">BE174+BF173</f>
        <v>7250.20045855521</v>
      </c>
      <c r="BG174" s="67" t="n">
        <f aca="false">BF174+BG173</f>
        <v>10925.9722016895</v>
      </c>
      <c r="BH174" s="67" t="n">
        <f aca="false">BG174+BH173</f>
        <v>14612.9939448238</v>
      </c>
      <c r="BI174" s="67" t="n">
        <f aca="false">BH174+BI173</f>
        <v>18311.2656879581</v>
      </c>
      <c r="BJ174" s="67" t="n">
        <f aca="false">BI174+BJ173</f>
        <v>16576.0868040335</v>
      </c>
    </row>
    <row r="175" customFormat="false" ht="15" hidden="false" customHeight="false" outlineLevel="0" collapsed="false">
      <c r="A175" s="117" t="s">
        <v>431</v>
      </c>
      <c r="C175" s="67" t="n">
        <f aca="false">MAX(0,C174)</f>
        <v>0</v>
      </c>
      <c r="D175" s="67" t="n">
        <f aca="false">MAX(C175,D174)</f>
        <v>0</v>
      </c>
      <c r="E175" s="67" t="n">
        <f aca="false">MAX(D175,E174)</f>
        <v>0</v>
      </c>
      <c r="F175" s="67" t="n">
        <f aca="false">MAX(E175,F174)</f>
        <v>0</v>
      </c>
      <c r="G175" s="67" t="n">
        <f aca="false">MAX(F175,G174)</f>
        <v>0</v>
      </c>
      <c r="H175" s="67" t="n">
        <f aca="false">MAX(G175,H174)</f>
        <v>0</v>
      </c>
      <c r="I175" s="67" t="n">
        <f aca="false">MAX(H175,I174)</f>
        <v>0</v>
      </c>
      <c r="J175" s="67" t="n">
        <f aca="false">MAX(I175,J174)</f>
        <v>0</v>
      </c>
      <c r="K175" s="67" t="n">
        <f aca="false">MAX(J175,K174)</f>
        <v>0</v>
      </c>
      <c r="L175" s="67" t="n">
        <f aca="false">MAX(K175,L174)</f>
        <v>0</v>
      </c>
      <c r="M175" s="67" t="n">
        <f aca="false">MAX(L175,M174)</f>
        <v>0</v>
      </c>
      <c r="N175" s="67" t="n">
        <f aca="false">MAX(M175,N174)</f>
        <v>0</v>
      </c>
      <c r="O175" s="67" t="n">
        <f aca="false">MAX(N175,O174)</f>
        <v>0</v>
      </c>
      <c r="P175" s="67" t="n">
        <f aca="false">MAX(O175,P174)</f>
        <v>0</v>
      </c>
      <c r="Q175" s="67" t="n">
        <f aca="false">MAX(P175,Q174)</f>
        <v>0</v>
      </c>
      <c r="R175" s="67" t="n">
        <f aca="false">MAX(Q175,R174)</f>
        <v>0</v>
      </c>
      <c r="S175" s="67" t="n">
        <f aca="false">MAX(R175,S174)</f>
        <v>0</v>
      </c>
      <c r="T175" s="67" t="n">
        <f aca="false">MAX(S175,T174)</f>
        <v>0</v>
      </c>
      <c r="U175" s="67" t="n">
        <f aca="false">MAX(T175,U174)</f>
        <v>0</v>
      </c>
      <c r="V175" s="67" t="n">
        <f aca="false">MAX(U175,V174)</f>
        <v>0</v>
      </c>
      <c r="W175" s="67" t="n">
        <f aca="false">MAX(V175,W174)</f>
        <v>0</v>
      </c>
      <c r="X175" s="67" t="n">
        <f aca="false">MAX(W175,X174)</f>
        <v>0</v>
      </c>
      <c r="Y175" s="67" t="n">
        <f aca="false">MAX(X175,Y174)</f>
        <v>0</v>
      </c>
      <c r="Z175" s="67" t="n">
        <f aca="false">MAX(Y175,Z174)</f>
        <v>0</v>
      </c>
      <c r="AA175" s="67" t="n">
        <f aca="false">MAX(Z175,AA174)</f>
        <v>0</v>
      </c>
      <c r="AB175" s="67" t="n">
        <f aca="false">MAX(AA175,AB174)</f>
        <v>0</v>
      </c>
      <c r="AC175" s="67" t="n">
        <f aca="false">MAX(AB175,AC174)</f>
        <v>0</v>
      </c>
      <c r="AD175" s="67" t="n">
        <f aca="false">MAX(AC175,AD174)</f>
        <v>0</v>
      </c>
      <c r="AE175" s="67" t="n">
        <f aca="false">MAX(AD175,AE174)</f>
        <v>0</v>
      </c>
      <c r="AF175" s="67" t="n">
        <f aca="false">MAX(AE175,AF174)</f>
        <v>0</v>
      </c>
      <c r="AG175" s="67" t="n">
        <f aca="false">MAX(AF175,AG174)</f>
        <v>0</v>
      </c>
      <c r="AH175" s="67" t="n">
        <f aca="false">MAX(AG175,AH174)</f>
        <v>0</v>
      </c>
      <c r="AI175" s="67" t="n">
        <f aca="false">MAX(AH175,AI174)</f>
        <v>0</v>
      </c>
      <c r="AJ175" s="67" t="n">
        <f aca="false">MAX(AI175,AJ174)</f>
        <v>0</v>
      </c>
      <c r="AK175" s="67" t="n">
        <f aca="false">MAX(AJ175,AK174)</f>
        <v>0</v>
      </c>
      <c r="AL175" s="67" t="n">
        <f aca="false">MAX(AK175,AL174)</f>
        <v>0</v>
      </c>
      <c r="AM175" s="67" t="n">
        <f aca="false">MAX(AL175,AM174)</f>
        <v>0</v>
      </c>
      <c r="AN175" s="67" t="n">
        <f aca="false">MAX(AM175,AN174)</f>
        <v>0</v>
      </c>
      <c r="AO175" s="67" t="n">
        <f aca="false">MAX(AN175,AO174)</f>
        <v>0</v>
      </c>
      <c r="AP175" s="67" t="n">
        <f aca="false">MAX(AO175,AP174)</f>
        <v>0</v>
      </c>
      <c r="AQ175" s="67" t="n">
        <f aca="false">MAX(AP175,AQ174)</f>
        <v>0</v>
      </c>
      <c r="AR175" s="67" t="n">
        <f aca="false">MAX(AQ175,AR174)</f>
        <v>0</v>
      </c>
      <c r="AS175" s="67" t="n">
        <f aca="false">MAX(AR175,AS174)</f>
        <v>0</v>
      </c>
      <c r="AT175" s="67" t="n">
        <f aca="false">MAX(AS175,AT174)</f>
        <v>0</v>
      </c>
      <c r="AU175" s="67" t="n">
        <f aca="false">MAX(AT175,AU174)</f>
        <v>0</v>
      </c>
      <c r="AV175" s="67" t="n">
        <f aca="false">MAX(AU175,AV174)</f>
        <v>0</v>
      </c>
      <c r="AW175" s="67" t="n">
        <f aca="false">MAX(AV175,AW174)</f>
        <v>0</v>
      </c>
      <c r="AX175" s="67" t="n">
        <f aca="false">MAX(AW175,AX174)</f>
        <v>0</v>
      </c>
      <c r="AY175" s="67" t="n">
        <f aca="false">MAX(AX175,AY174)</f>
        <v>0</v>
      </c>
      <c r="AZ175" s="67" t="n">
        <f aca="false">MAX(AY175,AZ174)</f>
        <v>0</v>
      </c>
      <c r="BA175" s="67" t="n">
        <f aca="false">MAX(AZ175,BA174)</f>
        <v>0</v>
      </c>
      <c r="BB175" s="67" t="n">
        <f aca="false">MAX(BA175,BB174)</f>
        <v>0</v>
      </c>
      <c r="BC175" s="67" t="n">
        <f aca="false">MAX(BB175,BC174)</f>
        <v>0</v>
      </c>
      <c r="BD175" s="67" t="n">
        <f aca="false">MAX(BC175,BD174)</f>
        <v>0</v>
      </c>
      <c r="BE175" s="67" t="n">
        <f aca="false">MAX(BD175,BE174)</f>
        <v>3585.67871542091</v>
      </c>
      <c r="BF175" s="67" t="n">
        <f aca="false">MAX(BE175,BF174)</f>
        <v>7250.20045855521</v>
      </c>
      <c r="BG175" s="67" t="n">
        <f aca="false">MAX(BF175,BG174)</f>
        <v>10925.9722016895</v>
      </c>
      <c r="BH175" s="67" t="n">
        <f aca="false">MAX(BG175,BH174)</f>
        <v>14612.9939448238</v>
      </c>
      <c r="BI175" s="67" t="n">
        <f aca="false">MAX(BH175,BI174)</f>
        <v>18311.2656879581</v>
      </c>
      <c r="BJ175" s="67" t="n">
        <f aca="false">MAX(BI175,BJ174)</f>
        <v>18311.2656879581</v>
      </c>
    </row>
    <row r="176" customFormat="false" ht="15" hidden="false" customHeight="false" outlineLevel="0" collapsed="false">
      <c r="A176" s="6" t="s">
        <v>82</v>
      </c>
      <c r="C176" s="67" t="n">
        <f aca="false">-C175*Inputs!$C$83</f>
        <v>-0</v>
      </c>
      <c r="D176" s="67" t="n">
        <f aca="false">-(D175-C175)*Inputs!$C$83</f>
        <v>-0</v>
      </c>
      <c r="E176" s="67" t="n">
        <f aca="false">-(E175-D175)*Inputs!$C$83</f>
        <v>-0</v>
      </c>
      <c r="F176" s="67" t="n">
        <f aca="false">-(F175-E175)*Inputs!$C$83</f>
        <v>-0</v>
      </c>
      <c r="G176" s="67" t="n">
        <f aca="false">-(G175-F175)*Inputs!$C$83</f>
        <v>-0</v>
      </c>
      <c r="H176" s="67" t="n">
        <f aca="false">-(H175-G175)*Inputs!$C$83</f>
        <v>-0</v>
      </c>
      <c r="I176" s="67" t="n">
        <f aca="false">-(I175-H175)*Inputs!$C$83</f>
        <v>-0</v>
      </c>
      <c r="J176" s="67" t="n">
        <f aca="false">-(J175-I175)*Inputs!$C$83</f>
        <v>-0</v>
      </c>
      <c r="K176" s="67" t="n">
        <f aca="false">-(K175-J175)*Inputs!$C$83</f>
        <v>-0</v>
      </c>
      <c r="L176" s="67" t="n">
        <f aca="false">-(L175-K175)*Inputs!$C$83</f>
        <v>-0</v>
      </c>
      <c r="M176" s="67" t="n">
        <f aca="false">-(M175-L175)*Inputs!$C$83</f>
        <v>-0</v>
      </c>
      <c r="N176" s="67" t="n">
        <f aca="false">-(N175-M175)*Inputs!$C$83</f>
        <v>-0</v>
      </c>
      <c r="O176" s="67" t="n">
        <f aca="false">-(O175-N175)*Inputs!$C$83</f>
        <v>-0</v>
      </c>
      <c r="P176" s="67" t="n">
        <f aca="false">-(P175-O175)*Inputs!$C$83</f>
        <v>-0</v>
      </c>
      <c r="Q176" s="67" t="n">
        <f aca="false">-(Q175-P175)*Inputs!$C$83</f>
        <v>-0</v>
      </c>
      <c r="R176" s="67" t="n">
        <f aca="false">-(R175-Q175)*Inputs!$C$83</f>
        <v>-0</v>
      </c>
      <c r="S176" s="67" t="n">
        <f aca="false">-(S175-R175)*Inputs!$C$83</f>
        <v>-0</v>
      </c>
      <c r="T176" s="67" t="n">
        <f aca="false">-(T175-S175)*Inputs!$C$83</f>
        <v>-0</v>
      </c>
      <c r="U176" s="67" t="n">
        <f aca="false">-(U175-T175)*Inputs!$C$83</f>
        <v>-0</v>
      </c>
      <c r="V176" s="67" t="n">
        <f aca="false">-(V175-U175)*Inputs!$C$83</f>
        <v>-0</v>
      </c>
      <c r="W176" s="67" t="n">
        <f aca="false">-(W175-V175)*Inputs!$C$83</f>
        <v>-0</v>
      </c>
      <c r="X176" s="67" t="n">
        <f aca="false">-(X175-W175)*Inputs!$C$83</f>
        <v>-0</v>
      </c>
      <c r="Y176" s="67" t="n">
        <f aca="false">-(Y175-X175)*Inputs!$C$83</f>
        <v>-0</v>
      </c>
      <c r="Z176" s="67" t="n">
        <f aca="false">-(Z175-Y175)*Inputs!$C$83</f>
        <v>-0</v>
      </c>
      <c r="AA176" s="67" t="n">
        <f aca="false">-(AA175-Z175)*Inputs!$C$83</f>
        <v>-0</v>
      </c>
      <c r="AB176" s="67" t="n">
        <f aca="false">-(AB175-AA175)*Inputs!$C$83</f>
        <v>-0</v>
      </c>
      <c r="AC176" s="67" t="n">
        <f aca="false">-(AC175-AB175)*Inputs!$C$83</f>
        <v>-0</v>
      </c>
      <c r="AD176" s="67" t="n">
        <f aca="false">-(AD175-AC175)*Inputs!$C$83</f>
        <v>-0</v>
      </c>
      <c r="AE176" s="67" t="n">
        <f aca="false">-(AE175-AD175)*Inputs!$C$83</f>
        <v>-0</v>
      </c>
      <c r="AF176" s="67" t="n">
        <f aca="false">-(AF175-AE175)*Inputs!$C$83</f>
        <v>-0</v>
      </c>
      <c r="AG176" s="67" t="n">
        <f aca="false">-(AG175-AF175)*Inputs!$C$83</f>
        <v>-0</v>
      </c>
      <c r="AH176" s="67" t="n">
        <f aca="false">-(AH175-AG175)*Inputs!$C$83</f>
        <v>-0</v>
      </c>
      <c r="AI176" s="67" t="n">
        <f aca="false">-(AI175-AH175)*Inputs!$C$83</f>
        <v>-0</v>
      </c>
      <c r="AJ176" s="67" t="n">
        <f aca="false">-(AJ175-AI175)*Inputs!$C$83</f>
        <v>-0</v>
      </c>
      <c r="AK176" s="67" t="n">
        <f aca="false">-(AK175-AJ175)*Inputs!$C$83</f>
        <v>-0</v>
      </c>
      <c r="AL176" s="67" t="n">
        <f aca="false">-(AL175-AK175)*Inputs!$C$83</f>
        <v>-0</v>
      </c>
      <c r="AM176" s="67" t="n">
        <f aca="false">-(AM175-AL175)*Inputs!$C$83</f>
        <v>-0</v>
      </c>
      <c r="AN176" s="67" t="n">
        <f aca="false">-(AN175-AM175)*Inputs!$C$83</f>
        <v>-0</v>
      </c>
      <c r="AO176" s="67" t="n">
        <f aca="false">-(AO175-AN175)*Inputs!$C$83</f>
        <v>-0</v>
      </c>
      <c r="AP176" s="67" t="n">
        <f aca="false">-(AP175-AO175)*Inputs!$C$83</f>
        <v>-0</v>
      </c>
      <c r="AQ176" s="67" t="n">
        <f aca="false">-(AQ175-AP175)*Inputs!$C$83</f>
        <v>-0</v>
      </c>
      <c r="AR176" s="67" t="n">
        <f aca="false">-(AR175-AQ175)*Inputs!$C$83</f>
        <v>-0</v>
      </c>
      <c r="AS176" s="67" t="n">
        <f aca="false">-(AS175-AR175)*Inputs!$C$83</f>
        <v>-0</v>
      </c>
      <c r="AT176" s="67" t="n">
        <f aca="false">-(AT175-AS175)*Inputs!$C$83</f>
        <v>-0</v>
      </c>
      <c r="AU176" s="67" t="n">
        <f aca="false">-(AU175-AT175)*Inputs!$C$83</f>
        <v>-0</v>
      </c>
      <c r="AV176" s="67" t="n">
        <f aca="false">-(AV175-AU175)*Inputs!$C$83</f>
        <v>-0</v>
      </c>
      <c r="AW176" s="67" t="n">
        <f aca="false">-(AW175-AV175)*Inputs!$C$83</f>
        <v>-0</v>
      </c>
      <c r="AX176" s="67" t="n">
        <f aca="false">-(AX175-AW175)*Inputs!$C$83</f>
        <v>-0</v>
      </c>
      <c r="AY176" s="67" t="n">
        <f aca="false">-(AY175-AX175)*Inputs!$C$83</f>
        <v>-0</v>
      </c>
      <c r="AZ176" s="67" t="n">
        <f aca="false">-(AZ175-AY175)*Inputs!$C$83</f>
        <v>-0</v>
      </c>
      <c r="BA176" s="67" t="n">
        <f aca="false">-(BA175-AZ175)*Inputs!$C$83</f>
        <v>-0</v>
      </c>
      <c r="BB176" s="67" t="n">
        <f aca="false">-(BB175-BA175)*Inputs!$C$83</f>
        <v>-0</v>
      </c>
      <c r="BC176" s="67" t="n">
        <f aca="false">-(BC175-BB175)*Inputs!$C$83</f>
        <v>-0</v>
      </c>
      <c r="BD176" s="67" t="n">
        <f aca="false">-(BD175-BC175)*Inputs!$C$83</f>
        <v>-0</v>
      </c>
      <c r="BE176" s="67" t="n">
        <f aca="false">-(BE175-BD175)*Inputs!$C$83</f>
        <v>-752.992530238391</v>
      </c>
      <c r="BF176" s="67" t="n">
        <f aca="false">-(BF175-BE175)*Inputs!$C$83</f>
        <v>-769.549566058204</v>
      </c>
      <c r="BG176" s="67" t="n">
        <f aca="false">-(BG175-BF175)*Inputs!$C$83</f>
        <v>-771.912066058204</v>
      </c>
      <c r="BH176" s="67" t="n">
        <f aca="false">-(BH175-BG175)*Inputs!$C$83</f>
        <v>-774.274566058204</v>
      </c>
      <c r="BI176" s="67" t="n">
        <f aca="false">-(BI175-BH175)*Inputs!$C$83</f>
        <v>-776.637066058204</v>
      </c>
      <c r="BJ176" s="67" t="n">
        <f aca="false">-(BJ175-BI175)*Inputs!$C$83</f>
        <v>-0</v>
      </c>
    </row>
    <row r="177" customFormat="false" ht="15" hidden="false" customHeight="false" outlineLevel="0" collapsed="false">
      <c r="A177" s="113" t="s">
        <v>50</v>
      </c>
      <c r="C177" s="68" t="n">
        <f aca="false">C173+C176</f>
        <v>-10104.6678095238</v>
      </c>
      <c r="D177" s="68" t="n">
        <f aca="false">D173+D176</f>
        <v>-9090.56680952381</v>
      </c>
      <c r="E177" s="68" t="n">
        <f aca="false">E173+E176</f>
        <v>-5298.39280952381</v>
      </c>
      <c r="F177" s="68" t="n">
        <f aca="false">F173+F176</f>
        <v>-3903.61080952381</v>
      </c>
      <c r="G177" s="68" t="n">
        <f aca="false">G173+G176</f>
        <v>-2508.82880952381</v>
      </c>
      <c r="H177" s="68" t="n">
        <f aca="false">H173+H176</f>
        <v>-1114.04680952381</v>
      </c>
      <c r="I177" s="68" t="n">
        <f aca="false">I173+I176</f>
        <v>280.735190476187</v>
      </c>
      <c r="J177" s="68" t="n">
        <f aca="false">J173+J176</f>
        <v>291.985190476187</v>
      </c>
      <c r="K177" s="68" t="n">
        <f aca="false">K173+K176</f>
        <v>303.235190476187</v>
      </c>
      <c r="L177" s="68" t="n">
        <f aca="false">L173+L176</f>
        <v>314.485190476187</v>
      </c>
      <c r="M177" s="68" t="n">
        <f aca="false">M173+M176</f>
        <v>325.735190476187</v>
      </c>
      <c r="N177" s="68" t="n">
        <f aca="false">N173+N176</f>
        <v>-3935.68680952381</v>
      </c>
      <c r="O177" s="68" t="n">
        <f aca="false">O173+O176</f>
        <v>-3570.64533348572</v>
      </c>
      <c r="P177" s="68" t="n">
        <f aca="false">P173+P176</f>
        <v>-3559.39533348572</v>
      </c>
      <c r="Q177" s="68" t="n">
        <f aca="false">Q173+Q176</f>
        <v>991.777591314283</v>
      </c>
      <c r="R177" s="68" t="n">
        <f aca="false">R173+R176</f>
        <v>1003.02759131428</v>
      </c>
      <c r="S177" s="68" t="n">
        <f aca="false">S173+S176</f>
        <v>1014.27759131428</v>
      </c>
      <c r="T177" s="68" t="n">
        <f aca="false">T173+T176</f>
        <v>1025.52759131428</v>
      </c>
      <c r="U177" s="68" t="n">
        <f aca="false">U173+U176</f>
        <v>1036.77759131428</v>
      </c>
      <c r="V177" s="68" t="n">
        <f aca="false">V173+V176</f>
        <v>1048.02759131428</v>
      </c>
      <c r="W177" s="68" t="n">
        <f aca="false">W173+W176</f>
        <v>1059.27759131428</v>
      </c>
      <c r="X177" s="68" t="n">
        <f aca="false">X173+X176</f>
        <v>1070.52759131428</v>
      </c>
      <c r="Y177" s="68" t="n">
        <f aca="false">Y173+Y176</f>
        <v>1081.77759131428</v>
      </c>
      <c r="Z177" s="68" t="n">
        <f aca="false">Z173+Z176</f>
        <v>-3446.89533348572</v>
      </c>
      <c r="AA177" s="68" t="n">
        <f aca="false">AA173+AA176</f>
        <v>-3043.0006762769</v>
      </c>
      <c r="AB177" s="68" t="n">
        <f aca="false">AB173+AB176</f>
        <v>-3031.7506762769</v>
      </c>
      <c r="AC177" s="68" t="n">
        <f aca="false">AC173+AC176</f>
        <v>1803.16011064342</v>
      </c>
      <c r="AD177" s="68" t="n">
        <f aca="false">AD173+AD176</f>
        <v>1814.41011064342</v>
      </c>
      <c r="AE177" s="68" t="n">
        <f aca="false">AE173+AE176</f>
        <v>1825.66011064342</v>
      </c>
      <c r="AF177" s="68" t="n">
        <f aca="false">AF173+AF176</f>
        <v>1836.91011064342</v>
      </c>
      <c r="AG177" s="68" t="n">
        <f aca="false">AG173+AG176</f>
        <v>1848.16011064342</v>
      </c>
      <c r="AH177" s="68" t="n">
        <f aca="false">AH173+AH176</f>
        <v>1859.41011064342</v>
      </c>
      <c r="AI177" s="68" t="n">
        <f aca="false">AI173+AI176</f>
        <v>1870.66011064342</v>
      </c>
      <c r="AJ177" s="68" t="n">
        <f aca="false">AJ173+AJ176</f>
        <v>1881.91011064342</v>
      </c>
      <c r="AK177" s="68" t="n">
        <f aca="false">AK173+AK176</f>
        <v>1893.16011064342</v>
      </c>
      <c r="AL177" s="68" t="n">
        <f aca="false">AL173+AL176</f>
        <v>-2919.2506762769</v>
      </c>
      <c r="AM177" s="68" t="n">
        <f aca="false">AM173+AM176</f>
        <v>-2473.50105334675</v>
      </c>
      <c r="AN177" s="68" t="n">
        <f aca="false">AN173+AN176</f>
        <v>-2462.25105334675</v>
      </c>
      <c r="AO177" s="68" t="n">
        <f aca="false">AO173+AO176</f>
        <v>2673.89492817702</v>
      </c>
      <c r="AP177" s="68" t="n">
        <f aca="false">AP173+AP176</f>
        <v>2685.14492817702</v>
      </c>
      <c r="AQ177" s="68" t="n">
        <f aca="false">AQ173+AQ176</f>
        <v>2696.39492817702</v>
      </c>
      <c r="AR177" s="68" t="n">
        <f aca="false">AR173+AR176</f>
        <v>2707.64492817702</v>
      </c>
      <c r="AS177" s="68" t="n">
        <f aca="false">AS173+AS176</f>
        <v>2718.89492817702</v>
      </c>
      <c r="AT177" s="68" t="n">
        <f aca="false">AT173+AT176</f>
        <v>2730.14492817702</v>
      </c>
      <c r="AU177" s="68" t="n">
        <f aca="false">AU173+AU176</f>
        <v>2741.39492817702</v>
      </c>
      <c r="AV177" s="68" t="n">
        <f aca="false">AV173+AV176</f>
        <v>2752.64492817702</v>
      </c>
      <c r="AW177" s="68" t="n">
        <f aca="false">AW173+AW176</f>
        <v>2763.89492817702</v>
      </c>
      <c r="AX177" s="68" t="n">
        <f aca="false">AX173+AX176</f>
        <v>-2349.75105334675</v>
      </c>
      <c r="AY177" s="68" t="n">
        <f aca="false">AY173+AY176</f>
        <v>-1858.92888392466</v>
      </c>
      <c r="AZ177" s="68" t="n">
        <f aca="false">AZ173+AZ176</f>
        <v>-1847.67888392466</v>
      </c>
      <c r="BA177" s="68" t="n">
        <f aca="false">BA173+BA176</f>
        <v>3608.27174313431</v>
      </c>
      <c r="BB177" s="68" t="n">
        <f aca="false">BB173+BB176</f>
        <v>3619.52174313431</v>
      </c>
      <c r="BC177" s="68" t="n">
        <f aca="false">BC173+BC176</f>
        <v>3630.77174313431</v>
      </c>
      <c r="BD177" s="68" t="n">
        <f aca="false">BD173+BD176</f>
        <v>3642.02174313431</v>
      </c>
      <c r="BE177" s="68" t="n">
        <f aca="false">BE173+BE176</f>
        <v>2900.27921289592</v>
      </c>
      <c r="BF177" s="68" t="n">
        <f aca="false">BF173+BF176</f>
        <v>2894.9721770761</v>
      </c>
      <c r="BG177" s="68" t="n">
        <f aca="false">BG173+BG176</f>
        <v>2903.8596770761</v>
      </c>
      <c r="BH177" s="68" t="n">
        <f aca="false">BH173+BH176</f>
        <v>2912.7471770761</v>
      </c>
      <c r="BI177" s="68" t="n">
        <f aca="false">BI173+BI176</f>
        <v>2921.6346770761</v>
      </c>
      <c r="BJ177" s="68" t="n">
        <f aca="false">BJ173+BJ176</f>
        <v>-1735.17888392466</v>
      </c>
    </row>
    <row r="179" customFormat="false" ht="15.75" hidden="false" customHeight="true" outlineLevel="0" collapsed="false">
      <c r="A179" s="7" t="s">
        <v>432</v>
      </c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</row>
    <row r="180" customFormat="false" ht="15" hidden="false" customHeight="false" outlineLevel="0" collapsed="false">
      <c r="A180" s="6" t="s">
        <v>433</v>
      </c>
      <c r="C180" s="67" t="n">
        <f aca="false">Inputs!$C$48*Inputs!$C$49</f>
        <v>95000</v>
      </c>
      <c r="D180" s="67" t="n">
        <f aca="false">IF(AND(D$127&gt;1,MOD(D$126-1,12)=0),Inputs!$C$8*Inputs!$C$49,0)</f>
        <v>0</v>
      </c>
      <c r="E180" s="67" t="n">
        <f aca="false">IF(AND(E$127&gt;1,MOD(E$126-1,12)=0),Inputs!$C$8*Inputs!$C$49,0)</f>
        <v>0</v>
      </c>
      <c r="F180" s="67" t="n">
        <f aca="false">IF(AND(F$127&gt;1,MOD(F$126-1,12)=0),Inputs!$C$8*Inputs!$C$49,0)</f>
        <v>0</v>
      </c>
      <c r="G180" s="67" t="n">
        <f aca="false">IF(AND(G$127&gt;1,MOD(G$126-1,12)=0),Inputs!$C$8*Inputs!$C$49,0)</f>
        <v>0</v>
      </c>
      <c r="H180" s="67" t="n">
        <f aca="false">IF(AND(H$127&gt;1,MOD(H$126-1,12)=0),Inputs!$C$8*Inputs!$C$49,0)</f>
        <v>0</v>
      </c>
      <c r="I180" s="67" t="n">
        <f aca="false">IF(AND(I$127&gt;1,MOD(I$126-1,12)=0),Inputs!$C$8*Inputs!$C$49,0)</f>
        <v>0</v>
      </c>
      <c r="J180" s="67" t="n">
        <f aca="false">IF(AND(J$127&gt;1,MOD(J$126-1,12)=0),Inputs!$C$8*Inputs!$C$49,0)</f>
        <v>0</v>
      </c>
      <c r="K180" s="67" t="n">
        <f aca="false">IF(AND(K$127&gt;1,MOD(K$126-1,12)=0),Inputs!$C$8*Inputs!$C$49,0)</f>
        <v>0</v>
      </c>
      <c r="L180" s="67" t="n">
        <f aca="false">IF(AND(L$127&gt;1,MOD(L$126-1,12)=0),Inputs!$C$8*Inputs!$C$49,0)</f>
        <v>0</v>
      </c>
      <c r="M180" s="67" t="n">
        <f aca="false">IF(AND(M$127&gt;1,MOD(M$126-1,12)=0),Inputs!$C$8*Inputs!$C$49,0)</f>
        <v>0</v>
      </c>
      <c r="N180" s="67" t="n">
        <f aca="false">IF(AND(N$127&gt;1,MOD(N$126-1,12)=0),Inputs!$C$8*Inputs!$C$49,0)</f>
        <v>0</v>
      </c>
      <c r="O180" s="67" t="n">
        <f aca="false">IF(AND(O$127&gt;1,MOD(O$126-1,12)=0),Inputs!$C$8*Inputs!$C$49,0)</f>
        <v>0</v>
      </c>
      <c r="P180" s="67" t="n">
        <f aca="false">IF(AND(P$127&gt;1,MOD(P$126-1,12)=0),Inputs!$C$8*Inputs!$C$49,0)</f>
        <v>0</v>
      </c>
      <c r="Q180" s="67" t="n">
        <f aca="false">IF(AND(Q$127&gt;1,MOD(Q$126-1,12)=0),Inputs!$C$8*Inputs!$C$49,0)</f>
        <v>0</v>
      </c>
      <c r="R180" s="67" t="n">
        <f aca="false">IF(AND(R$127&gt;1,MOD(R$126-1,12)=0),Inputs!$C$8*Inputs!$C$49,0)</f>
        <v>0</v>
      </c>
      <c r="S180" s="67" t="n">
        <f aca="false">IF(AND(S$127&gt;1,MOD(S$126-1,12)=0),Inputs!$C$8*Inputs!$C$49,0)</f>
        <v>0</v>
      </c>
      <c r="T180" s="67" t="n">
        <f aca="false">IF(AND(T$127&gt;1,MOD(T$126-1,12)=0),Inputs!$C$8*Inputs!$C$49,0)</f>
        <v>0</v>
      </c>
      <c r="U180" s="67" t="n">
        <f aca="false">IF(AND(U$127&gt;1,MOD(U$126-1,12)=0),Inputs!$C$8*Inputs!$C$49,0)</f>
        <v>0</v>
      </c>
      <c r="V180" s="67" t="n">
        <f aca="false">IF(AND(V$127&gt;1,MOD(V$126-1,12)=0),Inputs!$C$8*Inputs!$C$49,0)</f>
        <v>0</v>
      </c>
      <c r="W180" s="67" t="n">
        <f aca="false">IF(AND(W$127&gt;1,MOD(W$126-1,12)=0),Inputs!$C$8*Inputs!$C$49,0)</f>
        <v>0</v>
      </c>
      <c r="X180" s="67" t="n">
        <f aca="false">IF(AND(X$127&gt;1,MOD(X$126-1,12)=0),Inputs!$C$8*Inputs!$C$49,0)</f>
        <v>0</v>
      </c>
      <c r="Y180" s="67" t="n">
        <f aca="false">IF(AND(Y$127&gt;1,MOD(Y$126-1,12)=0),Inputs!$C$8*Inputs!$C$49,0)</f>
        <v>0</v>
      </c>
      <c r="Z180" s="67" t="n">
        <f aca="false">IF(AND(Z$127&gt;1,MOD(Z$126-1,12)=0),Inputs!$C$8*Inputs!$C$49,0)</f>
        <v>0</v>
      </c>
      <c r="AA180" s="67" t="n">
        <f aca="false">IF(AND(AA$127&gt;1,MOD(AA$126-1,12)=0),Inputs!$C$8*Inputs!$C$49,0)</f>
        <v>0</v>
      </c>
      <c r="AB180" s="67" t="n">
        <f aca="false">IF(AND(AB$127&gt;1,MOD(AB$126-1,12)=0),Inputs!$C$8*Inputs!$C$49,0)</f>
        <v>0</v>
      </c>
      <c r="AC180" s="67" t="n">
        <f aca="false">IF(AND(AC$127&gt;1,MOD(AC$126-1,12)=0),Inputs!$C$8*Inputs!$C$49,0)</f>
        <v>0</v>
      </c>
      <c r="AD180" s="67" t="n">
        <f aca="false">IF(AND(AD$127&gt;1,MOD(AD$126-1,12)=0),Inputs!$C$8*Inputs!$C$49,0)</f>
        <v>0</v>
      </c>
      <c r="AE180" s="67" t="n">
        <f aca="false">IF(AND(AE$127&gt;1,MOD(AE$126-1,12)=0),Inputs!$C$8*Inputs!$C$49,0)</f>
        <v>0</v>
      </c>
      <c r="AF180" s="67" t="n">
        <f aca="false">IF(AND(AF$127&gt;1,MOD(AF$126-1,12)=0),Inputs!$C$8*Inputs!$C$49,0)</f>
        <v>0</v>
      </c>
      <c r="AG180" s="67" t="n">
        <f aca="false">IF(AND(AG$127&gt;1,MOD(AG$126-1,12)=0),Inputs!$C$8*Inputs!$C$49,0)</f>
        <v>0</v>
      </c>
      <c r="AH180" s="67" t="n">
        <f aca="false">IF(AND(AH$127&gt;1,MOD(AH$126-1,12)=0),Inputs!$C$8*Inputs!$C$49,0)</f>
        <v>0</v>
      </c>
      <c r="AI180" s="67" t="n">
        <f aca="false">IF(AND(AI$127&gt;1,MOD(AI$126-1,12)=0),Inputs!$C$8*Inputs!$C$49,0)</f>
        <v>0</v>
      </c>
      <c r="AJ180" s="67" t="n">
        <f aca="false">IF(AND(AJ$127&gt;1,MOD(AJ$126-1,12)=0),Inputs!$C$8*Inputs!$C$49,0)</f>
        <v>0</v>
      </c>
      <c r="AK180" s="67" t="n">
        <f aca="false">IF(AND(AK$127&gt;1,MOD(AK$126-1,12)=0),Inputs!$C$8*Inputs!$C$49,0)</f>
        <v>0</v>
      </c>
      <c r="AL180" s="67" t="n">
        <f aca="false">IF(AND(AL$127&gt;1,MOD(AL$126-1,12)=0),Inputs!$C$8*Inputs!$C$49,0)</f>
        <v>0</v>
      </c>
      <c r="AM180" s="67" t="n">
        <f aca="false">IF(AND(AM$127&gt;1,MOD(AM$126-1,12)=0),Inputs!$C$8*Inputs!$C$49,0)</f>
        <v>0</v>
      </c>
      <c r="AN180" s="67" t="n">
        <f aca="false">IF(AND(AN$127&gt;1,MOD(AN$126-1,12)=0),Inputs!$C$8*Inputs!$C$49,0)</f>
        <v>0</v>
      </c>
      <c r="AO180" s="67" t="n">
        <f aca="false">IF(AND(AO$127&gt;1,MOD(AO$126-1,12)=0),Inputs!$C$8*Inputs!$C$49,0)</f>
        <v>0</v>
      </c>
      <c r="AP180" s="67" t="n">
        <f aca="false">IF(AND(AP$127&gt;1,MOD(AP$126-1,12)=0),Inputs!$C$8*Inputs!$C$49,0)</f>
        <v>0</v>
      </c>
      <c r="AQ180" s="67" t="n">
        <f aca="false">IF(AND(AQ$127&gt;1,MOD(AQ$126-1,12)=0),Inputs!$C$8*Inputs!$C$49,0)</f>
        <v>0</v>
      </c>
      <c r="AR180" s="67" t="n">
        <f aca="false">IF(AND(AR$127&gt;1,MOD(AR$126-1,12)=0),Inputs!$C$8*Inputs!$C$49,0)</f>
        <v>0</v>
      </c>
      <c r="AS180" s="67" t="n">
        <f aca="false">IF(AND(AS$127&gt;1,MOD(AS$126-1,12)=0),Inputs!$C$8*Inputs!$C$49,0)</f>
        <v>0</v>
      </c>
      <c r="AT180" s="67" t="n">
        <f aca="false">IF(AND(AT$127&gt;1,MOD(AT$126-1,12)=0),Inputs!$C$8*Inputs!$C$49,0)</f>
        <v>0</v>
      </c>
      <c r="AU180" s="67" t="n">
        <f aca="false">IF(AND(AU$127&gt;1,MOD(AU$126-1,12)=0),Inputs!$C$8*Inputs!$C$49,0)</f>
        <v>0</v>
      </c>
      <c r="AV180" s="67" t="n">
        <f aca="false">IF(AND(AV$127&gt;1,MOD(AV$126-1,12)=0),Inputs!$C$8*Inputs!$C$49,0)</f>
        <v>0</v>
      </c>
      <c r="AW180" s="67" t="n">
        <f aca="false">IF(AND(AW$127&gt;1,MOD(AW$126-1,12)=0),Inputs!$C$8*Inputs!$C$49,0)</f>
        <v>0</v>
      </c>
      <c r="AX180" s="67" t="n">
        <f aca="false">IF(AND(AX$127&gt;1,MOD(AX$126-1,12)=0),Inputs!$C$8*Inputs!$C$49,0)</f>
        <v>0</v>
      </c>
      <c r="AY180" s="67" t="n">
        <f aca="false">IF(AND(AY$127&gt;1,MOD(AY$126-1,12)=0),Inputs!$C$8*Inputs!$C$49,0)</f>
        <v>0</v>
      </c>
      <c r="AZ180" s="67" t="n">
        <f aca="false">IF(AND(AZ$127&gt;1,MOD(AZ$126-1,12)=0),Inputs!$C$8*Inputs!$C$49,0)</f>
        <v>0</v>
      </c>
      <c r="BA180" s="67" t="n">
        <f aca="false">IF(AND(BA$127&gt;1,MOD(BA$126-1,12)=0),Inputs!$C$8*Inputs!$C$49,0)</f>
        <v>0</v>
      </c>
      <c r="BB180" s="67" t="n">
        <f aca="false">IF(AND(BB$127&gt;1,MOD(BB$126-1,12)=0),Inputs!$C$8*Inputs!$C$49,0)</f>
        <v>0</v>
      </c>
      <c r="BC180" s="67" t="n">
        <f aca="false">IF(AND(BC$127&gt;1,MOD(BC$126-1,12)=0),Inputs!$C$8*Inputs!$C$49,0)</f>
        <v>0</v>
      </c>
      <c r="BD180" s="67" t="n">
        <f aca="false">IF(AND(BD$127&gt;1,MOD(BD$126-1,12)=0),Inputs!$C$8*Inputs!$C$49,0)</f>
        <v>0</v>
      </c>
      <c r="BE180" s="67" t="n">
        <f aca="false">IF(AND(BE$127&gt;1,MOD(BE$126-1,12)=0),Inputs!$C$8*Inputs!$C$49,0)</f>
        <v>0</v>
      </c>
      <c r="BF180" s="67" t="n">
        <f aca="false">IF(AND(BF$127&gt;1,MOD(BF$126-1,12)=0),Inputs!$C$8*Inputs!$C$49,0)</f>
        <v>0</v>
      </c>
      <c r="BG180" s="67" t="n">
        <f aca="false">IF(AND(BG$127&gt;1,MOD(BG$126-1,12)=0),Inputs!$C$8*Inputs!$C$49,0)</f>
        <v>0</v>
      </c>
      <c r="BH180" s="67" t="n">
        <f aca="false">IF(AND(BH$127&gt;1,MOD(BH$126-1,12)=0),Inputs!$C$8*Inputs!$C$49,0)</f>
        <v>0</v>
      </c>
      <c r="BI180" s="67" t="n">
        <f aca="false">IF(AND(BI$127&gt;1,MOD(BI$126-1,12)=0),Inputs!$C$8*Inputs!$C$49,0)</f>
        <v>0</v>
      </c>
      <c r="BJ180" s="67" t="n">
        <f aca="false">IF(AND(BJ$127&gt;1,MOD(BJ$126-1,12)=0),Inputs!$C$8*Inputs!$C$49,0)</f>
        <v>0</v>
      </c>
    </row>
    <row r="181" customFormat="false" ht="15" hidden="false" customHeight="false" outlineLevel="0" collapsed="false">
      <c r="A181" s="6" t="s">
        <v>434</v>
      </c>
      <c r="C181" s="67" t="n">
        <f aca="false">Inputs!$C$48*Inputs!$C$50</f>
        <v>40000</v>
      </c>
      <c r="D181" s="67" t="n">
        <f aca="false">IF(AND(D$127&gt;1,MOD(D$126-1,12)=0),Inputs!$C$8*Inputs!$C$50,0)</f>
        <v>0</v>
      </c>
      <c r="E181" s="67" t="n">
        <f aca="false">IF(AND(E$127&gt;1,MOD(E$126-1,12)=0),Inputs!$C$8*Inputs!$C$50,0)</f>
        <v>0</v>
      </c>
      <c r="F181" s="67" t="n">
        <f aca="false">IF(AND(F$127&gt;1,MOD(F$126-1,12)=0),Inputs!$C$8*Inputs!$C$50,0)</f>
        <v>0</v>
      </c>
      <c r="G181" s="67" t="n">
        <f aca="false">IF(AND(G$127&gt;1,MOD(G$126-1,12)=0),Inputs!$C$8*Inputs!$C$50,0)</f>
        <v>0</v>
      </c>
      <c r="H181" s="67" t="n">
        <f aca="false">IF(AND(H$127&gt;1,MOD(H$126-1,12)=0),Inputs!$C$8*Inputs!$C$50,0)</f>
        <v>0</v>
      </c>
      <c r="I181" s="67" t="n">
        <f aca="false">IF(AND(I$127&gt;1,MOD(I$126-1,12)=0),Inputs!$C$8*Inputs!$C$50,0)</f>
        <v>0</v>
      </c>
      <c r="J181" s="67" t="n">
        <f aca="false">IF(AND(J$127&gt;1,MOD(J$126-1,12)=0),Inputs!$C$8*Inputs!$C$50,0)</f>
        <v>0</v>
      </c>
      <c r="K181" s="67" t="n">
        <f aca="false">IF(AND(K$127&gt;1,MOD(K$126-1,12)=0),Inputs!$C$8*Inputs!$C$50,0)</f>
        <v>0</v>
      </c>
      <c r="L181" s="67" t="n">
        <f aca="false">IF(AND(L$127&gt;1,MOD(L$126-1,12)=0),Inputs!$C$8*Inputs!$C$50,0)</f>
        <v>0</v>
      </c>
      <c r="M181" s="67" t="n">
        <f aca="false">IF(AND(M$127&gt;1,MOD(M$126-1,12)=0),Inputs!$C$8*Inputs!$C$50,0)</f>
        <v>0</v>
      </c>
      <c r="N181" s="67" t="n">
        <f aca="false">IF(AND(N$127&gt;1,MOD(N$126-1,12)=0),Inputs!$C$8*Inputs!$C$50,0)</f>
        <v>0</v>
      </c>
      <c r="O181" s="67" t="n">
        <f aca="false">IF(AND(O$127&gt;1,MOD(O$126-1,12)=0),Inputs!$C$8*Inputs!$C$50,0)</f>
        <v>0</v>
      </c>
      <c r="P181" s="67" t="n">
        <f aca="false">IF(AND(P$127&gt;1,MOD(P$126-1,12)=0),Inputs!$C$8*Inputs!$C$50,0)</f>
        <v>0</v>
      </c>
      <c r="Q181" s="67" t="n">
        <f aca="false">IF(AND(Q$127&gt;1,MOD(Q$126-1,12)=0),Inputs!$C$8*Inputs!$C$50,0)</f>
        <v>0</v>
      </c>
      <c r="R181" s="67" t="n">
        <f aca="false">IF(AND(R$127&gt;1,MOD(R$126-1,12)=0),Inputs!$C$8*Inputs!$C$50,0)</f>
        <v>0</v>
      </c>
      <c r="S181" s="67" t="n">
        <f aca="false">IF(AND(S$127&gt;1,MOD(S$126-1,12)=0),Inputs!$C$8*Inputs!$C$50,0)</f>
        <v>0</v>
      </c>
      <c r="T181" s="67" t="n">
        <f aca="false">IF(AND(T$127&gt;1,MOD(T$126-1,12)=0),Inputs!$C$8*Inputs!$C$50,0)</f>
        <v>0</v>
      </c>
      <c r="U181" s="67" t="n">
        <f aca="false">IF(AND(U$127&gt;1,MOD(U$126-1,12)=0),Inputs!$C$8*Inputs!$C$50,0)</f>
        <v>0</v>
      </c>
      <c r="V181" s="67" t="n">
        <f aca="false">IF(AND(V$127&gt;1,MOD(V$126-1,12)=0),Inputs!$C$8*Inputs!$C$50,0)</f>
        <v>0</v>
      </c>
      <c r="W181" s="67" t="n">
        <f aca="false">IF(AND(W$127&gt;1,MOD(W$126-1,12)=0),Inputs!$C$8*Inputs!$C$50,0)</f>
        <v>0</v>
      </c>
      <c r="X181" s="67" t="n">
        <f aca="false">IF(AND(X$127&gt;1,MOD(X$126-1,12)=0),Inputs!$C$8*Inputs!$C$50,0)</f>
        <v>0</v>
      </c>
      <c r="Y181" s="67" t="n">
        <f aca="false">IF(AND(Y$127&gt;1,MOD(Y$126-1,12)=0),Inputs!$C$8*Inputs!$C$50,0)</f>
        <v>0</v>
      </c>
      <c r="Z181" s="67" t="n">
        <f aca="false">IF(AND(Z$127&gt;1,MOD(Z$126-1,12)=0),Inputs!$C$8*Inputs!$C$50,0)</f>
        <v>0</v>
      </c>
      <c r="AA181" s="67" t="n">
        <f aca="false">IF(AND(AA$127&gt;1,MOD(AA$126-1,12)=0),Inputs!$C$8*Inputs!$C$50,0)</f>
        <v>0</v>
      </c>
      <c r="AB181" s="67" t="n">
        <f aca="false">IF(AND(AB$127&gt;1,MOD(AB$126-1,12)=0),Inputs!$C$8*Inputs!$C$50,0)</f>
        <v>0</v>
      </c>
      <c r="AC181" s="67" t="n">
        <f aca="false">IF(AND(AC$127&gt;1,MOD(AC$126-1,12)=0),Inputs!$C$8*Inputs!$C$50,0)</f>
        <v>0</v>
      </c>
      <c r="AD181" s="67" t="n">
        <f aca="false">IF(AND(AD$127&gt;1,MOD(AD$126-1,12)=0),Inputs!$C$8*Inputs!$C$50,0)</f>
        <v>0</v>
      </c>
      <c r="AE181" s="67" t="n">
        <f aca="false">IF(AND(AE$127&gt;1,MOD(AE$126-1,12)=0),Inputs!$C$8*Inputs!$C$50,0)</f>
        <v>0</v>
      </c>
      <c r="AF181" s="67" t="n">
        <f aca="false">IF(AND(AF$127&gt;1,MOD(AF$126-1,12)=0),Inputs!$C$8*Inputs!$C$50,0)</f>
        <v>0</v>
      </c>
      <c r="AG181" s="67" t="n">
        <f aca="false">IF(AND(AG$127&gt;1,MOD(AG$126-1,12)=0),Inputs!$C$8*Inputs!$C$50,0)</f>
        <v>0</v>
      </c>
      <c r="AH181" s="67" t="n">
        <f aca="false">IF(AND(AH$127&gt;1,MOD(AH$126-1,12)=0),Inputs!$C$8*Inputs!$C$50,0)</f>
        <v>0</v>
      </c>
      <c r="AI181" s="67" t="n">
        <f aca="false">IF(AND(AI$127&gt;1,MOD(AI$126-1,12)=0),Inputs!$C$8*Inputs!$C$50,0)</f>
        <v>0</v>
      </c>
      <c r="AJ181" s="67" t="n">
        <f aca="false">IF(AND(AJ$127&gt;1,MOD(AJ$126-1,12)=0),Inputs!$C$8*Inputs!$C$50,0)</f>
        <v>0</v>
      </c>
      <c r="AK181" s="67" t="n">
        <f aca="false">IF(AND(AK$127&gt;1,MOD(AK$126-1,12)=0),Inputs!$C$8*Inputs!$C$50,0)</f>
        <v>0</v>
      </c>
      <c r="AL181" s="67" t="n">
        <f aca="false">IF(AND(AL$127&gt;1,MOD(AL$126-1,12)=0),Inputs!$C$8*Inputs!$C$50,0)</f>
        <v>0</v>
      </c>
      <c r="AM181" s="67" t="n">
        <f aca="false">IF(AND(AM$127&gt;1,MOD(AM$126-1,12)=0),Inputs!$C$8*Inputs!$C$50,0)</f>
        <v>0</v>
      </c>
      <c r="AN181" s="67" t="n">
        <f aca="false">IF(AND(AN$127&gt;1,MOD(AN$126-1,12)=0),Inputs!$C$8*Inputs!$C$50,0)</f>
        <v>0</v>
      </c>
      <c r="AO181" s="67" t="n">
        <f aca="false">IF(AND(AO$127&gt;1,MOD(AO$126-1,12)=0),Inputs!$C$8*Inputs!$C$50,0)</f>
        <v>0</v>
      </c>
      <c r="AP181" s="67" t="n">
        <f aca="false">IF(AND(AP$127&gt;1,MOD(AP$126-1,12)=0),Inputs!$C$8*Inputs!$C$50,0)</f>
        <v>0</v>
      </c>
      <c r="AQ181" s="67" t="n">
        <f aca="false">IF(AND(AQ$127&gt;1,MOD(AQ$126-1,12)=0),Inputs!$C$8*Inputs!$C$50,0)</f>
        <v>0</v>
      </c>
      <c r="AR181" s="67" t="n">
        <f aca="false">IF(AND(AR$127&gt;1,MOD(AR$126-1,12)=0),Inputs!$C$8*Inputs!$C$50,0)</f>
        <v>0</v>
      </c>
      <c r="AS181" s="67" t="n">
        <f aca="false">IF(AND(AS$127&gt;1,MOD(AS$126-1,12)=0),Inputs!$C$8*Inputs!$C$50,0)</f>
        <v>0</v>
      </c>
      <c r="AT181" s="67" t="n">
        <f aca="false">IF(AND(AT$127&gt;1,MOD(AT$126-1,12)=0),Inputs!$C$8*Inputs!$C$50,0)</f>
        <v>0</v>
      </c>
      <c r="AU181" s="67" t="n">
        <f aca="false">IF(AND(AU$127&gt;1,MOD(AU$126-1,12)=0),Inputs!$C$8*Inputs!$C$50,0)</f>
        <v>0</v>
      </c>
      <c r="AV181" s="67" t="n">
        <f aca="false">IF(AND(AV$127&gt;1,MOD(AV$126-1,12)=0),Inputs!$C$8*Inputs!$C$50,0)</f>
        <v>0</v>
      </c>
      <c r="AW181" s="67" t="n">
        <f aca="false">IF(AND(AW$127&gt;1,MOD(AW$126-1,12)=0),Inputs!$C$8*Inputs!$C$50,0)</f>
        <v>0</v>
      </c>
      <c r="AX181" s="67" t="n">
        <f aca="false">IF(AND(AX$127&gt;1,MOD(AX$126-1,12)=0),Inputs!$C$8*Inputs!$C$50,0)</f>
        <v>0</v>
      </c>
      <c r="AY181" s="67" t="n">
        <f aca="false">IF(AND(AY$127&gt;1,MOD(AY$126-1,12)=0),Inputs!$C$8*Inputs!$C$50,0)</f>
        <v>0</v>
      </c>
      <c r="AZ181" s="67" t="n">
        <f aca="false">IF(AND(AZ$127&gt;1,MOD(AZ$126-1,12)=0),Inputs!$C$8*Inputs!$C$50,0)</f>
        <v>0</v>
      </c>
      <c r="BA181" s="67" t="n">
        <f aca="false">IF(AND(BA$127&gt;1,MOD(BA$126-1,12)=0),Inputs!$C$8*Inputs!$C$50,0)</f>
        <v>0</v>
      </c>
      <c r="BB181" s="67" t="n">
        <f aca="false">IF(AND(BB$127&gt;1,MOD(BB$126-1,12)=0),Inputs!$C$8*Inputs!$C$50,0)</f>
        <v>0</v>
      </c>
      <c r="BC181" s="67" t="n">
        <f aca="false">IF(AND(BC$127&gt;1,MOD(BC$126-1,12)=0),Inputs!$C$8*Inputs!$C$50,0)</f>
        <v>0</v>
      </c>
      <c r="BD181" s="67" t="n">
        <f aca="false">IF(AND(BD$127&gt;1,MOD(BD$126-1,12)=0),Inputs!$C$8*Inputs!$C$50,0)</f>
        <v>0</v>
      </c>
      <c r="BE181" s="67" t="n">
        <f aca="false">IF(AND(BE$127&gt;1,MOD(BE$126-1,12)=0),Inputs!$C$8*Inputs!$C$50,0)</f>
        <v>0</v>
      </c>
      <c r="BF181" s="67" t="n">
        <f aca="false">IF(AND(BF$127&gt;1,MOD(BF$126-1,12)=0),Inputs!$C$8*Inputs!$C$50,0)</f>
        <v>0</v>
      </c>
      <c r="BG181" s="67" t="n">
        <f aca="false">IF(AND(BG$127&gt;1,MOD(BG$126-1,12)=0),Inputs!$C$8*Inputs!$C$50,0)</f>
        <v>0</v>
      </c>
      <c r="BH181" s="67" t="n">
        <f aca="false">IF(AND(BH$127&gt;1,MOD(BH$126-1,12)=0),Inputs!$C$8*Inputs!$C$50,0)</f>
        <v>0</v>
      </c>
      <c r="BI181" s="67" t="n">
        <f aca="false">IF(AND(BI$127&gt;1,MOD(BI$126-1,12)=0),Inputs!$C$8*Inputs!$C$50,0)</f>
        <v>0</v>
      </c>
      <c r="BJ181" s="67" t="n">
        <f aca="false">IF(AND(BJ$127&gt;1,MOD(BJ$126-1,12)=0),Inputs!$C$8*Inputs!$C$50,0)</f>
        <v>0</v>
      </c>
    </row>
    <row r="182" customFormat="false" ht="15" hidden="false" customHeight="false" outlineLevel="0" collapsed="false">
      <c r="A182" s="6" t="s">
        <v>435</v>
      </c>
      <c r="C182" s="67" t="n">
        <f aca="false">IF(C$126=1,Inputs!$C$51,0)</f>
        <v>3000</v>
      </c>
      <c r="D182" s="67" t="n">
        <f aca="false">IF(D$126=1,Inputs!$C$51,0)</f>
        <v>0</v>
      </c>
      <c r="E182" s="67" t="n">
        <f aca="false">IF(E$126=1,Inputs!$C$51,0)</f>
        <v>0</v>
      </c>
      <c r="F182" s="67" t="n">
        <f aca="false">IF(F$126=1,Inputs!$C$51,0)</f>
        <v>0</v>
      </c>
      <c r="G182" s="67" t="n">
        <f aca="false">IF(G$126=1,Inputs!$C$51,0)</f>
        <v>0</v>
      </c>
      <c r="H182" s="67" t="n">
        <f aca="false">IF(H$126=1,Inputs!$C$51,0)</f>
        <v>0</v>
      </c>
      <c r="I182" s="67" t="n">
        <f aca="false">IF(I$126=1,Inputs!$C$51,0)</f>
        <v>0</v>
      </c>
      <c r="J182" s="67" t="n">
        <f aca="false">IF(J$126=1,Inputs!$C$51,0)</f>
        <v>0</v>
      </c>
      <c r="K182" s="67" t="n">
        <f aca="false">IF(K$126=1,Inputs!$C$51,0)</f>
        <v>0</v>
      </c>
      <c r="L182" s="67" t="n">
        <f aca="false">IF(L$126=1,Inputs!$C$51,0)</f>
        <v>0</v>
      </c>
      <c r="M182" s="67" t="n">
        <f aca="false">IF(M$126=1,Inputs!$C$51,0)</f>
        <v>0</v>
      </c>
      <c r="N182" s="67" t="n">
        <f aca="false">IF(N$126=1,Inputs!$C$51,0)</f>
        <v>0</v>
      </c>
      <c r="O182" s="67" t="n">
        <f aca="false">IF(O$126=1,Inputs!$C$51,0)</f>
        <v>0</v>
      </c>
      <c r="P182" s="67" t="n">
        <f aca="false">IF(P$126=1,Inputs!$C$51,0)</f>
        <v>0</v>
      </c>
      <c r="Q182" s="67" t="n">
        <f aca="false">IF(Q$126=1,Inputs!$C$51,0)</f>
        <v>0</v>
      </c>
      <c r="R182" s="67" t="n">
        <f aca="false">IF(R$126=1,Inputs!$C$51,0)</f>
        <v>0</v>
      </c>
      <c r="S182" s="67" t="n">
        <f aca="false">IF(S$126=1,Inputs!$C$51,0)</f>
        <v>0</v>
      </c>
      <c r="T182" s="67" t="n">
        <f aca="false">IF(T$126=1,Inputs!$C$51,0)</f>
        <v>0</v>
      </c>
      <c r="U182" s="67" t="n">
        <f aca="false">IF(U$126=1,Inputs!$C$51,0)</f>
        <v>0</v>
      </c>
      <c r="V182" s="67" t="n">
        <f aca="false">IF(V$126=1,Inputs!$C$51,0)</f>
        <v>0</v>
      </c>
      <c r="W182" s="67" t="n">
        <f aca="false">IF(W$126=1,Inputs!$C$51,0)</f>
        <v>0</v>
      </c>
      <c r="X182" s="67" t="n">
        <f aca="false">IF(X$126=1,Inputs!$C$51,0)</f>
        <v>0</v>
      </c>
      <c r="Y182" s="67" t="n">
        <f aca="false">IF(Y$126=1,Inputs!$C$51,0)</f>
        <v>0</v>
      </c>
      <c r="Z182" s="67" t="n">
        <f aca="false">IF(Z$126=1,Inputs!$C$51,0)</f>
        <v>0</v>
      </c>
      <c r="AA182" s="67" t="n">
        <f aca="false">IF(AA$126=1,Inputs!$C$51,0)</f>
        <v>0</v>
      </c>
      <c r="AB182" s="67" t="n">
        <f aca="false">IF(AB$126=1,Inputs!$C$51,0)</f>
        <v>0</v>
      </c>
      <c r="AC182" s="67" t="n">
        <f aca="false">IF(AC$126=1,Inputs!$C$51,0)</f>
        <v>0</v>
      </c>
      <c r="AD182" s="67" t="n">
        <f aca="false">IF(AD$126=1,Inputs!$C$51,0)</f>
        <v>0</v>
      </c>
      <c r="AE182" s="67" t="n">
        <f aca="false">IF(AE$126=1,Inputs!$C$51,0)</f>
        <v>0</v>
      </c>
      <c r="AF182" s="67" t="n">
        <f aca="false">IF(AF$126=1,Inputs!$C$51,0)</f>
        <v>0</v>
      </c>
      <c r="AG182" s="67" t="n">
        <f aca="false">IF(AG$126=1,Inputs!$C$51,0)</f>
        <v>0</v>
      </c>
      <c r="AH182" s="67" t="n">
        <f aca="false">IF(AH$126=1,Inputs!$C$51,0)</f>
        <v>0</v>
      </c>
      <c r="AI182" s="67" t="n">
        <f aca="false">IF(AI$126=1,Inputs!$C$51,0)</f>
        <v>0</v>
      </c>
      <c r="AJ182" s="67" t="n">
        <f aca="false">IF(AJ$126=1,Inputs!$C$51,0)</f>
        <v>0</v>
      </c>
      <c r="AK182" s="67" t="n">
        <f aca="false">IF(AK$126=1,Inputs!$C$51,0)</f>
        <v>0</v>
      </c>
      <c r="AL182" s="67" t="n">
        <f aca="false">IF(AL$126=1,Inputs!$C$51,0)</f>
        <v>0</v>
      </c>
      <c r="AM182" s="67" t="n">
        <f aca="false">IF(AM$126=1,Inputs!$C$51,0)</f>
        <v>0</v>
      </c>
      <c r="AN182" s="67" t="n">
        <f aca="false">IF(AN$126=1,Inputs!$C$51,0)</f>
        <v>0</v>
      </c>
      <c r="AO182" s="67" t="n">
        <f aca="false">IF(AO$126=1,Inputs!$C$51,0)</f>
        <v>0</v>
      </c>
      <c r="AP182" s="67" t="n">
        <f aca="false">IF(AP$126=1,Inputs!$C$51,0)</f>
        <v>0</v>
      </c>
      <c r="AQ182" s="67" t="n">
        <f aca="false">IF(AQ$126=1,Inputs!$C$51,0)</f>
        <v>0</v>
      </c>
      <c r="AR182" s="67" t="n">
        <f aca="false">IF(AR$126=1,Inputs!$C$51,0)</f>
        <v>0</v>
      </c>
      <c r="AS182" s="67" t="n">
        <f aca="false">IF(AS$126=1,Inputs!$C$51,0)</f>
        <v>0</v>
      </c>
      <c r="AT182" s="67" t="n">
        <f aca="false">IF(AT$126=1,Inputs!$C$51,0)</f>
        <v>0</v>
      </c>
      <c r="AU182" s="67" t="n">
        <f aca="false">IF(AU$126=1,Inputs!$C$51,0)</f>
        <v>0</v>
      </c>
      <c r="AV182" s="67" t="n">
        <f aca="false">IF(AV$126=1,Inputs!$C$51,0)</f>
        <v>0</v>
      </c>
      <c r="AW182" s="67" t="n">
        <f aca="false">IF(AW$126=1,Inputs!$C$51,0)</f>
        <v>0</v>
      </c>
      <c r="AX182" s="67" t="n">
        <f aca="false">IF(AX$126=1,Inputs!$C$51,0)</f>
        <v>0</v>
      </c>
      <c r="AY182" s="67" t="n">
        <f aca="false">IF(AY$126=1,Inputs!$C$51,0)</f>
        <v>0</v>
      </c>
      <c r="AZ182" s="67" t="n">
        <f aca="false">IF(AZ$126=1,Inputs!$C$51,0)</f>
        <v>0</v>
      </c>
      <c r="BA182" s="67" t="n">
        <f aca="false">IF(BA$126=1,Inputs!$C$51,0)</f>
        <v>0</v>
      </c>
      <c r="BB182" s="67" t="n">
        <f aca="false">IF(BB$126=1,Inputs!$C$51,0)</f>
        <v>0</v>
      </c>
      <c r="BC182" s="67" t="n">
        <f aca="false">IF(BC$126=1,Inputs!$C$51,0)</f>
        <v>0</v>
      </c>
      <c r="BD182" s="67" t="n">
        <f aca="false">IF(BD$126=1,Inputs!$C$51,0)</f>
        <v>0</v>
      </c>
      <c r="BE182" s="67" t="n">
        <f aca="false">IF(BE$126=1,Inputs!$C$51,0)</f>
        <v>0</v>
      </c>
      <c r="BF182" s="67" t="n">
        <f aca="false">IF(BF$126=1,Inputs!$C$51,0)</f>
        <v>0</v>
      </c>
      <c r="BG182" s="67" t="n">
        <f aca="false">IF(BG$126=1,Inputs!$C$51,0)</f>
        <v>0</v>
      </c>
      <c r="BH182" s="67" t="n">
        <f aca="false">IF(BH$126=1,Inputs!$C$51,0)</f>
        <v>0</v>
      </c>
      <c r="BI182" s="67" t="n">
        <f aca="false">IF(BI$126=1,Inputs!$C$51,0)</f>
        <v>0</v>
      </c>
      <c r="BJ182" s="67" t="n">
        <f aca="false">IF(BJ$126=1,Inputs!$C$51,0)</f>
        <v>0</v>
      </c>
    </row>
    <row r="183" customFormat="false" ht="15" hidden="false" customHeight="false" outlineLevel="0" collapsed="false">
      <c r="A183" s="6" t="s">
        <v>436</v>
      </c>
      <c r="C183" s="67" t="n">
        <f aca="false">IF(AND(C$127&gt;1,MOD(C$126-1,12)=0),Inputs!$C$52*C130,0)</f>
        <v>0</v>
      </c>
      <c r="D183" s="67" t="n">
        <f aca="false">IF(AND(D$127&gt;1,MOD(D$126-1,12)=0),Inputs!$C$52*D130,0)</f>
        <v>0</v>
      </c>
      <c r="E183" s="67" t="n">
        <f aca="false">IF(AND(E$127&gt;1,MOD(E$126-1,12)=0),Inputs!$C$52*E130,0)</f>
        <v>0</v>
      </c>
      <c r="F183" s="67" t="n">
        <f aca="false">IF(AND(F$127&gt;1,MOD(F$126-1,12)=0),Inputs!$C$52*F130,0)</f>
        <v>0</v>
      </c>
      <c r="G183" s="67" t="n">
        <f aca="false">IF(AND(G$127&gt;1,MOD(G$126-1,12)=0),Inputs!$C$52*G130,0)</f>
        <v>0</v>
      </c>
      <c r="H183" s="67" t="n">
        <f aca="false">IF(AND(H$127&gt;1,MOD(H$126-1,12)=0),Inputs!$C$52*H130,0)</f>
        <v>0</v>
      </c>
      <c r="I183" s="67" t="n">
        <f aca="false">IF(AND(I$127&gt;1,MOD(I$126-1,12)=0),Inputs!$C$52*I130,0)</f>
        <v>0</v>
      </c>
      <c r="J183" s="67" t="n">
        <f aca="false">IF(AND(J$127&gt;1,MOD(J$126-1,12)=0),Inputs!$C$52*J130,0)</f>
        <v>0</v>
      </c>
      <c r="K183" s="67" t="n">
        <f aca="false">IF(AND(K$127&gt;1,MOD(K$126-1,12)=0),Inputs!$C$52*K130,0)</f>
        <v>0</v>
      </c>
      <c r="L183" s="67" t="n">
        <f aca="false">IF(AND(L$127&gt;1,MOD(L$126-1,12)=0),Inputs!$C$52*L130,0)</f>
        <v>0</v>
      </c>
      <c r="M183" s="67" t="n">
        <f aca="false">IF(AND(M$127&gt;1,MOD(M$126-1,12)=0),Inputs!$C$52*M130,0)</f>
        <v>0</v>
      </c>
      <c r="N183" s="67" t="n">
        <f aca="false">IF(AND(N$127&gt;1,MOD(N$126-1,12)=0),Inputs!$C$52*N130,0)</f>
        <v>0</v>
      </c>
      <c r="O183" s="67" t="n">
        <f aca="false">IF(AND(O$127&gt;1,MOD(O$126-1,12)=0),Inputs!$C$52*O130,0)</f>
        <v>2500</v>
      </c>
      <c r="P183" s="67" t="n">
        <f aca="false">IF(AND(P$127&gt;1,MOD(P$126-1,12)=0),Inputs!$C$52*P130,0)</f>
        <v>0</v>
      </c>
      <c r="Q183" s="67" t="n">
        <f aca="false">IF(AND(Q$127&gt;1,MOD(Q$126-1,12)=0),Inputs!$C$52*Q130,0)</f>
        <v>0</v>
      </c>
      <c r="R183" s="67" t="n">
        <f aca="false">IF(AND(R$127&gt;1,MOD(R$126-1,12)=0),Inputs!$C$52*R130,0)</f>
        <v>0</v>
      </c>
      <c r="S183" s="67" t="n">
        <f aca="false">IF(AND(S$127&gt;1,MOD(S$126-1,12)=0),Inputs!$C$52*S130,0)</f>
        <v>0</v>
      </c>
      <c r="T183" s="67" t="n">
        <f aca="false">IF(AND(T$127&gt;1,MOD(T$126-1,12)=0),Inputs!$C$52*T130,0)</f>
        <v>0</v>
      </c>
      <c r="U183" s="67" t="n">
        <f aca="false">IF(AND(U$127&gt;1,MOD(U$126-1,12)=0),Inputs!$C$52*U130,0)</f>
        <v>0</v>
      </c>
      <c r="V183" s="67" t="n">
        <f aca="false">IF(AND(V$127&gt;1,MOD(V$126-1,12)=0),Inputs!$C$52*V130,0)</f>
        <v>0</v>
      </c>
      <c r="W183" s="67" t="n">
        <f aca="false">IF(AND(W$127&gt;1,MOD(W$126-1,12)=0),Inputs!$C$52*W130,0)</f>
        <v>0</v>
      </c>
      <c r="X183" s="67" t="n">
        <f aca="false">IF(AND(X$127&gt;1,MOD(X$126-1,12)=0),Inputs!$C$52*X130,0)</f>
        <v>0</v>
      </c>
      <c r="Y183" s="67" t="n">
        <f aca="false">IF(AND(Y$127&gt;1,MOD(Y$126-1,12)=0),Inputs!$C$52*Y130,0)</f>
        <v>0</v>
      </c>
      <c r="Z183" s="67" t="n">
        <f aca="false">IF(AND(Z$127&gt;1,MOD(Z$126-1,12)=0),Inputs!$C$52*Z130,0)</f>
        <v>0</v>
      </c>
      <c r="AA183" s="67" t="n">
        <f aca="false">IF(AND(AA$127&gt;1,MOD(AA$126-1,12)=0),Inputs!$C$52*AA130,0)</f>
        <v>2500</v>
      </c>
      <c r="AB183" s="67" t="n">
        <f aca="false">IF(AND(AB$127&gt;1,MOD(AB$126-1,12)=0),Inputs!$C$52*AB130,0)</f>
        <v>0</v>
      </c>
      <c r="AC183" s="67" t="n">
        <f aca="false">IF(AND(AC$127&gt;1,MOD(AC$126-1,12)=0),Inputs!$C$52*AC130,0)</f>
        <v>0</v>
      </c>
      <c r="AD183" s="67" t="n">
        <f aca="false">IF(AND(AD$127&gt;1,MOD(AD$126-1,12)=0),Inputs!$C$52*AD130,0)</f>
        <v>0</v>
      </c>
      <c r="AE183" s="67" t="n">
        <f aca="false">IF(AND(AE$127&gt;1,MOD(AE$126-1,12)=0),Inputs!$C$52*AE130,0)</f>
        <v>0</v>
      </c>
      <c r="AF183" s="67" t="n">
        <f aca="false">IF(AND(AF$127&gt;1,MOD(AF$126-1,12)=0),Inputs!$C$52*AF130,0)</f>
        <v>0</v>
      </c>
      <c r="AG183" s="67" t="n">
        <f aca="false">IF(AND(AG$127&gt;1,MOD(AG$126-1,12)=0),Inputs!$C$52*AG130,0)</f>
        <v>0</v>
      </c>
      <c r="AH183" s="67" t="n">
        <f aca="false">IF(AND(AH$127&gt;1,MOD(AH$126-1,12)=0),Inputs!$C$52*AH130,0)</f>
        <v>0</v>
      </c>
      <c r="AI183" s="67" t="n">
        <f aca="false">IF(AND(AI$127&gt;1,MOD(AI$126-1,12)=0),Inputs!$C$52*AI130,0)</f>
        <v>0</v>
      </c>
      <c r="AJ183" s="67" t="n">
        <f aca="false">IF(AND(AJ$127&gt;1,MOD(AJ$126-1,12)=0),Inputs!$C$52*AJ130,0)</f>
        <v>0</v>
      </c>
      <c r="AK183" s="67" t="n">
        <f aca="false">IF(AND(AK$127&gt;1,MOD(AK$126-1,12)=0),Inputs!$C$52*AK130,0)</f>
        <v>0</v>
      </c>
      <c r="AL183" s="67" t="n">
        <f aca="false">IF(AND(AL$127&gt;1,MOD(AL$126-1,12)=0),Inputs!$C$52*AL130,0)</f>
        <v>0</v>
      </c>
      <c r="AM183" s="67" t="n">
        <f aca="false">IF(AND(AM$127&gt;1,MOD(AM$126-1,12)=0),Inputs!$C$52*AM130,0)</f>
        <v>2500</v>
      </c>
      <c r="AN183" s="67" t="n">
        <f aca="false">IF(AND(AN$127&gt;1,MOD(AN$126-1,12)=0),Inputs!$C$52*AN130,0)</f>
        <v>0</v>
      </c>
      <c r="AO183" s="67" t="n">
        <f aca="false">IF(AND(AO$127&gt;1,MOD(AO$126-1,12)=0),Inputs!$C$52*AO130,0)</f>
        <v>0</v>
      </c>
      <c r="AP183" s="67" t="n">
        <f aca="false">IF(AND(AP$127&gt;1,MOD(AP$126-1,12)=0),Inputs!$C$52*AP130,0)</f>
        <v>0</v>
      </c>
      <c r="AQ183" s="67" t="n">
        <f aca="false">IF(AND(AQ$127&gt;1,MOD(AQ$126-1,12)=0),Inputs!$C$52*AQ130,0)</f>
        <v>0</v>
      </c>
      <c r="AR183" s="67" t="n">
        <f aca="false">IF(AND(AR$127&gt;1,MOD(AR$126-1,12)=0),Inputs!$C$52*AR130,0)</f>
        <v>0</v>
      </c>
      <c r="AS183" s="67" t="n">
        <f aca="false">IF(AND(AS$127&gt;1,MOD(AS$126-1,12)=0),Inputs!$C$52*AS130,0)</f>
        <v>0</v>
      </c>
      <c r="AT183" s="67" t="n">
        <f aca="false">IF(AND(AT$127&gt;1,MOD(AT$126-1,12)=0),Inputs!$C$52*AT130,0)</f>
        <v>0</v>
      </c>
      <c r="AU183" s="67" t="n">
        <f aca="false">IF(AND(AU$127&gt;1,MOD(AU$126-1,12)=0),Inputs!$C$52*AU130,0)</f>
        <v>0</v>
      </c>
      <c r="AV183" s="67" t="n">
        <f aca="false">IF(AND(AV$127&gt;1,MOD(AV$126-1,12)=0),Inputs!$C$52*AV130,0)</f>
        <v>0</v>
      </c>
      <c r="AW183" s="67" t="n">
        <f aca="false">IF(AND(AW$127&gt;1,MOD(AW$126-1,12)=0),Inputs!$C$52*AW130,0)</f>
        <v>0</v>
      </c>
      <c r="AX183" s="67" t="n">
        <f aca="false">IF(AND(AX$127&gt;1,MOD(AX$126-1,12)=0),Inputs!$C$52*AX130,0)</f>
        <v>0</v>
      </c>
      <c r="AY183" s="67" t="n">
        <f aca="false">IF(AND(AY$127&gt;1,MOD(AY$126-1,12)=0),Inputs!$C$52*AY130,0)</f>
        <v>2500</v>
      </c>
      <c r="AZ183" s="67" t="n">
        <f aca="false">IF(AND(AZ$127&gt;1,MOD(AZ$126-1,12)=0),Inputs!$C$52*AZ130,0)</f>
        <v>0</v>
      </c>
      <c r="BA183" s="67" t="n">
        <f aca="false">IF(AND(BA$127&gt;1,MOD(BA$126-1,12)=0),Inputs!$C$52*BA130,0)</f>
        <v>0</v>
      </c>
      <c r="BB183" s="67" t="n">
        <f aca="false">IF(AND(BB$127&gt;1,MOD(BB$126-1,12)=0),Inputs!$C$52*BB130,0)</f>
        <v>0</v>
      </c>
      <c r="BC183" s="67" t="n">
        <f aca="false">IF(AND(BC$127&gt;1,MOD(BC$126-1,12)=0),Inputs!$C$52*BC130,0)</f>
        <v>0</v>
      </c>
      <c r="BD183" s="67" t="n">
        <f aca="false">IF(AND(BD$127&gt;1,MOD(BD$126-1,12)=0),Inputs!$C$52*BD130,0)</f>
        <v>0</v>
      </c>
      <c r="BE183" s="67" t="n">
        <f aca="false">IF(AND(BE$127&gt;1,MOD(BE$126-1,12)=0),Inputs!$C$52*BE130,0)</f>
        <v>0</v>
      </c>
      <c r="BF183" s="67" t="n">
        <f aca="false">IF(AND(BF$127&gt;1,MOD(BF$126-1,12)=0),Inputs!$C$52*BF130,0)</f>
        <v>0</v>
      </c>
      <c r="BG183" s="67" t="n">
        <f aca="false">IF(AND(BG$127&gt;1,MOD(BG$126-1,12)=0),Inputs!$C$52*BG130,0)</f>
        <v>0</v>
      </c>
      <c r="BH183" s="67" t="n">
        <f aca="false">IF(AND(BH$127&gt;1,MOD(BH$126-1,12)=0),Inputs!$C$52*BH130,0)</f>
        <v>0</v>
      </c>
      <c r="BI183" s="67" t="n">
        <f aca="false">IF(AND(BI$127&gt;1,MOD(BI$126-1,12)=0),Inputs!$C$52*BI130,0)</f>
        <v>0</v>
      </c>
      <c r="BJ183" s="67" t="n">
        <f aca="false">IF(AND(BJ$127&gt;1,MOD(BJ$126-1,12)=0),Inputs!$C$52*BJ130,0)</f>
        <v>0</v>
      </c>
    </row>
    <row r="184" customFormat="false" ht="15" hidden="false" customHeight="false" outlineLevel="0" collapsed="false">
      <c r="A184" s="4" t="s">
        <v>84</v>
      </c>
      <c r="C184" s="73" t="n">
        <f aca="false">C180+C181+C182+C183</f>
        <v>138000</v>
      </c>
      <c r="D184" s="73" t="n">
        <f aca="false">D180+D181+D182+D183</f>
        <v>0</v>
      </c>
      <c r="E184" s="73" t="n">
        <f aca="false">E180+E181+E182+E183</f>
        <v>0</v>
      </c>
      <c r="F184" s="73" t="n">
        <f aca="false">F180+F181+F182+F183</f>
        <v>0</v>
      </c>
      <c r="G184" s="73" t="n">
        <f aca="false">G180+G181+G182+G183</f>
        <v>0</v>
      </c>
      <c r="H184" s="73" t="n">
        <f aca="false">H180+H181+H182+H183</f>
        <v>0</v>
      </c>
      <c r="I184" s="73" t="n">
        <f aca="false">I180+I181+I182+I183</f>
        <v>0</v>
      </c>
      <c r="J184" s="73" t="n">
        <f aca="false">J180+J181+J182+J183</f>
        <v>0</v>
      </c>
      <c r="K184" s="73" t="n">
        <f aca="false">K180+K181+K182+K183</f>
        <v>0</v>
      </c>
      <c r="L184" s="73" t="n">
        <f aca="false">L180+L181+L182+L183</f>
        <v>0</v>
      </c>
      <c r="M184" s="73" t="n">
        <f aca="false">M180+M181+M182+M183</f>
        <v>0</v>
      </c>
      <c r="N184" s="73" t="n">
        <f aca="false">N180+N181+N182+N183</f>
        <v>0</v>
      </c>
      <c r="O184" s="73" t="n">
        <f aca="false">O180+O181+O182+O183</f>
        <v>2500</v>
      </c>
      <c r="P184" s="73" t="n">
        <f aca="false">P180+P181+P182+P183</f>
        <v>0</v>
      </c>
      <c r="Q184" s="73" t="n">
        <f aca="false">Q180+Q181+Q182+Q183</f>
        <v>0</v>
      </c>
      <c r="R184" s="73" t="n">
        <f aca="false">R180+R181+R182+R183</f>
        <v>0</v>
      </c>
      <c r="S184" s="73" t="n">
        <f aca="false">S180+S181+S182+S183</f>
        <v>0</v>
      </c>
      <c r="T184" s="73" t="n">
        <f aca="false">T180+T181+T182+T183</f>
        <v>0</v>
      </c>
      <c r="U184" s="73" t="n">
        <f aca="false">U180+U181+U182+U183</f>
        <v>0</v>
      </c>
      <c r="V184" s="73" t="n">
        <f aca="false">V180+V181+V182+V183</f>
        <v>0</v>
      </c>
      <c r="W184" s="73" t="n">
        <f aca="false">W180+W181+W182+W183</f>
        <v>0</v>
      </c>
      <c r="X184" s="73" t="n">
        <f aca="false">X180+X181+X182+X183</f>
        <v>0</v>
      </c>
      <c r="Y184" s="73" t="n">
        <f aca="false">Y180+Y181+Y182+Y183</f>
        <v>0</v>
      </c>
      <c r="Z184" s="73" t="n">
        <f aca="false">Z180+Z181+Z182+Z183</f>
        <v>0</v>
      </c>
      <c r="AA184" s="73" t="n">
        <f aca="false">AA180+AA181+AA182+AA183</f>
        <v>2500</v>
      </c>
      <c r="AB184" s="73" t="n">
        <f aca="false">AB180+AB181+AB182+AB183</f>
        <v>0</v>
      </c>
      <c r="AC184" s="73" t="n">
        <f aca="false">AC180+AC181+AC182+AC183</f>
        <v>0</v>
      </c>
      <c r="AD184" s="73" t="n">
        <f aca="false">AD180+AD181+AD182+AD183</f>
        <v>0</v>
      </c>
      <c r="AE184" s="73" t="n">
        <f aca="false">AE180+AE181+AE182+AE183</f>
        <v>0</v>
      </c>
      <c r="AF184" s="73" t="n">
        <f aca="false">AF180+AF181+AF182+AF183</f>
        <v>0</v>
      </c>
      <c r="AG184" s="73" t="n">
        <f aca="false">AG180+AG181+AG182+AG183</f>
        <v>0</v>
      </c>
      <c r="AH184" s="73" t="n">
        <f aca="false">AH180+AH181+AH182+AH183</f>
        <v>0</v>
      </c>
      <c r="AI184" s="73" t="n">
        <f aca="false">AI180+AI181+AI182+AI183</f>
        <v>0</v>
      </c>
      <c r="AJ184" s="73" t="n">
        <f aca="false">AJ180+AJ181+AJ182+AJ183</f>
        <v>0</v>
      </c>
      <c r="AK184" s="73" t="n">
        <f aca="false">AK180+AK181+AK182+AK183</f>
        <v>0</v>
      </c>
      <c r="AL184" s="73" t="n">
        <f aca="false">AL180+AL181+AL182+AL183</f>
        <v>0</v>
      </c>
      <c r="AM184" s="73" t="n">
        <f aca="false">AM180+AM181+AM182+AM183</f>
        <v>2500</v>
      </c>
      <c r="AN184" s="73" t="n">
        <f aca="false">AN180+AN181+AN182+AN183</f>
        <v>0</v>
      </c>
      <c r="AO184" s="73" t="n">
        <f aca="false">AO180+AO181+AO182+AO183</f>
        <v>0</v>
      </c>
      <c r="AP184" s="73" t="n">
        <f aca="false">AP180+AP181+AP182+AP183</f>
        <v>0</v>
      </c>
      <c r="AQ184" s="73" t="n">
        <f aca="false">AQ180+AQ181+AQ182+AQ183</f>
        <v>0</v>
      </c>
      <c r="AR184" s="73" t="n">
        <f aca="false">AR180+AR181+AR182+AR183</f>
        <v>0</v>
      </c>
      <c r="AS184" s="73" t="n">
        <f aca="false">AS180+AS181+AS182+AS183</f>
        <v>0</v>
      </c>
      <c r="AT184" s="73" t="n">
        <f aca="false">AT180+AT181+AT182+AT183</f>
        <v>0</v>
      </c>
      <c r="AU184" s="73" t="n">
        <f aca="false">AU180+AU181+AU182+AU183</f>
        <v>0</v>
      </c>
      <c r="AV184" s="73" t="n">
        <f aca="false">AV180+AV181+AV182+AV183</f>
        <v>0</v>
      </c>
      <c r="AW184" s="73" t="n">
        <f aca="false">AW180+AW181+AW182+AW183</f>
        <v>0</v>
      </c>
      <c r="AX184" s="73" t="n">
        <f aca="false">AX180+AX181+AX182+AX183</f>
        <v>0</v>
      </c>
      <c r="AY184" s="73" t="n">
        <f aca="false">AY180+AY181+AY182+AY183</f>
        <v>2500</v>
      </c>
      <c r="AZ184" s="73" t="n">
        <f aca="false">AZ180+AZ181+AZ182+AZ183</f>
        <v>0</v>
      </c>
      <c r="BA184" s="73" t="n">
        <f aca="false">BA180+BA181+BA182+BA183</f>
        <v>0</v>
      </c>
      <c r="BB184" s="73" t="n">
        <f aca="false">BB180+BB181+BB182+BB183</f>
        <v>0</v>
      </c>
      <c r="BC184" s="73" t="n">
        <f aca="false">BC180+BC181+BC182+BC183</f>
        <v>0</v>
      </c>
      <c r="BD184" s="73" t="n">
        <f aca="false">BD180+BD181+BD182+BD183</f>
        <v>0</v>
      </c>
      <c r="BE184" s="73" t="n">
        <f aca="false">BE180+BE181+BE182+BE183</f>
        <v>0</v>
      </c>
      <c r="BF184" s="73" t="n">
        <f aca="false">BF180+BF181+BF182+BF183</f>
        <v>0</v>
      </c>
      <c r="BG184" s="73" t="n">
        <f aca="false">BG180+BG181+BG182+BG183</f>
        <v>0</v>
      </c>
      <c r="BH184" s="73" t="n">
        <f aca="false">BH180+BH181+BH182+BH183</f>
        <v>0</v>
      </c>
      <c r="BI184" s="73" t="n">
        <f aca="false">BI180+BI181+BI182+BI183</f>
        <v>0</v>
      </c>
      <c r="BJ184" s="73" t="n">
        <f aca="false">BJ180+BJ181+BJ182+BJ183</f>
        <v>0</v>
      </c>
    </row>
    <row r="185" customFormat="false" ht="15" hidden="false" customHeight="false" outlineLevel="0" collapsed="false">
      <c r="A185" s="6" t="s">
        <v>437</v>
      </c>
      <c r="C185" s="67" t="n">
        <f aca="false">C184</f>
        <v>138000</v>
      </c>
      <c r="D185" s="67" t="n">
        <f aca="false">C185+D184</f>
        <v>138000</v>
      </c>
      <c r="E185" s="67" t="n">
        <f aca="false">D185+E184</f>
        <v>138000</v>
      </c>
      <c r="F185" s="67" t="n">
        <f aca="false">E185+F184</f>
        <v>138000</v>
      </c>
      <c r="G185" s="67" t="n">
        <f aca="false">F185+G184</f>
        <v>138000</v>
      </c>
      <c r="H185" s="67" t="n">
        <f aca="false">G185+H184</f>
        <v>138000</v>
      </c>
      <c r="I185" s="67" t="n">
        <f aca="false">H185+I184</f>
        <v>138000</v>
      </c>
      <c r="J185" s="67" t="n">
        <f aca="false">I185+J184</f>
        <v>138000</v>
      </c>
      <c r="K185" s="67" t="n">
        <f aca="false">J185+K184</f>
        <v>138000</v>
      </c>
      <c r="L185" s="67" t="n">
        <f aca="false">K185+L184</f>
        <v>138000</v>
      </c>
      <c r="M185" s="67" t="n">
        <f aca="false">L185+M184</f>
        <v>138000</v>
      </c>
      <c r="N185" s="67" t="n">
        <f aca="false">M185+N184</f>
        <v>138000</v>
      </c>
      <c r="O185" s="67" t="n">
        <f aca="false">N185+O184</f>
        <v>140500</v>
      </c>
      <c r="P185" s="67" t="n">
        <f aca="false">O185+P184</f>
        <v>140500</v>
      </c>
      <c r="Q185" s="67" t="n">
        <f aca="false">P185+Q184</f>
        <v>140500</v>
      </c>
      <c r="R185" s="67" t="n">
        <f aca="false">Q185+R184</f>
        <v>140500</v>
      </c>
      <c r="S185" s="67" t="n">
        <f aca="false">R185+S184</f>
        <v>140500</v>
      </c>
      <c r="T185" s="67" t="n">
        <f aca="false">S185+T184</f>
        <v>140500</v>
      </c>
      <c r="U185" s="67" t="n">
        <f aca="false">T185+U184</f>
        <v>140500</v>
      </c>
      <c r="V185" s="67" t="n">
        <f aca="false">U185+V184</f>
        <v>140500</v>
      </c>
      <c r="W185" s="67" t="n">
        <f aca="false">V185+W184</f>
        <v>140500</v>
      </c>
      <c r="X185" s="67" t="n">
        <f aca="false">W185+X184</f>
        <v>140500</v>
      </c>
      <c r="Y185" s="67" t="n">
        <f aca="false">X185+Y184</f>
        <v>140500</v>
      </c>
      <c r="Z185" s="67" t="n">
        <f aca="false">Y185+Z184</f>
        <v>140500</v>
      </c>
      <c r="AA185" s="67" t="n">
        <f aca="false">Z185+AA184</f>
        <v>143000</v>
      </c>
      <c r="AB185" s="67" t="n">
        <f aca="false">AA185+AB184</f>
        <v>143000</v>
      </c>
      <c r="AC185" s="67" t="n">
        <f aca="false">AB185+AC184</f>
        <v>143000</v>
      </c>
      <c r="AD185" s="67" t="n">
        <f aca="false">AC185+AD184</f>
        <v>143000</v>
      </c>
      <c r="AE185" s="67" t="n">
        <f aca="false">AD185+AE184</f>
        <v>143000</v>
      </c>
      <c r="AF185" s="67" t="n">
        <f aca="false">AE185+AF184</f>
        <v>143000</v>
      </c>
      <c r="AG185" s="67" t="n">
        <f aca="false">AF185+AG184</f>
        <v>143000</v>
      </c>
      <c r="AH185" s="67" t="n">
        <f aca="false">AG185+AH184</f>
        <v>143000</v>
      </c>
      <c r="AI185" s="67" t="n">
        <f aca="false">AH185+AI184</f>
        <v>143000</v>
      </c>
      <c r="AJ185" s="67" t="n">
        <f aca="false">AI185+AJ184</f>
        <v>143000</v>
      </c>
      <c r="AK185" s="67" t="n">
        <f aca="false">AJ185+AK184</f>
        <v>143000</v>
      </c>
      <c r="AL185" s="67" t="n">
        <f aca="false">AK185+AL184</f>
        <v>143000</v>
      </c>
      <c r="AM185" s="67" t="n">
        <f aca="false">AL185+AM184</f>
        <v>145500</v>
      </c>
      <c r="AN185" s="67" t="n">
        <f aca="false">AM185+AN184</f>
        <v>145500</v>
      </c>
      <c r="AO185" s="67" t="n">
        <f aca="false">AN185+AO184</f>
        <v>145500</v>
      </c>
      <c r="AP185" s="67" t="n">
        <f aca="false">AO185+AP184</f>
        <v>145500</v>
      </c>
      <c r="AQ185" s="67" t="n">
        <f aca="false">AP185+AQ184</f>
        <v>145500</v>
      </c>
      <c r="AR185" s="67" t="n">
        <f aca="false">AQ185+AR184</f>
        <v>145500</v>
      </c>
      <c r="AS185" s="67" t="n">
        <f aca="false">AR185+AS184</f>
        <v>145500</v>
      </c>
      <c r="AT185" s="67" t="n">
        <f aca="false">AS185+AT184</f>
        <v>145500</v>
      </c>
      <c r="AU185" s="67" t="n">
        <f aca="false">AT185+AU184</f>
        <v>145500</v>
      </c>
      <c r="AV185" s="67" t="n">
        <f aca="false">AU185+AV184</f>
        <v>145500</v>
      </c>
      <c r="AW185" s="67" t="n">
        <f aca="false">AV185+AW184</f>
        <v>145500</v>
      </c>
      <c r="AX185" s="67" t="n">
        <f aca="false">AW185+AX184</f>
        <v>145500</v>
      </c>
      <c r="AY185" s="67" t="n">
        <f aca="false">AX185+AY184</f>
        <v>148000</v>
      </c>
      <c r="AZ185" s="67" t="n">
        <f aca="false">AY185+AZ184</f>
        <v>148000</v>
      </c>
      <c r="BA185" s="67" t="n">
        <f aca="false">AZ185+BA184</f>
        <v>148000</v>
      </c>
      <c r="BB185" s="67" t="n">
        <f aca="false">BA185+BB184</f>
        <v>148000</v>
      </c>
      <c r="BC185" s="67" t="n">
        <f aca="false">BB185+BC184</f>
        <v>148000</v>
      </c>
      <c r="BD185" s="67" t="n">
        <f aca="false">BC185+BD184</f>
        <v>148000</v>
      </c>
      <c r="BE185" s="67" t="n">
        <f aca="false">BD185+BE184</f>
        <v>148000</v>
      </c>
      <c r="BF185" s="67" t="n">
        <f aca="false">BE185+BF184</f>
        <v>148000</v>
      </c>
      <c r="BG185" s="67" t="n">
        <f aca="false">BF185+BG184</f>
        <v>148000</v>
      </c>
      <c r="BH185" s="67" t="n">
        <f aca="false">BG185+BH184</f>
        <v>148000</v>
      </c>
      <c r="BI185" s="67" t="n">
        <f aca="false">BH185+BI184</f>
        <v>148000</v>
      </c>
      <c r="BJ185" s="67" t="n">
        <f aca="false">BI185+BJ184</f>
        <v>148000</v>
      </c>
    </row>
    <row r="186" customFormat="false" ht="15" hidden="false" customHeight="false" outlineLevel="0" collapsed="false">
      <c r="A186" s="6" t="s">
        <v>78</v>
      </c>
      <c r="C186" s="67" t="n">
        <f aca="false">-MIN(C185/MAX(1,Inputs!$C$82*12),C184)</f>
        <v>-1642.85714285714</v>
      </c>
      <c r="D186" s="67" t="n">
        <f aca="false">-MIN(D185/MAX(1,Inputs!$C$82*12),C188+D184)</f>
        <v>-1642.85714285714</v>
      </c>
      <c r="E186" s="67" t="n">
        <f aca="false">-MIN(E185/MAX(1,Inputs!$C$82*12),D188+E184)</f>
        <v>-1642.85714285714</v>
      </c>
      <c r="F186" s="67" t="n">
        <f aca="false">-MIN(F185/MAX(1,Inputs!$C$82*12),E188+F184)</f>
        <v>-1642.85714285714</v>
      </c>
      <c r="G186" s="67" t="n">
        <f aca="false">-MIN(G185/MAX(1,Inputs!$C$82*12),F188+G184)</f>
        <v>-1642.85714285714</v>
      </c>
      <c r="H186" s="67" t="n">
        <f aca="false">-MIN(H185/MAX(1,Inputs!$C$82*12),G188+H184)</f>
        <v>-1642.85714285714</v>
      </c>
      <c r="I186" s="67" t="n">
        <f aca="false">-MIN(I185/MAX(1,Inputs!$C$82*12),H188+I184)</f>
        <v>-1642.85714285714</v>
      </c>
      <c r="J186" s="67" t="n">
        <f aca="false">-MIN(J185/MAX(1,Inputs!$C$82*12),I188+J184)</f>
        <v>-1642.85714285714</v>
      </c>
      <c r="K186" s="67" t="n">
        <f aca="false">-MIN(K185/MAX(1,Inputs!$C$82*12),J188+K184)</f>
        <v>-1642.85714285714</v>
      </c>
      <c r="L186" s="67" t="n">
        <f aca="false">-MIN(L185/MAX(1,Inputs!$C$82*12),K188+L184)</f>
        <v>-1642.85714285714</v>
      </c>
      <c r="M186" s="67" t="n">
        <f aca="false">-MIN(M185/MAX(1,Inputs!$C$82*12),L188+M184)</f>
        <v>-1642.85714285714</v>
      </c>
      <c r="N186" s="67" t="n">
        <f aca="false">-MIN(N185/MAX(1,Inputs!$C$82*12),M188+N184)</f>
        <v>-1642.85714285714</v>
      </c>
      <c r="O186" s="67" t="n">
        <f aca="false">-MIN(O185/MAX(1,Inputs!$C$82*12),N188+O184)</f>
        <v>-1672.61904761905</v>
      </c>
      <c r="P186" s="67" t="n">
        <f aca="false">-MIN(P185/MAX(1,Inputs!$C$82*12),O188+P184)</f>
        <v>-1672.61904761905</v>
      </c>
      <c r="Q186" s="67" t="n">
        <f aca="false">-MIN(Q185/MAX(1,Inputs!$C$82*12),P188+Q184)</f>
        <v>-1672.61904761905</v>
      </c>
      <c r="R186" s="67" t="n">
        <f aca="false">-MIN(R185/MAX(1,Inputs!$C$82*12),Q188+R184)</f>
        <v>-1672.61904761905</v>
      </c>
      <c r="S186" s="67" t="n">
        <f aca="false">-MIN(S185/MAX(1,Inputs!$C$82*12),R188+S184)</f>
        <v>-1672.61904761905</v>
      </c>
      <c r="T186" s="67" t="n">
        <f aca="false">-MIN(T185/MAX(1,Inputs!$C$82*12),S188+T184)</f>
        <v>-1672.61904761905</v>
      </c>
      <c r="U186" s="67" t="n">
        <f aca="false">-MIN(U185/MAX(1,Inputs!$C$82*12),T188+U184)</f>
        <v>-1672.61904761905</v>
      </c>
      <c r="V186" s="67" t="n">
        <f aca="false">-MIN(V185/MAX(1,Inputs!$C$82*12),U188+V184)</f>
        <v>-1672.61904761905</v>
      </c>
      <c r="W186" s="67" t="n">
        <f aca="false">-MIN(W185/MAX(1,Inputs!$C$82*12),V188+W184)</f>
        <v>-1672.61904761905</v>
      </c>
      <c r="X186" s="67" t="n">
        <f aca="false">-MIN(X185/MAX(1,Inputs!$C$82*12),W188+X184)</f>
        <v>-1672.61904761905</v>
      </c>
      <c r="Y186" s="67" t="n">
        <f aca="false">-MIN(Y185/MAX(1,Inputs!$C$82*12),X188+Y184)</f>
        <v>-1672.61904761905</v>
      </c>
      <c r="Z186" s="67" t="n">
        <f aca="false">-MIN(Z185/MAX(1,Inputs!$C$82*12),Y188+Z184)</f>
        <v>-1672.61904761905</v>
      </c>
      <c r="AA186" s="67" t="n">
        <f aca="false">-MIN(AA185/MAX(1,Inputs!$C$82*12),Z188+AA184)</f>
        <v>-1702.38095238095</v>
      </c>
      <c r="AB186" s="67" t="n">
        <f aca="false">-MIN(AB185/MAX(1,Inputs!$C$82*12),AA188+AB184)</f>
        <v>-1702.38095238095</v>
      </c>
      <c r="AC186" s="67" t="n">
        <f aca="false">-MIN(AC185/MAX(1,Inputs!$C$82*12),AB188+AC184)</f>
        <v>-1702.38095238095</v>
      </c>
      <c r="AD186" s="67" t="n">
        <f aca="false">-MIN(AD185/MAX(1,Inputs!$C$82*12),AC188+AD184)</f>
        <v>-1702.38095238095</v>
      </c>
      <c r="AE186" s="67" t="n">
        <f aca="false">-MIN(AE185/MAX(1,Inputs!$C$82*12),AD188+AE184)</f>
        <v>-1702.38095238095</v>
      </c>
      <c r="AF186" s="67" t="n">
        <f aca="false">-MIN(AF185/MAX(1,Inputs!$C$82*12),AE188+AF184)</f>
        <v>-1702.38095238095</v>
      </c>
      <c r="AG186" s="67" t="n">
        <f aca="false">-MIN(AG185/MAX(1,Inputs!$C$82*12),AF188+AG184)</f>
        <v>-1702.38095238095</v>
      </c>
      <c r="AH186" s="67" t="n">
        <f aca="false">-MIN(AH185/MAX(1,Inputs!$C$82*12),AG188+AH184)</f>
        <v>-1702.38095238095</v>
      </c>
      <c r="AI186" s="67" t="n">
        <f aca="false">-MIN(AI185/MAX(1,Inputs!$C$82*12),AH188+AI184)</f>
        <v>-1702.38095238095</v>
      </c>
      <c r="AJ186" s="67" t="n">
        <f aca="false">-MIN(AJ185/MAX(1,Inputs!$C$82*12),AI188+AJ184)</f>
        <v>-1702.38095238095</v>
      </c>
      <c r="AK186" s="67" t="n">
        <f aca="false">-MIN(AK185/MAX(1,Inputs!$C$82*12),AJ188+AK184)</f>
        <v>-1702.38095238095</v>
      </c>
      <c r="AL186" s="67" t="n">
        <f aca="false">-MIN(AL185/MAX(1,Inputs!$C$82*12),AK188+AL184)</f>
        <v>-1702.38095238095</v>
      </c>
      <c r="AM186" s="67" t="n">
        <f aca="false">-MIN(AM185/MAX(1,Inputs!$C$82*12),AL188+AM184)</f>
        <v>-1732.14285714286</v>
      </c>
      <c r="AN186" s="67" t="n">
        <f aca="false">-MIN(AN185/MAX(1,Inputs!$C$82*12),AM188+AN184)</f>
        <v>-1732.14285714286</v>
      </c>
      <c r="AO186" s="67" t="n">
        <f aca="false">-MIN(AO185/MAX(1,Inputs!$C$82*12),AN188+AO184)</f>
        <v>-1732.14285714286</v>
      </c>
      <c r="AP186" s="67" t="n">
        <f aca="false">-MIN(AP185/MAX(1,Inputs!$C$82*12),AO188+AP184)</f>
        <v>-1732.14285714286</v>
      </c>
      <c r="AQ186" s="67" t="n">
        <f aca="false">-MIN(AQ185/MAX(1,Inputs!$C$82*12),AP188+AQ184)</f>
        <v>-1732.14285714286</v>
      </c>
      <c r="AR186" s="67" t="n">
        <f aca="false">-MIN(AR185/MAX(1,Inputs!$C$82*12),AQ188+AR184)</f>
        <v>-1732.14285714286</v>
      </c>
      <c r="AS186" s="67" t="n">
        <f aca="false">-MIN(AS185/MAX(1,Inputs!$C$82*12),AR188+AS184)</f>
        <v>-1732.14285714286</v>
      </c>
      <c r="AT186" s="67" t="n">
        <f aca="false">-MIN(AT185/MAX(1,Inputs!$C$82*12),AS188+AT184)</f>
        <v>-1732.14285714286</v>
      </c>
      <c r="AU186" s="67" t="n">
        <f aca="false">-MIN(AU185/MAX(1,Inputs!$C$82*12),AT188+AU184)</f>
        <v>-1732.14285714286</v>
      </c>
      <c r="AV186" s="67" t="n">
        <f aca="false">-MIN(AV185/MAX(1,Inputs!$C$82*12),AU188+AV184)</f>
        <v>-1732.14285714286</v>
      </c>
      <c r="AW186" s="67" t="n">
        <f aca="false">-MIN(AW185/MAX(1,Inputs!$C$82*12),AV188+AW184)</f>
        <v>-1732.14285714286</v>
      </c>
      <c r="AX186" s="67" t="n">
        <f aca="false">-MIN(AX185/MAX(1,Inputs!$C$82*12),AW188+AX184)</f>
        <v>-1732.14285714286</v>
      </c>
      <c r="AY186" s="67" t="n">
        <f aca="false">-MIN(AY185/MAX(1,Inputs!$C$82*12),AX188+AY184)</f>
        <v>-1761.90476190476</v>
      </c>
      <c r="AZ186" s="67" t="n">
        <f aca="false">-MIN(AZ185/MAX(1,Inputs!$C$82*12),AY188+AZ184)</f>
        <v>-1761.90476190476</v>
      </c>
      <c r="BA186" s="67" t="n">
        <f aca="false">-MIN(BA185/MAX(1,Inputs!$C$82*12),AZ188+BA184)</f>
        <v>-1761.90476190476</v>
      </c>
      <c r="BB186" s="67" t="n">
        <f aca="false">-MIN(BB185/MAX(1,Inputs!$C$82*12),BA188+BB184)</f>
        <v>-1761.90476190476</v>
      </c>
      <c r="BC186" s="67" t="n">
        <f aca="false">-MIN(BC185/MAX(1,Inputs!$C$82*12),BB188+BC184)</f>
        <v>-1761.90476190476</v>
      </c>
      <c r="BD186" s="67" t="n">
        <f aca="false">-MIN(BD185/MAX(1,Inputs!$C$82*12),BC188+BD184)</f>
        <v>-1761.90476190476</v>
      </c>
      <c r="BE186" s="67" t="n">
        <f aca="false">-MIN(BE185/MAX(1,Inputs!$C$82*12),BD188+BE184)</f>
        <v>-1761.90476190476</v>
      </c>
      <c r="BF186" s="67" t="n">
        <f aca="false">-MIN(BF185/MAX(1,Inputs!$C$82*12),BE188+BF184)</f>
        <v>-1761.90476190476</v>
      </c>
      <c r="BG186" s="67" t="n">
        <f aca="false">-MIN(BG185/MAX(1,Inputs!$C$82*12),BF188+BG184)</f>
        <v>-1761.90476190476</v>
      </c>
      <c r="BH186" s="67" t="n">
        <f aca="false">-MIN(BH185/MAX(1,Inputs!$C$82*12),BG188+BH184)</f>
        <v>-1761.90476190476</v>
      </c>
      <c r="BI186" s="67" t="n">
        <f aca="false">-MIN(BI185/MAX(1,Inputs!$C$82*12),BH188+BI184)</f>
        <v>-1761.90476190476</v>
      </c>
      <c r="BJ186" s="67" t="n">
        <f aca="false">-MIN(BJ185/MAX(1,Inputs!$C$82*12),BI188+BJ184)</f>
        <v>-1761.90476190476</v>
      </c>
    </row>
    <row r="187" customFormat="false" ht="15" hidden="false" customHeight="false" outlineLevel="0" collapsed="false">
      <c r="A187" s="6" t="s">
        <v>438</v>
      </c>
      <c r="C187" s="67" t="n">
        <f aca="false">C186</f>
        <v>-1642.85714285714</v>
      </c>
      <c r="D187" s="67" t="n">
        <f aca="false">C187+D186</f>
        <v>-3285.71428571429</v>
      </c>
      <c r="E187" s="67" t="n">
        <f aca="false">D187+E186</f>
        <v>-4928.57142857143</v>
      </c>
      <c r="F187" s="67" t="n">
        <f aca="false">E187+F186</f>
        <v>-6571.42857142857</v>
      </c>
      <c r="G187" s="67" t="n">
        <f aca="false">F187+G186</f>
        <v>-8214.28571428571</v>
      </c>
      <c r="H187" s="67" t="n">
        <f aca="false">G187+H186</f>
        <v>-9857.14285714286</v>
      </c>
      <c r="I187" s="67" t="n">
        <f aca="false">H187+I186</f>
        <v>-11500</v>
      </c>
      <c r="J187" s="67" t="n">
        <f aca="false">I187+J186</f>
        <v>-13142.8571428571</v>
      </c>
      <c r="K187" s="67" t="n">
        <f aca="false">J187+K186</f>
        <v>-14785.7142857143</v>
      </c>
      <c r="L187" s="67" t="n">
        <f aca="false">K187+L186</f>
        <v>-16428.5714285714</v>
      </c>
      <c r="M187" s="67" t="n">
        <f aca="false">L187+M186</f>
        <v>-18071.4285714286</v>
      </c>
      <c r="N187" s="67" t="n">
        <f aca="false">M187+N186</f>
        <v>-19714.2857142857</v>
      </c>
      <c r="O187" s="67" t="n">
        <f aca="false">N187+O186</f>
        <v>-21386.9047619048</v>
      </c>
      <c r="P187" s="67" t="n">
        <f aca="false">O187+P186</f>
        <v>-23059.5238095238</v>
      </c>
      <c r="Q187" s="67" t="n">
        <f aca="false">P187+Q186</f>
        <v>-24732.1428571428</v>
      </c>
      <c r="R187" s="67" t="n">
        <f aca="false">Q187+R186</f>
        <v>-26404.7619047619</v>
      </c>
      <c r="S187" s="67" t="n">
        <f aca="false">R187+S186</f>
        <v>-28077.3809523809</v>
      </c>
      <c r="T187" s="67" t="n">
        <f aca="false">S187+T186</f>
        <v>-29750</v>
      </c>
      <c r="U187" s="67" t="n">
        <f aca="false">T187+U186</f>
        <v>-31422.619047619</v>
      </c>
      <c r="V187" s="67" t="n">
        <f aca="false">U187+V186</f>
        <v>-33095.2380952381</v>
      </c>
      <c r="W187" s="67" t="n">
        <f aca="false">V187+W186</f>
        <v>-34767.8571428571</v>
      </c>
      <c r="X187" s="67" t="n">
        <f aca="false">W187+X186</f>
        <v>-36440.4761904762</v>
      </c>
      <c r="Y187" s="67" t="n">
        <f aca="false">X187+Y186</f>
        <v>-38113.0952380952</v>
      </c>
      <c r="Z187" s="67" t="n">
        <f aca="false">Y187+Z186</f>
        <v>-39785.7142857143</v>
      </c>
      <c r="AA187" s="67" t="n">
        <f aca="false">Z187+AA186</f>
        <v>-41488.0952380952</v>
      </c>
      <c r="AB187" s="67" t="n">
        <f aca="false">AA187+AB186</f>
        <v>-43190.4761904762</v>
      </c>
      <c r="AC187" s="67" t="n">
        <f aca="false">AB187+AC186</f>
        <v>-44892.8571428571</v>
      </c>
      <c r="AD187" s="67" t="n">
        <f aca="false">AC187+AD186</f>
        <v>-46595.2380952381</v>
      </c>
      <c r="AE187" s="67" t="n">
        <f aca="false">AD187+AE186</f>
        <v>-48297.619047619</v>
      </c>
      <c r="AF187" s="67" t="n">
        <f aca="false">AE187+AF186</f>
        <v>-50000</v>
      </c>
      <c r="AG187" s="67" t="n">
        <f aca="false">AF187+AG186</f>
        <v>-51702.3809523809</v>
      </c>
      <c r="AH187" s="67" t="n">
        <f aca="false">AG187+AH186</f>
        <v>-53404.7619047619</v>
      </c>
      <c r="AI187" s="67" t="n">
        <f aca="false">AH187+AI186</f>
        <v>-55107.1428571429</v>
      </c>
      <c r="AJ187" s="67" t="n">
        <f aca="false">AI187+AJ186</f>
        <v>-56809.5238095238</v>
      </c>
      <c r="AK187" s="67" t="n">
        <f aca="false">AJ187+AK186</f>
        <v>-58511.9047619048</v>
      </c>
      <c r="AL187" s="67" t="n">
        <f aca="false">AK187+AL186</f>
        <v>-60214.2857142857</v>
      </c>
      <c r="AM187" s="67" t="n">
        <f aca="false">AL187+AM186</f>
        <v>-61946.4285714286</v>
      </c>
      <c r="AN187" s="67" t="n">
        <f aca="false">AM187+AN186</f>
        <v>-63678.5714285714</v>
      </c>
      <c r="AO187" s="67" t="n">
        <f aca="false">AN187+AO186</f>
        <v>-65410.7142857143</v>
      </c>
      <c r="AP187" s="67" t="n">
        <f aca="false">AO187+AP186</f>
        <v>-67142.8571428571</v>
      </c>
      <c r="AQ187" s="67" t="n">
        <f aca="false">AP187+AQ186</f>
        <v>-68875</v>
      </c>
      <c r="AR187" s="67" t="n">
        <f aca="false">AQ187+AR186</f>
        <v>-70607.1428571428</v>
      </c>
      <c r="AS187" s="67" t="n">
        <f aca="false">AR187+AS186</f>
        <v>-72339.2857142857</v>
      </c>
      <c r="AT187" s="67" t="n">
        <f aca="false">AS187+AT186</f>
        <v>-74071.4285714286</v>
      </c>
      <c r="AU187" s="67" t="n">
        <f aca="false">AT187+AU186</f>
        <v>-75803.5714285714</v>
      </c>
      <c r="AV187" s="67" t="n">
        <f aca="false">AU187+AV186</f>
        <v>-77535.7142857143</v>
      </c>
      <c r="AW187" s="67" t="n">
        <f aca="false">AV187+AW186</f>
        <v>-79267.8571428571</v>
      </c>
      <c r="AX187" s="67" t="n">
        <f aca="false">AW187+AX186</f>
        <v>-81000</v>
      </c>
      <c r="AY187" s="67" t="n">
        <f aca="false">AX187+AY186</f>
        <v>-82761.9047619047</v>
      </c>
      <c r="AZ187" s="67" t="n">
        <f aca="false">AY187+AZ186</f>
        <v>-84523.8095238095</v>
      </c>
      <c r="BA187" s="67" t="n">
        <f aca="false">AZ187+BA186</f>
        <v>-86285.7142857143</v>
      </c>
      <c r="BB187" s="67" t="n">
        <f aca="false">BA187+BB186</f>
        <v>-88047.619047619</v>
      </c>
      <c r="BC187" s="67" t="n">
        <f aca="false">BB187+BC186</f>
        <v>-89809.5238095238</v>
      </c>
      <c r="BD187" s="67" t="n">
        <f aca="false">BC187+BD186</f>
        <v>-91571.4285714286</v>
      </c>
      <c r="BE187" s="67" t="n">
        <f aca="false">BD187+BE186</f>
        <v>-93333.3333333333</v>
      </c>
      <c r="BF187" s="67" t="n">
        <f aca="false">BE187+BF186</f>
        <v>-95095.2380952381</v>
      </c>
      <c r="BG187" s="67" t="n">
        <f aca="false">BF187+BG186</f>
        <v>-96857.1428571428</v>
      </c>
      <c r="BH187" s="67" t="n">
        <f aca="false">BG187+BH186</f>
        <v>-98619.0476190476</v>
      </c>
      <c r="BI187" s="67" t="n">
        <f aca="false">BH187+BI186</f>
        <v>-100380.952380952</v>
      </c>
      <c r="BJ187" s="67" t="n">
        <f aca="false">BI187+BJ186</f>
        <v>-102142.857142857</v>
      </c>
    </row>
    <row r="188" customFormat="false" ht="15" hidden="false" customHeight="false" outlineLevel="0" collapsed="false">
      <c r="A188" s="4" t="s">
        <v>92</v>
      </c>
      <c r="C188" s="73" t="n">
        <f aca="false">C185+C187</f>
        <v>136357.142857143</v>
      </c>
      <c r="D188" s="73" t="n">
        <f aca="false">D185+D187</f>
        <v>134714.285714286</v>
      </c>
      <c r="E188" s="73" t="n">
        <f aca="false">E185+E187</f>
        <v>133071.428571429</v>
      </c>
      <c r="F188" s="73" t="n">
        <f aca="false">F185+F187</f>
        <v>131428.571428571</v>
      </c>
      <c r="G188" s="73" t="n">
        <f aca="false">G185+G187</f>
        <v>129785.714285714</v>
      </c>
      <c r="H188" s="73" t="n">
        <f aca="false">H185+H187</f>
        <v>128142.857142857</v>
      </c>
      <c r="I188" s="73" t="n">
        <f aca="false">I185+I187</f>
        <v>126500</v>
      </c>
      <c r="J188" s="73" t="n">
        <f aca="false">J185+J187</f>
        <v>124857.142857143</v>
      </c>
      <c r="K188" s="73" t="n">
        <f aca="false">K185+K187</f>
        <v>123214.285714286</v>
      </c>
      <c r="L188" s="73" t="n">
        <f aca="false">L185+L187</f>
        <v>121571.428571429</v>
      </c>
      <c r="M188" s="73" t="n">
        <f aca="false">M185+M187</f>
        <v>119928.571428571</v>
      </c>
      <c r="N188" s="73" t="n">
        <f aca="false">N185+N187</f>
        <v>118285.714285714</v>
      </c>
      <c r="O188" s="73" t="n">
        <f aca="false">O185+O187</f>
        <v>119113.095238095</v>
      </c>
      <c r="P188" s="73" t="n">
        <f aca="false">P185+P187</f>
        <v>117440.476190476</v>
      </c>
      <c r="Q188" s="73" t="n">
        <f aca="false">Q185+Q187</f>
        <v>115767.857142857</v>
      </c>
      <c r="R188" s="73" t="n">
        <f aca="false">R185+R187</f>
        <v>114095.238095238</v>
      </c>
      <c r="S188" s="73" t="n">
        <f aca="false">S185+S187</f>
        <v>112422.619047619</v>
      </c>
      <c r="T188" s="73" t="n">
        <f aca="false">T185+T187</f>
        <v>110750</v>
      </c>
      <c r="U188" s="73" t="n">
        <f aca="false">U185+U187</f>
        <v>109077.380952381</v>
      </c>
      <c r="V188" s="73" t="n">
        <f aca="false">V185+V187</f>
        <v>107404.761904762</v>
      </c>
      <c r="W188" s="73" t="n">
        <f aca="false">W185+W187</f>
        <v>105732.142857143</v>
      </c>
      <c r="X188" s="73" t="n">
        <f aca="false">X185+X187</f>
        <v>104059.523809524</v>
      </c>
      <c r="Y188" s="73" t="n">
        <f aca="false">Y185+Y187</f>
        <v>102386.904761905</v>
      </c>
      <c r="Z188" s="73" t="n">
        <f aca="false">Z185+Z187</f>
        <v>100714.285714286</v>
      </c>
      <c r="AA188" s="73" t="n">
        <f aca="false">AA185+AA187</f>
        <v>101511.904761905</v>
      </c>
      <c r="AB188" s="73" t="n">
        <f aca="false">AB185+AB187</f>
        <v>99809.5238095238</v>
      </c>
      <c r="AC188" s="73" t="n">
        <f aca="false">AC185+AC187</f>
        <v>98107.1428571429</v>
      </c>
      <c r="AD188" s="73" t="n">
        <f aca="false">AD185+AD187</f>
        <v>96404.7619047619</v>
      </c>
      <c r="AE188" s="73" t="n">
        <f aca="false">AE185+AE187</f>
        <v>94702.380952381</v>
      </c>
      <c r="AF188" s="73" t="n">
        <f aca="false">AF185+AF187</f>
        <v>93000</v>
      </c>
      <c r="AG188" s="73" t="n">
        <f aca="false">AG185+AG187</f>
        <v>91297.6190476191</v>
      </c>
      <c r="AH188" s="73" t="n">
        <f aca="false">AH185+AH187</f>
        <v>89595.2380952381</v>
      </c>
      <c r="AI188" s="73" t="n">
        <f aca="false">AI185+AI187</f>
        <v>87892.8571428572</v>
      </c>
      <c r="AJ188" s="73" t="n">
        <f aca="false">AJ185+AJ187</f>
        <v>86190.4761904762</v>
      </c>
      <c r="AK188" s="73" t="n">
        <f aca="false">AK185+AK187</f>
        <v>84488.0952380952</v>
      </c>
      <c r="AL188" s="73" t="n">
        <f aca="false">AL185+AL187</f>
        <v>82785.7142857143</v>
      </c>
      <c r="AM188" s="73" t="n">
        <f aca="false">AM185+AM187</f>
        <v>83553.5714285714</v>
      </c>
      <c r="AN188" s="73" t="n">
        <f aca="false">AN185+AN187</f>
        <v>81821.4285714286</v>
      </c>
      <c r="AO188" s="73" t="n">
        <f aca="false">AO185+AO187</f>
        <v>80089.2857142857</v>
      </c>
      <c r="AP188" s="73" t="n">
        <f aca="false">AP185+AP187</f>
        <v>78357.1428571429</v>
      </c>
      <c r="AQ188" s="73" t="n">
        <f aca="false">AQ185+AQ187</f>
        <v>76625</v>
      </c>
      <c r="AR188" s="73" t="n">
        <f aca="false">AR185+AR187</f>
        <v>74892.8571428572</v>
      </c>
      <c r="AS188" s="73" t="n">
        <f aca="false">AS185+AS187</f>
        <v>73160.7142857143</v>
      </c>
      <c r="AT188" s="73" t="n">
        <f aca="false">AT185+AT187</f>
        <v>71428.5714285715</v>
      </c>
      <c r="AU188" s="73" t="n">
        <f aca="false">AU185+AU187</f>
        <v>69696.4285714286</v>
      </c>
      <c r="AV188" s="73" t="n">
        <f aca="false">AV185+AV187</f>
        <v>67964.2857142857</v>
      </c>
      <c r="AW188" s="73" t="n">
        <f aca="false">AW185+AW187</f>
        <v>66232.1428571429</v>
      </c>
      <c r="AX188" s="73" t="n">
        <f aca="false">AX185+AX187</f>
        <v>64500</v>
      </c>
      <c r="AY188" s="73" t="n">
        <f aca="false">AY185+AY187</f>
        <v>65238.0952380953</v>
      </c>
      <c r="AZ188" s="73" t="n">
        <f aca="false">AZ185+AZ187</f>
        <v>63476.1904761905</v>
      </c>
      <c r="BA188" s="73" t="n">
        <f aca="false">BA185+BA187</f>
        <v>61714.2857142857</v>
      </c>
      <c r="BB188" s="73" t="n">
        <f aca="false">BB185+BB187</f>
        <v>59952.380952381</v>
      </c>
      <c r="BC188" s="73" t="n">
        <f aca="false">BC185+BC187</f>
        <v>58190.4761904762</v>
      </c>
      <c r="BD188" s="73" t="n">
        <f aca="false">BD185+BD187</f>
        <v>56428.5714285715</v>
      </c>
      <c r="BE188" s="73" t="n">
        <f aca="false">BE185+BE187</f>
        <v>54666.6666666667</v>
      </c>
      <c r="BF188" s="73" t="n">
        <f aca="false">BF185+BF187</f>
        <v>52904.7619047619</v>
      </c>
      <c r="BG188" s="73" t="n">
        <f aca="false">BG185+BG187</f>
        <v>51142.8571428572</v>
      </c>
      <c r="BH188" s="73" t="n">
        <f aca="false">BH185+BH187</f>
        <v>49380.9523809524</v>
      </c>
      <c r="BI188" s="73" t="n">
        <f aca="false">BI185+BI187</f>
        <v>47619.0476190476</v>
      </c>
      <c r="BJ188" s="73" t="n">
        <f aca="false">BJ185+BJ187</f>
        <v>45857.1428571429</v>
      </c>
    </row>
    <row r="190" customFormat="false" ht="15.75" hidden="false" customHeight="true" outlineLevel="0" collapsed="false">
      <c r="A190" s="7" t="s">
        <v>439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</row>
    <row r="191" customFormat="false" ht="15" hidden="false" customHeight="false" outlineLevel="0" collapsed="false">
      <c r="A191" s="6" t="s">
        <v>440</v>
      </c>
      <c r="C191" s="67" t="n">
        <f aca="false">0</f>
        <v>0</v>
      </c>
      <c r="D191" s="67" t="n">
        <f aca="false">C194</f>
        <v>90000</v>
      </c>
      <c r="E191" s="67" t="n">
        <f aca="false">D194</f>
        <v>88500</v>
      </c>
      <c r="F191" s="67" t="n">
        <f aca="false">E194</f>
        <v>87000</v>
      </c>
      <c r="G191" s="67" t="n">
        <f aca="false">F194</f>
        <v>85500</v>
      </c>
      <c r="H191" s="67" t="n">
        <f aca="false">G194</f>
        <v>84000</v>
      </c>
      <c r="I191" s="67" t="n">
        <f aca="false">H194</f>
        <v>82500</v>
      </c>
      <c r="J191" s="67" t="n">
        <f aca="false">I194</f>
        <v>81000</v>
      </c>
      <c r="K191" s="67" t="n">
        <f aca="false">J194</f>
        <v>79500</v>
      </c>
      <c r="L191" s="67" t="n">
        <f aca="false">K194</f>
        <v>78000</v>
      </c>
      <c r="M191" s="67" t="n">
        <f aca="false">L194</f>
        <v>76500</v>
      </c>
      <c r="N191" s="67" t="n">
        <f aca="false">M194</f>
        <v>75000</v>
      </c>
      <c r="O191" s="67" t="n">
        <f aca="false">N194</f>
        <v>73500</v>
      </c>
      <c r="P191" s="67" t="n">
        <f aca="false">O194</f>
        <v>72000</v>
      </c>
      <c r="Q191" s="67" t="n">
        <f aca="false">P194</f>
        <v>70500</v>
      </c>
      <c r="R191" s="67" t="n">
        <f aca="false">Q194</f>
        <v>69000</v>
      </c>
      <c r="S191" s="67" t="n">
        <f aca="false">R194</f>
        <v>67500</v>
      </c>
      <c r="T191" s="67" t="n">
        <f aca="false">S194</f>
        <v>66000</v>
      </c>
      <c r="U191" s="67" t="n">
        <f aca="false">T194</f>
        <v>64500</v>
      </c>
      <c r="V191" s="67" t="n">
        <f aca="false">U194</f>
        <v>63000</v>
      </c>
      <c r="W191" s="67" t="n">
        <f aca="false">V194</f>
        <v>61500</v>
      </c>
      <c r="X191" s="67" t="n">
        <f aca="false">W194</f>
        <v>60000</v>
      </c>
      <c r="Y191" s="67" t="n">
        <f aca="false">X194</f>
        <v>58500</v>
      </c>
      <c r="Z191" s="67" t="n">
        <f aca="false">Y194</f>
        <v>57000</v>
      </c>
      <c r="AA191" s="67" t="n">
        <f aca="false">Z194</f>
        <v>55500</v>
      </c>
      <c r="AB191" s="67" t="n">
        <f aca="false">AA194</f>
        <v>54000</v>
      </c>
      <c r="AC191" s="67" t="n">
        <f aca="false">AB194</f>
        <v>52500</v>
      </c>
      <c r="AD191" s="67" t="n">
        <f aca="false">AC194</f>
        <v>51000</v>
      </c>
      <c r="AE191" s="67" t="n">
        <f aca="false">AD194</f>
        <v>49500</v>
      </c>
      <c r="AF191" s="67" t="n">
        <f aca="false">AE194</f>
        <v>48000</v>
      </c>
      <c r="AG191" s="67" t="n">
        <f aca="false">AF194</f>
        <v>46500</v>
      </c>
      <c r="AH191" s="67" t="n">
        <f aca="false">AG194</f>
        <v>45000</v>
      </c>
      <c r="AI191" s="67" t="n">
        <f aca="false">AH194</f>
        <v>43500</v>
      </c>
      <c r="AJ191" s="67" t="n">
        <f aca="false">AI194</f>
        <v>42000</v>
      </c>
      <c r="AK191" s="67" t="n">
        <f aca="false">AJ194</f>
        <v>40500</v>
      </c>
      <c r="AL191" s="67" t="n">
        <f aca="false">AK194</f>
        <v>39000</v>
      </c>
      <c r="AM191" s="67" t="n">
        <f aca="false">AL194</f>
        <v>37500</v>
      </c>
      <c r="AN191" s="67" t="n">
        <f aca="false">AM194</f>
        <v>36000</v>
      </c>
      <c r="AO191" s="67" t="n">
        <f aca="false">AN194</f>
        <v>34500</v>
      </c>
      <c r="AP191" s="67" t="n">
        <f aca="false">AO194</f>
        <v>33000</v>
      </c>
      <c r="AQ191" s="67" t="n">
        <f aca="false">AP194</f>
        <v>31500</v>
      </c>
      <c r="AR191" s="67" t="n">
        <f aca="false">AQ194</f>
        <v>30000</v>
      </c>
      <c r="AS191" s="67" t="n">
        <f aca="false">AR194</f>
        <v>28500</v>
      </c>
      <c r="AT191" s="67" t="n">
        <f aca="false">AS194</f>
        <v>27000</v>
      </c>
      <c r="AU191" s="67" t="n">
        <f aca="false">AT194</f>
        <v>25500</v>
      </c>
      <c r="AV191" s="67" t="n">
        <f aca="false">AU194</f>
        <v>24000</v>
      </c>
      <c r="AW191" s="67" t="n">
        <f aca="false">AV194</f>
        <v>22500</v>
      </c>
      <c r="AX191" s="67" t="n">
        <f aca="false">AW194</f>
        <v>21000</v>
      </c>
      <c r="AY191" s="67" t="n">
        <f aca="false">AX194</f>
        <v>19500</v>
      </c>
      <c r="AZ191" s="67" t="n">
        <f aca="false">AY194</f>
        <v>18000</v>
      </c>
      <c r="BA191" s="67" t="n">
        <f aca="false">AZ194</f>
        <v>16500</v>
      </c>
      <c r="BB191" s="67" t="n">
        <f aca="false">BA194</f>
        <v>15000</v>
      </c>
      <c r="BC191" s="67" t="n">
        <f aca="false">BB194</f>
        <v>13500</v>
      </c>
      <c r="BD191" s="67" t="n">
        <f aca="false">BC194</f>
        <v>12000</v>
      </c>
      <c r="BE191" s="67" t="n">
        <f aca="false">BD194</f>
        <v>10500</v>
      </c>
      <c r="BF191" s="67" t="n">
        <f aca="false">BE194</f>
        <v>9000</v>
      </c>
      <c r="BG191" s="67" t="n">
        <f aca="false">BF194</f>
        <v>7500</v>
      </c>
      <c r="BH191" s="67" t="n">
        <f aca="false">BG194</f>
        <v>6000</v>
      </c>
      <c r="BI191" s="67" t="n">
        <f aca="false">BH194</f>
        <v>4500</v>
      </c>
      <c r="BJ191" s="67" t="n">
        <f aca="false">BI194</f>
        <v>3000</v>
      </c>
    </row>
    <row r="192" customFormat="false" ht="15" hidden="false" customHeight="false" outlineLevel="0" collapsed="false">
      <c r="A192" s="6" t="s">
        <v>85</v>
      </c>
      <c r="C192" s="67" t="n">
        <f aca="false">IF(C$126=1,Inputs!$C$72,0)</f>
        <v>90000</v>
      </c>
      <c r="D192" s="67" t="n">
        <f aca="false">IF(D$126=1,Inputs!$C$72,0)</f>
        <v>0</v>
      </c>
      <c r="E192" s="67" t="n">
        <f aca="false">IF(E$126=1,Inputs!$C$72,0)</f>
        <v>0</v>
      </c>
      <c r="F192" s="67" t="n">
        <f aca="false">IF(F$126=1,Inputs!$C$72,0)</f>
        <v>0</v>
      </c>
      <c r="G192" s="67" t="n">
        <f aca="false">IF(G$126=1,Inputs!$C$72,0)</f>
        <v>0</v>
      </c>
      <c r="H192" s="67" t="n">
        <f aca="false">IF(H$126=1,Inputs!$C$72,0)</f>
        <v>0</v>
      </c>
      <c r="I192" s="67" t="n">
        <f aca="false">IF(I$126=1,Inputs!$C$72,0)</f>
        <v>0</v>
      </c>
      <c r="J192" s="67" t="n">
        <f aca="false">IF(J$126=1,Inputs!$C$72,0)</f>
        <v>0</v>
      </c>
      <c r="K192" s="67" t="n">
        <f aca="false">IF(K$126=1,Inputs!$C$72,0)</f>
        <v>0</v>
      </c>
      <c r="L192" s="67" t="n">
        <f aca="false">IF(L$126=1,Inputs!$C$72,0)</f>
        <v>0</v>
      </c>
      <c r="M192" s="67" t="n">
        <f aca="false">IF(M$126=1,Inputs!$C$72,0)</f>
        <v>0</v>
      </c>
      <c r="N192" s="67" t="n">
        <f aca="false">IF(N$126=1,Inputs!$C$72,0)</f>
        <v>0</v>
      </c>
      <c r="O192" s="67" t="n">
        <f aca="false">IF(O$126=1,Inputs!$C$72,0)</f>
        <v>0</v>
      </c>
      <c r="P192" s="67" t="n">
        <f aca="false">IF(P$126=1,Inputs!$C$72,0)</f>
        <v>0</v>
      </c>
      <c r="Q192" s="67" t="n">
        <f aca="false">IF(Q$126=1,Inputs!$C$72,0)</f>
        <v>0</v>
      </c>
      <c r="R192" s="67" t="n">
        <f aca="false">IF(R$126=1,Inputs!$C$72,0)</f>
        <v>0</v>
      </c>
      <c r="S192" s="67" t="n">
        <f aca="false">IF(S$126=1,Inputs!$C$72,0)</f>
        <v>0</v>
      </c>
      <c r="T192" s="67" t="n">
        <f aca="false">IF(T$126=1,Inputs!$C$72,0)</f>
        <v>0</v>
      </c>
      <c r="U192" s="67" t="n">
        <f aca="false">IF(U$126=1,Inputs!$C$72,0)</f>
        <v>0</v>
      </c>
      <c r="V192" s="67" t="n">
        <f aca="false">IF(V$126=1,Inputs!$C$72,0)</f>
        <v>0</v>
      </c>
      <c r="W192" s="67" t="n">
        <f aca="false">IF(W$126=1,Inputs!$C$72,0)</f>
        <v>0</v>
      </c>
      <c r="X192" s="67" t="n">
        <f aca="false">IF(X$126=1,Inputs!$C$72,0)</f>
        <v>0</v>
      </c>
      <c r="Y192" s="67" t="n">
        <f aca="false">IF(Y$126=1,Inputs!$C$72,0)</f>
        <v>0</v>
      </c>
      <c r="Z192" s="67" t="n">
        <f aca="false">IF(Z$126=1,Inputs!$C$72,0)</f>
        <v>0</v>
      </c>
      <c r="AA192" s="67" t="n">
        <f aca="false">IF(AA$126=1,Inputs!$C$72,0)</f>
        <v>0</v>
      </c>
      <c r="AB192" s="67" t="n">
        <f aca="false">IF(AB$126=1,Inputs!$C$72,0)</f>
        <v>0</v>
      </c>
      <c r="AC192" s="67" t="n">
        <f aca="false">IF(AC$126=1,Inputs!$C$72,0)</f>
        <v>0</v>
      </c>
      <c r="AD192" s="67" t="n">
        <f aca="false">IF(AD$126=1,Inputs!$C$72,0)</f>
        <v>0</v>
      </c>
      <c r="AE192" s="67" t="n">
        <f aca="false">IF(AE$126=1,Inputs!$C$72,0)</f>
        <v>0</v>
      </c>
      <c r="AF192" s="67" t="n">
        <f aca="false">IF(AF$126=1,Inputs!$C$72,0)</f>
        <v>0</v>
      </c>
      <c r="AG192" s="67" t="n">
        <f aca="false">IF(AG$126=1,Inputs!$C$72,0)</f>
        <v>0</v>
      </c>
      <c r="AH192" s="67" t="n">
        <f aca="false">IF(AH$126=1,Inputs!$C$72,0)</f>
        <v>0</v>
      </c>
      <c r="AI192" s="67" t="n">
        <f aca="false">IF(AI$126=1,Inputs!$C$72,0)</f>
        <v>0</v>
      </c>
      <c r="AJ192" s="67" t="n">
        <f aca="false">IF(AJ$126=1,Inputs!$C$72,0)</f>
        <v>0</v>
      </c>
      <c r="AK192" s="67" t="n">
        <f aca="false">IF(AK$126=1,Inputs!$C$72,0)</f>
        <v>0</v>
      </c>
      <c r="AL192" s="67" t="n">
        <f aca="false">IF(AL$126=1,Inputs!$C$72,0)</f>
        <v>0</v>
      </c>
      <c r="AM192" s="67" t="n">
        <f aca="false">IF(AM$126=1,Inputs!$C$72,0)</f>
        <v>0</v>
      </c>
      <c r="AN192" s="67" t="n">
        <f aca="false">IF(AN$126=1,Inputs!$C$72,0)</f>
        <v>0</v>
      </c>
      <c r="AO192" s="67" t="n">
        <f aca="false">IF(AO$126=1,Inputs!$C$72,0)</f>
        <v>0</v>
      </c>
      <c r="AP192" s="67" t="n">
        <f aca="false">IF(AP$126=1,Inputs!$C$72,0)</f>
        <v>0</v>
      </c>
      <c r="AQ192" s="67" t="n">
        <f aca="false">IF(AQ$126=1,Inputs!$C$72,0)</f>
        <v>0</v>
      </c>
      <c r="AR192" s="67" t="n">
        <f aca="false">IF(AR$126=1,Inputs!$C$72,0)</f>
        <v>0</v>
      </c>
      <c r="AS192" s="67" t="n">
        <f aca="false">IF(AS$126=1,Inputs!$C$72,0)</f>
        <v>0</v>
      </c>
      <c r="AT192" s="67" t="n">
        <f aca="false">IF(AT$126=1,Inputs!$C$72,0)</f>
        <v>0</v>
      </c>
      <c r="AU192" s="67" t="n">
        <f aca="false">IF(AU$126=1,Inputs!$C$72,0)</f>
        <v>0</v>
      </c>
      <c r="AV192" s="67" t="n">
        <f aca="false">IF(AV$126=1,Inputs!$C$72,0)</f>
        <v>0</v>
      </c>
      <c r="AW192" s="67" t="n">
        <f aca="false">IF(AW$126=1,Inputs!$C$72,0)</f>
        <v>0</v>
      </c>
      <c r="AX192" s="67" t="n">
        <f aca="false">IF(AX$126=1,Inputs!$C$72,0)</f>
        <v>0</v>
      </c>
      <c r="AY192" s="67" t="n">
        <f aca="false">IF(AY$126=1,Inputs!$C$72,0)</f>
        <v>0</v>
      </c>
      <c r="AZ192" s="67" t="n">
        <f aca="false">IF(AZ$126=1,Inputs!$C$72,0)</f>
        <v>0</v>
      </c>
      <c r="BA192" s="67" t="n">
        <f aca="false">IF(BA$126=1,Inputs!$C$72,0)</f>
        <v>0</v>
      </c>
      <c r="BB192" s="67" t="n">
        <f aca="false">IF(BB$126=1,Inputs!$C$72,0)</f>
        <v>0</v>
      </c>
      <c r="BC192" s="67" t="n">
        <f aca="false">IF(BC$126=1,Inputs!$C$72,0)</f>
        <v>0</v>
      </c>
      <c r="BD192" s="67" t="n">
        <f aca="false">IF(BD$126=1,Inputs!$C$72,0)</f>
        <v>0</v>
      </c>
      <c r="BE192" s="67" t="n">
        <f aca="false">IF(BE$126=1,Inputs!$C$72,0)</f>
        <v>0</v>
      </c>
      <c r="BF192" s="67" t="n">
        <f aca="false">IF(BF$126=1,Inputs!$C$72,0)</f>
        <v>0</v>
      </c>
      <c r="BG192" s="67" t="n">
        <f aca="false">IF(BG$126=1,Inputs!$C$72,0)</f>
        <v>0</v>
      </c>
      <c r="BH192" s="67" t="n">
        <f aca="false">IF(BH$126=1,Inputs!$C$72,0)</f>
        <v>0</v>
      </c>
      <c r="BI192" s="67" t="n">
        <f aca="false">IF(BI$126=1,Inputs!$C$72,0)</f>
        <v>0</v>
      </c>
      <c r="BJ192" s="67" t="n">
        <f aca="false">IF(BJ$126=1,Inputs!$C$72,0)</f>
        <v>0</v>
      </c>
    </row>
    <row r="193" customFormat="false" ht="15" hidden="false" customHeight="false" outlineLevel="0" collapsed="false">
      <c r="A193" s="6" t="s">
        <v>86</v>
      </c>
      <c r="C193" s="67" t="n">
        <f aca="false">-MIN(C191,Inputs!$C$72/MAX(1,Inputs!$C$74*12))</f>
        <v>-0</v>
      </c>
      <c r="D193" s="67" t="n">
        <f aca="false">-MIN(D191,Inputs!$C$72/MAX(1,Inputs!$C$74*12))</f>
        <v>-1500</v>
      </c>
      <c r="E193" s="67" t="n">
        <f aca="false">-MIN(E191,Inputs!$C$72/MAX(1,Inputs!$C$74*12))</f>
        <v>-1500</v>
      </c>
      <c r="F193" s="67" t="n">
        <f aca="false">-MIN(F191,Inputs!$C$72/MAX(1,Inputs!$C$74*12))</f>
        <v>-1500</v>
      </c>
      <c r="G193" s="67" t="n">
        <f aca="false">-MIN(G191,Inputs!$C$72/MAX(1,Inputs!$C$74*12))</f>
        <v>-1500</v>
      </c>
      <c r="H193" s="67" t="n">
        <f aca="false">-MIN(H191,Inputs!$C$72/MAX(1,Inputs!$C$74*12))</f>
        <v>-1500</v>
      </c>
      <c r="I193" s="67" t="n">
        <f aca="false">-MIN(I191,Inputs!$C$72/MAX(1,Inputs!$C$74*12))</f>
        <v>-1500</v>
      </c>
      <c r="J193" s="67" t="n">
        <f aca="false">-MIN(J191,Inputs!$C$72/MAX(1,Inputs!$C$74*12))</f>
        <v>-1500</v>
      </c>
      <c r="K193" s="67" t="n">
        <f aca="false">-MIN(K191,Inputs!$C$72/MAX(1,Inputs!$C$74*12))</f>
        <v>-1500</v>
      </c>
      <c r="L193" s="67" t="n">
        <f aca="false">-MIN(L191,Inputs!$C$72/MAX(1,Inputs!$C$74*12))</f>
        <v>-1500</v>
      </c>
      <c r="M193" s="67" t="n">
        <f aca="false">-MIN(M191,Inputs!$C$72/MAX(1,Inputs!$C$74*12))</f>
        <v>-1500</v>
      </c>
      <c r="N193" s="67" t="n">
        <f aca="false">-MIN(N191,Inputs!$C$72/MAX(1,Inputs!$C$74*12))</f>
        <v>-1500</v>
      </c>
      <c r="O193" s="67" t="n">
        <f aca="false">-MIN(O191,Inputs!$C$72/MAX(1,Inputs!$C$74*12))</f>
        <v>-1500</v>
      </c>
      <c r="P193" s="67" t="n">
        <f aca="false">-MIN(P191,Inputs!$C$72/MAX(1,Inputs!$C$74*12))</f>
        <v>-1500</v>
      </c>
      <c r="Q193" s="67" t="n">
        <f aca="false">-MIN(Q191,Inputs!$C$72/MAX(1,Inputs!$C$74*12))</f>
        <v>-1500</v>
      </c>
      <c r="R193" s="67" t="n">
        <f aca="false">-MIN(R191,Inputs!$C$72/MAX(1,Inputs!$C$74*12))</f>
        <v>-1500</v>
      </c>
      <c r="S193" s="67" t="n">
        <f aca="false">-MIN(S191,Inputs!$C$72/MAX(1,Inputs!$C$74*12))</f>
        <v>-1500</v>
      </c>
      <c r="T193" s="67" t="n">
        <f aca="false">-MIN(T191,Inputs!$C$72/MAX(1,Inputs!$C$74*12))</f>
        <v>-1500</v>
      </c>
      <c r="U193" s="67" t="n">
        <f aca="false">-MIN(U191,Inputs!$C$72/MAX(1,Inputs!$C$74*12))</f>
        <v>-1500</v>
      </c>
      <c r="V193" s="67" t="n">
        <f aca="false">-MIN(V191,Inputs!$C$72/MAX(1,Inputs!$C$74*12))</f>
        <v>-1500</v>
      </c>
      <c r="W193" s="67" t="n">
        <f aca="false">-MIN(W191,Inputs!$C$72/MAX(1,Inputs!$C$74*12))</f>
        <v>-1500</v>
      </c>
      <c r="X193" s="67" t="n">
        <f aca="false">-MIN(X191,Inputs!$C$72/MAX(1,Inputs!$C$74*12))</f>
        <v>-1500</v>
      </c>
      <c r="Y193" s="67" t="n">
        <f aca="false">-MIN(Y191,Inputs!$C$72/MAX(1,Inputs!$C$74*12))</f>
        <v>-1500</v>
      </c>
      <c r="Z193" s="67" t="n">
        <f aca="false">-MIN(Z191,Inputs!$C$72/MAX(1,Inputs!$C$74*12))</f>
        <v>-1500</v>
      </c>
      <c r="AA193" s="67" t="n">
        <f aca="false">-MIN(AA191,Inputs!$C$72/MAX(1,Inputs!$C$74*12))</f>
        <v>-1500</v>
      </c>
      <c r="AB193" s="67" t="n">
        <f aca="false">-MIN(AB191,Inputs!$C$72/MAX(1,Inputs!$C$74*12))</f>
        <v>-1500</v>
      </c>
      <c r="AC193" s="67" t="n">
        <f aca="false">-MIN(AC191,Inputs!$C$72/MAX(1,Inputs!$C$74*12))</f>
        <v>-1500</v>
      </c>
      <c r="AD193" s="67" t="n">
        <f aca="false">-MIN(AD191,Inputs!$C$72/MAX(1,Inputs!$C$74*12))</f>
        <v>-1500</v>
      </c>
      <c r="AE193" s="67" t="n">
        <f aca="false">-MIN(AE191,Inputs!$C$72/MAX(1,Inputs!$C$74*12))</f>
        <v>-1500</v>
      </c>
      <c r="AF193" s="67" t="n">
        <f aca="false">-MIN(AF191,Inputs!$C$72/MAX(1,Inputs!$C$74*12))</f>
        <v>-1500</v>
      </c>
      <c r="AG193" s="67" t="n">
        <f aca="false">-MIN(AG191,Inputs!$C$72/MAX(1,Inputs!$C$74*12))</f>
        <v>-1500</v>
      </c>
      <c r="AH193" s="67" t="n">
        <f aca="false">-MIN(AH191,Inputs!$C$72/MAX(1,Inputs!$C$74*12))</f>
        <v>-1500</v>
      </c>
      <c r="AI193" s="67" t="n">
        <f aca="false">-MIN(AI191,Inputs!$C$72/MAX(1,Inputs!$C$74*12))</f>
        <v>-1500</v>
      </c>
      <c r="AJ193" s="67" t="n">
        <f aca="false">-MIN(AJ191,Inputs!$C$72/MAX(1,Inputs!$C$74*12))</f>
        <v>-1500</v>
      </c>
      <c r="AK193" s="67" t="n">
        <f aca="false">-MIN(AK191,Inputs!$C$72/MAX(1,Inputs!$C$74*12))</f>
        <v>-1500</v>
      </c>
      <c r="AL193" s="67" t="n">
        <f aca="false">-MIN(AL191,Inputs!$C$72/MAX(1,Inputs!$C$74*12))</f>
        <v>-1500</v>
      </c>
      <c r="AM193" s="67" t="n">
        <f aca="false">-MIN(AM191,Inputs!$C$72/MAX(1,Inputs!$C$74*12))</f>
        <v>-1500</v>
      </c>
      <c r="AN193" s="67" t="n">
        <f aca="false">-MIN(AN191,Inputs!$C$72/MAX(1,Inputs!$C$74*12))</f>
        <v>-1500</v>
      </c>
      <c r="AO193" s="67" t="n">
        <f aca="false">-MIN(AO191,Inputs!$C$72/MAX(1,Inputs!$C$74*12))</f>
        <v>-1500</v>
      </c>
      <c r="AP193" s="67" t="n">
        <f aca="false">-MIN(AP191,Inputs!$C$72/MAX(1,Inputs!$C$74*12))</f>
        <v>-1500</v>
      </c>
      <c r="AQ193" s="67" t="n">
        <f aca="false">-MIN(AQ191,Inputs!$C$72/MAX(1,Inputs!$C$74*12))</f>
        <v>-1500</v>
      </c>
      <c r="AR193" s="67" t="n">
        <f aca="false">-MIN(AR191,Inputs!$C$72/MAX(1,Inputs!$C$74*12))</f>
        <v>-1500</v>
      </c>
      <c r="AS193" s="67" t="n">
        <f aca="false">-MIN(AS191,Inputs!$C$72/MAX(1,Inputs!$C$74*12))</f>
        <v>-1500</v>
      </c>
      <c r="AT193" s="67" t="n">
        <f aca="false">-MIN(AT191,Inputs!$C$72/MAX(1,Inputs!$C$74*12))</f>
        <v>-1500</v>
      </c>
      <c r="AU193" s="67" t="n">
        <f aca="false">-MIN(AU191,Inputs!$C$72/MAX(1,Inputs!$C$74*12))</f>
        <v>-1500</v>
      </c>
      <c r="AV193" s="67" t="n">
        <f aca="false">-MIN(AV191,Inputs!$C$72/MAX(1,Inputs!$C$74*12))</f>
        <v>-1500</v>
      </c>
      <c r="AW193" s="67" t="n">
        <f aca="false">-MIN(AW191,Inputs!$C$72/MAX(1,Inputs!$C$74*12))</f>
        <v>-1500</v>
      </c>
      <c r="AX193" s="67" t="n">
        <f aca="false">-MIN(AX191,Inputs!$C$72/MAX(1,Inputs!$C$74*12))</f>
        <v>-1500</v>
      </c>
      <c r="AY193" s="67" t="n">
        <f aca="false">-MIN(AY191,Inputs!$C$72/MAX(1,Inputs!$C$74*12))</f>
        <v>-1500</v>
      </c>
      <c r="AZ193" s="67" t="n">
        <f aca="false">-MIN(AZ191,Inputs!$C$72/MAX(1,Inputs!$C$74*12))</f>
        <v>-1500</v>
      </c>
      <c r="BA193" s="67" t="n">
        <f aca="false">-MIN(BA191,Inputs!$C$72/MAX(1,Inputs!$C$74*12))</f>
        <v>-1500</v>
      </c>
      <c r="BB193" s="67" t="n">
        <f aca="false">-MIN(BB191,Inputs!$C$72/MAX(1,Inputs!$C$74*12))</f>
        <v>-1500</v>
      </c>
      <c r="BC193" s="67" t="n">
        <f aca="false">-MIN(BC191,Inputs!$C$72/MAX(1,Inputs!$C$74*12))</f>
        <v>-1500</v>
      </c>
      <c r="BD193" s="67" t="n">
        <f aca="false">-MIN(BD191,Inputs!$C$72/MAX(1,Inputs!$C$74*12))</f>
        <v>-1500</v>
      </c>
      <c r="BE193" s="67" t="n">
        <f aca="false">-MIN(BE191,Inputs!$C$72/MAX(1,Inputs!$C$74*12))</f>
        <v>-1500</v>
      </c>
      <c r="BF193" s="67" t="n">
        <f aca="false">-MIN(BF191,Inputs!$C$72/MAX(1,Inputs!$C$74*12))</f>
        <v>-1500</v>
      </c>
      <c r="BG193" s="67" t="n">
        <f aca="false">-MIN(BG191,Inputs!$C$72/MAX(1,Inputs!$C$74*12))</f>
        <v>-1500</v>
      </c>
      <c r="BH193" s="67" t="n">
        <f aca="false">-MIN(BH191,Inputs!$C$72/MAX(1,Inputs!$C$74*12))</f>
        <v>-1500</v>
      </c>
      <c r="BI193" s="67" t="n">
        <f aca="false">-MIN(BI191,Inputs!$C$72/MAX(1,Inputs!$C$74*12))</f>
        <v>-1500</v>
      </c>
      <c r="BJ193" s="67" t="n">
        <f aca="false">-MIN(BJ191,Inputs!$C$72/MAX(1,Inputs!$C$74*12))</f>
        <v>-1500</v>
      </c>
    </row>
    <row r="194" customFormat="false" ht="15" hidden="false" customHeight="false" outlineLevel="0" collapsed="false">
      <c r="A194" s="4" t="s">
        <v>441</v>
      </c>
      <c r="C194" s="73" t="n">
        <f aca="false">C191+C192+C193</f>
        <v>90000</v>
      </c>
      <c r="D194" s="73" t="n">
        <f aca="false">D191+D192+D193</f>
        <v>88500</v>
      </c>
      <c r="E194" s="73" t="n">
        <f aca="false">E191+E192+E193</f>
        <v>87000</v>
      </c>
      <c r="F194" s="73" t="n">
        <f aca="false">F191+F192+F193</f>
        <v>85500</v>
      </c>
      <c r="G194" s="73" t="n">
        <f aca="false">G191+G192+G193</f>
        <v>84000</v>
      </c>
      <c r="H194" s="73" t="n">
        <f aca="false">H191+H192+H193</f>
        <v>82500</v>
      </c>
      <c r="I194" s="73" t="n">
        <f aca="false">I191+I192+I193</f>
        <v>81000</v>
      </c>
      <c r="J194" s="73" t="n">
        <f aca="false">J191+J192+J193</f>
        <v>79500</v>
      </c>
      <c r="K194" s="73" t="n">
        <f aca="false">K191+K192+K193</f>
        <v>78000</v>
      </c>
      <c r="L194" s="73" t="n">
        <f aca="false">L191+L192+L193</f>
        <v>76500</v>
      </c>
      <c r="M194" s="73" t="n">
        <f aca="false">M191+M192+M193</f>
        <v>75000</v>
      </c>
      <c r="N194" s="73" t="n">
        <f aca="false">N191+N192+N193</f>
        <v>73500</v>
      </c>
      <c r="O194" s="73" t="n">
        <f aca="false">O191+O192+O193</f>
        <v>72000</v>
      </c>
      <c r="P194" s="73" t="n">
        <f aca="false">P191+P192+P193</f>
        <v>70500</v>
      </c>
      <c r="Q194" s="73" t="n">
        <f aca="false">Q191+Q192+Q193</f>
        <v>69000</v>
      </c>
      <c r="R194" s="73" t="n">
        <f aca="false">R191+R192+R193</f>
        <v>67500</v>
      </c>
      <c r="S194" s="73" t="n">
        <f aca="false">S191+S192+S193</f>
        <v>66000</v>
      </c>
      <c r="T194" s="73" t="n">
        <f aca="false">T191+T192+T193</f>
        <v>64500</v>
      </c>
      <c r="U194" s="73" t="n">
        <f aca="false">U191+U192+U193</f>
        <v>63000</v>
      </c>
      <c r="V194" s="73" t="n">
        <f aca="false">V191+V192+V193</f>
        <v>61500</v>
      </c>
      <c r="W194" s="73" t="n">
        <f aca="false">W191+W192+W193</f>
        <v>60000</v>
      </c>
      <c r="X194" s="73" t="n">
        <f aca="false">X191+X192+X193</f>
        <v>58500</v>
      </c>
      <c r="Y194" s="73" t="n">
        <f aca="false">Y191+Y192+Y193</f>
        <v>57000</v>
      </c>
      <c r="Z194" s="73" t="n">
        <f aca="false">Z191+Z192+Z193</f>
        <v>55500</v>
      </c>
      <c r="AA194" s="73" t="n">
        <f aca="false">AA191+AA192+AA193</f>
        <v>54000</v>
      </c>
      <c r="AB194" s="73" t="n">
        <f aca="false">AB191+AB192+AB193</f>
        <v>52500</v>
      </c>
      <c r="AC194" s="73" t="n">
        <f aca="false">AC191+AC192+AC193</f>
        <v>51000</v>
      </c>
      <c r="AD194" s="73" t="n">
        <f aca="false">AD191+AD192+AD193</f>
        <v>49500</v>
      </c>
      <c r="AE194" s="73" t="n">
        <f aca="false">AE191+AE192+AE193</f>
        <v>48000</v>
      </c>
      <c r="AF194" s="73" t="n">
        <f aca="false">AF191+AF192+AF193</f>
        <v>46500</v>
      </c>
      <c r="AG194" s="73" t="n">
        <f aca="false">AG191+AG192+AG193</f>
        <v>45000</v>
      </c>
      <c r="AH194" s="73" t="n">
        <f aca="false">AH191+AH192+AH193</f>
        <v>43500</v>
      </c>
      <c r="AI194" s="73" t="n">
        <f aca="false">AI191+AI192+AI193</f>
        <v>42000</v>
      </c>
      <c r="AJ194" s="73" t="n">
        <f aca="false">AJ191+AJ192+AJ193</f>
        <v>40500</v>
      </c>
      <c r="AK194" s="73" t="n">
        <f aca="false">AK191+AK192+AK193</f>
        <v>39000</v>
      </c>
      <c r="AL194" s="73" t="n">
        <f aca="false">AL191+AL192+AL193</f>
        <v>37500</v>
      </c>
      <c r="AM194" s="73" t="n">
        <f aca="false">AM191+AM192+AM193</f>
        <v>36000</v>
      </c>
      <c r="AN194" s="73" t="n">
        <f aca="false">AN191+AN192+AN193</f>
        <v>34500</v>
      </c>
      <c r="AO194" s="73" t="n">
        <f aca="false">AO191+AO192+AO193</f>
        <v>33000</v>
      </c>
      <c r="AP194" s="73" t="n">
        <f aca="false">AP191+AP192+AP193</f>
        <v>31500</v>
      </c>
      <c r="AQ194" s="73" t="n">
        <f aca="false">AQ191+AQ192+AQ193</f>
        <v>30000</v>
      </c>
      <c r="AR194" s="73" t="n">
        <f aca="false">AR191+AR192+AR193</f>
        <v>28500</v>
      </c>
      <c r="AS194" s="73" t="n">
        <f aca="false">AS191+AS192+AS193</f>
        <v>27000</v>
      </c>
      <c r="AT194" s="73" t="n">
        <f aca="false">AT191+AT192+AT193</f>
        <v>25500</v>
      </c>
      <c r="AU194" s="73" t="n">
        <f aca="false">AU191+AU192+AU193</f>
        <v>24000</v>
      </c>
      <c r="AV194" s="73" t="n">
        <f aca="false">AV191+AV192+AV193</f>
        <v>22500</v>
      </c>
      <c r="AW194" s="73" t="n">
        <f aca="false">AW191+AW192+AW193</f>
        <v>21000</v>
      </c>
      <c r="AX194" s="73" t="n">
        <f aca="false">AX191+AX192+AX193</f>
        <v>19500</v>
      </c>
      <c r="AY194" s="73" t="n">
        <f aca="false">AY191+AY192+AY193</f>
        <v>18000</v>
      </c>
      <c r="AZ194" s="73" t="n">
        <f aca="false">AZ191+AZ192+AZ193</f>
        <v>16500</v>
      </c>
      <c r="BA194" s="73" t="n">
        <f aca="false">BA191+BA192+BA193</f>
        <v>15000</v>
      </c>
      <c r="BB194" s="73" t="n">
        <f aca="false">BB191+BB192+BB193</f>
        <v>13500</v>
      </c>
      <c r="BC194" s="73" t="n">
        <f aca="false">BC191+BC192+BC193</f>
        <v>12000</v>
      </c>
      <c r="BD194" s="73" t="n">
        <f aca="false">BD191+BD192+BD193</f>
        <v>10500</v>
      </c>
      <c r="BE194" s="73" t="n">
        <f aca="false">BE191+BE192+BE193</f>
        <v>9000</v>
      </c>
      <c r="BF194" s="73" t="n">
        <f aca="false">BF191+BF192+BF193</f>
        <v>7500</v>
      </c>
      <c r="BG194" s="73" t="n">
        <f aca="false">BG191+BG192+BG193</f>
        <v>6000</v>
      </c>
      <c r="BH194" s="73" t="n">
        <f aca="false">BH191+BH192+BH193</f>
        <v>4500</v>
      </c>
      <c r="BI194" s="73" t="n">
        <f aca="false">BI191+BI192+BI193</f>
        <v>3000</v>
      </c>
      <c r="BJ194" s="73" t="n">
        <f aca="false">BJ191+BJ192+BJ193</f>
        <v>1500</v>
      </c>
    </row>
    <row r="196" customFormat="false" ht="15.75" hidden="false" customHeight="true" outlineLevel="0" collapsed="false">
      <c r="A196" s="7" t="s">
        <v>316</v>
      </c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</row>
    <row r="197" customFormat="false" ht="15" hidden="false" customHeight="false" outlineLevel="0" collapsed="false">
      <c r="A197" s="6" t="s">
        <v>90</v>
      </c>
      <c r="C197" s="67" t="n">
        <f aca="false">C146*Inputs!$C$77/30</f>
        <v>1041.6</v>
      </c>
      <c r="D197" s="67" t="n">
        <f aca="false">D146*Inputs!$C$77/30</f>
        <v>1215.2</v>
      </c>
      <c r="E197" s="67" t="n">
        <f aca="false">E146*Inputs!$C$77/30</f>
        <v>1881.6</v>
      </c>
      <c r="F197" s="67" t="n">
        <f aca="false">F146*Inputs!$C$77/30</f>
        <v>2116.8</v>
      </c>
      <c r="G197" s="67" t="n">
        <f aca="false">G146*Inputs!$C$77/30</f>
        <v>2352</v>
      </c>
      <c r="H197" s="67" t="n">
        <f aca="false">H146*Inputs!$C$77/30</f>
        <v>2587.2</v>
      </c>
      <c r="I197" s="67" t="n">
        <f aca="false">I146*Inputs!$C$77/30</f>
        <v>2822.4</v>
      </c>
      <c r="J197" s="67" t="n">
        <f aca="false">J146*Inputs!$C$77/30</f>
        <v>2822.4</v>
      </c>
      <c r="K197" s="67" t="n">
        <f aca="false">K146*Inputs!$C$77/30</f>
        <v>2822.4</v>
      </c>
      <c r="L197" s="67" t="n">
        <f aca="false">L146*Inputs!$C$77/30</f>
        <v>2822.4</v>
      </c>
      <c r="M197" s="67" t="n">
        <f aca="false">M146*Inputs!$C$77/30</f>
        <v>2822.4</v>
      </c>
      <c r="N197" s="67" t="n">
        <f aca="false">N146*Inputs!$C$77/30</f>
        <v>2083.2</v>
      </c>
      <c r="O197" s="67" t="n">
        <f aca="false">O146*Inputs!$C$77/30</f>
        <v>2218.71888</v>
      </c>
      <c r="P197" s="67" t="n">
        <f aca="false">P146*Inputs!$C$77/30</f>
        <v>2218.71888</v>
      </c>
      <c r="Q197" s="67" t="n">
        <f aca="false">Q146*Inputs!$C$77/30</f>
        <v>3002.93616</v>
      </c>
      <c r="R197" s="67" t="n">
        <f aca="false">R146*Inputs!$C$77/30</f>
        <v>3002.93616</v>
      </c>
      <c r="S197" s="67" t="n">
        <f aca="false">S146*Inputs!$C$77/30</f>
        <v>3002.93616</v>
      </c>
      <c r="T197" s="67" t="n">
        <f aca="false">T146*Inputs!$C$77/30</f>
        <v>3002.93616</v>
      </c>
      <c r="U197" s="67" t="n">
        <f aca="false">U146*Inputs!$C$77/30</f>
        <v>3002.93616</v>
      </c>
      <c r="V197" s="67" t="n">
        <f aca="false">V146*Inputs!$C$77/30</f>
        <v>3002.93616</v>
      </c>
      <c r="W197" s="67" t="n">
        <f aca="false">W146*Inputs!$C$77/30</f>
        <v>3002.93616</v>
      </c>
      <c r="X197" s="67" t="n">
        <f aca="false">X146*Inputs!$C$77/30</f>
        <v>3002.93616</v>
      </c>
      <c r="Y197" s="67" t="n">
        <f aca="false">Y146*Inputs!$C$77/30</f>
        <v>3002.93616</v>
      </c>
      <c r="Z197" s="67" t="n">
        <f aca="false">Z146*Inputs!$C$77/30</f>
        <v>2218.71888</v>
      </c>
      <c r="AA197" s="67" t="n">
        <f aca="false">AA146*Inputs!$C$77/30</f>
        <v>2363.195997792</v>
      </c>
      <c r="AB197" s="67" t="n">
        <f aca="false">AB146*Inputs!$C$77/30</f>
        <v>2363.195997792</v>
      </c>
      <c r="AC197" s="67" t="n">
        <f aca="false">AC146*Inputs!$C$77/30</f>
        <v>3195.172110144</v>
      </c>
      <c r="AD197" s="67" t="n">
        <f aca="false">AD146*Inputs!$C$77/30</f>
        <v>3195.172110144</v>
      </c>
      <c r="AE197" s="67" t="n">
        <f aca="false">AE146*Inputs!$C$77/30</f>
        <v>3195.172110144</v>
      </c>
      <c r="AF197" s="67" t="n">
        <f aca="false">AF146*Inputs!$C$77/30</f>
        <v>3195.172110144</v>
      </c>
      <c r="AG197" s="67" t="n">
        <f aca="false">AG146*Inputs!$C$77/30</f>
        <v>3195.172110144</v>
      </c>
      <c r="AH197" s="67" t="n">
        <f aca="false">AH146*Inputs!$C$77/30</f>
        <v>3195.172110144</v>
      </c>
      <c r="AI197" s="67" t="n">
        <f aca="false">AI146*Inputs!$C$77/30</f>
        <v>3195.172110144</v>
      </c>
      <c r="AJ197" s="67" t="n">
        <f aca="false">AJ146*Inputs!$C$77/30</f>
        <v>3195.172110144</v>
      </c>
      <c r="AK197" s="67" t="n">
        <f aca="false">AK146*Inputs!$C$77/30</f>
        <v>3195.172110144</v>
      </c>
      <c r="AL197" s="67" t="n">
        <f aca="false">AL146*Inputs!$C$77/30</f>
        <v>2363.195997792</v>
      </c>
      <c r="AM197" s="67" t="n">
        <f aca="false">AM146*Inputs!$C$77/30</f>
        <v>2517.23437880453</v>
      </c>
      <c r="AN197" s="67" t="n">
        <f aca="false">AN146*Inputs!$C$77/30</f>
        <v>2517.23437880453</v>
      </c>
      <c r="AO197" s="67" t="n">
        <f aca="false">AO146*Inputs!$C$77/30</f>
        <v>3399.87783639877</v>
      </c>
      <c r="AP197" s="67" t="n">
        <f aca="false">AP146*Inputs!$C$77/30</f>
        <v>3399.87783639877</v>
      </c>
      <c r="AQ197" s="67" t="n">
        <f aca="false">AQ146*Inputs!$C$77/30</f>
        <v>3399.87783639877</v>
      </c>
      <c r="AR197" s="67" t="n">
        <f aca="false">AR146*Inputs!$C$77/30</f>
        <v>3399.87783639877</v>
      </c>
      <c r="AS197" s="67" t="n">
        <f aca="false">AS146*Inputs!$C$77/30</f>
        <v>3399.87783639877</v>
      </c>
      <c r="AT197" s="67" t="n">
        <f aca="false">AT146*Inputs!$C$77/30</f>
        <v>3399.87783639877</v>
      </c>
      <c r="AU197" s="67" t="n">
        <f aca="false">AU146*Inputs!$C$77/30</f>
        <v>3399.87783639877</v>
      </c>
      <c r="AV197" s="67" t="n">
        <f aca="false">AV146*Inputs!$C$77/30</f>
        <v>3399.87783639877</v>
      </c>
      <c r="AW197" s="67" t="n">
        <f aca="false">AW146*Inputs!$C$77/30</f>
        <v>3399.87783639877</v>
      </c>
      <c r="AX197" s="67" t="n">
        <f aca="false">AX146*Inputs!$C$77/30</f>
        <v>2517.23437880453</v>
      </c>
      <c r="AY197" s="67" t="n">
        <f aca="false">AY146*Inputs!$C$77/30</f>
        <v>2681.47845641761</v>
      </c>
      <c r="AZ197" s="67" t="n">
        <f aca="false">AZ146*Inputs!$C$77/30</f>
        <v>2681.47845641761</v>
      </c>
      <c r="BA197" s="67" t="n">
        <f aca="false">BA146*Inputs!$C$77/30</f>
        <v>3617.87490057934</v>
      </c>
      <c r="BB197" s="67" t="n">
        <f aca="false">BB146*Inputs!$C$77/30</f>
        <v>3617.87490057934</v>
      </c>
      <c r="BC197" s="67" t="n">
        <f aca="false">BC146*Inputs!$C$77/30</f>
        <v>3617.87490057934</v>
      </c>
      <c r="BD197" s="67" t="n">
        <f aca="false">BD146*Inputs!$C$77/30</f>
        <v>3617.87490057934</v>
      </c>
      <c r="BE197" s="67" t="n">
        <f aca="false">BE146*Inputs!$C$77/30</f>
        <v>3617.87490057934</v>
      </c>
      <c r="BF197" s="67" t="n">
        <f aca="false">BF146*Inputs!$C$77/30</f>
        <v>3617.87490057934</v>
      </c>
      <c r="BG197" s="67" t="n">
        <f aca="false">BG146*Inputs!$C$77/30</f>
        <v>3617.87490057934</v>
      </c>
      <c r="BH197" s="67" t="n">
        <f aca="false">BH146*Inputs!$C$77/30</f>
        <v>3617.87490057934</v>
      </c>
      <c r="BI197" s="67" t="n">
        <f aca="false">BI146*Inputs!$C$77/30</f>
        <v>3617.87490057934</v>
      </c>
      <c r="BJ197" s="67" t="n">
        <f aca="false">BJ146*Inputs!$C$77/30</f>
        <v>2681.47845641761</v>
      </c>
    </row>
    <row r="198" customFormat="false" ht="15" hidden="false" customHeight="false" outlineLevel="0" collapsed="false">
      <c r="A198" s="6" t="s">
        <v>91</v>
      </c>
      <c r="C198" s="67" t="n">
        <f aca="false">-C154*Inputs!$C$78/30</f>
        <v>430.8144</v>
      </c>
      <c r="D198" s="67" t="n">
        <f aca="false">-D154*Inputs!$C$78/30</f>
        <v>502.6168</v>
      </c>
      <c r="E198" s="67" t="n">
        <f aca="false">-E154*Inputs!$C$78/30</f>
        <v>767.1744</v>
      </c>
      <c r="F198" s="67" t="n">
        <f aca="false">-F154*Inputs!$C$78/30</f>
        <v>863.0712</v>
      </c>
      <c r="G198" s="67" t="n">
        <f aca="false">-G154*Inputs!$C$78/30</f>
        <v>958.968</v>
      </c>
      <c r="H198" s="67" t="n">
        <f aca="false">-H154*Inputs!$C$78/30</f>
        <v>1054.8648</v>
      </c>
      <c r="I198" s="67" t="n">
        <f aca="false">-I154*Inputs!$C$78/30</f>
        <v>1150.7616</v>
      </c>
      <c r="J198" s="67" t="n">
        <f aca="false">-J154*Inputs!$C$78/30</f>
        <v>1150.7616</v>
      </c>
      <c r="K198" s="67" t="n">
        <f aca="false">-K154*Inputs!$C$78/30</f>
        <v>1150.7616</v>
      </c>
      <c r="L198" s="67" t="n">
        <f aca="false">-L154*Inputs!$C$78/30</f>
        <v>1150.7616</v>
      </c>
      <c r="M198" s="67" t="n">
        <f aca="false">-M154*Inputs!$C$78/30</f>
        <v>1150.7616</v>
      </c>
      <c r="N198" s="67" t="n">
        <f aca="false">-N154*Inputs!$C$78/30</f>
        <v>861.6288</v>
      </c>
      <c r="O198" s="67" t="n">
        <f aca="false">-O154*Inputs!$C$78/30</f>
        <v>918.45024192</v>
      </c>
      <c r="P198" s="67" t="n">
        <f aca="false">-P154*Inputs!$C$78/30</f>
        <v>918.45024192</v>
      </c>
      <c r="Q198" s="67" t="n">
        <f aca="false">-Q154*Inputs!$C$78/30</f>
        <v>1225.19122944</v>
      </c>
      <c r="R198" s="67" t="n">
        <f aca="false">-R154*Inputs!$C$78/30</f>
        <v>1225.19122944</v>
      </c>
      <c r="S198" s="67" t="n">
        <f aca="false">-S154*Inputs!$C$78/30</f>
        <v>1225.19122944</v>
      </c>
      <c r="T198" s="67" t="n">
        <f aca="false">-T154*Inputs!$C$78/30</f>
        <v>1225.19122944</v>
      </c>
      <c r="U198" s="67" t="n">
        <f aca="false">-U154*Inputs!$C$78/30</f>
        <v>1225.19122944</v>
      </c>
      <c r="V198" s="67" t="n">
        <f aca="false">-V154*Inputs!$C$78/30</f>
        <v>1225.19122944</v>
      </c>
      <c r="W198" s="67" t="n">
        <f aca="false">-W154*Inputs!$C$78/30</f>
        <v>1225.19122944</v>
      </c>
      <c r="X198" s="67" t="n">
        <f aca="false">-X154*Inputs!$C$78/30</f>
        <v>1225.19122944</v>
      </c>
      <c r="Y198" s="67" t="n">
        <f aca="false">-Y154*Inputs!$C$78/30</f>
        <v>1225.19122944</v>
      </c>
      <c r="Z198" s="67" t="n">
        <f aca="false">-Z154*Inputs!$C$78/30</f>
        <v>918.45024192</v>
      </c>
      <c r="AA198" s="67" t="n">
        <f aca="false">-AA154*Inputs!$C$78/30</f>
        <v>979.086491864928</v>
      </c>
      <c r="AB198" s="67" t="n">
        <f aca="false">-AB154*Inputs!$C$78/30</f>
        <v>979.086491864928</v>
      </c>
      <c r="AC198" s="67" t="n">
        <f aca="false">-AC154*Inputs!$C$78/30</f>
        <v>1304.5080055249</v>
      </c>
      <c r="AD198" s="67" t="n">
        <f aca="false">-AD154*Inputs!$C$78/30</f>
        <v>1304.5080055249</v>
      </c>
      <c r="AE198" s="67" t="n">
        <f aca="false">-AE154*Inputs!$C$78/30</f>
        <v>1304.5080055249</v>
      </c>
      <c r="AF198" s="67" t="n">
        <f aca="false">-AF154*Inputs!$C$78/30</f>
        <v>1304.5080055249</v>
      </c>
      <c r="AG198" s="67" t="n">
        <f aca="false">-AG154*Inputs!$C$78/30</f>
        <v>1304.5080055249</v>
      </c>
      <c r="AH198" s="67" t="n">
        <f aca="false">-AH154*Inputs!$C$78/30</f>
        <v>1304.5080055249</v>
      </c>
      <c r="AI198" s="67" t="n">
        <f aca="false">-AI154*Inputs!$C$78/30</f>
        <v>1304.5080055249</v>
      </c>
      <c r="AJ198" s="67" t="n">
        <f aca="false">-AJ154*Inputs!$C$78/30</f>
        <v>1304.5080055249</v>
      </c>
      <c r="AK198" s="67" t="n">
        <f aca="false">-AK154*Inputs!$C$78/30</f>
        <v>1304.5080055249</v>
      </c>
      <c r="AL198" s="67" t="n">
        <f aca="false">-AL154*Inputs!$C$78/30</f>
        <v>979.086491864928</v>
      </c>
      <c r="AM198" s="67" t="n">
        <f aca="false">-AM154*Inputs!$C$78/30</f>
        <v>1043.79875379378</v>
      </c>
      <c r="AN198" s="67" t="n">
        <f aca="false">-AN154*Inputs!$C$78/30</f>
        <v>1043.79875379378</v>
      </c>
      <c r="AO198" s="67" t="n">
        <f aca="false">-AO154*Inputs!$C$78/30</f>
        <v>1389.03843763564</v>
      </c>
      <c r="AP198" s="67" t="n">
        <f aca="false">-AP154*Inputs!$C$78/30</f>
        <v>1389.03843763564</v>
      </c>
      <c r="AQ198" s="67" t="n">
        <f aca="false">-AQ154*Inputs!$C$78/30</f>
        <v>1389.03843763564</v>
      </c>
      <c r="AR198" s="67" t="n">
        <f aca="false">-AR154*Inputs!$C$78/30</f>
        <v>1389.03843763564</v>
      </c>
      <c r="AS198" s="67" t="n">
        <f aca="false">-AS154*Inputs!$C$78/30</f>
        <v>1389.03843763564</v>
      </c>
      <c r="AT198" s="67" t="n">
        <f aca="false">-AT154*Inputs!$C$78/30</f>
        <v>1389.03843763564</v>
      </c>
      <c r="AU198" s="67" t="n">
        <f aca="false">-AU154*Inputs!$C$78/30</f>
        <v>1389.03843763564</v>
      </c>
      <c r="AV198" s="67" t="n">
        <f aca="false">-AV154*Inputs!$C$78/30</f>
        <v>1389.03843763564</v>
      </c>
      <c r="AW198" s="67" t="n">
        <f aca="false">-AW154*Inputs!$C$78/30</f>
        <v>1389.03843763564</v>
      </c>
      <c r="AX198" s="67" t="n">
        <f aca="false">-AX154*Inputs!$C$78/30</f>
        <v>1043.79875379378</v>
      </c>
      <c r="AY198" s="67" t="n">
        <f aca="false">-AY154*Inputs!$C$78/30</f>
        <v>1112.8664928819</v>
      </c>
      <c r="AZ198" s="67" t="n">
        <f aca="false">-AZ154*Inputs!$C$78/30</f>
        <v>1112.8664928819</v>
      </c>
      <c r="BA198" s="67" t="n">
        <f aca="false">-BA154*Inputs!$C$78/30</f>
        <v>1479.13127346973</v>
      </c>
      <c r="BB198" s="67" t="n">
        <f aca="false">-BB154*Inputs!$C$78/30</f>
        <v>1479.13127346973</v>
      </c>
      <c r="BC198" s="67" t="n">
        <f aca="false">-BC154*Inputs!$C$78/30</f>
        <v>1479.13127346973</v>
      </c>
      <c r="BD198" s="67" t="n">
        <f aca="false">-BD154*Inputs!$C$78/30</f>
        <v>1479.13127346973</v>
      </c>
      <c r="BE198" s="67" t="n">
        <f aca="false">-BE154*Inputs!$C$78/30</f>
        <v>1479.13127346973</v>
      </c>
      <c r="BF198" s="67" t="n">
        <f aca="false">-BF154*Inputs!$C$78/30</f>
        <v>1479.13127346973</v>
      </c>
      <c r="BG198" s="67" t="n">
        <f aca="false">-BG154*Inputs!$C$78/30</f>
        <v>1479.13127346973</v>
      </c>
      <c r="BH198" s="67" t="n">
        <f aca="false">-BH154*Inputs!$C$78/30</f>
        <v>1479.13127346973</v>
      </c>
      <c r="BI198" s="67" t="n">
        <f aca="false">-BI154*Inputs!$C$78/30</f>
        <v>1479.13127346973</v>
      </c>
      <c r="BJ198" s="67" t="n">
        <f aca="false">-BJ154*Inputs!$C$78/30</f>
        <v>1112.8664928819</v>
      </c>
    </row>
    <row r="199" customFormat="false" ht="15" hidden="false" customHeight="false" outlineLevel="0" collapsed="false">
      <c r="A199" s="6" t="s">
        <v>94</v>
      </c>
      <c r="C199" s="67" t="n">
        <f aca="false">-C154*Inputs!$C$79/30</f>
        <v>1005.2336</v>
      </c>
      <c r="D199" s="67" t="n">
        <f aca="false">-D154*Inputs!$C$79/30</f>
        <v>1172.77253333333</v>
      </c>
      <c r="E199" s="67" t="n">
        <f aca="false">-E154*Inputs!$C$79/30</f>
        <v>1790.0736</v>
      </c>
      <c r="F199" s="67" t="n">
        <f aca="false">-F154*Inputs!$C$79/30</f>
        <v>2013.8328</v>
      </c>
      <c r="G199" s="67" t="n">
        <f aca="false">-G154*Inputs!$C$79/30</f>
        <v>2237.592</v>
      </c>
      <c r="H199" s="67" t="n">
        <f aca="false">-H154*Inputs!$C$79/30</f>
        <v>2461.3512</v>
      </c>
      <c r="I199" s="67" t="n">
        <f aca="false">-I154*Inputs!$C$79/30</f>
        <v>2685.1104</v>
      </c>
      <c r="J199" s="67" t="n">
        <f aca="false">-J154*Inputs!$C$79/30</f>
        <v>2685.1104</v>
      </c>
      <c r="K199" s="67" t="n">
        <f aca="false">-K154*Inputs!$C$79/30</f>
        <v>2685.1104</v>
      </c>
      <c r="L199" s="67" t="n">
        <f aca="false">-L154*Inputs!$C$79/30</f>
        <v>2685.1104</v>
      </c>
      <c r="M199" s="67" t="n">
        <f aca="false">-M154*Inputs!$C$79/30</f>
        <v>2685.1104</v>
      </c>
      <c r="N199" s="67" t="n">
        <f aca="false">-N154*Inputs!$C$79/30</f>
        <v>2010.4672</v>
      </c>
      <c r="O199" s="67" t="n">
        <f aca="false">-O154*Inputs!$C$79/30</f>
        <v>2143.05056448</v>
      </c>
      <c r="P199" s="67" t="n">
        <f aca="false">-P154*Inputs!$C$79/30</f>
        <v>2143.05056448</v>
      </c>
      <c r="Q199" s="67" t="n">
        <f aca="false">-Q154*Inputs!$C$79/30</f>
        <v>2858.77953536</v>
      </c>
      <c r="R199" s="67" t="n">
        <f aca="false">-R154*Inputs!$C$79/30</f>
        <v>2858.77953536</v>
      </c>
      <c r="S199" s="67" t="n">
        <f aca="false">-S154*Inputs!$C$79/30</f>
        <v>2858.77953536</v>
      </c>
      <c r="T199" s="67" t="n">
        <f aca="false">-T154*Inputs!$C$79/30</f>
        <v>2858.77953536</v>
      </c>
      <c r="U199" s="67" t="n">
        <f aca="false">-U154*Inputs!$C$79/30</f>
        <v>2858.77953536</v>
      </c>
      <c r="V199" s="67" t="n">
        <f aca="false">-V154*Inputs!$C$79/30</f>
        <v>2858.77953536</v>
      </c>
      <c r="W199" s="67" t="n">
        <f aca="false">-W154*Inputs!$C$79/30</f>
        <v>2858.77953536</v>
      </c>
      <c r="X199" s="67" t="n">
        <f aca="false">-X154*Inputs!$C$79/30</f>
        <v>2858.77953536</v>
      </c>
      <c r="Y199" s="67" t="n">
        <f aca="false">-Y154*Inputs!$C$79/30</f>
        <v>2858.77953536</v>
      </c>
      <c r="Z199" s="67" t="n">
        <f aca="false">-Z154*Inputs!$C$79/30</f>
        <v>2143.05056448</v>
      </c>
      <c r="AA199" s="67" t="n">
        <f aca="false">-AA154*Inputs!$C$79/30</f>
        <v>2284.53514768483</v>
      </c>
      <c r="AB199" s="67" t="n">
        <f aca="false">-AB154*Inputs!$C$79/30</f>
        <v>2284.53514768483</v>
      </c>
      <c r="AC199" s="67" t="n">
        <f aca="false">-AC154*Inputs!$C$79/30</f>
        <v>3043.85201289142</v>
      </c>
      <c r="AD199" s="67" t="n">
        <f aca="false">-AD154*Inputs!$C$79/30</f>
        <v>3043.85201289142</v>
      </c>
      <c r="AE199" s="67" t="n">
        <f aca="false">-AE154*Inputs!$C$79/30</f>
        <v>3043.85201289142</v>
      </c>
      <c r="AF199" s="67" t="n">
        <f aca="false">-AF154*Inputs!$C$79/30</f>
        <v>3043.85201289142</v>
      </c>
      <c r="AG199" s="67" t="n">
        <f aca="false">-AG154*Inputs!$C$79/30</f>
        <v>3043.85201289142</v>
      </c>
      <c r="AH199" s="67" t="n">
        <f aca="false">-AH154*Inputs!$C$79/30</f>
        <v>3043.85201289142</v>
      </c>
      <c r="AI199" s="67" t="n">
        <f aca="false">-AI154*Inputs!$C$79/30</f>
        <v>3043.85201289142</v>
      </c>
      <c r="AJ199" s="67" t="n">
        <f aca="false">-AJ154*Inputs!$C$79/30</f>
        <v>3043.85201289142</v>
      </c>
      <c r="AK199" s="67" t="n">
        <f aca="false">-AK154*Inputs!$C$79/30</f>
        <v>3043.85201289142</v>
      </c>
      <c r="AL199" s="67" t="n">
        <f aca="false">-AL154*Inputs!$C$79/30</f>
        <v>2284.53514768483</v>
      </c>
      <c r="AM199" s="67" t="n">
        <f aca="false">-AM154*Inputs!$C$79/30</f>
        <v>2435.53042551882</v>
      </c>
      <c r="AN199" s="67" t="n">
        <f aca="false">-AN154*Inputs!$C$79/30</f>
        <v>2435.53042551882</v>
      </c>
      <c r="AO199" s="67" t="n">
        <f aca="false">-AO154*Inputs!$C$79/30</f>
        <v>3241.08968781649</v>
      </c>
      <c r="AP199" s="67" t="n">
        <f aca="false">-AP154*Inputs!$C$79/30</f>
        <v>3241.08968781649</v>
      </c>
      <c r="AQ199" s="67" t="n">
        <f aca="false">-AQ154*Inputs!$C$79/30</f>
        <v>3241.08968781649</v>
      </c>
      <c r="AR199" s="67" t="n">
        <f aca="false">-AR154*Inputs!$C$79/30</f>
        <v>3241.08968781649</v>
      </c>
      <c r="AS199" s="67" t="n">
        <f aca="false">-AS154*Inputs!$C$79/30</f>
        <v>3241.08968781649</v>
      </c>
      <c r="AT199" s="67" t="n">
        <f aca="false">-AT154*Inputs!$C$79/30</f>
        <v>3241.08968781649</v>
      </c>
      <c r="AU199" s="67" t="n">
        <f aca="false">-AU154*Inputs!$C$79/30</f>
        <v>3241.08968781649</v>
      </c>
      <c r="AV199" s="67" t="n">
        <f aca="false">-AV154*Inputs!$C$79/30</f>
        <v>3241.08968781649</v>
      </c>
      <c r="AW199" s="67" t="n">
        <f aca="false">-AW154*Inputs!$C$79/30</f>
        <v>3241.08968781649</v>
      </c>
      <c r="AX199" s="67" t="n">
        <f aca="false">-AX154*Inputs!$C$79/30</f>
        <v>2435.53042551882</v>
      </c>
      <c r="AY199" s="67" t="n">
        <f aca="false">-AY154*Inputs!$C$79/30</f>
        <v>2596.68848339111</v>
      </c>
      <c r="AZ199" s="67" t="n">
        <f aca="false">-AZ154*Inputs!$C$79/30</f>
        <v>2596.68848339111</v>
      </c>
      <c r="BA199" s="67" t="n">
        <f aca="false">-BA154*Inputs!$C$79/30</f>
        <v>3451.30630476271</v>
      </c>
      <c r="BB199" s="67" t="n">
        <f aca="false">-BB154*Inputs!$C$79/30</f>
        <v>3451.30630476271</v>
      </c>
      <c r="BC199" s="67" t="n">
        <f aca="false">-BC154*Inputs!$C$79/30</f>
        <v>3451.30630476271</v>
      </c>
      <c r="BD199" s="67" t="n">
        <f aca="false">-BD154*Inputs!$C$79/30</f>
        <v>3451.30630476271</v>
      </c>
      <c r="BE199" s="67" t="n">
        <f aca="false">-BE154*Inputs!$C$79/30</f>
        <v>3451.30630476271</v>
      </c>
      <c r="BF199" s="67" t="n">
        <f aca="false">-BF154*Inputs!$C$79/30</f>
        <v>3451.30630476271</v>
      </c>
      <c r="BG199" s="67" t="n">
        <f aca="false">-BG154*Inputs!$C$79/30</f>
        <v>3451.30630476271</v>
      </c>
      <c r="BH199" s="67" t="n">
        <f aca="false">-BH154*Inputs!$C$79/30</f>
        <v>3451.30630476271</v>
      </c>
      <c r="BI199" s="67" t="n">
        <f aca="false">-BI154*Inputs!$C$79/30</f>
        <v>3451.30630476271</v>
      </c>
      <c r="BJ199" s="67" t="n">
        <f aca="false">-BJ154*Inputs!$C$79/30</f>
        <v>2596.68848339111</v>
      </c>
    </row>
    <row r="200" customFormat="false" ht="15" hidden="false" customHeight="false" outlineLevel="0" collapsed="false">
      <c r="A200" s="6" t="s">
        <v>342</v>
      </c>
      <c r="C200" s="67" t="n">
        <f aca="false">-C197</f>
        <v>-1041.6</v>
      </c>
      <c r="D200" s="67" t="n">
        <f aca="false">C197-D197</f>
        <v>-173.600000000001</v>
      </c>
      <c r="E200" s="67" t="n">
        <f aca="false">D197-E197</f>
        <v>-666.399999999999</v>
      </c>
      <c r="F200" s="67" t="n">
        <f aca="false">E197-F197</f>
        <v>-235.200000000001</v>
      </c>
      <c r="G200" s="67" t="n">
        <f aca="false">F197-G197</f>
        <v>-235.199999999999</v>
      </c>
      <c r="H200" s="67" t="n">
        <f aca="false">G197-H197</f>
        <v>-235.2</v>
      </c>
      <c r="I200" s="67" t="n">
        <f aca="false">H197-I197</f>
        <v>-235.200000000001</v>
      </c>
      <c r="J200" s="67" t="n">
        <f aca="false">I197-J197</f>
        <v>0</v>
      </c>
      <c r="K200" s="67" t="n">
        <f aca="false">J197-K197</f>
        <v>0</v>
      </c>
      <c r="L200" s="67" t="n">
        <f aca="false">K197-L197</f>
        <v>0</v>
      </c>
      <c r="M200" s="67" t="n">
        <f aca="false">L197-M197</f>
        <v>0</v>
      </c>
      <c r="N200" s="67" t="n">
        <f aca="false">M197-N197</f>
        <v>739.2</v>
      </c>
      <c r="O200" s="67" t="n">
        <f aca="false">N197-O197</f>
        <v>-135.51888</v>
      </c>
      <c r="P200" s="67" t="n">
        <f aca="false">O197-P197</f>
        <v>0</v>
      </c>
      <c r="Q200" s="67" t="n">
        <f aca="false">P197-Q197</f>
        <v>-784.21728</v>
      </c>
      <c r="R200" s="67" t="n">
        <f aca="false">Q197-R197</f>
        <v>0</v>
      </c>
      <c r="S200" s="67" t="n">
        <f aca="false">R197-S197</f>
        <v>0</v>
      </c>
      <c r="T200" s="67" t="n">
        <f aca="false">S197-T197</f>
        <v>0</v>
      </c>
      <c r="U200" s="67" t="n">
        <f aca="false">T197-U197</f>
        <v>0</v>
      </c>
      <c r="V200" s="67" t="n">
        <f aca="false">U197-V197</f>
        <v>0</v>
      </c>
      <c r="W200" s="67" t="n">
        <f aca="false">V197-W197</f>
        <v>0</v>
      </c>
      <c r="X200" s="67" t="n">
        <f aca="false">W197-X197</f>
        <v>0</v>
      </c>
      <c r="Y200" s="67" t="n">
        <f aca="false">X197-Y197</f>
        <v>0</v>
      </c>
      <c r="Z200" s="67" t="n">
        <f aca="false">Y197-Z197</f>
        <v>784.21728</v>
      </c>
      <c r="AA200" s="67" t="n">
        <f aca="false">Z197-AA197</f>
        <v>-144.477117792</v>
      </c>
      <c r="AB200" s="67" t="n">
        <f aca="false">AA197-AB197</f>
        <v>0</v>
      </c>
      <c r="AC200" s="67" t="n">
        <f aca="false">AB197-AC197</f>
        <v>-831.976112352</v>
      </c>
      <c r="AD200" s="67" t="n">
        <f aca="false">AC197-AD197</f>
        <v>0</v>
      </c>
      <c r="AE200" s="67" t="n">
        <f aca="false">AD197-AE197</f>
        <v>0</v>
      </c>
      <c r="AF200" s="67" t="n">
        <f aca="false">AE197-AF197</f>
        <v>0</v>
      </c>
      <c r="AG200" s="67" t="n">
        <f aca="false">AF197-AG197</f>
        <v>0</v>
      </c>
      <c r="AH200" s="67" t="n">
        <f aca="false">AG197-AH197</f>
        <v>0</v>
      </c>
      <c r="AI200" s="67" t="n">
        <f aca="false">AH197-AI197</f>
        <v>0</v>
      </c>
      <c r="AJ200" s="67" t="n">
        <f aca="false">AI197-AJ197</f>
        <v>0</v>
      </c>
      <c r="AK200" s="67" t="n">
        <f aca="false">AJ197-AK197</f>
        <v>0</v>
      </c>
      <c r="AL200" s="67" t="n">
        <f aca="false">AK197-AL197</f>
        <v>831.976112352</v>
      </c>
      <c r="AM200" s="67" t="n">
        <f aca="false">AL197-AM197</f>
        <v>-154.038381012533</v>
      </c>
      <c r="AN200" s="67" t="n">
        <f aca="false">AM197-AN197</f>
        <v>0</v>
      </c>
      <c r="AO200" s="67" t="n">
        <f aca="false">AN197-AO197</f>
        <v>-882.643457594237</v>
      </c>
      <c r="AP200" s="67" t="n">
        <f aca="false">AO197-AP197</f>
        <v>0</v>
      </c>
      <c r="AQ200" s="67" t="n">
        <f aca="false">AP197-AQ197</f>
        <v>0</v>
      </c>
      <c r="AR200" s="67" t="n">
        <f aca="false">AQ197-AR197</f>
        <v>0</v>
      </c>
      <c r="AS200" s="67" t="n">
        <f aca="false">AR197-AS197</f>
        <v>0</v>
      </c>
      <c r="AT200" s="67" t="n">
        <f aca="false">AS197-AT197</f>
        <v>0</v>
      </c>
      <c r="AU200" s="67" t="n">
        <f aca="false">AT197-AU197</f>
        <v>0</v>
      </c>
      <c r="AV200" s="67" t="n">
        <f aca="false">AU197-AV197</f>
        <v>0</v>
      </c>
      <c r="AW200" s="67" t="n">
        <f aca="false">AV197-AW197</f>
        <v>0</v>
      </c>
      <c r="AX200" s="67" t="n">
        <f aca="false">AW197-AX197</f>
        <v>882.643457594237</v>
      </c>
      <c r="AY200" s="67" t="n">
        <f aca="false">AX197-AY197</f>
        <v>-164.244077613077</v>
      </c>
      <c r="AZ200" s="67" t="n">
        <f aca="false">AY197-AZ197</f>
        <v>0</v>
      </c>
      <c r="BA200" s="67" t="n">
        <f aca="false">AZ197-BA197</f>
        <v>-936.396444161726</v>
      </c>
      <c r="BB200" s="67" t="n">
        <f aca="false">BA197-BB197</f>
        <v>0</v>
      </c>
      <c r="BC200" s="67" t="n">
        <f aca="false">BB197-BC197</f>
        <v>0</v>
      </c>
      <c r="BD200" s="67" t="n">
        <f aca="false">BC197-BD197</f>
        <v>0</v>
      </c>
      <c r="BE200" s="67" t="n">
        <f aca="false">BD197-BE197</f>
        <v>0</v>
      </c>
      <c r="BF200" s="67" t="n">
        <f aca="false">BE197-BF197</f>
        <v>0</v>
      </c>
      <c r="BG200" s="67" t="n">
        <f aca="false">BF197-BG197</f>
        <v>0</v>
      </c>
      <c r="BH200" s="67" t="n">
        <f aca="false">BG197-BH197</f>
        <v>0</v>
      </c>
      <c r="BI200" s="67" t="n">
        <f aca="false">BH197-BI197</f>
        <v>0</v>
      </c>
      <c r="BJ200" s="67" t="n">
        <f aca="false">BI197-BJ197</f>
        <v>936.396444161726</v>
      </c>
    </row>
    <row r="201" customFormat="false" ht="15" hidden="false" customHeight="false" outlineLevel="0" collapsed="false">
      <c r="A201" s="6" t="s">
        <v>343</v>
      </c>
      <c r="C201" s="67" t="n">
        <f aca="false">-C198</f>
        <v>-430.8144</v>
      </c>
      <c r="D201" s="67" t="n">
        <f aca="false">C198-D198</f>
        <v>-71.8024000000001</v>
      </c>
      <c r="E201" s="67" t="n">
        <f aca="false">D198-E198</f>
        <v>-264.5576</v>
      </c>
      <c r="F201" s="67" t="n">
        <f aca="false">E198-F198</f>
        <v>-95.8968000000001</v>
      </c>
      <c r="G201" s="67" t="n">
        <f aca="false">F198-G198</f>
        <v>-95.8967999999998</v>
      </c>
      <c r="H201" s="67" t="n">
        <f aca="false">G198-H198</f>
        <v>-95.8968000000001</v>
      </c>
      <c r="I201" s="67" t="n">
        <f aca="false">H198-I198</f>
        <v>-95.8968000000004</v>
      </c>
      <c r="J201" s="67" t="n">
        <f aca="false">I198-J198</f>
        <v>0</v>
      </c>
      <c r="K201" s="67" t="n">
        <f aca="false">J198-K198</f>
        <v>0</v>
      </c>
      <c r="L201" s="67" t="n">
        <f aca="false">K198-L198</f>
        <v>0</v>
      </c>
      <c r="M201" s="67" t="n">
        <f aca="false">L198-M198</f>
        <v>0</v>
      </c>
      <c r="N201" s="67" t="n">
        <f aca="false">M198-N198</f>
        <v>289.1328</v>
      </c>
      <c r="O201" s="67" t="n">
        <f aca="false">N198-O198</f>
        <v>-56.82144192</v>
      </c>
      <c r="P201" s="67" t="n">
        <f aca="false">O198-P198</f>
        <v>0</v>
      </c>
      <c r="Q201" s="67" t="n">
        <f aca="false">P198-Q198</f>
        <v>-306.74098752</v>
      </c>
      <c r="R201" s="67" t="n">
        <f aca="false">Q198-R198</f>
        <v>0</v>
      </c>
      <c r="S201" s="67" t="n">
        <f aca="false">R198-S198</f>
        <v>0</v>
      </c>
      <c r="T201" s="67" t="n">
        <f aca="false">S198-T198</f>
        <v>0</v>
      </c>
      <c r="U201" s="67" t="n">
        <f aca="false">T198-U198</f>
        <v>0</v>
      </c>
      <c r="V201" s="67" t="n">
        <f aca="false">U198-V198</f>
        <v>0</v>
      </c>
      <c r="W201" s="67" t="n">
        <f aca="false">V198-W198</f>
        <v>0</v>
      </c>
      <c r="X201" s="67" t="n">
        <f aca="false">W198-X198</f>
        <v>0</v>
      </c>
      <c r="Y201" s="67" t="n">
        <f aca="false">X198-Y198</f>
        <v>0</v>
      </c>
      <c r="Z201" s="67" t="n">
        <f aca="false">Y198-Z198</f>
        <v>306.74098752</v>
      </c>
      <c r="AA201" s="67" t="n">
        <f aca="false">Z198-AA198</f>
        <v>-60.6362499449278</v>
      </c>
      <c r="AB201" s="67" t="n">
        <f aca="false">AA198-AB198</f>
        <v>0</v>
      </c>
      <c r="AC201" s="67" t="n">
        <f aca="false">AB198-AC198</f>
        <v>-325.421513659968</v>
      </c>
      <c r="AD201" s="67" t="n">
        <f aca="false">AC198-AD198</f>
        <v>0</v>
      </c>
      <c r="AE201" s="67" t="n">
        <f aca="false">AD198-AE198</f>
        <v>0</v>
      </c>
      <c r="AF201" s="67" t="n">
        <f aca="false">AE198-AF198</f>
        <v>0</v>
      </c>
      <c r="AG201" s="67" t="n">
        <f aca="false">AF198-AG198</f>
        <v>0</v>
      </c>
      <c r="AH201" s="67" t="n">
        <f aca="false">AG198-AH198</f>
        <v>0</v>
      </c>
      <c r="AI201" s="67" t="n">
        <f aca="false">AH198-AI198</f>
        <v>0</v>
      </c>
      <c r="AJ201" s="67" t="n">
        <f aca="false">AI198-AJ198</f>
        <v>0</v>
      </c>
      <c r="AK201" s="67" t="n">
        <f aca="false">AJ198-AK198</f>
        <v>0</v>
      </c>
      <c r="AL201" s="67" t="n">
        <f aca="false">AK198-AL198</f>
        <v>325.421513659968</v>
      </c>
      <c r="AM201" s="67" t="n">
        <f aca="false">AL198-AM198</f>
        <v>-64.7122619288523</v>
      </c>
      <c r="AN201" s="67" t="n">
        <f aca="false">AM198-AN198</f>
        <v>0</v>
      </c>
      <c r="AO201" s="67" t="n">
        <f aca="false">AN198-AO198</f>
        <v>-345.23968384186</v>
      </c>
      <c r="AP201" s="67" t="n">
        <f aca="false">AO198-AP198</f>
        <v>0</v>
      </c>
      <c r="AQ201" s="67" t="n">
        <f aca="false">AP198-AQ198</f>
        <v>0</v>
      </c>
      <c r="AR201" s="67" t="n">
        <f aca="false">AQ198-AR198</f>
        <v>0</v>
      </c>
      <c r="AS201" s="67" t="n">
        <f aca="false">AR198-AS198</f>
        <v>0</v>
      </c>
      <c r="AT201" s="67" t="n">
        <f aca="false">AS198-AT198</f>
        <v>0</v>
      </c>
      <c r="AU201" s="67" t="n">
        <f aca="false">AT198-AU198</f>
        <v>0</v>
      </c>
      <c r="AV201" s="67" t="n">
        <f aca="false">AU198-AV198</f>
        <v>0</v>
      </c>
      <c r="AW201" s="67" t="n">
        <f aca="false">AV198-AW198</f>
        <v>0</v>
      </c>
      <c r="AX201" s="67" t="n">
        <f aca="false">AW198-AX198</f>
        <v>345.23968384186</v>
      </c>
      <c r="AY201" s="67" t="n">
        <f aca="false">AX198-AY198</f>
        <v>-69.0677390881228</v>
      </c>
      <c r="AZ201" s="67" t="n">
        <f aca="false">AY198-AZ198</f>
        <v>0</v>
      </c>
      <c r="BA201" s="67" t="n">
        <f aca="false">AZ198-BA198</f>
        <v>-366.26478058783</v>
      </c>
      <c r="BB201" s="67" t="n">
        <f aca="false">BA198-BB198</f>
        <v>0</v>
      </c>
      <c r="BC201" s="67" t="n">
        <f aca="false">BB198-BC198</f>
        <v>0</v>
      </c>
      <c r="BD201" s="67" t="n">
        <f aca="false">BC198-BD198</f>
        <v>0</v>
      </c>
      <c r="BE201" s="67" t="n">
        <f aca="false">BD198-BE198</f>
        <v>0</v>
      </c>
      <c r="BF201" s="67" t="n">
        <f aca="false">BE198-BF198</f>
        <v>0</v>
      </c>
      <c r="BG201" s="67" t="n">
        <f aca="false">BF198-BG198</f>
        <v>0</v>
      </c>
      <c r="BH201" s="67" t="n">
        <f aca="false">BG198-BH198</f>
        <v>0</v>
      </c>
      <c r="BI201" s="67" t="n">
        <f aca="false">BH198-BI198</f>
        <v>0</v>
      </c>
      <c r="BJ201" s="67" t="n">
        <f aca="false">BI198-BJ198</f>
        <v>366.26478058783</v>
      </c>
    </row>
    <row r="202" customFormat="false" ht="15" hidden="false" customHeight="false" outlineLevel="0" collapsed="false">
      <c r="A202" s="6" t="s">
        <v>344</v>
      </c>
      <c r="C202" s="67" t="n">
        <f aca="false">C199</f>
        <v>1005.2336</v>
      </c>
      <c r="D202" s="67" t="n">
        <f aca="false">D199-C199</f>
        <v>167.538933333334</v>
      </c>
      <c r="E202" s="67" t="n">
        <f aca="false">E199-D199</f>
        <v>617.301066666666</v>
      </c>
      <c r="F202" s="67" t="n">
        <f aca="false">F199-E199</f>
        <v>223.7592</v>
      </c>
      <c r="G202" s="67" t="n">
        <f aca="false">G199-F199</f>
        <v>223.7592</v>
      </c>
      <c r="H202" s="67" t="n">
        <f aca="false">H199-G199</f>
        <v>223.7592</v>
      </c>
      <c r="I202" s="67" t="n">
        <f aca="false">I199-H199</f>
        <v>223.7592</v>
      </c>
      <c r="J202" s="67" t="n">
        <f aca="false">J199-I199</f>
        <v>0</v>
      </c>
      <c r="K202" s="67" t="n">
        <f aca="false">K199-J199</f>
        <v>0</v>
      </c>
      <c r="L202" s="67" t="n">
        <f aca="false">L199-K199</f>
        <v>0</v>
      </c>
      <c r="M202" s="67" t="n">
        <f aca="false">M199-L199</f>
        <v>0</v>
      </c>
      <c r="N202" s="67" t="n">
        <f aca="false">N199-M199</f>
        <v>-674.6432</v>
      </c>
      <c r="O202" s="67" t="n">
        <f aca="false">O199-N199</f>
        <v>132.58336448</v>
      </c>
      <c r="P202" s="67" t="n">
        <f aca="false">P199-O199</f>
        <v>0</v>
      </c>
      <c r="Q202" s="67" t="n">
        <f aca="false">Q199-P199</f>
        <v>715.72897088</v>
      </c>
      <c r="R202" s="67" t="n">
        <f aca="false">R199-Q199</f>
        <v>0</v>
      </c>
      <c r="S202" s="67" t="n">
        <f aca="false">S199-R199</f>
        <v>0</v>
      </c>
      <c r="T202" s="67" t="n">
        <f aca="false">T199-S199</f>
        <v>0</v>
      </c>
      <c r="U202" s="67" t="n">
        <f aca="false">U199-T199</f>
        <v>0</v>
      </c>
      <c r="V202" s="67" t="n">
        <f aca="false">V199-U199</f>
        <v>0</v>
      </c>
      <c r="W202" s="67" t="n">
        <f aca="false">W199-V199</f>
        <v>0</v>
      </c>
      <c r="X202" s="67" t="n">
        <f aca="false">X199-W199</f>
        <v>0</v>
      </c>
      <c r="Y202" s="67" t="n">
        <f aca="false">Y199-X199</f>
        <v>0</v>
      </c>
      <c r="Z202" s="67" t="n">
        <f aca="false">Z199-Y199</f>
        <v>-715.72897088</v>
      </c>
      <c r="AA202" s="67" t="n">
        <f aca="false">AA199-Z199</f>
        <v>141.484583204831</v>
      </c>
      <c r="AB202" s="67" t="n">
        <f aca="false">AB199-AA199</f>
        <v>0</v>
      </c>
      <c r="AC202" s="67" t="n">
        <f aca="false">AC199-AB199</f>
        <v>759.316865206592</v>
      </c>
      <c r="AD202" s="67" t="n">
        <f aca="false">AD199-AC199</f>
        <v>0</v>
      </c>
      <c r="AE202" s="67" t="n">
        <f aca="false">AE199-AD199</f>
        <v>0</v>
      </c>
      <c r="AF202" s="67" t="n">
        <f aca="false">AF199-AE199</f>
        <v>0</v>
      </c>
      <c r="AG202" s="67" t="n">
        <f aca="false">AG199-AF199</f>
        <v>0</v>
      </c>
      <c r="AH202" s="67" t="n">
        <f aca="false">AH199-AG199</f>
        <v>0</v>
      </c>
      <c r="AI202" s="67" t="n">
        <f aca="false">AI199-AH199</f>
        <v>0</v>
      </c>
      <c r="AJ202" s="67" t="n">
        <f aca="false">AJ199-AI199</f>
        <v>0</v>
      </c>
      <c r="AK202" s="67" t="n">
        <f aca="false">AK199-AJ199</f>
        <v>0</v>
      </c>
      <c r="AL202" s="67" t="n">
        <f aca="false">AL199-AK199</f>
        <v>-759.316865206592</v>
      </c>
      <c r="AM202" s="67" t="n">
        <f aca="false">AM199-AL199</f>
        <v>150.995277833988</v>
      </c>
      <c r="AN202" s="67" t="n">
        <f aca="false">AN199-AM199</f>
        <v>0</v>
      </c>
      <c r="AO202" s="67" t="n">
        <f aca="false">AO199-AN199</f>
        <v>805.559262297674</v>
      </c>
      <c r="AP202" s="67" t="n">
        <f aca="false">AP199-AO199</f>
        <v>0</v>
      </c>
      <c r="AQ202" s="67" t="n">
        <f aca="false">AQ199-AP199</f>
        <v>0</v>
      </c>
      <c r="AR202" s="67" t="n">
        <f aca="false">AR199-AQ199</f>
        <v>0</v>
      </c>
      <c r="AS202" s="67" t="n">
        <f aca="false">AS199-AR199</f>
        <v>0</v>
      </c>
      <c r="AT202" s="67" t="n">
        <f aca="false">AT199-AS199</f>
        <v>0</v>
      </c>
      <c r="AU202" s="67" t="n">
        <f aca="false">AU199-AT199</f>
        <v>0</v>
      </c>
      <c r="AV202" s="67" t="n">
        <f aca="false">AV199-AU199</f>
        <v>0</v>
      </c>
      <c r="AW202" s="67" t="n">
        <f aca="false">AW199-AV199</f>
        <v>0</v>
      </c>
      <c r="AX202" s="67" t="n">
        <f aca="false">AX199-AW199</f>
        <v>-805.559262297674</v>
      </c>
      <c r="AY202" s="67" t="n">
        <f aca="false">AY199-AX199</f>
        <v>161.158057872288</v>
      </c>
      <c r="AZ202" s="67" t="n">
        <f aca="false">AZ199-AY199</f>
        <v>0</v>
      </c>
      <c r="BA202" s="67" t="n">
        <f aca="false">BA199-AZ199</f>
        <v>854.617821371602</v>
      </c>
      <c r="BB202" s="67" t="n">
        <f aca="false">BB199-BA199</f>
        <v>0</v>
      </c>
      <c r="BC202" s="67" t="n">
        <f aca="false">BC199-BB199</f>
        <v>0</v>
      </c>
      <c r="BD202" s="67" t="n">
        <f aca="false">BD199-BC199</f>
        <v>0</v>
      </c>
      <c r="BE202" s="67" t="n">
        <f aca="false">BE199-BD199</f>
        <v>0</v>
      </c>
      <c r="BF202" s="67" t="n">
        <f aca="false">BF199-BE199</f>
        <v>0</v>
      </c>
      <c r="BG202" s="67" t="n">
        <f aca="false">BG199-BF199</f>
        <v>0</v>
      </c>
      <c r="BH202" s="67" t="n">
        <f aca="false">BH199-BG199</f>
        <v>0</v>
      </c>
      <c r="BI202" s="67" t="n">
        <f aca="false">BI199-BH199</f>
        <v>0</v>
      </c>
      <c r="BJ202" s="67" t="n">
        <f aca="false">BJ199-BI199</f>
        <v>-854.617821371602</v>
      </c>
    </row>
    <row r="204" customFormat="false" ht="15.75" hidden="false" customHeight="true" outlineLevel="0" collapsed="false">
      <c r="A204" s="7" t="s">
        <v>442</v>
      </c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</row>
    <row r="205" customFormat="false" ht="15" hidden="false" customHeight="false" outlineLevel="0" collapsed="false">
      <c r="A205" s="4" t="s">
        <v>52</v>
      </c>
      <c r="C205" s="73" t="n">
        <f aca="false">C177-C186+C200+C201+C202</f>
        <v>-8928.99146666667</v>
      </c>
      <c r="D205" s="73" t="n">
        <f aca="false">D177-D186+D200+D201+D202</f>
        <v>-7525.57313333333</v>
      </c>
      <c r="E205" s="73" t="n">
        <f aca="false">E177-E186+E200+E201+E202</f>
        <v>-3969.1922</v>
      </c>
      <c r="F205" s="73" t="n">
        <f aca="false">F177-F186+F200+F201+F202</f>
        <v>-2368.09126666667</v>
      </c>
      <c r="G205" s="73" t="n">
        <f aca="false">G177-G186+G200+G201+G202</f>
        <v>-973.30926666667</v>
      </c>
      <c r="H205" s="73" t="n">
        <f aca="false">H177-H186+H200+H201+H202</f>
        <v>421.472733333329</v>
      </c>
      <c r="I205" s="73" t="n">
        <f aca="false">I177-I186+I200+I201+I202</f>
        <v>1816.25473333333</v>
      </c>
      <c r="J205" s="73" t="n">
        <f aca="false">J177-J186+J200+J201+J202</f>
        <v>1934.84233333333</v>
      </c>
      <c r="K205" s="73" t="n">
        <f aca="false">K177-K186+K200+K201+K202</f>
        <v>1946.09233333333</v>
      </c>
      <c r="L205" s="73" t="n">
        <f aca="false">L177-L186+L200+L201+L202</f>
        <v>1957.34233333333</v>
      </c>
      <c r="M205" s="73" t="n">
        <f aca="false">M177-M186+M200+M201+M202</f>
        <v>1968.59233333333</v>
      </c>
      <c r="N205" s="73" t="n">
        <f aca="false">N177-N186+N200+N201+N202</f>
        <v>-1939.14006666667</v>
      </c>
      <c r="O205" s="73" t="n">
        <f aca="false">O177-O186+O200+O201+O202</f>
        <v>-1957.78324330667</v>
      </c>
      <c r="P205" s="73" t="n">
        <f aca="false">P177-P186+P200+P201+P202</f>
        <v>-1886.77628586667</v>
      </c>
      <c r="Q205" s="73" t="n">
        <f aca="false">Q177-Q186+Q200+Q201+Q202</f>
        <v>2289.16734229333</v>
      </c>
      <c r="R205" s="73" t="n">
        <f aca="false">R177-R186+R200+R201+R202</f>
        <v>2675.64663893333</v>
      </c>
      <c r="S205" s="73" t="n">
        <f aca="false">S177-S186+S200+S201+S202</f>
        <v>2686.89663893333</v>
      </c>
      <c r="T205" s="73" t="n">
        <f aca="false">T177-T186+T200+T201+T202</f>
        <v>2698.14663893333</v>
      </c>
      <c r="U205" s="73" t="n">
        <f aca="false">U177-U186+U200+U201+U202</f>
        <v>2709.39663893333</v>
      </c>
      <c r="V205" s="73" t="n">
        <f aca="false">V177-V186+V200+V201+V202</f>
        <v>2720.64663893333</v>
      </c>
      <c r="W205" s="73" t="n">
        <f aca="false">W177-W186+W200+W201+W202</f>
        <v>2731.89663893333</v>
      </c>
      <c r="X205" s="73" t="n">
        <f aca="false">X177-X186+X200+X201+X202</f>
        <v>2743.14663893333</v>
      </c>
      <c r="Y205" s="73" t="n">
        <f aca="false">Y177-Y186+Y200+Y201+Y202</f>
        <v>2754.39663893333</v>
      </c>
      <c r="Z205" s="73" t="n">
        <f aca="false">Z177-Z186+Z200+Z201+Z202</f>
        <v>-1399.04698922667</v>
      </c>
      <c r="AA205" s="73" t="n">
        <f aca="false">AA177-AA186+AA200+AA201+AA202</f>
        <v>-1404.24850842805</v>
      </c>
      <c r="AB205" s="73" t="n">
        <f aca="false">AB177-AB186+AB200+AB201+AB202</f>
        <v>-1329.36972389595</v>
      </c>
      <c r="AC205" s="73" t="n">
        <f aca="false">AC177-AC186+AC200+AC201+AC202</f>
        <v>3107.460302219</v>
      </c>
      <c r="AD205" s="73" t="n">
        <f aca="false">AD177-AD186+AD200+AD201+AD202</f>
        <v>3516.79106302437</v>
      </c>
      <c r="AE205" s="73" t="n">
        <f aca="false">AE177-AE186+AE200+AE201+AE202</f>
        <v>3528.04106302437</v>
      </c>
      <c r="AF205" s="73" t="n">
        <f aca="false">AF177-AF186+AF200+AF201+AF202</f>
        <v>3539.29106302437</v>
      </c>
      <c r="AG205" s="73" t="n">
        <f aca="false">AG177-AG186+AG200+AG201+AG202</f>
        <v>3550.54106302437</v>
      </c>
      <c r="AH205" s="73" t="n">
        <f aca="false">AH177-AH186+AH200+AH201+AH202</f>
        <v>3561.79106302437</v>
      </c>
      <c r="AI205" s="73" t="n">
        <f aca="false">AI177-AI186+AI200+AI201+AI202</f>
        <v>3573.04106302437</v>
      </c>
      <c r="AJ205" s="73" t="n">
        <f aca="false">AJ177-AJ186+AJ200+AJ201+AJ202</f>
        <v>3584.29106302437</v>
      </c>
      <c r="AK205" s="73" t="n">
        <f aca="false">AK177-AK186+AK200+AK201+AK202</f>
        <v>3595.54106302437</v>
      </c>
      <c r="AL205" s="73" t="n">
        <f aca="false">AL177-AL186+AL200+AL201+AL202</f>
        <v>-818.788963090575</v>
      </c>
      <c r="AM205" s="73" t="n">
        <f aca="false">AM177-AM186+AM200+AM201+AM202</f>
        <v>-809.113561311287</v>
      </c>
      <c r="AN205" s="73" t="n">
        <f aca="false">AN177-AN186+AN200+AN201+AN202</f>
        <v>-730.10819620389</v>
      </c>
      <c r="AO205" s="73" t="n">
        <f aca="false">AO177-AO186+AO200+AO201+AO202</f>
        <v>3983.71390618145</v>
      </c>
      <c r="AP205" s="73" t="n">
        <f aca="false">AP177-AP186+AP200+AP201+AP202</f>
        <v>4417.28778531988</v>
      </c>
      <c r="AQ205" s="73" t="n">
        <f aca="false">AQ177-AQ186+AQ200+AQ201+AQ202</f>
        <v>4428.53778531988</v>
      </c>
      <c r="AR205" s="73" t="n">
        <f aca="false">AR177-AR186+AR200+AR201+AR202</f>
        <v>4439.78778531988</v>
      </c>
      <c r="AS205" s="73" t="n">
        <f aca="false">AS177-AS186+AS200+AS201+AS202</f>
        <v>4451.03778531988</v>
      </c>
      <c r="AT205" s="73" t="n">
        <f aca="false">AT177-AT186+AT200+AT201+AT202</f>
        <v>4462.28778531988</v>
      </c>
      <c r="AU205" s="73" t="n">
        <f aca="false">AU177-AU186+AU200+AU201+AU202</f>
        <v>4473.53778531988</v>
      </c>
      <c r="AV205" s="73" t="n">
        <f aca="false">AV177-AV186+AV200+AV201+AV202</f>
        <v>4484.78778531988</v>
      </c>
      <c r="AW205" s="73" t="n">
        <f aca="false">AW177-AW186+AW200+AW201+AW202</f>
        <v>4496.03778531988</v>
      </c>
      <c r="AX205" s="73" t="n">
        <f aca="false">AX177-AX186+AX200+AX201+AX202</f>
        <v>-195.284317065466</v>
      </c>
      <c r="AY205" s="73" t="n">
        <f aca="false">AY177-AY186+AY200+AY201+AY202</f>
        <v>-169.177880848807</v>
      </c>
      <c r="AZ205" s="73" t="n">
        <f aca="false">AZ177-AZ186+AZ200+AZ201+AZ202</f>
        <v>-85.774122019895</v>
      </c>
      <c r="BA205" s="73" t="n">
        <f aca="false">BA177-BA186+BA200+BA201+BA202</f>
        <v>4922.13310166111</v>
      </c>
      <c r="BB205" s="73" t="n">
        <f aca="false">BB177-BB186+BB200+BB201+BB202</f>
        <v>5381.42650503907</v>
      </c>
      <c r="BC205" s="73" t="n">
        <f aca="false">BC177-BC186+BC200+BC201+BC202</f>
        <v>5392.67650503907</v>
      </c>
      <c r="BD205" s="73" t="n">
        <f aca="false">BD177-BD186+BD200+BD201+BD202</f>
        <v>5403.92650503907</v>
      </c>
      <c r="BE205" s="73" t="n">
        <f aca="false">BE177-BE186+BE200+BE201+BE202</f>
        <v>4662.18397480068</v>
      </c>
      <c r="BF205" s="73" t="n">
        <f aca="false">BF177-BF186+BF200+BF201+BF202</f>
        <v>4656.87693898086</v>
      </c>
      <c r="BG205" s="73" t="n">
        <f aca="false">BG177-BG186+BG200+BG201+BG202</f>
        <v>4665.76443898086</v>
      </c>
      <c r="BH205" s="73" t="n">
        <f aca="false">BH177-BH186+BH200+BH201+BH202</f>
        <v>4674.65193898086</v>
      </c>
      <c r="BI205" s="73" t="n">
        <f aca="false">BI177-BI186+BI200+BI201+BI202</f>
        <v>4683.53943898086</v>
      </c>
      <c r="BJ205" s="73" t="n">
        <f aca="false">BJ177-BJ186+BJ200+BJ201+BJ202</f>
        <v>474.769281358059</v>
      </c>
    </row>
    <row r="206" customFormat="false" ht="15" hidden="false" customHeight="false" outlineLevel="0" collapsed="false">
      <c r="A206" s="6" t="s">
        <v>443</v>
      </c>
      <c r="C206" s="67" t="n">
        <f aca="false">-C184</f>
        <v>-138000</v>
      </c>
      <c r="D206" s="67" t="n">
        <f aca="false">-D184</f>
        <v>-0</v>
      </c>
      <c r="E206" s="67" t="n">
        <f aca="false">-E184</f>
        <v>-0</v>
      </c>
      <c r="F206" s="67" t="n">
        <f aca="false">-F184</f>
        <v>-0</v>
      </c>
      <c r="G206" s="67" t="n">
        <f aca="false">-G184</f>
        <v>-0</v>
      </c>
      <c r="H206" s="67" t="n">
        <f aca="false">-H184</f>
        <v>-0</v>
      </c>
      <c r="I206" s="67" t="n">
        <f aca="false">-I184</f>
        <v>-0</v>
      </c>
      <c r="J206" s="67" t="n">
        <f aca="false">-J184</f>
        <v>-0</v>
      </c>
      <c r="K206" s="67" t="n">
        <f aca="false">-K184</f>
        <v>-0</v>
      </c>
      <c r="L206" s="67" t="n">
        <f aca="false">-L184</f>
        <v>-0</v>
      </c>
      <c r="M206" s="67" t="n">
        <f aca="false">-M184</f>
        <v>-0</v>
      </c>
      <c r="N206" s="67" t="n">
        <f aca="false">-N184</f>
        <v>-0</v>
      </c>
      <c r="O206" s="67" t="n">
        <f aca="false">-O184</f>
        <v>-2500</v>
      </c>
      <c r="P206" s="67" t="n">
        <f aca="false">-P184</f>
        <v>-0</v>
      </c>
      <c r="Q206" s="67" t="n">
        <f aca="false">-Q184</f>
        <v>-0</v>
      </c>
      <c r="R206" s="67" t="n">
        <f aca="false">-R184</f>
        <v>-0</v>
      </c>
      <c r="S206" s="67" t="n">
        <f aca="false">-S184</f>
        <v>-0</v>
      </c>
      <c r="T206" s="67" t="n">
        <f aca="false">-T184</f>
        <v>-0</v>
      </c>
      <c r="U206" s="67" t="n">
        <f aca="false">-U184</f>
        <v>-0</v>
      </c>
      <c r="V206" s="67" t="n">
        <f aca="false">-V184</f>
        <v>-0</v>
      </c>
      <c r="W206" s="67" t="n">
        <f aca="false">-W184</f>
        <v>-0</v>
      </c>
      <c r="X206" s="67" t="n">
        <f aca="false">-X184</f>
        <v>-0</v>
      </c>
      <c r="Y206" s="67" t="n">
        <f aca="false">-Y184</f>
        <v>-0</v>
      </c>
      <c r="Z206" s="67" t="n">
        <f aca="false">-Z184</f>
        <v>-0</v>
      </c>
      <c r="AA206" s="67" t="n">
        <f aca="false">-AA184</f>
        <v>-2500</v>
      </c>
      <c r="AB206" s="67" t="n">
        <f aca="false">-AB184</f>
        <v>-0</v>
      </c>
      <c r="AC206" s="67" t="n">
        <f aca="false">-AC184</f>
        <v>-0</v>
      </c>
      <c r="AD206" s="67" t="n">
        <f aca="false">-AD184</f>
        <v>-0</v>
      </c>
      <c r="AE206" s="67" t="n">
        <f aca="false">-AE184</f>
        <v>-0</v>
      </c>
      <c r="AF206" s="67" t="n">
        <f aca="false">-AF184</f>
        <v>-0</v>
      </c>
      <c r="AG206" s="67" t="n">
        <f aca="false">-AG184</f>
        <v>-0</v>
      </c>
      <c r="AH206" s="67" t="n">
        <f aca="false">-AH184</f>
        <v>-0</v>
      </c>
      <c r="AI206" s="67" t="n">
        <f aca="false">-AI184</f>
        <v>-0</v>
      </c>
      <c r="AJ206" s="67" t="n">
        <f aca="false">-AJ184</f>
        <v>-0</v>
      </c>
      <c r="AK206" s="67" t="n">
        <f aca="false">-AK184</f>
        <v>-0</v>
      </c>
      <c r="AL206" s="67" t="n">
        <f aca="false">-AL184</f>
        <v>-0</v>
      </c>
      <c r="AM206" s="67" t="n">
        <f aca="false">-AM184</f>
        <v>-2500</v>
      </c>
      <c r="AN206" s="67" t="n">
        <f aca="false">-AN184</f>
        <v>-0</v>
      </c>
      <c r="AO206" s="67" t="n">
        <f aca="false">-AO184</f>
        <v>-0</v>
      </c>
      <c r="AP206" s="67" t="n">
        <f aca="false">-AP184</f>
        <v>-0</v>
      </c>
      <c r="AQ206" s="67" t="n">
        <f aca="false">-AQ184</f>
        <v>-0</v>
      </c>
      <c r="AR206" s="67" t="n">
        <f aca="false">-AR184</f>
        <v>-0</v>
      </c>
      <c r="AS206" s="67" t="n">
        <f aca="false">-AS184</f>
        <v>-0</v>
      </c>
      <c r="AT206" s="67" t="n">
        <f aca="false">-AT184</f>
        <v>-0</v>
      </c>
      <c r="AU206" s="67" t="n">
        <f aca="false">-AU184</f>
        <v>-0</v>
      </c>
      <c r="AV206" s="67" t="n">
        <f aca="false">-AV184</f>
        <v>-0</v>
      </c>
      <c r="AW206" s="67" t="n">
        <f aca="false">-AW184</f>
        <v>-0</v>
      </c>
      <c r="AX206" s="67" t="n">
        <f aca="false">-AX184</f>
        <v>-0</v>
      </c>
      <c r="AY206" s="67" t="n">
        <f aca="false">-AY184</f>
        <v>-2500</v>
      </c>
      <c r="AZ206" s="67" t="n">
        <f aca="false">-AZ184</f>
        <v>-0</v>
      </c>
      <c r="BA206" s="67" t="n">
        <f aca="false">-BA184</f>
        <v>-0</v>
      </c>
      <c r="BB206" s="67" t="n">
        <f aca="false">-BB184</f>
        <v>-0</v>
      </c>
      <c r="BC206" s="67" t="n">
        <f aca="false">-BC184</f>
        <v>-0</v>
      </c>
      <c r="BD206" s="67" t="n">
        <f aca="false">-BD184</f>
        <v>-0</v>
      </c>
      <c r="BE206" s="67" t="n">
        <f aca="false">-BE184</f>
        <v>-0</v>
      </c>
      <c r="BF206" s="67" t="n">
        <f aca="false">-BF184</f>
        <v>-0</v>
      </c>
      <c r="BG206" s="67" t="n">
        <f aca="false">-BG184</f>
        <v>-0</v>
      </c>
      <c r="BH206" s="67" t="n">
        <f aca="false">-BH184</f>
        <v>-0</v>
      </c>
      <c r="BI206" s="67" t="n">
        <f aca="false">-BI184</f>
        <v>-0</v>
      </c>
      <c r="BJ206" s="67" t="n">
        <f aca="false">-BJ184</f>
        <v>-0</v>
      </c>
    </row>
    <row r="207" customFormat="false" ht="15" hidden="false" customHeight="false" outlineLevel="0" collapsed="false">
      <c r="A207" s="6" t="s">
        <v>64</v>
      </c>
      <c r="C207" s="67" t="n">
        <f aca="false">IF(C$126=1,Inputs!$C$71,0)</f>
        <v>100000</v>
      </c>
      <c r="D207" s="67" t="n">
        <f aca="false">IF(D$126=1,Inputs!$C$71,0)</f>
        <v>0</v>
      </c>
      <c r="E207" s="67" t="n">
        <f aca="false">IF(E$126=1,Inputs!$C$71,0)</f>
        <v>0</v>
      </c>
      <c r="F207" s="67" t="n">
        <f aca="false">IF(F$126=1,Inputs!$C$71,0)</f>
        <v>0</v>
      </c>
      <c r="G207" s="67" t="n">
        <f aca="false">IF(G$126=1,Inputs!$C$71,0)</f>
        <v>0</v>
      </c>
      <c r="H207" s="67" t="n">
        <f aca="false">IF(H$126=1,Inputs!$C$71,0)</f>
        <v>0</v>
      </c>
      <c r="I207" s="67" t="n">
        <f aca="false">IF(I$126=1,Inputs!$C$71,0)</f>
        <v>0</v>
      </c>
      <c r="J207" s="67" t="n">
        <f aca="false">IF(J$126=1,Inputs!$C$71,0)</f>
        <v>0</v>
      </c>
      <c r="K207" s="67" t="n">
        <f aca="false">IF(K$126=1,Inputs!$C$71,0)</f>
        <v>0</v>
      </c>
      <c r="L207" s="67" t="n">
        <f aca="false">IF(L$126=1,Inputs!$C$71,0)</f>
        <v>0</v>
      </c>
      <c r="M207" s="67" t="n">
        <f aca="false">IF(M$126=1,Inputs!$C$71,0)</f>
        <v>0</v>
      </c>
      <c r="N207" s="67" t="n">
        <f aca="false">IF(N$126=1,Inputs!$C$71,0)</f>
        <v>0</v>
      </c>
      <c r="O207" s="67" t="n">
        <f aca="false">IF(O$126=1,Inputs!$C$71,0)</f>
        <v>0</v>
      </c>
      <c r="P207" s="67" t="n">
        <f aca="false">IF(P$126=1,Inputs!$C$71,0)</f>
        <v>0</v>
      </c>
      <c r="Q207" s="67" t="n">
        <f aca="false">IF(Q$126=1,Inputs!$C$71,0)</f>
        <v>0</v>
      </c>
      <c r="R207" s="67" t="n">
        <f aca="false">IF(R$126=1,Inputs!$C$71,0)</f>
        <v>0</v>
      </c>
      <c r="S207" s="67" t="n">
        <f aca="false">IF(S$126=1,Inputs!$C$71,0)</f>
        <v>0</v>
      </c>
      <c r="T207" s="67" t="n">
        <f aca="false">IF(T$126=1,Inputs!$C$71,0)</f>
        <v>0</v>
      </c>
      <c r="U207" s="67" t="n">
        <f aca="false">IF(U$126=1,Inputs!$C$71,0)</f>
        <v>0</v>
      </c>
      <c r="V207" s="67" t="n">
        <f aca="false">IF(V$126=1,Inputs!$C$71,0)</f>
        <v>0</v>
      </c>
      <c r="W207" s="67" t="n">
        <f aca="false">IF(W$126=1,Inputs!$C$71,0)</f>
        <v>0</v>
      </c>
      <c r="X207" s="67" t="n">
        <f aca="false">IF(X$126=1,Inputs!$C$71,0)</f>
        <v>0</v>
      </c>
      <c r="Y207" s="67" t="n">
        <f aca="false">IF(Y$126=1,Inputs!$C$71,0)</f>
        <v>0</v>
      </c>
      <c r="Z207" s="67" t="n">
        <f aca="false">IF(Z$126=1,Inputs!$C$71,0)</f>
        <v>0</v>
      </c>
      <c r="AA207" s="67" t="n">
        <f aca="false">IF(AA$126=1,Inputs!$C$71,0)</f>
        <v>0</v>
      </c>
      <c r="AB207" s="67" t="n">
        <f aca="false">IF(AB$126=1,Inputs!$C$71,0)</f>
        <v>0</v>
      </c>
      <c r="AC207" s="67" t="n">
        <f aca="false">IF(AC$126=1,Inputs!$C$71,0)</f>
        <v>0</v>
      </c>
      <c r="AD207" s="67" t="n">
        <f aca="false">IF(AD$126=1,Inputs!$C$71,0)</f>
        <v>0</v>
      </c>
      <c r="AE207" s="67" t="n">
        <f aca="false">IF(AE$126=1,Inputs!$C$71,0)</f>
        <v>0</v>
      </c>
      <c r="AF207" s="67" t="n">
        <f aca="false">IF(AF$126=1,Inputs!$C$71,0)</f>
        <v>0</v>
      </c>
      <c r="AG207" s="67" t="n">
        <f aca="false">IF(AG$126=1,Inputs!$C$71,0)</f>
        <v>0</v>
      </c>
      <c r="AH207" s="67" t="n">
        <f aca="false">IF(AH$126=1,Inputs!$C$71,0)</f>
        <v>0</v>
      </c>
      <c r="AI207" s="67" t="n">
        <f aca="false">IF(AI$126=1,Inputs!$C$71,0)</f>
        <v>0</v>
      </c>
      <c r="AJ207" s="67" t="n">
        <f aca="false">IF(AJ$126=1,Inputs!$C$71,0)</f>
        <v>0</v>
      </c>
      <c r="AK207" s="67" t="n">
        <f aca="false">IF(AK$126=1,Inputs!$C$71,0)</f>
        <v>0</v>
      </c>
      <c r="AL207" s="67" t="n">
        <f aca="false">IF(AL$126=1,Inputs!$C$71,0)</f>
        <v>0</v>
      </c>
      <c r="AM207" s="67" t="n">
        <f aca="false">IF(AM$126=1,Inputs!$C$71,0)</f>
        <v>0</v>
      </c>
      <c r="AN207" s="67" t="n">
        <f aca="false">IF(AN$126=1,Inputs!$C$71,0)</f>
        <v>0</v>
      </c>
      <c r="AO207" s="67" t="n">
        <f aca="false">IF(AO$126=1,Inputs!$C$71,0)</f>
        <v>0</v>
      </c>
      <c r="AP207" s="67" t="n">
        <f aca="false">IF(AP$126=1,Inputs!$C$71,0)</f>
        <v>0</v>
      </c>
      <c r="AQ207" s="67" t="n">
        <f aca="false">IF(AQ$126=1,Inputs!$C$71,0)</f>
        <v>0</v>
      </c>
      <c r="AR207" s="67" t="n">
        <f aca="false">IF(AR$126=1,Inputs!$C$71,0)</f>
        <v>0</v>
      </c>
      <c r="AS207" s="67" t="n">
        <f aca="false">IF(AS$126=1,Inputs!$C$71,0)</f>
        <v>0</v>
      </c>
      <c r="AT207" s="67" t="n">
        <f aca="false">IF(AT$126=1,Inputs!$C$71,0)</f>
        <v>0</v>
      </c>
      <c r="AU207" s="67" t="n">
        <f aca="false">IF(AU$126=1,Inputs!$C$71,0)</f>
        <v>0</v>
      </c>
      <c r="AV207" s="67" t="n">
        <f aca="false">IF(AV$126=1,Inputs!$C$71,0)</f>
        <v>0</v>
      </c>
      <c r="AW207" s="67" t="n">
        <f aca="false">IF(AW$126=1,Inputs!$C$71,0)</f>
        <v>0</v>
      </c>
      <c r="AX207" s="67" t="n">
        <f aca="false">IF(AX$126=1,Inputs!$C$71,0)</f>
        <v>0</v>
      </c>
      <c r="AY207" s="67" t="n">
        <f aca="false">IF(AY$126=1,Inputs!$C$71,0)</f>
        <v>0</v>
      </c>
      <c r="AZ207" s="67" t="n">
        <f aca="false">IF(AZ$126=1,Inputs!$C$71,0)</f>
        <v>0</v>
      </c>
      <c r="BA207" s="67" t="n">
        <f aca="false">IF(BA$126=1,Inputs!$C$71,0)</f>
        <v>0</v>
      </c>
      <c r="BB207" s="67" t="n">
        <f aca="false">IF(BB$126=1,Inputs!$C$71,0)</f>
        <v>0</v>
      </c>
      <c r="BC207" s="67" t="n">
        <f aca="false">IF(BC$126=1,Inputs!$C$71,0)</f>
        <v>0</v>
      </c>
      <c r="BD207" s="67" t="n">
        <f aca="false">IF(BD$126=1,Inputs!$C$71,0)</f>
        <v>0</v>
      </c>
      <c r="BE207" s="67" t="n">
        <f aca="false">IF(BE$126=1,Inputs!$C$71,0)</f>
        <v>0</v>
      </c>
      <c r="BF207" s="67" t="n">
        <f aca="false">IF(BF$126=1,Inputs!$C$71,0)</f>
        <v>0</v>
      </c>
      <c r="BG207" s="67" t="n">
        <f aca="false">IF(BG$126=1,Inputs!$C$71,0)</f>
        <v>0</v>
      </c>
      <c r="BH207" s="67" t="n">
        <f aca="false">IF(BH$126=1,Inputs!$C$71,0)</f>
        <v>0</v>
      </c>
      <c r="BI207" s="67" t="n">
        <f aca="false">IF(BI$126=1,Inputs!$C$71,0)</f>
        <v>0</v>
      </c>
      <c r="BJ207" s="67" t="n">
        <f aca="false">IF(BJ$126=1,Inputs!$C$71,0)</f>
        <v>0</v>
      </c>
    </row>
    <row r="208" customFormat="false" ht="15" hidden="false" customHeight="false" outlineLevel="0" collapsed="false">
      <c r="A208" s="6" t="s">
        <v>54</v>
      </c>
      <c r="C208" s="67" t="n">
        <f aca="false">C207+C192+C193</f>
        <v>190000</v>
      </c>
      <c r="D208" s="67" t="n">
        <f aca="false">D207+D192+D193</f>
        <v>-1500</v>
      </c>
      <c r="E208" s="67" t="n">
        <f aca="false">E207+E192+E193</f>
        <v>-1500</v>
      </c>
      <c r="F208" s="67" t="n">
        <f aca="false">F207+F192+F193</f>
        <v>-1500</v>
      </c>
      <c r="G208" s="67" t="n">
        <f aca="false">G207+G192+G193</f>
        <v>-1500</v>
      </c>
      <c r="H208" s="67" t="n">
        <f aca="false">H207+H192+H193</f>
        <v>-1500</v>
      </c>
      <c r="I208" s="67" t="n">
        <f aca="false">I207+I192+I193</f>
        <v>-1500</v>
      </c>
      <c r="J208" s="67" t="n">
        <f aca="false">J207+J192+J193</f>
        <v>-1500</v>
      </c>
      <c r="K208" s="67" t="n">
        <f aca="false">K207+K192+K193</f>
        <v>-1500</v>
      </c>
      <c r="L208" s="67" t="n">
        <f aca="false">L207+L192+L193</f>
        <v>-1500</v>
      </c>
      <c r="M208" s="67" t="n">
        <f aca="false">M207+M192+M193</f>
        <v>-1500</v>
      </c>
      <c r="N208" s="67" t="n">
        <f aca="false">N207+N192+N193</f>
        <v>-1500</v>
      </c>
      <c r="O208" s="67" t="n">
        <f aca="false">O207+O192+O193</f>
        <v>-1500</v>
      </c>
      <c r="P208" s="67" t="n">
        <f aca="false">P207+P192+P193</f>
        <v>-1500</v>
      </c>
      <c r="Q208" s="67" t="n">
        <f aca="false">Q207+Q192+Q193</f>
        <v>-1500</v>
      </c>
      <c r="R208" s="67" t="n">
        <f aca="false">R207+R192+R193</f>
        <v>-1500</v>
      </c>
      <c r="S208" s="67" t="n">
        <f aca="false">S207+S192+S193</f>
        <v>-1500</v>
      </c>
      <c r="T208" s="67" t="n">
        <f aca="false">T207+T192+T193</f>
        <v>-1500</v>
      </c>
      <c r="U208" s="67" t="n">
        <f aca="false">U207+U192+U193</f>
        <v>-1500</v>
      </c>
      <c r="V208" s="67" t="n">
        <f aca="false">V207+V192+V193</f>
        <v>-1500</v>
      </c>
      <c r="W208" s="67" t="n">
        <f aca="false">W207+W192+W193</f>
        <v>-1500</v>
      </c>
      <c r="X208" s="67" t="n">
        <f aca="false">X207+X192+X193</f>
        <v>-1500</v>
      </c>
      <c r="Y208" s="67" t="n">
        <f aca="false">Y207+Y192+Y193</f>
        <v>-1500</v>
      </c>
      <c r="Z208" s="67" t="n">
        <f aca="false">Z207+Z192+Z193</f>
        <v>-1500</v>
      </c>
      <c r="AA208" s="67" t="n">
        <f aca="false">AA207+AA192+AA193</f>
        <v>-1500</v>
      </c>
      <c r="AB208" s="67" t="n">
        <f aca="false">AB207+AB192+AB193</f>
        <v>-1500</v>
      </c>
      <c r="AC208" s="67" t="n">
        <f aca="false">AC207+AC192+AC193</f>
        <v>-1500</v>
      </c>
      <c r="AD208" s="67" t="n">
        <f aca="false">AD207+AD192+AD193</f>
        <v>-1500</v>
      </c>
      <c r="AE208" s="67" t="n">
        <f aca="false">AE207+AE192+AE193</f>
        <v>-1500</v>
      </c>
      <c r="AF208" s="67" t="n">
        <f aca="false">AF207+AF192+AF193</f>
        <v>-1500</v>
      </c>
      <c r="AG208" s="67" t="n">
        <f aca="false">AG207+AG192+AG193</f>
        <v>-1500</v>
      </c>
      <c r="AH208" s="67" t="n">
        <f aca="false">AH207+AH192+AH193</f>
        <v>-1500</v>
      </c>
      <c r="AI208" s="67" t="n">
        <f aca="false">AI207+AI192+AI193</f>
        <v>-1500</v>
      </c>
      <c r="AJ208" s="67" t="n">
        <f aca="false">AJ207+AJ192+AJ193</f>
        <v>-1500</v>
      </c>
      <c r="AK208" s="67" t="n">
        <f aca="false">AK207+AK192+AK193</f>
        <v>-1500</v>
      </c>
      <c r="AL208" s="67" t="n">
        <f aca="false">AL207+AL192+AL193</f>
        <v>-1500</v>
      </c>
      <c r="AM208" s="67" t="n">
        <f aca="false">AM207+AM192+AM193</f>
        <v>-1500</v>
      </c>
      <c r="AN208" s="67" t="n">
        <f aca="false">AN207+AN192+AN193</f>
        <v>-1500</v>
      </c>
      <c r="AO208" s="67" t="n">
        <f aca="false">AO207+AO192+AO193</f>
        <v>-1500</v>
      </c>
      <c r="AP208" s="67" t="n">
        <f aca="false">AP207+AP192+AP193</f>
        <v>-1500</v>
      </c>
      <c r="AQ208" s="67" t="n">
        <f aca="false">AQ207+AQ192+AQ193</f>
        <v>-1500</v>
      </c>
      <c r="AR208" s="67" t="n">
        <f aca="false">AR207+AR192+AR193</f>
        <v>-1500</v>
      </c>
      <c r="AS208" s="67" t="n">
        <f aca="false">AS207+AS192+AS193</f>
        <v>-1500</v>
      </c>
      <c r="AT208" s="67" t="n">
        <f aca="false">AT207+AT192+AT193</f>
        <v>-1500</v>
      </c>
      <c r="AU208" s="67" t="n">
        <f aca="false">AU207+AU192+AU193</f>
        <v>-1500</v>
      </c>
      <c r="AV208" s="67" t="n">
        <f aca="false">AV207+AV192+AV193</f>
        <v>-1500</v>
      </c>
      <c r="AW208" s="67" t="n">
        <f aca="false">AW207+AW192+AW193</f>
        <v>-1500</v>
      </c>
      <c r="AX208" s="67" t="n">
        <f aca="false">AX207+AX192+AX193</f>
        <v>-1500</v>
      </c>
      <c r="AY208" s="67" t="n">
        <f aca="false">AY207+AY192+AY193</f>
        <v>-1500</v>
      </c>
      <c r="AZ208" s="67" t="n">
        <f aca="false">AZ207+AZ192+AZ193</f>
        <v>-1500</v>
      </c>
      <c r="BA208" s="67" t="n">
        <f aca="false">BA207+BA192+BA193</f>
        <v>-1500</v>
      </c>
      <c r="BB208" s="67" t="n">
        <f aca="false">BB207+BB192+BB193</f>
        <v>-1500</v>
      </c>
      <c r="BC208" s="67" t="n">
        <f aca="false">BC207+BC192+BC193</f>
        <v>-1500</v>
      </c>
      <c r="BD208" s="67" t="n">
        <f aca="false">BD207+BD192+BD193</f>
        <v>-1500</v>
      </c>
      <c r="BE208" s="67" t="n">
        <f aca="false">BE207+BE192+BE193</f>
        <v>-1500</v>
      </c>
      <c r="BF208" s="67" t="n">
        <f aca="false">BF207+BF192+BF193</f>
        <v>-1500</v>
      </c>
      <c r="BG208" s="67" t="n">
        <f aca="false">BG207+BG192+BG193</f>
        <v>-1500</v>
      </c>
      <c r="BH208" s="67" t="n">
        <f aca="false">BH207+BH192+BH193</f>
        <v>-1500</v>
      </c>
      <c r="BI208" s="67" t="n">
        <f aca="false">BI207+BI192+BI193</f>
        <v>-1500</v>
      </c>
      <c r="BJ208" s="67" t="n">
        <f aca="false">BJ207+BJ192+BJ193</f>
        <v>-1500</v>
      </c>
    </row>
    <row r="209" customFormat="false" ht="15" hidden="false" customHeight="false" outlineLevel="0" collapsed="false">
      <c r="A209" s="113" t="s">
        <v>444</v>
      </c>
      <c r="C209" s="68" t="n">
        <f aca="false">C205+C206+C208</f>
        <v>43071.0085333333</v>
      </c>
      <c r="D209" s="68" t="n">
        <f aca="false">D205+D206+D208</f>
        <v>-9025.57313333333</v>
      </c>
      <c r="E209" s="68" t="n">
        <f aca="false">E205+E206+E208</f>
        <v>-5469.1922</v>
      </c>
      <c r="F209" s="68" t="n">
        <f aca="false">F205+F206+F208</f>
        <v>-3868.09126666667</v>
      </c>
      <c r="G209" s="68" t="n">
        <f aca="false">G205+G206+G208</f>
        <v>-2473.30926666667</v>
      </c>
      <c r="H209" s="68" t="n">
        <f aca="false">H205+H206+H208</f>
        <v>-1078.52726666667</v>
      </c>
      <c r="I209" s="68" t="n">
        <f aca="false">I205+I206+I208</f>
        <v>316.25473333333</v>
      </c>
      <c r="J209" s="68" t="n">
        <f aca="false">J205+J206+J208</f>
        <v>434.84233333333</v>
      </c>
      <c r="K209" s="68" t="n">
        <f aca="false">K205+K206+K208</f>
        <v>446.09233333333</v>
      </c>
      <c r="L209" s="68" t="n">
        <f aca="false">L205+L206+L208</f>
        <v>457.34233333333</v>
      </c>
      <c r="M209" s="68" t="n">
        <f aca="false">M205+M206+M208</f>
        <v>468.59233333333</v>
      </c>
      <c r="N209" s="68" t="n">
        <f aca="false">N205+N206+N208</f>
        <v>-3439.14006666667</v>
      </c>
      <c r="O209" s="68" t="n">
        <f aca="false">O205+O206+O208</f>
        <v>-5957.78324330667</v>
      </c>
      <c r="P209" s="68" t="n">
        <f aca="false">P205+P206+P208</f>
        <v>-3386.77628586667</v>
      </c>
      <c r="Q209" s="68" t="n">
        <f aca="false">Q205+Q206+Q208</f>
        <v>789.167342293331</v>
      </c>
      <c r="R209" s="68" t="n">
        <f aca="false">R205+R206+R208</f>
        <v>1175.64663893333</v>
      </c>
      <c r="S209" s="68" t="n">
        <f aca="false">S205+S206+S208</f>
        <v>1186.89663893333</v>
      </c>
      <c r="T209" s="68" t="n">
        <f aca="false">T205+T206+T208</f>
        <v>1198.14663893333</v>
      </c>
      <c r="U209" s="68" t="n">
        <f aca="false">U205+U206+U208</f>
        <v>1209.39663893333</v>
      </c>
      <c r="V209" s="68" t="n">
        <f aca="false">V205+V206+V208</f>
        <v>1220.64663893333</v>
      </c>
      <c r="W209" s="68" t="n">
        <f aca="false">W205+W206+W208</f>
        <v>1231.89663893333</v>
      </c>
      <c r="X209" s="68" t="n">
        <f aca="false">X205+X206+X208</f>
        <v>1243.14663893333</v>
      </c>
      <c r="Y209" s="68" t="n">
        <f aca="false">Y205+Y206+Y208</f>
        <v>1254.39663893333</v>
      </c>
      <c r="Z209" s="68" t="n">
        <f aca="false">Z205+Z206+Z208</f>
        <v>-2899.04698922667</v>
      </c>
      <c r="AA209" s="68" t="n">
        <f aca="false">AA205+AA206+AA208</f>
        <v>-5404.24850842805</v>
      </c>
      <c r="AB209" s="68" t="n">
        <f aca="false">AB205+AB206+AB208</f>
        <v>-2829.36972389595</v>
      </c>
      <c r="AC209" s="68" t="n">
        <f aca="false">AC205+AC206+AC208</f>
        <v>1607.460302219</v>
      </c>
      <c r="AD209" s="68" t="n">
        <f aca="false">AD205+AD206+AD208</f>
        <v>2016.79106302437</v>
      </c>
      <c r="AE209" s="68" t="n">
        <f aca="false">AE205+AE206+AE208</f>
        <v>2028.04106302437</v>
      </c>
      <c r="AF209" s="68" t="n">
        <f aca="false">AF205+AF206+AF208</f>
        <v>2039.29106302437</v>
      </c>
      <c r="AG209" s="68" t="n">
        <f aca="false">AG205+AG206+AG208</f>
        <v>2050.54106302437</v>
      </c>
      <c r="AH209" s="68" t="n">
        <f aca="false">AH205+AH206+AH208</f>
        <v>2061.79106302437</v>
      </c>
      <c r="AI209" s="68" t="n">
        <f aca="false">AI205+AI206+AI208</f>
        <v>2073.04106302437</v>
      </c>
      <c r="AJ209" s="68" t="n">
        <f aca="false">AJ205+AJ206+AJ208</f>
        <v>2084.29106302437</v>
      </c>
      <c r="AK209" s="68" t="n">
        <f aca="false">AK205+AK206+AK208</f>
        <v>2095.54106302437</v>
      </c>
      <c r="AL209" s="68" t="n">
        <f aca="false">AL205+AL206+AL208</f>
        <v>-2318.78896309057</v>
      </c>
      <c r="AM209" s="68" t="n">
        <f aca="false">AM205+AM206+AM208</f>
        <v>-4809.11356131129</v>
      </c>
      <c r="AN209" s="68" t="n">
        <f aca="false">AN205+AN206+AN208</f>
        <v>-2230.10819620389</v>
      </c>
      <c r="AO209" s="68" t="n">
        <f aca="false">AO205+AO206+AO208</f>
        <v>2483.71390618145</v>
      </c>
      <c r="AP209" s="68" t="n">
        <f aca="false">AP205+AP206+AP208</f>
        <v>2917.28778531988</v>
      </c>
      <c r="AQ209" s="68" t="n">
        <f aca="false">AQ205+AQ206+AQ208</f>
        <v>2928.53778531988</v>
      </c>
      <c r="AR209" s="68" t="n">
        <f aca="false">AR205+AR206+AR208</f>
        <v>2939.78778531988</v>
      </c>
      <c r="AS209" s="68" t="n">
        <f aca="false">AS205+AS206+AS208</f>
        <v>2951.03778531988</v>
      </c>
      <c r="AT209" s="68" t="n">
        <f aca="false">AT205+AT206+AT208</f>
        <v>2962.28778531988</v>
      </c>
      <c r="AU209" s="68" t="n">
        <f aca="false">AU205+AU206+AU208</f>
        <v>2973.53778531988</v>
      </c>
      <c r="AV209" s="68" t="n">
        <f aca="false">AV205+AV206+AV208</f>
        <v>2984.78778531988</v>
      </c>
      <c r="AW209" s="68" t="n">
        <f aca="false">AW205+AW206+AW208</f>
        <v>2996.03778531988</v>
      </c>
      <c r="AX209" s="68" t="n">
        <f aca="false">AX205+AX206+AX208</f>
        <v>-1695.28431706547</v>
      </c>
      <c r="AY209" s="68" t="n">
        <f aca="false">AY205+AY206+AY208</f>
        <v>-4169.17788084881</v>
      </c>
      <c r="AZ209" s="68" t="n">
        <f aca="false">AZ205+AZ206+AZ208</f>
        <v>-1585.7741220199</v>
      </c>
      <c r="BA209" s="68" t="n">
        <f aca="false">BA205+BA206+BA208</f>
        <v>3422.13310166111</v>
      </c>
      <c r="BB209" s="68" t="n">
        <f aca="false">BB205+BB206+BB208</f>
        <v>3881.42650503907</v>
      </c>
      <c r="BC209" s="68" t="n">
        <f aca="false">BC205+BC206+BC208</f>
        <v>3892.67650503907</v>
      </c>
      <c r="BD209" s="68" t="n">
        <f aca="false">BD205+BD206+BD208</f>
        <v>3903.92650503907</v>
      </c>
      <c r="BE209" s="68" t="n">
        <f aca="false">BE205+BE206+BE208</f>
        <v>3162.18397480068</v>
      </c>
      <c r="BF209" s="68" t="n">
        <f aca="false">BF205+BF206+BF208</f>
        <v>3156.87693898086</v>
      </c>
      <c r="BG209" s="68" t="n">
        <f aca="false">BG205+BG206+BG208</f>
        <v>3165.76443898086</v>
      </c>
      <c r="BH209" s="68" t="n">
        <f aca="false">BH205+BH206+BH208</f>
        <v>3174.65193898086</v>
      </c>
      <c r="BI209" s="68" t="n">
        <f aca="false">BI205+BI206+BI208</f>
        <v>3183.53943898086</v>
      </c>
      <c r="BJ209" s="68" t="n">
        <f aca="false">BJ205+BJ206+BJ208</f>
        <v>-1025.23071864194</v>
      </c>
    </row>
    <row r="210" customFormat="false" ht="15" hidden="false" customHeight="false" outlineLevel="0" collapsed="false">
      <c r="A210" s="6" t="s">
        <v>345</v>
      </c>
      <c r="C210" s="67" t="n">
        <f aca="false">0</f>
        <v>0</v>
      </c>
      <c r="D210" s="67" t="n">
        <f aca="false">C211</f>
        <v>43071.0085333333</v>
      </c>
      <c r="E210" s="67" t="n">
        <f aca="false">D211</f>
        <v>34045.4354</v>
      </c>
      <c r="F210" s="67" t="n">
        <f aca="false">E211</f>
        <v>28576.2432</v>
      </c>
      <c r="G210" s="67" t="n">
        <f aca="false">F211</f>
        <v>24708.1519333333</v>
      </c>
      <c r="H210" s="67" t="n">
        <f aca="false">G211</f>
        <v>22234.8426666667</v>
      </c>
      <c r="I210" s="67" t="n">
        <f aca="false">H211</f>
        <v>21156.3154</v>
      </c>
      <c r="J210" s="67" t="n">
        <f aca="false">I211</f>
        <v>21472.5701333333</v>
      </c>
      <c r="K210" s="67" t="n">
        <f aca="false">J211</f>
        <v>21907.4124666667</v>
      </c>
      <c r="L210" s="67" t="n">
        <f aca="false">K211</f>
        <v>22353.5048</v>
      </c>
      <c r="M210" s="67" t="n">
        <f aca="false">L211</f>
        <v>22810.8471333333</v>
      </c>
      <c r="N210" s="67" t="n">
        <f aca="false">M211</f>
        <v>23279.4394666666</v>
      </c>
      <c r="O210" s="67" t="n">
        <f aca="false">N211</f>
        <v>19840.2994</v>
      </c>
      <c r="P210" s="67" t="n">
        <f aca="false">O211</f>
        <v>13882.5161566933</v>
      </c>
      <c r="Q210" s="67" t="n">
        <f aca="false">P211</f>
        <v>10495.7398708266</v>
      </c>
      <c r="R210" s="67" t="n">
        <f aca="false">Q211</f>
        <v>11284.90721312</v>
      </c>
      <c r="S210" s="67" t="n">
        <f aca="false">R211</f>
        <v>12460.5538520533</v>
      </c>
      <c r="T210" s="67" t="n">
        <f aca="false">S211</f>
        <v>13647.4504909866</v>
      </c>
      <c r="U210" s="67" t="n">
        <f aca="false">T211</f>
        <v>14845.59712992</v>
      </c>
      <c r="V210" s="67" t="n">
        <f aca="false">U211</f>
        <v>16054.9937688533</v>
      </c>
      <c r="W210" s="67" t="n">
        <f aca="false">V211</f>
        <v>17275.6404077866</v>
      </c>
      <c r="X210" s="67" t="n">
        <f aca="false">W211</f>
        <v>18507.53704672</v>
      </c>
      <c r="Y210" s="67" t="n">
        <f aca="false">X211</f>
        <v>19750.6836856533</v>
      </c>
      <c r="Z210" s="67" t="n">
        <f aca="false">Y211</f>
        <v>21005.0803245866</v>
      </c>
      <c r="AA210" s="67" t="n">
        <f aca="false">Z211</f>
        <v>18106.0333353599</v>
      </c>
      <c r="AB210" s="67" t="n">
        <f aca="false">AA211</f>
        <v>12701.7848269319</v>
      </c>
      <c r="AC210" s="67" t="n">
        <f aca="false">AB211</f>
        <v>9872.41510303594</v>
      </c>
      <c r="AD210" s="67" t="n">
        <f aca="false">AC211</f>
        <v>11479.8754052549</v>
      </c>
      <c r="AE210" s="67" t="n">
        <f aca="false">AD211</f>
        <v>13496.6664682793</v>
      </c>
      <c r="AF210" s="67" t="n">
        <f aca="false">AE211</f>
        <v>15524.7075313037</v>
      </c>
      <c r="AG210" s="67" t="n">
        <f aca="false">AF211</f>
        <v>17563.9985943281</v>
      </c>
      <c r="AH210" s="67" t="n">
        <f aca="false">AG211</f>
        <v>19614.5396573524</v>
      </c>
      <c r="AI210" s="67" t="n">
        <f aca="false">AH211</f>
        <v>21676.3307203768</v>
      </c>
      <c r="AJ210" s="67" t="n">
        <f aca="false">AI211</f>
        <v>23749.3717834012</v>
      </c>
      <c r="AK210" s="67" t="n">
        <f aca="false">AJ211</f>
        <v>25833.6628464256</v>
      </c>
      <c r="AL210" s="67" t="n">
        <f aca="false">AK211</f>
        <v>27929.2039094499</v>
      </c>
      <c r="AM210" s="67" t="n">
        <f aca="false">AL211</f>
        <v>25610.4149463593</v>
      </c>
      <c r="AN210" s="67" t="n">
        <f aca="false">AM211</f>
        <v>20801.3013850481</v>
      </c>
      <c r="AO210" s="67" t="n">
        <f aca="false">AN211</f>
        <v>18571.1931888442</v>
      </c>
      <c r="AP210" s="67" t="n">
        <f aca="false">AO211</f>
        <v>21054.9070950256</v>
      </c>
      <c r="AQ210" s="67" t="n">
        <f aca="false">AP211</f>
        <v>23972.1948803455</v>
      </c>
      <c r="AR210" s="67" t="n">
        <f aca="false">AQ211</f>
        <v>26900.7326656654</v>
      </c>
      <c r="AS210" s="67" t="n">
        <f aca="false">AR211</f>
        <v>29840.5204509853</v>
      </c>
      <c r="AT210" s="67" t="n">
        <f aca="false">AS211</f>
        <v>32791.5582363051</v>
      </c>
      <c r="AU210" s="67" t="n">
        <f aca="false">AT211</f>
        <v>35753.846021625</v>
      </c>
      <c r="AV210" s="67" t="n">
        <f aca="false">AU211</f>
        <v>38727.3838069449</v>
      </c>
      <c r="AW210" s="67" t="n">
        <f aca="false">AV211</f>
        <v>41712.1715922648</v>
      </c>
      <c r="AX210" s="67" t="n">
        <f aca="false">AW211</f>
        <v>44708.2093775846</v>
      </c>
      <c r="AY210" s="67" t="n">
        <f aca="false">AX211</f>
        <v>43012.9250605192</v>
      </c>
      <c r="AZ210" s="67" t="n">
        <f aca="false">AY211</f>
        <v>38843.7471796704</v>
      </c>
      <c r="BA210" s="67" t="n">
        <f aca="false">AZ211</f>
        <v>37257.9730576505</v>
      </c>
      <c r="BB210" s="67" t="n">
        <f aca="false">BA211</f>
        <v>40680.1061593116</v>
      </c>
      <c r="BC210" s="67" t="n">
        <f aca="false">BB211</f>
        <v>44561.5326643506</v>
      </c>
      <c r="BD210" s="67" t="n">
        <f aca="false">BC211</f>
        <v>48454.2091693897</v>
      </c>
      <c r="BE210" s="67" t="n">
        <f aca="false">BD211</f>
        <v>52358.1356744288</v>
      </c>
      <c r="BF210" s="67" t="n">
        <f aca="false">BE211</f>
        <v>55520.3196492295</v>
      </c>
      <c r="BG210" s="67" t="n">
        <f aca="false">BF211</f>
        <v>58677.1965882103</v>
      </c>
      <c r="BH210" s="67" t="n">
        <f aca="false">BG211</f>
        <v>61842.9610271912</v>
      </c>
      <c r="BI210" s="67" t="n">
        <f aca="false">BH211</f>
        <v>65017.6129661721</v>
      </c>
      <c r="BJ210" s="67" t="n">
        <f aca="false">BI211</f>
        <v>68201.1524051529</v>
      </c>
    </row>
    <row r="211" customFormat="false" ht="15" hidden="false" customHeight="false" outlineLevel="0" collapsed="false">
      <c r="A211" s="113" t="s">
        <v>87</v>
      </c>
      <c r="C211" s="68" t="n">
        <f aca="false">C210+C209</f>
        <v>43071.0085333333</v>
      </c>
      <c r="D211" s="68" t="n">
        <f aca="false">D210+D209</f>
        <v>34045.4354</v>
      </c>
      <c r="E211" s="68" t="n">
        <f aca="false">E210+E209</f>
        <v>28576.2432</v>
      </c>
      <c r="F211" s="68" t="n">
        <f aca="false">F210+F209</f>
        <v>24708.1519333333</v>
      </c>
      <c r="G211" s="68" t="n">
        <f aca="false">G210+G209</f>
        <v>22234.8426666667</v>
      </c>
      <c r="H211" s="68" t="n">
        <f aca="false">H210+H209</f>
        <v>21156.3154</v>
      </c>
      <c r="I211" s="68" t="n">
        <f aca="false">I210+I209</f>
        <v>21472.5701333333</v>
      </c>
      <c r="J211" s="68" t="n">
        <f aca="false">J210+J209</f>
        <v>21907.4124666667</v>
      </c>
      <c r="K211" s="68" t="n">
        <f aca="false">K210+K209</f>
        <v>22353.5048</v>
      </c>
      <c r="L211" s="68" t="n">
        <f aca="false">L210+L209</f>
        <v>22810.8471333333</v>
      </c>
      <c r="M211" s="68" t="n">
        <f aca="false">M210+M209</f>
        <v>23279.4394666666</v>
      </c>
      <c r="N211" s="68" t="n">
        <f aca="false">N210+N209</f>
        <v>19840.2994</v>
      </c>
      <c r="O211" s="68" t="n">
        <f aca="false">O210+O209</f>
        <v>13882.5161566933</v>
      </c>
      <c r="P211" s="68" t="n">
        <f aca="false">P210+P209</f>
        <v>10495.7398708266</v>
      </c>
      <c r="Q211" s="68" t="n">
        <f aca="false">Q210+Q209</f>
        <v>11284.90721312</v>
      </c>
      <c r="R211" s="68" t="n">
        <f aca="false">R210+R209</f>
        <v>12460.5538520533</v>
      </c>
      <c r="S211" s="68" t="n">
        <f aca="false">S210+S209</f>
        <v>13647.4504909866</v>
      </c>
      <c r="T211" s="68" t="n">
        <f aca="false">T210+T209</f>
        <v>14845.59712992</v>
      </c>
      <c r="U211" s="68" t="n">
        <f aca="false">U210+U209</f>
        <v>16054.9937688533</v>
      </c>
      <c r="V211" s="68" t="n">
        <f aca="false">V210+V209</f>
        <v>17275.6404077866</v>
      </c>
      <c r="W211" s="68" t="n">
        <f aca="false">W210+W209</f>
        <v>18507.53704672</v>
      </c>
      <c r="X211" s="68" t="n">
        <f aca="false">X210+X209</f>
        <v>19750.6836856533</v>
      </c>
      <c r="Y211" s="68" t="n">
        <f aca="false">Y210+Y209</f>
        <v>21005.0803245866</v>
      </c>
      <c r="Z211" s="68" t="n">
        <f aca="false">Z210+Z209</f>
        <v>18106.0333353599</v>
      </c>
      <c r="AA211" s="68" t="n">
        <f aca="false">AA210+AA209</f>
        <v>12701.7848269319</v>
      </c>
      <c r="AB211" s="68" t="n">
        <f aca="false">AB210+AB209</f>
        <v>9872.41510303594</v>
      </c>
      <c r="AC211" s="68" t="n">
        <f aca="false">AC210+AC209</f>
        <v>11479.8754052549</v>
      </c>
      <c r="AD211" s="68" t="n">
        <f aca="false">AD210+AD209</f>
        <v>13496.6664682793</v>
      </c>
      <c r="AE211" s="68" t="n">
        <f aca="false">AE210+AE209</f>
        <v>15524.7075313037</v>
      </c>
      <c r="AF211" s="68" t="n">
        <f aca="false">AF210+AF209</f>
        <v>17563.9985943281</v>
      </c>
      <c r="AG211" s="68" t="n">
        <f aca="false">AG210+AG209</f>
        <v>19614.5396573524</v>
      </c>
      <c r="AH211" s="68" t="n">
        <f aca="false">AH210+AH209</f>
        <v>21676.3307203768</v>
      </c>
      <c r="AI211" s="68" t="n">
        <f aca="false">AI210+AI209</f>
        <v>23749.3717834012</v>
      </c>
      <c r="AJ211" s="68" t="n">
        <f aca="false">AJ210+AJ209</f>
        <v>25833.6628464256</v>
      </c>
      <c r="AK211" s="68" t="n">
        <f aca="false">AK210+AK209</f>
        <v>27929.2039094499</v>
      </c>
      <c r="AL211" s="68" t="n">
        <f aca="false">AL210+AL209</f>
        <v>25610.4149463593</v>
      </c>
      <c r="AM211" s="68" t="n">
        <f aca="false">AM210+AM209</f>
        <v>20801.3013850481</v>
      </c>
      <c r="AN211" s="68" t="n">
        <f aca="false">AN210+AN209</f>
        <v>18571.1931888442</v>
      </c>
      <c r="AO211" s="68" t="n">
        <f aca="false">AO210+AO209</f>
        <v>21054.9070950256</v>
      </c>
      <c r="AP211" s="68" t="n">
        <f aca="false">AP210+AP209</f>
        <v>23972.1948803455</v>
      </c>
      <c r="AQ211" s="68" t="n">
        <f aca="false">AQ210+AQ209</f>
        <v>26900.7326656654</v>
      </c>
      <c r="AR211" s="68" t="n">
        <f aca="false">AR210+AR209</f>
        <v>29840.5204509853</v>
      </c>
      <c r="AS211" s="68" t="n">
        <f aca="false">AS210+AS209</f>
        <v>32791.5582363051</v>
      </c>
      <c r="AT211" s="68" t="n">
        <f aca="false">AT210+AT209</f>
        <v>35753.846021625</v>
      </c>
      <c r="AU211" s="68" t="n">
        <f aca="false">AU210+AU209</f>
        <v>38727.3838069449</v>
      </c>
      <c r="AV211" s="68" t="n">
        <f aca="false">AV210+AV209</f>
        <v>41712.1715922648</v>
      </c>
      <c r="AW211" s="68" t="n">
        <f aca="false">AW210+AW209</f>
        <v>44708.2093775846</v>
      </c>
      <c r="AX211" s="68" t="n">
        <f aca="false">AX210+AX209</f>
        <v>43012.9250605192</v>
      </c>
      <c r="AY211" s="68" t="n">
        <f aca="false">AY210+AY209</f>
        <v>38843.7471796704</v>
      </c>
      <c r="AZ211" s="68" t="n">
        <f aca="false">AZ210+AZ209</f>
        <v>37257.9730576505</v>
      </c>
      <c r="BA211" s="68" t="n">
        <f aca="false">BA210+BA209</f>
        <v>40680.1061593116</v>
      </c>
      <c r="BB211" s="68" t="n">
        <f aca="false">BB210+BB209</f>
        <v>44561.5326643506</v>
      </c>
      <c r="BC211" s="68" t="n">
        <f aca="false">BC210+BC209</f>
        <v>48454.2091693897</v>
      </c>
      <c r="BD211" s="68" t="n">
        <f aca="false">BD210+BD209</f>
        <v>52358.1356744288</v>
      </c>
      <c r="BE211" s="68" t="n">
        <f aca="false">BE210+BE209</f>
        <v>55520.3196492295</v>
      </c>
      <c r="BF211" s="68" t="n">
        <f aca="false">BF210+BF209</f>
        <v>58677.1965882103</v>
      </c>
      <c r="BG211" s="68" t="n">
        <f aca="false">BG210+BG209</f>
        <v>61842.9610271912</v>
      </c>
      <c r="BH211" s="68" t="n">
        <f aca="false">BH210+BH209</f>
        <v>65017.6129661721</v>
      </c>
      <c r="BI211" s="68" t="n">
        <f aca="false">BI210+BI209</f>
        <v>68201.1524051529</v>
      </c>
      <c r="BJ211" s="68" t="n">
        <f aca="false">BJ210+BJ209</f>
        <v>67175.921686511</v>
      </c>
    </row>
    <row r="212" customFormat="false" ht="15" hidden="false" customHeight="false" outlineLevel="0" collapsed="false">
      <c r="A212" s="117" t="s">
        <v>445</v>
      </c>
      <c r="C212" s="116" t="n">
        <f aca="false">IF(C168&gt;0,1,0)</f>
        <v>0</v>
      </c>
      <c r="D212" s="116" t="n">
        <f aca="false">IF(D168&gt;0,1,0)</f>
        <v>0</v>
      </c>
      <c r="E212" s="116" t="n">
        <f aca="false">IF(E168&gt;0,1,0)</f>
        <v>0</v>
      </c>
      <c r="F212" s="116" t="n">
        <f aca="false">IF(F168&gt;0,1,0)</f>
        <v>0</v>
      </c>
      <c r="G212" s="116" t="n">
        <f aca="false">IF(G168&gt;0,1,0)</f>
        <v>0</v>
      </c>
      <c r="H212" s="116" t="n">
        <f aca="false">IF(H168&gt;0,1,0)</f>
        <v>1</v>
      </c>
      <c r="I212" s="116" t="n">
        <f aca="false">IF(I168&gt;0,1,0)</f>
        <v>1</v>
      </c>
      <c r="J212" s="116" t="n">
        <f aca="false">IF(J168&gt;0,1,0)</f>
        <v>1</v>
      </c>
      <c r="K212" s="116" t="n">
        <f aca="false">IF(K168&gt;0,1,0)</f>
        <v>1</v>
      </c>
      <c r="L212" s="116" t="n">
        <f aca="false">IF(L168&gt;0,1,0)</f>
        <v>1</v>
      </c>
      <c r="M212" s="116" t="n">
        <f aca="false">IF(M168&gt;0,1,0)</f>
        <v>1</v>
      </c>
      <c r="N212" s="116" t="n">
        <f aca="false">IF(N168&gt;0,1,0)</f>
        <v>0</v>
      </c>
      <c r="O212" s="116" t="n">
        <f aca="false">IF(O168&gt;0,1,0)</f>
        <v>0</v>
      </c>
      <c r="P212" s="116" t="n">
        <f aca="false">IF(P168&gt;0,1,0)</f>
        <v>0</v>
      </c>
      <c r="Q212" s="116" t="n">
        <f aca="false">IF(Q168&gt;0,1,0)</f>
        <v>1</v>
      </c>
      <c r="R212" s="116" t="n">
        <f aca="false">IF(R168&gt;0,1,0)</f>
        <v>1</v>
      </c>
      <c r="S212" s="116" t="n">
        <f aca="false">IF(S168&gt;0,1,0)</f>
        <v>1</v>
      </c>
      <c r="T212" s="116" t="n">
        <f aca="false">IF(T168&gt;0,1,0)</f>
        <v>1</v>
      </c>
      <c r="U212" s="116" t="n">
        <f aca="false">IF(U168&gt;0,1,0)</f>
        <v>1</v>
      </c>
      <c r="V212" s="116" t="n">
        <f aca="false">IF(V168&gt;0,1,0)</f>
        <v>1</v>
      </c>
      <c r="W212" s="116" t="n">
        <f aca="false">IF(W168&gt;0,1,0)</f>
        <v>1</v>
      </c>
      <c r="X212" s="116" t="n">
        <f aca="false">IF(X168&gt;0,1,0)</f>
        <v>1</v>
      </c>
      <c r="Y212" s="116" t="n">
        <f aca="false">IF(Y168&gt;0,1,0)</f>
        <v>1</v>
      </c>
      <c r="Z212" s="116" t="n">
        <f aca="false">IF(Z168&gt;0,1,0)</f>
        <v>0</v>
      </c>
      <c r="AA212" s="116" t="n">
        <f aca="false">IF(AA168&gt;0,1,0)</f>
        <v>0</v>
      </c>
      <c r="AB212" s="116" t="n">
        <f aca="false">IF(AB168&gt;0,1,0)</f>
        <v>0</v>
      </c>
      <c r="AC212" s="116" t="n">
        <f aca="false">IF(AC168&gt;0,1,0)</f>
        <v>1</v>
      </c>
      <c r="AD212" s="116" t="n">
        <f aca="false">IF(AD168&gt;0,1,0)</f>
        <v>1</v>
      </c>
      <c r="AE212" s="116" t="n">
        <f aca="false">IF(AE168&gt;0,1,0)</f>
        <v>1</v>
      </c>
      <c r="AF212" s="116" t="n">
        <f aca="false">IF(AF168&gt;0,1,0)</f>
        <v>1</v>
      </c>
      <c r="AG212" s="116" t="n">
        <f aca="false">IF(AG168&gt;0,1,0)</f>
        <v>1</v>
      </c>
      <c r="AH212" s="116" t="n">
        <f aca="false">IF(AH168&gt;0,1,0)</f>
        <v>1</v>
      </c>
      <c r="AI212" s="116" t="n">
        <f aca="false">IF(AI168&gt;0,1,0)</f>
        <v>1</v>
      </c>
      <c r="AJ212" s="116" t="n">
        <f aca="false">IF(AJ168&gt;0,1,0)</f>
        <v>1</v>
      </c>
      <c r="AK212" s="116" t="n">
        <f aca="false">IF(AK168&gt;0,1,0)</f>
        <v>1</v>
      </c>
      <c r="AL212" s="116" t="n">
        <f aca="false">IF(AL168&gt;0,1,0)</f>
        <v>0</v>
      </c>
      <c r="AM212" s="116" t="n">
        <f aca="false">IF(AM168&gt;0,1,0)</f>
        <v>0</v>
      </c>
      <c r="AN212" s="116" t="n">
        <f aca="false">IF(AN168&gt;0,1,0)</f>
        <v>0</v>
      </c>
      <c r="AO212" s="116" t="n">
        <f aca="false">IF(AO168&gt;0,1,0)</f>
        <v>1</v>
      </c>
      <c r="AP212" s="116" t="n">
        <f aca="false">IF(AP168&gt;0,1,0)</f>
        <v>1</v>
      </c>
      <c r="AQ212" s="116" t="n">
        <f aca="false">IF(AQ168&gt;0,1,0)</f>
        <v>1</v>
      </c>
      <c r="AR212" s="116" t="n">
        <f aca="false">IF(AR168&gt;0,1,0)</f>
        <v>1</v>
      </c>
      <c r="AS212" s="116" t="n">
        <f aca="false">IF(AS168&gt;0,1,0)</f>
        <v>1</v>
      </c>
      <c r="AT212" s="116" t="n">
        <f aca="false">IF(AT168&gt;0,1,0)</f>
        <v>1</v>
      </c>
      <c r="AU212" s="116" t="n">
        <f aca="false">IF(AU168&gt;0,1,0)</f>
        <v>1</v>
      </c>
      <c r="AV212" s="116" t="n">
        <f aca="false">IF(AV168&gt;0,1,0)</f>
        <v>1</v>
      </c>
      <c r="AW212" s="116" t="n">
        <f aca="false">IF(AW168&gt;0,1,0)</f>
        <v>1</v>
      </c>
      <c r="AX212" s="116" t="n">
        <f aca="false">IF(AX168&gt;0,1,0)</f>
        <v>0</v>
      </c>
      <c r="AY212" s="116" t="n">
        <f aca="false">IF(AY168&gt;0,1,0)</f>
        <v>1</v>
      </c>
      <c r="AZ212" s="116" t="n">
        <f aca="false">IF(AZ168&gt;0,1,0)</f>
        <v>1</v>
      </c>
      <c r="BA212" s="116" t="n">
        <f aca="false">IF(BA168&gt;0,1,0)</f>
        <v>1</v>
      </c>
      <c r="BB212" s="116" t="n">
        <f aca="false">IF(BB168&gt;0,1,0)</f>
        <v>1</v>
      </c>
      <c r="BC212" s="116" t="n">
        <f aca="false">IF(BC168&gt;0,1,0)</f>
        <v>1</v>
      </c>
      <c r="BD212" s="116" t="n">
        <f aca="false">IF(BD168&gt;0,1,0)</f>
        <v>1</v>
      </c>
      <c r="BE212" s="116" t="n">
        <f aca="false">IF(BE168&gt;0,1,0)</f>
        <v>1</v>
      </c>
      <c r="BF212" s="116" t="n">
        <f aca="false">IF(BF168&gt;0,1,0)</f>
        <v>1</v>
      </c>
      <c r="BG212" s="116" t="n">
        <f aca="false">IF(BG168&gt;0,1,0)</f>
        <v>1</v>
      </c>
      <c r="BH212" s="116" t="n">
        <f aca="false">IF(BH168&gt;0,1,0)</f>
        <v>1</v>
      </c>
      <c r="BI212" s="116" t="n">
        <f aca="false">IF(BI168&gt;0,1,0)</f>
        <v>1</v>
      </c>
      <c r="BJ212" s="116" t="n">
        <f aca="false">IF(BJ168&gt;0,1,0)</f>
        <v>1</v>
      </c>
    </row>
    <row r="214" customFormat="false" ht="15.75" hidden="false" customHeight="true" outlineLevel="0" collapsed="false">
      <c r="A214" s="7" t="s">
        <v>446</v>
      </c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</row>
    <row r="215" customFormat="false" ht="15" hidden="false" customHeight="false" outlineLevel="0" collapsed="false">
      <c r="A215" s="117" t="s">
        <v>447</v>
      </c>
      <c r="C215" s="116" t="n">
        <f aca="false">IF(C177&gt;0,1,0)</f>
        <v>0</v>
      </c>
      <c r="D215" s="116" t="n">
        <f aca="false">IF(D177&gt;0,1,0)</f>
        <v>0</v>
      </c>
      <c r="E215" s="116" t="n">
        <f aca="false">IF(E177&gt;0,1,0)</f>
        <v>0</v>
      </c>
      <c r="F215" s="116" t="n">
        <f aca="false">IF(F177&gt;0,1,0)</f>
        <v>0</v>
      </c>
      <c r="G215" s="116" t="n">
        <f aca="false">IF(G177&gt;0,1,0)</f>
        <v>0</v>
      </c>
      <c r="H215" s="116" t="n">
        <f aca="false">IF(H177&gt;0,1,0)</f>
        <v>0</v>
      </c>
      <c r="I215" s="116" t="n">
        <f aca="false">IF(I177&gt;0,1,0)</f>
        <v>1</v>
      </c>
      <c r="J215" s="116" t="n">
        <f aca="false">IF(J177&gt;0,1,0)</f>
        <v>1</v>
      </c>
      <c r="K215" s="116" t="n">
        <f aca="false">IF(K177&gt;0,1,0)</f>
        <v>1</v>
      </c>
      <c r="L215" s="116" t="n">
        <f aca="false">IF(L177&gt;0,1,0)</f>
        <v>1</v>
      </c>
      <c r="M215" s="116" t="n">
        <f aca="false">IF(M177&gt;0,1,0)</f>
        <v>1</v>
      </c>
      <c r="N215" s="116" t="n">
        <f aca="false">IF(N177&gt;0,1,0)</f>
        <v>0</v>
      </c>
      <c r="O215" s="116" t="n">
        <f aca="false">IF(O177&gt;0,1,0)</f>
        <v>0</v>
      </c>
      <c r="P215" s="116" t="n">
        <f aca="false">IF(P177&gt;0,1,0)</f>
        <v>0</v>
      </c>
      <c r="Q215" s="116" t="n">
        <f aca="false">IF(Q177&gt;0,1,0)</f>
        <v>1</v>
      </c>
      <c r="R215" s="116" t="n">
        <f aca="false">IF(R177&gt;0,1,0)</f>
        <v>1</v>
      </c>
      <c r="S215" s="116" t="n">
        <f aca="false">IF(S177&gt;0,1,0)</f>
        <v>1</v>
      </c>
      <c r="T215" s="116" t="n">
        <f aca="false">IF(T177&gt;0,1,0)</f>
        <v>1</v>
      </c>
      <c r="U215" s="116" t="n">
        <f aca="false">IF(U177&gt;0,1,0)</f>
        <v>1</v>
      </c>
      <c r="V215" s="116" t="n">
        <f aca="false">IF(V177&gt;0,1,0)</f>
        <v>1</v>
      </c>
      <c r="W215" s="116" t="n">
        <f aca="false">IF(W177&gt;0,1,0)</f>
        <v>1</v>
      </c>
      <c r="X215" s="116" t="n">
        <f aca="false">IF(X177&gt;0,1,0)</f>
        <v>1</v>
      </c>
      <c r="Y215" s="116" t="n">
        <f aca="false">IF(Y177&gt;0,1,0)</f>
        <v>1</v>
      </c>
      <c r="Z215" s="116" t="n">
        <f aca="false">IF(Z177&gt;0,1,0)</f>
        <v>0</v>
      </c>
      <c r="AA215" s="116" t="n">
        <f aca="false">IF(AA177&gt;0,1,0)</f>
        <v>0</v>
      </c>
      <c r="AB215" s="116" t="n">
        <f aca="false">IF(AB177&gt;0,1,0)</f>
        <v>0</v>
      </c>
      <c r="AC215" s="116" t="n">
        <f aca="false">IF(AC177&gt;0,1,0)</f>
        <v>1</v>
      </c>
      <c r="AD215" s="116" t="n">
        <f aca="false">IF(AD177&gt;0,1,0)</f>
        <v>1</v>
      </c>
      <c r="AE215" s="116" t="n">
        <f aca="false">IF(AE177&gt;0,1,0)</f>
        <v>1</v>
      </c>
      <c r="AF215" s="116" t="n">
        <f aca="false">IF(AF177&gt;0,1,0)</f>
        <v>1</v>
      </c>
      <c r="AG215" s="116" t="n">
        <f aca="false">IF(AG177&gt;0,1,0)</f>
        <v>1</v>
      </c>
      <c r="AH215" s="116" t="n">
        <f aca="false">IF(AH177&gt;0,1,0)</f>
        <v>1</v>
      </c>
      <c r="AI215" s="116" t="n">
        <f aca="false">IF(AI177&gt;0,1,0)</f>
        <v>1</v>
      </c>
      <c r="AJ215" s="116" t="n">
        <f aca="false">IF(AJ177&gt;0,1,0)</f>
        <v>1</v>
      </c>
      <c r="AK215" s="116" t="n">
        <f aca="false">IF(AK177&gt;0,1,0)</f>
        <v>1</v>
      </c>
      <c r="AL215" s="116" t="n">
        <f aca="false">IF(AL177&gt;0,1,0)</f>
        <v>0</v>
      </c>
      <c r="AM215" s="116" t="n">
        <f aca="false">IF(AM177&gt;0,1,0)</f>
        <v>0</v>
      </c>
      <c r="AN215" s="116" t="n">
        <f aca="false">IF(AN177&gt;0,1,0)</f>
        <v>0</v>
      </c>
      <c r="AO215" s="116" t="n">
        <f aca="false">IF(AO177&gt;0,1,0)</f>
        <v>1</v>
      </c>
      <c r="AP215" s="116" t="n">
        <f aca="false">IF(AP177&gt;0,1,0)</f>
        <v>1</v>
      </c>
      <c r="AQ215" s="116" t="n">
        <f aca="false">IF(AQ177&gt;0,1,0)</f>
        <v>1</v>
      </c>
      <c r="AR215" s="116" t="n">
        <f aca="false">IF(AR177&gt;0,1,0)</f>
        <v>1</v>
      </c>
      <c r="AS215" s="116" t="n">
        <f aca="false">IF(AS177&gt;0,1,0)</f>
        <v>1</v>
      </c>
      <c r="AT215" s="116" t="n">
        <f aca="false">IF(AT177&gt;0,1,0)</f>
        <v>1</v>
      </c>
      <c r="AU215" s="116" t="n">
        <f aca="false">IF(AU177&gt;0,1,0)</f>
        <v>1</v>
      </c>
      <c r="AV215" s="116" t="n">
        <f aca="false">IF(AV177&gt;0,1,0)</f>
        <v>1</v>
      </c>
      <c r="AW215" s="116" t="n">
        <f aca="false">IF(AW177&gt;0,1,0)</f>
        <v>1</v>
      </c>
      <c r="AX215" s="116" t="n">
        <f aca="false">IF(AX177&gt;0,1,0)</f>
        <v>0</v>
      </c>
      <c r="AY215" s="116" t="n">
        <f aca="false">IF(AY177&gt;0,1,0)</f>
        <v>0</v>
      </c>
      <c r="AZ215" s="116" t="n">
        <f aca="false">IF(AZ177&gt;0,1,0)</f>
        <v>0</v>
      </c>
      <c r="BA215" s="116" t="n">
        <f aca="false">IF(BA177&gt;0,1,0)</f>
        <v>1</v>
      </c>
      <c r="BB215" s="116" t="n">
        <f aca="false">IF(BB177&gt;0,1,0)</f>
        <v>1</v>
      </c>
      <c r="BC215" s="116" t="n">
        <f aca="false">IF(BC177&gt;0,1,0)</f>
        <v>1</v>
      </c>
      <c r="BD215" s="116" t="n">
        <f aca="false">IF(BD177&gt;0,1,0)</f>
        <v>1</v>
      </c>
      <c r="BE215" s="116" t="n">
        <f aca="false">IF(BE177&gt;0,1,0)</f>
        <v>1</v>
      </c>
      <c r="BF215" s="116" t="n">
        <f aca="false">IF(BF177&gt;0,1,0)</f>
        <v>1</v>
      </c>
      <c r="BG215" s="116" t="n">
        <f aca="false">IF(BG177&gt;0,1,0)</f>
        <v>1</v>
      </c>
      <c r="BH215" s="116" t="n">
        <f aca="false">IF(BH177&gt;0,1,0)</f>
        <v>1</v>
      </c>
      <c r="BI215" s="116" t="n">
        <f aca="false">IF(BI177&gt;0,1,0)</f>
        <v>1</v>
      </c>
      <c r="BJ215" s="116" t="n">
        <f aca="false">IF(BJ177&gt;0,1,0)</f>
        <v>0</v>
      </c>
    </row>
    <row r="216" customFormat="false" ht="15" hidden="false" customHeight="false" outlineLevel="0" collapsed="false">
      <c r="A216" s="6" t="s">
        <v>448</v>
      </c>
      <c r="C216" s="67" t="n">
        <f aca="false">C205+C206</f>
        <v>-146928.991466667</v>
      </c>
      <c r="D216" s="67" t="n">
        <f aca="false">D205+D206</f>
        <v>-7525.57313333333</v>
      </c>
      <c r="E216" s="67" t="n">
        <f aca="false">E205+E206</f>
        <v>-3969.1922</v>
      </c>
      <c r="F216" s="67" t="n">
        <f aca="false">F205+F206</f>
        <v>-2368.09126666667</v>
      </c>
      <c r="G216" s="67" t="n">
        <f aca="false">G205+G206</f>
        <v>-973.30926666667</v>
      </c>
      <c r="H216" s="67" t="n">
        <f aca="false">H205+H206</f>
        <v>421.472733333329</v>
      </c>
      <c r="I216" s="67" t="n">
        <f aca="false">I205+I206</f>
        <v>1816.25473333333</v>
      </c>
      <c r="J216" s="67" t="n">
        <f aca="false">J205+J206</f>
        <v>1934.84233333333</v>
      </c>
      <c r="K216" s="67" t="n">
        <f aca="false">K205+K206</f>
        <v>1946.09233333333</v>
      </c>
      <c r="L216" s="67" t="n">
        <f aca="false">L205+L206</f>
        <v>1957.34233333333</v>
      </c>
      <c r="M216" s="67" t="n">
        <f aca="false">M205+M206</f>
        <v>1968.59233333333</v>
      </c>
      <c r="N216" s="67" t="n">
        <f aca="false">N205+N206</f>
        <v>-1939.14006666667</v>
      </c>
      <c r="O216" s="67" t="n">
        <f aca="false">O205+O206</f>
        <v>-4457.78324330667</v>
      </c>
      <c r="P216" s="67" t="n">
        <f aca="false">P205+P206</f>
        <v>-1886.77628586667</v>
      </c>
      <c r="Q216" s="67" t="n">
        <f aca="false">Q205+Q206</f>
        <v>2289.16734229333</v>
      </c>
      <c r="R216" s="67" t="n">
        <f aca="false">R205+R206</f>
        <v>2675.64663893333</v>
      </c>
      <c r="S216" s="67" t="n">
        <f aca="false">S205+S206</f>
        <v>2686.89663893333</v>
      </c>
      <c r="T216" s="67" t="n">
        <f aca="false">T205+T206</f>
        <v>2698.14663893333</v>
      </c>
      <c r="U216" s="67" t="n">
        <f aca="false">U205+U206</f>
        <v>2709.39663893333</v>
      </c>
      <c r="V216" s="67" t="n">
        <f aca="false">V205+V206</f>
        <v>2720.64663893333</v>
      </c>
      <c r="W216" s="67" t="n">
        <f aca="false">W205+W206</f>
        <v>2731.89663893333</v>
      </c>
      <c r="X216" s="67" t="n">
        <f aca="false">X205+X206</f>
        <v>2743.14663893333</v>
      </c>
      <c r="Y216" s="67" t="n">
        <f aca="false">Y205+Y206</f>
        <v>2754.39663893333</v>
      </c>
      <c r="Z216" s="67" t="n">
        <f aca="false">Z205+Z206</f>
        <v>-1399.04698922667</v>
      </c>
      <c r="AA216" s="67" t="n">
        <f aca="false">AA205+AA206</f>
        <v>-3904.24850842805</v>
      </c>
      <c r="AB216" s="67" t="n">
        <f aca="false">AB205+AB206</f>
        <v>-1329.36972389595</v>
      </c>
      <c r="AC216" s="67" t="n">
        <f aca="false">AC205+AC206</f>
        <v>3107.460302219</v>
      </c>
      <c r="AD216" s="67" t="n">
        <f aca="false">AD205+AD206</f>
        <v>3516.79106302437</v>
      </c>
      <c r="AE216" s="67" t="n">
        <f aca="false">AE205+AE206</f>
        <v>3528.04106302437</v>
      </c>
      <c r="AF216" s="67" t="n">
        <f aca="false">AF205+AF206</f>
        <v>3539.29106302437</v>
      </c>
      <c r="AG216" s="67" t="n">
        <f aca="false">AG205+AG206</f>
        <v>3550.54106302437</v>
      </c>
      <c r="AH216" s="67" t="n">
        <f aca="false">AH205+AH206</f>
        <v>3561.79106302437</v>
      </c>
      <c r="AI216" s="67" t="n">
        <f aca="false">AI205+AI206</f>
        <v>3573.04106302437</v>
      </c>
      <c r="AJ216" s="67" t="n">
        <f aca="false">AJ205+AJ206</f>
        <v>3584.29106302437</v>
      </c>
      <c r="AK216" s="67" t="n">
        <f aca="false">AK205+AK206</f>
        <v>3595.54106302437</v>
      </c>
      <c r="AL216" s="67" t="n">
        <f aca="false">AL205+AL206</f>
        <v>-818.788963090575</v>
      </c>
      <c r="AM216" s="67" t="n">
        <f aca="false">AM205+AM206</f>
        <v>-3309.11356131129</v>
      </c>
      <c r="AN216" s="67" t="n">
        <f aca="false">AN205+AN206</f>
        <v>-730.10819620389</v>
      </c>
      <c r="AO216" s="67" t="n">
        <f aca="false">AO205+AO206</f>
        <v>3983.71390618145</v>
      </c>
      <c r="AP216" s="67" t="n">
        <f aca="false">AP205+AP206</f>
        <v>4417.28778531988</v>
      </c>
      <c r="AQ216" s="67" t="n">
        <f aca="false">AQ205+AQ206</f>
        <v>4428.53778531988</v>
      </c>
      <c r="AR216" s="67" t="n">
        <f aca="false">AR205+AR206</f>
        <v>4439.78778531988</v>
      </c>
      <c r="AS216" s="67" t="n">
        <f aca="false">AS205+AS206</f>
        <v>4451.03778531988</v>
      </c>
      <c r="AT216" s="67" t="n">
        <f aca="false">AT205+AT206</f>
        <v>4462.28778531988</v>
      </c>
      <c r="AU216" s="67" t="n">
        <f aca="false">AU205+AU206</f>
        <v>4473.53778531988</v>
      </c>
      <c r="AV216" s="67" t="n">
        <f aca="false">AV205+AV206</f>
        <v>4484.78778531988</v>
      </c>
      <c r="AW216" s="67" t="n">
        <f aca="false">AW205+AW206</f>
        <v>4496.03778531988</v>
      </c>
      <c r="AX216" s="67" t="n">
        <f aca="false">AX205+AX206</f>
        <v>-195.284317065466</v>
      </c>
      <c r="AY216" s="67" t="n">
        <f aca="false">AY205+AY206</f>
        <v>-2669.17788084881</v>
      </c>
      <c r="AZ216" s="67" t="n">
        <f aca="false">AZ205+AZ206</f>
        <v>-85.774122019895</v>
      </c>
      <c r="BA216" s="67" t="n">
        <f aca="false">BA205+BA206</f>
        <v>4922.13310166111</v>
      </c>
      <c r="BB216" s="67" t="n">
        <f aca="false">BB205+BB206</f>
        <v>5381.42650503907</v>
      </c>
      <c r="BC216" s="67" t="n">
        <f aca="false">BC205+BC206</f>
        <v>5392.67650503907</v>
      </c>
      <c r="BD216" s="67" t="n">
        <f aca="false">BD205+BD206</f>
        <v>5403.92650503907</v>
      </c>
      <c r="BE216" s="67" t="n">
        <f aca="false">BE205+BE206</f>
        <v>4662.18397480068</v>
      </c>
      <c r="BF216" s="67" t="n">
        <f aca="false">BF205+BF206</f>
        <v>4656.87693898086</v>
      </c>
      <c r="BG216" s="67" t="n">
        <f aca="false">BG205+BG206</f>
        <v>4665.76443898086</v>
      </c>
      <c r="BH216" s="67" t="n">
        <f aca="false">BH205+BH206</f>
        <v>4674.65193898086</v>
      </c>
      <c r="BI216" s="67" t="n">
        <f aca="false">BI205+BI206</f>
        <v>4683.53943898086</v>
      </c>
      <c r="BJ216" s="67" t="n">
        <f aca="false">BJ205+BJ206</f>
        <v>474.769281358059</v>
      </c>
    </row>
    <row r="217" customFormat="false" ht="15" hidden="false" customHeight="false" outlineLevel="0" collapsed="false">
      <c r="A217" s="6" t="s">
        <v>449</v>
      </c>
      <c r="C217" s="67" t="n">
        <f aca="false">C216</f>
        <v>-146928.991466667</v>
      </c>
      <c r="D217" s="67" t="n">
        <f aca="false">C217+D216</f>
        <v>-154454.5646</v>
      </c>
      <c r="E217" s="67" t="n">
        <f aca="false">D217+E216</f>
        <v>-158423.7568</v>
      </c>
      <c r="F217" s="67" t="n">
        <f aca="false">E217+F216</f>
        <v>-160791.848066667</v>
      </c>
      <c r="G217" s="67" t="n">
        <f aca="false">F217+G216</f>
        <v>-161765.157333333</v>
      </c>
      <c r="H217" s="67" t="n">
        <f aca="false">G217+H216</f>
        <v>-161343.6846</v>
      </c>
      <c r="I217" s="67" t="n">
        <f aca="false">H217+I216</f>
        <v>-159527.429866667</v>
      </c>
      <c r="J217" s="67" t="n">
        <f aca="false">I217+J216</f>
        <v>-157592.587533333</v>
      </c>
      <c r="K217" s="67" t="n">
        <f aca="false">J217+K216</f>
        <v>-155646.4952</v>
      </c>
      <c r="L217" s="67" t="n">
        <f aca="false">K217+L216</f>
        <v>-153689.152866667</v>
      </c>
      <c r="M217" s="67" t="n">
        <f aca="false">L217+M216</f>
        <v>-151720.560533333</v>
      </c>
      <c r="N217" s="67" t="n">
        <f aca="false">M217+N216</f>
        <v>-153659.7006</v>
      </c>
      <c r="O217" s="67" t="n">
        <f aca="false">N217+O216</f>
        <v>-158117.483843307</v>
      </c>
      <c r="P217" s="67" t="n">
        <f aca="false">O217+P216</f>
        <v>-160004.260129173</v>
      </c>
      <c r="Q217" s="67" t="n">
        <f aca="false">P217+Q216</f>
        <v>-157715.09278688</v>
      </c>
      <c r="R217" s="67" t="n">
        <f aca="false">Q217+R216</f>
        <v>-155039.446147947</v>
      </c>
      <c r="S217" s="67" t="n">
        <f aca="false">R217+S216</f>
        <v>-152352.549509013</v>
      </c>
      <c r="T217" s="67" t="n">
        <f aca="false">S217+T216</f>
        <v>-149654.40287008</v>
      </c>
      <c r="U217" s="67" t="n">
        <f aca="false">T217+U216</f>
        <v>-146945.006231147</v>
      </c>
      <c r="V217" s="67" t="n">
        <f aca="false">U217+V216</f>
        <v>-144224.359592213</v>
      </c>
      <c r="W217" s="67" t="n">
        <f aca="false">V217+W216</f>
        <v>-141492.46295328</v>
      </c>
      <c r="X217" s="67" t="n">
        <f aca="false">W217+X216</f>
        <v>-138749.316314347</v>
      </c>
      <c r="Y217" s="67" t="n">
        <f aca="false">X217+Y216</f>
        <v>-135994.919675413</v>
      </c>
      <c r="Z217" s="67" t="n">
        <f aca="false">Y217+Z216</f>
        <v>-137393.96666464</v>
      </c>
      <c r="AA217" s="67" t="n">
        <f aca="false">Z217+AA216</f>
        <v>-141298.215173068</v>
      </c>
      <c r="AB217" s="67" t="n">
        <f aca="false">AA217+AB216</f>
        <v>-142627.584896964</v>
      </c>
      <c r="AC217" s="67" t="n">
        <f aca="false">AB217+AC216</f>
        <v>-139520.124594745</v>
      </c>
      <c r="AD217" s="67" t="n">
        <f aca="false">AC217+AD216</f>
        <v>-136003.333531721</v>
      </c>
      <c r="AE217" s="67" t="n">
        <f aca="false">AD217+AE216</f>
        <v>-132475.292468696</v>
      </c>
      <c r="AF217" s="67" t="n">
        <f aca="false">AE217+AF216</f>
        <v>-128936.001405672</v>
      </c>
      <c r="AG217" s="67" t="n">
        <f aca="false">AF217+AG216</f>
        <v>-125385.460342647</v>
      </c>
      <c r="AH217" s="67" t="n">
        <f aca="false">AG217+AH216</f>
        <v>-121823.669279623</v>
      </c>
      <c r="AI217" s="67" t="n">
        <f aca="false">AH217+AI216</f>
        <v>-118250.628216599</v>
      </c>
      <c r="AJ217" s="67" t="n">
        <f aca="false">AI217+AJ216</f>
        <v>-114666.337153574</v>
      </c>
      <c r="AK217" s="67" t="n">
        <f aca="false">AJ217+AK216</f>
        <v>-111070.79609055</v>
      </c>
      <c r="AL217" s="67" t="n">
        <f aca="false">AK217+AL216</f>
        <v>-111889.585053641</v>
      </c>
      <c r="AM217" s="67" t="n">
        <f aca="false">AL217+AM216</f>
        <v>-115198.698614952</v>
      </c>
      <c r="AN217" s="67" t="n">
        <f aca="false">AM217+AN216</f>
        <v>-115928.806811156</v>
      </c>
      <c r="AO217" s="67" t="n">
        <f aca="false">AN217+AO216</f>
        <v>-111945.092904974</v>
      </c>
      <c r="AP217" s="67" t="n">
        <f aca="false">AO217+AP216</f>
        <v>-107527.805119654</v>
      </c>
      <c r="AQ217" s="67" t="n">
        <f aca="false">AP217+AQ216</f>
        <v>-103099.267334335</v>
      </c>
      <c r="AR217" s="67" t="n">
        <f aca="false">AQ217+AR216</f>
        <v>-98659.4795490147</v>
      </c>
      <c r="AS217" s="67" t="n">
        <f aca="false">AR217+AS216</f>
        <v>-94208.4417636948</v>
      </c>
      <c r="AT217" s="67" t="n">
        <f aca="false">AS217+AT216</f>
        <v>-89746.1539783749</v>
      </c>
      <c r="AU217" s="67" t="n">
        <f aca="false">AT217+AU216</f>
        <v>-85272.616193055</v>
      </c>
      <c r="AV217" s="67" t="n">
        <f aca="false">AU217+AV216</f>
        <v>-80787.8284077352</v>
      </c>
      <c r="AW217" s="67" t="n">
        <f aca="false">AV217+AW216</f>
        <v>-76291.7906224153</v>
      </c>
      <c r="AX217" s="67" t="n">
        <f aca="false">AW217+AX216</f>
        <v>-76487.0749394808</v>
      </c>
      <c r="AY217" s="67" t="n">
        <f aca="false">AX217+AY216</f>
        <v>-79156.2528203296</v>
      </c>
      <c r="AZ217" s="67" t="n">
        <f aca="false">AY217+AZ216</f>
        <v>-79242.0269423495</v>
      </c>
      <c r="BA217" s="67" t="n">
        <f aca="false">AZ217+BA216</f>
        <v>-74319.8938406884</v>
      </c>
      <c r="BB217" s="67" t="n">
        <f aca="false">BA217+BB216</f>
        <v>-68938.4673356493</v>
      </c>
      <c r="BC217" s="67" t="n">
        <f aca="false">BB217+BC216</f>
        <v>-63545.7908306102</v>
      </c>
      <c r="BD217" s="67" t="n">
        <f aca="false">BC217+BD216</f>
        <v>-58141.8643255712</v>
      </c>
      <c r="BE217" s="67" t="n">
        <f aca="false">BD217+BE216</f>
        <v>-53479.6803507705</v>
      </c>
      <c r="BF217" s="67" t="n">
        <f aca="false">BE217+BF216</f>
        <v>-48822.8034117896</v>
      </c>
      <c r="BG217" s="67" t="n">
        <f aca="false">BF217+BG216</f>
        <v>-44157.0389728088</v>
      </c>
      <c r="BH217" s="67" t="n">
        <f aca="false">BG217+BH216</f>
        <v>-39482.3870338279</v>
      </c>
      <c r="BI217" s="67" t="n">
        <f aca="false">BH217+BI216</f>
        <v>-34798.847594847</v>
      </c>
      <c r="BJ217" s="67" t="n">
        <f aca="false">BI217+BJ216</f>
        <v>-34324.078313489</v>
      </c>
    </row>
    <row r="218" customFormat="false" ht="15" hidden="false" customHeight="false" outlineLevel="0" collapsed="false">
      <c r="A218" s="117" t="s">
        <v>450</v>
      </c>
      <c r="C218" s="67" t="n">
        <f aca="false">C217</f>
        <v>-146928.991466667</v>
      </c>
      <c r="D218" s="67" t="n">
        <f aca="false">MIN(C218,D217)</f>
        <v>-154454.5646</v>
      </c>
      <c r="E218" s="67" t="n">
        <f aca="false">MIN(D218,E217)</f>
        <v>-158423.7568</v>
      </c>
      <c r="F218" s="67" t="n">
        <f aca="false">MIN(E218,F217)</f>
        <v>-160791.848066667</v>
      </c>
      <c r="G218" s="67" t="n">
        <f aca="false">MIN(F218,G217)</f>
        <v>-161765.157333333</v>
      </c>
      <c r="H218" s="67" t="n">
        <f aca="false">MIN(G218,H217)</f>
        <v>-161765.157333333</v>
      </c>
      <c r="I218" s="67" t="n">
        <f aca="false">MIN(H218,I217)</f>
        <v>-161765.157333333</v>
      </c>
      <c r="J218" s="67" t="n">
        <f aca="false">MIN(I218,J217)</f>
        <v>-161765.157333333</v>
      </c>
      <c r="K218" s="67" t="n">
        <f aca="false">MIN(J218,K217)</f>
        <v>-161765.157333333</v>
      </c>
      <c r="L218" s="67" t="n">
        <f aca="false">MIN(K218,L217)</f>
        <v>-161765.157333333</v>
      </c>
      <c r="M218" s="67" t="n">
        <f aca="false">MIN(L218,M217)</f>
        <v>-161765.157333333</v>
      </c>
      <c r="N218" s="67" t="n">
        <f aca="false">MIN(M218,N217)</f>
        <v>-161765.157333333</v>
      </c>
      <c r="O218" s="67" t="n">
        <f aca="false">MIN(N218,O217)</f>
        <v>-161765.157333333</v>
      </c>
      <c r="P218" s="67" t="n">
        <f aca="false">MIN(O218,P217)</f>
        <v>-161765.157333333</v>
      </c>
      <c r="Q218" s="67" t="n">
        <f aca="false">MIN(P218,Q217)</f>
        <v>-161765.157333333</v>
      </c>
      <c r="R218" s="67" t="n">
        <f aca="false">MIN(Q218,R217)</f>
        <v>-161765.157333333</v>
      </c>
      <c r="S218" s="67" t="n">
        <f aca="false">MIN(R218,S217)</f>
        <v>-161765.157333333</v>
      </c>
      <c r="T218" s="67" t="n">
        <f aca="false">MIN(S218,T217)</f>
        <v>-161765.157333333</v>
      </c>
      <c r="U218" s="67" t="n">
        <f aca="false">MIN(T218,U217)</f>
        <v>-161765.157333333</v>
      </c>
      <c r="V218" s="67" t="n">
        <f aca="false">MIN(U218,V217)</f>
        <v>-161765.157333333</v>
      </c>
      <c r="W218" s="67" t="n">
        <f aca="false">MIN(V218,W217)</f>
        <v>-161765.157333333</v>
      </c>
      <c r="X218" s="67" t="n">
        <f aca="false">MIN(W218,X217)</f>
        <v>-161765.157333333</v>
      </c>
      <c r="Y218" s="67" t="n">
        <f aca="false">MIN(X218,Y217)</f>
        <v>-161765.157333333</v>
      </c>
      <c r="Z218" s="67" t="n">
        <f aca="false">MIN(Y218,Z217)</f>
        <v>-161765.157333333</v>
      </c>
      <c r="AA218" s="67" t="n">
        <f aca="false">MIN(Z218,AA217)</f>
        <v>-161765.157333333</v>
      </c>
      <c r="AB218" s="67" t="n">
        <f aca="false">MIN(AA218,AB217)</f>
        <v>-161765.157333333</v>
      </c>
      <c r="AC218" s="67" t="n">
        <f aca="false">MIN(AB218,AC217)</f>
        <v>-161765.157333333</v>
      </c>
      <c r="AD218" s="67" t="n">
        <f aca="false">MIN(AC218,AD217)</f>
        <v>-161765.157333333</v>
      </c>
      <c r="AE218" s="67" t="n">
        <f aca="false">MIN(AD218,AE217)</f>
        <v>-161765.157333333</v>
      </c>
      <c r="AF218" s="67" t="n">
        <f aca="false">MIN(AE218,AF217)</f>
        <v>-161765.157333333</v>
      </c>
      <c r="AG218" s="67" t="n">
        <f aca="false">MIN(AF218,AG217)</f>
        <v>-161765.157333333</v>
      </c>
      <c r="AH218" s="67" t="n">
        <f aca="false">MIN(AG218,AH217)</f>
        <v>-161765.157333333</v>
      </c>
      <c r="AI218" s="67" t="n">
        <f aca="false">MIN(AH218,AI217)</f>
        <v>-161765.157333333</v>
      </c>
      <c r="AJ218" s="67" t="n">
        <f aca="false">MIN(AI218,AJ217)</f>
        <v>-161765.157333333</v>
      </c>
      <c r="AK218" s="67" t="n">
        <f aca="false">MIN(AJ218,AK217)</f>
        <v>-161765.157333333</v>
      </c>
      <c r="AL218" s="67" t="n">
        <f aca="false">MIN(AK218,AL217)</f>
        <v>-161765.157333333</v>
      </c>
      <c r="AM218" s="67" t="n">
        <f aca="false">MIN(AL218,AM217)</f>
        <v>-161765.157333333</v>
      </c>
      <c r="AN218" s="67" t="n">
        <f aca="false">MIN(AM218,AN217)</f>
        <v>-161765.157333333</v>
      </c>
      <c r="AO218" s="67" t="n">
        <f aca="false">MIN(AN218,AO217)</f>
        <v>-161765.157333333</v>
      </c>
      <c r="AP218" s="67" t="n">
        <f aca="false">MIN(AO218,AP217)</f>
        <v>-161765.157333333</v>
      </c>
      <c r="AQ218" s="67" t="n">
        <f aca="false">MIN(AP218,AQ217)</f>
        <v>-161765.157333333</v>
      </c>
      <c r="AR218" s="67" t="n">
        <f aca="false">MIN(AQ218,AR217)</f>
        <v>-161765.157333333</v>
      </c>
      <c r="AS218" s="67" t="n">
        <f aca="false">MIN(AR218,AS217)</f>
        <v>-161765.157333333</v>
      </c>
      <c r="AT218" s="67" t="n">
        <f aca="false">MIN(AS218,AT217)</f>
        <v>-161765.157333333</v>
      </c>
      <c r="AU218" s="67" t="n">
        <f aca="false">MIN(AT218,AU217)</f>
        <v>-161765.157333333</v>
      </c>
      <c r="AV218" s="67" t="n">
        <f aca="false">MIN(AU218,AV217)</f>
        <v>-161765.157333333</v>
      </c>
      <c r="AW218" s="67" t="n">
        <f aca="false">MIN(AV218,AW217)</f>
        <v>-161765.157333333</v>
      </c>
      <c r="AX218" s="67" t="n">
        <f aca="false">MIN(AW218,AX217)</f>
        <v>-161765.157333333</v>
      </c>
      <c r="AY218" s="67" t="n">
        <f aca="false">MIN(AX218,AY217)</f>
        <v>-161765.157333333</v>
      </c>
      <c r="AZ218" s="67" t="n">
        <f aca="false">MIN(AY218,AZ217)</f>
        <v>-161765.157333333</v>
      </c>
      <c r="BA218" s="67" t="n">
        <f aca="false">MIN(AZ218,BA217)</f>
        <v>-161765.157333333</v>
      </c>
      <c r="BB218" s="67" t="n">
        <f aca="false">MIN(BA218,BB217)</f>
        <v>-161765.157333333</v>
      </c>
      <c r="BC218" s="67" t="n">
        <f aca="false">MIN(BB218,BC217)</f>
        <v>-161765.157333333</v>
      </c>
      <c r="BD218" s="67" t="n">
        <f aca="false">MIN(BC218,BD217)</f>
        <v>-161765.157333333</v>
      </c>
      <c r="BE218" s="67" t="n">
        <f aca="false">MIN(BD218,BE217)</f>
        <v>-161765.157333333</v>
      </c>
      <c r="BF218" s="67" t="n">
        <f aca="false">MIN(BE218,BF217)</f>
        <v>-161765.157333333</v>
      </c>
      <c r="BG218" s="67" t="n">
        <f aca="false">MIN(BF218,BG217)</f>
        <v>-161765.157333333</v>
      </c>
      <c r="BH218" s="67" t="n">
        <f aca="false">MIN(BG218,BH217)</f>
        <v>-161765.157333333</v>
      </c>
      <c r="BI218" s="67" t="n">
        <f aca="false">MIN(BH218,BI217)</f>
        <v>-161765.157333333</v>
      </c>
      <c r="BJ218" s="67" t="n">
        <f aca="false">MIN(BI218,BJ217)</f>
        <v>-161765.157333333</v>
      </c>
    </row>
    <row r="219" customFormat="false" ht="15" hidden="false" customHeight="false" outlineLevel="0" collapsed="false">
      <c r="A219" s="117" t="s">
        <v>451</v>
      </c>
      <c r="C219" s="116" t="n">
        <f aca="false">IF(AND(C217&gt;=0,C218&lt;0),1,0)</f>
        <v>0</v>
      </c>
      <c r="D219" s="116" t="n">
        <f aca="false">IF(AND(D217&gt;=0,D218&lt;0),1,0)</f>
        <v>0</v>
      </c>
      <c r="E219" s="116" t="n">
        <f aca="false">IF(AND(E217&gt;=0,E218&lt;0),1,0)</f>
        <v>0</v>
      </c>
      <c r="F219" s="116" t="n">
        <f aca="false">IF(AND(F217&gt;=0,F218&lt;0),1,0)</f>
        <v>0</v>
      </c>
      <c r="G219" s="116" t="n">
        <f aca="false">IF(AND(G217&gt;=0,G218&lt;0),1,0)</f>
        <v>0</v>
      </c>
      <c r="H219" s="116" t="n">
        <f aca="false">IF(AND(H217&gt;=0,H218&lt;0),1,0)</f>
        <v>0</v>
      </c>
      <c r="I219" s="116" t="n">
        <f aca="false">IF(AND(I217&gt;=0,I218&lt;0),1,0)</f>
        <v>0</v>
      </c>
      <c r="J219" s="116" t="n">
        <f aca="false">IF(AND(J217&gt;=0,J218&lt;0),1,0)</f>
        <v>0</v>
      </c>
      <c r="K219" s="116" t="n">
        <f aca="false">IF(AND(K217&gt;=0,K218&lt;0),1,0)</f>
        <v>0</v>
      </c>
      <c r="L219" s="116" t="n">
        <f aca="false">IF(AND(L217&gt;=0,L218&lt;0),1,0)</f>
        <v>0</v>
      </c>
      <c r="M219" s="116" t="n">
        <f aca="false">IF(AND(M217&gt;=0,M218&lt;0),1,0)</f>
        <v>0</v>
      </c>
      <c r="N219" s="116" t="n">
        <f aca="false">IF(AND(N217&gt;=0,N218&lt;0),1,0)</f>
        <v>0</v>
      </c>
      <c r="O219" s="116" t="n">
        <f aca="false">IF(AND(O217&gt;=0,O218&lt;0),1,0)</f>
        <v>0</v>
      </c>
      <c r="P219" s="116" t="n">
        <f aca="false">IF(AND(P217&gt;=0,P218&lt;0),1,0)</f>
        <v>0</v>
      </c>
      <c r="Q219" s="116" t="n">
        <f aca="false">IF(AND(Q217&gt;=0,Q218&lt;0),1,0)</f>
        <v>0</v>
      </c>
      <c r="R219" s="116" t="n">
        <f aca="false">IF(AND(R217&gt;=0,R218&lt;0),1,0)</f>
        <v>0</v>
      </c>
      <c r="S219" s="116" t="n">
        <f aca="false">IF(AND(S217&gt;=0,S218&lt;0),1,0)</f>
        <v>0</v>
      </c>
      <c r="T219" s="116" t="n">
        <f aca="false">IF(AND(T217&gt;=0,T218&lt;0),1,0)</f>
        <v>0</v>
      </c>
      <c r="U219" s="116" t="n">
        <f aca="false">IF(AND(U217&gt;=0,U218&lt;0),1,0)</f>
        <v>0</v>
      </c>
      <c r="V219" s="116" t="n">
        <f aca="false">IF(AND(V217&gt;=0,V218&lt;0),1,0)</f>
        <v>0</v>
      </c>
      <c r="W219" s="116" t="n">
        <f aca="false">IF(AND(W217&gt;=0,W218&lt;0),1,0)</f>
        <v>0</v>
      </c>
      <c r="X219" s="116" t="n">
        <f aca="false">IF(AND(X217&gt;=0,X218&lt;0),1,0)</f>
        <v>0</v>
      </c>
      <c r="Y219" s="116" t="n">
        <f aca="false">IF(AND(Y217&gt;=0,Y218&lt;0),1,0)</f>
        <v>0</v>
      </c>
      <c r="Z219" s="116" t="n">
        <f aca="false">IF(AND(Z217&gt;=0,Z218&lt;0),1,0)</f>
        <v>0</v>
      </c>
      <c r="AA219" s="116" t="n">
        <f aca="false">IF(AND(AA217&gt;=0,AA218&lt;0),1,0)</f>
        <v>0</v>
      </c>
      <c r="AB219" s="116" t="n">
        <f aca="false">IF(AND(AB217&gt;=0,AB218&lt;0),1,0)</f>
        <v>0</v>
      </c>
      <c r="AC219" s="116" t="n">
        <f aca="false">IF(AND(AC217&gt;=0,AC218&lt;0),1,0)</f>
        <v>0</v>
      </c>
      <c r="AD219" s="116" t="n">
        <f aca="false">IF(AND(AD217&gt;=0,AD218&lt;0),1,0)</f>
        <v>0</v>
      </c>
      <c r="AE219" s="116" t="n">
        <f aca="false">IF(AND(AE217&gt;=0,AE218&lt;0),1,0)</f>
        <v>0</v>
      </c>
      <c r="AF219" s="116" t="n">
        <f aca="false">IF(AND(AF217&gt;=0,AF218&lt;0),1,0)</f>
        <v>0</v>
      </c>
      <c r="AG219" s="116" t="n">
        <f aca="false">IF(AND(AG217&gt;=0,AG218&lt;0),1,0)</f>
        <v>0</v>
      </c>
      <c r="AH219" s="116" t="n">
        <f aca="false">IF(AND(AH217&gt;=0,AH218&lt;0),1,0)</f>
        <v>0</v>
      </c>
      <c r="AI219" s="116" t="n">
        <f aca="false">IF(AND(AI217&gt;=0,AI218&lt;0),1,0)</f>
        <v>0</v>
      </c>
      <c r="AJ219" s="116" t="n">
        <f aca="false">IF(AND(AJ217&gt;=0,AJ218&lt;0),1,0)</f>
        <v>0</v>
      </c>
      <c r="AK219" s="116" t="n">
        <f aca="false">IF(AND(AK217&gt;=0,AK218&lt;0),1,0)</f>
        <v>0</v>
      </c>
      <c r="AL219" s="116" t="n">
        <f aca="false">IF(AND(AL217&gt;=0,AL218&lt;0),1,0)</f>
        <v>0</v>
      </c>
      <c r="AM219" s="116" t="n">
        <f aca="false">IF(AND(AM217&gt;=0,AM218&lt;0),1,0)</f>
        <v>0</v>
      </c>
      <c r="AN219" s="116" t="n">
        <f aca="false">IF(AND(AN217&gt;=0,AN218&lt;0),1,0)</f>
        <v>0</v>
      </c>
      <c r="AO219" s="116" t="n">
        <f aca="false">IF(AND(AO217&gt;=0,AO218&lt;0),1,0)</f>
        <v>0</v>
      </c>
      <c r="AP219" s="116" t="n">
        <f aca="false">IF(AND(AP217&gt;=0,AP218&lt;0),1,0)</f>
        <v>0</v>
      </c>
      <c r="AQ219" s="116" t="n">
        <f aca="false">IF(AND(AQ217&gt;=0,AQ218&lt;0),1,0)</f>
        <v>0</v>
      </c>
      <c r="AR219" s="116" t="n">
        <f aca="false">IF(AND(AR217&gt;=0,AR218&lt;0),1,0)</f>
        <v>0</v>
      </c>
      <c r="AS219" s="116" t="n">
        <f aca="false">IF(AND(AS217&gt;=0,AS218&lt;0),1,0)</f>
        <v>0</v>
      </c>
      <c r="AT219" s="116" t="n">
        <f aca="false">IF(AND(AT217&gt;=0,AT218&lt;0),1,0)</f>
        <v>0</v>
      </c>
      <c r="AU219" s="116" t="n">
        <f aca="false">IF(AND(AU217&gt;=0,AU218&lt;0),1,0)</f>
        <v>0</v>
      </c>
      <c r="AV219" s="116" t="n">
        <f aca="false">IF(AND(AV217&gt;=0,AV218&lt;0),1,0)</f>
        <v>0</v>
      </c>
      <c r="AW219" s="116" t="n">
        <f aca="false">IF(AND(AW217&gt;=0,AW218&lt;0),1,0)</f>
        <v>0</v>
      </c>
      <c r="AX219" s="116" t="n">
        <f aca="false">IF(AND(AX217&gt;=0,AX218&lt;0),1,0)</f>
        <v>0</v>
      </c>
      <c r="AY219" s="116" t="n">
        <f aca="false">IF(AND(AY217&gt;=0,AY218&lt;0),1,0)</f>
        <v>0</v>
      </c>
      <c r="AZ219" s="116" t="n">
        <f aca="false">IF(AND(AZ217&gt;=0,AZ218&lt;0),1,0)</f>
        <v>0</v>
      </c>
      <c r="BA219" s="116" t="n">
        <f aca="false">IF(AND(BA217&gt;=0,BA218&lt;0),1,0)</f>
        <v>0</v>
      </c>
      <c r="BB219" s="116" t="n">
        <f aca="false">IF(AND(BB217&gt;=0,BB218&lt;0),1,0)</f>
        <v>0</v>
      </c>
      <c r="BC219" s="116" t="n">
        <f aca="false">IF(AND(BC217&gt;=0,BC218&lt;0),1,0)</f>
        <v>0</v>
      </c>
      <c r="BD219" s="116" t="n">
        <f aca="false">IF(AND(BD217&gt;=0,BD218&lt;0),1,0)</f>
        <v>0</v>
      </c>
      <c r="BE219" s="116" t="n">
        <f aca="false">IF(AND(BE217&gt;=0,BE218&lt;0),1,0)</f>
        <v>0</v>
      </c>
      <c r="BF219" s="116" t="n">
        <f aca="false">IF(AND(BF217&gt;=0,BF218&lt;0),1,0)</f>
        <v>0</v>
      </c>
      <c r="BG219" s="116" t="n">
        <f aca="false">IF(AND(BG217&gt;=0,BG218&lt;0),1,0)</f>
        <v>0</v>
      </c>
      <c r="BH219" s="116" t="n">
        <f aca="false">IF(AND(BH217&gt;=0,BH218&lt;0),1,0)</f>
        <v>0</v>
      </c>
      <c r="BI219" s="116" t="n">
        <f aca="false">IF(AND(BI217&gt;=0,BI218&lt;0),1,0)</f>
        <v>0</v>
      </c>
      <c r="BJ219" s="116" t="n">
        <f aca="false">IF(AND(BJ217&gt;=0,BJ218&lt;0),1,0)</f>
        <v>0</v>
      </c>
    </row>
    <row r="220" customFormat="false" ht="15" hidden="false" customHeight="false" outlineLevel="0" collapsed="false">
      <c r="A220" s="6" t="s">
        <v>452</v>
      </c>
      <c r="C220" s="67" t="n">
        <f aca="false">C205-C172*(1-Inputs!$C$83)+C206</f>
        <v>-146395.741466667</v>
      </c>
      <c r="D220" s="67" t="n">
        <f aca="false">D205-D172*(1-Inputs!$C$83)+D206</f>
        <v>-6996.76688333333</v>
      </c>
      <c r="E220" s="67" t="n">
        <f aca="false">E205-E172*(1-Inputs!$C$83)+E206</f>
        <v>-3449.27345</v>
      </c>
      <c r="F220" s="67" t="n">
        <f aca="false">F205-F172*(1-Inputs!$C$83)+F206</f>
        <v>-1857.06001666667</v>
      </c>
      <c r="G220" s="67" t="n">
        <f aca="false">G205-G172*(1-Inputs!$C$83)+G206</f>
        <v>-471.16551666667</v>
      </c>
      <c r="H220" s="67" t="n">
        <f aca="false">H205-H172*(1-Inputs!$C$83)+H206</f>
        <v>914.728983333329</v>
      </c>
      <c r="I220" s="67" t="n">
        <f aca="false">I205-I172*(1-Inputs!$C$83)+I206</f>
        <v>2300.62348333333</v>
      </c>
      <c r="J220" s="67" t="n">
        <f aca="false">J205-J172*(1-Inputs!$C$83)+J206</f>
        <v>2410.32358333333</v>
      </c>
      <c r="K220" s="67" t="n">
        <f aca="false">K205-K172*(1-Inputs!$C$83)+K206</f>
        <v>2412.68608333333</v>
      </c>
      <c r="L220" s="67" t="n">
        <f aca="false">L205-L172*(1-Inputs!$C$83)+L206</f>
        <v>2415.04858333333</v>
      </c>
      <c r="M220" s="67" t="n">
        <f aca="false">M205-M172*(1-Inputs!$C$83)+M206</f>
        <v>2417.41108333333</v>
      </c>
      <c r="N220" s="67" t="n">
        <f aca="false">N205-N172*(1-Inputs!$C$83)+N206</f>
        <v>-1499.20881666667</v>
      </c>
      <c r="O220" s="67" t="n">
        <f aca="false">O205-O172*(1-Inputs!$C$83)+O206</f>
        <v>-4026.73949330667</v>
      </c>
      <c r="P220" s="67" t="n">
        <f aca="false">P205-P172*(1-Inputs!$C$83)+P206</f>
        <v>-1464.62003586667</v>
      </c>
      <c r="Q220" s="67" t="n">
        <f aca="false">Q205-Q172*(1-Inputs!$C$83)+Q206</f>
        <v>2702.43609229333</v>
      </c>
      <c r="R220" s="67" t="n">
        <f aca="false">R205-R172*(1-Inputs!$C$83)+R206</f>
        <v>3080.02788893333</v>
      </c>
      <c r="S220" s="67" t="n">
        <f aca="false">S205-S172*(1-Inputs!$C$83)+S206</f>
        <v>3082.39038893333</v>
      </c>
      <c r="T220" s="67" t="n">
        <f aca="false">T205-T172*(1-Inputs!$C$83)+T206</f>
        <v>3084.75288893333</v>
      </c>
      <c r="U220" s="67" t="n">
        <f aca="false">U205-U172*(1-Inputs!$C$83)+U206</f>
        <v>3087.11538893333</v>
      </c>
      <c r="V220" s="67" t="n">
        <f aca="false">V205-V172*(1-Inputs!$C$83)+V206</f>
        <v>3089.47788893333</v>
      </c>
      <c r="W220" s="67" t="n">
        <f aca="false">W205-W172*(1-Inputs!$C$83)+W206</f>
        <v>3091.84038893333</v>
      </c>
      <c r="X220" s="67" t="n">
        <f aca="false">X205-X172*(1-Inputs!$C$83)+X206</f>
        <v>3094.20288893333</v>
      </c>
      <c r="Y220" s="67" t="n">
        <f aca="false">Y205-Y172*(1-Inputs!$C$83)+Y206</f>
        <v>3096.56538893333</v>
      </c>
      <c r="Z220" s="67" t="n">
        <f aca="false">Z205-Z172*(1-Inputs!$C$83)+Z206</f>
        <v>-1065.76573922667</v>
      </c>
      <c r="AA220" s="67" t="n">
        <f aca="false">AA205-AA172*(1-Inputs!$C$83)+AA206</f>
        <v>-3579.85475842805</v>
      </c>
      <c r="AB220" s="67" t="n">
        <f aca="false">AB205-AB172*(1-Inputs!$C$83)+AB206</f>
        <v>-1013.86347389595</v>
      </c>
      <c r="AC220" s="67" t="n">
        <f aca="false">AC205-AC172*(1-Inputs!$C$83)+AC206</f>
        <v>3414.079052219</v>
      </c>
      <c r="AD220" s="67" t="n">
        <f aca="false">AD205-AD172*(1-Inputs!$C$83)+AD206</f>
        <v>3814.52231302437</v>
      </c>
      <c r="AE220" s="67" t="n">
        <f aca="false">AE205-AE172*(1-Inputs!$C$83)+AE206</f>
        <v>3816.88481302437</v>
      </c>
      <c r="AF220" s="67" t="n">
        <f aca="false">AF205-AF172*(1-Inputs!$C$83)+AF206</f>
        <v>3819.24731302437</v>
      </c>
      <c r="AG220" s="67" t="n">
        <f aca="false">AG205-AG172*(1-Inputs!$C$83)+AG206</f>
        <v>3821.60981302437</v>
      </c>
      <c r="AH220" s="67" t="n">
        <f aca="false">AH205-AH172*(1-Inputs!$C$83)+AH206</f>
        <v>3823.97231302437</v>
      </c>
      <c r="AI220" s="67" t="n">
        <f aca="false">AI205-AI172*(1-Inputs!$C$83)+AI206</f>
        <v>3826.33481302437</v>
      </c>
      <c r="AJ220" s="67" t="n">
        <f aca="false">AJ205-AJ172*(1-Inputs!$C$83)+AJ206</f>
        <v>3828.69731302437</v>
      </c>
      <c r="AK220" s="67" t="n">
        <f aca="false">AK205-AK172*(1-Inputs!$C$83)+AK206</f>
        <v>3831.05981302437</v>
      </c>
      <c r="AL220" s="67" t="n">
        <f aca="false">AL205-AL172*(1-Inputs!$C$83)+AL206</f>
        <v>-592.157713090575</v>
      </c>
      <c r="AM220" s="67" t="n">
        <f aca="false">AM205-AM172*(1-Inputs!$C$83)+AM206</f>
        <v>-3091.36981131129</v>
      </c>
      <c r="AN220" s="67" t="n">
        <f aca="false">AN205-AN172*(1-Inputs!$C$83)+AN206</f>
        <v>-521.25194620389</v>
      </c>
      <c r="AO220" s="67" t="n">
        <f aca="false">AO205-AO172*(1-Inputs!$C$83)+AO206</f>
        <v>4183.68265618145</v>
      </c>
      <c r="AP220" s="67" t="n">
        <f aca="false">AP205-AP172*(1-Inputs!$C$83)+AP206</f>
        <v>4608.36903531988</v>
      </c>
      <c r="AQ220" s="67" t="n">
        <f aca="false">AQ205-AQ172*(1-Inputs!$C$83)+AQ206</f>
        <v>4610.73153531988</v>
      </c>
      <c r="AR220" s="67" t="n">
        <f aca="false">AR205-AR172*(1-Inputs!$C$83)+AR206</f>
        <v>4613.09403531988</v>
      </c>
      <c r="AS220" s="67" t="n">
        <f aca="false">AS205-AS172*(1-Inputs!$C$83)+AS206</f>
        <v>4615.45653531988</v>
      </c>
      <c r="AT220" s="67" t="n">
        <f aca="false">AT205-AT172*(1-Inputs!$C$83)+AT206</f>
        <v>4617.81903531988</v>
      </c>
      <c r="AU220" s="67" t="n">
        <f aca="false">AU205-AU172*(1-Inputs!$C$83)+AU206</f>
        <v>4620.18153531988</v>
      </c>
      <c r="AV220" s="67" t="n">
        <f aca="false">AV205-AV172*(1-Inputs!$C$83)+AV206</f>
        <v>4622.54403531988</v>
      </c>
      <c r="AW220" s="67" t="n">
        <f aca="false">AW205-AW172*(1-Inputs!$C$83)+AW206</f>
        <v>4624.90653531988</v>
      </c>
      <c r="AX220" s="67" t="n">
        <f aca="false">AX205-AX172*(1-Inputs!$C$83)+AX206</f>
        <v>-75.303067065466</v>
      </c>
      <c r="AY220" s="67" t="n">
        <f aca="false">AY205-AY172*(1-Inputs!$C$83)+AY206</f>
        <v>-2558.08413084881</v>
      </c>
      <c r="AZ220" s="67" t="n">
        <f aca="false">AZ205-AZ172*(1-Inputs!$C$83)+AZ206</f>
        <v>16.432127980105</v>
      </c>
      <c r="BA220" s="67" t="n">
        <f aca="false">BA205-BA172*(1-Inputs!$C$83)+BA206</f>
        <v>5015.45185166111</v>
      </c>
      <c r="BB220" s="67" t="n">
        <f aca="false">BB205-BB172*(1-Inputs!$C$83)+BB206</f>
        <v>5465.85775503907</v>
      </c>
      <c r="BC220" s="67" t="n">
        <f aca="false">BC205-BC172*(1-Inputs!$C$83)+BC206</f>
        <v>5468.22025503907</v>
      </c>
      <c r="BD220" s="67" t="n">
        <f aca="false">BD205-BD172*(1-Inputs!$C$83)+BD206</f>
        <v>5470.58275503907</v>
      </c>
      <c r="BE220" s="67" t="n">
        <f aca="false">BE205-BE172*(1-Inputs!$C$83)+BE206</f>
        <v>4719.95272480068</v>
      </c>
      <c r="BF220" s="67" t="n">
        <f aca="false">BF205-BF172*(1-Inputs!$C$83)+BF206</f>
        <v>4705.75818898086</v>
      </c>
      <c r="BG220" s="67" t="n">
        <f aca="false">BG205-BG172*(1-Inputs!$C$83)+BG206</f>
        <v>4705.75818898086</v>
      </c>
      <c r="BH220" s="67" t="n">
        <f aca="false">BH205-BH172*(1-Inputs!$C$83)+BH206</f>
        <v>4705.75818898086</v>
      </c>
      <c r="BI220" s="67" t="n">
        <f aca="false">BI205-BI172*(1-Inputs!$C$83)+BI206</f>
        <v>4705.75818898086</v>
      </c>
      <c r="BJ220" s="67" t="n">
        <f aca="false">BJ205-BJ172*(1-Inputs!$C$83)+BJ206</f>
        <v>488.100531358059</v>
      </c>
    </row>
    <row r="222" customFormat="false" ht="15.75" hidden="false" customHeight="true" outlineLevel="0" collapsed="false">
      <c r="A222" s="7" t="s">
        <v>453</v>
      </c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</row>
    <row r="223" customFormat="false" ht="15" hidden="false" customHeight="false" outlineLevel="0" collapsed="false">
      <c r="A223" s="6" t="s">
        <v>97</v>
      </c>
      <c r="C223" s="67" t="n">
        <f aca="false">C207</f>
        <v>100000</v>
      </c>
      <c r="D223" s="67" t="n">
        <f aca="false">C223+D207</f>
        <v>100000</v>
      </c>
      <c r="E223" s="67" t="n">
        <f aca="false">D223+E207</f>
        <v>100000</v>
      </c>
      <c r="F223" s="67" t="n">
        <f aca="false">E223+F207</f>
        <v>100000</v>
      </c>
      <c r="G223" s="67" t="n">
        <f aca="false">F223+G207</f>
        <v>100000</v>
      </c>
      <c r="H223" s="67" t="n">
        <f aca="false">G223+H207</f>
        <v>100000</v>
      </c>
      <c r="I223" s="67" t="n">
        <f aca="false">H223+I207</f>
        <v>100000</v>
      </c>
      <c r="J223" s="67" t="n">
        <f aca="false">I223+J207</f>
        <v>100000</v>
      </c>
      <c r="K223" s="67" t="n">
        <f aca="false">J223+K207</f>
        <v>100000</v>
      </c>
      <c r="L223" s="67" t="n">
        <f aca="false">K223+L207</f>
        <v>100000</v>
      </c>
      <c r="M223" s="67" t="n">
        <f aca="false">L223+M207</f>
        <v>100000</v>
      </c>
      <c r="N223" s="67" t="n">
        <f aca="false">M223+N207</f>
        <v>100000</v>
      </c>
      <c r="O223" s="67" t="n">
        <f aca="false">N223+O207</f>
        <v>100000</v>
      </c>
      <c r="P223" s="67" t="n">
        <f aca="false">O223+P207</f>
        <v>100000</v>
      </c>
      <c r="Q223" s="67" t="n">
        <f aca="false">P223+Q207</f>
        <v>100000</v>
      </c>
      <c r="R223" s="67" t="n">
        <f aca="false">Q223+R207</f>
        <v>100000</v>
      </c>
      <c r="S223" s="67" t="n">
        <f aca="false">R223+S207</f>
        <v>100000</v>
      </c>
      <c r="T223" s="67" t="n">
        <f aca="false">S223+T207</f>
        <v>100000</v>
      </c>
      <c r="U223" s="67" t="n">
        <f aca="false">T223+U207</f>
        <v>100000</v>
      </c>
      <c r="V223" s="67" t="n">
        <f aca="false">U223+V207</f>
        <v>100000</v>
      </c>
      <c r="W223" s="67" t="n">
        <f aca="false">V223+W207</f>
        <v>100000</v>
      </c>
      <c r="X223" s="67" t="n">
        <f aca="false">W223+X207</f>
        <v>100000</v>
      </c>
      <c r="Y223" s="67" t="n">
        <f aca="false">X223+Y207</f>
        <v>100000</v>
      </c>
      <c r="Z223" s="67" t="n">
        <f aca="false">Y223+Z207</f>
        <v>100000</v>
      </c>
      <c r="AA223" s="67" t="n">
        <f aca="false">Z223+AA207</f>
        <v>100000</v>
      </c>
      <c r="AB223" s="67" t="n">
        <f aca="false">AA223+AB207</f>
        <v>100000</v>
      </c>
      <c r="AC223" s="67" t="n">
        <f aca="false">AB223+AC207</f>
        <v>100000</v>
      </c>
      <c r="AD223" s="67" t="n">
        <f aca="false">AC223+AD207</f>
        <v>100000</v>
      </c>
      <c r="AE223" s="67" t="n">
        <f aca="false">AD223+AE207</f>
        <v>100000</v>
      </c>
      <c r="AF223" s="67" t="n">
        <f aca="false">AE223+AF207</f>
        <v>100000</v>
      </c>
      <c r="AG223" s="67" t="n">
        <f aca="false">AF223+AG207</f>
        <v>100000</v>
      </c>
      <c r="AH223" s="67" t="n">
        <f aca="false">AG223+AH207</f>
        <v>100000</v>
      </c>
      <c r="AI223" s="67" t="n">
        <f aca="false">AH223+AI207</f>
        <v>100000</v>
      </c>
      <c r="AJ223" s="67" t="n">
        <f aca="false">AI223+AJ207</f>
        <v>100000</v>
      </c>
      <c r="AK223" s="67" t="n">
        <f aca="false">AJ223+AK207</f>
        <v>100000</v>
      </c>
      <c r="AL223" s="67" t="n">
        <f aca="false">AK223+AL207</f>
        <v>100000</v>
      </c>
      <c r="AM223" s="67" t="n">
        <f aca="false">AL223+AM207</f>
        <v>100000</v>
      </c>
      <c r="AN223" s="67" t="n">
        <f aca="false">AM223+AN207</f>
        <v>100000</v>
      </c>
      <c r="AO223" s="67" t="n">
        <f aca="false">AN223+AO207</f>
        <v>100000</v>
      </c>
      <c r="AP223" s="67" t="n">
        <f aca="false">AO223+AP207</f>
        <v>100000</v>
      </c>
      <c r="AQ223" s="67" t="n">
        <f aca="false">AP223+AQ207</f>
        <v>100000</v>
      </c>
      <c r="AR223" s="67" t="n">
        <f aca="false">AQ223+AR207</f>
        <v>100000</v>
      </c>
      <c r="AS223" s="67" t="n">
        <f aca="false">AR223+AS207</f>
        <v>100000</v>
      </c>
      <c r="AT223" s="67" t="n">
        <f aca="false">AS223+AT207</f>
        <v>100000</v>
      </c>
      <c r="AU223" s="67" t="n">
        <f aca="false">AT223+AU207</f>
        <v>100000</v>
      </c>
      <c r="AV223" s="67" t="n">
        <f aca="false">AU223+AV207</f>
        <v>100000</v>
      </c>
      <c r="AW223" s="67" t="n">
        <f aca="false">AV223+AW207</f>
        <v>100000</v>
      </c>
      <c r="AX223" s="67" t="n">
        <f aca="false">AW223+AX207</f>
        <v>100000</v>
      </c>
      <c r="AY223" s="67" t="n">
        <f aca="false">AX223+AY207</f>
        <v>100000</v>
      </c>
      <c r="AZ223" s="67" t="n">
        <f aca="false">AY223+AZ207</f>
        <v>100000</v>
      </c>
      <c r="BA223" s="67" t="n">
        <f aca="false">AZ223+BA207</f>
        <v>100000</v>
      </c>
      <c r="BB223" s="67" t="n">
        <f aca="false">BA223+BB207</f>
        <v>100000</v>
      </c>
      <c r="BC223" s="67" t="n">
        <f aca="false">BB223+BC207</f>
        <v>100000</v>
      </c>
      <c r="BD223" s="67" t="n">
        <f aca="false">BC223+BD207</f>
        <v>100000</v>
      </c>
      <c r="BE223" s="67" t="n">
        <f aca="false">BD223+BE207</f>
        <v>100000</v>
      </c>
      <c r="BF223" s="67" t="n">
        <f aca="false">BE223+BF207</f>
        <v>100000</v>
      </c>
      <c r="BG223" s="67" t="n">
        <f aca="false">BF223+BG207</f>
        <v>100000</v>
      </c>
      <c r="BH223" s="67" t="n">
        <f aca="false">BG223+BH207</f>
        <v>100000</v>
      </c>
      <c r="BI223" s="67" t="n">
        <f aca="false">BH223+BI207</f>
        <v>100000</v>
      </c>
      <c r="BJ223" s="67" t="n">
        <f aca="false">BI223+BJ207</f>
        <v>100000</v>
      </c>
    </row>
    <row r="224" customFormat="false" ht="15" hidden="false" customHeight="false" outlineLevel="0" collapsed="false">
      <c r="A224" s="6" t="s">
        <v>98</v>
      </c>
      <c r="C224" s="67" t="n">
        <f aca="false">C177</f>
        <v>-10104.6678095238</v>
      </c>
      <c r="D224" s="67" t="n">
        <f aca="false">C224+D177</f>
        <v>-19195.2346190476</v>
      </c>
      <c r="E224" s="67" t="n">
        <f aca="false">D224+E177</f>
        <v>-24493.6274285714</v>
      </c>
      <c r="F224" s="67" t="n">
        <f aca="false">E224+F177</f>
        <v>-28397.2382380952</v>
      </c>
      <c r="G224" s="67" t="n">
        <f aca="false">F224+G177</f>
        <v>-30906.0670476191</v>
      </c>
      <c r="H224" s="67" t="n">
        <f aca="false">G224+H177</f>
        <v>-32020.1138571429</v>
      </c>
      <c r="I224" s="67" t="n">
        <f aca="false">H224+I177</f>
        <v>-31739.3786666667</v>
      </c>
      <c r="J224" s="67" t="n">
        <f aca="false">I224+J177</f>
        <v>-31447.3934761905</v>
      </c>
      <c r="K224" s="67" t="n">
        <f aca="false">J224+K177</f>
        <v>-31144.1582857143</v>
      </c>
      <c r="L224" s="67" t="n">
        <f aca="false">K224+L177</f>
        <v>-30829.6730952381</v>
      </c>
      <c r="M224" s="67" t="n">
        <f aca="false">L224+M177</f>
        <v>-30503.9379047619</v>
      </c>
      <c r="N224" s="67" t="n">
        <f aca="false">M224+N177</f>
        <v>-34439.6247142857</v>
      </c>
      <c r="O224" s="67" t="n">
        <f aca="false">N224+O177</f>
        <v>-38010.2700477714</v>
      </c>
      <c r="P224" s="67" t="n">
        <f aca="false">O224+P177</f>
        <v>-41569.6653812572</v>
      </c>
      <c r="Q224" s="67" t="n">
        <f aca="false">P224+Q177</f>
        <v>-40577.8877899429</v>
      </c>
      <c r="R224" s="67" t="n">
        <f aca="false">Q224+R177</f>
        <v>-39574.8601986286</v>
      </c>
      <c r="S224" s="67" t="n">
        <f aca="false">R224+S177</f>
        <v>-38560.5826073143</v>
      </c>
      <c r="T224" s="67" t="n">
        <f aca="false">S224+T177</f>
        <v>-37535.055016</v>
      </c>
      <c r="U224" s="67" t="n">
        <f aca="false">T224+U177</f>
        <v>-36498.2774246857</v>
      </c>
      <c r="V224" s="67" t="n">
        <f aca="false">U224+V177</f>
        <v>-35450.2498333715</v>
      </c>
      <c r="W224" s="67" t="n">
        <f aca="false">V224+W177</f>
        <v>-34390.9722420572</v>
      </c>
      <c r="X224" s="67" t="n">
        <f aca="false">W224+X177</f>
        <v>-33320.4446507429</v>
      </c>
      <c r="Y224" s="67" t="n">
        <f aca="false">X224+Y177</f>
        <v>-32238.6670594286</v>
      </c>
      <c r="Z224" s="67" t="n">
        <f aca="false">Y224+Z177</f>
        <v>-35685.5623929143</v>
      </c>
      <c r="AA224" s="67" t="n">
        <f aca="false">Z224+AA177</f>
        <v>-38728.5630691912</v>
      </c>
      <c r="AB224" s="67" t="n">
        <f aca="false">AA224+AB177</f>
        <v>-41760.3137454681</v>
      </c>
      <c r="AC224" s="67" t="n">
        <f aca="false">AB224+AC177</f>
        <v>-39957.1536348247</v>
      </c>
      <c r="AD224" s="67" t="n">
        <f aca="false">AC224+AD177</f>
        <v>-38142.7435241813</v>
      </c>
      <c r="AE224" s="67" t="n">
        <f aca="false">AD224+AE177</f>
        <v>-36317.0834135379</v>
      </c>
      <c r="AF224" s="67" t="n">
        <f aca="false">AE224+AF177</f>
        <v>-34480.1733028944</v>
      </c>
      <c r="AG224" s="67" t="n">
        <f aca="false">AF224+AG177</f>
        <v>-32632.013192251</v>
      </c>
      <c r="AH224" s="67" t="n">
        <f aca="false">AG224+AH177</f>
        <v>-30772.6030816076</v>
      </c>
      <c r="AI224" s="67" t="n">
        <f aca="false">AH224+AI177</f>
        <v>-28901.9429709642</v>
      </c>
      <c r="AJ224" s="67" t="n">
        <f aca="false">AI224+AJ177</f>
        <v>-27020.0328603208</v>
      </c>
      <c r="AK224" s="67" t="n">
        <f aca="false">AJ224+AK177</f>
        <v>-25126.8727496773</v>
      </c>
      <c r="AL224" s="67" t="n">
        <f aca="false">AK224+AL177</f>
        <v>-28046.1234259542</v>
      </c>
      <c r="AM224" s="67" t="n">
        <f aca="false">AL224+AM177</f>
        <v>-30519.624479301</v>
      </c>
      <c r="AN224" s="67" t="n">
        <f aca="false">AM224+AN177</f>
        <v>-32981.8755326477</v>
      </c>
      <c r="AO224" s="67" t="n">
        <f aca="false">AN224+AO177</f>
        <v>-30307.9806044707</v>
      </c>
      <c r="AP224" s="67" t="n">
        <f aca="false">AO224+AP177</f>
        <v>-27622.8356762937</v>
      </c>
      <c r="AQ224" s="67" t="n">
        <f aca="false">AP224+AQ177</f>
        <v>-24926.4407481167</v>
      </c>
      <c r="AR224" s="67" t="n">
        <f aca="false">AQ224+AR177</f>
        <v>-22218.7958199397</v>
      </c>
      <c r="AS224" s="67" t="n">
        <f aca="false">AR224+AS177</f>
        <v>-19499.9008917626</v>
      </c>
      <c r="AT224" s="67" t="n">
        <f aca="false">AS224+AT177</f>
        <v>-16769.7559635856</v>
      </c>
      <c r="AU224" s="67" t="n">
        <f aca="false">AT224+AU177</f>
        <v>-14028.3610354086</v>
      </c>
      <c r="AV224" s="67" t="n">
        <f aca="false">AU224+AV177</f>
        <v>-11275.7161072316</v>
      </c>
      <c r="AW224" s="67" t="n">
        <f aca="false">AV224+AW177</f>
        <v>-8511.82117905456</v>
      </c>
      <c r="AX224" s="67" t="n">
        <f aca="false">AW224+AX177</f>
        <v>-10861.5722324013</v>
      </c>
      <c r="AY224" s="67" t="n">
        <f aca="false">AX224+AY177</f>
        <v>-12720.501116326</v>
      </c>
      <c r="AZ224" s="67" t="n">
        <f aca="false">AY224+AZ177</f>
        <v>-14568.1800002506</v>
      </c>
      <c r="BA224" s="67" t="n">
        <f aca="false">AZ224+BA177</f>
        <v>-10959.9082571163</v>
      </c>
      <c r="BB224" s="67" t="n">
        <f aca="false">BA224+BB177</f>
        <v>-7340.38651398201</v>
      </c>
      <c r="BC224" s="67" t="n">
        <f aca="false">BB224+BC177</f>
        <v>-3709.6147708477</v>
      </c>
      <c r="BD224" s="67" t="n">
        <f aca="false">BC224+BD177</f>
        <v>-67.5930277133984</v>
      </c>
      <c r="BE224" s="67" t="n">
        <f aca="false">BD224+BE177</f>
        <v>2832.68618518252</v>
      </c>
      <c r="BF224" s="67" t="n">
        <f aca="false">BE224+BF177</f>
        <v>5727.65836225862</v>
      </c>
      <c r="BG224" s="67" t="n">
        <f aca="false">BF224+BG177</f>
        <v>8631.51803933472</v>
      </c>
      <c r="BH224" s="67" t="n">
        <f aca="false">BG224+BH177</f>
        <v>11544.2652164108</v>
      </c>
      <c r="BI224" s="67" t="n">
        <f aca="false">BH224+BI177</f>
        <v>14465.8998934869</v>
      </c>
      <c r="BJ224" s="67" t="n">
        <f aca="false">BI224+BJ177</f>
        <v>12730.7210095623</v>
      </c>
    </row>
    <row r="225" customFormat="false" ht="15" hidden="false" customHeight="false" outlineLevel="0" collapsed="false">
      <c r="A225" s="4" t="s">
        <v>93</v>
      </c>
      <c r="C225" s="73" t="n">
        <f aca="false">C211+C197+C198+C188</f>
        <v>180900.565790476</v>
      </c>
      <c r="D225" s="73" t="n">
        <f aca="false">D211+D197+D198+D188</f>
        <v>170477.537914286</v>
      </c>
      <c r="E225" s="73" t="n">
        <f aca="false">E211+E197+E198+E188</f>
        <v>164296.446171429</v>
      </c>
      <c r="F225" s="73" t="n">
        <f aca="false">F211+F197+F198+F188</f>
        <v>159116.594561905</v>
      </c>
      <c r="G225" s="73" t="n">
        <f aca="false">G211+G197+G198+G188</f>
        <v>155331.524952381</v>
      </c>
      <c r="H225" s="73" t="n">
        <f aca="false">H211+H197+H198+H188</f>
        <v>152941.237342857</v>
      </c>
      <c r="I225" s="73" t="n">
        <f aca="false">I211+I197+I198+I188</f>
        <v>151945.731733333</v>
      </c>
      <c r="J225" s="73" t="n">
        <f aca="false">J211+J197+J198+J188</f>
        <v>150737.71692381</v>
      </c>
      <c r="K225" s="73" t="n">
        <f aca="false">K211+K197+K198+K188</f>
        <v>149540.952114286</v>
      </c>
      <c r="L225" s="73" t="n">
        <f aca="false">L211+L197+L198+L188</f>
        <v>148355.437304762</v>
      </c>
      <c r="M225" s="73" t="n">
        <f aca="false">M211+M197+M198+M188</f>
        <v>147181.172495238</v>
      </c>
      <c r="N225" s="73" t="n">
        <f aca="false">N211+N197+N198+N188</f>
        <v>141070.842485714</v>
      </c>
      <c r="O225" s="73" t="n">
        <f aca="false">O211+O197+O198+O188</f>
        <v>136132.780516709</v>
      </c>
      <c r="P225" s="73" t="n">
        <f aca="false">P211+P197+P198+P188</f>
        <v>131073.385183223</v>
      </c>
      <c r="Q225" s="73" t="n">
        <f aca="false">Q211+Q197+Q198+Q188</f>
        <v>131280.891745417</v>
      </c>
      <c r="R225" s="73" t="n">
        <f aca="false">R211+R197+R198+R188</f>
        <v>130783.919336731</v>
      </c>
      <c r="S225" s="73" t="n">
        <f aca="false">S211+S197+S198+S188</f>
        <v>130298.196928046</v>
      </c>
      <c r="T225" s="73" t="n">
        <f aca="false">T211+T197+T198+T188</f>
        <v>129823.72451936</v>
      </c>
      <c r="U225" s="73" t="n">
        <f aca="false">U211+U197+U198+U188</f>
        <v>129360.502110674</v>
      </c>
      <c r="V225" s="73" t="n">
        <f aca="false">V211+V197+V198+V188</f>
        <v>128908.529701989</v>
      </c>
      <c r="W225" s="73" t="n">
        <f aca="false">W211+W197+W198+W188</f>
        <v>128467.807293303</v>
      </c>
      <c r="X225" s="73" t="n">
        <f aca="false">X211+X197+X198+X188</f>
        <v>128038.334884617</v>
      </c>
      <c r="Y225" s="73" t="n">
        <f aca="false">Y211+Y197+Y198+Y188</f>
        <v>127620.112475931</v>
      </c>
      <c r="Z225" s="73" t="n">
        <f aca="false">Z211+Z197+Z198+Z188</f>
        <v>121957.488171566</v>
      </c>
      <c r="AA225" s="73" t="n">
        <f aca="false">AA211+AA197+AA198+AA188</f>
        <v>117555.972078494</v>
      </c>
      <c r="AB225" s="73" t="n">
        <f aca="false">AB211+AB197+AB198+AB188</f>
        <v>113024.221402217</v>
      </c>
      <c r="AC225" s="73" t="n">
        <f aca="false">AC211+AC197+AC198+AC188</f>
        <v>114086.698378067</v>
      </c>
      <c r="AD225" s="73" t="n">
        <f aca="false">AD211+AD197+AD198+AD188</f>
        <v>114401.10848871</v>
      </c>
      <c r="AE225" s="73" t="n">
        <f aca="false">AE211+AE197+AE198+AE188</f>
        <v>114726.768599354</v>
      </c>
      <c r="AF225" s="73" t="n">
        <f aca="false">AF211+AF197+AF198+AF188</f>
        <v>115063.678709997</v>
      </c>
      <c r="AG225" s="73" t="n">
        <f aca="false">AG211+AG197+AG198+AG188</f>
        <v>115411.83882064</v>
      </c>
      <c r="AH225" s="73" t="n">
        <f aca="false">AH211+AH197+AH198+AH188</f>
        <v>115771.248931284</v>
      </c>
      <c r="AI225" s="73" t="n">
        <f aca="false">AI211+AI197+AI198+AI188</f>
        <v>116141.909041927</v>
      </c>
      <c r="AJ225" s="73" t="n">
        <f aca="false">AJ211+AJ197+AJ198+AJ188</f>
        <v>116523.819152571</v>
      </c>
      <c r="AK225" s="73" t="n">
        <f aca="false">AK211+AK197+AK198+AK188</f>
        <v>116916.979263214</v>
      </c>
      <c r="AL225" s="73" t="n">
        <f aca="false">AL211+AL197+AL198+AL188</f>
        <v>111738.411721731</v>
      </c>
      <c r="AM225" s="73" t="n">
        <f aca="false">AM211+AM197+AM198+AM188</f>
        <v>107915.905946218</v>
      </c>
      <c r="AN225" s="73" t="n">
        <f aca="false">AN211+AN197+AN198+AN188</f>
        <v>103953.654892871</v>
      </c>
      <c r="AO225" s="73" t="n">
        <f aca="false">AO211+AO197+AO198+AO188</f>
        <v>105933.109083346</v>
      </c>
      <c r="AP225" s="73" t="n">
        <f aca="false">AP211+AP197+AP198+AP188</f>
        <v>107118.254011523</v>
      </c>
      <c r="AQ225" s="73" t="n">
        <f aca="false">AQ211+AQ197+AQ198+AQ188</f>
        <v>108314.6489397</v>
      </c>
      <c r="AR225" s="73" t="n">
        <f aca="false">AR211+AR197+AR198+AR188</f>
        <v>109522.293867877</v>
      </c>
      <c r="AS225" s="73" t="n">
        <f aca="false">AS211+AS197+AS198+AS188</f>
        <v>110741.188796054</v>
      </c>
      <c r="AT225" s="73" t="n">
        <f aca="false">AT211+AT197+AT198+AT188</f>
        <v>111971.333724231</v>
      </c>
      <c r="AU225" s="73" t="n">
        <f aca="false">AU211+AU197+AU198+AU188</f>
        <v>113212.728652408</v>
      </c>
      <c r="AV225" s="73" t="n">
        <f aca="false">AV211+AV197+AV198+AV188</f>
        <v>114465.373580585</v>
      </c>
      <c r="AW225" s="73" t="n">
        <f aca="false">AW211+AW197+AW198+AW188</f>
        <v>115729.268508762</v>
      </c>
      <c r="AX225" s="73" t="n">
        <f aca="false">AX211+AX197+AX198+AX188</f>
        <v>111073.958193118</v>
      </c>
      <c r="AY225" s="73" t="n">
        <f aca="false">AY211+AY197+AY198+AY188</f>
        <v>107876.187367065</v>
      </c>
      <c r="AZ225" s="73" t="n">
        <f aca="false">AZ211+AZ197+AZ198+AZ188</f>
        <v>104528.50848314</v>
      </c>
      <c r="BA225" s="73" t="n">
        <f aca="false">BA211+BA197+BA198+BA188</f>
        <v>107491.398047646</v>
      </c>
      <c r="BB225" s="73" t="n">
        <f aca="false">BB211+BB197+BB198+BB188</f>
        <v>109610.919790781</v>
      </c>
      <c r="BC225" s="73" t="n">
        <f aca="false">BC211+BC197+BC198+BC188</f>
        <v>111741.691533915</v>
      </c>
      <c r="BD225" s="73" t="n">
        <f aca="false">BD211+BD197+BD198+BD188</f>
        <v>113883.713277049</v>
      </c>
      <c r="BE225" s="73" t="n">
        <f aca="false">BE211+BE197+BE198+BE188</f>
        <v>115283.992489945</v>
      </c>
      <c r="BF225" s="73" t="n">
        <f aca="false">BF211+BF197+BF198+BF188</f>
        <v>116678.964667021</v>
      </c>
      <c r="BG225" s="73" t="n">
        <f aca="false">BG211+BG197+BG198+BG188</f>
        <v>118082.824344097</v>
      </c>
      <c r="BH225" s="73" t="n">
        <f aca="false">BH211+BH197+BH198+BH188</f>
        <v>119495.571521174</v>
      </c>
      <c r="BI225" s="73" t="n">
        <f aca="false">BI211+BI197+BI198+BI188</f>
        <v>120917.20619825</v>
      </c>
      <c r="BJ225" s="73" t="n">
        <f aca="false">BJ211+BJ197+BJ198+BJ188</f>
        <v>116827.409492953</v>
      </c>
    </row>
    <row r="226" customFormat="false" ht="15" hidden="false" customHeight="false" outlineLevel="0" collapsed="false">
      <c r="A226" s="6" t="s">
        <v>96</v>
      </c>
      <c r="C226" s="67" t="n">
        <f aca="false">C199+C194</f>
        <v>91005.2336</v>
      </c>
      <c r="D226" s="67" t="n">
        <f aca="false">D199+D194</f>
        <v>89672.7725333333</v>
      </c>
      <c r="E226" s="67" t="n">
        <f aca="false">E199+E194</f>
        <v>88790.0736</v>
      </c>
      <c r="F226" s="67" t="n">
        <f aca="false">F199+F194</f>
        <v>87513.8328</v>
      </c>
      <c r="G226" s="67" t="n">
        <f aca="false">G199+G194</f>
        <v>86237.592</v>
      </c>
      <c r="H226" s="67" t="n">
        <f aca="false">H199+H194</f>
        <v>84961.3512</v>
      </c>
      <c r="I226" s="67" t="n">
        <f aca="false">I199+I194</f>
        <v>83685.1104</v>
      </c>
      <c r="J226" s="67" t="n">
        <f aca="false">J199+J194</f>
        <v>82185.1104</v>
      </c>
      <c r="K226" s="67" t="n">
        <f aca="false">K199+K194</f>
        <v>80685.1104</v>
      </c>
      <c r="L226" s="67" t="n">
        <f aca="false">L199+L194</f>
        <v>79185.1104</v>
      </c>
      <c r="M226" s="67" t="n">
        <f aca="false">M199+M194</f>
        <v>77685.1104</v>
      </c>
      <c r="N226" s="67" t="n">
        <f aca="false">N199+N194</f>
        <v>75510.4672</v>
      </c>
      <c r="O226" s="67" t="n">
        <f aca="false">O199+O194</f>
        <v>74143.05056448</v>
      </c>
      <c r="P226" s="67" t="n">
        <f aca="false">P199+P194</f>
        <v>72643.05056448</v>
      </c>
      <c r="Q226" s="67" t="n">
        <f aca="false">Q199+Q194</f>
        <v>71858.77953536</v>
      </c>
      <c r="R226" s="67" t="n">
        <f aca="false">R199+R194</f>
        <v>70358.77953536</v>
      </c>
      <c r="S226" s="67" t="n">
        <f aca="false">S199+S194</f>
        <v>68858.77953536</v>
      </c>
      <c r="T226" s="67" t="n">
        <f aca="false">T199+T194</f>
        <v>67358.77953536</v>
      </c>
      <c r="U226" s="67" t="n">
        <f aca="false">U199+U194</f>
        <v>65858.77953536</v>
      </c>
      <c r="V226" s="67" t="n">
        <f aca="false">V199+V194</f>
        <v>64358.77953536</v>
      </c>
      <c r="W226" s="67" t="n">
        <f aca="false">W199+W194</f>
        <v>62858.77953536</v>
      </c>
      <c r="X226" s="67" t="n">
        <f aca="false">X199+X194</f>
        <v>61358.77953536</v>
      </c>
      <c r="Y226" s="67" t="n">
        <f aca="false">Y199+Y194</f>
        <v>59858.77953536</v>
      </c>
      <c r="Z226" s="67" t="n">
        <f aca="false">Z199+Z194</f>
        <v>57643.05056448</v>
      </c>
      <c r="AA226" s="67" t="n">
        <f aca="false">AA199+AA194</f>
        <v>56284.5351476848</v>
      </c>
      <c r="AB226" s="67" t="n">
        <f aca="false">AB199+AB194</f>
        <v>54784.5351476848</v>
      </c>
      <c r="AC226" s="67" t="n">
        <f aca="false">AC199+AC194</f>
        <v>54043.8520128914</v>
      </c>
      <c r="AD226" s="67" t="n">
        <f aca="false">AD199+AD194</f>
        <v>52543.8520128914</v>
      </c>
      <c r="AE226" s="67" t="n">
        <f aca="false">AE199+AE194</f>
        <v>51043.8520128914</v>
      </c>
      <c r="AF226" s="67" t="n">
        <f aca="false">AF199+AF194</f>
        <v>49543.8520128914</v>
      </c>
      <c r="AG226" s="67" t="n">
        <f aca="false">AG199+AG194</f>
        <v>48043.8520128914</v>
      </c>
      <c r="AH226" s="67" t="n">
        <f aca="false">AH199+AH194</f>
        <v>46543.8520128914</v>
      </c>
      <c r="AI226" s="67" t="n">
        <f aca="false">AI199+AI194</f>
        <v>45043.8520128914</v>
      </c>
      <c r="AJ226" s="67" t="n">
        <f aca="false">AJ199+AJ194</f>
        <v>43543.8520128914</v>
      </c>
      <c r="AK226" s="67" t="n">
        <f aca="false">AK199+AK194</f>
        <v>42043.8520128914</v>
      </c>
      <c r="AL226" s="67" t="n">
        <f aca="false">AL199+AL194</f>
        <v>39784.5351476848</v>
      </c>
      <c r="AM226" s="67" t="n">
        <f aca="false">AM199+AM194</f>
        <v>38435.5304255188</v>
      </c>
      <c r="AN226" s="67" t="n">
        <f aca="false">AN199+AN194</f>
        <v>36935.5304255188</v>
      </c>
      <c r="AO226" s="67" t="n">
        <f aca="false">AO199+AO194</f>
        <v>36241.0896878165</v>
      </c>
      <c r="AP226" s="67" t="n">
        <f aca="false">AP199+AP194</f>
        <v>34741.0896878165</v>
      </c>
      <c r="AQ226" s="67" t="n">
        <f aca="false">AQ199+AQ194</f>
        <v>33241.0896878165</v>
      </c>
      <c r="AR226" s="67" t="n">
        <f aca="false">AR199+AR194</f>
        <v>31741.0896878165</v>
      </c>
      <c r="AS226" s="67" t="n">
        <f aca="false">AS199+AS194</f>
        <v>30241.0896878165</v>
      </c>
      <c r="AT226" s="67" t="n">
        <f aca="false">AT199+AT194</f>
        <v>28741.0896878165</v>
      </c>
      <c r="AU226" s="67" t="n">
        <f aca="false">AU199+AU194</f>
        <v>27241.0896878165</v>
      </c>
      <c r="AV226" s="67" t="n">
        <f aca="false">AV199+AV194</f>
        <v>25741.0896878165</v>
      </c>
      <c r="AW226" s="67" t="n">
        <f aca="false">AW199+AW194</f>
        <v>24241.0896878165</v>
      </c>
      <c r="AX226" s="67" t="n">
        <f aca="false">AX199+AX194</f>
        <v>21935.5304255188</v>
      </c>
      <c r="AY226" s="67" t="n">
        <f aca="false">AY199+AY194</f>
        <v>20596.6884833911</v>
      </c>
      <c r="AZ226" s="67" t="n">
        <f aca="false">AZ199+AZ194</f>
        <v>19096.6884833911</v>
      </c>
      <c r="BA226" s="67" t="n">
        <f aca="false">BA199+BA194</f>
        <v>18451.3063047627</v>
      </c>
      <c r="BB226" s="67" t="n">
        <f aca="false">BB199+BB194</f>
        <v>16951.3063047627</v>
      </c>
      <c r="BC226" s="67" t="n">
        <f aca="false">BC199+BC194</f>
        <v>15451.3063047627</v>
      </c>
      <c r="BD226" s="67" t="n">
        <f aca="false">BD199+BD194</f>
        <v>13951.3063047627</v>
      </c>
      <c r="BE226" s="67" t="n">
        <f aca="false">BE199+BE194</f>
        <v>12451.3063047627</v>
      </c>
      <c r="BF226" s="67" t="n">
        <f aca="false">BF199+BF194</f>
        <v>10951.3063047627</v>
      </c>
      <c r="BG226" s="67" t="n">
        <f aca="false">BG199+BG194</f>
        <v>9451.30630476271</v>
      </c>
      <c r="BH226" s="67" t="n">
        <f aca="false">BH199+BH194</f>
        <v>7951.30630476271</v>
      </c>
      <c r="BI226" s="67" t="n">
        <f aca="false">BI199+BI194</f>
        <v>6451.30630476271</v>
      </c>
      <c r="BJ226" s="67" t="n">
        <f aca="false">BJ199+BJ194</f>
        <v>4096.68848339111</v>
      </c>
    </row>
    <row r="227" customFormat="false" ht="15" hidden="false" customHeight="false" outlineLevel="0" collapsed="false">
      <c r="A227" s="6" t="s">
        <v>99</v>
      </c>
      <c r="C227" s="67" t="n">
        <f aca="false">C223+C224</f>
        <v>89895.3321904762</v>
      </c>
      <c r="D227" s="67" t="n">
        <f aca="false">D223+D224</f>
        <v>80804.7653809524</v>
      </c>
      <c r="E227" s="67" t="n">
        <f aca="false">E223+E224</f>
        <v>75506.3725714286</v>
      </c>
      <c r="F227" s="67" t="n">
        <f aca="false">F223+F224</f>
        <v>71602.7617619048</v>
      </c>
      <c r="G227" s="67" t="n">
        <f aca="false">G223+G224</f>
        <v>69093.9329523809</v>
      </c>
      <c r="H227" s="67" t="n">
        <f aca="false">H223+H224</f>
        <v>67979.8861428571</v>
      </c>
      <c r="I227" s="67" t="n">
        <f aca="false">I223+I224</f>
        <v>68260.6213333333</v>
      </c>
      <c r="J227" s="67" t="n">
        <f aca="false">J223+J224</f>
        <v>68552.6065238095</v>
      </c>
      <c r="K227" s="67" t="n">
        <f aca="false">K223+K224</f>
        <v>68855.8417142857</v>
      </c>
      <c r="L227" s="67" t="n">
        <f aca="false">L223+L224</f>
        <v>69170.3269047619</v>
      </c>
      <c r="M227" s="67" t="n">
        <f aca="false">M223+M224</f>
        <v>69496.0620952381</v>
      </c>
      <c r="N227" s="67" t="n">
        <f aca="false">N223+N224</f>
        <v>65560.3752857143</v>
      </c>
      <c r="O227" s="67" t="n">
        <f aca="false">O223+O224</f>
        <v>61989.7299522286</v>
      </c>
      <c r="P227" s="67" t="n">
        <f aca="false">P223+P224</f>
        <v>58430.3346187428</v>
      </c>
      <c r="Q227" s="67" t="n">
        <f aca="false">Q223+Q224</f>
        <v>59422.1122100571</v>
      </c>
      <c r="R227" s="67" t="n">
        <f aca="false">R223+R224</f>
        <v>60425.1398013714</v>
      </c>
      <c r="S227" s="67" t="n">
        <f aca="false">S223+S224</f>
        <v>61439.4173926857</v>
      </c>
      <c r="T227" s="67" t="n">
        <f aca="false">T223+T224</f>
        <v>62464.944984</v>
      </c>
      <c r="U227" s="67" t="n">
        <f aca="false">U223+U224</f>
        <v>63501.7225753143</v>
      </c>
      <c r="V227" s="67" t="n">
        <f aca="false">V223+V224</f>
        <v>64549.7501666285</v>
      </c>
      <c r="W227" s="67" t="n">
        <f aca="false">W223+W224</f>
        <v>65609.0277579428</v>
      </c>
      <c r="X227" s="67" t="n">
        <f aca="false">X223+X224</f>
        <v>66679.5553492571</v>
      </c>
      <c r="Y227" s="67" t="n">
        <f aca="false">Y223+Y224</f>
        <v>67761.3329405714</v>
      </c>
      <c r="Z227" s="67" t="n">
        <f aca="false">Z223+Z224</f>
        <v>64314.4376070857</v>
      </c>
      <c r="AA227" s="67" t="n">
        <f aca="false">AA223+AA224</f>
        <v>61271.4369308088</v>
      </c>
      <c r="AB227" s="67" t="n">
        <f aca="false">AB223+AB224</f>
        <v>58239.6862545319</v>
      </c>
      <c r="AC227" s="67" t="n">
        <f aca="false">AC223+AC224</f>
        <v>60042.8463651753</v>
      </c>
      <c r="AD227" s="67" t="n">
        <f aca="false">AD223+AD224</f>
        <v>61857.2564758187</v>
      </c>
      <c r="AE227" s="67" t="n">
        <f aca="false">AE223+AE224</f>
        <v>63682.9165864621</v>
      </c>
      <c r="AF227" s="67" t="n">
        <f aca="false">AF223+AF224</f>
        <v>65519.8266971056</v>
      </c>
      <c r="AG227" s="67" t="n">
        <f aca="false">AG223+AG224</f>
        <v>67367.986807749</v>
      </c>
      <c r="AH227" s="67" t="n">
        <f aca="false">AH223+AH224</f>
        <v>69227.3969183924</v>
      </c>
      <c r="AI227" s="67" t="n">
        <f aca="false">AI223+AI224</f>
        <v>71098.0570290358</v>
      </c>
      <c r="AJ227" s="67" t="n">
        <f aca="false">AJ223+AJ224</f>
        <v>72979.9671396792</v>
      </c>
      <c r="AK227" s="67" t="n">
        <f aca="false">AK223+AK224</f>
        <v>74873.1272503227</v>
      </c>
      <c r="AL227" s="67" t="n">
        <f aca="false">AL223+AL224</f>
        <v>71953.8765740458</v>
      </c>
      <c r="AM227" s="67" t="n">
        <f aca="false">AM223+AM224</f>
        <v>69480.375520699</v>
      </c>
      <c r="AN227" s="67" t="n">
        <f aca="false">AN223+AN224</f>
        <v>67018.1244673523</v>
      </c>
      <c r="AO227" s="67" t="n">
        <f aca="false">AO223+AO224</f>
        <v>69692.0193955293</v>
      </c>
      <c r="AP227" s="67" t="n">
        <f aca="false">AP223+AP224</f>
        <v>72377.1643237063</v>
      </c>
      <c r="AQ227" s="67" t="n">
        <f aca="false">AQ223+AQ224</f>
        <v>75073.5592518833</v>
      </c>
      <c r="AR227" s="67" t="n">
        <f aca="false">AR223+AR224</f>
        <v>77781.2041800603</v>
      </c>
      <c r="AS227" s="67" t="n">
        <f aca="false">AS223+AS224</f>
        <v>80500.0991082374</v>
      </c>
      <c r="AT227" s="67" t="n">
        <f aca="false">AT223+AT224</f>
        <v>83230.2440364144</v>
      </c>
      <c r="AU227" s="67" t="n">
        <f aca="false">AU223+AU224</f>
        <v>85971.6389645914</v>
      </c>
      <c r="AV227" s="67" t="n">
        <f aca="false">AV223+AV224</f>
        <v>88724.2838927684</v>
      </c>
      <c r="AW227" s="67" t="n">
        <f aca="false">AW223+AW224</f>
        <v>91488.1788209454</v>
      </c>
      <c r="AX227" s="67" t="n">
        <f aca="false">AX223+AX224</f>
        <v>89138.4277675987</v>
      </c>
      <c r="AY227" s="67" t="n">
        <f aca="false">AY223+AY224</f>
        <v>87279.498883674</v>
      </c>
      <c r="AZ227" s="67" t="n">
        <f aca="false">AZ223+AZ224</f>
        <v>85431.8199997494</v>
      </c>
      <c r="BA227" s="67" t="n">
        <f aca="false">BA223+BA224</f>
        <v>89040.0917428837</v>
      </c>
      <c r="BB227" s="67" t="n">
        <f aca="false">BB223+BB224</f>
        <v>92659.613486018</v>
      </c>
      <c r="BC227" s="67" t="n">
        <f aca="false">BC223+BC224</f>
        <v>96290.3852291523</v>
      </c>
      <c r="BD227" s="67" t="n">
        <f aca="false">BD223+BD224</f>
        <v>99932.4069722866</v>
      </c>
      <c r="BE227" s="67" t="n">
        <f aca="false">BE223+BE224</f>
        <v>102832.686185183</v>
      </c>
      <c r="BF227" s="67" t="n">
        <f aca="false">BF223+BF224</f>
        <v>105727.658362259</v>
      </c>
      <c r="BG227" s="67" t="n">
        <f aca="false">BG223+BG224</f>
        <v>108631.518039335</v>
      </c>
      <c r="BH227" s="67" t="n">
        <f aca="false">BH223+BH224</f>
        <v>111544.265216411</v>
      </c>
      <c r="BI227" s="67" t="n">
        <f aca="false">BI223+BI224</f>
        <v>114465.899893487</v>
      </c>
      <c r="BJ227" s="67" t="n">
        <f aca="false">BJ223+BJ224</f>
        <v>112730.721009562</v>
      </c>
    </row>
    <row r="228" customFormat="false" ht="15" hidden="false" customHeight="false" outlineLevel="0" collapsed="false">
      <c r="A228" s="4" t="s">
        <v>100</v>
      </c>
      <c r="C228" s="73" t="n">
        <f aca="false">C226+C227</f>
        <v>180900.565790476</v>
      </c>
      <c r="D228" s="73" t="n">
        <f aca="false">D226+D227</f>
        <v>170477.537914286</v>
      </c>
      <c r="E228" s="73" t="n">
        <f aca="false">E226+E227</f>
        <v>164296.446171429</v>
      </c>
      <c r="F228" s="73" t="n">
        <f aca="false">F226+F227</f>
        <v>159116.594561905</v>
      </c>
      <c r="G228" s="73" t="n">
        <f aca="false">G226+G227</f>
        <v>155331.524952381</v>
      </c>
      <c r="H228" s="73" t="n">
        <f aca="false">H226+H227</f>
        <v>152941.237342857</v>
      </c>
      <c r="I228" s="73" t="n">
        <f aca="false">I226+I227</f>
        <v>151945.731733333</v>
      </c>
      <c r="J228" s="73" t="n">
        <f aca="false">J226+J227</f>
        <v>150737.71692381</v>
      </c>
      <c r="K228" s="73" t="n">
        <f aca="false">K226+K227</f>
        <v>149540.952114286</v>
      </c>
      <c r="L228" s="73" t="n">
        <f aca="false">L226+L227</f>
        <v>148355.437304762</v>
      </c>
      <c r="M228" s="73" t="n">
        <f aca="false">M226+M227</f>
        <v>147181.172495238</v>
      </c>
      <c r="N228" s="73" t="n">
        <f aca="false">N226+N227</f>
        <v>141070.842485714</v>
      </c>
      <c r="O228" s="73" t="n">
        <f aca="false">O226+O227</f>
        <v>136132.780516709</v>
      </c>
      <c r="P228" s="73" t="n">
        <f aca="false">P226+P227</f>
        <v>131073.385183223</v>
      </c>
      <c r="Q228" s="73" t="n">
        <f aca="false">Q226+Q227</f>
        <v>131280.891745417</v>
      </c>
      <c r="R228" s="73" t="n">
        <f aca="false">R226+R227</f>
        <v>130783.919336731</v>
      </c>
      <c r="S228" s="73" t="n">
        <f aca="false">S226+S227</f>
        <v>130298.196928046</v>
      </c>
      <c r="T228" s="73" t="n">
        <f aca="false">T226+T227</f>
        <v>129823.72451936</v>
      </c>
      <c r="U228" s="73" t="n">
        <f aca="false">U226+U227</f>
        <v>129360.502110674</v>
      </c>
      <c r="V228" s="73" t="n">
        <f aca="false">V226+V227</f>
        <v>128908.529701989</v>
      </c>
      <c r="W228" s="73" t="n">
        <f aca="false">W226+W227</f>
        <v>128467.807293303</v>
      </c>
      <c r="X228" s="73" t="n">
        <f aca="false">X226+X227</f>
        <v>128038.334884617</v>
      </c>
      <c r="Y228" s="73" t="n">
        <f aca="false">Y226+Y227</f>
        <v>127620.112475931</v>
      </c>
      <c r="Z228" s="73" t="n">
        <f aca="false">Z226+Z227</f>
        <v>121957.488171566</v>
      </c>
      <c r="AA228" s="73" t="n">
        <f aca="false">AA226+AA227</f>
        <v>117555.972078494</v>
      </c>
      <c r="AB228" s="73" t="n">
        <f aca="false">AB226+AB227</f>
        <v>113024.221402217</v>
      </c>
      <c r="AC228" s="73" t="n">
        <f aca="false">AC226+AC227</f>
        <v>114086.698378067</v>
      </c>
      <c r="AD228" s="73" t="n">
        <f aca="false">AD226+AD227</f>
        <v>114401.10848871</v>
      </c>
      <c r="AE228" s="73" t="n">
        <f aca="false">AE226+AE227</f>
        <v>114726.768599354</v>
      </c>
      <c r="AF228" s="73" t="n">
        <f aca="false">AF226+AF227</f>
        <v>115063.678709997</v>
      </c>
      <c r="AG228" s="73" t="n">
        <f aca="false">AG226+AG227</f>
        <v>115411.83882064</v>
      </c>
      <c r="AH228" s="73" t="n">
        <f aca="false">AH226+AH227</f>
        <v>115771.248931284</v>
      </c>
      <c r="AI228" s="73" t="n">
        <f aca="false">AI226+AI227</f>
        <v>116141.909041927</v>
      </c>
      <c r="AJ228" s="73" t="n">
        <f aca="false">AJ226+AJ227</f>
        <v>116523.819152571</v>
      </c>
      <c r="AK228" s="73" t="n">
        <f aca="false">AK226+AK227</f>
        <v>116916.979263214</v>
      </c>
      <c r="AL228" s="73" t="n">
        <f aca="false">AL226+AL227</f>
        <v>111738.411721731</v>
      </c>
      <c r="AM228" s="73" t="n">
        <f aca="false">AM226+AM227</f>
        <v>107915.905946218</v>
      </c>
      <c r="AN228" s="73" t="n">
        <f aca="false">AN226+AN227</f>
        <v>103953.654892871</v>
      </c>
      <c r="AO228" s="73" t="n">
        <f aca="false">AO226+AO227</f>
        <v>105933.109083346</v>
      </c>
      <c r="AP228" s="73" t="n">
        <f aca="false">AP226+AP227</f>
        <v>107118.254011523</v>
      </c>
      <c r="AQ228" s="73" t="n">
        <f aca="false">AQ226+AQ227</f>
        <v>108314.6489397</v>
      </c>
      <c r="AR228" s="73" t="n">
        <f aca="false">AR226+AR227</f>
        <v>109522.293867877</v>
      </c>
      <c r="AS228" s="73" t="n">
        <f aca="false">AS226+AS227</f>
        <v>110741.188796054</v>
      </c>
      <c r="AT228" s="73" t="n">
        <f aca="false">AT226+AT227</f>
        <v>111971.333724231</v>
      </c>
      <c r="AU228" s="73" t="n">
        <f aca="false">AU226+AU227</f>
        <v>113212.728652408</v>
      </c>
      <c r="AV228" s="73" t="n">
        <f aca="false">AV226+AV227</f>
        <v>114465.373580585</v>
      </c>
      <c r="AW228" s="73" t="n">
        <f aca="false">AW226+AW227</f>
        <v>115729.268508762</v>
      </c>
      <c r="AX228" s="73" t="n">
        <f aca="false">AX226+AX227</f>
        <v>111073.958193118</v>
      </c>
      <c r="AY228" s="73" t="n">
        <f aca="false">AY226+AY227</f>
        <v>107876.187367065</v>
      </c>
      <c r="AZ228" s="73" t="n">
        <f aca="false">AZ226+AZ227</f>
        <v>104528.50848314</v>
      </c>
      <c r="BA228" s="73" t="n">
        <f aca="false">BA226+BA227</f>
        <v>107491.398047646</v>
      </c>
      <c r="BB228" s="73" t="n">
        <f aca="false">BB226+BB227</f>
        <v>109610.919790781</v>
      </c>
      <c r="BC228" s="73" t="n">
        <f aca="false">BC226+BC227</f>
        <v>111741.691533915</v>
      </c>
      <c r="BD228" s="73" t="n">
        <f aca="false">BD226+BD227</f>
        <v>113883.713277049</v>
      </c>
      <c r="BE228" s="73" t="n">
        <f aca="false">BE226+BE227</f>
        <v>115283.992489945</v>
      </c>
      <c r="BF228" s="73" t="n">
        <f aca="false">BF226+BF227</f>
        <v>116678.964667021</v>
      </c>
      <c r="BG228" s="73" t="n">
        <f aca="false">BG226+BG227</f>
        <v>118082.824344097</v>
      </c>
      <c r="BH228" s="73" t="n">
        <f aca="false">BH226+BH227</f>
        <v>119495.571521174</v>
      </c>
      <c r="BI228" s="73" t="n">
        <f aca="false">BI226+BI227</f>
        <v>120917.20619825</v>
      </c>
      <c r="BJ228" s="73" t="n">
        <f aca="false">BJ226+BJ227</f>
        <v>116827.409492953</v>
      </c>
    </row>
    <row r="229" customFormat="false" ht="15" hidden="false" customHeight="false" outlineLevel="0" collapsed="false">
      <c r="A229" s="6" t="s">
        <v>454</v>
      </c>
      <c r="C229" s="67" t="n">
        <f aca="false">C225-C228</f>
        <v>0</v>
      </c>
      <c r="D229" s="67" t="n">
        <f aca="false">D225-D228</f>
        <v>0</v>
      </c>
      <c r="E229" s="67" t="n">
        <f aca="false">E225-E228</f>
        <v>0</v>
      </c>
      <c r="F229" s="67" t="n">
        <f aca="false">F225-F228</f>
        <v>0</v>
      </c>
      <c r="G229" s="67" t="n">
        <f aca="false">G225-G228</f>
        <v>0</v>
      </c>
      <c r="H229" s="67" t="n">
        <f aca="false">H225-H228</f>
        <v>0</v>
      </c>
      <c r="I229" s="67" t="n">
        <f aca="false">I225-I228</f>
        <v>0</v>
      </c>
      <c r="J229" s="67" t="n">
        <f aca="false">J225-J228</f>
        <v>0</v>
      </c>
      <c r="K229" s="67" t="n">
        <f aca="false">K225-K228</f>
        <v>0</v>
      </c>
      <c r="L229" s="67" t="n">
        <f aca="false">L225-L228</f>
        <v>0</v>
      </c>
      <c r="M229" s="67" t="n">
        <f aca="false">M225-M228</f>
        <v>0</v>
      </c>
      <c r="N229" s="67" t="n">
        <f aca="false">N225-N228</f>
        <v>0</v>
      </c>
      <c r="O229" s="67" t="n">
        <f aca="false">O225-O228</f>
        <v>0</v>
      </c>
      <c r="P229" s="67" t="n">
        <f aca="false">P225-P228</f>
        <v>0</v>
      </c>
      <c r="Q229" s="67" t="n">
        <f aca="false">Q225-Q228</f>
        <v>0</v>
      </c>
      <c r="R229" s="67" t="n">
        <f aca="false">R225-R228</f>
        <v>0</v>
      </c>
      <c r="S229" s="67" t="n">
        <f aca="false">S225-S228</f>
        <v>0</v>
      </c>
      <c r="T229" s="67" t="n">
        <f aca="false">T225-T228</f>
        <v>0</v>
      </c>
      <c r="U229" s="67" t="n">
        <f aca="false">U225-U228</f>
        <v>0</v>
      </c>
      <c r="V229" s="67" t="n">
        <f aca="false">V225-V228</f>
        <v>0</v>
      </c>
      <c r="W229" s="67" t="n">
        <f aca="false">W225-W228</f>
        <v>0</v>
      </c>
      <c r="X229" s="67" t="n">
        <f aca="false">X225-X228</f>
        <v>0</v>
      </c>
      <c r="Y229" s="67" t="n">
        <f aca="false">Y225-Y228</f>
        <v>0</v>
      </c>
      <c r="Z229" s="67" t="n">
        <f aca="false">Z225-Z228</f>
        <v>0</v>
      </c>
      <c r="AA229" s="67" t="n">
        <f aca="false">AA225-AA228</f>
        <v>0</v>
      </c>
      <c r="AB229" s="67" t="n">
        <f aca="false">AB225-AB228</f>
        <v>0</v>
      </c>
      <c r="AC229" s="67" t="n">
        <f aca="false">AC225-AC228</f>
        <v>0</v>
      </c>
      <c r="AD229" s="67" t="n">
        <f aca="false">AD225-AD228</f>
        <v>0</v>
      </c>
      <c r="AE229" s="67" t="n">
        <f aca="false">AE225-AE228</f>
        <v>0</v>
      </c>
      <c r="AF229" s="67" t="n">
        <f aca="false">AF225-AF228</f>
        <v>0</v>
      </c>
      <c r="AG229" s="67" t="n">
        <f aca="false">AG225-AG228</f>
        <v>0</v>
      </c>
      <c r="AH229" s="67" t="n">
        <f aca="false">AH225-AH228</f>
        <v>0</v>
      </c>
      <c r="AI229" s="67" t="n">
        <f aca="false">AI225-AI228</f>
        <v>0</v>
      </c>
      <c r="AJ229" s="67" t="n">
        <f aca="false">AJ225-AJ228</f>
        <v>0</v>
      </c>
      <c r="AK229" s="67" t="n">
        <f aca="false">AK225-AK228</f>
        <v>0</v>
      </c>
      <c r="AL229" s="67" t="n">
        <f aca="false">AL225-AL228</f>
        <v>0</v>
      </c>
      <c r="AM229" s="67" t="n">
        <f aca="false">AM225-AM228</f>
        <v>0</v>
      </c>
      <c r="AN229" s="67" t="n">
        <f aca="false">AN225-AN228</f>
        <v>0</v>
      </c>
      <c r="AO229" s="67" t="n">
        <f aca="false">AO225-AO228</f>
        <v>0</v>
      </c>
      <c r="AP229" s="67" t="n">
        <f aca="false">AP225-AP228</f>
        <v>0</v>
      </c>
      <c r="AQ229" s="67" t="n">
        <f aca="false">AQ225-AQ228</f>
        <v>0</v>
      </c>
      <c r="AR229" s="67" t="n">
        <f aca="false">AR225-AR228</f>
        <v>0</v>
      </c>
      <c r="AS229" s="67" t="n">
        <f aca="false">AS225-AS228</f>
        <v>0</v>
      </c>
      <c r="AT229" s="67" t="n">
        <f aca="false">AT225-AT228</f>
        <v>0</v>
      </c>
      <c r="AU229" s="67" t="n">
        <f aca="false">AU225-AU228</f>
        <v>0</v>
      </c>
      <c r="AV229" s="67" t="n">
        <f aca="false">AV225-AV228</f>
        <v>0</v>
      </c>
      <c r="AW229" s="67" t="n">
        <f aca="false">AW225-AW228</f>
        <v>0</v>
      </c>
      <c r="AX229" s="67" t="n">
        <f aca="false">AX225-AX228</f>
        <v>0</v>
      </c>
      <c r="AY229" s="67" t="n">
        <f aca="false">AY225-AY228</f>
        <v>0</v>
      </c>
      <c r="AZ229" s="67" t="n">
        <f aca="false">AZ225-AZ228</f>
        <v>0</v>
      </c>
      <c r="BA229" s="67" t="n">
        <f aca="false">BA225-BA228</f>
        <v>0</v>
      </c>
      <c r="BB229" s="67" t="n">
        <f aca="false">BB225-BB228</f>
        <v>0</v>
      </c>
      <c r="BC229" s="67" t="n">
        <f aca="false">BC225-BC228</f>
        <v>0</v>
      </c>
      <c r="BD229" s="67" t="n">
        <f aca="false">BD225-BD228</f>
        <v>0</v>
      </c>
      <c r="BE229" s="67" t="n">
        <f aca="false">BE225-BE228</f>
        <v>0</v>
      </c>
      <c r="BF229" s="67" t="n">
        <f aca="false">BF225-BF228</f>
        <v>0</v>
      </c>
      <c r="BG229" s="67" t="n">
        <f aca="false">BG225-BG228</f>
        <v>0</v>
      </c>
      <c r="BH229" s="67" t="n">
        <f aca="false">BH225-BH228</f>
        <v>0</v>
      </c>
      <c r="BI229" s="67" t="n">
        <f aca="false">BI225-BI228</f>
        <v>0</v>
      </c>
      <c r="BJ229" s="67" t="n">
        <f aca="false">BJ225-BJ228</f>
        <v>0</v>
      </c>
    </row>
    <row r="231" customFormat="false" ht="15.75" hidden="false" customHeight="true" outlineLevel="0" collapsed="false">
      <c r="A231" s="7" t="s">
        <v>456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</row>
    <row r="232" customFormat="false" ht="15" hidden="false" customHeight="false" outlineLevel="0" collapsed="false">
      <c r="A232" s="6" t="s">
        <v>457</v>
      </c>
      <c r="C232" s="118" t="n">
        <f aca="false">Inputs!$C$55*(1+Inputs!$C$57)^(C$127-1)*MAX(0,MIN(1,C$126*1-Inputs!$C$58+1))/1</f>
        <v>1</v>
      </c>
      <c r="D232" s="118" t="n">
        <f aca="false">Inputs!$C$55*(1+Inputs!$C$57)^(D$127-1)*MAX(0,MIN(1,D$126*1-Inputs!$C$58+1))/1</f>
        <v>1</v>
      </c>
      <c r="E232" s="118" t="n">
        <f aca="false">Inputs!$C$55*(1+Inputs!$C$57)^(E$127-1)*MAX(0,MIN(1,E$126*1-Inputs!$C$58+1))/1</f>
        <v>1</v>
      </c>
      <c r="F232" s="118" t="n">
        <f aca="false">Inputs!$C$55*(1+Inputs!$C$57)^(F$127-1)*MAX(0,MIN(1,F$126*1-Inputs!$C$58+1))/1</f>
        <v>1</v>
      </c>
      <c r="G232" s="118" t="n">
        <f aca="false">Inputs!$C$55*(1+Inputs!$C$57)^(G$127-1)*MAX(0,MIN(1,G$126*1-Inputs!$C$58+1))/1</f>
        <v>1</v>
      </c>
      <c r="H232" s="118" t="n">
        <f aca="false">Inputs!$C$55*(1+Inputs!$C$57)^(H$127-1)*MAX(0,MIN(1,H$126*1-Inputs!$C$58+1))/1</f>
        <v>1</v>
      </c>
      <c r="I232" s="118" t="n">
        <f aca="false">Inputs!$C$55*(1+Inputs!$C$57)^(I$127-1)*MAX(0,MIN(1,I$126*1-Inputs!$C$58+1))/1</f>
        <v>1</v>
      </c>
      <c r="J232" s="118" t="n">
        <f aca="false">Inputs!$C$55*(1+Inputs!$C$57)^(J$127-1)*MAX(0,MIN(1,J$126*1-Inputs!$C$58+1))/1</f>
        <v>1</v>
      </c>
      <c r="K232" s="118" t="n">
        <f aca="false">Inputs!$C$55*(1+Inputs!$C$57)^(K$127-1)*MAX(0,MIN(1,K$126*1-Inputs!$C$58+1))/1</f>
        <v>1</v>
      </c>
      <c r="L232" s="118" t="n">
        <f aca="false">Inputs!$C$55*(1+Inputs!$C$57)^(L$127-1)*MAX(0,MIN(1,L$126*1-Inputs!$C$58+1))/1</f>
        <v>1</v>
      </c>
      <c r="M232" s="118" t="n">
        <f aca="false">Inputs!$C$55*(1+Inputs!$C$57)^(M$127-1)*MAX(0,MIN(1,M$126*1-Inputs!$C$58+1))/1</f>
        <v>1</v>
      </c>
      <c r="N232" s="118" t="n">
        <f aca="false">Inputs!$C$55*(1+Inputs!$C$57)^(N$127-1)*MAX(0,MIN(1,N$126*1-Inputs!$C$58+1))/1</f>
        <v>1</v>
      </c>
      <c r="O232" s="118" t="n">
        <f aca="false">Inputs!$C$55*(1+Inputs!$C$57)^(O$127-1)*MAX(0,MIN(1,O$126*1-Inputs!$C$58+1))/1</f>
        <v>1</v>
      </c>
      <c r="P232" s="118" t="n">
        <f aca="false">Inputs!$C$55*(1+Inputs!$C$57)^(P$127-1)*MAX(0,MIN(1,P$126*1-Inputs!$C$58+1))/1</f>
        <v>1</v>
      </c>
      <c r="Q232" s="118" t="n">
        <f aca="false">Inputs!$C$55*(1+Inputs!$C$57)^(Q$127-1)*MAX(0,MIN(1,Q$126*1-Inputs!$C$58+1))/1</f>
        <v>1</v>
      </c>
      <c r="R232" s="118" t="n">
        <f aca="false">Inputs!$C$55*(1+Inputs!$C$57)^(R$127-1)*MAX(0,MIN(1,R$126*1-Inputs!$C$58+1))/1</f>
        <v>1</v>
      </c>
      <c r="S232" s="118" t="n">
        <f aca="false">Inputs!$C$55*(1+Inputs!$C$57)^(S$127-1)*MAX(0,MIN(1,S$126*1-Inputs!$C$58+1))/1</f>
        <v>1</v>
      </c>
      <c r="T232" s="118" t="n">
        <f aca="false">Inputs!$C$55*(1+Inputs!$C$57)^(T$127-1)*MAX(0,MIN(1,T$126*1-Inputs!$C$58+1))/1</f>
        <v>1</v>
      </c>
      <c r="U232" s="118" t="n">
        <f aca="false">Inputs!$C$55*(1+Inputs!$C$57)^(U$127-1)*MAX(0,MIN(1,U$126*1-Inputs!$C$58+1))/1</f>
        <v>1</v>
      </c>
      <c r="V232" s="118" t="n">
        <f aca="false">Inputs!$C$55*(1+Inputs!$C$57)^(V$127-1)*MAX(0,MIN(1,V$126*1-Inputs!$C$58+1))/1</f>
        <v>1</v>
      </c>
      <c r="W232" s="118" t="n">
        <f aca="false">Inputs!$C$55*(1+Inputs!$C$57)^(W$127-1)*MAX(0,MIN(1,W$126*1-Inputs!$C$58+1))/1</f>
        <v>1</v>
      </c>
      <c r="X232" s="118" t="n">
        <f aca="false">Inputs!$C$55*(1+Inputs!$C$57)^(X$127-1)*MAX(0,MIN(1,X$126*1-Inputs!$C$58+1))/1</f>
        <v>1</v>
      </c>
      <c r="Y232" s="118" t="n">
        <f aca="false">Inputs!$C$55*(1+Inputs!$C$57)^(Y$127-1)*MAX(0,MIN(1,Y$126*1-Inputs!$C$58+1))/1</f>
        <v>1</v>
      </c>
      <c r="Z232" s="118" t="n">
        <f aca="false">Inputs!$C$55*(1+Inputs!$C$57)^(Z$127-1)*MAX(0,MIN(1,Z$126*1-Inputs!$C$58+1))/1</f>
        <v>1</v>
      </c>
      <c r="AA232" s="118" t="n">
        <f aca="false">Inputs!$C$55*(1+Inputs!$C$57)^(AA$127-1)*MAX(0,MIN(1,AA$126*1-Inputs!$C$58+1))/1</f>
        <v>1</v>
      </c>
      <c r="AB232" s="118" t="n">
        <f aca="false">Inputs!$C$55*(1+Inputs!$C$57)^(AB$127-1)*MAX(0,MIN(1,AB$126*1-Inputs!$C$58+1))/1</f>
        <v>1</v>
      </c>
      <c r="AC232" s="118" t="n">
        <f aca="false">Inputs!$C$55*(1+Inputs!$C$57)^(AC$127-1)*MAX(0,MIN(1,AC$126*1-Inputs!$C$58+1))/1</f>
        <v>1</v>
      </c>
      <c r="AD232" s="118" t="n">
        <f aca="false">Inputs!$C$55*(1+Inputs!$C$57)^(AD$127-1)*MAX(0,MIN(1,AD$126*1-Inputs!$C$58+1))/1</f>
        <v>1</v>
      </c>
      <c r="AE232" s="118" t="n">
        <f aca="false">Inputs!$C$55*(1+Inputs!$C$57)^(AE$127-1)*MAX(0,MIN(1,AE$126*1-Inputs!$C$58+1))/1</f>
        <v>1</v>
      </c>
      <c r="AF232" s="118" t="n">
        <f aca="false">Inputs!$C$55*(1+Inputs!$C$57)^(AF$127-1)*MAX(0,MIN(1,AF$126*1-Inputs!$C$58+1))/1</f>
        <v>1</v>
      </c>
      <c r="AG232" s="118" t="n">
        <f aca="false">Inputs!$C$55*(1+Inputs!$C$57)^(AG$127-1)*MAX(0,MIN(1,AG$126*1-Inputs!$C$58+1))/1</f>
        <v>1</v>
      </c>
      <c r="AH232" s="118" t="n">
        <f aca="false">Inputs!$C$55*(1+Inputs!$C$57)^(AH$127-1)*MAX(0,MIN(1,AH$126*1-Inputs!$C$58+1))/1</f>
        <v>1</v>
      </c>
      <c r="AI232" s="118" t="n">
        <f aca="false">Inputs!$C$55*(1+Inputs!$C$57)^(AI$127-1)*MAX(0,MIN(1,AI$126*1-Inputs!$C$58+1))/1</f>
        <v>1</v>
      </c>
      <c r="AJ232" s="118" t="n">
        <f aca="false">Inputs!$C$55*(1+Inputs!$C$57)^(AJ$127-1)*MAX(0,MIN(1,AJ$126*1-Inputs!$C$58+1))/1</f>
        <v>1</v>
      </c>
      <c r="AK232" s="118" t="n">
        <f aca="false">Inputs!$C$55*(1+Inputs!$C$57)^(AK$127-1)*MAX(0,MIN(1,AK$126*1-Inputs!$C$58+1))/1</f>
        <v>1</v>
      </c>
      <c r="AL232" s="118" t="n">
        <f aca="false">Inputs!$C$55*(1+Inputs!$C$57)^(AL$127-1)*MAX(0,MIN(1,AL$126*1-Inputs!$C$58+1))/1</f>
        <v>1</v>
      </c>
      <c r="AM232" s="118" t="n">
        <f aca="false">Inputs!$C$55*(1+Inputs!$C$57)^(AM$127-1)*MAX(0,MIN(1,AM$126*1-Inputs!$C$58+1))/1</f>
        <v>1</v>
      </c>
      <c r="AN232" s="118" t="n">
        <f aca="false">Inputs!$C$55*(1+Inputs!$C$57)^(AN$127-1)*MAX(0,MIN(1,AN$126*1-Inputs!$C$58+1))/1</f>
        <v>1</v>
      </c>
      <c r="AO232" s="118" t="n">
        <f aca="false">Inputs!$C$55*(1+Inputs!$C$57)^(AO$127-1)*MAX(0,MIN(1,AO$126*1-Inputs!$C$58+1))/1</f>
        <v>1</v>
      </c>
      <c r="AP232" s="118" t="n">
        <f aca="false">Inputs!$C$55*(1+Inputs!$C$57)^(AP$127-1)*MAX(0,MIN(1,AP$126*1-Inputs!$C$58+1))/1</f>
        <v>1</v>
      </c>
      <c r="AQ232" s="118" t="n">
        <f aca="false">Inputs!$C$55*(1+Inputs!$C$57)^(AQ$127-1)*MAX(0,MIN(1,AQ$126*1-Inputs!$C$58+1))/1</f>
        <v>1</v>
      </c>
      <c r="AR232" s="118" t="n">
        <f aca="false">Inputs!$C$55*(1+Inputs!$C$57)^(AR$127-1)*MAX(0,MIN(1,AR$126*1-Inputs!$C$58+1))/1</f>
        <v>1</v>
      </c>
      <c r="AS232" s="118" t="n">
        <f aca="false">Inputs!$C$55*(1+Inputs!$C$57)^(AS$127-1)*MAX(0,MIN(1,AS$126*1-Inputs!$C$58+1))/1</f>
        <v>1</v>
      </c>
      <c r="AT232" s="118" t="n">
        <f aca="false">Inputs!$C$55*(1+Inputs!$C$57)^(AT$127-1)*MAX(0,MIN(1,AT$126*1-Inputs!$C$58+1))/1</f>
        <v>1</v>
      </c>
      <c r="AU232" s="118" t="n">
        <f aca="false">Inputs!$C$55*(1+Inputs!$C$57)^(AU$127-1)*MAX(0,MIN(1,AU$126*1-Inputs!$C$58+1))/1</f>
        <v>1</v>
      </c>
      <c r="AV232" s="118" t="n">
        <f aca="false">Inputs!$C$55*(1+Inputs!$C$57)^(AV$127-1)*MAX(0,MIN(1,AV$126*1-Inputs!$C$58+1))/1</f>
        <v>1</v>
      </c>
      <c r="AW232" s="118" t="n">
        <f aca="false">Inputs!$C$55*(1+Inputs!$C$57)^(AW$127-1)*MAX(0,MIN(1,AW$126*1-Inputs!$C$58+1))/1</f>
        <v>1</v>
      </c>
      <c r="AX232" s="118" t="n">
        <f aca="false">Inputs!$C$55*(1+Inputs!$C$57)^(AX$127-1)*MAX(0,MIN(1,AX$126*1-Inputs!$C$58+1))/1</f>
        <v>1</v>
      </c>
      <c r="AY232" s="118" t="n">
        <f aca="false">Inputs!$C$55*(1+Inputs!$C$57)^(AY$127-1)*MAX(0,MIN(1,AY$126*1-Inputs!$C$58+1))/1</f>
        <v>1</v>
      </c>
      <c r="AZ232" s="118" t="n">
        <f aca="false">Inputs!$C$55*(1+Inputs!$C$57)^(AZ$127-1)*MAX(0,MIN(1,AZ$126*1-Inputs!$C$58+1))/1</f>
        <v>1</v>
      </c>
      <c r="BA232" s="118" t="n">
        <f aca="false">Inputs!$C$55*(1+Inputs!$C$57)^(BA$127-1)*MAX(0,MIN(1,BA$126*1-Inputs!$C$58+1))/1</f>
        <v>1</v>
      </c>
      <c r="BB232" s="118" t="n">
        <f aca="false">Inputs!$C$55*(1+Inputs!$C$57)^(BB$127-1)*MAX(0,MIN(1,BB$126*1-Inputs!$C$58+1))/1</f>
        <v>1</v>
      </c>
      <c r="BC232" s="118" t="n">
        <f aca="false">Inputs!$C$55*(1+Inputs!$C$57)^(BC$127-1)*MAX(0,MIN(1,BC$126*1-Inputs!$C$58+1))/1</f>
        <v>1</v>
      </c>
      <c r="BD232" s="118" t="n">
        <f aca="false">Inputs!$C$55*(1+Inputs!$C$57)^(BD$127-1)*MAX(0,MIN(1,BD$126*1-Inputs!$C$58+1))/1</f>
        <v>1</v>
      </c>
      <c r="BE232" s="118" t="n">
        <f aca="false">Inputs!$C$55*(1+Inputs!$C$57)^(BE$127-1)*MAX(0,MIN(1,BE$126*1-Inputs!$C$58+1))/1</f>
        <v>1</v>
      </c>
      <c r="BF232" s="118" t="n">
        <f aca="false">Inputs!$C$55*(1+Inputs!$C$57)^(BF$127-1)*MAX(0,MIN(1,BF$126*1-Inputs!$C$58+1))/1</f>
        <v>1</v>
      </c>
      <c r="BG232" s="118" t="n">
        <f aca="false">Inputs!$C$55*(1+Inputs!$C$57)^(BG$127-1)*MAX(0,MIN(1,BG$126*1-Inputs!$C$58+1))/1</f>
        <v>1</v>
      </c>
      <c r="BH232" s="118" t="n">
        <f aca="false">Inputs!$C$55*(1+Inputs!$C$57)^(BH$127-1)*MAX(0,MIN(1,BH$126*1-Inputs!$C$58+1))/1</f>
        <v>1</v>
      </c>
      <c r="BI232" s="118" t="n">
        <f aca="false">Inputs!$C$55*(1+Inputs!$C$57)^(BI$127-1)*MAX(0,MIN(1,BI$126*1-Inputs!$C$58+1))/1</f>
        <v>1</v>
      </c>
      <c r="BJ232" s="118" t="n">
        <f aca="false">Inputs!$C$55*(1+Inputs!$C$57)^(BJ$127-1)*MAX(0,MIN(1,BJ$126*1-Inputs!$C$58+1))/1</f>
        <v>1</v>
      </c>
    </row>
    <row r="233" customFormat="false" ht="15" hidden="false" customHeight="false" outlineLevel="0" collapsed="false">
      <c r="A233" s="6" t="s">
        <v>458</v>
      </c>
      <c r="C233" s="118" t="n">
        <f aca="false">Inputs!$C$59*(1+Inputs!$C$61)^(C$127-1)*MAX(0,MIN(1,C$126*1-Inputs!$C$62+1))/1</f>
        <v>1.2</v>
      </c>
      <c r="D233" s="118" t="n">
        <f aca="false">Inputs!$C$59*(1+Inputs!$C$61)^(D$127-1)*MAX(0,MIN(1,D$126*1-Inputs!$C$62+1))/1</f>
        <v>1.2</v>
      </c>
      <c r="E233" s="118" t="n">
        <f aca="false">Inputs!$C$59*(1+Inputs!$C$61)^(E$127-1)*MAX(0,MIN(1,E$126*1-Inputs!$C$62+1))/1</f>
        <v>1.2</v>
      </c>
      <c r="F233" s="118" t="n">
        <f aca="false">Inputs!$C$59*(1+Inputs!$C$61)^(F$127-1)*MAX(0,MIN(1,F$126*1-Inputs!$C$62+1))/1</f>
        <v>1.2</v>
      </c>
      <c r="G233" s="118" t="n">
        <f aca="false">Inputs!$C$59*(1+Inputs!$C$61)^(G$127-1)*MAX(0,MIN(1,G$126*1-Inputs!$C$62+1))/1</f>
        <v>1.2</v>
      </c>
      <c r="H233" s="118" t="n">
        <f aca="false">Inputs!$C$59*(1+Inputs!$C$61)^(H$127-1)*MAX(0,MIN(1,H$126*1-Inputs!$C$62+1))/1</f>
        <v>1.2</v>
      </c>
      <c r="I233" s="118" t="n">
        <f aca="false">Inputs!$C$59*(1+Inputs!$C$61)^(I$127-1)*MAX(0,MIN(1,I$126*1-Inputs!$C$62+1))/1</f>
        <v>1.2</v>
      </c>
      <c r="J233" s="118" t="n">
        <f aca="false">Inputs!$C$59*(1+Inputs!$C$61)^(J$127-1)*MAX(0,MIN(1,J$126*1-Inputs!$C$62+1))/1</f>
        <v>1.2</v>
      </c>
      <c r="K233" s="118" t="n">
        <f aca="false">Inputs!$C$59*(1+Inputs!$C$61)^(K$127-1)*MAX(0,MIN(1,K$126*1-Inputs!$C$62+1))/1</f>
        <v>1.2</v>
      </c>
      <c r="L233" s="118" t="n">
        <f aca="false">Inputs!$C$59*(1+Inputs!$C$61)^(L$127-1)*MAX(0,MIN(1,L$126*1-Inputs!$C$62+1))/1</f>
        <v>1.2</v>
      </c>
      <c r="M233" s="118" t="n">
        <f aca="false">Inputs!$C$59*(1+Inputs!$C$61)^(M$127-1)*MAX(0,MIN(1,M$126*1-Inputs!$C$62+1))/1</f>
        <v>1.2</v>
      </c>
      <c r="N233" s="118" t="n">
        <f aca="false">Inputs!$C$59*(1+Inputs!$C$61)^(N$127-1)*MAX(0,MIN(1,N$126*1-Inputs!$C$62+1))/1</f>
        <v>1.2</v>
      </c>
      <c r="O233" s="118" t="n">
        <f aca="false">Inputs!$C$59*(1+Inputs!$C$61)^(O$127-1)*MAX(0,MIN(1,O$126*1-Inputs!$C$62+1))/1</f>
        <v>1.2</v>
      </c>
      <c r="P233" s="118" t="n">
        <f aca="false">Inputs!$C$59*(1+Inputs!$C$61)^(P$127-1)*MAX(0,MIN(1,P$126*1-Inputs!$C$62+1))/1</f>
        <v>1.2</v>
      </c>
      <c r="Q233" s="118" t="n">
        <f aca="false">Inputs!$C$59*(1+Inputs!$C$61)^(Q$127-1)*MAX(0,MIN(1,Q$126*1-Inputs!$C$62+1))/1</f>
        <v>1.2</v>
      </c>
      <c r="R233" s="118" t="n">
        <f aca="false">Inputs!$C$59*(1+Inputs!$C$61)^(R$127-1)*MAX(0,MIN(1,R$126*1-Inputs!$C$62+1))/1</f>
        <v>1.2</v>
      </c>
      <c r="S233" s="118" t="n">
        <f aca="false">Inputs!$C$59*(1+Inputs!$C$61)^(S$127-1)*MAX(0,MIN(1,S$126*1-Inputs!$C$62+1))/1</f>
        <v>1.2</v>
      </c>
      <c r="T233" s="118" t="n">
        <f aca="false">Inputs!$C$59*(1+Inputs!$C$61)^(T$127-1)*MAX(0,MIN(1,T$126*1-Inputs!$C$62+1))/1</f>
        <v>1.2</v>
      </c>
      <c r="U233" s="118" t="n">
        <f aca="false">Inputs!$C$59*(1+Inputs!$C$61)^(U$127-1)*MAX(0,MIN(1,U$126*1-Inputs!$C$62+1))/1</f>
        <v>1.2</v>
      </c>
      <c r="V233" s="118" t="n">
        <f aca="false">Inputs!$C$59*(1+Inputs!$C$61)^(V$127-1)*MAX(0,MIN(1,V$126*1-Inputs!$C$62+1))/1</f>
        <v>1.2</v>
      </c>
      <c r="W233" s="118" t="n">
        <f aca="false">Inputs!$C$59*(1+Inputs!$C$61)^(W$127-1)*MAX(0,MIN(1,W$126*1-Inputs!$C$62+1))/1</f>
        <v>1.2</v>
      </c>
      <c r="X233" s="118" t="n">
        <f aca="false">Inputs!$C$59*(1+Inputs!$C$61)^(X$127-1)*MAX(0,MIN(1,X$126*1-Inputs!$C$62+1))/1</f>
        <v>1.2</v>
      </c>
      <c r="Y233" s="118" t="n">
        <f aca="false">Inputs!$C$59*(1+Inputs!$C$61)^(Y$127-1)*MAX(0,MIN(1,Y$126*1-Inputs!$C$62+1))/1</f>
        <v>1.2</v>
      </c>
      <c r="Z233" s="118" t="n">
        <f aca="false">Inputs!$C$59*(1+Inputs!$C$61)^(Z$127-1)*MAX(0,MIN(1,Z$126*1-Inputs!$C$62+1))/1</f>
        <v>1.2</v>
      </c>
      <c r="AA233" s="118" t="n">
        <f aca="false">Inputs!$C$59*(1+Inputs!$C$61)^(AA$127-1)*MAX(0,MIN(1,AA$126*1-Inputs!$C$62+1))/1</f>
        <v>1.2</v>
      </c>
      <c r="AB233" s="118" t="n">
        <f aca="false">Inputs!$C$59*(1+Inputs!$C$61)^(AB$127-1)*MAX(0,MIN(1,AB$126*1-Inputs!$C$62+1))/1</f>
        <v>1.2</v>
      </c>
      <c r="AC233" s="118" t="n">
        <f aca="false">Inputs!$C$59*(1+Inputs!$C$61)^(AC$127-1)*MAX(0,MIN(1,AC$126*1-Inputs!$C$62+1))/1</f>
        <v>1.2</v>
      </c>
      <c r="AD233" s="118" t="n">
        <f aca="false">Inputs!$C$59*(1+Inputs!$C$61)^(AD$127-1)*MAX(0,MIN(1,AD$126*1-Inputs!$C$62+1))/1</f>
        <v>1.2</v>
      </c>
      <c r="AE233" s="118" t="n">
        <f aca="false">Inputs!$C$59*(1+Inputs!$C$61)^(AE$127-1)*MAX(0,MIN(1,AE$126*1-Inputs!$C$62+1))/1</f>
        <v>1.2</v>
      </c>
      <c r="AF233" s="118" t="n">
        <f aca="false">Inputs!$C$59*(1+Inputs!$C$61)^(AF$127-1)*MAX(0,MIN(1,AF$126*1-Inputs!$C$62+1))/1</f>
        <v>1.2</v>
      </c>
      <c r="AG233" s="118" t="n">
        <f aca="false">Inputs!$C$59*(1+Inputs!$C$61)^(AG$127-1)*MAX(0,MIN(1,AG$126*1-Inputs!$C$62+1))/1</f>
        <v>1.2</v>
      </c>
      <c r="AH233" s="118" t="n">
        <f aca="false">Inputs!$C$59*(1+Inputs!$C$61)^(AH$127-1)*MAX(0,MIN(1,AH$126*1-Inputs!$C$62+1))/1</f>
        <v>1.2</v>
      </c>
      <c r="AI233" s="118" t="n">
        <f aca="false">Inputs!$C$59*(1+Inputs!$C$61)^(AI$127-1)*MAX(0,MIN(1,AI$126*1-Inputs!$C$62+1))/1</f>
        <v>1.2</v>
      </c>
      <c r="AJ233" s="118" t="n">
        <f aca="false">Inputs!$C$59*(1+Inputs!$C$61)^(AJ$127-1)*MAX(0,MIN(1,AJ$126*1-Inputs!$C$62+1))/1</f>
        <v>1.2</v>
      </c>
      <c r="AK233" s="118" t="n">
        <f aca="false">Inputs!$C$59*(1+Inputs!$C$61)^(AK$127-1)*MAX(0,MIN(1,AK$126*1-Inputs!$C$62+1))/1</f>
        <v>1.2</v>
      </c>
      <c r="AL233" s="118" t="n">
        <f aca="false">Inputs!$C$59*(1+Inputs!$C$61)^(AL$127-1)*MAX(0,MIN(1,AL$126*1-Inputs!$C$62+1))/1</f>
        <v>1.2</v>
      </c>
      <c r="AM233" s="118" t="n">
        <f aca="false">Inputs!$C$59*(1+Inputs!$C$61)^(AM$127-1)*MAX(0,MIN(1,AM$126*1-Inputs!$C$62+1))/1</f>
        <v>1.2</v>
      </c>
      <c r="AN233" s="118" t="n">
        <f aca="false">Inputs!$C$59*(1+Inputs!$C$61)^(AN$127-1)*MAX(0,MIN(1,AN$126*1-Inputs!$C$62+1))/1</f>
        <v>1.2</v>
      </c>
      <c r="AO233" s="118" t="n">
        <f aca="false">Inputs!$C$59*(1+Inputs!$C$61)^(AO$127-1)*MAX(0,MIN(1,AO$126*1-Inputs!$C$62+1))/1</f>
        <v>1.2</v>
      </c>
      <c r="AP233" s="118" t="n">
        <f aca="false">Inputs!$C$59*(1+Inputs!$C$61)^(AP$127-1)*MAX(0,MIN(1,AP$126*1-Inputs!$C$62+1))/1</f>
        <v>1.2</v>
      </c>
      <c r="AQ233" s="118" t="n">
        <f aca="false">Inputs!$C$59*(1+Inputs!$C$61)^(AQ$127-1)*MAX(0,MIN(1,AQ$126*1-Inputs!$C$62+1))/1</f>
        <v>1.2</v>
      </c>
      <c r="AR233" s="118" t="n">
        <f aca="false">Inputs!$C$59*(1+Inputs!$C$61)^(AR$127-1)*MAX(0,MIN(1,AR$126*1-Inputs!$C$62+1))/1</f>
        <v>1.2</v>
      </c>
      <c r="AS233" s="118" t="n">
        <f aca="false">Inputs!$C$59*(1+Inputs!$C$61)^(AS$127-1)*MAX(0,MIN(1,AS$126*1-Inputs!$C$62+1))/1</f>
        <v>1.2</v>
      </c>
      <c r="AT233" s="118" t="n">
        <f aca="false">Inputs!$C$59*(1+Inputs!$C$61)^(AT$127-1)*MAX(0,MIN(1,AT$126*1-Inputs!$C$62+1))/1</f>
        <v>1.2</v>
      </c>
      <c r="AU233" s="118" t="n">
        <f aca="false">Inputs!$C$59*(1+Inputs!$C$61)^(AU$127-1)*MAX(0,MIN(1,AU$126*1-Inputs!$C$62+1))/1</f>
        <v>1.2</v>
      </c>
      <c r="AV233" s="118" t="n">
        <f aca="false">Inputs!$C$59*(1+Inputs!$C$61)^(AV$127-1)*MAX(0,MIN(1,AV$126*1-Inputs!$C$62+1))/1</f>
        <v>1.2</v>
      </c>
      <c r="AW233" s="118" t="n">
        <f aca="false">Inputs!$C$59*(1+Inputs!$C$61)^(AW$127-1)*MAX(0,MIN(1,AW$126*1-Inputs!$C$62+1))/1</f>
        <v>1.2</v>
      </c>
      <c r="AX233" s="118" t="n">
        <f aca="false">Inputs!$C$59*(1+Inputs!$C$61)^(AX$127-1)*MAX(0,MIN(1,AX$126*1-Inputs!$C$62+1))/1</f>
        <v>1.2</v>
      </c>
      <c r="AY233" s="118" t="n">
        <f aca="false">Inputs!$C$59*(1+Inputs!$C$61)^(AY$127-1)*MAX(0,MIN(1,AY$126*1-Inputs!$C$62+1))/1</f>
        <v>1.2</v>
      </c>
      <c r="AZ233" s="118" t="n">
        <f aca="false">Inputs!$C$59*(1+Inputs!$C$61)^(AZ$127-1)*MAX(0,MIN(1,AZ$126*1-Inputs!$C$62+1))/1</f>
        <v>1.2</v>
      </c>
      <c r="BA233" s="118" t="n">
        <f aca="false">Inputs!$C$59*(1+Inputs!$C$61)^(BA$127-1)*MAX(0,MIN(1,BA$126*1-Inputs!$C$62+1))/1</f>
        <v>1.2</v>
      </c>
      <c r="BB233" s="118" t="n">
        <f aca="false">Inputs!$C$59*(1+Inputs!$C$61)^(BB$127-1)*MAX(0,MIN(1,BB$126*1-Inputs!$C$62+1))/1</f>
        <v>1.2</v>
      </c>
      <c r="BC233" s="118" t="n">
        <f aca="false">Inputs!$C$59*(1+Inputs!$C$61)^(BC$127-1)*MAX(0,MIN(1,BC$126*1-Inputs!$C$62+1))/1</f>
        <v>1.2</v>
      </c>
      <c r="BD233" s="118" t="n">
        <f aca="false">Inputs!$C$59*(1+Inputs!$C$61)^(BD$127-1)*MAX(0,MIN(1,BD$126*1-Inputs!$C$62+1))/1</f>
        <v>1.2</v>
      </c>
      <c r="BE233" s="118" t="n">
        <f aca="false">Inputs!$C$59*(1+Inputs!$C$61)^(BE$127-1)*MAX(0,MIN(1,BE$126*1-Inputs!$C$62+1))/1</f>
        <v>1.2</v>
      </c>
      <c r="BF233" s="118" t="n">
        <f aca="false">Inputs!$C$59*(1+Inputs!$C$61)^(BF$127-1)*MAX(0,MIN(1,BF$126*1-Inputs!$C$62+1))/1</f>
        <v>1.2</v>
      </c>
      <c r="BG233" s="118" t="n">
        <f aca="false">Inputs!$C$59*(1+Inputs!$C$61)^(BG$127-1)*MAX(0,MIN(1,BG$126*1-Inputs!$C$62+1))/1</f>
        <v>1.2</v>
      </c>
      <c r="BH233" s="118" t="n">
        <f aca="false">Inputs!$C$59*(1+Inputs!$C$61)^(BH$127-1)*MAX(0,MIN(1,BH$126*1-Inputs!$C$62+1))/1</f>
        <v>1.2</v>
      </c>
      <c r="BI233" s="118" t="n">
        <f aca="false">Inputs!$C$59*(1+Inputs!$C$61)^(BI$127-1)*MAX(0,MIN(1,BI$126*1-Inputs!$C$62+1))/1</f>
        <v>1.2</v>
      </c>
      <c r="BJ233" s="118" t="n">
        <f aca="false">Inputs!$C$59*(1+Inputs!$C$61)^(BJ$127-1)*MAX(0,MIN(1,BJ$126*1-Inputs!$C$62+1))/1</f>
        <v>1.2</v>
      </c>
    </row>
    <row r="234" customFormat="false" ht="15" hidden="false" customHeight="false" outlineLevel="0" collapsed="false">
      <c r="A234" s="6" t="s">
        <v>459</v>
      </c>
      <c r="C234" s="118" t="n">
        <f aca="false">Inputs!$C$63*(1+Inputs!$C$65)^(C$127-1)*MAX(0,MIN(1,C$126*1-Inputs!$C$66+1))/1</f>
        <v>1</v>
      </c>
      <c r="D234" s="118" t="n">
        <f aca="false">Inputs!$C$63*(1+Inputs!$C$65)^(D$127-1)*MAX(0,MIN(1,D$126*1-Inputs!$C$66+1))/1</f>
        <v>1</v>
      </c>
      <c r="E234" s="118" t="n">
        <f aca="false">Inputs!$C$63*(1+Inputs!$C$65)^(E$127-1)*MAX(0,MIN(1,E$126*1-Inputs!$C$66+1))/1</f>
        <v>1</v>
      </c>
      <c r="F234" s="118" t="n">
        <f aca="false">Inputs!$C$63*(1+Inputs!$C$65)^(F$127-1)*MAX(0,MIN(1,F$126*1-Inputs!$C$66+1))/1</f>
        <v>1</v>
      </c>
      <c r="G234" s="118" t="n">
        <f aca="false">Inputs!$C$63*(1+Inputs!$C$65)^(G$127-1)*MAX(0,MIN(1,G$126*1-Inputs!$C$66+1))/1</f>
        <v>1</v>
      </c>
      <c r="H234" s="118" t="n">
        <f aca="false">Inputs!$C$63*(1+Inputs!$C$65)^(H$127-1)*MAX(0,MIN(1,H$126*1-Inputs!$C$66+1))/1</f>
        <v>1</v>
      </c>
      <c r="I234" s="118" t="n">
        <f aca="false">Inputs!$C$63*(1+Inputs!$C$65)^(I$127-1)*MAX(0,MIN(1,I$126*1-Inputs!$C$66+1))/1</f>
        <v>1</v>
      </c>
      <c r="J234" s="118" t="n">
        <f aca="false">Inputs!$C$63*(1+Inputs!$C$65)^(J$127-1)*MAX(0,MIN(1,J$126*1-Inputs!$C$66+1))/1</f>
        <v>1</v>
      </c>
      <c r="K234" s="118" t="n">
        <f aca="false">Inputs!$C$63*(1+Inputs!$C$65)^(K$127-1)*MAX(0,MIN(1,K$126*1-Inputs!$C$66+1))/1</f>
        <v>1</v>
      </c>
      <c r="L234" s="118" t="n">
        <f aca="false">Inputs!$C$63*(1+Inputs!$C$65)^(L$127-1)*MAX(0,MIN(1,L$126*1-Inputs!$C$66+1))/1</f>
        <v>1</v>
      </c>
      <c r="M234" s="118" t="n">
        <f aca="false">Inputs!$C$63*(1+Inputs!$C$65)^(M$127-1)*MAX(0,MIN(1,M$126*1-Inputs!$C$66+1))/1</f>
        <v>1</v>
      </c>
      <c r="N234" s="118" t="n">
        <f aca="false">Inputs!$C$63*(1+Inputs!$C$65)^(N$127-1)*MAX(0,MIN(1,N$126*1-Inputs!$C$66+1))/1</f>
        <v>1</v>
      </c>
      <c r="O234" s="118" t="n">
        <f aca="false">Inputs!$C$63*(1+Inputs!$C$65)^(O$127-1)*MAX(0,MIN(1,O$126*1-Inputs!$C$66+1))/1</f>
        <v>1</v>
      </c>
      <c r="P234" s="118" t="n">
        <f aca="false">Inputs!$C$63*(1+Inputs!$C$65)^(P$127-1)*MAX(0,MIN(1,P$126*1-Inputs!$C$66+1))/1</f>
        <v>1</v>
      </c>
      <c r="Q234" s="118" t="n">
        <f aca="false">Inputs!$C$63*(1+Inputs!$C$65)^(Q$127-1)*MAX(0,MIN(1,Q$126*1-Inputs!$C$66+1))/1</f>
        <v>1</v>
      </c>
      <c r="R234" s="118" t="n">
        <f aca="false">Inputs!$C$63*(1+Inputs!$C$65)^(R$127-1)*MAX(0,MIN(1,R$126*1-Inputs!$C$66+1))/1</f>
        <v>1</v>
      </c>
      <c r="S234" s="118" t="n">
        <f aca="false">Inputs!$C$63*(1+Inputs!$C$65)^(S$127-1)*MAX(0,MIN(1,S$126*1-Inputs!$C$66+1))/1</f>
        <v>1</v>
      </c>
      <c r="T234" s="118" t="n">
        <f aca="false">Inputs!$C$63*(1+Inputs!$C$65)^(T$127-1)*MAX(0,MIN(1,T$126*1-Inputs!$C$66+1))/1</f>
        <v>1</v>
      </c>
      <c r="U234" s="118" t="n">
        <f aca="false">Inputs!$C$63*(1+Inputs!$C$65)^(U$127-1)*MAX(0,MIN(1,U$126*1-Inputs!$C$66+1))/1</f>
        <v>1</v>
      </c>
      <c r="V234" s="118" t="n">
        <f aca="false">Inputs!$C$63*(1+Inputs!$C$65)^(V$127-1)*MAX(0,MIN(1,V$126*1-Inputs!$C$66+1))/1</f>
        <v>1</v>
      </c>
      <c r="W234" s="118" t="n">
        <f aca="false">Inputs!$C$63*(1+Inputs!$C$65)^(W$127-1)*MAX(0,MIN(1,W$126*1-Inputs!$C$66+1))/1</f>
        <v>1</v>
      </c>
      <c r="X234" s="118" t="n">
        <f aca="false">Inputs!$C$63*(1+Inputs!$C$65)^(X$127-1)*MAX(0,MIN(1,X$126*1-Inputs!$C$66+1))/1</f>
        <v>1</v>
      </c>
      <c r="Y234" s="118" t="n">
        <f aca="false">Inputs!$C$63*(1+Inputs!$C$65)^(Y$127-1)*MAX(0,MIN(1,Y$126*1-Inputs!$C$66+1))/1</f>
        <v>1</v>
      </c>
      <c r="Z234" s="118" t="n">
        <f aca="false">Inputs!$C$63*(1+Inputs!$C$65)^(Z$127-1)*MAX(0,MIN(1,Z$126*1-Inputs!$C$66+1))/1</f>
        <v>1</v>
      </c>
      <c r="AA234" s="118" t="n">
        <f aca="false">Inputs!$C$63*(1+Inputs!$C$65)^(AA$127-1)*MAX(0,MIN(1,AA$126*1-Inputs!$C$66+1))/1</f>
        <v>1</v>
      </c>
      <c r="AB234" s="118" t="n">
        <f aca="false">Inputs!$C$63*(1+Inputs!$C$65)^(AB$127-1)*MAX(0,MIN(1,AB$126*1-Inputs!$C$66+1))/1</f>
        <v>1</v>
      </c>
      <c r="AC234" s="118" t="n">
        <f aca="false">Inputs!$C$63*(1+Inputs!$C$65)^(AC$127-1)*MAX(0,MIN(1,AC$126*1-Inputs!$C$66+1))/1</f>
        <v>1</v>
      </c>
      <c r="AD234" s="118" t="n">
        <f aca="false">Inputs!$C$63*(1+Inputs!$C$65)^(AD$127-1)*MAX(0,MIN(1,AD$126*1-Inputs!$C$66+1))/1</f>
        <v>1</v>
      </c>
      <c r="AE234" s="118" t="n">
        <f aca="false">Inputs!$C$63*(1+Inputs!$C$65)^(AE$127-1)*MAX(0,MIN(1,AE$126*1-Inputs!$C$66+1))/1</f>
        <v>1</v>
      </c>
      <c r="AF234" s="118" t="n">
        <f aca="false">Inputs!$C$63*(1+Inputs!$C$65)^(AF$127-1)*MAX(0,MIN(1,AF$126*1-Inputs!$C$66+1))/1</f>
        <v>1</v>
      </c>
      <c r="AG234" s="118" t="n">
        <f aca="false">Inputs!$C$63*(1+Inputs!$C$65)^(AG$127-1)*MAX(0,MIN(1,AG$126*1-Inputs!$C$66+1))/1</f>
        <v>1</v>
      </c>
      <c r="AH234" s="118" t="n">
        <f aca="false">Inputs!$C$63*(1+Inputs!$C$65)^(AH$127-1)*MAX(0,MIN(1,AH$126*1-Inputs!$C$66+1))/1</f>
        <v>1</v>
      </c>
      <c r="AI234" s="118" t="n">
        <f aca="false">Inputs!$C$63*(1+Inputs!$C$65)^(AI$127-1)*MAX(0,MIN(1,AI$126*1-Inputs!$C$66+1))/1</f>
        <v>1</v>
      </c>
      <c r="AJ234" s="118" t="n">
        <f aca="false">Inputs!$C$63*(1+Inputs!$C$65)^(AJ$127-1)*MAX(0,MIN(1,AJ$126*1-Inputs!$C$66+1))/1</f>
        <v>1</v>
      </c>
      <c r="AK234" s="118" t="n">
        <f aca="false">Inputs!$C$63*(1+Inputs!$C$65)^(AK$127-1)*MAX(0,MIN(1,AK$126*1-Inputs!$C$66+1))/1</f>
        <v>1</v>
      </c>
      <c r="AL234" s="118" t="n">
        <f aca="false">Inputs!$C$63*(1+Inputs!$C$65)^(AL$127-1)*MAX(0,MIN(1,AL$126*1-Inputs!$C$66+1))/1</f>
        <v>1</v>
      </c>
      <c r="AM234" s="118" t="n">
        <f aca="false">Inputs!$C$63*(1+Inputs!$C$65)^(AM$127-1)*MAX(0,MIN(1,AM$126*1-Inputs!$C$66+1))/1</f>
        <v>1</v>
      </c>
      <c r="AN234" s="118" t="n">
        <f aca="false">Inputs!$C$63*(1+Inputs!$C$65)^(AN$127-1)*MAX(0,MIN(1,AN$126*1-Inputs!$C$66+1))/1</f>
        <v>1</v>
      </c>
      <c r="AO234" s="118" t="n">
        <f aca="false">Inputs!$C$63*(1+Inputs!$C$65)^(AO$127-1)*MAX(0,MIN(1,AO$126*1-Inputs!$C$66+1))/1</f>
        <v>1</v>
      </c>
      <c r="AP234" s="118" t="n">
        <f aca="false">Inputs!$C$63*(1+Inputs!$C$65)^(AP$127-1)*MAX(0,MIN(1,AP$126*1-Inputs!$C$66+1))/1</f>
        <v>1</v>
      </c>
      <c r="AQ234" s="118" t="n">
        <f aca="false">Inputs!$C$63*(1+Inputs!$C$65)^(AQ$127-1)*MAX(0,MIN(1,AQ$126*1-Inputs!$C$66+1))/1</f>
        <v>1</v>
      </c>
      <c r="AR234" s="118" t="n">
        <f aca="false">Inputs!$C$63*(1+Inputs!$C$65)^(AR$127-1)*MAX(0,MIN(1,AR$126*1-Inputs!$C$66+1))/1</f>
        <v>1</v>
      </c>
      <c r="AS234" s="118" t="n">
        <f aca="false">Inputs!$C$63*(1+Inputs!$C$65)^(AS$127-1)*MAX(0,MIN(1,AS$126*1-Inputs!$C$66+1))/1</f>
        <v>1</v>
      </c>
      <c r="AT234" s="118" t="n">
        <f aca="false">Inputs!$C$63*(1+Inputs!$C$65)^(AT$127-1)*MAX(0,MIN(1,AT$126*1-Inputs!$C$66+1))/1</f>
        <v>1</v>
      </c>
      <c r="AU234" s="118" t="n">
        <f aca="false">Inputs!$C$63*(1+Inputs!$C$65)^(AU$127-1)*MAX(0,MIN(1,AU$126*1-Inputs!$C$66+1))/1</f>
        <v>1</v>
      </c>
      <c r="AV234" s="118" t="n">
        <f aca="false">Inputs!$C$63*(1+Inputs!$C$65)^(AV$127-1)*MAX(0,MIN(1,AV$126*1-Inputs!$C$66+1))/1</f>
        <v>1</v>
      </c>
      <c r="AW234" s="118" t="n">
        <f aca="false">Inputs!$C$63*(1+Inputs!$C$65)^(AW$127-1)*MAX(0,MIN(1,AW$126*1-Inputs!$C$66+1))/1</f>
        <v>1</v>
      </c>
      <c r="AX234" s="118" t="n">
        <f aca="false">Inputs!$C$63*(1+Inputs!$C$65)^(AX$127-1)*MAX(0,MIN(1,AX$126*1-Inputs!$C$66+1))/1</f>
        <v>1</v>
      </c>
      <c r="AY234" s="118" t="n">
        <f aca="false">Inputs!$C$63*(1+Inputs!$C$65)^(AY$127-1)*MAX(0,MIN(1,AY$126*1-Inputs!$C$66+1))/1</f>
        <v>1</v>
      </c>
      <c r="AZ234" s="118" t="n">
        <f aca="false">Inputs!$C$63*(1+Inputs!$C$65)^(AZ$127-1)*MAX(0,MIN(1,AZ$126*1-Inputs!$C$66+1))/1</f>
        <v>1</v>
      </c>
      <c r="BA234" s="118" t="n">
        <f aca="false">Inputs!$C$63*(1+Inputs!$C$65)^(BA$127-1)*MAX(0,MIN(1,BA$126*1-Inputs!$C$66+1))/1</f>
        <v>1</v>
      </c>
      <c r="BB234" s="118" t="n">
        <f aca="false">Inputs!$C$63*(1+Inputs!$C$65)^(BB$127-1)*MAX(0,MIN(1,BB$126*1-Inputs!$C$66+1))/1</f>
        <v>1</v>
      </c>
      <c r="BC234" s="118" t="n">
        <f aca="false">Inputs!$C$63*(1+Inputs!$C$65)^(BC$127-1)*MAX(0,MIN(1,BC$126*1-Inputs!$C$66+1))/1</f>
        <v>1</v>
      </c>
      <c r="BD234" s="118" t="n">
        <f aca="false">Inputs!$C$63*(1+Inputs!$C$65)^(BD$127-1)*MAX(0,MIN(1,BD$126*1-Inputs!$C$66+1))/1</f>
        <v>1</v>
      </c>
      <c r="BE234" s="118" t="n">
        <f aca="false">Inputs!$C$63*(1+Inputs!$C$65)^(BE$127-1)*MAX(0,MIN(1,BE$126*1-Inputs!$C$66+1))/1</f>
        <v>1</v>
      </c>
      <c r="BF234" s="118" t="n">
        <f aca="false">Inputs!$C$63*(1+Inputs!$C$65)^(BF$127-1)*MAX(0,MIN(1,BF$126*1-Inputs!$C$66+1))/1</f>
        <v>1</v>
      </c>
      <c r="BG234" s="118" t="n">
        <f aca="false">Inputs!$C$63*(1+Inputs!$C$65)^(BG$127-1)*MAX(0,MIN(1,BG$126*1-Inputs!$C$66+1))/1</f>
        <v>1</v>
      </c>
      <c r="BH234" s="118" t="n">
        <f aca="false">Inputs!$C$63*(1+Inputs!$C$65)^(BH$127-1)*MAX(0,MIN(1,BH$126*1-Inputs!$C$66+1))/1</f>
        <v>1</v>
      </c>
      <c r="BI234" s="118" t="n">
        <f aca="false">Inputs!$C$63*(1+Inputs!$C$65)^(BI$127-1)*MAX(0,MIN(1,BI$126*1-Inputs!$C$66+1))/1</f>
        <v>1</v>
      </c>
      <c r="BJ234" s="118" t="n">
        <f aca="false">Inputs!$C$63*(1+Inputs!$C$65)^(BJ$127-1)*MAX(0,MIN(1,BJ$126*1-Inputs!$C$66+1))/1</f>
        <v>1</v>
      </c>
    </row>
    <row r="235" customFormat="false" ht="15" hidden="false" customHeight="false" outlineLevel="0" collapsed="false">
      <c r="A235" s="113" t="s">
        <v>460</v>
      </c>
      <c r="C235" s="122" t="n">
        <f aca="false">C232+C233+C234</f>
        <v>3.2</v>
      </c>
      <c r="D235" s="122" t="n">
        <f aca="false">D232+D233+D234</f>
        <v>3.2</v>
      </c>
      <c r="E235" s="122" t="n">
        <f aca="false">E232+E233+E234</f>
        <v>3.2</v>
      </c>
      <c r="F235" s="122" t="n">
        <f aca="false">F232+F233+F234</f>
        <v>3.2</v>
      </c>
      <c r="G235" s="122" t="n">
        <f aca="false">G232+G233+G234</f>
        <v>3.2</v>
      </c>
      <c r="H235" s="122" t="n">
        <f aca="false">H232+H233+H234</f>
        <v>3.2</v>
      </c>
      <c r="I235" s="122" t="n">
        <f aca="false">I232+I233+I234</f>
        <v>3.2</v>
      </c>
      <c r="J235" s="122" t="n">
        <f aca="false">J232+J233+J234</f>
        <v>3.2</v>
      </c>
      <c r="K235" s="122" t="n">
        <f aca="false">K232+K233+K234</f>
        <v>3.2</v>
      </c>
      <c r="L235" s="122" t="n">
        <f aca="false">L232+L233+L234</f>
        <v>3.2</v>
      </c>
      <c r="M235" s="122" t="n">
        <f aca="false">M232+M233+M234</f>
        <v>3.2</v>
      </c>
      <c r="N235" s="122" t="n">
        <f aca="false">N232+N233+N234</f>
        <v>3.2</v>
      </c>
      <c r="O235" s="122" t="n">
        <f aca="false">O232+O233+O234</f>
        <v>3.2</v>
      </c>
      <c r="P235" s="122" t="n">
        <f aca="false">P232+P233+P234</f>
        <v>3.2</v>
      </c>
      <c r="Q235" s="122" t="n">
        <f aca="false">Q232+Q233+Q234</f>
        <v>3.2</v>
      </c>
      <c r="R235" s="122" t="n">
        <f aca="false">R232+R233+R234</f>
        <v>3.2</v>
      </c>
      <c r="S235" s="122" t="n">
        <f aca="false">S232+S233+S234</f>
        <v>3.2</v>
      </c>
      <c r="T235" s="122" t="n">
        <f aca="false">T232+T233+T234</f>
        <v>3.2</v>
      </c>
      <c r="U235" s="122" t="n">
        <f aca="false">U232+U233+U234</f>
        <v>3.2</v>
      </c>
      <c r="V235" s="122" t="n">
        <f aca="false">V232+V233+V234</f>
        <v>3.2</v>
      </c>
      <c r="W235" s="122" t="n">
        <f aca="false">W232+W233+W234</f>
        <v>3.2</v>
      </c>
      <c r="X235" s="122" t="n">
        <f aca="false">X232+X233+X234</f>
        <v>3.2</v>
      </c>
      <c r="Y235" s="122" t="n">
        <f aca="false">Y232+Y233+Y234</f>
        <v>3.2</v>
      </c>
      <c r="Z235" s="122" t="n">
        <f aca="false">Z232+Z233+Z234</f>
        <v>3.2</v>
      </c>
      <c r="AA235" s="122" t="n">
        <f aca="false">AA232+AA233+AA234</f>
        <v>3.2</v>
      </c>
      <c r="AB235" s="122" t="n">
        <f aca="false">AB232+AB233+AB234</f>
        <v>3.2</v>
      </c>
      <c r="AC235" s="122" t="n">
        <f aca="false">AC232+AC233+AC234</f>
        <v>3.2</v>
      </c>
      <c r="AD235" s="122" t="n">
        <f aca="false">AD232+AD233+AD234</f>
        <v>3.2</v>
      </c>
      <c r="AE235" s="122" t="n">
        <f aca="false">AE232+AE233+AE234</f>
        <v>3.2</v>
      </c>
      <c r="AF235" s="122" t="n">
        <f aca="false">AF232+AF233+AF234</f>
        <v>3.2</v>
      </c>
      <c r="AG235" s="122" t="n">
        <f aca="false">AG232+AG233+AG234</f>
        <v>3.2</v>
      </c>
      <c r="AH235" s="122" t="n">
        <f aca="false">AH232+AH233+AH234</f>
        <v>3.2</v>
      </c>
      <c r="AI235" s="122" t="n">
        <f aca="false">AI232+AI233+AI234</f>
        <v>3.2</v>
      </c>
      <c r="AJ235" s="122" t="n">
        <f aca="false">AJ232+AJ233+AJ234</f>
        <v>3.2</v>
      </c>
      <c r="AK235" s="122" t="n">
        <f aca="false">AK232+AK233+AK234</f>
        <v>3.2</v>
      </c>
      <c r="AL235" s="122" t="n">
        <f aca="false">AL232+AL233+AL234</f>
        <v>3.2</v>
      </c>
      <c r="AM235" s="122" t="n">
        <f aca="false">AM232+AM233+AM234</f>
        <v>3.2</v>
      </c>
      <c r="AN235" s="122" t="n">
        <f aca="false">AN232+AN233+AN234</f>
        <v>3.2</v>
      </c>
      <c r="AO235" s="122" t="n">
        <f aca="false">AO232+AO233+AO234</f>
        <v>3.2</v>
      </c>
      <c r="AP235" s="122" t="n">
        <f aca="false">AP232+AP233+AP234</f>
        <v>3.2</v>
      </c>
      <c r="AQ235" s="122" t="n">
        <f aca="false">AQ232+AQ233+AQ234</f>
        <v>3.2</v>
      </c>
      <c r="AR235" s="122" t="n">
        <f aca="false">AR232+AR233+AR234</f>
        <v>3.2</v>
      </c>
      <c r="AS235" s="122" t="n">
        <f aca="false">AS232+AS233+AS234</f>
        <v>3.2</v>
      </c>
      <c r="AT235" s="122" t="n">
        <f aca="false">AT232+AT233+AT234</f>
        <v>3.2</v>
      </c>
      <c r="AU235" s="122" t="n">
        <f aca="false">AU232+AU233+AU234</f>
        <v>3.2</v>
      </c>
      <c r="AV235" s="122" t="n">
        <f aca="false">AV232+AV233+AV234</f>
        <v>3.2</v>
      </c>
      <c r="AW235" s="122" t="n">
        <f aca="false">AW232+AW233+AW234</f>
        <v>3.2</v>
      </c>
      <c r="AX235" s="122" t="n">
        <f aca="false">AX232+AX233+AX234</f>
        <v>3.2</v>
      </c>
      <c r="AY235" s="122" t="n">
        <f aca="false">AY232+AY233+AY234</f>
        <v>3.2</v>
      </c>
      <c r="AZ235" s="122" t="n">
        <f aca="false">AZ232+AZ233+AZ234</f>
        <v>3.2</v>
      </c>
      <c r="BA235" s="122" t="n">
        <f aca="false">BA232+BA233+BA234</f>
        <v>3.2</v>
      </c>
      <c r="BB235" s="122" t="n">
        <f aca="false">BB232+BB233+BB234</f>
        <v>3.2</v>
      </c>
      <c r="BC235" s="122" t="n">
        <f aca="false">BC232+BC233+BC234</f>
        <v>3.2</v>
      </c>
      <c r="BD235" s="122" t="n">
        <f aca="false">BD232+BD233+BD234</f>
        <v>3.2</v>
      </c>
      <c r="BE235" s="122" t="n">
        <f aca="false">BE232+BE233+BE234</f>
        <v>3.2</v>
      </c>
      <c r="BF235" s="122" t="n">
        <f aca="false">BF232+BF233+BF234</f>
        <v>3.2</v>
      </c>
      <c r="BG235" s="122" t="n">
        <f aca="false">BG232+BG233+BG234</f>
        <v>3.2</v>
      </c>
      <c r="BH235" s="122" t="n">
        <f aca="false">BH232+BH233+BH234</f>
        <v>3.2</v>
      </c>
      <c r="BI235" s="122" t="n">
        <f aca="false">BI232+BI233+BI234</f>
        <v>3.2</v>
      </c>
      <c r="BJ235" s="122" t="n">
        <f aca="false">BJ232+BJ233+BJ234</f>
        <v>3.2</v>
      </c>
    </row>
    <row r="237" customFormat="false" ht="15.75" hidden="false" customHeight="true" outlineLevel="0" collapsed="false">
      <c r="A237" s="7" t="s">
        <v>461</v>
      </c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</row>
    <row r="238" customFormat="false" ht="15" hidden="false" customHeight="false" outlineLevel="0" collapsed="false">
      <c r="A238" s="6" t="s">
        <v>462</v>
      </c>
      <c r="C238" s="67" t="n">
        <f aca="false">-C232*Inputs!$C$56/12*1*(1+Inputs!$C$67)*(1+Inputs!$C$68)^(C$127-1)</f>
        <v>-3360</v>
      </c>
      <c r="D238" s="67" t="n">
        <f aca="false">-D232*Inputs!$C$56/12*1*(1+Inputs!$C$67)*(1+Inputs!$C$68)^(D$127-1)</f>
        <v>-3360</v>
      </c>
      <c r="E238" s="67" t="n">
        <f aca="false">-E232*Inputs!$C$56/12*1*(1+Inputs!$C$67)*(1+Inputs!$C$68)^(E$127-1)</f>
        <v>-3360</v>
      </c>
      <c r="F238" s="67" t="n">
        <f aca="false">-F232*Inputs!$C$56/12*1*(1+Inputs!$C$67)*(1+Inputs!$C$68)^(F$127-1)</f>
        <v>-3360</v>
      </c>
      <c r="G238" s="67" t="n">
        <f aca="false">-G232*Inputs!$C$56/12*1*(1+Inputs!$C$67)*(1+Inputs!$C$68)^(G$127-1)</f>
        <v>-3360</v>
      </c>
      <c r="H238" s="67" t="n">
        <f aca="false">-H232*Inputs!$C$56/12*1*(1+Inputs!$C$67)*(1+Inputs!$C$68)^(H$127-1)</f>
        <v>-3360</v>
      </c>
      <c r="I238" s="67" t="n">
        <f aca="false">-I232*Inputs!$C$56/12*1*(1+Inputs!$C$67)*(1+Inputs!$C$68)^(I$127-1)</f>
        <v>-3360</v>
      </c>
      <c r="J238" s="67" t="n">
        <f aca="false">-J232*Inputs!$C$56/12*1*(1+Inputs!$C$67)*(1+Inputs!$C$68)^(J$127-1)</f>
        <v>-3360</v>
      </c>
      <c r="K238" s="67" t="n">
        <f aca="false">-K232*Inputs!$C$56/12*1*(1+Inputs!$C$67)*(1+Inputs!$C$68)^(K$127-1)</f>
        <v>-3360</v>
      </c>
      <c r="L238" s="67" t="n">
        <f aca="false">-L232*Inputs!$C$56/12*1*(1+Inputs!$C$67)*(1+Inputs!$C$68)^(L$127-1)</f>
        <v>-3360</v>
      </c>
      <c r="M238" s="67" t="n">
        <f aca="false">-M232*Inputs!$C$56/12*1*(1+Inputs!$C$67)*(1+Inputs!$C$68)^(M$127-1)</f>
        <v>-3360</v>
      </c>
      <c r="N238" s="67" t="n">
        <f aca="false">-N232*Inputs!$C$56/12*1*(1+Inputs!$C$67)*(1+Inputs!$C$68)^(N$127-1)</f>
        <v>-3360</v>
      </c>
      <c r="O238" s="67" t="n">
        <f aca="false">-O232*Inputs!$C$56/12*1*(1+Inputs!$C$67)*(1+Inputs!$C$68)^(O$127-1)</f>
        <v>-3460.8</v>
      </c>
      <c r="P238" s="67" t="n">
        <f aca="false">-P232*Inputs!$C$56/12*1*(1+Inputs!$C$67)*(1+Inputs!$C$68)^(P$127-1)</f>
        <v>-3460.8</v>
      </c>
      <c r="Q238" s="67" t="n">
        <f aca="false">-Q232*Inputs!$C$56/12*1*(1+Inputs!$C$67)*(1+Inputs!$C$68)^(Q$127-1)</f>
        <v>-3460.8</v>
      </c>
      <c r="R238" s="67" t="n">
        <f aca="false">-R232*Inputs!$C$56/12*1*(1+Inputs!$C$67)*(1+Inputs!$C$68)^(R$127-1)</f>
        <v>-3460.8</v>
      </c>
      <c r="S238" s="67" t="n">
        <f aca="false">-S232*Inputs!$C$56/12*1*(1+Inputs!$C$67)*(1+Inputs!$C$68)^(S$127-1)</f>
        <v>-3460.8</v>
      </c>
      <c r="T238" s="67" t="n">
        <f aca="false">-T232*Inputs!$C$56/12*1*(1+Inputs!$C$67)*(1+Inputs!$C$68)^(T$127-1)</f>
        <v>-3460.8</v>
      </c>
      <c r="U238" s="67" t="n">
        <f aca="false">-U232*Inputs!$C$56/12*1*(1+Inputs!$C$67)*(1+Inputs!$C$68)^(U$127-1)</f>
        <v>-3460.8</v>
      </c>
      <c r="V238" s="67" t="n">
        <f aca="false">-V232*Inputs!$C$56/12*1*(1+Inputs!$C$67)*(1+Inputs!$C$68)^(V$127-1)</f>
        <v>-3460.8</v>
      </c>
      <c r="W238" s="67" t="n">
        <f aca="false">-W232*Inputs!$C$56/12*1*(1+Inputs!$C$67)*(1+Inputs!$C$68)^(W$127-1)</f>
        <v>-3460.8</v>
      </c>
      <c r="X238" s="67" t="n">
        <f aca="false">-X232*Inputs!$C$56/12*1*(1+Inputs!$C$67)*(1+Inputs!$C$68)^(X$127-1)</f>
        <v>-3460.8</v>
      </c>
      <c r="Y238" s="67" t="n">
        <f aca="false">-Y232*Inputs!$C$56/12*1*(1+Inputs!$C$67)*(1+Inputs!$C$68)^(Y$127-1)</f>
        <v>-3460.8</v>
      </c>
      <c r="Z238" s="67" t="n">
        <f aca="false">-Z232*Inputs!$C$56/12*1*(1+Inputs!$C$67)*(1+Inputs!$C$68)^(Z$127-1)</f>
        <v>-3460.8</v>
      </c>
      <c r="AA238" s="67" t="n">
        <f aca="false">-AA232*Inputs!$C$56/12*1*(1+Inputs!$C$67)*(1+Inputs!$C$68)^(AA$127-1)</f>
        <v>-3564.624</v>
      </c>
      <c r="AB238" s="67" t="n">
        <f aca="false">-AB232*Inputs!$C$56/12*1*(1+Inputs!$C$67)*(1+Inputs!$C$68)^(AB$127-1)</f>
        <v>-3564.624</v>
      </c>
      <c r="AC238" s="67" t="n">
        <f aca="false">-AC232*Inputs!$C$56/12*1*(1+Inputs!$C$67)*(1+Inputs!$C$68)^(AC$127-1)</f>
        <v>-3564.624</v>
      </c>
      <c r="AD238" s="67" t="n">
        <f aca="false">-AD232*Inputs!$C$56/12*1*(1+Inputs!$C$67)*(1+Inputs!$C$68)^(AD$127-1)</f>
        <v>-3564.624</v>
      </c>
      <c r="AE238" s="67" t="n">
        <f aca="false">-AE232*Inputs!$C$56/12*1*(1+Inputs!$C$67)*(1+Inputs!$C$68)^(AE$127-1)</f>
        <v>-3564.624</v>
      </c>
      <c r="AF238" s="67" t="n">
        <f aca="false">-AF232*Inputs!$C$56/12*1*(1+Inputs!$C$67)*(1+Inputs!$C$68)^(AF$127-1)</f>
        <v>-3564.624</v>
      </c>
      <c r="AG238" s="67" t="n">
        <f aca="false">-AG232*Inputs!$C$56/12*1*(1+Inputs!$C$67)*(1+Inputs!$C$68)^(AG$127-1)</f>
        <v>-3564.624</v>
      </c>
      <c r="AH238" s="67" t="n">
        <f aca="false">-AH232*Inputs!$C$56/12*1*(1+Inputs!$C$67)*(1+Inputs!$C$68)^(AH$127-1)</f>
        <v>-3564.624</v>
      </c>
      <c r="AI238" s="67" t="n">
        <f aca="false">-AI232*Inputs!$C$56/12*1*(1+Inputs!$C$67)*(1+Inputs!$C$68)^(AI$127-1)</f>
        <v>-3564.624</v>
      </c>
      <c r="AJ238" s="67" t="n">
        <f aca="false">-AJ232*Inputs!$C$56/12*1*(1+Inputs!$C$67)*(1+Inputs!$C$68)^(AJ$127-1)</f>
        <v>-3564.624</v>
      </c>
      <c r="AK238" s="67" t="n">
        <f aca="false">-AK232*Inputs!$C$56/12*1*(1+Inputs!$C$67)*(1+Inputs!$C$68)^(AK$127-1)</f>
        <v>-3564.624</v>
      </c>
      <c r="AL238" s="67" t="n">
        <f aca="false">-AL232*Inputs!$C$56/12*1*(1+Inputs!$C$67)*(1+Inputs!$C$68)^(AL$127-1)</f>
        <v>-3564.624</v>
      </c>
      <c r="AM238" s="67" t="n">
        <f aca="false">-AM232*Inputs!$C$56/12*1*(1+Inputs!$C$67)*(1+Inputs!$C$68)^(AM$127-1)</f>
        <v>-3671.56272</v>
      </c>
      <c r="AN238" s="67" t="n">
        <f aca="false">-AN232*Inputs!$C$56/12*1*(1+Inputs!$C$67)*(1+Inputs!$C$68)^(AN$127-1)</f>
        <v>-3671.56272</v>
      </c>
      <c r="AO238" s="67" t="n">
        <f aca="false">-AO232*Inputs!$C$56/12*1*(1+Inputs!$C$67)*(1+Inputs!$C$68)^(AO$127-1)</f>
        <v>-3671.56272</v>
      </c>
      <c r="AP238" s="67" t="n">
        <f aca="false">-AP232*Inputs!$C$56/12*1*(1+Inputs!$C$67)*(1+Inputs!$C$68)^(AP$127-1)</f>
        <v>-3671.56272</v>
      </c>
      <c r="AQ238" s="67" t="n">
        <f aca="false">-AQ232*Inputs!$C$56/12*1*(1+Inputs!$C$67)*(1+Inputs!$C$68)^(AQ$127-1)</f>
        <v>-3671.56272</v>
      </c>
      <c r="AR238" s="67" t="n">
        <f aca="false">-AR232*Inputs!$C$56/12*1*(1+Inputs!$C$67)*(1+Inputs!$C$68)^(AR$127-1)</f>
        <v>-3671.56272</v>
      </c>
      <c r="AS238" s="67" t="n">
        <f aca="false">-AS232*Inputs!$C$56/12*1*(1+Inputs!$C$67)*(1+Inputs!$C$68)^(AS$127-1)</f>
        <v>-3671.56272</v>
      </c>
      <c r="AT238" s="67" t="n">
        <f aca="false">-AT232*Inputs!$C$56/12*1*(1+Inputs!$C$67)*(1+Inputs!$C$68)^(AT$127-1)</f>
        <v>-3671.56272</v>
      </c>
      <c r="AU238" s="67" t="n">
        <f aca="false">-AU232*Inputs!$C$56/12*1*(1+Inputs!$C$67)*(1+Inputs!$C$68)^(AU$127-1)</f>
        <v>-3671.56272</v>
      </c>
      <c r="AV238" s="67" t="n">
        <f aca="false">-AV232*Inputs!$C$56/12*1*(1+Inputs!$C$67)*(1+Inputs!$C$68)^(AV$127-1)</f>
        <v>-3671.56272</v>
      </c>
      <c r="AW238" s="67" t="n">
        <f aca="false">-AW232*Inputs!$C$56/12*1*(1+Inputs!$C$67)*(1+Inputs!$C$68)^(AW$127-1)</f>
        <v>-3671.56272</v>
      </c>
      <c r="AX238" s="67" t="n">
        <f aca="false">-AX232*Inputs!$C$56/12*1*(1+Inputs!$C$67)*(1+Inputs!$C$68)^(AX$127-1)</f>
        <v>-3671.56272</v>
      </c>
      <c r="AY238" s="67" t="n">
        <f aca="false">-AY232*Inputs!$C$56/12*1*(1+Inputs!$C$67)*(1+Inputs!$C$68)^(AY$127-1)</f>
        <v>-3781.7096016</v>
      </c>
      <c r="AZ238" s="67" t="n">
        <f aca="false">-AZ232*Inputs!$C$56/12*1*(1+Inputs!$C$67)*(1+Inputs!$C$68)^(AZ$127-1)</f>
        <v>-3781.7096016</v>
      </c>
      <c r="BA238" s="67" t="n">
        <f aca="false">-BA232*Inputs!$C$56/12*1*(1+Inputs!$C$67)*(1+Inputs!$C$68)^(BA$127-1)</f>
        <v>-3781.7096016</v>
      </c>
      <c r="BB238" s="67" t="n">
        <f aca="false">-BB232*Inputs!$C$56/12*1*(1+Inputs!$C$67)*(1+Inputs!$C$68)^(BB$127-1)</f>
        <v>-3781.7096016</v>
      </c>
      <c r="BC238" s="67" t="n">
        <f aca="false">-BC232*Inputs!$C$56/12*1*(1+Inputs!$C$67)*(1+Inputs!$C$68)^(BC$127-1)</f>
        <v>-3781.7096016</v>
      </c>
      <c r="BD238" s="67" t="n">
        <f aca="false">-BD232*Inputs!$C$56/12*1*(1+Inputs!$C$67)*(1+Inputs!$C$68)^(BD$127-1)</f>
        <v>-3781.7096016</v>
      </c>
      <c r="BE238" s="67" t="n">
        <f aca="false">-BE232*Inputs!$C$56/12*1*(1+Inputs!$C$67)*(1+Inputs!$C$68)^(BE$127-1)</f>
        <v>-3781.7096016</v>
      </c>
      <c r="BF238" s="67" t="n">
        <f aca="false">-BF232*Inputs!$C$56/12*1*(1+Inputs!$C$67)*(1+Inputs!$C$68)^(BF$127-1)</f>
        <v>-3781.7096016</v>
      </c>
      <c r="BG238" s="67" t="n">
        <f aca="false">-BG232*Inputs!$C$56/12*1*(1+Inputs!$C$67)*(1+Inputs!$C$68)^(BG$127-1)</f>
        <v>-3781.7096016</v>
      </c>
      <c r="BH238" s="67" t="n">
        <f aca="false">-BH232*Inputs!$C$56/12*1*(1+Inputs!$C$67)*(1+Inputs!$C$68)^(BH$127-1)</f>
        <v>-3781.7096016</v>
      </c>
      <c r="BI238" s="67" t="n">
        <f aca="false">-BI232*Inputs!$C$56/12*1*(1+Inputs!$C$67)*(1+Inputs!$C$68)^(BI$127-1)</f>
        <v>-3781.7096016</v>
      </c>
      <c r="BJ238" s="67" t="n">
        <f aca="false">-BJ232*Inputs!$C$56/12*1*(1+Inputs!$C$67)*(1+Inputs!$C$68)^(BJ$127-1)</f>
        <v>-3781.7096016</v>
      </c>
    </row>
    <row r="239" customFormat="false" ht="15" hidden="false" customHeight="false" outlineLevel="0" collapsed="false">
      <c r="A239" s="6" t="s">
        <v>463</v>
      </c>
      <c r="C239" s="67" t="n">
        <f aca="false">-C233*Inputs!$C$60/12*1*(1+Inputs!$C$67)*(1+Inputs!$C$68)^(C$127-1)</f>
        <v>-3808</v>
      </c>
      <c r="D239" s="67" t="n">
        <f aca="false">-D233*Inputs!$C$60/12*1*(1+Inputs!$C$67)*(1+Inputs!$C$68)^(D$127-1)</f>
        <v>-3808</v>
      </c>
      <c r="E239" s="67" t="n">
        <f aca="false">-E233*Inputs!$C$60/12*1*(1+Inputs!$C$67)*(1+Inputs!$C$68)^(E$127-1)</f>
        <v>-3808</v>
      </c>
      <c r="F239" s="67" t="n">
        <f aca="false">-F233*Inputs!$C$60/12*1*(1+Inputs!$C$67)*(1+Inputs!$C$68)^(F$127-1)</f>
        <v>-3808</v>
      </c>
      <c r="G239" s="67" t="n">
        <f aca="false">-G233*Inputs!$C$60/12*1*(1+Inputs!$C$67)*(1+Inputs!$C$68)^(G$127-1)</f>
        <v>-3808</v>
      </c>
      <c r="H239" s="67" t="n">
        <f aca="false">-H233*Inputs!$C$60/12*1*(1+Inputs!$C$67)*(1+Inputs!$C$68)^(H$127-1)</f>
        <v>-3808</v>
      </c>
      <c r="I239" s="67" t="n">
        <f aca="false">-I233*Inputs!$C$60/12*1*(1+Inputs!$C$67)*(1+Inputs!$C$68)^(I$127-1)</f>
        <v>-3808</v>
      </c>
      <c r="J239" s="67" t="n">
        <f aca="false">-J233*Inputs!$C$60/12*1*(1+Inputs!$C$67)*(1+Inputs!$C$68)^(J$127-1)</f>
        <v>-3808</v>
      </c>
      <c r="K239" s="67" t="n">
        <f aca="false">-K233*Inputs!$C$60/12*1*(1+Inputs!$C$67)*(1+Inputs!$C$68)^(K$127-1)</f>
        <v>-3808</v>
      </c>
      <c r="L239" s="67" t="n">
        <f aca="false">-L233*Inputs!$C$60/12*1*(1+Inputs!$C$67)*(1+Inputs!$C$68)^(L$127-1)</f>
        <v>-3808</v>
      </c>
      <c r="M239" s="67" t="n">
        <f aca="false">-M233*Inputs!$C$60/12*1*(1+Inputs!$C$67)*(1+Inputs!$C$68)^(M$127-1)</f>
        <v>-3808</v>
      </c>
      <c r="N239" s="67" t="n">
        <f aca="false">-N233*Inputs!$C$60/12*1*(1+Inputs!$C$67)*(1+Inputs!$C$68)^(N$127-1)</f>
        <v>-3808</v>
      </c>
      <c r="O239" s="67" t="n">
        <f aca="false">-O233*Inputs!$C$60/12*1*(1+Inputs!$C$67)*(1+Inputs!$C$68)^(O$127-1)</f>
        <v>-3922.24</v>
      </c>
      <c r="P239" s="67" t="n">
        <f aca="false">-P233*Inputs!$C$60/12*1*(1+Inputs!$C$67)*(1+Inputs!$C$68)^(P$127-1)</f>
        <v>-3922.24</v>
      </c>
      <c r="Q239" s="67" t="n">
        <f aca="false">-Q233*Inputs!$C$60/12*1*(1+Inputs!$C$67)*(1+Inputs!$C$68)^(Q$127-1)</f>
        <v>-3922.24</v>
      </c>
      <c r="R239" s="67" t="n">
        <f aca="false">-R233*Inputs!$C$60/12*1*(1+Inputs!$C$67)*(1+Inputs!$C$68)^(R$127-1)</f>
        <v>-3922.24</v>
      </c>
      <c r="S239" s="67" t="n">
        <f aca="false">-S233*Inputs!$C$60/12*1*(1+Inputs!$C$67)*(1+Inputs!$C$68)^(S$127-1)</f>
        <v>-3922.24</v>
      </c>
      <c r="T239" s="67" t="n">
        <f aca="false">-T233*Inputs!$C$60/12*1*(1+Inputs!$C$67)*(1+Inputs!$C$68)^(T$127-1)</f>
        <v>-3922.24</v>
      </c>
      <c r="U239" s="67" t="n">
        <f aca="false">-U233*Inputs!$C$60/12*1*(1+Inputs!$C$67)*(1+Inputs!$C$68)^(U$127-1)</f>
        <v>-3922.24</v>
      </c>
      <c r="V239" s="67" t="n">
        <f aca="false">-V233*Inputs!$C$60/12*1*(1+Inputs!$C$67)*(1+Inputs!$C$68)^(V$127-1)</f>
        <v>-3922.24</v>
      </c>
      <c r="W239" s="67" t="n">
        <f aca="false">-W233*Inputs!$C$60/12*1*(1+Inputs!$C$67)*(1+Inputs!$C$68)^(W$127-1)</f>
        <v>-3922.24</v>
      </c>
      <c r="X239" s="67" t="n">
        <f aca="false">-X233*Inputs!$C$60/12*1*(1+Inputs!$C$67)*(1+Inputs!$C$68)^(X$127-1)</f>
        <v>-3922.24</v>
      </c>
      <c r="Y239" s="67" t="n">
        <f aca="false">-Y233*Inputs!$C$60/12*1*(1+Inputs!$C$67)*(1+Inputs!$C$68)^(Y$127-1)</f>
        <v>-3922.24</v>
      </c>
      <c r="Z239" s="67" t="n">
        <f aca="false">-Z233*Inputs!$C$60/12*1*(1+Inputs!$C$67)*(1+Inputs!$C$68)^(Z$127-1)</f>
        <v>-3922.24</v>
      </c>
      <c r="AA239" s="67" t="n">
        <f aca="false">-AA233*Inputs!$C$60/12*1*(1+Inputs!$C$67)*(1+Inputs!$C$68)^(AA$127-1)</f>
        <v>-4039.9072</v>
      </c>
      <c r="AB239" s="67" t="n">
        <f aca="false">-AB233*Inputs!$C$60/12*1*(1+Inputs!$C$67)*(1+Inputs!$C$68)^(AB$127-1)</f>
        <v>-4039.9072</v>
      </c>
      <c r="AC239" s="67" t="n">
        <f aca="false">-AC233*Inputs!$C$60/12*1*(1+Inputs!$C$67)*(1+Inputs!$C$68)^(AC$127-1)</f>
        <v>-4039.9072</v>
      </c>
      <c r="AD239" s="67" t="n">
        <f aca="false">-AD233*Inputs!$C$60/12*1*(1+Inputs!$C$67)*(1+Inputs!$C$68)^(AD$127-1)</f>
        <v>-4039.9072</v>
      </c>
      <c r="AE239" s="67" t="n">
        <f aca="false">-AE233*Inputs!$C$60/12*1*(1+Inputs!$C$67)*(1+Inputs!$C$68)^(AE$127-1)</f>
        <v>-4039.9072</v>
      </c>
      <c r="AF239" s="67" t="n">
        <f aca="false">-AF233*Inputs!$C$60/12*1*(1+Inputs!$C$67)*(1+Inputs!$C$68)^(AF$127-1)</f>
        <v>-4039.9072</v>
      </c>
      <c r="AG239" s="67" t="n">
        <f aca="false">-AG233*Inputs!$C$60/12*1*(1+Inputs!$C$67)*(1+Inputs!$C$68)^(AG$127-1)</f>
        <v>-4039.9072</v>
      </c>
      <c r="AH239" s="67" t="n">
        <f aca="false">-AH233*Inputs!$C$60/12*1*(1+Inputs!$C$67)*(1+Inputs!$C$68)^(AH$127-1)</f>
        <v>-4039.9072</v>
      </c>
      <c r="AI239" s="67" t="n">
        <f aca="false">-AI233*Inputs!$C$60/12*1*(1+Inputs!$C$67)*(1+Inputs!$C$68)^(AI$127-1)</f>
        <v>-4039.9072</v>
      </c>
      <c r="AJ239" s="67" t="n">
        <f aca="false">-AJ233*Inputs!$C$60/12*1*(1+Inputs!$C$67)*(1+Inputs!$C$68)^(AJ$127-1)</f>
        <v>-4039.9072</v>
      </c>
      <c r="AK239" s="67" t="n">
        <f aca="false">-AK233*Inputs!$C$60/12*1*(1+Inputs!$C$67)*(1+Inputs!$C$68)^(AK$127-1)</f>
        <v>-4039.9072</v>
      </c>
      <c r="AL239" s="67" t="n">
        <f aca="false">-AL233*Inputs!$C$60/12*1*(1+Inputs!$C$67)*(1+Inputs!$C$68)^(AL$127-1)</f>
        <v>-4039.9072</v>
      </c>
      <c r="AM239" s="67" t="n">
        <f aca="false">-AM233*Inputs!$C$60/12*1*(1+Inputs!$C$67)*(1+Inputs!$C$68)^(AM$127-1)</f>
        <v>-4161.104416</v>
      </c>
      <c r="AN239" s="67" t="n">
        <f aca="false">-AN233*Inputs!$C$60/12*1*(1+Inputs!$C$67)*(1+Inputs!$C$68)^(AN$127-1)</f>
        <v>-4161.104416</v>
      </c>
      <c r="AO239" s="67" t="n">
        <f aca="false">-AO233*Inputs!$C$60/12*1*(1+Inputs!$C$67)*(1+Inputs!$C$68)^(AO$127-1)</f>
        <v>-4161.104416</v>
      </c>
      <c r="AP239" s="67" t="n">
        <f aca="false">-AP233*Inputs!$C$60/12*1*(1+Inputs!$C$67)*(1+Inputs!$C$68)^(AP$127-1)</f>
        <v>-4161.104416</v>
      </c>
      <c r="AQ239" s="67" t="n">
        <f aca="false">-AQ233*Inputs!$C$60/12*1*(1+Inputs!$C$67)*(1+Inputs!$C$68)^(AQ$127-1)</f>
        <v>-4161.104416</v>
      </c>
      <c r="AR239" s="67" t="n">
        <f aca="false">-AR233*Inputs!$C$60/12*1*(1+Inputs!$C$67)*(1+Inputs!$C$68)^(AR$127-1)</f>
        <v>-4161.104416</v>
      </c>
      <c r="AS239" s="67" t="n">
        <f aca="false">-AS233*Inputs!$C$60/12*1*(1+Inputs!$C$67)*(1+Inputs!$C$68)^(AS$127-1)</f>
        <v>-4161.104416</v>
      </c>
      <c r="AT239" s="67" t="n">
        <f aca="false">-AT233*Inputs!$C$60/12*1*(1+Inputs!$C$67)*(1+Inputs!$C$68)^(AT$127-1)</f>
        <v>-4161.104416</v>
      </c>
      <c r="AU239" s="67" t="n">
        <f aca="false">-AU233*Inputs!$C$60/12*1*(1+Inputs!$C$67)*(1+Inputs!$C$68)^(AU$127-1)</f>
        <v>-4161.104416</v>
      </c>
      <c r="AV239" s="67" t="n">
        <f aca="false">-AV233*Inputs!$C$60/12*1*(1+Inputs!$C$67)*(1+Inputs!$C$68)^(AV$127-1)</f>
        <v>-4161.104416</v>
      </c>
      <c r="AW239" s="67" t="n">
        <f aca="false">-AW233*Inputs!$C$60/12*1*(1+Inputs!$C$67)*(1+Inputs!$C$68)^(AW$127-1)</f>
        <v>-4161.104416</v>
      </c>
      <c r="AX239" s="67" t="n">
        <f aca="false">-AX233*Inputs!$C$60/12*1*(1+Inputs!$C$67)*(1+Inputs!$C$68)^(AX$127-1)</f>
        <v>-4161.104416</v>
      </c>
      <c r="AY239" s="67" t="n">
        <f aca="false">-AY233*Inputs!$C$60/12*1*(1+Inputs!$C$67)*(1+Inputs!$C$68)^(AY$127-1)</f>
        <v>-4285.93754848</v>
      </c>
      <c r="AZ239" s="67" t="n">
        <f aca="false">-AZ233*Inputs!$C$60/12*1*(1+Inputs!$C$67)*(1+Inputs!$C$68)^(AZ$127-1)</f>
        <v>-4285.93754848</v>
      </c>
      <c r="BA239" s="67" t="n">
        <f aca="false">-BA233*Inputs!$C$60/12*1*(1+Inputs!$C$67)*(1+Inputs!$C$68)^(BA$127-1)</f>
        <v>-4285.93754848</v>
      </c>
      <c r="BB239" s="67" t="n">
        <f aca="false">-BB233*Inputs!$C$60/12*1*(1+Inputs!$C$67)*(1+Inputs!$C$68)^(BB$127-1)</f>
        <v>-4285.93754848</v>
      </c>
      <c r="BC239" s="67" t="n">
        <f aca="false">-BC233*Inputs!$C$60/12*1*(1+Inputs!$C$67)*(1+Inputs!$C$68)^(BC$127-1)</f>
        <v>-4285.93754848</v>
      </c>
      <c r="BD239" s="67" t="n">
        <f aca="false">-BD233*Inputs!$C$60/12*1*(1+Inputs!$C$67)*(1+Inputs!$C$68)^(BD$127-1)</f>
        <v>-4285.93754848</v>
      </c>
      <c r="BE239" s="67" t="n">
        <f aca="false">-BE233*Inputs!$C$60/12*1*(1+Inputs!$C$67)*(1+Inputs!$C$68)^(BE$127-1)</f>
        <v>-4285.93754848</v>
      </c>
      <c r="BF239" s="67" t="n">
        <f aca="false">-BF233*Inputs!$C$60/12*1*(1+Inputs!$C$67)*(1+Inputs!$C$68)^(BF$127-1)</f>
        <v>-4285.93754848</v>
      </c>
      <c r="BG239" s="67" t="n">
        <f aca="false">-BG233*Inputs!$C$60/12*1*(1+Inputs!$C$67)*(1+Inputs!$C$68)^(BG$127-1)</f>
        <v>-4285.93754848</v>
      </c>
      <c r="BH239" s="67" t="n">
        <f aca="false">-BH233*Inputs!$C$60/12*1*(1+Inputs!$C$67)*(1+Inputs!$C$68)^(BH$127-1)</f>
        <v>-4285.93754848</v>
      </c>
      <c r="BI239" s="67" t="n">
        <f aca="false">-BI233*Inputs!$C$60/12*1*(1+Inputs!$C$67)*(1+Inputs!$C$68)^(BI$127-1)</f>
        <v>-4285.93754848</v>
      </c>
      <c r="BJ239" s="67" t="n">
        <f aca="false">-BJ233*Inputs!$C$60/12*1*(1+Inputs!$C$67)*(1+Inputs!$C$68)^(BJ$127-1)</f>
        <v>-4285.93754848</v>
      </c>
    </row>
    <row r="240" customFormat="false" ht="15" hidden="false" customHeight="false" outlineLevel="0" collapsed="false">
      <c r="A240" s="6" t="s">
        <v>464</v>
      </c>
      <c r="C240" s="67" t="n">
        <f aca="false">-C234*Inputs!$C$64/12*1*(1+Inputs!$C$67)*(1+Inputs!$C$68)^(C$127-1)</f>
        <v>-2706.66666666667</v>
      </c>
      <c r="D240" s="67" t="n">
        <f aca="false">-D234*Inputs!$C$64/12*1*(1+Inputs!$C$67)*(1+Inputs!$C$68)^(D$127-1)</f>
        <v>-2706.66666666667</v>
      </c>
      <c r="E240" s="67" t="n">
        <f aca="false">-E234*Inputs!$C$64/12*1*(1+Inputs!$C$67)*(1+Inputs!$C$68)^(E$127-1)</f>
        <v>-2706.66666666667</v>
      </c>
      <c r="F240" s="67" t="n">
        <f aca="false">-F234*Inputs!$C$64/12*1*(1+Inputs!$C$67)*(1+Inputs!$C$68)^(F$127-1)</f>
        <v>-2706.66666666667</v>
      </c>
      <c r="G240" s="67" t="n">
        <f aca="false">-G234*Inputs!$C$64/12*1*(1+Inputs!$C$67)*(1+Inputs!$C$68)^(G$127-1)</f>
        <v>-2706.66666666667</v>
      </c>
      <c r="H240" s="67" t="n">
        <f aca="false">-H234*Inputs!$C$64/12*1*(1+Inputs!$C$67)*(1+Inputs!$C$68)^(H$127-1)</f>
        <v>-2706.66666666667</v>
      </c>
      <c r="I240" s="67" t="n">
        <f aca="false">-I234*Inputs!$C$64/12*1*(1+Inputs!$C$67)*(1+Inputs!$C$68)^(I$127-1)</f>
        <v>-2706.66666666667</v>
      </c>
      <c r="J240" s="67" t="n">
        <f aca="false">-J234*Inputs!$C$64/12*1*(1+Inputs!$C$67)*(1+Inputs!$C$68)^(J$127-1)</f>
        <v>-2706.66666666667</v>
      </c>
      <c r="K240" s="67" t="n">
        <f aca="false">-K234*Inputs!$C$64/12*1*(1+Inputs!$C$67)*(1+Inputs!$C$68)^(K$127-1)</f>
        <v>-2706.66666666667</v>
      </c>
      <c r="L240" s="67" t="n">
        <f aca="false">-L234*Inputs!$C$64/12*1*(1+Inputs!$C$67)*(1+Inputs!$C$68)^(L$127-1)</f>
        <v>-2706.66666666667</v>
      </c>
      <c r="M240" s="67" t="n">
        <f aca="false">-M234*Inputs!$C$64/12*1*(1+Inputs!$C$67)*(1+Inputs!$C$68)^(M$127-1)</f>
        <v>-2706.66666666667</v>
      </c>
      <c r="N240" s="67" t="n">
        <f aca="false">-N234*Inputs!$C$64/12*1*(1+Inputs!$C$67)*(1+Inputs!$C$68)^(N$127-1)</f>
        <v>-2706.66666666667</v>
      </c>
      <c r="O240" s="67" t="n">
        <f aca="false">-O234*Inputs!$C$64/12*1*(1+Inputs!$C$67)*(1+Inputs!$C$68)^(O$127-1)</f>
        <v>-2787.86666666667</v>
      </c>
      <c r="P240" s="67" t="n">
        <f aca="false">-P234*Inputs!$C$64/12*1*(1+Inputs!$C$67)*(1+Inputs!$C$68)^(P$127-1)</f>
        <v>-2787.86666666667</v>
      </c>
      <c r="Q240" s="67" t="n">
        <f aca="false">-Q234*Inputs!$C$64/12*1*(1+Inputs!$C$67)*(1+Inputs!$C$68)^(Q$127-1)</f>
        <v>-2787.86666666667</v>
      </c>
      <c r="R240" s="67" t="n">
        <f aca="false">-R234*Inputs!$C$64/12*1*(1+Inputs!$C$67)*(1+Inputs!$C$68)^(R$127-1)</f>
        <v>-2787.86666666667</v>
      </c>
      <c r="S240" s="67" t="n">
        <f aca="false">-S234*Inputs!$C$64/12*1*(1+Inputs!$C$67)*(1+Inputs!$C$68)^(S$127-1)</f>
        <v>-2787.86666666667</v>
      </c>
      <c r="T240" s="67" t="n">
        <f aca="false">-T234*Inputs!$C$64/12*1*(1+Inputs!$C$67)*(1+Inputs!$C$68)^(T$127-1)</f>
        <v>-2787.86666666667</v>
      </c>
      <c r="U240" s="67" t="n">
        <f aca="false">-U234*Inputs!$C$64/12*1*(1+Inputs!$C$67)*(1+Inputs!$C$68)^(U$127-1)</f>
        <v>-2787.86666666667</v>
      </c>
      <c r="V240" s="67" t="n">
        <f aca="false">-V234*Inputs!$C$64/12*1*(1+Inputs!$C$67)*(1+Inputs!$C$68)^(V$127-1)</f>
        <v>-2787.86666666667</v>
      </c>
      <c r="W240" s="67" t="n">
        <f aca="false">-W234*Inputs!$C$64/12*1*(1+Inputs!$C$67)*(1+Inputs!$C$68)^(W$127-1)</f>
        <v>-2787.86666666667</v>
      </c>
      <c r="X240" s="67" t="n">
        <f aca="false">-X234*Inputs!$C$64/12*1*(1+Inputs!$C$67)*(1+Inputs!$C$68)^(X$127-1)</f>
        <v>-2787.86666666667</v>
      </c>
      <c r="Y240" s="67" t="n">
        <f aca="false">-Y234*Inputs!$C$64/12*1*(1+Inputs!$C$67)*(1+Inputs!$C$68)^(Y$127-1)</f>
        <v>-2787.86666666667</v>
      </c>
      <c r="Z240" s="67" t="n">
        <f aca="false">-Z234*Inputs!$C$64/12*1*(1+Inputs!$C$67)*(1+Inputs!$C$68)^(Z$127-1)</f>
        <v>-2787.86666666667</v>
      </c>
      <c r="AA240" s="67" t="n">
        <f aca="false">-AA234*Inputs!$C$64/12*1*(1+Inputs!$C$67)*(1+Inputs!$C$68)^(AA$127-1)</f>
        <v>-2871.50266666667</v>
      </c>
      <c r="AB240" s="67" t="n">
        <f aca="false">-AB234*Inputs!$C$64/12*1*(1+Inputs!$C$67)*(1+Inputs!$C$68)^(AB$127-1)</f>
        <v>-2871.50266666667</v>
      </c>
      <c r="AC240" s="67" t="n">
        <f aca="false">-AC234*Inputs!$C$64/12*1*(1+Inputs!$C$67)*(1+Inputs!$C$68)^(AC$127-1)</f>
        <v>-2871.50266666667</v>
      </c>
      <c r="AD240" s="67" t="n">
        <f aca="false">-AD234*Inputs!$C$64/12*1*(1+Inputs!$C$67)*(1+Inputs!$C$68)^(AD$127-1)</f>
        <v>-2871.50266666667</v>
      </c>
      <c r="AE240" s="67" t="n">
        <f aca="false">-AE234*Inputs!$C$64/12*1*(1+Inputs!$C$67)*(1+Inputs!$C$68)^(AE$127-1)</f>
        <v>-2871.50266666667</v>
      </c>
      <c r="AF240" s="67" t="n">
        <f aca="false">-AF234*Inputs!$C$64/12*1*(1+Inputs!$C$67)*(1+Inputs!$C$68)^(AF$127-1)</f>
        <v>-2871.50266666667</v>
      </c>
      <c r="AG240" s="67" t="n">
        <f aca="false">-AG234*Inputs!$C$64/12*1*(1+Inputs!$C$67)*(1+Inputs!$C$68)^(AG$127-1)</f>
        <v>-2871.50266666667</v>
      </c>
      <c r="AH240" s="67" t="n">
        <f aca="false">-AH234*Inputs!$C$64/12*1*(1+Inputs!$C$67)*(1+Inputs!$C$68)^(AH$127-1)</f>
        <v>-2871.50266666667</v>
      </c>
      <c r="AI240" s="67" t="n">
        <f aca="false">-AI234*Inputs!$C$64/12*1*(1+Inputs!$C$67)*(1+Inputs!$C$68)^(AI$127-1)</f>
        <v>-2871.50266666667</v>
      </c>
      <c r="AJ240" s="67" t="n">
        <f aca="false">-AJ234*Inputs!$C$64/12*1*(1+Inputs!$C$67)*(1+Inputs!$C$68)^(AJ$127-1)</f>
        <v>-2871.50266666667</v>
      </c>
      <c r="AK240" s="67" t="n">
        <f aca="false">-AK234*Inputs!$C$64/12*1*(1+Inputs!$C$67)*(1+Inputs!$C$68)^(AK$127-1)</f>
        <v>-2871.50266666667</v>
      </c>
      <c r="AL240" s="67" t="n">
        <f aca="false">-AL234*Inputs!$C$64/12*1*(1+Inputs!$C$67)*(1+Inputs!$C$68)^(AL$127-1)</f>
        <v>-2871.50266666667</v>
      </c>
      <c r="AM240" s="67" t="n">
        <f aca="false">-AM234*Inputs!$C$64/12*1*(1+Inputs!$C$67)*(1+Inputs!$C$68)^(AM$127-1)</f>
        <v>-2957.64774666667</v>
      </c>
      <c r="AN240" s="67" t="n">
        <f aca="false">-AN234*Inputs!$C$64/12*1*(1+Inputs!$C$67)*(1+Inputs!$C$68)^(AN$127-1)</f>
        <v>-2957.64774666667</v>
      </c>
      <c r="AO240" s="67" t="n">
        <f aca="false">-AO234*Inputs!$C$64/12*1*(1+Inputs!$C$67)*(1+Inputs!$C$68)^(AO$127-1)</f>
        <v>-2957.64774666667</v>
      </c>
      <c r="AP240" s="67" t="n">
        <f aca="false">-AP234*Inputs!$C$64/12*1*(1+Inputs!$C$67)*(1+Inputs!$C$68)^(AP$127-1)</f>
        <v>-2957.64774666667</v>
      </c>
      <c r="AQ240" s="67" t="n">
        <f aca="false">-AQ234*Inputs!$C$64/12*1*(1+Inputs!$C$67)*(1+Inputs!$C$68)^(AQ$127-1)</f>
        <v>-2957.64774666667</v>
      </c>
      <c r="AR240" s="67" t="n">
        <f aca="false">-AR234*Inputs!$C$64/12*1*(1+Inputs!$C$67)*(1+Inputs!$C$68)^(AR$127-1)</f>
        <v>-2957.64774666667</v>
      </c>
      <c r="AS240" s="67" t="n">
        <f aca="false">-AS234*Inputs!$C$64/12*1*(1+Inputs!$C$67)*(1+Inputs!$C$68)^(AS$127-1)</f>
        <v>-2957.64774666667</v>
      </c>
      <c r="AT240" s="67" t="n">
        <f aca="false">-AT234*Inputs!$C$64/12*1*(1+Inputs!$C$67)*(1+Inputs!$C$68)^(AT$127-1)</f>
        <v>-2957.64774666667</v>
      </c>
      <c r="AU240" s="67" t="n">
        <f aca="false">-AU234*Inputs!$C$64/12*1*(1+Inputs!$C$67)*(1+Inputs!$C$68)^(AU$127-1)</f>
        <v>-2957.64774666667</v>
      </c>
      <c r="AV240" s="67" t="n">
        <f aca="false">-AV234*Inputs!$C$64/12*1*(1+Inputs!$C$67)*(1+Inputs!$C$68)^(AV$127-1)</f>
        <v>-2957.64774666667</v>
      </c>
      <c r="AW240" s="67" t="n">
        <f aca="false">-AW234*Inputs!$C$64/12*1*(1+Inputs!$C$67)*(1+Inputs!$C$68)^(AW$127-1)</f>
        <v>-2957.64774666667</v>
      </c>
      <c r="AX240" s="67" t="n">
        <f aca="false">-AX234*Inputs!$C$64/12*1*(1+Inputs!$C$67)*(1+Inputs!$C$68)^(AX$127-1)</f>
        <v>-2957.64774666667</v>
      </c>
      <c r="AY240" s="67" t="n">
        <f aca="false">-AY234*Inputs!$C$64/12*1*(1+Inputs!$C$67)*(1+Inputs!$C$68)^(AY$127-1)</f>
        <v>-3046.37717906667</v>
      </c>
      <c r="AZ240" s="67" t="n">
        <f aca="false">-AZ234*Inputs!$C$64/12*1*(1+Inputs!$C$67)*(1+Inputs!$C$68)^(AZ$127-1)</f>
        <v>-3046.37717906667</v>
      </c>
      <c r="BA240" s="67" t="n">
        <f aca="false">-BA234*Inputs!$C$64/12*1*(1+Inputs!$C$67)*(1+Inputs!$C$68)^(BA$127-1)</f>
        <v>-3046.37717906667</v>
      </c>
      <c r="BB240" s="67" t="n">
        <f aca="false">-BB234*Inputs!$C$64/12*1*(1+Inputs!$C$67)*(1+Inputs!$C$68)^(BB$127-1)</f>
        <v>-3046.37717906667</v>
      </c>
      <c r="BC240" s="67" t="n">
        <f aca="false">-BC234*Inputs!$C$64/12*1*(1+Inputs!$C$67)*(1+Inputs!$C$68)^(BC$127-1)</f>
        <v>-3046.37717906667</v>
      </c>
      <c r="BD240" s="67" t="n">
        <f aca="false">-BD234*Inputs!$C$64/12*1*(1+Inputs!$C$67)*(1+Inputs!$C$68)^(BD$127-1)</f>
        <v>-3046.37717906667</v>
      </c>
      <c r="BE240" s="67" t="n">
        <f aca="false">-BE234*Inputs!$C$64/12*1*(1+Inputs!$C$67)*(1+Inputs!$C$68)^(BE$127-1)</f>
        <v>-3046.37717906667</v>
      </c>
      <c r="BF240" s="67" t="n">
        <f aca="false">-BF234*Inputs!$C$64/12*1*(1+Inputs!$C$67)*(1+Inputs!$C$68)^(BF$127-1)</f>
        <v>-3046.37717906667</v>
      </c>
      <c r="BG240" s="67" t="n">
        <f aca="false">-BG234*Inputs!$C$64/12*1*(1+Inputs!$C$67)*(1+Inputs!$C$68)^(BG$127-1)</f>
        <v>-3046.37717906667</v>
      </c>
      <c r="BH240" s="67" t="n">
        <f aca="false">-BH234*Inputs!$C$64/12*1*(1+Inputs!$C$67)*(1+Inputs!$C$68)^(BH$127-1)</f>
        <v>-3046.37717906667</v>
      </c>
      <c r="BI240" s="67" t="n">
        <f aca="false">-BI234*Inputs!$C$64/12*1*(1+Inputs!$C$67)*(1+Inputs!$C$68)^(BI$127-1)</f>
        <v>-3046.37717906667</v>
      </c>
      <c r="BJ240" s="67" t="n">
        <f aca="false">-BJ234*Inputs!$C$64/12*1*(1+Inputs!$C$67)*(1+Inputs!$C$68)^(BJ$127-1)</f>
        <v>-3046.37717906667</v>
      </c>
    </row>
    <row r="241" customFormat="false" ht="15" hidden="false" customHeight="false" outlineLevel="0" collapsed="false">
      <c r="A241" s="113" t="s">
        <v>465</v>
      </c>
      <c r="C241" s="68" t="n">
        <f aca="false">C238+C239+C240</f>
        <v>-9874.66666666667</v>
      </c>
      <c r="D241" s="68" t="n">
        <f aca="false">D238+D239+D240</f>
        <v>-9874.66666666667</v>
      </c>
      <c r="E241" s="68" t="n">
        <f aca="false">E238+E239+E240</f>
        <v>-9874.66666666667</v>
      </c>
      <c r="F241" s="68" t="n">
        <f aca="false">F238+F239+F240</f>
        <v>-9874.66666666667</v>
      </c>
      <c r="G241" s="68" t="n">
        <f aca="false">G238+G239+G240</f>
        <v>-9874.66666666667</v>
      </c>
      <c r="H241" s="68" t="n">
        <f aca="false">H238+H239+H240</f>
        <v>-9874.66666666667</v>
      </c>
      <c r="I241" s="68" t="n">
        <f aca="false">I238+I239+I240</f>
        <v>-9874.66666666667</v>
      </c>
      <c r="J241" s="68" t="n">
        <f aca="false">J238+J239+J240</f>
        <v>-9874.66666666667</v>
      </c>
      <c r="K241" s="68" t="n">
        <f aca="false">K238+K239+K240</f>
        <v>-9874.66666666667</v>
      </c>
      <c r="L241" s="68" t="n">
        <f aca="false">L238+L239+L240</f>
        <v>-9874.66666666667</v>
      </c>
      <c r="M241" s="68" t="n">
        <f aca="false">M238+M239+M240</f>
        <v>-9874.66666666667</v>
      </c>
      <c r="N241" s="68" t="n">
        <f aca="false">N238+N239+N240</f>
        <v>-9874.66666666667</v>
      </c>
      <c r="O241" s="68" t="n">
        <f aca="false">O238+O239+O240</f>
        <v>-10170.9066666667</v>
      </c>
      <c r="P241" s="68" t="n">
        <f aca="false">P238+P239+P240</f>
        <v>-10170.9066666667</v>
      </c>
      <c r="Q241" s="68" t="n">
        <f aca="false">Q238+Q239+Q240</f>
        <v>-10170.9066666667</v>
      </c>
      <c r="R241" s="68" t="n">
        <f aca="false">R238+R239+R240</f>
        <v>-10170.9066666667</v>
      </c>
      <c r="S241" s="68" t="n">
        <f aca="false">S238+S239+S240</f>
        <v>-10170.9066666667</v>
      </c>
      <c r="T241" s="68" t="n">
        <f aca="false">T238+T239+T240</f>
        <v>-10170.9066666667</v>
      </c>
      <c r="U241" s="68" t="n">
        <f aca="false">U238+U239+U240</f>
        <v>-10170.9066666667</v>
      </c>
      <c r="V241" s="68" t="n">
        <f aca="false">V238+V239+V240</f>
        <v>-10170.9066666667</v>
      </c>
      <c r="W241" s="68" t="n">
        <f aca="false">W238+W239+W240</f>
        <v>-10170.9066666667</v>
      </c>
      <c r="X241" s="68" t="n">
        <f aca="false">X238+X239+X240</f>
        <v>-10170.9066666667</v>
      </c>
      <c r="Y241" s="68" t="n">
        <f aca="false">Y238+Y239+Y240</f>
        <v>-10170.9066666667</v>
      </c>
      <c r="Z241" s="68" t="n">
        <f aca="false">Z238+Z239+Z240</f>
        <v>-10170.9066666667</v>
      </c>
      <c r="AA241" s="68" t="n">
        <f aca="false">AA238+AA239+AA240</f>
        <v>-10476.0338666667</v>
      </c>
      <c r="AB241" s="68" t="n">
        <f aca="false">AB238+AB239+AB240</f>
        <v>-10476.0338666667</v>
      </c>
      <c r="AC241" s="68" t="n">
        <f aca="false">AC238+AC239+AC240</f>
        <v>-10476.0338666667</v>
      </c>
      <c r="AD241" s="68" t="n">
        <f aca="false">AD238+AD239+AD240</f>
        <v>-10476.0338666667</v>
      </c>
      <c r="AE241" s="68" t="n">
        <f aca="false">AE238+AE239+AE240</f>
        <v>-10476.0338666667</v>
      </c>
      <c r="AF241" s="68" t="n">
        <f aca="false">AF238+AF239+AF240</f>
        <v>-10476.0338666667</v>
      </c>
      <c r="AG241" s="68" t="n">
        <f aca="false">AG238+AG239+AG240</f>
        <v>-10476.0338666667</v>
      </c>
      <c r="AH241" s="68" t="n">
        <f aca="false">AH238+AH239+AH240</f>
        <v>-10476.0338666667</v>
      </c>
      <c r="AI241" s="68" t="n">
        <f aca="false">AI238+AI239+AI240</f>
        <v>-10476.0338666667</v>
      </c>
      <c r="AJ241" s="68" t="n">
        <f aca="false">AJ238+AJ239+AJ240</f>
        <v>-10476.0338666667</v>
      </c>
      <c r="AK241" s="68" t="n">
        <f aca="false">AK238+AK239+AK240</f>
        <v>-10476.0338666667</v>
      </c>
      <c r="AL241" s="68" t="n">
        <f aca="false">AL238+AL239+AL240</f>
        <v>-10476.0338666667</v>
      </c>
      <c r="AM241" s="68" t="n">
        <f aca="false">AM238+AM239+AM240</f>
        <v>-10790.3148826667</v>
      </c>
      <c r="AN241" s="68" t="n">
        <f aca="false">AN238+AN239+AN240</f>
        <v>-10790.3148826667</v>
      </c>
      <c r="AO241" s="68" t="n">
        <f aca="false">AO238+AO239+AO240</f>
        <v>-10790.3148826667</v>
      </c>
      <c r="AP241" s="68" t="n">
        <f aca="false">AP238+AP239+AP240</f>
        <v>-10790.3148826667</v>
      </c>
      <c r="AQ241" s="68" t="n">
        <f aca="false">AQ238+AQ239+AQ240</f>
        <v>-10790.3148826667</v>
      </c>
      <c r="AR241" s="68" t="n">
        <f aca="false">AR238+AR239+AR240</f>
        <v>-10790.3148826667</v>
      </c>
      <c r="AS241" s="68" t="n">
        <f aca="false">AS238+AS239+AS240</f>
        <v>-10790.3148826667</v>
      </c>
      <c r="AT241" s="68" t="n">
        <f aca="false">AT238+AT239+AT240</f>
        <v>-10790.3148826667</v>
      </c>
      <c r="AU241" s="68" t="n">
        <f aca="false">AU238+AU239+AU240</f>
        <v>-10790.3148826667</v>
      </c>
      <c r="AV241" s="68" t="n">
        <f aca="false">AV238+AV239+AV240</f>
        <v>-10790.3148826667</v>
      </c>
      <c r="AW241" s="68" t="n">
        <f aca="false">AW238+AW239+AW240</f>
        <v>-10790.3148826667</v>
      </c>
      <c r="AX241" s="68" t="n">
        <f aca="false">AX238+AX239+AX240</f>
        <v>-10790.3148826667</v>
      </c>
      <c r="AY241" s="68" t="n">
        <f aca="false">AY238+AY239+AY240</f>
        <v>-11114.0243291467</v>
      </c>
      <c r="AZ241" s="68" t="n">
        <f aca="false">AZ238+AZ239+AZ240</f>
        <v>-11114.0243291467</v>
      </c>
      <c r="BA241" s="68" t="n">
        <f aca="false">BA238+BA239+BA240</f>
        <v>-11114.0243291467</v>
      </c>
      <c r="BB241" s="68" t="n">
        <f aca="false">BB238+BB239+BB240</f>
        <v>-11114.0243291467</v>
      </c>
      <c r="BC241" s="68" t="n">
        <f aca="false">BC238+BC239+BC240</f>
        <v>-11114.0243291467</v>
      </c>
      <c r="BD241" s="68" t="n">
        <f aca="false">BD238+BD239+BD240</f>
        <v>-11114.0243291467</v>
      </c>
      <c r="BE241" s="68" t="n">
        <f aca="false">BE238+BE239+BE240</f>
        <v>-11114.0243291467</v>
      </c>
      <c r="BF241" s="68" t="n">
        <f aca="false">BF238+BF239+BF240</f>
        <v>-11114.0243291467</v>
      </c>
      <c r="BG241" s="68" t="n">
        <f aca="false">BG238+BG239+BG240</f>
        <v>-11114.0243291467</v>
      </c>
      <c r="BH241" s="68" t="n">
        <f aca="false">BH238+BH239+BH240</f>
        <v>-11114.0243291467</v>
      </c>
      <c r="BI241" s="68" t="n">
        <f aca="false">BI238+BI239+BI240</f>
        <v>-11114.0243291467</v>
      </c>
      <c r="BJ241" s="68" t="n">
        <f aca="false">BJ238+BJ239+BJ240</f>
        <v>-11114.0243291467</v>
      </c>
    </row>
    <row r="244" customFormat="false" ht="15.75" hidden="false" customHeight="true" outlineLevel="0" collapsed="false">
      <c r="A244" s="7" t="s">
        <v>470</v>
      </c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</row>
    <row r="245" customFormat="false" ht="15" hidden="false" customHeight="false" outlineLevel="0" collapsed="false">
      <c r="A245" s="33" t="s">
        <v>349</v>
      </c>
      <c r="C245" s="52" t="s">
        <v>350</v>
      </c>
      <c r="D245" s="52" t="s">
        <v>351</v>
      </c>
      <c r="E245" s="52" t="s">
        <v>352</v>
      </c>
      <c r="F245" s="52" t="s">
        <v>353</v>
      </c>
      <c r="G245" s="52" t="s">
        <v>354</v>
      </c>
      <c r="H245" s="52" t="s">
        <v>355</v>
      </c>
      <c r="I245" s="52" t="s">
        <v>356</v>
      </c>
      <c r="J245" s="52" t="s">
        <v>357</v>
      </c>
      <c r="K245" s="52" t="s">
        <v>358</v>
      </c>
      <c r="L245" s="52" t="s">
        <v>359</v>
      </c>
      <c r="M245" s="52" t="s">
        <v>360</v>
      </c>
      <c r="N245" s="52" t="s">
        <v>361</v>
      </c>
      <c r="O245" s="52" t="s">
        <v>362</v>
      </c>
      <c r="P245" s="52" t="s">
        <v>363</v>
      </c>
      <c r="Q245" s="52" t="s">
        <v>364</v>
      </c>
      <c r="R245" s="52" t="s">
        <v>365</v>
      </c>
      <c r="S245" s="52" t="s">
        <v>366</v>
      </c>
      <c r="T245" s="52" t="s">
        <v>367</v>
      </c>
      <c r="U245" s="52" t="s">
        <v>368</v>
      </c>
      <c r="V245" s="52" t="s">
        <v>369</v>
      </c>
      <c r="W245" s="52" t="s">
        <v>370</v>
      </c>
      <c r="X245" s="52" t="s">
        <v>371</v>
      </c>
      <c r="Y245" s="52" t="s">
        <v>372</v>
      </c>
      <c r="Z245" s="52" t="s">
        <v>373</v>
      </c>
      <c r="AA245" s="52" t="s">
        <v>374</v>
      </c>
      <c r="AB245" s="52" t="s">
        <v>375</v>
      </c>
      <c r="AC245" s="52" t="s">
        <v>376</v>
      </c>
      <c r="AD245" s="52" t="s">
        <v>377</v>
      </c>
      <c r="AE245" s="52" t="s">
        <v>378</v>
      </c>
      <c r="AF245" s="52" t="s">
        <v>379</v>
      </c>
      <c r="AG245" s="52" t="s">
        <v>380</v>
      </c>
      <c r="AH245" s="52" t="s">
        <v>381</v>
      </c>
      <c r="AI245" s="52" t="s">
        <v>382</v>
      </c>
      <c r="AJ245" s="52" t="s">
        <v>383</v>
      </c>
      <c r="AK245" s="52" t="s">
        <v>384</v>
      </c>
      <c r="AL245" s="52" t="s">
        <v>385</v>
      </c>
      <c r="AM245" s="52" t="s">
        <v>386</v>
      </c>
      <c r="AN245" s="52" t="s">
        <v>387</v>
      </c>
      <c r="AO245" s="52" t="s">
        <v>388</v>
      </c>
      <c r="AP245" s="52" t="s">
        <v>389</v>
      </c>
      <c r="AQ245" s="52" t="s">
        <v>390</v>
      </c>
      <c r="AR245" s="52" t="s">
        <v>391</v>
      </c>
      <c r="AS245" s="52" t="s">
        <v>392</v>
      </c>
      <c r="AT245" s="52" t="s">
        <v>393</v>
      </c>
      <c r="AU245" s="52" t="s">
        <v>394</v>
      </c>
      <c r="AV245" s="52" t="s">
        <v>395</v>
      </c>
      <c r="AW245" s="52" t="s">
        <v>396</v>
      </c>
      <c r="AX245" s="52" t="s">
        <v>397</v>
      </c>
      <c r="AY245" s="52" t="s">
        <v>398</v>
      </c>
      <c r="AZ245" s="52" t="s">
        <v>399</v>
      </c>
      <c r="BA245" s="52" t="s">
        <v>400</v>
      </c>
      <c r="BB245" s="52" t="s">
        <v>401</v>
      </c>
      <c r="BC245" s="52" t="s">
        <v>402</v>
      </c>
      <c r="BD245" s="52" t="s">
        <v>403</v>
      </c>
      <c r="BE245" s="52" t="s">
        <v>404</v>
      </c>
      <c r="BF245" s="52" t="s">
        <v>405</v>
      </c>
      <c r="BG245" s="52" t="s">
        <v>406</v>
      </c>
      <c r="BH245" s="52" t="s">
        <v>407</v>
      </c>
      <c r="BI245" s="52" t="s">
        <v>408</v>
      </c>
      <c r="BJ245" s="52" t="s">
        <v>409</v>
      </c>
    </row>
    <row r="246" customFormat="false" ht="15" hidden="false" customHeight="false" outlineLevel="0" collapsed="false">
      <c r="A246" s="72" t="s">
        <v>410</v>
      </c>
      <c r="C246" s="72" t="n">
        <v>1</v>
      </c>
      <c r="D246" s="72" t="n">
        <v>2</v>
      </c>
      <c r="E246" s="72" t="n">
        <v>3</v>
      </c>
      <c r="F246" s="72" t="n">
        <v>4</v>
      </c>
      <c r="G246" s="72" t="n">
        <v>5</v>
      </c>
      <c r="H246" s="72" t="n">
        <v>6</v>
      </c>
      <c r="I246" s="72" t="n">
        <v>7</v>
      </c>
      <c r="J246" s="72" t="n">
        <v>8</v>
      </c>
      <c r="K246" s="72" t="n">
        <v>9</v>
      </c>
      <c r="L246" s="72" t="n">
        <v>10</v>
      </c>
      <c r="M246" s="72" t="n">
        <v>11</v>
      </c>
      <c r="N246" s="72" t="n">
        <v>12</v>
      </c>
      <c r="O246" s="72" t="n">
        <v>13</v>
      </c>
      <c r="P246" s="72" t="n">
        <v>14</v>
      </c>
      <c r="Q246" s="72" t="n">
        <v>15</v>
      </c>
      <c r="R246" s="72" t="n">
        <v>16</v>
      </c>
      <c r="S246" s="72" t="n">
        <v>17</v>
      </c>
      <c r="T246" s="72" t="n">
        <v>18</v>
      </c>
      <c r="U246" s="72" t="n">
        <v>19</v>
      </c>
      <c r="V246" s="72" t="n">
        <v>20</v>
      </c>
      <c r="W246" s="72" t="n">
        <v>21</v>
      </c>
      <c r="X246" s="72" t="n">
        <v>22</v>
      </c>
      <c r="Y246" s="72" t="n">
        <v>23</v>
      </c>
      <c r="Z246" s="72" t="n">
        <v>24</v>
      </c>
      <c r="AA246" s="72" t="n">
        <v>25</v>
      </c>
      <c r="AB246" s="72" t="n">
        <v>26</v>
      </c>
      <c r="AC246" s="72" t="n">
        <v>27</v>
      </c>
      <c r="AD246" s="72" t="n">
        <v>28</v>
      </c>
      <c r="AE246" s="72" t="n">
        <v>29</v>
      </c>
      <c r="AF246" s="72" t="n">
        <v>30</v>
      </c>
      <c r="AG246" s="72" t="n">
        <v>31</v>
      </c>
      <c r="AH246" s="72" t="n">
        <v>32</v>
      </c>
      <c r="AI246" s="72" t="n">
        <v>33</v>
      </c>
      <c r="AJ246" s="72" t="n">
        <v>34</v>
      </c>
      <c r="AK246" s="72" t="n">
        <v>35</v>
      </c>
      <c r="AL246" s="72" t="n">
        <v>36</v>
      </c>
      <c r="AM246" s="72" t="n">
        <v>37</v>
      </c>
      <c r="AN246" s="72" t="n">
        <v>38</v>
      </c>
      <c r="AO246" s="72" t="n">
        <v>39</v>
      </c>
      <c r="AP246" s="72" t="n">
        <v>40</v>
      </c>
      <c r="AQ246" s="72" t="n">
        <v>41</v>
      </c>
      <c r="AR246" s="72" t="n">
        <v>42</v>
      </c>
      <c r="AS246" s="72" t="n">
        <v>43</v>
      </c>
      <c r="AT246" s="72" t="n">
        <v>44</v>
      </c>
      <c r="AU246" s="72" t="n">
        <v>45</v>
      </c>
      <c r="AV246" s="72" t="n">
        <v>46</v>
      </c>
      <c r="AW246" s="72" t="n">
        <v>47</v>
      </c>
      <c r="AX246" s="72" t="n">
        <v>48</v>
      </c>
      <c r="AY246" s="72" t="n">
        <v>49</v>
      </c>
      <c r="AZ246" s="72" t="n">
        <v>50</v>
      </c>
      <c r="BA246" s="72" t="n">
        <v>51</v>
      </c>
      <c r="BB246" s="72" t="n">
        <v>52</v>
      </c>
      <c r="BC246" s="72" t="n">
        <v>53</v>
      </c>
      <c r="BD246" s="72" t="n">
        <v>54</v>
      </c>
      <c r="BE246" s="72" t="n">
        <v>55</v>
      </c>
      <c r="BF246" s="72" t="n">
        <v>56</v>
      </c>
      <c r="BG246" s="72" t="n">
        <v>57</v>
      </c>
      <c r="BH246" s="72" t="n">
        <v>58</v>
      </c>
      <c r="BI246" s="72" t="n">
        <v>59</v>
      </c>
      <c r="BJ246" s="72" t="n">
        <v>60</v>
      </c>
    </row>
    <row r="247" customFormat="false" ht="15" hidden="false" customHeight="false" outlineLevel="0" collapsed="false">
      <c r="A247" s="72" t="s">
        <v>154</v>
      </c>
      <c r="C247" s="72" t="n">
        <f aca="false">ROUNDUP(C246*1/12,0)</f>
        <v>1</v>
      </c>
      <c r="D247" s="72" t="n">
        <f aca="false">ROUNDUP(D246*1/12,0)</f>
        <v>1</v>
      </c>
      <c r="E247" s="72" t="n">
        <f aca="false">ROUNDUP(E246*1/12,0)</f>
        <v>1</v>
      </c>
      <c r="F247" s="72" t="n">
        <f aca="false">ROUNDUP(F246*1/12,0)</f>
        <v>1</v>
      </c>
      <c r="G247" s="72" t="n">
        <f aca="false">ROUNDUP(G246*1/12,0)</f>
        <v>1</v>
      </c>
      <c r="H247" s="72" t="n">
        <f aca="false">ROUNDUP(H246*1/12,0)</f>
        <v>1</v>
      </c>
      <c r="I247" s="72" t="n">
        <f aca="false">ROUNDUP(I246*1/12,0)</f>
        <v>1</v>
      </c>
      <c r="J247" s="72" t="n">
        <f aca="false">ROUNDUP(J246*1/12,0)</f>
        <v>1</v>
      </c>
      <c r="K247" s="72" t="n">
        <f aca="false">ROUNDUP(K246*1/12,0)</f>
        <v>1</v>
      </c>
      <c r="L247" s="72" t="n">
        <f aca="false">ROUNDUP(L246*1/12,0)</f>
        <v>1</v>
      </c>
      <c r="M247" s="72" t="n">
        <f aca="false">ROUNDUP(M246*1/12,0)</f>
        <v>1</v>
      </c>
      <c r="N247" s="72" t="n">
        <f aca="false">ROUNDUP(N246*1/12,0)</f>
        <v>1</v>
      </c>
      <c r="O247" s="72" t="n">
        <f aca="false">ROUNDUP(O246*1/12,0)</f>
        <v>2</v>
      </c>
      <c r="P247" s="72" t="n">
        <f aca="false">ROUNDUP(P246*1/12,0)</f>
        <v>2</v>
      </c>
      <c r="Q247" s="72" t="n">
        <f aca="false">ROUNDUP(Q246*1/12,0)</f>
        <v>2</v>
      </c>
      <c r="R247" s="72" t="n">
        <f aca="false">ROUNDUP(R246*1/12,0)</f>
        <v>2</v>
      </c>
      <c r="S247" s="72" t="n">
        <f aca="false">ROUNDUP(S246*1/12,0)</f>
        <v>2</v>
      </c>
      <c r="T247" s="72" t="n">
        <f aca="false">ROUNDUP(T246*1/12,0)</f>
        <v>2</v>
      </c>
      <c r="U247" s="72" t="n">
        <f aca="false">ROUNDUP(U246*1/12,0)</f>
        <v>2</v>
      </c>
      <c r="V247" s="72" t="n">
        <f aca="false">ROUNDUP(V246*1/12,0)</f>
        <v>2</v>
      </c>
      <c r="W247" s="72" t="n">
        <f aca="false">ROUNDUP(W246*1/12,0)</f>
        <v>2</v>
      </c>
      <c r="X247" s="72" t="n">
        <f aca="false">ROUNDUP(X246*1/12,0)</f>
        <v>2</v>
      </c>
      <c r="Y247" s="72" t="n">
        <f aca="false">ROUNDUP(Y246*1/12,0)</f>
        <v>2</v>
      </c>
      <c r="Z247" s="72" t="n">
        <f aca="false">ROUNDUP(Z246*1/12,0)</f>
        <v>2</v>
      </c>
      <c r="AA247" s="72" t="n">
        <f aca="false">ROUNDUP(AA246*1/12,0)</f>
        <v>3</v>
      </c>
      <c r="AB247" s="72" t="n">
        <f aca="false">ROUNDUP(AB246*1/12,0)</f>
        <v>3</v>
      </c>
      <c r="AC247" s="72" t="n">
        <f aca="false">ROUNDUP(AC246*1/12,0)</f>
        <v>3</v>
      </c>
      <c r="AD247" s="72" t="n">
        <f aca="false">ROUNDUP(AD246*1/12,0)</f>
        <v>3</v>
      </c>
      <c r="AE247" s="72" t="n">
        <f aca="false">ROUNDUP(AE246*1/12,0)</f>
        <v>3</v>
      </c>
      <c r="AF247" s="72" t="n">
        <f aca="false">ROUNDUP(AF246*1/12,0)</f>
        <v>3</v>
      </c>
      <c r="AG247" s="72" t="n">
        <f aca="false">ROUNDUP(AG246*1/12,0)</f>
        <v>3</v>
      </c>
      <c r="AH247" s="72" t="n">
        <f aca="false">ROUNDUP(AH246*1/12,0)</f>
        <v>3</v>
      </c>
      <c r="AI247" s="72" t="n">
        <f aca="false">ROUNDUP(AI246*1/12,0)</f>
        <v>3</v>
      </c>
      <c r="AJ247" s="72" t="n">
        <f aca="false">ROUNDUP(AJ246*1/12,0)</f>
        <v>3</v>
      </c>
      <c r="AK247" s="72" t="n">
        <f aca="false">ROUNDUP(AK246*1/12,0)</f>
        <v>3</v>
      </c>
      <c r="AL247" s="72" t="n">
        <f aca="false">ROUNDUP(AL246*1/12,0)</f>
        <v>3</v>
      </c>
      <c r="AM247" s="72" t="n">
        <f aca="false">ROUNDUP(AM246*1/12,0)</f>
        <v>4</v>
      </c>
      <c r="AN247" s="72" t="n">
        <f aca="false">ROUNDUP(AN246*1/12,0)</f>
        <v>4</v>
      </c>
      <c r="AO247" s="72" t="n">
        <f aca="false">ROUNDUP(AO246*1/12,0)</f>
        <v>4</v>
      </c>
      <c r="AP247" s="72" t="n">
        <f aca="false">ROUNDUP(AP246*1/12,0)</f>
        <v>4</v>
      </c>
      <c r="AQ247" s="72" t="n">
        <f aca="false">ROUNDUP(AQ246*1/12,0)</f>
        <v>4</v>
      </c>
      <c r="AR247" s="72" t="n">
        <f aca="false">ROUNDUP(AR246*1/12,0)</f>
        <v>4</v>
      </c>
      <c r="AS247" s="72" t="n">
        <f aca="false">ROUNDUP(AS246*1/12,0)</f>
        <v>4</v>
      </c>
      <c r="AT247" s="72" t="n">
        <f aca="false">ROUNDUP(AT246*1/12,0)</f>
        <v>4</v>
      </c>
      <c r="AU247" s="72" t="n">
        <f aca="false">ROUNDUP(AU246*1/12,0)</f>
        <v>4</v>
      </c>
      <c r="AV247" s="72" t="n">
        <f aca="false">ROUNDUP(AV246*1/12,0)</f>
        <v>4</v>
      </c>
      <c r="AW247" s="72" t="n">
        <f aca="false">ROUNDUP(AW246*1/12,0)</f>
        <v>4</v>
      </c>
      <c r="AX247" s="72" t="n">
        <f aca="false">ROUNDUP(AX246*1/12,0)</f>
        <v>4</v>
      </c>
      <c r="AY247" s="72" t="n">
        <f aca="false">ROUNDUP(AY246*1/12,0)</f>
        <v>5</v>
      </c>
      <c r="AZ247" s="72" t="n">
        <f aca="false">ROUNDUP(AZ246*1/12,0)</f>
        <v>5</v>
      </c>
      <c r="BA247" s="72" t="n">
        <f aca="false">ROUNDUP(BA246*1/12,0)</f>
        <v>5</v>
      </c>
      <c r="BB247" s="72" t="n">
        <f aca="false">ROUNDUP(BB246*1/12,0)</f>
        <v>5</v>
      </c>
      <c r="BC247" s="72" t="n">
        <f aca="false">ROUNDUP(BC246*1/12,0)</f>
        <v>5</v>
      </c>
      <c r="BD247" s="72" t="n">
        <f aca="false">ROUNDUP(BD246*1/12,0)</f>
        <v>5</v>
      </c>
      <c r="BE247" s="72" t="n">
        <f aca="false">ROUNDUP(BE246*1/12,0)</f>
        <v>5</v>
      </c>
      <c r="BF247" s="72" t="n">
        <f aca="false">ROUNDUP(BF246*1/12,0)</f>
        <v>5</v>
      </c>
      <c r="BG247" s="72" t="n">
        <f aca="false">ROUNDUP(BG246*1/12,0)</f>
        <v>5</v>
      </c>
      <c r="BH247" s="72" t="n">
        <f aca="false">ROUNDUP(BH246*1/12,0)</f>
        <v>5</v>
      </c>
      <c r="BI247" s="72" t="n">
        <f aca="false">ROUNDUP(BI246*1/12,0)</f>
        <v>5</v>
      </c>
      <c r="BJ247" s="72" t="n">
        <f aca="false">ROUNDUP(BJ246*1/12,0)</f>
        <v>5</v>
      </c>
    </row>
    <row r="249" customFormat="false" ht="15.75" hidden="false" customHeight="true" outlineLevel="0" collapsed="false">
      <c r="A249" s="7" t="s">
        <v>411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</row>
    <row r="250" customFormat="false" ht="15" hidden="false" customHeight="false" outlineLevel="0" collapsed="false">
      <c r="A250" s="6" t="s">
        <v>412</v>
      </c>
      <c r="C250" s="116" t="n">
        <f aca="false">Inputs!$D$7+Inputs!$D$8*(C$247-1)</f>
        <v>1</v>
      </c>
      <c r="D250" s="116" t="n">
        <f aca="false">Inputs!$D$7+Inputs!$D$8*(D$247-1)</f>
        <v>1</v>
      </c>
      <c r="E250" s="116" t="n">
        <f aca="false">Inputs!$D$7+Inputs!$D$8*(E$247-1)</f>
        <v>1</v>
      </c>
      <c r="F250" s="116" t="n">
        <f aca="false">Inputs!$D$7+Inputs!$D$8*(F$247-1)</f>
        <v>1</v>
      </c>
      <c r="G250" s="116" t="n">
        <f aca="false">Inputs!$D$7+Inputs!$D$8*(G$247-1)</f>
        <v>1</v>
      </c>
      <c r="H250" s="116" t="n">
        <f aca="false">Inputs!$D$7+Inputs!$D$8*(H$247-1)</f>
        <v>1</v>
      </c>
      <c r="I250" s="116" t="n">
        <f aca="false">Inputs!$D$7+Inputs!$D$8*(I$247-1)</f>
        <v>1</v>
      </c>
      <c r="J250" s="116" t="n">
        <f aca="false">Inputs!$D$7+Inputs!$D$8*(J$247-1)</f>
        <v>1</v>
      </c>
      <c r="K250" s="116" t="n">
        <f aca="false">Inputs!$D$7+Inputs!$D$8*(K$247-1)</f>
        <v>1</v>
      </c>
      <c r="L250" s="116" t="n">
        <f aca="false">Inputs!$D$7+Inputs!$D$8*(L$247-1)</f>
        <v>1</v>
      </c>
      <c r="M250" s="116" t="n">
        <f aca="false">Inputs!$D$7+Inputs!$D$8*(M$247-1)</f>
        <v>1</v>
      </c>
      <c r="N250" s="116" t="n">
        <f aca="false">Inputs!$D$7+Inputs!$D$8*(N$247-1)</f>
        <v>1</v>
      </c>
      <c r="O250" s="116" t="n">
        <f aca="false">Inputs!$D$7+Inputs!$D$8*(O$247-1)</f>
        <v>1</v>
      </c>
      <c r="P250" s="116" t="n">
        <f aca="false">Inputs!$D$7+Inputs!$D$8*(P$247-1)</f>
        <v>1</v>
      </c>
      <c r="Q250" s="116" t="n">
        <f aca="false">Inputs!$D$7+Inputs!$D$8*(Q$247-1)</f>
        <v>1</v>
      </c>
      <c r="R250" s="116" t="n">
        <f aca="false">Inputs!$D$7+Inputs!$D$8*(R$247-1)</f>
        <v>1</v>
      </c>
      <c r="S250" s="116" t="n">
        <f aca="false">Inputs!$D$7+Inputs!$D$8*(S$247-1)</f>
        <v>1</v>
      </c>
      <c r="T250" s="116" t="n">
        <f aca="false">Inputs!$D$7+Inputs!$D$8*(T$247-1)</f>
        <v>1</v>
      </c>
      <c r="U250" s="116" t="n">
        <f aca="false">Inputs!$D$7+Inputs!$D$8*(U$247-1)</f>
        <v>1</v>
      </c>
      <c r="V250" s="116" t="n">
        <f aca="false">Inputs!$D$7+Inputs!$D$8*(V$247-1)</f>
        <v>1</v>
      </c>
      <c r="W250" s="116" t="n">
        <f aca="false">Inputs!$D$7+Inputs!$D$8*(W$247-1)</f>
        <v>1</v>
      </c>
      <c r="X250" s="116" t="n">
        <f aca="false">Inputs!$D$7+Inputs!$D$8*(X$247-1)</f>
        <v>1</v>
      </c>
      <c r="Y250" s="116" t="n">
        <f aca="false">Inputs!$D$7+Inputs!$D$8*(Y$247-1)</f>
        <v>1</v>
      </c>
      <c r="Z250" s="116" t="n">
        <f aca="false">Inputs!$D$7+Inputs!$D$8*(Z$247-1)</f>
        <v>1</v>
      </c>
      <c r="AA250" s="116" t="n">
        <f aca="false">Inputs!$D$7+Inputs!$D$8*(AA$247-1)</f>
        <v>1</v>
      </c>
      <c r="AB250" s="116" t="n">
        <f aca="false">Inputs!$D$7+Inputs!$D$8*(AB$247-1)</f>
        <v>1</v>
      </c>
      <c r="AC250" s="116" t="n">
        <f aca="false">Inputs!$D$7+Inputs!$D$8*(AC$247-1)</f>
        <v>1</v>
      </c>
      <c r="AD250" s="116" t="n">
        <f aca="false">Inputs!$D$7+Inputs!$D$8*(AD$247-1)</f>
        <v>1</v>
      </c>
      <c r="AE250" s="116" t="n">
        <f aca="false">Inputs!$D$7+Inputs!$D$8*(AE$247-1)</f>
        <v>1</v>
      </c>
      <c r="AF250" s="116" t="n">
        <f aca="false">Inputs!$D$7+Inputs!$D$8*(AF$247-1)</f>
        <v>1</v>
      </c>
      <c r="AG250" s="116" t="n">
        <f aca="false">Inputs!$D$7+Inputs!$D$8*(AG$247-1)</f>
        <v>1</v>
      </c>
      <c r="AH250" s="116" t="n">
        <f aca="false">Inputs!$D$7+Inputs!$D$8*(AH$247-1)</f>
        <v>1</v>
      </c>
      <c r="AI250" s="116" t="n">
        <f aca="false">Inputs!$D$7+Inputs!$D$8*(AI$247-1)</f>
        <v>1</v>
      </c>
      <c r="AJ250" s="116" t="n">
        <f aca="false">Inputs!$D$7+Inputs!$D$8*(AJ$247-1)</f>
        <v>1</v>
      </c>
      <c r="AK250" s="116" t="n">
        <f aca="false">Inputs!$D$7+Inputs!$D$8*(AK$247-1)</f>
        <v>1</v>
      </c>
      <c r="AL250" s="116" t="n">
        <f aca="false">Inputs!$D$7+Inputs!$D$8*(AL$247-1)</f>
        <v>1</v>
      </c>
      <c r="AM250" s="116" t="n">
        <f aca="false">Inputs!$D$7+Inputs!$D$8*(AM$247-1)</f>
        <v>1</v>
      </c>
      <c r="AN250" s="116" t="n">
        <f aca="false">Inputs!$D$7+Inputs!$D$8*(AN$247-1)</f>
        <v>1</v>
      </c>
      <c r="AO250" s="116" t="n">
        <f aca="false">Inputs!$D$7+Inputs!$D$8*(AO$247-1)</f>
        <v>1</v>
      </c>
      <c r="AP250" s="116" t="n">
        <f aca="false">Inputs!$D$7+Inputs!$D$8*(AP$247-1)</f>
        <v>1</v>
      </c>
      <c r="AQ250" s="116" t="n">
        <f aca="false">Inputs!$D$7+Inputs!$D$8*(AQ$247-1)</f>
        <v>1</v>
      </c>
      <c r="AR250" s="116" t="n">
        <f aca="false">Inputs!$D$7+Inputs!$D$8*(AR$247-1)</f>
        <v>1</v>
      </c>
      <c r="AS250" s="116" t="n">
        <f aca="false">Inputs!$D$7+Inputs!$D$8*(AS$247-1)</f>
        <v>1</v>
      </c>
      <c r="AT250" s="116" t="n">
        <f aca="false">Inputs!$D$7+Inputs!$D$8*(AT$247-1)</f>
        <v>1</v>
      </c>
      <c r="AU250" s="116" t="n">
        <f aca="false">Inputs!$D$7+Inputs!$D$8*(AU$247-1)</f>
        <v>1</v>
      </c>
      <c r="AV250" s="116" t="n">
        <f aca="false">Inputs!$D$7+Inputs!$D$8*(AV$247-1)</f>
        <v>1</v>
      </c>
      <c r="AW250" s="116" t="n">
        <f aca="false">Inputs!$D$7+Inputs!$D$8*(AW$247-1)</f>
        <v>1</v>
      </c>
      <c r="AX250" s="116" t="n">
        <f aca="false">Inputs!$D$7+Inputs!$D$8*(AX$247-1)</f>
        <v>1</v>
      </c>
      <c r="AY250" s="116" t="n">
        <f aca="false">Inputs!$D$7+Inputs!$D$8*(AY$247-1)</f>
        <v>1</v>
      </c>
      <c r="AZ250" s="116" t="n">
        <f aca="false">Inputs!$D$7+Inputs!$D$8*(AZ$247-1)</f>
        <v>1</v>
      </c>
      <c r="BA250" s="116" t="n">
        <f aca="false">Inputs!$D$7+Inputs!$D$8*(BA$247-1)</f>
        <v>1</v>
      </c>
      <c r="BB250" s="116" t="n">
        <f aca="false">Inputs!$D$7+Inputs!$D$8*(BB$247-1)</f>
        <v>1</v>
      </c>
      <c r="BC250" s="116" t="n">
        <f aca="false">Inputs!$D$7+Inputs!$D$8*(BC$247-1)</f>
        <v>1</v>
      </c>
      <c r="BD250" s="116" t="n">
        <f aca="false">Inputs!$D$7+Inputs!$D$8*(BD$247-1)</f>
        <v>1</v>
      </c>
      <c r="BE250" s="116" t="n">
        <f aca="false">Inputs!$D$7+Inputs!$D$8*(BE$247-1)</f>
        <v>1</v>
      </c>
      <c r="BF250" s="116" t="n">
        <f aca="false">Inputs!$D$7+Inputs!$D$8*(BF$247-1)</f>
        <v>1</v>
      </c>
      <c r="BG250" s="116" t="n">
        <f aca="false">Inputs!$D$7+Inputs!$D$8*(BG$247-1)</f>
        <v>1</v>
      </c>
      <c r="BH250" s="116" t="n">
        <f aca="false">Inputs!$D$7+Inputs!$D$8*(BH$247-1)</f>
        <v>1</v>
      </c>
      <c r="BI250" s="116" t="n">
        <f aca="false">Inputs!$D$7+Inputs!$D$8*(BI$247-1)</f>
        <v>1</v>
      </c>
      <c r="BJ250" s="116" t="n">
        <f aca="false">Inputs!$D$7+Inputs!$D$8*(BJ$247-1)</f>
        <v>1</v>
      </c>
    </row>
    <row r="251" customFormat="false" ht="15" hidden="false" customHeight="false" outlineLevel="0" collapsed="false">
      <c r="A251" s="117" t="s">
        <v>413</v>
      </c>
      <c r="C251" s="118" t="n">
        <f aca="false">MAX(0,MIN(1,Inputs!$D$13-(C$246-1)*1))</f>
        <v>1</v>
      </c>
      <c r="D251" s="118" t="n">
        <f aca="false">MAX(0,MIN(1,Inputs!$D$13-(D$246-1)*1))</f>
        <v>1</v>
      </c>
      <c r="E251" s="118" t="n">
        <f aca="false">MAX(0,MIN(1,Inputs!$D$13-(E$246-1)*1))</f>
        <v>1</v>
      </c>
      <c r="F251" s="118" t="n">
        <f aca="false">MAX(0,MIN(1,Inputs!$D$13-(F$246-1)*1))</f>
        <v>1</v>
      </c>
      <c r="G251" s="118" t="n">
        <f aca="false">MAX(0,MIN(1,Inputs!$D$13-(G$246-1)*1))</f>
        <v>0</v>
      </c>
      <c r="H251" s="118" t="n">
        <f aca="false">MAX(0,MIN(1,Inputs!$D$13-(H$246-1)*1))</f>
        <v>0</v>
      </c>
      <c r="I251" s="118" t="n">
        <f aca="false">MAX(0,MIN(1,Inputs!$D$13-(I$246-1)*1))</f>
        <v>0</v>
      </c>
      <c r="J251" s="118" t="n">
        <f aca="false">MAX(0,MIN(1,Inputs!$D$13-(J$246-1)*1))</f>
        <v>0</v>
      </c>
      <c r="K251" s="118" t="n">
        <f aca="false">MAX(0,MIN(1,Inputs!$D$13-(K$246-1)*1))</f>
        <v>0</v>
      </c>
      <c r="L251" s="118" t="n">
        <f aca="false">MAX(0,MIN(1,Inputs!$D$13-(L$246-1)*1))</f>
        <v>0</v>
      </c>
      <c r="M251" s="118" t="n">
        <f aca="false">MAX(0,MIN(1,Inputs!$D$13-(M$246-1)*1))</f>
        <v>0</v>
      </c>
      <c r="N251" s="118" t="n">
        <f aca="false">MAX(0,MIN(1,Inputs!$D$13-(N$246-1)*1))</f>
        <v>0</v>
      </c>
      <c r="O251" s="118" t="n">
        <f aca="false">MAX(0,MIN(1,Inputs!$D$13-(O$246-1)*1))</f>
        <v>0</v>
      </c>
      <c r="P251" s="118" t="n">
        <f aca="false">MAX(0,MIN(1,Inputs!$D$13-(P$246-1)*1))</f>
        <v>0</v>
      </c>
      <c r="Q251" s="118" t="n">
        <f aca="false">MAX(0,MIN(1,Inputs!$D$13-(Q$246-1)*1))</f>
        <v>0</v>
      </c>
      <c r="R251" s="118" t="n">
        <f aca="false">MAX(0,MIN(1,Inputs!$D$13-(R$246-1)*1))</f>
        <v>0</v>
      </c>
      <c r="S251" s="118" t="n">
        <f aca="false">MAX(0,MIN(1,Inputs!$D$13-(S$246-1)*1))</f>
        <v>0</v>
      </c>
      <c r="T251" s="118" t="n">
        <f aca="false">MAX(0,MIN(1,Inputs!$D$13-(T$246-1)*1))</f>
        <v>0</v>
      </c>
      <c r="U251" s="118" t="n">
        <f aca="false">MAX(0,MIN(1,Inputs!$D$13-(U$246-1)*1))</f>
        <v>0</v>
      </c>
      <c r="V251" s="118" t="n">
        <f aca="false">MAX(0,MIN(1,Inputs!$D$13-(V$246-1)*1))</f>
        <v>0</v>
      </c>
      <c r="W251" s="118" t="n">
        <f aca="false">MAX(0,MIN(1,Inputs!$D$13-(W$246-1)*1))</f>
        <v>0</v>
      </c>
      <c r="X251" s="118" t="n">
        <f aca="false">MAX(0,MIN(1,Inputs!$D$13-(X$246-1)*1))</f>
        <v>0</v>
      </c>
      <c r="Y251" s="118" t="n">
        <f aca="false">MAX(0,MIN(1,Inputs!$D$13-(Y$246-1)*1))</f>
        <v>0</v>
      </c>
      <c r="Z251" s="118" t="n">
        <f aca="false">MAX(0,MIN(1,Inputs!$D$13-(Z$246-1)*1))</f>
        <v>0</v>
      </c>
      <c r="AA251" s="118" t="n">
        <f aca="false">MAX(0,MIN(1,Inputs!$D$13-(AA$246-1)*1))</f>
        <v>0</v>
      </c>
      <c r="AB251" s="118" t="n">
        <f aca="false">MAX(0,MIN(1,Inputs!$D$13-(AB$246-1)*1))</f>
        <v>0</v>
      </c>
      <c r="AC251" s="118" t="n">
        <f aca="false">MAX(0,MIN(1,Inputs!$D$13-(AC$246-1)*1))</f>
        <v>0</v>
      </c>
      <c r="AD251" s="118" t="n">
        <f aca="false">MAX(0,MIN(1,Inputs!$D$13-(AD$246-1)*1))</f>
        <v>0</v>
      </c>
      <c r="AE251" s="118" t="n">
        <f aca="false">MAX(0,MIN(1,Inputs!$D$13-(AE$246-1)*1))</f>
        <v>0</v>
      </c>
      <c r="AF251" s="118" t="n">
        <f aca="false">MAX(0,MIN(1,Inputs!$D$13-(AF$246-1)*1))</f>
        <v>0</v>
      </c>
      <c r="AG251" s="118" t="n">
        <f aca="false">MAX(0,MIN(1,Inputs!$D$13-(AG$246-1)*1))</f>
        <v>0</v>
      </c>
      <c r="AH251" s="118" t="n">
        <f aca="false">MAX(0,MIN(1,Inputs!$D$13-(AH$246-1)*1))</f>
        <v>0</v>
      </c>
      <c r="AI251" s="118" t="n">
        <f aca="false">MAX(0,MIN(1,Inputs!$D$13-(AI$246-1)*1))</f>
        <v>0</v>
      </c>
      <c r="AJ251" s="118" t="n">
        <f aca="false">MAX(0,MIN(1,Inputs!$D$13-(AJ$246-1)*1))</f>
        <v>0</v>
      </c>
      <c r="AK251" s="118" t="n">
        <f aca="false">MAX(0,MIN(1,Inputs!$D$13-(AK$246-1)*1))</f>
        <v>0</v>
      </c>
      <c r="AL251" s="118" t="n">
        <f aca="false">MAX(0,MIN(1,Inputs!$D$13-(AL$246-1)*1))</f>
        <v>0</v>
      </c>
      <c r="AM251" s="118" t="n">
        <f aca="false">MAX(0,MIN(1,Inputs!$D$13-(AM$246-1)*1))</f>
        <v>0</v>
      </c>
      <c r="AN251" s="118" t="n">
        <f aca="false">MAX(0,MIN(1,Inputs!$D$13-(AN$246-1)*1))</f>
        <v>0</v>
      </c>
      <c r="AO251" s="118" t="n">
        <f aca="false">MAX(0,MIN(1,Inputs!$D$13-(AO$246-1)*1))</f>
        <v>0</v>
      </c>
      <c r="AP251" s="118" t="n">
        <f aca="false">MAX(0,MIN(1,Inputs!$D$13-(AP$246-1)*1))</f>
        <v>0</v>
      </c>
      <c r="AQ251" s="118" t="n">
        <f aca="false">MAX(0,MIN(1,Inputs!$D$13-(AQ$246-1)*1))</f>
        <v>0</v>
      </c>
      <c r="AR251" s="118" t="n">
        <f aca="false">MAX(0,MIN(1,Inputs!$D$13-(AR$246-1)*1))</f>
        <v>0</v>
      </c>
      <c r="AS251" s="118" t="n">
        <f aca="false">MAX(0,MIN(1,Inputs!$D$13-(AS$246-1)*1))</f>
        <v>0</v>
      </c>
      <c r="AT251" s="118" t="n">
        <f aca="false">MAX(0,MIN(1,Inputs!$D$13-(AT$246-1)*1))</f>
        <v>0</v>
      </c>
      <c r="AU251" s="118" t="n">
        <f aca="false">MAX(0,MIN(1,Inputs!$D$13-(AU$246-1)*1))</f>
        <v>0</v>
      </c>
      <c r="AV251" s="118" t="n">
        <f aca="false">MAX(0,MIN(1,Inputs!$D$13-(AV$246-1)*1))</f>
        <v>0</v>
      </c>
      <c r="AW251" s="118" t="n">
        <f aca="false">MAX(0,MIN(1,Inputs!$D$13-(AW$246-1)*1))</f>
        <v>0</v>
      </c>
      <c r="AX251" s="118" t="n">
        <f aca="false">MAX(0,MIN(1,Inputs!$D$13-(AX$246-1)*1))</f>
        <v>0</v>
      </c>
      <c r="AY251" s="118" t="n">
        <f aca="false">MAX(0,MIN(1,Inputs!$D$13-(AY$246-1)*1))</f>
        <v>0</v>
      </c>
      <c r="AZ251" s="118" t="n">
        <f aca="false">MAX(0,MIN(1,Inputs!$D$13-(AZ$246-1)*1))</f>
        <v>0</v>
      </c>
      <c r="BA251" s="118" t="n">
        <f aca="false">MAX(0,MIN(1,Inputs!$D$13-(BA$246-1)*1))</f>
        <v>0</v>
      </c>
      <c r="BB251" s="118" t="n">
        <f aca="false">MAX(0,MIN(1,Inputs!$D$13-(BB$246-1)*1))</f>
        <v>0</v>
      </c>
      <c r="BC251" s="118" t="n">
        <f aca="false">MAX(0,MIN(1,Inputs!$D$13-(BC$246-1)*1))</f>
        <v>0</v>
      </c>
      <c r="BD251" s="118" t="n">
        <f aca="false">MAX(0,MIN(1,Inputs!$D$13-(BD$246-1)*1))</f>
        <v>0</v>
      </c>
      <c r="BE251" s="118" t="n">
        <f aca="false">MAX(0,MIN(1,Inputs!$D$13-(BE$246-1)*1))</f>
        <v>0</v>
      </c>
      <c r="BF251" s="118" t="n">
        <f aca="false">MAX(0,MIN(1,Inputs!$D$13-(BF$246-1)*1))</f>
        <v>0</v>
      </c>
      <c r="BG251" s="118" t="n">
        <f aca="false">MAX(0,MIN(1,Inputs!$D$13-(BG$246-1)*1))</f>
        <v>0</v>
      </c>
      <c r="BH251" s="118" t="n">
        <f aca="false">MAX(0,MIN(1,Inputs!$D$13-(BH$246-1)*1))</f>
        <v>0</v>
      </c>
      <c r="BI251" s="118" t="n">
        <f aca="false">MAX(0,MIN(1,Inputs!$D$13-(BI$246-1)*1))</f>
        <v>0</v>
      </c>
      <c r="BJ251" s="118" t="n">
        <f aca="false">MAX(0,MIN(1,Inputs!$D$13-(BJ$246-1)*1))</f>
        <v>0</v>
      </c>
    </row>
    <row r="252" customFormat="false" ht="15" hidden="false" customHeight="false" outlineLevel="0" collapsed="false">
      <c r="A252" s="38" t="s">
        <v>414</v>
      </c>
      <c r="C252" s="74" t="n">
        <f aca="false">IF(Inputs!$D$13&lt;=0,1,(C251*Inputs!$D$14+(1-Inputs!$D$14)/MAX(1,Inputs!$D$13)*(C251*(C$246-1)*1+C251*(C251-1)/2)+1-C251)/1)</f>
        <v>0.6</v>
      </c>
      <c r="D252" s="74" t="n">
        <f aca="false">IF(Inputs!$D$13&lt;=0,1,(D251*Inputs!$D$14+(1-Inputs!$D$14)/MAX(1,Inputs!$D$13)*(D251*(D$246-1)*1+D251*(D251-1)/2)+1-D251)/1)</f>
        <v>0.7</v>
      </c>
      <c r="E252" s="74" t="n">
        <f aca="false">IF(Inputs!$D$13&lt;=0,1,(E251*Inputs!$D$14+(1-Inputs!$D$14)/MAX(1,Inputs!$D$13)*(E251*(E$246-1)*1+E251*(E251-1)/2)+1-E251)/1)</f>
        <v>0.8</v>
      </c>
      <c r="F252" s="74" t="n">
        <f aca="false">IF(Inputs!$D$13&lt;=0,1,(F251*Inputs!$D$14+(1-Inputs!$D$14)/MAX(1,Inputs!$D$13)*(F251*(F$246-1)*1+F251*(F251-1)/2)+1-F251)/1)</f>
        <v>0.9</v>
      </c>
      <c r="G252" s="74" t="n">
        <f aca="false">IF(Inputs!$D$13&lt;=0,1,(G251*Inputs!$D$14+(1-Inputs!$D$14)/MAX(1,Inputs!$D$13)*(G251*(G$246-1)*1+G251*(G251-1)/2)+1-G251)/1)</f>
        <v>1</v>
      </c>
      <c r="H252" s="74" t="n">
        <f aca="false">IF(Inputs!$D$13&lt;=0,1,(H251*Inputs!$D$14+(1-Inputs!$D$14)/MAX(1,Inputs!$D$13)*(H251*(H$246-1)*1+H251*(H251-1)/2)+1-H251)/1)</f>
        <v>1</v>
      </c>
      <c r="I252" s="74" t="n">
        <f aca="false">IF(Inputs!$D$13&lt;=0,1,(I251*Inputs!$D$14+(1-Inputs!$D$14)/MAX(1,Inputs!$D$13)*(I251*(I$246-1)*1+I251*(I251-1)/2)+1-I251)/1)</f>
        <v>1</v>
      </c>
      <c r="J252" s="74" t="n">
        <f aca="false">IF(Inputs!$D$13&lt;=0,1,(J251*Inputs!$D$14+(1-Inputs!$D$14)/MAX(1,Inputs!$D$13)*(J251*(J$246-1)*1+J251*(J251-1)/2)+1-J251)/1)</f>
        <v>1</v>
      </c>
      <c r="K252" s="74" t="n">
        <f aca="false">IF(Inputs!$D$13&lt;=0,1,(K251*Inputs!$D$14+(1-Inputs!$D$14)/MAX(1,Inputs!$D$13)*(K251*(K$246-1)*1+K251*(K251-1)/2)+1-K251)/1)</f>
        <v>1</v>
      </c>
      <c r="L252" s="74" t="n">
        <f aca="false">IF(Inputs!$D$13&lt;=0,1,(L251*Inputs!$D$14+(1-Inputs!$D$14)/MAX(1,Inputs!$D$13)*(L251*(L$246-1)*1+L251*(L251-1)/2)+1-L251)/1)</f>
        <v>1</v>
      </c>
      <c r="M252" s="74" t="n">
        <f aca="false">IF(Inputs!$D$13&lt;=0,1,(M251*Inputs!$D$14+(1-Inputs!$D$14)/MAX(1,Inputs!$D$13)*(M251*(M$246-1)*1+M251*(M251-1)/2)+1-M251)/1)</f>
        <v>1</v>
      </c>
      <c r="N252" s="74" t="n">
        <f aca="false">IF(Inputs!$D$13&lt;=0,1,(N251*Inputs!$D$14+(1-Inputs!$D$14)/MAX(1,Inputs!$D$13)*(N251*(N$246-1)*1+N251*(N251-1)/2)+1-N251)/1)</f>
        <v>1</v>
      </c>
      <c r="O252" s="74" t="n">
        <f aca="false">IF(Inputs!$D$13&lt;=0,1,(O251*Inputs!$D$14+(1-Inputs!$D$14)/MAX(1,Inputs!$D$13)*(O251*(O$246-1)*1+O251*(O251-1)/2)+1-O251)/1)</f>
        <v>1</v>
      </c>
      <c r="P252" s="74" t="n">
        <f aca="false">IF(Inputs!$D$13&lt;=0,1,(P251*Inputs!$D$14+(1-Inputs!$D$14)/MAX(1,Inputs!$D$13)*(P251*(P$246-1)*1+P251*(P251-1)/2)+1-P251)/1)</f>
        <v>1</v>
      </c>
      <c r="Q252" s="74" t="n">
        <f aca="false">IF(Inputs!$D$13&lt;=0,1,(Q251*Inputs!$D$14+(1-Inputs!$D$14)/MAX(1,Inputs!$D$13)*(Q251*(Q$246-1)*1+Q251*(Q251-1)/2)+1-Q251)/1)</f>
        <v>1</v>
      </c>
      <c r="R252" s="74" t="n">
        <f aca="false">IF(Inputs!$D$13&lt;=0,1,(R251*Inputs!$D$14+(1-Inputs!$D$14)/MAX(1,Inputs!$D$13)*(R251*(R$246-1)*1+R251*(R251-1)/2)+1-R251)/1)</f>
        <v>1</v>
      </c>
      <c r="S252" s="74" t="n">
        <f aca="false">IF(Inputs!$D$13&lt;=0,1,(S251*Inputs!$D$14+(1-Inputs!$D$14)/MAX(1,Inputs!$D$13)*(S251*(S$246-1)*1+S251*(S251-1)/2)+1-S251)/1)</f>
        <v>1</v>
      </c>
      <c r="T252" s="74" t="n">
        <f aca="false">IF(Inputs!$D$13&lt;=0,1,(T251*Inputs!$D$14+(1-Inputs!$D$14)/MAX(1,Inputs!$D$13)*(T251*(T$246-1)*1+T251*(T251-1)/2)+1-T251)/1)</f>
        <v>1</v>
      </c>
      <c r="U252" s="74" t="n">
        <f aca="false">IF(Inputs!$D$13&lt;=0,1,(U251*Inputs!$D$14+(1-Inputs!$D$14)/MAX(1,Inputs!$D$13)*(U251*(U$246-1)*1+U251*(U251-1)/2)+1-U251)/1)</f>
        <v>1</v>
      </c>
      <c r="V252" s="74" t="n">
        <f aca="false">IF(Inputs!$D$13&lt;=0,1,(V251*Inputs!$D$14+(1-Inputs!$D$14)/MAX(1,Inputs!$D$13)*(V251*(V$246-1)*1+V251*(V251-1)/2)+1-V251)/1)</f>
        <v>1</v>
      </c>
      <c r="W252" s="74" t="n">
        <f aca="false">IF(Inputs!$D$13&lt;=0,1,(W251*Inputs!$D$14+(1-Inputs!$D$14)/MAX(1,Inputs!$D$13)*(W251*(W$246-1)*1+W251*(W251-1)/2)+1-W251)/1)</f>
        <v>1</v>
      </c>
      <c r="X252" s="74" t="n">
        <f aca="false">IF(Inputs!$D$13&lt;=0,1,(X251*Inputs!$D$14+(1-Inputs!$D$14)/MAX(1,Inputs!$D$13)*(X251*(X$246-1)*1+X251*(X251-1)/2)+1-X251)/1)</f>
        <v>1</v>
      </c>
      <c r="Y252" s="74" t="n">
        <f aca="false">IF(Inputs!$D$13&lt;=0,1,(Y251*Inputs!$D$14+(1-Inputs!$D$14)/MAX(1,Inputs!$D$13)*(Y251*(Y$246-1)*1+Y251*(Y251-1)/2)+1-Y251)/1)</f>
        <v>1</v>
      </c>
      <c r="Z252" s="74" t="n">
        <f aca="false">IF(Inputs!$D$13&lt;=0,1,(Z251*Inputs!$D$14+(1-Inputs!$D$14)/MAX(1,Inputs!$D$13)*(Z251*(Z$246-1)*1+Z251*(Z251-1)/2)+1-Z251)/1)</f>
        <v>1</v>
      </c>
      <c r="AA252" s="74" t="n">
        <f aca="false">IF(Inputs!$D$13&lt;=0,1,(AA251*Inputs!$D$14+(1-Inputs!$D$14)/MAX(1,Inputs!$D$13)*(AA251*(AA$246-1)*1+AA251*(AA251-1)/2)+1-AA251)/1)</f>
        <v>1</v>
      </c>
      <c r="AB252" s="74" t="n">
        <f aca="false">IF(Inputs!$D$13&lt;=0,1,(AB251*Inputs!$D$14+(1-Inputs!$D$14)/MAX(1,Inputs!$D$13)*(AB251*(AB$246-1)*1+AB251*(AB251-1)/2)+1-AB251)/1)</f>
        <v>1</v>
      </c>
      <c r="AC252" s="74" t="n">
        <f aca="false">IF(Inputs!$D$13&lt;=0,1,(AC251*Inputs!$D$14+(1-Inputs!$D$14)/MAX(1,Inputs!$D$13)*(AC251*(AC$246-1)*1+AC251*(AC251-1)/2)+1-AC251)/1)</f>
        <v>1</v>
      </c>
      <c r="AD252" s="74" t="n">
        <f aca="false">IF(Inputs!$D$13&lt;=0,1,(AD251*Inputs!$D$14+(1-Inputs!$D$14)/MAX(1,Inputs!$D$13)*(AD251*(AD$246-1)*1+AD251*(AD251-1)/2)+1-AD251)/1)</f>
        <v>1</v>
      </c>
      <c r="AE252" s="74" t="n">
        <f aca="false">IF(Inputs!$D$13&lt;=0,1,(AE251*Inputs!$D$14+(1-Inputs!$D$14)/MAX(1,Inputs!$D$13)*(AE251*(AE$246-1)*1+AE251*(AE251-1)/2)+1-AE251)/1)</f>
        <v>1</v>
      </c>
      <c r="AF252" s="74" t="n">
        <f aca="false">IF(Inputs!$D$13&lt;=0,1,(AF251*Inputs!$D$14+(1-Inputs!$D$14)/MAX(1,Inputs!$D$13)*(AF251*(AF$246-1)*1+AF251*(AF251-1)/2)+1-AF251)/1)</f>
        <v>1</v>
      </c>
      <c r="AG252" s="74" t="n">
        <f aca="false">IF(Inputs!$D$13&lt;=0,1,(AG251*Inputs!$D$14+(1-Inputs!$D$14)/MAX(1,Inputs!$D$13)*(AG251*(AG$246-1)*1+AG251*(AG251-1)/2)+1-AG251)/1)</f>
        <v>1</v>
      </c>
      <c r="AH252" s="74" t="n">
        <f aca="false">IF(Inputs!$D$13&lt;=0,1,(AH251*Inputs!$D$14+(1-Inputs!$D$14)/MAX(1,Inputs!$D$13)*(AH251*(AH$246-1)*1+AH251*(AH251-1)/2)+1-AH251)/1)</f>
        <v>1</v>
      </c>
      <c r="AI252" s="74" t="n">
        <f aca="false">IF(Inputs!$D$13&lt;=0,1,(AI251*Inputs!$D$14+(1-Inputs!$D$14)/MAX(1,Inputs!$D$13)*(AI251*(AI$246-1)*1+AI251*(AI251-1)/2)+1-AI251)/1)</f>
        <v>1</v>
      </c>
      <c r="AJ252" s="74" t="n">
        <f aca="false">IF(Inputs!$D$13&lt;=0,1,(AJ251*Inputs!$D$14+(1-Inputs!$D$14)/MAX(1,Inputs!$D$13)*(AJ251*(AJ$246-1)*1+AJ251*(AJ251-1)/2)+1-AJ251)/1)</f>
        <v>1</v>
      </c>
      <c r="AK252" s="74" t="n">
        <f aca="false">IF(Inputs!$D$13&lt;=0,1,(AK251*Inputs!$D$14+(1-Inputs!$D$14)/MAX(1,Inputs!$D$13)*(AK251*(AK$246-1)*1+AK251*(AK251-1)/2)+1-AK251)/1)</f>
        <v>1</v>
      </c>
      <c r="AL252" s="74" t="n">
        <f aca="false">IF(Inputs!$D$13&lt;=0,1,(AL251*Inputs!$D$14+(1-Inputs!$D$14)/MAX(1,Inputs!$D$13)*(AL251*(AL$246-1)*1+AL251*(AL251-1)/2)+1-AL251)/1)</f>
        <v>1</v>
      </c>
      <c r="AM252" s="74" t="n">
        <f aca="false">IF(Inputs!$D$13&lt;=0,1,(AM251*Inputs!$D$14+(1-Inputs!$D$14)/MAX(1,Inputs!$D$13)*(AM251*(AM$246-1)*1+AM251*(AM251-1)/2)+1-AM251)/1)</f>
        <v>1</v>
      </c>
      <c r="AN252" s="74" t="n">
        <f aca="false">IF(Inputs!$D$13&lt;=0,1,(AN251*Inputs!$D$14+(1-Inputs!$D$14)/MAX(1,Inputs!$D$13)*(AN251*(AN$246-1)*1+AN251*(AN251-1)/2)+1-AN251)/1)</f>
        <v>1</v>
      </c>
      <c r="AO252" s="74" t="n">
        <f aca="false">IF(Inputs!$D$13&lt;=0,1,(AO251*Inputs!$D$14+(1-Inputs!$D$14)/MAX(1,Inputs!$D$13)*(AO251*(AO$246-1)*1+AO251*(AO251-1)/2)+1-AO251)/1)</f>
        <v>1</v>
      </c>
      <c r="AP252" s="74" t="n">
        <f aca="false">IF(Inputs!$D$13&lt;=0,1,(AP251*Inputs!$D$14+(1-Inputs!$D$14)/MAX(1,Inputs!$D$13)*(AP251*(AP$246-1)*1+AP251*(AP251-1)/2)+1-AP251)/1)</f>
        <v>1</v>
      </c>
      <c r="AQ252" s="74" t="n">
        <f aca="false">IF(Inputs!$D$13&lt;=0,1,(AQ251*Inputs!$D$14+(1-Inputs!$D$14)/MAX(1,Inputs!$D$13)*(AQ251*(AQ$246-1)*1+AQ251*(AQ251-1)/2)+1-AQ251)/1)</f>
        <v>1</v>
      </c>
      <c r="AR252" s="74" t="n">
        <f aca="false">IF(Inputs!$D$13&lt;=0,1,(AR251*Inputs!$D$14+(1-Inputs!$D$14)/MAX(1,Inputs!$D$13)*(AR251*(AR$246-1)*1+AR251*(AR251-1)/2)+1-AR251)/1)</f>
        <v>1</v>
      </c>
      <c r="AS252" s="74" t="n">
        <f aca="false">IF(Inputs!$D$13&lt;=0,1,(AS251*Inputs!$D$14+(1-Inputs!$D$14)/MAX(1,Inputs!$D$13)*(AS251*(AS$246-1)*1+AS251*(AS251-1)/2)+1-AS251)/1)</f>
        <v>1</v>
      </c>
      <c r="AT252" s="74" t="n">
        <f aca="false">IF(Inputs!$D$13&lt;=0,1,(AT251*Inputs!$D$14+(1-Inputs!$D$14)/MAX(1,Inputs!$D$13)*(AT251*(AT$246-1)*1+AT251*(AT251-1)/2)+1-AT251)/1)</f>
        <v>1</v>
      </c>
      <c r="AU252" s="74" t="n">
        <f aca="false">IF(Inputs!$D$13&lt;=0,1,(AU251*Inputs!$D$14+(1-Inputs!$D$14)/MAX(1,Inputs!$D$13)*(AU251*(AU$246-1)*1+AU251*(AU251-1)/2)+1-AU251)/1)</f>
        <v>1</v>
      </c>
      <c r="AV252" s="74" t="n">
        <f aca="false">IF(Inputs!$D$13&lt;=0,1,(AV251*Inputs!$D$14+(1-Inputs!$D$14)/MAX(1,Inputs!$D$13)*(AV251*(AV$246-1)*1+AV251*(AV251-1)/2)+1-AV251)/1)</f>
        <v>1</v>
      </c>
      <c r="AW252" s="74" t="n">
        <f aca="false">IF(Inputs!$D$13&lt;=0,1,(AW251*Inputs!$D$14+(1-Inputs!$D$14)/MAX(1,Inputs!$D$13)*(AW251*(AW$246-1)*1+AW251*(AW251-1)/2)+1-AW251)/1)</f>
        <v>1</v>
      </c>
      <c r="AX252" s="74" t="n">
        <f aca="false">IF(Inputs!$D$13&lt;=0,1,(AX251*Inputs!$D$14+(1-Inputs!$D$14)/MAX(1,Inputs!$D$13)*(AX251*(AX$246-1)*1+AX251*(AX251-1)/2)+1-AX251)/1)</f>
        <v>1</v>
      </c>
      <c r="AY252" s="74" t="n">
        <f aca="false">IF(Inputs!$D$13&lt;=0,1,(AY251*Inputs!$D$14+(1-Inputs!$D$14)/MAX(1,Inputs!$D$13)*(AY251*(AY$246-1)*1+AY251*(AY251-1)/2)+1-AY251)/1)</f>
        <v>1</v>
      </c>
      <c r="AZ252" s="74" t="n">
        <f aca="false">IF(Inputs!$D$13&lt;=0,1,(AZ251*Inputs!$D$14+(1-Inputs!$D$14)/MAX(1,Inputs!$D$13)*(AZ251*(AZ$246-1)*1+AZ251*(AZ251-1)/2)+1-AZ251)/1)</f>
        <v>1</v>
      </c>
      <c r="BA252" s="74" t="n">
        <f aca="false">IF(Inputs!$D$13&lt;=0,1,(BA251*Inputs!$D$14+(1-Inputs!$D$14)/MAX(1,Inputs!$D$13)*(BA251*(BA$246-1)*1+BA251*(BA251-1)/2)+1-BA251)/1)</f>
        <v>1</v>
      </c>
      <c r="BB252" s="74" t="n">
        <f aca="false">IF(Inputs!$D$13&lt;=0,1,(BB251*Inputs!$D$14+(1-Inputs!$D$14)/MAX(1,Inputs!$D$13)*(BB251*(BB$246-1)*1+BB251*(BB251-1)/2)+1-BB251)/1)</f>
        <v>1</v>
      </c>
      <c r="BC252" s="74" t="n">
        <f aca="false">IF(Inputs!$D$13&lt;=0,1,(BC251*Inputs!$D$14+(1-Inputs!$D$14)/MAX(1,Inputs!$D$13)*(BC251*(BC$246-1)*1+BC251*(BC251-1)/2)+1-BC251)/1)</f>
        <v>1</v>
      </c>
      <c r="BD252" s="74" t="n">
        <f aca="false">IF(Inputs!$D$13&lt;=0,1,(BD251*Inputs!$D$14+(1-Inputs!$D$14)/MAX(1,Inputs!$D$13)*(BD251*(BD$246-1)*1+BD251*(BD251-1)/2)+1-BD251)/1)</f>
        <v>1</v>
      </c>
      <c r="BE252" s="74" t="n">
        <f aca="false">IF(Inputs!$D$13&lt;=0,1,(BE251*Inputs!$D$14+(1-Inputs!$D$14)/MAX(1,Inputs!$D$13)*(BE251*(BE$246-1)*1+BE251*(BE251-1)/2)+1-BE251)/1)</f>
        <v>1</v>
      </c>
      <c r="BF252" s="74" t="n">
        <f aca="false">IF(Inputs!$D$13&lt;=0,1,(BF251*Inputs!$D$14+(1-Inputs!$D$14)/MAX(1,Inputs!$D$13)*(BF251*(BF$246-1)*1+BF251*(BF251-1)/2)+1-BF251)/1)</f>
        <v>1</v>
      </c>
      <c r="BG252" s="74" t="n">
        <f aca="false">IF(Inputs!$D$13&lt;=0,1,(BG251*Inputs!$D$14+(1-Inputs!$D$14)/MAX(1,Inputs!$D$13)*(BG251*(BG$246-1)*1+BG251*(BG251-1)/2)+1-BG251)/1)</f>
        <v>1</v>
      </c>
      <c r="BH252" s="74" t="n">
        <f aca="false">IF(Inputs!$D$13&lt;=0,1,(BH251*Inputs!$D$14+(1-Inputs!$D$14)/MAX(1,Inputs!$D$13)*(BH251*(BH$246-1)*1+BH251*(BH251-1)/2)+1-BH251)/1)</f>
        <v>1</v>
      </c>
      <c r="BI252" s="74" t="n">
        <f aca="false">IF(Inputs!$D$13&lt;=0,1,(BI251*Inputs!$D$14+(1-Inputs!$D$14)/MAX(1,Inputs!$D$13)*(BI251*(BI$246-1)*1+BI251*(BI251-1)/2)+1-BI251)/1)</f>
        <v>1</v>
      </c>
      <c r="BJ252" s="74" t="n">
        <f aca="false">IF(Inputs!$D$13&lt;=0,1,(BJ251*Inputs!$D$14+(1-Inputs!$D$14)/MAX(1,Inputs!$D$13)*(BJ251*(BJ$246-1)*1+BJ251*(BJ251-1)/2)+1-BJ251)/1)</f>
        <v>1</v>
      </c>
    </row>
    <row r="253" customFormat="false" ht="15" hidden="false" customHeight="false" outlineLevel="0" collapsed="false">
      <c r="A253" s="6" t="s">
        <v>415</v>
      </c>
      <c r="C253" s="77" t="n">
        <f aca="false">IF(OR(MOD(C$246-1,12)&gt;=11,MOD(C$246-1,12)&lt;=1),1-Inputs!$D$10,1+Inputs!$D$10/3)</f>
        <v>0.8</v>
      </c>
      <c r="D253" s="77" t="n">
        <f aca="false">IF(OR(MOD(D$246-1,12)&gt;=11,MOD(D$246-1,12)&lt;=1),1-Inputs!$D$10,1+Inputs!$D$10/3)</f>
        <v>0.8</v>
      </c>
      <c r="E253" s="77" t="n">
        <f aca="false">IF(OR(MOD(E$246-1,12)&gt;=11,MOD(E$246-1,12)&lt;=1),1-Inputs!$D$10,1+Inputs!$D$10/3)</f>
        <v>1.06666666666667</v>
      </c>
      <c r="F253" s="77" t="n">
        <f aca="false">IF(OR(MOD(F$246-1,12)&gt;=11,MOD(F$246-1,12)&lt;=1),1-Inputs!$D$10,1+Inputs!$D$10/3)</f>
        <v>1.06666666666667</v>
      </c>
      <c r="G253" s="77" t="n">
        <f aca="false">IF(OR(MOD(G$246-1,12)&gt;=11,MOD(G$246-1,12)&lt;=1),1-Inputs!$D$10,1+Inputs!$D$10/3)</f>
        <v>1.06666666666667</v>
      </c>
      <c r="H253" s="77" t="n">
        <f aca="false">IF(OR(MOD(H$246-1,12)&gt;=11,MOD(H$246-1,12)&lt;=1),1-Inputs!$D$10,1+Inputs!$D$10/3)</f>
        <v>1.06666666666667</v>
      </c>
      <c r="I253" s="77" t="n">
        <f aca="false">IF(OR(MOD(I$246-1,12)&gt;=11,MOD(I$246-1,12)&lt;=1),1-Inputs!$D$10,1+Inputs!$D$10/3)</f>
        <v>1.06666666666667</v>
      </c>
      <c r="J253" s="77" t="n">
        <f aca="false">IF(OR(MOD(J$246-1,12)&gt;=11,MOD(J$246-1,12)&lt;=1),1-Inputs!$D$10,1+Inputs!$D$10/3)</f>
        <v>1.06666666666667</v>
      </c>
      <c r="K253" s="77" t="n">
        <f aca="false">IF(OR(MOD(K$246-1,12)&gt;=11,MOD(K$246-1,12)&lt;=1),1-Inputs!$D$10,1+Inputs!$D$10/3)</f>
        <v>1.06666666666667</v>
      </c>
      <c r="L253" s="77" t="n">
        <f aca="false">IF(OR(MOD(L$246-1,12)&gt;=11,MOD(L$246-1,12)&lt;=1),1-Inputs!$D$10,1+Inputs!$D$10/3)</f>
        <v>1.06666666666667</v>
      </c>
      <c r="M253" s="77" t="n">
        <f aca="false">IF(OR(MOD(M$246-1,12)&gt;=11,MOD(M$246-1,12)&lt;=1),1-Inputs!$D$10,1+Inputs!$D$10/3)</f>
        <v>1.06666666666667</v>
      </c>
      <c r="N253" s="77" t="n">
        <f aca="false">IF(OR(MOD(N$246-1,12)&gt;=11,MOD(N$246-1,12)&lt;=1),1-Inputs!$D$10,1+Inputs!$D$10/3)</f>
        <v>0.8</v>
      </c>
      <c r="O253" s="77" t="n">
        <f aca="false">IF(OR(MOD(O$246-1,12)&gt;=11,MOD(O$246-1,12)&lt;=1),1-Inputs!$D$10,1+Inputs!$D$10/3)</f>
        <v>0.8</v>
      </c>
      <c r="P253" s="77" t="n">
        <f aca="false">IF(OR(MOD(P$246-1,12)&gt;=11,MOD(P$246-1,12)&lt;=1),1-Inputs!$D$10,1+Inputs!$D$10/3)</f>
        <v>0.8</v>
      </c>
      <c r="Q253" s="77" t="n">
        <f aca="false">IF(OR(MOD(Q$246-1,12)&gt;=11,MOD(Q$246-1,12)&lt;=1),1-Inputs!$D$10,1+Inputs!$D$10/3)</f>
        <v>1.06666666666667</v>
      </c>
      <c r="R253" s="77" t="n">
        <f aca="false">IF(OR(MOD(R$246-1,12)&gt;=11,MOD(R$246-1,12)&lt;=1),1-Inputs!$D$10,1+Inputs!$D$10/3)</f>
        <v>1.06666666666667</v>
      </c>
      <c r="S253" s="77" t="n">
        <f aca="false">IF(OR(MOD(S$246-1,12)&gt;=11,MOD(S$246-1,12)&lt;=1),1-Inputs!$D$10,1+Inputs!$D$10/3)</f>
        <v>1.06666666666667</v>
      </c>
      <c r="T253" s="77" t="n">
        <f aca="false">IF(OR(MOD(T$246-1,12)&gt;=11,MOD(T$246-1,12)&lt;=1),1-Inputs!$D$10,1+Inputs!$D$10/3)</f>
        <v>1.06666666666667</v>
      </c>
      <c r="U253" s="77" t="n">
        <f aca="false">IF(OR(MOD(U$246-1,12)&gt;=11,MOD(U$246-1,12)&lt;=1),1-Inputs!$D$10,1+Inputs!$D$10/3)</f>
        <v>1.06666666666667</v>
      </c>
      <c r="V253" s="77" t="n">
        <f aca="false">IF(OR(MOD(V$246-1,12)&gt;=11,MOD(V$246-1,12)&lt;=1),1-Inputs!$D$10,1+Inputs!$D$10/3)</f>
        <v>1.06666666666667</v>
      </c>
      <c r="W253" s="77" t="n">
        <f aca="false">IF(OR(MOD(W$246-1,12)&gt;=11,MOD(W$246-1,12)&lt;=1),1-Inputs!$D$10,1+Inputs!$D$10/3)</f>
        <v>1.06666666666667</v>
      </c>
      <c r="X253" s="77" t="n">
        <f aca="false">IF(OR(MOD(X$246-1,12)&gt;=11,MOD(X$246-1,12)&lt;=1),1-Inputs!$D$10,1+Inputs!$D$10/3)</f>
        <v>1.06666666666667</v>
      </c>
      <c r="Y253" s="77" t="n">
        <f aca="false">IF(OR(MOD(Y$246-1,12)&gt;=11,MOD(Y$246-1,12)&lt;=1),1-Inputs!$D$10,1+Inputs!$D$10/3)</f>
        <v>1.06666666666667</v>
      </c>
      <c r="Z253" s="77" t="n">
        <f aca="false">IF(OR(MOD(Z$246-1,12)&gt;=11,MOD(Z$246-1,12)&lt;=1),1-Inputs!$D$10,1+Inputs!$D$10/3)</f>
        <v>0.8</v>
      </c>
      <c r="AA253" s="77" t="n">
        <f aca="false">IF(OR(MOD(AA$246-1,12)&gt;=11,MOD(AA$246-1,12)&lt;=1),1-Inputs!$D$10,1+Inputs!$D$10/3)</f>
        <v>0.8</v>
      </c>
      <c r="AB253" s="77" t="n">
        <f aca="false">IF(OR(MOD(AB$246-1,12)&gt;=11,MOD(AB$246-1,12)&lt;=1),1-Inputs!$D$10,1+Inputs!$D$10/3)</f>
        <v>0.8</v>
      </c>
      <c r="AC253" s="77" t="n">
        <f aca="false">IF(OR(MOD(AC$246-1,12)&gt;=11,MOD(AC$246-1,12)&lt;=1),1-Inputs!$D$10,1+Inputs!$D$10/3)</f>
        <v>1.06666666666667</v>
      </c>
      <c r="AD253" s="77" t="n">
        <f aca="false">IF(OR(MOD(AD$246-1,12)&gt;=11,MOD(AD$246-1,12)&lt;=1),1-Inputs!$D$10,1+Inputs!$D$10/3)</f>
        <v>1.06666666666667</v>
      </c>
      <c r="AE253" s="77" t="n">
        <f aca="false">IF(OR(MOD(AE$246-1,12)&gt;=11,MOD(AE$246-1,12)&lt;=1),1-Inputs!$D$10,1+Inputs!$D$10/3)</f>
        <v>1.06666666666667</v>
      </c>
      <c r="AF253" s="77" t="n">
        <f aca="false">IF(OR(MOD(AF$246-1,12)&gt;=11,MOD(AF$246-1,12)&lt;=1),1-Inputs!$D$10,1+Inputs!$D$10/3)</f>
        <v>1.06666666666667</v>
      </c>
      <c r="AG253" s="77" t="n">
        <f aca="false">IF(OR(MOD(AG$246-1,12)&gt;=11,MOD(AG$246-1,12)&lt;=1),1-Inputs!$D$10,1+Inputs!$D$10/3)</f>
        <v>1.06666666666667</v>
      </c>
      <c r="AH253" s="77" t="n">
        <f aca="false">IF(OR(MOD(AH$246-1,12)&gt;=11,MOD(AH$246-1,12)&lt;=1),1-Inputs!$D$10,1+Inputs!$D$10/3)</f>
        <v>1.06666666666667</v>
      </c>
      <c r="AI253" s="77" t="n">
        <f aca="false">IF(OR(MOD(AI$246-1,12)&gt;=11,MOD(AI$246-1,12)&lt;=1),1-Inputs!$D$10,1+Inputs!$D$10/3)</f>
        <v>1.06666666666667</v>
      </c>
      <c r="AJ253" s="77" t="n">
        <f aca="false">IF(OR(MOD(AJ$246-1,12)&gt;=11,MOD(AJ$246-1,12)&lt;=1),1-Inputs!$D$10,1+Inputs!$D$10/3)</f>
        <v>1.06666666666667</v>
      </c>
      <c r="AK253" s="77" t="n">
        <f aca="false">IF(OR(MOD(AK$246-1,12)&gt;=11,MOD(AK$246-1,12)&lt;=1),1-Inputs!$D$10,1+Inputs!$D$10/3)</f>
        <v>1.06666666666667</v>
      </c>
      <c r="AL253" s="77" t="n">
        <f aca="false">IF(OR(MOD(AL$246-1,12)&gt;=11,MOD(AL$246-1,12)&lt;=1),1-Inputs!$D$10,1+Inputs!$D$10/3)</f>
        <v>0.8</v>
      </c>
      <c r="AM253" s="77" t="n">
        <f aca="false">IF(OR(MOD(AM$246-1,12)&gt;=11,MOD(AM$246-1,12)&lt;=1),1-Inputs!$D$10,1+Inputs!$D$10/3)</f>
        <v>0.8</v>
      </c>
      <c r="AN253" s="77" t="n">
        <f aca="false">IF(OR(MOD(AN$246-1,12)&gt;=11,MOD(AN$246-1,12)&lt;=1),1-Inputs!$D$10,1+Inputs!$D$10/3)</f>
        <v>0.8</v>
      </c>
      <c r="AO253" s="77" t="n">
        <f aca="false">IF(OR(MOD(AO$246-1,12)&gt;=11,MOD(AO$246-1,12)&lt;=1),1-Inputs!$D$10,1+Inputs!$D$10/3)</f>
        <v>1.06666666666667</v>
      </c>
      <c r="AP253" s="77" t="n">
        <f aca="false">IF(OR(MOD(AP$246-1,12)&gt;=11,MOD(AP$246-1,12)&lt;=1),1-Inputs!$D$10,1+Inputs!$D$10/3)</f>
        <v>1.06666666666667</v>
      </c>
      <c r="AQ253" s="77" t="n">
        <f aca="false">IF(OR(MOD(AQ$246-1,12)&gt;=11,MOD(AQ$246-1,12)&lt;=1),1-Inputs!$D$10,1+Inputs!$D$10/3)</f>
        <v>1.06666666666667</v>
      </c>
      <c r="AR253" s="77" t="n">
        <f aca="false">IF(OR(MOD(AR$246-1,12)&gt;=11,MOD(AR$246-1,12)&lt;=1),1-Inputs!$D$10,1+Inputs!$D$10/3)</f>
        <v>1.06666666666667</v>
      </c>
      <c r="AS253" s="77" t="n">
        <f aca="false">IF(OR(MOD(AS$246-1,12)&gt;=11,MOD(AS$246-1,12)&lt;=1),1-Inputs!$D$10,1+Inputs!$D$10/3)</f>
        <v>1.06666666666667</v>
      </c>
      <c r="AT253" s="77" t="n">
        <f aca="false">IF(OR(MOD(AT$246-1,12)&gt;=11,MOD(AT$246-1,12)&lt;=1),1-Inputs!$D$10,1+Inputs!$D$10/3)</f>
        <v>1.06666666666667</v>
      </c>
      <c r="AU253" s="77" t="n">
        <f aca="false">IF(OR(MOD(AU$246-1,12)&gt;=11,MOD(AU$246-1,12)&lt;=1),1-Inputs!$D$10,1+Inputs!$D$10/3)</f>
        <v>1.06666666666667</v>
      </c>
      <c r="AV253" s="77" t="n">
        <f aca="false">IF(OR(MOD(AV$246-1,12)&gt;=11,MOD(AV$246-1,12)&lt;=1),1-Inputs!$D$10,1+Inputs!$D$10/3)</f>
        <v>1.06666666666667</v>
      </c>
      <c r="AW253" s="77" t="n">
        <f aca="false">IF(OR(MOD(AW$246-1,12)&gt;=11,MOD(AW$246-1,12)&lt;=1),1-Inputs!$D$10,1+Inputs!$D$10/3)</f>
        <v>1.06666666666667</v>
      </c>
      <c r="AX253" s="77" t="n">
        <f aca="false">IF(OR(MOD(AX$246-1,12)&gt;=11,MOD(AX$246-1,12)&lt;=1),1-Inputs!$D$10,1+Inputs!$D$10/3)</f>
        <v>0.8</v>
      </c>
      <c r="AY253" s="77" t="n">
        <f aca="false">IF(OR(MOD(AY$246-1,12)&gt;=11,MOD(AY$246-1,12)&lt;=1),1-Inputs!$D$10,1+Inputs!$D$10/3)</f>
        <v>0.8</v>
      </c>
      <c r="AZ253" s="77" t="n">
        <f aca="false">IF(OR(MOD(AZ$246-1,12)&gt;=11,MOD(AZ$246-1,12)&lt;=1),1-Inputs!$D$10,1+Inputs!$D$10/3)</f>
        <v>0.8</v>
      </c>
      <c r="BA253" s="77" t="n">
        <f aca="false">IF(OR(MOD(BA$246-1,12)&gt;=11,MOD(BA$246-1,12)&lt;=1),1-Inputs!$D$10,1+Inputs!$D$10/3)</f>
        <v>1.06666666666667</v>
      </c>
      <c r="BB253" s="77" t="n">
        <f aca="false">IF(OR(MOD(BB$246-1,12)&gt;=11,MOD(BB$246-1,12)&lt;=1),1-Inputs!$D$10,1+Inputs!$D$10/3)</f>
        <v>1.06666666666667</v>
      </c>
      <c r="BC253" s="77" t="n">
        <f aca="false">IF(OR(MOD(BC$246-1,12)&gt;=11,MOD(BC$246-1,12)&lt;=1),1-Inputs!$D$10,1+Inputs!$D$10/3)</f>
        <v>1.06666666666667</v>
      </c>
      <c r="BD253" s="77" t="n">
        <f aca="false">IF(OR(MOD(BD$246-1,12)&gt;=11,MOD(BD$246-1,12)&lt;=1),1-Inputs!$D$10,1+Inputs!$D$10/3)</f>
        <v>1.06666666666667</v>
      </c>
      <c r="BE253" s="77" t="n">
        <f aca="false">IF(OR(MOD(BE$246-1,12)&gt;=11,MOD(BE$246-1,12)&lt;=1),1-Inputs!$D$10,1+Inputs!$D$10/3)</f>
        <v>1.06666666666667</v>
      </c>
      <c r="BF253" s="77" t="n">
        <f aca="false">IF(OR(MOD(BF$246-1,12)&gt;=11,MOD(BF$246-1,12)&lt;=1),1-Inputs!$D$10,1+Inputs!$D$10/3)</f>
        <v>1.06666666666667</v>
      </c>
      <c r="BG253" s="77" t="n">
        <f aca="false">IF(OR(MOD(BG$246-1,12)&gt;=11,MOD(BG$246-1,12)&lt;=1),1-Inputs!$D$10,1+Inputs!$D$10/3)</f>
        <v>1.06666666666667</v>
      </c>
      <c r="BH253" s="77" t="n">
        <f aca="false">IF(OR(MOD(BH$246-1,12)&gt;=11,MOD(BH$246-1,12)&lt;=1),1-Inputs!$D$10,1+Inputs!$D$10/3)</f>
        <v>1.06666666666667</v>
      </c>
      <c r="BI253" s="77" t="n">
        <f aca="false">IF(OR(MOD(BI$246-1,12)&gt;=11,MOD(BI$246-1,12)&lt;=1),1-Inputs!$D$10,1+Inputs!$D$10/3)</f>
        <v>1.06666666666667</v>
      </c>
      <c r="BJ253" s="77" t="n">
        <f aca="false">IF(OR(MOD(BJ$246-1,12)&gt;=11,MOD(BJ$246-1,12)&lt;=1),1-Inputs!$D$10,1+Inputs!$D$10/3)</f>
        <v>0.8</v>
      </c>
    </row>
    <row r="254" customFormat="false" ht="15" hidden="false" customHeight="false" outlineLevel="0" collapsed="false">
      <c r="A254" s="6" t="s">
        <v>416</v>
      </c>
      <c r="C254" s="118" t="n">
        <f aca="false">C250*Inputs!$D$9*1*C253</f>
        <v>15.2</v>
      </c>
      <c r="D254" s="118" t="n">
        <f aca="false">D250*Inputs!$D$9*1*D253</f>
        <v>15.2</v>
      </c>
      <c r="E254" s="118" t="n">
        <f aca="false">E250*Inputs!$D$9*1*E253</f>
        <v>20.2666666666667</v>
      </c>
      <c r="F254" s="118" t="n">
        <f aca="false">F250*Inputs!$D$9*1*F253</f>
        <v>20.2666666666667</v>
      </c>
      <c r="G254" s="118" t="n">
        <f aca="false">G250*Inputs!$D$9*1*G253</f>
        <v>20.2666666666667</v>
      </c>
      <c r="H254" s="118" t="n">
        <f aca="false">H250*Inputs!$D$9*1*H253</f>
        <v>20.2666666666667</v>
      </c>
      <c r="I254" s="118" t="n">
        <f aca="false">I250*Inputs!$D$9*1*I253</f>
        <v>20.2666666666667</v>
      </c>
      <c r="J254" s="118" t="n">
        <f aca="false">J250*Inputs!$D$9*1*J253</f>
        <v>20.2666666666667</v>
      </c>
      <c r="K254" s="118" t="n">
        <f aca="false">K250*Inputs!$D$9*1*K253</f>
        <v>20.2666666666667</v>
      </c>
      <c r="L254" s="118" t="n">
        <f aca="false">L250*Inputs!$D$9*1*L253</f>
        <v>20.2666666666667</v>
      </c>
      <c r="M254" s="118" t="n">
        <f aca="false">M250*Inputs!$D$9*1*M253</f>
        <v>20.2666666666667</v>
      </c>
      <c r="N254" s="118" t="n">
        <f aca="false">N250*Inputs!$D$9*1*N253</f>
        <v>15.2</v>
      </c>
      <c r="O254" s="118" t="n">
        <f aca="false">O250*Inputs!$D$9*1*O253</f>
        <v>15.2</v>
      </c>
      <c r="P254" s="118" t="n">
        <f aca="false">P250*Inputs!$D$9*1*P253</f>
        <v>15.2</v>
      </c>
      <c r="Q254" s="118" t="n">
        <f aca="false">Q250*Inputs!$D$9*1*Q253</f>
        <v>20.2666666666667</v>
      </c>
      <c r="R254" s="118" t="n">
        <f aca="false">R250*Inputs!$D$9*1*R253</f>
        <v>20.2666666666667</v>
      </c>
      <c r="S254" s="118" t="n">
        <f aca="false">S250*Inputs!$D$9*1*S253</f>
        <v>20.2666666666667</v>
      </c>
      <c r="T254" s="118" t="n">
        <f aca="false">T250*Inputs!$D$9*1*T253</f>
        <v>20.2666666666667</v>
      </c>
      <c r="U254" s="118" t="n">
        <f aca="false">U250*Inputs!$D$9*1*U253</f>
        <v>20.2666666666667</v>
      </c>
      <c r="V254" s="118" t="n">
        <f aca="false">V250*Inputs!$D$9*1*V253</f>
        <v>20.2666666666667</v>
      </c>
      <c r="W254" s="118" t="n">
        <f aca="false">W250*Inputs!$D$9*1*W253</f>
        <v>20.2666666666667</v>
      </c>
      <c r="X254" s="118" t="n">
        <f aca="false">X250*Inputs!$D$9*1*X253</f>
        <v>20.2666666666667</v>
      </c>
      <c r="Y254" s="118" t="n">
        <f aca="false">Y250*Inputs!$D$9*1*Y253</f>
        <v>20.2666666666667</v>
      </c>
      <c r="Z254" s="118" t="n">
        <f aca="false">Z250*Inputs!$D$9*1*Z253</f>
        <v>15.2</v>
      </c>
      <c r="AA254" s="118" t="n">
        <f aca="false">AA250*Inputs!$D$9*1*AA253</f>
        <v>15.2</v>
      </c>
      <c r="AB254" s="118" t="n">
        <f aca="false">AB250*Inputs!$D$9*1*AB253</f>
        <v>15.2</v>
      </c>
      <c r="AC254" s="118" t="n">
        <f aca="false">AC250*Inputs!$D$9*1*AC253</f>
        <v>20.2666666666667</v>
      </c>
      <c r="AD254" s="118" t="n">
        <f aca="false">AD250*Inputs!$D$9*1*AD253</f>
        <v>20.2666666666667</v>
      </c>
      <c r="AE254" s="118" t="n">
        <f aca="false">AE250*Inputs!$D$9*1*AE253</f>
        <v>20.2666666666667</v>
      </c>
      <c r="AF254" s="118" t="n">
        <f aca="false">AF250*Inputs!$D$9*1*AF253</f>
        <v>20.2666666666667</v>
      </c>
      <c r="AG254" s="118" t="n">
        <f aca="false">AG250*Inputs!$D$9*1*AG253</f>
        <v>20.2666666666667</v>
      </c>
      <c r="AH254" s="118" t="n">
        <f aca="false">AH250*Inputs!$D$9*1*AH253</f>
        <v>20.2666666666667</v>
      </c>
      <c r="AI254" s="118" t="n">
        <f aca="false">AI250*Inputs!$D$9*1*AI253</f>
        <v>20.2666666666667</v>
      </c>
      <c r="AJ254" s="118" t="n">
        <f aca="false">AJ250*Inputs!$D$9*1*AJ253</f>
        <v>20.2666666666667</v>
      </c>
      <c r="AK254" s="118" t="n">
        <f aca="false">AK250*Inputs!$D$9*1*AK253</f>
        <v>20.2666666666667</v>
      </c>
      <c r="AL254" s="118" t="n">
        <f aca="false">AL250*Inputs!$D$9*1*AL253</f>
        <v>15.2</v>
      </c>
      <c r="AM254" s="118" t="n">
        <f aca="false">AM250*Inputs!$D$9*1*AM253</f>
        <v>15.2</v>
      </c>
      <c r="AN254" s="118" t="n">
        <f aca="false">AN250*Inputs!$D$9*1*AN253</f>
        <v>15.2</v>
      </c>
      <c r="AO254" s="118" t="n">
        <f aca="false">AO250*Inputs!$D$9*1*AO253</f>
        <v>20.2666666666667</v>
      </c>
      <c r="AP254" s="118" t="n">
        <f aca="false">AP250*Inputs!$D$9*1*AP253</f>
        <v>20.2666666666667</v>
      </c>
      <c r="AQ254" s="118" t="n">
        <f aca="false">AQ250*Inputs!$D$9*1*AQ253</f>
        <v>20.2666666666667</v>
      </c>
      <c r="AR254" s="118" t="n">
        <f aca="false">AR250*Inputs!$D$9*1*AR253</f>
        <v>20.2666666666667</v>
      </c>
      <c r="AS254" s="118" t="n">
        <f aca="false">AS250*Inputs!$D$9*1*AS253</f>
        <v>20.2666666666667</v>
      </c>
      <c r="AT254" s="118" t="n">
        <f aca="false">AT250*Inputs!$D$9*1*AT253</f>
        <v>20.2666666666667</v>
      </c>
      <c r="AU254" s="118" t="n">
        <f aca="false">AU250*Inputs!$D$9*1*AU253</f>
        <v>20.2666666666667</v>
      </c>
      <c r="AV254" s="118" t="n">
        <f aca="false">AV250*Inputs!$D$9*1*AV253</f>
        <v>20.2666666666667</v>
      </c>
      <c r="AW254" s="118" t="n">
        <f aca="false">AW250*Inputs!$D$9*1*AW253</f>
        <v>20.2666666666667</v>
      </c>
      <c r="AX254" s="118" t="n">
        <f aca="false">AX250*Inputs!$D$9*1*AX253</f>
        <v>15.2</v>
      </c>
      <c r="AY254" s="118" t="n">
        <f aca="false">AY250*Inputs!$D$9*1*AY253</f>
        <v>15.2</v>
      </c>
      <c r="AZ254" s="118" t="n">
        <f aca="false">AZ250*Inputs!$D$9*1*AZ253</f>
        <v>15.2</v>
      </c>
      <c r="BA254" s="118" t="n">
        <f aca="false">BA250*Inputs!$D$9*1*BA253</f>
        <v>20.2666666666667</v>
      </c>
      <c r="BB254" s="118" t="n">
        <f aca="false">BB250*Inputs!$D$9*1*BB253</f>
        <v>20.2666666666667</v>
      </c>
      <c r="BC254" s="118" t="n">
        <f aca="false">BC250*Inputs!$D$9*1*BC253</f>
        <v>20.2666666666667</v>
      </c>
      <c r="BD254" s="118" t="n">
        <f aca="false">BD250*Inputs!$D$9*1*BD253</f>
        <v>20.2666666666667</v>
      </c>
      <c r="BE254" s="118" t="n">
        <f aca="false">BE250*Inputs!$D$9*1*BE253</f>
        <v>20.2666666666667</v>
      </c>
      <c r="BF254" s="118" t="n">
        <f aca="false">BF250*Inputs!$D$9*1*BF253</f>
        <v>20.2666666666667</v>
      </c>
      <c r="BG254" s="118" t="n">
        <f aca="false">BG250*Inputs!$D$9*1*BG253</f>
        <v>20.2666666666667</v>
      </c>
      <c r="BH254" s="118" t="n">
        <f aca="false">BH250*Inputs!$D$9*1*BH253</f>
        <v>20.2666666666667</v>
      </c>
      <c r="BI254" s="118" t="n">
        <f aca="false">BI250*Inputs!$D$9*1*BI253</f>
        <v>20.2666666666667</v>
      </c>
      <c r="BJ254" s="118" t="n">
        <f aca="false">BJ250*Inputs!$D$9*1*BJ253</f>
        <v>15.2</v>
      </c>
    </row>
    <row r="255" customFormat="false" ht="15" hidden="false" customHeight="false" outlineLevel="0" collapsed="false">
      <c r="A255" s="6" t="s">
        <v>417</v>
      </c>
      <c r="C255" s="118" t="n">
        <f aca="false">C250*Inputs!$D$23*(1+Inputs!$D$24)^(C$247-1)*1*C252</f>
        <v>2.1</v>
      </c>
      <c r="D255" s="118" t="n">
        <f aca="false">D250*Inputs!$D$23*(1+Inputs!$D$24)^(D$247-1)*1*D252</f>
        <v>2.45</v>
      </c>
      <c r="E255" s="118" t="n">
        <f aca="false">E250*Inputs!$D$23*(1+Inputs!$D$24)^(E$247-1)*1*E252</f>
        <v>2.8</v>
      </c>
      <c r="F255" s="118" t="n">
        <f aca="false">F250*Inputs!$D$23*(1+Inputs!$D$24)^(F$247-1)*1*F252</f>
        <v>3.15</v>
      </c>
      <c r="G255" s="118" t="n">
        <f aca="false">G250*Inputs!$D$23*(1+Inputs!$D$24)^(G$247-1)*1*G252</f>
        <v>3.5</v>
      </c>
      <c r="H255" s="118" t="n">
        <f aca="false">H250*Inputs!$D$23*(1+Inputs!$D$24)^(H$247-1)*1*H252</f>
        <v>3.5</v>
      </c>
      <c r="I255" s="118" t="n">
        <f aca="false">I250*Inputs!$D$23*(1+Inputs!$D$24)^(I$247-1)*1*I252</f>
        <v>3.5</v>
      </c>
      <c r="J255" s="118" t="n">
        <f aca="false">J250*Inputs!$D$23*(1+Inputs!$D$24)^(J$247-1)*1*J252</f>
        <v>3.5</v>
      </c>
      <c r="K255" s="118" t="n">
        <f aca="false">K250*Inputs!$D$23*(1+Inputs!$D$24)^(K$247-1)*1*K252</f>
        <v>3.5</v>
      </c>
      <c r="L255" s="118" t="n">
        <f aca="false">L250*Inputs!$D$23*(1+Inputs!$D$24)^(L$247-1)*1*L252</f>
        <v>3.5</v>
      </c>
      <c r="M255" s="118" t="n">
        <f aca="false">M250*Inputs!$D$23*(1+Inputs!$D$24)^(M$247-1)*1*M252</f>
        <v>3.5</v>
      </c>
      <c r="N255" s="118" t="n">
        <f aca="false">N250*Inputs!$D$23*(1+Inputs!$D$24)^(N$247-1)*1*N252</f>
        <v>3.5</v>
      </c>
      <c r="O255" s="118" t="n">
        <f aca="false">O250*Inputs!$D$23*(1+Inputs!$D$24)^(O$247-1)*1*O252</f>
        <v>3.85</v>
      </c>
      <c r="P255" s="118" t="n">
        <f aca="false">P250*Inputs!$D$23*(1+Inputs!$D$24)^(P$247-1)*1*P252</f>
        <v>3.85</v>
      </c>
      <c r="Q255" s="118" t="n">
        <f aca="false">Q250*Inputs!$D$23*(1+Inputs!$D$24)^(Q$247-1)*1*Q252</f>
        <v>3.85</v>
      </c>
      <c r="R255" s="118" t="n">
        <f aca="false">R250*Inputs!$D$23*(1+Inputs!$D$24)^(R$247-1)*1*R252</f>
        <v>3.85</v>
      </c>
      <c r="S255" s="118" t="n">
        <f aca="false">S250*Inputs!$D$23*(1+Inputs!$D$24)^(S$247-1)*1*S252</f>
        <v>3.85</v>
      </c>
      <c r="T255" s="118" t="n">
        <f aca="false">T250*Inputs!$D$23*(1+Inputs!$D$24)^(T$247-1)*1*T252</f>
        <v>3.85</v>
      </c>
      <c r="U255" s="118" t="n">
        <f aca="false">U250*Inputs!$D$23*(1+Inputs!$D$24)^(U$247-1)*1*U252</f>
        <v>3.85</v>
      </c>
      <c r="V255" s="118" t="n">
        <f aca="false">V250*Inputs!$D$23*(1+Inputs!$D$24)^(V$247-1)*1*V252</f>
        <v>3.85</v>
      </c>
      <c r="W255" s="118" t="n">
        <f aca="false">W250*Inputs!$D$23*(1+Inputs!$D$24)^(W$247-1)*1*W252</f>
        <v>3.85</v>
      </c>
      <c r="X255" s="118" t="n">
        <f aca="false">X250*Inputs!$D$23*(1+Inputs!$D$24)^(X$247-1)*1*X252</f>
        <v>3.85</v>
      </c>
      <c r="Y255" s="118" t="n">
        <f aca="false">Y250*Inputs!$D$23*(1+Inputs!$D$24)^(Y$247-1)*1*Y252</f>
        <v>3.85</v>
      </c>
      <c r="Z255" s="118" t="n">
        <f aca="false">Z250*Inputs!$D$23*(1+Inputs!$D$24)^(Z$247-1)*1*Z252</f>
        <v>3.85</v>
      </c>
      <c r="AA255" s="118" t="n">
        <f aca="false">AA250*Inputs!$D$23*(1+Inputs!$D$24)^(AA$247-1)*1*AA252</f>
        <v>4.235</v>
      </c>
      <c r="AB255" s="118" t="n">
        <f aca="false">AB250*Inputs!$D$23*(1+Inputs!$D$24)^(AB$247-1)*1*AB252</f>
        <v>4.235</v>
      </c>
      <c r="AC255" s="118" t="n">
        <f aca="false">AC250*Inputs!$D$23*(1+Inputs!$D$24)^(AC$247-1)*1*AC252</f>
        <v>4.235</v>
      </c>
      <c r="AD255" s="118" t="n">
        <f aca="false">AD250*Inputs!$D$23*(1+Inputs!$D$24)^(AD$247-1)*1*AD252</f>
        <v>4.235</v>
      </c>
      <c r="AE255" s="118" t="n">
        <f aca="false">AE250*Inputs!$D$23*(1+Inputs!$D$24)^(AE$247-1)*1*AE252</f>
        <v>4.235</v>
      </c>
      <c r="AF255" s="118" t="n">
        <f aca="false">AF250*Inputs!$D$23*(1+Inputs!$D$24)^(AF$247-1)*1*AF252</f>
        <v>4.235</v>
      </c>
      <c r="AG255" s="118" t="n">
        <f aca="false">AG250*Inputs!$D$23*(1+Inputs!$D$24)^(AG$247-1)*1*AG252</f>
        <v>4.235</v>
      </c>
      <c r="AH255" s="118" t="n">
        <f aca="false">AH250*Inputs!$D$23*(1+Inputs!$D$24)^(AH$247-1)*1*AH252</f>
        <v>4.235</v>
      </c>
      <c r="AI255" s="118" t="n">
        <f aca="false">AI250*Inputs!$D$23*(1+Inputs!$D$24)^(AI$247-1)*1*AI252</f>
        <v>4.235</v>
      </c>
      <c r="AJ255" s="118" t="n">
        <f aca="false">AJ250*Inputs!$D$23*(1+Inputs!$D$24)^(AJ$247-1)*1*AJ252</f>
        <v>4.235</v>
      </c>
      <c r="AK255" s="118" t="n">
        <f aca="false">AK250*Inputs!$D$23*(1+Inputs!$D$24)^(AK$247-1)*1*AK252</f>
        <v>4.235</v>
      </c>
      <c r="AL255" s="118" t="n">
        <f aca="false">AL250*Inputs!$D$23*(1+Inputs!$D$24)^(AL$247-1)*1*AL252</f>
        <v>4.235</v>
      </c>
      <c r="AM255" s="118" t="n">
        <f aca="false">AM250*Inputs!$D$23*(1+Inputs!$D$24)^(AM$247-1)*1*AM252</f>
        <v>4.6585</v>
      </c>
      <c r="AN255" s="118" t="n">
        <f aca="false">AN250*Inputs!$D$23*(1+Inputs!$D$24)^(AN$247-1)*1*AN252</f>
        <v>4.6585</v>
      </c>
      <c r="AO255" s="118" t="n">
        <f aca="false">AO250*Inputs!$D$23*(1+Inputs!$D$24)^(AO$247-1)*1*AO252</f>
        <v>4.6585</v>
      </c>
      <c r="AP255" s="118" t="n">
        <f aca="false">AP250*Inputs!$D$23*(1+Inputs!$D$24)^(AP$247-1)*1*AP252</f>
        <v>4.6585</v>
      </c>
      <c r="AQ255" s="118" t="n">
        <f aca="false">AQ250*Inputs!$D$23*(1+Inputs!$D$24)^(AQ$247-1)*1*AQ252</f>
        <v>4.6585</v>
      </c>
      <c r="AR255" s="118" t="n">
        <f aca="false">AR250*Inputs!$D$23*(1+Inputs!$D$24)^(AR$247-1)*1*AR252</f>
        <v>4.6585</v>
      </c>
      <c r="AS255" s="118" t="n">
        <f aca="false">AS250*Inputs!$D$23*(1+Inputs!$D$24)^(AS$247-1)*1*AS252</f>
        <v>4.6585</v>
      </c>
      <c r="AT255" s="118" t="n">
        <f aca="false">AT250*Inputs!$D$23*(1+Inputs!$D$24)^(AT$247-1)*1*AT252</f>
        <v>4.6585</v>
      </c>
      <c r="AU255" s="118" t="n">
        <f aca="false">AU250*Inputs!$D$23*(1+Inputs!$D$24)^(AU$247-1)*1*AU252</f>
        <v>4.6585</v>
      </c>
      <c r="AV255" s="118" t="n">
        <f aca="false">AV250*Inputs!$D$23*(1+Inputs!$D$24)^(AV$247-1)*1*AV252</f>
        <v>4.6585</v>
      </c>
      <c r="AW255" s="118" t="n">
        <f aca="false">AW250*Inputs!$D$23*(1+Inputs!$D$24)^(AW$247-1)*1*AW252</f>
        <v>4.6585</v>
      </c>
      <c r="AX255" s="118" t="n">
        <f aca="false">AX250*Inputs!$D$23*(1+Inputs!$D$24)^(AX$247-1)*1*AX252</f>
        <v>4.6585</v>
      </c>
      <c r="AY255" s="118" t="n">
        <f aca="false">AY250*Inputs!$D$23*(1+Inputs!$D$24)^(AY$247-1)*1*AY252</f>
        <v>5.12435</v>
      </c>
      <c r="AZ255" s="118" t="n">
        <f aca="false">AZ250*Inputs!$D$23*(1+Inputs!$D$24)^(AZ$247-1)*1*AZ252</f>
        <v>5.12435</v>
      </c>
      <c r="BA255" s="118" t="n">
        <f aca="false">BA250*Inputs!$D$23*(1+Inputs!$D$24)^(BA$247-1)*1*BA252</f>
        <v>5.12435</v>
      </c>
      <c r="BB255" s="118" t="n">
        <f aca="false">BB250*Inputs!$D$23*(1+Inputs!$D$24)^(BB$247-1)*1*BB252</f>
        <v>5.12435</v>
      </c>
      <c r="BC255" s="118" t="n">
        <f aca="false">BC250*Inputs!$D$23*(1+Inputs!$D$24)^(BC$247-1)*1*BC252</f>
        <v>5.12435</v>
      </c>
      <c r="BD255" s="118" t="n">
        <f aca="false">BD250*Inputs!$D$23*(1+Inputs!$D$24)^(BD$247-1)*1*BD252</f>
        <v>5.12435</v>
      </c>
      <c r="BE255" s="118" t="n">
        <f aca="false">BE250*Inputs!$D$23*(1+Inputs!$D$24)^(BE$247-1)*1*BE252</f>
        <v>5.12435</v>
      </c>
      <c r="BF255" s="118" t="n">
        <f aca="false">BF250*Inputs!$D$23*(1+Inputs!$D$24)^(BF$247-1)*1*BF252</f>
        <v>5.12435</v>
      </c>
      <c r="BG255" s="118" t="n">
        <f aca="false">BG250*Inputs!$D$23*(1+Inputs!$D$24)^(BG$247-1)*1*BG252</f>
        <v>5.12435</v>
      </c>
      <c r="BH255" s="118" t="n">
        <f aca="false">BH250*Inputs!$D$23*(1+Inputs!$D$24)^(BH$247-1)*1*BH252</f>
        <v>5.12435</v>
      </c>
      <c r="BI255" s="118" t="n">
        <f aca="false">BI250*Inputs!$D$23*(1+Inputs!$D$24)^(BI$247-1)*1*BI252</f>
        <v>5.12435</v>
      </c>
      <c r="BJ255" s="118" t="n">
        <f aca="false">BJ250*Inputs!$D$23*(1+Inputs!$D$24)^(BJ$247-1)*1*BJ252</f>
        <v>5.12435</v>
      </c>
    </row>
    <row r="256" customFormat="false" ht="15" hidden="false" customHeight="false" outlineLevel="0" collapsed="false">
      <c r="A256" s="4" t="s">
        <v>418</v>
      </c>
      <c r="C256" s="119" t="n">
        <f aca="false">C254+C255</f>
        <v>17.3</v>
      </c>
      <c r="D256" s="119" t="n">
        <f aca="false">D254+D255</f>
        <v>17.65</v>
      </c>
      <c r="E256" s="119" t="n">
        <f aca="false">E254+E255</f>
        <v>23.0666666666667</v>
      </c>
      <c r="F256" s="119" t="n">
        <f aca="false">F254+F255</f>
        <v>23.4166666666667</v>
      </c>
      <c r="G256" s="119" t="n">
        <f aca="false">G254+G255</f>
        <v>23.7666666666667</v>
      </c>
      <c r="H256" s="119" t="n">
        <f aca="false">H254+H255</f>
        <v>23.7666666666667</v>
      </c>
      <c r="I256" s="119" t="n">
        <f aca="false">I254+I255</f>
        <v>23.7666666666667</v>
      </c>
      <c r="J256" s="119" t="n">
        <f aca="false">J254+J255</f>
        <v>23.7666666666667</v>
      </c>
      <c r="K256" s="119" t="n">
        <f aca="false">K254+K255</f>
        <v>23.7666666666667</v>
      </c>
      <c r="L256" s="119" t="n">
        <f aca="false">L254+L255</f>
        <v>23.7666666666667</v>
      </c>
      <c r="M256" s="119" t="n">
        <f aca="false">M254+M255</f>
        <v>23.7666666666667</v>
      </c>
      <c r="N256" s="119" t="n">
        <f aca="false">N254+N255</f>
        <v>18.7</v>
      </c>
      <c r="O256" s="119" t="n">
        <f aca="false">O254+O255</f>
        <v>19.05</v>
      </c>
      <c r="P256" s="119" t="n">
        <f aca="false">P254+P255</f>
        <v>19.05</v>
      </c>
      <c r="Q256" s="119" t="n">
        <f aca="false">Q254+Q255</f>
        <v>24.1166666666667</v>
      </c>
      <c r="R256" s="119" t="n">
        <f aca="false">R254+R255</f>
        <v>24.1166666666667</v>
      </c>
      <c r="S256" s="119" t="n">
        <f aca="false">S254+S255</f>
        <v>24.1166666666667</v>
      </c>
      <c r="T256" s="119" t="n">
        <f aca="false">T254+T255</f>
        <v>24.1166666666667</v>
      </c>
      <c r="U256" s="119" t="n">
        <f aca="false">U254+U255</f>
        <v>24.1166666666667</v>
      </c>
      <c r="V256" s="119" t="n">
        <f aca="false">V254+V255</f>
        <v>24.1166666666667</v>
      </c>
      <c r="W256" s="119" t="n">
        <f aca="false">W254+W255</f>
        <v>24.1166666666667</v>
      </c>
      <c r="X256" s="119" t="n">
        <f aca="false">X254+X255</f>
        <v>24.1166666666667</v>
      </c>
      <c r="Y256" s="119" t="n">
        <f aca="false">Y254+Y255</f>
        <v>24.1166666666667</v>
      </c>
      <c r="Z256" s="119" t="n">
        <f aca="false">Z254+Z255</f>
        <v>19.05</v>
      </c>
      <c r="AA256" s="119" t="n">
        <f aca="false">AA254+AA255</f>
        <v>19.435</v>
      </c>
      <c r="AB256" s="119" t="n">
        <f aca="false">AB254+AB255</f>
        <v>19.435</v>
      </c>
      <c r="AC256" s="119" t="n">
        <f aca="false">AC254+AC255</f>
        <v>24.5016666666667</v>
      </c>
      <c r="AD256" s="119" t="n">
        <f aca="false">AD254+AD255</f>
        <v>24.5016666666667</v>
      </c>
      <c r="AE256" s="119" t="n">
        <f aca="false">AE254+AE255</f>
        <v>24.5016666666667</v>
      </c>
      <c r="AF256" s="119" t="n">
        <f aca="false">AF254+AF255</f>
        <v>24.5016666666667</v>
      </c>
      <c r="AG256" s="119" t="n">
        <f aca="false">AG254+AG255</f>
        <v>24.5016666666667</v>
      </c>
      <c r="AH256" s="119" t="n">
        <f aca="false">AH254+AH255</f>
        <v>24.5016666666667</v>
      </c>
      <c r="AI256" s="119" t="n">
        <f aca="false">AI254+AI255</f>
        <v>24.5016666666667</v>
      </c>
      <c r="AJ256" s="119" t="n">
        <f aca="false">AJ254+AJ255</f>
        <v>24.5016666666667</v>
      </c>
      <c r="AK256" s="119" t="n">
        <f aca="false">AK254+AK255</f>
        <v>24.5016666666667</v>
      </c>
      <c r="AL256" s="119" t="n">
        <f aca="false">AL254+AL255</f>
        <v>19.435</v>
      </c>
      <c r="AM256" s="119" t="n">
        <f aca="false">AM254+AM255</f>
        <v>19.8585</v>
      </c>
      <c r="AN256" s="119" t="n">
        <f aca="false">AN254+AN255</f>
        <v>19.8585</v>
      </c>
      <c r="AO256" s="119" t="n">
        <f aca="false">AO254+AO255</f>
        <v>24.9251666666667</v>
      </c>
      <c r="AP256" s="119" t="n">
        <f aca="false">AP254+AP255</f>
        <v>24.9251666666667</v>
      </c>
      <c r="AQ256" s="119" t="n">
        <f aca="false">AQ254+AQ255</f>
        <v>24.9251666666667</v>
      </c>
      <c r="AR256" s="119" t="n">
        <f aca="false">AR254+AR255</f>
        <v>24.9251666666667</v>
      </c>
      <c r="AS256" s="119" t="n">
        <f aca="false">AS254+AS255</f>
        <v>24.9251666666667</v>
      </c>
      <c r="AT256" s="119" t="n">
        <f aca="false">AT254+AT255</f>
        <v>24.9251666666667</v>
      </c>
      <c r="AU256" s="119" t="n">
        <f aca="false">AU254+AU255</f>
        <v>24.9251666666667</v>
      </c>
      <c r="AV256" s="119" t="n">
        <f aca="false">AV254+AV255</f>
        <v>24.9251666666667</v>
      </c>
      <c r="AW256" s="119" t="n">
        <f aca="false">AW254+AW255</f>
        <v>24.9251666666667</v>
      </c>
      <c r="AX256" s="119" t="n">
        <f aca="false">AX254+AX255</f>
        <v>19.8585</v>
      </c>
      <c r="AY256" s="119" t="n">
        <f aca="false">AY254+AY255</f>
        <v>20.32435</v>
      </c>
      <c r="AZ256" s="119" t="n">
        <f aca="false">AZ254+AZ255</f>
        <v>20.32435</v>
      </c>
      <c r="BA256" s="119" t="n">
        <f aca="false">BA254+BA255</f>
        <v>25.3910166666667</v>
      </c>
      <c r="BB256" s="119" t="n">
        <f aca="false">BB254+BB255</f>
        <v>25.3910166666667</v>
      </c>
      <c r="BC256" s="119" t="n">
        <f aca="false">BC254+BC255</f>
        <v>25.3910166666667</v>
      </c>
      <c r="BD256" s="119" t="n">
        <f aca="false">BD254+BD255</f>
        <v>25.3910166666667</v>
      </c>
      <c r="BE256" s="119" t="n">
        <f aca="false">BE254+BE255</f>
        <v>25.3910166666667</v>
      </c>
      <c r="BF256" s="119" t="n">
        <f aca="false">BF254+BF255</f>
        <v>25.3910166666667</v>
      </c>
      <c r="BG256" s="119" t="n">
        <f aca="false">BG254+BG255</f>
        <v>25.3910166666667</v>
      </c>
      <c r="BH256" s="119" t="n">
        <f aca="false">BH254+BH255</f>
        <v>25.3910166666667</v>
      </c>
      <c r="BI256" s="119" t="n">
        <f aca="false">BI254+BI255</f>
        <v>25.3910166666667</v>
      </c>
      <c r="BJ256" s="119" t="n">
        <f aca="false">BJ254+BJ255</f>
        <v>20.32435</v>
      </c>
    </row>
    <row r="257" customFormat="false" ht="15" hidden="false" customHeight="false" outlineLevel="0" collapsed="false">
      <c r="A257" s="6" t="s">
        <v>419</v>
      </c>
      <c r="C257" s="116" t="n">
        <f aca="false">C254*Inputs!$D$17*(1+Inputs!$D$18)^(C$247-1)*C252</f>
        <v>893.76</v>
      </c>
      <c r="D257" s="116" t="n">
        <f aca="false">D254*Inputs!$D$17*(1+Inputs!$D$18)^(D$247-1)*D252</f>
        <v>1042.72</v>
      </c>
      <c r="E257" s="116" t="n">
        <f aca="false">E254*Inputs!$D$17*(1+Inputs!$D$18)^(E$247-1)*E252</f>
        <v>1588.90666666667</v>
      </c>
      <c r="F257" s="116" t="n">
        <f aca="false">F254*Inputs!$D$17*(1+Inputs!$D$18)^(F$247-1)*F252</f>
        <v>1787.52</v>
      </c>
      <c r="G257" s="116" t="n">
        <f aca="false">G254*Inputs!$D$17*(1+Inputs!$D$18)^(G$247-1)*G252</f>
        <v>1986.13333333333</v>
      </c>
      <c r="H257" s="116" t="n">
        <f aca="false">H254*Inputs!$D$17*(1+Inputs!$D$18)^(H$247-1)*H252</f>
        <v>1986.13333333333</v>
      </c>
      <c r="I257" s="116" t="n">
        <f aca="false">I254*Inputs!$D$17*(1+Inputs!$D$18)^(I$247-1)*I252</f>
        <v>1986.13333333333</v>
      </c>
      <c r="J257" s="116" t="n">
        <f aca="false">J254*Inputs!$D$17*(1+Inputs!$D$18)^(J$247-1)*J252</f>
        <v>1986.13333333333</v>
      </c>
      <c r="K257" s="116" t="n">
        <f aca="false">K254*Inputs!$D$17*(1+Inputs!$D$18)^(K$247-1)*K252</f>
        <v>1986.13333333333</v>
      </c>
      <c r="L257" s="116" t="n">
        <f aca="false">L254*Inputs!$D$17*(1+Inputs!$D$18)^(L$247-1)*L252</f>
        <v>1986.13333333333</v>
      </c>
      <c r="M257" s="116" t="n">
        <f aca="false">M254*Inputs!$D$17*(1+Inputs!$D$18)^(M$247-1)*M252</f>
        <v>1986.13333333333</v>
      </c>
      <c r="N257" s="116" t="n">
        <f aca="false">N254*Inputs!$D$17*(1+Inputs!$D$18)^(N$247-1)*N252</f>
        <v>1489.6</v>
      </c>
      <c r="O257" s="116" t="n">
        <f aca="false">O254*Inputs!$D$17*(1+Inputs!$D$18)^(O$247-1)*O252</f>
        <v>1564.08</v>
      </c>
      <c r="P257" s="116" t="n">
        <f aca="false">P254*Inputs!$D$17*(1+Inputs!$D$18)^(P$247-1)*P252</f>
        <v>1564.08</v>
      </c>
      <c r="Q257" s="116" t="n">
        <f aca="false">Q254*Inputs!$D$17*(1+Inputs!$D$18)^(Q$247-1)*Q252</f>
        <v>2085.44</v>
      </c>
      <c r="R257" s="116" t="n">
        <f aca="false">R254*Inputs!$D$17*(1+Inputs!$D$18)^(R$247-1)*R252</f>
        <v>2085.44</v>
      </c>
      <c r="S257" s="116" t="n">
        <f aca="false">S254*Inputs!$D$17*(1+Inputs!$D$18)^(S$247-1)*S252</f>
        <v>2085.44</v>
      </c>
      <c r="T257" s="116" t="n">
        <f aca="false">T254*Inputs!$D$17*(1+Inputs!$D$18)^(T$247-1)*T252</f>
        <v>2085.44</v>
      </c>
      <c r="U257" s="116" t="n">
        <f aca="false">U254*Inputs!$D$17*(1+Inputs!$D$18)^(U$247-1)*U252</f>
        <v>2085.44</v>
      </c>
      <c r="V257" s="116" t="n">
        <f aca="false">V254*Inputs!$D$17*(1+Inputs!$D$18)^(V$247-1)*V252</f>
        <v>2085.44</v>
      </c>
      <c r="W257" s="116" t="n">
        <f aca="false">W254*Inputs!$D$17*(1+Inputs!$D$18)^(W$247-1)*W252</f>
        <v>2085.44</v>
      </c>
      <c r="X257" s="116" t="n">
        <f aca="false">X254*Inputs!$D$17*(1+Inputs!$D$18)^(X$247-1)*X252</f>
        <v>2085.44</v>
      </c>
      <c r="Y257" s="116" t="n">
        <f aca="false">Y254*Inputs!$D$17*(1+Inputs!$D$18)^(Y$247-1)*Y252</f>
        <v>2085.44</v>
      </c>
      <c r="Z257" s="116" t="n">
        <f aca="false">Z254*Inputs!$D$17*(1+Inputs!$D$18)^(Z$247-1)*Z252</f>
        <v>1564.08</v>
      </c>
      <c r="AA257" s="116" t="n">
        <f aca="false">AA254*Inputs!$D$17*(1+Inputs!$D$18)^(AA$247-1)*AA252</f>
        <v>1642.284</v>
      </c>
      <c r="AB257" s="116" t="n">
        <f aca="false">AB254*Inputs!$D$17*(1+Inputs!$D$18)^(AB$247-1)*AB252</f>
        <v>1642.284</v>
      </c>
      <c r="AC257" s="116" t="n">
        <f aca="false">AC254*Inputs!$D$17*(1+Inputs!$D$18)^(AC$247-1)*AC252</f>
        <v>2189.712</v>
      </c>
      <c r="AD257" s="116" t="n">
        <f aca="false">AD254*Inputs!$D$17*(1+Inputs!$D$18)^(AD$247-1)*AD252</f>
        <v>2189.712</v>
      </c>
      <c r="AE257" s="116" t="n">
        <f aca="false">AE254*Inputs!$D$17*(1+Inputs!$D$18)^(AE$247-1)*AE252</f>
        <v>2189.712</v>
      </c>
      <c r="AF257" s="116" t="n">
        <f aca="false">AF254*Inputs!$D$17*(1+Inputs!$D$18)^(AF$247-1)*AF252</f>
        <v>2189.712</v>
      </c>
      <c r="AG257" s="116" t="n">
        <f aca="false">AG254*Inputs!$D$17*(1+Inputs!$D$18)^(AG$247-1)*AG252</f>
        <v>2189.712</v>
      </c>
      <c r="AH257" s="116" t="n">
        <f aca="false">AH254*Inputs!$D$17*(1+Inputs!$D$18)^(AH$247-1)*AH252</f>
        <v>2189.712</v>
      </c>
      <c r="AI257" s="116" t="n">
        <f aca="false">AI254*Inputs!$D$17*(1+Inputs!$D$18)^(AI$247-1)*AI252</f>
        <v>2189.712</v>
      </c>
      <c r="AJ257" s="116" t="n">
        <f aca="false">AJ254*Inputs!$D$17*(1+Inputs!$D$18)^(AJ$247-1)*AJ252</f>
        <v>2189.712</v>
      </c>
      <c r="AK257" s="116" t="n">
        <f aca="false">AK254*Inputs!$D$17*(1+Inputs!$D$18)^(AK$247-1)*AK252</f>
        <v>2189.712</v>
      </c>
      <c r="AL257" s="116" t="n">
        <f aca="false">AL254*Inputs!$D$17*(1+Inputs!$D$18)^(AL$247-1)*AL252</f>
        <v>1642.284</v>
      </c>
      <c r="AM257" s="116" t="n">
        <f aca="false">AM254*Inputs!$D$17*(1+Inputs!$D$18)^(AM$247-1)*AM252</f>
        <v>1724.3982</v>
      </c>
      <c r="AN257" s="116" t="n">
        <f aca="false">AN254*Inputs!$D$17*(1+Inputs!$D$18)^(AN$247-1)*AN252</f>
        <v>1724.3982</v>
      </c>
      <c r="AO257" s="116" t="n">
        <f aca="false">AO254*Inputs!$D$17*(1+Inputs!$D$18)^(AO$247-1)*AO252</f>
        <v>2299.1976</v>
      </c>
      <c r="AP257" s="116" t="n">
        <f aca="false">AP254*Inputs!$D$17*(1+Inputs!$D$18)^(AP$247-1)*AP252</f>
        <v>2299.1976</v>
      </c>
      <c r="AQ257" s="116" t="n">
        <f aca="false">AQ254*Inputs!$D$17*(1+Inputs!$D$18)^(AQ$247-1)*AQ252</f>
        <v>2299.1976</v>
      </c>
      <c r="AR257" s="116" t="n">
        <f aca="false">AR254*Inputs!$D$17*(1+Inputs!$D$18)^(AR$247-1)*AR252</f>
        <v>2299.1976</v>
      </c>
      <c r="AS257" s="116" t="n">
        <f aca="false">AS254*Inputs!$D$17*(1+Inputs!$D$18)^(AS$247-1)*AS252</f>
        <v>2299.1976</v>
      </c>
      <c r="AT257" s="116" t="n">
        <f aca="false">AT254*Inputs!$D$17*(1+Inputs!$D$18)^(AT$247-1)*AT252</f>
        <v>2299.1976</v>
      </c>
      <c r="AU257" s="116" t="n">
        <f aca="false">AU254*Inputs!$D$17*(1+Inputs!$D$18)^(AU$247-1)*AU252</f>
        <v>2299.1976</v>
      </c>
      <c r="AV257" s="116" t="n">
        <f aca="false">AV254*Inputs!$D$17*(1+Inputs!$D$18)^(AV$247-1)*AV252</f>
        <v>2299.1976</v>
      </c>
      <c r="AW257" s="116" t="n">
        <f aca="false">AW254*Inputs!$D$17*(1+Inputs!$D$18)^(AW$247-1)*AW252</f>
        <v>2299.1976</v>
      </c>
      <c r="AX257" s="116" t="n">
        <f aca="false">AX254*Inputs!$D$17*(1+Inputs!$D$18)^(AX$247-1)*AX252</f>
        <v>1724.3982</v>
      </c>
      <c r="AY257" s="116" t="n">
        <f aca="false">AY254*Inputs!$D$17*(1+Inputs!$D$18)^(AY$247-1)*AY252</f>
        <v>1810.61811</v>
      </c>
      <c r="AZ257" s="116" t="n">
        <f aca="false">AZ254*Inputs!$D$17*(1+Inputs!$D$18)^(AZ$247-1)*AZ252</f>
        <v>1810.61811</v>
      </c>
      <c r="BA257" s="116" t="n">
        <f aca="false">BA254*Inputs!$D$17*(1+Inputs!$D$18)^(BA$247-1)*BA252</f>
        <v>2414.15748</v>
      </c>
      <c r="BB257" s="116" t="n">
        <f aca="false">BB254*Inputs!$D$17*(1+Inputs!$D$18)^(BB$247-1)*BB252</f>
        <v>2414.15748</v>
      </c>
      <c r="BC257" s="116" t="n">
        <f aca="false">BC254*Inputs!$D$17*(1+Inputs!$D$18)^(BC$247-1)*BC252</f>
        <v>2414.15748</v>
      </c>
      <c r="BD257" s="116" t="n">
        <f aca="false">BD254*Inputs!$D$17*(1+Inputs!$D$18)^(BD$247-1)*BD252</f>
        <v>2414.15748</v>
      </c>
      <c r="BE257" s="116" t="n">
        <f aca="false">BE254*Inputs!$D$17*(1+Inputs!$D$18)^(BE$247-1)*BE252</f>
        <v>2414.15748</v>
      </c>
      <c r="BF257" s="116" t="n">
        <f aca="false">BF254*Inputs!$D$17*(1+Inputs!$D$18)^(BF$247-1)*BF252</f>
        <v>2414.15748</v>
      </c>
      <c r="BG257" s="116" t="n">
        <f aca="false">BG254*Inputs!$D$17*(1+Inputs!$D$18)^(BG$247-1)*BG252</f>
        <v>2414.15748</v>
      </c>
      <c r="BH257" s="116" t="n">
        <f aca="false">BH254*Inputs!$D$17*(1+Inputs!$D$18)^(BH$247-1)*BH252</f>
        <v>2414.15748</v>
      </c>
      <c r="BI257" s="116" t="n">
        <f aca="false">BI254*Inputs!$D$17*(1+Inputs!$D$18)^(BI$247-1)*BI252</f>
        <v>2414.15748</v>
      </c>
      <c r="BJ257" s="116" t="n">
        <f aca="false">BJ254*Inputs!$D$17*(1+Inputs!$D$18)^(BJ$247-1)*BJ252</f>
        <v>1810.61811</v>
      </c>
    </row>
    <row r="258" customFormat="false" ht="15" hidden="false" customHeight="false" outlineLevel="0" collapsed="false">
      <c r="A258" s="6" t="s">
        <v>420</v>
      </c>
      <c r="C258" s="116" t="n">
        <f aca="false">C255*Inputs!$D$26</f>
        <v>210</v>
      </c>
      <c r="D258" s="116" t="n">
        <f aca="false">D255*Inputs!$D$26</f>
        <v>245</v>
      </c>
      <c r="E258" s="116" t="n">
        <f aca="false">E255*Inputs!$D$26</f>
        <v>280</v>
      </c>
      <c r="F258" s="116" t="n">
        <f aca="false">F255*Inputs!$D$26</f>
        <v>315</v>
      </c>
      <c r="G258" s="116" t="n">
        <f aca="false">G255*Inputs!$D$26</f>
        <v>350</v>
      </c>
      <c r="H258" s="116" t="n">
        <f aca="false">H255*Inputs!$D$26</f>
        <v>350</v>
      </c>
      <c r="I258" s="116" t="n">
        <f aca="false">I255*Inputs!$D$26</f>
        <v>350</v>
      </c>
      <c r="J258" s="116" t="n">
        <f aca="false">J255*Inputs!$D$26</f>
        <v>350</v>
      </c>
      <c r="K258" s="116" t="n">
        <f aca="false">K255*Inputs!$D$26</f>
        <v>350</v>
      </c>
      <c r="L258" s="116" t="n">
        <f aca="false">L255*Inputs!$D$26</f>
        <v>350</v>
      </c>
      <c r="M258" s="116" t="n">
        <f aca="false">M255*Inputs!$D$26</f>
        <v>350</v>
      </c>
      <c r="N258" s="116" t="n">
        <f aca="false">N255*Inputs!$D$26</f>
        <v>350</v>
      </c>
      <c r="O258" s="116" t="n">
        <f aca="false">O255*Inputs!$D$26</f>
        <v>385</v>
      </c>
      <c r="P258" s="116" t="n">
        <f aca="false">P255*Inputs!$D$26</f>
        <v>385</v>
      </c>
      <c r="Q258" s="116" t="n">
        <f aca="false">Q255*Inputs!$D$26</f>
        <v>385</v>
      </c>
      <c r="R258" s="116" t="n">
        <f aca="false">R255*Inputs!$D$26</f>
        <v>385</v>
      </c>
      <c r="S258" s="116" t="n">
        <f aca="false">S255*Inputs!$D$26</f>
        <v>385</v>
      </c>
      <c r="T258" s="116" t="n">
        <f aca="false">T255*Inputs!$D$26</f>
        <v>385</v>
      </c>
      <c r="U258" s="116" t="n">
        <f aca="false">U255*Inputs!$D$26</f>
        <v>385</v>
      </c>
      <c r="V258" s="116" t="n">
        <f aca="false">V255*Inputs!$D$26</f>
        <v>385</v>
      </c>
      <c r="W258" s="116" t="n">
        <f aca="false">W255*Inputs!$D$26</f>
        <v>385</v>
      </c>
      <c r="X258" s="116" t="n">
        <f aca="false">X255*Inputs!$D$26</f>
        <v>385</v>
      </c>
      <c r="Y258" s="116" t="n">
        <f aca="false">Y255*Inputs!$D$26</f>
        <v>385</v>
      </c>
      <c r="Z258" s="116" t="n">
        <f aca="false">Z255*Inputs!$D$26</f>
        <v>385</v>
      </c>
      <c r="AA258" s="116" t="n">
        <f aca="false">AA255*Inputs!$D$26</f>
        <v>423.5</v>
      </c>
      <c r="AB258" s="116" t="n">
        <f aca="false">AB255*Inputs!$D$26</f>
        <v>423.5</v>
      </c>
      <c r="AC258" s="116" t="n">
        <f aca="false">AC255*Inputs!$D$26</f>
        <v>423.5</v>
      </c>
      <c r="AD258" s="116" t="n">
        <f aca="false">AD255*Inputs!$D$26</f>
        <v>423.5</v>
      </c>
      <c r="AE258" s="116" t="n">
        <f aca="false">AE255*Inputs!$D$26</f>
        <v>423.5</v>
      </c>
      <c r="AF258" s="116" t="n">
        <f aca="false">AF255*Inputs!$D$26</f>
        <v>423.5</v>
      </c>
      <c r="AG258" s="116" t="n">
        <f aca="false">AG255*Inputs!$D$26</f>
        <v>423.5</v>
      </c>
      <c r="AH258" s="116" t="n">
        <f aca="false">AH255*Inputs!$D$26</f>
        <v>423.5</v>
      </c>
      <c r="AI258" s="116" t="n">
        <f aca="false">AI255*Inputs!$D$26</f>
        <v>423.5</v>
      </c>
      <c r="AJ258" s="116" t="n">
        <f aca="false">AJ255*Inputs!$D$26</f>
        <v>423.5</v>
      </c>
      <c r="AK258" s="116" t="n">
        <f aca="false">AK255*Inputs!$D$26</f>
        <v>423.5</v>
      </c>
      <c r="AL258" s="116" t="n">
        <f aca="false">AL255*Inputs!$D$26</f>
        <v>423.5</v>
      </c>
      <c r="AM258" s="116" t="n">
        <f aca="false">AM255*Inputs!$D$26</f>
        <v>465.85</v>
      </c>
      <c r="AN258" s="116" t="n">
        <f aca="false">AN255*Inputs!$D$26</f>
        <v>465.85</v>
      </c>
      <c r="AO258" s="116" t="n">
        <f aca="false">AO255*Inputs!$D$26</f>
        <v>465.85</v>
      </c>
      <c r="AP258" s="116" t="n">
        <f aca="false">AP255*Inputs!$D$26</f>
        <v>465.85</v>
      </c>
      <c r="AQ258" s="116" t="n">
        <f aca="false">AQ255*Inputs!$D$26</f>
        <v>465.85</v>
      </c>
      <c r="AR258" s="116" t="n">
        <f aca="false">AR255*Inputs!$D$26</f>
        <v>465.85</v>
      </c>
      <c r="AS258" s="116" t="n">
        <f aca="false">AS255*Inputs!$D$26</f>
        <v>465.85</v>
      </c>
      <c r="AT258" s="116" t="n">
        <f aca="false">AT255*Inputs!$D$26</f>
        <v>465.85</v>
      </c>
      <c r="AU258" s="116" t="n">
        <f aca="false">AU255*Inputs!$D$26</f>
        <v>465.85</v>
      </c>
      <c r="AV258" s="116" t="n">
        <f aca="false">AV255*Inputs!$D$26</f>
        <v>465.85</v>
      </c>
      <c r="AW258" s="116" t="n">
        <f aca="false">AW255*Inputs!$D$26</f>
        <v>465.85</v>
      </c>
      <c r="AX258" s="116" t="n">
        <f aca="false">AX255*Inputs!$D$26</f>
        <v>465.85</v>
      </c>
      <c r="AY258" s="116" t="n">
        <f aca="false">AY255*Inputs!$D$26</f>
        <v>512.435</v>
      </c>
      <c r="AZ258" s="116" t="n">
        <f aca="false">AZ255*Inputs!$D$26</f>
        <v>512.435</v>
      </c>
      <c r="BA258" s="116" t="n">
        <f aca="false">BA255*Inputs!$D$26</f>
        <v>512.435</v>
      </c>
      <c r="BB258" s="116" t="n">
        <f aca="false">BB255*Inputs!$D$26</f>
        <v>512.435</v>
      </c>
      <c r="BC258" s="116" t="n">
        <f aca="false">BC255*Inputs!$D$26</f>
        <v>512.435</v>
      </c>
      <c r="BD258" s="116" t="n">
        <f aca="false">BD255*Inputs!$D$26</f>
        <v>512.435</v>
      </c>
      <c r="BE258" s="116" t="n">
        <f aca="false">BE255*Inputs!$D$26</f>
        <v>512.435</v>
      </c>
      <c r="BF258" s="116" t="n">
        <f aca="false">BF255*Inputs!$D$26</f>
        <v>512.435</v>
      </c>
      <c r="BG258" s="116" t="n">
        <f aca="false">BG255*Inputs!$D$26</f>
        <v>512.435</v>
      </c>
      <c r="BH258" s="116" t="n">
        <f aca="false">BH255*Inputs!$D$26</f>
        <v>512.435</v>
      </c>
      <c r="BI258" s="116" t="n">
        <f aca="false">BI255*Inputs!$D$26</f>
        <v>512.435</v>
      </c>
      <c r="BJ258" s="116" t="n">
        <f aca="false">BJ255*Inputs!$D$26</f>
        <v>512.435</v>
      </c>
    </row>
    <row r="259" customFormat="false" ht="15" hidden="false" customHeight="false" outlineLevel="0" collapsed="false">
      <c r="A259" s="4" t="s">
        <v>421</v>
      </c>
      <c r="C259" s="120" t="n">
        <f aca="false">C257+C258</f>
        <v>1103.76</v>
      </c>
      <c r="D259" s="120" t="n">
        <f aca="false">D257+D258</f>
        <v>1287.72</v>
      </c>
      <c r="E259" s="120" t="n">
        <f aca="false">E257+E258</f>
        <v>1868.90666666667</v>
      </c>
      <c r="F259" s="120" t="n">
        <f aca="false">F257+F258</f>
        <v>2102.52</v>
      </c>
      <c r="G259" s="120" t="n">
        <f aca="false">G257+G258</f>
        <v>2336.13333333333</v>
      </c>
      <c r="H259" s="120" t="n">
        <f aca="false">H257+H258</f>
        <v>2336.13333333333</v>
      </c>
      <c r="I259" s="120" t="n">
        <f aca="false">I257+I258</f>
        <v>2336.13333333333</v>
      </c>
      <c r="J259" s="120" t="n">
        <f aca="false">J257+J258</f>
        <v>2336.13333333333</v>
      </c>
      <c r="K259" s="120" t="n">
        <f aca="false">K257+K258</f>
        <v>2336.13333333333</v>
      </c>
      <c r="L259" s="120" t="n">
        <f aca="false">L257+L258</f>
        <v>2336.13333333333</v>
      </c>
      <c r="M259" s="120" t="n">
        <f aca="false">M257+M258</f>
        <v>2336.13333333333</v>
      </c>
      <c r="N259" s="120" t="n">
        <f aca="false">N257+N258</f>
        <v>1839.6</v>
      </c>
      <c r="O259" s="120" t="n">
        <f aca="false">O257+O258</f>
        <v>1949.08</v>
      </c>
      <c r="P259" s="120" t="n">
        <f aca="false">P257+P258</f>
        <v>1949.08</v>
      </c>
      <c r="Q259" s="120" t="n">
        <f aca="false">Q257+Q258</f>
        <v>2470.44</v>
      </c>
      <c r="R259" s="120" t="n">
        <f aca="false">R257+R258</f>
        <v>2470.44</v>
      </c>
      <c r="S259" s="120" t="n">
        <f aca="false">S257+S258</f>
        <v>2470.44</v>
      </c>
      <c r="T259" s="120" t="n">
        <f aca="false">T257+T258</f>
        <v>2470.44</v>
      </c>
      <c r="U259" s="120" t="n">
        <f aca="false">U257+U258</f>
        <v>2470.44</v>
      </c>
      <c r="V259" s="120" t="n">
        <f aca="false">V257+V258</f>
        <v>2470.44</v>
      </c>
      <c r="W259" s="120" t="n">
        <f aca="false">W257+W258</f>
        <v>2470.44</v>
      </c>
      <c r="X259" s="120" t="n">
        <f aca="false">X257+X258</f>
        <v>2470.44</v>
      </c>
      <c r="Y259" s="120" t="n">
        <f aca="false">Y257+Y258</f>
        <v>2470.44</v>
      </c>
      <c r="Z259" s="120" t="n">
        <f aca="false">Z257+Z258</f>
        <v>1949.08</v>
      </c>
      <c r="AA259" s="120" t="n">
        <f aca="false">AA257+AA258</f>
        <v>2065.784</v>
      </c>
      <c r="AB259" s="120" t="n">
        <f aca="false">AB257+AB258</f>
        <v>2065.784</v>
      </c>
      <c r="AC259" s="120" t="n">
        <f aca="false">AC257+AC258</f>
        <v>2613.212</v>
      </c>
      <c r="AD259" s="120" t="n">
        <f aca="false">AD257+AD258</f>
        <v>2613.212</v>
      </c>
      <c r="AE259" s="120" t="n">
        <f aca="false">AE257+AE258</f>
        <v>2613.212</v>
      </c>
      <c r="AF259" s="120" t="n">
        <f aca="false">AF257+AF258</f>
        <v>2613.212</v>
      </c>
      <c r="AG259" s="120" t="n">
        <f aca="false">AG257+AG258</f>
        <v>2613.212</v>
      </c>
      <c r="AH259" s="120" t="n">
        <f aca="false">AH257+AH258</f>
        <v>2613.212</v>
      </c>
      <c r="AI259" s="120" t="n">
        <f aca="false">AI257+AI258</f>
        <v>2613.212</v>
      </c>
      <c r="AJ259" s="120" t="n">
        <f aca="false">AJ257+AJ258</f>
        <v>2613.212</v>
      </c>
      <c r="AK259" s="120" t="n">
        <f aca="false">AK257+AK258</f>
        <v>2613.212</v>
      </c>
      <c r="AL259" s="120" t="n">
        <f aca="false">AL257+AL258</f>
        <v>2065.784</v>
      </c>
      <c r="AM259" s="120" t="n">
        <f aca="false">AM257+AM258</f>
        <v>2190.2482</v>
      </c>
      <c r="AN259" s="120" t="n">
        <f aca="false">AN257+AN258</f>
        <v>2190.2482</v>
      </c>
      <c r="AO259" s="120" t="n">
        <f aca="false">AO257+AO258</f>
        <v>2765.0476</v>
      </c>
      <c r="AP259" s="120" t="n">
        <f aca="false">AP257+AP258</f>
        <v>2765.0476</v>
      </c>
      <c r="AQ259" s="120" t="n">
        <f aca="false">AQ257+AQ258</f>
        <v>2765.0476</v>
      </c>
      <c r="AR259" s="120" t="n">
        <f aca="false">AR257+AR258</f>
        <v>2765.0476</v>
      </c>
      <c r="AS259" s="120" t="n">
        <f aca="false">AS257+AS258</f>
        <v>2765.0476</v>
      </c>
      <c r="AT259" s="120" t="n">
        <f aca="false">AT257+AT258</f>
        <v>2765.0476</v>
      </c>
      <c r="AU259" s="120" t="n">
        <f aca="false">AU257+AU258</f>
        <v>2765.0476</v>
      </c>
      <c r="AV259" s="120" t="n">
        <f aca="false">AV257+AV258</f>
        <v>2765.0476</v>
      </c>
      <c r="AW259" s="120" t="n">
        <f aca="false">AW257+AW258</f>
        <v>2765.0476</v>
      </c>
      <c r="AX259" s="120" t="n">
        <f aca="false">AX257+AX258</f>
        <v>2190.2482</v>
      </c>
      <c r="AY259" s="120" t="n">
        <f aca="false">AY257+AY258</f>
        <v>2323.05311</v>
      </c>
      <c r="AZ259" s="120" t="n">
        <f aca="false">AZ257+AZ258</f>
        <v>2323.05311</v>
      </c>
      <c r="BA259" s="120" t="n">
        <f aca="false">BA257+BA258</f>
        <v>2926.59248</v>
      </c>
      <c r="BB259" s="120" t="n">
        <f aca="false">BB257+BB258</f>
        <v>2926.59248</v>
      </c>
      <c r="BC259" s="120" t="n">
        <f aca="false">BC257+BC258</f>
        <v>2926.59248</v>
      </c>
      <c r="BD259" s="120" t="n">
        <f aca="false">BD257+BD258</f>
        <v>2926.59248</v>
      </c>
      <c r="BE259" s="120" t="n">
        <f aca="false">BE257+BE258</f>
        <v>2926.59248</v>
      </c>
      <c r="BF259" s="120" t="n">
        <f aca="false">BF257+BF258</f>
        <v>2926.59248</v>
      </c>
      <c r="BG259" s="120" t="n">
        <f aca="false">BG257+BG258</f>
        <v>2926.59248</v>
      </c>
      <c r="BH259" s="120" t="n">
        <f aca="false">BH257+BH258</f>
        <v>2926.59248</v>
      </c>
      <c r="BI259" s="120" t="n">
        <f aca="false">BI257+BI258</f>
        <v>2926.59248</v>
      </c>
      <c r="BJ259" s="120" t="n">
        <f aca="false">BJ257+BJ258</f>
        <v>2323.05311</v>
      </c>
    </row>
    <row r="261" customFormat="false" ht="15.75" hidden="false" customHeight="true" outlineLevel="0" collapsed="false">
      <c r="A261" s="7" t="s">
        <v>44</v>
      </c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</row>
    <row r="262" customFormat="false" ht="15" hidden="false" customHeight="false" outlineLevel="0" collapsed="false">
      <c r="A262" s="6" t="s">
        <v>422</v>
      </c>
      <c r="C262" s="121" t="n">
        <f aca="false">Inputs!$D$19*(1+Inputs!$D$20)^(C$247-1)</f>
        <v>15</v>
      </c>
      <c r="D262" s="121" t="n">
        <f aca="false">Inputs!$D$19*(1+Inputs!$D$20)^(D$247-1)</f>
        <v>15</v>
      </c>
      <c r="E262" s="121" t="n">
        <f aca="false">Inputs!$D$19*(1+Inputs!$D$20)^(E$247-1)</f>
        <v>15</v>
      </c>
      <c r="F262" s="121" t="n">
        <f aca="false">Inputs!$D$19*(1+Inputs!$D$20)^(F$247-1)</f>
        <v>15</v>
      </c>
      <c r="G262" s="121" t="n">
        <f aca="false">Inputs!$D$19*(1+Inputs!$D$20)^(G$247-1)</f>
        <v>15</v>
      </c>
      <c r="H262" s="121" t="n">
        <f aca="false">Inputs!$D$19*(1+Inputs!$D$20)^(H$247-1)</f>
        <v>15</v>
      </c>
      <c r="I262" s="121" t="n">
        <f aca="false">Inputs!$D$19*(1+Inputs!$D$20)^(I$247-1)</f>
        <v>15</v>
      </c>
      <c r="J262" s="121" t="n">
        <f aca="false">Inputs!$D$19*(1+Inputs!$D$20)^(J$247-1)</f>
        <v>15</v>
      </c>
      <c r="K262" s="121" t="n">
        <f aca="false">Inputs!$D$19*(1+Inputs!$D$20)^(K$247-1)</f>
        <v>15</v>
      </c>
      <c r="L262" s="121" t="n">
        <f aca="false">Inputs!$D$19*(1+Inputs!$D$20)^(L$247-1)</f>
        <v>15</v>
      </c>
      <c r="M262" s="121" t="n">
        <f aca="false">Inputs!$D$19*(1+Inputs!$D$20)^(M$247-1)</f>
        <v>15</v>
      </c>
      <c r="N262" s="121" t="n">
        <f aca="false">Inputs!$D$19*(1+Inputs!$D$20)^(N$247-1)</f>
        <v>15</v>
      </c>
      <c r="O262" s="121" t="n">
        <f aca="false">Inputs!$D$19*(1+Inputs!$D$20)^(O$247-1)</f>
        <v>15.6</v>
      </c>
      <c r="P262" s="121" t="n">
        <f aca="false">Inputs!$D$19*(1+Inputs!$D$20)^(P$247-1)</f>
        <v>15.6</v>
      </c>
      <c r="Q262" s="121" t="n">
        <f aca="false">Inputs!$D$19*(1+Inputs!$D$20)^(Q$247-1)</f>
        <v>15.6</v>
      </c>
      <c r="R262" s="121" t="n">
        <f aca="false">Inputs!$D$19*(1+Inputs!$D$20)^(R$247-1)</f>
        <v>15.6</v>
      </c>
      <c r="S262" s="121" t="n">
        <f aca="false">Inputs!$D$19*(1+Inputs!$D$20)^(S$247-1)</f>
        <v>15.6</v>
      </c>
      <c r="T262" s="121" t="n">
        <f aca="false">Inputs!$D$19*(1+Inputs!$D$20)^(T$247-1)</f>
        <v>15.6</v>
      </c>
      <c r="U262" s="121" t="n">
        <f aca="false">Inputs!$D$19*(1+Inputs!$D$20)^(U$247-1)</f>
        <v>15.6</v>
      </c>
      <c r="V262" s="121" t="n">
        <f aca="false">Inputs!$D$19*(1+Inputs!$D$20)^(V$247-1)</f>
        <v>15.6</v>
      </c>
      <c r="W262" s="121" t="n">
        <f aca="false">Inputs!$D$19*(1+Inputs!$D$20)^(W$247-1)</f>
        <v>15.6</v>
      </c>
      <c r="X262" s="121" t="n">
        <f aca="false">Inputs!$D$19*(1+Inputs!$D$20)^(X$247-1)</f>
        <v>15.6</v>
      </c>
      <c r="Y262" s="121" t="n">
        <f aca="false">Inputs!$D$19*(1+Inputs!$D$20)^(Y$247-1)</f>
        <v>15.6</v>
      </c>
      <c r="Z262" s="121" t="n">
        <f aca="false">Inputs!$D$19*(1+Inputs!$D$20)^(Z$247-1)</f>
        <v>15.6</v>
      </c>
      <c r="AA262" s="121" t="n">
        <f aca="false">Inputs!$D$19*(1+Inputs!$D$20)^(AA$247-1)</f>
        <v>16.224</v>
      </c>
      <c r="AB262" s="121" t="n">
        <f aca="false">Inputs!$D$19*(1+Inputs!$D$20)^(AB$247-1)</f>
        <v>16.224</v>
      </c>
      <c r="AC262" s="121" t="n">
        <f aca="false">Inputs!$D$19*(1+Inputs!$D$20)^(AC$247-1)</f>
        <v>16.224</v>
      </c>
      <c r="AD262" s="121" t="n">
        <f aca="false">Inputs!$D$19*(1+Inputs!$D$20)^(AD$247-1)</f>
        <v>16.224</v>
      </c>
      <c r="AE262" s="121" t="n">
        <f aca="false">Inputs!$D$19*(1+Inputs!$D$20)^(AE$247-1)</f>
        <v>16.224</v>
      </c>
      <c r="AF262" s="121" t="n">
        <f aca="false">Inputs!$D$19*(1+Inputs!$D$20)^(AF$247-1)</f>
        <v>16.224</v>
      </c>
      <c r="AG262" s="121" t="n">
        <f aca="false">Inputs!$D$19*(1+Inputs!$D$20)^(AG$247-1)</f>
        <v>16.224</v>
      </c>
      <c r="AH262" s="121" t="n">
        <f aca="false">Inputs!$D$19*(1+Inputs!$D$20)^(AH$247-1)</f>
        <v>16.224</v>
      </c>
      <c r="AI262" s="121" t="n">
        <f aca="false">Inputs!$D$19*(1+Inputs!$D$20)^(AI$247-1)</f>
        <v>16.224</v>
      </c>
      <c r="AJ262" s="121" t="n">
        <f aca="false">Inputs!$D$19*(1+Inputs!$D$20)^(AJ$247-1)</f>
        <v>16.224</v>
      </c>
      <c r="AK262" s="121" t="n">
        <f aca="false">Inputs!$D$19*(1+Inputs!$D$20)^(AK$247-1)</f>
        <v>16.224</v>
      </c>
      <c r="AL262" s="121" t="n">
        <f aca="false">Inputs!$D$19*(1+Inputs!$D$20)^(AL$247-1)</f>
        <v>16.224</v>
      </c>
      <c r="AM262" s="121" t="n">
        <f aca="false">Inputs!$D$19*(1+Inputs!$D$20)^(AM$247-1)</f>
        <v>16.87296</v>
      </c>
      <c r="AN262" s="121" t="n">
        <f aca="false">Inputs!$D$19*(1+Inputs!$D$20)^(AN$247-1)</f>
        <v>16.87296</v>
      </c>
      <c r="AO262" s="121" t="n">
        <f aca="false">Inputs!$D$19*(1+Inputs!$D$20)^(AO$247-1)</f>
        <v>16.87296</v>
      </c>
      <c r="AP262" s="121" t="n">
        <f aca="false">Inputs!$D$19*(1+Inputs!$D$20)^(AP$247-1)</f>
        <v>16.87296</v>
      </c>
      <c r="AQ262" s="121" t="n">
        <f aca="false">Inputs!$D$19*(1+Inputs!$D$20)^(AQ$247-1)</f>
        <v>16.87296</v>
      </c>
      <c r="AR262" s="121" t="n">
        <f aca="false">Inputs!$D$19*(1+Inputs!$D$20)^(AR$247-1)</f>
        <v>16.87296</v>
      </c>
      <c r="AS262" s="121" t="n">
        <f aca="false">Inputs!$D$19*(1+Inputs!$D$20)^(AS$247-1)</f>
        <v>16.87296</v>
      </c>
      <c r="AT262" s="121" t="n">
        <f aca="false">Inputs!$D$19*(1+Inputs!$D$20)^(AT$247-1)</f>
        <v>16.87296</v>
      </c>
      <c r="AU262" s="121" t="n">
        <f aca="false">Inputs!$D$19*(1+Inputs!$D$20)^(AU$247-1)</f>
        <v>16.87296</v>
      </c>
      <c r="AV262" s="121" t="n">
        <f aca="false">Inputs!$D$19*(1+Inputs!$D$20)^(AV$247-1)</f>
        <v>16.87296</v>
      </c>
      <c r="AW262" s="121" t="n">
        <f aca="false">Inputs!$D$19*(1+Inputs!$D$20)^(AW$247-1)</f>
        <v>16.87296</v>
      </c>
      <c r="AX262" s="121" t="n">
        <f aca="false">Inputs!$D$19*(1+Inputs!$D$20)^(AX$247-1)</f>
        <v>16.87296</v>
      </c>
      <c r="AY262" s="121" t="n">
        <f aca="false">Inputs!$D$19*(1+Inputs!$D$20)^(AY$247-1)</f>
        <v>17.5478784</v>
      </c>
      <c r="AZ262" s="121" t="n">
        <f aca="false">Inputs!$D$19*(1+Inputs!$D$20)^(AZ$247-1)</f>
        <v>17.5478784</v>
      </c>
      <c r="BA262" s="121" t="n">
        <f aca="false">Inputs!$D$19*(1+Inputs!$D$20)^(BA$247-1)</f>
        <v>17.5478784</v>
      </c>
      <c r="BB262" s="121" t="n">
        <f aca="false">Inputs!$D$19*(1+Inputs!$D$20)^(BB$247-1)</f>
        <v>17.5478784</v>
      </c>
      <c r="BC262" s="121" t="n">
        <f aca="false">Inputs!$D$19*(1+Inputs!$D$20)^(BC$247-1)</f>
        <v>17.5478784</v>
      </c>
      <c r="BD262" s="121" t="n">
        <f aca="false">Inputs!$D$19*(1+Inputs!$D$20)^(BD$247-1)</f>
        <v>17.5478784</v>
      </c>
      <c r="BE262" s="121" t="n">
        <f aca="false">Inputs!$D$19*(1+Inputs!$D$20)^(BE$247-1)</f>
        <v>17.5478784</v>
      </c>
      <c r="BF262" s="121" t="n">
        <f aca="false">Inputs!$D$19*(1+Inputs!$D$20)^(BF$247-1)</f>
        <v>17.5478784</v>
      </c>
      <c r="BG262" s="121" t="n">
        <f aca="false">Inputs!$D$19*(1+Inputs!$D$20)^(BG$247-1)</f>
        <v>17.5478784</v>
      </c>
      <c r="BH262" s="121" t="n">
        <f aca="false">Inputs!$D$19*(1+Inputs!$D$20)^(BH$247-1)</f>
        <v>17.5478784</v>
      </c>
      <c r="BI262" s="121" t="n">
        <f aca="false">Inputs!$D$19*(1+Inputs!$D$20)^(BI$247-1)</f>
        <v>17.5478784</v>
      </c>
      <c r="BJ262" s="121" t="n">
        <f aca="false">Inputs!$D$19*(1+Inputs!$D$20)^(BJ$247-1)</f>
        <v>17.5478784</v>
      </c>
    </row>
    <row r="263" customFormat="false" ht="15" hidden="false" customHeight="false" outlineLevel="0" collapsed="false">
      <c r="A263" s="6" t="s">
        <v>423</v>
      </c>
      <c r="C263" s="67" t="n">
        <f aca="false">Inputs!$D$25*(1+Inputs!$D$20)^(C$247-1)</f>
        <v>1550</v>
      </c>
      <c r="D263" s="67" t="n">
        <f aca="false">Inputs!$D$25*(1+Inputs!$D$20)^(D$247-1)</f>
        <v>1550</v>
      </c>
      <c r="E263" s="67" t="n">
        <f aca="false">Inputs!$D$25*(1+Inputs!$D$20)^(E$247-1)</f>
        <v>1550</v>
      </c>
      <c r="F263" s="67" t="n">
        <f aca="false">Inputs!$D$25*(1+Inputs!$D$20)^(F$247-1)</f>
        <v>1550</v>
      </c>
      <c r="G263" s="67" t="n">
        <f aca="false">Inputs!$D$25*(1+Inputs!$D$20)^(G$247-1)</f>
        <v>1550</v>
      </c>
      <c r="H263" s="67" t="n">
        <f aca="false">Inputs!$D$25*(1+Inputs!$D$20)^(H$247-1)</f>
        <v>1550</v>
      </c>
      <c r="I263" s="67" t="n">
        <f aca="false">Inputs!$D$25*(1+Inputs!$D$20)^(I$247-1)</f>
        <v>1550</v>
      </c>
      <c r="J263" s="67" t="n">
        <f aca="false">Inputs!$D$25*(1+Inputs!$D$20)^(J$247-1)</f>
        <v>1550</v>
      </c>
      <c r="K263" s="67" t="n">
        <f aca="false">Inputs!$D$25*(1+Inputs!$D$20)^(K$247-1)</f>
        <v>1550</v>
      </c>
      <c r="L263" s="67" t="n">
        <f aca="false">Inputs!$D$25*(1+Inputs!$D$20)^(L$247-1)</f>
        <v>1550</v>
      </c>
      <c r="M263" s="67" t="n">
        <f aca="false">Inputs!$D$25*(1+Inputs!$D$20)^(M$247-1)</f>
        <v>1550</v>
      </c>
      <c r="N263" s="67" t="n">
        <f aca="false">Inputs!$D$25*(1+Inputs!$D$20)^(N$247-1)</f>
        <v>1550</v>
      </c>
      <c r="O263" s="67" t="n">
        <f aca="false">Inputs!$D$25*(1+Inputs!$D$20)^(O$247-1)</f>
        <v>1612</v>
      </c>
      <c r="P263" s="67" t="n">
        <f aca="false">Inputs!$D$25*(1+Inputs!$D$20)^(P$247-1)</f>
        <v>1612</v>
      </c>
      <c r="Q263" s="67" t="n">
        <f aca="false">Inputs!$D$25*(1+Inputs!$D$20)^(Q$247-1)</f>
        <v>1612</v>
      </c>
      <c r="R263" s="67" t="n">
        <f aca="false">Inputs!$D$25*(1+Inputs!$D$20)^(R$247-1)</f>
        <v>1612</v>
      </c>
      <c r="S263" s="67" t="n">
        <f aca="false">Inputs!$D$25*(1+Inputs!$D$20)^(S$247-1)</f>
        <v>1612</v>
      </c>
      <c r="T263" s="67" t="n">
        <f aca="false">Inputs!$D$25*(1+Inputs!$D$20)^(T$247-1)</f>
        <v>1612</v>
      </c>
      <c r="U263" s="67" t="n">
        <f aca="false">Inputs!$D$25*(1+Inputs!$D$20)^(U$247-1)</f>
        <v>1612</v>
      </c>
      <c r="V263" s="67" t="n">
        <f aca="false">Inputs!$D$25*(1+Inputs!$D$20)^(V$247-1)</f>
        <v>1612</v>
      </c>
      <c r="W263" s="67" t="n">
        <f aca="false">Inputs!$D$25*(1+Inputs!$D$20)^(W$247-1)</f>
        <v>1612</v>
      </c>
      <c r="X263" s="67" t="n">
        <f aca="false">Inputs!$D$25*(1+Inputs!$D$20)^(X$247-1)</f>
        <v>1612</v>
      </c>
      <c r="Y263" s="67" t="n">
        <f aca="false">Inputs!$D$25*(1+Inputs!$D$20)^(Y$247-1)</f>
        <v>1612</v>
      </c>
      <c r="Z263" s="67" t="n">
        <f aca="false">Inputs!$D$25*(1+Inputs!$D$20)^(Z$247-1)</f>
        <v>1612</v>
      </c>
      <c r="AA263" s="67" t="n">
        <f aca="false">Inputs!$D$25*(1+Inputs!$D$20)^(AA$247-1)</f>
        <v>1676.48</v>
      </c>
      <c r="AB263" s="67" t="n">
        <f aca="false">Inputs!$D$25*(1+Inputs!$D$20)^(AB$247-1)</f>
        <v>1676.48</v>
      </c>
      <c r="AC263" s="67" t="n">
        <f aca="false">Inputs!$D$25*(1+Inputs!$D$20)^(AC$247-1)</f>
        <v>1676.48</v>
      </c>
      <c r="AD263" s="67" t="n">
        <f aca="false">Inputs!$D$25*(1+Inputs!$D$20)^(AD$247-1)</f>
        <v>1676.48</v>
      </c>
      <c r="AE263" s="67" t="n">
        <f aca="false">Inputs!$D$25*(1+Inputs!$D$20)^(AE$247-1)</f>
        <v>1676.48</v>
      </c>
      <c r="AF263" s="67" t="n">
        <f aca="false">Inputs!$D$25*(1+Inputs!$D$20)^(AF$247-1)</f>
        <v>1676.48</v>
      </c>
      <c r="AG263" s="67" t="n">
        <f aca="false">Inputs!$D$25*(1+Inputs!$D$20)^(AG$247-1)</f>
        <v>1676.48</v>
      </c>
      <c r="AH263" s="67" t="n">
        <f aca="false">Inputs!$D$25*(1+Inputs!$D$20)^(AH$247-1)</f>
        <v>1676.48</v>
      </c>
      <c r="AI263" s="67" t="n">
        <f aca="false">Inputs!$D$25*(1+Inputs!$D$20)^(AI$247-1)</f>
        <v>1676.48</v>
      </c>
      <c r="AJ263" s="67" t="n">
        <f aca="false">Inputs!$D$25*(1+Inputs!$D$20)^(AJ$247-1)</f>
        <v>1676.48</v>
      </c>
      <c r="AK263" s="67" t="n">
        <f aca="false">Inputs!$D$25*(1+Inputs!$D$20)^(AK$247-1)</f>
        <v>1676.48</v>
      </c>
      <c r="AL263" s="67" t="n">
        <f aca="false">Inputs!$D$25*(1+Inputs!$D$20)^(AL$247-1)</f>
        <v>1676.48</v>
      </c>
      <c r="AM263" s="67" t="n">
        <f aca="false">Inputs!$D$25*(1+Inputs!$D$20)^(AM$247-1)</f>
        <v>1743.5392</v>
      </c>
      <c r="AN263" s="67" t="n">
        <f aca="false">Inputs!$D$25*(1+Inputs!$D$20)^(AN$247-1)</f>
        <v>1743.5392</v>
      </c>
      <c r="AO263" s="67" t="n">
        <f aca="false">Inputs!$D$25*(1+Inputs!$D$20)^(AO$247-1)</f>
        <v>1743.5392</v>
      </c>
      <c r="AP263" s="67" t="n">
        <f aca="false">Inputs!$D$25*(1+Inputs!$D$20)^(AP$247-1)</f>
        <v>1743.5392</v>
      </c>
      <c r="AQ263" s="67" t="n">
        <f aca="false">Inputs!$D$25*(1+Inputs!$D$20)^(AQ$247-1)</f>
        <v>1743.5392</v>
      </c>
      <c r="AR263" s="67" t="n">
        <f aca="false">Inputs!$D$25*(1+Inputs!$D$20)^(AR$247-1)</f>
        <v>1743.5392</v>
      </c>
      <c r="AS263" s="67" t="n">
        <f aca="false">Inputs!$D$25*(1+Inputs!$D$20)^(AS$247-1)</f>
        <v>1743.5392</v>
      </c>
      <c r="AT263" s="67" t="n">
        <f aca="false">Inputs!$D$25*(1+Inputs!$D$20)^(AT$247-1)</f>
        <v>1743.5392</v>
      </c>
      <c r="AU263" s="67" t="n">
        <f aca="false">Inputs!$D$25*(1+Inputs!$D$20)^(AU$247-1)</f>
        <v>1743.5392</v>
      </c>
      <c r="AV263" s="67" t="n">
        <f aca="false">Inputs!$D$25*(1+Inputs!$D$20)^(AV$247-1)</f>
        <v>1743.5392</v>
      </c>
      <c r="AW263" s="67" t="n">
        <f aca="false">Inputs!$D$25*(1+Inputs!$D$20)^(AW$247-1)</f>
        <v>1743.5392</v>
      </c>
      <c r="AX263" s="67" t="n">
        <f aca="false">Inputs!$D$25*(1+Inputs!$D$20)^(AX$247-1)</f>
        <v>1743.5392</v>
      </c>
      <c r="AY263" s="67" t="n">
        <f aca="false">Inputs!$D$25*(1+Inputs!$D$20)^(AY$247-1)</f>
        <v>1813.280768</v>
      </c>
      <c r="AZ263" s="67" t="n">
        <f aca="false">Inputs!$D$25*(1+Inputs!$D$20)^(AZ$247-1)</f>
        <v>1813.280768</v>
      </c>
      <c r="BA263" s="67" t="n">
        <f aca="false">Inputs!$D$25*(1+Inputs!$D$20)^(BA$247-1)</f>
        <v>1813.280768</v>
      </c>
      <c r="BB263" s="67" t="n">
        <f aca="false">Inputs!$D$25*(1+Inputs!$D$20)^(BB$247-1)</f>
        <v>1813.280768</v>
      </c>
      <c r="BC263" s="67" t="n">
        <f aca="false">Inputs!$D$25*(1+Inputs!$D$20)^(BC$247-1)</f>
        <v>1813.280768</v>
      </c>
      <c r="BD263" s="67" t="n">
        <f aca="false">Inputs!$D$25*(1+Inputs!$D$20)^(BD$247-1)</f>
        <v>1813.280768</v>
      </c>
      <c r="BE263" s="67" t="n">
        <f aca="false">Inputs!$D$25*(1+Inputs!$D$20)^(BE$247-1)</f>
        <v>1813.280768</v>
      </c>
      <c r="BF263" s="67" t="n">
        <f aca="false">Inputs!$D$25*(1+Inputs!$D$20)^(BF$247-1)</f>
        <v>1813.280768</v>
      </c>
      <c r="BG263" s="67" t="n">
        <f aca="false">Inputs!$D$25*(1+Inputs!$D$20)^(BG$247-1)</f>
        <v>1813.280768</v>
      </c>
      <c r="BH263" s="67" t="n">
        <f aca="false">Inputs!$D$25*(1+Inputs!$D$20)^(BH$247-1)</f>
        <v>1813.280768</v>
      </c>
      <c r="BI263" s="67" t="n">
        <f aca="false">Inputs!$D$25*(1+Inputs!$D$20)^(BI$247-1)</f>
        <v>1813.280768</v>
      </c>
      <c r="BJ263" s="67" t="n">
        <f aca="false">Inputs!$D$25*(1+Inputs!$D$20)^(BJ$247-1)</f>
        <v>1813.280768</v>
      </c>
    </row>
    <row r="264" customFormat="false" ht="15" hidden="false" customHeight="false" outlineLevel="0" collapsed="false">
      <c r="A264" s="6" t="s">
        <v>236</v>
      </c>
      <c r="C264" s="67" t="n">
        <f aca="false">C257*C262</f>
        <v>13406.4</v>
      </c>
      <c r="D264" s="67" t="n">
        <f aca="false">D257*D262</f>
        <v>15640.8</v>
      </c>
      <c r="E264" s="67" t="n">
        <f aca="false">E257*E262</f>
        <v>23833.6</v>
      </c>
      <c r="F264" s="67" t="n">
        <f aca="false">F257*F262</f>
        <v>26812.8</v>
      </c>
      <c r="G264" s="67" t="n">
        <f aca="false">G257*G262</f>
        <v>29792</v>
      </c>
      <c r="H264" s="67" t="n">
        <f aca="false">H257*H262</f>
        <v>29792</v>
      </c>
      <c r="I264" s="67" t="n">
        <f aca="false">I257*I262</f>
        <v>29792</v>
      </c>
      <c r="J264" s="67" t="n">
        <f aca="false">J257*J262</f>
        <v>29792</v>
      </c>
      <c r="K264" s="67" t="n">
        <f aca="false">K257*K262</f>
        <v>29792</v>
      </c>
      <c r="L264" s="67" t="n">
        <f aca="false">L257*L262</f>
        <v>29792</v>
      </c>
      <c r="M264" s="67" t="n">
        <f aca="false">M257*M262</f>
        <v>29792</v>
      </c>
      <c r="N264" s="67" t="n">
        <f aca="false">N257*N262</f>
        <v>22344</v>
      </c>
      <c r="O264" s="67" t="n">
        <f aca="false">O257*O262</f>
        <v>24399.648</v>
      </c>
      <c r="P264" s="67" t="n">
        <f aca="false">P257*P262</f>
        <v>24399.648</v>
      </c>
      <c r="Q264" s="67" t="n">
        <f aca="false">Q257*Q262</f>
        <v>32532.864</v>
      </c>
      <c r="R264" s="67" t="n">
        <f aca="false">R257*R262</f>
        <v>32532.864</v>
      </c>
      <c r="S264" s="67" t="n">
        <f aca="false">S257*S262</f>
        <v>32532.864</v>
      </c>
      <c r="T264" s="67" t="n">
        <f aca="false">T257*T262</f>
        <v>32532.864</v>
      </c>
      <c r="U264" s="67" t="n">
        <f aca="false">U257*U262</f>
        <v>32532.864</v>
      </c>
      <c r="V264" s="67" t="n">
        <f aca="false">V257*V262</f>
        <v>32532.864</v>
      </c>
      <c r="W264" s="67" t="n">
        <f aca="false">W257*W262</f>
        <v>32532.864</v>
      </c>
      <c r="X264" s="67" t="n">
        <f aca="false">X257*X262</f>
        <v>32532.864</v>
      </c>
      <c r="Y264" s="67" t="n">
        <f aca="false">Y257*Y262</f>
        <v>32532.864</v>
      </c>
      <c r="Z264" s="67" t="n">
        <f aca="false">Z257*Z262</f>
        <v>24399.648</v>
      </c>
      <c r="AA264" s="67" t="n">
        <f aca="false">AA257*AA262</f>
        <v>26644.415616</v>
      </c>
      <c r="AB264" s="67" t="n">
        <f aca="false">AB257*AB262</f>
        <v>26644.415616</v>
      </c>
      <c r="AC264" s="67" t="n">
        <f aca="false">AC257*AC262</f>
        <v>35525.887488</v>
      </c>
      <c r="AD264" s="67" t="n">
        <f aca="false">AD257*AD262</f>
        <v>35525.887488</v>
      </c>
      <c r="AE264" s="67" t="n">
        <f aca="false">AE257*AE262</f>
        <v>35525.887488</v>
      </c>
      <c r="AF264" s="67" t="n">
        <f aca="false">AF257*AF262</f>
        <v>35525.887488</v>
      </c>
      <c r="AG264" s="67" t="n">
        <f aca="false">AG257*AG262</f>
        <v>35525.887488</v>
      </c>
      <c r="AH264" s="67" t="n">
        <f aca="false">AH257*AH262</f>
        <v>35525.887488</v>
      </c>
      <c r="AI264" s="67" t="n">
        <f aca="false">AI257*AI262</f>
        <v>35525.887488</v>
      </c>
      <c r="AJ264" s="67" t="n">
        <f aca="false">AJ257*AJ262</f>
        <v>35525.887488</v>
      </c>
      <c r="AK264" s="67" t="n">
        <f aca="false">AK257*AK262</f>
        <v>35525.887488</v>
      </c>
      <c r="AL264" s="67" t="n">
        <f aca="false">AL257*AL262</f>
        <v>26644.415616</v>
      </c>
      <c r="AM264" s="67" t="n">
        <f aca="false">AM257*AM262</f>
        <v>29095.701852672</v>
      </c>
      <c r="AN264" s="67" t="n">
        <f aca="false">AN257*AN262</f>
        <v>29095.701852672</v>
      </c>
      <c r="AO264" s="67" t="n">
        <f aca="false">AO257*AO262</f>
        <v>38794.269136896</v>
      </c>
      <c r="AP264" s="67" t="n">
        <f aca="false">AP257*AP262</f>
        <v>38794.269136896</v>
      </c>
      <c r="AQ264" s="67" t="n">
        <f aca="false">AQ257*AQ262</f>
        <v>38794.269136896</v>
      </c>
      <c r="AR264" s="67" t="n">
        <f aca="false">AR257*AR262</f>
        <v>38794.269136896</v>
      </c>
      <c r="AS264" s="67" t="n">
        <f aca="false">AS257*AS262</f>
        <v>38794.269136896</v>
      </c>
      <c r="AT264" s="67" t="n">
        <f aca="false">AT257*AT262</f>
        <v>38794.269136896</v>
      </c>
      <c r="AU264" s="67" t="n">
        <f aca="false">AU257*AU262</f>
        <v>38794.269136896</v>
      </c>
      <c r="AV264" s="67" t="n">
        <f aca="false">AV257*AV262</f>
        <v>38794.269136896</v>
      </c>
      <c r="AW264" s="67" t="n">
        <f aca="false">AW257*AW262</f>
        <v>38794.269136896</v>
      </c>
      <c r="AX264" s="67" t="n">
        <f aca="false">AX257*AX262</f>
        <v>29095.701852672</v>
      </c>
      <c r="AY264" s="67" t="n">
        <f aca="false">AY257*AY262</f>
        <v>31772.5064231178</v>
      </c>
      <c r="AZ264" s="67" t="n">
        <f aca="false">AZ257*AZ262</f>
        <v>31772.5064231178</v>
      </c>
      <c r="BA264" s="67" t="n">
        <f aca="false">BA257*BA262</f>
        <v>42363.3418974904</v>
      </c>
      <c r="BB264" s="67" t="n">
        <f aca="false">BB257*BB262</f>
        <v>42363.3418974904</v>
      </c>
      <c r="BC264" s="67" t="n">
        <f aca="false">BC257*BC262</f>
        <v>42363.3418974904</v>
      </c>
      <c r="BD264" s="67" t="n">
        <f aca="false">BD257*BD262</f>
        <v>42363.3418974904</v>
      </c>
      <c r="BE264" s="67" t="n">
        <f aca="false">BE257*BE262</f>
        <v>42363.3418974904</v>
      </c>
      <c r="BF264" s="67" t="n">
        <f aca="false">BF257*BF262</f>
        <v>42363.3418974904</v>
      </c>
      <c r="BG264" s="67" t="n">
        <f aca="false">BG257*BG262</f>
        <v>42363.3418974904</v>
      </c>
      <c r="BH264" s="67" t="n">
        <f aca="false">BH257*BH262</f>
        <v>42363.3418974904</v>
      </c>
      <c r="BI264" s="67" t="n">
        <f aca="false">BI257*BI262</f>
        <v>42363.3418974904</v>
      </c>
      <c r="BJ264" s="67" t="n">
        <f aca="false">BJ257*BJ262</f>
        <v>31772.5064231178</v>
      </c>
    </row>
    <row r="265" customFormat="false" ht="15" hidden="false" customHeight="false" outlineLevel="0" collapsed="false">
      <c r="A265" s="6" t="s">
        <v>237</v>
      </c>
      <c r="C265" s="67" t="n">
        <f aca="false">C255*C263</f>
        <v>3255</v>
      </c>
      <c r="D265" s="67" t="n">
        <f aca="false">D255*D263</f>
        <v>3797.5</v>
      </c>
      <c r="E265" s="67" t="n">
        <f aca="false">E255*E263</f>
        <v>4340</v>
      </c>
      <c r="F265" s="67" t="n">
        <f aca="false">F255*F263</f>
        <v>4882.5</v>
      </c>
      <c r="G265" s="67" t="n">
        <f aca="false">G255*G263</f>
        <v>5425</v>
      </c>
      <c r="H265" s="67" t="n">
        <f aca="false">H255*H263</f>
        <v>5425</v>
      </c>
      <c r="I265" s="67" t="n">
        <f aca="false">I255*I263</f>
        <v>5425</v>
      </c>
      <c r="J265" s="67" t="n">
        <f aca="false">J255*J263</f>
        <v>5425</v>
      </c>
      <c r="K265" s="67" t="n">
        <f aca="false">K255*K263</f>
        <v>5425</v>
      </c>
      <c r="L265" s="67" t="n">
        <f aca="false">L255*L263</f>
        <v>5425</v>
      </c>
      <c r="M265" s="67" t="n">
        <f aca="false">M255*M263</f>
        <v>5425</v>
      </c>
      <c r="N265" s="67" t="n">
        <f aca="false">N255*N263</f>
        <v>5425</v>
      </c>
      <c r="O265" s="67" t="n">
        <f aca="false">O255*O263</f>
        <v>6206.2</v>
      </c>
      <c r="P265" s="67" t="n">
        <f aca="false">P255*P263</f>
        <v>6206.2</v>
      </c>
      <c r="Q265" s="67" t="n">
        <f aca="false">Q255*Q263</f>
        <v>6206.2</v>
      </c>
      <c r="R265" s="67" t="n">
        <f aca="false">R255*R263</f>
        <v>6206.2</v>
      </c>
      <c r="S265" s="67" t="n">
        <f aca="false">S255*S263</f>
        <v>6206.2</v>
      </c>
      <c r="T265" s="67" t="n">
        <f aca="false">T255*T263</f>
        <v>6206.2</v>
      </c>
      <c r="U265" s="67" t="n">
        <f aca="false">U255*U263</f>
        <v>6206.2</v>
      </c>
      <c r="V265" s="67" t="n">
        <f aca="false">V255*V263</f>
        <v>6206.2</v>
      </c>
      <c r="W265" s="67" t="n">
        <f aca="false">W255*W263</f>
        <v>6206.2</v>
      </c>
      <c r="X265" s="67" t="n">
        <f aca="false">X255*X263</f>
        <v>6206.2</v>
      </c>
      <c r="Y265" s="67" t="n">
        <f aca="false">Y255*Y263</f>
        <v>6206.2</v>
      </c>
      <c r="Z265" s="67" t="n">
        <f aca="false">Z255*Z263</f>
        <v>6206.2</v>
      </c>
      <c r="AA265" s="67" t="n">
        <f aca="false">AA255*AA263</f>
        <v>7099.8928</v>
      </c>
      <c r="AB265" s="67" t="n">
        <f aca="false">AB255*AB263</f>
        <v>7099.8928</v>
      </c>
      <c r="AC265" s="67" t="n">
        <f aca="false">AC255*AC263</f>
        <v>7099.8928</v>
      </c>
      <c r="AD265" s="67" t="n">
        <f aca="false">AD255*AD263</f>
        <v>7099.8928</v>
      </c>
      <c r="AE265" s="67" t="n">
        <f aca="false">AE255*AE263</f>
        <v>7099.8928</v>
      </c>
      <c r="AF265" s="67" t="n">
        <f aca="false">AF255*AF263</f>
        <v>7099.8928</v>
      </c>
      <c r="AG265" s="67" t="n">
        <f aca="false">AG255*AG263</f>
        <v>7099.8928</v>
      </c>
      <c r="AH265" s="67" t="n">
        <f aca="false">AH255*AH263</f>
        <v>7099.8928</v>
      </c>
      <c r="AI265" s="67" t="n">
        <f aca="false">AI255*AI263</f>
        <v>7099.8928</v>
      </c>
      <c r="AJ265" s="67" t="n">
        <f aca="false">AJ255*AJ263</f>
        <v>7099.8928</v>
      </c>
      <c r="AK265" s="67" t="n">
        <f aca="false">AK255*AK263</f>
        <v>7099.8928</v>
      </c>
      <c r="AL265" s="67" t="n">
        <f aca="false">AL255*AL263</f>
        <v>7099.8928</v>
      </c>
      <c r="AM265" s="67" t="n">
        <f aca="false">AM255*AM263</f>
        <v>8122.2773632</v>
      </c>
      <c r="AN265" s="67" t="n">
        <f aca="false">AN255*AN263</f>
        <v>8122.2773632</v>
      </c>
      <c r="AO265" s="67" t="n">
        <f aca="false">AO255*AO263</f>
        <v>8122.2773632</v>
      </c>
      <c r="AP265" s="67" t="n">
        <f aca="false">AP255*AP263</f>
        <v>8122.2773632</v>
      </c>
      <c r="AQ265" s="67" t="n">
        <f aca="false">AQ255*AQ263</f>
        <v>8122.2773632</v>
      </c>
      <c r="AR265" s="67" t="n">
        <f aca="false">AR255*AR263</f>
        <v>8122.2773632</v>
      </c>
      <c r="AS265" s="67" t="n">
        <f aca="false">AS255*AS263</f>
        <v>8122.2773632</v>
      </c>
      <c r="AT265" s="67" t="n">
        <f aca="false">AT255*AT263</f>
        <v>8122.2773632</v>
      </c>
      <c r="AU265" s="67" t="n">
        <f aca="false">AU255*AU263</f>
        <v>8122.2773632</v>
      </c>
      <c r="AV265" s="67" t="n">
        <f aca="false">AV255*AV263</f>
        <v>8122.2773632</v>
      </c>
      <c r="AW265" s="67" t="n">
        <f aca="false">AW255*AW263</f>
        <v>8122.2773632</v>
      </c>
      <c r="AX265" s="67" t="n">
        <f aca="false">AX255*AX263</f>
        <v>8122.2773632</v>
      </c>
      <c r="AY265" s="67" t="n">
        <f aca="false">AY255*AY263</f>
        <v>9291.88530350081</v>
      </c>
      <c r="AZ265" s="67" t="n">
        <f aca="false">AZ255*AZ263</f>
        <v>9291.88530350081</v>
      </c>
      <c r="BA265" s="67" t="n">
        <f aca="false">BA255*BA263</f>
        <v>9291.88530350081</v>
      </c>
      <c r="BB265" s="67" t="n">
        <f aca="false">BB255*BB263</f>
        <v>9291.88530350081</v>
      </c>
      <c r="BC265" s="67" t="n">
        <f aca="false">BC255*BC263</f>
        <v>9291.88530350081</v>
      </c>
      <c r="BD265" s="67" t="n">
        <f aca="false">BD255*BD263</f>
        <v>9291.88530350081</v>
      </c>
      <c r="BE265" s="67" t="n">
        <f aca="false">BE255*BE263</f>
        <v>9291.88530350081</v>
      </c>
      <c r="BF265" s="67" t="n">
        <f aca="false">BF255*BF263</f>
        <v>9291.88530350081</v>
      </c>
      <c r="BG265" s="67" t="n">
        <f aca="false">BG255*BG263</f>
        <v>9291.88530350081</v>
      </c>
      <c r="BH265" s="67" t="n">
        <f aca="false">BH255*BH263</f>
        <v>9291.88530350081</v>
      </c>
      <c r="BI265" s="67" t="n">
        <f aca="false">BI255*BI263</f>
        <v>9291.88530350081</v>
      </c>
      <c r="BJ265" s="67" t="n">
        <f aca="false">BJ255*BJ263</f>
        <v>9291.88530350081</v>
      </c>
    </row>
    <row r="266" customFormat="false" ht="15" hidden="false" customHeight="false" outlineLevel="0" collapsed="false">
      <c r="A266" s="113" t="s">
        <v>44</v>
      </c>
      <c r="C266" s="68" t="n">
        <f aca="false">C264+C265</f>
        <v>16661.4</v>
      </c>
      <c r="D266" s="68" t="n">
        <f aca="false">D264+D265</f>
        <v>19438.3</v>
      </c>
      <c r="E266" s="68" t="n">
        <f aca="false">E264+E265</f>
        <v>28173.6</v>
      </c>
      <c r="F266" s="68" t="n">
        <f aca="false">F264+F265</f>
        <v>31695.3</v>
      </c>
      <c r="G266" s="68" t="n">
        <f aca="false">G264+G265</f>
        <v>35217</v>
      </c>
      <c r="H266" s="68" t="n">
        <f aca="false">H264+H265</f>
        <v>35217</v>
      </c>
      <c r="I266" s="68" t="n">
        <f aca="false">I264+I265</f>
        <v>35217</v>
      </c>
      <c r="J266" s="68" t="n">
        <f aca="false">J264+J265</f>
        <v>35217</v>
      </c>
      <c r="K266" s="68" t="n">
        <f aca="false">K264+K265</f>
        <v>35217</v>
      </c>
      <c r="L266" s="68" t="n">
        <f aca="false">L264+L265</f>
        <v>35217</v>
      </c>
      <c r="M266" s="68" t="n">
        <f aca="false">M264+M265</f>
        <v>35217</v>
      </c>
      <c r="N266" s="68" t="n">
        <f aca="false">N264+N265</f>
        <v>27769</v>
      </c>
      <c r="O266" s="68" t="n">
        <f aca="false">O264+O265</f>
        <v>30605.848</v>
      </c>
      <c r="P266" s="68" t="n">
        <f aca="false">P264+P265</f>
        <v>30605.848</v>
      </c>
      <c r="Q266" s="68" t="n">
        <f aca="false">Q264+Q265</f>
        <v>38739.064</v>
      </c>
      <c r="R266" s="68" t="n">
        <f aca="false">R264+R265</f>
        <v>38739.064</v>
      </c>
      <c r="S266" s="68" t="n">
        <f aca="false">S264+S265</f>
        <v>38739.064</v>
      </c>
      <c r="T266" s="68" t="n">
        <f aca="false">T264+T265</f>
        <v>38739.064</v>
      </c>
      <c r="U266" s="68" t="n">
        <f aca="false">U264+U265</f>
        <v>38739.064</v>
      </c>
      <c r="V266" s="68" t="n">
        <f aca="false">V264+V265</f>
        <v>38739.064</v>
      </c>
      <c r="W266" s="68" t="n">
        <f aca="false">W264+W265</f>
        <v>38739.064</v>
      </c>
      <c r="X266" s="68" t="n">
        <f aca="false">X264+X265</f>
        <v>38739.064</v>
      </c>
      <c r="Y266" s="68" t="n">
        <f aca="false">Y264+Y265</f>
        <v>38739.064</v>
      </c>
      <c r="Z266" s="68" t="n">
        <f aca="false">Z264+Z265</f>
        <v>30605.848</v>
      </c>
      <c r="AA266" s="68" t="n">
        <f aca="false">AA264+AA265</f>
        <v>33744.308416</v>
      </c>
      <c r="AB266" s="68" t="n">
        <f aca="false">AB264+AB265</f>
        <v>33744.308416</v>
      </c>
      <c r="AC266" s="68" t="n">
        <f aca="false">AC264+AC265</f>
        <v>42625.780288</v>
      </c>
      <c r="AD266" s="68" t="n">
        <f aca="false">AD264+AD265</f>
        <v>42625.780288</v>
      </c>
      <c r="AE266" s="68" t="n">
        <f aca="false">AE264+AE265</f>
        <v>42625.780288</v>
      </c>
      <c r="AF266" s="68" t="n">
        <f aca="false">AF264+AF265</f>
        <v>42625.780288</v>
      </c>
      <c r="AG266" s="68" t="n">
        <f aca="false">AG264+AG265</f>
        <v>42625.780288</v>
      </c>
      <c r="AH266" s="68" t="n">
        <f aca="false">AH264+AH265</f>
        <v>42625.780288</v>
      </c>
      <c r="AI266" s="68" t="n">
        <f aca="false">AI264+AI265</f>
        <v>42625.780288</v>
      </c>
      <c r="AJ266" s="68" t="n">
        <f aca="false">AJ264+AJ265</f>
        <v>42625.780288</v>
      </c>
      <c r="AK266" s="68" t="n">
        <f aca="false">AK264+AK265</f>
        <v>42625.780288</v>
      </c>
      <c r="AL266" s="68" t="n">
        <f aca="false">AL264+AL265</f>
        <v>33744.308416</v>
      </c>
      <c r="AM266" s="68" t="n">
        <f aca="false">AM264+AM265</f>
        <v>37217.979215872</v>
      </c>
      <c r="AN266" s="68" t="n">
        <f aca="false">AN264+AN265</f>
        <v>37217.979215872</v>
      </c>
      <c r="AO266" s="68" t="n">
        <f aca="false">AO264+AO265</f>
        <v>46916.546500096</v>
      </c>
      <c r="AP266" s="68" t="n">
        <f aca="false">AP264+AP265</f>
        <v>46916.546500096</v>
      </c>
      <c r="AQ266" s="68" t="n">
        <f aca="false">AQ264+AQ265</f>
        <v>46916.546500096</v>
      </c>
      <c r="AR266" s="68" t="n">
        <f aca="false">AR264+AR265</f>
        <v>46916.546500096</v>
      </c>
      <c r="AS266" s="68" t="n">
        <f aca="false">AS264+AS265</f>
        <v>46916.546500096</v>
      </c>
      <c r="AT266" s="68" t="n">
        <f aca="false">AT264+AT265</f>
        <v>46916.546500096</v>
      </c>
      <c r="AU266" s="68" t="n">
        <f aca="false">AU264+AU265</f>
        <v>46916.546500096</v>
      </c>
      <c r="AV266" s="68" t="n">
        <f aca="false">AV264+AV265</f>
        <v>46916.546500096</v>
      </c>
      <c r="AW266" s="68" t="n">
        <f aca="false">AW264+AW265</f>
        <v>46916.546500096</v>
      </c>
      <c r="AX266" s="68" t="n">
        <f aca="false">AX264+AX265</f>
        <v>37217.979215872</v>
      </c>
      <c r="AY266" s="68" t="n">
        <f aca="false">AY264+AY265</f>
        <v>41064.3917266186</v>
      </c>
      <c r="AZ266" s="68" t="n">
        <f aca="false">AZ264+AZ265</f>
        <v>41064.3917266186</v>
      </c>
      <c r="BA266" s="68" t="n">
        <f aca="false">BA264+BA265</f>
        <v>51655.2272009913</v>
      </c>
      <c r="BB266" s="68" t="n">
        <f aca="false">BB264+BB265</f>
        <v>51655.2272009913</v>
      </c>
      <c r="BC266" s="68" t="n">
        <f aca="false">BC264+BC265</f>
        <v>51655.2272009913</v>
      </c>
      <c r="BD266" s="68" t="n">
        <f aca="false">BD264+BD265</f>
        <v>51655.2272009913</v>
      </c>
      <c r="BE266" s="68" t="n">
        <f aca="false">BE264+BE265</f>
        <v>51655.2272009913</v>
      </c>
      <c r="BF266" s="68" t="n">
        <f aca="false">BF264+BF265</f>
        <v>51655.2272009913</v>
      </c>
      <c r="BG266" s="68" t="n">
        <f aca="false">BG264+BG265</f>
        <v>51655.2272009913</v>
      </c>
      <c r="BH266" s="68" t="n">
        <f aca="false">BH264+BH265</f>
        <v>51655.2272009913</v>
      </c>
      <c r="BI266" s="68" t="n">
        <f aca="false">BI264+BI265</f>
        <v>51655.2272009913</v>
      </c>
      <c r="BJ266" s="68" t="n">
        <f aca="false">BJ264+BJ265</f>
        <v>41064.3917266186</v>
      </c>
    </row>
    <row r="268" customFormat="false" ht="15.75" hidden="false" customHeight="true" outlineLevel="0" collapsed="false">
      <c r="A268" s="7" t="s">
        <v>76</v>
      </c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</row>
    <row r="269" customFormat="false" ht="15" hidden="false" customHeight="false" outlineLevel="0" collapsed="false">
      <c r="A269" s="6" t="s">
        <v>424</v>
      </c>
      <c r="C269" s="67" t="n">
        <f aca="false">-C266*Inputs!$D$29</f>
        <v>-5248.341</v>
      </c>
      <c r="D269" s="67" t="n">
        <f aca="false">-D266*Inputs!$D$29</f>
        <v>-6123.0645</v>
      </c>
      <c r="E269" s="67" t="n">
        <f aca="false">-E266*Inputs!$D$29</f>
        <v>-8874.684</v>
      </c>
      <c r="F269" s="67" t="n">
        <f aca="false">-F266*Inputs!$D$29</f>
        <v>-9984.0195</v>
      </c>
      <c r="G269" s="67" t="n">
        <f aca="false">-G266*Inputs!$D$29</f>
        <v>-11093.355</v>
      </c>
      <c r="H269" s="67" t="n">
        <f aca="false">-H266*Inputs!$D$29</f>
        <v>-11093.355</v>
      </c>
      <c r="I269" s="67" t="n">
        <f aca="false">-I266*Inputs!$D$29</f>
        <v>-11093.355</v>
      </c>
      <c r="J269" s="67" t="n">
        <f aca="false">-J266*Inputs!$D$29</f>
        <v>-11093.355</v>
      </c>
      <c r="K269" s="67" t="n">
        <f aca="false">-K266*Inputs!$D$29</f>
        <v>-11093.355</v>
      </c>
      <c r="L269" s="67" t="n">
        <f aca="false">-L266*Inputs!$D$29</f>
        <v>-11093.355</v>
      </c>
      <c r="M269" s="67" t="n">
        <f aca="false">-M266*Inputs!$D$29</f>
        <v>-11093.355</v>
      </c>
      <c r="N269" s="67" t="n">
        <f aca="false">-N266*Inputs!$D$29</f>
        <v>-8747.235</v>
      </c>
      <c r="O269" s="67" t="n">
        <f aca="false">-O266*Inputs!$D$29</f>
        <v>-9640.84212</v>
      </c>
      <c r="P269" s="67" t="n">
        <f aca="false">-P266*Inputs!$D$29</f>
        <v>-9640.84212</v>
      </c>
      <c r="Q269" s="67" t="n">
        <f aca="false">-Q266*Inputs!$D$29</f>
        <v>-12202.80516</v>
      </c>
      <c r="R269" s="67" t="n">
        <f aca="false">-R266*Inputs!$D$29</f>
        <v>-12202.80516</v>
      </c>
      <c r="S269" s="67" t="n">
        <f aca="false">-S266*Inputs!$D$29</f>
        <v>-12202.80516</v>
      </c>
      <c r="T269" s="67" t="n">
        <f aca="false">-T266*Inputs!$D$29</f>
        <v>-12202.80516</v>
      </c>
      <c r="U269" s="67" t="n">
        <f aca="false">-U266*Inputs!$D$29</f>
        <v>-12202.80516</v>
      </c>
      <c r="V269" s="67" t="n">
        <f aca="false">-V266*Inputs!$D$29</f>
        <v>-12202.80516</v>
      </c>
      <c r="W269" s="67" t="n">
        <f aca="false">-W266*Inputs!$D$29</f>
        <v>-12202.80516</v>
      </c>
      <c r="X269" s="67" t="n">
        <f aca="false">-X266*Inputs!$D$29</f>
        <v>-12202.80516</v>
      </c>
      <c r="Y269" s="67" t="n">
        <f aca="false">-Y266*Inputs!$D$29</f>
        <v>-12202.80516</v>
      </c>
      <c r="Z269" s="67" t="n">
        <f aca="false">-Z266*Inputs!$D$29</f>
        <v>-9640.84212</v>
      </c>
      <c r="AA269" s="67" t="n">
        <f aca="false">-AA266*Inputs!$D$29</f>
        <v>-10629.45715104</v>
      </c>
      <c r="AB269" s="67" t="n">
        <f aca="false">-AB266*Inputs!$D$29</f>
        <v>-10629.45715104</v>
      </c>
      <c r="AC269" s="67" t="n">
        <f aca="false">-AC266*Inputs!$D$29</f>
        <v>-13427.12079072</v>
      </c>
      <c r="AD269" s="67" t="n">
        <f aca="false">-AD266*Inputs!$D$29</f>
        <v>-13427.12079072</v>
      </c>
      <c r="AE269" s="67" t="n">
        <f aca="false">-AE266*Inputs!$D$29</f>
        <v>-13427.12079072</v>
      </c>
      <c r="AF269" s="67" t="n">
        <f aca="false">-AF266*Inputs!$D$29</f>
        <v>-13427.12079072</v>
      </c>
      <c r="AG269" s="67" t="n">
        <f aca="false">-AG266*Inputs!$D$29</f>
        <v>-13427.12079072</v>
      </c>
      <c r="AH269" s="67" t="n">
        <f aca="false">-AH266*Inputs!$D$29</f>
        <v>-13427.12079072</v>
      </c>
      <c r="AI269" s="67" t="n">
        <f aca="false">-AI266*Inputs!$D$29</f>
        <v>-13427.12079072</v>
      </c>
      <c r="AJ269" s="67" t="n">
        <f aca="false">-AJ266*Inputs!$D$29</f>
        <v>-13427.12079072</v>
      </c>
      <c r="AK269" s="67" t="n">
        <f aca="false">-AK266*Inputs!$D$29</f>
        <v>-13427.12079072</v>
      </c>
      <c r="AL269" s="67" t="n">
        <f aca="false">-AL266*Inputs!$D$29</f>
        <v>-10629.45715104</v>
      </c>
      <c r="AM269" s="67" t="n">
        <f aca="false">-AM266*Inputs!$D$29</f>
        <v>-11723.6634529997</v>
      </c>
      <c r="AN269" s="67" t="n">
        <f aca="false">-AN266*Inputs!$D$29</f>
        <v>-11723.6634529997</v>
      </c>
      <c r="AO269" s="67" t="n">
        <f aca="false">-AO266*Inputs!$D$29</f>
        <v>-14778.7121475302</v>
      </c>
      <c r="AP269" s="67" t="n">
        <f aca="false">-AP266*Inputs!$D$29</f>
        <v>-14778.7121475302</v>
      </c>
      <c r="AQ269" s="67" t="n">
        <f aca="false">-AQ266*Inputs!$D$29</f>
        <v>-14778.7121475302</v>
      </c>
      <c r="AR269" s="67" t="n">
        <f aca="false">-AR266*Inputs!$D$29</f>
        <v>-14778.7121475302</v>
      </c>
      <c r="AS269" s="67" t="n">
        <f aca="false">-AS266*Inputs!$D$29</f>
        <v>-14778.7121475302</v>
      </c>
      <c r="AT269" s="67" t="n">
        <f aca="false">-AT266*Inputs!$D$29</f>
        <v>-14778.7121475302</v>
      </c>
      <c r="AU269" s="67" t="n">
        <f aca="false">-AU266*Inputs!$D$29</f>
        <v>-14778.7121475302</v>
      </c>
      <c r="AV269" s="67" t="n">
        <f aca="false">-AV266*Inputs!$D$29</f>
        <v>-14778.7121475302</v>
      </c>
      <c r="AW269" s="67" t="n">
        <f aca="false">-AW266*Inputs!$D$29</f>
        <v>-14778.7121475302</v>
      </c>
      <c r="AX269" s="67" t="n">
        <f aca="false">-AX266*Inputs!$D$29</f>
        <v>-11723.6634529997</v>
      </c>
      <c r="AY269" s="67" t="n">
        <f aca="false">-AY266*Inputs!$D$29</f>
        <v>-12935.2833938849</v>
      </c>
      <c r="AZ269" s="67" t="n">
        <f aca="false">-AZ266*Inputs!$D$29</f>
        <v>-12935.2833938849</v>
      </c>
      <c r="BA269" s="67" t="n">
        <f aca="false">-BA266*Inputs!$D$29</f>
        <v>-16271.3965683122</v>
      </c>
      <c r="BB269" s="67" t="n">
        <f aca="false">-BB266*Inputs!$D$29</f>
        <v>-16271.3965683122</v>
      </c>
      <c r="BC269" s="67" t="n">
        <f aca="false">-BC266*Inputs!$D$29</f>
        <v>-16271.3965683122</v>
      </c>
      <c r="BD269" s="67" t="n">
        <f aca="false">-BD266*Inputs!$D$29</f>
        <v>-16271.3965683122</v>
      </c>
      <c r="BE269" s="67" t="n">
        <f aca="false">-BE266*Inputs!$D$29</f>
        <v>-16271.3965683122</v>
      </c>
      <c r="BF269" s="67" t="n">
        <f aca="false">-BF266*Inputs!$D$29</f>
        <v>-16271.3965683122</v>
      </c>
      <c r="BG269" s="67" t="n">
        <f aca="false">-BG266*Inputs!$D$29</f>
        <v>-16271.3965683122</v>
      </c>
      <c r="BH269" s="67" t="n">
        <f aca="false">-BH266*Inputs!$D$29</f>
        <v>-16271.3965683122</v>
      </c>
      <c r="BI269" s="67" t="n">
        <f aca="false">-BI266*Inputs!$D$29</f>
        <v>-16271.3965683122</v>
      </c>
      <c r="BJ269" s="67" t="n">
        <f aca="false">-BJ266*Inputs!$D$29</f>
        <v>-12935.2833938849</v>
      </c>
    </row>
    <row r="270" customFormat="false" ht="15" hidden="false" customHeight="false" outlineLevel="0" collapsed="false">
      <c r="A270" s="6" t="s">
        <v>425</v>
      </c>
      <c r="C270" s="67" t="n">
        <f aca="false">-C259*Inputs!$D$30*(1+Inputs!$D$34)^(C$247-1)</f>
        <v>-441.504</v>
      </c>
      <c r="D270" s="67" t="n">
        <f aca="false">-D259*Inputs!$D$30*(1+Inputs!$D$34)^(D$247-1)</f>
        <v>-515.088</v>
      </c>
      <c r="E270" s="67" t="n">
        <f aca="false">-E259*Inputs!$D$30*(1+Inputs!$D$34)^(E$247-1)</f>
        <v>-747.562666666667</v>
      </c>
      <c r="F270" s="67" t="n">
        <f aca="false">-F259*Inputs!$D$30*(1+Inputs!$D$34)^(F$247-1)</f>
        <v>-841.008</v>
      </c>
      <c r="G270" s="67" t="n">
        <f aca="false">-G259*Inputs!$D$30*(1+Inputs!$D$34)^(G$247-1)</f>
        <v>-934.453333333333</v>
      </c>
      <c r="H270" s="67" t="n">
        <f aca="false">-H259*Inputs!$D$30*(1+Inputs!$D$34)^(H$247-1)</f>
        <v>-934.453333333333</v>
      </c>
      <c r="I270" s="67" t="n">
        <f aca="false">-I259*Inputs!$D$30*(1+Inputs!$D$34)^(I$247-1)</f>
        <v>-934.453333333333</v>
      </c>
      <c r="J270" s="67" t="n">
        <f aca="false">-J259*Inputs!$D$30*(1+Inputs!$D$34)^(J$247-1)</f>
        <v>-934.453333333333</v>
      </c>
      <c r="K270" s="67" t="n">
        <f aca="false">-K259*Inputs!$D$30*(1+Inputs!$D$34)^(K$247-1)</f>
        <v>-934.453333333333</v>
      </c>
      <c r="L270" s="67" t="n">
        <f aca="false">-L259*Inputs!$D$30*(1+Inputs!$D$34)^(L$247-1)</f>
        <v>-934.453333333333</v>
      </c>
      <c r="M270" s="67" t="n">
        <f aca="false">-M259*Inputs!$D$30*(1+Inputs!$D$34)^(M$247-1)</f>
        <v>-934.453333333333</v>
      </c>
      <c r="N270" s="67" t="n">
        <f aca="false">-N259*Inputs!$D$30*(1+Inputs!$D$34)^(N$247-1)</f>
        <v>-735.84</v>
      </c>
      <c r="O270" s="67" t="n">
        <f aca="false">-O259*Inputs!$D$30*(1+Inputs!$D$34)^(O$247-1)</f>
        <v>-799.1228</v>
      </c>
      <c r="P270" s="67" t="n">
        <f aca="false">-P259*Inputs!$D$30*(1+Inputs!$D$34)^(P$247-1)</f>
        <v>-799.1228</v>
      </c>
      <c r="Q270" s="67" t="n">
        <f aca="false">-Q259*Inputs!$D$30*(1+Inputs!$D$34)^(Q$247-1)</f>
        <v>-1012.8804</v>
      </c>
      <c r="R270" s="67" t="n">
        <f aca="false">-R259*Inputs!$D$30*(1+Inputs!$D$34)^(R$247-1)</f>
        <v>-1012.8804</v>
      </c>
      <c r="S270" s="67" t="n">
        <f aca="false">-S259*Inputs!$D$30*(1+Inputs!$D$34)^(S$247-1)</f>
        <v>-1012.8804</v>
      </c>
      <c r="T270" s="67" t="n">
        <f aca="false">-T259*Inputs!$D$30*(1+Inputs!$D$34)^(T$247-1)</f>
        <v>-1012.8804</v>
      </c>
      <c r="U270" s="67" t="n">
        <f aca="false">-U259*Inputs!$D$30*(1+Inputs!$D$34)^(U$247-1)</f>
        <v>-1012.8804</v>
      </c>
      <c r="V270" s="67" t="n">
        <f aca="false">-V259*Inputs!$D$30*(1+Inputs!$D$34)^(V$247-1)</f>
        <v>-1012.8804</v>
      </c>
      <c r="W270" s="67" t="n">
        <f aca="false">-W259*Inputs!$D$30*(1+Inputs!$D$34)^(W$247-1)</f>
        <v>-1012.8804</v>
      </c>
      <c r="X270" s="67" t="n">
        <f aca="false">-X259*Inputs!$D$30*(1+Inputs!$D$34)^(X$247-1)</f>
        <v>-1012.8804</v>
      </c>
      <c r="Y270" s="67" t="n">
        <f aca="false">-Y259*Inputs!$D$30*(1+Inputs!$D$34)^(Y$247-1)</f>
        <v>-1012.8804</v>
      </c>
      <c r="Z270" s="67" t="n">
        <f aca="false">-Z259*Inputs!$D$30*(1+Inputs!$D$34)^(Z$247-1)</f>
        <v>-799.1228</v>
      </c>
      <c r="AA270" s="67" t="n">
        <f aca="false">-AA259*Inputs!$D$30*(1+Inputs!$D$34)^(AA$247-1)</f>
        <v>-868.145726</v>
      </c>
      <c r="AB270" s="67" t="n">
        <f aca="false">-AB259*Inputs!$D$30*(1+Inputs!$D$34)^(AB$247-1)</f>
        <v>-868.145726</v>
      </c>
      <c r="AC270" s="67" t="n">
        <f aca="false">-AC259*Inputs!$D$30*(1+Inputs!$D$34)^(AC$247-1)</f>
        <v>-1098.202343</v>
      </c>
      <c r="AD270" s="67" t="n">
        <f aca="false">-AD259*Inputs!$D$30*(1+Inputs!$D$34)^(AD$247-1)</f>
        <v>-1098.202343</v>
      </c>
      <c r="AE270" s="67" t="n">
        <f aca="false">-AE259*Inputs!$D$30*(1+Inputs!$D$34)^(AE$247-1)</f>
        <v>-1098.202343</v>
      </c>
      <c r="AF270" s="67" t="n">
        <f aca="false">-AF259*Inputs!$D$30*(1+Inputs!$D$34)^(AF$247-1)</f>
        <v>-1098.202343</v>
      </c>
      <c r="AG270" s="67" t="n">
        <f aca="false">-AG259*Inputs!$D$30*(1+Inputs!$D$34)^(AG$247-1)</f>
        <v>-1098.202343</v>
      </c>
      <c r="AH270" s="67" t="n">
        <f aca="false">-AH259*Inputs!$D$30*(1+Inputs!$D$34)^(AH$247-1)</f>
        <v>-1098.202343</v>
      </c>
      <c r="AI270" s="67" t="n">
        <f aca="false">-AI259*Inputs!$D$30*(1+Inputs!$D$34)^(AI$247-1)</f>
        <v>-1098.202343</v>
      </c>
      <c r="AJ270" s="67" t="n">
        <f aca="false">-AJ259*Inputs!$D$30*(1+Inputs!$D$34)^(AJ$247-1)</f>
        <v>-1098.202343</v>
      </c>
      <c r="AK270" s="67" t="n">
        <f aca="false">-AK259*Inputs!$D$30*(1+Inputs!$D$34)^(AK$247-1)</f>
        <v>-1098.202343</v>
      </c>
      <c r="AL270" s="67" t="n">
        <f aca="false">-AL259*Inputs!$D$30*(1+Inputs!$D$34)^(AL$247-1)</f>
        <v>-868.145726</v>
      </c>
      <c r="AM270" s="67" t="n">
        <f aca="false">-AM259*Inputs!$D$30*(1+Inputs!$D$34)^(AM$247-1)</f>
        <v>-943.46310120125</v>
      </c>
      <c r="AN270" s="67" t="n">
        <f aca="false">-AN259*Inputs!$D$30*(1+Inputs!$D$34)^(AN$247-1)</f>
        <v>-943.46310120125</v>
      </c>
      <c r="AO270" s="67" t="n">
        <f aca="false">-AO259*Inputs!$D$30*(1+Inputs!$D$34)^(AO$247-1)</f>
        <v>-1191.0615352475</v>
      </c>
      <c r="AP270" s="67" t="n">
        <f aca="false">-AP259*Inputs!$D$30*(1+Inputs!$D$34)^(AP$247-1)</f>
        <v>-1191.0615352475</v>
      </c>
      <c r="AQ270" s="67" t="n">
        <f aca="false">-AQ259*Inputs!$D$30*(1+Inputs!$D$34)^(AQ$247-1)</f>
        <v>-1191.0615352475</v>
      </c>
      <c r="AR270" s="67" t="n">
        <f aca="false">-AR259*Inputs!$D$30*(1+Inputs!$D$34)^(AR$247-1)</f>
        <v>-1191.0615352475</v>
      </c>
      <c r="AS270" s="67" t="n">
        <f aca="false">-AS259*Inputs!$D$30*(1+Inputs!$D$34)^(AS$247-1)</f>
        <v>-1191.0615352475</v>
      </c>
      <c r="AT270" s="67" t="n">
        <f aca="false">-AT259*Inputs!$D$30*(1+Inputs!$D$34)^(AT$247-1)</f>
        <v>-1191.0615352475</v>
      </c>
      <c r="AU270" s="67" t="n">
        <f aca="false">-AU259*Inputs!$D$30*(1+Inputs!$D$34)^(AU$247-1)</f>
        <v>-1191.0615352475</v>
      </c>
      <c r="AV270" s="67" t="n">
        <f aca="false">-AV259*Inputs!$D$30*(1+Inputs!$D$34)^(AV$247-1)</f>
        <v>-1191.0615352475</v>
      </c>
      <c r="AW270" s="67" t="n">
        <f aca="false">-AW259*Inputs!$D$30*(1+Inputs!$D$34)^(AW$247-1)</f>
        <v>-1191.0615352475</v>
      </c>
      <c r="AX270" s="67" t="n">
        <f aca="false">-AX259*Inputs!$D$30*(1+Inputs!$D$34)^(AX$247-1)</f>
        <v>-943.46310120125</v>
      </c>
      <c r="AY270" s="67" t="n">
        <f aca="false">-AY259*Inputs!$D$30*(1+Inputs!$D$34)^(AY$247-1)</f>
        <v>-1025.6863873698</v>
      </c>
      <c r="AZ270" s="67" t="n">
        <f aca="false">-AZ259*Inputs!$D$30*(1+Inputs!$D$34)^(AZ$247-1)</f>
        <v>-1025.6863873698</v>
      </c>
      <c r="BA270" s="67" t="n">
        <f aca="false">-BA259*Inputs!$D$30*(1+Inputs!$D$34)^(BA$247-1)</f>
        <v>-1292.16420201207</v>
      </c>
      <c r="BB270" s="67" t="n">
        <f aca="false">-BB259*Inputs!$D$30*(1+Inputs!$D$34)^(BB$247-1)</f>
        <v>-1292.16420201207</v>
      </c>
      <c r="BC270" s="67" t="n">
        <f aca="false">-BC259*Inputs!$D$30*(1+Inputs!$D$34)^(BC$247-1)</f>
        <v>-1292.16420201207</v>
      </c>
      <c r="BD270" s="67" t="n">
        <f aca="false">-BD259*Inputs!$D$30*(1+Inputs!$D$34)^(BD$247-1)</f>
        <v>-1292.16420201207</v>
      </c>
      <c r="BE270" s="67" t="n">
        <f aca="false">-BE259*Inputs!$D$30*(1+Inputs!$D$34)^(BE$247-1)</f>
        <v>-1292.16420201207</v>
      </c>
      <c r="BF270" s="67" t="n">
        <f aca="false">-BF259*Inputs!$D$30*(1+Inputs!$D$34)^(BF$247-1)</f>
        <v>-1292.16420201207</v>
      </c>
      <c r="BG270" s="67" t="n">
        <f aca="false">-BG259*Inputs!$D$30*(1+Inputs!$D$34)^(BG$247-1)</f>
        <v>-1292.16420201207</v>
      </c>
      <c r="BH270" s="67" t="n">
        <f aca="false">-BH259*Inputs!$D$30*(1+Inputs!$D$34)^(BH$247-1)</f>
        <v>-1292.16420201207</v>
      </c>
      <c r="BI270" s="67" t="n">
        <f aca="false">-BI259*Inputs!$D$30*(1+Inputs!$D$34)^(BI$247-1)</f>
        <v>-1292.16420201207</v>
      </c>
      <c r="BJ270" s="67" t="n">
        <f aca="false">-BJ259*Inputs!$D$30*(1+Inputs!$D$34)^(BJ$247-1)</f>
        <v>-1025.6863873698</v>
      </c>
    </row>
    <row r="271" customFormat="false" ht="15" hidden="false" customHeight="false" outlineLevel="0" collapsed="false">
      <c r="A271" s="6" t="s">
        <v>241</v>
      </c>
      <c r="C271" s="67" t="n">
        <f aca="false">C269+C270</f>
        <v>-5689.845</v>
      </c>
      <c r="D271" s="67" t="n">
        <f aca="false">D269+D270</f>
        <v>-6638.1525</v>
      </c>
      <c r="E271" s="67" t="n">
        <f aca="false">E269+E270</f>
        <v>-9622.24666666667</v>
      </c>
      <c r="F271" s="67" t="n">
        <f aca="false">F269+F270</f>
        <v>-10825.0275</v>
      </c>
      <c r="G271" s="67" t="n">
        <f aca="false">G269+G270</f>
        <v>-12027.8083333333</v>
      </c>
      <c r="H271" s="67" t="n">
        <f aca="false">H269+H270</f>
        <v>-12027.8083333333</v>
      </c>
      <c r="I271" s="67" t="n">
        <f aca="false">I269+I270</f>
        <v>-12027.8083333333</v>
      </c>
      <c r="J271" s="67" t="n">
        <f aca="false">J269+J270</f>
        <v>-12027.8083333333</v>
      </c>
      <c r="K271" s="67" t="n">
        <f aca="false">K269+K270</f>
        <v>-12027.8083333333</v>
      </c>
      <c r="L271" s="67" t="n">
        <f aca="false">L269+L270</f>
        <v>-12027.8083333333</v>
      </c>
      <c r="M271" s="67" t="n">
        <f aca="false">M269+M270</f>
        <v>-12027.8083333333</v>
      </c>
      <c r="N271" s="67" t="n">
        <f aca="false">N269+N270</f>
        <v>-9483.075</v>
      </c>
      <c r="O271" s="67" t="n">
        <f aca="false">O269+O270</f>
        <v>-10439.96492</v>
      </c>
      <c r="P271" s="67" t="n">
        <f aca="false">P269+P270</f>
        <v>-10439.96492</v>
      </c>
      <c r="Q271" s="67" t="n">
        <f aca="false">Q269+Q270</f>
        <v>-13215.68556</v>
      </c>
      <c r="R271" s="67" t="n">
        <f aca="false">R269+R270</f>
        <v>-13215.68556</v>
      </c>
      <c r="S271" s="67" t="n">
        <f aca="false">S269+S270</f>
        <v>-13215.68556</v>
      </c>
      <c r="T271" s="67" t="n">
        <f aca="false">T269+T270</f>
        <v>-13215.68556</v>
      </c>
      <c r="U271" s="67" t="n">
        <f aca="false">U269+U270</f>
        <v>-13215.68556</v>
      </c>
      <c r="V271" s="67" t="n">
        <f aca="false">V269+V270</f>
        <v>-13215.68556</v>
      </c>
      <c r="W271" s="67" t="n">
        <f aca="false">W269+W270</f>
        <v>-13215.68556</v>
      </c>
      <c r="X271" s="67" t="n">
        <f aca="false">X269+X270</f>
        <v>-13215.68556</v>
      </c>
      <c r="Y271" s="67" t="n">
        <f aca="false">Y269+Y270</f>
        <v>-13215.68556</v>
      </c>
      <c r="Z271" s="67" t="n">
        <f aca="false">Z269+Z270</f>
        <v>-10439.96492</v>
      </c>
      <c r="AA271" s="67" t="n">
        <f aca="false">AA269+AA270</f>
        <v>-11497.60287704</v>
      </c>
      <c r="AB271" s="67" t="n">
        <f aca="false">AB269+AB270</f>
        <v>-11497.60287704</v>
      </c>
      <c r="AC271" s="67" t="n">
        <f aca="false">AC269+AC270</f>
        <v>-14525.32313372</v>
      </c>
      <c r="AD271" s="67" t="n">
        <f aca="false">AD269+AD270</f>
        <v>-14525.32313372</v>
      </c>
      <c r="AE271" s="67" t="n">
        <f aca="false">AE269+AE270</f>
        <v>-14525.32313372</v>
      </c>
      <c r="AF271" s="67" t="n">
        <f aca="false">AF269+AF270</f>
        <v>-14525.32313372</v>
      </c>
      <c r="AG271" s="67" t="n">
        <f aca="false">AG269+AG270</f>
        <v>-14525.32313372</v>
      </c>
      <c r="AH271" s="67" t="n">
        <f aca="false">AH269+AH270</f>
        <v>-14525.32313372</v>
      </c>
      <c r="AI271" s="67" t="n">
        <f aca="false">AI269+AI270</f>
        <v>-14525.32313372</v>
      </c>
      <c r="AJ271" s="67" t="n">
        <f aca="false">AJ269+AJ270</f>
        <v>-14525.32313372</v>
      </c>
      <c r="AK271" s="67" t="n">
        <f aca="false">AK269+AK270</f>
        <v>-14525.32313372</v>
      </c>
      <c r="AL271" s="67" t="n">
        <f aca="false">AL269+AL270</f>
        <v>-11497.60287704</v>
      </c>
      <c r="AM271" s="67" t="n">
        <f aca="false">AM269+AM270</f>
        <v>-12667.1265542009</v>
      </c>
      <c r="AN271" s="67" t="n">
        <f aca="false">AN269+AN270</f>
        <v>-12667.1265542009</v>
      </c>
      <c r="AO271" s="67" t="n">
        <f aca="false">AO269+AO270</f>
        <v>-15969.7736827777</v>
      </c>
      <c r="AP271" s="67" t="n">
        <f aca="false">AP269+AP270</f>
        <v>-15969.7736827777</v>
      </c>
      <c r="AQ271" s="67" t="n">
        <f aca="false">AQ269+AQ270</f>
        <v>-15969.7736827777</v>
      </c>
      <c r="AR271" s="67" t="n">
        <f aca="false">AR269+AR270</f>
        <v>-15969.7736827777</v>
      </c>
      <c r="AS271" s="67" t="n">
        <f aca="false">AS269+AS270</f>
        <v>-15969.7736827777</v>
      </c>
      <c r="AT271" s="67" t="n">
        <f aca="false">AT269+AT270</f>
        <v>-15969.7736827777</v>
      </c>
      <c r="AU271" s="67" t="n">
        <f aca="false">AU269+AU270</f>
        <v>-15969.7736827777</v>
      </c>
      <c r="AV271" s="67" t="n">
        <f aca="false">AV269+AV270</f>
        <v>-15969.7736827777</v>
      </c>
      <c r="AW271" s="67" t="n">
        <f aca="false">AW269+AW270</f>
        <v>-15969.7736827777</v>
      </c>
      <c r="AX271" s="67" t="n">
        <f aca="false">AX269+AX270</f>
        <v>-12667.1265542009</v>
      </c>
      <c r="AY271" s="67" t="n">
        <f aca="false">AY269+AY270</f>
        <v>-13960.9697812547</v>
      </c>
      <c r="AZ271" s="67" t="n">
        <f aca="false">AZ269+AZ270</f>
        <v>-13960.9697812547</v>
      </c>
      <c r="BA271" s="67" t="n">
        <f aca="false">BA269+BA270</f>
        <v>-17563.5607703243</v>
      </c>
      <c r="BB271" s="67" t="n">
        <f aca="false">BB269+BB270</f>
        <v>-17563.5607703243</v>
      </c>
      <c r="BC271" s="67" t="n">
        <f aca="false">BC269+BC270</f>
        <v>-17563.5607703243</v>
      </c>
      <c r="BD271" s="67" t="n">
        <f aca="false">BD269+BD270</f>
        <v>-17563.5607703243</v>
      </c>
      <c r="BE271" s="67" t="n">
        <f aca="false">BE269+BE270</f>
        <v>-17563.5607703243</v>
      </c>
      <c r="BF271" s="67" t="n">
        <f aca="false">BF269+BF270</f>
        <v>-17563.5607703243</v>
      </c>
      <c r="BG271" s="67" t="n">
        <f aca="false">BG269+BG270</f>
        <v>-17563.5607703243</v>
      </c>
      <c r="BH271" s="67" t="n">
        <f aca="false">BH269+BH270</f>
        <v>-17563.5607703243</v>
      </c>
      <c r="BI271" s="67" t="n">
        <f aca="false">BI269+BI270</f>
        <v>-17563.5607703243</v>
      </c>
      <c r="BJ271" s="67" t="n">
        <f aca="false">BJ269+BJ270</f>
        <v>-13960.9697812547</v>
      </c>
    </row>
    <row r="272" customFormat="false" ht="15" hidden="false" customHeight="false" outlineLevel="0" collapsed="false">
      <c r="A272" s="6" t="s">
        <v>426</v>
      </c>
      <c r="C272" s="67" t="n">
        <f aca="false">-C266*Inputs!$D$31</f>
        <v>-449.8578</v>
      </c>
      <c r="D272" s="67" t="n">
        <f aca="false">-D266*Inputs!$D$31</f>
        <v>-524.8341</v>
      </c>
      <c r="E272" s="67" t="n">
        <f aca="false">-E266*Inputs!$D$31</f>
        <v>-760.6872</v>
      </c>
      <c r="F272" s="67" t="n">
        <f aca="false">-F266*Inputs!$D$31</f>
        <v>-855.7731</v>
      </c>
      <c r="G272" s="67" t="n">
        <f aca="false">-G266*Inputs!$D$31</f>
        <v>-950.859</v>
      </c>
      <c r="H272" s="67" t="n">
        <f aca="false">-H266*Inputs!$D$31</f>
        <v>-950.859</v>
      </c>
      <c r="I272" s="67" t="n">
        <f aca="false">-I266*Inputs!$D$31</f>
        <v>-950.859</v>
      </c>
      <c r="J272" s="67" t="n">
        <f aca="false">-J266*Inputs!$D$31</f>
        <v>-950.859</v>
      </c>
      <c r="K272" s="67" t="n">
        <f aca="false">-K266*Inputs!$D$31</f>
        <v>-950.859</v>
      </c>
      <c r="L272" s="67" t="n">
        <f aca="false">-L266*Inputs!$D$31</f>
        <v>-950.859</v>
      </c>
      <c r="M272" s="67" t="n">
        <f aca="false">-M266*Inputs!$D$31</f>
        <v>-950.859</v>
      </c>
      <c r="N272" s="67" t="n">
        <f aca="false">-N266*Inputs!$D$31</f>
        <v>-749.763</v>
      </c>
      <c r="O272" s="67" t="n">
        <f aca="false">-O266*Inputs!$D$31</f>
        <v>-826.357896</v>
      </c>
      <c r="P272" s="67" t="n">
        <f aca="false">-P266*Inputs!$D$31</f>
        <v>-826.357896</v>
      </c>
      <c r="Q272" s="67" t="n">
        <f aca="false">-Q266*Inputs!$D$31</f>
        <v>-1045.954728</v>
      </c>
      <c r="R272" s="67" t="n">
        <f aca="false">-R266*Inputs!$D$31</f>
        <v>-1045.954728</v>
      </c>
      <c r="S272" s="67" t="n">
        <f aca="false">-S266*Inputs!$D$31</f>
        <v>-1045.954728</v>
      </c>
      <c r="T272" s="67" t="n">
        <f aca="false">-T266*Inputs!$D$31</f>
        <v>-1045.954728</v>
      </c>
      <c r="U272" s="67" t="n">
        <f aca="false">-U266*Inputs!$D$31</f>
        <v>-1045.954728</v>
      </c>
      <c r="V272" s="67" t="n">
        <f aca="false">-V266*Inputs!$D$31</f>
        <v>-1045.954728</v>
      </c>
      <c r="W272" s="67" t="n">
        <f aca="false">-W266*Inputs!$D$31</f>
        <v>-1045.954728</v>
      </c>
      <c r="X272" s="67" t="n">
        <f aca="false">-X266*Inputs!$D$31</f>
        <v>-1045.954728</v>
      </c>
      <c r="Y272" s="67" t="n">
        <f aca="false">-Y266*Inputs!$D$31</f>
        <v>-1045.954728</v>
      </c>
      <c r="Z272" s="67" t="n">
        <f aca="false">-Z266*Inputs!$D$31</f>
        <v>-826.357896</v>
      </c>
      <c r="AA272" s="67" t="n">
        <f aca="false">-AA266*Inputs!$D$31</f>
        <v>-911.096327232</v>
      </c>
      <c r="AB272" s="67" t="n">
        <f aca="false">-AB266*Inputs!$D$31</f>
        <v>-911.096327232</v>
      </c>
      <c r="AC272" s="67" t="n">
        <f aca="false">-AC266*Inputs!$D$31</f>
        <v>-1150.896067776</v>
      </c>
      <c r="AD272" s="67" t="n">
        <f aca="false">-AD266*Inputs!$D$31</f>
        <v>-1150.896067776</v>
      </c>
      <c r="AE272" s="67" t="n">
        <f aca="false">-AE266*Inputs!$D$31</f>
        <v>-1150.896067776</v>
      </c>
      <c r="AF272" s="67" t="n">
        <f aca="false">-AF266*Inputs!$D$31</f>
        <v>-1150.896067776</v>
      </c>
      <c r="AG272" s="67" t="n">
        <f aca="false">-AG266*Inputs!$D$31</f>
        <v>-1150.896067776</v>
      </c>
      <c r="AH272" s="67" t="n">
        <f aca="false">-AH266*Inputs!$D$31</f>
        <v>-1150.896067776</v>
      </c>
      <c r="AI272" s="67" t="n">
        <f aca="false">-AI266*Inputs!$D$31</f>
        <v>-1150.896067776</v>
      </c>
      <c r="AJ272" s="67" t="n">
        <f aca="false">-AJ266*Inputs!$D$31</f>
        <v>-1150.896067776</v>
      </c>
      <c r="AK272" s="67" t="n">
        <f aca="false">-AK266*Inputs!$D$31</f>
        <v>-1150.896067776</v>
      </c>
      <c r="AL272" s="67" t="n">
        <f aca="false">-AL266*Inputs!$D$31</f>
        <v>-911.096327232</v>
      </c>
      <c r="AM272" s="67" t="n">
        <f aca="false">-AM266*Inputs!$D$31</f>
        <v>-1004.88543882854</v>
      </c>
      <c r="AN272" s="67" t="n">
        <f aca="false">-AN266*Inputs!$D$31</f>
        <v>-1004.88543882854</v>
      </c>
      <c r="AO272" s="67" t="n">
        <f aca="false">-AO266*Inputs!$D$31</f>
        <v>-1266.74675550259</v>
      </c>
      <c r="AP272" s="67" t="n">
        <f aca="false">-AP266*Inputs!$D$31</f>
        <v>-1266.74675550259</v>
      </c>
      <c r="AQ272" s="67" t="n">
        <f aca="false">-AQ266*Inputs!$D$31</f>
        <v>-1266.74675550259</v>
      </c>
      <c r="AR272" s="67" t="n">
        <f aca="false">-AR266*Inputs!$D$31</f>
        <v>-1266.74675550259</v>
      </c>
      <c r="AS272" s="67" t="n">
        <f aca="false">-AS266*Inputs!$D$31</f>
        <v>-1266.74675550259</v>
      </c>
      <c r="AT272" s="67" t="n">
        <f aca="false">-AT266*Inputs!$D$31</f>
        <v>-1266.74675550259</v>
      </c>
      <c r="AU272" s="67" t="n">
        <f aca="false">-AU266*Inputs!$D$31</f>
        <v>-1266.74675550259</v>
      </c>
      <c r="AV272" s="67" t="n">
        <f aca="false">-AV266*Inputs!$D$31</f>
        <v>-1266.74675550259</v>
      </c>
      <c r="AW272" s="67" t="n">
        <f aca="false">-AW266*Inputs!$D$31</f>
        <v>-1266.74675550259</v>
      </c>
      <c r="AX272" s="67" t="n">
        <f aca="false">-AX266*Inputs!$D$31</f>
        <v>-1004.88543882854</v>
      </c>
      <c r="AY272" s="67" t="n">
        <f aca="false">-AY266*Inputs!$D$31</f>
        <v>-1108.7385766187</v>
      </c>
      <c r="AZ272" s="67" t="n">
        <f aca="false">-AZ266*Inputs!$D$31</f>
        <v>-1108.7385766187</v>
      </c>
      <c r="BA272" s="67" t="n">
        <f aca="false">-BA266*Inputs!$D$31</f>
        <v>-1394.69113442676</v>
      </c>
      <c r="BB272" s="67" t="n">
        <f aca="false">-BB266*Inputs!$D$31</f>
        <v>-1394.69113442676</v>
      </c>
      <c r="BC272" s="67" t="n">
        <f aca="false">-BC266*Inputs!$D$31</f>
        <v>-1394.69113442676</v>
      </c>
      <c r="BD272" s="67" t="n">
        <f aca="false">-BD266*Inputs!$D$31</f>
        <v>-1394.69113442676</v>
      </c>
      <c r="BE272" s="67" t="n">
        <f aca="false">-BE266*Inputs!$D$31</f>
        <v>-1394.69113442676</v>
      </c>
      <c r="BF272" s="67" t="n">
        <f aca="false">-BF266*Inputs!$D$31</f>
        <v>-1394.69113442676</v>
      </c>
      <c r="BG272" s="67" t="n">
        <f aca="false">-BG266*Inputs!$D$31</f>
        <v>-1394.69113442676</v>
      </c>
      <c r="BH272" s="67" t="n">
        <f aca="false">-BH266*Inputs!$D$31</f>
        <v>-1394.69113442676</v>
      </c>
      <c r="BI272" s="67" t="n">
        <f aca="false">-BI266*Inputs!$D$31</f>
        <v>-1394.69113442676</v>
      </c>
      <c r="BJ272" s="67" t="n">
        <f aca="false">-BJ266*Inputs!$D$31</f>
        <v>-1108.7385766187</v>
      </c>
    </row>
    <row r="273" customFormat="false" ht="15" hidden="false" customHeight="false" outlineLevel="0" collapsed="false">
      <c r="A273" s="6" t="s">
        <v>427</v>
      </c>
      <c r="C273" s="67" t="n">
        <f aca="false">-C265*Inputs!$D$32-C255*Inputs!$D$33*(1+Inputs!$D$34)^(C$247-1)</f>
        <v>-265.65</v>
      </c>
      <c r="D273" s="67" t="n">
        <f aca="false">-D265*Inputs!$D$32-D255*Inputs!$D$33*(1+Inputs!$D$34)^(D$247-1)</f>
        <v>-309.925</v>
      </c>
      <c r="E273" s="67" t="n">
        <f aca="false">-E265*Inputs!$D$32-E255*Inputs!$D$33*(1+Inputs!$D$34)^(E$247-1)</f>
        <v>-354.2</v>
      </c>
      <c r="F273" s="67" t="n">
        <f aca="false">-F265*Inputs!$D$32-F255*Inputs!$D$33*(1+Inputs!$D$34)^(F$247-1)</f>
        <v>-398.475</v>
      </c>
      <c r="G273" s="67" t="n">
        <f aca="false">-G265*Inputs!$D$32-G255*Inputs!$D$33*(1+Inputs!$D$34)^(G$247-1)</f>
        <v>-442.75</v>
      </c>
      <c r="H273" s="67" t="n">
        <f aca="false">-H265*Inputs!$D$32-H255*Inputs!$D$33*(1+Inputs!$D$34)^(H$247-1)</f>
        <v>-442.75</v>
      </c>
      <c r="I273" s="67" t="n">
        <f aca="false">-I265*Inputs!$D$32-I255*Inputs!$D$33*(1+Inputs!$D$34)^(I$247-1)</f>
        <v>-442.75</v>
      </c>
      <c r="J273" s="67" t="n">
        <f aca="false">-J265*Inputs!$D$32-J255*Inputs!$D$33*(1+Inputs!$D$34)^(J$247-1)</f>
        <v>-442.75</v>
      </c>
      <c r="K273" s="67" t="n">
        <f aca="false">-K265*Inputs!$D$32-K255*Inputs!$D$33*(1+Inputs!$D$34)^(K$247-1)</f>
        <v>-442.75</v>
      </c>
      <c r="L273" s="67" t="n">
        <f aca="false">-L265*Inputs!$D$32-L255*Inputs!$D$33*(1+Inputs!$D$34)^(L$247-1)</f>
        <v>-442.75</v>
      </c>
      <c r="M273" s="67" t="n">
        <f aca="false">-M265*Inputs!$D$32-M255*Inputs!$D$33*(1+Inputs!$D$34)^(M$247-1)</f>
        <v>-442.75</v>
      </c>
      <c r="N273" s="67" t="n">
        <f aca="false">-N265*Inputs!$D$32-N255*Inputs!$D$33*(1+Inputs!$D$34)^(N$247-1)</f>
        <v>-442.75</v>
      </c>
      <c r="O273" s="67" t="n">
        <f aca="false">-O265*Inputs!$D$32-O255*Inputs!$D$33*(1+Inputs!$D$34)^(O$247-1)</f>
        <v>-501.886</v>
      </c>
      <c r="P273" s="67" t="n">
        <f aca="false">-P265*Inputs!$D$32-P255*Inputs!$D$33*(1+Inputs!$D$34)^(P$247-1)</f>
        <v>-501.886</v>
      </c>
      <c r="Q273" s="67" t="n">
        <f aca="false">-Q265*Inputs!$D$32-Q255*Inputs!$D$33*(1+Inputs!$D$34)^(Q$247-1)</f>
        <v>-501.886</v>
      </c>
      <c r="R273" s="67" t="n">
        <f aca="false">-R265*Inputs!$D$32-R255*Inputs!$D$33*(1+Inputs!$D$34)^(R$247-1)</f>
        <v>-501.886</v>
      </c>
      <c r="S273" s="67" t="n">
        <f aca="false">-S265*Inputs!$D$32-S255*Inputs!$D$33*(1+Inputs!$D$34)^(S$247-1)</f>
        <v>-501.886</v>
      </c>
      <c r="T273" s="67" t="n">
        <f aca="false">-T265*Inputs!$D$32-T255*Inputs!$D$33*(1+Inputs!$D$34)^(T$247-1)</f>
        <v>-501.886</v>
      </c>
      <c r="U273" s="67" t="n">
        <f aca="false">-U265*Inputs!$D$32-U255*Inputs!$D$33*(1+Inputs!$D$34)^(U$247-1)</f>
        <v>-501.886</v>
      </c>
      <c r="V273" s="67" t="n">
        <f aca="false">-V265*Inputs!$D$32-V255*Inputs!$D$33*(1+Inputs!$D$34)^(V$247-1)</f>
        <v>-501.886</v>
      </c>
      <c r="W273" s="67" t="n">
        <f aca="false">-W265*Inputs!$D$32-W255*Inputs!$D$33*(1+Inputs!$D$34)^(W$247-1)</f>
        <v>-501.886</v>
      </c>
      <c r="X273" s="67" t="n">
        <f aca="false">-X265*Inputs!$D$32-X255*Inputs!$D$33*(1+Inputs!$D$34)^(X$247-1)</f>
        <v>-501.886</v>
      </c>
      <c r="Y273" s="67" t="n">
        <f aca="false">-Y265*Inputs!$D$32-Y255*Inputs!$D$33*(1+Inputs!$D$34)^(Y$247-1)</f>
        <v>-501.886</v>
      </c>
      <c r="Z273" s="67" t="n">
        <f aca="false">-Z265*Inputs!$D$32-Z255*Inputs!$D$33*(1+Inputs!$D$34)^(Z$247-1)</f>
        <v>-501.886</v>
      </c>
      <c r="AA273" s="67" t="n">
        <f aca="false">-AA265*Inputs!$D$32-AA255*Inputs!$D$33*(1+Inputs!$D$34)^(AA$247-1)</f>
        <v>-568.948534</v>
      </c>
      <c r="AB273" s="67" t="n">
        <f aca="false">-AB265*Inputs!$D$32-AB255*Inputs!$D$33*(1+Inputs!$D$34)^(AB$247-1)</f>
        <v>-568.948534</v>
      </c>
      <c r="AC273" s="67" t="n">
        <f aca="false">-AC265*Inputs!$D$32-AC255*Inputs!$D$33*(1+Inputs!$D$34)^(AC$247-1)</f>
        <v>-568.948534</v>
      </c>
      <c r="AD273" s="67" t="n">
        <f aca="false">-AD265*Inputs!$D$32-AD255*Inputs!$D$33*(1+Inputs!$D$34)^(AD$247-1)</f>
        <v>-568.948534</v>
      </c>
      <c r="AE273" s="67" t="n">
        <f aca="false">-AE265*Inputs!$D$32-AE255*Inputs!$D$33*(1+Inputs!$D$34)^(AE$247-1)</f>
        <v>-568.948534</v>
      </c>
      <c r="AF273" s="67" t="n">
        <f aca="false">-AF265*Inputs!$D$32-AF255*Inputs!$D$33*(1+Inputs!$D$34)^(AF$247-1)</f>
        <v>-568.948534</v>
      </c>
      <c r="AG273" s="67" t="n">
        <f aca="false">-AG265*Inputs!$D$32-AG255*Inputs!$D$33*(1+Inputs!$D$34)^(AG$247-1)</f>
        <v>-568.948534</v>
      </c>
      <c r="AH273" s="67" t="n">
        <f aca="false">-AH265*Inputs!$D$32-AH255*Inputs!$D$33*(1+Inputs!$D$34)^(AH$247-1)</f>
        <v>-568.948534</v>
      </c>
      <c r="AI273" s="67" t="n">
        <f aca="false">-AI265*Inputs!$D$32-AI255*Inputs!$D$33*(1+Inputs!$D$34)^(AI$247-1)</f>
        <v>-568.948534</v>
      </c>
      <c r="AJ273" s="67" t="n">
        <f aca="false">-AJ265*Inputs!$D$32-AJ255*Inputs!$D$33*(1+Inputs!$D$34)^(AJ$247-1)</f>
        <v>-568.948534</v>
      </c>
      <c r="AK273" s="67" t="n">
        <f aca="false">-AK265*Inputs!$D$32-AK255*Inputs!$D$33*(1+Inputs!$D$34)^(AK$247-1)</f>
        <v>-568.948534</v>
      </c>
      <c r="AL273" s="67" t="n">
        <f aca="false">-AL265*Inputs!$D$32-AL255*Inputs!$D$33*(1+Inputs!$D$34)^(AL$247-1)</f>
        <v>-568.948534</v>
      </c>
      <c r="AM273" s="67" t="n">
        <f aca="false">-AM265*Inputs!$D$32-AM255*Inputs!$D$33*(1+Inputs!$D$34)^(AM$247-1)</f>
        <v>-645.003919021</v>
      </c>
      <c r="AN273" s="67" t="n">
        <f aca="false">-AN265*Inputs!$D$32-AN255*Inputs!$D$33*(1+Inputs!$D$34)^(AN$247-1)</f>
        <v>-645.003919021</v>
      </c>
      <c r="AO273" s="67" t="n">
        <f aca="false">-AO265*Inputs!$D$32-AO255*Inputs!$D$33*(1+Inputs!$D$34)^(AO$247-1)</f>
        <v>-645.003919021</v>
      </c>
      <c r="AP273" s="67" t="n">
        <f aca="false">-AP265*Inputs!$D$32-AP255*Inputs!$D$33*(1+Inputs!$D$34)^(AP$247-1)</f>
        <v>-645.003919021</v>
      </c>
      <c r="AQ273" s="67" t="n">
        <f aca="false">-AQ265*Inputs!$D$32-AQ255*Inputs!$D$33*(1+Inputs!$D$34)^(AQ$247-1)</f>
        <v>-645.003919021</v>
      </c>
      <c r="AR273" s="67" t="n">
        <f aca="false">-AR265*Inputs!$D$32-AR255*Inputs!$D$33*(1+Inputs!$D$34)^(AR$247-1)</f>
        <v>-645.003919021</v>
      </c>
      <c r="AS273" s="67" t="n">
        <f aca="false">-AS265*Inputs!$D$32-AS255*Inputs!$D$33*(1+Inputs!$D$34)^(AS$247-1)</f>
        <v>-645.003919021</v>
      </c>
      <c r="AT273" s="67" t="n">
        <f aca="false">-AT265*Inputs!$D$32-AT255*Inputs!$D$33*(1+Inputs!$D$34)^(AT$247-1)</f>
        <v>-645.003919021</v>
      </c>
      <c r="AU273" s="67" t="n">
        <f aca="false">-AU265*Inputs!$D$32-AU255*Inputs!$D$33*(1+Inputs!$D$34)^(AU$247-1)</f>
        <v>-645.003919021</v>
      </c>
      <c r="AV273" s="67" t="n">
        <f aca="false">-AV265*Inputs!$D$32-AV255*Inputs!$D$33*(1+Inputs!$D$34)^(AV$247-1)</f>
        <v>-645.003919021</v>
      </c>
      <c r="AW273" s="67" t="n">
        <f aca="false">-AW265*Inputs!$D$32-AW255*Inputs!$D$33*(1+Inputs!$D$34)^(AW$247-1)</f>
        <v>-645.003919021</v>
      </c>
      <c r="AX273" s="67" t="n">
        <f aca="false">-AX265*Inputs!$D$32-AX255*Inputs!$D$33*(1+Inputs!$D$34)^(AX$247-1)</f>
        <v>-645.003919021</v>
      </c>
      <c r="AY273" s="67" t="n">
        <f aca="false">-AY265*Inputs!$D$32-AY255*Inputs!$D$33*(1+Inputs!$D$34)^(AY$247-1)</f>
        <v>-731.262445990962</v>
      </c>
      <c r="AZ273" s="67" t="n">
        <f aca="false">-AZ265*Inputs!$D$32-AZ255*Inputs!$D$33*(1+Inputs!$D$34)^(AZ$247-1)</f>
        <v>-731.262445990962</v>
      </c>
      <c r="BA273" s="67" t="n">
        <f aca="false">-BA265*Inputs!$D$32-BA255*Inputs!$D$33*(1+Inputs!$D$34)^(BA$247-1)</f>
        <v>-731.262445990962</v>
      </c>
      <c r="BB273" s="67" t="n">
        <f aca="false">-BB265*Inputs!$D$32-BB255*Inputs!$D$33*(1+Inputs!$D$34)^(BB$247-1)</f>
        <v>-731.262445990962</v>
      </c>
      <c r="BC273" s="67" t="n">
        <f aca="false">-BC265*Inputs!$D$32-BC255*Inputs!$D$33*(1+Inputs!$D$34)^(BC$247-1)</f>
        <v>-731.262445990962</v>
      </c>
      <c r="BD273" s="67" t="n">
        <f aca="false">-BD265*Inputs!$D$32-BD255*Inputs!$D$33*(1+Inputs!$D$34)^(BD$247-1)</f>
        <v>-731.262445990962</v>
      </c>
      <c r="BE273" s="67" t="n">
        <f aca="false">-BE265*Inputs!$D$32-BE255*Inputs!$D$33*(1+Inputs!$D$34)^(BE$247-1)</f>
        <v>-731.262445990962</v>
      </c>
      <c r="BF273" s="67" t="n">
        <f aca="false">-BF265*Inputs!$D$32-BF255*Inputs!$D$33*(1+Inputs!$D$34)^(BF$247-1)</f>
        <v>-731.262445990962</v>
      </c>
      <c r="BG273" s="67" t="n">
        <f aca="false">-BG265*Inputs!$D$32-BG255*Inputs!$D$33*(1+Inputs!$D$34)^(BG$247-1)</f>
        <v>-731.262445990962</v>
      </c>
      <c r="BH273" s="67" t="n">
        <f aca="false">-BH265*Inputs!$D$32-BH255*Inputs!$D$33*(1+Inputs!$D$34)^(BH$247-1)</f>
        <v>-731.262445990962</v>
      </c>
      <c r="BI273" s="67" t="n">
        <f aca="false">-BI265*Inputs!$D$32-BI255*Inputs!$D$33*(1+Inputs!$D$34)^(BI$247-1)</f>
        <v>-731.262445990962</v>
      </c>
      <c r="BJ273" s="67" t="n">
        <f aca="false">-BJ265*Inputs!$D$32-BJ255*Inputs!$D$33*(1+Inputs!$D$34)^(BJ$247-1)</f>
        <v>-731.262445990962</v>
      </c>
    </row>
    <row r="274" customFormat="false" ht="15" hidden="false" customHeight="false" outlineLevel="0" collapsed="false">
      <c r="A274" s="4" t="s">
        <v>76</v>
      </c>
      <c r="C274" s="73" t="n">
        <f aca="false">C271+C272+C273</f>
        <v>-6405.3528</v>
      </c>
      <c r="D274" s="73" t="n">
        <f aca="false">D271+D272+D273</f>
        <v>-7472.9116</v>
      </c>
      <c r="E274" s="73" t="n">
        <f aca="false">E271+E272+E273</f>
        <v>-10737.1338666667</v>
      </c>
      <c r="F274" s="73" t="n">
        <f aca="false">F271+F272+F273</f>
        <v>-12079.2756</v>
      </c>
      <c r="G274" s="73" t="n">
        <f aca="false">G271+G272+G273</f>
        <v>-13421.4173333333</v>
      </c>
      <c r="H274" s="73" t="n">
        <f aca="false">H271+H272+H273</f>
        <v>-13421.4173333333</v>
      </c>
      <c r="I274" s="73" t="n">
        <f aca="false">I271+I272+I273</f>
        <v>-13421.4173333333</v>
      </c>
      <c r="J274" s="73" t="n">
        <f aca="false">J271+J272+J273</f>
        <v>-13421.4173333333</v>
      </c>
      <c r="K274" s="73" t="n">
        <f aca="false">K271+K272+K273</f>
        <v>-13421.4173333333</v>
      </c>
      <c r="L274" s="73" t="n">
        <f aca="false">L271+L272+L273</f>
        <v>-13421.4173333333</v>
      </c>
      <c r="M274" s="73" t="n">
        <f aca="false">M271+M272+M273</f>
        <v>-13421.4173333333</v>
      </c>
      <c r="N274" s="73" t="n">
        <f aca="false">N271+N272+N273</f>
        <v>-10675.588</v>
      </c>
      <c r="O274" s="73" t="n">
        <f aca="false">O271+O272+O273</f>
        <v>-11768.208816</v>
      </c>
      <c r="P274" s="73" t="n">
        <f aca="false">P271+P272+P273</f>
        <v>-11768.208816</v>
      </c>
      <c r="Q274" s="73" t="n">
        <f aca="false">Q271+Q272+Q273</f>
        <v>-14763.526288</v>
      </c>
      <c r="R274" s="73" t="n">
        <f aca="false">R271+R272+R273</f>
        <v>-14763.526288</v>
      </c>
      <c r="S274" s="73" t="n">
        <f aca="false">S271+S272+S273</f>
        <v>-14763.526288</v>
      </c>
      <c r="T274" s="73" t="n">
        <f aca="false">T271+T272+T273</f>
        <v>-14763.526288</v>
      </c>
      <c r="U274" s="73" t="n">
        <f aca="false">U271+U272+U273</f>
        <v>-14763.526288</v>
      </c>
      <c r="V274" s="73" t="n">
        <f aca="false">V271+V272+V273</f>
        <v>-14763.526288</v>
      </c>
      <c r="W274" s="73" t="n">
        <f aca="false">W271+W272+W273</f>
        <v>-14763.526288</v>
      </c>
      <c r="X274" s="73" t="n">
        <f aca="false">X271+X272+X273</f>
        <v>-14763.526288</v>
      </c>
      <c r="Y274" s="73" t="n">
        <f aca="false">Y271+Y272+Y273</f>
        <v>-14763.526288</v>
      </c>
      <c r="Z274" s="73" t="n">
        <f aca="false">Z271+Z272+Z273</f>
        <v>-11768.208816</v>
      </c>
      <c r="AA274" s="73" t="n">
        <f aca="false">AA271+AA272+AA273</f>
        <v>-12977.647738272</v>
      </c>
      <c r="AB274" s="73" t="n">
        <f aca="false">AB271+AB272+AB273</f>
        <v>-12977.647738272</v>
      </c>
      <c r="AC274" s="73" t="n">
        <f aca="false">AC271+AC272+AC273</f>
        <v>-16245.167735496</v>
      </c>
      <c r="AD274" s="73" t="n">
        <f aca="false">AD271+AD272+AD273</f>
        <v>-16245.167735496</v>
      </c>
      <c r="AE274" s="73" t="n">
        <f aca="false">AE271+AE272+AE273</f>
        <v>-16245.167735496</v>
      </c>
      <c r="AF274" s="73" t="n">
        <f aca="false">AF271+AF272+AF273</f>
        <v>-16245.167735496</v>
      </c>
      <c r="AG274" s="73" t="n">
        <f aca="false">AG271+AG272+AG273</f>
        <v>-16245.167735496</v>
      </c>
      <c r="AH274" s="73" t="n">
        <f aca="false">AH271+AH272+AH273</f>
        <v>-16245.167735496</v>
      </c>
      <c r="AI274" s="73" t="n">
        <f aca="false">AI271+AI272+AI273</f>
        <v>-16245.167735496</v>
      </c>
      <c r="AJ274" s="73" t="n">
        <f aca="false">AJ271+AJ272+AJ273</f>
        <v>-16245.167735496</v>
      </c>
      <c r="AK274" s="73" t="n">
        <f aca="false">AK271+AK272+AK273</f>
        <v>-16245.167735496</v>
      </c>
      <c r="AL274" s="73" t="n">
        <f aca="false">AL271+AL272+AL273</f>
        <v>-12977.647738272</v>
      </c>
      <c r="AM274" s="73" t="n">
        <f aca="false">AM271+AM272+AM273</f>
        <v>-14317.0159120505</v>
      </c>
      <c r="AN274" s="73" t="n">
        <f aca="false">AN271+AN272+AN273</f>
        <v>-14317.0159120505</v>
      </c>
      <c r="AO274" s="73" t="n">
        <f aca="false">AO271+AO272+AO273</f>
        <v>-17881.5243573013</v>
      </c>
      <c r="AP274" s="73" t="n">
        <f aca="false">AP271+AP272+AP273</f>
        <v>-17881.5243573013</v>
      </c>
      <c r="AQ274" s="73" t="n">
        <f aca="false">AQ271+AQ272+AQ273</f>
        <v>-17881.5243573013</v>
      </c>
      <c r="AR274" s="73" t="n">
        <f aca="false">AR271+AR272+AR273</f>
        <v>-17881.5243573013</v>
      </c>
      <c r="AS274" s="73" t="n">
        <f aca="false">AS271+AS272+AS273</f>
        <v>-17881.5243573013</v>
      </c>
      <c r="AT274" s="73" t="n">
        <f aca="false">AT271+AT272+AT273</f>
        <v>-17881.5243573013</v>
      </c>
      <c r="AU274" s="73" t="n">
        <f aca="false">AU271+AU272+AU273</f>
        <v>-17881.5243573013</v>
      </c>
      <c r="AV274" s="73" t="n">
        <f aca="false">AV271+AV272+AV273</f>
        <v>-17881.5243573013</v>
      </c>
      <c r="AW274" s="73" t="n">
        <f aca="false">AW271+AW272+AW273</f>
        <v>-17881.5243573013</v>
      </c>
      <c r="AX274" s="73" t="n">
        <f aca="false">AX271+AX272+AX273</f>
        <v>-14317.0159120505</v>
      </c>
      <c r="AY274" s="73" t="n">
        <f aca="false">AY271+AY272+AY273</f>
        <v>-15800.9708038643</v>
      </c>
      <c r="AZ274" s="73" t="n">
        <f aca="false">AZ271+AZ272+AZ273</f>
        <v>-15800.9708038643</v>
      </c>
      <c r="BA274" s="73" t="n">
        <f aca="false">BA271+BA272+BA273</f>
        <v>-19689.514350742</v>
      </c>
      <c r="BB274" s="73" t="n">
        <f aca="false">BB271+BB272+BB273</f>
        <v>-19689.514350742</v>
      </c>
      <c r="BC274" s="73" t="n">
        <f aca="false">BC271+BC272+BC273</f>
        <v>-19689.514350742</v>
      </c>
      <c r="BD274" s="73" t="n">
        <f aca="false">BD271+BD272+BD273</f>
        <v>-19689.514350742</v>
      </c>
      <c r="BE274" s="73" t="n">
        <f aca="false">BE271+BE272+BE273</f>
        <v>-19689.514350742</v>
      </c>
      <c r="BF274" s="73" t="n">
        <f aca="false">BF271+BF272+BF273</f>
        <v>-19689.514350742</v>
      </c>
      <c r="BG274" s="73" t="n">
        <f aca="false">BG271+BG272+BG273</f>
        <v>-19689.514350742</v>
      </c>
      <c r="BH274" s="73" t="n">
        <f aca="false">BH271+BH272+BH273</f>
        <v>-19689.514350742</v>
      </c>
      <c r="BI274" s="73" t="n">
        <f aca="false">BI271+BI272+BI273</f>
        <v>-19689.514350742</v>
      </c>
      <c r="BJ274" s="73" t="n">
        <f aca="false">BJ271+BJ272+BJ273</f>
        <v>-15800.9708038643</v>
      </c>
    </row>
    <row r="275" customFormat="false" ht="15" hidden="false" customHeight="false" outlineLevel="0" collapsed="false">
      <c r="A275" s="113" t="s">
        <v>45</v>
      </c>
      <c r="C275" s="68" t="n">
        <f aca="false">C266+C274</f>
        <v>10256.0472</v>
      </c>
      <c r="D275" s="68" t="n">
        <f aca="false">D266+D274</f>
        <v>11965.3884</v>
      </c>
      <c r="E275" s="68" t="n">
        <f aca="false">E266+E274</f>
        <v>17436.4661333333</v>
      </c>
      <c r="F275" s="68" t="n">
        <f aca="false">F266+F274</f>
        <v>19616.0244</v>
      </c>
      <c r="G275" s="68" t="n">
        <f aca="false">G266+G274</f>
        <v>21795.5826666667</v>
      </c>
      <c r="H275" s="68" t="n">
        <f aca="false">H266+H274</f>
        <v>21795.5826666667</v>
      </c>
      <c r="I275" s="68" t="n">
        <f aca="false">I266+I274</f>
        <v>21795.5826666667</v>
      </c>
      <c r="J275" s="68" t="n">
        <f aca="false">J266+J274</f>
        <v>21795.5826666667</v>
      </c>
      <c r="K275" s="68" t="n">
        <f aca="false">K266+K274</f>
        <v>21795.5826666667</v>
      </c>
      <c r="L275" s="68" t="n">
        <f aca="false">L266+L274</f>
        <v>21795.5826666667</v>
      </c>
      <c r="M275" s="68" t="n">
        <f aca="false">M266+M274</f>
        <v>21795.5826666667</v>
      </c>
      <c r="N275" s="68" t="n">
        <f aca="false">N266+N274</f>
        <v>17093.412</v>
      </c>
      <c r="O275" s="68" t="n">
        <f aca="false">O266+O274</f>
        <v>18837.639184</v>
      </c>
      <c r="P275" s="68" t="n">
        <f aca="false">P266+P274</f>
        <v>18837.639184</v>
      </c>
      <c r="Q275" s="68" t="n">
        <f aca="false">Q266+Q274</f>
        <v>23975.537712</v>
      </c>
      <c r="R275" s="68" t="n">
        <f aca="false">R266+R274</f>
        <v>23975.537712</v>
      </c>
      <c r="S275" s="68" t="n">
        <f aca="false">S266+S274</f>
        <v>23975.537712</v>
      </c>
      <c r="T275" s="68" t="n">
        <f aca="false">T266+T274</f>
        <v>23975.537712</v>
      </c>
      <c r="U275" s="68" t="n">
        <f aca="false">U266+U274</f>
        <v>23975.537712</v>
      </c>
      <c r="V275" s="68" t="n">
        <f aca="false">V266+V274</f>
        <v>23975.537712</v>
      </c>
      <c r="W275" s="68" t="n">
        <f aca="false">W266+W274</f>
        <v>23975.537712</v>
      </c>
      <c r="X275" s="68" t="n">
        <f aca="false">X266+X274</f>
        <v>23975.537712</v>
      </c>
      <c r="Y275" s="68" t="n">
        <f aca="false">Y266+Y274</f>
        <v>23975.537712</v>
      </c>
      <c r="Z275" s="68" t="n">
        <f aca="false">Z266+Z274</f>
        <v>18837.639184</v>
      </c>
      <c r="AA275" s="68" t="n">
        <f aca="false">AA266+AA274</f>
        <v>20766.660677728</v>
      </c>
      <c r="AB275" s="68" t="n">
        <f aca="false">AB266+AB274</f>
        <v>20766.660677728</v>
      </c>
      <c r="AC275" s="68" t="n">
        <f aca="false">AC266+AC274</f>
        <v>26380.612552504</v>
      </c>
      <c r="AD275" s="68" t="n">
        <f aca="false">AD266+AD274</f>
        <v>26380.612552504</v>
      </c>
      <c r="AE275" s="68" t="n">
        <f aca="false">AE266+AE274</f>
        <v>26380.612552504</v>
      </c>
      <c r="AF275" s="68" t="n">
        <f aca="false">AF266+AF274</f>
        <v>26380.612552504</v>
      </c>
      <c r="AG275" s="68" t="n">
        <f aca="false">AG266+AG274</f>
        <v>26380.612552504</v>
      </c>
      <c r="AH275" s="68" t="n">
        <f aca="false">AH266+AH274</f>
        <v>26380.612552504</v>
      </c>
      <c r="AI275" s="68" t="n">
        <f aca="false">AI266+AI274</f>
        <v>26380.612552504</v>
      </c>
      <c r="AJ275" s="68" t="n">
        <f aca="false">AJ266+AJ274</f>
        <v>26380.612552504</v>
      </c>
      <c r="AK275" s="68" t="n">
        <f aca="false">AK266+AK274</f>
        <v>26380.612552504</v>
      </c>
      <c r="AL275" s="68" t="n">
        <f aca="false">AL266+AL274</f>
        <v>20766.660677728</v>
      </c>
      <c r="AM275" s="68" t="n">
        <f aca="false">AM266+AM274</f>
        <v>22900.9633038215</v>
      </c>
      <c r="AN275" s="68" t="n">
        <f aca="false">AN266+AN274</f>
        <v>22900.9633038215</v>
      </c>
      <c r="AO275" s="68" t="n">
        <f aca="false">AO266+AO274</f>
        <v>29035.0221427947</v>
      </c>
      <c r="AP275" s="68" t="n">
        <f aca="false">AP266+AP274</f>
        <v>29035.0221427947</v>
      </c>
      <c r="AQ275" s="68" t="n">
        <f aca="false">AQ266+AQ274</f>
        <v>29035.0221427947</v>
      </c>
      <c r="AR275" s="68" t="n">
        <f aca="false">AR266+AR274</f>
        <v>29035.0221427947</v>
      </c>
      <c r="AS275" s="68" t="n">
        <f aca="false">AS266+AS274</f>
        <v>29035.0221427947</v>
      </c>
      <c r="AT275" s="68" t="n">
        <f aca="false">AT266+AT274</f>
        <v>29035.0221427947</v>
      </c>
      <c r="AU275" s="68" t="n">
        <f aca="false">AU266+AU274</f>
        <v>29035.0221427947</v>
      </c>
      <c r="AV275" s="68" t="n">
        <f aca="false">AV266+AV274</f>
        <v>29035.0221427947</v>
      </c>
      <c r="AW275" s="68" t="n">
        <f aca="false">AW266+AW274</f>
        <v>29035.0221427947</v>
      </c>
      <c r="AX275" s="68" t="n">
        <f aca="false">AX266+AX274</f>
        <v>22900.9633038215</v>
      </c>
      <c r="AY275" s="68" t="n">
        <f aca="false">AY266+AY274</f>
        <v>25263.4209227543</v>
      </c>
      <c r="AZ275" s="68" t="n">
        <f aca="false">AZ266+AZ274</f>
        <v>25263.4209227543</v>
      </c>
      <c r="BA275" s="68" t="n">
        <f aca="false">BA266+BA274</f>
        <v>31965.7128502492</v>
      </c>
      <c r="BB275" s="68" t="n">
        <f aca="false">BB266+BB274</f>
        <v>31965.7128502492</v>
      </c>
      <c r="BC275" s="68" t="n">
        <f aca="false">BC266+BC274</f>
        <v>31965.7128502492</v>
      </c>
      <c r="BD275" s="68" t="n">
        <f aca="false">BD266+BD274</f>
        <v>31965.7128502492</v>
      </c>
      <c r="BE275" s="68" t="n">
        <f aca="false">BE266+BE274</f>
        <v>31965.7128502492</v>
      </c>
      <c r="BF275" s="68" t="n">
        <f aca="false">BF266+BF274</f>
        <v>31965.7128502492</v>
      </c>
      <c r="BG275" s="68" t="n">
        <f aca="false">BG266+BG274</f>
        <v>31965.7128502492</v>
      </c>
      <c r="BH275" s="68" t="n">
        <f aca="false">BH266+BH274</f>
        <v>31965.7128502492</v>
      </c>
      <c r="BI275" s="68" t="n">
        <f aca="false">BI266+BI274</f>
        <v>31965.7128502492</v>
      </c>
      <c r="BJ275" s="68" t="n">
        <f aca="false">BJ266+BJ274</f>
        <v>25263.4209227543</v>
      </c>
    </row>
    <row r="277" customFormat="false" ht="15.75" hidden="false" customHeight="true" outlineLevel="0" collapsed="false">
      <c r="A277" s="7" t="s">
        <v>47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</row>
    <row r="278" customFormat="false" ht="15" hidden="false" customHeight="false" outlineLevel="0" collapsed="false">
      <c r="A278" s="6" t="s">
        <v>332</v>
      </c>
      <c r="C278" s="67" t="n">
        <f aca="false">C361</f>
        <v>-9874.66666666667</v>
      </c>
      <c r="D278" s="67" t="n">
        <f aca="false">D361</f>
        <v>-9874.66666666667</v>
      </c>
      <c r="E278" s="67" t="n">
        <f aca="false">E361</f>
        <v>-9874.66666666667</v>
      </c>
      <c r="F278" s="67" t="n">
        <f aca="false">F361</f>
        <v>-9874.66666666667</v>
      </c>
      <c r="G278" s="67" t="n">
        <f aca="false">G361</f>
        <v>-9874.66666666667</v>
      </c>
      <c r="H278" s="67" t="n">
        <f aca="false">H361</f>
        <v>-9874.66666666667</v>
      </c>
      <c r="I278" s="67" t="n">
        <f aca="false">I361</f>
        <v>-9874.66666666667</v>
      </c>
      <c r="J278" s="67" t="n">
        <f aca="false">J361</f>
        <v>-9874.66666666667</v>
      </c>
      <c r="K278" s="67" t="n">
        <f aca="false">K361</f>
        <v>-9874.66666666667</v>
      </c>
      <c r="L278" s="67" t="n">
        <f aca="false">L361</f>
        <v>-9874.66666666667</v>
      </c>
      <c r="M278" s="67" t="n">
        <f aca="false">M361</f>
        <v>-9874.66666666667</v>
      </c>
      <c r="N278" s="67" t="n">
        <f aca="false">N361</f>
        <v>-9874.66666666667</v>
      </c>
      <c r="O278" s="67" t="n">
        <f aca="false">O361</f>
        <v>-10170.9066666667</v>
      </c>
      <c r="P278" s="67" t="n">
        <f aca="false">P361</f>
        <v>-10170.9066666667</v>
      </c>
      <c r="Q278" s="67" t="n">
        <f aca="false">Q361</f>
        <v>-10170.9066666667</v>
      </c>
      <c r="R278" s="67" t="n">
        <f aca="false">R361</f>
        <v>-10170.9066666667</v>
      </c>
      <c r="S278" s="67" t="n">
        <f aca="false">S361</f>
        <v>-10170.9066666667</v>
      </c>
      <c r="T278" s="67" t="n">
        <f aca="false">T361</f>
        <v>-10170.9066666667</v>
      </c>
      <c r="U278" s="67" t="n">
        <f aca="false">U361</f>
        <v>-10170.9066666667</v>
      </c>
      <c r="V278" s="67" t="n">
        <f aca="false">V361</f>
        <v>-10170.9066666667</v>
      </c>
      <c r="W278" s="67" t="n">
        <f aca="false">W361</f>
        <v>-10170.9066666667</v>
      </c>
      <c r="X278" s="67" t="n">
        <f aca="false">X361</f>
        <v>-10170.9066666667</v>
      </c>
      <c r="Y278" s="67" t="n">
        <f aca="false">Y361</f>
        <v>-10170.9066666667</v>
      </c>
      <c r="Z278" s="67" t="n">
        <f aca="false">Z361</f>
        <v>-10170.9066666667</v>
      </c>
      <c r="AA278" s="67" t="n">
        <f aca="false">AA361</f>
        <v>-10476.0338666667</v>
      </c>
      <c r="AB278" s="67" t="n">
        <f aca="false">AB361</f>
        <v>-10476.0338666667</v>
      </c>
      <c r="AC278" s="67" t="n">
        <f aca="false">AC361</f>
        <v>-10476.0338666667</v>
      </c>
      <c r="AD278" s="67" t="n">
        <f aca="false">AD361</f>
        <v>-10476.0338666667</v>
      </c>
      <c r="AE278" s="67" t="n">
        <f aca="false">AE361</f>
        <v>-10476.0338666667</v>
      </c>
      <c r="AF278" s="67" t="n">
        <f aca="false">AF361</f>
        <v>-10476.0338666667</v>
      </c>
      <c r="AG278" s="67" t="n">
        <f aca="false">AG361</f>
        <v>-10476.0338666667</v>
      </c>
      <c r="AH278" s="67" t="n">
        <f aca="false">AH361</f>
        <v>-10476.0338666667</v>
      </c>
      <c r="AI278" s="67" t="n">
        <f aca="false">AI361</f>
        <v>-10476.0338666667</v>
      </c>
      <c r="AJ278" s="67" t="n">
        <f aca="false">AJ361</f>
        <v>-10476.0338666667</v>
      </c>
      <c r="AK278" s="67" t="n">
        <f aca="false">AK361</f>
        <v>-10476.0338666667</v>
      </c>
      <c r="AL278" s="67" t="n">
        <f aca="false">AL361</f>
        <v>-10476.0338666667</v>
      </c>
      <c r="AM278" s="67" t="n">
        <f aca="false">AM361</f>
        <v>-10790.3148826667</v>
      </c>
      <c r="AN278" s="67" t="n">
        <f aca="false">AN361</f>
        <v>-10790.3148826667</v>
      </c>
      <c r="AO278" s="67" t="n">
        <f aca="false">AO361</f>
        <v>-10790.3148826667</v>
      </c>
      <c r="AP278" s="67" t="n">
        <f aca="false">AP361</f>
        <v>-10790.3148826667</v>
      </c>
      <c r="AQ278" s="67" t="n">
        <f aca="false">AQ361</f>
        <v>-10790.3148826667</v>
      </c>
      <c r="AR278" s="67" t="n">
        <f aca="false">AR361</f>
        <v>-10790.3148826667</v>
      </c>
      <c r="AS278" s="67" t="n">
        <f aca="false">AS361</f>
        <v>-10790.3148826667</v>
      </c>
      <c r="AT278" s="67" t="n">
        <f aca="false">AT361</f>
        <v>-10790.3148826667</v>
      </c>
      <c r="AU278" s="67" t="n">
        <f aca="false">AU361</f>
        <v>-10790.3148826667</v>
      </c>
      <c r="AV278" s="67" t="n">
        <f aca="false">AV361</f>
        <v>-10790.3148826667</v>
      </c>
      <c r="AW278" s="67" t="n">
        <f aca="false">AW361</f>
        <v>-10790.3148826667</v>
      </c>
      <c r="AX278" s="67" t="n">
        <f aca="false">AX361</f>
        <v>-10790.3148826667</v>
      </c>
      <c r="AY278" s="67" t="n">
        <f aca="false">AY361</f>
        <v>-11114.0243291467</v>
      </c>
      <c r="AZ278" s="67" t="n">
        <f aca="false">AZ361</f>
        <v>-11114.0243291467</v>
      </c>
      <c r="BA278" s="67" t="n">
        <f aca="false">BA361</f>
        <v>-11114.0243291467</v>
      </c>
      <c r="BB278" s="67" t="n">
        <f aca="false">BB361</f>
        <v>-11114.0243291467</v>
      </c>
      <c r="BC278" s="67" t="n">
        <f aca="false">BC361</f>
        <v>-11114.0243291467</v>
      </c>
      <c r="BD278" s="67" t="n">
        <f aca="false">BD361</f>
        <v>-11114.0243291467</v>
      </c>
      <c r="BE278" s="67" t="n">
        <f aca="false">BE361</f>
        <v>-11114.0243291467</v>
      </c>
      <c r="BF278" s="67" t="n">
        <f aca="false">BF361</f>
        <v>-11114.0243291467</v>
      </c>
      <c r="BG278" s="67" t="n">
        <f aca="false">BG361</f>
        <v>-11114.0243291467</v>
      </c>
      <c r="BH278" s="67" t="n">
        <f aca="false">BH361</f>
        <v>-11114.0243291467</v>
      </c>
      <c r="BI278" s="67" t="n">
        <f aca="false">BI361</f>
        <v>-11114.0243291467</v>
      </c>
      <c r="BJ278" s="67" t="n">
        <f aca="false">BJ361</f>
        <v>-11114.0243291467</v>
      </c>
    </row>
    <row r="279" customFormat="false" ht="15" hidden="false" customHeight="false" outlineLevel="0" collapsed="false">
      <c r="A279" s="6" t="s">
        <v>333</v>
      </c>
      <c r="C279" s="67" t="n">
        <f aca="false">-Inputs!$D$37*C250*(1+Inputs!$D$34)^(C$247-1)*1</f>
        <v>-850</v>
      </c>
      <c r="D279" s="67" t="n">
        <f aca="false">-Inputs!$D$37*D250*(1+Inputs!$D$34)^(D$247-1)*1</f>
        <v>-850</v>
      </c>
      <c r="E279" s="67" t="n">
        <f aca="false">-Inputs!$D$37*E250*(1+Inputs!$D$34)^(E$247-1)*1</f>
        <v>-850</v>
      </c>
      <c r="F279" s="67" t="n">
        <f aca="false">-Inputs!$D$37*F250*(1+Inputs!$D$34)^(F$247-1)*1</f>
        <v>-850</v>
      </c>
      <c r="G279" s="67" t="n">
        <f aca="false">-Inputs!$D$37*G250*(1+Inputs!$D$34)^(G$247-1)*1</f>
        <v>-850</v>
      </c>
      <c r="H279" s="67" t="n">
        <f aca="false">-Inputs!$D$37*H250*(1+Inputs!$D$34)^(H$247-1)*1</f>
        <v>-850</v>
      </c>
      <c r="I279" s="67" t="n">
        <f aca="false">-Inputs!$D$37*I250*(1+Inputs!$D$34)^(I$247-1)*1</f>
        <v>-850</v>
      </c>
      <c r="J279" s="67" t="n">
        <f aca="false">-Inputs!$D$37*J250*(1+Inputs!$D$34)^(J$247-1)*1</f>
        <v>-850</v>
      </c>
      <c r="K279" s="67" t="n">
        <f aca="false">-Inputs!$D$37*K250*(1+Inputs!$D$34)^(K$247-1)*1</f>
        <v>-850</v>
      </c>
      <c r="L279" s="67" t="n">
        <f aca="false">-Inputs!$D$37*L250*(1+Inputs!$D$34)^(L$247-1)*1</f>
        <v>-850</v>
      </c>
      <c r="M279" s="67" t="n">
        <f aca="false">-Inputs!$D$37*M250*(1+Inputs!$D$34)^(M$247-1)*1</f>
        <v>-850</v>
      </c>
      <c r="N279" s="67" t="n">
        <f aca="false">-Inputs!$D$37*N250*(1+Inputs!$D$34)^(N$247-1)*1</f>
        <v>-850</v>
      </c>
      <c r="O279" s="67" t="n">
        <f aca="false">-Inputs!$D$37*O250*(1+Inputs!$D$34)^(O$247-1)*1</f>
        <v>-871.25</v>
      </c>
      <c r="P279" s="67" t="n">
        <f aca="false">-Inputs!$D$37*P250*(1+Inputs!$D$34)^(P$247-1)*1</f>
        <v>-871.25</v>
      </c>
      <c r="Q279" s="67" t="n">
        <f aca="false">-Inputs!$D$37*Q250*(1+Inputs!$D$34)^(Q$247-1)*1</f>
        <v>-871.25</v>
      </c>
      <c r="R279" s="67" t="n">
        <f aca="false">-Inputs!$D$37*R250*(1+Inputs!$D$34)^(R$247-1)*1</f>
        <v>-871.25</v>
      </c>
      <c r="S279" s="67" t="n">
        <f aca="false">-Inputs!$D$37*S250*(1+Inputs!$D$34)^(S$247-1)*1</f>
        <v>-871.25</v>
      </c>
      <c r="T279" s="67" t="n">
        <f aca="false">-Inputs!$D$37*T250*(1+Inputs!$D$34)^(T$247-1)*1</f>
        <v>-871.25</v>
      </c>
      <c r="U279" s="67" t="n">
        <f aca="false">-Inputs!$D$37*U250*(1+Inputs!$D$34)^(U$247-1)*1</f>
        <v>-871.25</v>
      </c>
      <c r="V279" s="67" t="n">
        <f aca="false">-Inputs!$D$37*V250*(1+Inputs!$D$34)^(V$247-1)*1</f>
        <v>-871.25</v>
      </c>
      <c r="W279" s="67" t="n">
        <f aca="false">-Inputs!$D$37*W250*(1+Inputs!$D$34)^(W$247-1)*1</f>
        <v>-871.25</v>
      </c>
      <c r="X279" s="67" t="n">
        <f aca="false">-Inputs!$D$37*X250*(1+Inputs!$D$34)^(X$247-1)*1</f>
        <v>-871.25</v>
      </c>
      <c r="Y279" s="67" t="n">
        <f aca="false">-Inputs!$D$37*Y250*(1+Inputs!$D$34)^(Y$247-1)*1</f>
        <v>-871.25</v>
      </c>
      <c r="Z279" s="67" t="n">
        <f aca="false">-Inputs!$D$37*Z250*(1+Inputs!$D$34)^(Z$247-1)*1</f>
        <v>-871.25</v>
      </c>
      <c r="AA279" s="67" t="n">
        <f aca="false">-Inputs!$D$37*AA250*(1+Inputs!$D$34)^(AA$247-1)*1</f>
        <v>-893.03125</v>
      </c>
      <c r="AB279" s="67" t="n">
        <f aca="false">-Inputs!$D$37*AB250*(1+Inputs!$D$34)^(AB$247-1)*1</f>
        <v>-893.03125</v>
      </c>
      <c r="AC279" s="67" t="n">
        <f aca="false">-Inputs!$D$37*AC250*(1+Inputs!$D$34)^(AC$247-1)*1</f>
        <v>-893.03125</v>
      </c>
      <c r="AD279" s="67" t="n">
        <f aca="false">-Inputs!$D$37*AD250*(1+Inputs!$D$34)^(AD$247-1)*1</f>
        <v>-893.03125</v>
      </c>
      <c r="AE279" s="67" t="n">
        <f aca="false">-Inputs!$D$37*AE250*(1+Inputs!$D$34)^(AE$247-1)*1</f>
        <v>-893.03125</v>
      </c>
      <c r="AF279" s="67" t="n">
        <f aca="false">-Inputs!$D$37*AF250*(1+Inputs!$D$34)^(AF$247-1)*1</f>
        <v>-893.03125</v>
      </c>
      <c r="AG279" s="67" t="n">
        <f aca="false">-Inputs!$D$37*AG250*(1+Inputs!$D$34)^(AG$247-1)*1</f>
        <v>-893.03125</v>
      </c>
      <c r="AH279" s="67" t="n">
        <f aca="false">-Inputs!$D$37*AH250*(1+Inputs!$D$34)^(AH$247-1)*1</f>
        <v>-893.03125</v>
      </c>
      <c r="AI279" s="67" t="n">
        <f aca="false">-Inputs!$D$37*AI250*(1+Inputs!$D$34)^(AI$247-1)*1</f>
        <v>-893.03125</v>
      </c>
      <c r="AJ279" s="67" t="n">
        <f aca="false">-Inputs!$D$37*AJ250*(1+Inputs!$D$34)^(AJ$247-1)*1</f>
        <v>-893.03125</v>
      </c>
      <c r="AK279" s="67" t="n">
        <f aca="false">-Inputs!$D$37*AK250*(1+Inputs!$D$34)^(AK$247-1)*1</f>
        <v>-893.03125</v>
      </c>
      <c r="AL279" s="67" t="n">
        <f aca="false">-Inputs!$D$37*AL250*(1+Inputs!$D$34)^(AL$247-1)*1</f>
        <v>-893.03125</v>
      </c>
      <c r="AM279" s="67" t="n">
        <f aca="false">-Inputs!$D$37*AM250*(1+Inputs!$D$34)^(AM$247-1)*1</f>
        <v>-915.35703125</v>
      </c>
      <c r="AN279" s="67" t="n">
        <f aca="false">-Inputs!$D$37*AN250*(1+Inputs!$D$34)^(AN$247-1)*1</f>
        <v>-915.35703125</v>
      </c>
      <c r="AO279" s="67" t="n">
        <f aca="false">-Inputs!$D$37*AO250*(1+Inputs!$D$34)^(AO$247-1)*1</f>
        <v>-915.35703125</v>
      </c>
      <c r="AP279" s="67" t="n">
        <f aca="false">-Inputs!$D$37*AP250*(1+Inputs!$D$34)^(AP$247-1)*1</f>
        <v>-915.35703125</v>
      </c>
      <c r="AQ279" s="67" t="n">
        <f aca="false">-Inputs!$D$37*AQ250*(1+Inputs!$D$34)^(AQ$247-1)*1</f>
        <v>-915.35703125</v>
      </c>
      <c r="AR279" s="67" t="n">
        <f aca="false">-Inputs!$D$37*AR250*(1+Inputs!$D$34)^(AR$247-1)*1</f>
        <v>-915.35703125</v>
      </c>
      <c r="AS279" s="67" t="n">
        <f aca="false">-Inputs!$D$37*AS250*(1+Inputs!$D$34)^(AS$247-1)*1</f>
        <v>-915.35703125</v>
      </c>
      <c r="AT279" s="67" t="n">
        <f aca="false">-Inputs!$D$37*AT250*(1+Inputs!$D$34)^(AT$247-1)*1</f>
        <v>-915.35703125</v>
      </c>
      <c r="AU279" s="67" t="n">
        <f aca="false">-Inputs!$D$37*AU250*(1+Inputs!$D$34)^(AU$247-1)*1</f>
        <v>-915.35703125</v>
      </c>
      <c r="AV279" s="67" t="n">
        <f aca="false">-Inputs!$D$37*AV250*(1+Inputs!$D$34)^(AV$247-1)*1</f>
        <v>-915.35703125</v>
      </c>
      <c r="AW279" s="67" t="n">
        <f aca="false">-Inputs!$D$37*AW250*(1+Inputs!$D$34)^(AW$247-1)*1</f>
        <v>-915.35703125</v>
      </c>
      <c r="AX279" s="67" t="n">
        <f aca="false">-Inputs!$D$37*AX250*(1+Inputs!$D$34)^(AX$247-1)*1</f>
        <v>-915.35703125</v>
      </c>
      <c r="AY279" s="67" t="n">
        <f aca="false">-Inputs!$D$37*AY250*(1+Inputs!$D$34)^(AY$247-1)*1</f>
        <v>-938.24095703125</v>
      </c>
      <c r="AZ279" s="67" t="n">
        <f aca="false">-Inputs!$D$37*AZ250*(1+Inputs!$D$34)^(AZ$247-1)*1</f>
        <v>-938.24095703125</v>
      </c>
      <c r="BA279" s="67" t="n">
        <f aca="false">-Inputs!$D$37*BA250*(1+Inputs!$D$34)^(BA$247-1)*1</f>
        <v>-938.24095703125</v>
      </c>
      <c r="BB279" s="67" t="n">
        <f aca="false">-Inputs!$D$37*BB250*(1+Inputs!$D$34)^(BB$247-1)*1</f>
        <v>-938.24095703125</v>
      </c>
      <c r="BC279" s="67" t="n">
        <f aca="false">-Inputs!$D$37*BC250*(1+Inputs!$D$34)^(BC$247-1)*1</f>
        <v>-938.24095703125</v>
      </c>
      <c r="BD279" s="67" t="n">
        <f aca="false">-Inputs!$D$37*BD250*(1+Inputs!$D$34)^(BD$247-1)*1</f>
        <v>-938.24095703125</v>
      </c>
      <c r="BE279" s="67" t="n">
        <f aca="false">-Inputs!$D$37*BE250*(1+Inputs!$D$34)^(BE$247-1)*1</f>
        <v>-938.24095703125</v>
      </c>
      <c r="BF279" s="67" t="n">
        <f aca="false">-Inputs!$D$37*BF250*(1+Inputs!$D$34)^(BF$247-1)*1</f>
        <v>-938.24095703125</v>
      </c>
      <c r="BG279" s="67" t="n">
        <f aca="false">-Inputs!$D$37*BG250*(1+Inputs!$D$34)^(BG$247-1)*1</f>
        <v>-938.24095703125</v>
      </c>
      <c r="BH279" s="67" t="n">
        <f aca="false">-Inputs!$D$37*BH250*(1+Inputs!$D$34)^(BH$247-1)*1</f>
        <v>-938.24095703125</v>
      </c>
      <c r="BI279" s="67" t="n">
        <f aca="false">-Inputs!$D$37*BI250*(1+Inputs!$D$34)^(BI$247-1)*1</f>
        <v>-938.24095703125</v>
      </c>
      <c r="BJ279" s="67" t="n">
        <f aca="false">-Inputs!$D$37*BJ250*(1+Inputs!$D$34)^(BJ$247-1)*1</f>
        <v>-938.24095703125</v>
      </c>
    </row>
    <row r="280" customFormat="false" ht="15" hidden="false" customHeight="false" outlineLevel="0" collapsed="false">
      <c r="A280" s="6" t="s">
        <v>334</v>
      </c>
      <c r="C280" s="67" t="n">
        <f aca="false">-Inputs!$D$38*C250*(1+Inputs!$D$34)^(C$247-1)*1</f>
        <v>-360</v>
      </c>
      <c r="D280" s="67" t="n">
        <f aca="false">-Inputs!$D$38*D250*(1+Inputs!$D$34)^(D$247-1)*1</f>
        <v>-360</v>
      </c>
      <c r="E280" s="67" t="n">
        <f aca="false">-Inputs!$D$38*E250*(1+Inputs!$D$34)^(E$247-1)*1</f>
        <v>-360</v>
      </c>
      <c r="F280" s="67" t="n">
        <f aca="false">-Inputs!$D$38*F250*(1+Inputs!$D$34)^(F$247-1)*1</f>
        <v>-360</v>
      </c>
      <c r="G280" s="67" t="n">
        <f aca="false">-Inputs!$D$38*G250*(1+Inputs!$D$34)^(G$247-1)*1</f>
        <v>-360</v>
      </c>
      <c r="H280" s="67" t="n">
        <f aca="false">-Inputs!$D$38*H250*(1+Inputs!$D$34)^(H$247-1)*1</f>
        <v>-360</v>
      </c>
      <c r="I280" s="67" t="n">
        <f aca="false">-Inputs!$D$38*I250*(1+Inputs!$D$34)^(I$247-1)*1</f>
        <v>-360</v>
      </c>
      <c r="J280" s="67" t="n">
        <f aca="false">-Inputs!$D$38*J250*(1+Inputs!$D$34)^(J$247-1)*1</f>
        <v>-360</v>
      </c>
      <c r="K280" s="67" t="n">
        <f aca="false">-Inputs!$D$38*K250*(1+Inputs!$D$34)^(K$247-1)*1</f>
        <v>-360</v>
      </c>
      <c r="L280" s="67" t="n">
        <f aca="false">-Inputs!$D$38*L250*(1+Inputs!$D$34)^(L$247-1)*1</f>
        <v>-360</v>
      </c>
      <c r="M280" s="67" t="n">
        <f aca="false">-Inputs!$D$38*M250*(1+Inputs!$D$34)^(M$247-1)*1</f>
        <v>-360</v>
      </c>
      <c r="N280" s="67" t="n">
        <f aca="false">-Inputs!$D$38*N250*(1+Inputs!$D$34)^(N$247-1)*1</f>
        <v>-360</v>
      </c>
      <c r="O280" s="67" t="n">
        <f aca="false">-Inputs!$D$38*O250*(1+Inputs!$D$34)^(O$247-1)*1</f>
        <v>-369</v>
      </c>
      <c r="P280" s="67" t="n">
        <f aca="false">-Inputs!$D$38*P250*(1+Inputs!$D$34)^(P$247-1)*1</f>
        <v>-369</v>
      </c>
      <c r="Q280" s="67" t="n">
        <f aca="false">-Inputs!$D$38*Q250*(1+Inputs!$D$34)^(Q$247-1)*1</f>
        <v>-369</v>
      </c>
      <c r="R280" s="67" t="n">
        <f aca="false">-Inputs!$D$38*R250*(1+Inputs!$D$34)^(R$247-1)*1</f>
        <v>-369</v>
      </c>
      <c r="S280" s="67" t="n">
        <f aca="false">-Inputs!$D$38*S250*(1+Inputs!$D$34)^(S$247-1)*1</f>
        <v>-369</v>
      </c>
      <c r="T280" s="67" t="n">
        <f aca="false">-Inputs!$D$38*T250*(1+Inputs!$D$34)^(T$247-1)*1</f>
        <v>-369</v>
      </c>
      <c r="U280" s="67" t="n">
        <f aca="false">-Inputs!$D$38*U250*(1+Inputs!$D$34)^(U$247-1)*1</f>
        <v>-369</v>
      </c>
      <c r="V280" s="67" t="n">
        <f aca="false">-Inputs!$D$38*V250*(1+Inputs!$D$34)^(V$247-1)*1</f>
        <v>-369</v>
      </c>
      <c r="W280" s="67" t="n">
        <f aca="false">-Inputs!$D$38*W250*(1+Inputs!$D$34)^(W$247-1)*1</f>
        <v>-369</v>
      </c>
      <c r="X280" s="67" t="n">
        <f aca="false">-Inputs!$D$38*X250*(1+Inputs!$D$34)^(X$247-1)*1</f>
        <v>-369</v>
      </c>
      <c r="Y280" s="67" t="n">
        <f aca="false">-Inputs!$D$38*Y250*(1+Inputs!$D$34)^(Y$247-1)*1</f>
        <v>-369</v>
      </c>
      <c r="Z280" s="67" t="n">
        <f aca="false">-Inputs!$D$38*Z250*(1+Inputs!$D$34)^(Z$247-1)*1</f>
        <v>-369</v>
      </c>
      <c r="AA280" s="67" t="n">
        <f aca="false">-Inputs!$D$38*AA250*(1+Inputs!$D$34)^(AA$247-1)*1</f>
        <v>-378.225</v>
      </c>
      <c r="AB280" s="67" t="n">
        <f aca="false">-Inputs!$D$38*AB250*(1+Inputs!$D$34)^(AB$247-1)*1</f>
        <v>-378.225</v>
      </c>
      <c r="AC280" s="67" t="n">
        <f aca="false">-Inputs!$D$38*AC250*(1+Inputs!$D$34)^(AC$247-1)*1</f>
        <v>-378.225</v>
      </c>
      <c r="AD280" s="67" t="n">
        <f aca="false">-Inputs!$D$38*AD250*(1+Inputs!$D$34)^(AD$247-1)*1</f>
        <v>-378.225</v>
      </c>
      <c r="AE280" s="67" t="n">
        <f aca="false">-Inputs!$D$38*AE250*(1+Inputs!$D$34)^(AE$247-1)*1</f>
        <v>-378.225</v>
      </c>
      <c r="AF280" s="67" t="n">
        <f aca="false">-Inputs!$D$38*AF250*(1+Inputs!$D$34)^(AF$247-1)*1</f>
        <v>-378.225</v>
      </c>
      <c r="AG280" s="67" t="n">
        <f aca="false">-Inputs!$D$38*AG250*(1+Inputs!$D$34)^(AG$247-1)*1</f>
        <v>-378.225</v>
      </c>
      <c r="AH280" s="67" t="n">
        <f aca="false">-Inputs!$D$38*AH250*(1+Inputs!$D$34)^(AH$247-1)*1</f>
        <v>-378.225</v>
      </c>
      <c r="AI280" s="67" t="n">
        <f aca="false">-Inputs!$D$38*AI250*(1+Inputs!$D$34)^(AI$247-1)*1</f>
        <v>-378.225</v>
      </c>
      <c r="AJ280" s="67" t="n">
        <f aca="false">-Inputs!$D$38*AJ250*(1+Inputs!$D$34)^(AJ$247-1)*1</f>
        <v>-378.225</v>
      </c>
      <c r="AK280" s="67" t="n">
        <f aca="false">-Inputs!$D$38*AK250*(1+Inputs!$D$34)^(AK$247-1)*1</f>
        <v>-378.225</v>
      </c>
      <c r="AL280" s="67" t="n">
        <f aca="false">-Inputs!$D$38*AL250*(1+Inputs!$D$34)^(AL$247-1)*1</f>
        <v>-378.225</v>
      </c>
      <c r="AM280" s="67" t="n">
        <f aca="false">-Inputs!$D$38*AM250*(1+Inputs!$D$34)^(AM$247-1)*1</f>
        <v>-387.680625</v>
      </c>
      <c r="AN280" s="67" t="n">
        <f aca="false">-Inputs!$D$38*AN250*(1+Inputs!$D$34)^(AN$247-1)*1</f>
        <v>-387.680625</v>
      </c>
      <c r="AO280" s="67" t="n">
        <f aca="false">-Inputs!$D$38*AO250*(1+Inputs!$D$34)^(AO$247-1)*1</f>
        <v>-387.680625</v>
      </c>
      <c r="AP280" s="67" t="n">
        <f aca="false">-Inputs!$D$38*AP250*(1+Inputs!$D$34)^(AP$247-1)*1</f>
        <v>-387.680625</v>
      </c>
      <c r="AQ280" s="67" t="n">
        <f aca="false">-Inputs!$D$38*AQ250*(1+Inputs!$D$34)^(AQ$247-1)*1</f>
        <v>-387.680625</v>
      </c>
      <c r="AR280" s="67" t="n">
        <f aca="false">-Inputs!$D$38*AR250*(1+Inputs!$D$34)^(AR$247-1)*1</f>
        <v>-387.680625</v>
      </c>
      <c r="AS280" s="67" t="n">
        <f aca="false">-Inputs!$D$38*AS250*(1+Inputs!$D$34)^(AS$247-1)*1</f>
        <v>-387.680625</v>
      </c>
      <c r="AT280" s="67" t="n">
        <f aca="false">-Inputs!$D$38*AT250*(1+Inputs!$D$34)^(AT$247-1)*1</f>
        <v>-387.680625</v>
      </c>
      <c r="AU280" s="67" t="n">
        <f aca="false">-Inputs!$D$38*AU250*(1+Inputs!$D$34)^(AU$247-1)*1</f>
        <v>-387.680625</v>
      </c>
      <c r="AV280" s="67" t="n">
        <f aca="false">-Inputs!$D$38*AV250*(1+Inputs!$D$34)^(AV$247-1)*1</f>
        <v>-387.680625</v>
      </c>
      <c r="AW280" s="67" t="n">
        <f aca="false">-Inputs!$D$38*AW250*(1+Inputs!$D$34)^(AW$247-1)*1</f>
        <v>-387.680625</v>
      </c>
      <c r="AX280" s="67" t="n">
        <f aca="false">-Inputs!$D$38*AX250*(1+Inputs!$D$34)^(AX$247-1)*1</f>
        <v>-387.680625</v>
      </c>
      <c r="AY280" s="67" t="n">
        <f aca="false">-Inputs!$D$38*AY250*(1+Inputs!$D$34)^(AY$247-1)*1</f>
        <v>-397.372640625</v>
      </c>
      <c r="AZ280" s="67" t="n">
        <f aca="false">-Inputs!$D$38*AZ250*(1+Inputs!$D$34)^(AZ$247-1)*1</f>
        <v>-397.372640625</v>
      </c>
      <c r="BA280" s="67" t="n">
        <f aca="false">-Inputs!$D$38*BA250*(1+Inputs!$D$34)^(BA$247-1)*1</f>
        <v>-397.372640625</v>
      </c>
      <c r="BB280" s="67" t="n">
        <f aca="false">-Inputs!$D$38*BB250*(1+Inputs!$D$34)^(BB$247-1)*1</f>
        <v>-397.372640625</v>
      </c>
      <c r="BC280" s="67" t="n">
        <f aca="false">-Inputs!$D$38*BC250*(1+Inputs!$D$34)^(BC$247-1)*1</f>
        <v>-397.372640625</v>
      </c>
      <c r="BD280" s="67" t="n">
        <f aca="false">-Inputs!$D$38*BD250*(1+Inputs!$D$34)^(BD$247-1)*1</f>
        <v>-397.372640625</v>
      </c>
      <c r="BE280" s="67" t="n">
        <f aca="false">-Inputs!$D$38*BE250*(1+Inputs!$D$34)^(BE$247-1)*1</f>
        <v>-397.372640625</v>
      </c>
      <c r="BF280" s="67" t="n">
        <f aca="false">-Inputs!$D$38*BF250*(1+Inputs!$D$34)^(BF$247-1)*1</f>
        <v>-397.372640625</v>
      </c>
      <c r="BG280" s="67" t="n">
        <f aca="false">-Inputs!$D$38*BG250*(1+Inputs!$D$34)^(BG$247-1)*1</f>
        <v>-397.372640625</v>
      </c>
      <c r="BH280" s="67" t="n">
        <f aca="false">-Inputs!$D$38*BH250*(1+Inputs!$D$34)^(BH$247-1)*1</f>
        <v>-397.372640625</v>
      </c>
      <c r="BI280" s="67" t="n">
        <f aca="false">-Inputs!$D$38*BI250*(1+Inputs!$D$34)^(BI$247-1)*1</f>
        <v>-397.372640625</v>
      </c>
      <c r="BJ280" s="67" t="n">
        <f aca="false">-Inputs!$D$38*BJ250*(1+Inputs!$D$34)^(BJ$247-1)*1</f>
        <v>-397.372640625</v>
      </c>
    </row>
    <row r="281" customFormat="false" ht="15" hidden="false" customHeight="false" outlineLevel="0" collapsed="false">
      <c r="A281" s="6" t="s">
        <v>335</v>
      </c>
      <c r="C281" s="67" t="n">
        <f aca="false">-Inputs!$D$39*C250*(1+Inputs!$D$34)^(C$247-1)*1</f>
        <v>-420</v>
      </c>
      <c r="D281" s="67" t="n">
        <f aca="false">-Inputs!$D$39*D250*(1+Inputs!$D$34)^(D$247-1)*1</f>
        <v>-420</v>
      </c>
      <c r="E281" s="67" t="n">
        <f aca="false">-Inputs!$D$39*E250*(1+Inputs!$D$34)^(E$247-1)*1</f>
        <v>-420</v>
      </c>
      <c r="F281" s="67" t="n">
        <f aca="false">-Inputs!$D$39*F250*(1+Inputs!$D$34)^(F$247-1)*1</f>
        <v>-420</v>
      </c>
      <c r="G281" s="67" t="n">
        <f aca="false">-Inputs!$D$39*G250*(1+Inputs!$D$34)^(G$247-1)*1</f>
        <v>-420</v>
      </c>
      <c r="H281" s="67" t="n">
        <f aca="false">-Inputs!$D$39*H250*(1+Inputs!$D$34)^(H$247-1)*1</f>
        <v>-420</v>
      </c>
      <c r="I281" s="67" t="n">
        <f aca="false">-Inputs!$D$39*I250*(1+Inputs!$D$34)^(I$247-1)*1</f>
        <v>-420</v>
      </c>
      <c r="J281" s="67" t="n">
        <f aca="false">-Inputs!$D$39*J250*(1+Inputs!$D$34)^(J$247-1)*1</f>
        <v>-420</v>
      </c>
      <c r="K281" s="67" t="n">
        <f aca="false">-Inputs!$D$39*K250*(1+Inputs!$D$34)^(K$247-1)*1</f>
        <v>-420</v>
      </c>
      <c r="L281" s="67" t="n">
        <f aca="false">-Inputs!$D$39*L250*(1+Inputs!$D$34)^(L$247-1)*1</f>
        <v>-420</v>
      </c>
      <c r="M281" s="67" t="n">
        <f aca="false">-Inputs!$D$39*M250*(1+Inputs!$D$34)^(M$247-1)*1</f>
        <v>-420</v>
      </c>
      <c r="N281" s="67" t="n">
        <f aca="false">-Inputs!$D$39*N250*(1+Inputs!$D$34)^(N$247-1)*1</f>
        <v>-420</v>
      </c>
      <c r="O281" s="67" t="n">
        <f aca="false">-Inputs!$D$39*O250*(1+Inputs!$D$34)^(O$247-1)*1</f>
        <v>-430.5</v>
      </c>
      <c r="P281" s="67" t="n">
        <f aca="false">-Inputs!$D$39*P250*(1+Inputs!$D$34)^(P$247-1)*1</f>
        <v>-430.5</v>
      </c>
      <c r="Q281" s="67" t="n">
        <f aca="false">-Inputs!$D$39*Q250*(1+Inputs!$D$34)^(Q$247-1)*1</f>
        <v>-430.5</v>
      </c>
      <c r="R281" s="67" t="n">
        <f aca="false">-Inputs!$D$39*R250*(1+Inputs!$D$34)^(R$247-1)*1</f>
        <v>-430.5</v>
      </c>
      <c r="S281" s="67" t="n">
        <f aca="false">-Inputs!$D$39*S250*(1+Inputs!$D$34)^(S$247-1)*1</f>
        <v>-430.5</v>
      </c>
      <c r="T281" s="67" t="n">
        <f aca="false">-Inputs!$D$39*T250*(1+Inputs!$D$34)^(T$247-1)*1</f>
        <v>-430.5</v>
      </c>
      <c r="U281" s="67" t="n">
        <f aca="false">-Inputs!$D$39*U250*(1+Inputs!$D$34)^(U$247-1)*1</f>
        <v>-430.5</v>
      </c>
      <c r="V281" s="67" t="n">
        <f aca="false">-Inputs!$D$39*V250*(1+Inputs!$D$34)^(V$247-1)*1</f>
        <v>-430.5</v>
      </c>
      <c r="W281" s="67" t="n">
        <f aca="false">-Inputs!$D$39*W250*(1+Inputs!$D$34)^(W$247-1)*1</f>
        <v>-430.5</v>
      </c>
      <c r="X281" s="67" t="n">
        <f aca="false">-Inputs!$D$39*X250*(1+Inputs!$D$34)^(X$247-1)*1</f>
        <v>-430.5</v>
      </c>
      <c r="Y281" s="67" t="n">
        <f aca="false">-Inputs!$D$39*Y250*(1+Inputs!$D$34)^(Y$247-1)*1</f>
        <v>-430.5</v>
      </c>
      <c r="Z281" s="67" t="n">
        <f aca="false">-Inputs!$D$39*Z250*(1+Inputs!$D$34)^(Z$247-1)*1</f>
        <v>-430.5</v>
      </c>
      <c r="AA281" s="67" t="n">
        <f aca="false">-Inputs!$D$39*AA250*(1+Inputs!$D$34)^(AA$247-1)*1</f>
        <v>-441.2625</v>
      </c>
      <c r="AB281" s="67" t="n">
        <f aca="false">-Inputs!$D$39*AB250*(1+Inputs!$D$34)^(AB$247-1)*1</f>
        <v>-441.2625</v>
      </c>
      <c r="AC281" s="67" t="n">
        <f aca="false">-Inputs!$D$39*AC250*(1+Inputs!$D$34)^(AC$247-1)*1</f>
        <v>-441.2625</v>
      </c>
      <c r="AD281" s="67" t="n">
        <f aca="false">-Inputs!$D$39*AD250*(1+Inputs!$D$34)^(AD$247-1)*1</f>
        <v>-441.2625</v>
      </c>
      <c r="AE281" s="67" t="n">
        <f aca="false">-Inputs!$D$39*AE250*(1+Inputs!$D$34)^(AE$247-1)*1</f>
        <v>-441.2625</v>
      </c>
      <c r="AF281" s="67" t="n">
        <f aca="false">-Inputs!$D$39*AF250*(1+Inputs!$D$34)^(AF$247-1)*1</f>
        <v>-441.2625</v>
      </c>
      <c r="AG281" s="67" t="n">
        <f aca="false">-Inputs!$D$39*AG250*(1+Inputs!$D$34)^(AG$247-1)*1</f>
        <v>-441.2625</v>
      </c>
      <c r="AH281" s="67" t="n">
        <f aca="false">-Inputs!$D$39*AH250*(1+Inputs!$D$34)^(AH$247-1)*1</f>
        <v>-441.2625</v>
      </c>
      <c r="AI281" s="67" t="n">
        <f aca="false">-Inputs!$D$39*AI250*(1+Inputs!$D$34)^(AI$247-1)*1</f>
        <v>-441.2625</v>
      </c>
      <c r="AJ281" s="67" t="n">
        <f aca="false">-Inputs!$D$39*AJ250*(1+Inputs!$D$34)^(AJ$247-1)*1</f>
        <v>-441.2625</v>
      </c>
      <c r="AK281" s="67" t="n">
        <f aca="false">-Inputs!$D$39*AK250*(1+Inputs!$D$34)^(AK$247-1)*1</f>
        <v>-441.2625</v>
      </c>
      <c r="AL281" s="67" t="n">
        <f aca="false">-Inputs!$D$39*AL250*(1+Inputs!$D$34)^(AL$247-1)*1</f>
        <v>-441.2625</v>
      </c>
      <c r="AM281" s="67" t="n">
        <f aca="false">-Inputs!$D$39*AM250*(1+Inputs!$D$34)^(AM$247-1)*1</f>
        <v>-452.2940625</v>
      </c>
      <c r="AN281" s="67" t="n">
        <f aca="false">-Inputs!$D$39*AN250*(1+Inputs!$D$34)^(AN$247-1)*1</f>
        <v>-452.2940625</v>
      </c>
      <c r="AO281" s="67" t="n">
        <f aca="false">-Inputs!$D$39*AO250*(1+Inputs!$D$34)^(AO$247-1)*1</f>
        <v>-452.2940625</v>
      </c>
      <c r="AP281" s="67" t="n">
        <f aca="false">-Inputs!$D$39*AP250*(1+Inputs!$D$34)^(AP$247-1)*1</f>
        <v>-452.2940625</v>
      </c>
      <c r="AQ281" s="67" t="n">
        <f aca="false">-Inputs!$D$39*AQ250*(1+Inputs!$D$34)^(AQ$247-1)*1</f>
        <v>-452.2940625</v>
      </c>
      <c r="AR281" s="67" t="n">
        <f aca="false">-Inputs!$D$39*AR250*(1+Inputs!$D$34)^(AR$247-1)*1</f>
        <v>-452.2940625</v>
      </c>
      <c r="AS281" s="67" t="n">
        <f aca="false">-Inputs!$D$39*AS250*(1+Inputs!$D$34)^(AS$247-1)*1</f>
        <v>-452.2940625</v>
      </c>
      <c r="AT281" s="67" t="n">
        <f aca="false">-Inputs!$D$39*AT250*(1+Inputs!$D$34)^(AT$247-1)*1</f>
        <v>-452.2940625</v>
      </c>
      <c r="AU281" s="67" t="n">
        <f aca="false">-Inputs!$D$39*AU250*(1+Inputs!$D$34)^(AU$247-1)*1</f>
        <v>-452.2940625</v>
      </c>
      <c r="AV281" s="67" t="n">
        <f aca="false">-Inputs!$D$39*AV250*(1+Inputs!$D$34)^(AV$247-1)*1</f>
        <v>-452.2940625</v>
      </c>
      <c r="AW281" s="67" t="n">
        <f aca="false">-Inputs!$D$39*AW250*(1+Inputs!$D$34)^(AW$247-1)*1</f>
        <v>-452.2940625</v>
      </c>
      <c r="AX281" s="67" t="n">
        <f aca="false">-Inputs!$D$39*AX250*(1+Inputs!$D$34)^(AX$247-1)*1</f>
        <v>-452.2940625</v>
      </c>
      <c r="AY281" s="67" t="n">
        <f aca="false">-Inputs!$D$39*AY250*(1+Inputs!$D$34)^(AY$247-1)*1</f>
        <v>-463.6014140625</v>
      </c>
      <c r="AZ281" s="67" t="n">
        <f aca="false">-Inputs!$D$39*AZ250*(1+Inputs!$D$34)^(AZ$247-1)*1</f>
        <v>-463.6014140625</v>
      </c>
      <c r="BA281" s="67" t="n">
        <f aca="false">-Inputs!$D$39*BA250*(1+Inputs!$D$34)^(BA$247-1)*1</f>
        <v>-463.6014140625</v>
      </c>
      <c r="BB281" s="67" t="n">
        <f aca="false">-Inputs!$D$39*BB250*(1+Inputs!$D$34)^(BB$247-1)*1</f>
        <v>-463.6014140625</v>
      </c>
      <c r="BC281" s="67" t="n">
        <f aca="false">-Inputs!$D$39*BC250*(1+Inputs!$D$34)^(BC$247-1)*1</f>
        <v>-463.6014140625</v>
      </c>
      <c r="BD281" s="67" t="n">
        <f aca="false">-Inputs!$D$39*BD250*(1+Inputs!$D$34)^(BD$247-1)*1</f>
        <v>-463.6014140625</v>
      </c>
      <c r="BE281" s="67" t="n">
        <f aca="false">-Inputs!$D$39*BE250*(1+Inputs!$D$34)^(BE$247-1)*1</f>
        <v>-463.6014140625</v>
      </c>
      <c r="BF281" s="67" t="n">
        <f aca="false">-Inputs!$D$39*BF250*(1+Inputs!$D$34)^(BF$247-1)*1</f>
        <v>-463.6014140625</v>
      </c>
      <c r="BG281" s="67" t="n">
        <f aca="false">-Inputs!$D$39*BG250*(1+Inputs!$D$34)^(BG$247-1)*1</f>
        <v>-463.6014140625</v>
      </c>
      <c r="BH281" s="67" t="n">
        <f aca="false">-Inputs!$D$39*BH250*(1+Inputs!$D$34)^(BH$247-1)*1</f>
        <v>-463.6014140625</v>
      </c>
      <c r="BI281" s="67" t="n">
        <f aca="false">-Inputs!$D$39*BI250*(1+Inputs!$D$34)^(BI$247-1)*1</f>
        <v>-463.6014140625</v>
      </c>
      <c r="BJ281" s="67" t="n">
        <f aca="false">-Inputs!$D$39*BJ250*(1+Inputs!$D$34)^(BJ$247-1)*1</f>
        <v>-463.6014140625</v>
      </c>
    </row>
    <row r="282" customFormat="false" ht="15" hidden="false" customHeight="false" outlineLevel="0" collapsed="false">
      <c r="A282" s="6" t="s">
        <v>336</v>
      </c>
      <c r="C282" s="67" t="n">
        <f aca="false">-Inputs!$D$40*C256*(1+Inputs!$D$34)^(C$247-1)</f>
        <v>-622.8</v>
      </c>
      <c r="D282" s="67" t="n">
        <f aca="false">-Inputs!$D$40*D256*(1+Inputs!$D$34)^(D$247-1)</f>
        <v>-635.4</v>
      </c>
      <c r="E282" s="67" t="n">
        <f aca="false">-Inputs!$D$40*E256*(1+Inputs!$D$34)^(E$247-1)</f>
        <v>-830.4</v>
      </c>
      <c r="F282" s="67" t="n">
        <f aca="false">-Inputs!$D$40*F256*(1+Inputs!$D$34)^(F$247-1)</f>
        <v>-843</v>
      </c>
      <c r="G282" s="67" t="n">
        <f aca="false">-Inputs!$D$40*G256*(1+Inputs!$D$34)^(G$247-1)</f>
        <v>-855.6</v>
      </c>
      <c r="H282" s="67" t="n">
        <f aca="false">-Inputs!$D$40*H256*(1+Inputs!$D$34)^(H$247-1)</f>
        <v>-855.6</v>
      </c>
      <c r="I282" s="67" t="n">
        <f aca="false">-Inputs!$D$40*I256*(1+Inputs!$D$34)^(I$247-1)</f>
        <v>-855.6</v>
      </c>
      <c r="J282" s="67" t="n">
        <f aca="false">-Inputs!$D$40*J256*(1+Inputs!$D$34)^(J$247-1)</f>
        <v>-855.6</v>
      </c>
      <c r="K282" s="67" t="n">
        <f aca="false">-Inputs!$D$40*K256*(1+Inputs!$D$34)^(K$247-1)</f>
        <v>-855.6</v>
      </c>
      <c r="L282" s="67" t="n">
        <f aca="false">-Inputs!$D$40*L256*(1+Inputs!$D$34)^(L$247-1)</f>
        <v>-855.6</v>
      </c>
      <c r="M282" s="67" t="n">
        <f aca="false">-Inputs!$D$40*M256*(1+Inputs!$D$34)^(M$247-1)</f>
        <v>-855.6</v>
      </c>
      <c r="N282" s="67" t="n">
        <f aca="false">-Inputs!$D$40*N256*(1+Inputs!$D$34)^(N$247-1)</f>
        <v>-673.2</v>
      </c>
      <c r="O282" s="67" t="n">
        <f aca="false">-Inputs!$D$40*O256*(1+Inputs!$D$34)^(O$247-1)</f>
        <v>-702.945</v>
      </c>
      <c r="P282" s="67" t="n">
        <f aca="false">-Inputs!$D$40*P256*(1+Inputs!$D$34)^(P$247-1)</f>
        <v>-702.945</v>
      </c>
      <c r="Q282" s="67" t="n">
        <f aca="false">-Inputs!$D$40*Q256*(1+Inputs!$D$34)^(Q$247-1)</f>
        <v>-889.905</v>
      </c>
      <c r="R282" s="67" t="n">
        <f aca="false">-Inputs!$D$40*R256*(1+Inputs!$D$34)^(R$247-1)</f>
        <v>-889.905</v>
      </c>
      <c r="S282" s="67" t="n">
        <f aca="false">-Inputs!$D$40*S256*(1+Inputs!$D$34)^(S$247-1)</f>
        <v>-889.905</v>
      </c>
      <c r="T282" s="67" t="n">
        <f aca="false">-Inputs!$D$40*T256*(1+Inputs!$D$34)^(T$247-1)</f>
        <v>-889.905</v>
      </c>
      <c r="U282" s="67" t="n">
        <f aca="false">-Inputs!$D$40*U256*(1+Inputs!$D$34)^(U$247-1)</f>
        <v>-889.905</v>
      </c>
      <c r="V282" s="67" t="n">
        <f aca="false">-Inputs!$D$40*V256*(1+Inputs!$D$34)^(V$247-1)</f>
        <v>-889.905</v>
      </c>
      <c r="W282" s="67" t="n">
        <f aca="false">-Inputs!$D$40*W256*(1+Inputs!$D$34)^(W$247-1)</f>
        <v>-889.905</v>
      </c>
      <c r="X282" s="67" t="n">
        <f aca="false">-Inputs!$D$40*X256*(1+Inputs!$D$34)^(X$247-1)</f>
        <v>-889.905</v>
      </c>
      <c r="Y282" s="67" t="n">
        <f aca="false">-Inputs!$D$40*Y256*(1+Inputs!$D$34)^(Y$247-1)</f>
        <v>-889.905</v>
      </c>
      <c r="Z282" s="67" t="n">
        <f aca="false">-Inputs!$D$40*Z256*(1+Inputs!$D$34)^(Z$247-1)</f>
        <v>-702.945</v>
      </c>
      <c r="AA282" s="67" t="n">
        <f aca="false">-Inputs!$D$40*AA256*(1+Inputs!$D$34)^(AA$247-1)</f>
        <v>-735.0802875</v>
      </c>
      <c r="AB282" s="67" t="n">
        <f aca="false">-Inputs!$D$40*AB256*(1+Inputs!$D$34)^(AB$247-1)</f>
        <v>-735.0802875</v>
      </c>
      <c r="AC282" s="67" t="n">
        <f aca="false">-Inputs!$D$40*AC256*(1+Inputs!$D$34)^(AC$247-1)</f>
        <v>-926.7142875</v>
      </c>
      <c r="AD282" s="67" t="n">
        <f aca="false">-Inputs!$D$40*AD256*(1+Inputs!$D$34)^(AD$247-1)</f>
        <v>-926.7142875</v>
      </c>
      <c r="AE282" s="67" t="n">
        <f aca="false">-Inputs!$D$40*AE256*(1+Inputs!$D$34)^(AE$247-1)</f>
        <v>-926.7142875</v>
      </c>
      <c r="AF282" s="67" t="n">
        <f aca="false">-Inputs!$D$40*AF256*(1+Inputs!$D$34)^(AF$247-1)</f>
        <v>-926.7142875</v>
      </c>
      <c r="AG282" s="67" t="n">
        <f aca="false">-Inputs!$D$40*AG256*(1+Inputs!$D$34)^(AG$247-1)</f>
        <v>-926.7142875</v>
      </c>
      <c r="AH282" s="67" t="n">
        <f aca="false">-Inputs!$D$40*AH256*(1+Inputs!$D$34)^(AH$247-1)</f>
        <v>-926.7142875</v>
      </c>
      <c r="AI282" s="67" t="n">
        <f aca="false">-Inputs!$D$40*AI256*(1+Inputs!$D$34)^(AI$247-1)</f>
        <v>-926.7142875</v>
      </c>
      <c r="AJ282" s="67" t="n">
        <f aca="false">-Inputs!$D$40*AJ256*(1+Inputs!$D$34)^(AJ$247-1)</f>
        <v>-926.7142875</v>
      </c>
      <c r="AK282" s="67" t="n">
        <f aca="false">-Inputs!$D$40*AK256*(1+Inputs!$D$34)^(AK$247-1)</f>
        <v>-926.7142875</v>
      </c>
      <c r="AL282" s="67" t="n">
        <f aca="false">-Inputs!$D$40*AL256*(1+Inputs!$D$34)^(AL$247-1)</f>
        <v>-735.0802875</v>
      </c>
      <c r="AM282" s="67" t="n">
        <f aca="false">-Inputs!$D$40*AM256*(1+Inputs!$D$34)^(AM$247-1)</f>
        <v>-769.87556915625</v>
      </c>
      <c r="AN282" s="67" t="n">
        <f aca="false">-Inputs!$D$40*AN256*(1+Inputs!$D$34)^(AN$247-1)</f>
        <v>-769.87556915625</v>
      </c>
      <c r="AO282" s="67" t="n">
        <f aca="false">-Inputs!$D$40*AO256*(1+Inputs!$D$34)^(AO$247-1)</f>
        <v>-966.30041915625</v>
      </c>
      <c r="AP282" s="67" t="n">
        <f aca="false">-Inputs!$D$40*AP256*(1+Inputs!$D$34)^(AP$247-1)</f>
        <v>-966.30041915625</v>
      </c>
      <c r="AQ282" s="67" t="n">
        <f aca="false">-Inputs!$D$40*AQ256*(1+Inputs!$D$34)^(AQ$247-1)</f>
        <v>-966.30041915625</v>
      </c>
      <c r="AR282" s="67" t="n">
        <f aca="false">-Inputs!$D$40*AR256*(1+Inputs!$D$34)^(AR$247-1)</f>
        <v>-966.30041915625</v>
      </c>
      <c r="AS282" s="67" t="n">
        <f aca="false">-Inputs!$D$40*AS256*(1+Inputs!$D$34)^(AS$247-1)</f>
        <v>-966.30041915625</v>
      </c>
      <c r="AT282" s="67" t="n">
        <f aca="false">-Inputs!$D$40*AT256*(1+Inputs!$D$34)^(AT$247-1)</f>
        <v>-966.30041915625</v>
      </c>
      <c r="AU282" s="67" t="n">
        <f aca="false">-Inputs!$D$40*AU256*(1+Inputs!$D$34)^(AU$247-1)</f>
        <v>-966.30041915625</v>
      </c>
      <c r="AV282" s="67" t="n">
        <f aca="false">-Inputs!$D$40*AV256*(1+Inputs!$D$34)^(AV$247-1)</f>
        <v>-966.30041915625</v>
      </c>
      <c r="AW282" s="67" t="n">
        <f aca="false">-Inputs!$D$40*AW256*(1+Inputs!$D$34)^(AW$247-1)</f>
        <v>-966.30041915625</v>
      </c>
      <c r="AX282" s="67" t="n">
        <f aca="false">-Inputs!$D$40*AX256*(1+Inputs!$D$34)^(AX$247-1)</f>
        <v>-769.87556915625</v>
      </c>
      <c r="AY282" s="67" t="n">
        <f aca="false">-Inputs!$D$40*AY256*(1+Inputs!$D$34)^(AY$247-1)</f>
        <v>-807.634062848672</v>
      </c>
      <c r="AZ282" s="67" t="n">
        <f aca="false">-Inputs!$D$40*AZ256*(1+Inputs!$D$34)^(AZ$247-1)</f>
        <v>-807.634062848672</v>
      </c>
      <c r="BA282" s="67" t="n">
        <f aca="false">-Inputs!$D$40*BA256*(1+Inputs!$D$34)^(BA$247-1)</f>
        <v>-1008.96953409867</v>
      </c>
      <c r="BB282" s="67" t="n">
        <f aca="false">-Inputs!$D$40*BB256*(1+Inputs!$D$34)^(BB$247-1)</f>
        <v>-1008.96953409867</v>
      </c>
      <c r="BC282" s="67" t="n">
        <f aca="false">-Inputs!$D$40*BC256*(1+Inputs!$D$34)^(BC$247-1)</f>
        <v>-1008.96953409867</v>
      </c>
      <c r="BD282" s="67" t="n">
        <f aca="false">-Inputs!$D$40*BD256*(1+Inputs!$D$34)^(BD$247-1)</f>
        <v>-1008.96953409867</v>
      </c>
      <c r="BE282" s="67" t="n">
        <f aca="false">-Inputs!$D$40*BE256*(1+Inputs!$D$34)^(BE$247-1)</f>
        <v>-1008.96953409867</v>
      </c>
      <c r="BF282" s="67" t="n">
        <f aca="false">-Inputs!$D$40*BF256*(1+Inputs!$D$34)^(BF$247-1)</f>
        <v>-1008.96953409867</v>
      </c>
      <c r="BG282" s="67" t="n">
        <f aca="false">-Inputs!$D$40*BG256*(1+Inputs!$D$34)^(BG$247-1)</f>
        <v>-1008.96953409867</v>
      </c>
      <c r="BH282" s="67" t="n">
        <f aca="false">-Inputs!$D$40*BH256*(1+Inputs!$D$34)^(BH$247-1)</f>
        <v>-1008.96953409867</v>
      </c>
      <c r="BI282" s="67" t="n">
        <f aca="false">-Inputs!$D$40*BI256*(1+Inputs!$D$34)^(BI$247-1)</f>
        <v>-1008.96953409867</v>
      </c>
      <c r="BJ282" s="67" t="n">
        <f aca="false">-Inputs!$D$40*BJ256*(1+Inputs!$D$34)^(BJ$247-1)</f>
        <v>-807.634062848672</v>
      </c>
    </row>
    <row r="283" customFormat="false" ht="15" hidden="false" customHeight="false" outlineLevel="0" collapsed="false">
      <c r="A283" s="6" t="s">
        <v>337</v>
      </c>
      <c r="C283" s="67" t="n">
        <f aca="false">-Inputs!$D$41*C250*(1+Inputs!$D$34)^(C$247-1)*1</f>
        <v>-450</v>
      </c>
      <c r="D283" s="67" t="n">
        <f aca="false">-Inputs!$D$41*D250*(1+Inputs!$D$34)^(D$247-1)*1</f>
        <v>-450</v>
      </c>
      <c r="E283" s="67" t="n">
        <f aca="false">-Inputs!$D$41*E250*(1+Inputs!$D$34)^(E$247-1)*1</f>
        <v>-450</v>
      </c>
      <c r="F283" s="67" t="n">
        <f aca="false">-Inputs!$D$41*F250*(1+Inputs!$D$34)^(F$247-1)*1</f>
        <v>-450</v>
      </c>
      <c r="G283" s="67" t="n">
        <f aca="false">-Inputs!$D$41*G250*(1+Inputs!$D$34)^(G$247-1)*1</f>
        <v>-450</v>
      </c>
      <c r="H283" s="67" t="n">
        <f aca="false">-Inputs!$D$41*H250*(1+Inputs!$D$34)^(H$247-1)*1</f>
        <v>-450</v>
      </c>
      <c r="I283" s="67" t="n">
        <f aca="false">-Inputs!$D$41*I250*(1+Inputs!$D$34)^(I$247-1)*1</f>
        <v>-450</v>
      </c>
      <c r="J283" s="67" t="n">
        <f aca="false">-Inputs!$D$41*J250*(1+Inputs!$D$34)^(J$247-1)*1</f>
        <v>-450</v>
      </c>
      <c r="K283" s="67" t="n">
        <f aca="false">-Inputs!$D$41*K250*(1+Inputs!$D$34)^(K$247-1)*1</f>
        <v>-450</v>
      </c>
      <c r="L283" s="67" t="n">
        <f aca="false">-Inputs!$D$41*L250*(1+Inputs!$D$34)^(L$247-1)*1</f>
        <v>-450</v>
      </c>
      <c r="M283" s="67" t="n">
        <f aca="false">-Inputs!$D$41*M250*(1+Inputs!$D$34)^(M$247-1)*1</f>
        <v>-450</v>
      </c>
      <c r="N283" s="67" t="n">
        <f aca="false">-Inputs!$D$41*N250*(1+Inputs!$D$34)^(N$247-1)*1</f>
        <v>-450</v>
      </c>
      <c r="O283" s="67" t="n">
        <f aca="false">-Inputs!$D$41*O250*(1+Inputs!$D$34)^(O$247-1)*1</f>
        <v>-461.25</v>
      </c>
      <c r="P283" s="67" t="n">
        <f aca="false">-Inputs!$D$41*P250*(1+Inputs!$D$34)^(P$247-1)*1</f>
        <v>-461.25</v>
      </c>
      <c r="Q283" s="67" t="n">
        <f aca="false">-Inputs!$D$41*Q250*(1+Inputs!$D$34)^(Q$247-1)*1</f>
        <v>-461.25</v>
      </c>
      <c r="R283" s="67" t="n">
        <f aca="false">-Inputs!$D$41*R250*(1+Inputs!$D$34)^(R$247-1)*1</f>
        <v>-461.25</v>
      </c>
      <c r="S283" s="67" t="n">
        <f aca="false">-Inputs!$D$41*S250*(1+Inputs!$D$34)^(S$247-1)*1</f>
        <v>-461.25</v>
      </c>
      <c r="T283" s="67" t="n">
        <f aca="false">-Inputs!$D$41*T250*(1+Inputs!$D$34)^(T$247-1)*1</f>
        <v>-461.25</v>
      </c>
      <c r="U283" s="67" t="n">
        <f aca="false">-Inputs!$D$41*U250*(1+Inputs!$D$34)^(U$247-1)*1</f>
        <v>-461.25</v>
      </c>
      <c r="V283" s="67" t="n">
        <f aca="false">-Inputs!$D$41*V250*(1+Inputs!$D$34)^(V$247-1)*1</f>
        <v>-461.25</v>
      </c>
      <c r="W283" s="67" t="n">
        <f aca="false">-Inputs!$D$41*W250*(1+Inputs!$D$34)^(W$247-1)*1</f>
        <v>-461.25</v>
      </c>
      <c r="X283" s="67" t="n">
        <f aca="false">-Inputs!$D$41*X250*(1+Inputs!$D$34)^(X$247-1)*1</f>
        <v>-461.25</v>
      </c>
      <c r="Y283" s="67" t="n">
        <f aca="false">-Inputs!$D$41*Y250*(1+Inputs!$D$34)^(Y$247-1)*1</f>
        <v>-461.25</v>
      </c>
      <c r="Z283" s="67" t="n">
        <f aca="false">-Inputs!$D$41*Z250*(1+Inputs!$D$34)^(Z$247-1)*1</f>
        <v>-461.25</v>
      </c>
      <c r="AA283" s="67" t="n">
        <f aca="false">-Inputs!$D$41*AA250*(1+Inputs!$D$34)^(AA$247-1)*1</f>
        <v>-472.78125</v>
      </c>
      <c r="AB283" s="67" t="n">
        <f aca="false">-Inputs!$D$41*AB250*(1+Inputs!$D$34)^(AB$247-1)*1</f>
        <v>-472.78125</v>
      </c>
      <c r="AC283" s="67" t="n">
        <f aca="false">-Inputs!$D$41*AC250*(1+Inputs!$D$34)^(AC$247-1)*1</f>
        <v>-472.78125</v>
      </c>
      <c r="AD283" s="67" t="n">
        <f aca="false">-Inputs!$D$41*AD250*(1+Inputs!$D$34)^(AD$247-1)*1</f>
        <v>-472.78125</v>
      </c>
      <c r="AE283" s="67" t="n">
        <f aca="false">-Inputs!$D$41*AE250*(1+Inputs!$D$34)^(AE$247-1)*1</f>
        <v>-472.78125</v>
      </c>
      <c r="AF283" s="67" t="n">
        <f aca="false">-Inputs!$D$41*AF250*(1+Inputs!$D$34)^(AF$247-1)*1</f>
        <v>-472.78125</v>
      </c>
      <c r="AG283" s="67" t="n">
        <f aca="false">-Inputs!$D$41*AG250*(1+Inputs!$D$34)^(AG$247-1)*1</f>
        <v>-472.78125</v>
      </c>
      <c r="AH283" s="67" t="n">
        <f aca="false">-Inputs!$D$41*AH250*(1+Inputs!$D$34)^(AH$247-1)*1</f>
        <v>-472.78125</v>
      </c>
      <c r="AI283" s="67" t="n">
        <f aca="false">-Inputs!$D$41*AI250*(1+Inputs!$D$34)^(AI$247-1)*1</f>
        <v>-472.78125</v>
      </c>
      <c r="AJ283" s="67" t="n">
        <f aca="false">-Inputs!$D$41*AJ250*(1+Inputs!$D$34)^(AJ$247-1)*1</f>
        <v>-472.78125</v>
      </c>
      <c r="AK283" s="67" t="n">
        <f aca="false">-Inputs!$D$41*AK250*(1+Inputs!$D$34)^(AK$247-1)*1</f>
        <v>-472.78125</v>
      </c>
      <c r="AL283" s="67" t="n">
        <f aca="false">-Inputs!$D$41*AL250*(1+Inputs!$D$34)^(AL$247-1)*1</f>
        <v>-472.78125</v>
      </c>
      <c r="AM283" s="67" t="n">
        <f aca="false">-Inputs!$D$41*AM250*(1+Inputs!$D$34)^(AM$247-1)*1</f>
        <v>-484.60078125</v>
      </c>
      <c r="AN283" s="67" t="n">
        <f aca="false">-Inputs!$D$41*AN250*(1+Inputs!$D$34)^(AN$247-1)*1</f>
        <v>-484.60078125</v>
      </c>
      <c r="AO283" s="67" t="n">
        <f aca="false">-Inputs!$D$41*AO250*(1+Inputs!$D$34)^(AO$247-1)*1</f>
        <v>-484.60078125</v>
      </c>
      <c r="AP283" s="67" t="n">
        <f aca="false">-Inputs!$D$41*AP250*(1+Inputs!$D$34)^(AP$247-1)*1</f>
        <v>-484.60078125</v>
      </c>
      <c r="AQ283" s="67" t="n">
        <f aca="false">-Inputs!$D$41*AQ250*(1+Inputs!$D$34)^(AQ$247-1)*1</f>
        <v>-484.60078125</v>
      </c>
      <c r="AR283" s="67" t="n">
        <f aca="false">-Inputs!$D$41*AR250*(1+Inputs!$D$34)^(AR$247-1)*1</f>
        <v>-484.60078125</v>
      </c>
      <c r="AS283" s="67" t="n">
        <f aca="false">-Inputs!$D$41*AS250*(1+Inputs!$D$34)^(AS$247-1)*1</f>
        <v>-484.60078125</v>
      </c>
      <c r="AT283" s="67" t="n">
        <f aca="false">-Inputs!$D$41*AT250*(1+Inputs!$D$34)^(AT$247-1)*1</f>
        <v>-484.60078125</v>
      </c>
      <c r="AU283" s="67" t="n">
        <f aca="false">-Inputs!$D$41*AU250*(1+Inputs!$D$34)^(AU$247-1)*1</f>
        <v>-484.60078125</v>
      </c>
      <c r="AV283" s="67" t="n">
        <f aca="false">-Inputs!$D$41*AV250*(1+Inputs!$D$34)^(AV$247-1)*1</f>
        <v>-484.60078125</v>
      </c>
      <c r="AW283" s="67" t="n">
        <f aca="false">-Inputs!$D$41*AW250*(1+Inputs!$D$34)^(AW$247-1)*1</f>
        <v>-484.60078125</v>
      </c>
      <c r="AX283" s="67" t="n">
        <f aca="false">-Inputs!$D$41*AX250*(1+Inputs!$D$34)^(AX$247-1)*1</f>
        <v>-484.60078125</v>
      </c>
      <c r="AY283" s="67" t="n">
        <f aca="false">-Inputs!$D$41*AY250*(1+Inputs!$D$34)^(AY$247-1)*1</f>
        <v>-496.71580078125</v>
      </c>
      <c r="AZ283" s="67" t="n">
        <f aca="false">-Inputs!$D$41*AZ250*(1+Inputs!$D$34)^(AZ$247-1)*1</f>
        <v>-496.71580078125</v>
      </c>
      <c r="BA283" s="67" t="n">
        <f aca="false">-Inputs!$D$41*BA250*(1+Inputs!$D$34)^(BA$247-1)*1</f>
        <v>-496.71580078125</v>
      </c>
      <c r="BB283" s="67" t="n">
        <f aca="false">-Inputs!$D$41*BB250*(1+Inputs!$D$34)^(BB$247-1)*1</f>
        <v>-496.71580078125</v>
      </c>
      <c r="BC283" s="67" t="n">
        <f aca="false">-Inputs!$D$41*BC250*(1+Inputs!$D$34)^(BC$247-1)*1</f>
        <v>-496.71580078125</v>
      </c>
      <c r="BD283" s="67" t="n">
        <f aca="false">-Inputs!$D$41*BD250*(1+Inputs!$D$34)^(BD$247-1)*1</f>
        <v>-496.71580078125</v>
      </c>
      <c r="BE283" s="67" t="n">
        <f aca="false">-Inputs!$D$41*BE250*(1+Inputs!$D$34)^(BE$247-1)*1</f>
        <v>-496.71580078125</v>
      </c>
      <c r="BF283" s="67" t="n">
        <f aca="false">-Inputs!$D$41*BF250*(1+Inputs!$D$34)^(BF$247-1)*1</f>
        <v>-496.71580078125</v>
      </c>
      <c r="BG283" s="67" t="n">
        <f aca="false">-Inputs!$D$41*BG250*(1+Inputs!$D$34)^(BG$247-1)*1</f>
        <v>-496.71580078125</v>
      </c>
      <c r="BH283" s="67" t="n">
        <f aca="false">-Inputs!$D$41*BH250*(1+Inputs!$D$34)^(BH$247-1)*1</f>
        <v>-496.71580078125</v>
      </c>
      <c r="BI283" s="67" t="n">
        <f aca="false">-Inputs!$D$41*BI250*(1+Inputs!$D$34)^(BI$247-1)*1</f>
        <v>-496.71580078125</v>
      </c>
      <c r="BJ283" s="67" t="n">
        <f aca="false">-Inputs!$D$41*BJ250*(1+Inputs!$D$34)^(BJ$247-1)*1</f>
        <v>-496.71580078125</v>
      </c>
    </row>
    <row r="284" customFormat="false" ht="15" hidden="false" customHeight="false" outlineLevel="0" collapsed="false">
      <c r="A284" s="6" t="s">
        <v>338</v>
      </c>
      <c r="C284" s="67" t="n">
        <f aca="false">-Inputs!$D$42*(1+Inputs!$D$34)^(C$247-1)*1</f>
        <v>-115</v>
      </c>
      <c r="D284" s="67" t="n">
        <f aca="false">-Inputs!$D$42*(1+Inputs!$D$34)^(D$247-1)*1</f>
        <v>-115</v>
      </c>
      <c r="E284" s="67" t="n">
        <f aca="false">-Inputs!$D$42*(1+Inputs!$D$34)^(E$247-1)*1</f>
        <v>-115</v>
      </c>
      <c r="F284" s="67" t="n">
        <f aca="false">-Inputs!$D$42*(1+Inputs!$D$34)^(F$247-1)*1</f>
        <v>-115</v>
      </c>
      <c r="G284" s="67" t="n">
        <f aca="false">-Inputs!$D$42*(1+Inputs!$D$34)^(G$247-1)*1</f>
        <v>-115</v>
      </c>
      <c r="H284" s="67" t="n">
        <f aca="false">-Inputs!$D$42*(1+Inputs!$D$34)^(H$247-1)*1</f>
        <v>-115</v>
      </c>
      <c r="I284" s="67" t="n">
        <f aca="false">-Inputs!$D$42*(1+Inputs!$D$34)^(I$247-1)*1</f>
        <v>-115</v>
      </c>
      <c r="J284" s="67" t="n">
        <f aca="false">-Inputs!$D$42*(1+Inputs!$D$34)^(J$247-1)*1</f>
        <v>-115</v>
      </c>
      <c r="K284" s="67" t="n">
        <f aca="false">-Inputs!$D$42*(1+Inputs!$D$34)^(K$247-1)*1</f>
        <v>-115</v>
      </c>
      <c r="L284" s="67" t="n">
        <f aca="false">-Inputs!$D$42*(1+Inputs!$D$34)^(L$247-1)*1</f>
        <v>-115</v>
      </c>
      <c r="M284" s="67" t="n">
        <f aca="false">-Inputs!$D$42*(1+Inputs!$D$34)^(M$247-1)*1</f>
        <v>-115</v>
      </c>
      <c r="N284" s="67" t="n">
        <f aca="false">-Inputs!$D$42*(1+Inputs!$D$34)^(N$247-1)*1</f>
        <v>-115</v>
      </c>
      <c r="O284" s="67" t="n">
        <f aca="false">-Inputs!$D$42*(1+Inputs!$D$34)^(O$247-1)*1</f>
        <v>-117.875</v>
      </c>
      <c r="P284" s="67" t="n">
        <f aca="false">-Inputs!$D$42*(1+Inputs!$D$34)^(P$247-1)*1</f>
        <v>-117.875</v>
      </c>
      <c r="Q284" s="67" t="n">
        <f aca="false">-Inputs!$D$42*(1+Inputs!$D$34)^(Q$247-1)*1</f>
        <v>-117.875</v>
      </c>
      <c r="R284" s="67" t="n">
        <f aca="false">-Inputs!$D$42*(1+Inputs!$D$34)^(R$247-1)*1</f>
        <v>-117.875</v>
      </c>
      <c r="S284" s="67" t="n">
        <f aca="false">-Inputs!$D$42*(1+Inputs!$D$34)^(S$247-1)*1</f>
        <v>-117.875</v>
      </c>
      <c r="T284" s="67" t="n">
        <f aca="false">-Inputs!$D$42*(1+Inputs!$D$34)^(T$247-1)*1</f>
        <v>-117.875</v>
      </c>
      <c r="U284" s="67" t="n">
        <f aca="false">-Inputs!$D$42*(1+Inputs!$D$34)^(U$247-1)*1</f>
        <v>-117.875</v>
      </c>
      <c r="V284" s="67" t="n">
        <f aca="false">-Inputs!$D$42*(1+Inputs!$D$34)^(V$247-1)*1</f>
        <v>-117.875</v>
      </c>
      <c r="W284" s="67" t="n">
        <f aca="false">-Inputs!$D$42*(1+Inputs!$D$34)^(W$247-1)*1</f>
        <v>-117.875</v>
      </c>
      <c r="X284" s="67" t="n">
        <f aca="false">-Inputs!$D$42*(1+Inputs!$D$34)^(X$247-1)*1</f>
        <v>-117.875</v>
      </c>
      <c r="Y284" s="67" t="n">
        <f aca="false">-Inputs!$D$42*(1+Inputs!$D$34)^(Y$247-1)*1</f>
        <v>-117.875</v>
      </c>
      <c r="Z284" s="67" t="n">
        <f aca="false">-Inputs!$D$42*(1+Inputs!$D$34)^(Z$247-1)*1</f>
        <v>-117.875</v>
      </c>
      <c r="AA284" s="67" t="n">
        <f aca="false">-Inputs!$D$42*(1+Inputs!$D$34)^(AA$247-1)*1</f>
        <v>-120.821875</v>
      </c>
      <c r="AB284" s="67" t="n">
        <f aca="false">-Inputs!$D$42*(1+Inputs!$D$34)^(AB$247-1)*1</f>
        <v>-120.821875</v>
      </c>
      <c r="AC284" s="67" t="n">
        <f aca="false">-Inputs!$D$42*(1+Inputs!$D$34)^(AC$247-1)*1</f>
        <v>-120.821875</v>
      </c>
      <c r="AD284" s="67" t="n">
        <f aca="false">-Inputs!$D$42*(1+Inputs!$D$34)^(AD$247-1)*1</f>
        <v>-120.821875</v>
      </c>
      <c r="AE284" s="67" t="n">
        <f aca="false">-Inputs!$D$42*(1+Inputs!$D$34)^(AE$247-1)*1</f>
        <v>-120.821875</v>
      </c>
      <c r="AF284" s="67" t="n">
        <f aca="false">-Inputs!$D$42*(1+Inputs!$D$34)^(AF$247-1)*1</f>
        <v>-120.821875</v>
      </c>
      <c r="AG284" s="67" t="n">
        <f aca="false">-Inputs!$D$42*(1+Inputs!$D$34)^(AG$247-1)*1</f>
        <v>-120.821875</v>
      </c>
      <c r="AH284" s="67" t="n">
        <f aca="false">-Inputs!$D$42*(1+Inputs!$D$34)^(AH$247-1)*1</f>
        <v>-120.821875</v>
      </c>
      <c r="AI284" s="67" t="n">
        <f aca="false">-Inputs!$D$42*(1+Inputs!$D$34)^(AI$247-1)*1</f>
        <v>-120.821875</v>
      </c>
      <c r="AJ284" s="67" t="n">
        <f aca="false">-Inputs!$D$42*(1+Inputs!$D$34)^(AJ$247-1)*1</f>
        <v>-120.821875</v>
      </c>
      <c r="AK284" s="67" t="n">
        <f aca="false">-Inputs!$D$42*(1+Inputs!$D$34)^(AK$247-1)*1</f>
        <v>-120.821875</v>
      </c>
      <c r="AL284" s="67" t="n">
        <f aca="false">-Inputs!$D$42*(1+Inputs!$D$34)^(AL$247-1)*1</f>
        <v>-120.821875</v>
      </c>
      <c r="AM284" s="67" t="n">
        <f aca="false">-Inputs!$D$42*(1+Inputs!$D$34)^(AM$247-1)*1</f>
        <v>-123.842421875</v>
      </c>
      <c r="AN284" s="67" t="n">
        <f aca="false">-Inputs!$D$42*(1+Inputs!$D$34)^(AN$247-1)*1</f>
        <v>-123.842421875</v>
      </c>
      <c r="AO284" s="67" t="n">
        <f aca="false">-Inputs!$D$42*(1+Inputs!$D$34)^(AO$247-1)*1</f>
        <v>-123.842421875</v>
      </c>
      <c r="AP284" s="67" t="n">
        <f aca="false">-Inputs!$D$42*(1+Inputs!$D$34)^(AP$247-1)*1</f>
        <v>-123.842421875</v>
      </c>
      <c r="AQ284" s="67" t="n">
        <f aca="false">-Inputs!$D$42*(1+Inputs!$D$34)^(AQ$247-1)*1</f>
        <v>-123.842421875</v>
      </c>
      <c r="AR284" s="67" t="n">
        <f aca="false">-Inputs!$D$42*(1+Inputs!$D$34)^(AR$247-1)*1</f>
        <v>-123.842421875</v>
      </c>
      <c r="AS284" s="67" t="n">
        <f aca="false">-Inputs!$D$42*(1+Inputs!$D$34)^(AS$247-1)*1</f>
        <v>-123.842421875</v>
      </c>
      <c r="AT284" s="67" t="n">
        <f aca="false">-Inputs!$D$42*(1+Inputs!$D$34)^(AT$247-1)*1</f>
        <v>-123.842421875</v>
      </c>
      <c r="AU284" s="67" t="n">
        <f aca="false">-Inputs!$D$42*(1+Inputs!$D$34)^(AU$247-1)*1</f>
        <v>-123.842421875</v>
      </c>
      <c r="AV284" s="67" t="n">
        <f aca="false">-Inputs!$D$42*(1+Inputs!$D$34)^(AV$247-1)*1</f>
        <v>-123.842421875</v>
      </c>
      <c r="AW284" s="67" t="n">
        <f aca="false">-Inputs!$D$42*(1+Inputs!$D$34)^(AW$247-1)*1</f>
        <v>-123.842421875</v>
      </c>
      <c r="AX284" s="67" t="n">
        <f aca="false">-Inputs!$D$42*(1+Inputs!$D$34)^(AX$247-1)*1</f>
        <v>-123.842421875</v>
      </c>
      <c r="AY284" s="67" t="n">
        <f aca="false">-Inputs!$D$42*(1+Inputs!$D$34)^(AY$247-1)*1</f>
        <v>-126.938482421875</v>
      </c>
      <c r="AZ284" s="67" t="n">
        <f aca="false">-Inputs!$D$42*(1+Inputs!$D$34)^(AZ$247-1)*1</f>
        <v>-126.938482421875</v>
      </c>
      <c r="BA284" s="67" t="n">
        <f aca="false">-Inputs!$D$42*(1+Inputs!$D$34)^(BA$247-1)*1</f>
        <v>-126.938482421875</v>
      </c>
      <c r="BB284" s="67" t="n">
        <f aca="false">-Inputs!$D$42*(1+Inputs!$D$34)^(BB$247-1)*1</f>
        <v>-126.938482421875</v>
      </c>
      <c r="BC284" s="67" t="n">
        <f aca="false">-Inputs!$D$42*(1+Inputs!$D$34)^(BC$247-1)*1</f>
        <v>-126.938482421875</v>
      </c>
      <c r="BD284" s="67" t="n">
        <f aca="false">-Inputs!$D$42*(1+Inputs!$D$34)^(BD$247-1)*1</f>
        <v>-126.938482421875</v>
      </c>
      <c r="BE284" s="67" t="n">
        <f aca="false">-Inputs!$D$42*(1+Inputs!$D$34)^(BE$247-1)*1</f>
        <v>-126.938482421875</v>
      </c>
      <c r="BF284" s="67" t="n">
        <f aca="false">-Inputs!$D$42*(1+Inputs!$D$34)^(BF$247-1)*1</f>
        <v>-126.938482421875</v>
      </c>
      <c r="BG284" s="67" t="n">
        <f aca="false">-Inputs!$D$42*(1+Inputs!$D$34)^(BG$247-1)*1</f>
        <v>-126.938482421875</v>
      </c>
      <c r="BH284" s="67" t="n">
        <f aca="false">-Inputs!$D$42*(1+Inputs!$D$34)^(BH$247-1)*1</f>
        <v>-126.938482421875</v>
      </c>
      <c r="BI284" s="67" t="n">
        <f aca="false">-Inputs!$D$42*(1+Inputs!$D$34)^(BI$247-1)*1</f>
        <v>-126.938482421875</v>
      </c>
      <c r="BJ284" s="67" t="n">
        <f aca="false">-Inputs!$D$42*(1+Inputs!$D$34)^(BJ$247-1)*1</f>
        <v>-126.938482421875</v>
      </c>
    </row>
    <row r="285" customFormat="false" ht="15" hidden="false" customHeight="false" outlineLevel="0" collapsed="false">
      <c r="A285" s="6" t="s">
        <v>339</v>
      </c>
      <c r="C285" s="67" t="n">
        <f aca="false">-Inputs!$D$43*(1+Inputs!$D$44)^(C$247-1)*1</f>
        <v>-600</v>
      </c>
      <c r="D285" s="67" t="n">
        <f aca="false">-Inputs!$D$43*(1+Inputs!$D$44)^(D$247-1)*1</f>
        <v>-600</v>
      </c>
      <c r="E285" s="67" t="n">
        <f aca="false">-Inputs!$D$43*(1+Inputs!$D$44)^(E$247-1)*1</f>
        <v>-600</v>
      </c>
      <c r="F285" s="67" t="n">
        <f aca="false">-Inputs!$D$43*(1+Inputs!$D$44)^(F$247-1)*1</f>
        <v>-600</v>
      </c>
      <c r="G285" s="67" t="n">
        <f aca="false">-Inputs!$D$43*(1+Inputs!$D$44)^(G$247-1)*1</f>
        <v>-600</v>
      </c>
      <c r="H285" s="67" t="n">
        <f aca="false">-Inputs!$D$43*(1+Inputs!$D$44)^(H$247-1)*1</f>
        <v>-600</v>
      </c>
      <c r="I285" s="67" t="n">
        <f aca="false">-Inputs!$D$43*(1+Inputs!$D$44)^(I$247-1)*1</f>
        <v>-600</v>
      </c>
      <c r="J285" s="67" t="n">
        <f aca="false">-Inputs!$D$43*(1+Inputs!$D$44)^(J$247-1)*1</f>
        <v>-600</v>
      </c>
      <c r="K285" s="67" t="n">
        <f aca="false">-Inputs!$D$43*(1+Inputs!$D$44)^(K$247-1)*1</f>
        <v>-600</v>
      </c>
      <c r="L285" s="67" t="n">
        <f aca="false">-Inputs!$D$43*(1+Inputs!$D$44)^(L$247-1)*1</f>
        <v>-600</v>
      </c>
      <c r="M285" s="67" t="n">
        <f aca="false">-Inputs!$D$43*(1+Inputs!$D$44)^(M$247-1)*1</f>
        <v>-600</v>
      </c>
      <c r="N285" s="67" t="n">
        <f aca="false">-Inputs!$D$43*(1+Inputs!$D$44)^(N$247-1)*1</f>
        <v>-600</v>
      </c>
      <c r="O285" s="67" t="n">
        <f aca="false">-Inputs!$D$43*(1+Inputs!$D$44)^(O$247-1)*1</f>
        <v>-600</v>
      </c>
      <c r="P285" s="67" t="n">
        <f aca="false">-Inputs!$D$43*(1+Inputs!$D$44)^(P$247-1)*1</f>
        <v>-600</v>
      </c>
      <c r="Q285" s="67" t="n">
        <f aca="false">-Inputs!$D$43*(1+Inputs!$D$44)^(Q$247-1)*1</f>
        <v>-600</v>
      </c>
      <c r="R285" s="67" t="n">
        <f aca="false">-Inputs!$D$43*(1+Inputs!$D$44)^(R$247-1)*1</f>
        <v>-600</v>
      </c>
      <c r="S285" s="67" t="n">
        <f aca="false">-Inputs!$D$43*(1+Inputs!$D$44)^(S$247-1)*1</f>
        <v>-600</v>
      </c>
      <c r="T285" s="67" t="n">
        <f aca="false">-Inputs!$D$43*(1+Inputs!$D$44)^(T$247-1)*1</f>
        <v>-600</v>
      </c>
      <c r="U285" s="67" t="n">
        <f aca="false">-Inputs!$D$43*(1+Inputs!$D$44)^(U$247-1)*1</f>
        <v>-600</v>
      </c>
      <c r="V285" s="67" t="n">
        <f aca="false">-Inputs!$D$43*(1+Inputs!$D$44)^(V$247-1)*1</f>
        <v>-600</v>
      </c>
      <c r="W285" s="67" t="n">
        <f aca="false">-Inputs!$D$43*(1+Inputs!$D$44)^(W$247-1)*1</f>
        <v>-600</v>
      </c>
      <c r="X285" s="67" t="n">
        <f aca="false">-Inputs!$D$43*(1+Inputs!$D$44)^(X$247-1)*1</f>
        <v>-600</v>
      </c>
      <c r="Y285" s="67" t="n">
        <f aca="false">-Inputs!$D$43*(1+Inputs!$D$44)^(Y$247-1)*1</f>
        <v>-600</v>
      </c>
      <c r="Z285" s="67" t="n">
        <f aca="false">-Inputs!$D$43*(1+Inputs!$D$44)^(Z$247-1)*1</f>
        <v>-600</v>
      </c>
      <c r="AA285" s="67" t="n">
        <f aca="false">-Inputs!$D$43*(1+Inputs!$D$44)^(AA$247-1)*1</f>
        <v>-600</v>
      </c>
      <c r="AB285" s="67" t="n">
        <f aca="false">-Inputs!$D$43*(1+Inputs!$D$44)^(AB$247-1)*1</f>
        <v>-600</v>
      </c>
      <c r="AC285" s="67" t="n">
        <f aca="false">-Inputs!$D$43*(1+Inputs!$D$44)^(AC$247-1)*1</f>
        <v>-600</v>
      </c>
      <c r="AD285" s="67" t="n">
        <f aca="false">-Inputs!$D$43*(1+Inputs!$D$44)^(AD$247-1)*1</f>
        <v>-600</v>
      </c>
      <c r="AE285" s="67" t="n">
        <f aca="false">-Inputs!$D$43*(1+Inputs!$D$44)^(AE$247-1)*1</f>
        <v>-600</v>
      </c>
      <c r="AF285" s="67" t="n">
        <f aca="false">-Inputs!$D$43*(1+Inputs!$D$44)^(AF$247-1)*1</f>
        <v>-600</v>
      </c>
      <c r="AG285" s="67" t="n">
        <f aca="false">-Inputs!$D$43*(1+Inputs!$D$44)^(AG$247-1)*1</f>
        <v>-600</v>
      </c>
      <c r="AH285" s="67" t="n">
        <f aca="false">-Inputs!$D$43*(1+Inputs!$D$44)^(AH$247-1)*1</f>
        <v>-600</v>
      </c>
      <c r="AI285" s="67" t="n">
        <f aca="false">-Inputs!$D$43*(1+Inputs!$D$44)^(AI$247-1)*1</f>
        <v>-600</v>
      </c>
      <c r="AJ285" s="67" t="n">
        <f aca="false">-Inputs!$D$43*(1+Inputs!$D$44)^(AJ$247-1)*1</f>
        <v>-600</v>
      </c>
      <c r="AK285" s="67" t="n">
        <f aca="false">-Inputs!$D$43*(1+Inputs!$D$44)^(AK$247-1)*1</f>
        <v>-600</v>
      </c>
      <c r="AL285" s="67" t="n">
        <f aca="false">-Inputs!$D$43*(1+Inputs!$D$44)^(AL$247-1)*1</f>
        <v>-600</v>
      </c>
      <c r="AM285" s="67" t="n">
        <f aca="false">-Inputs!$D$43*(1+Inputs!$D$44)^(AM$247-1)*1</f>
        <v>-600</v>
      </c>
      <c r="AN285" s="67" t="n">
        <f aca="false">-Inputs!$D$43*(1+Inputs!$D$44)^(AN$247-1)*1</f>
        <v>-600</v>
      </c>
      <c r="AO285" s="67" t="n">
        <f aca="false">-Inputs!$D$43*(1+Inputs!$D$44)^(AO$247-1)*1</f>
        <v>-600</v>
      </c>
      <c r="AP285" s="67" t="n">
        <f aca="false">-Inputs!$D$43*(1+Inputs!$D$44)^(AP$247-1)*1</f>
        <v>-600</v>
      </c>
      <c r="AQ285" s="67" t="n">
        <f aca="false">-Inputs!$D$43*(1+Inputs!$D$44)^(AQ$247-1)*1</f>
        <v>-600</v>
      </c>
      <c r="AR285" s="67" t="n">
        <f aca="false">-Inputs!$D$43*(1+Inputs!$D$44)^(AR$247-1)*1</f>
        <v>-600</v>
      </c>
      <c r="AS285" s="67" t="n">
        <f aca="false">-Inputs!$D$43*(1+Inputs!$D$44)^(AS$247-1)*1</f>
        <v>-600</v>
      </c>
      <c r="AT285" s="67" t="n">
        <f aca="false">-Inputs!$D$43*(1+Inputs!$D$44)^(AT$247-1)*1</f>
        <v>-600</v>
      </c>
      <c r="AU285" s="67" t="n">
        <f aca="false">-Inputs!$D$43*(1+Inputs!$D$44)^(AU$247-1)*1</f>
        <v>-600</v>
      </c>
      <c r="AV285" s="67" t="n">
        <f aca="false">-Inputs!$D$43*(1+Inputs!$D$44)^(AV$247-1)*1</f>
        <v>-600</v>
      </c>
      <c r="AW285" s="67" t="n">
        <f aca="false">-Inputs!$D$43*(1+Inputs!$D$44)^(AW$247-1)*1</f>
        <v>-600</v>
      </c>
      <c r="AX285" s="67" t="n">
        <f aca="false">-Inputs!$D$43*(1+Inputs!$D$44)^(AX$247-1)*1</f>
        <v>-600</v>
      </c>
      <c r="AY285" s="67" t="n">
        <f aca="false">-Inputs!$D$43*(1+Inputs!$D$44)^(AY$247-1)*1</f>
        <v>-600</v>
      </c>
      <c r="AZ285" s="67" t="n">
        <f aca="false">-Inputs!$D$43*(1+Inputs!$D$44)^(AZ$247-1)*1</f>
        <v>-600</v>
      </c>
      <c r="BA285" s="67" t="n">
        <f aca="false">-Inputs!$D$43*(1+Inputs!$D$44)^(BA$247-1)*1</f>
        <v>-600</v>
      </c>
      <c r="BB285" s="67" t="n">
        <f aca="false">-Inputs!$D$43*(1+Inputs!$D$44)^(BB$247-1)*1</f>
        <v>-600</v>
      </c>
      <c r="BC285" s="67" t="n">
        <f aca="false">-Inputs!$D$43*(1+Inputs!$D$44)^(BC$247-1)*1</f>
        <v>-600</v>
      </c>
      <c r="BD285" s="67" t="n">
        <f aca="false">-Inputs!$D$43*(1+Inputs!$D$44)^(BD$247-1)*1</f>
        <v>-600</v>
      </c>
      <c r="BE285" s="67" t="n">
        <f aca="false">-Inputs!$D$43*(1+Inputs!$D$44)^(BE$247-1)*1</f>
        <v>-600</v>
      </c>
      <c r="BF285" s="67" t="n">
        <f aca="false">-Inputs!$D$43*(1+Inputs!$D$44)^(BF$247-1)*1</f>
        <v>-600</v>
      </c>
      <c r="BG285" s="67" t="n">
        <f aca="false">-Inputs!$D$43*(1+Inputs!$D$44)^(BG$247-1)*1</f>
        <v>-600</v>
      </c>
      <c r="BH285" s="67" t="n">
        <f aca="false">-Inputs!$D$43*(1+Inputs!$D$44)^(BH$247-1)*1</f>
        <v>-600</v>
      </c>
      <c r="BI285" s="67" t="n">
        <f aca="false">-Inputs!$D$43*(1+Inputs!$D$44)^(BI$247-1)*1</f>
        <v>-600</v>
      </c>
      <c r="BJ285" s="67" t="n">
        <f aca="false">-Inputs!$D$43*(1+Inputs!$D$44)^(BJ$247-1)*1</f>
        <v>-600</v>
      </c>
    </row>
    <row r="286" customFormat="false" ht="15" hidden="false" customHeight="false" outlineLevel="0" collapsed="false">
      <c r="A286" s="6" t="s">
        <v>340</v>
      </c>
      <c r="C286" s="67" t="n">
        <f aca="false">-Inputs!$D$45*(1+Inputs!$D$34)^(C$247-1)*1</f>
        <v>-320</v>
      </c>
      <c r="D286" s="67" t="n">
        <f aca="false">-Inputs!$D$45*(1+Inputs!$D$34)^(D$247-1)*1</f>
        <v>-320</v>
      </c>
      <c r="E286" s="67" t="n">
        <f aca="false">-Inputs!$D$45*(1+Inputs!$D$34)^(E$247-1)*1</f>
        <v>-320</v>
      </c>
      <c r="F286" s="67" t="n">
        <f aca="false">-Inputs!$D$45*(1+Inputs!$D$34)^(F$247-1)*1</f>
        <v>-320</v>
      </c>
      <c r="G286" s="67" t="n">
        <f aca="false">-Inputs!$D$45*(1+Inputs!$D$34)^(G$247-1)*1</f>
        <v>-320</v>
      </c>
      <c r="H286" s="67" t="n">
        <f aca="false">-Inputs!$D$45*(1+Inputs!$D$34)^(H$247-1)*1</f>
        <v>-320</v>
      </c>
      <c r="I286" s="67" t="n">
        <f aca="false">-Inputs!$D$45*(1+Inputs!$D$34)^(I$247-1)*1</f>
        <v>-320</v>
      </c>
      <c r="J286" s="67" t="n">
        <f aca="false">-Inputs!$D$45*(1+Inputs!$D$34)^(J$247-1)*1</f>
        <v>-320</v>
      </c>
      <c r="K286" s="67" t="n">
        <f aca="false">-Inputs!$D$45*(1+Inputs!$D$34)^(K$247-1)*1</f>
        <v>-320</v>
      </c>
      <c r="L286" s="67" t="n">
        <f aca="false">-Inputs!$D$45*(1+Inputs!$D$34)^(L$247-1)*1</f>
        <v>-320</v>
      </c>
      <c r="M286" s="67" t="n">
        <f aca="false">-Inputs!$D$45*(1+Inputs!$D$34)^(M$247-1)*1</f>
        <v>-320</v>
      </c>
      <c r="N286" s="67" t="n">
        <f aca="false">-Inputs!$D$45*(1+Inputs!$D$34)^(N$247-1)*1</f>
        <v>-320</v>
      </c>
      <c r="O286" s="67" t="n">
        <f aca="false">-Inputs!$D$45*(1+Inputs!$D$34)^(O$247-1)*1</f>
        <v>-328</v>
      </c>
      <c r="P286" s="67" t="n">
        <f aca="false">-Inputs!$D$45*(1+Inputs!$D$34)^(P$247-1)*1</f>
        <v>-328</v>
      </c>
      <c r="Q286" s="67" t="n">
        <f aca="false">-Inputs!$D$45*(1+Inputs!$D$34)^(Q$247-1)*1</f>
        <v>-328</v>
      </c>
      <c r="R286" s="67" t="n">
        <f aca="false">-Inputs!$D$45*(1+Inputs!$D$34)^(R$247-1)*1</f>
        <v>-328</v>
      </c>
      <c r="S286" s="67" t="n">
        <f aca="false">-Inputs!$D$45*(1+Inputs!$D$34)^(S$247-1)*1</f>
        <v>-328</v>
      </c>
      <c r="T286" s="67" t="n">
        <f aca="false">-Inputs!$D$45*(1+Inputs!$D$34)^(T$247-1)*1</f>
        <v>-328</v>
      </c>
      <c r="U286" s="67" t="n">
        <f aca="false">-Inputs!$D$45*(1+Inputs!$D$34)^(U$247-1)*1</f>
        <v>-328</v>
      </c>
      <c r="V286" s="67" t="n">
        <f aca="false">-Inputs!$D$45*(1+Inputs!$D$34)^(V$247-1)*1</f>
        <v>-328</v>
      </c>
      <c r="W286" s="67" t="n">
        <f aca="false">-Inputs!$D$45*(1+Inputs!$D$34)^(W$247-1)*1</f>
        <v>-328</v>
      </c>
      <c r="X286" s="67" t="n">
        <f aca="false">-Inputs!$D$45*(1+Inputs!$D$34)^(X$247-1)*1</f>
        <v>-328</v>
      </c>
      <c r="Y286" s="67" t="n">
        <f aca="false">-Inputs!$D$45*(1+Inputs!$D$34)^(Y$247-1)*1</f>
        <v>-328</v>
      </c>
      <c r="Z286" s="67" t="n">
        <f aca="false">-Inputs!$D$45*(1+Inputs!$D$34)^(Z$247-1)*1</f>
        <v>-328</v>
      </c>
      <c r="AA286" s="67" t="n">
        <f aca="false">-Inputs!$D$45*(1+Inputs!$D$34)^(AA$247-1)*1</f>
        <v>-336.2</v>
      </c>
      <c r="AB286" s="67" t="n">
        <f aca="false">-Inputs!$D$45*(1+Inputs!$D$34)^(AB$247-1)*1</f>
        <v>-336.2</v>
      </c>
      <c r="AC286" s="67" t="n">
        <f aca="false">-Inputs!$D$45*(1+Inputs!$D$34)^(AC$247-1)*1</f>
        <v>-336.2</v>
      </c>
      <c r="AD286" s="67" t="n">
        <f aca="false">-Inputs!$D$45*(1+Inputs!$D$34)^(AD$247-1)*1</f>
        <v>-336.2</v>
      </c>
      <c r="AE286" s="67" t="n">
        <f aca="false">-Inputs!$D$45*(1+Inputs!$D$34)^(AE$247-1)*1</f>
        <v>-336.2</v>
      </c>
      <c r="AF286" s="67" t="n">
        <f aca="false">-Inputs!$D$45*(1+Inputs!$D$34)^(AF$247-1)*1</f>
        <v>-336.2</v>
      </c>
      <c r="AG286" s="67" t="n">
        <f aca="false">-Inputs!$D$45*(1+Inputs!$D$34)^(AG$247-1)*1</f>
        <v>-336.2</v>
      </c>
      <c r="AH286" s="67" t="n">
        <f aca="false">-Inputs!$D$45*(1+Inputs!$D$34)^(AH$247-1)*1</f>
        <v>-336.2</v>
      </c>
      <c r="AI286" s="67" t="n">
        <f aca="false">-Inputs!$D$45*(1+Inputs!$D$34)^(AI$247-1)*1</f>
        <v>-336.2</v>
      </c>
      <c r="AJ286" s="67" t="n">
        <f aca="false">-Inputs!$D$45*(1+Inputs!$D$34)^(AJ$247-1)*1</f>
        <v>-336.2</v>
      </c>
      <c r="AK286" s="67" t="n">
        <f aca="false">-Inputs!$D$45*(1+Inputs!$D$34)^(AK$247-1)*1</f>
        <v>-336.2</v>
      </c>
      <c r="AL286" s="67" t="n">
        <f aca="false">-Inputs!$D$45*(1+Inputs!$D$34)^(AL$247-1)*1</f>
        <v>-336.2</v>
      </c>
      <c r="AM286" s="67" t="n">
        <f aca="false">-Inputs!$D$45*(1+Inputs!$D$34)^(AM$247-1)*1</f>
        <v>-344.605</v>
      </c>
      <c r="AN286" s="67" t="n">
        <f aca="false">-Inputs!$D$45*(1+Inputs!$D$34)^(AN$247-1)*1</f>
        <v>-344.605</v>
      </c>
      <c r="AO286" s="67" t="n">
        <f aca="false">-Inputs!$D$45*(1+Inputs!$D$34)^(AO$247-1)*1</f>
        <v>-344.605</v>
      </c>
      <c r="AP286" s="67" t="n">
        <f aca="false">-Inputs!$D$45*(1+Inputs!$D$34)^(AP$247-1)*1</f>
        <v>-344.605</v>
      </c>
      <c r="AQ286" s="67" t="n">
        <f aca="false">-Inputs!$D$45*(1+Inputs!$D$34)^(AQ$247-1)*1</f>
        <v>-344.605</v>
      </c>
      <c r="AR286" s="67" t="n">
        <f aca="false">-Inputs!$D$45*(1+Inputs!$D$34)^(AR$247-1)*1</f>
        <v>-344.605</v>
      </c>
      <c r="AS286" s="67" t="n">
        <f aca="false">-Inputs!$D$45*(1+Inputs!$D$34)^(AS$247-1)*1</f>
        <v>-344.605</v>
      </c>
      <c r="AT286" s="67" t="n">
        <f aca="false">-Inputs!$D$45*(1+Inputs!$D$34)^(AT$247-1)*1</f>
        <v>-344.605</v>
      </c>
      <c r="AU286" s="67" t="n">
        <f aca="false">-Inputs!$D$45*(1+Inputs!$D$34)^(AU$247-1)*1</f>
        <v>-344.605</v>
      </c>
      <c r="AV286" s="67" t="n">
        <f aca="false">-Inputs!$D$45*(1+Inputs!$D$34)^(AV$247-1)*1</f>
        <v>-344.605</v>
      </c>
      <c r="AW286" s="67" t="n">
        <f aca="false">-Inputs!$D$45*(1+Inputs!$D$34)^(AW$247-1)*1</f>
        <v>-344.605</v>
      </c>
      <c r="AX286" s="67" t="n">
        <f aca="false">-Inputs!$D$45*(1+Inputs!$D$34)^(AX$247-1)*1</f>
        <v>-344.605</v>
      </c>
      <c r="AY286" s="67" t="n">
        <f aca="false">-Inputs!$D$45*(1+Inputs!$D$34)^(AY$247-1)*1</f>
        <v>-353.220125</v>
      </c>
      <c r="AZ286" s="67" t="n">
        <f aca="false">-Inputs!$D$45*(1+Inputs!$D$34)^(AZ$247-1)*1</f>
        <v>-353.220125</v>
      </c>
      <c r="BA286" s="67" t="n">
        <f aca="false">-Inputs!$D$45*(1+Inputs!$D$34)^(BA$247-1)*1</f>
        <v>-353.220125</v>
      </c>
      <c r="BB286" s="67" t="n">
        <f aca="false">-Inputs!$D$45*(1+Inputs!$D$34)^(BB$247-1)*1</f>
        <v>-353.220125</v>
      </c>
      <c r="BC286" s="67" t="n">
        <f aca="false">-Inputs!$D$45*(1+Inputs!$D$34)^(BC$247-1)*1</f>
        <v>-353.220125</v>
      </c>
      <c r="BD286" s="67" t="n">
        <f aca="false">-Inputs!$D$45*(1+Inputs!$D$34)^(BD$247-1)*1</f>
        <v>-353.220125</v>
      </c>
      <c r="BE286" s="67" t="n">
        <f aca="false">-Inputs!$D$45*(1+Inputs!$D$34)^(BE$247-1)*1</f>
        <v>-353.220125</v>
      </c>
      <c r="BF286" s="67" t="n">
        <f aca="false">-Inputs!$D$45*(1+Inputs!$D$34)^(BF$247-1)*1</f>
        <v>-353.220125</v>
      </c>
      <c r="BG286" s="67" t="n">
        <f aca="false">-Inputs!$D$45*(1+Inputs!$D$34)^(BG$247-1)*1</f>
        <v>-353.220125</v>
      </c>
      <c r="BH286" s="67" t="n">
        <f aca="false">-Inputs!$D$45*(1+Inputs!$D$34)^(BH$247-1)*1</f>
        <v>-353.220125</v>
      </c>
      <c r="BI286" s="67" t="n">
        <f aca="false">-Inputs!$D$45*(1+Inputs!$D$34)^(BI$247-1)*1</f>
        <v>-353.220125</v>
      </c>
      <c r="BJ286" s="67" t="n">
        <f aca="false">-Inputs!$D$45*(1+Inputs!$D$34)^(BJ$247-1)*1</f>
        <v>-353.220125</v>
      </c>
    </row>
    <row r="287" customFormat="false" ht="15" hidden="false" customHeight="false" outlineLevel="0" collapsed="false">
      <c r="A287" s="113" t="s">
        <v>77</v>
      </c>
      <c r="C287" s="68" t="n">
        <f aca="false">C278+C279+C280+C281+C282+C283+C284+C285+C286</f>
        <v>-13612.4666666667</v>
      </c>
      <c r="D287" s="68" t="n">
        <f aca="false">D278+D279+D280+D281+D282+D283+D284+D285+D286</f>
        <v>-13625.0666666667</v>
      </c>
      <c r="E287" s="68" t="n">
        <f aca="false">E278+E279+E280+E281+E282+E283+E284+E285+E286</f>
        <v>-13820.0666666667</v>
      </c>
      <c r="F287" s="68" t="n">
        <f aca="false">F278+F279+F280+F281+F282+F283+F284+F285+F286</f>
        <v>-13832.6666666667</v>
      </c>
      <c r="G287" s="68" t="n">
        <f aca="false">G278+G279+G280+G281+G282+G283+G284+G285+G286</f>
        <v>-13845.2666666667</v>
      </c>
      <c r="H287" s="68" t="n">
        <f aca="false">H278+H279+H280+H281+H282+H283+H284+H285+H286</f>
        <v>-13845.2666666667</v>
      </c>
      <c r="I287" s="68" t="n">
        <f aca="false">I278+I279+I280+I281+I282+I283+I284+I285+I286</f>
        <v>-13845.2666666667</v>
      </c>
      <c r="J287" s="68" t="n">
        <f aca="false">J278+J279+J280+J281+J282+J283+J284+J285+J286</f>
        <v>-13845.2666666667</v>
      </c>
      <c r="K287" s="68" t="n">
        <f aca="false">K278+K279+K280+K281+K282+K283+K284+K285+K286</f>
        <v>-13845.2666666667</v>
      </c>
      <c r="L287" s="68" t="n">
        <f aca="false">L278+L279+L280+L281+L282+L283+L284+L285+L286</f>
        <v>-13845.2666666667</v>
      </c>
      <c r="M287" s="68" t="n">
        <f aca="false">M278+M279+M280+M281+M282+M283+M284+M285+M286</f>
        <v>-13845.2666666667</v>
      </c>
      <c r="N287" s="68" t="n">
        <f aca="false">N278+N279+N280+N281+N282+N283+N284+N285+N286</f>
        <v>-13662.8666666667</v>
      </c>
      <c r="O287" s="68" t="n">
        <f aca="false">O278+O279+O280+O281+O282+O283+O284+O285+O286</f>
        <v>-14051.7266666667</v>
      </c>
      <c r="P287" s="68" t="n">
        <f aca="false">P278+P279+P280+P281+P282+P283+P284+P285+P286</f>
        <v>-14051.7266666667</v>
      </c>
      <c r="Q287" s="68" t="n">
        <f aca="false">Q278+Q279+Q280+Q281+Q282+Q283+Q284+Q285+Q286</f>
        <v>-14238.6866666667</v>
      </c>
      <c r="R287" s="68" t="n">
        <f aca="false">R278+R279+R280+R281+R282+R283+R284+R285+R286</f>
        <v>-14238.6866666667</v>
      </c>
      <c r="S287" s="68" t="n">
        <f aca="false">S278+S279+S280+S281+S282+S283+S284+S285+S286</f>
        <v>-14238.6866666667</v>
      </c>
      <c r="T287" s="68" t="n">
        <f aca="false">T278+T279+T280+T281+T282+T283+T284+T285+T286</f>
        <v>-14238.6866666667</v>
      </c>
      <c r="U287" s="68" t="n">
        <f aca="false">U278+U279+U280+U281+U282+U283+U284+U285+U286</f>
        <v>-14238.6866666667</v>
      </c>
      <c r="V287" s="68" t="n">
        <f aca="false">V278+V279+V280+V281+V282+V283+V284+V285+V286</f>
        <v>-14238.6866666667</v>
      </c>
      <c r="W287" s="68" t="n">
        <f aca="false">W278+W279+W280+W281+W282+W283+W284+W285+W286</f>
        <v>-14238.6866666667</v>
      </c>
      <c r="X287" s="68" t="n">
        <f aca="false">X278+X279+X280+X281+X282+X283+X284+X285+X286</f>
        <v>-14238.6866666667</v>
      </c>
      <c r="Y287" s="68" t="n">
        <f aca="false">Y278+Y279+Y280+Y281+Y282+Y283+Y284+Y285+Y286</f>
        <v>-14238.6866666667</v>
      </c>
      <c r="Z287" s="68" t="n">
        <f aca="false">Z278+Z279+Z280+Z281+Z282+Z283+Z284+Z285+Z286</f>
        <v>-14051.7266666667</v>
      </c>
      <c r="AA287" s="68" t="n">
        <f aca="false">AA278+AA279+AA280+AA281+AA282+AA283+AA284+AA285+AA286</f>
        <v>-14453.4360291667</v>
      </c>
      <c r="AB287" s="68" t="n">
        <f aca="false">AB278+AB279+AB280+AB281+AB282+AB283+AB284+AB285+AB286</f>
        <v>-14453.4360291667</v>
      </c>
      <c r="AC287" s="68" t="n">
        <f aca="false">AC278+AC279+AC280+AC281+AC282+AC283+AC284+AC285+AC286</f>
        <v>-14645.0700291667</v>
      </c>
      <c r="AD287" s="68" t="n">
        <f aca="false">AD278+AD279+AD280+AD281+AD282+AD283+AD284+AD285+AD286</f>
        <v>-14645.0700291667</v>
      </c>
      <c r="AE287" s="68" t="n">
        <f aca="false">AE278+AE279+AE280+AE281+AE282+AE283+AE284+AE285+AE286</f>
        <v>-14645.0700291667</v>
      </c>
      <c r="AF287" s="68" t="n">
        <f aca="false">AF278+AF279+AF280+AF281+AF282+AF283+AF284+AF285+AF286</f>
        <v>-14645.0700291667</v>
      </c>
      <c r="AG287" s="68" t="n">
        <f aca="false">AG278+AG279+AG280+AG281+AG282+AG283+AG284+AG285+AG286</f>
        <v>-14645.0700291667</v>
      </c>
      <c r="AH287" s="68" t="n">
        <f aca="false">AH278+AH279+AH280+AH281+AH282+AH283+AH284+AH285+AH286</f>
        <v>-14645.0700291667</v>
      </c>
      <c r="AI287" s="68" t="n">
        <f aca="false">AI278+AI279+AI280+AI281+AI282+AI283+AI284+AI285+AI286</f>
        <v>-14645.0700291667</v>
      </c>
      <c r="AJ287" s="68" t="n">
        <f aca="false">AJ278+AJ279+AJ280+AJ281+AJ282+AJ283+AJ284+AJ285+AJ286</f>
        <v>-14645.0700291667</v>
      </c>
      <c r="AK287" s="68" t="n">
        <f aca="false">AK278+AK279+AK280+AK281+AK282+AK283+AK284+AK285+AK286</f>
        <v>-14645.0700291667</v>
      </c>
      <c r="AL287" s="68" t="n">
        <f aca="false">AL278+AL279+AL280+AL281+AL282+AL283+AL284+AL285+AL286</f>
        <v>-14453.4360291667</v>
      </c>
      <c r="AM287" s="68" t="n">
        <f aca="false">AM278+AM279+AM280+AM281+AM282+AM283+AM284+AM285+AM286</f>
        <v>-14868.5703736979</v>
      </c>
      <c r="AN287" s="68" t="n">
        <f aca="false">AN278+AN279+AN280+AN281+AN282+AN283+AN284+AN285+AN286</f>
        <v>-14868.5703736979</v>
      </c>
      <c r="AO287" s="68" t="n">
        <f aca="false">AO278+AO279+AO280+AO281+AO282+AO283+AO284+AO285+AO286</f>
        <v>-15064.9952236979</v>
      </c>
      <c r="AP287" s="68" t="n">
        <f aca="false">AP278+AP279+AP280+AP281+AP282+AP283+AP284+AP285+AP286</f>
        <v>-15064.9952236979</v>
      </c>
      <c r="AQ287" s="68" t="n">
        <f aca="false">AQ278+AQ279+AQ280+AQ281+AQ282+AQ283+AQ284+AQ285+AQ286</f>
        <v>-15064.9952236979</v>
      </c>
      <c r="AR287" s="68" t="n">
        <f aca="false">AR278+AR279+AR280+AR281+AR282+AR283+AR284+AR285+AR286</f>
        <v>-15064.9952236979</v>
      </c>
      <c r="AS287" s="68" t="n">
        <f aca="false">AS278+AS279+AS280+AS281+AS282+AS283+AS284+AS285+AS286</f>
        <v>-15064.9952236979</v>
      </c>
      <c r="AT287" s="68" t="n">
        <f aca="false">AT278+AT279+AT280+AT281+AT282+AT283+AT284+AT285+AT286</f>
        <v>-15064.9952236979</v>
      </c>
      <c r="AU287" s="68" t="n">
        <f aca="false">AU278+AU279+AU280+AU281+AU282+AU283+AU284+AU285+AU286</f>
        <v>-15064.9952236979</v>
      </c>
      <c r="AV287" s="68" t="n">
        <f aca="false">AV278+AV279+AV280+AV281+AV282+AV283+AV284+AV285+AV286</f>
        <v>-15064.9952236979</v>
      </c>
      <c r="AW287" s="68" t="n">
        <f aca="false">AW278+AW279+AW280+AW281+AW282+AW283+AW284+AW285+AW286</f>
        <v>-15064.9952236979</v>
      </c>
      <c r="AX287" s="68" t="n">
        <f aca="false">AX278+AX279+AX280+AX281+AX282+AX283+AX284+AX285+AX286</f>
        <v>-14868.5703736979</v>
      </c>
      <c r="AY287" s="68" t="n">
        <f aca="false">AY278+AY279+AY280+AY281+AY282+AY283+AY284+AY285+AY286</f>
        <v>-15297.7478119172</v>
      </c>
      <c r="AZ287" s="68" t="n">
        <f aca="false">AZ278+AZ279+AZ280+AZ281+AZ282+AZ283+AZ284+AZ285+AZ286</f>
        <v>-15297.7478119172</v>
      </c>
      <c r="BA287" s="68" t="n">
        <f aca="false">BA278+BA279+BA280+BA281+BA282+BA283+BA284+BA285+BA286</f>
        <v>-15499.0832831672</v>
      </c>
      <c r="BB287" s="68" t="n">
        <f aca="false">BB278+BB279+BB280+BB281+BB282+BB283+BB284+BB285+BB286</f>
        <v>-15499.0832831672</v>
      </c>
      <c r="BC287" s="68" t="n">
        <f aca="false">BC278+BC279+BC280+BC281+BC282+BC283+BC284+BC285+BC286</f>
        <v>-15499.0832831672</v>
      </c>
      <c r="BD287" s="68" t="n">
        <f aca="false">BD278+BD279+BD280+BD281+BD282+BD283+BD284+BD285+BD286</f>
        <v>-15499.0832831672</v>
      </c>
      <c r="BE287" s="68" t="n">
        <f aca="false">BE278+BE279+BE280+BE281+BE282+BE283+BE284+BE285+BE286</f>
        <v>-15499.0832831672</v>
      </c>
      <c r="BF287" s="68" t="n">
        <f aca="false">BF278+BF279+BF280+BF281+BF282+BF283+BF284+BF285+BF286</f>
        <v>-15499.0832831672</v>
      </c>
      <c r="BG287" s="68" t="n">
        <f aca="false">BG278+BG279+BG280+BG281+BG282+BG283+BG284+BG285+BG286</f>
        <v>-15499.0832831672</v>
      </c>
      <c r="BH287" s="68" t="n">
        <f aca="false">BH278+BH279+BH280+BH281+BH282+BH283+BH284+BH285+BH286</f>
        <v>-15499.0832831672</v>
      </c>
      <c r="BI287" s="68" t="n">
        <f aca="false">BI278+BI279+BI280+BI281+BI282+BI283+BI284+BI285+BI286</f>
        <v>-15499.0832831672</v>
      </c>
      <c r="BJ287" s="68" t="n">
        <f aca="false">BJ278+BJ279+BJ280+BJ281+BJ282+BJ283+BJ284+BJ285+BJ286</f>
        <v>-15297.7478119172</v>
      </c>
    </row>
    <row r="288" customFormat="false" ht="15" hidden="false" customHeight="false" outlineLevel="0" collapsed="false">
      <c r="A288" s="113" t="s">
        <v>48</v>
      </c>
      <c r="C288" s="68" t="n">
        <f aca="false">C275+C287</f>
        <v>-3356.41946666666</v>
      </c>
      <c r="D288" s="68" t="n">
        <f aca="false">D275+D287</f>
        <v>-1659.67826666667</v>
      </c>
      <c r="E288" s="68" t="n">
        <f aca="false">E275+E287</f>
        <v>3616.39946666667</v>
      </c>
      <c r="F288" s="68" t="n">
        <f aca="false">F275+F287</f>
        <v>5783.35773333333</v>
      </c>
      <c r="G288" s="68" t="n">
        <f aca="false">G275+G287</f>
        <v>7950.316</v>
      </c>
      <c r="H288" s="68" t="n">
        <f aca="false">H275+H287</f>
        <v>7950.316</v>
      </c>
      <c r="I288" s="68" t="n">
        <f aca="false">I275+I287</f>
        <v>7950.316</v>
      </c>
      <c r="J288" s="68" t="n">
        <f aca="false">J275+J287</f>
        <v>7950.316</v>
      </c>
      <c r="K288" s="68" t="n">
        <f aca="false">K275+K287</f>
        <v>7950.316</v>
      </c>
      <c r="L288" s="68" t="n">
        <f aca="false">L275+L287</f>
        <v>7950.316</v>
      </c>
      <c r="M288" s="68" t="n">
        <f aca="false">M275+M287</f>
        <v>7950.316</v>
      </c>
      <c r="N288" s="68" t="n">
        <f aca="false">N275+N287</f>
        <v>3430.54533333334</v>
      </c>
      <c r="O288" s="68" t="n">
        <f aca="false">O275+O287</f>
        <v>4785.91251733334</v>
      </c>
      <c r="P288" s="68" t="n">
        <f aca="false">P275+P287</f>
        <v>4785.91251733334</v>
      </c>
      <c r="Q288" s="68" t="n">
        <f aca="false">Q275+Q287</f>
        <v>9736.85104533334</v>
      </c>
      <c r="R288" s="68" t="n">
        <f aca="false">R275+R287</f>
        <v>9736.85104533334</v>
      </c>
      <c r="S288" s="68" t="n">
        <f aca="false">S275+S287</f>
        <v>9736.85104533334</v>
      </c>
      <c r="T288" s="68" t="n">
        <f aca="false">T275+T287</f>
        <v>9736.85104533334</v>
      </c>
      <c r="U288" s="68" t="n">
        <f aca="false">U275+U287</f>
        <v>9736.85104533334</v>
      </c>
      <c r="V288" s="68" t="n">
        <f aca="false">V275+V287</f>
        <v>9736.85104533334</v>
      </c>
      <c r="W288" s="68" t="n">
        <f aca="false">W275+W287</f>
        <v>9736.85104533334</v>
      </c>
      <c r="X288" s="68" t="n">
        <f aca="false">X275+X287</f>
        <v>9736.85104533334</v>
      </c>
      <c r="Y288" s="68" t="n">
        <f aca="false">Y275+Y287</f>
        <v>9736.85104533334</v>
      </c>
      <c r="Z288" s="68" t="n">
        <f aca="false">Z275+Z287</f>
        <v>4785.91251733334</v>
      </c>
      <c r="AA288" s="68" t="n">
        <f aca="false">AA275+AA287</f>
        <v>6313.22464856133</v>
      </c>
      <c r="AB288" s="68" t="n">
        <f aca="false">AB275+AB287</f>
        <v>6313.22464856133</v>
      </c>
      <c r="AC288" s="68" t="n">
        <f aca="false">AC275+AC287</f>
        <v>11735.5425233373</v>
      </c>
      <c r="AD288" s="68" t="n">
        <f aca="false">AD275+AD287</f>
        <v>11735.5425233373</v>
      </c>
      <c r="AE288" s="68" t="n">
        <f aca="false">AE275+AE287</f>
        <v>11735.5425233373</v>
      </c>
      <c r="AF288" s="68" t="n">
        <f aca="false">AF275+AF287</f>
        <v>11735.5425233373</v>
      </c>
      <c r="AG288" s="68" t="n">
        <f aca="false">AG275+AG287</f>
        <v>11735.5425233373</v>
      </c>
      <c r="AH288" s="68" t="n">
        <f aca="false">AH275+AH287</f>
        <v>11735.5425233373</v>
      </c>
      <c r="AI288" s="68" t="n">
        <f aca="false">AI275+AI287</f>
        <v>11735.5425233373</v>
      </c>
      <c r="AJ288" s="68" t="n">
        <f aca="false">AJ275+AJ287</f>
        <v>11735.5425233373</v>
      </c>
      <c r="AK288" s="68" t="n">
        <f aca="false">AK275+AK287</f>
        <v>11735.5425233373</v>
      </c>
      <c r="AL288" s="68" t="n">
        <f aca="false">AL275+AL287</f>
        <v>6313.22464856133</v>
      </c>
      <c r="AM288" s="68" t="n">
        <f aca="false">AM275+AM287</f>
        <v>8032.39293012362</v>
      </c>
      <c r="AN288" s="68" t="n">
        <f aca="false">AN275+AN287</f>
        <v>8032.39293012362</v>
      </c>
      <c r="AO288" s="68" t="n">
        <f aca="false">AO275+AO287</f>
        <v>13970.0269190968</v>
      </c>
      <c r="AP288" s="68" t="n">
        <f aca="false">AP275+AP287</f>
        <v>13970.0269190968</v>
      </c>
      <c r="AQ288" s="68" t="n">
        <f aca="false">AQ275+AQ287</f>
        <v>13970.0269190968</v>
      </c>
      <c r="AR288" s="68" t="n">
        <f aca="false">AR275+AR287</f>
        <v>13970.0269190968</v>
      </c>
      <c r="AS288" s="68" t="n">
        <f aca="false">AS275+AS287</f>
        <v>13970.0269190968</v>
      </c>
      <c r="AT288" s="68" t="n">
        <f aca="false">AT275+AT287</f>
        <v>13970.0269190968</v>
      </c>
      <c r="AU288" s="68" t="n">
        <f aca="false">AU275+AU287</f>
        <v>13970.0269190968</v>
      </c>
      <c r="AV288" s="68" t="n">
        <f aca="false">AV275+AV287</f>
        <v>13970.0269190968</v>
      </c>
      <c r="AW288" s="68" t="n">
        <f aca="false">AW275+AW287</f>
        <v>13970.0269190968</v>
      </c>
      <c r="AX288" s="68" t="n">
        <f aca="false">AX275+AX287</f>
        <v>8032.39293012362</v>
      </c>
      <c r="AY288" s="68" t="n">
        <f aca="false">AY275+AY287</f>
        <v>9965.67311083709</v>
      </c>
      <c r="AZ288" s="68" t="n">
        <f aca="false">AZ275+AZ287</f>
        <v>9965.67311083709</v>
      </c>
      <c r="BA288" s="68" t="n">
        <f aca="false">BA275+BA287</f>
        <v>16466.629567082</v>
      </c>
      <c r="BB288" s="68" t="n">
        <f aca="false">BB275+BB287</f>
        <v>16466.629567082</v>
      </c>
      <c r="BC288" s="68" t="n">
        <f aca="false">BC275+BC287</f>
        <v>16466.629567082</v>
      </c>
      <c r="BD288" s="68" t="n">
        <f aca="false">BD275+BD287</f>
        <v>16466.629567082</v>
      </c>
      <c r="BE288" s="68" t="n">
        <f aca="false">BE275+BE287</f>
        <v>16466.629567082</v>
      </c>
      <c r="BF288" s="68" t="n">
        <f aca="false">BF275+BF287</f>
        <v>16466.629567082</v>
      </c>
      <c r="BG288" s="68" t="n">
        <f aca="false">BG275+BG287</f>
        <v>16466.629567082</v>
      </c>
      <c r="BH288" s="68" t="n">
        <f aca="false">BH275+BH287</f>
        <v>16466.629567082</v>
      </c>
      <c r="BI288" s="68" t="n">
        <f aca="false">BI275+BI287</f>
        <v>16466.629567082</v>
      </c>
      <c r="BJ288" s="68" t="n">
        <f aca="false">BJ275+BJ287</f>
        <v>9965.67311083709</v>
      </c>
    </row>
    <row r="290" customFormat="false" ht="15.75" hidden="false" customHeight="true" outlineLevel="0" collapsed="false">
      <c r="A290" s="7" t="s">
        <v>428</v>
      </c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</row>
    <row r="291" customFormat="false" ht="15" hidden="false" customHeight="false" outlineLevel="0" collapsed="false">
      <c r="A291" s="4" t="s">
        <v>79</v>
      </c>
      <c r="C291" s="73" t="n">
        <f aca="false">C288+C306</f>
        <v>-4999.27660952381</v>
      </c>
      <c r="D291" s="73" t="n">
        <f aca="false">D288+D306</f>
        <v>-3302.53540952381</v>
      </c>
      <c r="E291" s="73" t="n">
        <f aca="false">E288+E306</f>
        <v>1973.54232380952</v>
      </c>
      <c r="F291" s="73" t="n">
        <f aca="false">F288+F306</f>
        <v>4140.50059047618</v>
      </c>
      <c r="G291" s="73" t="n">
        <f aca="false">G288+G306</f>
        <v>6307.45885714286</v>
      </c>
      <c r="H291" s="73" t="n">
        <f aca="false">H288+H306</f>
        <v>6307.45885714286</v>
      </c>
      <c r="I291" s="73" t="n">
        <f aca="false">I288+I306</f>
        <v>6307.45885714286</v>
      </c>
      <c r="J291" s="73" t="n">
        <f aca="false">J288+J306</f>
        <v>6307.45885714286</v>
      </c>
      <c r="K291" s="73" t="n">
        <f aca="false">K288+K306</f>
        <v>6307.45885714286</v>
      </c>
      <c r="L291" s="73" t="n">
        <f aca="false">L288+L306</f>
        <v>6307.45885714286</v>
      </c>
      <c r="M291" s="73" t="n">
        <f aca="false">M288+M306</f>
        <v>6307.45885714286</v>
      </c>
      <c r="N291" s="73" t="n">
        <f aca="false">N288+N306</f>
        <v>1787.68819047619</v>
      </c>
      <c r="O291" s="73" t="n">
        <f aca="false">O288+O306</f>
        <v>3113.29346971429</v>
      </c>
      <c r="P291" s="73" t="n">
        <f aca="false">P288+P306</f>
        <v>3113.29346971429</v>
      </c>
      <c r="Q291" s="73" t="n">
        <f aca="false">Q288+Q306</f>
        <v>8064.23199771429</v>
      </c>
      <c r="R291" s="73" t="n">
        <f aca="false">R288+R306</f>
        <v>8064.23199771429</v>
      </c>
      <c r="S291" s="73" t="n">
        <f aca="false">S288+S306</f>
        <v>8064.23199771429</v>
      </c>
      <c r="T291" s="73" t="n">
        <f aca="false">T288+T306</f>
        <v>8064.23199771429</v>
      </c>
      <c r="U291" s="73" t="n">
        <f aca="false">U288+U306</f>
        <v>8064.23199771429</v>
      </c>
      <c r="V291" s="73" t="n">
        <f aca="false">V288+V306</f>
        <v>8064.23199771429</v>
      </c>
      <c r="W291" s="73" t="n">
        <f aca="false">W288+W306</f>
        <v>8064.23199771429</v>
      </c>
      <c r="X291" s="73" t="n">
        <f aca="false">X288+X306</f>
        <v>8064.23199771429</v>
      </c>
      <c r="Y291" s="73" t="n">
        <f aca="false">Y288+Y306</f>
        <v>8064.23199771429</v>
      </c>
      <c r="Z291" s="73" t="n">
        <f aca="false">Z288+Z306</f>
        <v>3113.29346971429</v>
      </c>
      <c r="AA291" s="73" t="n">
        <f aca="false">AA288+AA306</f>
        <v>4610.84369618038</v>
      </c>
      <c r="AB291" s="73" t="n">
        <f aca="false">AB288+AB306</f>
        <v>4610.84369618038</v>
      </c>
      <c r="AC291" s="73" t="n">
        <f aca="false">AC288+AC306</f>
        <v>10033.1615709564</v>
      </c>
      <c r="AD291" s="73" t="n">
        <f aca="false">AD288+AD306</f>
        <v>10033.1615709564</v>
      </c>
      <c r="AE291" s="73" t="n">
        <f aca="false">AE288+AE306</f>
        <v>10033.1615709564</v>
      </c>
      <c r="AF291" s="73" t="n">
        <f aca="false">AF288+AF306</f>
        <v>10033.1615709564</v>
      </c>
      <c r="AG291" s="73" t="n">
        <f aca="false">AG288+AG306</f>
        <v>10033.1615709564</v>
      </c>
      <c r="AH291" s="73" t="n">
        <f aca="false">AH288+AH306</f>
        <v>10033.1615709564</v>
      </c>
      <c r="AI291" s="73" t="n">
        <f aca="false">AI288+AI306</f>
        <v>10033.1615709564</v>
      </c>
      <c r="AJ291" s="73" t="n">
        <f aca="false">AJ288+AJ306</f>
        <v>10033.1615709564</v>
      </c>
      <c r="AK291" s="73" t="n">
        <f aca="false">AK288+AK306</f>
        <v>10033.1615709564</v>
      </c>
      <c r="AL291" s="73" t="n">
        <f aca="false">AL288+AL306</f>
        <v>4610.84369618038</v>
      </c>
      <c r="AM291" s="73" t="n">
        <f aca="false">AM288+AM306</f>
        <v>6300.25007298077</v>
      </c>
      <c r="AN291" s="73" t="n">
        <f aca="false">AN288+AN306</f>
        <v>6300.25007298077</v>
      </c>
      <c r="AO291" s="73" t="n">
        <f aca="false">AO288+AO306</f>
        <v>12237.8840619539</v>
      </c>
      <c r="AP291" s="73" t="n">
        <f aca="false">AP288+AP306</f>
        <v>12237.8840619539</v>
      </c>
      <c r="AQ291" s="73" t="n">
        <f aca="false">AQ288+AQ306</f>
        <v>12237.8840619539</v>
      </c>
      <c r="AR291" s="73" t="n">
        <f aca="false">AR288+AR306</f>
        <v>12237.8840619539</v>
      </c>
      <c r="AS291" s="73" t="n">
        <f aca="false">AS288+AS306</f>
        <v>12237.8840619539</v>
      </c>
      <c r="AT291" s="73" t="n">
        <f aca="false">AT288+AT306</f>
        <v>12237.8840619539</v>
      </c>
      <c r="AU291" s="73" t="n">
        <f aca="false">AU288+AU306</f>
        <v>12237.8840619539</v>
      </c>
      <c r="AV291" s="73" t="n">
        <f aca="false">AV288+AV306</f>
        <v>12237.8840619539</v>
      </c>
      <c r="AW291" s="73" t="n">
        <f aca="false">AW288+AW306</f>
        <v>12237.8840619539</v>
      </c>
      <c r="AX291" s="73" t="n">
        <f aca="false">AX288+AX306</f>
        <v>6300.25007298077</v>
      </c>
      <c r="AY291" s="73" t="n">
        <f aca="false">AY288+AY306</f>
        <v>8203.76834893233</v>
      </c>
      <c r="AZ291" s="73" t="n">
        <f aca="false">AZ288+AZ306</f>
        <v>8203.76834893233</v>
      </c>
      <c r="BA291" s="73" t="n">
        <f aca="false">BA288+BA306</f>
        <v>14704.7248051772</v>
      </c>
      <c r="BB291" s="73" t="n">
        <f aca="false">BB288+BB306</f>
        <v>14704.7248051772</v>
      </c>
      <c r="BC291" s="73" t="n">
        <f aca="false">BC288+BC306</f>
        <v>14704.7248051772</v>
      </c>
      <c r="BD291" s="73" t="n">
        <f aca="false">BD288+BD306</f>
        <v>14704.7248051772</v>
      </c>
      <c r="BE291" s="73" t="n">
        <f aca="false">BE288+BE306</f>
        <v>14704.7248051772</v>
      </c>
      <c r="BF291" s="73" t="n">
        <f aca="false">BF288+BF306</f>
        <v>14704.7248051772</v>
      </c>
      <c r="BG291" s="73" t="n">
        <f aca="false">BG288+BG306</f>
        <v>14704.7248051772</v>
      </c>
      <c r="BH291" s="73" t="n">
        <f aca="false">BH288+BH306</f>
        <v>14704.7248051772</v>
      </c>
      <c r="BI291" s="73" t="n">
        <f aca="false">BI288+BI306</f>
        <v>14704.7248051772</v>
      </c>
      <c r="BJ291" s="73" t="n">
        <f aca="false">BJ288+BJ306</f>
        <v>8203.76834893233</v>
      </c>
    </row>
    <row r="292" customFormat="false" ht="15" hidden="false" customHeight="false" outlineLevel="0" collapsed="false">
      <c r="A292" s="6" t="s">
        <v>429</v>
      </c>
      <c r="C292" s="67" t="n">
        <f aca="false">-(C311+C312+C314)/2*Inputs!$D$73/12</f>
        <v>-675</v>
      </c>
      <c r="D292" s="67" t="n">
        <f aca="false">-(D311+D312+D314)/2*Inputs!$D$73/12</f>
        <v>-669.375</v>
      </c>
      <c r="E292" s="67" t="n">
        <f aca="false">-(E311+E312+E314)/2*Inputs!$D$73/12</f>
        <v>-658.125</v>
      </c>
      <c r="F292" s="67" t="n">
        <f aca="false">-(F311+F312+F314)/2*Inputs!$D$73/12</f>
        <v>-646.875</v>
      </c>
      <c r="G292" s="67" t="n">
        <f aca="false">-(G311+G312+G314)/2*Inputs!$D$73/12</f>
        <v>-635.625</v>
      </c>
      <c r="H292" s="67" t="n">
        <f aca="false">-(H311+H312+H314)/2*Inputs!$D$73/12</f>
        <v>-624.375</v>
      </c>
      <c r="I292" s="67" t="n">
        <f aca="false">-(I311+I312+I314)/2*Inputs!$D$73/12</f>
        <v>-613.125</v>
      </c>
      <c r="J292" s="67" t="n">
        <f aca="false">-(J311+J312+J314)/2*Inputs!$D$73/12</f>
        <v>-601.875</v>
      </c>
      <c r="K292" s="67" t="n">
        <f aca="false">-(K311+K312+K314)/2*Inputs!$D$73/12</f>
        <v>-590.625</v>
      </c>
      <c r="L292" s="67" t="n">
        <f aca="false">-(L311+L312+L314)/2*Inputs!$D$73/12</f>
        <v>-579.375</v>
      </c>
      <c r="M292" s="67" t="n">
        <f aca="false">-(M311+M312+M314)/2*Inputs!$D$73/12</f>
        <v>-568.125</v>
      </c>
      <c r="N292" s="67" t="n">
        <f aca="false">-(N311+N312+N314)/2*Inputs!$D$73/12</f>
        <v>-556.875</v>
      </c>
      <c r="O292" s="67" t="n">
        <f aca="false">-(O311+O312+O314)/2*Inputs!$D$73/12</f>
        <v>-545.625</v>
      </c>
      <c r="P292" s="67" t="n">
        <f aca="false">-(P311+P312+P314)/2*Inputs!$D$73/12</f>
        <v>-534.375</v>
      </c>
      <c r="Q292" s="67" t="n">
        <f aca="false">-(Q311+Q312+Q314)/2*Inputs!$D$73/12</f>
        <v>-523.125</v>
      </c>
      <c r="R292" s="67" t="n">
        <f aca="false">-(R311+R312+R314)/2*Inputs!$D$73/12</f>
        <v>-511.875</v>
      </c>
      <c r="S292" s="67" t="n">
        <f aca="false">-(S311+S312+S314)/2*Inputs!$D$73/12</f>
        <v>-500.625</v>
      </c>
      <c r="T292" s="67" t="n">
        <f aca="false">-(T311+T312+T314)/2*Inputs!$D$73/12</f>
        <v>-489.375</v>
      </c>
      <c r="U292" s="67" t="n">
        <f aca="false">-(U311+U312+U314)/2*Inputs!$D$73/12</f>
        <v>-478.125</v>
      </c>
      <c r="V292" s="67" t="n">
        <f aca="false">-(V311+V312+V314)/2*Inputs!$D$73/12</f>
        <v>-466.875</v>
      </c>
      <c r="W292" s="67" t="n">
        <f aca="false">-(W311+W312+W314)/2*Inputs!$D$73/12</f>
        <v>-455.625</v>
      </c>
      <c r="X292" s="67" t="n">
        <f aca="false">-(X311+X312+X314)/2*Inputs!$D$73/12</f>
        <v>-444.375</v>
      </c>
      <c r="Y292" s="67" t="n">
        <f aca="false">-(Y311+Y312+Y314)/2*Inputs!$D$73/12</f>
        <v>-433.125</v>
      </c>
      <c r="Z292" s="67" t="n">
        <f aca="false">-(Z311+Z312+Z314)/2*Inputs!$D$73/12</f>
        <v>-421.875</v>
      </c>
      <c r="AA292" s="67" t="n">
        <f aca="false">-(AA311+AA312+AA314)/2*Inputs!$D$73/12</f>
        <v>-410.625</v>
      </c>
      <c r="AB292" s="67" t="n">
        <f aca="false">-(AB311+AB312+AB314)/2*Inputs!$D$73/12</f>
        <v>-399.375</v>
      </c>
      <c r="AC292" s="67" t="n">
        <f aca="false">-(AC311+AC312+AC314)/2*Inputs!$D$73/12</f>
        <v>-388.125</v>
      </c>
      <c r="AD292" s="67" t="n">
        <f aca="false">-(AD311+AD312+AD314)/2*Inputs!$D$73/12</f>
        <v>-376.875</v>
      </c>
      <c r="AE292" s="67" t="n">
        <f aca="false">-(AE311+AE312+AE314)/2*Inputs!$D$73/12</f>
        <v>-365.625</v>
      </c>
      <c r="AF292" s="67" t="n">
        <f aca="false">-(AF311+AF312+AF314)/2*Inputs!$D$73/12</f>
        <v>-354.375</v>
      </c>
      <c r="AG292" s="67" t="n">
        <f aca="false">-(AG311+AG312+AG314)/2*Inputs!$D$73/12</f>
        <v>-343.125</v>
      </c>
      <c r="AH292" s="67" t="n">
        <f aca="false">-(AH311+AH312+AH314)/2*Inputs!$D$73/12</f>
        <v>-331.875</v>
      </c>
      <c r="AI292" s="67" t="n">
        <f aca="false">-(AI311+AI312+AI314)/2*Inputs!$D$73/12</f>
        <v>-320.625</v>
      </c>
      <c r="AJ292" s="67" t="n">
        <f aca="false">-(AJ311+AJ312+AJ314)/2*Inputs!$D$73/12</f>
        <v>-309.375</v>
      </c>
      <c r="AK292" s="67" t="n">
        <f aca="false">-(AK311+AK312+AK314)/2*Inputs!$D$73/12</f>
        <v>-298.125</v>
      </c>
      <c r="AL292" s="67" t="n">
        <f aca="false">-(AL311+AL312+AL314)/2*Inputs!$D$73/12</f>
        <v>-286.875</v>
      </c>
      <c r="AM292" s="67" t="n">
        <f aca="false">-(AM311+AM312+AM314)/2*Inputs!$D$73/12</f>
        <v>-275.625</v>
      </c>
      <c r="AN292" s="67" t="n">
        <f aca="false">-(AN311+AN312+AN314)/2*Inputs!$D$73/12</f>
        <v>-264.375</v>
      </c>
      <c r="AO292" s="67" t="n">
        <f aca="false">-(AO311+AO312+AO314)/2*Inputs!$D$73/12</f>
        <v>-253.125</v>
      </c>
      <c r="AP292" s="67" t="n">
        <f aca="false">-(AP311+AP312+AP314)/2*Inputs!$D$73/12</f>
        <v>-241.875</v>
      </c>
      <c r="AQ292" s="67" t="n">
        <f aca="false">-(AQ311+AQ312+AQ314)/2*Inputs!$D$73/12</f>
        <v>-230.625</v>
      </c>
      <c r="AR292" s="67" t="n">
        <f aca="false">-(AR311+AR312+AR314)/2*Inputs!$D$73/12</f>
        <v>-219.375</v>
      </c>
      <c r="AS292" s="67" t="n">
        <f aca="false">-(AS311+AS312+AS314)/2*Inputs!$D$73/12</f>
        <v>-208.125</v>
      </c>
      <c r="AT292" s="67" t="n">
        <f aca="false">-(AT311+AT312+AT314)/2*Inputs!$D$73/12</f>
        <v>-196.875</v>
      </c>
      <c r="AU292" s="67" t="n">
        <f aca="false">-(AU311+AU312+AU314)/2*Inputs!$D$73/12</f>
        <v>-185.625</v>
      </c>
      <c r="AV292" s="67" t="n">
        <f aca="false">-(AV311+AV312+AV314)/2*Inputs!$D$73/12</f>
        <v>-174.375</v>
      </c>
      <c r="AW292" s="67" t="n">
        <f aca="false">-(AW311+AW312+AW314)/2*Inputs!$D$73/12</f>
        <v>-163.125</v>
      </c>
      <c r="AX292" s="67" t="n">
        <f aca="false">-(AX311+AX312+AX314)/2*Inputs!$D$73/12</f>
        <v>-151.875</v>
      </c>
      <c r="AY292" s="67" t="n">
        <f aca="false">-(AY311+AY312+AY314)/2*Inputs!$D$73/12</f>
        <v>-140.625</v>
      </c>
      <c r="AZ292" s="67" t="n">
        <f aca="false">-(AZ311+AZ312+AZ314)/2*Inputs!$D$73/12</f>
        <v>-129.375</v>
      </c>
      <c r="BA292" s="67" t="n">
        <f aca="false">-(BA311+BA312+BA314)/2*Inputs!$D$73/12</f>
        <v>-118.125</v>
      </c>
      <c r="BB292" s="67" t="n">
        <f aca="false">-(BB311+BB312+BB314)/2*Inputs!$D$73/12</f>
        <v>-106.875</v>
      </c>
      <c r="BC292" s="67" t="n">
        <f aca="false">-(BC311+BC312+BC314)/2*Inputs!$D$73/12</f>
        <v>-95.625</v>
      </c>
      <c r="BD292" s="67" t="n">
        <f aca="false">-(BD311+BD312+BD314)/2*Inputs!$D$73/12</f>
        <v>-84.375</v>
      </c>
      <c r="BE292" s="67" t="n">
        <f aca="false">-(BE311+BE312+BE314)/2*Inputs!$D$73/12</f>
        <v>-73.125</v>
      </c>
      <c r="BF292" s="67" t="n">
        <f aca="false">-(BF311+BF312+BF314)/2*Inputs!$D$73/12</f>
        <v>-61.875</v>
      </c>
      <c r="BG292" s="67" t="n">
        <f aca="false">-(BG311+BG312+BG314)/2*Inputs!$D$73/12</f>
        <v>-50.625</v>
      </c>
      <c r="BH292" s="67" t="n">
        <f aca="false">-(BH311+BH312+BH314)/2*Inputs!$D$73/12</f>
        <v>-39.375</v>
      </c>
      <c r="BI292" s="67" t="n">
        <f aca="false">-(BI311+BI312+BI314)/2*Inputs!$D$73/12</f>
        <v>-28.125</v>
      </c>
      <c r="BJ292" s="67" t="n">
        <f aca="false">-(BJ311+BJ312+BJ314)/2*Inputs!$D$73/12</f>
        <v>-16.875</v>
      </c>
    </row>
    <row r="293" customFormat="false" ht="15" hidden="false" customHeight="false" outlineLevel="0" collapsed="false">
      <c r="A293" s="113" t="s">
        <v>81</v>
      </c>
      <c r="C293" s="68" t="n">
        <f aca="false">C291+C292</f>
        <v>-5674.27660952381</v>
      </c>
      <c r="D293" s="68" t="n">
        <f aca="false">D291+D292</f>
        <v>-3971.91040952381</v>
      </c>
      <c r="E293" s="68" t="n">
        <f aca="false">E291+E292</f>
        <v>1315.41732380952</v>
      </c>
      <c r="F293" s="68" t="n">
        <f aca="false">F291+F292</f>
        <v>3493.62559047618</v>
      </c>
      <c r="G293" s="68" t="n">
        <f aca="false">G291+G292</f>
        <v>5671.83385714286</v>
      </c>
      <c r="H293" s="68" t="n">
        <f aca="false">H291+H292</f>
        <v>5683.08385714286</v>
      </c>
      <c r="I293" s="68" t="n">
        <f aca="false">I291+I292</f>
        <v>5694.33385714286</v>
      </c>
      <c r="J293" s="68" t="n">
        <f aca="false">J291+J292</f>
        <v>5705.58385714286</v>
      </c>
      <c r="K293" s="68" t="n">
        <f aca="false">K291+K292</f>
        <v>5716.83385714286</v>
      </c>
      <c r="L293" s="68" t="n">
        <f aca="false">L291+L292</f>
        <v>5728.08385714286</v>
      </c>
      <c r="M293" s="68" t="n">
        <f aca="false">M291+M292</f>
        <v>5739.33385714286</v>
      </c>
      <c r="N293" s="68" t="n">
        <f aca="false">N291+N292</f>
        <v>1230.81319047619</v>
      </c>
      <c r="O293" s="68" t="n">
        <f aca="false">O291+O292</f>
        <v>2567.66846971429</v>
      </c>
      <c r="P293" s="68" t="n">
        <f aca="false">P291+P292</f>
        <v>2578.91846971429</v>
      </c>
      <c r="Q293" s="68" t="n">
        <f aca="false">Q291+Q292</f>
        <v>7541.10699771429</v>
      </c>
      <c r="R293" s="68" t="n">
        <f aca="false">R291+R292</f>
        <v>7552.35699771429</v>
      </c>
      <c r="S293" s="68" t="n">
        <f aca="false">S291+S292</f>
        <v>7563.60699771429</v>
      </c>
      <c r="T293" s="68" t="n">
        <f aca="false">T291+T292</f>
        <v>7574.85699771429</v>
      </c>
      <c r="U293" s="68" t="n">
        <f aca="false">U291+U292</f>
        <v>7586.10699771429</v>
      </c>
      <c r="V293" s="68" t="n">
        <f aca="false">V291+V292</f>
        <v>7597.35699771429</v>
      </c>
      <c r="W293" s="68" t="n">
        <f aca="false">W291+W292</f>
        <v>7608.60699771429</v>
      </c>
      <c r="X293" s="68" t="n">
        <f aca="false">X291+X292</f>
        <v>7619.85699771429</v>
      </c>
      <c r="Y293" s="68" t="n">
        <f aca="false">Y291+Y292</f>
        <v>7631.10699771429</v>
      </c>
      <c r="Z293" s="68" t="n">
        <f aca="false">Z291+Z292</f>
        <v>2691.41846971429</v>
      </c>
      <c r="AA293" s="68" t="n">
        <f aca="false">AA291+AA292</f>
        <v>4200.21869618038</v>
      </c>
      <c r="AB293" s="68" t="n">
        <f aca="false">AB291+AB292</f>
        <v>4211.46869618038</v>
      </c>
      <c r="AC293" s="68" t="n">
        <f aca="false">AC291+AC292</f>
        <v>9645.03657095638</v>
      </c>
      <c r="AD293" s="68" t="n">
        <f aca="false">AD291+AD292</f>
        <v>9656.28657095638</v>
      </c>
      <c r="AE293" s="68" t="n">
        <f aca="false">AE291+AE292</f>
        <v>9667.53657095638</v>
      </c>
      <c r="AF293" s="68" t="n">
        <f aca="false">AF291+AF292</f>
        <v>9678.78657095638</v>
      </c>
      <c r="AG293" s="68" t="n">
        <f aca="false">AG291+AG292</f>
        <v>9690.03657095638</v>
      </c>
      <c r="AH293" s="68" t="n">
        <f aca="false">AH291+AH292</f>
        <v>9701.28657095638</v>
      </c>
      <c r="AI293" s="68" t="n">
        <f aca="false">AI291+AI292</f>
        <v>9712.53657095638</v>
      </c>
      <c r="AJ293" s="68" t="n">
        <f aca="false">AJ291+AJ292</f>
        <v>9723.78657095638</v>
      </c>
      <c r="AK293" s="68" t="n">
        <f aca="false">AK291+AK292</f>
        <v>9735.03657095638</v>
      </c>
      <c r="AL293" s="68" t="n">
        <f aca="false">AL291+AL292</f>
        <v>4323.96869618038</v>
      </c>
      <c r="AM293" s="68" t="n">
        <f aca="false">AM291+AM292</f>
        <v>6024.62507298077</v>
      </c>
      <c r="AN293" s="68" t="n">
        <f aca="false">AN291+AN292</f>
        <v>6035.87507298077</v>
      </c>
      <c r="AO293" s="68" t="n">
        <f aca="false">AO291+AO292</f>
        <v>11984.7590619539</v>
      </c>
      <c r="AP293" s="68" t="n">
        <f aca="false">AP291+AP292</f>
        <v>11996.0090619539</v>
      </c>
      <c r="AQ293" s="68" t="n">
        <f aca="false">AQ291+AQ292</f>
        <v>12007.2590619539</v>
      </c>
      <c r="AR293" s="68" t="n">
        <f aca="false">AR291+AR292</f>
        <v>12018.5090619539</v>
      </c>
      <c r="AS293" s="68" t="n">
        <f aca="false">AS291+AS292</f>
        <v>12029.7590619539</v>
      </c>
      <c r="AT293" s="68" t="n">
        <f aca="false">AT291+AT292</f>
        <v>12041.0090619539</v>
      </c>
      <c r="AU293" s="68" t="n">
        <f aca="false">AU291+AU292</f>
        <v>12052.2590619539</v>
      </c>
      <c r="AV293" s="68" t="n">
        <f aca="false">AV291+AV292</f>
        <v>12063.5090619539</v>
      </c>
      <c r="AW293" s="68" t="n">
        <f aca="false">AW291+AW292</f>
        <v>12074.7590619539</v>
      </c>
      <c r="AX293" s="68" t="n">
        <f aca="false">AX291+AX292</f>
        <v>6148.37507298077</v>
      </c>
      <c r="AY293" s="68" t="n">
        <f aca="false">AY291+AY292</f>
        <v>8063.14334893233</v>
      </c>
      <c r="AZ293" s="68" t="n">
        <f aca="false">AZ291+AZ292</f>
        <v>8074.39334893233</v>
      </c>
      <c r="BA293" s="68" t="n">
        <f aca="false">BA291+BA292</f>
        <v>14586.5998051772</v>
      </c>
      <c r="BB293" s="68" t="n">
        <f aca="false">BB291+BB292</f>
        <v>14597.8498051772</v>
      </c>
      <c r="BC293" s="68" t="n">
        <f aca="false">BC291+BC292</f>
        <v>14609.0998051772</v>
      </c>
      <c r="BD293" s="68" t="n">
        <f aca="false">BD291+BD292</f>
        <v>14620.3498051772</v>
      </c>
      <c r="BE293" s="68" t="n">
        <f aca="false">BE291+BE292</f>
        <v>14631.5998051772</v>
      </c>
      <c r="BF293" s="68" t="n">
        <f aca="false">BF291+BF292</f>
        <v>14642.8498051772</v>
      </c>
      <c r="BG293" s="68" t="n">
        <f aca="false">BG291+BG292</f>
        <v>14654.0998051772</v>
      </c>
      <c r="BH293" s="68" t="n">
        <f aca="false">BH291+BH292</f>
        <v>14665.3498051772</v>
      </c>
      <c r="BI293" s="68" t="n">
        <f aca="false">BI291+BI292</f>
        <v>14676.5998051772</v>
      </c>
      <c r="BJ293" s="68" t="n">
        <f aca="false">BJ291+BJ292</f>
        <v>8186.89334893233</v>
      </c>
    </row>
    <row r="294" customFormat="false" ht="15" hidden="false" customHeight="false" outlineLevel="0" collapsed="false">
      <c r="A294" s="117" t="s">
        <v>430</v>
      </c>
      <c r="C294" s="67" t="n">
        <f aca="false">C293</f>
        <v>-5674.27660952381</v>
      </c>
      <c r="D294" s="67" t="n">
        <f aca="false">C294+D293</f>
        <v>-9646.18701904762</v>
      </c>
      <c r="E294" s="67" t="n">
        <f aca="false">D294+E293</f>
        <v>-8330.76969523809</v>
      </c>
      <c r="F294" s="67" t="n">
        <f aca="false">E294+F293</f>
        <v>-4837.14410476191</v>
      </c>
      <c r="G294" s="67" t="n">
        <f aca="false">F294+G293</f>
        <v>834.689752380949</v>
      </c>
      <c r="H294" s="67" t="n">
        <f aca="false">G294+H293</f>
        <v>6517.77360952381</v>
      </c>
      <c r="I294" s="67" t="n">
        <f aca="false">H294+I293</f>
        <v>12212.1074666667</v>
      </c>
      <c r="J294" s="67" t="n">
        <f aca="false">I294+J293</f>
        <v>17917.6913238095</v>
      </c>
      <c r="K294" s="67" t="n">
        <f aca="false">J294+K293</f>
        <v>23634.5251809524</v>
      </c>
      <c r="L294" s="67" t="n">
        <f aca="false">K294+L293</f>
        <v>29362.6090380952</v>
      </c>
      <c r="M294" s="67" t="n">
        <f aca="false">L294+M293</f>
        <v>35101.9428952381</v>
      </c>
      <c r="N294" s="67" t="n">
        <f aca="false">M294+N293</f>
        <v>36332.7560857143</v>
      </c>
      <c r="O294" s="67" t="n">
        <f aca="false">N294+O293</f>
        <v>38900.4245554286</v>
      </c>
      <c r="P294" s="67" t="n">
        <f aca="false">O294+P293</f>
        <v>41479.3430251429</v>
      </c>
      <c r="Q294" s="67" t="n">
        <f aca="false">P294+Q293</f>
        <v>49020.4500228572</v>
      </c>
      <c r="R294" s="67" t="n">
        <f aca="false">Q294+R293</f>
        <v>56572.8070205715</v>
      </c>
      <c r="S294" s="67" t="n">
        <f aca="false">R294+S293</f>
        <v>64136.4140182857</v>
      </c>
      <c r="T294" s="67" t="n">
        <f aca="false">S294+T293</f>
        <v>71711.271016</v>
      </c>
      <c r="U294" s="67" t="n">
        <f aca="false">T294+U293</f>
        <v>79297.3780137143</v>
      </c>
      <c r="V294" s="67" t="n">
        <f aca="false">U294+V293</f>
        <v>86894.7350114286</v>
      </c>
      <c r="W294" s="67" t="n">
        <f aca="false">V294+W293</f>
        <v>94503.3420091429</v>
      </c>
      <c r="X294" s="67" t="n">
        <f aca="false">W294+X293</f>
        <v>102123.199006857</v>
      </c>
      <c r="Y294" s="67" t="n">
        <f aca="false">X294+Y293</f>
        <v>109754.306004571</v>
      </c>
      <c r="Z294" s="67" t="n">
        <f aca="false">Y294+Z293</f>
        <v>112445.724474286</v>
      </c>
      <c r="AA294" s="67" t="n">
        <f aca="false">Z294+AA293</f>
        <v>116645.943170466</v>
      </c>
      <c r="AB294" s="67" t="n">
        <f aca="false">AA294+AB293</f>
        <v>120857.411866647</v>
      </c>
      <c r="AC294" s="67" t="n">
        <f aca="false">AB294+AC293</f>
        <v>130502.448437603</v>
      </c>
      <c r="AD294" s="67" t="n">
        <f aca="false">AC294+AD293</f>
        <v>140158.735008559</v>
      </c>
      <c r="AE294" s="67" t="n">
        <f aca="false">AD294+AE293</f>
        <v>149826.271579516</v>
      </c>
      <c r="AF294" s="67" t="n">
        <f aca="false">AE294+AF293</f>
        <v>159505.058150472</v>
      </c>
      <c r="AG294" s="67" t="n">
        <f aca="false">AF294+AG293</f>
        <v>169195.094721428</v>
      </c>
      <c r="AH294" s="67" t="n">
        <f aca="false">AG294+AH293</f>
        <v>178896.381292385</v>
      </c>
      <c r="AI294" s="67" t="n">
        <f aca="false">AH294+AI293</f>
        <v>188608.917863341</v>
      </c>
      <c r="AJ294" s="67" t="n">
        <f aca="false">AI294+AJ293</f>
        <v>198332.704434298</v>
      </c>
      <c r="AK294" s="67" t="n">
        <f aca="false">AJ294+AK293</f>
        <v>208067.741005254</v>
      </c>
      <c r="AL294" s="67" t="n">
        <f aca="false">AK294+AL293</f>
        <v>212391.709701434</v>
      </c>
      <c r="AM294" s="67" t="n">
        <f aca="false">AL294+AM293</f>
        <v>218416.334774415</v>
      </c>
      <c r="AN294" s="67" t="n">
        <f aca="false">AM294+AN293</f>
        <v>224452.209847396</v>
      </c>
      <c r="AO294" s="67" t="n">
        <f aca="false">AN294+AO293</f>
        <v>236436.96890935</v>
      </c>
      <c r="AP294" s="67" t="n">
        <f aca="false">AO294+AP293</f>
        <v>248432.977971304</v>
      </c>
      <c r="AQ294" s="67" t="n">
        <f aca="false">AP294+AQ293</f>
        <v>260440.237033258</v>
      </c>
      <c r="AR294" s="67" t="n">
        <f aca="false">AQ294+AR293</f>
        <v>272458.746095212</v>
      </c>
      <c r="AS294" s="67" t="n">
        <f aca="false">AR294+AS293</f>
        <v>284488.505157165</v>
      </c>
      <c r="AT294" s="67" t="n">
        <f aca="false">AS294+AT293</f>
        <v>296529.514219119</v>
      </c>
      <c r="AU294" s="67" t="n">
        <f aca="false">AT294+AU293</f>
        <v>308581.773281073</v>
      </c>
      <c r="AV294" s="67" t="n">
        <f aca="false">AU294+AV293</f>
        <v>320645.282343027</v>
      </c>
      <c r="AW294" s="67" t="n">
        <f aca="false">AV294+AW293</f>
        <v>332720.041404981</v>
      </c>
      <c r="AX294" s="67" t="n">
        <f aca="false">AW294+AX293</f>
        <v>338868.416477962</v>
      </c>
      <c r="AY294" s="67" t="n">
        <f aca="false">AX294+AY293</f>
        <v>346931.559826894</v>
      </c>
      <c r="AZ294" s="67" t="n">
        <f aca="false">AY294+AZ293</f>
        <v>355005.953175827</v>
      </c>
      <c r="BA294" s="67" t="n">
        <f aca="false">AZ294+BA293</f>
        <v>369592.552981004</v>
      </c>
      <c r="BB294" s="67" t="n">
        <f aca="false">BA294+BB293</f>
        <v>384190.402786181</v>
      </c>
      <c r="BC294" s="67" t="n">
        <f aca="false">BB294+BC293</f>
        <v>398799.502591358</v>
      </c>
      <c r="BD294" s="67" t="n">
        <f aca="false">BC294+BD293</f>
        <v>413419.852396536</v>
      </c>
      <c r="BE294" s="67" t="n">
        <f aca="false">BD294+BE293</f>
        <v>428051.452201713</v>
      </c>
      <c r="BF294" s="67" t="n">
        <f aca="false">BE294+BF293</f>
        <v>442694.30200689</v>
      </c>
      <c r="BG294" s="67" t="n">
        <f aca="false">BF294+BG293</f>
        <v>457348.401812067</v>
      </c>
      <c r="BH294" s="67" t="n">
        <f aca="false">BG294+BH293</f>
        <v>472013.751617245</v>
      </c>
      <c r="BI294" s="67" t="n">
        <f aca="false">BH294+BI293</f>
        <v>486690.351422422</v>
      </c>
      <c r="BJ294" s="67" t="n">
        <f aca="false">BI294+BJ293</f>
        <v>494877.244771354</v>
      </c>
    </row>
    <row r="295" customFormat="false" ht="15" hidden="false" customHeight="false" outlineLevel="0" collapsed="false">
      <c r="A295" s="117" t="s">
        <v>431</v>
      </c>
      <c r="C295" s="67" t="n">
        <f aca="false">MAX(0,C294)</f>
        <v>0</v>
      </c>
      <c r="D295" s="67" t="n">
        <f aca="false">MAX(C295,D294)</f>
        <v>0</v>
      </c>
      <c r="E295" s="67" t="n">
        <f aca="false">MAX(D295,E294)</f>
        <v>0</v>
      </c>
      <c r="F295" s="67" t="n">
        <f aca="false">MAX(E295,F294)</f>
        <v>0</v>
      </c>
      <c r="G295" s="67" t="n">
        <f aca="false">MAX(F295,G294)</f>
        <v>834.689752380949</v>
      </c>
      <c r="H295" s="67" t="n">
        <f aca="false">MAX(G295,H294)</f>
        <v>6517.77360952381</v>
      </c>
      <c r="I295" s="67" t="n">
        <f aca="false">MAX(H295,I294)</f>
        <v>12212.1074666667</v>
      </c>
      <c r="J295" s="67" t="n">
        <f aca="false">MAX(I295,J294)</f>
        <v>17917.6913238095</v>
      </c>
      <c r="K295" s="67" t="n">
        <f aca="false">MAX(J295,K294)</f>
        <v>23634.5251809524</v>
      </c>
      <c r="L295" s="67" t="n">
        <f aca="false">MAX(K295,L294)</f>
        <v>29362.6090380952</v>
      </c>
      <c r="M295" s="67" t="n">
        <f aca="false">MAX(L295,M294)</f>
        <v>35101.9428952381</v>
      </c>
      <c r="N295" s="67" t="n">
        <f aca="false">MAX(M295,N294)</f>
        <v>36332.7560857143</v>
      </c>
      <c r="O295" s="67" t="n">
        <f aca="false">MAX(N295,O294)</f>
        <v>38900.4245554286</v>
      </c>
      <c r="P295" s="67" t="n">
        <f aca="false">MAX(O295,P294)</f>
        <v>41479.3430251429</v>
      </c>
      <c r="Q295" s="67" t="n">
        <f aca="false">MAX(P295,Q294)</f>
        <v>49020.4500228572</v>
      </c>
      <c r="R295" s="67" t="n">
        <f aca="false">MAX(Q295,R294)</f>
        <v>56572.8070205715</v>
      </c>
      <c r="S295" s="67" t="n">
        <f aca="false">MAX(R295,S294)</f>
        <v>64136.4140182857</v>
      </c>
      <c r="T295" s="67" t="n">
        <f aca="false">MAX(S295,T294)</f>
        <v>71711.271016</v>
      </c>
      <c r="U295" s="67" t="n">
        <f aca="false">MAX(T295,U294)</f>
        <v>79297.3780137143</v>
      </c>
      <c r="V295" s="67" t="n">
        <f aca="false">MAX(U295,V294)</f>
        <v>86894.7350114286</v>
      </c>
      <c r="W295" s="67" t="n">
        <f aca="false">MAX(V295,W294)</f>
        <v>94503.3420091429</v>
      </c>
      <c r="X295" s="67" t="n">
        <f aca="false">MAX(W295,X294)</f>
        <v>102123.199006857</v>
      </c>
      <c r="Y295" s="67" t="n">
        <f aca="false">MAX(X295,Y294)</f>
        <v>109754.306004571</v>
      </c>
      <c r="Z295" s="67" t="n">
        <f aca="false">MAX(Y295,Z294)</f>
        <v>112445.724474286</v>
      </c>
      <c r="AA295" s="67" t="n">
        <f aca="false">MAX(Z295,AA294)</f>
        <v>116645.943170466</v>
      </c>
      <c r="AB295" s="67" t="n">
        <f aca="false">MAX(AA295,AB294)</f>
        <v>120857.411866647</v>
      </c>
      <c r="AC295" s="67" t="n">
        <f aca="false">MAX(AB295,AC294)</f>
        <v>130502.448437603</v>
      </c>
      <c r="AD295" s="67" t="n">
        <f aca="false">MAX(AC295,AD294)</f>
        <v>140158.735008559</v>
      </c>
      <c r="AE295" s="67" t="n">
        <f aca="false">MAX(AD295,AE294)</f>
        <v>149826.271579516</v>
      </c>
      <c r="AF295" s="67" t="n">
        <f aca="false">MAX(AE295,AF294)</f>
        <v>159505.058150472</v>
      </c>
      <c r="AG295" s="67" t="n">
        <f aca="false">MAX(AF295,AG294)</f>
        <v>169195.094721428</v>
      </c>
      <c r="AH295" s="67" t="n">
        <f aca="false">MAX(AG295,AH294)</f>
        <v>178896.381292385</v>
      </c>
      <c r="AI295" s="67" t="n">
        <f aca="false">MAX(AH295,AI294)</f>
        <v>188608.917863341</v>
      </c>
      <c r="AJ295" s="67" t="n">
        <f aca="false">MAX(AI295,AJ294)</f>
        <v>198332.704434298</v>
      </c>
      <c r="AK295" s="67" t="n">
        <f aca="false">MAX(AJ295,AK294)</f>
        <v>208067.741005254</v>
      </c>
      <c r="AL295" s="67" t="n">
        <f aca="false">MAX(AK295,AL294)</f>
        <v>212391.709701434</v>
      </c>
      <c r="AM295" s="67" t="n">
        <f aca="false">MAX(AL295,AM294)</f>
        <v>218416.334774415</v>
      </c>
      <c r="AN295" s="67" t="n">
        <f aca="false">MAX(AM295,AN294)</f>
        <v>224452.209847396</v>
      </c>
      <c r="AO295" s="67" t="n">
        <f aca="false">MAX(AN295,AO294)</f>
        <v>236436.96890935</v>
      </c>
      <c r="AP295" s="67" t="n">
        <f aca="false">MAX(AO295,AP294)</f>
        <v>248432.977971304</v>
      </c>
      <c r="AQ295" s="67" t="n">
        <f aca="false">MAX(AP295,AQ294)</f>
        <v>260440.237033258</v>
      </c>
      <c r="AR295" s="67" t="n">
        <f aca="false">MAX(AQ295,AR294)</f>
        <v>272458.746095212</v>
      </c>
      <c r="AS295" s="67" t="n">
        <f aca="false">MAX(AR295,AS294)</f>
        <v>284488.505157165</v>
      </c>
      <c r="AT295" s="67" t="n">
        <f aca="false">MAX(AS295,AT294)</f>
        <v>296529.514219119</v>
      </c>
      <c r="AU295" s="67" t="n">
        <f aca="false">MAX(AT295,AU294)</f>
        <v>308581.773281073</v>
      </c>
      <c r="AV295" s="67" t="n">
        <f aca="false">MAX(AU295,AV294)</f>
        <v>320645.282343027</v>
      </c>
      <c r="AW295" s="67" t="n">
        <f aca="false">MAX(AV295,AW294)</f>
        <v>332720.041404981</v>
      </c>
      <c r="AX295" s="67" t="n">
        <f aca="false">MAX(AW295,AX294)</f>
        <v>338868.416477962</v>
      </c>
      <c r="AY295" s="67" t="n">
        <f aca="false">MAX(AX295,AY294)</f>
        <v>346931.559826894</v>
      </c>
      <c r="AZ295" s="67" t="n">
        <f aca="false">MAX(AY295,AZ294)</f>
        <v>355005.953175827</v>
      </c>
      <c r="BA295" s="67" t="n">
        <f aca="false">MAX(AZ295,BA294)</f>
        <v>369592.552981004</v>
      </c>
      <c r="BB295" s="67" t="n">
        <f aca="false">MAX(BA295,BB294)</f>
        <v>384190.402786181</v>
      </c>
      <c r="BC295" s="67" t="n">
        <f aca="false">MAX(BB295,BC294)</f>
        <v>398799.502591358</v>
      </c>
      <c r="BD295" s="67" t="n">
        <f aca="false">MAX(BC295,BD294)</f>
        <v>413419.852396536</v>
      </c>
      <c r="BE295" s="67" t="n">
        <f aca="false">MAX(BD295,BE294)</f>
        <v>428051.452201713</v>
      </c>
      <c r="BF295" s="67" t="n">
        <f aca="false">MAX(BE295,BF294)</f>
        <v>442694.30200689</v>
      </c>
      <c r="BG295" s="67" t="n">
        <f aca="false">MAX(BF295,BG294)</f>
        <v>457348.401812067</v>
      </c>
      <c r="BH295" s="67" t="n">
        <f aca="false">MAX(BG295,BH294)</f>
        <v>472013.751617245</v>
      </c>
      <c r="BI295" s="67" t="n">
        <f aca="false">MAX(BH295,BI294)</f>
        <v>486690.351422422</v>
      </c>
      <c r="BJ295" s="67" t="n">
        <f aca="false">MAX(BI295,BJ294)</f>
        <v>494877.244771354</v>
      </c>
    </row>
    <row r="296" customFormat="false" ht="15" hidden="false" customHeight="false" outlineLevel="0" collapsed="false">
      <c r="A296" s="6" t="s">
        <v>82</v>
      </c>
      <c r="C296" s="67" t="n">
        <f aca="false">-C295*Inputs!$D$83</f>
        <v>-0</v>
      </c>
      <c r="D296" s="67" t="n">
        <f aca="false">-(D295-C295)*Inputs!$D$83</f>
        <v>-0</v>
      </c>
      <c r="E296" s="67" t="n">
        <f aca="false">-(E295-D295)*Inputs!$D$83</f>
        <v>-0</v>
      </c>
      <c r="F296" s="67" t="n">
        <f aca="false">-(F295-E295)*Inputs!$D$83</f>
        <v>-0</v>
      </c>
      <c r="G296" s="67" t="n">
        <f aca="false">-(G295-F295)*Inputs!$D$83</f>
        <v>-175.284847999999</v>
      </c>
      <c r="H296" s="67" t="n">
        <f aca="false">-(H295-G295)*Inputs!$D$83</f>
        <v>-1193.44761</v>
      </c>
      <c r="I296" s="67" t="n">
        <f aca="false">-(I295-H295)*Inputs!$D$83</f>
        <v>-1195.81011</v>
      </c>
      <c r="J296" s="67" t="n">
        <f aca="false">-(J295-I295)*Inputs!$D$83</f>
        <v>-1198.17261</v>
      </c>
      <c r="K296" s="67" t="n">
        <f aca="false">-(K295-J295)*Inputs!$D$83</f>
        <v>-1200.53511</v>
      </c>
      <c r="L296" s="67" t="n">
        <f aca="false">-(L295-K295)*Inputs!$D$83</f>
        <v>-1202.89761</v>
      </c>
      <c r="M296" s="67" t="n">
        <f aca="false">-(M295-L295)*Inputs!$D$83</f>
        <v>-1205.26011</v>
      </c>
      <c r="N296" s="67" t="n">
        <f aca="false">-(N295-M295)*Inputs!$D$83</f>
        <v>-258.47077</v>
      </c>
      <c r="O296" s="67" t="n">
        <f aca="false">-(O295-N295)*Inputs!$D$83</f>
        <v>-539.210378640001</v>
      </c>
      <c r="P296" s="67" t="n">
        <f aca="false">-(P295-O295)*Inputs!$D$83</f>
        <v>-541.572878640001</v>
      </c>
      <c r="Q296" s="67" t="n">
        <f aca="false">-(Q295-P295)*Inputs!$D$83</f>
        <v>-1583.63246952</v>
      </c>
      <c r="R296" s="67" t="n">
        <f aca="false">-(R295-Q295)*Inputs!$D$83</f>
        <v>-1585.99496952</v>
      </c>
      <c r="S296" s="67" t="n">
        <f aca="false">-(S295-R295)*Inputs!$D$83</f>
        <v>-1588.35746952</v>
      </c>
      <c r="T296" s="67" t="n">
        <f aca="false">-(T295-S295)*Inputs!$D$83</f>
        <v>-1590.71996952</v>
      </c>
      <c r="U296" s="67" t="n">
        <f aca="false">-(U295-T295)*Inputs!$D$83</f>
        <v>-1593.08246952</v>
      </c>
      <c r="V296" s="67" t="n">
        <f aca="false">-(V295-U295)*Inputs!$D$83</f>
        <v>-1595.44496952</v>
      </c>
      <c r="W296" s="67" t="n">
        <f aca="false">-(W295-V295)*Inputs!$D$83</f>
        <v>-1597.80746952</v>
      </c>
      <c r="X296" s="67" t="n">
        <f aca="false">-(X295-W295)*Inputs!$D$83</f>
        <v>-1600.16996952</v>
      </c>
      <c r="Y296" s="67" t="n">
        <f aca="false">-(Y295-X295)*Inputs!$D$83</f>
        <v>-1602.53246952</v>
      </c>
      <c r="Z296" s="67" t="n">
        <f aca="false">-(Z295-Y295)*Inputs!$D$83</f>
        <v>-565.197878640001</v>
      </c>
      <c r="AA296" s="67" t="n">
        <f aca="false">-(AA295-Z295)*Inputs!$D$83</f>
        <v>-882.04592619788</v>
      </c>
      <c r="AB296" s="67" t="n">
        <f aca="false">-(AB295-AA295)*Inputs!$D$83</f>
        <v>-884.40842619788</v>
      </c>
      <c r="AC296" s="67" t="n">
        <f aca="false">-(AC295-AB295)*Inputs!$D$83</f>
        <v>-2025.45767990084</v>
      </c>
      <c r="AD296" s="67" t="n">
        <f aca="false">-(AD295-AC295)*Inputs!$D$83</f>
        <v>-2027.82017990084</v>
      </c>
      <c r="AE296" s="67" t="n">
        <f aca="false">-(AE295-AD295)*Inputs!$D$83</f>
        <v>-2030.18267990084</v>
      </c>
      <c r="AF296" s="67" t="n">
        <f aca="false">-(AF295-AE295)*Inputs!$D$83</f>
        <v>-2032.54517990084</v>
      </c>
      <c r="AG296" s="67" t="n">
        <f aca="false">-(AG295-AF295)*Inputs!$D$83</f>
        <v>-2034.90767990084</v>
      </c>
      <c r="AH296" s="67" t="n">
        <f aca="false">-(AH295-AG295)*Inputs!$D$83</f>
        <v>-2037.27017990084</v>
      </c>
      <c r="AI296" s="67" t="n">
        <f aca="false">-(AI295-AH295)*Inputs!$D$83</f>
        <v>-2039.63267990084</v>
      </c>
      <c r="AJ296" s="67" t="n">
        <f aca="false">-(AJ295-AI295)*Inputs!$D$83</f>
        <v>-2041.99517990084</v>
      </c>
      <c r="AK296" s="67" t="n">
        <f aca="false">-(AK295-AJ295)*Inputs!$D$83</f>
        <v>-2044.35767990084</v>
      </c>
      <c r="AL296" s="67" t="n">
        <f aca="false">-(AL295-AK295)*Inputs!$D$83</f>
        <v>-908.03342619788</v>
      </c>
      <c r="AM296" s="67" t="n">
        <f aca="false">-(AM295-AL295)*Inputs!$D$83</f>
        <v>-1265.17126532596</v>
      </c>
      <c r="AN296" s="67" t="n">
        <f aca="false">-(AN295-AM295)*Inputs!$D$83</f>
        <v>-1267.53376532596</v>
      </c>
      <c r="AO296" s="67" t="n">
        <f aca="false">-(AO295-AN295)*Inputs!$D$83</f>
        <v>-2516.79940301032</v>
      </c>
      <c r="AP296" s="67" t="n">
        <f aca="false">-(AP295-AO295)*Inputs!$D$83</f>
        <v>-2519.16190301032</v>
      </c>
      <c r="AQ296" s="67" t="n">
        <f aca="false">-(AQ295-AP295)*Inputs!$D$83</f>
        <v>-2521.52440301032</v>
      </c>
      <c r="AR296" s="67" t="n">
        <f aca="false">-(AR295-AQ295)*Inputs!$D$83</f>
        <v>-2523.88690301032</v>
      </c>
      <c r="AS296" s="67" t="n">
        <f aca="false">-(AS295-AR295)*Inputs!$D$83</f>
        <v>-2526.24940301032</v>
      </c>
      <c r="AT296" s="67" t="n">
        <f aca="false">-(AT295-AS295)*Inputs!$D$83</f>
        <v>-2528.61190301032</v>
      </c>
      <c r="AU296" s="67" t="n">
        <f aca="false">-(AU295-AT295)*Inputs!$D$83</f>
        <v>-2530.97440301032</v>
      </c>
      <c r="AV296" s="67" t="n">
        <f aca="false">-(AV295-AU295)*Inputs!$D$83</f>
        <v>-2533.33690301032</v>
      </c>
      <c r="AW296" s="67" t="n">
        <f aca="false">-(AW295-AV295)*Inputs!$D$83</f>
        <v>-2535.69940301032</v>
      </c>
      <c r="AX296" s="67" t="n">
        <f aca="false">-(AX295-AW295)*Inputs!$D$83</f>
        <v>-1291.15876532596</v>
      </c>
      <c r="AY296" s="67" t="n">
        <f aca="false">-(AY295-AX295)*Inputs!$D$83</f>
        <v>-1693.26010327579</v>
      </c>
      <c r="AZ296" s="67" t="n">
        <f aca="false">-(AZ295-AY295)*Inputs!$D$83</f>
        <v>-1695.62260327579</v>
      </c>
      <c r="BA296" s="67" t="n">
        <f aca="false">-(BA295-AZ295)*Inputs!$D$83</f>
        <v>-3063.18595908722</v>
      </c>
      <c r="BB296" s="67" t="n">
        <f aca="false">-(BB295-BA295)*Inputs!$D$83</f>
        <v>-3065.54845908722</v>
      </c>
      <c r="BC296" s="67" t="n">
        <f aca="false">-(BC295-BB295)*Inputs!$D$83</f>
        <v>-3067.91095908722</v>
      </c>
      <c r="BD296" s="67" t="n">
        <f aca="false">-(BD295-BC295)*Inputs!$D$83</f>
        <v>-3070.27345908722</v>
      </c>
      <c r="BE296" s="67" t="n">
        <f aca="false">-(BE295-BD295)*Inputs!$D$83</f>
        <v>-3072.63595908722</v>
      </c>
      <c r="BF296" s="67" t="n">
        <f aca="false">-(BF295-BE295)*Inputs!$D$83</f>
        <v>-3074.99845908722</v>
      </c>
      <c r="BG296" s="67" t="n">
        <f aca="false">-(BG295-BF295)*Inputs!$D$83</f>
        <v>-3077.36095908722</v>
      </c>
      <c r="BH296" s="67" t="n">
        <f aca="false">-(BH295-BG295)*Inputs!$D$83</f>
        <v>-3079.72345908722</v>
      </c>
      <c r="BI296" s="67" t="n">
        <f aca="false">-(BI295-BH295)*Inputs!$D$83</f>
        <v>-3082.08595908722</v>
      </c>
      <c r="BJ296" s="67" t="n">
        <f aca="false">-(BJ295-BI295)*Inputs!$D$83</f>
        <v>-1719.24760327579</v>
      </c>
    </row>
    <row r="297" customFormat="false" ht="15" hidden="false" customHeight="false" outlineLevel="0" collapsed="false">
      <c r="A297" s="113" t="s">
        <v>50</v>
      </c>
      <c r="C297" s="68" t="n">
        <f aca="false">C293+C296</f>
        <v>-5674.27660952381</v>
      </c>
      <c r="D297" s="68" t="n">
        <f aca="false">D293+D296</f>
        <v>-3971.91040952381</v>
      </c>
      <c r="E297" s="68" t="n">
        <f aca="false">E293+E296</f>
        <v>1315.41732380952</v>
      </c>
      <c r="F297" s="68" t="n">
        <f aca="false">F293+F296</f>
        <v>3493.62559047618</v>
      </c>
      <c r="G297" s="68" t="n">
        <f aca="false">G293+G296</f>
        <v>5496.54900914286</v>
      </c>
      <c r="H297" s="68" t="n">
        <f aca="false">H293+H296</f>
        <v>4489.63624714286</v>
      </c>
      <c r="I297" s="68" t="n">
        <f aca="false">I293+I296</f>
        <v>4498.52374714286</v>
      </c>
      <c r="J297" s="68" t="n">
        <f aca="false">J293+J296</f>
        <v>4507.41124714286</v>
      </c>
      <c r="K297" s="68" t="n">
        <f aca="false">K293+K296</f>
        <v>4516.29874714286</v>
      </c>
      <c r="L297" s="68" t="n">
        <f aca="false">L293+L296</f>
        <v>4525.18624714286</v>
      </c>
      <c r="M297" s="68" t="n">
        <f aca="false">M293+M296</f>
        <v>4534.07374714286</v>
      </c>
      <c r="N297" s="68" t="n">
        <f aca="false">N293+N296</f>
        <v>972.342420476193</v>
      </c>
      <c r="O297" s="68" t="n">
        <f aca="false">O293+O296</f>
        <v>2028.45809107429</v>
      </c>
      <c r="P297" s="68" t="n">
        <f aca="false">P293+P296</f>
        <v>2037.34559107429</v>
      </c>
      <c r="Q297" s="68" t="n">
        <f aca="false">Q293+Q296</f>
        <v>5957.47452819429</v>
      </c>
      <c r="R297" s="68" t="n">
        <f aca="false">R293+R296</f>
        <v>5966.36202819429</v>
      </c>
      <c r="S297" s="68" t="n">
        <f aca="false">S293+S296</f>
        <v>5975.24952819429</v>
      </c>
      <c r="T297" s="68" t="n">
        <f aca="false">T293+T296</f>
        <v>5984.13702819429</v>
      </c>
      <c r="U297" s="68" t="n">
        <f aca="false">U293+U296</f>
        <v>5993.02452819429</v>
      </c>
      <c r="V297" s="68" t="n">
        <f aca="false">V293+V296</f>
        <v>6001.91202819429</v>
      </c>
      <c r="W297" s="68" t="n">
        <f aca="false">W293+W296</f>
        <v>6010.79952819429</v>
      </c>
      <c r="X297" s="68" t="n">
        <f aca="false">X293+X296</f>
        <v>6019.68702819429</v>
      </c>
      <c r="Y297" s="68" t="n">
        <f aca="false">Y293+Y296</f>
        <v>6028.57452819429</v>
      </c>
      <c r="Z297" s="68" t="n">
        <f aca="false">Z293+Z296</f>
        <v>2126.22059107429</v>
      </c>
      <c r="AA297" s="68" t="n">
        <f aca="false">AA293+AA296</f>
        <v>3318.1727699825</v>
      </c>
      <c r="AB297" s="68" t="n">
        <f aca="false">AB293+AB296</f>
        <v>3327.0602699825</v>
      </c>
      <c r="AC297" s="68" t="n">
        <f aca="false">AC293+AC296</f>
        <v>7619.57889105554</v>
      </c>
      <c r="AD297" s="68" t="n">
        <f aca="false">AD293+AD296</f>
        <v>7628.46639105554</v>
      </c>
      <c r="AE297" s="68" t="n">
        <f aca="false">AE293+AE296</f>
        <v>7637.35389105554</v>
      </c>
      <c r="AF297" s="68" t="n">
        <f aca="false">AF293+AF296</f>
        <v>7646.24139105554</v>
      </c>
      <c r="AG297" s="68" t="n">
        <f aca="false">AG293+AG296</f>
        <v>7655.12889105554</v>
      </c>
      <c r="AH297" s="68" t="n">
        <f aca="false">AH293+AH296</f>
        <v>7664.01639105554</v>
      </c>
      <c r="AI297" s="68" t="n">
        <f aca="false">AI293+AI296</f>
        <v>7672.90389105554</v>
      </c>
      <c r="AJ297" s="68" t="n">
        <f aca="false">AJ293+AJ296</f>
        <v>7681.79139105554</v>
      </c>
      <c r="AK297" s="68" t="n">
        <f aca="false">AK293+AK296</f>
        <v>7690.67889105554</v>
      </c>
      <c r="AL297" s="68" t="n">
        <f aca="false">AL293+AL296</f>
        <v>3415.9352699825</v>
      </c>
      <c r="AM297" s="68" t="n">
        <f aca="false">AM293+AM296</f>
        <v>4759.45380765481</v>
      </c>
      <c r="AN297" s="68" t="n">
        <f aca="false">AN293+AN296</f>
        <v>4768.3413076548</v>
      </c>
      <c r="AO297" s="68" t="n">
        <f aca="false">AO293+AO296</f>
        <v>9467.95965894358</v>
      </c>
      <c r="AP297" s="68" t="n">
        <f aca="false">AP293+AP296</f>
        <v>9476.84715894358</v>
      </c>
      <c r="AQ297" s="68" t="n">
        <f aca="false">AQ293+AQ296</f>
        <v>9485.73465894358</v>
      </c>
      <c r="AR297" s="68" t="n">
        <f aca="false">AR293+AR296</f>
        <v>9494.62215894358</v>
      </c>
      <c r="AS297" s="68" t="n">
        <f aca="false">AS293+AS296</f>
        <v>9503.50965894358</v>
      </c>
      <c r="AT297" s="68" t="n">
        <f aca="false">AT293+AT296</f>
        <v>9512.39715894358</v>
      </c>
      <c r="AU297" s="68" t="n">
        <f aca="false">AU293+AU296</f>
        <v>9521.28465894358</v>
      </c>
      <c r="AV297" s="68" t="n">
        <f aca="false">AV293+AV296</f>
        <v>9530.17215894358</v>
      </c>
      <c r="AW297" s="68" t="n">
        <f aca="false">AW293+AW296</f>
        <v>9539.05965894358</v>
      </c>
      <c r="AX297" s="68" t="n">
        <f aca="false">AX293+AX296</f>
        <v>4857.2163076548</v>
      </c>
      <c r="AY297" s="68" t="n">
        <f aca="false">AY293+AY296</f>
        <v>6369.88324565654</v>
      </c>
      <c r="AZ297" s="68" t="n">
        <f aca="false">AZ293+AZ296</f>
        <v>6378.77074565654</v>
      </c>
      <c r="BA297" s="68" t="n">
        <f aca="false">BA293+BA296</f>
        <v>11523.41384609</v>
      </c>
      <c r="BB297" s="68" t="n">
        <f aca="false">BB293+BB296</f>
        <v>11532.30134609</v>
      </c>
      <c r="BC297" s="68" t="n">
        <f aca="false">BC293+BC296</f>
        <v>11541.18884609</v>
      </c>
      <c r="BD297" s="68" t="n">
        <f aca="false">BD293+BD296</f>
        <v>11550.07634609</v>
      </c>
      <c r="BE297" s="68" t="n">
        <f aca="false">BE293+BE296</f>
        <v>11558.96384609</v>
      </c>
      <c r="BF297" s="68" t="n">
        <f aca="false">BF293+BF296</f>
        <v>11567.85134609</v>
      </c>
      <c r="BG297" s="68" t="n">
        <f aca="false">BG293+BG296</f>
        <v>11576.73884609</v>
      </c>
      <c r="BH297" s="68" t="n">
        <f aca="false">BH293+BH296</f>
        <v>11585.62634609</v>
      </c>
      <c r="BI297" s="68" t="n">
        <f aca="false">BI293+BI296</f>
        <v>11594.51384609</v>
      </c>
      <c r="BJ297" s="68" t="n">
        <f aca="false">BJ293+BJ296</f>
        <v>6467.64574565654</v>
      </c>
    </row>
    <row r="299" customFormat="false" ht="15.75" hidden="false" customHeight="true" outlineLevel="0" collapsed="false">
      <c r="A299" s="7" t="s">
        <v>432</v>
      </c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</row>
    <row r="300" customFormat="false" ht="15" hidden="false" customHeight="false" outlineLevel="0" collapsed="false">
      <c r="A300" s="6" t="s">
        <v>433</v>
      </c>
      <c r="C300" s="67" t="n">
        <f aca="false">Inputs!$D$48*Inputs!$D$49</f>
        <v>95000</v>
      </c>
      <c r="D300" s="67" t="n">
        <f aca="false">IF(AND(D$247&gt;1,MOD(D$246-1,12)=0),Inputs!$D$8*Inputs!$D$49,0)</f>
        <v>0</v>
      </c>
      <c r="E300" s="67" t="n">
        <f aca="false">IF(AND(E$247&gt;1,MOD(E$246-1,12)=0),Inputs!$D$8*Inputs!$D$49,0)</f>
        <v>0</v>
      </c>
      <c r="F300" s="67" t="n">
        <f aca="false">IF(AND(F$247&gt;1,MOD(F$246-1,12)=0),Inputs!$D$8*Inputs!$D$49,0)</f>
        <v>0</v>
      </c>
      <c r="G300" s="67" t="n">
        <f aca="false">IF(AND(G$247&gt;1,MOD(G$246-1,12)=0),Inputs!$D$8*Inputs!$D$49,0)</f>
        <v>0</v>
      </c>
      <c r="H300" s="67" t="n">
        <f aca="false">IF(AND(H$247&gt;1,MOD(H$246-1,12)=0),Inputs!$D$8*Inputs!$D$49,0)</f>
        <v>0</v>
      </c>
      <c r="I300" s="67" t="n">
        <f aca="false">IF(AND(I$247&gt;1,MOD(I$246-1,12)=0),Inputs!$D$8*Inputs!$D$49,0)</f>
        <v>0</v>
      </c>
      <c r="J300" s="67" t="n">
        <f aca="false">IF(AND(J$247&gt;1,MOD(J$246-1,12)=0),Inputs!$D$8*Inputs!$D$49,0)</f>
        <v>0</v>
      </c>
      <c r="K300" s="67" t="n">
        <f aca="false">IF(AND(K$247&gt;1,MOD(K$246-1,12)=0),Inputs!$D$8*Inputs!$D$49,0)</f>
        <v>0</v>
      </c>
      <c r="L300" s="67" t="n">
        <f aca="false">IF(AND(L$247&gt;1,MOD(L$246-1,12)=0),Inputs!$D$8*Inputs!$D$49,0)</f>
        <v>0</v>
      </c>
      <c r="M300" s="67" t="n">
        <f aca="false">IF(AND(M$247&gt;1,MOD(M$246-1,12)=0),Inputs!$D$8*Inputs!$D$49,0)</f>
        <v>0</v>
      </c>
      <c r="N300" s="67" t="n">
        <f aca="false">IF(AND(N$247&gt;1,MOD(N$246-1,12)=0),Inputs!$D$8*Inputs!$D$49,0)</f>
        <v>0</v>
      </c>
      <c r="O300" s="67" t="n">
        <f aca="false">IF(AND(O$247&gt;1,MOD(O$246-1,12)=0),Inputs!$D$8*Inputs!$D$49,0)</f>
        <v>0</v>
      </c>
      <c r="P300" s="67" t="n">
        <f aca="false">IF(AND(P$247&gt;1,MOD(P$246-1,12)=0),Inputs!$D$8*Inputs!$D$49,0)</f>
        <v>0</v>
      </c>
      <c r="Q300" s="67" t="n">
        <f aca="false">IF(AND(Q$247&gt;1,MOD(Q$246-1,12)=0),Inputs!$D$8*Inputs!$D$49,0)</f>
        <v>0</v>
      </c>
      <c r="R300" s="67" t="n">
        <f aca="false">IF(AND(R$247&gt;1,MOD(R$246-1,12)=0),Inputs!$D$8*Inputs!$D$49,0)</f>
        <v>0</v>
      </c>
      <c r="S300" s="67" t="n">
        <f aca="false">IF(AND(S$247&gt;1,MOD(S$246-1,12)=0),Inputs!$D$8*Inputs!$D$49,0)</f>
        <v>0</v>
      </c>
      <c r="T300" s="67" t="n">
        <f aca="false">IF(AND(T$247&gt;1,MOD(T$246-1,12)=0),Inputs!$D$8*Inputs!$D$49,0)</f>
        <v>0</v>
      </c>
      <c r="U300" s="67" t="n">
        <f aca="false">IF(AND(U$247&gt;1,MOD(U$246-1,12)=0),Inputs!$D$8*Inputs!$D$49,0)</f>
        <v>0</v>
      </c>
      <c r="V300" s="67" t="n">
        <f aca="false">IF(AND(V$247&gt;1,MOD(V$246-1,12)=0),Inputs!$D$8*Inputs!$D$49,0)</f>
        <v>0</v>
      </c>
      <c r="W300" s="67" t="n">
        <f aca="false">IF(AND(W$247&gt;1,MOD(W$246-1,12)=0),Inputs!$D$8*Inputs!$D$49,0)</f>
        <v>0</v>
      </c>
      <c r="X300" s="67" t="n">
        <f aca="false">IF(AND(X$247&gt;1,MOD(X$246-1,12)=0),Inputs!$D$8*Inputs!$D$49,0)</f>
        <v>0</v>
      </c>
      <c r="Y300" s="67" t="n">
        <f aca="false">IF(AND(Y$247&gt;1,MOD(Y$246-1,12)=0),Inputs!$D$8*Inputs!$D$49,0)</f>
        <v>0</v>
      </c>
      <c r="Z300" s="67" t="n">
        <f aca="false">IF(AND(Z$247&gt;1,MOD(Z$246-1,12)=0),Inputs!$D$8*Inputs!$D$49,0)</f>
        <v>0</v>
      </c>
      <c r="AA300" s="67" t="n">
        <f aca="false">IF(AND(AA$247&gt;1,MOD(AA$246-1,12)=0),Inputs!$D$8*Inputs!$D$49,0)</f>
        <v>0</v>
      </c>
      <c r="AB300" s="67" t="n">
        <f aca="false">IF(AND(AB$247&gt;1,MOD(AB$246-1,12)=0),Inputs!$D$8*Inputs!$D$49,0)</f>
        <v>0</v>
      </c>
      <c r="AC300" s="67" t="n">
        <f aca="false">IF(AND(AC$247&gt;1,MOD(AC$246-1,12)=0),Inputs!$D$8*Inputs!$D$49,0)</f>
        <v>0</v>
      </c>
      <c r="AD300" s="67" t="n">
        <f aca="false">IF(AND(AD$247&gt;1,MOD(AD$246-1,12)=0),Inputs!$D$8*Inputs!$D$49,0)</f>
        <v>0</v>
      </c>
      <c r="AE300" s="67" t="n">
        <f aca="false">IF(AND(AE$247&gt;1,MOD(AE$246-1,12)=0),Inputs!$D$8*Inputs!$D$49,0)</f>
        <v>0</v>
      </c>
      <c r="AF300" s="67" t="n">
        <f aca="false">IF(AND(AF$247&gt;1,MOD(AF$246-1,12)=0),Inputs!$D$8*Inputs!$D$49,0)</f>
        <v>0</v>
      </c>
      <c r="AG300" s="67" t="n">
        <f aca="false">IF(AND(AG$247&gt;1,MOD(AG$246-1,12)=0),Inputs!$D$8*Inputs!$D$49,0)</f>
        <v>0</v>
      </c>
      <c r="AH300" s="67" t="n">
        <f aca="false">IF(AND(AH$247&gt;1,MOD(AH$246-1,12)=0),Inputs!$D$8*Inputs!$D$49,0)</f>
        <v>0</v>
      </c>
      <c r="AI300" s="67" t="n">
        <f aca="false">IF(AND(AI$247&gt;1,MOD(AI$246-1,12)=0),Inputs!$D$8*Inputs!$D$49,0)</f>
        <v>0</v>
      </c>
      <c r="AJ300" s="67" t="n">
        <f aca="false">IF(AND(AJ$247&gt;1,MOD(AJ$246-1,12)=0),Inputs!$D$8*Inputs!$D$49,0)</f>
        <v>0</v>
      </c>
      <c r="AK300" s="67" t="n">
        <f aca="false">IF(AND(AK$247&gt;1,MOD(AK$246-1,12)=0),Inputs!$D$8*Inputs!$D$49,0)</f>
        <v>0</v>
      </c>
      <c r="AL300" s="67" t="n">
        <f aca="false">IF(AND(AL$247&gt;1,MOD(AL$246-1,12)=0),Inputs!$D$8*Inputs!$D$49,0)</f>
        <v>0</v>
      </c>
      <c r="AM300" s="67" t="n">
        <f aca="false">IF(AND(AM$247&gt;1,MOD(AM$246-1,12)=0),Inputs!$D$8*Inputs!$D$49,0)</f>
        <v>0</v>
      </c>
      <c r="AN300" s="67" t="n">
        <f aca="false">IF(AND(AN$247&gt;1,MOD(AN$246-1,12)=0),Inputs!$D$8*Inputs!$D$49,0)</f>
        <v>0</v>
      </c>
      <c r="AO300" s="67" t="n">
        <f aca="false">IF(AND(AO$247&gt;1,MOD(AO$246-1,12)=0),Inputs!$D$8*Inputs!$D$49,0)</f>
        <v>0</v>
      </c>
      <c r="AP300" s="67" t="n">
        <f aca="false">IF(AND(AP$247&gt;1,MOD(AP$246-1,12)=0),Inputs!$D$8*Inputs!$D$49,0)</f>
        <v>0</v>
      </c>
      <c r="AQ300" s="67" t="n">
        <f aca="false">IF(AND(AQ$247&gt;1,MOD(AQ$246-1,12)=0),Inputs!$D$8*Inputs!$D$49,0)</f>
        <v>0</v>
      </c>
      <c r="AR300" s="67" t="n">
        <f aca="false">IF(AND(AR$247&gt;1,MOD(AR$246-1,12)=0),Inputs!$D$8*Inputs!$D$49,0)</f>
        <v>0</v>
      </c>
      <c r="AS300" s="67" t="n">
        <f aca="false">IF(AND(AS$247&gt;1,MOD(AS$246-1,12)=0),Inputs!$D$8*Inputs!$D$49,0)</f>
        <v>0</v>
      </c>
      <c r="AT300" s="67" t="n">
        <f aca="false">IF(AND(AT$247&gt;1,MOD(AT$246-1,12)=0),Inputs!$D$8*Inputs!$D$49,0)</f>
        <v>0</v>
      </c>
      <c r="AU300" s="67" t="n">
        <f aca="false">IF(AND(AU$247&gt;1,MOD(AU$246-1,12)=0),Inputs!$D$8*Inputs!$D$49,0)</f>
        <v>0</v>
      </c>
      <c r="AV300" s="67" t="n">
        <f aca="false">IF(AND(AV$247&gt;1,MOD(AV$246-1,12)=0),Inputs!$D$8*Inputs!$D$49,0)</f>
        <v>0</v>
      </c>
      <c r="AW300" s="67" t="n">
        <f aca="false">IF(AND(AW$247&gt;1,MOD(AW$246-1,12)=0),Inputs!$D$8*Inputs!$D$49,0)</f>
        <v>0</v>
      </c>
      <c r="AX300" s="67" t="n">
        <f aca="false">IF(AND(AX$247&gt;1,MOD(AX$246-1,12)=0),Inputs!$D$8*Inputs!$D$49,0)</f>
        <v>0</v>
      </c>
      <c r="AY300" s="67" t="n">
        <f aca="false">IF(AND(AY$247&gt;1,MOD(AY$246-1,12)=0),Inputs!$D$8*Inputs!$D$49,0)</f>
        <v>0</v>
      </c>
      <c r="AZ300" s="67" t="n">
        <f aca="false">IF(AND(AZ$247&gt;1,MOD(AZ$246-1,12)=0),Inputs!$D$8*Inputs!$D$49,0)</f>
        <v>0</v>
      </c>
      <c r="BA300" s="67" t="n">
        <f aca="false">IF(AND(BA$247&gt;1,MOD(BA$246-1,12)=0),Inputs!$D$8*Inputs!$D$49,0)</f>
        <v>0</v>
      </c>
      <c r="BB300" s="67" t="n">
        <f aca="false">IF(AND(BB$247&gt;1,MOD(BB$246-1,12)=0),Inputs!$D$8*Inputs!$D$49,0)</f>
        <v>0</v>
      </c>
      <c r="BC300" s="67" t="n">
        <f aca="false">IF(AND(BC$247&gt;1,MOD(BC$246-1,12)=0),Inputs!$D$8*Inputs!$D$49,0)</f>
        <v>0</v>
      </c>
      <c r="BD300" s="67" t="n">
        <f aca="false">IF(AND(BD$247&gt;1,MOD(BD$246-1,12)=0),Inputs!$D$8*Inputs!$D$49,0)</f>
        <v>0</v>
      </c>
      <c r="BE300" s="67" t="n">
        <f aca="false">IF(AND(BE$247&gt;1,MOD(BE$246-1,12)=0),Inputs!$D$8*Inputs!$D$49,0)</f>
        <v>0</v>
      </c>
      <c r="BF300" s="67" t="n">
        <f aca="false">IF(AND(BF$247&gt;1,MOD(BF$246-1,12)=0),Inputs!$D$8*Inputs!$D$49,0)</f>
        <v>0</v>
      </c>
      <c r="BG300" s="67" t="n">
        <f aca="false">IF(AND(BG$247&gt;1,MOD(BG$246-1,12)=0),Inputs!$D$8*Inputs!$D$49,0)</f>
        <v>0</v>
      </c>
      <c r="BH300" s="67" t="n">
        <f aca="false">IF(AND(BH$247&gt;1,MOD(BH$246-1,12)=0),Inputs!$D$8*Inputs!$D$49,0)</f>
        <v>0</v>
      </c>
      <c r="BI300" s="67" t="n">
        <f aca="false">IF(AND(BI$247&gt;1,MOD(BI$246-1,12)=0),Inputs!$D$8*Inputs!$D$49,0)</f>
        <v>0</v>
      </c>
      <c r="BJ300" s="67" t="n">
        <f aca="false">IF(AND(BJ$247&gt;1,MOD(BJ$246-1,12)=0),Inputs!$D$8*Inputs!$D$49,0)</f>
        <v>0</v>
      </c>
    </row>
    <row r="301" customFormat="false" ht="15" hidden="false" customHeight="false" outlineLevel="0" collapsed="false">
      <c r="A301" s="6" t="s">
        <v>434</v>
      </c>
      <c r="C301" s="67" t="n">
        <f aca="false">Inputs!$D$48*Inputs!$D$50</f>
        <v>40000</v>
      </c>
      <c r="D301" s="67" t="n">
        <f aca="false">IF(AND(D$247&gt;1,MOD(D$246-1,12)=0),Inputs!$D$8*Inputs!$D$50,0)</f>
        <v>0</v>
      </c>
      <c r="E301" s="67" t="n">
        <f aca="false">IF(AND(E$247&gt;1,MOD(E$246-1,12)=0),Inputs!$D$8*Inputs!$D$50,0)</f>
        <v>0</v>
      </c>
      <c r="F301" s="67" t="n">
        <f aca="false">IF(AND(F$247&gt;1,MOD(F$246-1,12)=0),Inputs!$D$8*Inputs!$D$50,0)</f>
        <v>0</v>
      </c>
      <c r="G301" s="67" t="n">
        <f aca="false">IF(AND(G$247&gt;1,MOD(G$246-1,12)=0),Inputs!$D$8*Inputs!$D$50,0)</f>
        <v>0</v>
      </c>
      <c r="H301" s="67" t="n">
        <f aca="false">IF(AND(H$247&gt;1,MOD(H$246-1,12)=0),Inputs!$D$8*Inputs!$D$50,0)</f>
        <v>0</v>
      </c>
      <c r="I301" s="67" t="n">
        <f aca="false">IF(AND(I$247&gt;1,MOD(I$246-1,12)=0),Inputs!$D$8*Inputs!$D$50,0)</f>
        <v>0</v>
      </c>
      <c r="J301" s="67" t="n">
        <f aca="false">IF(AND(J$247&gt;1,MOD(J$246-1,12)=0),Inputs!$D$8*Inputs!$D$50,0)</f>
        <v>0</v>
      </c>
      <c r="K301" s="67" t="n">
        <f aca="false">IF(AND(K$247&gt;1,MOD(K$246-1,12)=0),Inputs!$D$8*Inputs!$D$50,0)</f>
        <v>0</v>
      </c>
      <c r="L301" s="67" t="n">
        <f aca="false">IF(AND(L$247&gt;1,MOD(L$246-1,12)=0),Inputs!$D$8*Inputs!$D$50,0)</f>
        <v>0</v>
      </c>
      <c r="M301" s="67" t="n">
        <f aca="false">IF(AND(M$247&gt;1,MOD(M$246-1,12)=0),Inputs!$D$8*Inputs!$D$50,0)</f>
        <v>0</v>
      </c>
      <c r="N301" s="67" t="n">
        <f aca="false">IF(AND(N$247&gt;1,MOD(N$246-1,12)=0),Inputs!$D$8*Inputs!$D$50,0)</f>
        <v>0</v>
      </c>
      <c r="O301" s="67" t="n">
        <f aca="false">IF(AND(O$247&gt;1,MOD(O$246-1,12)=0),Inputs!$D$8*Inputs!$D$50,0)</f>
        <v>0</v>
      </c>
      <c r="P301" s="67" t="n">
        <f aca="false">IF(AND(P$247&gt;1,MOD(P$246-1,12)=0),Inputs!$D$8*Inputs!$D$50,0)</f>
        <v>0</v>
      </c>
      <c r="Q301" s="67" t="n">
        <f aca="false">IF(AND(Q$247&gt;1,MOD(Q$246-1,12)=0),Inputs!$D$8*Inputs!$D$50,0)</f>
        <v>0</v>
      </c>
      <c r="R301" s="67" t="n">
        <f aca="false">IF(AND(R$247&gt;1,MOD(R$246-1,12)=0),Inputs!$D$8*Inputs!$D$50,0)</f>
        <v>0</v>
      </c>
      <c r="S301" s="67" t="n">
        <f aca="false">IF(AND(S$247&gt;1,MOD(S$246-1,12)=0),Inputs!$D$8*Inputs!$D$50,0)</f>
        <v>0</v>
      </c>
      <c r="T301" s="67" t="n">
        <f aca="false">IF(AND(T$247&gt;1,MOD(T$246-1,12)=0),Inputs!$D$8*Inputs!$D$50,0)</f>
        <v>0</v>
      </c>
      <c r="U301" s="67" t="n">
        <f aca="false">IF(AND(U$247&gt;1,MOD(U$246-1,12)=0),Inputs!$D$8*Inputs!$D$50,0)</f>
        <v>0</v>
      </c>
      <c r="V301" s="67" t="n">
        <f aca="false">IF(AND(V$247&gt;1,MOD(V$246-1,12)=0),Inputs!$D$8*Inputs!$D$50,0)</f>
        <v>0</v>
      </c>
      <c r="W301" s="67" t="n">
        <f aca="false">IF(AND(W$247&gt;1,MOD(W$246-1,12)=0),Inputs!$D$8*Inputs!$D$50,0)</f>
        <v>0</v>
      </c>
      <c r="X301" s="67" t="n">
        <f aca="false">IF(AND(X$247&gt;1,MOD(X$246-1,12)=0),Inputs!$D$8*Inputs!$D$50,0)</f>
        <v>0</v>
      </c>
      <c r="Y301" s="67" t="n">
        <f aca="false">IF(AND(Y$247&gt;1,MOD(Y$246-1,12)=0),Inputs!$D$8*Inputs!$D$50,0)</f>
        <v>0</v>
      </c>
      <c r="Z301" s="67" t="n">
        <f aca="false">IF(AND(Z$247&gt;1,MOD(Z$246-1,12)=0),Inputs!$D$8*Inputs!$D$50,0)</f>
        <v>0</v>
      </c>
      <c r="AA301" s="67" t="n">
        <f aca="false">IF(AND(AA$247&gt;1,MOD(AA$246-1,12)=0),Inputs!$D$8*Inputs!$D$50,0)</f>
        <v>0</v>
      </c>
      <c r="AB301" s="67" t="n">
        <f aca="false">IF(AND(AB$247&gt;1,MOD(AB$246-1,12)=0),Inputs!$D$8*Inputs!$D$50,0)</f>
        <v>0</v>
      </c>
      <c r="AC301" s="67" t="n">
        <f aca="false">IF(AND(AC$247&gt;1,MOD(AC$246-1,12)=0),Inputs!$D$8*Inputs!$D$50,0)</f>
        <v>0</v>
      </c>
      <c r="AD301" s="67" t="n">
        <f aca="false">IF(AND(AD$247&gt;1,MOD(AD$246-1,12)=0),Inputs!$D$8*Inputs!$D$50,0)</f>
        <v>0</v>
      </c>
      <c r="AE301" s="67" t="n">
        <f aca="false">IF(AND(AE$247&gt;1,MOD(AE$246-1,12)=0),Inputs!$D$8*Inputs!$D$50,0)</f>
        <v>0</v>
      </c>
      <c r="AF301" s="67" t="n">
        <f aca="false">IF(AND(AF$247&gt;1,MOD(AF$246-1,12)=0),Inputs!$D$8*Inputs!$D$50,0)</f>
        <v>0</v>
      </c>
      <c r="AG301" s="67" t="n">
        <f aca="false">IF(AND(AG$247&gt;1,MOD(AG$246-1,12)=0),Inputs!$D$8*Inputs!$D$50,0)</f>
        <v>0</v>
      </c>
      <c r="AH301" s="67" t="n">
        <f aca="false">IF(AND(AH$247&gt;1,MOD(AH$246-1,12)=0),Inputs!$D$8*Inputs!$D$50,0)</f>
        <v>0</v>
      </c>
      <c r="AI301" s="67" t="n">
        <f aca="false">IF(AND(AI$247&gt;1,MOD(AI$246-1,12)=0),Inputs!$D$8*Inputs!$D$50,0)</f>
        <v>0</v>
      </c>
      <c r="AJ301" s="67" t="n">
        <f aca="false">IF(AND(AJ$247&gt;1,MOD(AJ$246-1,12)=0),Inputs!$D$8*Inputs!$D$50,0)</f>
        <v>0</v>
      </c>
      <c r="AK301" s="67" t="n">
        <f aca="false">IF(AND(AK$247&gt;1,MOD(AK$246-1,12)=0),Inputs!$D$8*Inputs!$D$50,0)</f>
        <v>0</v>
      </c>
      <c r="AL301" s="67" t="n">
        <f aca="false">IF(AND(AL$247&gt;1,MOD(AL$246-1,12)=0),Inputs!$D$8*Inputs!$D$50,0)</f>
        <v>0</v>
      </c>
      <c r="AM301" s="67" t="n">
        <f aca="false">IF(AND(AM$247&gt;1,MOD(AM$246-1,12)=0),Inputs!$D$8*Inputs!$D$50,0)</f>
        <v>0</v>
      </c>
      <c r="AN301" s="67" t="n">
        <f aca="false">IF(AND(AN$247&gt;1,MOD(AN$246-1,12)=0),Inputs!$D$8*Inputs!$D$50,0)</f>
        <v>0</v>
      </c>
      <c r="AO301" s="67" t="n">
        <f aca="false">IF(AND(AO$247&gt;1,MOD(AO$246-1,12)=0),Inputs!$D$8*Inputs!$D$50,0)</f>
        <v>0</v>
      </c>
      <c r="AP301" s="67" t="n">
        <f aca="false">IF(AND(AP$247&gt;1,MOD(AP$246-1,12)=0),Inputs!$D$8*Inputs!$D$50,0)</f>
        <v>0</v>
      </c>
      <c r="AQ301" s="67" t="n">
        <f aca="false">IF(AND(AQ$247&gt;1,MOD(AQ$246-1,12)=0),Inputs!$D$8*Inputs!$D$50,0)</f>
        <v>0</v>
      </c>
      <c r="AR301" s="67" t="n">
        <f aca="false">IF(AND(AR$247&gt;1,MOD(AR$246-1,12)=0),Inputs!$D$8*Inputs!$D$50,0)</f>
        <v>0</v>
      </c>
      <c r="AS301" s="67" t="n">
        <f aca="false">IF(AND(AS$247&gt;1,MOD(AS$246-1,12)=0),Inputs!$D$8*Inputs!$D$50,0)</f>
        <v>0</v>
      </c>
      <c r="AT301" s="67" t="n">
        <f aca="false">IF(AND(AT$247&gt;1,MOD(AT$246-1,12)=0),Inputs!$D$8*Inputs!$D$50,0)</f>
        <v>0</v>
      </c>
      <c r="AU301" s="67" t="n">
        <f aca="false">IF(AND(AU$247&gt;1,MOD(AU$246-1,12)=0),Inputs!$D$8*Inputs!$D$50,0)</f>
        <v>0</v>
      </c>
      <c r="AV301" s="67" t="n">
        <f aca="false">IF(AND(AV$247&gt;1,MOD(AV$246-1,12)=0),Inputs!$D$8*Inputs!$D$50,0)</f>
        <v>0</v>
      </c>
      <c r="AW301" s="67" t="n">
        <f aca="false">IF(AND(AW$247&gt;1,MOD(AW$246-1,12)=0),Inputs!$D$8*Inputs!$D$50,0)</f>
        <v>0</v>
      </c>
      <c r="AX301" s="67" t="n">
        <f aca="false">IF(AND(AX$247&gt;1,MOD(AX$246-1,12)=0),Inputs!$D$8*Inputs!$D$50,0)</f>
        <v>0</v>
      </c>
      <c r="AY301" s="67" t="n">
        <f aca="false">IF(AND(AY$247&gt;1,MOD(AY$246-1,12)=0),Inputs!$D$8*Inputs!$D$50,0)</f>
        <v>0</v>
      </c>
      <c r="AZ301" s="67" t="n">
        <f aca="false">IF(AND(AZ$247&gt;1,MOD(AZ$246-1,12)=0),Inputs!$D$8*Inputs!$D$50,0)</f>
        <v>0</v>
      </c>
      <c r="BA301" s="67" t="n">
        <f aca="false">IF(AND(BA$247&gt;1,MOD(BA$246-1,12)=0),Inputs!$D$8*Inputs!$D$50,0)</f>
        <v>0</v>
      </c>
      <c r="BB301" s="67" t="n">
        <f aca="false">IF(AND(BB$247&gt;1,MOD(BB$246-1,12)=0),Inputs!$D$8*Inputs!$D$50,0)</f>
        <v>0</v>
      </c>
      <c r="BC301" s="67" t="n">
        <f aca="false">IF(AND(BC$247&gt;1,MOD(BC$246-1,12)=0),Inputs!$D$8*Inputs!$D$50,0)</f>
        <v>0</v>
      </c>
      <c r="BD301" s="67" t="n">
        <f aca="false">IF(AND(BD$247&gt;1,MOD(BD$246-1,12)=0),Inputs!$D$8*Inputs!$D$50,0)</f>
        <v>0</v>
      </c>
      <c r="BE301" s="67" t="n">
        <f aca="false">IF(AND(BE$247&gt;1,MOD(BE$246-1,12)=0),Inputs!$D$8*Inputs!$D$50,0)</f>
        <v>0</v>
      </c>
      <c r="BF301" s="67" t="n">
        <f aca="false">IF(AND(BF$247&gt;1,MOD(BF$246-1,12)=0),Inputs!$D$8*Inputs!$D$50,0)</f>
        <v>0</v>
      </c>
      <c r="BG301" s="67" t="n">
        <f aca="false">IF(AND(BG$247&gt;1,MOD(BG$246-1,12)=0),Inputs!$D$8*Inputs!$D$50,0)</f>
        <v>0</v>
      </c>
      <c r="BH301" s="67" t="n">
        <f aca="false">IF(AND(BH$247&gt;1,MOD(BH$246-1,12)=0),Inputs!$D$8*Inputs!$D$50,0)</f>
        <v>0</v>
      </c>
      <c r="BI301" s="67" t="n">
        <f aca="false">IF(AND(BI$247&gt;1,MOD(BI$246-1,12)=0),Inputs!$D$8*Inputs!$D$50,0)</f>
        <v>0</v>
      </c>
      <c r="BJ301" s="67" t="n">
        <f aca="false">IF(AND(BJ$247&gt;1,MOD(BJ$246-1,12)=0),Inputs!$D$8*Inputs!$D$50,0)</f>
        <v>0</v>
      </c>
    </row>
    <row r="302" customFormat="false" ht="15" hidden="false" customHeight="false" outlineLevel="0" collapsed="false">
      <c r="A302" s="6" t="s">
        <v>435</v>
      </c>
      <c r="C302" s="67" t="n">
        <f aca="false">IF(C$246=1,Inputs!$D$51,0)</f>
        <v>3000</v>
      </c>
      <c r="D302" s="67" t="n">
        <f aca="false">IF(D$246=1,Inputs!$D$51,0)</f>
        <v>0</v>
      </c>
      <c r="E302" s="67" t="n">
        <f aca="false">IF(E$246=1,Inputs!$D$51,0)</f>
        <v>0</v>
      </c>
      <c r="F302" s="67" t="n">
        <f aca="false">IF(F$246=1,Inputs!$D$51,0)</f>
        <v>0</v>
      </c>
      <c r="G302" s="67" t="n">
        <f aca="false">IF(G$246=1,Inputs!$D$51,0)</f>
        <v>0</v>
      </c>
      <c r="H302" s="67" t="n">
        <f aca="false">IF(H$246=1,Inputs!$D$51,0)</f>
        <v>0</v>
      </c>
      <c r="I302" s="67" t="n">
        <f aca="false">IF(I$246=1,Inputs!$D$51,0)</f>
        <v>0</v>
      </c>
      <c r="J302" s="67" t="n">
        <f aca="false">IF(J$246=1,Inputs!$D$51,0)</f>
        <v>0</v>
      </c>
      <c r="K302" s="67" t="n">
        <f aca="false">IF(K$246=1,Inputs!$D$51,0)</f>
        <v>0</v>
      </c>
      <c r="L302" s="67" t="n">
        <f aca="false">IF(L$246=1,Inputs!$D$51,0)</f>
        <v>0</v>
      </c>
      <c r="M302" s="67" t="n">
        <f aca="false">IF(M$246=1,Inputs!$D$51,0)</f>
        <v>0</v>
      </c>
      <c r="N302" s="67" t="n">
        <f aca="false">IF(N$246=1,Inputs!$D$51,0)</f>
        <v>0</v>
      </c>
      <c r="O302" s="67" t="n">
        <f aca="false">IF(O$246=1,Inputs!$D$51,0)</f>
        <v>0</v>
      </c>
      <c r="P302" s="67" t="n">
        <f aca="false">IF(P$246=1,Inputs!$D$51,0)</f>
        <v>0</v>
      </c>
      <c r="Q302" s="67" t="n">
        <f aca="false">IF(Q$246=1,Inputs!$D$51,0)</f>
        <v>0</v>
      </c>
      <c r="R302" s="67" t="n">
        <f aca="false">IF(R$246=1,Inputs!$D$51,0)</f>
        <v>0</v>
      </c>
      <c r="S302" s="67" t="n">
        <f aca="false">IF(S$246=1,Inputs!$D$51,0)</f>
        <v>0</v>
      </c>
      <c r="T302" s="67" t="n">
        <f aca="false">IF(T$246=1,Inputs!$D$51,0)</f>
        <v>0</v>
      </c>
      <c r="U302" s="67" t="n">
        <f aca="false">IF(U$246=1,Inputs!$D$51,0)</f>
        <v>0</v>
      </c>
      <c r="V302" s="67" t="n">
        <f aca="false">IF(V$246=1,Inputs!$D$51,0)</f>
        <v>0</v>
      </c>
      <c r="W302" s="67" t="n">
        <f aca="false">IF(W$246=1,Inputs!$D$51,0)</f>
        <v>0</v>
      </c>
      <c r="X302" s="67" t="n">
        <f aca="false">IF(X$246=1,Inputs!$D$51,0)</f>
        <v>0</v>
      </c>
      <c r="Y302" s="67" t="n">
        <f aca="false">IF(Y$246=1,Inputs!$D$51,0)</f>
        <v>0</v>
      </c>
      <c r="Z302" s="67" t="n">
        <f aca="false">IF(Z$246=1,Inputs!$D$51,0)</f>
        <v>0</v>
      </c>
      <c r="AA302" s="67" t="n">
        <f aca="false">IF(AA$246=1,Inputs!$D$51,0)</f>
        <v>0</v>
      </c>
      <c r="AB302" s="67" t="n">
        <f aca="false">IF(AB$246=1,Inputs!$D$51,0)</f>
        <v>0</v>
      </c>
      <c r="AC302" s="67" t="n">
        <f aca="false">IF(AC$246=1,Inputs!$D$51,0)</f>
        <v>0</v>
      </c>
      <c r="AD302" s="67" t="n">
        <f aca="false">IF(AD$246=1,Inputs!$D$51,0)</f>
        <v>0</v>
      </c>
      <c r="AE302" s="67" t="n">
        <f aca="false">IF(AE$246=1,Inputs!$D$51,0)</f>
        <v>0</v>
      </c>
      <c r="AF302" s="67" t="n">
        <f aca="false">IF(AF$246=1,Inputs!$D$51,0)</f>
        <v>0</v>
      </c>
      <c r="AG302" s="67" t="n">
        <f aca="false">IF(AG$246=1,Inputs!$D$51,0)</f>
        <v>0</v>
      </c>
      <c r="AH302" s="67" t="n">
        <f aca="false">IF(AH$246=1,Inputs!$D$51,0)</f>
        <v>0</v>
      </c>
      <c r="AI302" s="67" t="n">
        <f aca="false">IF(AI$246=1,Inputs!$D$51,0)</f>
        <v>0</v>
      </c>
      <c r="AJ302" s="67" t="n">
        <f aca="false">IF(AJ$246=1,Inputs!$D$51,0)</f>
        <v>0</v>
      </c>
      <c r="AK302" s="67" t="n">
        <f aca="false">IF(AK$246=1,Inputs!$D$51,0)</f>
        <v>0</v>
      </c>
      <c r="AL302" s="67" t="n">
        <f aca="false">IF(AL$246=1,Inputs!$D$51,0)</f>
        <v>0</v>
      </c>
      <c r="AM302" s="67" t="n">
        <f aca="false">IF(AM$246=1,Inputs!$D$51,0)</f>
        <v>0</v>
      </c>
      <c r="AN302" s="67" t="n">
        <f aca="false">IF(AN$246=1,Inputs!$D$51,0)</f>
        <v>0</v>
      </c>
      <c r="AO302" s="67" t="n">
        <f aca="false">IF(AO$246=1,Inputs!$D$51,0)</f>
        <v>0</v>
      </c>
      <c r="AP302" s="67" t="n">
        <f aca="false">IF(AP$246=1,Inputs!$D$51,0)</f>
        <v>0</v>
      </c>
      <c r="AQ302" s="67" t="n">
        <f aca="false">IF(AQ$246=1,Inputs!$D$51,0)</f>
        <v>0</v>
      </c>
      <c r="AR302" s="67" t="n">
        <f aca="false">IF(AR$246=1,Inputs!$D$51,0)</f>
        <v>0</v>
      </c>
      <c r="AS302" s="67" t="n">
        <f aca="false">IF(AS$246=1,Inputs!$D$51,0)</f>
        <v>0</v>
      </c>
      <c r="AT302" s="67" t="n">
        <f aca="false">IF(AT$246=1,Inputs!$D$51,0)</f>
        <v>0</v>
      </c>
      <c r="AU302" s="67" t="n">
        <f aca="false">IF(AU$246=1,Inputs!$D$51,0)</f>
        <v>0</v>
      </c>
      <c r="AV302" s="67" t="n">
        <f aca="false">IF(AV$246=1,Inputs!$D$51,0)</f>
        <v>0</v>
      </c>
      <c r="AW302" s="67" t="n">
        <f aca="false">IF(AW$246=1,Inputs!$D$51,0)</f>
        <v>0</v>
      </c>
      <c r="AX302" s="67" t="n">
        <f aca="false">IF(AX$246=1,Inputs!$D$51,0)</f>
        <v>0</v>
      </c>
      <c r="AY302" s="67" t="n">
        <f aca="false">IF(AY$246=1,Inputs!$D$51,0)</f>
        <v>0</v>
      </c>
      <c r="AZ302" s="67" t="n">
        <f aca="false">IF(AZ$246=1,Inputs!$D$51,0)</f>
        <v>0</v>
      </c>
      <c r="BA302" s="67" t="n">
        <f aca="false">IF(BA$246=1,Inputs!$D$51,0)</f>
        <v>0</v>
      </c>
      <c r="BB302" s="67" t="n">
        <f aca="false">IF(BB$246=1,Inputs!$D$51,0)</f>
        <v>0</v>
      </c>
      <c r="BC302" s="67" t="n">
        <f aca="false">IF(BC$246=1,Inputs!$D$51,0)</f>
        <v>0</v>
      </c>
      <c r="BD302" s="67" t="n">
        <f aca="false">IF(BD$246=1,Inputs!$D$51,0)</f>
        <v>0</v>
      </c>
      <c r="BE302" s="67" t="n">
        <f aca="false">IF(BE$246=1,Inputs!$D$51,0)</f>
        <v>0</v>
      </c>
      <c r="BF302" s="67" t="n">
        <f aca="false">IF(BF$246=1,Inputs!$D$51,0)</f>
        <v>0</v>
      </c>
      <c r="BG302" s="67" t="n">
        <f aca="false">IF(BG$246=1,Inputs!$D$51,0)</f>
        <v>0</v>
      </c>
      <c r="BH302" s="67" t="n">
        <f aca="false">IF(BH$246=1,Inputs!$D$51,0)</f>
        <v>0</v>
      </c>
      <c r="BI302" s="67" t="n">
        <f aca="false">IF(BI$246=1,Inputs!$D$51,0)</f>
        <v>0</v>
      </c>
      <c r="BJ302" s="67" t="n">
        <f aca="false">IF(BJ$246=1,Inputs!$D$51,0)</f>
        <v>0</v>
      </c>
    </row>
    <row r="303" customFormat="false" ht="15" hidden="false" customHeight="false" outlineLevel="0" collapsed="false">
      <c r="A303" s="6" t="s">
        <v>436</v>
      </c>
      <c r="C303" s="67" t="n">
        <f aca="false">IF(AND(C$247&gt;1,MOD(C$246-1,12)=0),Inputs!$D$52*C250,0)</f>
        <v>0</v>
      </c>
      <c r="D303" s="67" t="n">
        <f aca="false">IF(AND(D$247&gt;1,MOD(D$246-1,12)=0),Inputs!$D$52*D250,0)</f>
        <v>0</v>
      </c>
      <c r="E303" s="67" t="n">
        <f aca="false">IF(AND(E$247&gt;1,MOD(E$246-1,12)=0),Inputs!$D$52*E250,0)</f>
        <v>0</v>
      </c>
      <c r="F303" s="67" t="n">
        <f aca="false">IF(AND(F$247&gt;1,MOD(F$246-1,12)=0),Inputs!$D$52*F250,0)</f>
        <v>0</v>
      </c>
      <c r="G303" s="67" t="n">
        <f aca="false">IF(AND(G$247&gt;1,MOD(G$246-1,12)=0),Inputs!$D$52*G250,0)</f>
        <v>0</v>
      </c>
      <c r="H303" s="67" t="n">
        <f aca="false">IF(AND(H$247&gt;1,MOD(H$246-1,12)=0),Inputs!$D$52*H250,0)</f>
        <v>0</v>
      </c>
      <c r="I303" s="67" t="n">
        <f aca="false">IF(AND(I$247&gt;1,MOD(I$246-1,12)=0),Inputs!$D$52*I250,0)</f>
        <v>0</v>
      </c>
      <c r="J303" s="67" t="n">
        <f aca="false">IF(AND(J$247&gt;1,MOD(J$246-1,12)=0),Inputs!$D$52*J250,0)</f>
        <v>0</v>
      </c>
      <c r="K303" s="67" t="n">
        <f aca="false">IF(AND(K$247&gt;1,MOD(K$246-1,12)=0),Inputs!$D$52*K250,0)</f>
        <v>0</v>
      </c>
      <c r="L303" s="67" t="n">
        <f aca="false">IF(AND(L$247&gt;1,MOD(L$246-1,12)=0),Inputs!$D$52*L250,0)</f>
        <v>0</v>
      </c>
      <c r="M303" s="67" t="n">
        <f aca="false">IF(AND(M$247&gt;1,MOD(M$246-1,12)=0),Inputs!$D$52*M250,0)</f>
        <v>0</v>
      </c>
      <c r="N303" s="67" t="n">
        <f aca="false">IF(AND(N$247&gt;1,MOD(N$246-1,12)=0),Inputs!$D$52*N250,0)</f>
        <v>0</v>
      </c>
      <c r="O303" s="67" t="n">
        <f aca="false">IF(AND(O$247&gt;1,MOD(O$246-1,12)=0),Inputs!$D$52*O250,0)</f>
        <v>2500</v>
      </c>
      <c r="P303" s="67" t="n">
        <f aca="false">IF(AND(P$247&gt;1,MOD(P$246-1,12)=0),Inputs!$D$52*P250,0)</f>
        <v>0</v>
      </c>
      <c r="Q303" s="67" t="n">
        <f aca="false">IF(AND(Q$247&gt;1,MOD(Q$246-1,12)=0),Inputs!$D$52*Q250,0)</f>
        <v>0</v>
      </c>
      <c r="R303" s="67" t="n">
        <f aca="false">IF(AND(R$247&gt;1,MOD(R$246-1,12)=0),Inputs!$D$52*R250,0)</f>
        <v>0</v>
      </c>
      <c r="S303" s="67" t="n">
        <f aca="false">IF(AND(S$247&gt;1,MOD(S$246-1,12)=0),Inputs!$D$52*S250,0)</f>
        <v>0</v>
      </c>
      <c r="T303" s="67" t="n">
        <f aca="false">IF(AND(T$247&gt;1,MOD(T$246-1,12)=0),Inputs!$D$52*T250,0)</f>
        <v>0</v>
      </c>
      <c r="U303" s="67" t="n">
        <f aca="false">IF(AND(U$247&gt;1,MOD(U$246-1,12)=0),Inputs!$D$52*U250,0)</f>
        <v>0</v>
      </c>
      <c r="V303" s="67" t="n">
        <f aca="false">IF(AND(V$247&gt;1,MOD(V$246-1,12)=0),Inputs!$D$52*V250,0)</f>
        <v>0</v>
      </c>
      <c r="W303" s="67" t="n">
        <f aca="false">IF(AND(W$247&gt;1,MOD(W$246-1,12)=0),Inputs!$D$52*W250,0)</f>
        <v>0</v>
      </c>
      <c r="X303" s="67" t="n">
        <f aca="false">IF(AND(X$247&gt;1,MOD(X$246-1,12)=0),Inputs!$D$52*X250,0)</f>
        <v>0</v>
      </c>
      <c r="Y303" s="67" t="n">
        <f aca="false">IF(AND(Y$247&gt;1,MOD(Y$246-1,12)=0),Inputs!$D$52*Y250,0)</f>
        <v>0</v>
      </c>
      <c r="Z303" s="67" t="n">
        <f aca="false">IF(AND(Z$247&gt;1,MOD(Z$246-1,12)=0),Inputs!$D$52*Z250,0)</f>
        <v>0</v>
      </c>
      <c r="AA303" s="67" t="n">
        <f aca="false">IF(AND(AA$247&gt;1,MOD(AA$246-1,12)=0),Inputs!$D$52*AA250,0)</f>
        <v>2500</v>
      </c>
      <c r="AB303" s="67" t="n">
        <f aca="false">IF(AND(AB$247&gt;1,MOD(AB$246-1,12)=0),Inputs!$D$52*AB250,0)</f>
        <v>0</v>
      </c>
      <c r="AC303" s="67" t="n">
        <f aca="false">IF(AND(AC$247&gt;1,MOD(AC$246-1,12)=0),Inputs!$D$52*AC250,0)</f>
        <v>0</v>
      </c>
      <c r="AD303" s="67" t="n">
        <f aca="false">IF(AND(AD$247&gt;1,MOD(AD$246-1,12)=0),Inputs!$D$52*AD250,0)</f>
        <v>0</v>
      </c>
      <c r="AE303" s="67" t="n">
        <f aca="false">IF(AND(AE$247&gt;1,MOD(AE$246-1,12)=0),Inputs!$D$52*AE250,0)</f>
        <v>0</v>
      </c>
      <c r="AF303" s="67" t="n">
        <f aca="false">IF(AND(AF$247&gt;1,MOD(AF$246-1,12)=0),Inputs!$D$52*AF250,0)</f>
        <v>0</v>
      </c>
      <c r="AG303" s="67" t="n">
        <f aca="false">IF(AND(AG$247&gt;1,MOD(AG$246-1,12)=0),Inputs!$D$52*AG250,0)</f>
        <v>0</v>
      </c>
      <c r="AH303" s="67" t="n">
        <f aca="false">IF(AND(AH$247&gt;1,MOD(AH$246-1,12)=0),Inputs!$D$52*AH250,0)</f>
        <v>0</v>
      </c>
      <c r="AI303" s="67" t="n">
        <f aca="false">IF(AND(AI$247&gt;1,MOD(AI$246-1,12)=0),Inputs!$D$52*AI250,0)</f>
        <v>0</v>
      </c>
      <c r="AJ303" s="67" t="n">
        <f aca="false">IF(AND(AJ$247&gt;1,MOD(AJ$246-1,12)=0),Inputs!$D$52*AJ250,0)</f>
        <v>0</v>
      </c>
      <c r="AK303" s="67" t="n">
        <f aca="false">IF(AND(AK$247&gt;1,MOD(AK$246-1,12)=0),Inputs!$D$52*AK250,0)</f>
        <v>0</v>
      </c>
      <c r="AL303" s="67" t="n">
        <f aca="false">IF(AND(AL$247&gt;1,MOD(AL$246-1,12)=0),Inputs!$D$52*AL250,0)</f>
        <v>0</v>
      </c>
      <c r="AM303" s="67" t="n">
        <f aca="false">IF(AND(AM$247&gt;1,MOD(AM$246-1,12)=0),Inputs!$D$52*AM250,0)</f>
        <v>2500</v>
      </c>
      <c r="AN303" s="67" t="n">
        <f aca="false">IF(AND(AN$247&gt;1,MOD(AN$246-1,12)=0),Inputs!$D$52*AN250,0)</f>
        <v>0</v>
      </c>
      <c r="AO303" s="67" t="n">
        <f aca="false">IF(AND(AO$247&gt;1,MOD(AO$246-1,12)=0),Inputs!$D$52*AO250,0)</f>
        <v>0</v>
      </c>
      <c r="AP303" s="67" t="n">
        <f aca="false">IF(AND(AP$247&gt;1,MOD(AP$246-1,12)=0),Inputs!$D$52*AP250,0)</f>
        <v>0</v>
      </c>
      <c r="AQ303" s="67" t="n">
        <f aca="false">IF(AND(AQ$247&gt;1,MOD(AQ$246-1,12)=0),Inputs!$D$52*AQ250,0)</f>
        <v>0</v>
      </c>
      <c r="AR303" s="67" t="n">
        <f aca="false">IF(AND(AR$247&gt;1,MOD(AR$246-1,12)=0),Inputs!$D$52*AR250,0)</f>
        <v>0</v>
      </c>
      <c r="AS303" s="67" t="n">
        <f aca="false">IF(AND(AS$247&gt;1,MOD(AS$246-1,12)=0),Inputs!$D$52*AS250,0)</f>
        <v>0</v>
      </c>
      <c r="AT303" s="67" t="n">
        <f aca="false">IF(AND(AT$247&gt;1,MOD(AT$246-1,12)=0),Inputs!$D$52*AT250,0)</f>
        <v>0</v>
      </c>
      <c r="AU303" s="67" t="n">
        <f aca="false">IF(AND(AU$247&gt;1,MOD(AU$246-1,12)=0),Inputs!$D$52*AU250,0)</f>
        <v>0</v>
      </c>
      <c r="AV303" s="67" t="n">
        <f aca="false">IF(AND(AV$247&gt;1,MOD(AV$246-1,12)=0),Inputs!$D$52*AV250,0)</f>
        <v>0</v>
      </c>
      <c r="AW303" s="67" t="n">
        <f aca="false">IF(AND(AW$247&gt;1,MOD(AW$246-1,12)=0),Inputs!$D$52*AW250,0)</f>
        <v>0</v>
      </c>
      <c r="AX303" s="67" t="n">
        <f aca="false">IF(AND(AX$247&gt;1,MOD(AX$246-1,12)=0),Inputs!$D$52*AX250,0)</f>
        <v>0</v>
      </c>
      <c r="AY303" s="67" t="n">
        <f aca="false">IF(AND(AY$247&gt;1,MOD(AY$246-1,12)=0),Inputs!$D$52*AY250,0)</f>
        <v>2500</v>
      </c>
      <c r="AZ303" s="67" t="n">
        <f aca="false">IF(AND(AZ$247&gt;1,MOD(AZ$246-1,12)=0),Inputs!$D$52*AZ250,0)</f>
        <v>0</v>
      </c>
      <c r="BA303" s="67" t="n">
        <f aca="false">IF(AND(BA$247&gt;1,MOD(BA$246-1,12)=0),Inputs!$D$52*BA250,0)</f>
        <v>0</v>
      </c>
      <c r="BB303" s="67" t="n">
        <f aca="false">IF(AND(BB$247&gt;1,MOD(BB$246-1,12)=0),Inputs!$D$52*BB250,0)</f>
        <v>0</v>
      </c>
      <c r="BC303" s="67" t="n">
        <f aca="false">IF(AND(BC$247&gt;1,MOD(BC$246-1,12)=0),Inputs!$D$52*BC250,0)</f>
        <v>0</v>
      </c>
      <c r="BD303" s="67" t="n">
        <f aca="false">IF(AND(BD$247&gt;1,MOD(BD$246-1,12)=0),Inputs!$D$52*BD250,0)</f>
        <v>0</v>
      </c>
      <c r="BE303" s="67" t="n">
        <f aca="false">IF(AND(BE$247&gt;1,MOD(BE$246-1,12)=0),Inputs!$D$52*BE250,0)</f>
        <v>0</v>
      </c>
      <c r="BF303" s="67" t="n">
        <f aca="false">IF(AND(BF$247&gt;1,MOD(BF$246-1,12)=0),Inputs!$D$52*BF250,0)</f>
        <v>0</v>
      </c>
      <c r="BG303" s="67" t="n">
        <f aca="false">IF(AND(BG$247&gt;1,MOD(BG$246-1,12)=0),Inputs!$D$52*BG250,0)</f>
        <v>0</v>
      </c>
      <c r="BH303" s="67" t="n">
        <f aca="false">IF(AND(BH$247&gt;1,MOD(BH$246-1,12)=0),Inputs!$D$52*BH250,0)</f>
        <v>0</v>
      </c>
      <c r="BI303" s="67" t="n">
        <f aca="false">IF(AND(BI$247&gt;1,MOD(BI$246-1,12)=0),Inputs!$D$52*BI250,0)</f>
        <v>0</v>
      </c>
      <c r="BJ303" s="67" t="n">
        <f aca="false">IF(AND(BJ$247&gt;1,MOD(BJ$246-1,12)=0),Inputs!$D$52*BJ250,0)</f>
        <v>0</v>
      </c>
    </row>
    <row r="304" customFormat="false" ht="15" hidden="false" customHeight="false" outlineLevel="0" collapsed="false">
      <c r="A304" s="4" t="s">
        <v>84</v>
      </c>
      <c r="C304" s="73" t="n">
        <f aca="false">C300+C301+C302+C303</f>
        <v>138000</v>
      </c>
      <c r="D304" s="73" t="n">
        <f aca="false">D300+D301+D302+D303</f>
        <v>0</v>
      </c>
      <c r="E304" s="73" t="n">
        <f aca="false">E300+E301+E302+E303</f>
        <v>0</v>
      </c>
      <c r="F304" s="73" t="n">
        <f aca="false">F300+F301+F302+F303</f>
        <v>0</v>
      </c>
      <c r="G304" s="73" t="n">
        <f aca="false">G300+G301+G302+G303</f>
        <v>0</v>
      </c>
      <c r="H304" s="73" t="n">
        <f aca="false">H300+H301+H302+H303</f>
        <v>0</v>
      </c>
      <c r="I304" s="73" t="n">
        <f aca="false">I300+I301+I302+I303</f>
        <v>0</v>
      </c>
      <c r="J304" s="73" t="n">
        <f aca="false">J300+J301+J302+J303</f>
        <v>0</v>
      </c>
      <c r="K304" s="73" t="n">
        <f aca="false">K300+K301+K302+K303</f>
        <v>0</v>
      </c>
      <c r="L304" s="73" t="n">
        <f aca="false">L300+L301+L302+L303</f>
        <v>0</v>
      </c>
      <c r="M304" s="73" t="n">
        <f aca="false">M300+M301+M302+M303</f>
        <v>0</v>
      </c>
      <c r="N304" s="73" t="n">
        <f aca="false">N300+N301+N302+N303</f>
        <v>0</v>
      </c>
      <c r="O304" s="73" t="n">
        <f aca="false">O300+O301+O302+O303</f>
        <v>2500</v>
      </c>
      <c r="P304" s="73" t="n">
        <f aca="false">P300+P301+P302+P303</f>
        <v>0</v>
      </c>
      <c r="Q304" s="73" t="n">
        <f aca="false">Q300+Q301+Q302+Q303</f>
        <v>0</v>
      </c>
      <c r="R304" s="73" t="n">
        <f aca="false">R300+R301+R302+R303</f>
        <v>0</v>
      </c>
      <c r="S304" s="73" t="n">
        <f aca="false">S300+S301+S302+S303</f>
        <v>0</v>
      </c>
      <c r="T304" s="73" t="n">
        <f aca="false">T300+T301+T302+T303</f>
        <v>0</v>
      </c>
      <c r="U304" s="73" t="n">
        <f aca="false">U300+U301+U302+U303</f>
        <v>0</v>
      </c>
      <c r="V304" s="73" t="n">
        <f aca="false">V300+V301+V302+V303</f>
        <v>0</v>
      </c>
      <c r="W304" s="73" t="n">
        <f aca="false">W300+W301+W302+W303</f>
        <v>0</v>
      </c>
      <c r="X304" s="73" t="n">
        <f aca="false">X300+X301+X302+X303</f>
        <v>0</v>
      </c>
      <c r="Y304" s="73" t="n">
        <f aca="false">Y300+Y301+Y302+Y303</f>
        <v>0</v>
      </c>
      <c r="Z304" s="73" t="n">
        <f aca="false">Z300+Z301+Z302+Z303</f>
        <v>0</v>
      </c>
      <c r="AA304" s="73" t="n">
        <f aca="false">AA300+AA301+AA302+AA303</f>
        <v>2500</v>
      </c>
      <c r="AB304" s="73" t="n">
        <f aca="false">AB300+AB301+AB302+AB303</f>
        <v>0</v>
      </c>
      <c r="AC304" s="73" t="n">
        <f aca="false">AC300+AC301+AC302+AC303</f>
        <v>0</v>
      </c>
      <c r="AD304" s="73" t="n">
        <f aca="false">AD300+AD301+AD302+AD303</f>
        <v>0</v>
      </c>
      <c r="AE304" s="73" t="n">
        <f aca="false">AE300+AE301+AE302+AE303</f>
        <v>0</v>
      </c>
      <c r="AF304" s="73" t="n">
        <f aca="false">AF300+AF301+AF302+AF303</f>
        <v>0</v>
      </c>
      <c r="AG304" s="73" t="n">
        <f aca="false">AG300+AG301+AG302+AG303</f>
        <v>0</v>
      </c>
      <c r="AH304" s="73" t="n">
        <f aca="false">AH300+AH301+AH302+AH303</f>
        <v>0</v>
      </c>
      <c r="AI304" s="73" t="n">
        <f aca="false">AI300+AI301+AI302+AI303</f>
        <v>0</v>
      </c>
      <c r="AJ304" s="73" t="n">
        <f aca="false">AJ300+AJ301+AJ302+AJ303</f>
        <v>0</v>
      </c>
      <c r="AK304" s="73" t="n">
        <f aca="false">AK300+AK301+AK302+AK303</f>
        <v>0</v>
      </c>
      <c r="AL304" s="73" t="n">
        <f aca="false">AL300+AL301+AL302+AL303</f>
        <v>0</v>
      </c>
      <c r="AM304" s="73" t="n">
        <f aca="false">AM300+AM301+AM302+AM303</f>
        <v>2500</v>
      </c>
      <c r="AN304" s="73" t="n">
        <f aca="false">AN300+AN301+AN302+AN303</f>
        <v>0</v>
      </c>
      <c r="AO304" s="73" t="n">
        <f aca="false">AO300+AO301+AO302+AO303</f>
        <v>0</v>
      </c>
      <c r="AP304" s="73" t="n">
        <f aca="false">AP300+AP301+AP302+AP303</f>
        <v>0</v>
      </c>
      <c r="AQ304" s="73" t="n">
        <f aca="false">AQ300+AQ301+AQ302+AQ303</f>
        <v>0</v>
      </c>
      <c r="AR304" s="73" t="n">
        <f aca="false">AR300+AR301+AR302+AR303</f>
        <v>0</v>
      </c>
      <c r="AS304" s="73" t="n">
        <f aca="false">AS300+AS301+AS302+AS303</f>
        <v>0</v>
      </c>
      <c r="AT304" s="73" t="n">
        <f aca="false">AT300+AT301+AT302+AT303</f>
        <v>0</v>
      </c>
      <c r="AU304" s="73" t="n">
        <f aca="false">AU300+AU301+AU302+AU303</f>
        <v>0</v>
      </c>
      <c r="AV304" s="73" t="n">
        <f aca="false">AV300+AV301+AV302+AV303</f>
        <v>0</v>
      </c>
      <c r="AW304" s="73" t="n">
        <f aca="false">AW300+AW301+AW302+AW303</f>
        <v>0</v>
      </c>
      <c r="AX304" s="73" t="n">
        <f aca="false">AX300+AX301+AX302+AX303</f>
        <v>0</v>
      </c>
      <c r="AY304" s="73" t="n">
        <f aca="false">AY300+AY301+AY302+AY303</f>
        <v>2500</v>
      </c>
      <c r="AZ304" s="73" t="n">
        <f aca="false">AZ300+AZ301+AZ302+AZ303</f>
        <v>0</v>
      </c>
      <c r="BA304" s="73" t="n">
        <f aca="false">BA300+BA301+BA302+BA303</f>
        <v>0</v>
      </c>
      <c r="BB304" s="73" t="n">
        <f aca="false">BB300+BB301+BB302+BB303</f>
        <v>0</v>
      </c>
      <c r="BC304" s="73" t="n">
        <f aca="false">BC300+BC301+BC302+BC303</f>
        <v>0</v>
      </c>
      <c r="BD304" s="73" t="n">
        <f aca="false">BD300+BD301+BD302+BD303</f>
        <v>0</v>
      </c>
      <c r="BE304" s="73" t="n">
        <f aca="false">BE300+BE301+BE302+BE303</f>
        <v>0</v>
      </c>
      <c r="BF304" s="73" t="n">
        <f aca="false">BF300+BF301+BF302+BF303</f>
        <v>0</v>
      </c>
      <c r="BG304" s="73" t="n">
        <f aca="false">BG300+BG301+BG302+BG303</f>
        <v>0</v>
      </c>
      <c r="BH304" s="73" t="n">
        <f aca="false">BH300+BH301+BH302+BH303</f>
        <v>0</v>
      </c>
      <c r="BI304" s="73" t="n">
        <f aca="false">BI300+BI301+BI302+BI303</f>
        <v>0</v>
      </c>
      <c r="BJ304" s="73" t="n">
        <f aca="false">BJ300+BJ301+BJ302+BJ303</f>
        <v>0</v>
      </c>
    </row>
    <row r="305" customFormat="false" ht="15" hidden="false" customHeight="false" outlineLevel="0" collapsed="false">
      <c r="A305" s="6" t="s">
        <v>437</v>
      </c>
      <c r="C305" s="67" t="n">
        <f aca="false">C304</f>
        <v>138000</v>
      </c>
      <c r="D305" s="67" t="n">
        <f aca="false">C305+D304</f>
        <v>138000</v>
      </c>
      <c r="E305" s="67" t="n">
        <f aca="false">D305+E304</f>
        <v>138000</v>
      </c>
      <c r="F305" s="67" t="n">
        <f aca="false">E305+F304</f>
        <v>138000</v>
      </c>
      <c r="G305" s="67" t="n">
        <f aca="false">F305+G304</f>
        <v>138000</v>
      </c>
      <c r="H305" s="67" t="n">
        <f aca="false">G305+H304</f>
        <v>138000</v>
      </c>
      <c r="I305" s="67" t="n">
        <f aca="false">H305+I304</f>
        <v>138000</v>
      </c>
      <c r="J305" s="67" t="n">
        <f aca="false">I305+J304</f>
        <v>138000</v>
      </c>
      <c r="K305" s="67" t="n">
        <f aca="false">J305+K304</f>
        <v>138000</v>
      </c>
      <c r="L305" s="67" t="n">
        <f aca="false">K305+L304</f>
        <v>138000</v>
      </c>
      <c r="M305" s="67" t="n">
        <f aca="false">L305+M304</f>
        <v>138000</v>
      </c>
      <c r="N305" s="67" t="n">
        <f aca="false">M305+N304</f>
        <v>138000</v>
      </c>
      <c r="O305" s="67" t="n">
        <f aca="false">N305+O304</f>
        <v>140500</v>
      </c>
      <c r="P305" s="67" t="n">
        <f aca="false">O305+P304</f>
        <v>140500</v>
      </c>
      <c r="Q305" s="67" t="n">
        <f aca="false">P305+Q304</f>
        <v>140500</v>
      </c>
      <c r="R305" s="67" t="n">
        <f aca="false">Q305+R304</f>
        <v>140500</v>
      </c>
      <c r="S305" s="67" t="n">
        <f aca="false">R305+S304</f>
        <v>140500</v>
      </c>
      <c r="T305" s="67" t="n">
        <f aca="false">S305+T304</f>
        <v>140500</v>
      </c>
      <c r="U305" s="67" t="n">
        <f aca="false">T305+U304</f>
        <v>140500</v>
      </c>
      <c r="V305" s="67" t="n">
        <f aca="false">U305+V304</f>
        <v>140500</v>
      </c>
      <c r="W305" s="67" t="n">
        <f aca="false">V305+W304</f>
        <v>140500</v>
      </c>
      <c r="X305" s="67" t="n">
        <f aca="false">W305+X304</f>
        <v>140500</v>
      </c>
      <c r="Y305" s="67" t="n">
        <f aca="false">X305+Y304</f>
        <v>140500</v>
      </c>
      <c r="Z305" s="67" t="n">
        <f aca="false">Y305+Z304</f>
        <v>140500</v>
      </c>
      <c r="AA305" s="67" t="n">
        <f aca="false">Z305+AA304</f>
        <v>143000</v>
      </c>
      <c r="AB305" s="67" t="n">
        <f aca="false">AA305+AB304</f>
        <v>143000</v>
      </c>
      <c r="AC305" s="67" t="n">
        <f aca="false">AB305+AC304</f>
        <v>143000</v>
      </c>
      <c r="AD305" s="67" t="n">
        <f aca="false">AC305+AD304</f>
        <v>143000</v>
      </c>
      <c r="AE305" s="67" t="n">
        <f aca="false">AD305+AE304</f>
        <v>143000</v>
      </c>
      <c r="AF305" s="67" t="n">
        <f aca="false">AE305+AF304</f>
        <v>143000</v>
      </c>
      <c r="AG305" s="67" t="n">
        <f aca="false">AF305+AG304</f>
        <v>143000</v>
      </c>
      <c r="AH305" s="67" t="n">
        <f aca="false">AG305+AH304</f>
        <v>143000</v>
      </c>
      <c r="AI305" s="67" t="n">
        <f aca="false">AH305+AI304</f>
        <v>143000</v>
      </c>
      <c r="AJ305" s="67" t="n">
        <f aca="false">AI305+AJ304</f>
        <v>143000</v>
      </c>
      <c r="AK305" s="67" t="n">
        <f aca="false">AJ305+AK304</f>
        <v>143000</v>
      </c>
      <c r="AL305" s="67" t="n">
        <f aca="false">AK305+AL304</f>
        <v>143000</v>
      </c>
      <c r="AM305" s="67" t="n">
        <f aca="false">AL305+AM304</f>
        <v>145500</v>
      </c>
      <c r="AN305" s="67" t="n">
        <f aca="false">AM305+AN304</f>
        <v>145500</v>
      </c>
      <c r="AO305" s="67" t="n">
        <f aca="false">AN305+AO304</f>
        <v>145500</v>
      </c>
      <c r="AP305" s="67" t="n">
        <f aca="false">AO305+AP304</f>
        <v>145500</v>
      </c>
      <c r="AQ305" s="67" t="n">
        <f aca="false">AP305+AQ304</f>
        <v>145500</v>
      </c>
      <c r="AR305" s="67" t="n">
        <f aca="false">AQ305+AR304</f>
        <v>145500</v>
      </c>
      <c r="AS305" s="67" t="n">
        <f aca="false">AR305+AS304</f>
        <v>145500</v>
      </c>
      <c r="AT305" s="67" t="n">
        <f aca="false">AS305+AT304</f>
        <v>145500</v>
      </c>
      <c r="AU305" s="67" t="n">
        <f aca="false">AT305+AU304</f>
        <v>145500</v>
      </c>
      <c r="AV305" s="67" t="n">
        <f aca="false">AU305+AV304</f>
        <v>145500</v>
      </c>
      <c r="AW305" s="67" t="n">
        <f aca="false">AV305+AW304</f>
        <v>145500</v>
      </c>
      <c r="AX305" s="67" t="n">
        <f aca="false">AW305+AX304</f>
        <v>145500</v>
      </c>
      <c r="AY305" s="67" t="n">
        <f aca="false">AX305+AY304</f>
        <v>148000</v>
      </c>
      <c r="AZ305" s="67" t="n">
        <f aca="false">AY305+AZ304</f>
        <v>148000</v>
      </c>
      <c r="BA305" s="67" t="n">
        <f aca="false">AZ305+BA304</f>
        <v>148000</v>
      </c>
      <c r="BB305" s="67" t="n">
        <f aca="false">BA305+BB304</f>
        <v>148000</v>
      </c>
      <c r="BC305" s="67" t="n">
        <f aca="false">BB305+BC304</f>
        <v>148000</v>
      </c>
      <c r="BD305" s="67" t="n">
        <f aca="false">BC305+BD304</f>
        <v>148000</v>
      </c>
      <c r="BE305" s="67" t="n">
        <f aca="false">BD305+BE304</f>
        <v>148000</v>
      </c>
      <c r="BF305" s="67" t="n">
        <f aca="false">BE305+BF304</f>
        <v>148000</v>
      </c>
      <c r="BG305" s="67" t="n">
        <f aca="false">BF305+BG304</f>
        <v>148000</v>
      </c>
      <c r="BH305" s="67" t="n">
        <f aca="false">BG305+BH304</f>
        <v>148000</v>
      </c>
      <c r="BI305" s="67" t="n">
        <f aca="false">BH305+BI304</f>
        <v>148000</v>
      </c>
      <c r="BJ305" s="67" t="n">
        <f aca="false">BI305+BJ304</f>
        <v>148000</v>
      </c>
    </row>
    <row r="306" customFormat="false" ht="15" hidden="false" customHeight="false" outlineLevel="0" collapsed="false">
      <c r="A306" s="6" t="s">
        <v>78</v>
      </c>
      <c r="C306" s="67" t="n">
        <f aca="false">-MIN(C305/MAX(1,Inputs!$D$82*12),C304)</f>
        <v>-1642.85714285714</v>
      </c>
      <c r="D306" s="67" t="n">
        <f aca="false">-MIN(D305/MAX(1,Inputs!$D$82*12),C308+D304)</f>
        <v>-1642.85714285714</v>
      </c>
      <c r="E306" s="67" t="n">
        <f aca="false">-MIN(E305/MAX(1,Inputs!$D$82*12),D308+E304)</f>
        <v>-1642.85714285714</v>
      </c>
      <c r="F306" s="67" t="n">
        <f aca="false">-MIN(F305/MAX(1,Inputs!$D$82*12),E308+F304)</f>
        <v>-1642.85714285714</v>
      </c>
      <c r="G306" s="67" t="n">
        <f aca="false">-MIN(G305/MAX(1,Inputs!$D$82*12),F308+G304)</f>
        <v>-1642.85714285714</v>
      </c>
      <c r="H306" s="67" t="n">
        <f aca="false">-MIN(H305/MAX(1,Inputs!$D$82*12),G308+H304)</f>
        <v>-1642.85714285714</v>
      </c>
      <c r="I306" s="67" t="n">
        <f aca="false">-MIN(I305/MAX(1,Inputs!$D$82*12),H308+I304)</f>
        <v>-1642.85714285714</v>
      </c>
      <c r="J306" s="67" t="n">
        <f aca="false">-MIN(J305/MAX(1,Inputs!$D$82*12),I308+J304)</f>
        <v>-1642.85714285714</v>
      </c>
      <c r="K306" s="67" t="n">
        <f aca="false">-MIN(K305/MAX(1,Inputs!$D$82*12),J308+K304)</f>
        <v>-1642.85714285714</v>
      </c>
      <c r="L306" s="67" t="n">
        <f aca="false">-MIN(L305/MAX(1,Inputs!$D$82*12),K308+L304)</f>
        <v>-1642.85714285714</v>
      </c>
      <c r="M306" s="67" t="n">
        <f aca="false">-MIN(M305/MAX(1,Inputs!$D$82*12),L308+M304)</f>
        <v>-1642.85714285714</v>
      </c>
      <c r="N306" s="67" t="n">
        <f aca="false">-MIN(N305/MAX(1,Inputs!$D$82*12),M308+N304)</f>
        <v>-1642.85714285714</v>
      </c>
      <c r="O306" s="67" t="n">
        <f aca="false">-MIN(O305/MAX(1,Inputs!$D$82*12),N308+O304)</f>
        <v>-1672.61904761905</v>
      </c>
      <c r="P306" s="67" t="n">
        <f aca="false">-MIN(P305/MAX(1,Inputs!$D$82*12),O308+P304)</f>
        <v>-1672.61904761905</v>
      </c>
      <c r="Q306" s="67" t="n">
        <f aca="false">-MIN(Q305/MAX(1,Inputs!$D$82*12),P308+Q304)</f>
        <v>-1672.61904761905</v>
      </c>
      <c r="R306" s="67" t="n">
        <f aca="false">-MIN(R305/MAX(1,Inputs!$D$82*12),Q308+R304)</f>
        <v>-1672.61904761905</v>
      </c>
      <c r="S306" s="67" t="n">
        <f aca="false">-MIN(S305/MAX(1,Inputs!$D$82*12),R308+S304)</f>
        <v>-1672.61904761905</v>
      </c>
      <c r="T306" s="67" t="n">
        <f aca="false">-MIN(T305/MAX(1,Inputs!$D$82*12),S308+T304)</f>
        <v>-1672.61904761905</v>
      </c>
      <c r="U306" s="67" t="n">
        <f aca="false">-MIN(U305/MAX(1,Inputs!$D$82*12),T308+U304)</f>
        <v>-1672.61904761905</v>
      </c>
      <c r="V306" s="67" t="n">
        <f aca="false">-MIN(V305/MAX(1,Inputs!$D$82*12),U308+V304)</f>
        <v>-1672.61904761905</v>
      </c>
      <c r="W306" s="67" t="n">
        <f aca="false">-MIN(W305/MAX(1,Inputs!$D$82*12),V308+W304)</f>
        <v>-1672.61904761905</v>
      </c>
      <c r="X306" s="67" t="n">
        <f aca="false">-MIN(X305/MAX(1,Inputs!$D$82*12),W308+X304)</f>
        <v>-1672.61904761905</v>
      </c>
      <c r="Y306" s="67" t="n">
        <f aca="false">-MIN(Y305/MAX(1,Inputs!$D$82*12),X308+Y304)</f>
        <v>-1672.61904761905</v>
      </c>
      <c r="Z306" s="67" t="n">
        <f aca="false">-MIN(Z305/MAX(1,Inputs!$D$82*12),Y308+Z304)</f>
        <v>-1672.61904761905</v>
      </c>
      <c r="AA306" s="67" t="n">
        <f aca="false">-MIN(AA305/MAX(1,Inputs!$D$82*12),Z308+AA304)</f>
        <v>-1702.38095238095</v>
      </c>
      <c r="AB306" s="67" t="n">
        <f aca="false">-MIN(AB305/MAX(1,Inputs!$D$82*12),AA308+AB304)</f>
        <v>-1702.38095238095</v>
      </c>
      <c r="AC306" s="67" t="n">
        <f aca="false">-MIN(AC305/MAX(1,Inputs!$D$82*12),AB308+AC304)</f>
        <v>-1702.38095238095</v>
      </c>
      <c r="AD306" s="67" t="n">
        <f aca="false">-MIN(AD305/MAX(1,Inputs!$D$82*12),AC308+AD304)</f>
        <v>-1702.38095238095</v>
      </c>
      <c r="AE306" s="67" t="n">
        <f aca="false">-MIN(AE305/MAX(1,Inputs!$D$82*12),AD308+AE304)</f>
        <v>-1702.38095238095</v>
      </c>
      <c r="AF306" s="67" t="n">
        <f aca="false">-MIN(AF305/MAX(1,Inputs!$D$82*12),AE308+AF304)</f>
        <v>-1702.38095238095</v>
      </c>
      <c r="AG306" s="67" t="n">
        <f aca="false">-MIN(AG305/MAX(1,Inputs!$D$82*12),AF308+AG304)</f>
        <v>-1702.38095238095</v>
      </c>
      <c r="AH306" s="67" t="n">
        <f aca="false">-MIN(AH305/MAX(1,Inputs!$D$82*12),AG308+AH304)</f>
        <v>-1702.38095238095</v>
      </c>
      <c r="AI306" s="67" t="n">
        <f aca="false">-MIN(AI305/MAX(1,Inputs!$D$82*12),AH308+AI304)</f>
        <v>-1702.38095238095</v>
      </c>
      <c r="AJ306" s="67" t="n">
        <f aca="false">-MIN(AJ305/MAX(1,Inputs!$D$82*12),AI308+AJ304)</f>
        <v>-1702.38095238095</v>
      </c>
      <c r="AK306" s="67" t="n">
        <f aca="false">-MIN(AK305/MAX(1,Inputs!$D$82*12),AJ308+AK304)</f>
        <v>-1702.38095238095</v>
      </c>
      <c r="AL306" s="67" t="n">
        <f aca="false">-MIN(AL305/MAX(1,Inputs!$D$82*12),AK308+AL304)</f>
        <v>-1702.38095238095</v>
      </c>
      <c r="AM306" s="67" t="n">
        <f aca="false">-MIN(AM305/MAX(1,Inputs!$D$82*12),AL308+AM304)</f>
        <v>-1732.14285714286</v>
      </c>
      <c r="AN306" s="67" t="n">
        <f aca="false">-MIN(AN305/MAX(1,Inputs!$D$82*12),AM308+AN304)</f>
        <v>-1732.14285714286</v>
      </c>
      <c r="AO306" s="67" t="n">
        <f aca="false">-MIN(AO305/MAX(1,Inputs!$D$82*12),AN308+AO304)</f>
        <v>-1732.14285714286</v>
      </c>
      <c r="AP306" s="67" t="n">
        <f aca="false">-MIN(AP305/MAX(1,Inputs!$D$82*12),AO308+AP304)</f>
        <v>-1732.14285714286</v>
      </c>
      <c r="AQ306" s="67" t="n">
        <f aca="false">-MIN(AQ305/MAX(1,Inputs!$D$82*12),AP308+AQ304)</f>
        <v>-1732.14285714286</v>
      </c>
      <c r="AR306" s="67" t="n">
        <f aca="false">-MIN(AR305/MAX(1,Inputs!$D$82*12),AQ308+AR304)</f>
        <v>-1732.14285714286</v>
      </c>
      <c r="AS306" s="67" t="n">
        <f aca="false">-MIN(AS305/MAX(1,Inputs!$D$82*12),AR308+AS304)</f>
        <v>-1732.14285714286</v>
      </c>
      <c r="AT306" s="67" t="n">
        <f aca="false">-MIN(AT305/MAX(1,Inputs!$D$82*12),AS308+AT304)</f>
        <v>-1732.14285714286</v>
      </c>
      <c r="AU306" s="67" t="n">
        <f aca="false">-MIN(AU305/MAX(1,Inputs!$D$82*12),AT308+AU304)</f>
        <v>-1732.14285714286</v>
      </c>
      <c r="AV306" s="67" t="n">
        <f aca="false">-MIN(AV305/MAX(1,Inputs!$D$82*12),AU308+AV304)</f>
        <v>-1732.14285714286</v>
      </c>
      <c r="AW306" s="67" t="n">
        <f aca="false">-MIN(AW305/MAX(1,Inputs!$D$82*12),AV308+AW304)</f>
        <v>-1732.14285714286</v>
      </c>
      <c r="AX306" s="67" t="n">
        <f aca="false">-MIN(AX305/MAX(1,Inputs!$D$82*12),AW308+AX304)</f>
        <v>-1732.14285714286</v>
      </c>
      <c r="AY306" s="67" t="n">
        <f aca="false">-MIN(AY305/MAX(1,Inputs!$D$82*12),AX308+AY304)</f>
        <v>-1761.90476190476</v>
      </c>
      <c r="AZ306" s="67" t="n">
        <f aca="false">-MIN(AZ305/MAX(1,Inputs!$D$82*12),AY308+AZ304)</f>
        <v>-1761.90476190476</v>
      </c>
      <c r="BA306" s="67" t="n">
        <f aca="false">-MIN(BA305/MAX(1,Inputs!$D$82*12),AZ308+BA304)</f>
        <v>-1761.90476190476</v>
      </c>
      <c r="BB306" s="67" t="n">
        <f aca="false">-MIN(BB305/MAX(1,Inputs!$D$82*12),BA308+BB304)</f>
        <v>-1761.90476190476</v>
      </c>
      <c r="BC306" s="67" t="n">
        <f aca="false">-MIN(BC305/MAX(1,Inputs!$D$82*12),BB308+BC304)</f>
        <v>-1761.90476190476</v>
      </c>
      <c r="BD306" s="67" t="n">
        <f aca="false">-MIN(BD305/MAX(1,Inputs!$D$82*12),BC308+BD304)</f>
        <v>-1761.90476190476</v>
      </c>
      <c r="BE306" s="67" t="n">
        <f aca="false">-MIN(BE305/MAX(1,Inputs!$D$82*12),BD308+BE304)</f>
        <v>-1761.90476190476</v>
      </c>
      <c r="BF306" s="67" t="n">
        <f aca="false">-MIN(BF305/MAX(1,Inputs!$D$82*12),BE308+BF304)</f>
        <v>-1761.90476190476</v>
      </c>
      <c r="BG306" s="67" t="n">
        <f aca="false">-MIN(BG305/MAX(1,Inputs!$D$82*12),BF308+BG304)</f>
        <v>-1761.90476190476</v>
      </c>
      <c r="BH306" s="67" t="n">
        <f aca="false">-MIN(BH305/MAX(1,Inputs!$D$82*12),BG308+BH304)</f>
        <v>-1761.90476190476</v>
      </c>
      <c r="BI306" s="67" t="n">
        <f aca="false">-MIN(BI305/MAX(1,Inputs!$D$82*12),BH308+BI304)</f>
        <v>-1761.90476190476</v>
      </c>
      <c r="BJ306" s="67" t="n">
        <f aca="false">-MIN(BJ305/MAX(1,Inputs!$D$82*12),BI308+BJ304)</f>
        <v>-1761.90476190476</v>
      </c>
    </row>
    <row r="307" customFormat="false" ht="15" hidden="false" customHeight="false" outlineLevel="0" collapsed="false">
      <c r="A307" s="6" t="s">
        <v>438</v>
      </c>
      <c r="C307" s="67" t="n">
        <f aca="false">C306</f>
        <v>-1642.85714285714</v>
      </c>
      <c r="D307" s="67" t="n">
        <f aca="false">C307+D306</f>
        <v>-3285.71428571429</v>
      </c>
      <c r="E307" s="67" t="n">
        <f aca="false">D307+E306</f>
        <v>-4928.57142857143</v>
      </c>
      <c r="F307" s="67" t="n">
        <f aca="false">E307+F306</f>
        <v>-6571.42857142857</v>
      </c>
      <c r="G307" s="67" t="n">
        <f aca="false">F307+G306</f>
        <v>-8214.28571428571</v>
      </c>
      <c r="H307" s="67" t="n">
        <f aca="false">G307+H306</f>
        <v>-9857.14285714286</v>
      </c>
      <c r="I307" s="67" t="n">
        <f aca="false">H307+I306</f>
        <v>-11500</v>
      </c>
      <c r="J307" s="67" t="n">
        <f aca="false">I307+J306</f>
        <v>-13142.8571428571</v>
      </c>
      <c r="K307" s="67" t="n">
        <f aca="false">J307+K306</f>
        <v>-14785.7142857143</v>
      </c>
      <c r="L307" s="67" t="n">
        <f aca="false">K307+L306</f>
        <v>-16428.5714285714</v>
      </c>
      <c r="M307" s="67" t="n">
        <f aca="false">L307+M306</f>
        <v>-18071.4285714286</v>
      </c>
      <c r="N307" s="67" t="n">
        <f aca="false">M307+N306</f>
        <v>-19714.2857142857</v>
      </c>
      <c r="O307" s="67" t="n">
        <f aca="false">N307+O306</f>
        <v>-21386.9047619048</v>
      </c>
      <c r="P307" s="67" t="n">
        <f aca="false">O307+P306</f>
        <v>-23059.5238095238</v>
      </c>
      <c r="Q307" s="67" t="n">
        <f aca="false">P307+Q306</f>
        <v>-24732.1428571428</v>
      </c>
      <c r="R307" s="67" t="n">
        <f aca="false">Q307+R306</f>
        <v>-26404.7619047619</v>
      </c>
      <c r="S307" s="67" t="n">
        <f aca="false">R307+S306</f>
        <v>-28077.3809523809</v>
      </c>
      <c r="T307" s="67" t="n">
        <f aca="false">S307+T306</f>
        <v>-29750</v>
      </c>
      <c r="U307" s="67" t="n">
        <f aca="false">T307+U306</f>
        <v>-31422.619047619</v>
      </c>
      <c r="V307" s="67" t="n">
        <f aca="false">U307+V306</f>
        <v>-33095.2380952381</v>
      </c>
      <c r="W307" s="67" t="n">
        <f aca="false">V307+W306</f>
        <v>-34767.8571428571</v>
      </c>
      <c r="X307" s="67" t="n">
        <f aca="false">W307+X306</f>
        <v>-36440.4761904762</v>
      </c>
      <c r="Y307" s="67" t="n">
        <f aca="false">X307+Y306</f>
        <v>-38113.0952380952</v>
      </c>
      <c r="Z307" s="67" t="n">
        <f aca="false">Y307+Z306</f>
        <v>-39785.7142857143</v>
      </c>
      <c r="AA307" s="67" t="n">
        <f aca="false">Z307+AA306</f>
        <v>-41488.0952380952</v>
      </c>
      <c r="AB307" s="67" t="n">
        <f aca="false">AA307+AB306</f>
        <v>-43190.4761904762</v>
      </c>
      <c r="AC307" s="67" t="n">
        <f aca="false">AB307+AC306</f>
        <v>-44892.8571428571</v>
      </c>
      <c r="AD307" s="67" t="n">
        <f aca="false">AC307+AD306</f>
        <v>-46595.2380952381</v>
      </c>
      <c r="AE307" s="67" t="n">
        <f aca="false">AD307+AE306</f>
        <v>-48297.619047619</v>
      </c>
      <c r="AF307" s="67" t="n">
        <f aca="false">AE307+AF306</f>
        <v>-50000</v>
      </c>
      <c r="AG307" s="67" t="n">
        <f aca="false">AF307+AG306</f>
        <v>-51702.3809523809</v>
      </c>
      <c r="AH307" s="67" t="n">
        <f aca="false">AG307+AH306</f>
        <v>-53404.7619047619</v>
      </c>
      <c r="AI307" s="67" t="n">
        <f aca="false">AH307+AI306</f>
        <v>-55107.1428571429</v>
      </c>
      <c r="AJ307" s="67" t="n">
        <f aca="false">AI307+AJ306</f>
        <v>-56809.5238095238</v>
      </c>
      <c r="AK307" s="67" t="n">
        <f aca="false">AJ307+AK306</f>
        <v>-58511.9047619048</v>
      </c>
      <c r="AL307" s="67" t="n">
        <f aca="false">AK307+AL306</f>
        <v>-60214.2857142857</v>
      </c>
      <c r="AM307" s="67" t="n">
        <f aca="false">AL307+AM306</f>
        <v>-61946.4285714286</v>
      </c>
      <c r="AN307" s="67" t="n">
        <f aca="false">AM307+AN306</f>
        <v>-63678.5714285714</v>
      </c>
      <c r="AO307" s="67" t="n">
        <f aca="false">AN307+AO306</f>
        <v>-65410.7142857143</v>
      </c>
      <c r="AP307" s="67" t="n">
        <f aca="false">AO307+AP306</f>
        <v>-67142.8571428571</v>
      </c>
      <c r="AQ307" s="67" t="n">
        <f aca="false">AP307+AQ306</f>
        <v>-68875</v>
      </c>
      <c r="AR307" s="67" t="n">
        <f aca="false">AQ307+AR306</f>
        <v>-70607.1428571428</v>
      </c>
      <c r="AS307" s="67" t="n">
        <f aca="false">AR307+AS306</f>
        <v>-72339.2857142857</v>
      </c>
      <c r="AT307" s="67" t="n">
        <f aca="false">AS307+AT306</f>
        <v>-74071.4285714286</v>
      </c>
      <c r="AU307" s="67" t="n">
        <f aca="false">AT307+AU306</f>
        <v>-75803.5714285714</v>
      </c>
      <c r="AV307" s="67" t="n">
        <f aca="false">AU307+AV306</f>
        <v>-77535.7142857143</v>
      </c>
      <c r="AW307" s="67" t="n">
        <f aca="false">AV307+AW306</f>
        <v>-79267.8571428571</v>
      </c>
      <c r="AX307" s="67" t="n">
        <f aca="false">AW307+AX306</f>
        <v>-81000</v>
      </c>
      <c r="AY307" s="67" t="n">
        <f aca="false">AX307+AY306</f>
        <v>-82761.9047619047</v>
      </c>
      <c r="AZ307" s="67" t="n">
        <f aca="false">AY307+AZ306</f>
        <v>-84523.8095238095</v>
      </c>
      <c r="BA307" s="67" t="n">
        <f aca="false">AZ307+BA306</f>
        <v>-86285.7142857143</v>
      </c>
      <c r="BB307" s="67" t="n">
        <f aca="false">BA307+BB306</f>
        <v>-88047.619047619</v>
      </c>
      <c r="BC307" s="67" t="n">
        <f aca="false">BB307+BC306</f>
        <v>-89809.5238095238</v>
      </c>
      <c r="BD307" s="67" t="n">
        <f aca="false">BC307+BD306</f>
        <v>-91571.4285714286</v>
      </c>
      <c r="BE307" s="67" t="n">
        <f aca="false">BD307+BE306</f>
        <v>-93333.3333333333</v>
      </c>
      <c r="BF307" s="67" t="n">
        <f aca="false">BE307+BF306</f>
        <v>-95095.2380952381</v>
      </c>
      <c r="BG307" s="67" t="n">
        <f aca="false">BF307+BG306</f>
        <v>-96857.1428571428</v>
      </c>
      <c r="BH307" s="67" t="n">
        <f aca="false">BG307+BH306</f>
        <v>-98619.0476190476</v>
      </c>
      <c r="BI307" s="67" t="n">
        <f aca="false">BH307+BI306</f>
        <v>-100380.952380952</v>
      </c>
      <c r="BJ307" s="67" t="n">
        <f aca="false">BI307+BJ306</f>
        <v>-102142.857142857</v>
      </c>
    </row>
    <row r="308" customFormat="false" ht="15" hidden="false" customHeight="false" outlineLevel="0" collapsed="false">
      <c r="A308" s="4" t="s">
        <v>92</v>
      </c>
      <c r="C308" s="73" t="n">
        <f aca="false">C305+C307</f>
        <v>136357.142857143</v>
      </c>
      <c r="D308" s="73" t="n">
        <f aca="false">D305+D307</f>
        <v>134714.285714286</v>
      </c>
      <c r="E308" s="73" t="n">
        <f aca="false">E305+E307</f>
        <v>133071.428571429</v>
      </c>
      <c r="F308" s="73" t="n">
        <f aca="false">F305+F307</f>
        <v>131428.571428571</v>
      </c>
      <c r="G308" s="73" t="n">
        <f aca="false">G305+G307</f>
        <v>129785.714285714</v>
      </c>
      <c r="H308" s="73" t="n">
        <f aca="false">H305+H307</f>
        <v>128142.857142857</v>
      </c>
      <c r="I308" s="73" t="n">
        <f aca="false">I305+I307</f>
        <v>126500</v>
      </c>
      <c r="J308" s="73" t="n">
        <f aca="false">J305+J307</f>
        <v>124857.142857143</v>
      </c>
      <c r="K308" s="73" t="n">
        <f aca="false">K305+K307</f>
        <v>123214.285714286</v>
      </c>
      <c r="L308" s="73" t="n">
        <f aca="false">L305+L307</f>
        <v>121571.428571429</v>
      </c>
      <c r="M308" s="73" t="n">
        <f aca="false">M305+M307</f>
        <v>119928.571428571</v>
      </c>
      <c r="N308" s="73" t="n">
        <f aca="false">N305+N307</f>
        <v>118285.714285714</v>
      </c>
      <c r="O308" s="73" t="n">
        <f aca="false">O305+O307</f>
        <v>119113.095238095</v>
      </c>
      <c r="P308" s="73" t="n">
        <f aca="false">P305+P307</f>
        <v>117440.476190476</v>
      </c>
      <c r="Q308" s="73" t="n">
        <f aca="false">Q305+Q307</f>
        <v>115767.857142857</v>
      </c>
      <c r="R308" s="73" t="n">
        <f aca="false">R305+R307</f>
        <v>114095.238095238</v>
      </c>
      <c r="S308" s="73" t="n">
        <f aca="false">S305+S307</f>
        <v>112422.619047619</v>
      </c>
      <c r="T308" s="73" t="n">
        <f aca="false">T305+T307</f>
        <v>110750</v>
      </c>
      <c r="U308" s="73" t="n">
        <f aca="false">U305+U307</f>
        <v>109077.380952381</v>
      </c>
      <c r="V308" s="73" t="n">
        <f aca="false">V305+V307</f>
        <v>107404.761904762</v>
      </c>
      <c r="W308" s="73" t="n">
        <f aca="false">W305+W307</f>
        <v>105732.142857143</v>
      </c>
      <c r="X308" s="73" t="n">
        <f aca="false">X305+X307</f>
        <v>104059.523809524</v>
      </c>
      <c r="Y308" s="73" t="n">
        <f aca="false">Y305+Y307</f>
        <v>102386.904761905</v>
      </c>
      <c r="Z308" s="73" t="n">
        <f aca="false">Z305+Z307</f>
        <v>100714.285714286</v>
      </c>
      <c r="AA308" s="73" t="n">
        <f aca="false">AA305+AA307</f>
        <v>101511.904761905</v>
      </c>
      <c r="AB308" s="73" t="n">
        <f aca="false">AB305+AB307</f>
        <v>99809.5238095238</v>
      </c>
      <c r="AC308" s="73" t="n">
        <f aca="false">AC305+AC307</f>
        <v>98107.1428571429</v>
      </c>
      <c r="AD308" s="73" t="n">
        <f aca="false">AD305+AD307</f>
        <v>96404.7619047619</v>
      </c>
      <c r="AE308" s="73" t="n">
        <f aca="false">AE305+AE307</f>
        <v>94702.380952381</v>
      </c>
      <c r="AF308" s="73" t="n">
        <f aca="false">AF305+AF307</f>
        <v>93000</v>
      </c>
      <c r="AG308" s="73" t="n">
        <f aca="false">AG305+AG307</f>
        <v>91297.6190476191</v>
      </c>
      <c r="AH308" s="73" t="n">
        <f aca="false">AH305+AH307</f>
        <v>89595.2380952381</v>
      </c>
      <c r="AI308" s="73" t="n">
        <f aca="false">AI305+AI307</f>
        <v>87892.8571428572</v>
      </c>
      <c r="AJ308" s="73" t="n">
        <f aca="false">AJ305+AJ307</f>
        <v>86190.4761904762</v>
      </c>
      <c r="AK308" s="73" t="n">
        <f aca="false">AK305+AK307</f>
        <v>84488.0952380952</v>
      </c>
      <c r="AL308" s="73" t="n">
        <f aca="false">AL305+AL307</f>
        <v>82785.7142857143</v>
      </c>
      <c r="AM308" s="73" t="n">
        <f aca="false">AM305+AM307</f>
        <v>83553.5714285714</v>
      </c>
      <c r="AN308" s="73" t="n">
        <f aca="false">AN305+AN307</f>
        <v>81821.4285714286</v>
      </c>
      <c r="AO308" s="73" t="n">
        <f aca="false">AO305+AO307</f>
        <v>80089.2857142857</v>
      </c>
      <c r="AP308" s="73" t="n">
        <f aca="false">AP305+AP307</f>
        <v>78357.1428571429</v>
      </c>
      <c r="AQ308" s="73" t="n">
        <f aca="false">AQ305+AQ307</f>
        <v>76625</v>
      </c>
      <c r="AR308" s="73" t="n">
        <f aca="false">AR305+AR307</f>
        <v>74892.8571428572</v>
      </c>
      <c r="AS308" s="73" t="n">
        <f aca="false">AS305+AS307</f>
        <v>73160.7142857143</v>
      </c>
      <c r="AT308" s="73" t="n">
        <f aca="false">AT305+AT307</f>
        <v>71428.5714285715</v>
      </c>
      <c r="AU308" s="73" t="n">
        <f aca="false">AU305+AU307</f>
        <v>69696.4285714286</v>
      </c>
      <c r="AV308" s="73" t="n">
        <f aca="false">AV305+AV307</f>
        <v>67964.2857142857</v>
      </c>
      <c r="AW308" s="73" t="n">
        <f aca="false">AW305+AW307</f>
        <v>66232.1428571429</v>
      </c>
      <c r="AX308" s="73" t="n">
        <f aca="false">AX305+AX307</f>
        <v>64500</v>
      </c>
      <c r="AY308" s="73" t="n">
        <f aca="false">AY305+AY307</f>
        <v>65238.0952380953</v>
      </c>
      <c r="AZ308" s="73" t="n">
        <f aca="false">AZ305+AZ307</f>
        <v>63476.1904761905</v>
      </c>
      <c r="BA308" s="73" t="n">
        <f aca="false">BA305+BA307</f>
        <v>61714.2857142857</v>
      </c>
      <c r="BB308" s="73" t="n">
        <f aca="false">BB305+BB307</f>
        <v>59952.380952381</v>
      </c>
      <c r="BC308" s="73" t="n">
        <f aca="false">BC305+BC307</f>
        <v>58190.4761904762</v>
      </c>
      <c r="BD308" s="73" t="n">
        <f aca="false">BD305+BD307</f>
        <v>56428.5714285715</v>
      </c>
      <c r="BE308" s="73" t="n">
        <f aca="false">BE305+BE307</f>
        <v>54666.6666666667</v>
      </c>
      <c r="BF308" s="73" t="n">
        <f aca="false">BF305+BF307</f>
        <v>52904.7619047619</v>
      </c>
      <c r="BG308" s="73" t="n">
        <f aca="false">BG305+BG307</f>
        <v>51142.8571428572</v>
      </c>
      <c r="BH308" s="73" t="n">
        <f aca="false">BH305+BH307</f>
        <v>49380.9523809524</v>
      </c>
      <c r="BI308" s="73" t="n">
        <f aca="false">BI305+BI307</f>
        <v>47619.0476190476</v>
      </c>
      <c r="BJ308" s="73" t="n">
        <f aca="false">BJ305+BJ307</f>
        <v>45857.1428571429</v>
      </c>
    </row>
    <row r="310" customFormat="false" ht="15.75" hidden="false" customHeight="true" outlineLevel="0" collapsed="false">
      <c r="A310" s="7" t="s">
        <v>439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</row>
    <row r="311" customFormat="false" ht="15" hidden="false" customHeight="false" outlineLevel="0" collapsed="false">
      <c r="A311" s="6" t="s">
        <v>440</v>
      </c>
      <c r="C311" s="67" t="n">
        <f aca="false">0</f>
        <v>0</v>
      </c>
      <c r="D311" s="67" t="n">
        <f aca="false">C314</f>
        <v>90000</v>
      </c>
      <c r="E311" s="67" t="n">
        <f aca="false">D314</f>
        <v>88500</v>
      </c>
      <c r="F311" s="67" t="n">
        <f aca="false">E314</f>
        <v>87000</v>
      </c>
      <c r="G311" s="67" t="n">
        <f aca="false">F314</f>
        <v>85500</v>
      </c>
      <c r="H311" s="67" t="n">
        <f aca="false">G314</f>
        <v>84000</v>
      </c>
      <c r="I311" s="67" t="n">
        <f aca="false">H314</f>
        <v>82500</v>
      </c>
      <c r="J311" s="67" t="n">
        <f aca="false">I314</f>
        <v>81000</v>
      </c>
      <c r="K311" s="67" t="n">
        <f aca="false">J314</f>
        <v>79500</v>
      </c>
      <c r="L311" s="67" t="n">
        <f aca="false">K314</f>
        <v>78000</v>
      </c>
      <c r="M311" s="67" t="n">
        <f aca="false">L314</f>
        <v>76500</v>
      </c>
      <c r="N311" s="67" t="n">
        <f aca="false">M314</f>
        <v>75000</v>
      </c>
      <c r="O311" s="67" t="n">
        <f aca="false">N314</f>
        <v>73500</v>
      </c>
      <c r="P311" s="67" t="n">
        <f aca="false">O314</f>
        <v>72000</v>
      </c>
      <c r="Q311" s="67" t="n">
        <f aca="false">P314</f>
        <v>70500</v>
      </c>
      <c r="R311" s="67" t="n">
        <f aca="false">Q314</f>
        <v>69000</v>
      </c>
      <c r="S311" s="67" t="n">
        <f aca="false">R314</f>
        <v>67500</v>
      </c>
      <c r="T311" s="67" t="n">
        <f aca="false">S314</f>
        <v>66000</v>
      </c>
      <c r="U311" s="67" t="n">
        <f aca="false">T314</f>
        <v>64500</v>
      </c>
      <c r="V311" s="67" t="n">
        <f aca="false">U314</f>
        <v>63000</v>
      </c>
      <c r="W311" s="67" t="n">
        <f aca="false">V314</f>
        <v>61500</v>
      </c>
      <c r="X311" s="67" t="n">
        <f aca="false">W314</f>
        <v>60000</v>
      </c>
      <c r="Y311" s="67" t="n">
        <f aca="false">X314</f>
        <v>58500</v>
      </c>
      <c r="Z311" s="67" t="n">
        <f aca="false">Y314</f>
        <v>57000</v>
      </c>
      <c r="AA311" s="67" t="n">
        <f aca="false">Z314</f>
        <v>55500</v>
      </c>
      <c r="AB311" s="67" t="n">
        <f aca="false">AA314</f>
        <v>54000</v>
      </c>
      <c r="AC311" s="67" t="n">
        <f aca="false">AB314</f>
        <v>52500</v>
      </c>
      <c r="AD311" s="67" t="n">
        <f aca="false">AC314</f>
        <v>51000</v>
      </c>
      <c r="AE311" s="67" t="n">
        <f aca="false">AD314</f>
        <v>49500</v>
      </c>
      <c r="AF311" s="67" t="n">
        <f aca="false">AE314</f>
        <v>48000</v>
      </c>
      <c r="AG311" s="67" t="n">
        <f aca="false">AF314</f>
        <v>46500</v>
      </c>
      <c r="AH311" s="67" t="n">
        <f aca="false">AG314</f>
        <v>45000</v>
      </c>
      <c r="AI311" s="67" t="n">
        <f aca="false">AH314</f>
        <v>43500</v>
      </c>
      <c r="AJ311" s="67" t="n">
        <f aca="false">AI314</f>
        <v>42000</v>
      </c>
      <c r="AK311" s="67" t="n">
        <f aca="false">AJ314</f>
        <v>40500</v>
      </c>
      <c r="AL311" s="67" t="n">
        <f aca="false">AK314</f>
        <v>39000</v>
      </c>
      <c r="AM311" s="67" t="n">
        <f aca="false">AL314</f>
        <v>37500</v>
      </c>
      <c r="AN311" s="67" t="n">
        <f aca="false">AM314</f>
        <v>36000</v>
      </c>
      <c r="AO311" s="67" t="n">
        <f aca="false">AN314</f>
        <v>34500</v>
      </c>
      <c r="AP311" s="67" t="n">
        <f aca="false">AO314</f>
        <v>33000</v>
      </c>
      <c r="AQ311" s="67" t="n">
        <f aca="false">AP314</f>
        <v>31500</v>
      </c>
      <c r="AR311" s="67" t="n">
        <f aca="false">AQ314</f>
        <v>30000</v>
      </c>
      <c r="AS311" s="67" t="n">
        <f aca="false">AR314</f>
        <v>28500</v>
      </c>
      <c r="AT311" s="67" t="n">
        <f aca="false">AS314</f>
        <v>27000</v>
      </c>
      <c r="AU311" s="67" t="n">
        <f aca="false">AT314</f>
        <v>25500</v>
      </c>
      <c r="AV311" s="67" t="n">
        <f aca="false">AU314</f>
        <v>24000</v>
      </c>
      <c r="AW311" s="67" t="n">
        <f aca="false">AV314</f>
        <v>22500</v>
      </c>
      <c r="AX311" s="67" t="n">
        <f aca="false">AW314</f>
        <v>21000</v>
      </c>
      <c r="AY311" s="67" t="n">
        <f aca="false">AX314</f>
        <v>19500</v>
      </c>
      <c r="AZ311" s="67" t="n">
        <f aca="false">AY314</f>
        <v>18000</v>
      </c>
      <c r="BA311" s="67" t="n">
        <f aca="false">AZ314</f>
        <v>16500</v>
      </c>
      <c r="BB311" s="67" t="n">
        <f aca="false">BA314</f>
        <v>15000</v>
      </c>
      <c r="BC311" s="67" t="n">
        <f aca="false">BB314</f>
        <v>13500</v>
      </c>
      <c r="BD311" s="67" t="n">
        <f aca="false">BC314</f>
        <v>12000</v>
      </c>
      <c r="BE311" s="67" t="n">
        <f aca="false">BD314</f>
        <v>10500</v>
      </c>
      <c r="BF311" s="67" t="n">
        <f aca="false">BE314</f>
        <v>9000</v>
      </c>
      <c r="BG311" s="67" t="n">
        <f aca="false">BF314</f>
        <v>7500</v>
      </c>
      <c r="BH311" s="67" t="n">
        <f aca="false">BG314</f>
        <v>6000</v>
      </c>
      <c r="BI311" s="67" t="n">
        <f aca="false">BH314</f>
        <v>4500</v>
      </c>
      <c r="BJ311" s="67" t="n">
        <f aca="false">BI314</f>
        <v>3000</v>
      </c>
    </row>
    <row r="312" customFormat="false" ht="15" hidden="false" customHeight="false" outlineLevel="0" collapsed="false">
      <c r="A312" s="6" t="s">
        <v>85</v>
      </c>
      <c r="C312" s="67" t="n">
        <f aca="false">IF(C$246=1,Inputs!$D$72,0)</f>
        <v>90000</v>
      </c>
      <c r="D312" s="67" t="n">
        <f aca="false">IF(D$246=1,Inputs!$D$72,0)</f>
        <v>0</v>
      </c>
      <c r="E312" s="67" t="n">
        <f aca="false">IF(E$246=1,Inputs!$D$72,0)</f>
        <v>0</v>
      </c>
      <c r="F312" s="67" t="n">
        <f aca="false">IF(F$246=1,Inputs!$D$72,0)</f>
        <v>0</v>
      </c>
      <c r="G312" s="67" t="n">
        <f aca="false">IF(G$246=1,Inputs!$D$72,0)</f>
        <v>0</v>
      </c>
      <c r="H312" s="67" t="n">
        <f aca="false">IF(H$246=1,Inputs!$D$72,0)</f>
        <v>0</v>
      </c>
      <c r="I312" s="67" t="n">
        <f aca="false">IF(I$246=1,Inputs!$D$72,0)</f>
        <v>0</v>
      </c>
      <c r="J312" s="67" t="n">
        <f aca="false">IF(J$246=1,Inputs!$D$72,0)</f>
        <v>0</v>
      </c>
      <c r="K312" s="67" t="n">
        <f aca="false">IF(K$246=1,Inputs!$D$72,0)</f>
        <v>0</v>
      </c>
      <c r="L312" s="67" t="n">
        <f aca="false">IF(L$246=1,Inputs!$D$72,0)</f>
        <v>0</v>
      </c>
      <c r="M312" s="67" t="n">
        <f aca="false">IF(M$246=1,Inputs!$D$72,0)</f>
        <v>0</v>
      </c>
      <c r="N312" s="67" t="n">
        <f aca="false">IF(N$246=1,Inputs!$D$72,0)</f>
        <v>0</v>
      </c>
      <c r="O312" s="67" t="n">
        <f aca="false">IF(O$246=1,Inputs!$D$72,0)</f>
        <v>0</v>
      </c>
      <c r="P312" s="67" t="n">
        <f aca="false">IF(P$246=1,Inputs!$D$72,0)</f>
        <v>0</v>
      </c>
      <c r="Q312" s="67" t="n">
        <f aca="false">IF(Q$246=1,Inputs!$D$72,0)</f>
        <v>0</v>
      </c>
      <c r="R312" s="67" t="n">
        <f aca="false">IF(R$246=1,Inputs!$D$72,0)</f>
        <v>0</v>
      </c>
      <c r="S312" s="67" t="n">
        <f aca="false">IF(S$246=1,Inputs!$D$72,0)</f>
        <v>0</v>
      </c>
      <c r="T312" s="67" t="n">
        <f aca="false">IF(T$246=1,Inputs!$D$72,0)</f>
        <v>0</v>
      </c>
      <c r="U312" s="67" t="n">
        <f aca="false">IF(U$246=1,Inputs!$D$72,0)</f>
        <v>0</v>
      </c>
      <c r="V312" s="67" t="n">
        <f aca="false">IF(V$246=1,Inputs!$D$72,0)</f>
        <v>0</v>
      </c>
      <c r="W312" s="67" t="n">
        <f aca="false">IF(W$246=1,Inputs!$D$72,0)</f>
        <v>0</v>
      </c>
      <c r="X312" s="67" t="n">
        <f aca="false">IF(X$246=1,Inputs!$D$72,0)</f>
        <v>0</v>
      </c>
      <c r="Y312" s="67" t="n">
        <f aca="false">IF(Y$246=1,Inputs!$D$72,0)</f>
        <v>0</v>
      </c>
      <c r="Z312" s="67" t="n">
        <f aca="false">IF(Z$246=1,Inputs!$D$72,0)</f>
        <v>0</v>
      </c>
      <c r="AA312" s="67" t="n">
        <f aca="false">IF(AA$246=1,Inputs!$D$72,0)</f>
        <v>0</v>
      </c>
      <c r="AB312" s="67" t="n">
        <f aca="false">IF(AB$246=1,Inputs!$D$72,0)</f>
        <v>0</v>
      </c>
      <c r="AC312" s="67" t="n">
        <f aca="false">IF(AC$246=1,Inputs!$D$72,0)</f>
        <v>0</v>
      </c>
      <c r="AD312" s="67" t="n">
        <f aca="false">IF(AD$246=1,Inputs!$D$72,0)</f>
        <v>0</v>
      </c>
      <c r="AE312" s="67" t="n">
        <f aca="false">IF(AE$246=1,Inputs!$D$72,0)</f>
        <v>0</v>
      </c>
      <c r="AF312" s="67" t="n">
        <f aca="false">IF(AF$246=1,Inputs!$D$72,0)</f>
        <v>0</v>
      </c>
      <c r="AG312" s="67" t="n">
        <f aca="false">IF(AG$246=1,Inputs!$D$72,0)</f>
        <v>0</v>
      </c>
      <c r="AH312" s="67" t="n">
        <f aca="false">IF(AH$246=1,Inputs!$D$72,0)</f>
        <v>0</v>
      </c>
      <c r="AI312" s="67" t="n">
        <f aca="false">IF(AI$246=1,Inputs!$D$72,0)</f>
        <v>0</v>
      </c>
      <c r="AJ312" s="67" t="n">
        <f aca="false">IF(AJ$246=1,Inputs!$D$72,0)</f>
        <v>0</v>
      </c>
      <c r="AK312" s="67" t="n">
        <f aca="false">IF(AK$246=1,Inputs!$D$72,0)</f>
        <v>0</v>
      </c>
      <c r="AL312" s="67" t="n">
        <f aca="false">IF(AL$246=1,Inputs!$D$72,0)</f>
        <v>0</v>
      </c>
      <c r="AM312" s="67" t="n">
        <f aca="false">IF(AM$246=1,Inputs!$D$72,0)</f>
        <v>0</v>
      </c>
      <c r="AN312" s="67" t="n">
        <f aca="false">IF(AN$246=1,Inputs!$D$72,0)</f>
        <v>0</v>
      </c>
      <c r="AO312" s="67" t="n">
        <f aca="false">IF(AO$246=1,Inputs!$D$72,0)</f>
        <v>0</v>
      </c>
      <c r="AP312" s="67" t="n">
        <f aca="false">IF(AP$246=1,Inputs!$D$72,0)</f>
        <v>0</v>
      </c>
      <c r="AQ312" s="67" t="n">
        <f aca="false">IF(AQ$246=1,Inputs!$D$72,0)</f>
        <v>0</v>
      </c>
      <c r="AR312" s="67" t="n">
        <f aca="false">IF(AR$246=1,Inputs!$D$72,0)</f>
        <v>0</v>
      </c>
      <c r="AS312" s="67" t="n">
        <f aca="false">IF(AS$246=1,Inputs!$D$72,0)</f>
        <v>0</v>
      </c>
      <c r="AT312" s="67" t="n">
        <f aca="false">IF(AT$246=1,Inputs!$D$72,0)</f>
        <v>0</v>
      </c>
      <c r="AU312" s="67" t="n">
        <f aca="false">IF(AU$246=1,Inputs!$D$72,0)</f>
        <v>0</v>
      </c>
      <c r="AV312" s="67" t="n">
        <f aca="false">IF(AV$246=1,Inputs!$D$72,0)</f>
        <v>0</v>
      </c>
      <c r="AW312" s="67" t="n">
        <f aca="false">IF(AW$246=1,Inputs!$D$72,0)</f>
        <v>0</v>
      </c>
      <c r="AX312" s="67" t="n">
        <f aca="false">IF(AX$246=1,Inputs!$D$72,0)</f>
        <v>0</v>
      </c>
      <c r="AY312" s="67" t="n">
        <f aca="false">IF(AY$246=1,Inputs!$D$72,0)</f>
        <v>0</v>
      </c>
      <c r="AZ312" s="67" t="n">
        <f aca="false">IF(AZ$246=1,Inputs!$D$72,0)</f>
        <v>0</v>
      </c>
      <c r="BA312" s="67" t="n">
        <f aca="false">IF(BA$246=1,Inputs!$D$72,0)</f>
        <v>0</v>
      </c>
      <c r="BB312" s="67" t="n">
        <f aca="false">IF(BB$246=1,Inputs!$D$72,0)</f>
        <v>0</v>
      </c>
      <c r="BC312" s="67" t="n">
        <f aca="false">IF(BC$246=1,Inputs!$D$72,0)</f>
        <v>0</v>
      </c>
      <c r="BD312" s="67" t="n">
        <f aca="false">IF(BD$246=1,Inputs!$D$72,0)</f>
        <v>0</v>
      </c>
      <c r="BE312" s="67" t="n">
        <f aca="false">IF(BE$246=1,Inputs!$D$72,0)</f>
        <v>0</v>
      </c>
      <c r="BF312" s="67" t="n">
        <f aca="false">IF(BF$246=1,Inputs!$D$72,0)</f>
        <v>0</v>
      </c>
      <c r="BG312" s="67" t="n">
        <f aca="false">IF(BG$246=1,Inputs!$D$72,0)</f>
        <v>0</v>
      </c>
      <c r="BH312" s="67" t="n">
        <f aca="false">IF(BH$246=1,Inputs!$D$72,0)</f>
        <v>0</v>
      </c>
      <c r="BI312" s="67" t="n">
        <f aca="false">IF(BI$246=1,Inputs!$D$72,0)</f>
        <v>0</v>
      </c>
      <c r="BJ312" s="67" t="n">
        <f aca="false">IF(BJ$246=1,Inputs!$D$72,0)</f>
        <v>0</v>
      </c>
    </row>
    <row r="313" customFormat="false" ht="15" hidden="false" customHeight="false" outlineLevel="0" collapsed="false">
      <c r="A313" s="6" t="s">
        <v>86</v>
      </c>
      <c r="C313" s="67" t="n">
        <f aca="false">-MIN(C311,Inputs!$D$72/MAX(1,Inputs!$D$74*12))</f>
        <v>-0</v>
      </c>
      <c r="D313" s="67" t="n">
        <f aca="false">-MIN(D311,Inputs!$D$72/MAX(1,Inputs!$D$74*12))</f>
        <v>-1500</v>
      </c>
      <c r="E313" s="67" t="n">
        <f aca="false">-MIN(E311,Inputs!$D$72/MAX(1,Inputs!$D$74*12))</f>
        <v>-1500</v>
      </c>
      <c r="F313" s="67" t="n">
        <f aca="false">-MIN(F311,Inputs!$D$72/MAX(1,Inputs!$D$74*12))</f>
        <v>-1500</v>
      </c>
      <c r="G313" s="67" t="n">
        <f aca="false">-MIN(G311,Inputs!$D$72/MAX(1,Inputs!$D$74*12))</f>
        <v>-1500</v>
      </c>
      <c r="H313" s="67" t="n">
        <f aca="false">-MIN(H311,Inputs!$D$72/MAX(1,Inputs!$D$74*12))</f>
        <v>-1500</v>
      </c>
      <c r="I313" s="67" t="n">
        <f aca="false">-MIN(I311,Inputs!$D$72/MAX(1,Inputs!$D$74*12))</f>
        <v>-1500</v>
      </c>
      <c r="J313" s="67" t="n">
        <f aca="false">-MIN(J311,Inputs!$D$72/MAX(1,Inputs!$D$74*12))</f>
        <v>-1500</v>
      </c>
      <c r="K313" s="67" t="n">
        <f aca="false">-MIN(K311,Inputs!$D$72/MAX(1,Inputs!$D$74*12))</f>
        <v>-1500</v>
      </c>
      <c r="L313" s="67" t="n">
        <f aca="false">-MIN(L311,Inputs!$D$72/MAX(1,Inputs!$D$74*12))</f>
        <v>-1500</v>
      </c>
      <c r="M313" s="67" t="n">
        <f aca="false">-MIN(M311,Inputs!$D$72/MAX(1,Inputs!$D$74*12))</f>
        <v>-1500</v>
      </c>
      <c r="N313" s="67" t="n">
        <f aca="false">-MIN(N311,Inputs!$D$72/MAX(1,Inputs!$D$74*12))</f>
        <v>-1500</v>
      </c>
      <c r="O313" s="67" t="n">
        <f aca="false">-MIN(O311,Inputs!$D$72/MAX(1,Inputs!$D$74*12))</f>
        <v>-1500</v>
      </c>
      <c r="P313" s="67" t="n">
        <f aca="false">-MIN(P311,Inputs!$D$72/MAX(1,Inputs!$D$74*12))</f>
        <v>-1500</v>
      </c>
      <c r="Q313" s="67" t="n">
        <f aca="false">-MIN(Q311,Inputs!$D$72/MAX(1,Inputs!$D$74*12))</f>
        <v>-1500</v>
      </c>
      <c r="R313" s="67" t="n">
        <f aca="false">-MIN(R311,Inputs!$D$72/MAX(1,Inputs!$D$74*12))</f>
        <v>-1500</v>
      </c>
      <c r="S313" s="67" t="n">
        <f aca="false">-MIN(S311,Inputs!$D$72/MAX(1,Inputs!$D$74*12))</f>
        <v>-1500</v>
      </c>
      <c r="T313" s="67" t="n">
        <f aca="false">-MIN(T311,Inputs!$D$72/MAX(1,Inputs!$D$74*12))</f>
        <v>-1500</v>
      </c>
      <c r="U313" s="67" t="n">
        <f aca="false">-MIN(U311,Inputs!$D$72/MAX(1,Inputs!$D$74*12))</f>
        <v>-1500</v>
      </c>
      <c r="V313" s="67" t="n">
        <f aca="false">-MIN(V311,Inputs!$D$72/MAX(1,Inputs!$D$74*12))</f>
        <v>-1500</v>
      </c>
      <c r="W313" s="67" t="n">
        <f aca="false">-MIN(W311,Inputs!$D$72/MAX(1,Inputs!$D$74*12))</f>
        <v>-1500</v>
      </c>
      <c r="X313" s="67" t="n">
        <f aca="false">-MIN(X311,Inputs!$D$72/MAX(1,Inputs!$D$74*12))</f>
        <v>-1500</v>
      </c>
      <c r="Y313" s="67" t="n">
        <f aca="false">-MIN(Y311,Inputs!$D$72/MAX(1,Inputs!$D$74*12))</f>
        <v>-1500</v>
      </c>
      <c r="Z313" s="67" t="n">
        <f aca="false">-MIN(Z311,Inputs!$D$72/MAX(1,Inputs!$D$74*12))</f>
        <v>-1500</v>
      </c>
      <c r="AA313" s="67" t="n">
        <f aca="false">-MIN(AA311,Inputs!$D$72/MAX(1,Inputs!$D$74*12))</f>
        <v>-1500</v>
      </c>
      <c r="AB313" s="67" t="n">
        <f aca="false">-MIN(AB311,Inputs!$D$72/MAX(1,Inputs!$D$74*12))</f>
        <v>-1500</v>
      </c>
      <c r="AC313" s="67" t="n">
        <f aca="false">-MIN(AC311,Inputs!$D$72/MAX(1,Inputs!$D$74*12))</f>
        <v>-1500</v>
      </c>
      <c r="AD313" s="67" t="n">
        <f aca="false">-MIN(AD311,Inputs!$D$72/MAX(1,Inputs!$D$74*12))</f>
        <v>-1500</v>
      </c>
      <c r="AE313" s="67" t="n">
        <f aca="false">-MIN(AE311,Inputs!$D$72/MAX(1,Inputs!$D$74*12))</f>
        <v>-1500</v>
      </c>
      <c r="AF313" s="67" t="n">
        <f aca="false">-MIN(AF311,Inputs!$D$72/MAX(1,Inputs!$D$74*12))</f>
        <v>-1500</v>
      </c>
      <c r="AG313" s="67" t="n">
        <f aca="false">-MIN(AG311,Inputs!$D$72/MAX(1,Inputs!$D$74*12))</f>
        <v>-1500</v>
      </c>
      <c r="AH313" s="67" t="n">
        <f aca="false">-MIN(AH311,Inputs!$D$72/MAX(1,Inputs!$D$74*12))</f>
        <v>-1500</v>
      </c>
      <c r="AI313" s="67" t="n">
        <f aca="false">-MIN(AI311,Inputs!$D$72/MAX(1,Inputs!$D$74*12))</f>
        <v>-1500</v>
      </c>
      <c r="AJ313" s="67" t="n">
        <f aca="false">-MIN(AJ311,Inputs!$D$72/MAX(1,Inputs!$D$74*12))</f>
        <v>-1500</v>
      </c>
      <c r="AK313" s="67" t="n">
        <f aca="false">-MIN(AK311,Inputs!$D$72/MAX(1,Inputs!$D$74*12))</f>
        <v>-1500</v>
      </c>
      <c r="AL313" s="67" t="n">
        <f aca="false">-MIN(AL311,Inputs!$D$72/MAX(1,Inputs!$D$74*12))</f>
        <v>-1500</v>
      </c>
      <c r="AM313" s="67" t="n">
        <f aca="false">-MIN(AM311,Inputs!$D$72/MAX(1,Inputs!$D$74*12))</f>
        <v>-1500</v>
      </c>
      <c r="AN313" s="67" t="n">
        <f aca="false">-MIN(AN311,Inputs!$D$72/MAX(1,Inputs!$D$74*12))</f>
        <v>-1500</v>
      </c>
      <c r="AO313" s="67" t="n">
        <f aca="false">-MIN(AO311,Inputs!$D$72/MAX(1,Inputs!$D$74*12))</f>
        <v>-1500</v>
      </c>
      <c r="AP313" s="67" t="n">
        <f aca="false">-MIN(AP311,Inputs!$D$72/MAX(1,Inputs!$D$74*12))</f>
        <v>-1500</v>
      </c>
      <c r="AQ313" s="67" t="n">
        <f aca="false">-MIN(AQ311,Inputs!$D$72/MAX(1,Inputs!$D$74*12))</f>
        <v>-1500</v>
      </c>
      <c r="AR313" s="67" t="n">
        <f aca="false">-MIN(AR311,Inputs!$D$72/MAX(1,Inputs!$D$74*12))</f>
        <v>-1500</v>
      </c>
      <c r="AS313" s="67" t="n">
        <f aca="false">-MIN(AS311,Inputs!$D$72/MAX(1,Inputs!$D$74*12))</f>
        <v>-1500</v>
      </c>
      <c r="AT313" s="67" t="n">
        <f aca="false">-MIN(AT311,Inputs!$D$72/MAX(1,Inputs!$D$74*12))</f>
        <v>-1500</v>
      </c>
      <c r="AU313" s="67" t="n">
        <f aca="false">-MIN(AU311,Inputs!$D$72/MAX(1,Inputs!$D$74*12))</f>
        <v>-1500</v>
      </c>
      <c r="AV313" s="67" t="n">
        <f aca="false">-MIN(AV311,Inputs!$D$72/MAX(1,Inputs!$D$74*12))</f>
        <v>-1500</v>
      </c>
      <c r="AW313" s="67" t="n">
        <f aca="false">-MIN(AW311,Inputs!$D$72/MAX(1,Inputs!$D$74*12))</f>
        <v>-1500</v>
      </c>
      <c r="AX313" s="67" t="n">
        <f aca="false">-MIN(AX311,Inputs!$D$72/MAX(1,Inputs!$D$74*12))</f>
        <v>-1500</v>
      </c>
      <c r="AY313" s="67" t="n">
        <f aca="false">-MIN(AY311,Inputs!$D$72/MAX(1,Inputs!$D$74*12))</f>
        <v>-1500</v>
      </c>
      <c r="AZ313" s="67" t="n">
        <f aca="false">-MIN(AZ311,Inputs!$D$72/MAX(1,Inputs!$D$74*12))</f>
        <v>-1500</v>
      </c>
      <c r="BA313" s="67" t="n">
        <f aca="false">-MIN(BA311,Inputs!$D$72/MAX(1,Inputs!$D$74*12))</f>
        <v>-1500</v>
      </c>
      <c r="BB313" s="67" t="n">
        <f aca="false">-MIN(BB311,Inputs!$D$72/MAX(1,Inputs!$D$74*12))</f>
        <v>-1500</v>
      </c>
      <c r="BC313" s="67" t="n">
        <f aca="false">-MIN(BC311,Inputs!$D$72/MAX(1,Inputs!$D$74*12))</f>
        <v>-1500</v>
      </c>
      <c r="BD313" s="67" t="n">
        <f aca="false">-MIN(BD311,Inputs!$D$72/MAX(1,Inputs!$D$74*12))</f>
        <v>-1500</v>
      </c>
      <c r="BE313" s="67" t="n">
        <f aca="false">-MIN(BE311,Inputs!$D$72/MAX(1,Inputs!$D$74*12))</f>
        <v>-1500</v>
      </c>
      <c r="BF313" s="67" t="n">
        <f aca="false">-MIN(BF311,Inputs!$D$72/MAX(1,Inputs!$D$74*12))</f>
        <v>-1500</v>
      </c>
      <c r="BG313" s="67" t="n">
        <f aca="false">-MIN(BG311,Inputs!$D$72/MAX(1,Inputs!$D$74*12))</f>
        <v>-1500</v>
      </c>
      <c r="BH313" s="67" t="n">
        <f aca="false">-MIN(BH311,Inputs!$D$72/MAX(1,Inputs!$D$74*12))</f>
        <v>-1500</v>
      </c>
      <c r="BI313" s="67" t="n">
        <f aca="false">-MIN(BI311,Inputs!$D$72/MAX(1,Inputs!$D$74*12))</f>
        <v>-1500</v>
      </c>
      <c r="BJ313" s="67" t="n">
        <f aca="false">-MIN(BJ311,Inputs!$D$72/MAX(1,Inputs!$D$74*12))</f>
        <v>-1500</v>
      </c>
    </row>
    <row r="314" customFormat="false" ht="15" hidden="false" customHeight="false" outlineLevel="0" collapsed="false">
      <c r="A314" s="4" t="s">
        <v>441</v>
      </c>
      <c r="C314" s="73" t="n">
        <f aca="false">C311+C312+C313</f>
        <v>90000</v>
      </c>
      <c r="D314" s="73" t="n">
        <f aca="false">D311+D312+D313</f>
        <v>88500</v>
      </c>
      <c r="E314" s="73" t="n">
        <f aca="false">E311+E312+E313</f>
        <v>87000</v>
      </c>
      <c r="F314" s="73" t="n">
        <f aca="false">F311+F312+F313</f>
        <v>85500</v>
      </c>
      <c r="G314" s="73" t="n">
        <f aca="false">G311+G312+G313</f>
        <v>84000</v>
      </c>
      <c r="H314" s="73" t="n">
        <f aca="false">H311+H312+H313</f>
        <v>82500</v>
      </c>
      <c r="I314" s="73" t="n">
        <f aca="false">I311+I312+I313</f>
        <v>81000</v>
      </c>
      <c r="J314" s="73" t="n">
        <f aca="false">J311+J312+J313</f>
        <v>79500</v>
      </c>
      <c r="K314" s="73" t="n">
        <f aca="false">K311+K312+K313</f>
        <v>78000</v>
      </c>
      <c r="L314" s="73" t="n">
        <f aca="false">L311+L312+L313</f>
        <v>76500</v>
      </c>
      <c r="M314" s="73" t="n">
        <f aca="false">M311+M312+M313</f>
        <v>75000</v>
      </c>
      <c r="N314" s="73" t="n">
        <f aca="false">N311+N312+N313</f>
        <v>73500</v>
      </c>
      <c r="O314" s="73" t="n">
        <f aca="false">O311+O312+O313</f>
        <v>72000</v>
      </c>
      <c r="P314" s="73" t="n">
        <f aca="false">P311+P312+P313</f>
        <v>70500</v>
      </c>
      <c r="Q314" s="73" t="n">
        <f aca="false">Q311+Q312+Q313</f>
        <v>69000</v>
      </c>
      <c r="R314" s="73" t="n">
        <f aca="false">R311+R312+R313</f>
        <v>67500</v>
      </c>
      <c r="S314" s="73" t="n">
        <f aca="false">S311+S312+S313</f>
        <v>66000</v>
      </c>
      <c r="T314" s="73" t="n">
        <f aca="false">T311+T312+T313</f>
        <v>64500</v>
      </c>
      <c r="U314" s="73" t="n">
        <f aca="false">U311+U312+U313</f>
        <v>63000</v>
      </c>
      <c r="V314" s="73" t="n">
        <f aca="false">V311+V312+V313</f>
        <v>61500</v>
      </c>
      <c r="W314" s="73" t="n">
        <f aca="false">W311+W312+W313</f>
        <v>60000</v>
      </c>
      <c r="X314" s="73" t="n">
        <f aca="false">X311+X312+X313</f>
        <v>58500</v>
      </c>
      <c r="Y314" s="73" t="n">
        <f aca="false">Y311+Y312+Y313</f>
        <v>57000</v>
      </c>
      <c r="Z314" s="73" t="n">
        <f aca="false">Z311+Z312+Z313</f>
        <v>55500</v>
      </c>
      <c r="AA314" s="73" t="n">
        <f aca="false">AA311+AA312+AA313</f>
        <v>54000</v>
      </c>
      <c r="AB314" s="73" t="n">
        <f aca="false">AB311+AB312+AB313</f>
        <v>52500</v>
      </c>
      <c r="AC314" s="73" t="n">
        <f aca="false">AC311+AC312+AC313</f>
        <v>51000</v>
      </c>
      <c r="AD314" s="73" t="n">
        <f aca="false">AD311+AD312+AD313</f>
        <v>49500</v>
      </c>
      <c r="AE314" s="73" t="n">
        <f aca="false">AE311+AE312+AE313</f>
        <v>48000</v>
      </c>
      <c r="AF314" s="73" t="n">
        <f aca="false">AF311+AF312+AF313</f>
        <v>46500</v>
      </c>
      <c r="AG314" s="73" t="n">
        <f aca="false">AG311+AG312+AG313</f>
        <v>45000</v>
      </c>
      <c r="AH314" s="73" t="n">
        <f aca="false">AH311+AH312+AH313</f>
        <v>43500</v>
      </c>
      <c r="AI314" s="73" t="n">
        <f aca="false">AI311+AI312+AI313</f>
        <v>42000</v>
      </c>
      <c r="AJ314" s="73" t="n">
        <f aca="false">AJ311+AJ312+AJ313</f>
        <v>40500</v>
      </c>
      <c r="AK314" s="73" t="n">
        <f aca="false">AK311+AK312+AK313</f>
        <v>39000</v>
      </c>
      <c r="AL314" s="73" t="n">
        <f aca="false">AL311+AL312+AL313</f>
        <v>37500</v>
      </c>
      <c r="AM314" s="73" t="n">
        <f aca="false">AM311+AM312+AM313</f>
        <v>36000</v>
      </c>
      <c r="AN314" s="73" t="n">
        <f aca="false">AN311+AN312+AN313</f>
        <v>34500</v>
      </c>
      <c r="AO314" s="73" t="n">
        <f aca="false">AO311+AO312+AO313</f>
        <v>33000</v>
      </c>
      <c r="AP314" s="73" t="n">
        <f aca="false">AP311+AP312+AP313</f>
        <v>31500</v>
      </c>
      <c r="AQ314" s="73" t="n">
        <f aca="false">AQ311+AQ312+AQ313</f>
        <v>30000</v>
      </c>
      <c r="AR314" s="73" t="n">
        <f aca="false">AR311+AR312+AR313</f>
        <v>28500</v>
      </c>
      <c r="AS314" s="73" t="n">
        <f aca="false">AS311+AS312+AS313</f>
        <v>27000</v>
      </c>
      <c r="AT314" s="73" t="n">
        <f aca="false">AT311+AT312+AT313</f>
        <v>25500</v>
      </c>
      <c r="AU314" s="73" t="n">
        <f aca="false">AU311+AU312+AU313</f>
        <v>24000</v>
      </c>
      <c r="AV314" s="73" t="n">
        <f aca="false">AV311+AV312+AV313</f>
        <v>22500</v>
      </c>
      <c r="AW314" s="73" t="n">
        <f aca="false">AW311+AW312+AW313</f>
        <v>21000</v>
      </c>
      <c r="AX314" s="73" t="n">
        <f aca="false">AX311+AX312+AX313</f>
        <v>19500</v>
      </c>
      <c r="AY314" s="73" t="n">
        <f aca="false">AY311+AY312+AY313</f>
        <v>18000</v>
      </c>
      <c r="AZ314" s="73" t="n">
        <f aca="false">AZ311+AZ312+AZ313</f>
        <v>16500</v>
      </c>
      <c r="BA314" s="73" t="n">
        <f aca="false">BA311+BA312+BA313</f>
        <v>15000</v>
      </c>
      <c r="BB314" s="73" t="n">
        <f aca="false">BB311+BB312+BB313</f>
        <v>13500</v>
      </c>
      <c r="BC314" s="73" t="n">
        <f aca="false">BC311+BC312+BC313</f>
        <v>12000</v>
      </c>
      <c r="BD314" s="73" t="n">
        <f aca="false">BD311+BD312+BD313</f>
        <v>10500</v>
      </c>
      <c r="BE314" s="73" t="n">
        <f aca="false">BE311+BE312+BE313</f>
        <v>9000</v>
      </c>
      <c r="BF314" s="73" t="n">
        <f aca="false">BF311+BF312+BF313</f>
        <v>7500</v>
      </c>
      <c r="BG314" s="73" t="n">
        <f aca="false">BG311+BG312+BG313</f>
        <v>6000</v>
      </c>
      <c r="BH314" s="73" t="n">
        <f aca="false">BH311+BH312+BH313</f>
        <v>4500</v>
      </c>
      <c r="BI314" s="73" t="n">
        <f aca="false">BI311+BI312+BI313</f>
        <v>3000</v>
      </c>
      <c r="BJ314" s="73" t="n">
        <f aca="false">BJ311+BJ312+BJ313</f>
        <v>1500</v>
      </c>
    </row>
    <row r="316" customFormat="false" ht="15.75" hidden="false" customHeight="true" outlineLevel="0" collapsed="false">
      <c r="A316" s="7" t="s">
        <v>316</v>
      </c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</row>
    <row r="317" customFormat="false" ht="15" hidden="false" customHeight="false" outlineLevel="0" collapsed="false">
      <c r="A317" s="6" t="s">
        <v>90</v>
      </c>
      <c r="C317" s="67" t="n">
        <f aca="false">C266*Inputs!$D$77/30</f>
        <v>1666.14</v>
      </c>
      <c r="D317" s="67" t="n">
        <f aca="false">D266*Inputs!$D$77/30</f>
        <v>1943.83</v>
      </c>
      <c r="E317" s="67" t="n">
        <f aca="false">E266*Inputs!$D$77/30</f>
        <v>2817.36</v>
      </c>
      <c r="F317" s="67" t="n">
        <f aca="false">F266*Inputs!$D$77/30</f>
        <v>3169.53</v>
      </c>
      <c r="G317" s="67" t="n">
        <f aca="false">G266*Inputs!$D$77/30</f>
        <v>3521.7</v>
      </c>
      <c r="H317" s="67" t="n">
        <f aca="false">H266*Inputs!$D$77/30</f>
        <v>3521.7</v>
      </c>
      <c r="I317" s="67" t="n">
        <f aca="false">I266*Inputs!$D$77/30</f>
        <v>3521.7</v>
      </c>
      <c r="J317" s="67" t="n">
        <f aca="false">J266*Inputs!$D$77/30</f>
        <v>3521.7</v>
      </c>
      <c r="K317" s="67" t="n">
        <f aca="false">K266*Inputs!$D$77/30</f>
        <v>3521.7</v>
      </c>
      <c r="L317" s="67" t="n">
        <f aca="false">L266*Inputs!$D$77/30</f>
        <v>3521.7</v>
      </c>
      <c r="M317" s="67" t="n">
        <f aca="false">M266*Inputs!$D$77/30</f>
        <v>3521.7</v>
      </c>
      <c r="N317" s="67" t="n">
        <f aca="false">N266*Inputs!$D$77/30</f>
        <v>2776.9</v>
      </c>
      <c r="O317" s="67" t="n">
        <f aca="false">O266*Inputs!$D$77/30</f>
        <v>3060.5848</v>
      </c>
      <c r="P317" s="67" t="n">
        <f aca="false">P266*Inputs!$D$77/30</f>
        <v>3060.5848</v>
      </c>
      <c r="Q317" s="67" t="n">
        <f aca="false">Q266*Inputs!$D$77/30</f>
        <v>3873.9064</v>
      </c>
      <c r="R317" s="67" t="n">
        <f aca="false">R266*Inputs!$D$77/30</f>
        <v>3873.9064</v>
      </c>
      <c r="S317" s="67" t="n">
        <f aca="false">S266*Inputs!$D$77/30</f>
        <v>3873.9064</v>
      </c>
      <c r="T317" s="67" t="n">
        <f aca="false">T266*Inputs!$D$77/30</f>
        <v>3873.9064</v>
      </c>
      <c r="U317" s="67" t="n">
        <f aca="false">U266*Inputs!$D$77/30</f>
        <v>3873.9064</v>
      </c>
      <c r="V317" s="67" t="n">
        <f aca="false">V266*Inputs!$D$77/30</f>
        <v>3873.9064</v>
      </c>
      <c r="W317" s="67" t="n">
        <f aca="false">W266*Inputs!$D$77/30</f>
        <v>3873.9064</v>
      </c>
      <c r="X317" s="67" t="n">
        <f aca="false">X266*Inputs!$D$77/30</f>
        <v>3873.9064</v>
      </c>
      <c r="Y317" s="67" t="n">
        <f aca="false">Y266*Inputs!$D$77/30</f>
        <v>3873.9064</v>
      </c>
      <c r="Z317" s="67" t="n">
        <f aca="false">Z266*Inputs!$D$77/30</f>
        <v>3060.5848</v>
      </c>
      <c r="AA317" s="67" t="n">
        <f aca="false">AA266*Inputs!$D$77/30</f>
        <v>3374.4308416</v>
      </c>
      <c r="AB317" s="67" t="n">
        <f aca="false">AB266*Inputs!$D$77/30</f>
        <v>3374.4308416</v>
      </c>
      <c r="AC317" s="67" t="n">
        <f aca="false">AC266*Inputs!$D$77/30</f>
        <v>4262.5780288</v>
      </c>
      <c r="AD317" s="67" t="n">
        <f aca="false">AD266*Inputs!$D$77/30</f>
        <v>4262.5780288</v>
      </c>
      <c r="AE317" s="67" t="n">
        <f aca="false">AE266*Inputs!$D$77/30</f>
        <v>4262.5780288</v>
      </c>
      <c r="AF317" s="67" t="n">
        <f aca="false">AF266*Inputs!$D$77/30</f>
        <v>4262.5780288</v>
      </c>
      <c r="AG317" s="67" t="n">
        <f aca="false">AG266*Inputs!$D$77/30</f>
        <v>4262.5780288</v>
      </c>
      <c r="AH317" s="67" t="n">
        <f aca="false">AH266*Inputs!$D$77/30</f>
        <v>4262.5780288</v>
      </c>
      <c r="AI317" s="67" t="n">
        <f aca="false">AI266*Inputs!$D$77/30</f>
        <v>4262.5780288</v>
      </c>
      <c r="AJ317" s="67" t="n">
        <f aca="false">AJ266*Inputs!$D$77/30</f>
        <v>4262.5780288</v>
      </c>
      <c r="AK317" s="67" t="n">
        <f aca="false">AK266*Inputs!$D$77/30</f>
        <v>4262.5780288</v>
      </c>
      <c r="AL317" s="67" t="n">
        <f aca="false">AL266*Inputs!$D$77/30</f>
        <v>3374.4308416</v>
      </c>
      <c r="AM317" s="67" t="n">
        <f aca="false">AM266*Inputs!$D$77/30</f>
        <v>3721.7979215872</v>
      </c>
      <c r="AN317" s="67" t="n">
        <f aca="false">AN266*Inputs!$D$77/30</f>
        <v>3721.7979215872</v>
      </c>
      <c r="AO317" s="67" t="n">
        <f aca="false">AO266*Inputs!$D$77/30</f>
        <v>4691.6546500096</v>
      </c>
      <c r="AP317" s="67" t="n">
        <f aca="false">AP266*Inputs!$D$77/30</f>
        <v>4691.6546500096</v>
      </c>
      <c r="AQ317" s="67" t="n">
        <f aca="false">AQ266*Inputs!$D$77/30</f>
        <v>4691.6546500096</v>
      </c>
      <c r="AR317" s="67" t="n">
        <f aca="false">AR266*Inputs!$D$77/30</f>
        <v>4691.6546500096</v>
      </c>
      <c r="AS317" s="67" t="n">
        <f aca="false">AS266*Inputs!$D$77/30</f>
        <v>4691.6546500096</v>
      </c>
      <c r="AT317" s="67" t="n">
        <f aca="false">AT266*Inputs!$D$77/30</f>
        <v>4691.6546500096</v>
      </c>
      <c r="AU317" s="67" t="n">
        <f aca="false">AU266*Inputs!$D$77/30</f>
        <v>4691.6546500096</v>
      </c>
      <c r="AV317" s="67" t="n">
        <f aca="false">AV266*Inputs!$D$77/30</f>
        <v>4691.6546500096</v>
      </c>
      <c r="AW317" s="67" t="n">
        <f aca="false">AW266*Inputs!$D$77/30</f>
        <v>4691.6546500096</v>
      </c>
      <c r="AX317" s="67" t="n">
        <f aca="false">AX266*Inputs!$D$77/30</f>
        <v>3721.7979215872</v>
      </c>
      <c r="AY317" s="67" t="n">
        <f aca="false">AY266*Inputs!$D$77/30</f>
        <v>4106.43917266186</v>
      </c>
      <c r="AZ317" s="67" t="n">
        <f aca="false">AZ266*Inputs!$D$77/30</f>
        <v>4106.43917266186</v>
      </c>
      <c r="BA317" s="67" t="n">
        <f aca="false">BA266*Inputs!$D$77/30</f>
        <v>5165.52272009913</v>
      </c>
      <c r="BB317" s="67" t="n">
        <f aca="false">BB266*Inputs!$D$77/30</f>
        <v>5165.52272009913</v>
      </c>
      <c r="BC317" s="67" t="n">
        <f aca="false">BC266*Inputs!$D$77/30</f>
        <v>5165.52272009913</v>
      </c>
      <c r="BD317" s="67" t="n">
        <f aca="false">BD266*Inputs!$D$77/30</f>
        <v>5165.52272009913</v>
      </c>
      <c r="BE317" s="67" t="n">
        <f aca="false">BE266*Inputs!$D$77/30</f>
        <v>5165.52272009913</v>
      </c>
      <c r="BF317" s="67" t="n">
        <f aca="false">BF266*Inputs!$D$77/30</f>
        <v>5165.52272009913</v>
      </c>
      <c r="BG317" s="67" t="n">
        <f aca="false">BG266*Inputs!$D$77/30</f>
        <v>5165.52272009913</v>
      </c>
      <c r="BH317" s="67" t="n">
        <f aca="false">BH266*Inputs!$D$77/30</f>
        <v>5165.52272009913</v>
      </c>
      <c r="BI317" s="67" t="n">
        <f aca="false">BI266*Inputs!$D$77/30</f>
        <v>5165.52272009913</v>
      </c>
      <c r="BJ317" s="67" t="n">
        <f aca="false">BJ266*Inputs!$D$77/30</f>
        <v>4106.43917266186</v>
      </c>
    </row>
    <row r="318" customFormat="false" ht="15" hidden="false" customHeight="false" outlineLevel="0" collapsed="false">
      <c r="A318" s="6" t="s">
        <v>91</v>
      </c>
      <c r="C318" s="67" t="n">
        <f aca="false">-C274*Inputs!$D$78/30</f>
        <v>640.53528</v>
      </c>
      <c r="D318" s="67" t="n">
        <f aca="false">-D274*Inputs!$D$78/30</f>
        <v>747.29116</v>
      </c>
      <c r="E318" s="67" t="n">
        <f aca="false">-E274*Inputs!$D$78/30</f>
        <v>1073.71338666667</v>
      </c>
      <c r="F318" s="67" t="n">
        <f aca="false">-F274*Inputs!$D$78/30</f>
        <v>1207.92756</v>
      </c>
      <c r="G318" s="67" t="n">
        <f aca="false">-G274*Inputs!$D$78/30</f>
        <v>1342.14173333333</v>
      </c>
      <c r="H318" s="67" t="n">
        <f aca="false">-H274*Inputs!$D$78/30</f>
        <v>1342.14173333333</v>
      </c>
      <c r="I318" s="67" t="n">
        <f aca="false">-I274*Inputs!$D$78/30</f>
        <v>1342.14173333333</v>
      </c>
      <c r="J318" s="67" t="n">
        <f aca="false">-J274*Inputs!$D$78/30</f>
        <v>1342.14173333333</v>
      </c>
      <c r="K318" s="67" t="n">
        <f aca="false">-K274*Inputs!$D$78/30</f>
        <v>1342.14173333333</v>
      </c>
      <c r="L318" s="67" t="n">
        <f aca="false">-L274*Inputs!$D$78/30</f>
        <v>1342.14173333333</v>
      </c>
      <c r="M318" s="67" t="n">
        <f aca="false">-M274*Inputs!$D$78/30</f>
        <v>1342.14173333333</v>
      </c>
      <c r="N318" s="67" t="n">
        <f aca="false">-N274*Inputs!$D$78/30</f>
        <v>1067.5588</v>
      </c>
      <c r="O318" s="67" t="n">
        <f aca="false">-O274*Inputs!$D$78/30</f>
        <v>1176.8208816</v>
      </c>
      <c r="P318" s="67" t="n">
        <f aca="false">-P274*Inputs!$D$78/30</f>
        <v>1176.8208816</v>
      </c>
      <c r="Q318" s="67" t="n">
        <f aca="false">-Q274*Inputs!$D$78/30</f>
        <v>1476.3526288</v>
      </c>
      <c r="R318" s="67" t="n">
        <f aca="false">-R274*Inputs!$D$78/30</f>
        <v>1476.3526288</v>
      </c>
      <c r="S318" s="67" t="n">
        <f aca="false">-S274*Inputs!$D$78/30</f>
        <v>1476.3526288</v>
      </c>
      <c r="T318" s="67" t="n">
        <f aca="false">-T274*Inputs!$D$78/30</f>
        <v>1476.3526288</v>
      </c>
      <c r="U318" s="67" t="n">
        <f aca="false">-U274*Inputs!$D$78/30</f>
        <v>1476.3526288</v>
      </c>
      <c r="V318" s="67" t="n">
        <f aca="false">-V274*Inputs!$D$78/30</f>
        <v>1476.3526288</v>
      </c>
      <c r="W318" s="67" t="n">
        <f aca="false">-W274*Inputs!$D$78/30</f>
        <v>1476.3526288</v>
      </c>
      <c r="X318" s="67" t="n">
        <f aca="false">-X274*Inputs!$D$78/30</f>
        <v>1476.3526288</v>
      </c>
      <c r="Y318" s="67" t="n">
        <f aca="false">-Y274*Inputs!$D$78/30</f>
        <v>1476.3526288</v>
      </c>
      <c r="Z318" s="67" t="n">
        <f aca="false">-Z274*Inputs!$D$78/30</f>
        <v>1176.8208816</v>
      </c>
      <c r="AA318" s="67" t="n">
        <f aca="false">-AA274*Inputs!$D$78/30</f>
        <v>1297.7647738272</v>
      </c>
      <c r="AB318" s="67" t="n">
        <f aca="false">-AB274*Inputs!$D$78/30</f>
        <v>1297.7647738272</v>
      </c>
      <c r="AC318" s="67" t="n">
        <f aca="false">-AC274*Inputs!$D$78/30</f>
        <v>1624.5167735496</v>
      </c>
      <c r="AD318" s="67" t="n">
        <f aca="false">-AD274*Inputs!$D$78/30</f>
        <v>1624.5167735496</v>
      </c>
      <c r="AE318" s="67" t="n">
        <f aca="false">-AE274*Inputs!$D$78/30</f>
        <v>1624.5167735496</v>
      </c>
      <c r="AF318" s="67" t="n">
        <f aca="false">-AF274*Inputs!$D$78/30</f>
        <v>1624.5167735496</v>
      </c>
      <c r="AG318" s="67" t="n">
        <f aca="false">-AG274*Inputs!$D$78/30</f>
        <v>1624.5167735496</v>
      </c>
      <c r="AH318" s="67" t="n">
        <f aca="false">-AH274*Inputs!$D$78/30</f>
        <v>1624.5167735496</v>
      </c>
      <c r="AI318" s="67" t="n">
        <f aca="false">-AI274*Inputs!$D$78/30</f>
        <v>1624.5167735496</v>
      </c>
      <c r="AJ318" s="67" t="n">
        <f aca="false">-AJ274*Inputs!$D$78/30</f>
        <v>1624.5167735496</v>
      </c>
      <c r="AK318" s="67" t="n">
        <f aca="false">-AK274*Inputs!$D$78/30</f>
        <v>1624.5167735496</v>
      </c>
      <c r="AL318" s="67" t="n">
        <f aca="false">-AL274*Inputs!$D$78/30</f>
        <v>1297.7647738272</v>
      </c>
      <c r="AM318" s="67" t="n">
        <f aca="false">-AM274*Inputs!$D$78/30</f>
        <v>1431.70159120505</v>
      </c>
      <c r="AN318" s="67" t="n">
        <f aca="false">-AN274*Inputs!$D$78/30</f>
        <v>1431.70159120505</v>
      </c>
      <c r="AO318" s="67" t="n">
        <f aca="false">-AO274*Inputs!$D$78/30</f>
        <v>1788.15243573013</v>
      </c>
      <c r="AP318" s="67" t="n">
        <f aca="false">-AP274*Inputs!$D$78/30</f>
        <v>1788.15243573013</v>
      </c>
      <c r="AQ318" s="67" t="n">
        <f aca="false">-AQ274*Inputs!$D$78/30</f>
        <v>1788.15243573013</v>
      </c>
      <c r="AR318" s="67" t="n">
        <f aca="false">-AR274*Inputs!$D$78/30</f>
        <v>1788.15243573013</v>
      </c>
      <c r="AS318" s="67" t="n">
        <f aca="false">-AS274*Inputs!$D$78/30</f>
        <v>1788.15243573013</v>
      </c>
      <c r="AT318" s="67" t="n">
        <f aca="false">-AT274*Inputs!$D$78/30</f>
        <v>1788.15243573013</v>
      </c>
      <c r="AU318" s="67" t="n">
        <f aca="false">-AU274*Inputs!$D$78/30</f>
        <v>1788.15243573013</v>
      </c>
      <c r="AV318" s="67" t="n">
        <f aca="false">-AV274*Inputs!$D$78/30</f>
        <v>1788.15243573013</v>
      </c>
      <c r="AW318" s="67" t="n">
        <f aca="false">-AW274*Inputs!$D$78/30</f>
        <v>1788.15243573013</v>
      </c>
      <c r="AX318" s="67" t="n">
        <f aca="false">-AX274*Inputs!$D$78/30</f>
        <v>1431.70159120505</v>
      </c>
      <c r="AY318" s="67" t="n">
        <f aca="false">-AY274*Inputs!$D$78/30</f>
        <v>1580.09708038643</v>
      </c>
      <c r="AZ318" s="67" t="n">
        <f aca="false">-AZ274*Inputs!$D$78/30</f>
        <v>1580.09708038643</v>
      </c>
      <c r="BA318" s="67" t="n">
        <f aca="false">-BA274*Inputs!$D$78/30</f>
        <v>1968.9514350742</v>
      </c>
      <c r="BB318" s="67" t="n">
        <f aca="false">-BB274*Inputs!$D$78/30</f>
        <v>1968.9514350742</v>
      </c>
      <c r="BC318" s="67" t="n">
        <f aca="false">-BC274*Inputs!$D$78/30</f>
        <v>1968.9514350742</v>
      </c>
      <c r="BD318" s="67" t="n">
        <f aca="false">-BD274*Inputs!$D$78/30</f>
        <v>1968.9514350742</v>
      </c>
      <c r="BE318" s="67" t="n">
        <f aca="false">-BE274*Inputs!$D$78/30</f>
        <v>1968.9514350742</v>
      </c>
      <c r="BF318" s="67" t="n">
        <f aca="false">-BF274*Inputs!$D$78/30</f>
        <v>1968.9514350742</v>
      </c>
      <c r="BG318" s="67" t="n">
        <f aca="false">-BG274*Inputs!$D$78/30</f>
        <v>1968.9514350742</v>
      </c>
      <c r="BH318" s="67" t="n">
        <f aca="false">-BH274*Inputs!$D$78/30</f>
        <v>1968.9514350742</v>
      </c>
      <c r="BI318" s="67" t="n">
        <f aca="false">-BI274*Inputs!$D$78/30</f>
        <v>1968.9514350742</v>
      </c>
      <c r="BJ318" s="67" t="n">
        <f aca="false">-BJ274*Inputs!$D$78/30</f>
        <v>1580.09708038643</v>
      </c>
    </row>
    <row r="319" customFormat="false" ht="15" hidden="false" customHeight="false" outlineLevel="0" collapsed="false">
      <c r="A319" s="6" t="s">
        <v>94</v>
      </c>
      <c r="C319" s="67" t="n">
        <f aca="false">-C274*Inputs!$D$79/30</f>
        <v>1494.58232</v>
      </c>
      <c r="D319" s="67" t="n">
        <f aca="false">-D274*Inputs!$D$79/30</f>
        <v>1743.67937333333</v>
      </c>
      <c r="E319" s="67" t="n">
        <f aca="false">-E274*Inputs!$D$79/30</f>
        <v>2505.33123555556</v>
      </c>
      <c r="F319" s="67" t="n">
        <f aca="false">-F274*Inputs!$D$79/30</f>
        <v>2818.49764</v>
      </c>
      <c r="G319" s="67" t="n">
        <f aca="false">-G274*Inputs!$D$79/30</f>
        <v>3131.66404444444</v>
      </c>
      <c r="H319" s="67" t="n">
        <f aca="false">-H274*Inputs!$D$79/30</f>
        <v>3131.66404444444</v>
      </c>
      <c r="I319" s="67" t="n">
        <f aca="false">-I274*Inputs!$D$79/30</f>
        <v>3131.66404444444</v>
      </c>
      <c r="J319" s="67" t="n">
        <f aca="false">-J274*Inputs!$D$79/30</f>
        <v>3131.66404444444</v>
      </c>
      <c r="K319" s="67" t="n">
        <f aca="false">-K274*Inputs!$D$79/30</f>
        <v>3131.66404444444</v>
      </c>
      <c r="L319" s="67" t="n">
        <f aca="false">-L274*Inputs!$D$79/30</f>
        <v>3131.66404444444</v>
      </c>
      <c r="M319" s="67" t="n">
        <f aca="false">-M274*Inputs!$D$79/30</f>
        <v>3131.66404444444</v>
      </c>
      <c r="N319" s="67" t="n">
        <f aca="false">-N274*Inputs!$D$79/30</f>
        <v>2490.97053333333</v>
      </c>
      <c r="O319" s="67" t="n">
        <f aca="false">-O274*Inputs!$D$79/30</f>
        <v>2745.9153904</v>
      </c>
      <c r="P319" s="67" t="n">
        <f aca="false">-P274*Inputs!$D$79/30</f>
        <v>2745.9153904</v>
      </c>
      <c r="Q319" s="67" t="n">
        <f aca="false">-Q274*Inputs!$D$79/30</f>
        <v>3444.82280053333</v>
      </c>
      <c r="R319" s="67" t="n">
        <f aca="false">-R274*Inputs!$D$79/30</f>
        <v>3444.82280053333</v>
      </c>
      <c r="S319" s="67" t="n">
        <f aca="false">-S274*Inputs!$D$79/30</f>
        <v>3444.82280053333</v>
      </c>
      <c r="T319" s="67" t="n">
        <f aca="false">-T274*Inputs!$D$79/30</f>
        <v>3444.82280053333</v>
      </c>
      <c r="U319" s="67" t="n">
        <f aca="false">-U274*Inputs!$D$79/30</f>
        <v>3444.82280053333</v>
      </c>
      <c r="V319" s="67" t="n">
        <f aca="false">-V274*Inputs!$D$79/30</f>
        <v>3444.82280053333</v>
      </c>
      <c r="W319" s="67" t="n">
        <f aca="false">-W274*Inputs!$D$79/30</f>
        <v>3444.82280053333</v>
      </c>
      <c r="X319" s="67" t="n">
        <f aca="false">-X274*Inputs!$D$79/30</f>
        <v>3444.82280053333</v>
      </c>
      <c r="Y319" s="67" t="n">
        <f aca="false">-Y274*Inputs!$D$79/30</f>
        <v>3444.82280053333</v>
      </c>
      <c r="Z319" s="67" t="n">
        <f aca="false">-Z274*Inputs!$D$79/30</f>
        <v>2745.9153904</v>
      </c>
      <c r="AA319" s="67" t="n">
        <f aca="false">-AA274*Inputs!$D$79/30</f>
        <v>3028.1178055968</v>
      </c>
      <c r="AB319" s="67" t="n">
        <f aca="false">-AB274*Inputs!$D$79/30</f>
        <v>3028.1178055968</v>
      </c>
      <c r="AC319" s="67" t="n">
        <f aca="false">-AC274*Inputs!$D$79/30</f>
        <v>3790.5391382824</v>
      </c>
      <c r="AD319" s="67" t="n">
        <f aca="false">-AD274*Inputs!$D$79/30</f>
        <v>3790.5391382824</v>
      </c>
      <c r="AE319" s="67" t="n">
        <f aca="false">-AE274*Inputs!$D$79/30</f>
        <v>3790.5391382824</v>
      </c>
      <c r="AF319" s="67" t="n">
        <f aca="false">-AF274*Inputs!$D$79/30</f>
        <v>3790.5391382824</v>
      </c>
      <c r="AG319" s="67" t="n">
        <f aca="false">-AG274*Inputs!$D$79/30</f>
        <v>3790.5391382824</v>
      </c>
      <c r="AH319" s="67" t="n">
        <f aca="false">-AH274*Inputs!$D$79/30</f>
        <v>3790.5391382824</v>
      </c>
      <c r="AI319" s="67" t="n">
        <f aca="false">-AI274*Inputs!$D$79/30</f>
        <v>3790.5391382824</v>
      </c>
      <c r="AJ319" s="67" t="n">
        <f aca="false">-AJ274*Inputs!$D$79/30</f>
        <v>3790.5391382824</v>
      </c>
      <c r="AK319" s="67" t="n">
        <f aca="false">-AK274*Inputs!$D$79/30</f>
        <v>3790.5391382824</v>
      </c>
      <c r="AL319" s="67" t="n">
        <f aca="false">-AL274*Inputs!$D$79/30</f>
        <v>3028.1178055968</v>
      </c>
      <c r="AM319" s="67" t="n">
        <f aca="false">-AM274*Inputs!$D$79/30</f>
        <v>3340.63704614511</v>
      </c>
      <c r="AN319" s="67" t="n">
        <f aca="false">-AN274*Inputs!$D$79/30</f>
        <v>3340.63704614511</v>
      </c>
      <c r="AO319" s="67" t="n">
        <f aca="false">-AO274*Inputs!$D$79/30</f>
        <v>4172.35568337031</v>
      </c>
      <c r="AP319" s="67" t="n">
        <f aca="false">-AP274*Inputs!$D$79/30</f>
        <v>4172.35568337031</v>
      </c>
      <c r="AQ319" s="67" t="n">
        <f aca="false">-AQ274*Inputs!$D$79/30</f>
        <v>4172.35568337031</v>
      </c>
      <c r="AR319" s="67" t="n">
        <f aca="false">-AR274*Inputs!$D$79/30</f>
        <v>4172.35568337031</v>
      </c>
      <c r="AS319" s="67" t="n">
        <f aca="false">-AS274*Inputs!$D$79/30</f>
        <v>4172.35568337031</v>
      </c>
      <c r="AT319" s="67" t="n">
        <f aca="false">-AT274*Inputs!$D$79/30</f>
        <v>4172.35568337031</v>
      </c>
      <c r="AU319" s="67" t="n">
        <f aca="false">-AU274*Inputs!$D$79/30</f>
        <v>4172.35568337031</v>
      </c>
      <c r="AV319" s="67" t="n">
        <f aca="false">-AV274*Inputs!$D$79/30</f>
        <v>4172.35568337031</v>
      </c>
      <c r="AW319" s="67" t="n">
        <f aca="false">-AW274*Inputs!$D$79/30</f>
        <v>4172.35568337031</v>
      </c>
      <c r="AX319" s="67" t="n">
        <f aca="false">-AX274*Inputs!$D$79/30</f>
        <v>3340.63704614511</v>
      </c>
      <c r="AY319" s="67" t="n">
        <f aca="false">-AY274*Inputs!$D$79/30</f>
        <v>3686.89318756835</v>
      </c>
      <c r="AZ319" s="67" t="n">
        <f aca="false">-AZ274*Inputs!$D$79/30</f>
        <v>3686.89318756835</v>
      </c>
      <c r="BA319" s="67" t="n">
        <f aca="false">-BA274*Inputs!$D$79/30</f>
        <v>4594.22001517314</v>
      </c>
      <c r="BB319" s="67" t="n">
        <f aca="false">-BB274*Inputs!$D$79/30</f>
        <v>4594.22001517314</v>
      </c>
      <c r="BC319" s="67" t="n">
        <f aca="false">-BC274*Inputs!$D$79/30</f>
        <v>4594.22001517314</v>
      </c>
      <c r="BD319" s="67" t="n">
        <f aca="false">-BD274*Inputs!$D$79/30</f>
        <v>4594.22001517314</v>
      </c>
      <c r="BE319" s="67" t="n">
        <f aca="false">-BE274*Inputs!$D$79/30</f>
        <v>4594.22001517314</v>
      </c>
      <c r="BF319" s="67" t="n">
        <f aca="false">-BF274*Inputs!$D$79/30</f>
        <v>4594.22001517314</v>
      </c>
      <c r="BG319" s="67" t="n">
        <f aca="false">-BG274*Inputs!$D$79/30</f>
        <v>4594.22001517314</v>
      </c>
      <c r="BH319" s="67" t="n">
        <f aca="false">-BH274*Inputs!$D$79/30</f>
        <v>4594.22001517314</v>
      </c>
      <c r="BI319" s="67" t="n">
        <f aca="false">-BI274*Inputs!$D$79/30</f>
        <v>4594.22001517314</v>
      </c>
      <c r="BJ319" s="67" t="n">
        <f aca="false">-BJ274*Inputs!$D$79/30</f>
        <v>3686.89318756835</v>
      </c>
    </row>
    <row r="320" customFormat="false" ht="15" hidden="false" customHeight="false" outlineLevel="0" collapsed="false">
      <c r="A320" s="6" t="s">
        <v>342</v>
      </c>
      <c r="C320" s="67" t="n">
        <f aca="false">-C317</f>
        <v>-1666.14</v>
      </c>
      <c r="D320" s="67" t="n">
        <f aca="false">C317-D317</f>
        <v>-277.689999999999</v>
      </c>
      <c r="E320" s="67" t="n">
        <f aca="false">D317-E317</f>
        <v>-873.53</v>
      </c>
      <c r="F320" s="67" t="n">
        <f aca="false">E317-F317</f>
        <v>-352.17</v>
      </c>
      <c r="G320" s="67" t="n">
        <f aca="false">F317-G317</f>
        <v>-352.17</v>
      </c>
      <c r="H320" s="67" t="n">
        <f aca="false">G317-H317</f>
        <v>0</v>
      </c>
      <c r="I320" s="67" t="n">
        <f aca="false">H317-I317</f>
        <v>0</v>
      </c>
      <c r="J320" s="67" t="n">
        <f aca="false">I317-J317</f>
        <v>0</v>
      </c>
      <c r="K320" s="67" t="n">
        <f aca="false">J317-K317</f>
        <v>0</v>
      </c>
      <c r="L320" s="67" t="n">
        <f aca="false">K317-L317</f>
        <v>0</v>
      </c>
      <c r="M320" s="67" t="n">
        <f aca="false">L317-M317</f>
        <v>0</v>
      </c>
      <c r="N320" s="67" t="n">
        <f aca="false">M317-N317</f>
        <v>744.799999999999</v>
      </c>
      <c r="O320" s="67" t="n">
        <f aca="false">N317-O317</f>
        <v>-283.6848</v>
      </c>
      <c r="P320" s="67" t="n">
        <f aca="false">O317-P317</f>
        <v>0</v>
      </c>
      <c r="Q320" s="67" t="n">
        <f aca="false">P317-Q317</f>
        <v>-813.321599999999</v>
      </c>
      <c r="R320" s="67" t="n">
        <f aca="false">Q317-R317</f>
        <v>0</v>
      </c>
      <c r="S320" s="67" t="n">
        <f aca="false">R317-S317</f>
        <v>0</v>
      </c>
      <c r="T320" s="67" t="n">
        <f aca="false">S317-T317</f>
        <v>0</v>
      </c>
      <c r="U320" s="67" t="n">
        <f aca="false">T317-U317</f>
        <v>0</v>
      </c>
      <c r="V320" s="67" t="n">
        <f aca="false">U317-V317</f>
        <v>0</v>
      </c>
      <c r="W320" s="67" t="n">
        <f aca="false">V317-W317</f>
        <v>0</v>
      </c>
      <c r="X320" s="67" t="n">
        <f aca="false">W317-X317</f>
        <v>0</v>
      </c>
      <c r="Y320" s="67" t="n">
        <f aca="false">X317-Y317</f>
        <v>0</v>
      </c>
      <c r="Z320" s="67" t="n">
        <f aca="false">Y317-Z317</f>
        <v>813.321599999999</v>
      </c>
      <c r="AA320" s="67" t="n">
        <f aca="false">Z317-AA317</f>
        <v>-313.846041599999</v>
      </c>
      <c r="AB320" s="67" t="n">
        <f aca="false">AA317-AB317</f>
        <v>0</v>
      </c>
      <c r="AC320" s="67" t="n">
        <f aca="false">AB317-AC317</f>
        <v>-888.1471872</v>
      </c>
      <c r="AD320" s="67" t="n">
        <f aca="false">AC317-AD317</f>
        <v>0</v>
      </c>
      <c r="AE320" s="67" t="n">
        <f aca="false">AD317-AE317</f>
        <v>0</v>
      </c>
      <c r="AF320" s="67" t="n">
        <f aca="false">AE317-AF317</f>
        <v>0</v>
      </c>
      <c r="AG320" s="67" t="n">
        <f aca="false">AF317-AG317</f>
        <v>0</v>
      </c>
      <c r="AH320" s="67" t="n">
        <f aca="false">AG317-AH317</f>
        <v>0</v>
      </c>
      <c r="AI320" s="67" t="n">
        <f aca="false">AH317-AI317</f>
        <v>0</v>
      </c>
      <c r="AJ320" s="67" t="n">
        <f aca="false">AI317-AJ317</f>
        <v>0</v>
      </c>
      <c r="AK320" s="67" t="n">
        <f aca="false">AJ317-AK317</f>
        <v>0</v>
      </c>
      <c r="AL320" s="67" t="n">
        <f aca="false">AK317-AL317</f>
        <v>888.1471872</v>
      </c>
      <c r="AM320" s="67" t="n">
        <f aca="false">AL317-AM317</f>
        <v>-347.367079987202</v>
      </c>
      <c r="AN320" s="67" t="n">
        <f aca="false">AM317-AN317</f>
        <v>0</v>
      </c>
      <c r="AO320" s="67" t="n">
        <f aca="false">AN317-AO317</f>
        <v>-969.856728422399</v>
      </c>
      <c r="AP320" s="67" t="n">
        <f aca="false">AO317-AP317</f>
        <v>0</v>
      </c>
      <c r="AQ320" s="67" t="n">
        <f aca="false">AP317-AQ317</f>
        <v>0</v>
      </c>
      <c r="AR320" s="67" t="n">
        <f aca="false">AQ317-AR317</f>
        <v>0</v>
      </c>
      <c r="AS320" s="67" t="n">
        <f aca="false">AR317-AS317</f>
        <v>0</v>
      </c>
      <c r="AT320" s="67" t="n">
        <f aca="false">AS317-AT317</f>
        <v>0</v>
      </c>
      <c r="AU320" s="67" t="n">
        <f aca="false">AT317-AU317</f>
        <v>0</v>
      </c>
      <c r="AV320" s="67" t="n">
        <f aca="false">AU317-AV317</f>
        <v>0</v>
      </c>
      <c r="AW320" s="67" t="n">
        <f aca="false">AV317-AW317</f>
        <v>0</v>
      </c>
      <c r="AX320" s="67" t="n">
        <f aca="false">AW317-AX317</f>
        <v>969.856728422399</v>
      </c>
      <c r="AY320" s="67" t="n">
        <f aca="false">AX317-AY317</f>
        <v>-384.641251074662</v>
      </c>
      <c r="AZ320" s="67" t="n">
        <f aca="false">AY317-AZ317</f>
        <v>0</v>
      </c>
      <c r="BA320" s="67" t="n">
        <f aca="false">AZ317-BA317</f>
        <v>-1059.08354743726</v>
      </c>
      <c r="BB320" s="67" t="n">
        <f aca="false">BA317-BB317</f>
        <v>0</v>
      </c>
      <c r="BC320" s="67" t="n">
        <f aca="false">BB317-BC317</f>
        <v>0</v>
      </c>
      <c r="BD320" s="67" t="n">
        <f aca="false">BC317-BD317</f>
        <v>0</v>
      </c>
      <c r="BE320" s="67" t="n">
        <f aca="false">BD317-BE317</f>
        <v>0</v>
      </c>
      <c r="BF320" s="67" t="n">
        <f aca="false">BE317-BF317</f>
        <v>0</v>
      </c>
      <c r="BG320" s="67" t="n">
        <f aca="false">BF317-BG317</f>
        <v>0</v>
      </c>
      <c r="BH320" s="67" t="n">
        <f aca="false">BG317-BH317</f>
        <v>0</v>
      </c>
      <c r="BI320" s="67" t="n">
        <f aca="false">BH317-BI317</f>
        <v>0</v>
      </c>
      <c r="BJ320" s="67" t="n">
        <f aca="false">BI317-BJ317</f>
        <v>1059.08354743726</v>
      </c>
    </row>
    <row r="321" customFormat="false" ht="15" hidden="false" customHeight="false" outlineLevel="0" collapsed="false">
      <c r="A321" s="6" t="s">
        <v>343</v>
      </c>
      <c r="C321" s="67" t="n">
        <f aca="false">-C318</f>
        <v>-640.53528</v>
      </c>
      <c r="D321" s="67" t="n">
        <f aca="false">C318-D318</f>
        <v>-106.75588</v>
      </c>
      <c r="E321" s="67" t="n">
        <f aca="false">D318-E318</f>
        <v>-326.422226666667</v>
      </c>
      <c r="F321" s="67" t="n">
        <f aca="false">E318-F318</f>
        <v>-134.214173333333</v>
      </c>
      <c r="G321" s="67" t="n">
        <f aca="false">F318-G318</f>
        <v>-134.214173333334</v>
      </c>
      <c r="H321" s="67" t="n">
        <f aca="false">G318-H318</f>
        <v>0</v>
      </c>
      <c r="I321" s="67" t="n">
        <f aca="false">H318-I318</f>
        <v>0</v>
      </c>
      <c r="J321" s="67" t="n">
        <f aca="false">I318-J318</f>
        <v>0</v>
      </c>
      <c r="K321" s="67" t="n">
        <f aca="false">J318-K318</f>
        <v>0</v>
      </c>
      <c r="L321" s="67" t="n">
        <f aca="false">K318-L318</f>
        <v>0</v>
      </c>
      <c r="M321" s="67" t="n">
        <f aca="false">L318-M318</f>
        <v>0</v>
      </c>
      <c r="N321" s="67" t="n">
        <f aca="false">M318-N318</f>
        <v>274.582933333333</v>
      </c>
      <c r="O321" s="67" t="n">
        <f aca="false">N318-O318</f>
        <v>-109.2620816</v>
      </c>
      <c r="P321" s="67" t="n">
        <f aca="false">O318-P318</f>
        <v>0</v>
      </c>
      <c r="Q321" s="67" t="n">
        <f aca="false">P318-Q318</f>
        <v>-299.5317472</v>
      </c>
      <c r="R321" s="67" t="n">
        <f aca="false">Q318-R318</f>
        <v>0</v>
      </c>
      <c r="S321" s="67" t="n">
        <f aca="false">R318-S318</f>
        <v>0</v>
      </c>
      <c r="T321" s="67" t="n">
        <f aca="false">S318-T318</f>
        <v>0</v>
      </c>
      <c r="U321" s="67" t="n">
        <f aca="false">T318-U318</f>
        <v>0</v>
      </c>
      <c r="V321" s="67" t="n">
        <f aca="false">U318-V318</f>
        <v>0</v>
      </c>
      <c r="W321" s="67" t="n">
        <f aca="false">V318-W318</f>
        <v>0</v>
      </c>
      <c r="X321" s="67" t="n">
        <f aca="false">W318-X318</f>
        <v>0</v>
      </c>
      <c r="Y321" s="67" t="n">
        <f aca="false">X318-Y318</f>
        <v>0</v>
      </c>
      <c r="Z321" s="67" t="n">
        <f aca="false">Y318-Z318</f>
        <v>299.5317472</v>
      </c>
      <c r="AA321" s="67" t="n">
        <f aca="false">Z318-AA318</f>
        <v>-120.9438922272</v>
      </c>
      <c r="AB321" s="67" t="n">
        <f aca="false">AA318-AB318</f>
        <v>0</v>
      </c>
      <c r="AC321" s="67" t="n">
        <f aca="false">AB318-AC318</f>
        <v>-326.7519997224</v>
      </c>
      <c r="AD321" s="67" t="n">
        <f aca="false">AC318-AD318</f>
        <v>0</v>
      </c>
      <c r="AE321" s="67" t="n">
        <f aca="false">AD318-AE318</f>
        <v>0</v>
      </c>
      <c r="AF321" s="67" t="n">
        <f aca="false">AE318-AF318</f>
        <v>0</v>
      </c>
      <c r="AG321" s="67" t="n">
        <f aca="false">AF318-AG318</f>
        <v>0</v>
      </c>
      <c r="AH321" s="67" t="n">
        <f aca="false">AG318-AH318</f>
        <v>0</v>
      </c>
      <c r="AI321" s="67" t="n">
        <f aca="false">AH318-AI318</f>
        <v>0</v>
      </c>
      <c r="AJ321" s="67" t="n">
        <f aca="false">AI318-AJ318</f>
        <v>0</v>
      </c>
      <c r="AK321" s="67" t="n">
        <f aca="false">AJ318-AK318</f>
        <v>0</v>
      </c>
      <c r="AL321" s="67" t="n">
        <f aca="false">AK318-AL318</f>
        <v>326.7519997224</v>
      </c>
      <c r="AM321" s="67" t="n">
        <f aca="false">AL318-AM318</f>
        <v>-133.936817377848</v>
      </c>
      <c r="AN321" s="67" t="n">
        <f aca="false">AM318-AN318</f>
        <v>0</v>
      </c>
      <c r="AO321" s="67" t="n">
        <f aca="false">AN318-AO318</f>
        <v>-356.450844525086</v>
      </c>
      <c r="AP321" s="67" t="n">
        <f aca="false">AO318-AP318</f>
        <v>0</v>
      </c>
      <c r="AQ321" s="67" t="n">
        <f aca="false">AP318-AQ318</f>
        <v>0</v>
      </c>
      <c r="AR321" s="67" t="n">
        <f aca="false">AQ318-AR318</f>
        <v>0</v>
      </c>
      <c r="AS321" s="67" t="n">
        <f aca="false">AR318-AS318</f>
        <v>0</v>
      </c>
      <c r="AT321" s="67" t="n">
        <f aca="false">AS318-AT318</f>
        <v>0</v>
      </c>
      <c r="AU321" s="67" t="n">
        <f aca="false">AT318-AU318</f>
        <v>0</v>
      </c>
      <c r="AV321" s="67" t="n">
        <f aca="false">AU318-AV318</f>
        <v>0</v>
      </c>
      <c r="AW321" s="67" t="n">
        <f aca="false">AV318-AW318</f>
        <v>0</v>
      </c>
      <c r="AX321" s="67" t="n">
        <f aca="false">AW318-AX318</f>
        <v>356.450844525086</v>
      </c>
      <c r="AY321" s="67" t="n">
        <f aca="false">AX318-AY318</f>
        <v>-148.395489181386</v>
      </c>
      <c r="AZ321" s="67" t="n">
        <f aca="false">AY318-AZ318</f>
        <v>0</v>
      </c>
      <c r="BA321" s="67" t="n">
        <f aca="false">AZ318-BA318</f>
        <v>-388.854354687771</v>
      </c>
      <c r="BB321" s="67" t="n">
        <f aca="false">BA318-BB318</f>
        <v>0</v>
      </c>
      <c r="BC321" s="67" t="n">
        <f aca="false">BB318-BC318</f>
        <v>0</v>
      </c>
      <c r="BD321" s="67" t="n">
        <f aca="false">BC318-BD318</f>
        <v>0</v>
      </c>
      <c r="BE321" s="67" t="n">
        <f aca="false">BD318-BE318</f>
        <v>0</v>
      </c>
      <c r="BF321" s="67" t="n">
        <f aca="false">BE318-BF318</f>
        <v>0</v>
      </c>
      <c r="BG321" s="67" t="n">
        <f aca="false">BF318-BG318</f>
        <v>0</v>
      </c>
      <c r="BH321" s="67" t="n">
        <f aca="false">BG318-BH318</f>
        <v>0</v>
      </c>
      <c r="BI321" s="67" t="n">
        <f aca="false">BH318-BI318</f>
        <v>0</v>
      </c>
      <c r="BJ321" s="67" t="n">
        <f aca="false">BI318-BJ318</f>
        <v>388.854354687771</v>
      </c>
    </row>
    <row r="322" customFormat="false" ht="15" hidden="false" customHeight="false" outlineLevel="0" collapsed="false">
      <c r="A322" s="6" t="s">
        <v>344</v>
      </c>
      <c r="C322" s="67" t="n">
        <f aca="false">C319</f>
        <v>1494.58232</v>
      </c>
      <c r="D322" s="67" t="n">
        <f aca="false">D319-C319</f>
        <v>249.097053333333</v>
      </c>
      <c r="E322" s="67" t="n">
        <f aca="false">E319-D319</f>
        <v>761.651862222223</v>
      </c>
      <c r="F322" s="67" t="n">
        <f aca="false">F319-E319</f>
        <v>313.166404444444</v>
      </c>
      <c r="G322" s="67" t="n">
        <f aca="false">G319-F319</f>
        <v>313.166404444444</v>
      </c>
      <c r="H322" s="67" t="n">
        <f aca="false">H319-G319</f>
        <v>0</v>
      </c>
      <c r="I322" s="67" t="n">
        <f aca="false">I319-H319</f>
        <v>0</v>
      </c>
      <c r="J322" s="67" t="n">
        <f aca="false">J319-I319</f>
        <v>0</v>
      </c>
      <c r="K322" s="67" t="n">
        <f aca="false">K319-J319</f>
        <v>0</v>
      </c>
      <c r="L322" s="67" t="n">
        <f aca="false">L319-K319</f>
        <v>0</v>
      </c>
      <c r="M322" s="67" t="n">
        <f aca="false">M319-L319</f>
        <v>0</v>
      </c>
      <c r="N322" s="67" t="n">
        <f aca="false">N319-M319</f>
        <v>-640.693511111111</v>
      </c>
      <c r="O322" s="67" t="n">
        <f aca="false">O319-N319</f>
        <v>254.944857066666</v>
      </c>
      <c r="P322" s="67" t="n">
        <f aca="false">P319-O319</f>
        <v>0</v>
      </c>
      <c r="Q322" s="67" t="n">
        <f aca="false">Q319-P319</f>
        <v>698.907410133334</v>
      </c>
      <c r="R322" s="67" t="n">
        <f aca="false">R319-Q319</f>
        <v>0</v>
      </c>
      <c r="S322" s="67" t="n">
        <f aca="false">S319-R319</f>
        <v>0</v>
      </c>
      <c r="T322" s="67" t="n">
        <f aca="false">T319-S319</f>
        <v>0</v>
      </c>
      <c r="U322" s="67" t="n">
        <f aca="false">U319-T319</f>
        <v>0</v>
      </c>
      <c r="V322" s="67" t="n">
        <f aca="false">V319-U319</f>
        <v>0</v>
      </c>
      <c r="W322" s="67" t="n">
        <f aca="false">W319-V319</f>
        <v>0</v>
      </c>
      <c r="X322" s="67" t="n">
        <f aca="false">X319-W319</f>
        <v>0</v>
      </c>
      <c r="Y322" s="67" t="n">
        <f aca="false">Y319-X319</f>
        <v>0</v>
      </c>
      <c r="Z322" s="67" t="n">
        <f aca="false">Z319-Y319</f>
        <v>-698.907410133334</v>
      </c>
      <c r="AA322" s="67" t="n">
        <f aca="false">AA319-Z319</f>
        <v>282.2024151968</v>
      </c>
      <c r="AB322" s="67" t="n">
        <f aca="false">AB319-AA319</f>
        <v>0</v>
      </c>
      <c r="AC322" s="67" t="n">
        <f aca="false">AC319-AB319</f>
        <v>762.421332685601</v>
      </c>
      <c r="AD322" s="67" t="n">
        <f aca="false">AD319-AC319</f>
        <v>0</v>
      </c>
      <c r="AE322" s="67" t="n">
        <f aca="false">AE319-AD319</f>
        <v>0</v>
      </c>
      <c r="AF322" s="67" t="n">
        <f aca="false">AF319-AE319</f>
        <v>0</v>
      </c>
      <c r="AG322" s="67" t="n">
        <f aca="false">AG319-AF319</f>
        <v>0</v>
      </c>
      <c r="AH322" s="67" t="n">
        <f aca="false">AH319-AG319</f>
        <v>0</v>
      </c>
      <c r="AI322" s="67" t="n">
        <f aca="false">AI319-AH319</f>
        <v>0</v>
      </c>
      <c r="AJ322" s="67" t="n">
        <f aca="false">AJ319-AI319</f>
        <v>0</v>
      </c>
      <c r="AK322" s="67" t="n">
        <f aca="false">AK319-AJ319</f>
        <v>0</v>
      </c>
      <c r="AL322" s="67" t="n">
        <f aca="false">AL319-AK319</f>
        <v>-762.421332685601</v>
      </c>
      <c r="AM322" s="67" t="n">
        <f aca="false">AM319-AL319</f>
        <v>312.519240548312</v>
      </c>
      <c r="AN322" s="67" t="n">
        <f aca="false">AN319-AM319</f>
        <v>0</v>
      </c>
      <c r="AO322" s="67" t="n">
        <f aca="false">AO319-AN319</f>
        <v>831.7186372252</v>
      </c>
      <c r="AP322" s="67" t="n">
        <f aca="false">AP319-AO319</f>
        <v>0</v>
      </c>
      <c r="AQ322" s="67" t="n">
        <f aca="false">AQ319-AP319</f>
        <v>0</v>
      </c>
      <c r="AR322" s="67" t="n">
        <f aca="false">AR319-AQ319</f>
        <v>0</v>
      </c>
      <c r="AS322" s="67" t="n">
        <f aca="false">AS319-AR319</f>
        <v>0</v>
      </c>
      <c r="AT322" s="67" t="n">
        <f aca="false">AT319-AS319</f>
        <v>0</v>
      </c>
      <c r="AU322" s="67" t="n">
        <f aca="false">AU319-AT319</f>
        <v>0</v>
      </c>
      <c r="AV322" s="67" t="n">
        <f aca="false">AV319-AU319</f>
        <v>0</v>
      </c>
      <c r="AW322" s="67" t="n">
        <f aca="false">AW319-AV319</f>
        <v>0</v>
      </c>
      <c r="AX322" s="67" t="n">
        <f aca="false">AX319-AW319</f>
        <v>-831.7186372252</v>
      </c>
      <c r="AY322" s="67" t="n">
        <f aca="false">AY319-AX319</f>
        <v>346.256141423234</v>
      </c>
      <c r="AZ322" s="67" t="n">
        <f aca="false">AZ319-AY319</f>
        <v>0</v>
      </c>
      <c r="BA322" s="67" t="n">
        <f aca="false">BA319-AZ319</f>
        <v>907.326827604798</v>
      </c>
      <c r="BB322" s="67" t="n">
        <f aca="false">BB319-BA319</f>
        <v>0</v>
      </c>
      <c r="BC322" s="67" t="n">
        <f aca="false">BC319-BB319</f>
        <v>0</v>
      </c>
      <c r="BD322" s="67" t="n">
        <f aca="false">BD319-BC319</f>
        <v>0</v>
      </c>
      <c r="BE322" s="67" t="n">
        <f aca="false">BE319-BD319</f>
        <v>0</v>
      </c>
      <c r="BF322" s="67" t="n">
        <f aca="false">BF319-BE319</f>
        <v>0</v>
      </c>
      <c r="BG322" s="67" t="n">
        <f aca="false">BG319-BF319</f>
        <v>0</v>
      </c>
      <c r="BH322" s="67" t="n">
        <f aca="false">BH319-BG319</f>
        <v>0</v>
      </c>
      <c r="BI322" s="67" t="n">
        <f aca="false">BI319-BH319</f>
        <v>0</v>
      </c>
      <c r="BJ322" s="67" t="n">
        <f aca="false">BJ319-BI319</f>
        <v>-907.326827604798</v>
      </c>
    </row>
    <row r="324" customFormat="false" ht="15.75" hidden="false" customHeight="true" outlineLevel="0" collapsed="false">
      <c r="A324" s="7" t="s">
        <v>442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</row>
    <row r="325" customFormat="false" ht="15" hidden="false" customHeight="false" outlineLevel="0" collapsed="false">
      <c r="A325" s="4" t="s">
        <v>52</v>
      </c>
      <c r="C325" s="73" t="n">
        <f aca="false">C297-C306+C320+C321+C322</f>
        <v>-4843.51242666666</v>
      </c>
      <c r="D325" s="73" t="n">
        <f aca="false">D297-D306+D320+D321+D322</f>
        <v>-2464.40209333333</v>
      </c>
      <c r="E325" s="73" t="n">
        <f aca="false">E297-E306+E320+E321+E322</f>
        <v>2519.97410222222</v>
      </c>
      <c r="F325" s="73" t="n">
        <f aca="false">F297-F306+F320+F321+F322</f>
        <v>4963.26496444444</v>
      </c>
      <c r="G325" s="73" t="n">
        <f aca="false">G297-G306+G320+G321+G322</f>
        <v>6966.18838311111</v>
      </c>
      <c r="H325" s="73" t="n">
        <f aca="false">H297-H306+H320+H321+H322</f>
        <v>6132.49339</v>
      </c>
      <c r="I325" s="73" t="n">
        <f aca="false">I297-I306+I320+I321+I322</f>
        <v>6141.38089</v>
      </c>
      <c r="J325" s="73" t="n">
        <f aca="false">J297-J306+J320+J321+J322</f>
        <v>6150.26839</v>
      </c>
      <c r="K325" s="73" t="n">
        <f aca="false">K297-K306+K320+K321+K322</f>
        <v>6159.15589</v>
      </c>
      <c r="L325" s="73" t="n">
        <f aca="false">L297-L306+L320+L321+L322</f>
        <v>6168.04339</v>
      </c>
      <c r="M325" s="73" t="n">
        <f aca="false">M297-M306+M320+M321+M322</f>
        <v>6176.93089</v>
      </c>
      <c r="N325" s="73" t="n">
        <f aca="false">N297-N306+N320+N321+N322</f>
        <v>2993.88898555556</v>
      </c>
      <c r="O325" s="73" t="n">
        <f aca="false">O297-O306+O320+O321+O322</f>
        <v>3563.07511416</v>
      </c>
      <c r="P325" s="73" t="n">
        <f aca="false">P297-P306+P320+P321+P322</f>
        <v>3709.96463869334</v>
      </c>
      <c r="Q325" s="73" t="n">
        <f aca="false">Q297-Q306+Q320+Q321+Q322</f>
        <v>7216.14763874667</v>
      </c>
      <c r="R325" s="73" t="n">
        <f aca="false">R297-R306+R320+R321+R322</f>
        <v>7638.98107581334</v>
      </c>
      <c r="S325" s="73" t="n">
        <f aca="false">S297-S306+S320+S321+S322</f>
        <v>7647.86857581334</v>
      </c>
      <c r="T325" s="73" t="n">
        <f aca="false">T297-T306+T320+T321+T322</f>
        <v>7656.75607581334</v>
      </c>
      <c r="U325" s="73" t="n">
        <f aca="false">U297-U306+U320+U321+U322</f>
        <v>7665.64357581334</v>
      </c>
      <c r="V325" s="73" t="n">
        <f aca="false">V297-V306+V320+V321+V322</f>
        <v>7674.53107581334</v>
      </c>
      <c r="W325" s="73" t="n">
        <f aca="false">W297-W306+W320+W321+W322</f>
        <v>7683.41857581334</v>
      </c>
      <c r="X325" s="73" t="n">
        <f aca="false">X297-X306+X320+X321+X322</f>
        <v>7692.30607581334</v>
      </c>
      <c r="Y325" s="73" t="n">
        <f aca="false">Y297-Y306+Y320+Y321+Y322</f>
        <v>7701.19357581334</v>
      </c>
      <c r="Z325" s="73" t="n">
        <f aca="false">Z297-Z306+Z320+Z321+Z322</f>
        <v>4212.78557576001</v>
      </c>
      <c r="AA325" s="73" t="n">
        <f aca="false">AA297-AA306+AA320+AA321+AA322</f>
        <v>4867.96620373305</v>
      </c>
      <c r="AB325" s="73" t="n">
        <f aca="false">AB297-AB306+AB320+AB321+AB322</f>
        <v>5029.44122236345</v>
      </c>
      <c r="AC325" s="73" t="n">
        <f aca="false">AC297-AC306+AC320+AC321+AC322</f>
        <v>8869.48198919969</v>
      </c>
      <c r="AD325" s="73" t="n">
        <f aca="false">AD297-AD306+AD320+AD321+AD322</f>
        <v>9330.84734343649</v>
      </c>
      <c r="AE325" s="73" t="n">
        <f aca="false">AE297-AE306+AE320+AE321+AE322</f>
        <v>9339.73484343649</v>
      </c>
      <c r="AF325" s="73" t="n">
        <f aca="false">AF297-AF306+AF320+AF321+AF322</f>
        <v>9348.6223434365</v>
      </c>
      <c r="AG325" s="73" t="n">
        <f aca="false">AG297-AG306+AG320+AG321+AG322</f>
        <v>9357.5098434365</v>
      </c>
      <c r="AH325" s="73" t="n">
        <f aca="false">AH297-AH306+AH320+AH321+AH322</f>
        <v>9366.39734343649</v>
      </c>
      <c r="AI325" s="73" t="n">
        <f aca="false">AI297-AI306+AI320+AI321+AI322</f>
        <v>9375.28484343649</v>
      </c>
      <c r="AJ325" s="73" t="n">
        <f aca="false">AJ297-AJ306+AJ320+AJ321+AJ322</f>
        <v>9384.17234343649</v>
      </c>
      <c r="AK325" s="73" t="n">
        <f aca="false">AK297-AK306+AK320+AK321+AK322</f>
        <v>9393.0598434365</v>
      </c>
      <c r="AL325" s="73" t="n">
        <f aca="false">AL297-AL306+AL320+AL321+AL322</f>
        <v>5570.79407660025</v>
      </c>
      <c r="AM325" s="73" t="n">
        <f aca="false">AM297-AM306+AM320+AM321+AM322</f>
        <v>6322.81200798093</v>
      </c>
      <c r="AN325" s="73" t="n">
        <f aca="false">AN297-AN306+AN320+AN321+AN322</f>
        <v>6500.48416479766</v>
      </c>
      <c r="AO325" s="73" t="n">
        <f aca="false">AO297-AO306+AO320+AO321+AO322</f>
        <v>10705.5135803642</v>
      </c>
      <c r="AP325" s="73" t="n">
        <f aca="false">AP297-AP306+AP320+AP321+AP322</f>
        <v>11208.9900160864</v>
      </c>
      <c r="AQ325" s="73" t="n">
        <f aca="false">AQ297-AQ306+AQ320+AQ321+AQ322</f>
        <v>11217.8775160864</v>
      </c>
      <c r="AR325" s="73" t="n">
        <f aca="false">AR297-AR306+AR320+AR321+AR322</f>
        <v>11226.7650160864</v>
      </c>
      <c r="AS325" s="73" t="n">
        <f aca="false">AS297-AS306+AS320+AS321+AS322</f>
        <v>11235.6525160864</v>
      </c>
      <c r="AT325" s="73" t="n">
        <f aca="false">AT297-AT306+AT320+AT321+AT322</f>
        <v>11244.5400160864</v>
      </c>
      <c r="AU325" s="73" t="n">
        <f aca="false">AU297-AU306+AU320+AU321+AU322</f>
        <v>11253.4275160864</v>
      </c>
      <c r="AV325" s="73" t="n">
        <f aca="false">AV297-AV306+AV320+AV321+AV322</f>
        <v>11262.3150160864</v>
      </c>
      <c r="AW325" s="73" t="n">
        <f aca="false">AW297-AW306+AW320+AW321+AW322</f>
        <v>11271.2025160864</v>
      </c>
      <c r="AX325" s="73" t="n">
        <f aca="false">AX297-AX306+AX320+AX321+AX322</f>
        <v>7083.94810051995</v>
      </c>
      <c r="AY325" s="73" t="n">
        <f aca="false">AY297-AY306+AY320+AY321+AY322</f>
        <v>7945.00740872849</v>
      </c>
      <c r="AZ325" s="73" t="n">
        <f aca="false">AZ297-AZ306+AZ320+AZ321+AZ322</f>
        <v>8140.6755075613</v>
      </c>
      <c r="BA325" s="73" t="n">
        <f aca="false">BA297-BA306+BA320+BA321+BA322</f>
        <v>12744.7075334745</v>
      </c>
      <c r="BB325" s="73" t="n">
        <f aca="false">BB297-BB306+BB320+BB321+BB322</f>
        <v>13294.2061079948</v>
      </c>
      <c r="BC325" s="73" t="n">
        <f aca="false">BC297-BC306+BC320+BC321+BC322</f>
        <v>13303.0936079948</v>
      </c>
      <c r="BD325" s="73" t="n">
        <f aca="false">BD297-BD306+BD320+BD321+BD322</f>
        <v>13311.9811079948</v>
      </c>
      <c r="BE325" s="73" t="n">
        <f aca="false">BE297-BE306+BE320+BE321+BE322</f>
        <v>13320.8686079948</v>
      </c>
      <c r="BF325" s="73" t="n">
        <f aca="false">BF297-BF306+BF320+BF321+BF322</f>
        <v>13329.7561079948</v>
      </c>
      <c r="BG325" s="73" t="n">
        <f aca="false">BG297-BG306+BG320+BG321+BG322</f>
        <v>13338.6436079948</v>
      </c>
      <c r="BH325" s="73" t="n">
        <f aca="false">BH297-BH306+BH320+BH321+BH322</f>
        <v>13347.5311079948</v>
      </c>
      <c r="BI325" s="73" t="n">
        <f aca="false">BI297-BI306+BI320+BI321+BI322</f>
        <v>13356.4186079948</v>
      </c>
      <c r="BJ325" s="73" t="n">
        <f aca="false">BJ297-BJ306+BJ320+BJ321+BJ322</f>
        <v>8770.16158208154</v>
      </c>
    </row>
    <row r="326" customFormat="false" ht="15" hidden="false" customHeight="false" outlineLevel="0" collapsed="false">
      <c r="A326" s="6" t="s">
        <v>443</v>
      </c>
      <c r="C326" s="67" t="n">
        <f aca="false">-C304</f>
        <v>-138000</v>
      </c>
      <c r="D326" s="67" t="n">
        <f aca="false">-D304</f>
        <v>-0</v>
      </c>
      <c r="E326" s="67" t="n">
        <f aca="false">-E304</f>
        <v>-0</v>
      </c>
      <c r="F326" s="67" t="n">
        <f aca="false">-F304</f>
        <v>-0</v>
      </c>
      <c r="G326" s="67" t="n">
        <f aca="false">-G304</f>
        <v>-0</v>
      </c>
      <c r="H326" s="67" t="n">
        <f aca="false">-H304</f>
        <v>-0</v>
      </c>
      <c r="I326" s="67" t="n">
        <f aca="false">-I304</f>
        <v>-0</v>
      </c>
      <c r="J326" s="67" t="n">
        <f aca="false">-J304</f>
        <v>-0</v>
      </c>
      <c r="K326" s="67" t="n">
        <f aca="false">-K304</f>
        <v>-0</v>
      </c>
      <c r="L326" s="67" t="n">
        <f aca="false">-L304</f>
        <v>-0</v>
      </c>
      <c r="M326" s="67" t="n">
        <f aca="false">-M304</f>
        <v>-0</v>
      </c>
      <c r="N326" s="67" t="n">
        <f aca="false">-N304</f>
        <v>-0</v>
      </c>
      <c r="O326" s="67" t="n">
        <f aca="false">-O304</f>
        <v>-2500</v>
      </c>
      <c r="P326" s="67" t="n">
        <f aca="false">-P304</f>
        <v>-0</v>
      </c>
      <c r="Q326" s="67" t="n">
        <f aca="false">-Q304</f>
        <v>-0</v>
      </c>
      <c r="R326" s="67" t="n">
        <f aca="false">-R304</f>
        <v>-0</v>
      </c>
      <c r="S326" s="67" t="n">
        <f aca="false">-S304</f>
        <v>-0</v>
      </c>
      <c r="T326" s="67" t="n">
        <f aca="false">-T304</f>
        <v>-0</v>
      </c>
      <c r="U326" s="67" t="n">
        <f aca="false">-U304</f>
        <v>-0</v>
      </c>
      <c r="V326" s="67" t="n">
        <f aca="false">-V304</f>
        <v>-0</v>
      </c>
      <c r="W326" s="67" t="n">
        <f aca="false">-W304</f>
        <v>-0</v>
      </c>
      <c r="X326" s="67" t="n">
        <f aca="false">-X304</f>
        <v>-0</v>
      </c>
      <c r="Y326" s="67" t="n">
        <f aca="false">-Y304</f>
        <v>-0</v>
      </c>
      <c r="Z326" s="67" t="n">
        <f aca="false">-Z304</f>
        <v>-0</v>
      </c>
      <c r="AA326" s="67" t="n">
        <f aca="false">-AA304</f>
        <v>-2500</v>
      </c>
      <c r="AB326" s="67" t="n">
        <f aca="false">-AB304</f>
        <v>-0</v>
      </c>
      <c r="AC326" s="67" t="n">
        <f aca="false">-AC304</f>
        <v>-0</v>
      </c>
      <c r="AD326" s="67" t="n">
        <f aca="false">-AD304</f>
        <v>-0</v>
      </c>
      <c r="AE326" s="67" t="n">
        <f aca="false">-AE304</f>
        <v>-0</v>
      </c>
      <c r="AF326" s="67" t="n">
        <f aca="false">-AF304</f>
        <v>-0</v>
      </c>
      <c r="AG326" s="67" t="n">
        <f aca="false">-AG304</f>
        <v>-0</v>
      </c>
      <c r="AH326" s="67" t="n">
        <f aca="false">-AH304</f>
        <v>-0</v>
      </c>
      <c r="AI326" s="67" t="n">
        <f aca="false">-AI304</f>
        <v>-0</v>
      </c>
      <c r="AJ326" s="67" t="n">
        <f aca="false">-AJ304</f>
        <v>-0</v>
      </c>
      <c r="AK326" s="67" t="n">
        <f aca="false">-AK304</f>
        <v>-0</v>
      </c>
      <c r="AL326" s="67" t="n">
        <f aca="false">-AL304</f>
        <v>-0</v>
      </c>
      <c r="AM326" s="67" t="n">
        <f aca="false">-AM304</f>
        <v>-2500</v>
      </c>
      <c r="AN326" s="67" t="n">
        <f aca="false">-AN304</f>
        <v>-0</v>
      </c>
      <c r="AO326" s="67" t="n">
        <f aca="false">-AO304</f>
        <v>-0</v>
      </c>
      <c r="AP326" s="67" t="n">
        <f aca="false">-AP304</f>
        <v>-0</v>
      </c>
      <c r="AQ326" s="67" t="n">
        <f aca="false">-AQ304</f>
        <v>-0</v>
      </c>
      <c r="AR326" s="67" t="n">
        <f aca="false">-AR304</f>
        <v>-0</v>
      </c>
      <c r="AS326" s="67" t="n">
        <f aca="false">-AS304</f>
        <v>-0</v>
      </c>
      <c r="AT326" s="67" t="n">
        <f aca="false">-AT304</f>
        <v>-0</v>
      </c>
      <c r="AU326" s="67" t="n">
        <f aca="false">-AU304</f>
        <v>-0</v>
      </c>
      <c r="AV326" s="67" t="n">
        <f aca="false">-AV304</f>
        <v>-0</v>
      </c>
      <c r="AW326" s="67" t="n">
        <f aca="false">-AW304</f>
        <v>-0</v>
      </c>
      <c r="AX326" s="67" t="n">
        <f aca="false">-AX304</f>
        <v>-0</v>
      </c>
      <c r="AY326" s="67" t="n">
        <f aca="false">-AY304</f>
        <v>-2500</v>
      </c>
      <c r="AZ326" s="67" t="n">
        <f aca="false">-AZ304</f>
        <v>-0</v>
      </c>
      <c r="BA326" s="67" t="n">
        <f aca="false">-BA304</f>
        <v>-0</v>
      </c>
      <c r="BB326" s="67" t="n">
        <f aca="false">-BB304</f>
        <v>-0</v>
      </c>
      <c r="BC326" s="67" t="n">
        <f aca="false">-BC304</f>
        <v>-0</v>
      </c>
      <c r="BD326" s="67" t="n">
        <f aca="false">-BD304</f>
        <v>-0</v>
      </c>
      <c r="BE326" s="67" t="n">
        <f aca="false">-BE304</f>
        <v>-0</v>
      </c>
      <c r="BF326" s="67" t="n">
        <f aca="false">-BF304</f>
        <v>-0</v>
      </c>
      <c r="BG326" s="67" t="n">
        <f aca="false">-BG304</f>
        <v>-0</v>
      </c>
      <c r="BH326" s="67" t="n">
        <f aca="false">-BH304</f>
        <v>-0</v>
      </c>
      <c r="BI326" s="67" t="n">
        <f aca="false">-BI304</f>
        <v>-0</v>
      </c>
      <c r="BJ326" s="67" t="n">
        <f aca="false">-BJ304</f>
        <v>-0</v>
      </c>
    </row>
    <row r="327" customFormat="false" ht="15" hidden="false" customHeight="false" outlineLevel="0" collapsed="false">
      <c r="A327" s="6" t="s">
        <v>64</v>
      </c>
      <c r="C327" s="67" t="n">
        <f aca="false">IF(C$246=1,Inputs!$D$71,0)</f>
        <v>100000</v>
      </c>
      <c r="D327" s="67" t="n">
        <f aca="false">IF(D$246=1,Inputs!$D$71,0)</f>
        <v>0</v>
      </c>
      <c r="E327" s="67" t="n">
        <f aca="false">IF(E$246=1,Inputs!$D$71,0)</f>
        <v>0</v>
      </c>
      <c r="F327" s="67" t="n">
        <f aca="false">IF(F$246=1,Inputs!$D$71,0)</f>
        <v>0</v>
      </c>
      <c r="G327" s="67" t="n">
        <f aca="false">IF(G$246=1,Inputs!$D$71,0)</f>
        <v>0</v>
      </c>
      <c r="H327" s="67" t="n">
        <f aca="false">IF(H$246=1,Inputs!$D$71,0)</f>
        <v>0</v>
      </c>
      <c r="I327" s="67" t="n">
        <f aca="false">IF(I$246=1,Inputs!$D$71,0)</f>
        <v>0</v>
      </c>
      <c r="J327" s="67" t="n">
        <f aca="false">IF(J$246=1,Inputs!$D$71,0)</f>
        <v>0</v>
      </c>
      <c r="K327" s="67" t="n">
        <f aca="false">IF(K$246=1,Inputs!$D$71,0)</f>
        <v>0</v>
      </c>
      <c r="L327" s="67" t="n">
        <f aca="false">IF(L$246=1,Inputs!$D$71,0)</f>
        <v>0</v>
      </c>
      <c r="M327" s="67" t="n">
        <f aca="false">IF(M$246=1,Inputs!$D$71,0)</f>
        <v>0</v>
      </c>
      <c r="N327" s="67" t="n">
        <f aca="false">IF(N$246=1,Inputs!$D$71,0)</f>
        <v>0</v>
      </c>
      <c r="O327" s="67" t="n">
        <f aca="false">IF(O$246=1,Inputs!$D$71,0)</f>
        <v>0</v>
      </c>
      <c r="P327" s="67" t="n">
        <f aca="false">IF(P$246=1,Inputs!$D$71,0)</f>
        <v>0</v>
      </c>
      <c r="Q327" s="67" t="n">
        <f aca="false">IF(Q$246=1,Inputs!$D$71,0)</f>
        <v>0</v>
      </c>
      <c r="R327" s="67" t="n">
        <f aca="false">IF(R$246=1,Inputs!$D$71,0)</f>
        <v>0</v>
      </c>
      <c r="S327" s="67" t="n">
        <f aca="false">IF(S$246=1,Inputs!$D$71,0)</f>
        <v>0</v>
      </c>
      <c r="T327" s="67" t="n">
        <f aca="false">IF(T$246=1,Inputs!$D$71,0)</f>
        <v>0</v>
      </c>
      <c r="U327" s="67" t="n">
        <f aca="false">IF(U$246=1,Inputs!$D$71,0)</f>
        <v>0</v>
      </c>
      <c r="V327" s="67" t="n">
        <f aca="false">IF(V$246=1,Inputs!$D$71,0)</f>
        <v>0</v>
      </c>
      <c r="W327" s="67" t="n">
        <f aca="false">IF(W$246=1,Inputs!$D$71,0)</f>
        <v>0</v>
      </c>
      <c r="X327" s="67" t="n">
        <f aca="false">IF(X$246=1,Inputs!$D$71,0)</f>
        <v>0</v>
      </c>
      <c r="Y327" s="67" t="n">
        <f aca="false">IF(Y$246=1,Inputs!$D$71,0)</f>
        <v>0</v>
      </c>
      <c r="Z327" s="67" t="n">
        <f aca="false">IF(Z$246=1,Inputs!$D$71,0)</f>
        <v>0</v>
      </c>
      <c r="AA327" s="67" t="n">
        <f aca="false">IF(AA$246=1,Inputs!$D$71,0)</f>
        <v>0</v>
      </c>
      <c r="AB327" s="67" t="n">
        <f aca="false">IF(AB$246=1,Inputs!$D$71,0)</f>
        <v>0</v>
      </c>
      <c r="AC327" s="67" t="n">
        <f aca="false">IF(AC$246=1,Inputs!$D$71,0)</f>
        <v>0</v>
      </c>
      <c r="AD327" s="67" t="n">
        <f aca="false">IF(AD$246=1,Inputs!$D$71,0)</f>
        <v>0</v>
      </c>
      <c r="AE327" s="67" t="n">
        <f aca="false">IF(AE$246=1,Inputs!$D$71,0)</f>
        <v>0</v>
      </c>
      <c r="AF327" s="67" t="n">
        <f aca="false">IF(AF$246=1,Inputs!$D$71,0)</f>
        <v>0</v>
      </c>
      <c r="AG327" s="67" t="n">
        <f aca="false">IF(AG$246=1,Inputs!$D$71,0)</f>
        <v>0</v>
      </c>
      <c r="AH327" s="67" t="n">
        <f aca="false">IF(AH$246=1,Inputs!$D$71,0)</f>
        <v>0</v>
      </c>
      <c r="AI327" s="67" t="n">
        <f aca="false">IF(AI$246=1,Inputs!$D$71,0)</f>
        <v>0</v>
      </c>
      <c r="AJ327" s="67" t="n">
        <f aca="false">IF(AJ$246=1,Inputs!$D$71,0)</f>
        <v>0</v>
      </c>
      <c r="AK327" s="67" t="n">
        <f aca="false">IF(AK$246=1,Inputs!$D$71,0)</f>
        <v>0</v>
      </c>
      <c r="AL327" s="67" t="n">
        <f aca="false">IF(AL$246=1,Inputs!$D$71,0)</f>
        <v>0</v>
      </c>
      <c r="AM327" s="67" t="n">
        <f aca="false">IF(AM$246=1,Inputs!$D$71,0)</f>
        <v>0</v>
      </c>
      <c r="AN327" s="67" t="n">
        <f aca="false">IF(AN$246=1,Inputs!$D$71,0)</f>
        <v>0</v>
      </c>
      <c r="AO327" s="67" t="n">
        <f aca="false">IF(AO$246=1,Inputs!$D$71,0)</f>
        <v>0</v>
      </c>
      <c r="AP327" s="67" t="n">
        <f aca="false">IF(AP$246=1,Inputs!$D$71,0)</f>
        <v>0</v>
      </c>
      <c r="AQ327" s="67" t="n">
        <f aca="false">IF(AQ$246=1,Inputs!$D$71,0)</f>
        <v>0</v>
      </c>
      <c r="AR327" s="67" t="n">
        <f aca="false">IF(AR$246=1,Inputs!$D$71,0)</f>
        <v>0</v>
      </c>
      <c r="AS327" s="67" t="n">
        <f aca="false">IF(AS$246=1,Inputs!$D$71,0)</f>
        <v>0</v>
      </c>
      <c r="AT327" s="67" t="n">
        <f aca="false">IF(AT$246=1,Inputs!$D$71,0)</f>
        <v>0</v>
      </c>
      <c r="AU327" s="67" t="n">
        <f aca="false">IF(AU$246=1,Inputs!$D$71,0)</f>
        <v>0</v>
      </c>
      <c r="AV327" s="67" t="n">
        <f aca="false">IF(AV$246=1,Inputs!$D$71,0)</f>
        <v>0</v>
      </c>
      <c r="AW327" s="67" t="n">
        <f aca="false">IF(AW$246=1,Inputs!$D$71,0)</f>
        <v>0</v>
      </c>
      <c r="AX327" s="67" t="n">
        <f aca="false">IF(AX$246=1,Inputs!$D$71,0)</f>
        <v>0</v>
      </c>
      <c r="AY327" s="67" t="n">
        <f aca="false">IF(AY$246=1,Inputs!$D$71,0)</f>
        <v>0</v>
      </c>
      <c r="AZ327" s="67" t="n">
        <f aca="false">IF(AZ$246=1,Inputs!$D$71,0)</f>
        <v>0</v>
      </c>
      <c r="BA327" s="67" t="n">
        <f aca="false">IF(BA$246=1,Inputs!$D$71,0)</f>
        <v>0</v>
      </c>
      <c r="BB327" s="67" t="n">
        <f aca="false">IF(BB$246=1,Inputs!$D$71,0)</f>
        <v>0</v>
      </c>
      <c r="BC327" s="67" t="n">
        <f aca="false">IF(BC$246=1,Inputs!$D$71,0)</f>
        <v>0</v>
      </c>
      <c r="BD327" s="67" t="n">
        <f aca="false">IF(BD$246=1,Inputs!$D$71,0)</f>
        <v>0</v>
      </c>
      <c r="BE327" s="67" t="n">
        <f aca="false">IF(BE$246=1,Inputs!$D$71,0)</f>
        <v>0</v>
      </c>
      <c r="BF327" s="67" t="n">
        <f aca="false">IF(BF$246=1,Inputs!$D$71,0)</f>
        <v>0</v>
      </c>
      <c r="BG327" s="67" t="n">
        <f aca="false">IF(BG$246=1,Inputs!$D$71,0)</f>
        <v>0</v>
      </c>
      <c r="BH327" s="67" t="n">
        <f aca="false">IF(BH$246=1,Inputs!$D$71,0)</f>
        <v>0</v>
      </c>
      <c r="BI327" s="67" t="n">
        <f aca="false">IF(BI$246=1,Inputs!$D$71,0)</f>
        <v>0</v>
      </c>
      <c r="BJ327" s="67" t="n">
        <f aca="false">IF(BJ$246=1,Inputs!$D$71,0)</f>
        <v>0</v>
      </c>
    </row>
    <row r="328" customFormat="false" ht="15" hidden="false" customHeight="false" outlineLevel="0" collapsed="false">
      <c r="A328" s="6" t="s">
        <v>54</v>
      </c>
      <c r="C328" s="67" t="n">
        <f aca="false">C327+C312+C313</f>
        <v>190000</v>
      </c>
      <c r="D328" s="67" t="n">
        <f aca="false">D327+D312+D313</f>
        <v>-1500</v>
      </c>
      <c r="E328" s="67" t="n">
        <f aca="false">E327+E312+E313</f>
        <v>-1500</v>
      </c>
      <c r="F328" s="67" t="n">
        <f aca="false">F327+F312+F313</f>
        <v>-1500</v>
      </c>
      <c r="G328" s="67" t="n">
        <f aca="false">G327+G312+G313</f>
        <v>-1500</v>
      </c>
      <c r="H328" s="67" t="n">
        <f aca="false">H327+H312+H313</f>
        <v>-1500</v>
      </c>
      <c r="I328" s="67" t="n">
        <f aca="false">I327+I312+I313</f>
        <v>-1500</v>
      </c>
      <c r="J328" s="67" t="n">
        <f aca="false">J327+J312+J313</f>
        <v>-1500</v>
      </c>
      <c r="K328" s="67" t="n">
        <f aca="false">K327+K312+K313</f>
        <v>-1500</v>
      </c>
      <c r="L328" s="67" t="n">
        <f aca="false">L327+L312+L313</f>
        <v>-1500</v>
      </c>
      <c r="M328" s="67" t="n">
        <f aca="false">M327+M312+M313</f>
        <v>-1500</v>
      </c>
      <c r="N328" s="67" t="n">
        <f aca="false">N327+N312+N313</f>
        <v>-1500</v>
      </c>
      <c r="O328" s="67" t="n">
        <f aca="false">O327+O312+O313</f>
        <v>-1500</v>
      </c>
      <c r="P328" s="67" t="n">
        <f aca="false">P327+P312+P313</f>
        <v>-1500</v>
      </c>
      <c r="Q328" s="67" t="n">
        <f aca="false">Q327+Q312+Q313</f>
        <v>-1500</v>
      </c>
      <c r="R328" s="67" t="n">
        <f aca="false">R327+R312+R313</f>
        <v>-1500</v>
      </c>
      <c r="S328" s="67" t="n">
        <f aca="false">S327+S312+S313</f>
        <v>-1500</v>
      </c>
      <c r="T328" s="67" t="n">
        <f aca="false">T327+T312+T313</f>
        <v>-1500</v>
      </c>
      <c r="U328" s="67" t="n">
        <f aca="false">U327+U312+U313</f>
        <v>-1500</v>
      </c>
      <c r="V328" s="67" t="n">
        <f aca="false">V327+V312+V313</f>
        <v>-1500</v>
      </c>
      <c r="W328" s="67" t="n">
        <f aca="false">W327+W312+W313</f>
        <v>-1500</v>
      </c>
      <c r="X328" s="67" t="n">
        <f aca="false">X327+X312+X313</f>
        <v>-1500</v>
      </c>
      <c r="Y328" s="67" t="n">
        <f aca="false">Y327+Y312+Y313</f>
        <v>-1500</v>
      </c>
      <c r="Z328" s="67" t="n">
        <f aca="false">Z327+Z312+Z313</f>
        <v>-1500</v>
      </c>
      <c r="AA328" s="67" t="n">
        <f aca="false">AA327+AA312+AA313</f>
        <v>-1500</v>
      </c>
      <c r="AB328" s="67" t="n">
        <f aca="false">AB327+AB312+AB313</f>
        <v>-1500</v>
      </c>
      <c r="AC328" s="67" t="n">
        <f aca="false">AC327+AC312+AC313</f>
        <v>-1500</v>
      </c>
      <c r="AD328" s="67" t="n">
        <f aca="false">AD327+AD312+AD313</f>
        <v>-1500</v>
      </c>
      <c r="AE328" s="67" t="n">
        <f aca="false">AE327+AE312+AE313</f>
        <v>-1500</v>
      </c>
      <c r="AF328" s="67" t="n">
        <f aca="false">AF327+AF312+AF313</f>
        <v>-1500</v>
      </c>
      <c r="AG328" s="67" t="n">
        <f aca="false">AG327+AG312+AG313</f>
        <v>-1500</v>
      </c>
      <c r="AH328" s="67" t="n">
        <f aca="false">AH327+AH312+AH313</f>
        <v>-1500</v>
      </c>
      <c r="AI328" s="67" t="n">
        <f aca="false">AI327+AI312+AI313</f>
        <v>-1500</v>
      </c>
      <c r="AJ328" s="67" t="n">
        <f aca="false">AJ327+AJ312+AJ313</f>
        <v>-1500</v>
      </c>
      <c r="AK328" s="67" t="n">
        <f aca="false">AK327+AK312+AK313</f>
        <v>-1500</v>
      </c>
      <c r="AL328" s="67" t="n">
        <f aca="false">AL327+AL312+AL313</f>
        <v>-1500</v>
      </c>
      <c r="AM328" s="67" t="n">
        <f aca="false">AM327+AM312+AM313</f>
        <v>-1500</v>
      </c>
      <c r="AN328" s="67" t="n">
        <f aca="false">AN327+AN312+AN313</f>
        <v>-1500</v>
      </c>
      <c r="AO328" s="67" t="n">
        <f aca="false">AO327+AO312+AO313</f>
        <v>-1500</v>
      </c>
      <c r="AP328" s="67" t="n">
        <f aca="false">AP327+AP312+AP313</f>
        <v>-1500</v>
      </c>
      <c r="AQ328" s="67" t="n">
        <f aca="false">AQ327+AQ312+AQ313</f>
        <v>-1500</v>
      </c>
      <c r="AR328" s="67" t="n">
        <f aca="false">AR327+AR312+AR313</f>
        <v>-1500</v>
      </c>
      <c r="AS328" s="67" t="n">
        <f aca="false">AS327+AS312+AS313</f>
        <v>-1500</v>
      </c>
      <c r="AT328" s="67" t="n">
        <f aca="false">AT327+AT312+AT313</f>
        <v>-1500</v>
      </c>
      <c r="AU328" s="67" t="n">
        <f aca="false">AU327+AU312+AU313</f>
        <v>-1500</v>
      </c>
      <c r="AV328" s="67" t="n">
        <f aca="false">AV327+AV312+AV313</f>
        <v>-1500</v>
      </c>
      <c r="AW328" s="67" t="n">
        <f aca="false">AW327+AW312+AW313</f>
        <v>-1500</v>
      </c>
      <c r="AX328" s="67" t="n">
        <f aca="false">AX327+AX312+AX313</f>
        <v>-1500</v>
      </c>
      <c r="AY328" s="67" t="n">
        <f aca="false">AY327+AY312+AY313</f>
        <v>-1500</v>
      </c>
      <c r="AZ328" s="67" t="n">
        <f aca="false">AZ327+AZ312+AZ313</f>
        <v>-1500</v>
      </c>
      <c r="BA328" s="67" t="n">
        <f aca="false">BA327+BA312+BA313</f>
        <v>-1500</v>
      </c>
      <c r="BB328" s="67" t="n">
        <f aca="false">BB327+BB312+BB313</f>
        <v>-1500</v>
      </c>
      <c r="BC328" s="67" t="n">
        <f aca="false">BC327+BC312+BC313</f>
        <v>-1500</v>
      </c>
      <c r="BD328" s="67" t="n">
        <f aca="false">BD327+BD312+BD313</f>
        <v>-1500</v>
      </c>
      <c r="BE328" s="67" t="n">
        <f aca="false">BE327+BE312+BE313</f>
        <v>-1500</v>
      </c>
      <c r="BF328" s="67" t="n">
        <f aca="false">BF327+BF312+BF313</f>
        <v>-1500</v>
      </c>
      <c r="BG328" s="67" t="n">
        <f aca="false">BG327+BG312+BG313</f>
        <v>-1500</v>
      </c>
      <c r="BH328" s="67" t="n">
        <f aca="false">BH327+BH312+BH313</f>
        <v>-1500</v>
      </c>
      <c r="BI328" s="67" t="n">
        <f aca="false">BI327+BI312+BI313</f>
        <v>-1500</v>
      </c>
      <c r="BJ328" s="67" t="n">
        <f aca="false">BJ327+BJ312+BJ313</f>
        <v>-1500</v>
      </c>
    </row>
    <row r="329" customFormat="false" ht="15" hidden="false" customHeight="false" outlineLevel="0" collapsed="false">
      <c r="A329" s="113" t="s">
        <v>444</v>
      </c>
      <c r="C329" s="68" t="n">
        <f aca="false">C325+C326+C328</f>
        <v>47156.4875733334</v>
      </c>
      <c r="D329" s="68" t="n">
        <f aca="false">D325+D326+D328</f>
        <v>-3964.40209333333</v>
      </c>
      <c r="E329" s="68" t="n">
        <f aca="false">E325+E326+E328</f>
        <v>1019.97410222222</v>
      </c>
      <c r="F329" s="68" t="n">
        <f aca="false">F325+F326+F328</f>
        <v>3463.26496444444</v>
      </c>
      <c r="G329" s="68" t="n">
        <f aca="false">G325+G326+G328</f>
        <v>5466.18838311111</v>
      </c>
      <c r="H329" s="68" t="n">
        <f aca="false">H325+H326+H328</f>
        <v>4632.49339</v>
      </c>
      <c r="I329" s="68" t="n">
        <f aca="false">I325+I326+I328</f>
        <v>4641.38089</v>
      </c>
      <c r="J329" s="68" t="n">
        <f aca="false">J325+J326+J328</f>
        <v>4650.26839</v>
      </c>
      <c r="K329" s="68" t="n">
        <f aca="false">K325+K326+K328</f>
        <v>4659.15589</v>
      </c>
      <c r="L329" s="68" t="n">
        <f aca="false">L325+L326+L328</f>
        <v>4668.04339</v>
      </c>
      <c r="M329" s="68" t="n">
        <f aca="false">M325+M326+M328</f>
        <v>4676.93089</v>
      </c>
      <c r="N329" s="68" t="n">
        <f aca="false">N325+N326+N328</f>
        <v>1493.88898555556</v>
      </c>
      <c r="O329" s="68" t="n">
        <f aca="false">O325+O326+O328</f>
        <v>-436.924885839996</v>
      </c>
      <c r="P329" s="68" t="n">
        <f aca="false">P325+P326+P328</f>
        <v>2209.96463869334</v>
      </c>
      <c r="Q329" s="68" t="n">
        <f aca="false">Q325+Q326+Q328</f>
        <v>5716.14763874667</v>
      </c>
      <c r="R329" s="68" t="n">
        <f aca="false">R325+R326+R328</f>
        <v>6138.98107581334</v>
      </c>
      <c r="S329" s="68" t="n">
        <f aca="false">S325+S326+S328</f>
        <v>6147.86857581334</v>
      </c>
      <c r="T329" s="68" t="n">
        <f aca="false">T325+T326+T328</f>
        <v>6156.75607581334</v>
      </c>
      <c r="U329" s="68" t="n">
        <f aca="false">U325+U326+U328</f>
        <v>6165.64357581334</v>
      </c>
      <c r="V329" s="68" t="n">
        <f aca="false">V325+V326+V328</f>
        <v>6174.53107581334</v>
      </c>
      <c r="W329" s="68" t="n">
        <f aca="false">W325+W326+W328</f>
        <v>6183.41857581334</v>
      </c>
      <c r="X329" s="68" t="n">
        <f aca="false">X325+X326+X328</f>
        <v>6192.30607581334</v>
      </c>
      <c r="Y329" s="68" t="n">
        <f aca="false">Y325+Y326+Y328</f>
        <v>6201.19357581334</v>
      </c>
      <c r="Z329" s="68" t="n">
        <f aca="false">Z325+Z326+Z328</f>
        <v>2712.78557576</v>
      </c>
      <c r="AA329" s="68" t="n">
        <f aca="false">AA325+AA326+AA328</f>
        <v>867.966203733051</v>
      </c>
      <c r="AB329" s="68" t="n">
        <f aca="false">AB325+AB326+AB328</f>
        <v>3529.44122236345</v>
      </c>
      <c r="AC329" s="68" t="n">
        <f aca="false">AC325+AC326+AC328</f>
        <v>7369.48198919969</v>
      </c>
      <c r="AD329" s="68" t="n">
        <f aca="false">AD325+AD326+AD328</f>
        <v>7830.84734343649</v>
      </c>
      <c r="AE329" s="68" t="n">
        <f aca="false">AE325+AE326+AE328</f>
        <v>7839.73484343649</v>
      </c>
      <c r="AF329" s="68" t="n">
        <f aca="false">AF325+AF326+AF328</f>
        <v>7848.6223434365</v>
      </c>
      <c r="AG329" s="68" t="n">
        <f aca="false">AG325+AG326+AG328</f>
        <v>7857.5098434365</v>
      </c>
      <c r="AH329" s="68" t="n">
        <f aca="false">AH325+AH326+AH328</f>
        <v>7866.39734343649</v>
      </c>
      <c r="AI329" s="68" t="n">
        <f aca="false">AI325+AI326+AI328</f>
        <v>7875.28484343649</v>
      </c>
      <c r="AJ329" s="68" t="n">
        <f aca="false">AJ325+AJ326+AJ328</f>
        <v>7884.17234343649</v>
      </c>
      <c r="AK329" s="68" t="n">
        <f aca="false">AK325+AK326+AK328</f>
        <v>7893.0598434365</v>
      </c>
      <c r="AL329" s="68" t="n">
        <f aca="false">AL325+AL326+AL328</f>
        <v>4070.79407660025</v>
      </c>
      <c r="AM329" s="68" t="n">
        <f aca="false">AM325+AM326+AM328</f>
        <v>2322.81200798093</v>
      </c>
      <c r="AN329" s="68" t="n">
        <f aca="false">AN325+AN326+AN328</f>
        <v>5000.48416479766</v>
      </c>
      <c r="AO329" s="68" t="n">
        <f aca="false">AO325+AO326+AO328</f>
        <v>9205.51358036416</v>
      </c>
      <c r="AP329" s="68" t="n">
        <f aca="false">AP325+AP326+AP328</f>
        <v>9708.99001608644</v>
      </c>
      <c r="AQ329" s="68" t="n">
        <f aca="false">AQ325+AQ326+AQ328</f>
        <v>9717.87751608644</v>
      </c>
      <c r="AR329" s="68" t="n">
        <f aca="false">AR325+AR326+AR328</f>
        <v>9726.76501608643</v>
      </c>
      <c r="AS329" s="68" t="n">
        <f aca="false">AS325+AS326+AS328</f>
        <v>9735.65251608644</v>
      </c>
      <c r="AT329" s="68" t="n">
        <f aca="false">AT325+AT326+AT328</f>
        <v>9744.54001608644</v>
      </c>
      <c r="AU329" s="68" t="n">
        <f aca="false">AU325+AU326+AU328</f>
        <v>9753.42751608643</v>
      </c>
      <c r="AV329" s="68" t="n">
        <f aca="false">AV325+AV326+AV328</f>
        <v>9762.31501608644</v>
      </c>
      <c r="AW329" s="68" t="n">
        <f aca="false">AW325+AW326+AW328</f>
        <v>9771.20251608643</v>
      </c>
      <c r="AX329" s="68" t="n">
        <f aca="false">AX325+AX326+AX328</f>
        <v>5583.94810051995</v>
      </c>
      <c r="AY329" s="68" t="n">
        <f aca="false">AY325+AY326+AY328</f>
        <v>3945.00740872848</v>
      </c>
      <c r="AZ329" s="68" t="n">
        <f aca="false">AZ325+AZ326+AZ328</f>
        <v>6640.6755075613</v>
      </c>
      <c r="BA329" s="68" t="n">
        <f aca="false">BA325+BA326+BA328</f>
        <v>11244.7075334745</v>
      </c>
      <c r="BB329" s="68" t="n">
        <f aca="false">BB325+BB326+BB328</f>
        <v>11794.2061079948</v>
      </c>
      <c r="BC329" s="68" t="n">
        <f aca="false">BC325+BC326+BC328</f>
        <v>11803.0936079948</v>
      </c>
      <c r="BD329" s="68" t="n">
        <f aca="false">BD325+BD326+BD328</f>
        <v>11811.9811079948</v>
      </c>
      <c r="BE329" s="68" t="n">
        <f aca="false">BE325+BE326+BE328</f>
        <v>11820.8686079948</v>
      </c>
      <c r="BF329" s="68" t="n">
        <f aca="false">BF325+BF326+BF328</f>
        <v>11829.7561079948</v>
      </c>
      <c r="BG329" s="68" t="n">
        <f aca="false">BG325+BG326+BG328</f>
        <v>11838.6436079948</v>
      </c>
      <c r="BH329" s="68" t="n">
        <f aca="false">BH325+BH326+BH328</f>
        <v>11847.5311079948</v>
      </c>
      <c r="BI329" s="68" t="n">
        <f aca="false">BI325+BI326+BI328</f>
        <v>11856.4186079948</v>
      </c>
      <c r="BJ329" s="68" t="n">
        <f aca="false">BJ325+BJ326+BJ328</f>
        <v>7270.16158208154</v>
      </c>
    </row>
    <row r="330" customFormat="false" ht="15" hidden="false" customHeight="false" outlineLevel="0" collapsed="false">
      <c r="A330" s="6" t="s">
        <v>345</v>
      </c>
      <c r="C330" s="67" t="n">
        <f aca="false">0</f>
        <v>0</v>
      </c>
      <c r="D330" s="67" t="n">
        <f aca="false">C331</f>
        <v>47156.4875733334</v>
      </c>
      <c r="E330" s="67" t="n">
        <f aca="false">D331</f>
        <v>43192.08548</v>
      </c>
      <c r="F330" s="67" t="n">
        <f aca="false">E331</f>
        <v>44212.0595822222</v>
      </c>
      <c r="G330" s="67" t="n">
        <f aca="false">F331</f>
        <v>47675.3245466667</v>
      </c>
      <c r="H330" s="67" t="n">
        <f aca="false">G331</f>
        <v>53141.5129297778</v>
      </c>
      <c r="I330" s="67" t="n">
        <f aca="false">H331</f>
        <v>57774.0063197778</v>
      </c>
      <c r="J330" s="67" t="n">
        <f aca="false">I331</f>
        <v>62415.3872097778</v>
      </c>
      <c r="K330" s="67" t="n">
        <f aca="false">J331</f>
        <v>67065.6555997778</v>
      </c>
      <c r="L330" s="67" t="n">
        <f aca="false">K331</f>
        <v>71724.8114897778</v>
      </c>
      <c r="M330" s="67" t="n">
        <f aca="false">L331</f>
        <v>76392.8548797778</v>
      </c>
      <c r="N330" s="67" t="n">
        <f aca="false">M331</f>
        <v>81069.7857697778</v>
      </c>
      <c r="O330" s="67" t="n">
        <f aca="false">N331</f>
        <v>82563.6747553334</v>
      </c>
      <c r="P330" s="67" t="n">
        <f aca="false">O331</f>
        <v>82126.7498694934</v>
      </c>
      <c r="Q330" s="67" t="n">
        <f aca="false">P331</f>
        <v>84336.7145081867</v>
      </c>
      <c r="R330" s="67" t="n">
        <f aca="false">Q331</f>
        <v>90052.8621469334</v>
      </c>
      <c r="S330" s="67" t="n">
        <f aca="false">R331</f>
        <v>96191.8432227467</v>
      </c>
      <c r="T330" s="67" t="n">
        <f aca="false">S331</f>
        <v>102339.71179856</v>
      </c>
      <c r="U330" s="67" t="n">
        <f aca="false">T331</f>
        <v>108496.467874373</v>
      </c>
      <c r="V330" s="67" t="n">
        <f aca="false">U331</f>
        <v>114662.111450187</v>
      </c>
      <c r="W330" s="67" t="n">
        <f aca="false">V331</f>
        <v>120836.642526</v>
      </c>
      <c r="X330" s="67" t="n">
        <f aca="false">W331</f>
        <v>127020.061101813</v>
      </c>
      <c r="Y330" s="67" t="n">
        <f aca="false">X331</f>
        <v>133212.367177627</v>
      </c>
      <c r="Z330" s="67" t="n">
        <f aca="false">Y331</f>
        <v>139413.56075344</v>
      </c>
      <c r="AA330" s="67" t="n">
        <f aca="false">Z331</f>
        <v>142126.3463292</v>
      </c>
      <c r="AB330" s="67" t="n">
        <f aca="false">AA331</f>
        <v>142994.312532933</v>
      </c>
      <c r="AC330" s="67" t="n">
        <f aca="false">AB331</f>
        <v>146523.753755297</v>
      </c>
      <c r="AD330" s="67" t="n">
        <f aca="false">AC331</f>
        <v>153893.235744496</v>
      </c>
      <c r="AE330" s="67" t="n">
        <f aca="false">AD331</f>
        <v>161724.083087933</v>
      </c>
      <c r="AF330" s="67" t="n">
        <f aca="false">AE331</f>
        <v>169563.817931369</v>
      </c>
      <c r="AG330" s="67" t="n">
        <f aca="false">AF331</f>
        <v>177412.440274806</v>
      </c>
      <c r="AH330" s="67" t="n">
        <f aca="false">AG331</f>
        <v>185269.950118242</v>
      </c>
      <c r="AI330" s="67" t="n">
        <f aca="false">AH331</f>
        <v>193136.347461679</v>
      </c>
      <c r="AJ330" s="67" t="n">
        <f aca="false">AI331</f>
        <v>201011.632305115</v>
      </c>
      <c r="AK330" s="67" t="n">
        <f aca="false">AJ331</f>
        <v>208895.804648552</v>
      </c>
      <c r="AL330" s="67" t="n">
        <f aca="false">AK331</f>
        <v>216788.864491988</v>
      </c>
      <c r="AM330" s="67" t="n">
        <f aca="false">AL331</f>
        <v>220859.658568589</v>
      </c>
      <c r="AN330" s="67" t="n">
        <f aca="false">AM331</f>
        <v>223182.470576569</v>
      </c>
      <c r="AO330" s="67" t="n">
        <f aca="false">AN331</f>
        <v>228182.954741367</v>
      </c>
      <c r="AP330" s="67" t="n">
        <f aca="false">AO331</f>
        <v>237388.468321731</v>
      </c>
      <c r="AQ330" s="67" t="n">
        <f aca="false">AP331</f>
        <v>247097.458337818</v>
      </c>
      <c r="AR330" s="67" t="n">
        <f aca="false">AQ331</f>
        <v>256815.335853904</v>
      </c>
      <c r="AS330" s="67" t="n">
        <f aca="false">AR331</f>
        <v>266542.100869991</v>
      </c>
      <c r="AT330" s="67" t="n">
        <f aca="false">AS331</f>
        <v>276277.753386077</v>
      </c>
      <c r="AU330" s="67" t="n">
        <f aca="false">AT331</f>
        <v>286022.293402163</v>
      </c>
      <c r="AV330" s="67" t="n">
        <f aca="false">AU331</f>
        <v>295775.72091825</v>
      </c>
      <c r="AW330" s="67" t="n">
        <f aca="false">AV331</f>
        <v>305538.035934336</v>
      </c>
      <c r="AX330" s="67" t="n">
        <f aca="false">AW331</f>
        <v>315309.238450423</v>
      </c>
      <c r="AY330" s="67" t="n">
        <f aca="false">AX331</f>
        <v>320893.186550943</v>
      </c>
      <c r="AZ330" s="67" t="n">
        <f aca="false">AY331</f>
        <v>324838.193959671</v>
      </c>
      <c r="BA330" s="67" t="n">
        <f aca="false">AZ331</f>
        <v>331478.869467232</v>
      </c>
      <c r="BB330" s="67" t="n">
        <f aca="false">BA331</f>
        <v>342723.577000707</v>
      </c>
      <c r="BC330" s="67" t="n">
        <f aca="false">BB331</f>
        <v>354517.783108702</v>
      </c>
      <c r="BD330" s="67" t="n">
        <f aca="false">BC331</f>
        <v>366320.876716697</v>
      </c>
      <c r="BE330" s="67" t="n">
        <f aca="false">BD331</f>
        <v>378132.857824691</v>
      </c>
      <c r="BF330" s="67" t="n">
        <f aca="false">BE331</f>
        <v>389953.726432686</v>
      </c>
      <c r="BG330" s="67" t="n">
        <f aca="false">BF331</f>
        <v>401783.482540681</v>
      </c>
      <c r="BH330" s="67" t="n">
        <f aca="false">BG331</f>
        <v>413622.126148676</v>
      </c>
      <c r="BI330" s="67" t="n">
        <f aca="false">BH331</f>
        <v>425469.65725667</v>
      </c>
      <c r="BJ330" s="67" t="n">
        <f aca="false">BI331</f>
        <v>437326.075864665</v>
      </c>
    </row>
    <row r="331" customFormat="false" ht="15" hidden="false" customHeight="false" outlineLevel="0" collapsed="false">
      <c r="A331" s="113" t="s">
        <v>87</v>
      </c>
      <c r="C331" s="68" t="n">
        <f aca="false">C330+C329</f>
        <v>47156.4875733334</v>
      </c>
      <c r="D331" s="68" t="n">
        <f aca="false">D330+D329</f>
        <v>43192.08548</v>
      </c>
      <c r="E331" s="68" t="n">
        <f aca="false">E330+E329</f>
        <v>44212.0595822222</v>
      </c>
      <c r="F331" s="68" t="n">
        <f aca="false">F330+F329</f>
        <v>47675.3245466667</v>
      </c>
      <c r="G331" s="68" t="n">
        <f aca="false">G330+G329</f>
        <v>53141.5129297778</v>
      </c>
      <c r="H331" s="68" t="n">
        <f aca="false">H330+H329</f>
        <v>57774.0063197778</v>
      </c>
      <c r="I331" s="68" t="n">
        <f aca="false">I330+I329</f>
        <v>62415.3872097778</v>
      </c>
      <c r="J331" s="68" t="n">
        <f aca="false">J330+J329</f>
        <v>67065.6555997778</v>
      </c>
      <c r="K331" s="68" t="n">
        <f aca="false">K330+K329</f>
        <v>71724.8114897778</v>
      </c>
      <c r="L331" s="68" t="n">
        <f aca="false">L330+L329</f>
        <v>76392.8548797778</v>
      </c>
      <c r="M331" s="68" t="n">
        <f aca="false">M330+M329</f>
        <v>81069.7857697778</v>
      </c>
      <c r="N331" s="68" t="n">
        <f aca="false">N330+N329</f>
        <v>82563.6747553334</v>
      </c>
      <c r="O331" s="68" t="n">
        <f aca="false">O330+O329</f>
        <v>82126.7498694934</v>
      </c>
      <c r="P331" s="68" t="n">
        <f aca="false">P330+P329</f>
        <v>84336.7145081867</v>
      </c>
      <c r="Q331" s="68" t="n">
        <f aca="false">Q330+Q329</f>
        <v>90052.8621469334</v>
      </c>
      <c r="R331" s="68" t="n">
        <f aca="false">R330+R329</f>
        <v>96191.8432227467</v>
      </c>
      <c r="S331" s="68" t="n">
        <f aca="false">S330+S329</f>
        <v>102339.71179856</v>
      </c>
      <c r="T331" s="68" t="n">
        <f aca="false">T330+T329</f>
        <v>108496.467874373</v>
      </c>
      <c r="U331" s="68" t="n">
        <f aca="false">U330+U329</f>
        <v>114662.111450187</v>
      </c>
      <c r="V331" s="68" t="n">
        <f aca="false">V330+V329</f>
        <v>120836.642526</v>
      </c>
      <c r="W331" s="68" t="n">
        <f aca="false">W330+W329</f>
        <v>127020.061101813</v>
      </c>
      <c r="X331" s="68" t="n">
        <f aca="false">X330+X329</f>
        <v>133212.367177627</v>
      </c>
      <c r="Y331" s="68" t="n">
        <f aca="false">Y330+Y329</f>
        <v>139413.56075344</v>
      </c>
      <c r="Z331" s="68" t="n">
        <f aca="false">Z330+Z329</f>
        <v>142126.3463292</v>
      </c>
      <c r="AA331" s="68" t="n">
        <f aca="false">AA330+AA329</f>
        <v>142994.312532933</v>
      </c>
      <c r="AB331" s="68" t="n">
        <f aca="false">AB330+AB329</f>
        <v>146523.753755297</v>
      </c>
      <c r="AC331" s="68" t="n">
        <f aca="false">AC330+AC329</f>
        <v>153893.235744496</v>
      </c>
      <c r="AD331" s="68" t="n">
        <f aca="false">AD330+AD329</f>
        <v>161724.083087933</v>
      </c>
      <c r="AE331" s="68" t="n">
        <f aca="false">AE330+AE329</f>
        <v>169563.817931369</v>
      </c>
      <c r="AF331" s="68" t="n">
        <f aca="false">AF330+AF329</f>
        <v>177412.440274806</v>
      </c>
      <c r="AG331" s="68" t="n">
        <f aca="false">AG330+AG329</f>
        <v>185269.950118242</v>
      </c>
      <c r="AH331" s="68" t="n">
        <f aca="false">AH330+AH329</f>
        <v>193136.347461679</v>
      </c>
      <c r="AI331" s="68" t="n">
        <f aca="false">AI330+AI329</f>
        <v>201011.632305115</v>
      </c>
      <c r="AJ331" s="68" t="n">
        <f aca="false">AJ330+AJ329</f>
        <v>208895.804648552</v>
      </c>
      <c r="AK331" s="68" t="n">
        <f aca="false">AK330+AK329</f>
        <v>216788.864491988</v>
      </c>
      <c r="AL331" s="68" t="n">
        <f aca="false">AL330+AL329</f>
        <v>220859.658568589</v>
      </c>
      <c r="AM331" s="68" t="n">
        <f aca="false">AM330+AM329</f>
        <v>223182.470576569</v>
      </c>
      <c r="AN331" s="68" t="n">
        <f aca="false">AN330+AN329</f>
        <v>228182.954741367</v>
      </c>
      <c r="AO331" s="68" t="n">
        <f aca="false">AO330+AO329</f>
        <v>237388.468321731</v>
      </c>
      <c r="AP331" s="68" t="n">
        <f aca="false">AP330+AP329</f>
        <v>247097.458337818</v>
      </c>
      <c r="AQ331" s="68" t="n">
        <f aca="false">AQ330+AQ329</f>
        <v>256815.335853904</v>
      </c>
      <c r="AR331" s="68" t="n">
        <f aca="false">AR330+AR329</f>
        <v>266542.100869991</v>
      </c>
      <c r="AS331" s="68" t="n">
        <f aca="false">AS330+AS329</f>
        <v>276277.753386077</v>
      </c>
      <c r="AT331" s="68" t="n">
        <f aca="false">AT330+AT329</f>
        <v>286022.293402163</v>
      </c>
      <c r="AU331" s="68" t="n">
        <f aca="false">AU330+AU329</f>
        <v>295775.72091825</v>
      </c>
      <c r="AV331" s="68" t="n">
        <f aca="false">AV330+AV329</f>
        <v>305538.035934336</v>
      </c>
      <c r="AW331" s="68" t="n">
        <f aca="false">AW330+AW329</f>
        <v>315309.238450423</v>
      </c>
      <c r="AX331" s="68" t="n">
        <f aca="false">AX330+AX329</f>
        <v>320893.186550943</v>
      </c>
      <c r="AY331" s="68" t="n">
        <f aca="false">AY330+AY329</f>
        <v>324838.193959671</v>
      </c>
      <c r="AZ331" s="68" t="n">
        <f aca="false">AZ330+AZ329</f>
        <v>331478.869467232</v>
      </c>
      <c r="BA331" s="68" t="n">
        <f aca="false">BA330+BA329</f>
        <v>342723.577000707</v>
      </c>
      <c r="BB331" s="68" t="n">
        <f aca="false">BB330+BB329</f>
        <v>354517.783108702</v>
      </c>
      <c r="BC331" s="68" t="n">
        <f aca="false">BC330+BC329</f>
        <v>366320.876716697</v>
      </c>
      <c r="BD331" s="68" t="n">
        <f aca="false">BD330+BD329</f>
        <v>378132.857824691</v>
      </c>
      <c r="BE331" s="68" t="n">
        <f aca="false">BE330+BE329</f>
        <v>389953.726432686</v>
      </c>
      <c r="BF331" s="68" t="n">
        <f aca="false">BF330+BF329</f>
        <v>401783.482540681</v>
      </c>
      <c r="BG331" s="68" t="n">
        <f aca="false">BG330+BG329</f>
        <v>413622.126148676</v>
      </c>
      <c r="BH331" s="68" t="n">
        <f aca="false">BH330+BH329</f>
        <v>425469.65725667</v>
      </c>
      <c r="BI331" s="68" t="n">
        <f aca="false">BI330+BI329</f>
        <v>437326.075864665</v>
      </c>
      <c r="BJ331" s="68" t="n">
        <f aca="false">BJ330+BJ329</f>
        <v>444596.237446747</v>
      </c>
    </row>
    <row r="332" customFormat="false" ht="15" hidden="false" customHeight="false" outlineLevel="0" collapsed="false">
      <c r="A332" s="117" t="s">
        <v>445</v>
      </c>
      <c r="C332" s="116" t="n">
        <f aca="false">IF(C288&gt;0,1,0)</f>
        <v>0</v>
      </c>
      <c r="D332" s="116" t="n">
        <f aca="false">IF(D288&gt;0,1,0)</f>
        <v>0</v>
      </c>
      <c r="E332" s="116" t="n">
        <f aca="false">IF(E288&gt;0,1,0)</f>
        <v>1</v>
      </c>
      <c r="F332" s="116" t="n">
        <f aca="false">IF(F288&gt;0,1,0)</f>
        <v>1</v>
      </c>
      <c r="G332" s="116" t="n">
        <f aca="false">IF(G288&gt;0,1,0)</f>
        <v>1</v>
      </c>
      <c r="H332" s="116" t="n">
        <f aca="false">IF(H288&gt;0,1,0)</f>
        <v>1</v>
      </c>
      <c r="I332" s="116" t="n">
        <f aca="false">IF(I288&gt;0,1,0)</f>
        <v>1</v>
      </c>
      <c r="J332" s="116" t="n">
        <f aca="false">IF(J288&gt;0,1,0)</f>
        <v>1</v>
      </c>
      <c r="K332" s="116" t="n">
        <f aca="false">IF(K288&gt;0,1,0)</f>
        <v>1</v>
      </c>
      <c r="L332" s="116" t="n">
        <f aca="false">IF(L288&gt;0,1,0)</f>
        <v>1</v>
      </c>
      <c r="M332" s="116" t="n">
        <f aca="false">IF(M288&gt;0,1,0)</f>
        <v>1</v>
      </c>
      <c r="N332" s="116" t="n">
        <f aca="false">IF(N288&gt;0,1,0)</f>
        <v>1</v>
      </c>
      <c r="O332" s="116" t="n">
        <f aca="false">IF(O288&gt;0,1,0)</f>
        <v>1</v>
      </c>
      <c r="P332" s="116" t="n">
        <f aca="false">IF(P288&gt;0,1,0)</f>
        <v>1</v>
      </c>
      <c r="Q332" s="116" t="n">
        <f aca="false">IF(Q288&gt;0,1,0)</f>
        <v>1</v>
      </c>
      <c r="R332" s="116" t="n">
        <f aca="false">IF(R288&gt;0,1,0)</f>
        <v>1</v>
      </c>
      <c r="S332" s="116" t="n">
        <f aca="false">IF(S288&gt;0,1,0)</f>
        <v>1</v>
      </c>
      <c r="T332" s="116" t="n">
        <f aca="false">IF(T288&gt;0,1,0)</f>
        <v>1</v>
      </c>
      <c r="U332" s="116" t="n">
        <f aca="false">IF(U288&gt;0,1,0)</f>
        <v>1</v>
      </c>
      <c r="V332" s="116" t="n">
        <f aca="false">IF(V288&gt;0,1,0)</f>
        <v>1</v>
      </c>
      <c r="W332" s="116" t="n">
        <f aca="false">IF(W288&gt;0,1,0)</f>
        <v>1</v>
      </c>
      <c r="X332" s="116" t="n">
        <f aca="false">IF(X288&gt;0,1,0)</f>
        <v>1</v>
      </c>
      <c r="Y332" s="116" t="n">
        <f aca="false">IF(Y288&gt;0,1,0)</f>
        <v>1</v>
      </c>
      <c r="Z332" s="116" t="n">
        <f aca="false">IF(Z288&gt;0,1,0)</f>
        <v>1</v>
      </c>
      <c r="AA332" s="116" t="n">
        <f aca="false">IF(AA288&gt;0,1,0)</f>
        <v>1</v>
      </c>
      <c r="AB332" s="116" t="n">
        <f aca="false">IF(AB288&gt;0,1,0)</f>
        <v>1</v>
      </c>
      <c r="AC332" s="116" t="n">
        <f aca="false">IF(AC288&gt;0,1,0)</f>
        <v>1</v>
      </c>
      <c r="AD332" s="116" t="n">
        <f aca="false">IF(AD288&gt;0,1,0)</f>
        <v>1</v>
      </c>
      <c r="AE332" s="116" t="n">
        <f aca="false">IF(AE288&gt;0,1,0)</f>
        <v>1</v>
      </c>
      <c r="AF332" s="116" t="n">
        <f aca="false">IF(AF288&gt;0,1,0)</f>
        <v>1</v>
      </c>
      <c r="AG332" s="116" t="n">
        <f aca="false">IF(AG288&gt;0,1,0)</f>
        <v>1</v>
      </c>
      <c r="AH332" s="116" t="n">
        <f aca="false">IF(AH288&gt;0,1,0)</f>
        <v>1</v>
      </c>
      <c r="AI332" s="116" t="n">
        <f aca="false">IF(AI288&gt;0,1,0)</f>
        <v>1</v>
      </c>
      <c r="AJ332" s="116" t="n">
        <f aca="false">IF(AJ288&gt;0,1,0)</f>
        <v>1</v>
      </c>
      <c r="AK332" s="116" t="n">
        <f aca="false">IF(AK288&gt;0,1,0)</f>
        <v>1</v>
      </c>
      <c r="AL332" s="116" t="n">
        <f aca="false">IF(AL288&gt;0,1,0)</f>
        <v>1</v>
      </c>
      <c r="AM332" s="116" t="n">
        <f aca="false">IF(AM288&gt;0,1,0)</f>
        <v>1</v>
      </c>
      <c r="AN332" s="116" t="n">
        <f aca="false">IF(AN288&gt;0,1,0)</f>
        <v>1</v>
      </c>
      <c r="AO332" s="116" t="n">
        <f aca="false">IF(AO288&gt;0,1,0)</f>
        <v>1</v>
      </c>
      <c r="AP332" s="116" t="n">
        <f aca="false">IF(AP288&gt;0,1,0)</f>
        <v>1</v>
      </c>
      <c r="AQ332" s="116" t="n">
        <f aca="false">IF(AQ288&gt;0,1,0)</f>
        <v>1</v>
      </c>
      <c r="AR332" s="116" t="n">
        <f aca="false">IF(AR288&gt;0,1,0)</f>
        <v>1</v>
      </c>
      <c r="AS332" s="116" t="n">
        <f aca="false">IF(AS288&gt;0,1,0)</f>
        <v>1</v>
      </c>
      <c r="AT332" s="116" t="n">
        <f aca="false">IF(AT288&gt;0,1,0)</f>
        <v>1</v>
      </c>
      <c r="AU332" s="116" t="n">
        <f aca="false">IF(AU288&gt;0,1,0)</f>
        <v>1</v>
      </c>
      <c r="AV332" s="116" t="n">
        <f aca="false">IF(AV288&gt;0,1,0)</f>
        <v>1</v>
      </c>
      <c r="AW332" s="116" t="n">
        <f aca="false">IF(AW288&gt;0,1,0)</f>
        <v>1</v>
      </c>
      <c r="AX332" s="116" t="n">
        <f aca="false">IF(AX288&gt;0,1,0)</f>
        <v>1</v>
      </c>
      <c r="AY332" s="116" t="n">
        <f aca="false">IF(AY288&gt;0,1,0)</f>
        <v>1</v>
      </c>
      <c r="AZ332" s="116" t="n">
        <f aca="false">IF(AZ288&gt;0,1,0)</f>
        <v>1</v>
      </c>
      <c r="BA332" s="116" t="n">
        <f aca="false">IF(BA288&gt;0,1,0)</f>
        <v>1</v>
      </c>
      <c r="BB332" s="116" t="n">
        <f aca="false">IF(BB288&gt;0,1,0)</f>
        <v>1</v>
      </c>
      <c r="BC332" s="116" t="n">
        <f aca="false">IF(BC288&gt;0,1,0)</f>
        <v>1</v>
      </c>
      <c r="BD332" s="116" t="n">
        <f aca="false">IF(BD288&gt;0,1,0)</f>
        <v>1</v>
      </c>
      <c r="BE332" s="116" t="n">
        <f aca="false">IF(BE288&gt;0,1,0)</f>
        <v>1</v>
      </c>
      <c r="BF332" s="116" t="n">
        <f aca="false">IF(BF288&gt;0,1,0)</f>
        <v>1</v>
      </c>
      <c r="BG332" s="116" t="n">
        <f aca="false">IF(BG288&gt;0,1,0)</f>
        <v>1</v>
      </c>
      <c r="BH332" s="116" t="n">
        <f aca="false">IF(BH288&gt;0,1,0)</f>
        <v>1</v>
      </c>
      <c r="BI332" s="116" t="n">
        <f aca="false">IF(BI288&gt;0,1,0)</f>
        <v>1</v>
      </c>
      <c r="BJ332" s="116" t="n">
        <f aca="false">IF(BJ288&gt;0,1,0)</f>
        <v>1</v>
      </c>
    </row>
    <row r="334" customFormat="false" ht="15.75" hidden="false" customHeight="true" outlineLevel="0" collapsed="false">
      <c r="A334" s="7" t="s">
        <v>446</v>
      </c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</row>
    <row r="335" customFormat="false" ht="15" hidden="false" customHeight="false" outlineLevel="0" collapsed="false">
      <c r="A335" s="117" t="s">
        <v>447</v>
      </c>
      <c r="C335" s="116" t="n">
        <f aca="false">IF(C297&gt;0,1,0)</f>
        <v>0</v>
      </c>
      <c r="D335" s="116" t="n">
        <f aca="false">IF(D297&gt;0,1,0)</f>
        <v>0</v>
      </c>
      <c r="E335" s="116" t="n">
        <f aca="false">IF(E297&gt;0,1,0)</f>
        <v>1</v>
      </c>
      <c r="F335" s="116" t="n">
        <f aca="false">IF(F297&gt;0,1,0)</f>
        <v>1</v>
      </c>
      <c r="G335" s="116" t="n">
        <f aca="false">IF(G297&gt;0,1,0)</f>
        <v>1</v>
      </c>
      <c r="H335" s="116" t="n">
        <f aca="false">IF(H297&gt;0,1,0)</f>
        <v>1</v>
      </c>
      <c r="I335" s="116" t="n">
        <f aca="false">IF(I297&gt;0,1,0)</f>
        <v>1</v>
      </c>
      <c r="J335" s="116" t="n">
        <f aca="false">IF(J297&gt;0,1,0)</f>
        <v>1</v>
      </c>
      <c r="K335" s="116" t="n">
        <f aca="false">IF(K297&gt;0,1,0)</f>
        <v>1</v>
      </c>
      <c r="L335" s="116" t="n">
        <f aca="false">IF(L297&gt;0,1,0)</f>
        <v>1</v>
      </c>
      <c r="M335" s="116" t="n">
        <f aca="false">IF(M297&gt;0,1,0)</f>
        <v>1</v>
      </c>
      <c r="N335" s="116" t="n">
        <f aca="false">IF(N297&gt;0,1,0)</f>
        <v>1</v>
      </c>
      <c r="O335" s="116" t="n">
        <f aca="false">IF(O297&gt;0,1,0)</f>
        <v>1</v>
      </c>
      <c r="P335" s="116" t="n">
        <f aca="false">IF(P297&gt;0,1,0)</f>
        <v>1</v>
      </c>
      <c r="Q335" s="116" t="n">
        <f aca="false">IF(Q297&gt;0,1,0)</f>
        <v>1</v>
      </c>
      <c r="R335" s="116" t="n">
        <f aca="false">IF(R297&gt;0,1,0)</f>
        <v>1</v>
      </c>
      <c r="S335" s="116" t="n">
        <f aca="false">IF(S297&gt;0,1,0)</f>
        <v>1</v>
      </c>
      <c r="T335" s="116" t="n">
        <f aca="false">IF(T297&gt;0,1,0)</f>
        <v>1</v>
      </c>
      <c r="U335" s="116" t="n">
        <f aca="false">IF(U297&gt;0,1,0)</f>
        <v>1</v>
      </c>
      <c r="V335" s="116" t="n">
        <f aca="false">IF(V297&gt;0,1,0)</f>
        <v>1</v>
      </c>
      <c r="W335" s="116" t="n">
        <f aca="false">IF(W297&gt;0,1,0)</f>
        <v>1</v>
      </c>
      <c r="X335" s="116" t="n">
        <f aca="false">IF(X297&gt;0,1,0)</f>
        <v>1</v>
      </c>
      <c r="Y335" s="116" t="n">
        <f aca="false">IF(Y297&gt;0,1,0)</f>
        <v>1</v>
      </c>
      <c r="Z335" s="116" t="n">
        <f aca="false">IF(Z297&gt;0,1,0)</f>
        <v>1</v>
      </c>
      <c r="AA335" s="116" t="n">
        <f aca="false">IF(AA297&gt;0,1,0)</f>
        <v>1</v>
      </c>
      <c r="AB335" s="116" t="n">
        <f aca="false">IF(AB297&gt;0,1,0)</f>
        <v>1</v>
      </c>
      <c r="AC335" s="116" t="n">
        <f aca="false">IF(AC297&gt;0,1,0)</f>
        <v>1</v>
      </c>
      <c r="AD335" s="116" t="n">
        <f aca="false">IF(AD297&gt;0,1,0)</f>
        <v>1</v>
      </c>
      <c r="AE335" s="116" t="n">
        <f aca="false">IF(AE297&gt;0,1,0)</f>
        <v>1</v>
      </c>
      <c r="AF335" s="116" t="n">
        <f aca="false">IF(AF297&gt;0,1,0)</f>
        <v>1</v>
      </c>
      <c r="AG335" s="116" t="n">
        <f aca="false">IF(AG297&gt;0,1,0)</f>
        <v>1</v>
      </c>
      <c r="AH335" s="116" t="n">
        <f aca="false">IF(AH297&gt;0,1,0)</f>
        <v>1</v>
      </c>
      <c r="AI335" s="116" t="n">
        <f aca="false">IF(AI297&gt;0,1,0)</f>
        <v>1</v>
      </c>
      <c r="AJ335" s="116" t="n">
        <f aca="false">IF(AJ297&gt;0,1,0)</f>
        <v>1</v>
      </c>
      <c r="AK335" s="116" t="n">
        <f aca="false">IF(AK297&gt;0,1,0)</f>
        <v>1</v>
      </c>
      <c r="AL335" s="116" t="n">
        <f aca="false">IF(AL297&gt;0,1,0)</f>
        <v>1</v>
      </c>
      <c r="AM335" s="116" t="n">
        <f aca="false">IF(AM297&gt;0,1,0)</f>
        <v>1</v>
      </c>
      <c r="AN335" s="116" t="n">
        <f aca="false">IF(AN297&gt;0,1,0)</f>
        <v>1</v>
      </c>
      <c r="AO335" s="116" t="n">
        <f aca="false">IF(AO297&gt;0,1,0)</f>
        <v>1</v>
      </c>
      <c r="AP335" s="116" t="n">
        <f aca="false">IF(AP297&gt;0,1,0)</f>
        <v>1</v>
      </c>
      <c r="AQ335" s="116" t="n">
        <f aca="false">IF(AQ297&gt;0,1,0)</f>
        <v>1</v>
      </c>
      <c r="AR335" s="116" t="n">
        <f aca="false">IF(AR297&gt;0,1,0)</f>
        <v>1</v>
      </c>
      <c r="AS335" s="116" t="n">
        <f aca="false">IF(AS297&gt;0,1,0)</f>
        <v>1</v>
      </c>
      <c r="AT335" s="116" t="n">
        <f aca="false">IF(AT297&gt;0,1,0)</f>
        <v>1</v>
      </c>
      <c r="AU335" s="116" t="n">
        <f aca="false">IF(AU297&gt;0,1,0)</f>
        <v>1</v>
      </c>
      <c r="AV335" s="116" t="n">
        <f aca="false">IF(AV297&gt;0,1,0)</f>
        <v>1</v>
      </c>
      <c r="AW335" s="116" t="n">
        <f aca="false">IF(AW297&gt;0,1,0)</f>
        <v>1</v>
      </c>
      <c r="AX335" s="116" t="n">
        <f aca="false">IF(AX297&gt;0,1,0)</f>
        <v>1</v>
      </c>
      <c r="AY335" s="116" t="n">
        <f aca="false">IF(AY297&gt;0,1,0)</f>
        <v>1</v>
      </c>
      <c r="AZ335" s="116" t="n">
        <f aca="false">IF(AZ297&gt;0,1,0)</f>
        <v>1</v>
      </c>
      <c r="BA335" s="116" t="n">
        <f aca="false">IF(BA297&gt;0,1,0)</f>
        <v>1</v>
      </c>
      <c r="BB335" s="116" t="n">
        <f aca="false">IF(BB297&gt;0,1,0)</f>
        <v>1</v>
      </c>
      <c r="BC335" s="116" t="n">
        <f aca="false">IF(BC297&gt;0,1,0)</f>
        <v>1</v>
      </c>
      <c r="BD335" s="116" t="n">
        <f aca="false">IF(BD297&gt;0,1,0)</f>
        <v>1</v>
      </c>
      <c r="BE335" s="116" t="n">
        <f aca="false">IF(BE297&gt;0,1,0)</f>
        <v>1</v>
      </c>
      <c r="BF335" s="116" t="n">
        <f aca="false">IF(BF297&gt;0,1,0)</f>
        <v>1</v>
      </c>
      <c r="BG335" s="116" t="n">
        <f aca="false">IF(BG297&gt;0,1,0)</f>
        <v>1</v>
      </c>
      <c r="BH335" s="116" t="n">
        <f aca="false">IF(BH297&gt;0,1,0)</f>
        <v>1</v>
      </c>
      <c r="BI335" s="116" t="n">
        <f aca="false">IF(BI297&gt;0,1,0)</f>
        <v>1</v>
      </c>
      <c r="BJ335" s="116" t="n">
        <f aca="false">IF(BJ297&gt;0,1,0)</f>
        <v>1</v>
      </c>
    </row>
    <row r="336" customFormat="false" ht="15" hidden="false" customHeight="false" outlineLevel="0" collapsed="false">
      <c r="A336" s="6" t="s">
        <v>448</v>
      </c>
      <c r="C336" s="67" t="n">
        <f aca="false">C325+C326</f>
        <v>-142843.512426667</v>
      </c>
      <c r="D336" s="67" t="n">
        <f aca="false">D325+D326</f>
        <v>-2464.40209333333</v>
      </c>
      <c r="E336" s="67" t="n">
        <f aca="false">E325+E326</f>
        <v>2519.97410222222</v>
      </c>
      <c r="F336" s="67" t="n">
        <f aca="false">F325+F326</f>
        <v>4963.26496444444</v>
      </c>
      <c r="G336" s="67" t="n">
        <f aca="false">G325+G326</f>
        <v>6966.18838311111</v>
      </c>
      <c r="H336" s="67" t="n">
        <f aca="false">H325+H326</f>
        <v>6132.49339</v>
      </c>
      <c r="I336" s="67" t="n">
        <f aca="false">I325+I326</f>
        <v>6141.38089</v>
      </c>
      <c r="J336" s="67" t="n">
        <f aca="false">J325+J326</f>
        <v>6150.26839</v>
      </c>
      <c r="K336" s="67" t="n">
        <f aca="false">K325+K326</f>
        <v>6159.15589</v>
      </c>
      <c r="L336" s="67" t="n">
        <f aca="false">L325+L326</f>
        <v>6168.04339</v>
      </c>
      <c r="M336" s="67" t="n">
        <f aca="false">M325+M326</f>
        <v>6176.93089</v>
      </c>
      <c r="N336" s="67" t="n">
        <f aca="false">N325+N326</f>
        <v>2993.88898555556</v>
      </c>
      <c r="O336" s="67" t="n">
        <f aca="false">O325+O326</f>
        <v>1063.07511416</v>
      </c>
      <c r="P336" s="67" t="n">
        <f aca="false">P325+P326</f>
        <v>3709.96463869334</v>
      </c>
      <c r="Q336" s="67" t="n">
        <f aca="false">Q325+Q326</f>
        <v>7216.14763874667</v>
      </c>
      <c r="R336" s="67" t="n">
        <f aca="false">R325+R326</f>
        <v>7638.98107581334</v>
      </c>
      <c r="S336" s="67" t="n">
        <f aca="false">S325+S326</f>
        <v>7647.86857581334</v>
      </c>
      <c r="T336" s="67" t="n">
        <f aca="false">T325+T326</f>
        <v>7656.75607581334</v>
      </c>
      <c r="U336" s="67" t="n">
        <f aca="false">U325+U326</f>
        <v>7665.64357581334</v>
      </c>
      <c r="V336" s="67" t="n">
        <f aca="false">V325+V326</f>
        <v>7674.53107581334</v>
      </c>
      <c r="W336" s="67" t="n">
        <f aca="false">W325+W326</f>
        <v>7683.41857581334</v>
      </c>
      <c r="X336" s="67" t="n">
        <f aca="false">X325+X326</f>
        <v>7692.30607581334</v>
      </c>
      <c r="Y336" s="67" t="n">
        <f aca="false">Y325+Y326</f>
        <v>7701.19357581334</v>
      </c>
      <c r="Z336" s="67" t="n">
        <f aca="false">Z325+Z326</f>
        <v>4212.78557576001</v>
      </c>
      <c r="AA336" s="67" t="n">
        <f aca="false">AA325+AA326</f>
        <v>2367.96620373305</v>
      </c>
      <c r="AB336" s="67" t="n">
        <f aca="false">AB325+AB326</f>
        <v>5029.44122236345</v>
      </c>
      <c r="AC336" s="67" t="n">
        <f aca="false">AC325+AC326</f>
        <v>8869.48198919969</v>
      </c>
      <c r="AD336" s="67" t="n">
        <f aca="false">AD325+AD326</f>
        <v>9330.84734343649</v>
      </c>
      <c r="AE336" s="67" t="n">
        <f aca="false">AE325+AE326</f>
        <v>9339.73484343649</v>
      </c>
      <c r="AF336" s="67" t="n">
        <f aca="false">AF325+AF326</f>
        <v>9348.6223434365</v>
      </c>
      <c r="AG336" s="67" t="n">
        <f aca="false">AG325+AG326</f>
        <v>9357.5098434365</v>
      </c>
      <c r="AH336" s="67" t="n">
        <f aca="false">AH325+AH326</f>
        <v>9366.39734343649</v>
      </c>
      <c r="AI336" s="67" t="n">
        <f aca="false">AI325+AI326</f>
        <v>9375.28484343649</v>
      </c>
      <c r="AJ336" s="67" t="n">
        <f aca="false">AJ325+AJ326</f>
        <v>9384.17234343649</v>
      </c>
      <c r="AK336" s="67" t="n">
        <f aca="false">AK325+AK326</f>
        <v>9393.0598434365</v>
      </c>
      <c r="AL336" s="67" t="n">
        <f aca="false">AL325+AL326</f>
        <v>5570.79407660025</v>
      </c>
      <c r="AM336" s="67" t="n">
        <f aca="false">AM325+AM326</f>
        <v>3822.81200798093</v>
      </c>
      <c r="AN336" s="67" t="n">
        <f aca="false">AN325+AN326</f>
        <v>6500.48416479766</v>
      </c>
      <c r="AO336" s="67" t="n">
        <f aca="false">AO325+AO326</f>
        <v>10705.5135803642</v>
      </c>
      <c r="AP336" s="67" t="n">
        <f aca="false">AP325+AP326</f>
        <v>11208.9900160864</v>
      </c>
      <c r="AQ336" s="67" t="n">
        <f aca="false">AQ325+AQ326</f>
        <v>11217.8775160864</v>
      </c>
      <c r="AR336" s="67" t="n">
        <f aca="false">AR325+AR326</f>
        <v>11226.7650160864</v>
      </c>
      <c r="AS336" s="67" t="n">
        <f aca="false">AS325+AS326</f>
        <v>11235.6525160864</v>
      </c>
      <c r="AT336" s="67" t="n">
        <f aca="false">AT325+AT326</f>
        <v>11244.5400160864</v>
      </c>
      <c r="AU336" s="67" t="n">
        <f aca="false">AU325+AU326</f>
        <v>11253.4275160864</v>
      </c>
      <c r="AV336" s="67" t="n">
        <f aca="false">AV325+AV326</f>
        <v>11262.3150160864</v>
      </c>
      <c r="AW336" s="67" t="n">
        <f aca="false">AW325+AW326</f>
        <v>11271.2025160864</v>
      </c>
      <c r="AX336" s="67" t="n">
        <f aca="false">AX325+AX326</f>
        <v>7083.94810051995</v>
      </c>
      <c r="AY336" s="67" t="n">
        <f aca="false">AY325+AY326</f>
        <v>5445.00740872849</v>
      </c>
      <c r="AZ336" s="67" t="n">
        <f aca="false">AZ325+AZ326</f>
        <v>8140.6755075613</v>
      </c>
      <c r="BA336" s="67" t="n">
        <f aca="false">BA325+BA326</f>
        <v>12744.7075334745</v>
      </c>
      <c r="BB336" s="67" t="n">
        <f aca="false">BB325+BB326</f>
        <v>13294.2061079948</v>
      </c>
      <c r="BC336" s="67" t="n">
        <f aca="false">BC325+BC326</f>
        <v>13303.0936079948</v>
      </c>
      <c r="BD336" s="67" t="n">
        <f aca="false">BD325+BD326</f>
        <v>13311.9811079948</v>
      </c>
      <c r="BE336" s="67" t="n">
        <f aca="false">BE325+BE326</f>
        <v>13320.8686079948</v>
      </c>
      <c r="BF336" s="67" t="n">
        <f aca="false">BF325+BF326</f>
        <v>13329.7561079948</v>
      </c>
      <c r="BG336" s="67" t="n">
        <f aca="false">BG325+BG326</f>
        <v>13338.6436079948</v>
      </c>
      <c r="BH336" s="67" t="n">
        <f aca="false">BH325+BH326</f>
        <v>13347.5311079948</v>
      </c>
      <c r="BI336" s="67" t="n">
        <f aca="false">BI325+BI326</f>
        <v>13356.4186079948</v>
      </c>
      <c r="BJ336" s="67" t="n">
        <f aca="false">BJ325+BJ326</f>
        <v>8770.16158208154</v>
      </c>
    </row>
    <row r="337" customFormat="false" ht="15" hidden="false" customHeight="false" outlineLevel="0" collapsed="false">
      <c r="A337" s="6" t="s">
        <v>449</v>
      </c>
      <c r="C337" s="67" t="n">
        <f aca="false">C336</f>
        <v>-142843.512426667</v>
      </c>
      <c r="D337" s="67" t="n">
        <f aca="false">C337+D336</f>
        <v>-145307.91452</v>
      </c>
      <c r="E337" s="67" t="n">
        <f aca="false">D337+E336</f>
        <v>-142787.940417778</v>
      </c>
      <c r="F337" s="67" t="n">
        <f aca="false">E337+F336</f>
        <v>-137824.675453333</v>
      </c>
      <c r="G337" s="67" t="n">
        <f aca="false">F337+G336</f>
        <v>-130858.487070222</v>
      </c>
      <c r="H337" s="67" t="n">
        <f aca="false">G337+H336</f>
        <v>-124725.993680222</v>
      </c>
      <c r="I337" s="67" t="n">
        <f aca="false">H337+I336</f>
        <v>-118584.612790222</v>
      </c>
      <c r="J337" s="67" t="n">
        <f aca="false">I337+J336</f>
        <v>-112434.344400222</v>
      </c>
      <c r="K337" s="67" t="n">
        <f aca="false">J337+K336</f>
        <v>-106275.188510222</v>
      </c>
      <c r="L337" s="67" t="n">
        <f aca="false">K337+L336</f>
        <v>-100107.145120222</v>
      </c>
      <c r="M337" s="67" t="n">
        <f aca="false">L337+M336</f>
        <v>-93930.2142302222</v>
      </c>
      <c r="N337" s="67" t="n">
        <f aca="false">M337+N336</f>
        <v>-90936.3252446666</v>
      </c>
      <c r="O337" s="67" t="n">
        <f aca="false">N337+O336</f>
        <v>-89873.2501305066</v>
      </c>
      <c r="P337" s="67" t="n">
        <f aca="false">O337+P336</f>
        <v>-86163.2854918133</v>
      </c>
      <c r="Q337" s="67" t="n">
        <f aca="false">P337+Q336</f>
        <v>-78947.1378530666</v>
      </c>
      <c r="R337" s="67" t="n">
        <f aca="false">Q337+R336</f>
        <v>-71308.1567772533</v>
      </c>
      <c r="S337" s="67" t="n">
        <f aca="false">R337+S336</f>
        <v>-63660.28820144</v>
      </c>
      <c r="T337" s="67" t="n">
        <f aca="false">S337+T336</f>
        <v>-56003.5321256266</v>
      </c>
      <c r="U337" s="67" t="n">
        <f aca="false">T337+U336</f>
        <v>-48337.8885498133</v>
      </c>
      <c r="V337" s="67" t="n">
        <f aca="false">U337+V336</f>
        <v>-40663.3574739999</v>
      </c>
      <c r="W337" s="67" t="n">
        <f aca="false">V337+W336</f>
        <v>-32979.9388981866</v>
      </c>
      <c r="X337" s="67" t="n">
        <f aca="false">W337+X336</f>
        <v>-25287.6328223733</v>
      </c>
      <c r="Y337" s="67" t="n">
        <f aca="false">X337+Y336</f>
        <v>-17586.4392465599</v>
      </c>
      <c r="Z337" s="67" t="n">
        <f aca="false">Y337+Z336</f>
        <v>-13373.6536707999</v>
      </c>
      <c r="AA337" s="67" t="n">
        <f aca="false">Z337+AA336</f>
        <v>-11005.6874670669</v>
      </c>
      <c r="AB337" s="67" t="n">
        <f aca="false">AA337+AB336</f>
        <v>-5976.24624470343</v>
      </c>
      <c r="AC337" s="67" t="n">
        <f aca="false">AB337+AC336</f>
        <v>2893.23574449627</v>
      </c>
      <c r="AD337" s="67" t="n">
        <f aca="false">AC337+AD336</f>
        <v>12224.0830879328</v>
      </c>
      <c r="AE337" s="67" t="n">
        <f aca="false">AD337+AE336</f>
        <v>21563.8179313693</v>
      </c>
      <c r="AF337" s="67" t="n">
        <f aca="false">AE337+AF336</f>
        <v>30912.4402748057</v>
      </c>
      <c r="AG337" s="67" t="n">
        <f aca="false">AF337+AG336</f>
        <v>40269.9501182422</v>
      </c>
      <c r="AH337" s="67" t="n">
        <f aca="false">AG337+AH336</f>
        <v>49636.3474616787</v>
      </c>
      <c r="AI337" s="67" t="n">
        <f aca="false">AH337+AI336</f>
        <v>59011.6323051152</v>
      </c>
      <c r="AJ337" s="67" t="n">
        <f aca="false">AI337+AJ336</f>
        <v>68395.8046485517</v>
      </c>
      <c r="AK337" s="67" t="n">
        <f aca="false">AJ337+AK336</f>
        <v>77788.8644919882</v>
      </c>
      <c r="AL337" s="67" t="n">
        <f aca="false">AK337+AL336</f>
        <v>83359.6585685885</v>
      </c>
      <c r="AM337" s="67" t="n">
        <f aca="false">AL337+AM336</f>
        <v>87182.4705765694</v>
      </c>
      <c r="AN337" s="67" t="n">
        <f aca="false">AM337+AN336</f>
        <v>93682.9547413671</v>
      </c>
      <c r="AO337" s="67" t="n">
        <f aca="false">AN337+AO336</f>
        <v>104388.468321731</v>
      </c>
      <c r="AP337" s="67" t="n">
        <f aca="false">AO337+AP336</f>
        <v>115597.458337818</v>
      </c>
      <c r="AQ337" s="67" t="n">
        <f aca="false">AP337+AQ336</f>
        <v>126815.335853904</v>
      </c>
      <c r="AR337" s="67" t="n">
        <f aca="false">AQ337+AR336</f>
        <v>138042.100869991</v>
      </c>
      <c r="AS337" s="67" t="n">
        <f aca="false">AR337+AS336</f>
        <v>149277.753386077</v>
      </c>
      <c r="AT337" s="67" t="n">
        <f aca="false">AS337+AT336</f>
        <v>160522.293402163</v>
      </c>
      <c r="AU337" s="67" t="n">
        <f aca="false">AT337+AU336</f>
        <v>171775.72091825</v>
      </c>
      <c r="AV337" s="67" t="n">
        <f aca="false">AU337+AV336</f>
        <v>183038.035934336</v>
      </c>
      <c r="AW337" s="67" t="n">
        <f aca="false">AV337+AW336</f>
        <v>194309.238450423</v>
      </c>
      <c r="AX337" s="67" t="n">
        <f aca="false">AW337+AX336</f>
        <v>201393.186550943</v>
      </c>
      <c r="AY337" s="67" t="n">
        <f aca="false">AX337+AY336</f>
        <v>206838.193959671</v>
      </c>
      <c r="AZ337" s="67" t="n">
        <f aca="false">AY337+AZ336</f>
        <v>214978.869467232</v>
      </c>
      <c r="BA337" s="67" t="n">
        <f aca="false">AZ337+BA336</f>
        <v>227723.577000707</v>
      </c>
      <c r="BB337" s="67" t="n">
        <f aca="false">BA337+BB336</f>
        <v>241017.783108702</v>
      </c>
      <c r="BC337" s="67" t="n">
        <f aca="false">BB337+BC336</f>
        <v>254320.876716697</v>
      </c>
      <c r="BD337" s="67" t="n">
        <f aca="false">BC337+BD336</f>
        <v>267632.857824691</v>
      </c>
      <c r="BE337" s="67" t="n">
        <f aca="false">BD337+BE336</f>
        <v>280953.726432686</v>
      </c>
      <c r="BF337" s="67" t="n">
        <f aca="false">BE337+BF336</f>
        <v>294283.482540681</v>
      </c>
      <c r="BG337" s="67" t="n">
        <f aca="false">BF337+BG336</f>
        <v>307622.126148676</v>
      </c>
      <c r="BH337" s="67" t="n">
        <f aca="false">BG337+BH336</f>
        <v>320969.65725667</v>
      </c>
      <c r="BI337" s="67" t="n">
        <f aca="false">BH337+BI336</f>
        <v>334326.075864665</v>
      </c>
      <c r="BJ337" s="67" t="n">
        <f aca="false">BI337+BJ336</f>
        <v>343096.237446747</v>
      </c>
    </row>
    <row r="338" customFormat="false" ht="15" hidden="false" customHeight="false" outlineLevel="0" collapsed="false">
      <c r="A338" s="117" t="s">
        <v>450</v>
      </c>
      <c r="C338" s="67" t="n">
        <f aca="false">C337</f>
        <v>-142843.512426667</v>
      </c>
      <c r="D338" s="67" t="n">
        <f aca="false">MIN(C338,D337)</f>
        <v>-145307.91452</v>
      </c>
      <c r="E338" s="67" t="n">
        <f aca="false">MIN(D338,E337)</f>
        <v>-145307.91452</v>
      </c>
      <c r="F338" s="67" t="n">
        <f aca="false">MIN(E338,F337)</f>
        <v>-145307.91452</v>
      </c>
      <c r="G338" s="67" t="n">
        <f aca="false">MIN(F338,G337)</f>
        <v>-145307.91452</v>
      </c>
      <c r="H338" s="67" t="n">
        <f aca="false">MIN(G338,H337)</f>
        <v>-145307.91452</v>
      </c>
      <c r="I338" s="67" t="n">
        <f aca="false">MIN(H338,I337)</f>
        <v>-145307.91452</v>
      </c>
      <c r="J338" s="67" t="n">
        <f aca="false">MIN(I338,J337)</f>
        <v>-145307.91452</v>
      </c>
      <c r="K338" s="67" t="n">
        <f aca="false">MIN(J338,K337)</f>
        <v>-145307.91452</v>
      </c>
      <c r="L338" s="67" t="n">
        <f aca="false">MIN(K338,L337)</f>
        <v>-145307.91452</v>
      </c>
      <c r="M338" s="67" t="n">
        <f aca="false">MIN(L338,M337)</f>
        <v>-145307.91452</v>
      </c>
      <c r="N338" s="67" t="n">
        <f aca="false">MIN(M338,N337)</f>
        <v>-145307.91452</v>
      </c>
      <c r="O338" s="67" t="n">
        <f aca="false">MIN(N338,O337)</f>
        <v>-145307.91452</v>
      </c>
      <c r="P338" s="67" t="n">
        <f aca="false">MIN(O338,P337)</f>
        <v>-145307.91452</v>
      </c>
      <c r="Q338" s="67" t="n">
        <f aca="false">MIN(P338,Q337)</f>
        <v>-145307.91452</v>
      </c>
      <c r="R338" s="67" t="n">
        <f aca="false">MIN(Q338,R337)</f>
        <v>-145307.91452</v>
      </c>
      <c r="S338" s="67" t="n">
        <f aca="false">MIN(R338,S337)</f>
        <v>-145307.91452</v>
      </c>
      <c r="T338" s="67" t="n">
        <f aca="false">MIN(S338,T337)</f>
        <v>-145307.91452</v>
      </c>
      <c r="U338" s="67" t="n">
        <f aca="false">MIN(T338,U337)</f>
        <v>-145307.91452</v>
      </c>
      <c r="V338" s="67" t="n">
        <f aca="false">MIN(U338,V337)</f>
        <v>-145307.91452</v>
      </c>
      <c r="W338" s="67" t="n">
        <f aca="false">MIN(V338,W337)</f>
        <v>-145307.91452</v>
      </c>
      <c r="X338" s="67" t="n">
        <f aca="false">MIN(W338,X337)</f>
        <v>-145307.91452</v>
      </c>
      <c r="Y338" s="67" t="n">
        <f aca="false">MIN(X338,Y337)</f>
        <v>-145307.91452</v>
      </c>
      <c r="Z338" s="67" t="n">
        <f aca="false">MIN(Y338,Z337)</f>
        <v>-145307.91452</v>
      </c>
      <c r="AA338" s="67" t="n">
        <f aca="false">MIN(Z338,AA337)</f>
        <v>-145307.91452</v>
      </c>
      <c r="AB338" s="67" t="n">
        <f aca="false">MIN(AA338,AB337)</f>
        <v>-145307.91452</v>
      </c>
      <c r="AC338" s="67" t="n">
        <f aca="false">MIN(AB338,AC337)</f>
        <v>-145307.91452</v>
      </c>
      <c r="AD338" s="67" t="n">
        <f aca="false">MIN(AC338,AD337)</f>
        <v>-145307.91452</v>
      </c>
      <c r="AE338" s="67" t="n">
        <f aca="false">MIN(AD338,AE337)</f>
        <v>-145307.91452</v>
      </c>
      <c r="AF338" s="67" t="n">
        <f aca="false">MIN(AE338,AF337)</f>
        <v>-145307.91452</v>
      </c>
      <c r="AG338" s="67" t="n">
        <f aca="false">MIN(AF338,AG337)</f>
        <v>-145307.91452</v>
      </c>
      <c r="AH338" s="67" t="n">
        <f aca="false">MIN(AG338,AH337)</f>
        <v>-145307.91452</v>
      </c>
      <c r="AI338" s="67" t="n">
        <f aca="false">MIN(AH338,AI337)</f>
        <v>-145307.91452</v>
      </c>
      <c r="AJ338" s="67" t="n">
        <f aca="false">MIN(AI338,AJ337)</f>
        <v>-145307.91452</v>
      </c>
      <c r="AK338" s="67" t="n">
        <f aca="false">MIN(AJ338,AK337)</f>
        <v>-145307.91452</v>
      </c>
      <c r="AL338" s="67" t="n">
        <f aca="false">MIN(AK338,AL337)</f>
        <v>-145307.91452</v>
      </c>
      <c r="AM338" s="67" t="n">
        <f aca="false">MIN(AL338,AM337)</f>
        <v>-145307.91452</v>
      </c>
      <c r="AN338" s="67" t="n">
        <f aca="false">MIN(AM338,AN337)</f>
        <v>-145307.91452</v>
      </c>
      <c r="AO338" s="67" t="n">
        <f aca="false">MIN(AN338,AO337)</f>
        <v>-145307.91452</v>
      </c>
      <c r="AP338" s="67" t="n">
        <f aca="false">MIN(AO338,AP337)</f>
        <v>-145307.91452</v>
      </c>
      <c r="AQ338" s="67" t="n">
        <f aca="false">MIN(AP338,AQ337)</f>
        <v>-145307.91452</v>
      </c>
      <c r="AR338" s="67" t="n">
        <f aca="false">MIN(AQ338,AR337)</f>
        <v>-145307.91452</v>
      </c>
      <c r="AS338" s="67" t="n">
        <f aca="false">MIN(AR338,AS337)</f>
        <v>-145307.91452</v>
      </c>
      <c r="AT338" s="67" t="n">
        <f aca="false">MIN(AS338,AT337)</f>
        <v>-145307.91452</v>
      </c>
      <c r="AU338" s="67" t="n">
        <f aca="false">MIN(AT338,AU337)</f>
        <v>-145307.91452</v>
      </c>
      <c r="AV338" s="67" t="n">
        <f aca="false">MIN(AU338,AV337)</f>
        <v>-145307.91452</v>
      </c>
      <c r="AW338" s="67" t="n">
        <f aca="false">MIN(AV338,AW337)</f>
        <v>-145307.91452</v>
      </c>
      <c r="AX338" s="67" t="n">
        <f aca="false">MIN(AW338,AX337)</f>
        <v>-145307.91452</v>
      </c>
      <c r="AY338" s="67" t="n">
        <f aca="false">MIN(AX338,AY337)</f>
        <v>-145307.91452</v>
      </c>
      <c r="AZ338" s="67" t="n">
        <f aca="false">MIN(AY338,AZ337)</f>
        <v>-145307.91452</v>
      </c>
      <c r="BA338" s="67" t="n">
        <f aca="false">MIN(AZ338,BA337)</f>
        <v>-145307.91452</v>
      </c>
      <c r="BB338" s="67" t="n">
        <f aca="false">MIN(BA338,BB337)</f>
        <v>-145307.91452</v>
      </c>
      <c r="BC338" s="67" t="n">
        <f aca="false">MIN(BB338,BC337)</f>
        <v>-145307.91452</v>
      </c>
      <c r="BD338" s="67" t="n">
        <f aca="false">MIN(BC338,BD337)</f>
        <v>-145307.91452</v>
      </c>
      <c r="BE338" s="67" t="n">
        <f aca="false">MIN(BD338,BE337)</f>
        <v>-145307.91452</v>
      </c>
      <c r="BF338" s="67" t="n">
        <f aca="false">MIN(BE338,BF337)</f>
        <v>-145307.91452</v>
      </c>
      <c r="BG338" s="67" t="n">
        <f aca="false">MIN(BF338,BG337)</f>
        <v>-145307.91452</v>
      </c>
      <c r="BH338" s="67" t="n">
        <f aca="false">MIN(BG338,BH337)</f>
        <v>-145307.91452</v>
      </c>
      <c r="BI338" s="67" t="n">
        <f aca="false">MIN(BH338,BI337)</f>
        <v>-145307.91452</v>
      </c>
      <c r="BJ338" s="67" t="n">
        <f aca="false">MIN(BI338,BJ337)</f>
        <v>-145307.91452</v>
      </c>
    </row>
    <row r="339" customFormat="false" ht="15" hidden="false" customHeight="false" outlineLevel="0" collapsed="false">
      <c r="A339" s="117" t="s">
        <v>451</v>
      </c>
      <c r="C339" s="116" t="n">
        <f aca="false">IF(AND(C337&gt;=0,C338&lt;0),1,0)</f>
        <v>0</v>
      </c>
      <c r="D339" s="116" t="n">
        <f aca="false">IF(AND(D337&gt;=0,D338&lt;0),1,0)</f>
        <v>0</v>
      </c>
      <c r="E339" s="116" t="n">
        <f aca="false">IF(AND(E337&gt;=0,E338&lt;0),1,0)</f>
        <v>0</v>
      </c>
      <c r="F339" s="116" t="n">
        <f aca="false">IF(AND(F337&gt;=0,F338&lt;0),1,0)</f>
        <v>0</v>
      </c>
      <c r="G339" s="116" t="n">
        <f aca="false">IF(AND(G337&gt;=0,G338&lt;0),1,0)</f>
        <v>0</v>
      </c>
      <c r="H339" s="116" t="n">
        <f aca="false">IF(AND(H337&gt;=0,H338&lt;0),1,0)</f>
        <v>0</v>
      </c>
      <c r="I339" s="116" t="n">
        <f aca="false">IF(AND(I337&gt;=0,I338&lt;0),1,0)</f>
        <v>0</v>
      </c>
      <c r="J339" s="116" t="n">
        <f aca="false">IF(AND(J337&gt;=0,J338&lt;0),1,0)</f>
        <v>0</v>
      </c>
      <c r="K339" s="116" t="n">
        <f aca="false">IF(AND(K337&gt;=0,K338&lt;0),1,0)</f>
        <v>0</v>
      </c>
      <c r="L339" s="116" t="n">
        <f aca="false">IF(AND(L337&gt;=0,L338&lt;0),1,0)</f>
        <v>0</v>
      </c>
      <c r="M339" s="116" t="n">
        <f aca="false">IF(AND(M337&gt;=0,M338&lt;0),1,0)</f>
        <v>0</v>
      </c>
      <c r="N339" s="116" t="n">
        <f aca="false">IF(AND(N337&gt;=0,N338&lt;0),1,0)</f>
        <v>0</v>
      </c>
      <c r="O339" s="116" t="n">
        <f aca="false">IF(AND(O337&gt;=0,O338&lt;0),1,0)</f>
        <v>0</v>
      </c>
      <c r="P339" s="116" t="n">
        <f aca="false">IF(AND(P337&gt;=0,P338&lt;0),1,0)</f>
        <v>0</v>
      </c>
      <c r="Q339" s="116" t="n">
        <f aca="false">IF(AND(Q337&gt;=0,Q338&lt;0),1,0)</f>
        <v>0</v>
      </c>
      <c r="R339" s="116" t="n">
        <f aca="false">IF(AND(R337&gt;=0,R338&lt;0),1,0)</f>
        <v>0</v>
      </c>
      <c r="S339" s="116" t="n">
        <f aca="false">IF(AND(S337&gt;=0,S338&lt;0),1,0)</f>
        <v>0</v>
      </c>
      <c r="T339" s="116" t="n">
        <f aca="false">IF(AND(T337&gt;=0,T338&lt;0),1,0)</f>
        <v>0</v>
      </c>
      <c r="U339" s="116" t="n">
        <f aca="false">IF(AND(U337&gt;=0,U338&lt;0),1,0)</f>
        <v>0</v>
      </c>
      <c r="V339" s="116" t="n">
        <f aca="false">IF(AND(V337&gt;=0,V338&lt;0),1,0)</f>
        <v>0</v>
      </c>
      <c r="W339" s="116" t="n">
        <f aca="false">IF(AND(W337&gt;=0,W338&lt;0),1,0)</f>
        <v>0</v>
      </c>
      <c r="X339" s="116" t="n">
        <f aca="false">IF(AND(X337&gt;=0,X338&lt;0),1,0)</f>
        <v>0</v>
      </c>
      <c r="Y339" s="116" t="n">
        <f aca="false">IF(AND(Y337&gt;=0,Y338&lt;0),1,0)</f>
        <v>0</v>
      </c>
      <c r="Z339" s="116" t="n">
        <f aca="false">IF(AND(Z337&gt;=0,Z338&lt;0),1,0)</f>
        <v>0</v>
      </c>
      <c r="AA339" s="116" t="n">
        <f aca="false">IF(AND(AA337&gt;=0,AA338&lt;0),1,0)</f>
        <v>0</v>
      </c>
      <c r="AB339" s="116" t="n">
        <f aca="false">IF(AND(AB337&gt;=0,AB338&lt;0),1,0)</f>
        <v>0</v>
      </c>
      <c r="AC339" s="116" t="n">
        <f aca="false">IF(AND(AC337&gt;=0,AC338&lt;0),1,0)</f>
        <v>1</v>
      </c>
      <c r="AD339" s="116" t="n">
        <f aca="false">IF(AND(AD337&gt;=0,AD338&lt;0),1,0)</f>
        <v>1</v>
      </c>
      <c r="AE339" s="116" t="n">
        <f aca="false">IF(AND(AE337&gt;=0,AE338&lt;0),1,0)</f>
        <v>1</v>
      </c>
      <c r="AF339" s="116" t="n">
        <f aca="false">IF(AND(AF337&gt;=0,AF338&lt;0),1,0)</f>
        <v>1</v>
      </c>
      <c r="AG339" s="116" t="n">
        <f aca="false">IF(AND(AG337&gt;=0,AG338&lt;0),1,0)</f>
        <v>1</v>
      </c>
      <c r="AH339" s="116" t="n">
        <f aca="false">IF(AND(AH337&gt;=0,AH338&lt;0),1,0)</f>
        <v>1</v>
      </c>
      <c r="AI339" s="116" t="n">
        <f aca="false">IF(AND(AI337&gt;=0,AI338&lt;0),1,0)</f>
        <v>1</v>
      </c>
      <c r="AJ339" s="116" t="n">
        <f aca="false">IF(AND(AJ337&gt;=0,AJ338&lt;0),1,0)</f>
        <v>1</v>
      </c>
      <c r="AK339" s="116" t="n">
        <f aca="false">IF(AND(AK337&gt;=0,AK338&lt;0),1,0)</f>
        <v>1</v>
      </c>
      <c r="AL339" s="116" t="n">
        <f aca="false">IF(AND(AL337&gt;=0,AL338&lt;0),1,0)</f>
        <v>1</v>
      </c>
      <c r="AM339" s="116" t="n">
        <f aca="false">IF(AND(AM337&gt;=0,AM338&lt;0),1,0)</f>
        <v>1</v>
      </c>
      <c r="AN339" s="116" t="n">
        <f aca="false">IF(AND(AN337&gt;=0,AN338&lt;0),1,0)</f>
        <v>1</v>
      </c>
      <c r="AO339" s="116" t="n">
        <f aca="false">IF(AND(AO337&gt;=0,AO338&lt;0),1,0)</f>
        <v>1</v>
      </c>
      <c r="AP339" s="116" t="n">
        <f aca="false">IF(AND(AP337&gt;=0,AP338&lt;0),1,0)</f>
        <v>1</v>
      </c>
      <c r="AQ339" s="116" t="n">
        <f aca="false">IF(AND(AQ337&gt;=0,AQ338&lt;0),1,0)</f>
        <v>1</v>
      </c>
      <c r="AR339" s="116" t="n">
        <f aca="false">IF(AND(AR337&gt;=0,AR338&lt;0),1,0)</f>
        <v>1</v>
      </c>
      <c r="AS339" s="116" t="n">
        <f aca="false">IF(AND(AS337&gt;=0,AS338&lt;0),1,0)</f>
        <v>1</v>
      </c>
      <c r="AT339" s="116" t="n">
        <f aca="false">IF(AND(AT337&gt;=0,AT338&lt;0),1,0)</f>
        <v>1</v>
      </c>
      <c r="AU339" s="116" t="n">
        <f aca="false">IF(AND(AU337&gt;=0,AU338&lt;0),1,0)</f>
        <v>1</v>
      </c>
      <c r="AV339" s="116" t="n">
        <f aca="false">IF(AND(AV337&gt;=0,AV338&lt;0),1,0)</f>
        <v>1</v>
      </c>
      <c r="AW339" s="116" t="n">
        <f aca="false">IF(AND(AW337&gt;=0,AW338&lt;0),1,0)</f>
        <v>1</v>
      </c>
      <c r="AX339" s="116" t="n">
        <f aca="false">IF(AND(AX337&gt;=0,AX338&lt;0),1,0)</f>
        <v>1</v>
      </c>
      <c r="AY339" s="116" t="n">
        <f aca="false">IF(AND(AY337&gt;=0,AY338&lt;0),1,0)</f>
        <v>1</v>
      </c>
      <c r="AZ339" s="116" t="n">
        <f aca="false">IF(AND(AZ337&gt;=0,AZ338&lt;0),1,0)</f>
        <v>1</v>
      </c>
      <c r="BA339" s="116" t="n">
        <f aca="false">IF(AND(BA337&gt;=0,BA338&lt;0),1,0)</f>
        <v>1</v>
      </c>
      <c r="BB339" s="116" t="n">
        <f aca="false">IF(AND(BB337&gt;=0,BB338&lt;0),1,0)</f>
        <v>1</v>
      </c>
      <c r="BC339" s="116" t="n">
        <f aca="false">IF(AND(BC337&gt;=0,BC338&lt;0),1,0)</f>
        <v>1</v>
      </c>
      <c r="BD339" s="116" t="n">
        <f aca="false">IF(AND(BD337&gt;=0,BD338&lt;0),1,0)</f>
        <v>1</v>
      </c>
      <c r="BE339" s="116" t="n">
        <f aca="false">IF(AND(BE337&gt;=0,BE338&lt;0),1,0)</f>
        <v>1</v>
      </c>
      <c r="BF339" s="116" t="n">
        <f aca="false">IF(AND(BF337&gt;=0,BF338&lt;0),1,0)</f>
        <v>1</v>
      </c>
      <c r="BG339" s="116" t="n">
        <f aca="false">IF(AND(BG337&gt;=0,BG338&lt;0),1,0)</f>
        <v>1</v>
      </c>
      <c r="BH339" s="116" t="n">
        <f aca="false">IF(AND(BH337&gt;=0,BH338&lt;0),1,0)</f>
        <v>1</v>
      </c>
      <c r="BI339" s="116" t="n">
        <f aca="false">IF(AND(BI337&gt;=0,BI338&lt;0),1,0)</f>
        <v>1</v>
      </c>
      <c r="BJ339" s="116" t="n">
        <f aca="false">IF(AND(BJ337&gt;=0,BJ338&lt;0),1,0)</f>
        <v>1</v>
      </c>
    </row>
    <row r="340" customFormat="false" ht="15" hidden="false" customHeight="false" outlineLevel="0" collapsed="false">
      <c r="A340" s="6" t="s">
        <v>452</v>
      </c>
      <c r="C340" s="67" t="n">
        <f aca="false">C325-C292*(1-Inputs!$D$83)+C326</f>
        <v>-142310.262426667</v>
      </c>
      <c r="D340" s="67" t="n">
        <f aca="false">D325-D292*(1-Inputs!$D$83)+D326</f>
        <v>-1935.59584333333</v>
      </c>
      <c r="E340" s="67" t="n">
        <f aca="false">E325-E292*(1-Inputs!$D$83)+E326</f>
        <v>3039.89285222222</v>
      </c>
      <c r="F340" s="67" t="n">
        <f aca="false">F325-F292*(1-Inputs!$D$83)+F326</f>
        <v>5474.29621444444</v>
      </c>
      <c r="G340" s="67" t="n">
        <f aca="false">G325-G292*(1-Inputs!$D$83)+G326</f>
        <v>7468.33213311111</v>
      </c>
      <c r="H340" s="67" t="n">
        <f aca="false">H325-H292*(1-Inputs!$D$83)+H326</f>
        <v>6625.74964</v>
      </c>
      <c r="I340" s="67" t="n">
        <f aca="false">I325-I292*(1-Inputs!$D$83)+I326</f>
        <v>6625.74964</v>
      </c>
      <c r="J340" s="67" t="n">
        <f aca="false">J325-J292*(1-Inputs!$D$83)+J326</f>
        <v>6625.74964</v>
      </c>
      <c r="K340" s="67" t="n">
        <f aca="false">K325-K292*(1-Inputs!$D$83)+K326</f>
        <v>6625.74964</v>
      </c>
      <c r="L340" s="67" t="n">
        <f aca="false">L325-L292*(1-Inputs!$D$83)+L326</f>
        <v>6625.74964</v>
      </c>
      <c r="M340" s="67" t="n">
        <f aca="false">M325-M292*(1-Inputs!$D$83)+M326</f>
        <v>6625.74964</v>
      </c>
      <c r="N340" s="67" t="n">
        <f aca="false">N325-N292*(1-Inputs!$D$83)+N326</f>
        <v>3433.82023555556</v>
      </c>
      <c r="O340" s="67" t="n">
        <f aca="false">O325-O292*(1-Inputs!$D$83)+O326</f>
        <v>1494.11886416</v>
      </c>
      <c r="P340" s="67" t="n">
        <f aca="false">P325-P292*(1-Inputs!$D$83)+P326</f>
        <v>4132.12088869334</v>
      </c>
      <c r="Q340" s="67" t="n">
        <f aca="false">Q325-Q292*(1-Inputs!$D$83)+Q326</f>
        <v>7629.41638874667</v>
      </c>
      <c r="R340" s="67" t="n">
        <f aca="false">R325-R292*(1-Inputs!$D$83)+R326</f>
        <v>8043.36232581334</v>
      </c>
      <c r="S340" s="67" t="n">
        <f aca="false">S325-S292*(1-Inputs!$D$83)+S326</f>
        <v>8043.36232581334</v>
      </c>
      <c r="T340" s="67" t="n">
        <f aca="false">T325-T292*(1-Inputs!$D$83)+T326</f>
        <v>8043.36232581334</v>
      </c>
      <c r="U340" s="67" t="n">
        <f aca="false">U325-U292*(1-Inputs!$D$83)+U326</f>
        <v>8043.36232581334</v>
      </c>
      <c r="V340" s="67" t="n">
        <f aca="false">V325-V292*(1-Inputs!$D$83)+V326</f>
        <v>8043.36232581334</v>
      </c>
      <c r="W340" s="67" t="n">
        <f aca="false">W325-W292*(1-Inputs!$D$83)+W326</f>
        <v>8043.36232581334</v>
      </c>
      <c r="X340" s="67" t="n">
        <f aca="false">X325-X292*(1-Inputs!$D$83)+X326</f>
        <v>8043.36232581334</v>
      </c>
      <c r="Y340" s="67" t="n">
        <f aca="false">Y325-Y292*(1-Inputs!$D$83)+Y326</f>
        <v>8043.36232581334</v>
      </c>
      <c r="Z340" s="67" t="n">
        <f aca="false">Z325-Z292*(1-Inputs!$D$83)+Z326</f>
        <v>4546.06682576001</v>
      </c>
      <c r="AA340" s="67" t="n">
        <f aca="false">AA325-AA292*(1-Inputs!$D$83)+AA326</f>
        <v>2692.35995373305</v>
      </c>
      <c r="AB340" s="67" t="n">
        <f aca="false">AB325-AB292*(1-Inputs!$D$83)+AB326</f>
        <v>5344.94747236345</v>
      </c>
      <c r="AC340" s="67" t="n">
        <f aca="false">AC325-AC292*(1-Inputs!$D$83)+AC326</f>
        <v>9176.10073919969</v>
      </c>
      <c r="AD340" s="67" t="n">
        <f aca="false">AD325-AD292*(1-Inputs!$D$83)+AD326</f>
        <v>9628.57859343649</v>
      </c>
      <c r="AE340" s="67" t="n">
        <f aca="false">AE325-AE292*(1-Inputs!$D$83)+AE326</f>
        <v>9628.57859343649</v>
      </c>
      <c r="AF340" s="67" t="n">
        <f aca="false">AF325-AF292*(1-Inputs!$D$83)+AF326</f>
        <v>9628.57859343649</v>
      </c>
      <c r="AG340" s="67" t="n">
        <f aca="false">AG325-AG292*(1-Inputs!$D$83)+AG326</f>
        <v>9628.5785934365</v>
      </c>
      <c r="AH340" s="67" t="n">
        <f aca="false">AH325-AH292*(1-Inputs!$D$83)+AH326</f>
        <v>9628.57859343649</v>
      </c>
      <c r="AI340" s="67" t="n">
        <f aca="false">AI325-AI292*(1-Inputs!$D$83)+AI326</f>
        <v>9628.57859343649</v>
      </c>
      <c r="AJ340" s="67" t="n">
        <f aca="false">AJ325-AJ292*(1-Inputs!$D$83)+AJ326</f>
        <v>9628.57859343649</v>
      </c>
      <c r="AK340" s="67" t="n">
        <f aca="false">AK325-AK292*(1-Inputs!$D$83)+AK326</f>
        <v>9628.57859343649</v>
      </c>
      <c r="AL340" s="67" t="n">
        <f aca="false">AL325-AL292*(1-Inputs!$D$83)+AL326</f>
        <v>5797.42532660025</v>
      </c>
      <c r="AM340" s="67" t="n">
        <f aca="false">AM325-AM292*(1-Inputs!$D$83)+AM326</f>
        <v>4040.55575798092</v>
      </c>
      <c r="AN340" s="67" t="n">
        <f aca="false">AN325-AN292*(1-Inputs!$D$83)+AN326</f>
        <v>6709.34041479766</v>
      </c>
      <c r="AO340" s="67" t="n">
        <f aca="false">AO325-AO292*(1-Inputs!$D$83)+AO326</f>
        <v>10905.4823303642</v>
      </c>
      <c r="AP340" s="67" t="n">
        <f aca="false">AP325-AP292*(1-Inputs!$D$83)+AP326</f>
        <v>11400.0712660864</v>
      </c>
      <c r="AQ340" s="67" t="n">
        <f aca="false">AQ325-AQ292*(1-Inputs!$D$83)+AQ326</f>
        <v>11400.0712660864</v>
      </c>
      <c r="AR340" s="67" t="n">
        <f aca="false">AR325-AR292*(1-Inputs!$D$83)+AR326</f>
        <v>11400.0712660864</v>
      </c>
      <c r="AS340" s="67" t="n">
        <f aca="false">AS325-AS292*(1-Inputs!$D$83)+AS326</f>
        <v>11400.0712660864</v>
      </c>
      <c r="AT340" s="67" t="n">
        <f aca="false">AT325-AT292*(1-Inputs!$D$83)+AT326</f>
        <v>11400.0712660864</v>
      </c>
      <c r="AU340" s="67" t="n">
        <f aca="false">AU325-AU292*(1-Inputs!$D$83)+AU326</f>
        <v>11400.0712660864</v>
      </c>
      <c r="AV340" s="67" t="n">
        <f aca="false">AV325-AV292*(1-Inputs!$D$83)+AV326</f>
        <v>11400.0712660864</v>
      </c>
      <c r="AW340" s="67" t="n">
        <f aca="false">AW325-AW292*(1-Inputs!$D$83)+AW326</f>
        <v>11400.0712660864</v>
      </c>
      <c r="AX340" s="67" t="n">
        <f aca="false">AX325-AX292*(1-Inputs!$D$83)+AX326</f>
        <v>7203.92935051995</v>
      </c>
      <c r="AY340" s="67" t="n">
        <f aca="false">AY325-AY292*(1-Inputs!$D$83)+AY326</f>
        <v>5556.10115872849</v>
      </c>
      <c r="AZ340" s="67" t="n">
        <f aca="false">AZ325-AZ292*(1-Inputs!$D$83)+AZ326</f>
        <v>8242.8817575613</v>
      </c>
      <c r="BA340" s="67" t="n">
        <f aca="false">BA325-BA292*(1-Inputs!$D$83)+BA326</f>
        <v>12838.0262834745</v>
      </c>
      <c r="BB340" s="67" t="n">
        <f aca="false">BB325-BB292*(1-Inputs!$D$83)+BB326</f>
        <v>13378.6373579948</v>
      </c>
      <c r="BC340" s="67" t="n">
        <f aca="false">BC325-BC292*(1-Inputs!$D$83)+BC326</f>
        <v>13378.6373579948</v>
      </c>
      <c r="BD340" s="67" t="n">
        <f aca="false">BD325-BD292*(1-Inputs!$D$83)+BD326</f>
        <v>13378.6373579948</v>
      </c>
      <c r="BE340" s="67" t="n">
        <f aca="false">BE325-BE292*(1-Inputs!$D$83)+BE326</f>
        <v>13378.6373579948</v>
      </c>
      <c r="BF340" s="67" t="n">
        <f aca="false">BF325-BF292*(1-Inputs!$D$83)+BF326</f>
        <v>13378.6373579948</v>
      </c>
      <c r="BG340" s="67" t="n">
        <f aca="false">BG325-BG292*(1-Inputs!$D$83)+BG326</f>
        <v>13378.6373579948</v>
      </c>
      <c r="BH340" s="67" t="n">
        <f aca="false">BH325-BH292*(1-Inputs!$D$83)+BH326</f>
        <v>13378.6373579948</v>
      </c>
      <c r="BI340" s="67" t="n">
        <f aca="false">BI325-BI292*(1-Inputs!$D$83)+BI326</f>
        <v>13378.6373579948</v>
      </c>
      <c r="BJ340" s="67" t="n">
        <f aca="false">BJ325-BJ292*(1-Inputs!$D$83)+BJ326</f>
        <v>8783.49283208153</v>
      </c>
    </row>
    <row r="342" customFormat="false" ht="15.75" hidden="false" customHeight="true" outlineLevel="0" collapsed="false">
      <c r="A342" s="7" t="s">
        <v>453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</row>
    <row r="343" customFormat="false" ht="15" hidden="false" customHeight="false" outlineLevel="0" collapsed="false">
      <c r="A343" s="6" t="s">
        <v>97</v>
      </c>
      <c r="C343" s="67" t="n">
        <f aca="false">C327</f>
        <v>100000</v>
      </c>
      <c r="D343" s="67" t="n">
        <f aca="false">C343+D327</f>
        <v>100000</v>
      </c>
      <c r="E343" s="67" t="n">
        <f aca="false">D343+E327</f>
        <v>100000</v>
      </c>
      <c r="F343" s="67" t="n">
        <f aca="false">E343+F327</f>
        <v>100000</v>
      </c>
      <c r="G343" s="67" t="n">
        <f aca="false">F343+G327</f>
        <v>100000</v>
      </c>
      <c r="H343" s="67" t="n">
        <f aca="false">G343+H327</f>
        <v>100000</v>
      </c>
      <c r="I343" s="67" t="n">
        <f aca="false">H343+I327</f>
        <v>100000</v>
      </c>
      <c r="J343" s="67" t="n">
        <f aca="false">I343+J327</f>
        <v>100000</v>
      </c>
      <c r="K343" s="67" t="n">
        <f aca="false">J343+K327</f>
        <v>100000</v>
      </c>
      <c r="L343" s="67" t="n">
        <f aca="false">K343+L327</f>
        <v>100000</v>
      </c>
      <c r="M343" s="67" t="n">
        <f aca="false">L343+M327</f>
        <v>100000</v>
      </c>
      <c r="N343" s="67" t="n">
        <f aca="false">M343+N327</f>
        <v>100000</v>
      </c>
      <c r="O343" s="67" t="n">
        <f aca="false">N343+O327</f>
        <v>100000</v>
      </c>
      <c r="P343" s="67" t="n">
        <f aca="false">O343+P327</f>
        <v>100000</v>
      </c>
      <c r="Q343" s="67" t="n">
        <f aca="false">P343+Q327</f>
        <v>100000</v>
      </c>
      <c r="R343" s="67" t="n">
        <f aca="false">Q343+R327</f>
        <v>100000</v>
      </c>
      <c r="S343" s="67" t="n">
        <f aca="false">R343+S327</f>
        <v>100000</v>
      </c>
      <c r="T343" s="67" t="n">
        <f aca="false">S343+T327</f>
        <v>100000</v>
      </c>
      <c r="U343" s="67" t="n">
        <f aca="false">T343+U327</f>
        <v>100000</v>
      </c>
      <c r="V343" s="67" t="n">
        <f aca="false">U343+V327</f>
        <v>100000</v>
      </c>
      <c r="W343" s="67" t="n">
        <f aca="false">V343+W327</f>
        <v>100000</v>
      </c>
      <c r="X343" s="67" t="n">
        <f aca="false">W343+X327</f>
        <v>100000</v>
      </c>
      <c r="Y343" s="67" t="n">
        <f aca="false">X343+Y327</f>
        <v>100000</v>
      </c>
      <c r="Z343" s="67" t="n">
        <f aca="false">Y343+Z327</f>
        <v>100000</v>
      </c>
      <c r="AA343" s="67" t="n">
        <f aca="false">Z343+AA327</f>
        <v>100000</v>
      </c>
      <c r="AB343" s="67" t="n">
        <f aca="false">AA343+AB327</f>
        <v>100000</v>
      </c>
      <c r="AC343" s="67" t="n">
        <f aca="false">AB343+AC327</f>
        <v>100000</v>
      </c>
      <c r="AD343" s="67" t="n">
        <f aca="false">AC343+AD327</f>
        <v>100000</v>
      </c>
      <c r="AE343" s="67" t="n">
        <f aca="false">AD343+AE327</f>
        <v>100000</v>
      </c>
      <c r="AF343" s="67" t="n">
        <f aca="false">AE343+AF327</f>
        <v>100000</v>
      </c>
      <c r="AG343" s="67" t="n">
        <f aca="false">AF343+AG327</f>
        <v>100000</v>
      </c>
      <c r="AH343" s="67" t="n">
        <f aca="false">AG343+AH327</f>
        <v>100000</v>
      </c>
      <c r="AI343" s="67" t="n">
        <f aca="false">AH343+AI327</f>
        <v>100000</v>
      </c>
      <c r="AJ343" s="67" t="n">
        <f aca="false">AI343+AJ327</f>
        <v>100000</v>
      </c>
      <c r="AK343" s="67" t="n">
        <f aca="false">AJ343+AK327</f>
        <v>100000</v>
      </c>
      <c r="AL343" s="67" t="n">
        <f aca="false">AK343+AL327</f>
        <v>100000</v>
      </c>
      <c r="AM343" s="67" t="n">
        <f aca="false">AL343+AM327</f>
        <v>100000</v>
      </c>
      <c r="AN343" s="67" t="n">
        <f aca="false">AM343+AN327</f>
        <v>100000</v>
      </c>
      <c r="AO343" s="67" t="n">
        <f aca="false">AN343+AO327</f>
        <v>100000</v>
      </c>
      <c r="AP343" s="67" t="n">
        <f aca="false">AO343+AP327</f>
        <v>100000</v>
      </c>
      <c r="AQ343" s="67" t="n">
        <f aca="false">AP343+AQ327</f>
        <v>100000</v>
      </c>
      <c r="AR343" s="67" t="n">
        <f aca="false">AQ343+AR327</f>
        <v>100000</v>
      </c>
      <c r="AS343" s="67" t="n">
        <f aca="false">AR343+AS327</f>
        <v>100000</v>
      </c>
      <c r="AT343" s="67" t="n">
        <f aca="false">AS343+AT327</f>
        <v>100000</v>
      </c>
      <c r="AU343" s="67" t="n">
        <f aca="false">AT343+AU327</f>
        <v>100000</v>
      </c>
      <c r="AV343" s="67" t="n">
        <f aca="false">AU343+AV327</f>
        <v>100000</v>
      </c>
      <c r="AW343" s="67" t="n">
        <f aca="false">AV343+AW327</f>
        <v>100000</v>
      </c>
      <c r="AX343" s="67" t="n">
        <f aca="false">AW343+AX327</f>
        <v>100000</v>
      </c>
      <c r="AY343" s="67" t="n">
        <f aca="false">AX343+AY327</f>
        <v>100000</v>
      </c>
      <c r="AZ343" s="67" t="n">
        <f aca="false">AY343+AZ327</f>
        <v>100000</v>
      </c>
      <c r="BA343" s="67" t="n">
        <f aca="false">AZ343+BA327</f>
        <v>100000</v>
      </c>
      <c r="BB343" s="67" t="n">
        <f aca="false">BA343+BB327</f>
        <v>100000</v>
      </c>
      <c r="BC343" s="67" t="n">
        <f aca="false">BB343+BC327</f>
        <v>100000</v>
      </c>
      <c r="BD343" s="67" t="n">
        <f aca="false">BC343+BD327</f>
        <v>100000</v>
      </c>
      <c r="BE343" s="67" t="n">
        <f aca="false">BD343+BE327</f>
        <v>100000</v>
      </c>
      <c r="BF343" s="67" t="n">
        <f aca="false">BE343+BF327</f>
        <v>100000</v>
      </c>
      <c r="BG343" s="67" t="n">
        <f aca="false">BF343+BG327</f>
        <v>100000</v>
      </c>
      <c r="BH343" s="67" t="n">
        <f aca="false">BG343+BH327</f>
        <v>100000</v>
      </c>
      <c r="BI343" s="67" t="n">
        <f aca="false">BH343+BI327</f>
        <v>100000</v>
      </c>
      <c r="BJ343" s="67" t="n">
        <f aca="false">BI343+BJ327</f>
        <v>100000</v>
      </c>
    </row>
    <row r="344" customFormat="false" ht="15" hidden="false" customHeight="false" outlineLevel="0" collapsed="false">
      <c r="A344" s="6" t="s">
        <v>98</v>
      </c>
      <c r="C344" s="67" t="n">
        <f aca="false">C297</f>
        <v>-5674.27660952381</v>
      </c>
      <c r="D344" s="67" t="n">
        <f aca="false">C344+D297</f>
        <v>-9646.18701904762</v>
      </c>
      <c r="E344" s="67" t="n">
        <f aca="false">D344+E297</f>
        <v>-8330.76969523809</v>
      </c>
      <c r="F344" s="67" t="n">
        <f aca="false">E344+F297</f>
        <v>-4837.14410476191</v>
      </c>
      <c r="G344" s="67" t="n">
        <f aca="false">F344+G297</f>
        <v>659.40490438095</v>
      </c>
      <c r="H344" s="67" t="n">
        <f aca="false">G344+H297</f>
        <v>5149.04115152381</v>
      </c>
      <c r="I344" s="67" t="n">
        <f aca="false">H344+I297</f>
        <v>9647.56489866666</v>
      </c>
      <c r="J344" s="67" t="n">
        <f aca="false">I344+J297</f>
        <v>14154.9761458095</v>
      </c>
      <c r="K344" s="67" t="n">
        <f aca="false">J344+K297</f>
        <v>18671.2748929524</v>
      </c>
      <c r="L344" s="67" t="n">
        <f aca="false">K344+L297</f>
        <v>23196.4611400952</v>
      </c>
      <c r="M344" s="67" t="n">
        <f aca="false">L344+M297</f>
        <v>27730.5348872381</v>
      </c>
      <c r="N344" s="67" t="n">
        <f aca="false">M344+N297</f>
        <v>28702.8773077143</v>
      </c>
      <c r="O344" s="67" t="n">
        <f aca="false">N344+O297</f>
        <v>30731.3353987886</v>
      </c>
      <c r="P344" s="67" t="n">
        <f aca="false">O344+P297</f>
        <v>32768.6809898629</v>
      </c>
      <c r="Q344" s="67" t="n">
        <f aca="false">P344+Q297</f>
        <v>38726.1555180572</v>
      </c>
      <c r="R344" s="67" t="n">
        <f aca="false">Q344+R297</f>
        <v>44692.5175462514</v>
      </c>
      <c r="S344" s="67" t="n">
        <f aca="false">R344+S297</f>
        <v>50667.7670744457</v>
      </c>
      <c r="T344" s="67" t="n">
        <f aca="false">S344+T297</f>
        <v>56651.90410264</v>
      </c>
      <c r="U344" s="67" t="n">
        <f aca="false">T344+U297</f>
        <v>62644.9286308343</v>
      </c>
      <c r="V344" s="67" t="n">
        <f aca="false">U344+V297</f>
        <v>68646.8406590286</v>
      </c>
      <c r="W344" s="67" t="n">
        <f aca="false">V344+W297</f>
        <v>74657.6401872229</v>
      </c>
      <c r="X344" s="67" t="n">
        <f aca="false">W344+X297</f>
        <v>80677.3272154172</v>
      </c>
      <c r="Y344" s="67" t="n">
        <f aca="false">X344+Y297</f>
        <v>86705.9017436115</v>
      </c>
      <c r="Z344" s="67" t="n">
        <f aca="false">Y344+Z297</f>
        <v>88832.1223346858</v>
      </c>
      <c r="AA344" s="67" t="n">
        <f aca="false">Z344+AA297</f>
        <v>92150.2951046683</v>
      </c>
      <c r="AB344" s="67" t="n">
        <f aca="false">AA344+AB297</f>
        <v>95477.3553746508</v>
      </c>
      <c r="AC344" s="67" t="n">
        <f aca="false">AB344+AC297</f>
        <v>103096.934265706</v>
      </c>
      <c r="AD344" s="67" t="n">
        <f aca="false">AC344+AD297</f>
        <v>110725.400656762</v>
      </c>
      <c r="AE344" s="67" t="n">
        <f aca="false">AD344+AE297</f>
        <v>118362.754547817</v>
      </c>
      <c r="AF344" s="67" t="n">
        <f aca="false">AE344+AF297</f>
        <v>126008.995938873</v>
      </c>
      <c r="AG344" s="67" t="n">
        <f aca="false">AF344+AG297</f>
        <v>133664.124829928</v>
      </c>
      <c r="AH344" s="67" t="n">
        <f aca="false">AG344+AH297</f>
        <v>141328.141220984</v>
      </c>
      <c r="AI344" s="67" t="n">
        <f aca="false">AH344+AI297</f>
        <v>149001.04511204</v>
      </c>
      <c r="AJ344" s="67" t="n">
        <f aca="false">AI344+AJ297</f>
        <v>156682.836503095</v>
      </c>
      <c r="AK344" s="67" t="n">
        <f aca="false">AJ344+AK297</f>
        <v>164373.515394151</v>
      </c>
      <c r="AL344" s="67" t="n">
        <f aca="false">AK344+AL297</f>
        <v>167789.450664133</v>
      </c>
      <c r="AM344" s="67" t="n">
        <f aca="false">AL344+AM297</f>
        <v>172548.904471788</v>
      </c>
      <c r="AN344" s="67" t="n">
        <f aca="false">AM344+AN297</f>
        <v>177317.245779443</v>
      </c>
      <c r="AO344" s="67" t="n">
        <f aca="false">AN344+AO297</f>
        <v>186785.205438386</v>
      </c>
      <c r="AP344" s="67" t="n">
        <f aca="false">AO344+AP297</f>
        <v>196262.05259733</v>
      </c>
      <c r="AQ344" s="67" t="n">
        <f aca="false">AP344+AQ297</f>
        <v>205747.787256273</v>
      </c>
      <c r="AR344" s="67" t="n">
        <f aca="false">AQ344+AR297</f>
        <v>215242.409415217</v>
      </c>
      <c r="AS344" s="67" t="n">
        <f aca="false">AR344+AS297</f>
        <v>224745.919074161</v>
      </c>
      <c r="AT344" s="67" t="n">
        <f aca="false">AS344+AT297</f>
        <v>234258.316233104</v>
      </c>
      <c r="AU344" s="67" t="n">
        <f aca="false">AT344+AU297</f>
        <v>243779.600892048</v>
      </c>
      <c r="AV344" s="67" t="n">
        <f aca="false">AU344+AV297</f>
        <v>253309.773050991</v>
      </c>
      <c r="AW344" s="67" t="n">
        <f aca="false">AV344+AW297</f>
        <v>262848.832709935</v>
      </c>
      <c r="AX344" s="67" t="n">
        <f aca="false">AW344+AX297</f>
        <v>267706.04901759</v>
      </c>
      <c r="AY344" s="67" t="n">
        <f aca="false">AX344+AY297</f>
        <v>274075.932263246</v>
      </c>
      <c r="AZ344" s="67" t="n">
        <f aca="false">AY344+AZ297</f>
        <v>280454.703008903</v>
      </c>
      <c r="BA344" s="67" t="n">
        <f aca="false">AZ344+BA297</f>
        <v>291978.116854993</v>
      </c>
      <c r="BB344" s="67" t="n">
        <f aca="false">BA344+BB297</f>
        <v>303510.418201083</v>
      </c>
      <c r="BC344" s="67" t="n">
        <f aca="false">BB344+BC297</f>
        <v>315051.607047173</v>
      </c>
      <c r="BD344" s="67" t="n">
        <f aca="false">BC344+BD297</f>
        <v>326601.683393263</v>
      </c>
      <c r="BE344" s="67" t="n">
        <f aca="false">BD344+BE297</f>
        <v>338160.647239353</v>
      </c>
      <c r="BF344" s="67" t="n">
        <f aca="false">BE344+BF297</f>
        <v>349728.498585443</v>
      </c>
      <c r="BG344" s="67" t="n">
        <f aca="false">BF344+BG297</f>
        <v>361305.237431533</v>
      </c>
      <c r="BH344" s="67" t="n">
        <f aca="false">BG344+BH297</f>
        <v>372890.863777623</v>
      </c>
      <c r="BI344" s="67" t="n">
        <f aca="false">BH344+BI297</f>
        <v>384485.377623713</v>
      </c>
      <c r="BJ344" s="67" t="n">
        <f aca="false">BI344+BJ297</f>
        <v>390953.023369369</v>
      </c>
    </row>
    <row r="345" customFormat="false" ht="15" hidden="false" customHeight="false" outlineLevel="0" collapsed="false">
      <c r="A345" s="4" t="s">
        <v>93</v>
      </c>
      <c r="C345" s="73" t="n">
        <f aca="false">C331+C317+C318+C308</f>
        <v>185820.305710476</v>
      </c>
      <c r="D345" s="73" t="n">
        <f aca="false">D331+D317+D318+D308</f>
        <v>180597.492354286</v>
      </c>
      <c r="E345" s="73" t="n">
        <f aca="false">E331+E317+E318+E308</f>
        <v>181174.561540318</v>
      </c>
      <c r="F345" s="73" t="n">
        <f aca="false">F331+F317+F318+F308</f>
        <v>183481.353535238</v>
      </c>
      <c r="G345" s="73" t="n">
        <f aca="false">G331+G317+G318+G308</f>
        <v>187791.068948825</v>
      </c>
      <c r="H345" s="73" t="n">
        <f aca="false">H331+H317+H318+H308</f>
        <v>190780.705195968</v>
      </c>
      <c r="I345" s="73" t="n">
        <f aca="false">I331+I317+I318+I308</f>
        <v>193779.228943111</v>
      </c>
      <c r="J345" s="73" t="n">
        <f aca="false">J331+J317+J318+J308</f>
        <v>196786.640190254</v>
      </c>
      <c r="K345" s="73" t="n">
        <f aca="false">K331+K317+K318+K308</f>
        <v>199802.938937397</v>
      </c>
      <c r="L345" s="73" t="n">
        <f aca="false">L331+L317+L318+L308</f>
        <v>202828.12518454</v>
      </c>
      <c r="M345" s="73" t="n">
        <f aca="false">M331+M317+M318+M308</f>
        <v>205862.198931683</v>
      </c>
      <c r="N345" s="73" t="n">
        <f aca="false">N331+N317+N318+N308</f>
        <v>204693.847841048</v>
      </c>
      <c r="O345" s="73" t="n">
        <f aca="false">O331+O317+O318+O308</f>
        <v>205477.250789189</v>
      </c>
      <c r="P345" s="73" t="n">
        <f aca="false">P331+P317+P318+P308</f>
        <v>206014.596380263</v>
      </c>
      <c r="Q345" s="73" t="n">
        <f aca="false">Q331+Q317+Q318+Q308</f>
        <v>211170.978318591</v>
      </c>
      <c r="R345" s="73" t="n">
        <f aca="false">R331+R317+R318+R308</f>
        <v>215637.340346785</v>
      </c>
      <c r="S345" s="73" t="n">
        <f aca="false">S331+S317+S318+S308</f>
        <v>220112.589874979</v>
      </c>
      <c r="T345" s="73" t="n">
        <f aca="false">T331+T317+T318+T308</f>
        <v>224596.726903173</v>
      </c>
      <c r="U345" s="73" t="n">
        <f aca="false">U331+U317+U318+U308</f>
        <v>229089.751431368</v>
      </c>
      <c r="V345" s="73" t="n">
        <f aca="false">V331+V317+V318+V308</f>
        <v>233591.663459562</v>
      </c>
      <c r="W345" s="73" t="n">
        <f aca="false">W331+W317+W318+W308</f>
        <v>238102.462987756</v>
      </c>
      <c r="X345" s="73" t="n">
        <f aca="false">X331+X317+X318+X308</f>
        <v>242622.150015951</v>
      </c>
      <c r="Y345" s="73" t="n">
        <f aca="false">Y331+Y317+Y318+Y308</f>
        <v>247150.724544145</v>
      </c>
      <c r="Z345" s="73" t="n">
        <f aca="false">Z331+Z317+Z318+Z308</f>
        <v>247078.037725086</v>
      </c>
      <c r="AA345" s="73" t="n">
        <f aca="false">AA331+AA317+AA318+AA308</f>
        <v>249178.412910265</v>
      </c>
      <c r="AB345" s="73" t="n">
        <f aca="false">AB331+AB317+AB318+AB308</f>
        <v>251005.473180248</v>
      </c>
      <c r="AC345" s="73" t="n">
        <f aca="false">AC331+AC317+AC318+AC308</f>
        <v>257887.473403989</v>
      </c>
      <c r="AD345" s="73" t="n">
        <f aca="false">AD331+AD317+AD318+AD308</f>
        <v>264015.939795044</v>
      </c>
      <c r="AE345" s="73" t="n">
        <f aca="false">AE331+AE317+AE318+AE308</f>
        <v>270153.2936861</v>
      </c>
      <c r="AF345" s="73" t="n">
        <f aca="false">AF331+AF317+AF318+AF308</f>
        <v>276299.535077155</v>
      </c>
      <c r="AG345" s="73" t="n">
        <f aca="false">AG331+AG317+AG318+AG308</f>
        <v>282454.663968211</v>
      </c>
      <c r="AH345" s="73" t="n">
        <f aca="false">AH331+AH317+AH318+AH308</f>
        <v>288618.680359266</v>
      </c>
      <c r="AI345" s="73" t="n">
        <f aca="false">AI331+AI317+AI318+AI308</f>
        <v>294791.584250322</v>
      </c>
      <c r="AJ345" s="73" t="n">
        <f aca="false">AJ331+AJ317+AJ318+AJ308</f>
        <v>300973.375641378</v>
      </c>
      <c r="AK345" s="73" t="n">
        <f aca="false">AK331+AK317+AK318+AK308</f>
        <v>307164.054532433</v>
      </c>
      <c r="AL345" s="73" t="n">
        <f aca="false">AL331+AL317+AL318+AL308</f>
        <v>308317.56846973</v>
      </c>
      <c r="AM345" s="73" t="n">
        <f aca="false">AM331+AM317+AM318+AM308</f>
        <v>311889.541517933</v>
      </c>
      <c r="AN345" s="73" t="n">
        <f aca="false">AN331+AN317+AN318+AN308</f>
        <v>315157.882825588</v>
      </c>
      <c r="AO345" s="73" t="n">
        <f aca="false">AO331+AO317+AO318+AO308</f>
        <v>323957.561121757</v>
      </c>
      <c r="AP345" s="73" t="n">
        <f aca="false">AP331+AP317+AP318+AP308</f>
        <v>331934.4082807</v>
      </c>
      <c r="AQ345" s="73" t="n">
        <f aca="false">AQ331+AQ317+AQ318+AQ308</f>
        <v>339920.142939644</v>
      </c>
      <c r="AR345" s="73" t="n">
        <f aca="false">AR331+AR317+AR318+AR308</f>
        <v>347914.765098587</v>
      </c>
      <c r="AS345" s="73" t="n">
        <f aca="false">AS331+AS317+AS318+AS308</f>
        <v>355918.274757531</v>
      </c>
      <c r="AT345" s="73" t="n">
        <f aca="false">AT331+AT317+AT318+AT308</f>
        <v>363930.671916475</v>
      </c>
      <c r="AU345" s="73" t="n">
        <f aca="false">AU331+AU317+AU318+AU308</f>
        <v>371951.956575418</v>
      </c>
      <c r="AV345" s="73" t="n">
        <f aca="false">AV331+AV317+AV318+AV308</f>
        <v>379982.128734362</v>
      </c>
      <c r="AW345" s="73" t="n">
        <f aca="false">AW331+AW317+AW318+AW308</f>
        <v>388021.188393305</v>
      </c>
      <c r="AX345" s="73" t="n">
        <f aca="false">AX331+AX317+AX318+AX308</f>
        <v>390546.686063735</v>
      </c>
      <c r="AY345" s="73" t="n">
        <f aca="false">AY331+AY317+AY318+AY308</f>
        <v>395762.825450815</v>
      </c>
      <c r="AZ345" s="73" t="n">
        <f aca="false">AZ331+AZ317+AZ318+AZ308</f>
        <v>400641.596196471</v>
      </c>
      <c r="BA345" s="73" t="n">
        <f aca="false">BA331+BA317+BA318+BA308</f>
        <v>411572.336870166</v>
      </c>
      <c r="BB345" s="73" t="n">
        <f aca="false">BB331+BB317+BB318+BB308</f>
        <v>421604.638216256</v>
      </c>
      <c r="BC345" s="73" t="n">
        <f aca="false">BC331+BC317+BC318+BC308</f>
        <v>431645.827062346</v>
      </c>
      <c r="BD345" s="73" t="n">
        <f aca="false">BD331+BD317+BD318+BD308</f>
        <v>441695.903408436</v>
      </c>
      <c r="BE345" s="73" t="n">
        <f aca="false">BE331+BE317+BE318+BE308</f>
        <v>451754.867254526</v>
      </c>
      <c r="BF345" s="73" t="n">
        <f aca="false">BF331+BF317+BF318+BF308</f>
        <v>461822.718600616</v>
      </c>
      <c r="BG345" s="73" t="n">
        <f aca="false">BG331+BG317+BG318+BG308</f>
        <v>471899.457446706</v>
      </c>
      <c r="BH345" s="73" t="n">
        <f aca="false">BH331+BH317+BH318+BH308</f>
        <v>481985.083792796</v>
      </c>
      <c r="BI345" s="73" t="n">
        <f aca="false">BI331+BI317+BI318+BI308</f>
        <v>492079.597638886</v>
      </c>
      <c r="BJ345" s="73" t="n">
        <f aca="false">BJ331+BJ317+BJ318+BJ308</f>
        <v>496139.916556938</v>
      </c>
    </row>
    <row r="346" customFormat="false" ht="15" hidden="false" customHeight="false" outlineLevel="0" collapsed="false">
      <c r="A346" s="6" t="s">
        <v>96</v>
      </c>
      <c r="C346" s="67" t="n">
        <f aca="false">C319+C314</f>
        <v>91494.58232</v>
      </c>
      <c r="D346" s="67" t="n">
        <f aca="false">D319+D314</f>
        <v>90243.6793733333</v>
      </c>
      <c r="E346" s="67" t="n">
        <f aca="false">E319+E314</f>
        <v>89505.3312355556</v>
      </c>
      <c r="F346" s="67" t="n">
        <f aca="false">F319+F314</f>
        <v>88318.49764</v>
      </c>
      <c r="G346" s="67" t="n">
        <f aca="false">G319+G314</f>
        <v>87131.6640444445</v>
      </c>
      <c r="H346" s="67" t="n">
        <f aca="false">H319+H314</f>
        <v>85631.6640444445</v>
      </c>
      <c r="I346" s="67" t="n">
        <f aca="false">I319+I314</f>
        <v>84131.6640444445</v>
      </c>
      <c r="J346" s="67" t="n">
        <f aca="false">J319+J314</f>
        <v>82631.6640444445</v>
      </c>
      <c r="K346" s="67" t="n">
        <f aca="false">K319+K314</f>
        <v>81131.6640444445</v>
      </c>
      <c r="L346" s="67" t="n">
        <f aca="false">L319+L314</f>
        <v>79631.6640444445</v>
      </c>
      <c r="M346" s="67" t="n">
        <f aca="false">M319+M314</f>
        <v>78131.6640444445</v>
      </c>
      <c r="N346" s="67" t="n">
        <f aca="false">N319+N314</f>
        <v>75990.9705333333</v>
      </c>
      <c r="O346" s="67" t="n">
        <f aca="false">O319+O314</f>
        <v>74745.9153904</v>
      </c>
      <c r="P346" s="67" t="n">
        <f aca="false">P319+P314</f>
        <v>73245.9153904</v>
      </c>
      <c r="Q346" s="67" t="n">
        <f aca="false">Q319+Q314</f>
        <v>72444.8228005333</v>
      </c>
      <c r="R346" s="67" t="n">
        <f aca="false">R319+R314</f>
        <v>70944.8228005333</v>
      </c>
      <c r="S346" s="67" t="n">
        <f aca="false">S319+S314</f>
        <v>69444.8228005333</v>
      </c>
      <c r="T346" s="67" t="n">
        <f aca="false">T319+T314</f>
        <v>67944.8228005333</v>
      </c>
      <c r="U346" s="67" t="n">
        <f aca="false">U319+U314</f>
        <v>66444.8228005333</v>
      </c>
      <c r="V346" s="67" t="n">
        <f aca="false">V319+V314</f>
        <v>64944.8228005333</v>
      </c>
      <c r="W346" s="67" t="n">
        <f aca="false">W319+W314</f>
        <v>63444.8228005333</v>
      </c>
      <c r="X346" s="67" t="n">
        <f aca="false">X319+X314</f>
        <v>61944.8228005333</v>
      </c>
      <c r="Y346" s="67" t="n">
        <f aca="false">Y319+Y314</f>
        <v>60444.8228005333</v>
      </c>
      <c r="Z346" s="67" t="n">
        <f aca="false">Z319+Z314</f>
        <v>58245.9153904</v>
      </c>
      <c r="AA346" s="67" t="n">
        <f aca="false">AA319+AA314</f>
        <v>57028.1178055968</v>
      </c>
      <c r="AB346" s="67" t="n">
        <f aca="false">AB319+AB314</f>
        <v>55528.1178055968</v>
      </c>
      <c r="AC346" s="67" t="n">
        <f aca="false">AC319+AC314</f>
        <v>54790.5391382824</v>
      </c>
      <c r="AD346" s="67" t="n">
        <f aca="false">AD319+AD314</f>
        <v>53290.5391382824</v>
      </c>
      <c r="AE346" s="67" t="n">
        <f aca="false">AE319+AE314</f>
        <v>51790.5391382824</v>
      </c>
      <c r="AF346" s="67" t="n">
        <f aca="false">AF319+AF314</f>
        <v>50290.5391382824</v>
      </c>
      <c r="AG346" s="67" t="n">
        <f aca="false">AG319+AG314</f>
        <v>48790.5391382824</v>
      </c>
      <c r="AH346" s="67" t="n">
        <f aca="false">AH319+AH314</f>
        <v>47290.5391382824</v>
      </c>
      <c r="AI346" s="67" t="n">
        <f aca="false">AI319+AI314</f>
        <v>45790.5391382824</v>
      </c>
      <c r="AJ346" s="67" t="n">
        <f aca="false">AJ319+AJ314</f>
        <v>44290.5391382824</v>
      </c>
      <c r="AK346" s="67" t="n">
        <f aca="false">AK319+AK314</f>
        <v>42790.5391382824</v>
      </c>
      <c r="AL346" s="67" t="n">
        <f aca="false">AL319+AL314</f>
        <v>40528.1178055968</v>
      </c>
      <c r="AM346" s="67" t="n">
        <f aca="false">AM319+AM314</f>
        <v>39340.6370461451</v>
      </c>
      <c r="AN346" s="67" t="n">
        <f aca="false">AN319+AN314</f>
        <v>37840.6370461451</v>
      </c>
      <c r="AO346" s="67" t="n">
        <f aca="false">AO319+AO314</f>
        <v>37172.3556833703</v>
      </c>
      <c r="AP346" s="67" t="n">
        <f aca="false">AP319+AP314</f>
        <v>35672.3556833703</v>
      </c>
      <c r="AQ346" s="67" t="n">
        <f aca="false">AQ319+AQ314</f>
        <v>34172.3556833703</v>
      </c>
      <c r="AR346" s="67" t="n">
        <f aca="false">AR319+AR314</f>
        <v>32672.3556833703</v>
      </c>
      <c r="AS346" s="67" t="n">
        <f aca="false">AS319+AS314</f>
        <v>31172.3556833703</v>
      </c>
      <c r="AT346" s="67" t="n">
        <f aca="false">AT319+AT314</f>
        <v>29672.3556833703</v>
      </c>
      <c r="AU346" s="67" t="n">
        <f aca="false">AU319+AU314</f>
        <v>28172.3556833703</v>
      </c>
      <c r="AV346" s="67" t="n">
        <f aca="false">AV319+AV314</f>
        <v>26672.3556833703</v>
      </c>
      <c r="AW346" s="67" t="n">
        <f aca="false">AW319+AW314</f>
        <v>25172.3556833703</v>
      </c>
      <c r="AX346" s="67" t="n">
        <f aca="false">AX319+AX314</f>
        <v>22840.6370461451</v>
      </c>
      <c r="AY346" s="67" t="n">
        <f aca="false">AY319+AY314</f>
        <v>21686.8931875683</v>
      </c>
      <c r="AZ346" s="67" t="n">
        <f aca="false">AZ319+AZ314</f>
        <v>20186.8931875683</v>
      </c>
      <c r="BA346" s="67" t="n">
        <f aca="false">BA319+BA314</f>
        <v>19594.2200151731</v>
      </c>
      <c r="BB346" s="67" t="n">
        <f aca="false">BB319+BB314</f>
        <v>18094.2200151731</v>
      </c>
      <c r="BC346" s="67" t="n">
        <f aca="false">BC319+BC314</f>
        <v>16594.2200151731</v>
      </c>
      <c r="BD346" s="67" t="n">
        <f aca="false">BD319+BD314</f>
        <v>15094.2200151731</v>
      </c>
      <c r="BE346" s="67" t="n">
        <f aca="false">BE319+BE314</f>
        <v>13594.2200151731</v>
      </c>
      <c r="BF346" s="67" t="n">
        <f aca="false">BF319+BF314</f>
        <v>12094.2200151731</v>
      </c>
      <c r="BG346" s="67" t="n">
        <f aca="false">BG319+BG314</f>
        <v>10594.2200151731</v>
      </c>
      <c r="BH346" s="67" t="n">
        <f aca="false">BH319+BH314</f>
        <v>9094.22001517314</v>
      </c>
      <c r="BI346" s="67" t="n">
        <f aca="false">BI319+BI314</f>
        <v>7594.22001517314</v>
      </c>
      <c r="BJ346" s="67" t="n">
        <f aca="false">BJ319+BJ314</f>
        <v>5186.89318756835</v>
      </c>
    </row>
    <row r="347" customFormat="false" ht="15" hidden="false" customHeight="false" outlineLevel="0" collapsed="false">
      <c r="A347" s="6" t="s">
        <v>99</v>
      </c>
      <c r="C347" s="67" t="n">
        <f aca="false">C343+C344</f>
        <v>94325.7233904762</v>
      </c>
      <c r="D347" s="67" t="n">
        <f aca="false">D343+D344</f>
        <v>90353.8129809524</v>
      </c>
      <c r="E347" s="67" t="n">
        <f aca="false">E343+E344</f>
        <v>91669.2303047619</v>
      </c>
      <c r="F347" s="67" t="n">
        <f aca="false">F343+F344</f>
        <v>95162.8558952381</v>
      </c>
      <c r="G347" s="67" t="n">
        <f aca="false">G343+G344</f>
        <v>100659.404904381</v>
      </c>
      <c r="H347" s="67" t="n">
        <f aca="false">H343+H344</f>
        <v>105149.041151524</v>
      </c>
      <c r="I347" s="67" t="n">
        <f aca="false">I343+I344</f>
        <v>109647.564898667</v>
      </c>
      <c r="J347" s="67" t="n">
        <f aca="false">J343+J344</f>
        <v>114154.97614581</v>
      </c>
      <c r="K347" s="67" t="n">
        <f aca="false">K343+K344</f>
        <v>118671.274892952</v>
      </c>
      <c r="L347" s="67" t="n">
        <f aca="false">L343+L344</f>
        <v>123196.461140095</v>
      </c>
      <c r="M347" s="67" t="n">
        <f aca="false">M343+M344</f>
        <v>127730.534887238</v>
      </c>
      <c r="N347" s="67" t="n">
        <f aca="false">N343+N344</f>
        <v>128702.877307714</v>
      </c>
      <c r="O347" s="67" t="n">
        <f aca="false">O343+O344</f>
        <v>130731.335398789</v>
      </c>
      <c r="P347" s="67" t="n">
        <f aca="false">P343+P344</f>
        <v>132768.680989863</v>
      </c>
      <c r="Q347" s="67" t="n">
        <f aca="false">Q343+Q344</f>
        <v>138726.155518057</v>
      </c>
      <c r="R347" s="67" t="n">
        <f aca="false">R343+R344</f>
        <v>144692.517546251</v>
      </c>
      <c r="S347" s="67" t="n">
        <f aca="false">S343+S344</f>
        <v>150667.767074446</v>
      </c>
      <c r="T347" s="67" t="n">
        <f aca="false">T343+T344</f>
        <v>156651.90410264</v>
      </c>
      <c r="U347" s="67" t="n">
        <f aca="false">U343+U344</f>
        <v>162644.928630834</v>
      </c>
      <c r="V347" s="67" t="n">
        <f aca="false">V343+V344</f>
        <v>168646.840659029</v>
      </c>
      <c r="W347" s="67" t="n">
        <f aca="false">W343+W344</f>
        <v>174657.640187223</v>
      </c>
      <c r="X347" s="67" t="n">
        <f aca="false">X343+X344</f>
        <v>180677.327215417</v>
      </c>
      <c r="Y347" s="67" t="n">
        <f aca="false">Y343+Y344</f>
        <v>186705.901743611</v>
      </c>
      <c r="Z347" s="67" t="n">
        <f aca="false">Z343+Z344</f>
        <v>188832.122334686</v>
      </c>
      <c r="AA347" s="67" t="n">
        <f aca="false">AA343+AA344</f>
        <v>192150.295104668</v>
      </c>
      <c r="AB347" s="67" t="n">
        <f aca="false">AB343+AB344</f>
        <v>195477.355374651</v>
      </c>
      <c r="AC347" s="67" t="n">
        <f aca="false">AC343+AC344</f>
        <v>203096.934265706</v>
      </c>
      <c r="AD347" s="67" t="n">
        <f aca="false">AD343+AD344</f>
        <v>210725.400656762</v>
      </c>
      <c r="AE347" s="67" t="n">
        <f aca="false">AE343+AE344</f>
        <v>218362.754547817</v>
      </c>
      <c r="AF347" s="67" t="n">
        <f aca="false">AF343+AF344</f>
        <v>226008.995938873</v>
      </c>
      <c r="AG347" s="67" t="n">
        <f aca="false">AG343+AG344</f>
        <v>233664.124829928</v>
      </c>
      <c r="AH347" s="67" t="n">
        <f aca="false">AH343+AH344</f>
        <v>241328.141220984</v>
      </c>
      <c r="AI347" s="67" t="n">
        <f aca="false">AI343+AI344</f>
        <v>249001.04511204</v>
      </c>
      <c r="AJ347" s="67" t="n">
        <f aca="false">AJ343+AJ344</f>
        <v>256682.836503095</v>
      </c>
      <c r="AK347" s="67" t="n">
        <f aca="false">AK343+AK344</f>
        <v>264373.515394151</v>
      </c>
      <c r="AL347" s="67" t="n">
        <f aca="false">AL343+AL344</f>
        <v>267789.450664133</v>
      </c>
      <c r="AM347" s="67" t="n">
        <f aca="false">AM343+AM344</f>
        <v>272548.904471788</v>
      </c>
      <c r="AN347" s="67" t="n">
        <f aca="false">AN343+AN344</f>
        <v>277317.245779443</v>
      </c>
      <c r="AO347" s="67" t="n">
        <f aca="false">AO343+AO344</f>
        <v>286785.205438386</v>
      </c>
      <c r="AP347" s="67" t="n">
        <f aca="false">AP343+AP344</f>
        <v>296262.05259733</v>
      </c>
      <c r="AQ347" s="67" t="n">
        <f aca="false">AQ343+AQ344</f>
        <v>305747.787256273</v>
      </c>
      <c r="AR347" s="67" t="n">
        <f aca="false">AR343+AR344</f>
        <v>315242.409415217</v>
      </c>
      <c r="AS347" s="67" t="n">
        <f aca="false">AS343+AS344</f>
        <v>324745.919074161</v>
      </c>
      <c r="AT347" s="67" t="n">
        <f aca="false">AT343+AT344</f>
        <v>334258.316233104</v>
      </c>
      <c r="AU347" s="67" t="n">
        <f aca="false">AU343+AU344</f>
        <v>343779.600892048</v>
      </c>
      <c r="AV347" s="67" t="n">
        <f aca="false">AV343+AV344</f>
        <v>353309.773050991</v>
      </c>
      <c r="AW347" s="67" t="n">
        <f aca="false">AW343+AW344</f>
        <v>362848.832709935</v>
      </c>
      <c r="AX347" s="67" t="n">
        <f aca="false">AX343+AX344</f>
        <v>367706.04901759</v>
      </c>
      <c r="AY347" s="67" t="n">
        <f aca="false">AY343+AY344</f>
        <v>374075.932263246</v>
      </c>
      <c r="AZ347" s="67" t="n">
        <f aca="false">AZ343+AZ344</f>
        <v>380454.703008903</v>
      </c>
      <c r="BA347" s="67" t="n">
        <f aca="false">BA343+BA344</f>
        <v>391978.116854993</v>
      </c>
      <c r="BB347" s="67" t="n">
        <f aca="false">BB343+BB344</f>
        <v>403510.418201083</v>
      </c>
      <c r="BC347" s="67" t="n">
        <f aca="false">BC343+BC344</f>
        <v>415051.607047173</v>
      </c>
      <c r="BD347" s="67" t="n">
        <f aca="false">BD343+BD344</f>
        <v>426601.683393263</v>
      </c>
      <c r="BE347" s="67" t="n">
        <f aca="false">BE343+BE344</f>
        <v>438160.647239353</v>
      </c>
      <c r="BF347" s="67" t="n">
        <f aca="false">BF343+BF344</f>
        <v>449728.498585443</v>
      </c>
      <c r="BG347" s="67" t="n">
        <f aca="false">BG343+BG344</f>
        <v>461305.237431533</v>
      </c>
      <c r="BH347" s="67" t="n">
        <f aca="false">BH343+BH344</f>
        <v>472890.863777623</v>
      </c>
      <c r="BI347" s="67" t="n">
        <f aca="false">BI343+BI344</f>
        <v>484485.377623713</v>
      </c>
      <c r="BJ347" s="67" t="n">
        <f aca="false">BJ343+BJ344</f>
        <v>490953.023369369</v>
      </c>
    </row>
    <row r="348" customFormat="false" ht="15" hidden="false" customHeight="false" outlineLevel="0" collapsed="false">
      <c r="A348" s="4" t="s">
        <v>100</v>
      </c>
      <c r="C348" s="73" t="n">
        <f aca="false">C346+C347</f>
        <v>185820.305710476</v>
      </c>
      <c r="D348" s="73" t="n">
        <f aca="false">D346+D347</f>
        <v>180597.492354286</v>
      </c>
      <c r="E348" s="73" t="n">
        <f aca="false">E346+E347</f>
        <v>181174.561540317</v>
      </c>
      <c r="F348" s="73" t="n">
        <f aca="false">F346+F347</f>
        <v>183481.353535238</v>
      </c>
      <c r="G348" s="73" t="n">
        <f aca="false">G346+G347</f>
        <v>187791.068948825</v>
      </c>
      <c r="H348" s="73" t="n">
        <f aca="false">H346+H347</f>
        <v>190780.705195968</v>
      </c>
      <c r="I348" s="73" t="n">
        <f aca="false">I346+I347</f>
        <v>193779.228943111</v>
      </c>
      <c r="J348" s="73" t="n">
        <f aca="false">J346+J347</f>
        <v>196786.640190254</v>
      </c>
      <c r="K348" s="73" t="n">
        <f aca="false">K346+K347</f>
        <v>199802.938937397</v>
      </c>
      <c r="L348" s="73" t="n">
        <f aca="false">L346+L347</f>
        <v>202828.12518454</v>
      </c>
      <c r="M348" s="73" t="n">
        <f aca="false">M346+M347</f>
        <v>205862.198931683</v>
      </c>
      <c r="N348" s="73" t="n">
        <f aca="false">N346+N347</f>
        <v>204693.847841048</v>
      </c>
      <c r="O348" s="73" t="n">
        <f aca="false">O346+O347</f>
        <v>205477.250789189</v>
      </c>
      <c r="P348" s="73" t="n">
        <f aca="false">P346+P347</f>
        <v>206014.596380263</v>
      </c>
      <c r="Q348" s="73" t="n">
        <f aca="false">Q346+Q347</f>
        <v>211170.978318591</v>
      </c>
      <c r="R348" s="73" t="n">
        <f aca="false">R346+R347</f>
        <v>215637.340346785</v>
      </c>
      <c r="S348" s="73" t="n">
        <f aca="false">S346+S347</f>
        <v>220112.589874979</v>
      </c>
      <c r="T348" s="73" t="n">
        <f aca="false">T346+T347</f>
        <v>224596.726903173</v>
      </c>
      <c r="U348" s="73" t="n">
        <f aca="false">U346+U347</f>
        <v>229089.751431368</v>
      </c>
      <c r="V348" s="73" t="n">
        <f aca="false">V346+V347</f>
        <v>233591.663459562</v>
      </c>
      <c r="W348" s="73" t="n">
        <f aca="false">W346+W347</f>
        <v>238102.462987756</v>
      </c>
      <c r="X348" s="73" t="n">
        <f aca="false">X346+X347</f>
        <v>242622.150015951</v>
      </c>
      <c r="Y348" s="73" t="n">
        <f aca="false">Y346+Y347</f>
        <v>247150.724544145</v>
      </c>
      <c r="Z348" s="73" t="n">
        <f aca="false">Z346+Z347</f>
        <v>247078.037725086</v>
      </c>
      <c r="AA348" s="73" t="n">
        <f aca="false">AA346+AA347</f>
        <v>249178.412910265</v>
      </c>
      <c r="AB348" s="73" t="n">
        <f aca="false">AB346+AB347</f>
        <v>251005.473180248</v>
      </c>
      <c r="AC348" s="73" t="n">
        <f aca="false">AC346+AC347</f>
        <v>257887.473403989</v>
      </c>
      <c r="AD348" s="73" t="n">
        <f aca="false">AD346+AD347</f>
        <v>264015.939795044</v>
      </c>
      <c r="AE348" s="73" t="n">
        <f aca="false">AE346+AE347</f>
        <v>270153.2936861</v>
      </c>
      <c r="AF348" s="73" t="n">
        <f aca="false">AF346+AF347</f>
        <v>276299.535077155</v>
      </c>
      <c r="AG348" s="73" t="n">
        <f aca="false">AG346+AG347</f>
        <v>282454.663968211</v>
      </c>
      <c r="AH348" s="73" t="n">
        <f aca="false">AH346+AH347</f>
        <v>288618.680359266</v>
      </c>
      <c r="AI348" s="73" t="n">
        <f aca="false">AI346+AI347</f>
        <v>294791.584250322</v>
      </c>
      <c r="AJ348" s="73" t="n">
        <f aca="false">AJ346+AJ347</f>
        <v>300973.375641377</v>
      </c>
      <c r="AK348" s="73" t="n">
        <f aca="false">AK346+AK347</f>
        <v>307164.054532433</v>
      </c>
      <c r="AL348" s="73" t="n">
        <f aca="false">AL346+AL347</f>
        <v>308317.56846973</v>
      </c>
      <c r="AM348" s="73" t="n">
        <f aca="false">AM346+AM347</f>
        <v>311889.541517933</v>
      </c>
      <c r="AN348" s="73" t="n">
        <f aca="false">AN346+AN347</f>
        <v>315157.882825588</v>
      </c>
      <c r="AO348" s="73" t="n">
        <f aca="false">AO346+AO347</f>
        <v>323957.561121757</v>
      </c>
      <c r="AP348" s="73" t="n">
        <f aca="false">AP346+AP347</f>
        <v>331934.4082807</v>
      </c>
      <c r="AQ348" s="73" t="n">
        <f aca="false">AQ346+AQ347</f>
        <v>339920.142939644</v>
      </c>
      <c r="AR348" s="73" t="n">
        <f aca="false">AR346+AR347</f>
        <v>347914.765098587</v>
      </c>
      <c r="AS348" s="73" t="n">
        <f aca="false">AS346+AS347</f>
        <v>355918.274757531</v>
      </c>
      <c r="AT348" s="73" t="n">
        <f aca="false">AT346+AT347</f>
        <v>363930.671916475</v>
      </c>
      <c r="AU348" s="73" t="n">
        <f aca="false">AU346+AU347</f>
        <v>371951.956575418</v>
      </c>
      <c r="AV348" s="73" t="n">
        <f aca="false">AV346+AV347</f>
        <v>379982.128734362</v>
      </c>
      <c r="AW348" s="73" t="n">
        <f aca="false">AW346+AW347</f>
        <v>388021.188393305</v>
      </c>
      <c r="AX348" s="73" t="n">
        <f aca="false">AX346+AX347</f>
        <v>390546.686063735</v>
      </c>
      <c r="AY348" s="73" t="n">
        <f aca="false">AY346+AY347</f>
        <v>395762.825450815</v>
      </c>
      <c r="AZ348" s="73" t="n">
        <f aca="false">AZ346+AZ347</f>
        <v>400641.596196471</v>
      </c>
      <c r="BA348" s="73" t="n">
        <f aca="false">BA346+BA347</f>
        <v>411572.336870166</v>
      </c>
      <c r="BB348" s="73" t="n">
        <f aca="false">BB346+BB347</f>
        <v>421604.638216256</v>
      </c>
      <c r="BC348" s="73" t="n">
        <f aca="false">BC346+BC347</f>
        <v>431645.827062346</v>
      </c>
      <c r="BD348" s="73" t="n">
        <f aca="false">BD346+BD347</f>
        <v>441695.903408436</v>
      </c>
      <c r="BE348" s="73" t="n">
        <f aca="false">BE346+BE347</f>
        <v>451754.867254526</v>
      </c>
      <c r="BF348" s="73" t="n">
        <f aca="false">BF346+BF347</f>
        <v>461822.718600616</v>
      </c>
      <c r="BG348" s="73" t="n">
        <f aca="false">BG346+BG347</f>
        <v>471899.457446706</v>
      </c>
      <c r="BH348" s="73" t="n">
        <f aca="false">BH346+BH347</f>
        <v>481985.083792796</v>
      </c>
      <c r="BI348" s="73" t="n">
        <f aca="false">BI346+BI347</f>
        <v>492079.597638886</v>
      </c>
      <c r="BJ348" s="73" t="n">
        <f aca="false">BJ346+BJ347</f>
        <v>496139.916556938</v>
      </c>
    </row>
    <row r="349" customFormat="false" ht="15" hidden="false" customHeight="false" outlineLevel="0" collapsed="false">
      <c r="A349" s="6" t="s">
        <v>454</v>
      </c>
      <c r="C349" s="67" t="n">
        <f aca="false">C345-C348</f>
        <v>0</v>
      </c>
      <c r="D349" s="67" t="n">
        <f aca="false">D345-D348</f>
        <v>0</v>
      </c>
      <c r="E349" s="67" t="n">
        <f aca="false">E345-E348</f>
        <v>0</v>
      </c>
      <c r="F349" s="67" t="n">
        <f aca="false">F345-F348</f>
        <v>0</v>
      </c>
      <c r="G349" s="67" t="n">
        <f aca="false">G345-G348</f>
        <v>0</v>
      </c>
      <c r="H349" s="67" t="n">
        <f aca="false">H345-H348</f>
        <v>0</v>
      </c>
      <c r="I349" s="67" t="n">
        <f aca="false">I345-I348</f>
        <v>0</v>
      </c>
      <c r="J349" s="67" t="n">
        <f aca="false">J345-J348</f>
        <v>0</v>
      </c>
      <c r="K349" s="67" t="n">
        <f aca="false">K345-K348</f>
        <v>0</v>
      </c>
      <c r="L349" s="67" t="n">
        <f aca="false">L345-L348</f>
        <v>0</v>
      </c>
      <c r="M349" s="67" t="n">
        <f aca="false">M345-M348</f>
        <v>0</v>
      </c>
      <c r="N349" s="67" t="n">
        <f aca="false">N345-N348</f>
        <v>0</v>
      </c>
      <c r="O349" s="67" t="n">
        <f aca="false">O345-O348</f>
        <v>0</v>
      </c>
      <c r="P349" s="67" t="n">
        <f aca="false">P345-P348</f>
        <v>0</v>
      </c>
      <c r="Q349" s="67" t="n">
        <f aca="false">Q345-Q348</f>
        <v>0</v>
      </c>
      <c r="R349" s="67" t="n">
        <f aca="false">R345-R348</f>
        <v>0</v>
      </c>
      <c r="S349" s="67" t="n">
        <f aca="false">S345-S348</f>
        <v>0</v>
      </c>
      <c r="T349" s="67" t="n">
        <f aca="false">T345-T348</f>
        <v>0</v>
      </c>
      <c r="U349" s="67" t="n">
        <f aca="false">U345-U348</f>
        <v>0</v>
      </c>
      <c r="V349" s="67" t="n">
        <f aca="false">V345-V348</f>
        <v>0</v>
      </c>
      <c r="W349" s="67" t="n">
        <f aca="false">W345-W348</f>
        <v>0</v>
      </c>
      <c r="X349" s="67" t="n">
        <f aca="false">X345-X348</f>
        <v>0</v>
      </c>
      <c r="Y349" s="67" t="n">
        <f aca="false">Y345-Y348</f>
        <v>0</v>
      </c>
      <c r="Z349" s="67" t="n">
        <f aca="false">Z345-Z348</f>
        <v>0</v>
      </c>
      <c r="AA349" s="67" t="n">
        <f aca="false">AA345-AA348</f>
        <v>0</v>
      </c>
      <c r="AB349" s="67" t="n">
        <f aca="false">AB345-AB348</f>
        <v>0</v>
      </c>
      <c r="AC349" s="67" t="n">
        <f aca="false">AC345-AC348</f>
        <v>0</v>
      </c>
      <c r="AD349" s="67" t="n">
        <f aca="false">AD345-AD348</f>
        <v>0</v>
      </c>
      <c r="AE349" s="67" t="n">
        <f aca="false">AE345-AE348</f>
        <v>0</v>
      </c>
      <c r="AF349" s="67" t="n">
        <f aca="false">AF345-AF348</f>
        <v>0</v>
      </c>
      <c r="AG349" s="67" t="n">
        <f aca="false">AG345-AG348</f>
        <v>0</v>
      </c>
      <c r="AH349" s="67" t="n">
        <f aca="false">AH345-AH348</f>
        <v>0</v>
      </c>
      <c r="AI349" s="67" t="n">
        <f aca="false">AI345-AI348</f>
        <v>0</v>
      </c>
      <c r="AJ349" s="67" t="n">
        <f aca="false">AJ345-AJ348</f>
        <v>0</v>
      </c>
      <c r="AK349" s="67" t="n">
        <f aca="false">AK345-AK348</f>
        <v>0</v>
      </c>
      <c r="AL349" s="67" t="n">
        <f aca="false">AL345-AL348</f>
        <v>0</v>
      </c>
      <c r="AM349" s="67" t="n">
        <f aca="false">AM345-AM348</f>
        <v>0</v>
      </c>
      <c r="AN349" s="67" t="n">
        <f aca="false">AN345-AN348</f>
        <v>0</v>
      </c>
      <c r="AO349" s="67" t="n">
        <f aca="false">AO345-AO348</f>
        <v>0</v>
      </c>
      <c r="AP349" s="67" t="n">
        <f aca="false">AP345-AP348</f>
        <v>0</v>
      </c>
      <c r="AQ349" s="67" t="n">
        <f aca="false">AQ345-AQ348</f>
        <v>0</v>
      </c>
      <c r="AR349" s="67" t="n">
        <f aca="false">AR345-AR348</f>
        <v>0</v>
      </c>
      <c r="AS349" s="67" t="n">
        <f aca="false">AS345-AS348</f>
        <v>0</v>
      </c>
      <c r="AT349" s="67" t="n">
        <f aca="false">AT345-AT348</f>
        <v>0</v>
      </c>
      <c r="AU349" s="67" t="n">
        <f aca="false">AU345-AU348</f>
        <v>0</v>
      </c>
      <c r="AV349" s="67" t="n">
        <f aca="false">AV345-AV348</f>
        <v>0</v>
      </c>
      <c r="AW349" s="67" t="n">
        <f aca="false">AW345-AW348</f>
        <v>0</v>
      </c>
      <c r="AX349" s="67" t="n">
        <f aca="false">AX345-AX348</f>
        <v>0</v>
      </c>
      <c r="AY349" s="67" t="n">
        <f aca="false">AY345-AY348</f>
        <v>0</v>
      </c>
      <c r="AZ349" s="67" t="n">
        <f aca="false">AZ345-AZ348</f>
        <v>0</v>
      </c>
      <c r="BA349" s="67" t="n">
        <f aca="false">BA345-BA348</f>
        <v>0</v>
      </c>
      <c r="BB349" s="67" t="n">
        <f aca="false">BB345-BB348</f>
        <v>0</v>
      </c>
      <c r="BC349" s="67" t="n">
        <f aca="false">BC345-BC348</f>
        <v>0</v>
      </c>
      <c r="BD349" s="67" t="n">
        <f aca="false">BD345-BD348</f>
        <v>0</v>
      </c>
      <c r="BE349" s="67" t="n">
        <f aca="false">BE345-BE348</f>
        <v>0</v>
      </c>
      <c r="BF349" s="67" t="n">
        <f aca="false">BF345-BF348</f>
        <v>0</v>
      </c>
      <c r="BG349" s="67" t="n">
        <f aca="false">BG345-BG348</f>
        <v>0</v>
      </c>
      <c r="BH349" s="67" t="n">
        <f aca="false">BH345-BH348</f>
        <v>0</v>
      </c>
      <c r="BI349" s="67" t="n">
        <f aca="false">BI345-BI348</f>
        <v>0</v>
      </c>
      <c r="BJ349" s="67" t="n">
        <f aca="false">BJ345-BJ348</f>
        <v>0</v>
      </c>
    </row>
    <row r="351" customFormat="false" ht="15.75" hidden="false" customHeight="true" outlineLevel="0" collapsed="false">
      <c r="A351" s="7" t="s">
        <v>456</v>
      </c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</row>
    <row r="352" customFormat="false" ht="15" hidden="false" customHeight="false" outlineLevel="0" collapsed="false">
      <c r="A352" s="6" t="s">
        <v>457</v>
      </c>
      <c r="C352" s="118" t="n">
        <f aca="false">Inputs!$D$55*(1+Inputs!$D$57)^(C$247-1)*MAX(0,MIN(1,C$246*1-Inputs!$D$58+1))/1</f>
        <v>1</v>
      </c>
      <c r="D352" s="118" t="n">
        <f aca="false">Inputs!$D$55*(1+Inputs!$D$57)^(D$247-1)*MAX(0,MIN(1,D$246*1-Inputs!$D$58+1))/1</f>
        <v>1</v>
      </c>
      <c r="E352" s="118" t="n">
        <f aca="false">Inputs!$D$55*(1+Inputs!$D$57)^(E$247-1)*MAX(0,MIN(1,E$246*1-Inputs!$D$58+1))/1</f>
        <v>1</v>
      </c>
      <c r="F352" s="118" t="n">
        <f aca="false">Inputs!$D$55*(1+Inputs!$D$57)^(F$247-1)*MAX(0,MIN(1,F$246*1-Inputs!$D$58+1))/1</f>
        <v>1</v>
      </c>
      <c r="G352" s="118" t="n">
        <f aca="false">Inputs!$D$55*(1+Inputs!$D$57)^(G$247-1)*MAX(0,MIN(1,G$246*1-Inputs!$D$58+1))/1</f>
        <v>1</v>
      </c>
      <c r="H352" s="118" t="n">
        <f aca="false">Inputs!$D$55*(1+Inputs!$D$57)^(H$247-1)*MAX(0,MIN(1,H$246*1-Inputs!$D$58+1))/1</f>
        <v>1</v>
      </c>
      <c r="I352" s="118" t="n">
        <f aca="false">Inputs!$D$55*(1+Inputs!$D$57)^(I$247-1)*MAX(0,MIN(1,I$246*1-Inputs!$D$58+1))/1</f>
        <v>1</v>
      </c>
      <c r="J352" s="118" t="n">
        <f aca="false">Inputs!$D$55*(1+Inputs!$D$57)^(J$247-1)*MAX(0,MIN(1,J$246*1-Inputs!$D$58+1))/1</f>
        <v>1</v>
      </c>
      <c r="K352" s="118" t="n">
        <f aca="false">Inputs!$D$55*(1+Inputs!$D$57)^(K$247-1)*MAX(0,MIN(1,K$246*1-Inputs!$D$58+1))/1</f>
        <v>1</v>
      </c>
      <c r="L352" s="118" t="n">
        <f aca="false">Inputs!$D$55*(1+Inputs!$D$57)^(L$247-1)*MAX(0,MIN(1,L$246*1-Inputs!$D$58+1))/1</f>
        <v>1</v>
      </c>
      <c r="M352" s="118" t="n">
        <f aca="false">Inputs!$D$55*(1+Inputs!$D$57)^(M$247-1)*MAX(0,MIN(1,M$246*1-Inputs!$D$58+1))/1</f>
        <v>1</v>
      </c>
      <c r="N352" s="118" t="n">
        <f aca="false">Inputs!$D$55*(1+Inputs!$D$57)^(N$247-1)*MAX(0,MIN(1,N$246*1-Inputs!$D$58+1))/1</f>
        <v>1</v>
      </c>
      <c r="O352" s="118" t="n">
        <f aca="false">Inputs!$D$55*(1+Inputs!$D$57)^(O$247-1)*MAX(0,MIN(1,O$246*1-Inputs!$D$58+1))/1</f>
        <v>1</v>
      </c>
      <c r="P352" s="118" t="n">
        <f aca="false">Inputs!$D$55*(1+Inputs!$D$57)^(P$247-1)*MAX(0,MIN(1,P$246*1-Inputs!$D$58+1))/1</f>
        <v>1</v>
      </c>
      <c r="Q352" s="118" t="n">
        <f aca="false">Inputs!$D$55*(1+Inputs!$D$57)^(Q$247-1)*MAX(0,MIN(1,Q$246*1-Inputs!$D$58+1))/1</f>
        <v>1</v>
      </c>
      <c r="R352" s="118" t="n">
        <f aca="false">Inputs!$D$55*(1+Inputs!$D$57)^(R$247-1)*MAX(0,MIN(1,R$246*1-Inputs!$D$58+1))/1</f>
        <v>1</v>
      </c>
      <c r="S352" s="118" t="n">
        <f aca="false">Inputs!$D$55*(1+Inputs!$D$57)^(S$247-1)*MAX(0,MIN(1,S$246*1-Inputs!$D$58+1))/1</f>
        <v>1</v>
      </c>
      <c r="T352" s="118" t="n">
        <f aca="false">Inputs!$D$55*(1+Inputs!$D$57)^(T$247-1)*MAX(0,MIN(1,T$246*1-Inputs!$D$58+1))/1</f>
        <v>1</v>
      </c>
      <c r="U352" s="118" t="n">
        <f aca="false">Inputs!$D$55*(1+Inputs!$D$57)^(U$247-1)*MAX(0,MIN(1,U$246*1-Inputs!$D$58+1))/1</f>
        <v>1</v>
      </c>
      <c r="V352" s="118" t="n">
        <f aca="false">Inputs!$D$55*(1+Inputs!$D$57)^(V$247-1)*MAX(0,MIN(1,V$246*1-Inputs!$D$58+1))/1</f>
        <v>1</v>
      </c>
      <c r="W352" s="118" t="n">
        <f aca="false">Inputs!$D$55*(1+Inputs!$D$57)^(W$247-1)*MAX(0,MIN(1,W$246*1-Inputs!$D$58+1))/1</f>
        <v>1</v>
      </c>
      <c r="X352" s="118" t="n">
        <f aca="false">Inputs!$D$55*(1+Inputs!$D$57)^(X$247-1)*MAX(0,MIN(1,X$246*1-Inputs!$D$58+1))/1</f>
        <v>1</v>
      </c>
      <c r="Y352" s="118" t="n">
        <f aca="false">Inputs!$D$55*(1+Inputs!$D$57)^(Y$247-1)*MAX(0,MIN(1,Y$246*1-Inputs!$D$58+1))/1</f>
        <v>1</v>
      </c>
      <c r="Z352" s="118" t="n">
        <f aca="false">Inputs!$D$55*(1+Inputs!$D$57)^(Z$247-1)*MAX(0,MIN(1,Z$246*1-Inputs!$D$58+1))/1</f>
        <v>1</v>
      </c>
      <c r="AA352" s="118" t="n">
        <f aca="false">Inputs!$D$55*(1+Inputs!$D$57)^(AA$247-1)*MAX(0,MIN(1,AA$246*1-Inputs!$D$58+1))/1</f>
        <v>1</v>
      </c>
      <c r="AB352" s="118" t="n">
        <f aca="false">Inputs!$D$55*(1+Inputs!$D$57)^(AB$247-1)*MAX(0,MIN(1,AB$246*1-Inputs!$D$58+1))/1</f>
        <v>1</v>
      </c>
      <c r="AC352" s="118" t="n">
        <f aca="false">Inputs!$D$55*(1+Inputs!$D$57)^(AC$247-1)*MAX(0,MIN(1,AC$246*1-Inputs!$D$58+1))/1</f>
        <v>1</v>
      </c>
      <c r="AD352" s="118" t="n">
        <f aca="false">Inputs!$D$55*(1+Inputs!$D$57)^(AD$247-1)*MAX(0,MIN(1,AD$246*1-Inputs!$D$58+1))/1</f>
        <v>1</v>
      </c>
      <c r="AE352" s="118" t="n">
        <f aca="false">Inputs!$D$55*(1+Inputs!$D$57)^(AE$247-1)*MAX(0,MIN(1,AE$246*1-Inputs!$D$58+1))/1</f>
        <v>1</v>
      </c>
      <c r="AF352" s="118" t="n">
        <f aca="false">Inputs!$D$55*(1+Inputs!$D$57)^(AF$247-1)*MAX(0,MIN(1,AF$246*1-Inputs!$D$58+1))/1</f>
        <v>1</v>
      </c>
      <c r="AG352" s="118" t="n">
        <f aca="false">Inputs!$D$55*(1+Inputs!$D$57)^(AG$247-1)*MAX(0,MIN(1,AG$246*1-Inputs!$D$58+1))/1</f>
        <v>1</v>
      </c>
      <c r="AH352" s="118" t="n">
        <f aca="false">Inputs!$D$55*(1+Inputs!$D$57)^(AH$247-1)*MAX(0,MIN(1,AH$246*1-Inputs!$D$58+1))/1</f>
        <v>1</v>
      </c>
      <c r="AI352" s="118" t="n">
        <f aca="false">Inputs!$D$55*(1+Inputs!$D$57)^(AI$247-1)*MAX(0,MIN(1,AI$246*1-Inputs!$D$58+1))/1</f>
        <v>1</v>
      </c>
      <c r="AJ352" s="118" t="n">
        <f aca="false">Inputs!$D$55*(1+Inputs!$D$57)^(AJ$247-1)*MAX(0,MIN(1,AJ$246*1-Inputs!$D$58+1))/1</f>
        <v>1</v>
      </c>
      <c r="AK352" s="118" t="n">
        <f aca="false">Inputs!$D$55*(1+Inputs!$D$57)^(AK$247-1)*MAX(0,MIN(1,AK$246*1-Inputs!$D$58+1))/1</f>
        <v>1</v>
      </c>
      <c r="AL352" s="118" t="n">
        <f aca="false">Inputs!$D$55*(1+Inputs!$D$57)^(AL$247-1)*MAX(0,MIN(1,AL$246*1-Inputs!$D$58+1))/1</f>
        <v>1</v>
      </c>
      <c r="AM352" s="118" t="n">
        <f aca="false">Inputs!$D$55*(1+Inputs!$D$57)^(AM$247-1)*MAX(0,MIN(1,AM$246*1-Inputs!$D$58+1))/1</f>
        <v>1</v>
      </c>
      <c r="AN352" s="118" t="n">
        <f aca="false">Inputs!$D$55*(1+Inputs!$D$57)^(AN$247-1)*MAX(0,MIN(1,AN$246*1-Inputs!$D$58+1))/1</f>
        <v>1</v>
      </c>
      <c r="AO352" s="118" t="n">
        <f aca="false">Inputs!$D$55*(1+Inputs!$D$57)^(AO$247-1)*MAX(0,MIN(1,AO$246*1-Inputs!$D$58+1))/1</f>
        <v>1</v>
      </c>
      <c r="AP352" s="118" t="n">
        <f aca="false">Inputs!$D$55*(1+Inputs!$D$57)^(AP$247-1)*MAX(0,MIN(1,AP$246*1-Inputs!$D$58+1))/1</f>
        <v>1</v>
      </c>
      <c r="AQ352" s="118" t="n">
        <f aca="false">Inputs!$D$55*(1+Inputs!$D$57)^(AQ$247-1)*MAX(0,MIN(1,AQ$246*1-Inputs!$D$58+1))/1</f>
        <v>1</v>
      </c>
      <c r="AR352" s="118" t="n">
        <f aca="false">Inputs!$D$55*(1+Inputs!$D$57)^(AR$247-1)*MAX(0,MIN(1,AR$246*1-Inputs!$D$58+1))/1</f>
        <v>1</v>
      </c>
      <c r="AS352" s="118" t="n">
        <f aca="false">Inputs!$D$55*(1+Inputs!$D$57)^(AS$247-1)*MAX(0,MIN(1,AS$246*1-Inputs!$D$58+1))/1</f>
        <v>1</v>
      </c>
      <c r="AT352" s="118" t="n">
        <f aca="false">Inputs!$D$55*(1+Inputs!$D$57)^(AT$247-1)*MAX(0,MIN(1,AT$246*1-Inputs!$D$58+1))/1</f>
        <v>1</v>
      </c>
      <c r="AU352" s="118" t="n">
        <f aca="false">Inputs!$D$55*(1+Inputs!$D$57)^(AU$247-1)*MAX(0,MIN(1,AU$246*1-Inputs!$D$58+1))/1</f>
        <v>1</v>
      </c>
      <c r="AV352" s="118" t="n">
        <f aca="false">Inputs!$D$55*(1+Inputs!$D$57)^(AV$247-1)*MAX(0,MIN(1,AV$246*1-Inputs!$D$58+1))/1</f>
        <v>1</v>
      </c>
      <c r="AW352" s="118" t="n">
        <f aca="false">Inputs!$D$55*(1+Inputs!$D$57)^(AW$247-1)*MAX(0,MIN(1,AW$246*1-Inputs!$D$58+1))/1</f>
        <v>1</v>
      </c>
      <c r="AX352" s="118" t="n">
        <f aca="false">Inputs!$D$55*(1+Inputs!$D$57)^(AX$247-1)*MAX(0,MIN(1,AX$246*1-Inputs!$D$58+1))/1</f>
        <v>1</v>
      </c>
      <c r="AY352" s="118" t="n">
        <f aca="false">Inputs!$D$55*(1+Inputs!$D$57)^(AY$247-1)*MAX(0,MIN(1,AY$246*1-Inputs!$D$58+1))/1</f>
        <v>1</v>
      </c>
      <c r="AZ352" s="118" t="n">
        <f aca="false">Inputs!$D$55*(1+Inputs!$D$57)^(AZ$247-1)*MAX(0,MIN(1,AZ$246*1-Inputs!$D$58+1))/1</f>
        <v>1</v>
      </c>
      <c r="BA352" s="118" t="n">
        <f aca="false">Inputs!$D$55*(1+Inputs!$D$57)^(BA$247-1)*MAX(0,MIN(1,BA$246*1-Inputs!$D$58+1))/1</f>
        <v>1</v>
      </c>
      <c r="BB352" s="118" t="n">
        <f aca="false">Inputs!$D$55*(1+Inputs!$D$57)^(BB$247-1)*MAX(0,MIN(1,BB$246*1-Inputs!$D$58+1))/1</f>
        <v>1</v>
      </c>
      <c r="BC352" s="118" t="n">
        <f aca="false">Inputs!$D$55*(1+Inputs!$D$57)^(BC$247-1)*MAX(0,MIN(1,BC$246*1-Inputs!$D$58+1))/1</f>
        <v>1</v>
      </c>
      <c r="BD352" s="118" t="n">
        <f aca="false">Inputs!$D$55*(1+Inputs!$D$57)^(BD$247-1)*MAX(0,MIN(1,BD$246*1-Inputs!$D$58+1))/1</f>
        <v>1</v>
      </c>
      <c r="BE352" s="118" t="n">
        <f aca="false">Inputs!$D$55*(1+Inputs!$D$57)^(BE$247-1)*MAX(0,MIN(1,BE$246*1-Inputs!$D$58+1))/1</f>
        <v>1</v>
      </c>
      <c r="BF352" s="118" t="n">
        <f aca="false">Inputs!$D$55*(1+Inputs!$D$57)^(BF$247-1)*MAX(0,MIN(1,BF$246*1-Inputs!$D$58+1))/1</f>
        <v>1</v>
      </c>
      <c r="BG352" s="118" t="n">
        <f aca="false">Inputs!$D$55*(1+Inputs!$D$57)^(BG$247-1)*MAX(0,MIN(1,BG$246*1-Inputs!$D$58+1))/1</f>
        <v>1</v>
      </c>
      <c r="BH352" s="118" t="n">
        <f aca="false">Inputs!$D$55*(1+Inputs!$D$57)^(BH$247-1)*MAX(0,MIN(1,BH$246*1-Inputs!$D$58+1))/1</f>
        <v>1</v>
      </c>
      <c r="BI352" s="118" t="n">
        <f aca="false">Inputs!$D$55*(1+Inputs!$D$57)^(BI$247-1)*MAX(0,MIN(1,BI$246*1-Inputs!$D$58+1))/1</f>
        <v>1</v>
      </c>
      <c r="BJ352" s="118" t="n">
        <f aca="false">Inputs!$D$55*(1+Inputs!$D$57)^(BJ$247-1)*MAX(0,MIN(1,BJ$246*1-Inputs!$D$58+1))/1</f>
        <v>1</v>
      </c>
    </row>
    <row r="353" customFormat="false" ht="15" hidden="false" customHeight="false" outlineLevel="0" collapsed="false">
      <c r="A353" s="6" t="s">
        <v>458</v>
      </c>
      <c r="C353" s="118" t="n">
        <f aca="false">Inputs!$D$59*(1+Inputs!$D$61)^(C$247-1)*MAX(0,MIN(1,C$246*1-Inputs!$D$62+1))/1</f>
        <v>1.2</v>
      </c>
      <c r="D353" s="118" t="n">
        <f aca="false">Inputs!$D$59*(1+Inputs!$D$61)^(D$247-1)*MAX(0,MIN(1,D$246*1-Inputs!$D$62+1))/1</f>
        <v>1.2</v>
      </c>
      <c r="E353" s="118" t="n">
        <f aca="false">Inputs!$D$59*(1+Inputs!$D$61)^(E$247-1)*MAX(0,MIN(1,E$246*1-Inputs!$D$62+1))/1</f>
        <v>1.2</v>
      </c>
      <c r="F353" s="118" t="n">
        <f aca="false">Inputs!$D$59*(1+Inputs!$D$61)^(F$247-1)*MAX(0,MIN(1,F$246*1-Inputs!$D$62+1))/1</f>
        <v>1.2</v>
      </c>
      <c r="G353" s="118" t="n">
        <f aca="false">Inputs!$D$59*(1+Inputs!$D$61)^(G$247-1)*MAX(0,MIN(1,G$246*1-Inputs!$D$62+1))/1</f>
        <v>1.2</v>
      </c>
      <c r="H353" s="118" t="n">
        <f aca="false">Inputs!$D$59*(1+Inputs!$D$61)^(H$247-1)*MAX(0,MIN(1,H$246*1-Inputs!$D$62+1))/1</f>
        <v>1.2</v>
      </c>
      <c r="I353" s="118" t="n">
        <f aca="false">Inputs!$D$59*(1+Inputs!$D$61)^(I$247-1)*MAX(0,MIN(1,I$246*1-Inputs!$D$62+1))/1</f>
        <v>1.2</v>
      </c>
      <c r="J353" s="118" t="n">
        <f aca="false">Inputs!$D$59*(1+Inputs!$D$61)^(J$247-1)*MAX(0,MIN(1,J$246*1-Inputs!$D$62+1))/1</f>
        <v>1.2</v>
      </c>
      <c r="K353" s="118" t="n">
        <f aca="false">Inputs!$D$59*(1+Inputs!$D$61)^(K$247-1)*MAX(0,MIN(1,K$246*1-Inputs!$D$62+1))/1</f>
        <v>1.2</v>
      </c>
      <c r="L353" s="118" t="n">
        <f aca="false">Inputs!$D$59*(1+Inputs!$D$61)^(L$247-1)*MAX(0,MIN(1,L$246*1-Inputs!$D$62+1))/1</f>
        <v>1.2</v>
      </c>
      <c r="M353" s="118" t="n">
        <f aca="false">Inputs!$D$59*(1+Inputs!$D$61)^(M$247-1)*MAX(0,MIN(1,M$246*1-Inputs!$D$62+1))/1</f>
        <v>1.2</v>
      </c>
      <c r="N353" s="118" t="n">
        <f aca="false">Inputs!$D$59*(1+Inputs!$D$61)^(N$247-1)*MAX(0,MIN(1,N$246*1-Inputs!$D$62+1))/1</f>
        <v>1.2</v>
      </c>
      <c r="O353" s="118" t="n">
        <f aca="false">Inputs!$D$59*(1+Inputs!$D$61)^(O$247-1)*MAX(0,MIN(1,O$246*1-Inputs!$D$62+1))/1</f>
        <v>1.2</v>
      </c>
      <c r="P353" s="118" t="n">
        <f aca="false">Inputs!$D$59*(1+Inputs!$D$61)^(P$247-1)*MAX(0,MIN(1,P$246*1-Inputs!$D$62+1))/1</f>
        <v>1.2</v>
      </c>
      <c r="Q353" s="118" t="n">
        <f aca="false">Inputs!$D$59*(1+Inputs!$D$61)^(Q$247-1)*MAX(0,MIN(1,Q$246*1-Inputs!$D$62+1))/1</f>
        <v>1.2</v>
      </c>
      <c r="R353" s="118" t="n">
        <f aca="false">Inputs!$D$59*(1+Inputs!$D$61)^(R$247-1)*MAX(0,MIN(1,R$246*1-Inputs!$D$62+1))/1</f>
        <v>1.2</v>
      </c>
      <c r="S353" s="118" t="n">
        <f aca="false">Inputs!$D$59*(1+Inputs!$D$61)^(S$247-1)*MAX(0,MIN(1,S$246*1-Inputs!$D$62+1))/1</f>
        <v>1.2</v>
      </c>
      <c r="T353" s="118" t="n">
        <f aca="false">Inputs!$D$59*(1+Inputs!$D$61)^(T$247-1)*MAX(0,MIN(1,T$246*1-Inputs!$D$62+1))/1</f>
        <v>1.2</v>
      </c>
      <c r="U353" s="118" t="n">
        <f aca="false">Inputs!$D$59*(1+Inputs!$D$61)^(U$247-1)*MAX(0,MIN(1,U$246*1-Inputs!$D$62+1))/1</f>
        <v>1.2</v>
      </c>
      <c r="V353" s="118" t="n">
        <f aca="false">Inputs!$D$59*(1+Inputs!$D$61)^(V$247-1)*MAX(0,MIN(1,V$246*1-Inputs!$D$62+1))/1</f>
        <v>1.2</v>
      </c>
      <c r="W353" s="118" t="n">
        <f aca="false">Inputs!$D$59*(1+Inputs!$D$61)^(W$247-1)*MAX(0,MIN(1,W$246*1-Inputs!$D$62+1))/1</f>
        <v>1.2</v>
      </c>
      <c r="X353" s="118" t="n">
        <f aca="false">Inputs!$D$59*(1+Inputs!$D$61)^(X$247-1)*MAX(0,MIN(1,X$246*1-Inputs!$D$62+1))/1</f>
        <v>1.2</v>
      </c>
      <c r="Y353" s="118" t="n">
        <f aca="false">Inputs!$D$59*(1+Inputs!$D$61)^(Y$247-1)*MAX(0,MIN(1,Y$246*1-Inputs!$D$62+1))/1</f>
        <v>1.2</v>
      </c>
      <c r="Z353" s="118" t="n">
        <f aca="false">Inputs!$D$59*(1+Inputs!$D$61)^(Z$247-1)*MAX(0,MIN(1,Z$246*1-Inputs!$D$62+1))/1</f>
        <v>1.2</v>
      </c>
      <c r="AA353" s="118" t="n">
        <f aca="false">Inputs!$D$59*(1+Inputs!$D$61)^(AA$247-1)*MAX(0,MIN(1,AA$246*1-Inputs!$D$62+1))/1</f>
        <v>1.2</v>
      </c>
      <c r="AB353" s="118" t="n">
        <f aca="false">Inputs!$D$59*(1+Inputs!$D$61)^(AB$247-1)*MAX(0,MIN(1,AB$246*1-Inputs!$D$62+1))/1</f>
        <v>1.2</v>
      </c>
      <c r="AC353" s="118" t="n">
        <f aca="false">Inputs!$D$59*(1+Inputs!$D$61)^(AC$247-1)*MAX(0,MIN(1,AC$246*1-Inputs!$D$62+1))/1</f>
        <v>1.2</v>
      </c>
      <c r="AD353" s="118" t="n">
        <f aca="false">Inputs!$D$59*(1+Inputs!$D$61)^(AD$247-1)*MAX(0,MIN(1,AD$246*1-Inputs!$D$62+1))/1</f>
        <v>1.2</v>
      </c>
      <c r="AE353" s="118" t="n">
        <f aca="false">Inputs!$D$59*(1+Inputs!$D$61)^(AE$247-1)*MAX(0,MIN(1,AE$246*1-Inputs!$D$62+1))/1</f>
        <v>1.2</v>
      </c>
      <c r="AF353" s="118" t="n">
        <f aca="false">Inputs!$D$59*(1+Inputs!$D$61)^(AF$247-1)*MAX(0,MIN(1,AF$246*1-Inputs!$D$62+1))/1</f>
        <v>1.2</v>
      </c>
      <c r="AG353" s="118" t="n">
        <f aca="false">Inputs!$D$59*(1+Inputs!$D$61)^(AG$247-1)*MAX(0,MIN(1,AG$246*1-Inputs!$D$62+1))/1</f>
        <v>1.2</v>
      </c>
      <c r="AH353" s="118" t="n">
        <f aca="false">Inputs!$D$59*(1+Inputs!$D$61)^(AH$247-1)*MAX(0,MIN(1,AH$246*1-Inputs!$D$62+1))/1</f>
        <v>1.2</v>
      </c>
      <c r="AI353" s="118" t="n">
        <f aca="false">Inputs!$D$59*(1+Inputs!$D$61)^(AI$247-1)*MAX(0,MIN(1,AI$246*1-Inputs!$D$62+1))/1</f>
        <v>1.2</v>
      </c>
      <c r="AJ353" s="118" t="n">
        <f aca="false">Inputs!$D$59*(1+Inputs!$D$61)^(AJ$247-1)*MAX(0,MIN(1,AJ$246*1-Inputs!$D$62+1))/1</f>
        <v>1.2</v>
      </c>
      <c r="AK353" s="118" t="n">
        <f aca="false">Inputs!$D$59*(1+Inputs!$D$61)^(AK$247-1)*MAX(0,MIN(1,AK$246*1-Inputs!$D$62+1))/1</f>
        <v>1.2</v>
      </c>
      <c r="AL353" s="118" t="n">
        <f aca="false">Inputs!$D$59*(1+Inputs!$D$61)^(AL$247-1)*MAX(0,MIN(1,AL$246*1-Inputs!$D$62+1))/1</f>
        <v>1.2</v>
      </c>
      <c r="AM353" s="118" t="n">
        <f aca="false">Inputs!$D$59*(1+Inputs!$D$61)^(AM$247-1)*MAX(0,MIN(1,AM$246*1-Inputs!$D$62+1))/1</f>
        <v>1.2</v>
      </c>
      <c r="AN353" s="118" t="n">
        <f aca="false">Inputs!$D$59*(1+Inputs!$D$61)^(AN$247-1)*MAX(0,MIN(1,AN$246*1-Inputs!$D$62+1))/1</f>
        <v>1.2</v>
      </c>
      <c r="AO353" s="118" t="n">
        <f aca="false">Inputs!$D$59*(1+Inputs!$D$61)^(AO$247-1)*MAX(0,MIN(1,AO$246*1-Inputs!$D$62+1))/1</f>
        <v>1.2</v>
      </c>
      <c r="AP353" s="118" t="n">
        <f aca="false">Inputs!$D$59*(1+Inputs!$D$61)^(AP$247-1)*MAX(0,MIN(1,AP$246*1-Inputs!$D$62+1))/1</f>
        <v>1.2</v>
      </c>
      <c r="AQ353" s="118" t="n">
        <f aca="false">Inputs!$D$59*(1+Inputs!$D$61)^(AQ$247-1)*MAX(0,MIN(1,AQ$246*1-Inputs!$D$62+1))/1</f>
        <v>1.2</v>
      </c>
      <c r="AR353" s="118" t="n">
        <f aca="false">Inputs!$D$59*(1+Inputs!$D$61)^(AR$247-1)*MAX(0,MIN(1,AR$246*1-Inputs!$D$62+1))/1</f>
        <v>1.2</v>
      </c>
      <c r="AS353" s="118" t="n">
        <f aca="false">Inputs!$D$59*(1+Inputs!$D$61)^(AS$247-1)*MAX(0,MIN(1,AS$246*1-Inputs!$D$62+1))/1</f>
        <v>1.2</v>
      </c>
      <c r="AT353" s="118" t="n">
        <f aca="false">Inputs!$D$59*(1+Inputs!$D$61)^(AT$247-1)*MAX(0,MIN(1,AT$246*1-Inputs!$D$62+1))/1</f>
        <v>1.2</v>
      </c>
      <c r="AU353" s="118" t="n">
        <f aca="false">Inputs!$D$59*(1+Inputs!$D$61)^(AU$247-1)*MAX(0,MIN(1,AU$246*1-Inputs!$D$62+1))/1</f>
        <v>1.2</v>
      </c>
      <c r="AV353" s="118" t="n">
        <f aca="false">Inputs!$D$59*(1+Inputs!$D$61)^(AV$247-1)*MAX(0,MIN(1,AV$246*1-Inputs!$D$62+1))/1</f>
        <v>1.2</v>
      </c>
      <c r="AW353" s="118" t="n">
        <f aca="false">Inputs!$D$59*(1+Inputs!$D$61)^(AW$247-1)*MAX(0,MIN(1,AW$246*1-Inputs!$D$62+1))/1</f>
        <v>1.2</v>
      </c>
      <c r="AX353" s="118" t="n">
        <f aca="false">Inputs!$D$59*(1+Inputs!$D$61)^(AX$247-1)*MAX(0,MIN(1,AX$246*1-Inputs!$D$62+1))/1</f>
        <v>1.2</v>
      </c>
      <c r="AY353" s="118" t="n">
        <f aca="false">Inputs!$D$59*(1+Inputs!$D$61)^(AY$247-1)*MAX(0,MIN(1,AY$246*1-Inputs!$D$62+1))/1</f>
        <v>1.2</v>
      </c>
      <c r="AZ353" s="118" t="n">
        <f aca="false">Inputs!$D$59*(1+Inputs!$D$61)^(AZ$247-1)*MAX(0,MIN(1,AZ$246*1-Inputs!$D$62+1))/1</f>
        <v>1.2</v>
      </c>
      <c r="BA353" s="118" t="n">
        <f aca="false">Inputs!$D$59*(1+Inputs!$D$61)^(BA$247-1)*MAX(0,MIN(1,BA$246*1-Inputs!$D$62+1))/1</f>
        <v>1.2</v>
      </c>
      <c r="BB353" s="118" t="n">
        <f aca="false">Inputs!$D$59*(1+Inputs!$D$61)^(BB$247-1)*MAX(0,MIN(1,BB$246*1-Inputs!$D$62+1))/1</f>
        <v>1.2</v>
      </c>
      <c r="BC353" s="118" t="n">
        <f aca="false">Inputs!$D$59*(1+Inputs!$D$61)^(BC$247-1)*MAX(0,MIN(1,BC$246*1-Inputs!$D$62+1))/1</f>
        <v>1.2</v>
      </c>
      <c r="BD353" s="118" t="n">
        <f aca="false">Inputs!$D$59*(1+Inputs!$D$61)^(BD$247-1)*MAX(0,MIN(1,BD$246*1-Inputs!$D$62+1))/1</f>
        <v>1.2</v>
      </c>
      <c r="BE353" s="118" t="n">
        <f aca="false">Inputs!$D$59*(1+Inputs!$D$61)^(BE$247-1)*MAX(0,MIN(1,BE$246*1-Inputs!$D$62+1))/1</f>
        <v>1.2</v>
      </c>
      <c r="BF353" s="118" t="n">
        <f aca="false">Inputs!$D$59*(1+Inputs!$D$61)^(BF$247-1)*MAX(0,MIN(1,BF$246*1-Inputs!$D$62+1))/1</f>
        <v>1.2</v>
      </c>
      <c r="BG353" s="118" t="n">
        <f aca="false">Inputs!$D$59*(1+Inputs!$D$61)^(BG$247-1)*MAX(0,MIN(1,BG$246*1-Inputs!$D$62+1))/1</f>
        <v>1.2</v>
      </c>
      <c r="BH353" s="118" t="n">
        <f aca="false">Inputs!$D$59*(1+Inputs!$D$61)^(BH$247-1)*MAX(0,MIN(1,BH$246*1-Inputs!$D$62+1))/1</f>
        <v>1.2</v>
      </c>
      <c r="BI353" s="118" t="n">
        <f aca="false">Inputs!$D$59*(1+Inputs!$D$61)^(BI$247-1)*MAX(0,MIN(1,BI$246*1-Inputs!$D$62+1))/1</f>
        <v>1.2</v>
      </c>
      <c r="BJ353" s="118" t="n">
        <f aca="false">Inputs!$D$59*(1+Inputs!$D$61)^(BJ$247-1)*MAX(0,MIN(1,BJ$246*1-Inputs!$D$62+1))/1</f>
        <v>1.2</v>
      </c>
    </row>
    <row r="354" customFormat="false" ht="15" hidden="false" customHeight="false" outlineLevel="0" collapsed="false">
      <c r="A354" s="6" t="s">
        <v>459</v>
      </c>
      <c r="C354" s="118" t="n">
        <f aca="false">Inputs!$D$63*(1+Inputs!$D$65)^(C$247-1)*MAX(0,MIN(1,C$246*1-Inputs!$D$66+1))/1</f>
        <v>1</v>
      </c>
      <c r="D354" s="118" t="n">
        <f aca="false">Inputs!$D$63*(1+Inputs!$D$65)^(D$247-1)*MAX(0,MIN(1,D$246*1-Inputs!$D$66+1))/1</f>
        <v>1</v>
      </c>
      <c r="E354" s="118" t="n">
        <f aca="false">Inputs!$D$63*(1+Inputs!$D$65)^(E$247-1)*MAX(0,MIN(1,E$246*1-Inputs!$D$66+1))/1</f>
        <v>1</v>
      </c>
      <c r="F354" s="118" t="n">
        <f aca="false">Inputs!$D$63*(1+Inputs!$D$65)^(F$247-1)*MAX(0,MIN(1,F$246*1-Inputs!$D$66+1))/1</f>
        <v>1</v>
      </c>
      <c r="G354" s="118" t="n">
        <f aca="false">Inputs!$D$63*(1+Inputs!$D$65)^(G$247-1)*MAX(0,MIN(1,G$246*1-Inputs!$D$66+1))/1</f>
        <v>1</v>
      </c>
      <c r="H354" s="118" t="n">
        <f aca="false">Inputs!$D$63*(1+Inputs!$D$65)^(H$247-1)*MAX(0,MIN(1,H$246*1-Inputs!$D$66+1))/1</f>
        <v>1</v>
      </c>
      <c r="I354" s="118" t="n">
        <f aca="false">Inputs!$D$63*(1+Inputs!$D$65)^(I$247-1)*MAX(0,MIN(1,I$246*1-Inputs!$D$66+1))/1</f>
        <v>1</v>
      </c>
      <c r="J354" s="118" t="n">
        <f aca="false">Inputs!$D$63*(1+Inputs!$D$65)^(J$247-1)*MAX(0,MIN(1,J$246*1-Inputs!$D$66+1))/1</f>
        <v>1</v>
      </c>
      <c r="K354" s="118" t="n">
        <f aca="false">Inputs!$D$63*(1+Inputs!$D$65)^(K$247-1)*MAX(0,MIN(1,K$246*1-Inputs!$D$66+1))/1</f>
        <v>1</v>
      </c>
      <c r="L354" s="118" t="n">
        <f aca="false">Inputs!$D$63*(1+Inputs!$D$65)^(L$247-1)*MAX(0,MIN(1,L$246*1-Inputs!$D$66+1))/1</f>
        <v>1</v>
      </c>
      <c r="M354" s="118" t="n">
        <f aca="false">Inputs!$D$63*(1+Inputs!$D$65)^(M$247-1)*MAX(0,MIN(1,M$246*1-Inputs!$D$66+1))/1</f>
        <v>1</v>
      </c>
      <c r="N354" s="118" t="n">
        <f aca="false">Inputs!$D$63*(1+Inputs!$D$65)^(N$247-1)*MAX(0,MIN(1,N$246*1-Inputs!$D$66+1))/1</f>
        <v>1</v>
      </c>
      <c r="O354" s="118" t="n">
        <f aca="false">Inputs!$D$63*(1+Inputs!$D$65)^(O$247-1)*MAX(0,MIN(1,O$246*1-Inputs!$D$66+1))/1</f>
        <v>1</v>
      </c>
      <c r="P354" s="118" t="n">
        <f aca="false">Inputs!$D$63*(1+Inputs!$D$65)^(P$247-1)*MAX(0,MIN(1,P$246*1-Inputs!$D$66+1))/1</f>
        <v>1</v>
      </c>
      <c r="Q354" s="118" t="n">
        <f aca="false">Inputs!$D$63*(1+Inputs!$D$65)^(Q$247-1)*MAX(0,MIN(1,Q$246*1-Inputs!$D$66+1))/1</f>
        <v>1</v>
      </c>
      <c r="R354" s="118" t="n">
        <f aca="false">Inputs!$D$63*(1+Inputs!$D$65)^(R$247-1)*MAX(0,MIN(1,R$246*1-Inputs!$D$66+1))/1</f>
        <v>1</v>
      </c>
      <c r="S354" s="118" t="n">
        <f aca="false">Inputs!$D$63*(1+Inputs!$D$65)^(S$247-1)*MAX(0,MIN(1,S$246*1-Inputs!$D$66+1))/1</f>
        <v>1</v>
      </c>
      <c r="T354" s="118" t="n">
        <f aca="false">Inputs!$D$63*(1+Inputs!$D$65)^(T$247-1)*MAX(0,MIN(1,T$246*1-Inputs!$D$66+1))/1</f>
        <v>1</v>
      </c>
      <c r="U354" s="118" t="n">
        <f aca="false">Inputs!$D$63*(1+Inputs!$D$65)^(U$247-1)*MAX(0,MIN(1,U$246*1-Inputs!$D$66+1))/1</f>
        <v>1</v>
      </c>
      <c r="V354" s="118" t="n">
        <f aca="false">Inputs!$D$63*(1+Inputs!$D$65)^(V$247-1)*MAX(0,MIN(1,V$246*1-Inputs!$D$66+1))/1</f>
        <v>1</v>
      </c>
      <c r="W354" s="118" t="n">
        <f aca="false">Inputs!$D$63*(1+Inputs!$D$65)^(W$247-1)*MAX(0,MIN(1,W$246*1-Inputs!$D$66+1))/1</f>
        <v>1</v>
      </c>
      <c r="X354" s="118" t="n">
        <f aca="false">Inputs!$D$63*(1+Inputs!$D$65)^(X$247-1)*MAX(0,MIN(1,X$246*1-Inputs!$D$66+1))/1</f>
        <v>1</v>
      </c>
      <c r="Y354" s="118" t="n">
        <f aca="false">Inputs!$D$63*(1+Inputs!$D$65)^(Y$247-1)*MAX(0,MIN(1,Y$246*1-Inputs!$D$66+1))/1</f>
        <v>1</v>
      </c>
      <c r="Z354" s="118" t="n">
        <f aca="false">Inputs!$D$63*(1+Inputs!$D$65)^(Z$247-1)*MAX(0,MIN(1,Z$246*1-Inputs!$D$66+1))/1</f>
        <v>1</v>
      </c>
      <c r="AA354" s="118" t="n">
        <f aca="false">Inputs!$D$63*(1+Inputs!$D$65)^(AA$247-1)*MAX(0,MIN(1,AA$246*1-Inputs!$D$66+1))/1</f>
        <v>1</v>
      </c>
      <c r="AB354" s="118" t="n">
        <f aca="false">Inputs!$D$63*(1+Inputs!$D$65)^(AB$247-1)*MAX(0,MIN(1,AB$246*1-Inputs!$D$66+1))/1</f>
        <v>1</v>
      </c>
      <c r="AC354" s="118" t="n">
        <f aca="false">Inputs!$D$63*(1+Inputs!$D$65)^(AC$247-1)*MAX(0,MIN(1,AC$246*1-Inputs!$D$66+1))/1</f>
        <v>1</v>
      </c>
      <c r="AD354" s="118" t="n">
        <f aca="false">Inputs!$D$63*(1+Inputs!$D$65)^(AD$247-1)*MAX(0,MIN(1,AD$246*1-Inputs!$D$66+1))/1</f>
        <v>1</v>
      </c>
      <c r="AE354" s="118" t="n">
        <f aca="false">Inputs!$D$63*(1+Inputs!$D$65)^(AE$247-1)*MAX(0,MIN(1,AE$246*1-Inputs!$D$66+1))/1</f>
        <v>1</v>
      </c>
      <c r="AF354" s="118" t="n">
        <f aca="false">Inputs!$D$63*(1+Inputs!$D$65)^(AF$247-1)*MAX(0,MIN(1,AF$246*1-Inputs!$D$66+1))/1</f>
        <v>1</v>
      </c>
      <c r="AG354" s="118" t="n">
        <f aca="false">Inputs!$D$63*(1+Inputs!$D$65)^(AG$247-1)*MAX(0,MIN(1,AG$246*1-Inputs!$D$66+1))/1</f>
        <v>1</v>
      </c>
      <c r="AH354" s="118" t="n">
        <f aca="false">Inputs!$D$63*(1+Inputs!$D$65)^(AH$247-1)*MAX(0,MIN(1,AH$246*1-Inputs!$D$66+1))/1</f>
        <v>1</v>
      </c>
      <c r="AI354" s="118" t="n">
        <f aca="false">Inputs!$D$63*(1+Inputs!$D$65)^(AI$247-1)*MAX(0,MIN(1,AI$246*1-Inputs!$D$66+1))/1</f>
        <v>1</v>
      </c>
      <c r="AJ354" s="118" t="n">
        <f aca="false">Inputs!$D$63*(1+Inputs!$D$65)^(AJ$247-1)*MAX(0,MIN(1,AJ$246*1-Inputs!$D$66+1))/1</f>
        <v>1</v>
      </c>
      <c r="AK354" s="118" t="n">
        <f aca="false">Inputs!$D$63*(1+Inputs!$D$65)^(AK$247-1)*MAX(0,MIN(1,AK$246*1-Inputs!$D$66+1))/1</f>
        <v>1</v>
      </c>
      <c r="AL354" s="118" t="n">
        <f aca="false">Inputs!$D$63*(1+Inputs!$D$65)^(AL$247-1)*MAX(0,MIN(1,AL$246*1-Inputs!$D$66+1))/1</f>
        <v>1</v>
      </c>
      <c r="AM354" s="118" t="n">
        <f aca="false">Inputs!$D$63*(1+Inputs!$D$65)^(AM$247-1)*MAX(0,MIN(1,AM$246*1-Inputs!$D$66+1))/1</f>
        <v>1</v>
      </c>
      <c r="AN354" s="118" t="n">
        <f aca="false">Inputs!$D$63*(1+Inputs!$D$65)^(AN$247-1)*MAX(0,MIN(1,AN$246*1-Inputs!$D$66+1))/1</f>
        <v>1</v>
      </c>
      <c r="AO354" s="118" t="n">
        <f aca="false">Inputs!$D$63*(1+Inputs!$D$65)^(AO$247-1)*MAX(0,MIN(1,AO$246*1-Inputs!$D$66+1))/1</f>
        <v>1</v>
      </c>
      <c r="AP354" s="118" t="n">
        <f aca="false">Inputs!$D$63*(1+Inputs!$D$65)^(AP$247-1)*MAX(0,MIN(1,AP$246*1-Inputs!$D$66+1))/1</f>
        <v>1</v>
      </c>
      <c r="AQ354" s="118" t="n">
        <f aca="false">Inputs!$D$63*(1+Inputs!$D$65)^(AQ$247-1)*MAX(0,MIN(1,AQ$246*1-Inputs!$D$66+1))/1</f>
        <v>1</v>
      </c>
      <c r="AR354" s="118" t="n">
        <f aca="false">Inputs!$D$63*(1+Inputs!$D$65)^(AR$247-1)*MAX(0,MIN(1,AR$246*1-Inputs!$D$66+1))/1</f>
        <v>1</v>
      </c>
      <c r="AS354" s="118" t="n">
        <f aca="false">Inputs!$D$63*(1+Inputs!$D$65)^(AS$247-1)*MAX(0,MIN(1,AS$246*1-Inputs!$D$66+1))/1</f>
        <v>1</v>
      </c>
      <c r="AT354" s="118" t="n">
        <f aca="false">Inputs!$D$63*(1+Inputs!$D$65)^(AT$247-1)*MAX(0,MIN(1,AT$246*1-Inputs!$D$66+1))/1</f>
        <v>1</v>
      </c>
      <c r="AU354" s="118" t="n">
        <f aca="false">Inputs!$D$63*(1+Inputs!$D$65)^(AU$247-1)*MAX(0,MIN(1,AU$246*1-Inputs!$D$66+1))/1</f>
        <v>1</v>
      </c>
      <c r="AV354" s="118" t="n">
        <f aca="false">Inputs!$D$63*(1+Inputs!$D$65)^(AV$247-1)*MAX(0,MIN(1,AV$246*1-Inputs!$D$66+1))/1</f>
        <v>1</v>
      </c>
      <c r="AW354" s="118" t="n">
        <f aca="false">Inputs!$D$63*(1+Inputs!$D$65)^(AW$247-1)*MAX(0,MIN(1,AW$246*1-Inputs!$D$66+1))/1</f>
        <v>1</v>
      </c>
      <c r="AX354" s="118" t="n">
        <f aca="false">Inputs!$D$63*(1+Inputs!$D$65)^(AX$247-1)*MAX(0,MIN(1,AX$246*1-Inputs!$D$66+1))/1</f>
        <v>1</v>
      </c>
      <c r="AY354" s="118" t="n">
        <f aca="false">Inputs!$D$63*(1+Inputs!$D$65)^(AY$247-1)*MAX(0,MIN(1,AY$246*1-Inputs!$D$66+1))/1</f>
        <v>1</v>
      </c>
      <c r="AZ354" s="118" t="n">
        <f aca="false">Inputs!$D$63*(1+Inputs!$D$65)^(AZ$247-1)*MAX(0,MIN(1,AZ$246*1-Inputs!$D$66+1))/1</f>
        <v>1</v>
      </c>
      <c r="BA354" s="118" t="n">
        <f aca="false">Inputs!$D$63*(1+Inputs!$D$65)^(BA$247-1)*MAX(0,MIN(1,BA$246*1-Inputs!$D$66+1))/1</f>
        <v>1</v>
      </c>
      <c r="BB354" s="118" t="n">
        <f aca="false">Inputs!$D$63*(1+Inputs!$D$65)^(BB$247-1)*MAX(0,MIN(1,BB$246*1-Inputs!$D$66+1))/1</f>
        <v>1</v>
      </c>
      <c r="BC354" s="118" t="n">
        <f aca="false">Inputs!$D$63*(1+Inputs!$D$65)^(BC$247-1)*MAX(0,MIN(1,BC$246*1-Inputs!$D$66+1))/1</f>
        <v>1</v>
      </c>
      <c r="BD354" s="118" t="n">
        <f aca="false">Inputs!$D$63*(1+Inputs!$D$65)^(BD$247-1)*MAX(0,MIN(1,BD$246*1-Inputs!$D$66+1))/1</f>
        <v>1</v>
      </c>
      <c r="BE354" s="118" t="n">
        <f aca="false">Inputs!$D$63*(1+Inputs!$D$65)^(BE$247-1)*MAX(0,MIN(1,BE$246*1-Inputs!$D$66+1))/1</f>
        <v>1</v>
      </c>
      <c r="BF354" s="118" t="n">
        <f aca="false">Inputs!$D$63*(1+Inputs!$D$65)^(BF$247-1)*MAX(0,MIN(1,BF$246*1-Inputs!$D$66+1))/1</f>
        <v>1</v>
      </c>
      <c r="BG354" s="118" t="n">
        <f aca="false">Inputs!$D$63*(1+Inputs!$D$65)^(BG$247-1)*MAX(0,MIN(1,BG$246*1-Inputs!$D$66+1))/1</f>
        <v>1</v>
      </c>
      <c r="BH354" s="118" t="n">
        <f aca="false">Inputs!$D$63*(1+Inputs!$D$65)^(BH$247-1)*MAX(0,MIN(1,BH$246*1-Inputs!$D$66+1))/1</f>
        <v>1</v>
      </c>
      <c r="BI354" s="118" t="n">
        <f aca="false">Inputs!$D$63*(1+Inputs!$D$65)^(BI$247-1)*MAX(0,MIN(1,BI$246*1-Inputs!$D$66+1))/1</f>
        <v>1</v>
      </c>
      <c r="BJ354" s="118" t="n">
        <f aca="false">Inputs!$D$63*(1+Inputs!$D$65)^(BJ$247-1)*MAX(0,MIN(1,BJ$246*1-Inputs!$D$66+1))/1</f>
        <v>1</v>
      </c>
    </row>
    <row r="355" customFormat="false" ht="15" hidden="false" customHeight="false" outlineLevel="0" collapsed="false">
      <c r="A355" s="113" t="s">
        <v>460</v>
      </c>
      <c r="C355" s="122" t="n">
        <f aca="false">C352+C353+C354</f>
        <v>3.2</v>
      </c>
      <c r="D355" s="122" t="n">
        <f aca="false">D352+D353+D354</f>
        <v>3.2</v>
      </c>
      <c r="E355" s="122" t="n">
        <f aca="false">E352+E353+E354</f>
        <v>3.2</v>
      </c>
      <c r="F355" s="122" t="n">
        <f aca="false">F352+F353+F354</f>
        <v>3.2</v>
      </c>
      <c r="G355" s="122" t="n">
        <f aca="false">G352+G353+G354</f>
        <v>3.2</v>
      </c>
      <c r="H355" s="122" t="n">
        <f aca="false">H352+H353+H354</f>
        <v>3.2</v>
      </c>
      <c r="I355" s="122" t="n">
        <f aca="false">I352+I353+I354</f>
        <v>3.2</v>
      </c>
      <c r="J355" s="122" t="n">
        <f aca="false">J352+J353+J354</f>
        <v>3.2</v>
      </c>
      <c r="K355" s="122" t="n">
        <f aca="false">K352+K353+K354</f>
        <v>3.2</v>
      </c>
      <c r="L355" s="122" t="n">
        <f aca="false">L352+L353+L354</f>
        <v>3.2</v>
      </c>
      <c r="M355" s="122" t="n">
        <f aca="false">M352+M353+M354</f>
        <v>3.2</v>
      </c>
      <c r="N355" s="122" t="n">
        <f aca="false">N352+N353+N354</f>
        <v>3.2</v>
      </c>
      <c r="O355" s="122" t="n">
        <f aca="false">O352+O353+O354</f>
        <v>3.2</v>
      </c>
      <c r="P355" s="122" t="n">
        <f aca="false">P352+P353+P354</f>
        <v>3.2</v>
      </c>
      <c r="Q355" s="122" t="n">
        <f aca="false">Q352+Q353+Q354</f>
        <v>3.2</v>
      </c>
      <c r="R355" s="122" t="n">
        <f aca="false">R352+R353+R354</f>
        <v>3.2</v>
      </c>
      <c r="S355" s="122" t="n">
        <f aca="false">S352+S353+S354</f>
        <v>3.2</v>
      </c>
      <c r="T355" s="122" t="n">
        <f aca="false">T352+T353+T354</f>
        <v>3.2</v>
      </c>
      <c r="U355" s="122" t="n">
        <f aca="false">U352+U353+U354</f>
        <v>3.2</v>
      </c>
      <c r="V355" s="122" t="n">
        <f aca="false">V352+V353+V354</f>
        <v>3.2</v>
      </c>
      <c r="W355" s="122" t="n">
        <f aca="false">W352+W353+W354</f>
        <v>3.2</v>
      </c>
      <c r="X355" s="122" t="n">
        <f aca="false">X352+X353+X354</f>
        <v>3.2</v>
      </c>
      <c r="Y355" s="122" t="n">
        <f aca="false">Y352+Y353+Y354</f>
        <v>3.2</v>
      </c>
      <c r="Z355" s="122" t="n">
        <f aca="false">Z352+Z353+Z354</f>
        <v>3.2</v>
      </c>
      <c r="AA355" s="122" t="n">
        <f aca="false">AA352+AA353+AA354</f>
        <v>3.2</v>
      </c>
      <c r="AB355" s="122" t="n">
        <f aca="false">AB352+AB353+AB354</f>
        <v>3.2</v>
      </c>
      <c r="AC355" s="122" t="n">
        <f aca="false">AC352+AC353+AC354</f>
        <v>3.2</v>
      </c>
      <c r="AD355" s="122" t="n">
        <f aca="false">AD352+AD353+AD354</f>
        <v>3.2</v>
      </c>
      <c r="AE355" s="122" t="n">
        <f aca="false">AE352+AE353+AE354</f>
        <v>3.2</v>
      </c>
      <c r="AF355" s="122" t="n">
        <f aca="false">AF352+AF353+AF354</f>
        <v>3.2</v>
      </c>
      <c r="AG355" s="122" t="n">
        <f aca="false">AG352+AG353+AG354</f>
        <v>3.2</v>
      </c>
      <c r="AH355" s="122" t="n">
        <f aca="false">AH352+AH353+AH354</f>
        <v>3.2</v>
      </c>
      <c r="AI355" s="122" t="n">
        <f aca="false">AI352+AI353+AI354</f>
        <v>3.2</v>
      </c>
      <c r="AJ355" s="122" t="n">
        <f aca="false">AJ352+AJ353+AJ354</f>
        <v>3.2</v>
      </c>
      <c r="AK355" s="122" t="n">
        <f aca="false">AK352+AK353+AK354</f>
        <v>3.2</v>
      </c>
      <c r="AL355" s="122" t="n">
        <f aca="false">AL352+AL353+AL354</f>
        <v>3.2</v>
      </c>
      <c r="AM355" s="122" t="n">
        <f aca="false">AM352+AM353+AM354</f>
        <v>3.2</v>
      </c>
      <c r="AN355" s="122" t="n">
        <f aca="false">AN352+AN353+AN354</f>
        <v>3.2</v>
      </c>
      <c r="AO355" s="122" t="n">
        <f aca="false">AO352+AO353+AO354</f>
        <v>3.2</v>
      </c>
      <c r="AP355" s="122" t="n">
        <f aca="false">AP352+AP353+AP354</f>
        <v>3.2</v>
      </c>
      <c r="AQ355" s="122" t="n">
        <f aca="false">AQ352+AQ353+AQ354</f>
        <v>3.2</v>
      </c>
      <c r="AR355" s="122" t="n">
        <f aca="false">AR352+AR353+AR354</f>
        <v>3.2</v>
      </c>
      <c r="AS355" s="122" t="n">
        <f aca="false">AS352+AS353+AS354</f>
        <v>3.2</v>
      </c>
      <c r="AT355" s="122" t="n">
        <f aca="false">AT352+AT353+AT354</f>
        <v>3.2</v>
      </c>
      <c r="AU355" s="122" t="n">
        <f aca="false">AU352+AU353+AU354</f>
        <v>3.2</v>
      </c>
      <c r="AV355" s="122" t="n">
        <f aca="false">AV352+AV353+AV354</f>
        <v>3.2</v>
      </c>
      <c r="AW355" s="122" t="n">
        <f aca="false">AW352+AW353+AW354</f>
        <v>3.2</v>
      </c>
      <c r="AX355" s="122" t="n">
        <f aca="false">AX352+AX353+AX354</f>
        <v>3.2</v>
      </c>
      <c r="AY355" s="122" t="n">
        <f aca="false">AY352+AY353+AY354</f>
        <v>3.2</v>
      </c>
      <c r="AZ355" s="122" t="n">
        <f aca="false">AZ352+AZ353+AZ354</f>
        <v>3.2</v>
      </c>
      <c r="BA355" s="122" t="n">
        <f aca="false">BA352+BA353+BA354</f>
        <v>3.2</v>
      </c>
      <c r="BB355" s="122" t="n">
        <f aca="false">BB352+BB353+BB354</f>
        <v>3.2</v>
      </c>
      <c r="BC355" s="122" t="n">
        <f aca="false">BC352+BC353+BC354</f>
        <v>3.2</v>
      </c>
      <c r="BD355" s="122" t="n">
        <f aca="false">BD352+BD353+BD354</f>
        <v>3.2</v>
      </c>
      <c r="BE355" s="122" t="n">
        <f aca="false">BE352+BE353+BE354</f>
        <v>3.2</v>
      </c>
      <c r="BF355" s="122" t="n">
        <f aca="false">BF352+BF353+BF354</f>
        <v>3.2</v>
      </c>
      <c r="BG355" s="122" t="n">
        <f aca="false">BG352+BG353+BG354</f>
        <v>3.2</v>
      </c>
      <c r="BH355" s="122" t="n">
        <f aca="false">BH352+BH353+BH354</f>
        <v>3.2</v>
      </c>
      <c r="BI355" s="122" t="n">
        <f aca="false">BI352+BI353+BI354</f>
        <v>3.2</v>
      </c>
      <c r="BJ355" s="122" t="n">
        <f aca="false">BJ352+BJ353+BJ354</f>
        <v>3.2</v>
      </c>
    </row>
    <row r="357" customFormat="false" ht="15.75" hidden="false" customHeight="true" outlineLevel="0" collapsed="false">
      <c r="A357" s="7" t="s">
        <v>461</v>
      </c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</row>
    <row r="358" customFormat="false" ht="15" hidden="false" customHeight="false" outlineLevel="0" collapsed="false">
      <c r="A358" s="6" t="s">
        <v>462</v>
      </c>
      <c r="C358" s="67" t="n">
        <f aca="false">-C352*Inputs!$D$56/12*1*(1+Inputs!$D$67)*(1+Inputs!$D$68)^(C$247-1)</f>
        <v>-3360</v>
      </c>
      <c r="D358" s="67" t="n">
        <f aca="false">-D352*Inputs!$D$56/12*1*(1+Inputs!$D$67)*(1+Inputs!$D$68)^(D$247-1)</f>
        <v>-3360</v>
      </c>
      <c r="E358" s="67" t="n">
        <f aca="false">-E352*Inputs!$D$56/12*1*(1+Inputs!$D$67)*(1+Inputs!$D$68)^(E$247-1)</f>
        <v>-3360</v>
      </c>
      <c r="F358" s="67" t="n">
        <f aca="false">-F352*Inputs!$D$56/12*1*(1+Inputs!$D$67)*(1+Inputs!$D$68)^(F$247-1)</f>
        <v>-3360</v>
      </c>
      <c r="G358" s="67" t="n">
        <f aca="false">-G352*Inputs!$D$56/12*1*(1+Inputs!$D$67)*(1+Inputs!$D$68)^(G$247-1)</f>
        <v>-3360</v>
      </c>
      <c r="H358" s="67" t="n">
        <f aca="false">-H352*Inputs!$D$56/12*1*(1+Inputs!$D$67)*(1+Inputs!$D$68)^(H$247-1)</f>
        <v>-3360</v>
      </c>
      <c r="I358" s="67" t="n">
        <f aca="false">-I352*Inputs!$D$56/12*1*(1+Inputs!$D$67)*(1+Inputs!$D$68)^(I$247-1)</f>
        <v>-3360</v>
      </c>
      <c r="J358" s="67" t="n">
        <f aca="false">-J352*Inputs!$D$56/12*1*(1+Inputs!$D$67)*(1+Inputs!$D$68)^(J$247-1)</f>
        <v>-3360</v>
      </c>
      <c r="K358" s="67" t="n">
        <f aca="false">-K352*Inputs!$D$56/12*1*(1+Inputs!$D$67)*(1+Inputs!$D$68)^(K$247-1)</f>
        <v>-3360</v>
      </c>
      <c r="L358" s="67" t="n">
        <f aca="false">-L352*Inputs!$D$56/12*1*(1+Inputs!$D$67)*(1+Inputs!$D$68)^(L$247-1)</f>
        <v>-3360</v>
      </c>
      <c r="M358" s="67" t="n">
        <f aca="false">-M352*Inputs!$D$56/12*1*(1+Inputs!$D$67)*(1+Inputs!$D$68)^(M$247-1)</f>
        <v>-3360</v>
      </c>
      <c r="N358" s="67" t="n">
        <f aca="false">-N352*Inputs!$D$56/12*1*(1+Inputs!$D$67)*(1+Inputs!$D$68)^(N$247-1)</f>
        <v>-3360</v>
      </c>
      <c r="O358" s="67" t="n">
        <f aca="false">-O352*Inputs!$D$56/12*1*(1+Inputs!$D$67)*(1+Inputs!$D$68)^(O$247-1)</f>
        <v>-3460.8</v>
      </c>
      <c r="P358" s="67" t="n">
        <f aca="false">-P352*Inputs!$D$56/12*1*(1+Inputs!$D$67)*(1+Inputs!$D$68)^(P$247-1)</f>
        <v>-3460.8</v>
      </c>
      <c r="Q358" s="67" t="n">
        <f aca="false">-Q352*Inputs!$D$56/12*1*(1+Inputs!$D$67)*(1+Inputs!$D$68)^(Q$247-1)</f>
        <v>-3460.8</v>
      </c>
      <c r="R358" s="67" t="n">
        <f aca="false">-R352*Inputs!$D$56/12*1*(1+Inputs!$D$67)*(1+Inputs!$D$68)^(R$247-1)</f>
        <v>-3460.8</v>
      </c>
      <c r="S358" s="67" t="n">
        <f aca="false">-S352*Inputs!$D$56/12*1*(1+Inputs!$D$67)*(1+Inputs!$D$68)^(S$247-1)</f>
        <v>-3460.8</v>
      </c>
      <c r="T358" s="67" t="n">
        <f aca="false">-T352*Inputs!$D$56/12*1*(1+Inputs!$D$67)*(1+Inputs!$D$68)^(T$247-1)</f>
        <v>-3460.8</v>
      </c>
      <c r="U358" s="67" t="n">
        <f aca="false">-U352*Inputs!$D$56/12*1*(1+Inputs!$D$67)*(1+Inputs!$D$68)^(U$247-1)</f>
        <v>-3460.8</v>
      </c>
      <c r="V358" s="67" t="n">
        <f aca="false">-V352*Inputs!$D$56/12*1*(1+Inputs!$D$67)*(1+Inputs!$D$68)^(V$247-1)</f>
        <v>-3460.8</v>
      </c>
      <c r="W358" s="67" t="n">
        <f aca="false">-W352*Inputs!$D$56/12*1*(1+Inputs!$D$67)*(1+Inputs!$D$68)^(W$247-1)</f>
        <v>-3460.8</v>
      </c>
      <c r="X358" s="67" t="n">
        <f aca="false">-X352*Inputs!$D$56/12*1*(1+Inputs!$D$67)*(1+Inputs!$D$68)^(X$247-1)</f>
        <v>-3460.8</v>
      </c>
      <c r="Y358" s="67" t="n">
        <f aca="false">-Y352*Inputs!$D$56/12*1*(1+Inputs!$D$67)*(1+Inputs!$D$68)^(Y$247-1)</f>
        <v>-3460.8</v>
      </c>
      <c r="Z358" s="67" t="n">
        <f aca="false">-Z352*Inputs!$D$56/12*1*(1+Inputs!$D$67)*(1+Inputs!$D$68)^(Z$247-1)</f>
        <v>-3460.8</v>
      </c>
      <c r="AA358" s="67" t="n">
        <f aca="false">-AA352*Inputs!$D$56/12*1*(1+Inputs!$D$67)*(1+Inputs!$D$68)^(AA$247-1)</f>
        <v>-3564.624</v>
      </c>
      <c r="AB358" s="67" t="n">
        <f aca="false">-AB352*Inputs!$D$56/12*1*(1+Inputs!$D$67)*(1+Inputs!$D$68)^(AB$247-1)</f>
        <v>-3564.624</v>
      </c>
      <c r="AC358" s="67" t="n">
        <f aca="false">-AC352*Inputs!$D$56/12*1*(1+Inputs!$D$67)*(1+Inputs!$D$68)^(AC$247-1)</f>
        <v>-3564.624</v>
      </c>
      <c r="AD358" s="67" t="n">
        <f aca="false">-AD352*Inputs!$D$56/12*1*(1+Inputs!$D$67)*(1+Inputs!$D$68)^(AD$247-1)</f>
        <v>-3564.624</v>
      </c>
      <c r="AE358" s="67" t="n">
        <f aca="false">-AE352*Inputs!$D$56/12*1*(1+Inputs!$D$67)*(1+Inputs!$D$68)^(AE$247-1)</f>
        <v>-3564.624</v>
      </c>
      <c r="AF358" s="67" t="n">
        <f aca="false">-AF352*Inputs!$D$56/12*1*(1+Inputs!$D$67)*(1+Inputs!$D$68)^(AF$247-1)</f>
        <v>-3564.624</v>
      </c>
      <c r="AG358" s="67" t="n">
        <f aca="false">-AG352*Inputs!$D$56/12*1*(1+Inputs!$D$67)*(1+Inputs!$D$68)^(AG$247-1)</f>
        <v>-3564.624</v>
      </c>
      <c r="AH358" s="67" t="n">
        <f aca="false">-AH352*Inputs!$D$56/12*1*(1+Inputs!$D$67)*(1+Inputs!$D$68)^(AH$247-1)</f>
        <v>-3564.624</v>
      </c>
      <c r="AI358" s="67" t="n">
        <f aca="false">-AI352*Inputs!$D$56/12*1*(1+Inputs!$D$67)*(1+Inputs!$D$68)^(AI$247-1)</f>
        <v>-3564.624</v>
      </c>
      <c r="AJ358" s="67" t="n">
        <f aca="false">-AJ352*Inputs!$D$56/12*1*(1+Inputs!$D$67)*(1+Inputs!$D$68)^(AJ$247-1)</f>
        <v>-3564.624</v>
      </c>
      <c r="AK358" s="67" t="n">
        <f aca="false">-AK352*Inputs!$D$56/12*1*(1+Inputs!$D$67)*(1+Inputs!$D$68)^(AK$247-1)</f>
        <v>-3564.624</v>
      </c>
      <c r="AL358" s="67" t="n">
        <f aca="false">-AL352*Inputs!$D$56/12*1*(1+Inputs!$D$67)*(1+Inputs!$D$68)^(AL$247-1)</f>
        <v>-3564.624</v>
      </c>
      <c r="AM358" s="67" t="n">
        <f aca="false">-AM352*Inputs!$D$56/12*1*(1+Inputs!$D$67)*(1+Inputs!$D$68)^(AM$247-1)</f>
        <v>-3671.56272</v>
      </c>
      <c r="AN358" s="67" t="n">
        <f aca="false">-AN352*Inputs!$D$56/12*1*(1+Inputs!$D$67)*(1+Inputs!$D$68)^(AN$247-1)</f>
        <v>-3671.56272</v>
      </c>
      <c r="AO358" s="67" t="n">
        <f aca="false">-AO352*Inputs!$D$56/12*1*(1+Inputs!$D$67)*(1+Inputs!$D$68)^(AO$247-1)</f>
        <v>-3671.56272</v>
      </c>
      <c r="AP358" s="67" t="n">
        <f aca="false">-AP352*Inputs!$D$56/12*1*(1+Inputs!$D$67)*(1+Inputs!$D$68)^(AP$247-1)</f>
        <v>-3671.56272</v>
      </c>
      <c r="AQ358" s="67" t="n">
        <f aca="false">-AQ352*Inputs!$D$56/12*1*(1+Inputs!$D$67)*(1+Inputs!$D$68)^(AQ$247-1)</f>
        <v>-3671.56272</v>
      </c>
      <c r="AR358" s="67" t="n">
        <f aca="false">-AR352*Inputs!$D$56/12*1*(1+Inputs!$D$67)*(1+Inputs!$D$68)^(AR$247-1)</f>
        <v>-3671.56272</v>
      </c>
      <c r="AS358" s="67" t="n">
        <f aca="false">-AS352*Inputs!$D$56/12*1*(1+Inputs!$D$67)*(1+Inputs!$D$68)^(AS$247-1)</f>
        <v>-3671.56272</v>
      </c>
      <c r="AT358" s="67" t="n">
        <f aca="false">-AT352*Inputs!$D$56/12*1*(1+Inputs!$D$67)*(1+Inputs!$D$68)^(AT$247-1)</f>
        <v>-3671.56272</v>
      </c>
      <c r="AU358" s="67" t="n">
        <f aca="false">-AU352*Inputs!$D$56/12*1*(1+Inputs!$D$67)*(1+Inputs!$D$68)^(AU$247-1)</f>
        <v>-3671.56272</v>
      </c>
      <c r="AV358" s="67" t="n">
        <f aca="false">-AV352*Inputs!$D$56/12*1*(1+Inputs!$D$67)*(1+Inputs!$D$68)^(AV$247-1)</f>
        <v>-3671.56272</v>
      </c>
      <c r="AW358" s="67" t="n">
        <f aca="false">-AW352*Inputs!$D$56/12*1*(1+Inputs!$D$67)*(1+Inputs!$D$68)^(AW$247-1)</f>
        <v>-3671.56272</v>
      </c>
      <c r="AX358" s="67" t="n">
        <f aca="false">-AX352*Inputs!$D$56/12*1*(1+Inputs!$D$67)*(1+Inputs!$D$68)^(AX$247-1)</f>
        <v>-3671.56272</v>
      </c>
      <c r="AY358" s="67" t="n">
        <f aca="false">-AY352*Inputs!$D$56/12*1*(1+Inputs!$D$67)*(1+Inputs!$D$68)^(AY$247-1)</f>
        <v>-3781.7096016</v>
      </c>
      <c r="AZ358" s="67" t="n">
        <f aca="false">-AZ352*Inputs!$D$56/12*1*(1+Inputs!$D$67)*(1+Inputs!$D$68)^(AZ$247-1)</f>
        <v>-3781.7096016</v>
      </c>
      <c r="BA358" s="67" t="n">
        <f aca="false">-BA352*Inputs!$D$56/12*1*(1+Inputs!$D$67)*(1+Inputs!$D$68)^(BA$247-1)</f>
        <v>-3781.7096016</v>
      </c>
      <c r="BB358" s="67" t="n">
        <f aca="false">-BB352*Inputs!$D$56/12*1*(1+Inputs!$D$67)*(1+Inputs!$D$68)^(BB$247-1)</f>
        <v>-3781.7096016</v>
      </c>
      <c r="BC358" s="67" t="n">
        <f aca="false">-BC352*Inputs!$D$56/12*1*(1+Inputs!$D$67)*(1+Inputs!$D$68)^(BC$247-1)</f>
        <v>-3781.7096016</v>
      </c>
      <c r="BD358" s="67" t="n">
        <f aca="false">-BD352*Inputs!$D$56/12*1*(1+Inputs!$D$67)*(1+Inputs!$D$68)^(BD$247-1)</f>
        <v>-3781.7096016</v>
      </c>
      <c r="BE358" s="67" t="n">
        <f aca="false">-BE352*Inputs!$D$56/12*1*(1+Inputs!$D$67)*(1+Inputs!$D$68)^(BE$247-1)</f>
        <v>-3781.7096016</v>
      </c>
      <c r="BF358" s="67" t="n">
        <f aca="false">-BF352*Inputs!$D$56/12*1*(1+Inputs!$D$67)*(1+Inputs!$D$68)^(BF$247-1)</f>
        <v>-3781.7096016</v>
      </c>
      <c r="BG358" s="67" t="n">
        <f aca="false">-BG352*Inputs!$D$56/12*1*(1+Inputs!$D$67)*(1+Inputs!$D$68)^(BG$247-1)</f>
        <v>-3781.7096016</v>
      </c>
      <c r="BH358" s="67" t="n">
        <f aca="false">-BH352*Inputs!$D$56/12*1*(1+Inputs!$D$67)*(1+Inputs!$D$68)^(BH$247-1)</f>
        <v>-3781.7096016</v>
      </c>
      <c r="BI358" s="67" t="n">
        <f aca="false">-BI352*Inputs!$D$56/12*1*(1+Inputs!$D$67)*(1+Inputs!$D$68)^(BI$247-1)</f>
        <v>-3781.7096016</v>
      </c>
      <c r="BJ358" s="67" t="n">
        <f aca="false">-BJ352*Inputs!$D$56/12*1*(1+Inputs!$D$67)*(1+Inputs!$D$68)^(BJ$247-1)</f>
        <v>-3781.7096016</v>
      </c>
    </row>
    <row r="359" customFormat="false" ht="15" hidden="false" customHeight="false" outlineLevel="0" collapsed="false">
      <c r="A359" s="6" t="s">
        <v>463</v>
      </c>
      <c r="C359" s="67" t="n">
        <f aca="false">-C353*Inputs!$D$60/12*1*(1+Inputs!$D$67)*(1+Inputs!$D$68)^(C$247-1)</f>
        <v>-3808</v>
      </c>
      <c r="D359" s="67" t="n">
        <f aca="false">-D353*Inputs!$D$60/12*1*(1+Inputs!$D$67)*(1+Inputs!$D$68)^(D$247-1)</f>
        <v>-3808</v>
      </c>
      <c r="E359" s="67" t="n">
        <f aca="false">-E353*Inputs!$D$60/12*1*(1+Inputs!$D$67)*(1+Inputs!$D$68)^(E$247-1)</f>
        <v>-3808</v>
      </c>
      <c r="F359" s="67" t="n">
        <f aca="false">-F353*Inputs!$D$60/12*1*(1+Inputs!$D$67)*(1+Inputs!$D$68)^(F$247-1)</f>
        <v>-3808</v>
      </c>
      <c r="G359" s="67" t="n">
        <f aca="false">-G353*Inputs!$D$60/12*1*(1+Inputs!$D$67)*(1+Inputs!$D$68)^(G$247-1)</f>
        <v>-3808</v>
      </c>
      <c r="H359" s="67" t="n">
        <f aca="false">-H353*Inputs!$D$60/12*1*(1+Inputs!$D$67)*(1+Inputs!$D$68)^(H$247-1)</f>
        <v>-3808</v>
      </c>
      <c r="I359" s="67" t="n">
        <f aca="false">-I353*Inputs!$D$60/12*1*(1+Inputs!$D$67)*(1+Inputs!$D$68)^(I$247-1)</f>
        <v>-3808</v>
      </c>
      <c r="J359" s="67" t="n">
        <f aca="false">-J353*Inputs!$D$60/12*1*(1+Inputs!$D$67)*(1+Inputs!$D$68)^(J$247-1)</f>
        <v>-3808</v>
      </c>
      <c r="K359" s="67" t="n">
        <f aca="false">-K353*Inputs!$D$60/12*1*(1+Inputs!$D$67)*(1+Inputs!$D$68)^(K$247-1)</f>
        <v>-3808</v>
      </c>
      <c r="L359" s="67" t="n">
        <f aca="false">-L353*Inputs!$D$60/12*1*(1+Inputs!$D$67)*(1+Inputs!$D$68)^(L$247-1)</f>
        <v>-3808</v>
      </c>
      <c r="M359" s="67" t="n">
        <f aca="false">-M353*Inputs!$D$60/12*1*(1+Inputs!$D$67)*(1+Inputs!$D$68)^(M$247-1)</f>
        <v>-3808</v>
      </c>
      <c r="N359" s="67" t="n">
        <f aca="false">-N353*Inputs!$D$60/12*1*(1+Inputs!$D$67)*(1+Inputs!$D$68)^(N$247-1)</f>
        <v>-3808</v>
      </c>
      <c r="O359" s="67" t="n">
        <f aca="false">-O353*Inputs!$D$60/12*1*(1+Inputs!$D$67)*(1+Inputs!$D$68)^(O$247-1)</f>
        <v>-3922.24</v>
      </c>
      <c r="P359" s="67" t="n">
        <f aca="false">-P353*Inputs!$D$60/12*1*(1+Inputs!$D$67)*(1+Inputs!$D$68)^(P$247-1)</f>
        <v>-3922.24</v>
      </c>
      <c r="Q359" s="67" t="n">
        <f aca="false">-Q353*Inputs!$D$60/12*1*(1+Inputs!$D$67)*(1+Inputs!$D$68)^(Q$247-1)</f>
        <v>-3922.24</v>
      </c>
      <c r="R359" s="67" t="n">
        <f aca="false">-R353*Inputs!$D$60/12*1*(1+Inputs!$D$67)*(1+Inputs!$D$68)^(R$247-1)</f>
        <v>-3922.24</v>
      </c>
      <c r="S359" s="67" t="n">
        <f aca="false">-S353*Inputs!$D$60/12*1*(1+Inputs!$D$67)*(1+Inputs!$D$68)^(S$247-1)</f>
        <v>-3922.24</v>
      </c>
      <c r="T359" s="67" t="n">
        <f aca="false">-T353*Inputs!$D$60/12*1*(1+Inputs!$D$67)*(1+Inputs!$D$68)^(T$247-1)</f>
        <v>-3922.24</v>
      </c>
      <c r="U359" s="67" t="n">
        <f aca="false">-U353*Inputs!$D$60/12*1*(1+Inputs!$D$67)*(1+Inputs!$D$68)^(U$247-1)</f>
        <v>-3922.24</v>
      </c>
      <c r="V359" s="67" t="n">
        <f aca="false">-V353*Inputs!$D$60/12*1*(1+Inputs!$D$67)*(1+Inputs!$D$68)^(V$247-1)</f>
        <v>-3922.24</v>
      </c>
      <c r="W359" s="67" t="n">
        <f aca="false">-W353*Inputs!$D$60/12*1*(1+Inputs!$D$67)*(1+Inputs!$D$68)^(W$247-1)</f>
        <v>-3922.24</v>
      </c>
      <c r="X359" s="67" t="n">
        <f aca="false">-X353*Inputs!$D$60/12*1*(1+Inputs!$D$67)*(1+Inputs!$D$68)^(X$247-1)</f>
        <v>-3922.24</v>
      </c>
      <c r="Y359" s="67" t="n">
        <f aca="false">-Y353*Inputs!$D$60/12*1*(1+Inputs!$D$67)*(1+Inputs!$D$68)^(Y$247-1)</f>
        <v>-3922.24</v>
      </c>
      <c r="Z359" s="67" t="n">
        <f aca="false">-Z353*Inputs!$D$60/12*1*(1+Inputs!$D$67)*(1+Inputs!$D$68)^(Z$247-1)</f>
        <v>-3922.24</v>
      </c>
      <c r="AA359" s="67" t="n">
        <f aca="false">-AA353*Inputs!$D$60/12*1*(1+Inputs!$D$67)*(1+Inputs!$D$68)^(AA$247-1)</f>
        <v>-4039.9072</v>
      </c>
      <c r="AB359" s="67" t="n">
        <f aca="false">-AB353*Inputs!$D$60/12*1*(1+Inputs!$D$67)*(1+Inputs!$D$68)^(AB$247-1)</f>
        <v>-4039.9072</v>
      </c>
      <c r="AC359" s="67" t="n">
        <f aca="false">-AC353*Inputs!$D$60/12*1*(1+Inputs!$D$67)*(1+Inputs!$D$68)^(AC$247-1)</f>
        <v>-4039.9072</v>
      </c>
      <c r="AD359" s="67" t="n">
        <f aca="false">-AD353*Inputs!$D$60/12*1*(1+Inputs!$D$67)*(1+Inputs!$D$68)^(AD$247-1)</f>
        <v>-4039.9072</v>
      </c>
      <c r="AE359" s="67" t="n">
        <f aca="false">-AE353*Inputs!$D$60/12*1*(1+Inputs!$D$67)*(1+Inputs!$D$68)^(AE$247-1)</f>
        <v>-4039.9072</v>
      </c>
      <c r="AF359" s="67" t="n">
        <f aca="false">-AF353*Inputs!$D$60/12*1*(1+Inputs!$D$67)*(1+Inputs!$D$68)^(AF$247-1)</f>
        <v>-4039.9072</v>
      </c>
      <c r="AG359" s="67" t="n">
        <f aca="false">-AG353*Inputs!$D$60/12*1*(1+Inputs!$D$67)*(1+Inputs!$D$68)^(AG$247-1)</f>
        <v>-4039.9072</v>
      </c>
      <c r="AH359" s="67" t="n">
        <f aca="false">-AH353*Inputs!$D$60/12*1*(1+Inputs!$D$67)*(1+Inputs!$D$68)^(AH$247-1)</f>
        <v>-4039.9072</v>
      </c>
      <c r="AI359" s="67" t="n">
        <f aca="false">-AI353*Inputs!$D$60/12*1*(1+Inputs!$D$67)*(1+Inputs!$D$68)^(AI$247-1)</f>
        <v>-4039.9072</v>
      </c>
      <c r="AJ359" s="67" t="n">
        <f aca="false">-AJ353*Inputs!$D$60/12*1*(1+Inputs!$D$67)*(1+Inputs!$D$68)^(AJ$247-1)</f>
        <v>-4039.9072</v>
      </c>
      <c r="AK359" s="67" t="n">
        <f aca="false">-AK353*Inputs!$D$60/12*1*(1+Inputs!$D$67)*(1+Inputs!$D$68)^(AK$247-1)</f>
        <v>-4039.9072</v>
      </c>
      <c r="AL359" s="67" t="n">
        <f aca="false">-AL353*Inputs!$D$60/12*1*(1+Inputs!$D$67)*(1+Inputs!$D$68)^(AL$247-1)</f>
        <v>-4039.9072</v>
      </c>
      <c r="AM359" s="67" t="n">
        <f aca="false">-AM353*Inputs!$D$60/12*1*(1+Inputs!$D$67)*(1+Inputs!$D$68)^(AM$247-1)</f>
        <v>-4161.104416</v>
      </c>
      <c r="AN359" s="67" t="n">
        <f aca="false">-AN353*Inputs!$D$60/12*1*(1+Inputs!$D$67)*(1+Inputs!$D$68)^(AN$247-1)</f>
        <v>-4161.104416</v>
      </c>
      <c r="AO359" s="67" t="n">
        <f aca="false">-AO353*Inputs!$D$60/12*1*(1+Inputs!$D$67)*(1+Inputs!$D$68)^(AO$247-1)</f>
        <v>-4161.104416</v>
      </c>
      <c r="AP359" s="67" t="n">
        <f aca="false">-AP353*Inputs!$D$60/12*1*(1+Inputs!$D$67)*(1+Inputs!$D$68)^(AP$247-1)</f>
        <v>-4161.104416</v>
      </c>
      <c r="AQ359" s="67" t="n">
        <f aca="false">-AQ353*Inputs!$D$60/12*1*(1+Inputs!$D$67)*(1+Inputs!$D$68)^(AQ$247-1)</f>
        <v>-4161.104416</v>
      </c>
      <c r="AR359" s="67" t="n">
        <f aca="false">-AR353*Inputs!$D$60/12*1*(1+Inputs!$D$67)*(1+Inputs!$D$68)^(AR$247-1)</f>
        <v>-4161.104416</v>
      </c>
      <c r="AS359" s="67" t="n">
        <f aca="false">-AS353*Inputs!$D$60/12*1*(1+Inputs!$D$67)*(1+Inputs!$D$68)^(AS$247-1)</f>
        <v>-4161.104416</v>
      </c>
      <c r="AT359" s="67" t="n">
        <f aca="false">-AT353*Inputs!$D$60/12*1*(1+Inputs!$D$67)*(1+Inputs!$D$68)^(AT$247-1)</f>
        <v>-4161.104416</v>
      </c>
      <c r="AU359" s="67" t="n">
        <f aca="false">-AU353*Inputs!$D$60/12*1*(1+Inputs!$D$67)*(1+Inputs!$D$68)^(AU$247-1)</f>
        <v>-4161.104416</v>
      </c>
      <c r="AV359" s="67" t="n">
        <f aca="false">-AV353*Inputs!$D$60/12*1*(1+Inputs!$D$67)*(1+Inputs!$D$68)^(AV$247-1)</f>
        <v>-4161.104416</v>
      </c>
      <c r="AW359" s="67" t="n">
        <f aca="false">-AW353*Inputs!$D$60/12*1*(1+Inputs!$D$67)*(1+Inputs!$D$68)^(AW$247-1)</f>
        <v>-4161.104416</v>
      </c>
      <c r="AX359" s="67" t="n">
        <f aca="false">-AX353*Inputs!$D$60/12*1*(1+Inputs!$D$67)*(1+Inputs!$D$68)^(AX$247-1)</f>
        <v>-4161.104416</v>
      </c>
      <c r="AY359" s="67" t="n">
        <f aca="false">-AY353*Inputs!$D$60/12*1*(1+Inputs!$D$67)*(1+Inputs!$D$68)^(AY$247-1)</f>
        <v>-4285.93754848</v>
      </c>
      <c r="AZ359" s="67" t="n">
        <f aca="false">-AZ353*Inputs!$D$60/12*1*(1+Inputs!$D$67)*(1+Inputs!$D$68)^(AZ$247-1)</f>
        <v>-4285.93754848</v>
      </c>
      <c r="BA359" s="67" t="n">
        <f aca="false">-BA353*Inputs!$D$60/12*1*(1+Inputs!$D$67)*(1+Inputs!$D$68)^(BA$247-1)</f>
        <v>-4285.93754848</v>
      </c>
      <c r="BB359" s="67" t="n">
        <f aca="false">-BB353*Inputs!$D$60/12*1*(1+Inputs!$D$67)*(1+Inputs!$D$68)^(BB$247-1)</f>
        <v>-4285.93754848</v>
      </c>
      <c r="BC359" s="67" t="n">
        <f aca="false">-BC353*Inputs!$D$60/12*1*(1+Inputs!$D$67)*(1+Inputs!$D$68)^(BC$247-1)</f>
        <v>-4285.93754848</v>
      </c>
      <c r="BD359" s="67" t="n">
        <f aca="false">-BD353*Inputs!$D$60/12*1*(1+Inputs!$D$67)*(1+Inputs!$D$68)^(BD$247-1)</f>
        <v>-4285.93754848</v>
      </c>
      <c r="BE359" s="67" t="n">
        <f aca="false">-BE353*Inputs!$D$60/12*1*(1+Inputs!$D$67)*(1+Inputs!$D$68)^(BE$247-1)</f>
        <v>-4285.93754848</v>
      </c>
      <c r="BF359" s="67" t="n">
        <f aca="false">-BF353*Inputs!$D$60/12*1*(1+Inputs!$D$67)*(1+Inputs!$D$68)^(BF$247-1)</f>
        <v>-4285.93754848</v>
      </c>
      <c r="BG359" s="67" t="n">
        <f aca="false">-BG353*Inputs!$D$60/12*1*(1+Inputs!$D$67)*(1+Inputs!$D$68)^(BG$247-1)</f>
        <v>-4285.93754848</v>
      </c>
      <c r="BH359" s="67" t="n">
        <f aca="false">-BH353*Inputs!$D$60/12*1*(1+Inputs!$D$67)*(1+Inputs!$D$68)^(BH$247-1)</f>
        <v>-4285.93754848</v>
      </c>
      <c r="BI359" s="67" t="n">
        <f aca="false">-BI353*Inputs!$D$60/12*1*(1+Inputs!$D$67)*(1+Inputs!$D$68)^(BI$247-1)</f>
        <v>-4285.93754848</v>
      </c>
      <c r="BJ359" s="67" t="n">
        <f aca="false">-BJ353*Inputs!$D$60/12*1*(1+Inputs!$D$67)*(1+Inputs!$D$68)^(BJ$247-1)</f>
        <v>-4285.93754848</v>
      </c>
    </row>
    <row r="360" customFormat="false" ht="15" hidden="false" customHeight="false" outlineLevel="0" collapsed="false">
      <c r="A360" s="6" t="s">
        <v>464</v>
      </c>
      <c r="C360" s="67" t="n">
        <f aca="false">-C354*Inputs!$D$64/12*1*(1+Inputs!$D$67)*(1+Inputs!$D$68)^(C$247-1)</f>
        <v>-2706.66666666667</v>
      </c>
      <c r="D360" s="67" t="n">
        <f aca="false">-D354*Inputs!$D$64/12*1*(1+Inputs!$D$67)*(1+Inputs!$D$68)^(D$247-1)</f>
        <v>-2706.66666666667</v>
      </c>
      <c r="E360" s="67" t="n">
        <f aca="false">-E354*Inputs!$D$64/12*1*(1+Inputs!$D$67)*(1+Inputs!$D$68)^(E$247-1)</f>
        <v>-2706.66666666667</v>
      </c>
      <c r="F360" s="67" t="n">
        <f aca="false">-F354*Inputs!$D$64/12*1*(1+Inputs!$D$67)*(1+Inputs!$D$68)^(F$247-1)</f>
        <v>-2706.66666666667</v>
      </c>
      <c r="G360" s="67" t="n">
        <f aca="false">-G354*Inputs!$D$64/12*1*(1+Inputs!$D$67)*(1+Inputs!$D$68)^(G$247-1)</f>
        <v>-2706.66666666667</v>
      </c>
      <c r="H360" s="67" t="n">
        <f aca="false">-H354*Inputs!$D$64/12*1*(1+Inputs!$D$67)*(1+Inputs!$D$68)^(H$247-1)</f>
        <v>-2706.66666666667</v>
      </c>
      <c r="I360" s="67" t="n">
        <f aca="false">-I354*Inputs!$D$64/12*1*(1+Inputs!$D$67)*(1+Inputs!$D$68)^(I$247-1)</f>
        <v>-2706.66666666667</v>
      </c>
      <c r="J360" s="67" t="n">
        <f aca="false">-J354*Inputs!$D$64/12*1*(1+Inputs!$D$67)*(1+Inputs!$D$68)^(J$247-1)</f>
        <v>-2706.66666666667</v>
      </c>
      <c r="K360" s="67" t="n">
        <f aca="false">-K354*Inputs!$D$64/12*1*(1+Inputs!$D$67)*(1+Inputs!$D$68)^(K$247-1)</f>
        <v>-2706.66666666667</v>
      </c>
      <c r="L360" s="67" t="n">
        <f aca="false">-L354*Inputs!$D$64/12*1*(1+Inputs!$D$67)*(1+Inputs!$D$68)^(L$247-1)</f>
        <v>-2706.66666666667</v>
      </c>
      <c r="M360" s="67" t="n">
        <f aca="false">-M354*Inputs!$D$64/12*1*(1+Inputs!$D$67)*(1+Inputs!$D$68)^(M$247-1)</f>
        <v>-2706.66666666667</v>
      </c>
      <c r="N360" s="67" t="n">
        <f aca="false">-N354*Inputs!$D$64/12*1*(1+Inputs!$D$67)*(1+Inputs!$D$68)^(N$247-1)</f>
        <v>-2706.66666666667</v>
      </c>
      <c r="O360" s="67" t="n">
        <f aca="false">-O354*Inputs!$D$64/12*1*(1+Inputs!$D$67)*(1+Inputs!$D$68)^(O$247-1)</f>
        <v>-2787.86666666667</v>
      </c>
      <c r="P360" s="67" t="n">
        <f aca="false">-P354*Inputs!$D$64/12*1*(1+Inputs!$D$67)*(1+Inputs!$D$68)^(P$247-1)</f>
        <v>-2787.86666666667</v>
      </c>
      <c r="Q360" s="67" t="n">
        <f aca="false">-Q354*Inputs!$D$64/12*1*(1+Inputs!$D$67)*(1+Inputs!$D$68)^(Q$247-1)</f>
        <v>-2787.86666666667</v>
      </c>
      <c r="R360" s="67" t="n">
        <f aca="false">-R354*Inputs!$D$64/12*1*(1+Inputs!$D$67)*(1+Inputs!$D$68)^(R$247-1)</f>
        <v>-2787.86666666667</v>
      </c>
      <c r="S360" s="67" t="n">
        <f aca="false">-S354*Inputs!$D$64/12*1*(1+Inputs!$D$67)*(1+Inputs!$D$68)^(S$247-1)</f>
        <v>-2787.86666666667</v>
      </c>
      <c r="T360" s="67" t="n">
        <f aca="false">-T354*Inputs!$D$64/12*1*(1+Inputs!$D$67)*(1+Inputs!$D$68)^(T$247-1)</f>
        <v>-2787.86666666667</v>
      </c>
      <c r="U360" s="67" t="n">
        <f aca="false">-U354*Inputs!$D$64/12*1*(1+Inputs!$D$67)*(1+Inputs!$D$68)^(U$247-1)</f>
        <v>-2787.86666666667</v>
      </c>
      <c r="V360" s="67" t="n">
        <f aca="false">-V354*Inputs!$D$64/12*1*(1+Inputs!$D$67)*(1+Inputs!$D$68)^(V$247-1)</f>
        <v>-2787.86666666667</v>
      </c>
      <c r="W360" s="67" t="n">
        <f aca="false">-W354*Inputs!$D$64/12*1*(1+Inputs!$D$67)*(1+Inputs!$D$68)^(W$247-1)</f>
        <v>-2787.86666666667</v>
      </c>
      <c r="X360" s="67" t="n">
        <f aca="false">-X354*Inputs!$D$64/12*1*(1+Inputs!$D$67)*(1+Inputs!$D$68)^(X$247-1)</f>
        <v>-2787.86666666667</v>
      </c>
      <c r="Y360" s="67" t="n">
        <f aca="false">-Y354*Inputs!$D$64/12*1*(1+Inputs!$D$67)*(1+Inputs!$D$68)^(Y$247-1)</f>
        <v>-2787.86666666667</v>
      </c>
      <c r="Z360" s="67" t="n">
        <f aca="false">-Z354*Inputs!$D$64/12*1*(1+Inputs!$D$67)*(1+Inputs!$D$68)^(Z$247-1)</f>
        <v>-2787.86666666667</v>
      </c>
      <c r="AA360" s="67" t="n">
        <f aca="false">-AA354*Inputs!$D$64/12*1*(1+Inputs!$D$67)*(1+Inputs!$D$68)^(AA$247-1)</f>
        <v>-2871.50266666667</v>
      </c>
      <c r="AB360" s="67" t="n">
        <f aca="false">-AB354*Inputs!$D$64/12*1*(1+Inputs!$D$67)*(1+Inputs!$D$68)^(AB$247-1)</f>
        <v>-2871.50266666667</v>
      </c>
      <c r="AC360" s="67" t="n">
        <f aca="false">-AC354*Inputs!$D$64/12*1*(1+Inputs!$D$67)*(1+Inputs!$D$68)^(AC$247-1)</f>
        <v>-2871.50266666667</v>
      </c>
      <c r="AD360" s="67" t="n">
        <f aca="false">-AD354*Inputs!$D$64/12*1*(1+Inputs!$D$67)*(1+Inputs!$D$68)^(AD$247-1)</f>
        <v>-2871.50266666667</v>
      </c>
      <c r="AE360" s="67" t="n">
        <f aca="false">-AE354*Inputs!$D$64/12*1*(1+Inputs!$D$67)*(1+Inputs!$D$68)^(AE$247-1)</f>
        <v>-2871.50266666667</v>
      </c>
      <c r="AF360" s="67" t="n">
        <f aca="false">-AF354*Inputs!$D$64/12*1*(1+Inputs!$D$67)*(1+Inputs!$D$68)^(AF$247-1)</f>
        <v>-2871.50266666667</v>
      </c>
      <c r="AG360" s="67" t="n">
        <f aca="false">-AG354*Inputs!$D$64/12*1*(1+Inputs!$D$67)*(1+Inputs!$D$68)^(AG$247-1)</f>
        <v>-2871.50266666667</v>
      </c>
      <c r="AH360" s="67" t="n">
        <f aca="false">-AH354*Inputs!$D$64/12*1*(1+Inputs!$D$67)*(1+Inputs!$D$68)^(AH$247-1)</f>
        <v>-2871.50266666667</v>
      </c>
      <c r="AI360" s="67" t="n">
        <f aca="false">-AI354*Inputs!$D$64/12*1*(1+Inputs!$D$67)*(1+Inputs!$D$68)^(AI$247-1)</f>
        <v>-2871.50266666667</v>
      </c>
      <c r="AJ360" s="67" t="n">
        <f aca="false">-AJ354*Inputs!$D$64/12*1*(1+Inputs!$D$67)*(1+Inputs!$D$68)^(AJ$247-1)</f>
        <v>-2871.50266666667</v>
      </c>
      <c r="AK360" s="67" t="n">
        <f aca="false">-AK354*Inputs!$D$64/12*1*(1+Inputs!$D$67)*(1+Inputs!$D$68)^(AK$247-1)</f>
        <v>-2871.50266666667</v>
      </c>
      <c r="AL360" s="67" t="n">
        <f aca="false">-AL354*Inputs!$D$64/12*1*(1+Inputs!$D$67)*(1+Inputs!$D$68)^(AL$247-1)</f>
        <v>-2871.50266666667</v>
      </c>
      <c r="AM360" s="67" t="n">
        <f aca="false">-AM354*Inputs!$D$64/12*1*(1+Inputs!$D$67)*(1+Inputs!$D$68)^(AM$247-1)</f>
        <v>-2957.64774666667</v>
      </c>
      <c r="AN360" s="67" t="n">
        <f aca="false">-AN354*Inputs!$D$64/12*1*(1+Inputs!$D$67)*(1+Inputs!$D$68)^(AN$247-1)</f>
        <v>-2957.64774666667</v>
      </c>
      <c r="AO360" s="67" t="n">
        <f aca="false">-AO354*Inputs!$D$64/12*1*(1+Inputs!$D$67)*(1+Inputs!$D$68)^(AO$247-1)</f>
        <v>-2957.64774666667</v>
      </c>
      <c r="AP360" s="67" t="n">
        <f aca="false">-AP354*Inputs!$D$64/12*1*(1+Inputs!$D$67)*(1+Inputs!$D$68)^(AP$247-1)</f>
        <v>-2957.64774666667</v>
      </c>
      <c r="AQ360" s="67" t="n">
        <f aca="false">-AQ354*Inputs!$D$64/12*1*(1+Inputs!$D$67)*(1+Inputs!$D$68)^(AQ$247-1)</f>
        <v>-2957.64774666667</v>
      </c>
      <c r="AR360" s="67" t="n">
        <f aca="false">-AR354*Inputs!$D$64/12*1*(1+Inputs!$D$67)*(1+Inputs!$D$68)^(AR$247-1)</f>
        <v>-2957.64774666667</v>
      </c>
      <c r="AS360" s="67" t="n">
        <f aca="false">-AS354*Inputs!$D$64/12*1*(1+Inputs!$D$67)*(1+Inputs!$D$68)^(AS$247-1)</f>
        <v>-2957.64774666667</v>
      </c>
      <c r="AT360" s="67" t="n">
        <f aca="false">-AT354*Inputs!$D$64/12*1*(1+Inputs!$D$67)*(1+Inputs!$D$68)^(AT$247-1)</f>
        <v>-2957.64774666667</v>
      </c>
      <c r="AU360" s="67" t="n">
        <f aca="false">-AU354*Inputs!$D$64/12*1*(1+Inputs!$D$67)*(1+Inputs!$D$68)^(AU$247-1)</f>
        <v>-2957.64774666667</v>
      </c>
      <c r="AV360" s="67" t="n">
        <f aca="false">-AV354*Inputs!$D$64/12*1*(1+Inputs!$D$67)*(1+Inputs!$D$68)^(AV$247-1)</f>
        <v>-2957.64774666667</v>
      </c>
      <c r="AW360" s="67" t="n">
        <f aca="false">-AW354*Inputs!$D$64/12*1*(1+Inputs!$D$67)*(1+Inputs!$D$68)^(AW$247-1)</f>
        <v>-2957.64774666667</v>
      </c>
      <c r="AX360" s="67" t="n">
        <f aca="false">-AX354*Inputs!$D$64/12*1*(1+Inputs!$D$67)*(1+Inputs!$D$68)^(AX$247-1)</f>
        <v>-2957.64774666667</v>
      </c>
      <c r="AY360" s="67" t="n">
        <f aca="false">-AY354*Inputs!$D$64/12*1*(1+Inputs!$D$67)*(1+Inputs!$D$68)^(AY$247-1)</f>
        <v>-3046.37717906667</v>
      </c>
      <c r="AZ360" s="67" t="n">
        <f aca="false">-AZ354*Inputs!$D$64/12*1*(1+Inputs!$D$67)*(1+Inputs!$D$68)^(AZ$247-1)</f>
        <v>-3046.37717906667</v>
      </c>
      <c r="BA360" s="67" t="n">
        <f aca="false">-BA354*Inputs!$D$64/12*1*(1+Inputs!$D$67)*(1+Inputs!$D$68)^(BA$247-1)</f>
        <v>-3046.37717906667</v>
      </c>
      <c r="BB360" s="67" t="n">
        <f aca="false">-BB354*Inputs!$D$64/12*1*(1+Inputs!$D$67)*(1+Inputs!$D$68)^(BB$247-1)</f>
        <v>-3046.37717906667</v>
      </c>
      <c r="BC360" s="67" t="n">
        <f aca="false">-BC354*Inputs!$D$64/12*1*(1+Inputs!$D$67)*(1+Inputs!$D$68)^(BC$247-1)</f>
        <v>-3046.37717906667</v>
      </c>
      <c r="BD360" s="67" t="n">
        <f aca="false">-BD354*Inputs!$D$64/12*1*(1+Inputs!$D$67)*(1+Inputs!$D$68)^(BD$247-1)</f>
        <v>-3046.37717906667</v>
      </c>
      <c r="BE360" s="67" t="n">
        <f aca="false">-BE354*Inputs!$D$64/12*1*(1+Inputs!$D$67)*(1+Inputs!$D$68)^(BE$247-1)</f>
        <v>-3046.37717906667</v>
      </c>
      <c r="BF360" s="67" t="n">
        <f aca="false">-BF354*Inputs!$D$64/12*1*(1+Inputs!$D$67)*(1+Inputs!$D$68)^(BF$247-1)</f>
        <v>-3046.37717906667</v>
      </c>
      <c r="BG360" s="67" t="n">
        <f aca="false">-BG354*Inputs!$D$64/12*1*(1+Inputs!$D$67)*(1+Inputs!$D$68)^(BG$247-1)</f>
        <v>-3046.37717906667</v>
      </c>
      <c r="BH360" s="67" t="n">
        <f aca="false">-BH354*Inputs!$D$64/12*1*(1+Inputs!$D$67)*(1+Inputs!$D$68)^(BH$247-1)</f>
        <v>-3046.37717906667</v>
      </c>
      <c r="BI360" s="67" t="n">
        <f aca="false">-BI354*Inputs!$D$64/12*1*(1+Inputs!$D$67)*(1+Inputs!$D$68)^(BI$247-1)</f>
        <v>-3046.37717906667</v>
      </c>
      <c r="BJ360" s="67" t="n">
        <f aca="false">-BJ354*Inputs!$D$64/12*1*(1+Inputs!$D$67)*(1+Inputs!$D$68)^(BJ$247-1)</f>
        <v>-3046.37717906667</v>
      </c>
    </row>
    <row r="361" customFormat="false" ht="15" hidden="false" customHeight="false" outlineLevel="0" collapsed="false">
      <c r="A361" s="113" t="s">
        <v>465</v>
      </c>
      <c r="C361" s="68" t="n">
        <f aca="false">C358+C359+C360</f>
        <v>-9874.66666666667</v>
      </c>
      <c r="D361" s="68" t="n">
        <f aca="false">D358+D359+D360</f>
        <v>-9874.66666666667</v>
      </c>
      <c r="E361" s="68" t="n">
        <f aca="false">E358+E359+E360</f>
        <v>-9874.66666666667</v>
      </c>
      <c r="F361" s="68" t="n">
        <f aca="false">F358+F359+F360</f>
        <v>-9874.66666666667</v>
      </c>
      <c r="G361" s="68" t="n">
        <f aca="false">G358+G359+G360</f>
        <v>-9874.66666666667</v>
      </c>
      <c r="H361" s="68" t="n">
        <f aca="false">H358+H359+H360</f>
        <v>-9874.66666666667</v>
      </c>
      <c r="I361" s="68" t="n">
        <f aca="false">I358+I359+I360</f>
        <v>-9874.66666666667</v>
      </c>
      <c r="J361" s="68" t="n">
        <f aca="false">J358+J359+J360</f>
        <v>-9874.66666666667</v>
      </c>
      <c r="K361" s="68" t="n">
        <f aca="false">K358+K359+K360</f>
        <v>-9874.66666666667</v>
      </c>
      <c r="L361" s="68" t="n">
        <f aca="false">L358+L359+L360</f>
        <v>-9874.66666666667</v>
      </c>
      <c r="M361" s="68" t="n">
        <f aca="false">M358+M359+M360</f>
        <v>-9874.66666666667</v>
      </c>
      <c r="N361" s="68" t="n">
        <f aca="false">N358+N359+N360</f>
        <v>-9874.66666666667</v>
      </c>
      <c r="O361" s="68" t="n">
        <f aca="false">O358+O359+O360</f>
        <v>-10170.9066666667</v>
      </c>
      <c r="P361" s="68" t="n">
        <f aca="false">P358+P359+P360</f>
        <v>-10170.9066666667</v>
      </c>
      <c r="Q361" s="68" t="n">
        <f aca="false">Q358+Q359+Q360</f>
        <v>-10170.9066666667</v>
      </c>
      <c r="R361" s="68" t="n">
        <f aca="false">R358+R359+R360</f>
        <v>-10170.9066666667</v>
      </c>
      <c r="S361" s="68" t="n">
        <f aca="false">S358+S359+S360</f>
        <v>-10170.9066666667</v>
      </c>
      <c r="T361" s="68" t="n">
        <f aca="false">T358+T359+T360</f>
        <v>-10170.9066666667</v>
      </c>
      <c r="U361" s="68" t="n">
        <f aca="false">U358+U359+U360</f>
        <v>-10170.9066666667</v>
      </c>
      <c r="V361" s="68" t="n">
        <f aca="false">V358+V359+V360</f>
        <v>-10170.9066666667</v>
      </c>
      <c r="W361" s="68" t="n">
        <f aca="false">W358+W359+W360</f>
        <v>-10170.9066666667</v>
      </c>
      <c r="X361" s="68" t="n">
        <f aca="false">X358+X359+X360</f>
        <v>-10170.9066666667</v>
      </c>
      <c r="Y361" s="68" t="n">
        <f aca="false">Y358+Y359+Y360</f>
        <v>-10170.9066666667</v>
      </c>
      <c r="Z361" s="68" t="n">
        <f aca="false">Z358+Z359+Z360</f>
        <v>-10170.9066666667</v>
      </c>
      <c r="AA361" s="68" t="n">
        <f aca="false">AA358+AA359+AA360</f>
        <v>-10476.0338666667</v>
      </c>
      <c r="AB361" s="68" t="n">
        <f aca="false">AB358+AB359+AB360</f>
        <v>-10476.0338666667</v>
      </c>
      <c r="AC361" s="68" t="n">
        <f aca="false">AC358+AC359+AC360</f>
        <v>-10476.0338666667</v>
      </c>
      <c r="AD361" s="68" t="n">
        <f aca="false">AD358+AD359+AD360</f>
        <v>-10476.0338666667</v>
      </c>
      <c r="AE361" s="68" t="n">
        <f aca="false">AE358+AE359+AE360</f>
        <v>-10476.0338666667</v>
      </c>
      <c r="AF361" s="68" t="n">
        <f aca="false">AF358+AF359+AF360</f>
        <v>-10476.0338666667</v>
      </c>
      <c r="AG361" s="68" t="n">
        <f aca="false">AG358+AG359+AG360</f>
        <v>-10476.0338666667</v>
      </c>
      <c r="AH361" s="68" t="n">
        <f aca="false">AH358+AH359+AH360</f>
        <v>-10476.0338666667</v>
      </c>
      <c r="AI361" s="68" t="n">
        <f aca="false">AI358+AI359+AI360</f>
        <v>-10476.0338666667</v>
      </c>
      <c r="AJ361" s="68" t="n">
        <f aca="false">AJ358+AJ359+AJ360</f>
        <v>-10476.0338666667</v>
      </c>
      <c r="AK361" s="68" t="n">
        <f aca="false">AK358+AK359+AK360</f>
        <v>-10476.0338666667</v>
      </c>
      <c r="AL361" s="68" t="n">
        <f aca="false">AL358+AL359+AL360</f>
        <v>-10476.0338666667</v>
      </c>
      <c r="AM361" s="68" t="n">
        <f aca="false">AM358+AM359+AM360</f>
        <v>-10790.3148826667</v>
      </c>
      <c r="AN361" s="68" t="n">
        <f aca="false">AN358+AN359+AN360</f>
        <v>-10790.3148826667</v>
      </c>
      <c r="AO361" s="68" t="n">
        <f aca="false">AO358+AO359+AO360</f>
        <v>-10790.3148826667</v>
      </c>
      <c r="AP361" s="68" t="n">
        <f aca="false">AP358+AP359+AP360</f>
        <v>-10790.3148826667</v>
      </c>
      <c r="AQ361" s="68" t="n">
        <f aca="false">AQ358+AQ359+AQ360</f>
        <v>-10790.3148826667</v>
      </c>
      <c r="AR361" s="68" t="n">
        <f aca="false">AR358+AR359+AR360</f>
        <v>-10790.3148826667</v>
      </c>
      <c r="AS361" s="68" t="n">
        <f aca="false">AS358+AS359+AS360</f>
        <v>-10790.3148826667</v>
      </c>
      <c r="AT361" s="68" t="n">
        <f aca="false">AT358+AT359+AT360</f>
        <v>-10790.3148826667</v>
      </c>
      <c r="AU361" s="68" t="n">
        <f aca="false">AU358+AU359+AU360</f>
        <v>-10790.3148826667</v>
      </c>
      <c r="AV361" s="68" t="n">
        <f aca="false">AV358+AV359+AV360</f>
        <v>-10790.3148826667</v>
      </c>
      <c r="AW361" s="68" t="n">
        <f aca="false">AW358+AW359+AW360</f>
        <v>-10790.3148826667</v>
      </c>
      <c r="AX361" s="68" t="n">
        <f aca="false">AX358+AX359+AX360</f>
        <v>-10790.3148826667</v>
      </c>
      <c r="AY361" s="68" t="n">
        <f aca="false">AY358+AY359+AY360</f>
        <v>-11114.0243291467</v>
      </c>
      <c r="AZ361" s="68" t="n">
        <f aca="false">AZ358+AZ359+AZ360</f>
        <v>-11114.0243291467</v>
      </c>
      <c r="BA361" s="68" t="n">
        <f aca="false">BA358+BA359+BA360</f>
        <v>-11114.0243291467</v>
      </c>
      <c r="BB361" s="68" t="n">
        <f aca="false">BB358+BB359+BB360</f>
        <v>-11114.0243291467</v>
      </c>
      <c r="BC361" s="68" t="n">
        <f aca="false">BC358+BC359+BC360</f>
        <v>-11114.0243291467</v>
      </c>
      <c r="BD361" s="68" t="n">
        <f aca="false">BD358+BD359+BD360</f>
        <v>-11114.0243291467</v>
      </c>
      <c r="BE361" s="68" t="n">
        <f aca="false">BE358+BE359+BE360</f>
        <v>-11114.0243291467</v>
      </c>
      <c r="BF361" s="68" t="n">
        <f aca="false">BF358+BF359+BF360</f>
        <v>-11114.0243291467</v>
      </c>
      <c r="BG361" s="68" t="n">
        <f aca="false">BG358+BG359+BG360</f>
        <v>-11114.0243291467</v>
      </c>
      <c r="BH361" s="68" t="n">
        <f aca="false">BH358+BH359+BH360</f>
        <v>-11114.0243291467</v>
      </c>
      <c r="BI361" s="68" t="n">
        <f aca="false">BI358+BI359+BI360</f>
        <v>-11114.0243291467</v>
      </c>
      <c r="BJ361" s="68" t="n">
        <f aca="false">BJ358+BJ359+BJ360</f>
        <v>-11114.0243291467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322A"/>
    <pageSetUpPr fitToPage="tru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64"/>
  </cols>
  <sheetData>
    <row r="1" customFormat="false" ht="21.75" hidden="false" customHeight="true" outlineLevel="0" collapsed="false">
      <c r="A1" s="16" t="s">
        <v>5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471</v>
      </c>
    </row>
    <row r="3" customFormat="false" ht="15" hidden="false" customHeight="false" outlineLevel="0" collapsed="false">
      <c r="A3" s="33" t="s">
        <v>472</v>
      </c>
      <c r="B3" s="33" t="s">
        <v>473</v>
      </c>
      <c r="C3" s="33" t="s">
        <v>474</v>
      </c>
    </row>
    <row r="4" customFormat="false" ht="15" hidden="false" customHeight="false" outlineLevel="0" collapsed="false">
      <c r="A4" s="6" t="s">
        <v>475</v>
      </c>
      <c r="B4" s="4" t="str">
        <f aca="false">IF(ABS(SUM('P&amp;L'!$B$5:$F$5)-SUM(Monthly!$C$24:$BJ$24))&lt;0.5,"PASS","FAIL")</f>
        <v>PASS</v>
      </c>
      <c r="C4" s="18" t="s">
        <v>476</v>
      </c>
    </row>
    <row r="5" customFormat="false" ht="15" hidden="false" customHeight="false" outlineLevel="0" collapsed="false">
      <c r="A5" s="6" t="s">
        <v>477</v>
      </c>
      <c r="B5" s="4" t="str">
        <f aca="false">IF(ABS(SUM('P&amp;L'!$B$26:$F$26)-SUM(Monthly!$C$55:$BJ$55))&lt;0.5,"PASS","FAIL")</f>
        <v>PASS</v>
      </c>
      <c r="C5" s="18" t="s">
        <v>478</v>
      </c>
    </row>
    <row r="6" customFormat="false" ht="15" hidden="false" customHeight="false" outlineLevel="0" collapsed="false">
      <c r="A6" s="6" t="s">
        <v>479</v>
      </c>
      <c r="B6" s="4" t="str">
        <f aca="false">IF(ABS(SUM(Monthly!$C$46:$BJ$46)-SUM(Monthly!$C$33:$BJ$33)-SUM(Monthly!$C$45:$BJ$45))&lt;0.5,"PASS","FAIL")</f>
        <v>PASS</v>
      </c>
      <c r="C6" s="18" t="s">
        <v>480</v>
      </c>
    </row>
    <row r="7" customFormat="false" ht="15" hidden="false" customHeight="false" outlineLevel="0" collapsed="false">
      <c r="A7" s="6" t="s">
        <v>481</v>
      </c>
      <c r="B7" s="4" t="str">
        <f aca="false">IF(ABS(INDEX(Monthly!$C$89:$BJ$89,60)-SUM(Monthly!$C$87:$BJ$87))&lt;0.5,"PASS","FAIL")</f>
        <v>PASS</v>
      </c>
      <c r="C7" s="18" t="s">
        <v>482</v>
      </c>
    </row>
    <row r="8" customFormat="false" ht="15" hidden="false" customHeight="false" outlineLevel="0" collapsed="false">
      <c r="A8" s="6" t="s">
        <v>483</v>
      </c>
      <c r="B8" s="4" t="str">
        <f aca="false">IF(AND(ISNUMBER(Dashboard!B4),Dashboard!B4&gt;=1,Dashboard!B4&lt;=3,INT(Dashboard!B4)=Dashboard!B4),"PASS","FAIL")</f>
        <v>PASS</v>
      </c>
      <c r="C8" s="18" t="s">
        <v>484</v>
      </c>
    </row>
    <row r="9" customFormat="false" ht="15" hidden="false" customHeight="false" outlineLevel="0" collapsed="false">
      <c r="A9" s="6" t="s">
        <v>485</v>
      </c>
      <c r="B9" s="4" t="str">
        <f aca="false">IF(AND(Inputs!$B$9&lt;=Inputs!$C$9,Inputs!$C$9&lt;=Inputs!$D$9,Inputs!$B$10&gt;=Inputs!$C$10,Inputs!$C$10&gt;=Inputs!$D$10,Inputs!$B$13&gt;=Inputs!$C$13,Inputs!$C$13&gt;=Inputs!$D$13,Inputs!$B$14&lt;=Inputs!$C$14,Inputs!$C$14&lt;=Inputs!$D$14,Inputs!$B$17&lt;=Inputs!$C$17,Inputs!$C$17&lt;=Inputs!$D$17,Inputs!$B$18&lt;=Inputs!$C$18,Inputs!$C$18&lt;=Inputs!$D$18,Inputs!$B$19&lt;=Inputs!$C$19,Inputs!$C$19&lt;=Inputs!$D$19,Inputs!$B$20&lt;=Inputs!$C$20,Inputs!$C$20&lt;=Inputs!$D$20,Inputs!$B$23&lt;=Inputs!$C$23,Inputs!$C$23&lt;=Inputs!$D$23,Inputs!$B$24&lt;=Inputs!$C$24,Inputs!$C$24&lt;=Inputs!$D$24,Inputs!$B$25&lt;=Inputs!$C$25,Inputs!$C$25&lt;=Inputs!$D$25,Inputs!$B$29&gt;=Inputs!$C$29,Inputs!$C$29&gt;=Inputs!$D$29,Inputs!$B$30&gt;=Inputs!$C$30,Inputs!$C$30&gt;=Inputs!$D$30,Inputs!$B$31&gt;=Inputs!$C$31,Inputs!$C$31&gt;=Inputs!$D$31,Inputs!$B$32&gt;=Inputs!$C$32,Inputs!$C$32&gt;=Inputs!$D$32,Inputs!$B$33&gt;=Inputs!$C$33,Inputs!$C$33&gt;=Inputs!$D$33,Inputs!$B$34&gt;=Inputs!$C$34,Inputs!$C$34&gt;=Inputs!$D$34,Inputs!$B$55&lt;=Inputs!$C$55,Inputs!$C$55&lt;=Inputs!$D$55,Inputs!$B$57&lt;=Inputs!$C$57,Inputs!$C$57&lt;=Inputs!$D$57,Inputs!$B$59&lt;=Inputs!$C$59,Inputs!$C$59&lt;=Inputs!$D$59,Inputs!$B$61&lt;=Inputs!$C$61,Inputs!$C$61&lt;=Inputs!$D$61,Inputs!$B$63&lt;=Inputs!$C$63,Inputs!$C$63&lt;=Inputs!$D$63,Inputs!$B$65&lt;=Inputs!$C$65,Inputs!$C$65&lt;=Inputs!$D$65,Inputs!$B$89&gt;=Inputs!$C$89,Inputs!$C$89&gt;=Inputs!$D$89,Inputs!$B$90&lt;=Inputs!$C$90,Inputs!$C$90&lt;=Inputs!$D$90,Inputs!$B$91&lt;=Inputs!$C$91,Inputs!$C$91&lt;=Inputs!$D$91),"PASS","FAIL")</f>
        <v>PASS</v>
      </c>
      <c r="C9" s="18" t="s">
        <v>486</v>
      </c>
    </row>
    <row r="10" customFormat="false" ht="15" hidden="false" customHeight="false" outlineLevel="0" collapsed="false">
      <c r="A10" s="6" t="s">
        <v>487</v>
      </c>
      <c r="B10" s="4" t="str">
        <f aca="false">IF(AND(MIN('P&amp;L'!$B$8:$F$8)&gt;=0,MAX('P&amp;L'!$B$8:$F$8)&lt;=1),"PASS","FAIL")</f>
        <v>PASS</v>
      </c>
      <c r="C10" s="18" t="s">
        <v>488</v>
      </c>
    </row>
    <row r="11" customFormat="false" ht="15" hidden="false" customHeight="false" outlineLevel="0" collapsed="false">
      <c r="A11" s="6" t="s">
        <v>489</v>
      </c>
      <c r="B11" s="4" t="str">
        <f aca="false">IF(MIN(Monthly!$C$72:$BJ$72)&gt;=-0.5,"PASS","FAIL")</f>
        <v>PASS</v>
      </c>
      <c r="C11" s="18" t="s">
        <v>490</v>
      </c>
    </row>
    <row r="12" customFormat="false" ht="15" hidden="false" customHeight="false" outlineLevel="0" collapsed="false">
      <c r="A12" s="6" t="s">
        <v>491</v>
      </c>
      <c r="B12" s="4" t="str">
        <f aca="false">IF(ABS('Break-even'!B18-('Break-even'!B16-'Break-even'!B10))&lt;0.5,"PASS","FAIL")</f>
        <v>PASS</v>
      </c>
      <c r="C12" s="18" t="s">
        <v>492</v>
      </c>
    </row>
    <row r="13" customFormat="false" ht="15" hidden="false" customHeight="false" outlineLevel="0" collapsed="false">
      <c r="A13" s="6" t="s">
        <v>493</v>
      </c>
      <c r="B13" s="4" t="str">
        <f aca="false">IF(ABS(Valuation!B23-NPV(Valuation!B6,Valuation!$B$17:$F$17))&lt;0.5,"PASS","FAIL")</f>
        <v>PASS</v>
      </c>
      <c r="C13" s="18" t="s">
        <v>494</v>
      </c>
    </row>
    <row r="14" customFormat="false" ht="15" hidden="false" customHeight="false" outlineLevel="0" collapsed="false">
      <c r="A14" s="6" t="s">
        <v>495</v>
      </c>
      <c r="B14" s="4" t="str">
        <f aca="false">IF(Valuation!B6&gt;Valuation!B7,"PASS","FAIL")</f>
        <v>PASS</v>
      </c>
      <c r="C14" s="18" t="s">
        <v>496</v>
      </c>
    </row>
    <row r="15" customFormat="false" ht="15" hidden="false" customHeight="false" outlineLevel="0" collapsed="false">
      <c r="A15" s="6" t="s">
        <v>497</v>
      </c>
      <c r="B15" s="4" t="str">
        <f aca="false">IF(ABS(Valuation!D36-Valuation!B27)&lt;0.5,"PASS","FAIL")</f>
        <v>PASS</v>
      </c>
      <c r="C15" s="18" t="s">
        <v>498</v>
      </c>
    </row>
    <row r="16" customFormat="false" ht="15" hidden="false" customHeight="false" outlineLevel="0" collapsed="false">
      <c r="A16" s="6" t="s">
        <v>499</v>
      </c>
      <c r="B16" s="4" t="str">
        <f aca="false">IF(Valuation!$F$17&gt;0,"PASS","WARN")</f>
        <v>PASS</v>
      </c>
      <c r="C16" s="18" t="s">
        <v>500</v>
      </c>
    </row>
    <row r="17" customFormat="false" ht="15" hidden="false" customHeight="false" outlineLevel="0" collapsed="false">
      <c r="A17" s="6" t="s">
        <v>501</v>
      </c>
      <c r="B17" s="4" t="str">
        <f aca="false">IF(ABS('Sources &amp; Uses'!B21-'Sources &amp; Uses'!B28)&lt;0.5,"PASS","FAIL")</f>
        <v>PASS</v>
      </c>
      <c r="C17" s="18" t="s">
        <v>502</v>
      </c>
    </row>
    <row r="18" customFormat="false" ht="15" hidden="false" customHeight="false" outlineLevel="0" collapsed="false">
      <c r="A18" s="6" t="s">
        <v>503</v>
      </c>
      <c r="B18" s="4" t="str">
        <f aca="false">IF(SUMPRODUCT(--ISERROR(Monthly!$C$4:$BJ$107))+SUMPRODUCT(--ISERROR(Headcount!$C$4:$BJ$17))+SUMPRODUCT(--ISERROR('P&amp;L'!$B$3:$F$27))+SUMPRODUCT(--ISERROR('Cash Flow'!$B$3:$F$18))+SUMPRODUCT(--ISERROR('Balance Sheet'!$B$3:$F$17))+SUMPRODUCT(--ISERROR(KPIs!$B$27:$F$47))+SUMPRODUCT(--ISERROR('Break-even'!$B$26:$F$33))+SUMPRODUCT(--ISERROR(Valuation!$B$14:$F$19))+SUMPRODUCT(--ISERROR('Break-even'!$B$3:$F$35))+SUMPRODUCT(--ISERROR(Valuation!$A$3:$F$40))+SUMPRODUCT(--ISERROR('Sources &amp; Uses'!$B$3:$C$30))+SUMPRODUCT(--ISERROR(Dashboard!$A$6:$W$44))+SUMPRODUCT(--ISERROR(Summary!$A$5:$S$52))+SUMPRODUCT(--ISERROR(KPIs!$A$4:$G$47))+SUMPRODUCT(--ISERROR('Scenario calc'!$C$6:$BJ$121))+SUMPRODUCT(--ISERROR('Scenario calc'!$C$126:$BJ$241))+SUMPRODUCT(--ISERROR('Scenario calc'!$C$246:$BJ$361))+SUMPRODUCT(--ISERROR(Scenarios!$B$5:$F$50))=0,"PASS","FAIL")</f>
        <v>PASS</v>
      </c>
      <c r="C18" s="18" t="s">
        <v>504</v>
      </c>
    </row>
    <row r="19" customFormat="false" ht="15" hidden="false" customHeight="false" outlineLevel="0" collapsed="false">
      <c r="A19" s="6" t="s">
        <v>505</v>
      </c>
      <c r="B19" s="4" t="str">
        <f aca="false">IF(IFERROR(AND(SUMPRODUCT(--(ABS(Summary!$B$7:$F$7-'P&amp;L'!$B$5:$F$5)&gt;0.5))=0,SUMPRODUCT(--(ABS(Summary!$B$19:$F$19-'P&amp;L'!$B$26:$F$26)&gt;0.5))=0,SUMPRODUCT(--(ABS(Summary!$B$31:$F$31-'Cash Flow'!$B$18:$F$18)&gt;0.5))=0,SUMPRODUCT(--(ABS(Summary!$B$41:$F$41-'Balance Sheet'!$B$5:$F$5)&gt;0.5))=0,ABS(SUM(Summary!$H$7:$S$7)-INDEX(Summary!$B$7:$F$7,Summary!$R$2))&lt;0.5,ABS(SUM(Summary!$H$19:$S$19)-INDEX(Summary!$B$19:$F$19,Summary!$R$2))&lt;0.5,ABS(Summary!$S$31-INDEX(Summary!$B$31:$F$31,Summary!$R$2))&lt;0.5),FALSE()),"PASS","FAIL")</f>
        <v>PASS</v>
      </c>
      <c r="C19" s="18" t="s">
        <v>506</v>
      </c>
    </row>
    <row r="20" customFormat="false" ht="15" hidden="false" customHeight="false" outlineLevel="0" collapsed="false">
      <c r="A20" s="6" t="s">
        <v>507</v>
      </c>
      <c r="B20" s="4" t="str">
        <f aca="false">IF(SUMPRODUCT(--(ABS(KPIs!$B$24:$F$24)&gt;0.000000001))&gt;0,"FAIL",IF(SUMPRODUCT(ISNUMBER(KPIs!$B$23:$F$23)*ISNUMBER(KPIs!$B$16:$F$16))=0,"n/a","PASS"))</f>
        <v>PASS</v>
      </c>
      <c r="C20" s="18" t="s">
        <v>508</v>
      </c>
    </row>
    <row r="21" customFormat="false" ht="15" hidden="false" customHeight="false" outlineLevel="0" collapsed="false">
      <c r="A21" s="6" t="s">
        <v>509</v>
      </c>
      <c r="B21" s="4" t="str">
        <f aca="false">IF(IFERROR(AND(ABS(Scenarios!E17-INDEX(Scenarios!B17:D17,1,Dashboard!$B$4))&lt;0.5,ABS(Scenarios!E18-INDEX(Scenarios!B18:D18,1,Dashboard!$B$4))&lt;0.5,ABS(Scenarios!E19-INDEX(Scenarios!B19:D19,1,Dashboard!$B$4))&lt;0.5,ABS(Scenarios!E20-INDEX(Scenarios!B20:D20,1,Dashboard!$B$4))&lt;0.000001,ABS(Scenarios!E21-INDEX(Scenarios!B21:D21,1,Dashboard!$B$4))&lt;0.5,ABS(Scenarios!E22-INDEX(Scenarios!B22:D22,1,Dashboard!$B$4))&lt;0.5,ABS(Scenarios!E23-INDEX(Scenarios!B23:D23,1,Dashboard!$B$4))&lt;0.5,ABS(Scenarios!E24-INDEX(Scenarios!B24:D24,1,Dashboard!$B$4))&lt;0.5,ABS(Scenarios!E25-INDEX(Scenarios!B25:D25,1,Dashboard!$B$4))&lt;0.5,ABS(Scenarios!E26-INDEX(Scenarios!B26:D26,1,Dashboard!$B$4))&lt;0.5),FALSE()),"PASS","FAIL")</f>
        <v>PASS</v>
      </c>
      <c r="C21" s="18" t="s">
        <v>510</v>
      </c>
    </row>
    <row r="22" customFormat="false" ht="15" hidden="false" customHeight="false" outlineLevel="0" collapsed="false">
      <c r="A22" s="6" t="s">
        <v>511</v>
      </c>
      <c r="B22" s="4" t="str">
        <f aca="false">IF(SUMPRODUCT(--(ABS(Monthly!$C$107:$BJ$107)&gt;0.5))=0,"PASS","FAIL")</f>
        <v>PASS</v>
      </c>
      <c r="C22" s="18" t="s">
        <v>512</v>
      </c>
    </row>
    <row r="23" customFormat="false" ht="15" hidden="false" customHeight="false" outlineLevel="0" collapsed="false">
      <c r="A23" s="6" t="s">
        <v>513</v>
      </c>
      <c r="B23" s="4" t="str">
        <f aca="false">IF(MIN(Monthly!$C$89:$BJ$89)&gt;=0,"PASS","WARN")</f>
        <v>PASS</v>
      </c>
      <c r="C23" s="18" t="s">
        <v>514</v>
      </c>
    </row>
    <row r="25" customFormat="false" ht="15" hidden="false" customHeight="false" outlineLevel="0" collapsed="false">
      <c r="A25" s="70" t="s">
        <v>515</v>
      </c>
      <c r="B25" s="70" t="str">
        <f aca="false">IF(COUNTIF(B4:B23,"FAIL")&gt;0,"FAIL",IF(COUNTIF(B4:B23,"WARN")&gt;0,"PASS WITH WARNINGS","PASS"))</f>
        <v>PASS</v>
      </c>
      <c r="C25" s="123"/>
    </row>
  </sheetData>
  <conditionalFormatting sqref="B4:B25">
    <cfRule type="expression" priority="2" aboveAverage="0" equalAverage="0" bottom="0" percent="0" rank="0" text="" dxfId="0">
      <formula>ISNUMBER(SEARCH("FAIL",B4))</formula>
    </cfRule>
    <cfRule type="expression" priority="3" aboveAverage="0" equalAverage="0" bottom="0" percent="0" rank="0" text="" dxfId="1">
      <formula>ISNUMBER(SEARCH("WARN",B4))</formula>
    </cfRule>
    <cfRule type="expression" priority="4" aboveAverage="0" equalAverage="0" bottom="0" percent="0" rank="0" text="" dxfId="2">
      <formula>B4="PASS"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2026-10-22T08:40:33Z</dcterms:created>
  <dc:creator/>
  <dc:description/>
  <dc:language>en-US</dc:language>
  <cp:lastModifiedBy/>
  <dcterms:modified xsi:type="dcterms:W3CDTF">2026-10-22T08:40:34Z</dcterms:modified>
  <cp:revision>0</cp:revision>
  <dc:subject/>
  <dc:title>Food truck financial model (planning)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